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BA70466F-7EDB-44A9-94D1-DC9A2AD096EE}" xr6:coauthVersionLast="47" xr6:coauthVersionMax="47" xr10:uidLastSave="{00000000-0000-0000-0000-000000000000}"/>
  <bookViews>
    <workbookView xWindow="19090" yWindow="-2530" windowWidth="25820" windowHeight="15500" activeTab="1" xr2:uid="{8CD04906-6547-4375-BFD9-940C8F641BBE}"/>
  </bookViews>
  <sheets>
    <sheet name="Cover" sheetId="2" r:id="rId1"/>
    <sheet name="BTP-A320M4120" sheetId="4" r:id="rId2"/>
    <sheet name="A320M4120" sheetId="5" r:id="rId3"/>
    <sheet name="BTP-A320M4130" sheetId="6" r:id="rId4"/>
    <sheet name="A320M4130" sheetId="9" r:id="rId5"/>
    <sheet name="BRM4130L1" sheetId="10" r:id="rId6"/>
  </sheets>
  <externalReferences>
    <externalReference r:id="rId7"/>
    <externalReference r:id="rId8"/>
  </externalReferences>
  <definedNames>
    <definedName name="__123Graph_A" localSheetId="1" hidden="1">#REF!</definedName>
    <definedName name="__123Graph_A" localSheetId="3" hidden="1">#REF!</definedName>
    <definedName name="__123Graph_A" localSheetId="0" hidden="1">#REF!</definedName>
    <definedName name="__123Graph_A" hidden="1">#REF!</definedName>
    <definedName name="__123Graph_ACurrent" localSheetId="1" hidden="1">#REF!</definedName>
    <definedName name="__123Graph_ACurrent" localSheetId="3" hidden="1">#REF!</definedName>
    <definedName name="__123Graph_ACurrent" localSheetId="0" hidden="1">#REF!</definedName>
    <definedName name="__123Graph_ACurrent" hidden="1">#REF!</definedName>
    <definedName name="__123Graph_B" localSheetId="1" hidden="1">#REF!</definedName>
    <definedName name="__123Graph_B" localSheetId="3" hidden="1">#REF!</definedName>
    <definedName name="__123Graph_B" localSheetId="0" hidden="1">#REF!</definedName>
    <definedName name="__123Graph_B" hidden="1">#REF!</definedName>
    <definedName name="__123Graph_BCurrent" localSheetId="1" hidden="1">#REF!</definedName>
    <definedName name="__123Graph_BCurrent" localSheetId="3" hidden="1">#REF!</definedName>
    <definedName name="__123Graph_BCurrent" localSheetId="0" hidden="1">#REF!</definedName>
    <definedName name="__123Graph_BCurrent" hidden="1">#REF!</definedName>
    <definedName name="__123Graph_D" localSheetId="1" hidden="1">#REF!</definedName>
    <definedName name="__123Graph_D" localSheetId="3" hidden="1">#REF!</definedName>
    <definedName name="__123Graph_D" localSheetId="0" hidden="1">#REF!</definedName>
    <definedName name="__123Graph_D" hidden="1">#REF!</definedName>
    <definedName name="__123Graph_E" localSheetId="1" hidden="1">#REF!</definedName>
    <definedName name="__123Graph_E" localSheetId="3" hidden="1">#REF!</definedName>
    <definedName name="__123Graph_E" localSheetId="0" hidden="1">#REF!</definedName>
    <definedName name="__123Graph_E" hidden="1">#REF!</definedName>
    <definedName name="__123Graph_LBL_A" localSheetId="1" hidden="1">#REF!</definedName>
    <definedName name="__123Graph_LBL_A" localSheetId="3" hidden="1">#REF!</definedName>
    <definedName name="__123Graph_LBL_A" localSheetId="0" hidden="1">#REF!</definedName>
    <definedName name="__123Graph_LBL_A" hidden="1">#REF!</definedName>
    <definedName name="__123Graph_LBL_B" localSheetId="1" hidden="1">#REF!</definedName>
    <definedName name="__123Graph_LBL_B" localSheetId="3" hidden="1">#REF!</definedName>
    <definedName name="__123Graph_LBL_B" localSheetId="0" hidden="1">#REF!</definedName>
    <definedName name="__123Graph_LBL_B" hidden="1">#REF!</definedName>
    <definedName name="__123Graph_X" localSheetId="1" hidden="1">#REF!</definedName>
    <definedName name="__123Graph_X" localSheetId="3" hidden="1">#REF!</definedName>
    <definedName name="__123Graph_X" localSheetId="0" hidden="1">#REF!</definedName>
    <definedName name="__123Graph_X" hidden="1">#REF!</definedName>
    <definedName name="__123Graph_XCurrent" localSheetId="1" hidden="1">#REF!</definedName>
    <definedName name="__123Graph_XCurrent" localSheetId="3" hidden="1">#REF!</definedName>
    <definedName name="__123Graph_XCurrent" localSheetId="0" hidden="1">#REF!</definedName>
    <definedName name="__123Graph_XCurrent" hidden="1">#REF!</definedName>
    <definedName name="_Fill" localSheetId="1" hidden="1">#REF!</definedName>
    <definedName name="_Fill" localSheetId="3" hidden="1">#REF!</definedName>
    <definedName name="_Fill" localSheetId="0" hidden="1">#REF!</definedName>
    <definedName name="_Fill" hidden="1">#REF!</definedName>
    <definedName name="_xlnm._FilterDatabase" localSheetId="2" hidden="1">A320M4120!$A$9:$CB$366</definedName>
    <definedName name="_xlnm._FilterDatabase" localSheetId="4" hidden="1">A320M4130!$A$9:$CF$744</definedName>
    <definedName name="_xlnm._FilterDatabase" localSheetId="5" hidden="1">BRM4130L1!$A$9:$AP$58</definedName>
    <definedName name="_xlnm._FilterDatabase" localSheetId="1" hidden="1">'BTP-A320M4120'!$C$29:$BL$332</definedName>
    <definedName name="_xlnm._FilterDatabase" localSheetId="3" hidden="1">'BTP-A320M4130'!$C$29:$BT$556</definedName>
    <definedName name="_Key1" localSheetId="1" hidden="1">#REF!</definedName>
    <definedName name="_Key1" localSheetId="3" hidden="1">#REF!</definedName>
    <definedName name="_Key1" localSheetId="0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1" hidden="1">#REF!</definedName>
    <definedName name="_Sort" localSheetId="3" hidden="1">#REF!</definedName>
    <definedName name="_Sort" localSheetId="0" hidden="1">#REF!</definedName>
    <definedName name="_Sort" hidden="1">#REF!</definedName>
    <definedName name="A">#N/A</definedName>
    <definedName name="ABC" localSheetId="1" hidden="1">#REF!</definedName>
    <definedName name="ABC" localSheetId="3" hidden="1">#REF!</definedName>
    <definedName name="ABC" localSheetId="0" hidden="1">#REF!</definedName>
    <definedName name="ABC" hidden="1">#REF!</definedName>
    <definedName name="ASV">#N/A</definedName>
    <definedName name="CO" localSheetId="1" hidden="1">#REF!</definedName>
    <definedName name="CO" localSheetId="3" hidden="1">#REF!</definedName>
    <definedName name="CO" localSheetId="0" hidden="1">#REF!</definedName>
    <definedName name="CO" hidden="1">#REF!</definedName>
    <definedName name="cp02PL10">#N/A</definedName>
    <definedName name="iv2dt" localSheetId="1" hidden="1">#REF!</definedName>
    <definedName name="iv2dt" localSheetId="3" hidden="1">#REF!</definedName>
    <definedName name="iv2dt" localSheetId="0" hidden="1">#REF!</definedName>
    <definedName name="iv2dt" hidden="1">#REF!</definedName>
    <definedName name="ivdt" localSheetId="1" hidden="1">#REF!</definedName>
    <definedName name="ivdt" localSheetId="3" hidden="1">#REF!</definedName>
    <definedName name="ivdt" localSheetId="0" hidden="1">#REF!</definedName>
    <definedName name="ivdt" hidden="1">#REF!</definedName>
    <definedName name="KABOLINE" localSheetId="1" hidden="1">#REF!</definedName>
    <definedName name="KABOLINE" localSheetId="3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1" hidden="1">#REF!</definedName>
    <definedName name="Q" localSheetId="3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1" hidden="1">#REF!</definedName>
    <definedName name="weki_9701.xls" localSheetId="3" hidden="1">#REF!</definedName>
    <definedName name="weki_9701.xls" localSheetId="0" hidden="1">#REF!</definedName>
    <definedName name="weki_9701.xls" hidden="1">#REF!</definedName>
    <definedName name="wekir9701.xls" localSheetId="1" hidden="1">#REF!</definedName>
    <definedName name="wekir9701.xls" localSheetId="3" hidden="1">#REF!</definedName>
    <definedName name="wekir9701.xls" localSheetId="0" hidden="1">#REF!</definedName>
    <definedName name="wekir9701.xls" hidden="1">#REF!</definedName>
    <definedName name="X" localSheetId="1" hidden="1">#REF!</definedName>
    <definedName name="X" localSheetId="3" hidden="1">#REF!</definedName>
    <definedName name="X" localSheetId="0" hidden="1">#REF!</definedName>
    <definedName name="X" hidden="1">#REF!</definedName>
    <definedName name="Y" localSheetId="1" hidden="1">#REF!</definedName>
    <definedName name="Y" localSheetId="3" hidden="1">#REF!</definedName>
    <definedName name="Y" localSheetId="0" hidden="1">#REF!</definedName>
    <definedName name="Y" hidden="1">#REF!</definedName>
    <definedName name="Z" localSheetId="1" hidden="1">#REF!</definedName>
    <definedName name="Z" localSheetId="3" hidden="1">#REF!</definedName>
    <definedName name="Z" localSheetId="0" hidden="1">#REF!</definedName>
    <definedName name="Z" hidden="1">#REF!</definedName>
    <definedName name="ㄴㅇㄹㅇㄹ" localSheetId="1" hidden="1">#REF!</definedName>
    <definedName name="ㄴㅇㄹㅇㄹ" localSheetId="3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1" hidden="1">#REF!</definedName>
    <definedName name="ㅊㅌㅍㅊㅍㅊㅌㅍㅊㅌㅍㅊㅌㅍㅊㅌㅍㅊㅌㅍ" localSheetId="3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1" hidden="1">#REF!</definedName>
    <definedName name="ㅊㅌㅍㅊㅍㅌㅋㅊㅍㅌㅊㅍ" localSheetId="3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1" hidden="1">#REF!</definedName>
    <definedName name="ㅊㅌㅍㅋㅊㅍㅌㅊㅍㅌㅊㅍ" localSheetId="3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1" hidden="1">#REF!</definedName>
    <definedName name="ㅊㅌㅍㅌㅊㅍㅊㅌㅍㅌㅊㅍㅌㅊㅍ" localSheetId="3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1" hidden="1">#REF!</definedName>
    <definedName name="ㅋ" localSheetId="3" hidden="1">#REF!</definedName>
    <definedName name="ㅋ" localSheetId="0" hidden="1">#REF!</definedName>
    <definedName name="ㅋ" hidden="1">#REF!</definedName>
    <definedName name="ㅋㅋㅋㅋ" localSheetId="1" hidden="1">#REF!</definedName>
    <definedName name="ㅋㅋㅋㅋ" localSheetId="3" hidden="1">#REF!</definedName>
    <definedName name="ㅋㅋㅋㅋ" localSheetId="0" hidden="1">#REF!</definedName>
    <definedName name="ㅋㅋㅋㅋ" hidden="1">#REF!</definedName>
    <definedName name="ㅋㅋㅋㅋㅋㅋ" localSheetId="1" hidden="1">#REF!</definedName>
    <definedName name="ㅋㅋㅋㅋㅋㅋ" localSheetId="3" hidden="1">#REF!</definedName>
    <definedName name="ㅋㅋㅋㅋㅋㅋ" localSheetId="0" hidden="1">#REF!</definedName>
    <definedName name="ㅋㅋㅋㅋㅋㅋ" hidden="1">#REF!</definedName>
    <definedName name="ㅋㅋㅋㅋㅋㅋㅋㅋㅋ" localSheetId="1" hidden="1">#REF!</definedName>
    <definedName name="ㅋㅋㅋㅋㅋㅋㅋㅋㅋ" localSheetId="3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1" hidden="1">#REF!</definedName>
    <definedName name="ㅌㅊㅍㅌㅊㅍㅌㅋㅊㅍㅌ" localSheetId="3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27" i="4" l="1" a="1"/>
  <c r="AY27" i="4" s="1"/>
  <c r="AY28" i="4"/>
  <c r="AX192" i="4"/>
  <c r="AX28" i="4" s="1"/>
  <c r="AW27" i="4" a="1"/>
  <c r="AW27" i="4" s="1"/>
  <c r="AW28" i="4"/>
  <c r="BG27" i="6" a="1"/>
  <c r="BG27" i="6" s="1"/>
  <c r="BG28" i="6"/>
  <c r="AV27" i="4" a="1"/>
  <c r="AV27" i="4" s="1"/>
  <c r="AV28" i="4"/>
  <c r="AU27" i="4" a="1"/>
  <c r="AU27" i="4" s="1"/>
  <c r="AU28" i="4"/>
  <c r="BF27" i="6" a="1"/>
  <c r="BF27" i="6" s="1"/>
  <c r="BF28" i="6"/>
  <c r="AT27" i="4" a="1"/>
  <c r="AT27" i="4" s="1"/>
  <c r="AT28" i="4"/>
  <c r="BE27" i="6" a="1"/>
  <c r="BE27" i="6" s="1"/>
  <c r="BE28" i="6"/>
  <c r="AS27" i="4" a="1"/>
  <c r="AS27" i="4" s="1"/>
  <c r="AS28" i="4"/>
  <c r="BD27" i="6" a="1"/>
  <c r="BD27" i="6" s="1"/>
  <c r="BD28" i="6"/>
  <c r="BC27" i="6" a="1"/>
  <c r="BC27" i="6" s="1"/>
  <c r="BC28" i="6"/>
  <c r="AR27" i="4" a="1"/>
  <c r="AR27" i="4" s="1"/>
  <c r="AR28" i="4"/>
  <c r="BB27" i="6" a="1"/>
  <c r="BB27" i="6" s="1"/>
  <c r="BB28" i="6"/>
  <c r="BA27" i="6" a="1"/>
  <c r="BA27" i="6" s="1"/>
  <c r="BA28" i="6"/>
  <c r="AX27" i="4" l="1" a="1"/>
  <c r="AX27" i="4" s="1"/>
  <c r="AZ27" i="6" a="1"/>
  <c r="AZ27" i="6" s="1"/>
  <c r="AZ28" i="6"/>
  <c r="AQ27" i="4" a="1"/>
  <c r="AQ27" i="4" s="1"/>
  <c r="AQ28" i="4"/>
  <c r="AY27" i="6" a="1"/>
  <c r="AY27" i="6" s="1"/>
  <c r="AY28" i="6"/>
  <c r="AX27" i="6" a="1"/>
  <c r="AX28" i="6"/>
  <c r="AW27" i="6" a="1"/>
  <c r="AW28" i="6"/>
  <c r="AV27" i="6" a="1"/>
  <c r="AV28" i="6"/>
  <c r="AU27" i="6" a="1"/>
  <c r="AU28" i="6"/>
  <c r="AP27" i="4" a="1"/>
  <c r="AP28" i="4"/>
  <c r="P58" i="10"/>
  <c r="P56" i="10"/>
  <c r="P55" i="10"/>
  <c r="P54" i="10"/>
  <c r="P53" i="10"/>
  <c r="P51" i="10"/>
  <c r="P49" i="10"/>
  <c r="P48" i="10"/>
  <c r="P47" i="10"/>
  <c r="P46" i="10"/>
  <c r="P44" i="10"/>
  <c r="P42" i="10"/>
  <c r="P41" i="10"/>
  <c r="P40" i="10"/>
  <c r="P39" i="10"/>
  <c r="P37" i="10"/>
  <c r="P35" i="10"/>
  <c r="P33" i="10"/>
  <c r="P31" i="10"/>
  <c r="P29" i="10"/>
  <c r="P27" i="10"/>
  <c r="P26" i="10"/>
  <c r="P24" i="10"/>
  <c r="P23" i="10"/>
  <c r="P21" i="10"/>
  <c r="P19" i="10"/>
  <c r="P17" i="10"/>
  <c r="P15" i="10"/>
  <c r="P14" i="10"/>
  <c r="P12" i="10"/>
  <c r="P11" i="10"/>
  <c r="AP58" i="10"/>
  <c r="AP56" i="10"/>
  <c r="AP55" i="10"/>
  <c r="AP54" i="10"/>
  <c r="AP53" i="10"/>
  <c r="AP51" i="10"/>
  <c r="AP49" i="10"/>
  <c r="AP48" i="10"/>
  <c r="AP47" i="10"/>
  <c r="AP46" i="10"/>
  <c r="AP44" i="10"/>
  <c r="AP42" i="10"/>
  <c r="AP41" i="10"/>
  <c r="AP40" i="10"/>
  <c r="AP39" i="10"/>
  <c r="AP37" i="10"/>
  <c r="AP35" i="10"/>
  <c r="AP33" i="10"/>
  <c r="AP31" i="10"/>
  <c r="AP29" i="10"/>
  <c r="AP27" i="10"/>
  <c r="AP26" i="10"/>
  <c r="AP24" i="10"/>
  <c r="AP23" i="10"/>
  <c r="AP21" i="10"/>
  <c r="AP19" i="10"/>
  <c r="AP17" i="10"/>
  <c r="AP15" i="10"/>
  <c r="AP14" i="10"/>
  <c r="AP12" i="10"/>
  <c r="AP11" i="10"/>
  <c r="X744" i="9"/>
  <c r="W744" i="9"/>
  <c r="K744" i="9"/>
  <c r="X743" i="9"/>
  <c r="W743" i="9"/>
  <c r="K743" i="9"/>
  <c r="X742" i="9"/>
  <c r="W742" i="9"/>
  <c r="K742" i="9"/>
  <c r="X741" i="9"/>
  <c r="W741" i="9"/>
  <c r="K741" i="9"/>
  <c r="X740" i="9"/>
  <c r="W740" i="9"/>
  <c r="K740" i="9"/>
  <c r="X739" i="9"/>
  <c r="W739" i="9"/>
  <c r="K739" i="9"/>
  <c r="X738" i="9"/>
  <c r="W738" i="9"/>
  <c r="K738" i="9"/>
  <c r="X737" i="9"/>
  <c r="W737" i="9"/>
  <c r="K737" i="9"/>
  <c r="X736" i="9"/>
  <c r="W736" i="9"/>
  <c r="K736" i="9"/>
  <c r="X735" i="9"/>
  <c r="W735" i="9"/>
  <c r="K735" i="9"/>
  <c r="X734" i="9"/>
  <c r="W734" i="9"/>
  <c r="K734" i="9"/>
  <c r="X733" i="9"/>
  <c r="W733" i="9"/>
  <c r="K733" i="9"/>
  <c r="X732" i="9"/>
  <c r="W732" i="9"/>
  <c r="K732" i="9"/>
  <c r="X731" i="9"/>
  <c r="W731" i="9"/>
  <c r="K731" i="9"/>
  <c r="X730" i="9"/>
  <c r="W730" i="9"/>
  <c r="K730" i="9"/>
  <c r="AV729" i="9"/>
  <c r="AW729" i="9" s="1"/>
  <c r="AU729" i="9"/>
  <c r="AQ729" i="9"/>
  <c r="AR729" i="9" s="1"/>
  <c r="AP729" i="9"/>
  <c r="AL729" i="9"/>
  <c r="AM729" i="9" s="1"/>
  <c r="AK729" i="9"/>
  <c r="AG729" i="9"/>
  <c r="AH729" i="9" s="1"/>
  <c r="AF729" i="9"/>
  <c r="K728" i="9"/>
  <c r="K729" i="9" s="1"/>
  <c r="L729" i="9" s="1"/>
  <c r="M725" i="9"/>
  <c r="AV724" i="9"/>
  <c r="AU724" i="9"/>
  <c r="AU725" i="9" s="1"/>
  <c r="AU726" i="9" s="1"/>
  <c r="AU727" i="9" s="1"/>
  <c r="AQ724" i="9"/>
  <c r="AQ725" i="9" s="1"/>
  <c r="AP724" i="9"/>
  <c r="AP725" i="9" s="1"/>
  <c r="AP726" i="9" s="1"/>
  <c r="AP727" i="9" s="1"/>
  <c r="AL724" i="9"/>
  <c r="AM724" i="9" s="1"/>
  <c r="AK724" i="9"/>
  <c r="AK725" i="9" s="1"/>
  <c r="AK726" i="9" s="1"/>
  <c r="AK727" i="9" s="1"/>
  <c r="AG724" i="9"/>
  <c r="AH724" i="9" s="1"/>
  <c r="AF724" i="9"/>
  <c r="AF725" i="9" s="1"/>
  <c r="AF726" i="9" s="1"/>
  <c r="AF727" i="9" s="1"/>
  <c r="K723" i="9"/>
  <c r="K724" i="9" s="1"/>
  <c r="K725" i="9" s="1"/>
  <c r="M718" i="9"/>
  <c r="AV717" i="9"/>
  <c r="AV718" i="9" s="1"/>
  <c r="AU717" i="9"/>
  <c r="AU718" i="9" s="1"/>
  <c r="AU719" i="9" s="1"/>
  <c r="AU720" i="9" s="1"/>
  <c r="AU721" i="9" s="1"/>
  <c r="AU722" i="9" s="1"/>
  <c r="AQ717" i="9"/>
  <c r="AQ718" i="9" s="1"/>
  <c r="AP717" i="9"/>
  <c r="AP718" i="9" s="1"/>
  <c r="AP719" i="9" s="1"/>
  <c r="AP720" i="9" s="1"/>
  <c r="AP721" i="9" s="1"/>
  <c r="AP722" i="9" s="1"/>
  <c r="AL717" i="9"/>
  <c r="AM717" i="9" s="1"/>
  <c r="AK717" i="9"/>
  <c r="AK718" i="9" s="1"/>
  <c r="AK719" i="9" s="1"/>
  <c r="AK720" i="9" s="1"/>
  <c r="AK721" i="9" s="1"/>
  <c r="AK722" i="9" s="1"/>
  <c r="AG717" i="9"/>
  <c r="AG718" i="9" s="1"/>
  <c r="AG719" i="9" s="1"/>
  <c r="AG720" i="9" s="1"/>
  <c r="AG721" i="9" s="1"/>
  <c r="AG722" i="9" s="1"/>
  <c r="AH722" i="9" s="1"/>
  <c r="AF717" i="9"/>
  <c r="AF718" i="9" s="1"/>
  <c r="AF719" i="9" s="1"/>
  <c r="AF720" i="9" s="1"/>
  <c r="AF721" i="9" s="1"/>
  <c r="AF722" i="9" s="1"/>
  <c r="K716" i="9"/>
  <c r="K717" i="9" s="1"/>
  <c r="AV712" i="9"/>
  <c r="AW712" i="9" s="1"/>
  <c r="AU712" i="9"/>
  <c r="AU713" i="9" s="1"/>
  <c r="AU714" i="9" s="1"/>
  <c r="AU715" i="9" s="1"/>
  <c r="AQ712" i="9"/>
  <c r="AQ713" i="9" s="1"/>
  <c r="AP712" i="9"/>
  <c r="AP713" i="9" s="1"/>
  <c r="AP714" i="9" s="1"/>
  <c r="AP715" i="9" s="1"/>
  <c r="AL712" i="9"/>
  <c r="AK712" i="9"/>
  <c r="AK713" i="9" s="1"/>
  <c r="AK714" i="9" s="1"/>
  <c r="AK715" i="9" s="1"/>
  <c r="AG712" i="9"/>
  <c r="AF712" i="9"/>
  <c r="AF713" i="9" s="1"/>
  <c r="AF714" i="9" s="1"/>
  <c r="AF715" i="9" s="1"/>
  <c r="K711" i="9"/>
  <c r="K712" i="9" s="1"/>
  <c r="K713" i="9" s="1"/>
  <c r="AV708" i="9"/>
  <c r="AU708" i="9"/>
  <c r="AU709" i="9" s="1"/>
  <c r="AU710" i="9" s="1"/>
  <c r="AQ708" i="9"/>
  <c r="AR708" i="9" s="1"/>
  <c r="AP708" i="9"/>
  <c r="AP709" i="9" s="1"/>
  <c r="AP710" i="9" s="1"/>
  <c r="AL708" i="9"/>
  <c r="AL709" i="9" s="1"/>
  <c r="AK708" i="9"/>
  <c r="AK709" i="9" s="1"/>
  <c r="AK710" i="9" s="1"/>
  <c r="AG708" i="9"/>
  <c r="AH708" i="9" s="1"/>
  <c r="AF708" i="9"/>
  <c r="AF709" i="9" s="1"/>
  <c r="AF710" i="9" s="1"/>
  <c r="K707" i="9"/>
  <c r="K708" i="9" s="1"/>
  <c r="K709" i="9" s="1"/>
  <c r="AV704" i="9"/>
  <c r="AW704" i="9" s="1"/>
  <c r="AU704" i="9"/>
  <c r="AU705" i="9" s="1"/>
  <c r="AU706" i="9" s="1"/>
  <c r="AQ704" i="9"/>
  <c r="AQ705" i="9" s="1"/>
  <c r="AR705" i="9" s="1"/>
  <c r="AP704" i="9"/>
  <c r="AP705" i="9" s="1"/>
  <c r="AP706" i="9" s="1"/>
  <c r="AL704" i="9"/>
  <c r="AM704" i="9" s="1"/>
  <c r="AK704" i="9"/>
  <c r="AK705" i="9" s="1"/>
  <c r="AK706" i="9" s="1"/>
  <c r="AG704" i="9"/>
  <c r="AH704" i="9" s="1"/>
  <c r="AF704" i="9"/>
  <c r="AF705" i="9" s="1"/>
  <c r="AF706" i="9" s="1"/>
  <c r="K703" i="9"/>
  <c r="K704" i="9" s="1"/>
  <c r="AV702" i="9"/>
  <c r="AW702" i="9" s="1"/>
  <c r="AU702" i="9"/>
  <c r="AQ702" i="9"/>
  <c r="AR702" i="9" s="1"/>
  <c r="AP702" i="9"/>
  <c r="AL702" i="9"/>
  <c r="AM702" i="9" s="1"/>
  <c r="AK702" i="9"/>
  <c r="AG702" i="9"/>
  <c r="AH702" i="9" s="1"/>
  <c r="AF702" i="9"/>
  <c r="K701" i="9"/>
  <c r="K702" i="9" s="1"/>
  <c r="L702" i="9" s="1"/>
  <c r="CF702" i="9" s="1"/>
  <c r="X700" i="9"/>
  <c r="W700" i="9"/>
  <c r="K700" i="9"/>
  <c r="X699" i="9"/>
  <c r="W699" i="9"/>
  <c r="K699" i="9"/>
  <c r="AV697" i="9"/>
  <c r="AU697" i="9"/>
  <c r="AU698" i="9" s="1"/>
  <c r="AQ697" i="9"/>
  <c r="AQ698" i="9" s="1"/>
  <c r="AR698" i="9" s="1"/>
  <c r="AP697" i="9"/>
  <c r="AP698" i="9" s="1"/>
  <c r="AL697" i="9"/>
  <c r="AM697" i="9" s="1"/>
  <c r="AK697" i="9"/>
  <c r="AK698" i="9" s="1"/>
  <c r="AG697" i="9"/>
  <c r="AG698" i="9" s="1"/>
  <c r="AH698" i="9" s="1"/>
  <c r="AF697" i="9"/>
  <c r="AF698" i="9" s="1"/>
  <c r="K696" i="9"/>
  <c r="K697" i="9" s="1"/>
  <c r="AV692" i="9"/>
  <c r="AV693" i="9" s="1"/>
  <c r="AW693" i="9" s="1"/>
  <c r="AU692" i="9"/>
  <c r="AU693" i="9" s="1"/>
  <c r="AU694" i="9" s="1"/>
  <c r="AU695" i="9" s="1"/>
  <c r="AQ692" i="9"/>
  <c r="AR692" i="9" s="1"/>
  <c r="AP692" i="9"/>
  <c r="AP693" i="9" s="1"/>
  <c r="AP694" i="9" s="1"/>
  <c r="AP695" i="9" s="1"/>
  <c r="AL692" i="9"/>
  <c r="AK692" i="9"/>
  <c r="AK693" i="9" s="1"/>
  <c r="AK694" i="9" s="1"/>
  <c r="AK695" i="9" s="1"/>
  <c r="AG692" i="9"/>
  <c r="AG693" i="9" s="1"/>
  <c r="AH693" i="9" s="1"/>
  <c r="AF692" i="9"/>
  <c r="AF693" i="9" s="1"/>
  <c r="AF694" i="9" s="1"/>
  <c r="AF695" i="9" s="1"/>
  <c r="K691" i="9"/>
  <c r="K692" i="9" s="1"/>
  <c r="K693" i="9" s="1"/>
  <c r="AV687" i="9"/>
  <c r="AW687" i="9" s="1"/>
  <c r="AU687" i="9"/>
  <c r="AU688" i="9" s="1"/>
  <c r="AU689" i="9" s="1"/>
  <c r="AU690" i="9" s="1"/>
  <c r="AQ687" i="9"/>
  <c r="AP687" i="9"/>
  <c r="AP688" i="9" s="1"/>
  <c r="AP689" i="9" s="1"/>
  <c r="AP690" i="9" s="1"/>
  <c r="AL687" i="9"/>
  <c r="AL688" i="9" s="1"/>
  <c r="AM688" i="9" s="1"/>
  <c r="AK687" i="9"/>
  <c r="AK688" i="9" s="1"/>
  <c r="AK689" i="9" s="1"/>
  <c r="AK690" i="9" s="1"/>
  <c r="AG687" i="9"/>
  <c r="AH687" i="9" s="1"/>
  <c r="AF687" i="9"/>
  <c r="AF688" i="9" s="1"/>
  <c r="AF689" i="9" s="1"/>
  <c r="AF690" i="9" s="1"/>
  <c r="K686" i="9"/>
  <c r="K687" i="9" s="1"/>
  <c r="AV669" i="9"/>
  <c r="AW669" i="9" s="1"/>
  <c r="AU669" i="9"/>
  <c r="AU670" i="9" s="1"/>
  <c r="AU671" i="9" s="1"/>
  <c r="AU672" i="9" s="1"/>
  <c r="AU673" i="9" s="1"/>
  <c r="AU674" i="9" s="1"/>
  <c r="AU675" i="9" s="1"/>
  <c r="AU676" i="9" s="1"/>
  <c r="AU677" i="9" s="1"/>
  <c r="AU678" i="9" s="1"/>
  <c r="AU679" i="9" s="1"/>
  <c r="AU680" i="9" s="1"/>
  <c r="AU681" i="9" s="1"/>
  <c r="AU682" i="9" s="1"/>
  <c r="AU683" i="9" s="1"/>
  <c r="AU684" i="9" s="1"/>
  <c r="AU685" i="9" s="1"/>
  <c r="AQ669" i="9"/>
  <c r="AQ670" i="9" s="1"/>
  <c r="AQ671" i="9" s="1"/>
  <c r="AP669" i="9"/>
  <c r="AP670" i="9" s="1"/>
  <c r="AP671" i="9" s="1"/>
  <c r="AP672" i="9" s="1"/>
  <c r="AP673" i="9" s="1"/>
  <c r="AP674" i="9" s="1"/>
  <c r="AP675" i="9" s="1"/>
  <c r="AP676" i="9" s="1"/>
  <c r="AP677" i="9" s="1"/>
  <c r="AP678" i="9" s="1"/>
  <c r="AP679" i="9" s="1"/>
  <c r="AP680" i="9" s="1"/>
  <c r="AP681" i="9" s="1"/>
  <c r="AP682" i="9" s="1"/>
  <c r="AP683" i="9" s="1"/>
  <c r="AP684" i="9" s="1"/>
  <c r="AP685" i="9" s="1"/>
  <c r="AL669" i="9"/>
  <c r="AL670" i="9" s="1"/>
  <c r="AK669" i="9"/>
  <c r="AK670" i="9" s="1"/>
  <c r="AK671" i="9" s="1"/>
  <c r="AK672" i="9" s="1"/>
  <c r="AK673" i="9" s="1"/>
  <c r="AK674" i="9" s="1"/>
  <c r="AK675" i="9" s="1"/>
  <c r="AK676" i="9" s="1"/>
  <c r="AK677" i="9" s="1"/>
  <c r="AK678" i="9" s="1"/>
  <c r="AK679" i="9" s="1"/>
  <c r="AK680" i="9" s="1"/>
  <c r="AK681" i="9" s="1"/>
  <c r="AK682" i="9" s="1"/>
  <c r="AK683" i="9" s="1"/>
  <c r="AK684" i="9" s="1"/>
  <c r="AK685" i="9" s="1"/>
  <c r="AG669" i="9"/>
  <c r="AH669" i="9" s="1"/>
  <c r="AF669" i="9"/>
  <c r="AF670" i="9" s="1"/>
  <c r="AF671" i="9" s="1"/>
  <c r="AF672" i="9" s="1"/>
  <c r="AF673" i="9" s="1"/>
  <c r="AF674" i="9" s="1"/>
  <c r="AF675" i="9" s="1"/>
  <c r="AF676" i="9" s="1"/>
  <c r="AF677" i="9" s="1"/>
  <c r="AF678" i="9" s="1"/>
  <c r="AF679" i="9" s="1"/>
  <c r="AF680" i="9" s="1"/>
  <c r="AF681" i="9" s="1"/>
  <c r="AF682" i="9" s="1"/>
  <c r="AF683" i="9" s="1"/>
  <c r="AF684" i="9" s="1"/>
  <c r="AF685" i="9" s="1"/>
  <c r="K668" i="9"/>
  <c r="K669" i="9" s="1"/>
  <c r="K670" i="9" s="1"/>
  <c r="K671" i="9" s="1"/>
  <c r="K672" i="9" s="1"/>
  <c r="AV657" i="9"/>
  <c r="AV658" i="9" s="1"/>
  <c r="AV659" i="9" s="1"/>
  <c r="AW659" i="9" s="1"/>
  <c r="AU657" i="9"/>
  <c r="AU658" i="9" s="1"/>
  <c r="AU659" i="9" s="1"/>
  <c r="AU660" i="9" s="1"/>
  <c r="AU661" i="9" s="1"/>
  <c r="AU662" i="9" s="1"/>
  <c r="AU663" i="9" s="1"/>
  <c r="AU664" i="9" s="1"/>
  <c r="AU665" i="9" s="1"/>
  <c r="AU666" i="9" s="1"/>
  <c r="AU667" i="9" s="1"/>
  <c r="AQ657" i="9"/>
  <c r="AP657" i="9"/>
  <c r="AP658" i="9" s="1"/>
  <c r="AP659" i="9" s="1"/>
  <c r="AP660" i="9" s="1"/>
  <c r="AP661" i="9" s="1"/>
  <c r="AP662" i="9" s="1"/>
  <c r="AP663" i="9" s="1"/>
  <c r="AP664" i="9" s="1"/>
  <c r="AP665" i="9" s="1"/>
  <c r="AP666" i="9" s="1"/>
  <c r="AP667" i="9" s="1"/>
  <c r="AL657" i="9"/>
  <c r="AM657" i="9" s="1"/>
  <c r="AK657" i="9"/>
  <c r="AK658" i="9" s="1"/>
  <c r="AK659" i="9" s="1"/>
  <c r="AK660" i="9" s="1"/>
  <c r="AK661" i="9" s="1"/>
  <c r="AK662" i="9" s="1"/>
  <c r="AK663" i="9" s="1"/>
  <c r="AK664" i="9" s="1"/>
  <c r="AK665" i="9" s="1"/>
  <c r="AK666" i="9" s="1"/>
  <c r="AK667" i="9" s="1"/>
  <c r="AG657" i="9"/>
  <c r="AH657" i="9" s="1"/>
  <c r="AF657" i="9"/>
  <c r="AF658" i="9" s="1"/>
  <c r="AF659" i="9" s="1"/>
  <c r="AF660" i="9" s="1"/>
  <c r="AF661" i="9" s="1"/>
  <c r="AF662" i="9" s="1"/>
  <c r="AF663" i="9" s="1"/>
  <c r="AF664" i="9" s="1"/>
  <c r="AF665" i="9" s="1"/>
  <c r="AF666" i="9" s="1"/>
  <c r="AF667" i="9" s="1"/>
  <c r="K656" i="9"/>
  <c r="K657" i="9" s="1"/>
  <c r="AV644" i="9"/>
  <c r="AV645" i="9" s="1"/>
  <c r="AU644" i="9"/>
  <c r="AU645" i="9" s="1"/>
  <c r="AU646" i="9" s="1"/>
  <c r="AU647" i="9" s="1"/>
  <c r="AU648" i="9" s="1"/>
  <c r="AU649" i="9" s="1"/>
  <c r="AU650" i="9" s="1"/>
  <c r="AU651" i="9" s="1"/>
  <c r="AU652" i="9" s="1"/>
  <c r="AU653" i="9" s="1"/>
  <c r="AU654" i="9" s="1"/>
  <c r="AU655" i="9" s="1"/>
  <c r="AQ644" i="9"/>
  <c r="AR644" i="9" s="1"/>
  <c r="AP644" i="9"/>
  <c r="AP645" i="9" s="1"/>
  <c r="AP646" i="9" s="1"/>
  <c r="AP647" i="9" s="1"/>
  <c r="AP648" i="9" s="1"/>
  <c r="AP649" i="9" s="1"/>
  <c r="AP650" i="9" s="1"/>
  <c r="AP651" i="9" s="1"/>
  <c r="AP652" i="9" s="1"/>
  <c r="AP653" i="9" s="1"/>
  <c r="AP654" i="9" s="1"/>
  <c r="AP655" i="9" s="1"/>
  <c r="AL644" i="9"/>
  <c r="AM644" i="9" s="1"/>
  <c r="AK644" i="9"/>
  <c r="AK645" i="9" s="1"/>
  <c r="AK646" i="9" s="1"/>
  <c r="AK647" i="9" s="1"/>
  <c r="AK648" i="9" s="1"/>
  <c r="AK649" i="9" s="1"/>
  <c r="AK650" i="9" s="1"/>
  <c r="AK651" i="9" s="1"/>
  <c r="AK652" i="9" s="1"/>
  <c r="AK653" i="9" s="1"/>
  <c r="AK654" i="9" s="1"/>
  <c r="AK655" i="9" s="1"/>
  <c r="AG644" i="9"/>
  <c r="AG645" i="9" s="1"/>
  <c r="AF644" i="9"/>
  <c r="AF645" i="9" s="1"/>
  <c r="AF646" i="9" s="1"/>
  <c r="AF647" i="9" s="1"/>
  <c r="AF648" i="9" s="1"/>
  <c r="AF649" i="9" s="1"/>
  <c r="AF650" i="9" s="1"/>
  <c r="AF651" i="9" s="1"/>
  <c r="AF652" i="9" s="1"/>
  <c r="AF653" i="9" s="1"/>
  <c r="AF654" i="9" s="1"/>
  <c r="AF655" i="9" s="1"/>
  <c r="K643" i="9"/>
  <c r="K644" i="9" s="1"/>
  <c r="AV624" i="9"/>
  <c r="AW624" i="9" s="1"/>
  <c r="AU624" i="9"/>
  <c r="AU625" i="9" s="1"/>
  <c r="AU626" i="9" s="1"/>
  <c r="AU627" i="9" s="1"/>
  <c r="AU628" i="9" s="1"/>
  <c r="AU629" i="9" s="1"/>
  <c r="AU630" i="9" s="1"/>
  <c r="AU631" i="9" s="1"/>
  <c r="AU632" i="9" s="1"/>
  <c r="AU633" i="9" s="1"/>
  <c r="AU634" i="9" s="1"/>
  <c r="AU635" i="9" s="1"/>
  <c r="AU636" i="9" s="1"/>
  <c r="AU637" i="9" s="1"/>
  <c r="AU638" i="9" s="1"/>
  <c r="AU639" i="9" s="1"/>
  <c r="AU640" i="9" s="1"/>
  <c r="AU641" i="9" s="1"/>
  <c r="AU642" i="9" s="1"/>
  <c r="AQ624" i="9"/>
  <c r="AR624" i="9" s="1"/>
  <c r="AP624" i="9"/>
  <c r="AP625" i="9" s="1"/>
  <c r="AP626" i="9" s="1"/>
  <c r="AP627" i="9" s="1"/>
  <c r="AP628" i="9" s="1"/>
  <c r="AP629" i="9" s="1"/>
  <c r="AP630" i="9" s="1"/>
  <c r="AP631" i="9" s="1"/>
  <c r="AP632" i="9" s="1"/>
  <c r="AP633" i="9" s="1"/>
  <c r="AP634" i="9" s="1"/>
  <c r="AP635" i="9" s="1"/>
  <c r="AP636" i="9" s="1"/>
  <c r="AP637" i="9" s="1"/>
  <c r="AP638" i="9" s="1"/>
  <c r="AP639" i="9" s="1"/>
  <c r="AP640" i="9" s="1"/>
  <c r="AP641" i="9" s="1"/>
  <c r="AP642" i="9" s="1"/>
  <c r="AL624" i="9"/>
  <c r="AM624" i="9" s="1"/>
  <c r="AK624" i="9"/>
  <c r="AK625" i="9" s="1"/>
  <c r="AK626" i="9" s="1"/>
  <c r="AK627" i="9" s="1"/>
  <c r="AK628" i="9" s="1"/>
  <c r="AK629" i="9" s="1"/>
  <c r="AK630" i="9" s="1"/>
  <c r="AK631" i="9" s="1"/>
  <c r="AK632" i="9" s="1"/>
  <c r="AK633" i="9" s="1"/>
  <c r="AK634" i="9" s="1"/>
  <c r="AK635" i="9" s="1"/>
  <c r="AK636" i="9" s="1"/>
  <c r="AK637" i="9" s="1"/>
  <c r="AK638" i="9" s="1"/>
  <c r="AK639" i="9" s="1"/>
  <c r="AK640" i="9" s="1"/>
  <c r="AK641" i="9" s="1"/>
  <c r="AK642" i="9" s="1"/>
  <c r="AG624" i="9"/>
  <c r="AG625" i="9" s="1"/>
  <c r="AH625" i="9" s="1"/>
  <c r="AF624" i="9"/>
  <c r="AF625" i="9" s="1"/>
  <c r="AF626" i="9" s="1"/>
  <c r="AF627" i="9" s="1"/>
  <c r="AF628" i="9" s="1"/>
  <c r="AF629" i="9" s="1"/>
  <c r="AF630" i="9" s="1"/>
  <c r="AF631" i="9" s="1"/>
  <c r="AF632" i="9" s="1"/>
  <c r="AF633" i="9" s="1"/>
  <c r="AF634" i="9" s="1"/>
  <c r="AF635" i="9" s="1"/>
  <c r="AF636" i="9" s="1"/>
  <c r="AF637" i="9" s="1"/>
  <c r="AF638" i="9" s="1"/>
  <c r="AF639" i="9" s="1"/>
  <c r="AF640" i="9" s="1"/>
  <c r="AF641" i="9" s="1"/>
  <c r="AF642" i="9" s="1"/>
  <c r="K623" i="9"/>
  <c r="K624" i="9" s="1"/>
  <c r="K625" i="9" s="1"/>
  <c r="AV592" i="9"/>
  <c r="AV593" i="9" s="1"/>
  <c r="AU592" i="9"/>
  <c r="AU593" i="9" s="1"/>
  <c r="AU594" i="9" s="1"/>
  <c r="AU595" i="9" s="1"/>
  <c r="AU596" i="9" s="1"/>
  <c r="AU597" i="9" s="1"/>
  <c r="AU598" i="9" s="1"/>
  <c r="AU599" i="9" s="1"/>
  <c r="AU600" i="9" s="1"/>
  <c r="AU601" i="9" s="1"/>
  <c r="AU602" i="9" s="1"/>
  <c r="AU603" i="9" s="1"/>
  <c r="AU604" i="9" s="1"/>
  <c r="AU605" i="9" s="1"/>
  <c r="AU606" i="9" s="1"/>
  <c r="AU607" i="9" s="1"/>
  <c r="AU608" i="9" s="1"/>
  <c r="AU609" i="9" s="1"/>
  <c r="AU610" i="9" s="1"/>
  <c r="AU611" i="9" s="1"/>
  <c r="AU612" i="9" s="1"/>
  <c r="AU613" i="9" s="1"/>
  <c r="AU614" i="9" s="1"/>
  <c r="AU615" i="9" s="1"/>
  <c r="AU616" i="9" s="1"/>
  <c r="AU617" i="9" s="1"/>
  <c r="AU618" i="9" s="1"/>
  <c r="AU619" i="9" s="1"/>
  <c r="AU620" i="9" s="1"/>
  <c r="AU621" i="9" s="1"/>
  <c r="AU622" i="9" s="1"/>
  <c r="AQ592" i="9"/>
  <c r="AQ593" i="9" s="1"/>
  <c r="AR593" i="9" s="1"/>
  <c r="AP592" i="9"/>
  <c r="AP593" i="9" s="1"/>
  <c r="AP594" i="9" s="1"/>
  <c r="AP595" i="9" s="1"/>
  <c r="AP596" i="9" s="1"/>
  <c r="AP597" i="9" s="1"/>
  <c r="AP598" i="9" s="1"/>
  <c r="AP599" i="9" s="1"/>
  <c r="AP600" i="9" s="1"/>
  <c r="AP601" i="9" s="1"/>
  <c r="AP602" i="9" s="1"/>
  <c r="AP603" i="9" s="1"/>
  <c r="AP604" i="9" s="1"/>
  <c r="AP605" i="9" s="1"/>
  <c r="AP606" i="9" s="1"/>
  <c r="AP607" i="9" s="1"/>
  <c r="AP608" i="9" s="1"/>
  <c r="AP609" i="9" s="1"/>
  <c r="AP610" i="9" s="1"/>
  <c r="AP611" i="9" s="1"/>
  <c r="AP612" i="9" s="1"/>
  <c r="AP613" i="9" s="1"/>
  <c r="AP614" i="9" s="1"/>
  <c r="AP615" i="9" s="1"/>
  <c r="AP616" i="9" s="1"/>
  <c r="AP617" i="9" s="1"/>
  <c r="AP618" i="9" s="1"/>
  <c r="AP619" i="9" s="1"/>
  <c r="AP620" i="9" s="1"/>
  <c r="AP621" i="9" s="1"/>
  <c r="AP622" i="9" s="1"/>
  <c r="AL592" i="9"/>
  <c r="AL593" i="9" s="1"/>
  <c r="AK592" i="9"/>
  <c r="AK593" i="9" s="1"/>
  <c r="AK594" i="9" s="1"/>
  <c r="AK595" i="9" s="1"/>
  <c r="AK596" i="9" s="1"/>
  <c r="AK597" i="9" s="1"/>
  <c r="AK598" i="9" s="1"/>
  <c r="AK599" i="9" s="1"/>
  <c r="AK600" i="9" s="1"/>
  <c r="AK601" i="9" s="1"/>
  <c r="AK602" i="9" s="1"/>
  <c r="AK603" i="9" s="1"/>
  <c r="AK604" i="9" s="1"/>
  <c r="AK605" i="9" s="1"/>
  <c r="AK606" i="9" s="1"/>
  <c r="AK607" i="9" s="1"/>
  <c r="AK608" i="9" s="1"/>
  <c r="AK609" i="9" s="1"/>
  <c r="AK610" i="9" s="1"/>
  <c r="AK611" i="9" s="1"/>
  <c r="AK612" i="9" s="1"/>
  <c r="AK613" i="9" s="1"/>
  <c r="AK614" i="9" s="1"/>
  <c r="AK615" i="9" s="1"/>
  <c r="AK616" i="9" s="1"/>
  <c r="AK617" i="9" s="1"/>
  <c r="AK618" i="9" s="1"/>
  <c r="AK619" i="9" s="1"/>
  <c r="AK620" i="9" s="1"/>
  <c r="AK621" i="9" s="1"/>
  <c r="AK622" i="9" s="1"/>
  <c r="AG592" i="9"/>
  <c r="AG593" i="9" s="1"/>
  <c r="AF592" i="9"/>
  <c r="AF593" i="9" s="1"/>
  <c r="AF594" i="9" s="1"/>
  <c r="AF595" i="9" s="1"/>
  <c r="AF596" i="9" s="1"/>
  <c r="AF597" i="9" s="1"/>
  <c r="AF598" i="9" s="1"/>
  <c r="AF599" i="9" s="1"/>
  <c r="AF600" i="9" s="1"/>
  <c r="AF601" i="9" s="1"/>
  <c r="AF602" i="9" s="1"/>
  <c r="AF603" i="9" s="1"/>
  <c r="AF604" i="9" s="1"/>
  <c r="AF605" i="9" s="1"/>
  <c r="AF606" i="9" s="1"/>
  <c r="AF607" i="9" s="1"/>
  <c r="AF608" i="9" s="1"/>
  <c r="AF609" i="9" s="1"/>
  <c r="AF610" i="9" s="1"/>
  <c r="AF611" i="9" s="1"/>
  <c r="AF612" i="9" s="1"/>
  <c r="AF613" i="9" s="1"/>
  <c r="AF614" i="9" s="1"/>
  <c r="AF615" i="9" s="1"/>
  <c r="AF616" i="9" s="1"/>
  <c r="AF617" i="9" s="1"/>
  <c r="AF618" i="9" s="1"/>
  <c r="AF619" i="9" s="1"/>
  <c r="AF620" i="9" s="1"/>
  <c r="AF621" i="9" s="1"/>
  <c r="AF622" i="9" s="1"/>
  <c r="X591" i="9"/>
  <c r="W591" i="9"/>
  <c r="K591" i="9"/>
  <c r="K592" i="9" s="1"/>
  <c r="K593" i="9" s="1"/>
  <c r="AV550" i="9"/>
  <c r="AV551" i="9" s="1"/>
  <c r="AU550" i="9"/>
  <c r="AU551" i="9" s="1"/>
  <c r="AU552" i="9" s="1"/>
  <c r="AU553" i="9" s="1"/>
  <c r="AU554" i="9" s="1"/>
  <c r="AU555" i="9" s="1"/>
  <c r="AU556" i="9" s="1"/>
  <c r="AU557" i="9" s="1"/>
  <c r="AU558" i="9" s="1"/>
  <c r="AU559" i="9" s="1"/>
  <c r="AU560" i="9" s="1"/>
  <c r="AU561" i="9" s="1"/>
  <c r="AU562" i="9" s="1"/>
  <c r="AU563" i="9" s="1"/>
  <c r="AU564" i="9" s="1"/>
  <c r="AU565" i="9" s="1"/>
  <c r="AU566" i="9" s="1"/>
  <c r="AU567" i="9" s="1"/>
  <c r="AU568" i="9" s="1"/>
  <c r="AU569" i="9" s="1"/>
  <c r="AU570" i="9" s="1"/>
  <c r="AU571" i="9" s="1"/>
  <c r="AU572" i="9" s="1"/>
  <c r="AU573" i="9" s="1"/>
  <c r="AU574" i="9" s="1"/>
  <c r="AU575" i="9" s="1"/>
  <c r="AU576" i="9" s="1"/>
  <c r="AU577" i="9" s="1"/>
  <c r="AU578" i="9" s="1"/>
  <c r="AU579" i="9" s="1"/>
  <c r="AU580" i="9" s="1"/>
  <c r="AU581" i="9" s="1"/>
  <c r="AU582" i="9" s="1"/>
  <c r="AU583" i="9" s="1"/>
  <c r="AU584" i="9" s="1"/>
  <c r="AU585" i="9" s="1"/>
  <c r="AU586" i="9" s="1"/>
  <c r="AU587" i="9" s="1"/>
  <c r="AU588" i="9" s="1"/>
  <c r="AU589" i="9" s="1"/>
  <c r="AU590" i="9" s="1"/>
  <c r="AQ550" i="9"/>
  <c r="AQ551" i="9" s="1"/>
  <c r="AP550" i="9"/>
  <c r="AP551" i="9" s="1"/>
  <c r="AP552" i="9" s="1"/>
  <c r="AP553" i="9" s="1"/>
  <c r="AP554" i="9" s="1"/>
  <c r="AP555" i="9" s="1"/>
  <c r="AP556" i="9" s="1"/>
  <c r="AP557" i="9" s="1"/>
  <c r="AP558" i="9" s="1"/>
  <c r="AP559" i="9" s="1"/>
  <c r="AP560" i="9" s="1"/>
  <c r="AP561" i="9" s="1"/>
  <c r="AP562" i="9" s="1"/>
  <c r="AP563" i="9" s="1"/>
  <c r="AP564" i="9" s="1"/>
  <c r="AP565" i="9" s="1"/>
  <c r="AP566" i="9" s="1"/>
  <c r="AP567" i="9" s="1"/>
  <c r="AP568" i="9" s="1"/>
  <c r="AP569" i="9" s="1"/>
  <c r="AP570" i="9" s="1"/>
  <c r="AP571" i="9" s="1"/>
  <c r="AP572" i="9" s="1"/>
  <c r="AP573" i="9" s="1"/>
  <c r="AP574" i="9" s="1"/>
  <c r="AP575" i="9" s="1"/>
  <c r="AP576" i="9" s="1"/>
  <c r="AP577" i="9" s="1"/>
  <c r="AP578" i="9" s="1"/>
  <c r="AP579" i="9" s="1"/>
  <c r="AP580" i="9" s="1"/>
  <c r="AP581" i="9" s="1"/>
  <c r="AP582" i="9" s="1"/>
  <c r="AP583" i="9" s="1"/>
  <c r="AP584" i="9" s="1"/>
  <c r="AP585" i="9" s="1"/>
  <c r="AP586" i="9" s="1"/>
  <c r="AP587" i="9" s="1"/>
  <c r="AP588" i="9" s="1"/>
  <c r="AP589" i="9" s="1"/>
  <c r="AP590" i="9" s="1"/>
  <c r="AL550" i="9"/>
  <c r="AL551" i="9" s="1"/>
  <c r="AL552" i="9" s="1"/>
  <c r="AK550" i="9"/>
  <c r="AK551" i="9" s="1"/>
  <c r="AK552" i="9" s="1"/>
  <c r="AK553" i="9" s="1"/>
  <c r="AK554" i="9" s="1"/>
  <c r="AK555" i="9" s="1"/>
  <c r="AK556" i="9" s="1"/>
  <c r="AK557" i="9" s="1"/>
  <c r="AK558" i="9" s="1"/>
  <c r="AK559" i="9" s="1"/>
  <c r="AK560" i="9" s="1"/>
  <c r="AK561" i="9" s="1"/>
  <c r="AK562" i="9" s="1"/>
  <c r="AK563" i="9" s="1"/>
  <c r="AK564" i="9" s="1"/>
  <c r="AK565" i="9" s="1"/>
  <c r="AK566" i="9" s="1"/>
  <c r="AK567" i="9" s="1"/>
  <c r="AK568" i="9" s="1"/>
  <c r="AK569" i="9" s="1"/>
  <c r="AK570" i="9" s="1"/>
  <c r="AK571" i="9" s="1"/>
  <c r="AK572" i="9" s="1"/>
  <c r="AK573" i="9" s="1"/>
  <c r="AK574" i="9" s="1"/>
  <c r="AK575" i="9" s="1"/>
  <c r="AK576" i="9" s="1"/>
  <c r="AK577" i="9" s="1"/>
  <c r="AK578" i="9" s="1"/>
  <c r="AK579" i="9" s="1"/>
  <c r="AK580" i="9" s="1"/>
  <c r="AK581" i="9" s="1"/>
  <c r="AK582" i="9" s="1"/>
  <c r="AK583" i="9" s="1"/>
  <c r="AK584" i="9" s="1"/>
  <c r="AK585" i="9" s="1"/>
  <c r="AK586" i="9" s="1"/>
  <c r="AK587" i="9" s="1"/>
  <c r="AK588" i="9" s="1"/>
  <c r="AK589" i="9" s="1"/>
  <c r="AK590" i="9" s="1"/>
  <c r="AG550" i="9"/>
  <c r="AG551" i="9" s="1"/>
  <c r="AH551" i="9" s="1"/>
  <c r="AF550" i="9"/>
  <c r="AF551" i="9" s="1"/>
  <c r="AF552" i="9" s="1"/>
  <c r="AF553" i="9" s="1"/>
  <c r="AF554" i="9" s="1"/>
  <c r="AF555" i="9" s="1"/>
  <c r="AF556" i="9" s="1"/>
  <c r="AF557" i="9" s="1"/>
  <c r="AF558" i="9" s="1"/>
  <c r="AF559" i="9" s="1"/>
  <c r="AF560" i="9" s="1"/>
  <c r="AF561" i="9" s="1"/>
  <c r="AF562" i="9" s="1"/>
  <c r="AF563" i="9" s="1"/>
  <c r="AF564" i="9" s="1"/>
  <c r="AF565" i="9" s="1"/>
  <c r="AF566" i="9" s="1"/>
  <c r="AF567" i="9" s="1"/>
  <c r="AF568" i="9" s="1"/>
  <c r="AF569" i="9" s="1"/>
  <c r="AF570" i="9" s="1"/>
  <c r="AF571" i="9" s="1"/>
  <c r="AF572" i="9" s="1"/>
  <c r="AF573" i="9" s="1"/>
  <c r="AF574" i="9" s="1"/>
  <c r="AF575" i="9" s="1"/>
  <c r="AF576" i="9" s="1"/>
  <c r="AF577" i="9" s="1"/>
  <c r="AF578" i="9" s="1"/>
  <c r="AF579" i="9" s="1"/>
  <c r="AF580" i="9" s="1"/>
  <c r="AF581" i="9" s="1"/>
  <c r="AF582" i="9" s="1"/>
  <c r="AF583" i="9" s="1"/>
  <c r="AF584" i="9" s="1"/>
  <c r="AF585" i="9" s="1"/>
  <c r="AF586" i="9" s="1"/>
  <c r="AF587" i="9" s="1"/>
  <c r="AF588" i="9" s="1"/>
  <c r="AF589" i="9" s="1"/>
  <c r="AF590" i="9" s="1"/>
  <c r="X549" i="9"/>
  <c r="W549" i="9"/>
  <c r="K549" i="9"/>
  <c r="K550" i="9" s="1"/>
  <c r="K551" i="9" s="1"/>
  <c r="K552" i="9" s="1"/>
  <c r="X548" i="9"/>
  <c r="W548" i="9"/>
  <c r="K548" i="9"/>
  <c r="X547" i="9"/>
  <c r="W547" i="9"/>
  <c r="K547" i="9"/>
  <c r="X546" i="9"/>
  <c r="W546" i="9"/>
  <c r="K546" i="9"/>
  <c r="X545" i="9"/>
  <c r="W545" i="9"/>
  <c r="K545" i="9"/>
  <c r="X544" i="9"/>
  <c r="W544" i="9"/>
  <c r="K544" i="9"/>
  <c r="X543" i="9"/>
  <c r="W543" i="9"/>
  <c r="K543" i="9"/>
  <c r="X542" i="9"/>
  <c r="W542" i="9"/>
  <c r="K542" i="9"/>
  <c r="X541" i="9"/>
  <c r="W541" i="9"/>
  <c r="K541" i="9"/>
  <c r="X540" i="9"/>
  <c r="W540" i="9"/>
  <c r="K540" i="9"/>
  <c r="X539" i="9"/>
  <c r="W539" i="9"/>
  <c r="K539" i="9"/>
  <c r="X538" i="9"/>
  <c r="W538" i="9"/>
  <c r="K538" i="9"/>
  <c r="X537" i="9"/>
  <c r="W537" i="9"/>
  <c r="K537" i="9"/>
  <c r="X536" i="9"/>
  <c r="W536" i="9"/>
  <c r="K536" i="9"/>
  <c r="X535" i="9"/>
  <c r="W535" i="9"/>
  <c r="K535" i="9"/>
  <c r="X534" i="9"/>
  <c r="W534" i="9"/>
  <c r="K534" i="9"/>
  <c r="X533" i="9"/>
  <c r="W533" i="9"/>
  <c r="K533" i="9"/>
  <c r="AV532" i="9"/>
  <c r="AW532" i="9" s="1"/>
  <c r="AU532" i="9"/>
  <c r="AQ532" i="9"/>
  <c r="AR532" i="9" s="1"/>
  <c r="AP532" i="9"/>
  <c r="AL532" i="9"/>
  <c r="AM532" i="9" s="1"/>
  <c r="AK532" i="9"/>
  <c r="AG532" i="9"/>
  <c r="AH532" i="9" s="1"/>
  <c r="AF532" i="9"/>
  <c r="K531" i="9"/>
  <c r="K532" i="9" s="1"/>
  <c r="L532" i="9" s="1"/>
  <c r="M528" i="9"/>
  <c r="AV527" i="9"/>
  <c r="AW527" i="9" s="1"/>
  <c r="AU527" i="9"/>
  <c r="AU528" i="9" s="1"/>
  <c r="AU529" i="9" s="1"/>
  <c r="AU530" i="9" s="1"/>
  <c r="AQ527" i="9"/>
  <c r="AQ528" i="9" s="1"/>
  <c r="AR528" i="9" s="1"/>
  <c r="AP527" i="9"/>
  <c r="AP528" i="9" s="1"/>
  <c r="AP529" i="9" s="1"/>
  <c r="AP530" i="9" s="1"/>
  <c r="AL527" i="9"/>
  <c r="AM527" i="9" s="1"/>
  <c r="AK527" i="9"/>
  <c r="AK528" i="9" s="1"/>
  <c r="AK529" i="9" s="1"/>
  <c r="AK530" i="9" s="1"/>
  <c r="AG527" i="9"/>
  <c r="AH527" i="9" s="1"/>
  <c r="AF527" i="9"/>
  <c r="AF528" i="9" s="1"/>
  <c r="AF529" i="9" s="1"/>
  <c r="AF530" i="9" s="1"/>
  <c r="K526" i="9"/>
  <c r="K527" i="9" s="1"/>
  <c r="M521" i="9"/>
  <c r="AV520" i="9"/>
  <c r="AW520" i="9" s="1"/>
  <c r="AU520" i="9"/>
  <c r="AU521" i="9" s="1"/>
  <c r="AU522" i="9" s="1"/>
  <c r="AU523" i="9" s="1"/>
  <c r="AU524" i="9" s="1"/>
  <c r="AU525" i="9" s="1"/>
  <c r="AQ520" i="9"/>
  <c r="AR520" i="9" s="1"/>
  <c r="AP520" i="9"/>
  <c r="AP521" i="9" s="1"/>
  <c r="AP522" i="9" s="1"/>
  <c r="AP523" i="9" s="1"/>
  <c r="AP524" i="9" s="1"/>
  <c r="AP525" i="9" s="1"/>
  <c r="AL520" i="9"/>
  <c r="AK520" i="9"/>
  <c r="AK521" i="9" s="1"/>
  <c r="AK522" i="9" s="1"/>
  <c r="AK523" i="9" s="1"/>
  <c r="AK524" i="9" s="1"/>
  <c r="AK525" i="9" s="1"/>
  <c r="AG520" i="9"/>
  <c r="AG521" i="9" s="1"/>
  <c r="AG522" i="9" s="1"/>
  <c r="AF520" i="9"/>
  <c r="AF521" i="9" s="1"/>
  <c r="AF522" i="9" s="1"/>
  <c r="AF523" i="9" s="1"/>
  <c r="AF524" i="9" s="1"/>
  <c r="AF525" i="9" s="1"/>
  <c r="K519" i="9"/>
  <c r="K520" i="9" s="1"/>
  <c r="L520" i="9" s="1"/>
  <c r="AV515" i="9"/>
  <c r="AU515" i="9"/>
  <c r="AU516" i="9" s="1"/>
  <c r="AU517" i="9" s="1"/>
  <c r="AU518" i="9" s="1"/>
  <c r="AQ515" i="9"/>
  <c r="AQ516" i="9" s="1"/>
  <c r="AP515" i="9"/>
  <c r="AP516" i="9" s="1"/>
  <c r="AP517" i="9" s="1"/>
  <c r="AP518" i="9" s="1"/>
  <c r="AL515" i="9"/>
  <c r="AK515" i="9"/>
  <c r="AK516" i="9" s="1"/>
  <c r="AK517" i="9" s="1"/>
  <c r="AK518" i="9" s="1"/>
  <c r="AG515" i="9"/>
  <c r="AF515" i="9"/>
  <c r="AF516" i="9" s="1"/>
  <c r="AF517" i="9" s="1"/>
  <c r="AF518" i="9" s="1"/>
  <c r="K514" i="9"/>
  <c r="K515" i="9" s="1"/>
  <c r="AV511" i="9"/>
  <c r="AW511" i="9" s="1"/>
  <c r="AU511" i="9"/>
  <c r="AU512" i="9" s="1"/>
  <c r="AU513" i="9" s="1"/>
  <c r="AQ511" i="9"/>
  <c r="AQ512" i="9" s="1"/>
  <c r="AR512" i="9" s="1"/>
  <c r="AP511" i="9"/>
  <c r="AP512" i="9" s="1"/>
  <c r="AP513" i="9" s="1"/>
  <c r="AL511" i="9"/>
  <c r="AL512" i="9" s="1"/>
  <c r="AM512" i="9" s="1"/>
  <c r="AK511" i="9"/>
  <c r="AK512" i="9" s="1"/>
  <c r="AK513" i="9" s="1"/>
  <c r="AG511" i="9"/>
  <c r="AG512" i="9" s="1"/>
  <c r="AG513" i="9" s="1"/>
  <c r="AH513" i="9" s="1"/>
  <c r="AF511" i="9"/>
  <c r="AF512" i="9" s="1"/>
  <c r="AF513" i="9" s="1"/>
  <c r="K510" i="9"/>
  <c r="K511" i="9" s="1"/>
  <c r="AV507" i="9"/>
  <c r="AU507" i="9"/>
  <c r="AU508" i="9" s="1"/>
  <c r="AU509" i="9" s="1"/>
  <c r="AQ507" i="9"/>
  <c r="AP507" i="9"/>
  <c r="AP508" i="9" s="1"/>
  <c r="AP509" i="9" s="1"/>
  <c r="AL507" i="9"/>
  <c r="AM507" i="9" s="1"/>
  <c r="AK507" i="9"/>
  <c r="AK508" i="9" s="1"/>
  <c r="AK509" i="9" s="1"/>
  <c r="AG507" i="9"/>
  <c r="AH507" i="9" s="1"/>
  <c r="AF507" i="9"/>
  <c r="AF508" i="9" s="1"/>
  <c r="AF509" i="9" s="1"/>
  <c r="K506" i="9"/>
  <c r="K507" i="9" s="1"/>
  <c r="L507" i="9" s="1"/>
  <c r="AV505" i="9"/>
  <c r="AW505" i="9" s="1"/>
  <c r="AU505" i="9"/>
  <c r="AQ505" i="9"/>
  <c r="AR505" i="9" s="1"/>
  <c r="AP505" i="9"/>
  <c r="AL505" i="9"/>
  <c r="AM505" i="9" s="1"/>
  <c r="AK505" i="9"/>
  <c r="AG505" i="9"/>
  <c r="AH505" i="9" s="1"/>
  <c r="AF505" i="9"/>
  <c r="K504" i="9"/>
  <c r="K505" i="9" s="1"/>
  <c r="L505" i="9" s="1"/>
  <c r="AV502" i="9"/>
  <c r="AU502" i="9"/>
  <c r="AU503" i="9" s="1"/>
  <c r="AQ502" i="9"/>
  <c r="AR502" i="9" s="1"/>
  <c r="AP502" i="9"/>
  <c r="AP503" i="9" s="1"/>
  <c r="AL502" i="9"/>
  <c r="AK502" i="9"/>
  <c r="AK503" i="9" s="1"/>
  <c r="AG502" i="9"/>
  <c r="AH502" i="9" s="1"/>
  <c r="AF502" i="9"/>
  <c r="AF503" i="9" s="1"/>
  <c r="K501" i="9"/>
  <c r="K502" i="9" s="1"/>
  <c r="K503" i="9" s="1"/>
  <c r="L503" i="9" s="1"/>
  <c r="N503" i="9" s="1"/>
  <c r="X500" i="9"/>
  <c r="W500" i="9"/>
  <c r="AV499" i="9"/>
  <c r="AW499" i="9" s="1"/>
  <c r="AU499" i="9"/>
  <c r="AQ499" i="9"/>
  <c r="AR499" i="9" s="1"/>
  <c r="AP499" i="9"/>
  <c r="AL499" i="9"/>
  <c r="AM499" i="9" s="1"/>
  <c r="AK499" i="9"/>
  <c r="AG499" i="9"/>
  <c r="AH499" i="9" s="1"/>
  <c r="AF499" i="9"/>
  <c r="K498" i="9"/>
  <c r="K499" i="9" s="1"/>
  <c r="L499" i="9" s="1"/>
  <c r="CF499" i="9" s="1"/>
  <c r="X497" i="9"/>
  <c r="W497" i="9"/>
  <c r="K497" i="9"/>
  <c r="X496" i="9"/>
  <c r="W496" i="9"/>
  <c r="K496" i="9"/>
  <c r="AV494" i="9"/>
  <c r="AU494" i="9"/>
  <c r="AU495" i="9" s="1"/>
  <c r="AQ494" i="9"/>
  <c r="AQ495" i="9" s="1"/>
  <c r="AR495" i="9" s="1"/>
  <c r="AP494" i="9"/>
  <c r="AP495" i="9" s="1"/>
  <c r="AL494" i="9"/>
  <c r="AL495" i="9" s="1"/>
  <c r="AM495" i="9" s="1"/>
  <c r="AK494" i="9"/>
  <c r="AK495" i="9" s="1"/>
  <c r="AG494" i="9"/>
  <c r="AG495" i="9" s="1"/>
  <c r="AH495" i="9" s="1"/>
  <c r="AF494" i="9"/>
  <c r="AF495" i="9" s="1"/>
  <c r="K493" i="9"/>
  <c r="K494" i="9" s="1"/>
  <c r="AV489" i="9"/>
  <c r="AV490" i="9" s="1"/>
  <c r="AW490" i="9" s="1"/>
  <c r="AU489" i="9"/>
  <c r="AU490" i="9" s="1"/>
  <c r="AU491" i="9" s="1"/>
  <c r="AU492" i="9" s="1"/>
  <c r="AQ489" i="9"/>
  <c r="AR489" i="9" s="1"/>
  <c r="AP489" i="9"/>
  <c r="AP490" i="9" s="1"/>
  <c r="AP491" i="9" s="1"/>
  <c r="AP492" i="9" s="1"/>
  <c r="AL489" i="9"/>
  <c r="AL490" i="9" s="1"/>
  <c r="AM490" i="9" s="1"/>
  <c r="AK489" i="9"/>
  <c r="AK490" i="9" s="1"/>
  <c r="AK491" i="9" s="1"/>
  <c r="AK492" i="9" s="1"/>
  <c r="AG489" i="9"/>
  <c r="AG490" i="9" s="1"/>
  <c r="AF489" i="9"/>
  <c r="AF490" i="9" s="1"/>
  <c r="AF491" i="9" s="1"/>
  <c r="AF492" i="9" s="1"/>
  <c r="K488" i="9"/>
  <c r="K489" i="9" s="1"/>
  <c r="K490" i="9" s="1"/>
  <c r="AV484" i="9"/>
  <c r="AU484" i="9"/>
  <c r="AU485" i="9" s="1"/>
  <c r="AU486" i="9" s="1"/>
  <c r="AU487" i="9" s="1"/>
  <c r="AQ484" i="9"/>
  <c r="AQ485" i="9" s="1"/>
  <c r="AR485" i="9" s="1"/>
  <c r="AP484" i="9"/>
  <c r="AP485" i="9" s="1"/>
  <c r="AP486" i="9" s="1"/>
  <c r="AP487" i="9" s="1"/>
  <c r="AL484" i="9"/>
  <c r="AL485" i="9" s="1"/>
  <c r="AK484" i="9"/>
  <c r="AK485" i="9" s="1"/>
  <c r="AK486" i="9" s="1"/>
  <c r="AK487" i="9" s="1"/>
  <c r="AG484" i="9"/>
  <c r="AH484" i="9" s="1"/>
  <c r="AF484" i="9"/>
  <c r="AF485" i="9" s="1"/>
  <c r="AF486" i="9" s="1"/>
  <c r="AF487" i="9" s="1"/>
  <c r="K483" i="9"/>
  <c r="K484" i="9" s="1"/>
  <c r="AV468" i="9"/>
  <c r="AW468" i="9" s="1"/>
  <c r="AU468" i="9"/>
  <c r="AU469" i="9" s="1"/>
  <c r="AU470" i="9" s="1"/>
  <c r="AU471" i="9" s="1"/>
  <c r="AU472" i="9" s="1"/>
  <c r="AU473" i="9" s="1"/>
  <c r="AU474" i="9" s="1"/>
  <c r="AU475" i="9" s="1"/>
  <c r="AU476" i="9" s="1"/>
  <c r="AU477" i="9" s="1"/>
  <c r="AU478" i="9" s="1"/>
  <c r="AU479" i="9" s="1"/>
  <c r="AU480" i="9" s="1"/>
  <c r="AU481" i="9" s="1"/>
  <c r="AU482" i="9" s="1"/>
  <c r="AQ468" i="9"/>
  <c r="AQ469" i="9" s="1"/>
  <c r="AQ470" i="9" s="1"/>
  <c r="AP468" i="9"/>
  <c r="AP469" i="9" s="1"/>
  <c r="AP470" i="9" s="1"/>
  <c r="AP471" i="9" s="1"/>
  <c r="AP472" i="9" s="1"/>
  <c r="AP473" i="9" s="1"/>
  <c r="AP474" i="9" s="1"/>
  <c r="AP475" i="9" s="1"/>
  <c r="AP476" i="9" s="1"/>
  <c r="AP477" i="9" s="1"/>
  <c r="AP478" i="9" s="1"/>
  <c r="AP479" i="9" s="1"/>
  <c r="AP480" i="9" s="1"/>
  <c r="AP481" i="9" s="1"/>
  <c r="AP482" i="9" s="1"/>
  <c r="AL468" i="9"/>
  <c r="AM468" i="9" s="1"/>
  <c r="AK468" i="9"/>
  <c r="AK469" i="9" s="1"/>
  <c r="AK470" i="9" s="1"/>
  <c r="AK471" i="9" s="1"/>
  <c r="AK472" i="9" s="1"/>
  <c r="AK473" i="9" s="1"/>
  <c r="AK474" i="9" s="1"/>
  <c r="AK475" i="9" s="1"/>
  <c r="AK476" i="9" s="1"/>
  <c r="AK477" i="9" s="1"/>
  <c r="AK478" i="9" s="1"/>
  <c r="AK479" i="9" s="1"/>
  <c r="AK480" i="9" s="1"/>
  <c r="AK481" i="9" s="1"/>
  <c r="AK482" i="9" s="1"/>
  <c r="AG468" i="9"/>
  <c r="AG469" i="9" s="1"/>
  <c r="AG470" i="9" s="1"/>
  <c r="AG471" i="9" s="1"/>
  <c r="AH471" i="9" s="1"/>
  <c r="AF468" i="9"/>
  <c r="AF469" i="9" s="1"/>
  <c r="AF470" i="9" s="1"/>
  <c r="AF471" i="9" s="1"/>
  <c r="AF472" i="9" s="1"/>
  <c r="AF473" i="9" s="1"/>
  <c r="AF474" i="9" s="1"/>
  <c r="AF475" i="9" s="1"/>
  <c r="AF476" i="9" s="1"/>
  <c r="AF477" i="9" s="1"/>
  <c r="AF478" i="9" s="1"/>
  <c r="AF479" i="9" s="1"/>
  <c r="AF480" i="9" s="1"/>
  <c r="AF481" i="9" s="1"/>
  <c r="AF482" i="9" s="1"/>
  <c r="K467" i="9"/>
  <c r="K468" i="9" s="1"/>
  <c r="L468" i="9" s="1"/>
  <c r="CF468" i="9" s="1"/>
  <c r="AV453" i="9"/>
  <c r="AV454" i="9" s="1"/>
  <c r="AU453" i="9"/>
  <c r="AU454" i="9" s="1"/>
  <c r="AU455" i="9" s="1"/>
  <c r="AU456" i="9" s="1"/>
  <c r="AU457" i="9" s="1"/>
  <c r="AU458" i="9" s="1"/>
  <c r="AU459" i="9" s="1"/>
  <c r="AU460" i="9" s="1"/>
  <c r="AU461" i="9" s="1"/>
  <c r="AU462" i="9" s="1"/>
  <c r="AU463" i="9" s="1"/>
  <c r="AU464" i="9" s="1"/>
  <c r="AU465" i="9" s="1"/>
  <c r="AU466" i="9" s="1"/>
  <c r="AQ453" i="9"/>
  <c r="AQ454" i="9" s="1"/>
  <c r="AQ455" i="9" s="1"/>
  <c r="AP453" i="9"/>
  <c r="AP454" i="9" s="1"/>
  <c r="AP455" i="9" s="1"/>
  <c r="AP456" i="9" s="1"/>
  <c r="AP457" i="9" s="1"/>
  <c r="AP458" i="9" s="1"/>
  <c r="AP459" i="9" s="1"/>
  <c r="AP460" i="9" s="1"/>
  <c r="AP461" i="9" s="1"/>
  <c r="AP462" i="9" s="1"/>
  <c r="AP463" i="9" s="1"/>
  <c r="AP464" i="9" s="1"/>
  <c r="AP465" i="9" s="1"/>
  <c r="AP466" i="9" s="1"/>
  <c r="AL453" i="9"/>
  <c r="AM453" i="9" s="1"/>
  <c r="AK453" i="9"/>
  <c r="AK454" i="9" s="1"/>
  <c r="AK455" i="9" s="1"/>
  <c r="AK456" i="9" s="1"/>
  <c r="AK457" i="9" s="1"/>
  <c r="AK458" i="9" s="1"/>
  <c r="AK459" i="9" s="1"/>
  <c r="AK460" i="9" s="1"/>
  <c r="AK461" i="9" s="1"/>
  <c r="AK462" i="9" s="1"/>
  <c r="AK463" i="9" s="1"/>
  <c r="AK464" i="9" s="1"/>
  <c r="AK465" i="9" s="1"/>
  <c r="AK466" i="9" s="1"/>
  <c r="AG453" i="9"/>
  <c r="AH453" i="9" s="1"/>
  <c r="AF453" i="9"/>
  <c r="AF454" i="9" s="1"/>
  <c r="AF455" i="9" s="1"/>
  <c r="AF456" i="9" s="1"/>
  <c r="AF457" i="9" s="1"/>
  <c r="AF458" i="9" s="1"/>
  <c r="AF459" i="9" s="1"/>
  <c r="AF460" i="9" s="1"/>
  <c r="AF461" i="9" s="1"/>
  <c r="AF462" i="9" s="1"/>
  <c r="AF463" i="9" s="1"/>
  <c r="AF464" i="9" s="1"/>
  <c r="AF465" i="9" s="1"/>
  <c r="AF466" i="9" s="1"/>
  <c r="K452" i="9"/>
  <c r="K453" i="9" s="1"/>
  <c r="AV434" i="9"/>
  <c r="AV435" i="9" s="1"/>
  <c r="AU434" i="9"/>
  <c r="AU435" i="9" s="1"/>
  <c r="AU436" i="9" s="1"/>
  <c r="AU437" i="9" s="1"/>
  <c r="AU438" i="9" s="1"/>
  <c r="AU439" i="9" s="1"/>
  <c r="AU440" i="9" s="1"/>
  <c r="AU441" i="9" s="1"/>
  <c r="AU442" i="9" s="1"/>
  <c r="AU443" i="9" s="1"/>
  <c r="AU444" i="9" s="1"/>
  <c r="AU445" i="9" s="1"/>
  <c r="AU446" i="9" s="1"/>
  <c r="AU447" i="9" s="1"/>
  <c r="AU448" i="9" s="1"/>
  <c r="AU449" i="9" s="1"/>
  <c r="AU450" i="9" s="1"/>
  <c r="AU451" i="9" s="1"/>
  <c r="AQ434" i="9"/>
  <c r="AQ435" i="9" s="1"/>
  <c r="AP434" i="9"/>
  <c r="AP435" i="9" s="1"/>
  <c r="AP436" i="9" s="1"/>
  <c r="AP437" i="9" s="1"/>
  <c r="AP438" i="9" s="1"/>
  <c r="AP439" i="9" s="1"/>
  <c r="AP440" i="9" s="1"/>
  <c r="AP441" i="9" s="1"/>
  <c r="AP442" i="9" s="1"/>
  <c r="AP443" i="9" s="1"/>
  <c r="AP444" i="9" s="1"/>
  <c r="AP445" i="9" s="1"/>
  <c r="AP446" i="9" s="1"/>
  <c r="AP447" i="9" s="1"/>
  <c r="AP448" i="9" s="1"/>
  <c r="AP449" i="9" s="1"/>
  <c r="AP450" i="9" s="1"/>
  <c r="AP451" i="9" s="1"/>
  <c r="AL434" i="9"/>
  <c r="AL435" i="9" s="1"/>
  <c r="AL436" i="9" s="1"/>
  <c r="AL437" i="9" s="1"/>
  <c r="AK434" i="9"/>
  <c r="AK435" i="9" s="1"/>
  <c r="AK436" i="9" s="1"/>
  <c r="AK437" i="9" s="1"/>
  <c r="AK438" i="9" s="1"/>
  <c r="AK439" i="9" s="1"/>
  <c r="AK440" i="9" s="1"/>
  <c r="AK441" i="9" s="1"/>
  <c r="AK442" i="9" s="1"/>
  <c r="AK443" i="9" s="1"/>
  <c r="AK444" i="9" s="1"/>
  <c r="AK445" i="9" s="1"/>
  <c r="AK446" i="9" s="1"/>
  <c r="AK447" i="9" s="1"/>
  <c r="AK448" i="9" s="1"/>
  <c r="AK449" i="9" s="1"/>
  <c r="AK450" i="9" s="1"/>
  <c r="AK451" i="9" s="1"/>
  <c r="AG434" i="9"/>
  <c r="AG435" i="9" s="1"/>
  <c r="AF434" i="9"/>
  <c r="AF435" i="9" s="1"/>
  <c r="AF436" i="9" s="1"/>
  <c r="AF437" i="9" s="1"/>
  <c r="AF438" i="9" s="1"/>
  <c r="AF439" i="9" s="1"/>
  <c r="AF440" i="9" s="1"/>
  <c r="AF441" i="9" s="1"/>
  <c r="AF442" i="9" s="1"/>
  <c r="AF443" i="9" s="1"/>
  <c r="AF444" i="9" s="1"/>
  <c r="AF445" i="9" s="1"/>
  <c r="AF446" i="9" s="1"/>
  <c r="AF447" i="9" s="1"/>
  <c r="AF448" i="9" s="1"/>
  <c r="AF449" i="9" s="1"/>
  <c r="AF450" i="9" s="1"/>
  <c r="AF451" i="9" s="1"/>
  <c r="K433" i="9"/>
  <c r="K434" i="9" s="1"/>
  <c r="AV415" i="9"/>
  <c r="AV416" i="9" s="1"/>
  <c r="AV417" i="9" s="1"/>
  <c r="AU415" i="9"/>
  <c r="AU416" i="9" s="1"/>
  <c r="AU417" i="9" s="1"/>
  <c r="AU418" i="9" s="1"/>
  <c r="AU419" i="9" s="1"/>
  <c r="AU420" i="9" s="1"/>
  <c r="AU421" i="9" s="1"/>
  <c r="AU422" i="9" s="1"/>
  <c r="AU423" i="9" s="1"/>
  <c r="AU424" i="9" s="1"/>
  <c r="AU425" i="9" s="1"/>
  <c r="AU426" i="9" s="1"/>
  <c r="AU427" i="9" s="1"/>
  <c r="AU428" i="9" s="1"/>
  <c r="AU429" i="9" s="1"/>
  <c r="AU430" i="9" s="1"/>
  <c r="AU431" i="9" s="1"/>
  <c r="AU432" i="9" s="1"/>
  <c r="AQ415" i="9"/>
  <c r="AQ416" i="9" s="1"/>
  <c r="AQ417" i="9" s="1"/>
  <c r="AR417" i="9" s="1"/>
  <c r="AP415" i="9"/>
  <c r="AP416" i="9" s="1"/>
  <c r="AP417" i="9" s="1"/>
  <c r="AP418" i="9" s="1"/>
  <c r="AP419" i="9" s="1"/>
  <c r="AP420" i="9" s="1"/>
  <c r="AP421" i="9" s="1"/>
  <c r="AP422" i="9" s="1"/>
  <c r="AP423" i="9" s="1"/>
  <c r="AP424" i="9" s="1"/>
  <c r="AP425" i="9" s="1"/>
  <c r="AP426" i="9" s="1"/>
  <c r="AP427" i="9" s="1"/>
  <c r="AP428" i="9" s="1"/>
  <c r="AP429" i="9" s="1"/>
  <c r="AP430" i="9" s="1"/>
  <c r="AP431" i="9" s="1"/>
  <c r="AP432" i="9" s="1"/>
  <c r="AL415" i="9"/>
  <c r="AL416" i="9" s="1"/>
  <c r="AK415" i="9"/>
  <c r="AK416" i="9" s="1"/>
  <c r="AK417" i="9" s="1"/>
  <c r="AK418" i="9" s="1"/>
  <c r="AK419" i="9" s="1"/>
  <c r="AK420" i="9" s="1"/>
  <c r="AK421" i="9" s="1"/>
  <c r="AK422" i="9" s="1"/>
  <c r="AK423" i="9" s="1"/>
  <c r="AK424" i="9" s="1"/>
  <c r="AK425" i="9" s="1"/>
  <c r="AK426" i="9" s="1"/>
  <c r="AK427" i="9" s="1"/>
  <c r="AK428" i="9" s="1"/>
  <c r="AK429" i="9" s="1"/>
  <c r="AK430" i="9" s="1"/>
  <c r="AK431" i="9" s="1"/>
  <c r="AK432" i="9" s="1"/>
  <c r="AG415" i="9"/>
  <c r="AG416" i="9" s="1"/>
  <c r="AF415" i="9"/>
  <c r="AF416" i="9" s="1"/>
  <c r="AF417" i="9" s="1"/>
  <c r="AF418" i="9" s="1"/>
  <c r="AF419" i="9" s="1"/>
  <c r="AF420" i="9" s="1"/>
  <c r="AF421" i="9" s="1"/>
  <c r="AF422" i="9" s="1"/>
  <c r="AF423" i="9" s="1"/>
  <c r="AF424" i="9" s="1"/>
  <c r="AF425" i="9" s="1"/>
  <c r="AF426" i="9" s="1"/>
  <c r="AF427" i="9" s="1"/>
  <c r="AF428" i="9" s="1"/>
  <c r="AF429" i="9" s="1"/>
  <c r="AF430" i="9" s="1"/>
  <c r="AF431" i="9" s="1"/>
  <c r="AF432" i="9" s="1"/>
  <c r="X414" i="9"/>
  <c r="W414" i="9"/>
  <c r="K414" i="9"/>
  <c r="K415" i="9" s="1"/>
  <c r="K416" i="9" s="1"/>
  <c r="AV372" i="9"/>
  <c r="AV373" i="9" s="1"/>
  <c r="AU372" i="9"/>
  <c r="AU373" i="9" s="1"/>
  <c r="AU374" i="9" s="1"/>
  <c r="AU375" i="9" s="1"/>
  <c r="AU376" i="9" s="1"/>
  <c r="AU377" i="9" s="1"/>
  <c r="AU378" i="9" s="1"/>
  <c r="AU379" i="9" s="1"/>
  <c r="AU380" i="9" s="1"/>
  <c r="AU381" i="9" s="1"/>
  <c r="AU382" i="9" s="1"/>
  <c r="AU383" i="9" s="1"/>
  <c r="AU384" i="9" s="1"/>
  <c r="AU385" i="9" s="1"/>
  <c r="AU386" i="9" s="1"/>
  <c r="AU387" i="9" s="1"/>
  <c r="AU388" i="9" s="1"/>
  <c r="AU389" i="9" s="1"/>
  <c r="AU390" i="9" s="1"/>
  <c r="AU391" i="9" s="1"/>
  <c r="AU392" i="9" s="1"/>
  <c r="AU393" i="9" s="1"/>
  <c r="AU394" i="9" s="1"/>
  <c r="AU395" i="9" s="1"/>
  <c r="AU396" i="9" s="1"/>
  <c r="AU397" i="9" s="1"/>
  <c r="AU398" i="9" s="1"/>
  <c r="AU399" i="9" s="1"/>
  <c r="AU400" i="9" s="1"/>
  <c r="AU401" i="9" s="1"/>
  <c r="AU402" i="9" s="1"/>
  <c r="AU403" i="9" s="1"/>
  <c r="AU404" i="9" s="1"/>
  <c r="AU405" i="9" s="1"/>
  <c r="AU406" i="9" s="1"/>
  <c r="AU407" i="9" s="1"/>
  <c r="AU408" i="9" s="1"/>
  <c r="AU409" i="9" s="1"/>
  <c r="AU410" i="9" s="1"/>
  <c r="AU411" i="9" s="1"/>
  <c r="AU412" i="9" s="1"/>
  <c r="AU413" i="9" s="1"/>
  <c r="AQ372" i="9"/>
  <c r="AQ373" i="9" s="1"/>
  <c r="AP372" i="9"/>
  <c r="AP373" i="9" s="1"/>
  <c r="AP374" i="9" s="1"/>
  <c r="AP375" i="9" s="1"/>
  <c r="AP376" i="9" s="1"/>
  <c r="AP377" i="9" s="1"/>
  <c r="AP378" i="9" s="1"/>
  <c r="AP379" i="9" s="1"/>
  <c r="AP380" i="9" s="1"/>
  <c r="AP381" i="9" s="1"/>
  <c r="AP382" i="9" s="1"/>
  <c r="AP383" i="9" s="1"/>
  <c r="AP384" i="9" s="1"/>
  <c r="AP385" i="9" s="1"/>
  <c r="AP386" i="9" s="1"/>
  <c r="AP387" i="9" s="1"/>
  <c r="AP388" i="9" s="1"/>
  <c r="AP389" i="9" s="1"/>
  <c r="AP390" i="9" s="1"/>
  <c r="AP391" i="9" s="1"/>
  <c r="AP392" i="9" s="1"/>
  <c r="AP393" i="9" s="1"/>
  <c r="AP394" i="9" s="1"/>
  <c r="AP395" i="9" s="1"/>
  <c r="AP396" i="9" s="1"/>
  <c r="AP397" i="9" s="1"/>
  <c r="AP398" i="9" s="1"/>
  <c r="AP399" i="9" s="1"/>
  <c r="AP400" i="9" s="1"/>
  <c r="AP401" i="9" s="1"/>
  <c r="AP402" i="9" s="1"/>
  <c r="AP403" i="9" s="1"/>
  <c r="AP404" i="9" s="1"/>
  <c r="AP405" i="9" s="1"/>
  <c r="AP406" i="9" s="1"/>
  <c r="AP407" i="9" s="1"/>
  <c r="AP408" i="9" s="1"/>
  <c r="AP409" i="9" s="1"/>
  <c r="AP410" i="9" s="1"/>
  <c r="AP411" i="9" s="1"/>
  <c r="AP412" i="9" s="1"/>
  <c r="AP413" i="9" s="1"/>
  <c r="AL372" i="9"/>
  <c r="AL373" i="9" s="1"/>
  <c r="AK372" i="9"/>
  <c r="AK373" i="9" s="1"/>
  <c r="AK374" i="9" s="1"/>
  <c r="AK375" i="9" s="1"/>
  <c r="AK376" i="9" s="1"/>
  <c r="AK377" i="9" s="1"/>
  <c r="AK378" i="9" s="1"/>
  <c r="AK379" i="9" s="1"/>
  <c r="AK380" i="9" s="1"/>
  <c r="AK381" i="9" s="1"/>
  <c r="AK382" i="9" s="1"/>
  <c r="AK383" i="9" s="1"/>
  <c r="AK384" i="9" s="1"/>
  <c r="AK385" i="9" s="1"/>
  <c r="AK386" i="9" s="1"/>
  <c r="AK387" i="9" s="1"/>
  <c r="AK388" i="9" s="1"/>
  <c r="AK389" i="9" s="1"/>
  <c r="AK390" i="9" s="1"/>
  <c r="AK391" i="9" s="1"/>
  <c r="AK392" i="9" s="1"/>
  <c r="AK393" i="9" s="1"/>
  <c r="AK394" i="9" s="1"/>
  <c r="AK395" i="9" s="1"/>
  <c r="AK396" i="9" s="1"/>
  <c r="AK397" i="9" s="1"/>
  <c r="AK398" i="9" s="1"/>
  <c r="AK399" i="9" s="1"/>
  <c r="AK400" i="9" s="1"/>
  <c r="AK401" i="9" s="1"/>
  <c r="AK402" i="9" s="1"/>
  <c r="AK403" i="9" s="1"/>
  <c r="AK404" i="9" s="1"/>
  <c r="AK405" i="9" s="1"/>
  <c r="AK406" i="9" s="1"/>
  <c r="AK407" i="9" s="1"/>
  <c r="AK408" i="9" s="1"/>
  <c r="AK409" i="9" s="1"/>
  <c r="AK410" i="9" s="1"/>
  <c r="AK411" i="9" s="1"/>
  <c r="AK412" i="9" s="1"/>
  <c r="AK413" i="9" s="1"/>
  <c r="AG372" i="9"/>
  <c r="AG373" i="9" s="1"/>
  <c r="AF372" i="9"/>
  <c r="AF373" i="9" s="1"/>
  <c r="AF374" i="9" s="1"/>
  <c r="AF375" i="9" s="1"/>
  <c r="AF376" i="9" s="1"/>
  <c r="AF377" i="9" s="1"/>
  <c r="AF378" i="9" s="1"/>
  <c r="AF379" i="9" s="1"/>
  <c r="AF380" i="9" s="1"/>
  <c r="AF381" i="9" s="1"/>
  <c r="AF382" i="9" s="1"/>
  <c r="AF383" i="9" s="1"/>
  <c r="AF384" i="9" s="1"/>
  <c r="AF385" i="9" s="1"/>
  <c r="AF386" i="9" s="1"/>
  <c r="AF387" i="9" s="1"/>
  <c r="AF388" i="9" s="1"/>
  <c r="AF389" i="9" s="1"/>
  <c r="AF390" i="9" s="1"/>
  <c r="AF391" i="9" s="1"/>
  <c r="AF392" i="9" s="1"/>
  <c r="AF393" i="9" s="1"/>
  <c r="AF394" i="9" s="1"/>
  <c r="AF395" i="9" s="1"/>
  <c r="AF396" i="9" s="1"/>
  <c r="AF397" i="9" s="1"/>
  <c r="AF398" i="9" s="1"/>
  <c r="AF399" i="9" s="1"/>
  <c r="AF400" i="9" s="1"/>
  <c r="AF401" i="9" s="1"/>
  <c r="AF402" i="9" s="1"/>
  <c r="AF403" i="9" s="1"/>
  <c r="AF404" i="9" s="1"/>
  <c r="AF405" i="9" s="1"/>
  <c r="AF406" i="9" s="1"/>
  <c r="AF407" i="9" s="1"/>
  <c r="AF408" i="9" s="1"/>
  <c r="AF409" i="9" s="1"/>
  <c r="AF410" i="9" s="1"/>
  <c r="AF411" i="9" s="1"/>
  <c r="AF412" i="9" s="1"/>
  <c r="AF413" i="9" s="1"/>
  <c r="X371" i="9"/>
  <c r="W371" i="9"/>
  <c r="K371" i="9"/>
  <c r="K372" i="9" s="1"/>
  <c r="K373" i="9" s="1"/>
  <c r="AV339" i="9"/>
  <c r="AV340" i="9" s="1"/>
  <c r="AV341" i="9" s="1"/>
  <c r="AU339" i="9"/>
  <c r="AU340" i="9" s="1"/>
  <c r="AU341" i="9" s="1"/>
  <c r="AU342" i="9" s="1"/>
  <c r="AU343" i="9" s="1"/>
  <c r="AU344" i="9" s="1"/>
  <c r="AU345" i="9" s="1"/>
  <c r="AU346" i="9" s="1"/>
  <c r="AU347" i="9" s="1"/>
  <c r="AU348" i="9" s="1"/>
  <c r="AU349" i="9" s="1"/>
  <c r="AU350" i="9" s="1"/>
  <c r="AU351" i="9" s="1"/>
  <c r="AU352" i="9" s="1"/>
  <c r="AU353" i="9" s="1"/>
  <c r="AU354" i="9" s="1"/>
  <c r="AU355" i="9" s="1"/>
  <c r="AU356" i="9" s="1"/>
  <c r="AU357" i="9" s="1"/>
  <c r="AU358" i="9" s="1"/>
  <c r="AU359" i="9" s="1"/>
  <c r="AU360" i="9" s="1"/>
  <c r="AU361" i="9" s="1"/>
  <c r="AU362" i="9" s="1"/>
  <c r="AU363" i="9" s="1"/>
  <c r="AU364" i="9" s="1"/>
  <c r="AU365" i="9" s="1"/>
  <c r="AU366" i="9" s="1"/>
  <c r="AU367" i="9" s="1"/>
  <c r="AU368" i="9" s="1"/>
  <c r="AU369" i="9" s="1"/>
  <c r="AU370" i="9" s="1"/>
  <c r="AQ339" i="9"/>
  <c r="AQ340" i="9" s="1"/>
  <c r="AR340" i="9" s="1"/>
  <c r="AP339" i="9"/>
  <c r="AP340" i="9" s="1"/>
  <c r="AP341" i="9" s="1"/>
  <c r="AP342" i="9" s="1"/>
  <c r="AP343" i="9" s="1"/>
  <c r="AP344" i="9" s="1"/>
  <c r="AP345" i="9" s="1"/>
  <c r="AP346" i="9" s="1"/>
  <c r="AP347" i="9" s="1"/>
  <c r="AP348" i="9" s="1"/>
  <c r="AP349" i="9" s="1"/>
  <c r="AP350" i="9" s="1"/>
  <c r="AP351" i="9" s="1"/>
  <c r="AP352" i="9" s="1"/>
  <c r="AP353" i="9" s="1"/>
  <c r="AP354" i="9" s="1"/>
  <c r="AP355" i="9" s="1"/>
  <c r="AP356" i="9" s="1"/>
  <c r="AP357" i="9" s="1"/>
  <c r="AP358" i="9" s="1"/>
  <c r="AP359" i="9" s="1"/>
  <c r="AP360" i="9" s="1"/>
  <c r="AP361" i="9" s="1"/>
  <c r="AP362" i="9" s="1"/>
  <c r="AP363" i="9" s="1"/>
  <c r="AP364" i="9" s="1"/>
  <c r="AP365" i="9" s="1"/>
  <c r="AP366" i="9" s="1"/>
  <c r="AP367" i="9" s="1"/>
  <c r="AP368" i="9" s="1"/>
  <c r="AP369" i="9" s="1"/>
  <c r="AP370" i="9" s="1"/>
  <c r="AL339" i="9"/>
  <c r="AL340" i="9" s="1"/>
  <c r="AM340" i="9" s="1"/>
  <c r="AK339" i="9"/>
  <c r="AK340" i="9" s="1"/>
  <c r="AK341" i="9" s="1"/>
  <c r="AK342" i="9" s="1"/>
  <c r="AK343" i="9" s="1"/>
  <c r="AK344" i="9" s="1"/>
  <c r="AK345" i="9" s="1"/>
  <c r="AK346" i="9" s="1"/>
  <c r="AK347" i="9" s="1"/>
  <c r="AK348" i="9" s="1"/>
  <c r="AK349" i="9" s="1"/>
  <c r="AK350" i="9" s="1"/>
  <c r="AK351" i="9" s="1"/>
  <c r="AK352" i="9" s="1"/>
  <c r="AK353" i="9" s="1"/>
  <c r="AK354" i="9" s="1"/>
  <c r="AK355" i="9" s="1"/>
  <c r="AK356" i="9" s="1"/>
  <c r="AK357" i="9" s="1"/>
  <c r="AK358" i="9" s="1"/>
  <c r="AK359" i="9" s="1"/>
  <c r="AK360" i="9" s="1"/>
  <c r="AK361" i="9" s="1"/>
  <c r="AK362" i="9" s="1"/>
  <c r="AK363" i="9" s="1"/>
  <c r="AK364" i="9" s="1"/>
  <c r="AK365" i="9" s="1"/>
  <c r="AK366" i="9" s="1"/>
  <c r="AK367" i="9" s="1"/>
  <c r="AK368" i="9" s="1"/>
  <c r="AK369" i="9" s="1"/>
  <c r="AK370" i="9" s="1"/>
  <c r="AG339" i="9"/>
  <c r="AG340" i="9" s="1"/>
  <c r="AH340" i="9" s="1"/>
  <c r="AF339" i="9"/>
  <c r="AF340" i="9" s="1"/>
  <c r="AF341" i="9" s="1"/>
  <c r="AF342" i="9" s="1"/>
  <c r="AF343" i="9" s="1"/>
  <c r="AF344" i="9" s="1"/>
  <c r="AF345" i="9" s="1"/>
  <c r="AF346" i="9" s="1"/>
  <c r="AF347" i="9" s="1"/>
  <c r="AF348" i="9" s="1"/>
  <c r="AF349" i="9" s="1"/>
  <c r="AF350" i="9" s="1"/>
  <c r="AF351" i="9" s="1"/>
  <c r="AF352" i="9" s="1"/>
  <c r="AF353" i="9" s="1"/>
  <c r="AF354" i="9" s="1"/>
  <c r="AF355" i="9" s="1"/>
  <c r="AF356" i="9" s="1"/>
  <c r="AF357" i="9" s="1"/>
  <c r="AF358" i="9" s="1"/>
  <c r="AF359" i="9" s="1"/>
  <c r="AF360" i="9" s="1"/>
  <c r="AF361" i="9" s="1"/>
  <c r="AF362" i="9" s="1"/>
  <c r="AF363" i="9" s="1"/>
  <c r="AF364" i="9" s="1"/>
  <c r="AF365" i="9" s="1"/>
  <c r="AF366" i="9" s="1"/>
  <c r="AF367" i="9" s="1"/>
  <c r="AF368" i="9" s="1"/>
  <c r="AF369" i="9" s="1"/>
  <c r="AF370" i="9" s="1"/>
  <c r="X338" i="9"/>
  <c r="W338" i="9"/>
  <c r="K338" i="9"/>
  <c r="K339" i="9" s="1"/>
  <c r="K340" i="9" s="1"/>
  <c r="AV296" i="9"/>
  <c r="AV297" i="9" s="1"/>
  <c r="AU296" i="9"/>
  <c r="AU297" i="9" s="1"/>
  <c r="AU298" i="9" s="1"/>
  <c r="AU299" i="9" s="1"/>
  <c r="AU300" i="9" s="1"/>
  <c r="AU301" i="9" s="1"/>
  <c r="AU302" i="9" s="1"/>
  <c r="AU303" i="9" s="1"/>
  <c r="AU304" i="9" s="1"/>
  <c r="AU305" i="9" s="1"/>
  <c r="AU306" i="9" s="1"/>
  <c r="AU307" i="9" s="1"/>
  <c r="AU308" i="9" s="1"/>
  <c r="AU309" i="9" s="1"/>
  <c r="AU310" i="9" s="1"/>
  <c r="AU311" i="9" s="1"/>
  <c r="AU312" i="9" s="1"/>
  <c r="AU313" i="9" s="1"/>
  <c r="AU314" i="9" s="1"/>
  <c r="AU315" i="9" s="1"/>
  <c r="AU316" i="9" s="1"/>
  <c r="AU317" i="9" s="1"/>
  <c r="AU318" i="9" s="1"/>
  <c r="AU319" i="9" s="1"/>
  <c r="AU320" i="9" s="1"/>
  <c r="AU321" i="9" s="1"/>
  <c r="AU322" i="9" s="1"/>
  <c r="AU323" i="9" s="1"/>
  <c r="AU324" i="9" s="1"/>
  <c r="AU325" i="9" s="1"/>
  <c r="AU326" i="9" s="1"/>
  <c r="AU327" i="9" s="1"/>
  <c r="AU328" i="9" s="1"/>
  <c r="AU329" i="9" s="1"/>
  <c r="AU330" i="9" s="1"/>
  <c r="AU331" i="9" s="1"/>
  <c r="AU332" i="9" s="1"/>
  <c r="AU333" i="9" s="1"/>
  <c r="AU334" i="9" s="1"/>
  <c r="AU335" i="9" s="1"/>
  <c r="AU336" i="9" s="1"/>
  <c r="AU337" i="9" s="1"/>
  <c r="AQ296" i="9"/>
  <c r="AQ297" i="9" s="1"/>
  <c r="AR297" i="9" s="1"/>
  <c r="AP296" i="9"/>
  <c r="AP297" i="9" s="1"/>
  <c r="AP298" i="9" s="1"/>
  <c r="AP299" i="9" s="1"/>
  <c r="AP300" i="9" s="1"/>
  <c r="AP301" i="9" s="1"/>
  <c r="AP302" i="9" s="1"/>
  <c r="AP303" i="9" s="1"/>
  <c r="AP304" i="9" s="1"/>
  <c r="AP305" i="9" s="1"/>
  <c r="AP306" i="9" s="1"/>
  <c r="AP307" i="9" s="1"/>
  <c r="AP308" i="9" s="1"/>
  <c r="AP309" i="9" s="1"/>
  <c r="AP310" i="9" s="1"/>
  <c r="AP311" i="9" s="1"/>
  <c r="AP312" i="9" s="1"/>
  <c r="AP313" i="9" s="1"/>
  <c r="AP314" i="9" s="1"/>
  <c r="AP315" i="9" s="1"/>
  <c r="AP316" i="9" s="1"/>
  <c r="AP317" i="9" s="1"/>
  <c r="AP318" i="9" s="1"/>
  <c r="AP319" i="9" s="1"/>
  <c r="AP320" i="9" s="1"/>
  <c r="AP321" i="9" s="1"/>
  <c r="AP322" i="9" s="1"/>
  <c r="AP323" i="9" s="1"/>
  <c r="AP324" i="9" s="1"/>
  <c r="AP325" i="9" s="1"/>
  <c r="AP326" i="9" s="1"/>
  <c r="AP327" i="9" s="1"/>
  <c r="AP328" i="9" s="1"/>
  <c r="AP329" i="9" s="1"/>
  <c r="AP330" i="9" s="1"/>
  <c r="AP331" i="9" s="1"/>
  <c r="AP332" i="9" s="1"/>
  <c r="AP333" i="9" s="1"/>
  <c r="AP334" i="9" s="1"/>
  <c r="AP335" i="9" s="1"/>
  <c r="AP336" i="9" s="1"/>
  <c r="AP337" i="9" s="1"/>
  <c r="AL296" i="9"/>
  <c r="AL297" i="9" s="1"/>
  <c r="AK296" i="9"/>
  <c r="AK297" i="9" s="1"/>
  <c r="AK298" i="9" s="1"/>
  <c r="AK299" i="9" s="1"/>
  <c r="AK300" i="9" s="1"/>
  <c r="AK301" i="9" s="1"/>
  <c r="AK302" i="9" s="1"/>
  <c r="AK303" i="9" s="1"/>
  <c r="AK304" i="9" s="1"/>
  <c r="AK305" i="9" s="1"/>
  <c r="AK306" i="9" s="1"/>
  <c r="AK307" i="9" s="1"/>
  <c r="AK308" i="9" s="1"/>
  <c r="AK309" i="9" s="1"/>
  <c r="AK310" i="9" s="1"/>
  <c r="AK311" i="9" s="1"/>
  <c r="AK312" i="9" s="1"/>
  <c r="AK313" i="9" s="1"/>
  <c r="AK314" i="9" s="1"/>
  <c r="AK315" i="9" s="1"/>
  <c r="AK316" i="9" s="1"/>
  <c r="AK317" i="9" s="1"/>
  <c r="AK318" i="9" s="1"/>
  <c r="AK319" i="9" s="1"/>
  <c r="AK320" i="9" s="1"/>
  <c r="AK321" i="9" s="1"/>
  <c r="AK322" i="9" s="1"/>
  <c r="AK323" i="9" s="1"/>
  <c r="AK324" i="9" s="1"/>
  <c r="AK325" i="9" s="1"/>
  <c r="AK326" i="9" s="1"/>
  <c r="AK327" i="9" s="1"/>
  <c r="AK328" i="9" s="1"/>
  <c r="AK329" i="9" s="1"/>
  <c r="AK330" i="9" s="1"/>
  <c r="AK331" i="9" s="1"/>
  <c r="AK332" i="9" s="1"/>
  <c r="AK333" i="9" s="1"/>
  <c r="AK334" i="9" s="1"/>
  <c r="AK335" i="9" s="1"/>
  <c r="AK336" i="9" s="1"/>
  <c r="AK337" i="9" s="1"/>
  <c r="AG296" i="9"/>
  <c r="AG297" i="9" s="1"/>
  <c r="AF296" i="9"/>
  <c r="AF297" i="9" s="1"/>
  <c r="AF298" i="9" s="1"/>
  <c r="AF299" i="9" s="1"/>
  <c r="AF300" i="9" s="1"/>
  <c r="AF301" i="9" s="1"/>
  <c r="AF302" i="9" s="1"/>
  <c r="AF303" i="9" s="1"/>
  <c r="AF304" i="9" s="1"/>
  <c r="AF305" i="9" s="1"/>
  <c r="AF306" i="9" s="1"/>
  <c r="AF307" i="9" s="1"/>
  <c r="AF308" i="9" s="1"/>
  <c r="AF309" i="9" s="1"/>
  <c r="AF310" i="9" s="1"/>
  <c r="AF311" i="9" s="1"/>
  <c r="AF312" i="9" s="1"/>
  <c r="AF313" i="9" s="1"/>
  <c r="AF314" i="9" s="1"/>
  <c r="AF315" i="9" s="1"/>
  <c r="AF316" i="9" s="1"/>
  <c r="AF317" i="9" s="1"/>
  <c r="AF318" i="9" s="1"/>
  <c r="AF319" i="9" s="1"/>
  <c r="AF320" i="9" s="1"/>
  <c r="AF321" i="9" s="1"/>
  <c r="AF322" i="9" s="1"/>
  <c r="AF323" i="9" s="1"/>
  <c r="AF324" i="9" s="1"/>
  <c r="AF325" i="9" s="1"/>
  <c r="AF326" i="9" s="1"/>
  <c r="AF327" i="9" s="1"/>
  <c r="AF328" i="9" s="1"/>
  <c r="AF329" i="9" s="1"/>
  <c r="AF330" i="9" s="1"/>
  <c r="AF331" i="9" s="1"/>
  <c r="AF332" i="9" s="1"/>
  <c r="AF333" i="9" s="1"/>
  <c r="AF334" i="9" s="1"/>
  <c r="AF335" i="9" s="1"/>
  <c r="AF336" i="9" s="1"/>
  <c r="AF337" i="9" s="1"/>
  <c r="X295" i="9"/>
  <c r="W295" i="9"/>
  <c r="K295" i="9"/>
  <c r="K296" i="9" s="1"/>
  <c r="K297" i="9" s="1"/>
  <c r="AO27" i="4" a="1"/>
  <c r="AO28" i="4"/>
  <c r="AN27" i="4" a="1"/>
  <c r="AN28" i="4"/>
  <c r="AT27" i="6" a="1"/>
  <c r="AT28" i="6"/>
  <c r="BH28" i="6"/>
  <c r="AS27" i="6" a="1"/>
  <c r="AS28" i="6"/>
  <c r="AM27" i="4" a="1"/>
  <c r="AM28" i="4"/>
  <c r="AR27" i="6" a="1"/>
  <c r="AR28" i="6"/>
  <c r="AQ27" i="6" a="1"/>
  <c r="AQ28" i="6"/>
  <c r="AP399" i="6"/>
  <c r="AP324" i="6"/>
  <c r="AP313" i="6"/>
  <c r="AP311" i="6"/>
  <c r="AP245" i="6"/>
  <c r="AP509" i="6"/>
  <c r="AP467" i="6"/>
  <c r="AL27" i="4" a="1"/>
  <c r="AL28" i="4"/>
  <c r="AO27" i="6" a="1"/>
  <c r="AO28" i="6"/>
  <c r="AK27" i="4" a="1"/>
  <c r="AK28" i="4"/>
  <c r="AN250" i="6"/>
  <c r="AN264" i="6"/>
  <c r="AN319" i="6"/>
  <c r="AJ264" i="4"/>
  <c r="AJ27" i="4" s="1" a="1"/>
  <c r="AH280" i="9"/>
  <c r="AJ280" i="9" s="1"/>
  <c r="AH281" i="9"/>
  <c r="AJ281" i="9" s="1"/>
  <c r="AH282" i="9"/>
  <c r="AJ282" i="9" s="1"/>
  <c r="AH279" i="9"/>
  <c r="AJ279" i="9" s="1"/>
  <c r="AI27" i="4" a="1"/>
  <c r="AI28" i="4"/>
  <c r="AM27" i="6" a="1"/>
  <c r="AM28" i="6"/>
  <c r="BK434" i="6"/>
  <c r="AL27" i="6" a="1"/>
  <c r="AL28" i="6"/>
  <c r="AK27" i="6" a="1"/>
  <c r="AK28" i="6"/>
  <c r="AJ27" i="6" a="1"/>
  <c r="AJ28" i="6"/>
  <c r="AI27" i="6" a="1"/>
  <c r="AI28" i="6"/>
  <c r="AH27" i="4" a="1"/>
  <c r="AH28" i="4"/>
  <c r="AH27" i="6" a="1"/>
  <c r="AH28" i="6"/>
  <c r="AG27" i="6" a="1"/>
  <c r="AG28" i="6"/>
  <c r="J5" i="2"/>
  <c r="T715" i="9"/>
  <c r="AJ28" i="4" l="1"/>
  <c r="AR416" i="9"/>
  <c r="AH494" i="9"/>
  <c r="AW692" i="9"/>
  <c r="AV521" i="9"/>
  <c r="AV522" i="9" s="1"/>
  <c r="AW522" i="9" s="1"/>
  <c r="AV512" i="9"/>
  <c r="AV513" i="9" s="1"/>
  <c r="AW513" i="9" s="1"/>
  <c r="AH717" i="9"/>
  <c r="AH624" i="9"/>
  <c r="AL705" i="9"/>
  <c r="AM705" i="9" s="1"/>
  <c r="AM511" i="9"/>
  <c r="AL725" i="9"/>
  <c r="AL726" i="9" s="1"/>
  <c r="AL727" i="9" s="1"/>
  <c r="AM727" i="9" s="1"/>
  <c r="AR469" i="9"/>
  <c r="AV660" i="9"/>
  <c r="AV661" i="9" s="1"/>
  <c r="AV662" i="9" s="1"/>
  <c r="AL513" i="9"/>
  <c r="AM513" i="9" s="1"/>
  <c r="AV528" i="9"/>
  <c r="AW528" i="9" s="1"/>
  <c r="AG454" i="9"/>
  <c r="AH454" i="9" s="1"/>
  <c r="AG485" i="9"/>
  <c r="AG486" i="9" s="1"/>
  <c r="AH486" i="9" s="1"/>
  <c r="AQ490" i="9"/>
  <c r="AQ491" i="9" s="1"/>
  <c r="AR511" i="9"/>
  <c r="AR454" i="9"/>
  <c r="AV491" i="9"/>
  <c r="AW491" i="9" s="1"/>
  <c r="AG658" i="9"/>
  <c r="AG659" i="9" s="1"/>
  <c r="AM484" i="9"/>
  <c r="AH512" i="9"/>
  <c r="AH521" i="9"/>
  <c r="AG709" i="9"/>
  <c r="AH709" i="9" s="1"/>
  <c r="AM494" i="9"/>
  <c r="AQ503" i="9"/>
  <c r="AR503" i="9" s="1"/>
  <c r="AH520" i="9"/>
  <c r="AG688" i="9"/>
  <c r="AH688" i="9" s="1"/>
  <c r="AG694" i="9"/>
  <c r="AH694" i="9" s="1"/>
  <c r="AW657" i="9"/>
  <c r="AV670" i="9"/>
  <c r="AV671" i="9" s="1"/>
  <c r="AW671" i="9" s="1"/>
  <c r="AQ517" i="9"/>
  <c r="AR517" i="9" s="1"/>
  <c r="AR516" i="9"/>
  <c r="AV342" i="9"/>
  <c r="AV343" i="9" s="1"/>
  <c r="AW341" i="9"/>
  <c r="AG594" i="9"/>
  <c r="AG595" i="9" s="1"/>
  <c r="AH593" i="9"/>
  <c r="AW435" i="9"/>
  <c r="AV436" i="9"/>
  <c r="AW436" i="9" s="1"/>
  <c r="AL625" i="9"/>
  <c r="AL626" i="9" s="1"/>
  <c r="AM626" i="9" s="1"/>
  <c r="AW644" i="9"/>
  <c r="AM669" i="9"/>
  <c r="AQ521" i="9"/>
  <c r="AR521" i="9" s="1"/>
  <c r="AQ645" i="9"/>
  <c r="AQ646" i="9" s="1"/>
  <c r="AQ647" i="9" s="1"/>
  <c r="AL689" i="9"/>
  <c r="AL690" i="9" s="1"/>
  <c r="AM690" i="9" s="1"/>
  <c r="AW434" i="9"/>
  <c r="AW489" i="9"/>
  <c r="AG528" i="9"/>
  <c r="AG529" i="9" s="1"/>
  <c r="AG530" i="9" s="1"/>
  <c r="AH530" i="9" s="1"/>
  <c r="AR669" i="9"/>
  <c r="AL698" i="9"/>
  <c r="AM698" i="9" s="1"/>
  <c r="AL528" i="9"/>
  <c r="AM528" i="9" s="1"/>
  <c r="AR494" i="9"/>
  <c r="AR704" i="9"/>
  <c r="AR515" i="9"/>
  <c r="L669" i="9"/>
  <c r="AM687" i="9"/>
  <c r="AR712" i="9"/>
  <c r="AH697" i="9"/>
  <c r="AR724" i="9"/>
  <c r="AH469" i="9"/>
  <c r="AM434" i="9"/>
  <c r="AH511" i="9"/>
  <c r="L624" i="9"/>
  <c r="AV705" i="9"/>
  <c r="AW705" i="9" s="1"/>
  <c r="AQ552" i="9"/>
  <c r="AQ553" i="9" s="1"/>
  <c r="AR551" i="9"/>
  <c r="AR671" i="9"/>
  <c r="AQ672" i="9"/>
  <c r="AR672" i="9" s="1"/>
  <c r="AR435" i="9"/>
  <c r="AQ436" i="9"/>
  <c r="K688" i="9"/>
  <c r="K689" i="9" s="1"/>
  <c r="L687" i="9"/>
  <c r="CF687" i="9" s="1"/>
  <c r="K694" i="9"/>
  <c r="L694" i="9" s="1"/>
  <c r="CF694" i="9" s="1"/>
  <c r="L693" i="9"/>
  <c r="N693" i="9" s="1"/>
  <c r="L434" i="9"/>
  <c r="CF434" i="9" s="1"/>
  <c r="K435" i="9"/>
  <c r="AR713" i="9"/>
  <c r="AQ714" i="9"/>
  <c r="N729" i="9"/>
  <c r="CF729" i="9"/>
  <c r="AV719" i="9"/>
  <c r="AW718" i="9"/>
  <c r="AM416" i="9"/>
  <c r="AL417" i="9"/>
  <c r="L704" i="9"/>
  <c r="N704" i="9" s="1"/>
  <c r="K705" i="9"/>
  <c r="L705" i="9" s="1"/>
  <c r="K516" i="9"/>
  <c r="L515" i="9"/>
  <c r="N515" i="9" s="1"/>
  <c r="AV646" i="9"/>
  <c r="AV647" i="9" s="1"/>
  <c r="AW645" i="9"/>
  <c r="L692" i="9"/>
  <c r="N692" i="9" s="1"/>
  <c r="AW717" i="9"/>
  <c r="AH720" i="9"/>
  <c r="AQ418" i="9"/>
  <c r="AW453" i="9"/>
  <c r="AQ529" i="9"/>
  <c r="AQ530" i="9" s="1"/>
  <c r="AR530" i="9" s="1"/>
  <c r="AG472" i="9"/>
  <c r="AG473" i="9" s="1"/>
  <c r="AG341" i="9"/>
  <c r="AR434" i="9"/>
  <c r="AR484" i="9"/>
  <c r="K469" i="9"/>
  <c r="K470" i="9" s="1"/>
  <c r="AG503" i="9"/>
  <c r="AH503" i="9" s="1"/>
  <c r="L670" i="9"/>
  <c r="AH692" i="9"/>
  <c r="AR697" i="9"/>
  <c r="AQ709" i="9"/>
  <c r="AH718" i="9"/>
  <c r="AR453" i="9"/>
  <c r="AH489" i="9"/>
  <c r="AM436" i="9"/>
  <c r="AL454" i="9"/>
  <c r="AM454" i="9" s="1"/>
  <c r="N468" i="9"/>
  <c r="AG670" i="9"/>
  <c r="AH670" i="9" s="1"/>
  <c r="AL718" i="9"/>
  <c r="AH721" i="9"/>
  <c r="AM708" i="9"/>
  <c r="AG725" i="9"/>
  <c r="AH725" i="9" s="1"/>
  <c r="AL469" i="9"/>
  <c r="L489" i="9"/>
  <c r="N489" i="9" s="1"/>
  <c r="AQ298" i="9"/>
  <c r="AH468" i="9"/>
  <c r="AL508" i="9"/>
  <c r="AM508" i="9" s="1"/>
  <c r="AL645" i="9"/>
  <c r="AL646" i="9" s="1"/>
  <c r="AW658" i="9"/>
  <c r="AG705" i="9"/>
  <c r="AG706" i="9" s="1"/>
  <c r="AH706" i="9" s="1"/>
  <c r="AQ625" i="9"/>
  <c r="AH644" i="9"/>
  <c r="AH719" i="9"/>
  <c r="AR527" i="9"/>
  <c r="V715" i="9"/>
  <c r="AV552" i="9"/>
  <c r="AW551" i="9"/>
  <c r="K553" i="9"/>
  <c r="L552" i="9"/>
  <c r="AL553" i="9"/>
  <c r="AM552" i="9"/>
  <c r="AG552" i="9"/>
  <c r="L551" i="9"/>
  <c r="AM551" i="9"/>
  <c r="AV594" i="9"/>
  <c r="AW593" i="9"/>
  <c r="K645" i="9"/>
  <c r="L644" i="9"/>
  <c r="AL594" i="9"/>
  <c r="AM593" i="9"/>
  <c r="AQ594" i="9"/>
  <c r="K594" i="9"/>
  <c r="L593" i="9"/>
  <c r="AG626" i="9"/>
  <c r="AH645" i="9"/>
  <c r="AG646" i="9"/>
  <c r="K626" i="9"/>
  <c r="L625" i="9"/>
  <c r="AV625" i="9"/>
  <c r="L657" i="9"/>
  <c r="K658" i="9"/>
  <c r="K673" i="9"/>
  <c r="L672" i="9"/>
  <c r="AR687" i="9"/>
  <c r="AQ688" i="9"/>
  <c r="L671" i="9"/>
  <c r="AQ693" i="9"/>
  <c r="AR657" i="9"/>
  <c r="AQ658" i="9"/>
  <c r="AM670" i="9"/>
  <c r="AL671" i="9"/>
  <c r="AV688" i="9"/>
  <c r="K710" i="9"/>
  <c r="L710" i="9" s="1"/>
  <c r="L709" i="9"/>
  <c r="AH712" i="9"/>
  <c r="AG713" i="9"/>
  <c r="AL713" i="9"/>
  <c r="AM712" i="9"/>
  <c r="AL658" i="9"/>
  <c r="AQ719" i="9"/>
  <c r="AR718" i="9"/>
  <c r="AQ726" i="9"/>
  <c r="AR725" i="9"/>
  <c r="AR670" i="9"/>
  <c r="L697" i="9"/>
  <c r="K698" i="9"/>
  <c r="L698" i="9" s="1"/>
  <c r="AV698" i="9"/>
  <c r="AW698" i="9" s="1"/>
  <c r="AW697" i="9"/>
  <c r="L708" i="9"/>
  <c r="AV709" i="9"/>
  <c r="AW708" i="9"/>
  <c r="L717" i="9"/>
  <c r="K718" i="9"/>
  <c r="L725" i="9"/>
  <c r="N725" i="9" s="1"/>
  <c r="K726" i="9"/>
  <c r="N702" i="9"/>
  <c r="AR717" i="9"/>
  <c r="L724" i="9"/>
  <c r="AW724" i="9"/>
  <c r="AV725" i="9"/>
  <c r="K714" i="9"/>
  <c r="L713" i="9"/>
  <c r="AV694" i="9"/>
  <c r="AL710" i="9"/>
  <c r="AM710" i="9" s="1"/>
  <c r="AM709" i="9"/>
  <c r="L712" i="9"/>
  <c r="AV713" i="9"/>
  <c r="AL693" i="9"/>
  <c r="AM692" i="9"/>
  <c r="AQ706" i="9"/>
  <c r="AR706" i="9" s="1"/>
  <c r="AV298" i="9"/>
  <c r="AW297" i="9"/>
  <c r="AG298" i="9"/>
  <c r="AH297" i="9"/>
  <c r="K341" i="9"/>
  <c r="L340" i="9"/>
  <c r="L297" i="9"/>
  <c r="K298" i="9"/>
  <c r="AM297" i="9"/>
  <c r="AL298" i="9"/>
  <c r="AH373" i="9"/>
  <c r="AG374" i="9"/>
  <c r="AQ374" i="9"/>
  <c r="AR373" i="9"/>
  <c r="AW340" i="9"/>
  <c r="AL341" i="9"/>
  <c r="AL374" i="9"/>
  <c r="AM373" i="9"/>
  <c r="AQ341" i="9"/>
  <c r="AV374" i="9"/>
  <c r="AW373" i="9"/>
  <c r="K374" i="9"/>
  <c r="L373" i="9"/>
  <c r="K417" i="9"/>
  <c r="L416" i="9"/>
  <c r="AH416" i="9"/>
  <c r="AG417" i="9"/>
  <c r="AV418" i="9"/>
  <c r="AW417" i="9"/>
  <c r="AL438" i="9"/>
  <c r="AM437" i="9"/>
  <c r="AG436" i="9"/>
  <c r="AH435" i="9"/>
  <c r="AH434" i="9"/>
  <c r="AW416" i="9"/>
  <c r="L453" i="9"/>
  <c r="K454" i="9"/>
  <c r="K485" i="9"/>
  <c r="L484" i="9"/>
  <c r="AV455" i="9"/>
  <c r="AW454" i="9"/>
  <c r="AM485" i="9"/>
  <c r="AL486" i="9"/>
  <c r="AQ456" i="9"/>
  <c r="AR455" i="9"/>
  <c r="L490" i="9"/>
  <c r="K491" i="9"/>
  <c r="K495" i="9"/>
  <c r="L495" i="9" s="1"/>
  <c r="L494" i="9"/>
  <c r="AM435" i="9"/>
  <c r="AR470" i="9"/>
  <c r="AQ471" i="9"/>
  <c r="AV485" i="9"/>
  <c r="AW484" i="9"/>
  <c r="CF505" i="9"/>
  <c r="N505" i="9"/>
  <c r="AV469" i="9"/>
  <c r="AH490" i="9"/>
  <c r="AG491" i="9"/>
  <c r="AQ486" i="9"/>
  <c r="AL491" i="9"/>
  <c r="AR468" i="9"/>
  <c r="AM489" i="9"/>
  <c r="N499" i="9"/>
  <c r="AV508" i="9"/>
  <c r="AW507" i="9"/>
  <c r="AW494" i="9"/>
  <c r="AV495" i="9"/>
  <c r="AW495" i="9" s="1"/>
  <c r="K512" i="9"/>
  <c r="L511" i="9"/>
  <c r="AV503" i="9"/>
  <c r="AW503" i="9" s="1"/>
  <c r="AW502" i="9"/>
  <c r="N520" i="9"/>
  <c r="N507" i="9"/>
  <c r="K508" i="9"/>
  <c r="AL516" i="9"/>
  <c r="AM515" i="9"/>
  <c r="AH470" i="9"/>
  <c r="K521" i="9"/>
  <c r="AG508" i="9"/>
  <c r="K528" i="9"/>
  <c r="L527" i="9"/>
  <c r="AV516" i="9"/>
  <c r="AW515" i="9"/>
  <c r="N532" i="9"/>
  <c r="AH515" i="9"/>
  <c r="AG516" i="9"/>
  <c r="CF532" i="9"/>
  <c r="AL503" i="9"/>
  <c r="AM503" i="9" s="1"/>
  <c r="AM502" i="9"/>
  <c r="AQ513" i="9"/>
  <c r="AR513" i="9" s="1"/>
  <c r="AG523" i="9"/>
  <c r="AH522" i="9"/>
  <c r="L502" i="9"/>
  <c r="AM520" i="9"/>
  <c r="AL521" i="9"/>
  <c r="AR507" i="9"/>
  <c r="AQ508" i="9"/>
  <c r="AN28" i="6"/>
  <c r="AP27" i="6" a="1"/>
  <c r="AP28" i="6"/>
  <c r="AN27" i="6" a="1"/>
  <c r="AF27" i="6" a="1"/>
  <c r="AF28" i="6"/>
  <c r="AG27" i="4" a="1"/>
  <c r="AG28" i="4"/>
  <c r="AF27" i="4" a="1"/>
  <c r="AF28" i="4"/>
  <c r="AE367" i="6"/>
  <c r="AE360" i="6"/>
  <c r="AE27" i="4" a="1"/>
  <c r="AE28" i="4"/>
  <c r="AD330" i="6"/>
  <c r="AD27" i="4" a="1"/>
  <c r="AD28" i="4"/>
  <c r="AV523" i="9" l="1"/>
  <c r="AW523" i="9" s="1"/>
  <c r="AQ522" i="9"/>
  <c r="AL706" i="9"/>
  <c r="AM706" i="9" s="1"/>
  <c r="AW512" i="9"/>
  <c r="AW521" i="9"/>
  <c r="AG487" i="9"/>
  <c r="AH487" i="9" s="1"/>
  <c r="L469" i="9"/>
  <c r="N469" i="9" s="1"/>
  <c r="AW661" i="9"/>
  <c r="AQ673" i="9"/>
  <c r="AQ674" i="9" s="1"/>
  <c r="AR646" i="9"/>
  <c r="AH485" i="9"/>
  <c r="AG455" i="9"/>
  <c r="AH455" i="9" s="1"/>
  <c r="AL529" i="9"/>
  <c r="AM529" i="9" s="1"/>
  <c r="AV492" i="9"/>
  <c r="AW492" i="9" s="1"/>
  <c r="AV437" i="9"/>
  <c r="AV438" i="9" s="1"/>
  <c r="AW670" i="9"/>
  <c r="AV672" i="9"/>
  <c r="AV673" i="9" s="1"/>
  <c r="AW342" i="9"/>
  <c r="AH658" i="9"/>
  <c r="AL455" i="9"/>
  <c r="AL456" i="9" s="1"/>
  <c r="AW646" i="9"/>
  <c r="AL509" i="9"/>
  <c r="AM509" i="9" s="1"/>
  <c r="AW660" i="9"/>
  <c r="AR490" i="9"/>
  <c r="K695" i="9"/>
  <c r="L695" i="9" s="1"/>
  <c r="N695" i="9" s="1"/>
  <c r="AH529" i="9"/>
  <c r="AQ518" i="9"/>
  <c r="AR518" i="9" s="1"/>
  <c r="AR645" i="9"/>
  <c r="AG671" i="9"/>
  <c r="AG672" i="9" s="1"/>
  <c r="AM725" i="9"/>
  <c r="AV529" i="9"/>
  <c r="AV530" i="9" s="1"/>
  <c r="AW530" i="9" s="1"/>
  <c r="AM689" i="9"/>
  <c r="AM726" i="9"/>
  <c r="AG689" i="9"/>
  <c r="AH689" i="9" s="1"/>
  <c r="AG695" i="9"/>
  <c r="AH695" i="9" s="1"/>
  <c r="AM645" i="9"/>
  <c r="AH594" i="9"/>
  <c r="AG726" i="9"/>
  <c r="AG727" i="9" s="1"/>
  <c r="AH727" i="9" s="1"/>
  <c r="N687" i="9"/>
  <c r="AG710" i="9"/>
  <c r="AH710" i="9" s="1"/>
  <c r="AR552" i="9"/>
  <c r="CF624" i="9"/>
  <c r="N624" i="9"/>
  <c r="N434" i="9"/>
  <c r="AV706" i="9"/>
  <c r="AW706" i="9" s="1"/>
  <c r="AL627" i="9"/>
  <c r="AL628" i="9" s="1"/>
  <c r="AM625" i="9"/>
  <c r="AH528" i="9"/>
  <c r="CF669" i="9"/>
  <c r="N669" i="9"/>
  <c r="L435" i="9"/>
  <c r="K436" i="9"/>
  <c r="AL418" i="9"/>
  <c r="AM417" i="9"/>
  <c r="CF489" i="9"/>
  <c r="AQ626" i="9"/>
  <c r="AR625" i="9"/>
  <c r="AQ710" i="9"/>
  <c r="AR710" i="9" s="1"/>
  <c r="AR709" i="9"/>
  <c r="AR418" i="9"/>
  <c r="AQ419" i="9"/>
  <c r="AH472" i="9"/>
  <c r="AM469" i="9"/>
  <c r="AL470" i="9"/>
  <c r="AM718" i="9"/>
  <c r="AL719" i="9"/>
  <c r="N670" i="9"/>
  <c r="CF670" i="9"/>
  <c r="AR436" i="9"/>
  <c r="AQ437" i="9"/>
  <c r="AV720" i="9"/>
  <c r="AW719" i="9"/>
  <c r="AH705" i="9"/>
  <c r="K706" i="9"/>
  <c r="L706" i="9" s="1"/>
  <c r="CF706" i="9" s="1"/>
  <c r="AR529" i="9"/>
  <c r="N694" i="9"/>
  <c r="L688" i="9"/>
  <c r="CF688" i="9" s="1"/>
  <c r="AR714" i="9"/>
  <c r="AQ715" i="9"/>
  <c r="AR715" i="9" s="1"/>
  <c r="AR298" i="9"/>
  <c r="AQ299" i="9"/>
  <c r="AG342" i="9"/>
  <c r="AH341" i="9"/>
  <c r="K517" i="9"/>
  <c r="L516" i="9"/>
  <c r="CF725" i="9"/>
  <c r="AW688" i="9"/>
  <c r="AV689" i="9"/>
  <c r="AG660" i="9"/>
  <c r="AH659" i="9"/>
  <c r="AG627" i="9"/>
  <c r="AH626" i="9"/>
  <c r="AQ689" i="9"/>
  <c r="AR688" i="9"/>
  <c r="AV648" i="9"/>
  <c r="AW647" i="9"/>
  <c r="AL554" i="9"/>
  <c r="AM553" i="9"/>
  <c r="AW713" i="9"/>
  <c r="AV714" i="9"/>
  <c r="CF625" i="9"/>
  <c r="N625" i="9"/>
  <c r="CF593" i="9"/>
  <c r="N593" i="9"/>
  <c r="N712" i="9"/>
  <c r="AL659" i="9"/>
  <c r="AM658" i="9"/>
  <c r="AG714" i="9"/>
  <c r="AH713" i="9"/>
  <c r="AM671" i="9"/>
  <c r="AL672" i="9"/>
  <c r="L626" i="9"/>
  <c r="K627" i="9"/>
  <c r="K595" i="9"/>
  <c r="L594" i="9"/>
  <c r="AH595" i="9"/>
  <c r="AG596" i="9"/>
  <c r="CF552" i="9"/>
  <c r="N552" i="9"/>
  <c r="AW725" i="9"/>
  <c r="AV726" i="9"/>
  <c r="L718" i="9"/>
  <c r="K719" i="9"/>
  <c r="AQ727" i="9"/>
  <c r="AR727" i="9" s="1"/>
  <c r="AR726" i="9"/>
  <c r="AQ595" i="9"/>
  <c r="AR594" i="9"/>
  <c r="K554" i="9"/>
  <c r="L553" i="9"/>
  <c r="N717" i="9"/>
  <c r="AL714" i="9"/>
  <c r="AM713" i="9"/>
  <c r="AL647" i="9"/>
  <c r="AM646" i="9"/>
  <c r="AW594" i="9"/>
  <c r="AV595" i="9"/>
  <c r="N724" i="9"/>
  <c r="CF698" i="9"/>
  <c r="N698" i="9"/>
  <c r="AR719" i="9"/>
  <c r="AQ720" i="9"/>
  <c r="AV663" i="9"/>
  <c r="AW662" i="9"/>
  <c r="AG647" i="9"/>
  <c r="AH646" i="9"/>
  <c r="AV553" i="9"/>
  <c r="AW552" i="9"/>
  <c r="AW694" i="9"/>
  <c r="AV695" i="9"/>
  <c r="AW695" i="9" s="1"/>
  <c r="N697" i="9"/>
  <c r="CF697" i="9"/>
  <c r="AR693" i="9"/>
  <c r="AQ694" i="9"/>
  <c r="CF551" i="9"/>
  <c r="N551" i="9"/>
  <c r="N713" i="9"/>
  <c r="CF713" i="9"/>
  <c r="AR658" i="9"/>
  <c r="AQ659" i="9"/>
  <c r="K659" i="9"/>
  <c r="L658" i="9"/>
  <c r="AL595" i="9"/>
  <c r="AM594" i="9"/>
  <c r="AH552" i="9"/>
  <c r="AG553" i="9"/>
  <c r="K715" i="9"/>
  <c r="L715" i="9" s="1"/>
  <c r="L714" i="9"/>
  <c r="L689" i="9"/>
  <c r="K690" i="9"/>
  <c r="L690" i="9" s="1"/>
  <c r="CF657" i="9"/>
  <c r="N657" i="9"/>
  <c r="CF705" i="9"/>
  <c r="N705" i="9"/>
  <c r="AW709" i="9"/>
  <c r="AV710" i="9"/>
  <c r="AW710" i="9" s="1"/>
  <c r="CF709" i="9"/>
  <c r="N709" i="9"/>
  <c r="CF671" i="9"/>
  <c r="N671" i="9"/>
  <c r="CF672" i="9"/>
  <c r="N672" i="9"/>
  <c r="AV626" i="9"/>
  <c r="AW625" i="9"/>
  <c r="AQ648" i="9"/>
  <c r="AR647" i="9"/>
  <c r="CF644" i="9"/>
  <c r="N644" i="9"/>
  <c r="AQ554" i="9"/>
  <c r="AR553" i="9"/>
  <c r="AL694" i="9"/>
  <c r="AM693" i="9"/>
  <c r="L726" i="9"/>
  <c r="K727" i="9"/>
  <c r="L727" i="9" s="1"/>
  <c r="CF708" i="9"/>
  <c r="N708" i="9"/>
  <c r="CF710" i="9"/>
  <c r="N710" i="9"/>
  <c r="K674" i="9"/>
  <c r="L673" i="9"/>
  <c r="K646" i="9"/>
  <c r="L645" i="9"/>
  <c r="AW508" i="9"/>
  <c r="AV509" i="9"/>
  <c r="AW509" i="9" s="1"/>
  <c r="N490" i="9"/>
  <c r="AL299" i="9"/>
  <c r="AM298" i="9"/>
  <c r="L512" i="9"/>
  <c r="K513" i="9"/>
  <c r="L513" i="9" s="1"/>
  <c r="AV470" i="9"/>
  <c r="AW469" i="9"/>
  <c r="AR491" i="9"/>
  <c r="AQ492" i="9"/>
  <c r="AR492" i="9" s="1"/>
  <c r="AH473" i="9"/>
  <c r="AG474" i="9"/>
  <c r="AL342" i="9"/>
  <c r="AM341" i="9"/>
  <c r="AL517" i="9"/>
  <c r="AM516" i="9"/>
  <c r="AQ457" i="9"/>
  <c r="AR456" i="9"/>
  <c r="L454" i="9"/>
  <c r="K455" i="9"/>
  <c r="K299" i="9"/>
  <c r="L298" i="9"/>
  <c r="K529" i="9"/>
  <c r="L528" i="9"/>
  <c r="K509" i="9"/>
  <c r="L509" i="9" s="1"/>
  <c r="L508" i="9"/>
  <c r="AR471" i="9"/>
  <c r="AQ472" i="9"/>
  <c r="AM486" i="9"/>
  <c r="AL487" i="9"/>
  <c r="AM487" i="9" s="1"/>
  <c r="CF453" i="9"/>
  <c r="N453" i="9"/>
  <c r="AV419" i="9"/>
  <c r="AW418" i="9"/>
  <c r="N373" i="9"/>
  <c r="CF373" i="9"/>
  <c r="N297" i="9"/>
  <c r="CF297" i="9"/>
  <c r="AG517" i="9"/>
  <c r="AH516" i="9"/>
  <c r="AW516" i="9"/>
  <c r="AV517" i="9"/>
  <c r="AQ487" i="9"/>
  <c r="AR487" i="9" s="1"/>
  <c r="AR486" i="9"/>
  <c r="L374" i="9"/>
  <c r="K375" i="9"/>
  <c r="AR374" i="9"/>
  <c r="AQ375" i="9"/>
  <c r="CF340" i="9"/>
  <c r="N340" i="9"/>
  <c r="AM374" i="9"/>
  <c r="AL375" i="9"/>
  <c r="AG509" i="9"/>
  <c r="AH509" i="9" s="1"/>
  <c r="AH508" i="9"/>
  <c r="L341" i="9"/>
  <c r="K342" i="9"/>
  <c r="L417" i="9"/>
  <c r="K418" i="9"/>
  <c r="AM521" i="9"/>
  <c r="AL522" i="9"/>
  <c r="AG492" i="9"/>
  <c r="AH492" i="9" s="1"/>
  <c r="AH491" i="9"/>
  <c r="L470" i="9"/>
  <c r="K471" i="9"/>
  <c r="AV375" i="9"/>
  <c r="AW374" i="9"/>
  <c r="CF502" i="9"/>
  <c r="N502" i="9"/>
  <c r="AL439" i="9"/>
  <c r="AM438" i="9"/>
  <c r="AR508" i="9"/>
  <c r="AQ509" i="9"/>
  <c r="AR509" i="9" s="1"/>
  <c r="AG524" i="9"/>
  <c r="AH523" i="9"/>
  <c r="AG437" i="9"/>
  <c r="AH436" i="9"/>
  <c r="AV486" i="9"/>
  <c r="AW485" i="9"/>
  <c r="N494" i="9"/>
  <c r="CF494" i="9"/>
  <c r="AG418" i="9"/>
  <c r="AH417" i="9"/>
  <c r="AG375" i="9"/>
  <c r="AH374" i="9"/>
  <c r="CF495" i="9"/>
  <c r="N495" i="9"/>
  <c r="AW455" i="9"/>
  <c r="AV456" i="9"/>
  <c r="AR341" i="9"/>
  <c r="AQ342" i="9"/>
  <c r="AG299" i="9"/>
  <c r="AH298" i="9"/>
  <c r="K522" i="9"/>
  <c r="L521" i="9"/>
  <c r="CF484" i="9"/>
  <c r="N484" i="9"/>
  <c r="CF511" i="9"/>
  <c r="N511" i="9"/>
  <c r="AQ523" i="9"/>
  <c r="AR522" i="9"/>
  <c r="N527" i="9"/>
  <c r="AL492" i="9"/>
  <c r="AM492" i="9" s="1"/>
  <c r="AM491" i="9"/>
  <c r="K492" i="9"/>
  <c r="L492" i="9" s="1"/>
  <c r="L491" i="9"/>
  <c r="L485" i="9"/>
  <c r="K486" i="9"/>
  <c r="CF416" i="9"/>
  <c r="N416" i="9"/>
  <c r="AW343" i="9"/>
  <c r="AV344" i="9"/>
  <c r="AV299" i="9"/>
  <c r="AW298" i="9"/>
  <c r="AE27" i="6" a="1"/>
  <c r="AE28" i="6"/>
  <c r="AD27" i="6" a="1"/>
  <c r="AD28" i="6"/>
  <c r="AU11" i="9"/>
  <c r="AU12" i="9" s="1"/>
  <c r="AU13" i="9" s="1"/>
  <c r="AU14" i="9" s="1"/>
  <c r="AU15" i="9" s="1"/>
  <c r="AU16" i="9" s="1"/>
  <c r="AU17" i="9" s="1"/>
  <c r="AU18" i="9" s="1"/>
  <c r="AU19" i="9" s="1"/>
  <c r="AU20" i="9" s="1"/>
  <c r="AU21" i="9" s="1"/>
  <c r="AU22" i="9" s="1"/>
  <c r="AU23" i="9" s="1"/>
  <c r="AU24" i="9" s="1"/>
  <c r="AU25" i="9" s="1"/>
  <c r="AU26" i="9" s="1"/>
  <c r="AU27" i="9" s="1"/>
  <c r="AU28" i="9" s="1"/>
  <c r="AU29" i="9" s="1"/>
  <c r="AU30" i="9" s="1"/>
  <c r="AU31" i="9" s="1"/>
  <c r="AU32" i="9" s="1"/>
  <c r="AU33" i="9" s="1"/>
  <c r="AU34" i="9" s="1"/>
  <c r="AU35" i="9" s="1"/>
  <c r="AU36" i="9" s="1"/>
  <c r="AU37" i="9" s="1"/>
  <c r="AU38" i="9" s="1"/>
  <c r="AU39" i="9" s="1"/>
  <c r="AU40" i="9" s="1"/>
  <c r="AU41" i="9" s="1"/>
  <c r="AU42" i="9" s="1"/>
  <c r="AU43" i="9" s="1"/>
  <c r="AU44" i="9" s="1"/>
  <c r="AU45" i="9" s="1"/>
  <c r="AU46" i="9" s="1"/>
  <c r="AU47" i="9" s="1"/>
  <c r="AU48" i="9" s="1"/>
  <c r="AU49" i="9" s="1"/>
  <c r="AU50" i="9" s="1"/>
  <c r="AU51" i="9" s="1"/>
  <c r="AU52" i="9" s="1"/>
  <c r="AU53" i="9" s="1"/>
  <c r="AU54" i="9" s="1"/>
  <c r="AU55" i="9" s="1"/>
  <c r="AV11" i="9"/>
  <c r="AV12" i="9" s="1"/>
  <c r="AU57" i="9"/>
  <c r="AU58" i="9" s="1"/>
  <c r="AU59" i="9" s="1"/>
  <c r="AU60" i="9" s="1"/>
  <c r="AU61" i="9" s="1"/>
  <c r="AU62" i="9" s="1"/>
  <c r="AU63" i="9" s="1"/>
  <c r="AU64" i="9" s="1"/>
  <c r="AU65" i="9" s="1"/>
  <c r="AU66" i="9" s="1"/>
  <c r="AU67" i="9" s="1"/>
  <c r="AU68" i="9" s="1"/>
  <c r="AU69" i="9" s="1"/>
  <c r="AU70" i="9" s="1"/>
  <c r="AU71" i="9" s="1"/>
  <c r="AU72" i="9" s="1"/>
  <c r="AU73" i="9" s="1"/>
  <c r="AU74" i="9" s="1"/>
  <c r="AU75" i="9" s="1"/>
  <c r="AU76" i="9" s="1"/>
  <c r="AU77" i="9" s="1"/>
  <c r="AU78" i="9" s="1"/>
  <c r="AU79" i="9" s="1"/>
  <c r="AU80" i="9" s="1"/>
  <c r="AU81" i="9" s="1"/>
  <c r="AU82" i="9" s="1"/>
  <c r="AU83" i="9" s="1"/>
  <c r="AU84" i="9" s="1"/>
  <c r="AU85" i="9" s="1"/>
  <c r="AU86" i="9" s="1"/>
  <c r="AU87" i="9" s="1"/>
  <c r="AU88" i="9" s="1"/>
  <c r="AU89" i="9" s="1"/>
  <c r="AU90" i="9" s="1"/>
  <c r="AU91" i="9" s="1"/>
  <c r="AU92" i="9" s="1"/>
  <c r="AU93" i="9" s="1"/>
  <c r="AU94" i="9" s="1"/>
  <c r="AV57" i="9"/>
  <c r="AV58" i="9" s="1"/>
  <c r="AU96" i="9"/>
  <c r="AU97" i="9" s="1"/>
  <c r="AU98" i="9" s="1"/>
  <c r="AU99" i="9" s="1"/>
  <c r="AU100" i="9" s="1"/>
  <c r="AU101" i="9" s="1"/>
  <c r="AU102" i="9" s="1"/>
  <c r="AU103" i="9" s="1"/>
  <c r="AU104" i="9" s="1"/>
  <c r="AU105" i="9" s="1"/>
  <c r="AU106" i="9" s="1"/>
  <c r="AU107" i="9" s="1"/>
  <c r="AU108" i="9" s="1"/>
  <c r="AU109" i="9" s="1"/>
  <c r="AU110" i="9" s="1"/>
  <c r="AU111" i="9" s="1"/>
  <c r="AU112" i="9" s="1"/>
  <c r="AU113" i="9" s="1"/>
  <c r="AU114" i="9" s="1"/>
  <c r="AU115" i="9" s="1"/>
  <c r="AU116" i="9" s="1"/>
  <c r="AU117" i="9" s="1"/>
  <c r="AU118" i="9" s="1"/>
  <c r="AU119" i="9" s="1"/>
  <c r="AU120" i="9" s="1"/>
  <c r="AU121" i="9" s="1"/>
  <c r="AU122" i="9" s="1"/>
  <c r="AU123" i="9" s="1"/>
  <c r="AU124" i="9" s="1"/>
  <c r="AU125" i="9" s="1"/>
  <c r="AU126" i="9" s="1"/>
  <c r="AU127" i="9" s="1"/>
  <c r="AU128" i="9" s="1"/>
  <c r="AU129" i="9" s="1"/>
  <c r="AU130" i="9" s="1"/>
  <c r="AU131" i="9" s="1"/>
  <c r="AU132" i="9" s="1"/>
  <c r="AU133" i="9" s="1"/>
  <c r="AU134" i="9" s="1"/>
  <c r="AU135" i="9" s="1"/>
  <c r="AU136" i="9" s="1"/>
  <c r="AU137" i="9" s="1"/>
  <c r="AU138" i="9" s="1"/>
  <c r="AU139" i="9" s="1"/>
  <c r="AU140" i="9" s="1"/>
  <c r="AU141" i="9" s="1"/>
  <c r="AU142" i="9" s="1"/>
  <c r="AV96" i="9"/>
  <c r="AV97" i="9" s="1"/>
  <c r="AU144" i="9"/>
  <c r="AU145" i="9" s="1"/>
  <c r="AU146" i="9" s="1"/>
  <c r="AU147" i="9" s="1"/>
  <c r="AU148" i="9" s="1"/>
  <c r="AU149" i="9" s="1"/>
  <c r="AU150" i="9" s="1"/>
  <c r="AU151" i="9" s="1"/>
  <c r="AU152" i="9" s="1"/>
  <c r="AU153" i="9" s="1"/>
  <c r="AU154" i="9" s="1"/>
  <c r="AU155" i="9" s="1"/>
  <c r="AU156" i="9" s="1"/>
  <c r="AU157" i="9" s="1"/>
  <c r="AU158" i="9" s="1"/>
  <c r="AU159" i="9" s="1"/>
  <c r="AU160" i="9" s="1"/>
  <c r="AU161" i="9" s="1"/>
  <c r="AU162" i="9" s="1"/>
  <c r="AU163" i="9" s="1"/>
  <c r="AU164" i="9" s="1"/>
  <c r="AV144" i="9"/>
  <c r="AV145" i="9" s="1"/>
  <c r="AU166" i="9"/>
  <c r="AU167" i="9" s="1"/>
  <c r="AU168" i="9" s="1"/>
  <c r="AU169" i="9" s="1"/>
  <c r="AU170" i="9" s="1"/>
  <c r="AU171" i="9" s="1"/>
  <c r="AU172" i="9" s="1"/>
  <c r="AU173" i="9" s="1"/>
  <c r="AU174" i="9" s="1"/>
  <c r="AU175" i="9" s="1"/>
  <c r="AU176" i="9" s="1"/>
  <c r="AU177" i="9" s="1"/>
  <c r="AU178" i="9" s="1"/>
  <c r="AU179" i="9" s="1"/>
  <c r="AU180" i="9" s="1"/>
  <c r="AU181" i="9" s="1"/>
  <c r="AU182" i="9" s="1"/>
  <c r="AU183" i="9" s="1"/>
  <c r="AU184" i="9" s="1"/>
  <c r="AU185" i="9" s="1"/>
  <c r="AU186" i="9" s="1"/>
  <c r="AU187" i="9" s="1"/>
  <c r="AU188" i="9" s="1"/>
  <c r="AU189" i="9" s="1"/>
  <c r="AV166" i="9"/>
  <c r="AU191" i="9"/>
  <c r="AU192" i="9" s="1"/>
  <c r="AU193" i="9" s="1"/>
  <c r="AU194" i="9" s="1"/>
  <c r="AU195" i="9" s="1"/>
  <c r="AU196" i="9" s="1"/>
  <c r="AU197" i="9" s="1"/>
  <c r="AU198" i="9" s="1"/>
  <c r="AU199" i="9" s="1"/>
  <c r="AU200" i="9" s="1"/>
  <c r="AU201" i="9" s="1"/>
  <c r="AU202" i="9" s="1"/>
  <c r="AU203" i="9" s="1"/>
  <c r="AU204" i="9" s="1"/>
  <c r="AU205" i="9" s="1"/>
  <c r="AU206" i="9" s="1"/>
  <c r="AU207" i="9" s="1"/>
  <c r="AU208" i="9" s="1"/>
  <c r="AV191" i="9"/>
  <c r="AW191" i="9" s="1"/>
  <c r="AU210" i="9"/>
  <c r="AU211" i="9" s="1"/>
  <c r="AU212" i="9" s="1"/>
  <c r="AU213" i="9" s="1"/>
  <c r="AU214" i="9" s="1"/>
  <c r="AU215" i="9" s="1"/>
  <c r="AU216" i="9" s="1"/>
  <c r="AU217" i="9" s="1"/>
  <c r="AU218" i="9" s="1"/>
  <c r="AU219" i="9" s="1"/>
  <c r="AU220" i="9" s="1"/>
  <c r="AU221" i="9" s="1"/>
  <c r="AU222" i="9" s="1"/>
  <c r="AU223" i="9" s="1"/>
  <c r="AU224" i="9" s="1"/>
  <c r="AU225" i="9" s="1"/>
  <c r="AU226" i="9" s="1"/>
  <c r="AU227" i="9" s="1"/>
  <c r="AU228" i="9" s="1"/>
  <c r="AV210" i="9"/>
  <c r="AU230" i="9"/>
  <c r="AU231" i="9" s="1"/>
  <c r="AU232" i="9" s="1"/>
  <c r="AU233" i="9" s="1"/>
  <c r="AV230" i="9"/>
  <c r="AU235" i="9"/>
  <c r="AU236" i="9" s="1"/>
  <c r="AU237" i="9" s="1"/>
  <c r="AU238" i="9" s="1"/>
  <c r="AV235" i="9"/>
  <c r="AW235" i="9" s="1"/>
  <c r="AU240" i="9"/>
  <c r="AU241" i="9" s="1"/>
  <c r="AV240" i="9"/>
  <c r="AU245" i="9"/>
  <c r="AV245" i="9"/>
  <c r="AW245" i="9" s="1"/>
  <c r="AU248" i="9"/>
  <c r="AU249" i="9" s="1"/>
  <c r="AV248" i="9"/>
  <c r="AW248" i="9" s="1"/>
  <c r="AU251" i="9"/>
  <c r="AV251" i="9"/>
  <c r="AW251" i="9" s="1"/>
  <c r="AU253" i="9"/>
  <c r="AU254" i="9" s="1"/>
  <c r="AU255" i="9" s="1"/>
  <c r="AV253" i="9"/>
  <c r="AU257" i="9"/>
  <c r="AU258" i="9" s="1"/>
  <c r="AU259" i="9" s="1"/>
  <c r="AV257" i="9"/>
  <c r="AW257" i="9" s="1"/>
  <c r="AU261" i="9"/>
  <c r="AU262" i="9" s="1"/>
  <c r="AU263" i="9" s="1"/>
  <c r="AU264" i="9" s="1"/>
  <c r="AV261" i="9"/>
  <c r="AW261" i="9" s="1"/>
  <c r="AU266" i="9"/>
  <c r="AU267" i="9" s="1"/>
  <c r="AU268" i="9" s="1"/>
  <c r="AU269" i="9" s="1"/>
  <c r="AU270" i="9" s="1"/>
  <c r="AU271" i="9" s="1"/>
  <c r="AV266" i="9"/>
  <c r="AU273" i="9"/>
  <c r="AU274" i="9" s="1"/>
  <c r="AU275" i="9" s="1"/>
  <c r="AU276" i="9" s="1"/>
  <c r="AV273" i="9"/>
  <c r="AU278" i="9"/>
  <c r="AV278" i="9"/>
  <c r="AW278" i="9" s="1"/>
  <c r="AP11" i="9"/>
  <c r="AP12" i="9" s="1"/>
  <c r="AP13" i="9" s="1"/>
  <c r="AP14" i="9" s="1"/>
  <c r="AP15" i="9" s="1"/>
  <c r="AP16" i="9" s="1"/>
  <c r="AP17" i="9" s="1"/>
  <c r="AP18" i="9" s="1"/>
  <c r="AP19" i="9" s="1"/>
  <c r="AP20" i="9" s="1"/>
  <c r="AP21" i="9" s="1"/>
  <c r="AP22" i="9" s="1"/>
  <c r="AP23" i="9" s="1"/>
  <c r="AP24" i="9" s="1"/>
  <c r="AP25" i="9" s="1"/>
  <c r="AP26" i="9" s="1"/>
  <c r="AP27" i="9" s="1"/>
  <c r="AP28" i="9" s="1"/>
  <c r="AP29" i="9" s="1"/>
  <c r="AP30" i="9" s="1"/>
  <c r="AP31" i="9" s="1"/>
  <c r="AP32" i="9" s="1"/>
  <c r="AP33" i="9" s="1"/>
  <c r="AP34" i="9" s="1"/>
  <c r="AP35" i="9" s="1"/>
  <c r="AP36" i="9" s="1"/>
  <c r="AP37" i="9" s="1"/>
  <c r="AP38" i="9" s="1"/>
  <c r="AP39" i="9" s="1"/>
  <c r="AP40" i="9" s="1"/>
  <c r="AP41" i="9" s="1"/>
  <c r="AP42" i="9" s="1"/>
  <c r="AP43" i="9" s="1"/>
  <c r="AP44" i="9" s="1"/>
  <c r="AP45" i="9" s="1"/>
  <c r="AP46" i="9" s="1"/>
  <c r="AP47" i="9" s="1"/>
  <c r="AP48" i="9" s="1"/>
  <c r="AP49" i="9" s="1"/>
  <c r="AP50" i="9" s="1"/>
  <c r="AP51" i="9" s="1"/>
  <c r="AP52" i="9" s="1"/>
  <c r="AP53" i="9" s="1"/>
  <c r="AP54" i="9" s="1"/>
  <c r="AP55" i="9" s="1"/>
  <c r="AQ11" i="9"/>
  <c r="AQ12" i="9" s="1"/>
  <c r="AR12" i="9" s="1"/>
  <c r="AP57" i="9"/>
  <c r="AP58" i="9" s="1"/>
  <c r="AP59" i="9" s="1"/>
  <c r="AP60" i="9" s="1"/>
  <c r="AP61" i="9" s="1"/>
  <c r="AP62" i="9" s="1"/>
  <c r="AP63" i="9" s="1"/>
  <c r="AP64" i="9" s="1"/>
  <c r="AP65" i="9" s="1"/>
  <c r="AP66" i="9" s="1"/>
  <c r="AP67" i="9" s="1"/>
  <c r="AP68" i="9" s="1"/>
  <c r="AP69" i="9" s="1"/>
  <c r="AP70" i="9" s="1"/>
  <c r="AP71" i="9" s="1"/>
  <c r="AP72" i="9" s="1"/>
  <c r="AP73" i="9" s="1"/>
  <c r="AP74" i="9" s="1"/>
  <c r="AP75" i="9" s="1"/>
  <c r="AP76" i="9" s="1"/>
  <c r="AP77" i="9" s="1"/>
  <c r="AP78" i="9" s="1"/>
  <c r="AP79" i="9" s="1"/>
  <c r="AP80" i="9" s="1"/>
  <c r="AP81" i="9" s="1"/>
  <c r="AP82" i="9" s="1"/>
  <c r="AP83" i="9" s="1"/>
  <c r="AP84" i="9" s="1"/>
  <c r="AP85" i="9" s="1"/>
  <c r="AP86" i="9" s="1"/>
  <c r="AP87" i="9" s="1"/>
  <c r="AP88" i="9" s="1"/>
  <c r="AP89" i="9" s="1"/>
  <c r="AP90" i="9" s="1"/>
  <c r="AP91" i="9" s="1"/>
  <c r="AP92" i="9" s="1"/>
  <c r="AP93" i="9" s="1"/>
  <c r="AP94" i="9" s="1"/>
  <c r="AQ57" i="9"/>
  <c r="AQ58" i="9" s="1"/>
  <c r="AR58" i="9" s="1"/>
  <c r="AP96" i="9"/>
  <c r="AP97" i="9" s="1"/>
  <c r="AP98" i="9" s="1"/>
  <c r="AP99" i="9" s="1"/>
  <c r="AP100" i="9" s="1"/>
  <c r="AP101" i="9" s="1"/>
  <c r="AP102" i="9" s="1"/>
  <c r="AP103" i="9" s="1"/>
  <c r="AP104" i="9" s="1"/>
  <c r="AP105" i="9" s="1"/>
  <c r="AP106" i="9" s="1"/>
  <c r="AP107" i="9" s="1"/>
  <c r="AP108" i="9" s="1"/>
  <c r="AP109" i="9" s="1"/>
  <c r="AP110" i="9" s="1"/>
  <c r="AP111" i="9" s="1"/>
  <c r="AP112" i="9" s="1"/>
  <c r="AP113" i="9" s="1"/>
  <c r="AP114" i="9" s="1"/>
  <c r="AP115" i="9" s="1"/>
  <c r="AP116" i="9" s="1"/>
  <c r="AP117" i="9" s="1"/>
  <c r="AP118" i="9" s="1"/>
  <c r="AP119" i="9" s="1"/>
  <c r="AP120" i="9" s="1"/>
  <c r="AP121" i="9" s="1"/>
  <c r="AP122" i="9" s="1"/>
  <c r="AP123" i="9" s="1"/>
  <c r="AP124" i="9" s="1"/>
  <c r="AP125" i="9" s="1"/>
  <c r="AP126" i="9" s="1"/>
  <c r="AP127" i="9" s="1"/>
  <c r="AP128" i="9" s="1"/>
  <c r="AP129" i="9" s="1"/>
  <c r="AP130" i="9" s="1"/>
  <c r="AP131" i="9" s="1"/>
  <c r="AP132" i="9" s="1"/>
  <c r="AP133" i="9" s="1"/>
  <c r="AP134" i="9" s="1"/>
  <c r="AP135" i="9" s="1"/>
  <c r="AP136" i="9" s="1"/>
  <c r="AP137" i="9" s="1"/>
  <c r="AP138" i="9" s="1"/>
  <c r="AP139" i="9" s="1"/>
  <c r="AP140" i="9" s="1"/>
  <c r="AP141" i="9" s="1"/>
  <c r="AP142" i="9" s="1"/>
  <c r="AQ96" i="9"/>
  <c r="AQ97" i="9" s="1"/>
  <c r="AP144" i="9"/>
  <c r="AP145" i="9" s="1"/>
  <c r="AP146" i="9" s="1"/>
  <c r="AP147" i="9" s="1"/>
  <c r="AP148" i="9" s="1"/>
  <c r="AP149" i="9" s="1"/>
  <c r="AP150" i="9" s="1"/>
  <c r="AP151" i="9" s="1"/>
  <c r="AP152" i="9" s="1"/>
  <c r="AP153" i="9" s="1"/>
  <c r="AP154" i="9" s="1"/>
  <c r="AP155" i="9" s="1"/>
  <c r="AP156" i="9" s="1"/>
  <c r="AP157" i="9" s="1"/>
  <c r="AP158" i="9" s="1"/>
  <c r="AP159" i="9" s="1"/>
  <c r="AP160" i="9" s="1"/>
  <c r="AP161" i="9" s="1"/>
  <c r="AP162" i="9" s="1"/>
  <c r="AP163" i="9" s="1"/>
  <c r="AP164" i="9" s="1"/>
  <c r="AQ144" i="9"/>
  <c r="AQ145" i="9" s="1"/>
  <c r="AP166" i="9"/>
  <c r="AP167" i="9" s="1"/>
  <c r="AP168" i="9" s="1"/>
  <c r="AP169" i="9" s="1"/>
  <c r="AP170" i="9" s="1"/>
  <c r="AP171" i="9" s="1"/>
  <c r="AP172" i="9" s="1"/>
  <c r="AP173" i="9" s="1"/>
  <c r="AP174" i="9" s="1"/>
  <c r="AP175" i="9" s="1"/>
  <c r="AP176" i="9" s="1"/>
  <c r="AP177" i="9" s="1"/>
  <c r="AP178" i="9" s="1"/>
  <c r="AP179" i="9" s="1"/>
  <c r="AP180" i="9" s="1"/>
  <c r="AP181" i="9" s="1"/>
  <c r="AP182" i="9" s="1"/>
  <c r="AP183" i="9" s="1"/>
  <c r="AP184" i="9" s="1"/>
  <c r="AP185" i="9" s="1"/>
  <c r="AP186" i="9" s="1"/>
  <c r="AP187" i="9" s="1"/>
  <c r="AP188" i="9" s="1"/>
  <c r="AP189" i="9" s="1"/>
  <c r="AQ166" i="9"/>
  <c r="AR166" i="9" s="1"/>
  <c r="AP191" i="9"/>
  <c r="AP192" i="9" s="1"/>
  <c r="AP193" i="9" s="1"/>
  <c r="AP194" i="9" s="1"/>
  <c r="AP195" i="9" s="1"/>
  <c r="AP196" i="9" s="1"/>
  <c r="AP197" i="9" s="1"/>
  <c r="AP198" i="9" s="1"/>
  <c r="AP199" i="9" s="1"/>
  <c r="AP200" i="9" s="1"/>
  <c r="AP201" i="9" s="1"/>
  <c r="AP202" i="9" s="1"/>
  <c r="AP203" i="9" s="1"/>
  <c r="AP204" i="9" s="1"/>
  <c r="AP205" i="9" s="1"/>
  <c r="AP206" i="9" s="1"/>
  <c r="AP207" i="9" s="1"/>
  <c r="AP208" i="9" s="1"/>
  <c r="AQ191" i="9"/>
  <c r="AP210" i="9"/>
  <c r="AP211" i="9" s="1"/>
  <c r="AP212" i="9" s="1"/>
  <c r="AP213" i="9" s="1"/>
  <c r="AP214" i="9" s="1"/>
  <c r="AP215" i="9" s="1"/>
  <c r="AP216" i="9" s="1"/>
  <c r="AP217" i="9" s="1"/>
  <c r="AP218" i="9" s="1"/>
  <c r="AP219" i="9" s="1"/>
  <c r="AP220" i="9" s="1"/>
  <c r="AP221" i="9" s="1"/>
  <c r="AP222" i="9" s="1"/>
  <c r="AP223" i="9" s="1"/>
  <c r="AP224" i="9" s="1"/>
  <c r="AP225" i="9" s="1"/>
  <c r="AP226" i="9" s="1"/>
  <c r="AP227" i="9" s="1"/>
  <c r="AP228" i="9" s="1"/>
  <c r="AQ210" i="9"/>
  <c r="AP230" i="9"/>
  <c r="AP231" i="9" s="1"/>
  <c r="AP232" i="9" s="1"/>
  <c r="AP233" i="9" s="1"/>
  <c r="AQ230" i="9"/>
  <c r="AR230" i="9" s="1"/>
  <c r="AP235" i="9"/>
  <c r="AP236" i="9" s="1"/>
  <c r="AP237" i="9" s="1"/>
  <c r="AP238" i="9" s="1"/>
  <c r="AQ235" i="9"/>
  <c r="AR235" i="9" s="1"/>
  <c r="AP240" i="9"/>
  <c r="AP241" i="9" s="1"/>
  <c r="AQ240" i="9"/>
  <c r="AR240" i="9" s="1"/>
  <c r="AP245" i="9"/>
  <c r="AQ245" i="9"/>
  <c r="AR245" i="9" s="1"/>
  <c r="AP248" i="9"/>
  <c r="AP249" i="9" s="1"/>
  <c r="AQ248" i="9"/>
  <c r="AP251" i="9"/>
  <c r="AQ251" i="9"/>
  <c r="AR251" i="9" s="1"/>
  <c r="AP253" i="9"/>
  <c r="AP254" i="9" s="1"/>
  <c r="AP255" i="9" s="1"/>
  <c r="AQ253" i="9"/>
  <c r="AR253" i="9" s="1"/>
  <c r="AP257" i="9"/>
  <c r="AP258" i="9" s="1"/>
  <c r="AP259" i="9" s="1"/>
  <c r="AQ257" i="9"/>
  <c r="AP261" i="9"/>
  <c r="AP262" i="9" s="1"/>
  <c r="AP263" i="9" s="1"/>
  <c r="AP264" i="9" s="1"/>
  <c r="AQ261" i="9"/>
  <c r="AP266" i="9"/>
  <c r="AP267" i="9" s="1"/>
  <c r="AP268" i="9" s="1"/>
  <c r="AP269" i="9" s="1"/>
  <c r="AP270" i="9" s="1"/>
  <c r="AP271" i="9" s="1"/>
  <c r="AQ266" i="9"/>
  <c r="AR266" i="9" s="1"/>
  <c r="AP273" i="9"/>
  <c r="AP274" i="9" s="1"/>
  <c r="AP275" i="9" s="1"/>
  <c r="AP276" i="9" s="1"/>
  <c r="AQ273" i="9"/>
  <c r="AR273" i="9" s="1"/>
  <c r="AP278" i="9"/>
  <c r="AQ278" i="9"/>
  <c r="AR278" i="9" s="1"/>
  <c r="AK11" i="9"/>
  <c r="AK12" i="9" s="1"/>
  <c r="AK13" i="9" s="1"/>
  <c r="AK14" i="9" s="1"/>
  <c r="AK15" i="9" s="1"/>
  <c r="AK16" i="9" s="1"/>
  <c r="AK17" i="9" s="1"/>
  <c r="AK18" i="9" s="1"/>
  <c r="AK19" i="9" s="1"/>
  <c r="AK20" i="9" s="1"/>
  <c r="AK21" i="9" s="1"/>
  <c r="AK22" i="9" s="1"/>
  <c r="AK23" i="9" s="1"/>
  <c r="AK24" i="9" s="1"/>
  <c r="AK25" i="9" s="1"/>
  <c r="AK26" i="9" s="1"/>
  <c r="AK27" i="9" s="1"/>
  <c r="AK28" i="9" s="1"/>
  <c r="AK29" i="9" s="1"/>
  <c r="AK30" i="9" s="1"/>
  <c r="AK31" i="9" s="1"/>
  <c r="AK32" i="9" s="1"/>
  <c r="AK33" i="9" s="1"/>
  <c r="AK34" i="9" s="1"/>
  <c r="AK35" i="9" s="1"/>
  <c r="AK36" i="9" s="1"/>
  <c r="AK37" i="9" s="1"/>
  <c r="AK38" i="9" s="1"/>
  <c r="AK39" i="9" s="1"/>
  <c r="AK40" i="9" s="1"/>
  <c r="AK41" i="9" s="1"/>
  <c r="AK42" i="9" s="1"/>
  <c r="AK43" i="9" s="1"/>
  <c r="AK44" i="9" s="1"/>
  <c r="AK45" i="9" s="1"/>
  <c r="AK46" i="9" s="1"/>
  <c r="AK47" i="9" s="1"/>
  <c r="AK48" i="9" s="1"/>
  <c r="AK49" i="9" s="1"/>
  <c r="AK50" i="9" s="1"/>
  <c r="AK51" i="9" s="1"/>
  <c r="AK52" i="9" s="1"/>
  <c r="AK53" i="9" s="1"/>
  <c r="AK54" i="9" s="1"/>
  <c r="AK55" i="9" s="1"/>
  <c r="AL11" i="9"/>
  <c r="AL12" i="9" s="1"/>
  <c r="AM12" i="9" s="1"/>
  <c r="AK57" i="9"/>
  <c r="AK58" i="9" s="1"/>
  <c r="AK59" i="9" s="1"/>
  <c r="AK60" i="9" s="1"/>
  <c r="AK61" i="9" s="1"/>
  <c r="AK62" i="9" s="1"/>
  <c r="AK63" i="9" s="1"/>
  <c r="AK64" i="9" s="1"/>
  <c r="AK65" i="9" s="1"/>
  <c r="AK66" i="9" s="1"/>
  <c r="AK67" i="9" s="1"/>
  <c r="AK68" i="9" s="1"/>
  <c r="AK69" i="9" s="1"/>
  <c r="AK70" i="9" s="1"/>
  <c r="AK71" i="9" s="1"/>
  <c r="AK72" i="9" s="1"/>
  <c r="AK73" i="9" s="1"/>
  <c r="AK74" i="9" s="1"/>
  <c r="AK75" i="9" s="1"/>
  <c r="AK76" i="9" s="1"/>
  <c r="AK77" i="9" s="1"/>
  <c r="AK78" i="9" s="1"/>
  <c r="AK79" i="9" s="1"/>
  <c r="AK80" i="9" s="1"/>
  <c r="AK81" i="9" s="1"/>
  <c r="AK82" i="9" s="1"/>
  <c r="AK83" i="9" s="1"/>
  <c r="AK84" i="9" s="1"/>
  <c r="AK85" i="9" s="1"/>
  <c r="AK86" i="9" s="1"/>
  <c r="AK87" i="9" s="1"/>
  <c r="AK88" i="9" s="1"/>
  <c r="AK89" i="9" s="1"/>
  <c r="AK90" i="9" s="1"/>
  <c r="AK91" i="9" s="1"/>
  <c r="AK92" i="9" s="1"/>
  <c r="AK93" i="9" s="1"/>
  <c r="AK94" i="9" s="1"/>
  <c r="AL57" i="9"/>
  <c r="AL58" i="9" s="1"/>
  <c r="AM58" i="9" s="1"/>
  <c r="AK96" i="9"/>
  <c r="AK97" i="9" s="1"/>
  <c r="AK98" i="9" s="1"/>
  <c r="AK99" i="9" s="1"/>
  <c r="AK100" i="9" s="1"/>
  <c r="AK101" i="9" s="1"/>
  <c r="AK102" i="9" s="1"/>
  <c r="AK103" i="9" s="1"/>
  <c r="AK104" i="9" s="1"/>
  <c r="AK105" i="9" s="1"/>
  <c r="AK106" i="9" s="1"/>
  <c r="AK107" i="9" s="1"/>
  <c r="AK108" i="9" s="1"/>
  <c r="AK109" i="9" s="1"/>
  <c r="AK110" i="9" s="1"/>
  <c r="AK111" i="9" s="1"/>
  <c r="AK112" i="9" s="1"/>
  <c r="AK113" i="9" s="1"/>
  <c r="AK114" i="9" s="1"/>
  <c r="AK115" i="9" s="1"/>
  <c r="AK116" i="9" s="1"/>
  <c r="AK117" i="9" s="1"/>
  <c r="AK118" i="9" s="1"/>
  <c r="AK119" i="9" s="1"/>
  <c r="AK120" i="9" s="1"/>
  <c r="AK121" i="9" s="1"/>
  <c r="AK122" i="9" s="1"/>
  <c r="AK123" i="9" s="1"/>
  <c r="AK124" i="9" s="1"/>
  <c r="AK125" i="9" s="1"/>
  <c r="AK126" i="9" s="1"/>
  <c r="AK127" i="9" s="1"/>
  <c r="AK128" i="9" s="1"/>
  <c r="AK129" i="9" s="1"/>
  <c r="AK130" i="9" s="1"/>
  <c r="AK131" i="9" s="1"/>
  <c r="AK132" i="9" s="1"/>
  <c r="AK133" i="9" s="1"/>
  <c r="AK134" i="9" s="1"/>
  <c r="AK135" i="9" s="1"/>
  <c r="AK136" i="9" s="1"/>
  <c r="AK137" i="9" s="1"/>
  <c r="AK138" i="9" s="1"/>
  <c r="AK139" i="9" s="1"/>
  <c r="AK140" i="9" s="1"/>
  <c r="AK141" i="9" s="1"/>
  <c r="AK142" i="9" s="1"/>
  <c r="AL96" i="9"/>
  <c r="AL97" i="9" s="1"/>
  <c r="AK144" i="9"/>
  <c r="AK145" i="9" s="1"/>
  <c r="AK146" i="9" s="1"/>
  <c r="AK147" i="9" s="1"/>
  <c r="AK148" i="9" s="1"/>
  <c r="AK149" i="9" s="1"/>
  <c r="AK150" i="9" s="1"/>
  <c r="AK151" i="9" s="1"/>
  <c r="AK152" i="9" s="1"/>
  <c r="AK153" i="9" s="1"/>
  <c r="AK154" i="9" s="1"/>
  <c r="AK155" i="9" s="1"/>
  <c r="AK156" i="9" s="1"/>
  <c r="AK157" i="9" s="1"/>
  <c r="AK158" i="9" s="1"/>
  <c r="AK159" i="9" s="1"/>
  <c r="AK160" i="9" s="1"/>
  <c r="AK161" i="9" s="1"/>
  <c r="AK162" i="9" s="1"/>
  <c r="AK163" i="9" s="1"/>
  <c r="AK164" i="9" s="1"/>
  <c r="AL144" i="9"/>
  <c r="AL145" i="9" s="1"/>
  <c r="AL146" i="9" s="1"/>
  <c r="AL147" i="9" s="1"/>
  <c r="AK166" i="9"/>
  <c r="AK167" i="9" s="1"/>
  <c r="AK168" i="9" s="1"/>
  <c r="AK169" i="9" s="1"/>
  <c r="AK170" i="9" s="1"/>
  <c r="AK171" i="9" s="1"/>
  <c r="AK172" i="9" s="1"/>
  <c r="AK173" i="9" s="1"/>
  <c r="AK174" i="9" s="1"/>
  <c r="AK175" i="9" s="1"/>
  <c r="AK176" i="9" s="1"/>
  <c r="AK177" i="9" s="1"/>
  <c r="AK178" i="9" s="1"/>
  <c r="AK179" i="9" s="1"/>
  <c r="AK180" i="9" s="1"/>
  <c r="AK181" i="9" s="1"/>
  <c r="AK182" i="9" s="1"/>
  <c r="AK183" i="9" s="1"/>
  <c r="AK184" i="9" s="1"/>
  <c r="AK185" i="9" s="1"/>
  <c r="AK186" i="9" s="1"/>
  <c r="AK187" i="9" s="1"/>
  <c r="AK188" i="9" s="1"/>
  <c r="AK189" i="9" s="1"/>
  <c r="AL166" i="9"/>
  <c r="AM166" i="9" s="1"/>
  <c r="AK191" i="9"/>
  <c r="AK192" i="9" s="1"/>
  <c r="AK193" i="9" s="1"/>
  <c r="AK194" i="9" s="1"/>
  <c r="AK195" i="9" s="1"/>
  <c r="AK196" i="9" s="1"/>
  <c r="AK197" i="9" s="1"/>
  <c r="AK198" i="9" s="1"/>
  <c r="AK199" i="9" s="1"/>
  <c r="AK200" i="9" s="1"/>
  <c r="AK201" i="9" s="1"/>
  <c r="AK202" i="9" s="1"/>
  <c r="AK203" i="9" s="1"/>
  <c r="AK204" i="9" s="1"/>
  <c r="AK205" i="9" s="1"/>
  <c r="AK206" i="9" s="1"/>
  <c r="AK207" i="9" s="1"/>
  <c r="AK208" i="9" s="1"/>
  <c r="AL191" i="9"/>
  <c r="AM191" i="9" s="1"/>
  <c r="AK210" i="9"/>
  <c r="AK211" i="9" s="1"/>
  <c r="AK212" i="9" s="1"/>
  <c r="AK213" i="9" s="1"/>
  <c r="AK214" i="9" s="1"/>
  <c r="AK215" i="9" s="1"/>
  <c r="AK216" i="9" s="1"/>
  <c r="AK217" i="9" s="1"/>
  <c r="AK218" i="9" s="1"/>
  <c r="AK219" i="9" s="1"/>
  <c r="AK220" i="9" s="1"/>
  <c r="AK221" i="9" s="1"/>
  <c r="AK222" i="9" s="1"/>
  <c r="AK223" i="9" s="1"/>
  <c r="AK224" i="9" s="1"/>
  <c r="AK225" i="9" s="1"/>
  <c r="AK226" i="9" s="1"/>
  <c r="AK227" i="9" s="1"/>
  <c r="AK228" i="9" s="1"/>
  <c r="AL210" i="9"/>
  <c r="AM210" i="9" s="1"/>
  <c r="AK230" i="9"/>
  <c r="AK231" i="9" s="1"/>
  <c r="AK232" i="9" s="1"/>
  <c r="AK233" i="9" s="1"/>
  <c r="AL230" i="9"/>
  <c r="AM230" i="9" s="1"/>
  <c r="AK235" i="9"/>
  <c r="AK236" i="9" s="1"/>
  <c r="AK237" i="9" s="1"/>
  <c r="AK238" i="9" s="1"/>
  <c r="AL235" i="9"/>
  <c r="AM235" i="9" s="1"/>
  <c r="AK240" i="9"/>
  <c r="AK241" i="9" s="1"/>
  <c r="AL240" i="9"/>
  <c r="AM240" i="9" s="1"/>
  <c r="AK245" i="9"/>
  <c r="AL245" i="9"/>
  <c r="AM245" i="9" s="1"/>
  <c r="AK248" i="9"/>
  <c r="AK249" i="9" s="1"/>
  <c r="AL248" i="9"/>
  <c r="AK251" i="9"/>
  <c r="AL251" i="9"/>
  <c r="AM251" i="9" s="1"/>
  <c r="AK253" i="9"/>
  <c r="AK254" i="9" s="1"/>
  <c r="AK255" i="9" s="1"/>
  <c r="AL253" i="9"/>
  <c r="AM253" i="9" s="1"/>
  <c r="AK257" i="9"/>
  <c r="AK258" i="9" s="1"/>
  <c r="AK259" i="9" s="1"/>
  <c r="AL257" i="9"/>
  <c r="AM257" i="9" s="1"/>
  <c r="AK261" i="9"/>
  <c r="AK262" i="9" s="1"/>
  <c r="AK263" i="9" s="1"/>
  <c r="AK264" i="9" s="1"/>
  <c r="AL261" i="9"/>
  <c r="AM261" i="9" s="1"/>
  <c r="AK266" i="9"/>
  <c r="AK267" i="9" s="1"/>
  <c r="AK268" i="9" s="1"/>
  <c r="AK269" i="9" s="1"/>
  <c r="AK270" i="9" s="1"/>
  <c r="AK271" i="9" s="1"/>
  <c r="AL266" i="9"/>
  <c r="AM266" i="9" s="1"/>
  <c r="AK273" i="9"/>
  <c r="AK274" i="9" s="1"/>
  <c r="AK275" i="9" s="1"/>
  <c r="AK276" i="9" s="1"/>
  <c r="AL273" i="9"/>
  <c r="AM273" i="9" s="1"/>
  <c r="AK278" i="9"/>
  <c r="AL278" i="9"/>
  <c r="AM278" i="9" s="1"/>
  <c r="AF11" i="9"/>
  <c r="AF12" i="9" s="1"/>
  <c r="AF13" i="9" s="1"/>
  <c r="AF14" i="9" s="1"/>
  <c r="AF15" i="9" s="1"/>
  <c r="AF16" i="9" s="1"/>
  <c r="AF17" i="9" s="1"/>
  <c r="AF18" i="9" s="1"/>
  <c r="AF19" i="9" s="1"/>
  <c r="AF20" i="9" s="1"/>
  <c r="AF21" i="9" s="1"/>
  <c r="AF22" i="9" s="1"/>
  <c r="AF23" i="9" s="1"/>
  <c r="AF24" i="9" s="1"/>
  <c r="AF25" i="9" s="1"/>
  <c r="AF26" i="9" s="1"/>
  <c r="AF27" i="9" s="1"/>
  <c r="AF28" i="9" s="1"/>
  <c r="AF29" i="9" s="1"/>
  <c r="AF30" i="9" s="1"/>
  <c r="AF31" i="9" s="1"/>
  <c r="AF32" i="9" s="1"/>
  <c r="AF33" i="9" s="1"/>
  <c r="AF34" i="9" s="1"/>
  <c r="AF35" i="9" s="1"/>
  <c r="AF36" i="9" s="1"/>
  <c r="AF37" i="9" s="1"/>
  <c r="AF38" i="9" s="1"/>
  <c r="AF39" i="9" s="1"/>
  <c r="AF40" i="9" s="1"/>
  <c r="AF41" i="9" s="1"/>
  <c r="AF42" i="9" s="1"/>
  <c r="AF43" i="9" s="1"/>
  <c r="AF44" i="9" s="1"/>
  <c r="AF45" i="9" s="1"/>
  <c r="AF46" i="9" s="1"/>
  <c r="AF47" i="9" s="1"/>
  <c r="AF48" i="9" s="1"/>
  <c r="AF49" i="9" s="1"/>
  <c r="AF50" i="9" s="1"/>
  <c r="AF51" i="9" s="1"/>
  <c r="AF52" i="9" s="1"/>
  <c r="AF53" i="9" s="1"/>
  <c r="AF54" i="9" s="1"/>
  <c r="AF55" i="9" s="1"/>
  <c r="AG11" i="9"/>
  <c r="AG12" i="9" s="1"/>
  <c r="AG13" i="9" s="1"/>
  <c r="AG14" i="9" s="1"/>
  <c r="AG15" i="9" s="1"/>
  <c r="AG16" i="9" s="1"/>
  <c r="AG17" i="9" s="1"/>
  <c r="AG18" i="9" s="1"/>
  <c r="AG19" i="9" s="1"/>
  <c r="AG20" i="9" s="1"/>
  <c r="AG21" i="9" s="1"/>
  <c r="AG22" i="9" s="1"/>
  <c r="AG23" i="9" s="1"/>
  <c r="AG24" i="9" s="1"/>
  <c r="AG25" i="9" s="1"/>
  <c r="AG26" i="9" s="1"/>
  <c r="AG27" i="9" s="1"/>
  <c r="AG28" i="9" s="1"/>
  <c r="AG29" i="9" s="1"/>
  <c r="AG30" i="9" s="1"/>
  <c r="AG31" i="9" s="1"/>
  <c r="AG32" i="9" s="1"/>
  <c r="AG33" i="9" s="1"/>
  <c r="AG34" i="9" s="1"/>
  <c r="AG35" i="9" s="1"/>
  <c r="AG36" i="9" s="1"/>
  <c r="AG37" i="9" s="1"/>
  <c r="AG38" i="9" s="1"/>
  <c r="AG39" i="9" s="1"/>
  <c r="AG40" i="9" s="1"/>
  <c r="AG41" i="9" s="1"/>
  <c r="AG42" i="9" s="1"/>
  <c r="AG43" i="9" s="1"/>
  <c r="AG44" i="9" s="1"/>
  <c r="AG45" i="9" s="1"/>
  <c r="AF57" i="9"/>
  <c r="AF58" i="9" s="1"/>
  <c r="AF59" i="9" s="1"/>
  <c r="AF60" i="9" s="1"/>
  <c r="AF61" i="9" s="1"/>
  <c r="AF62" i="9" s="1"/>
  <c r="AF63" i="9" s="1"/>
  <c r="AF64" i="9" s="1"/>
  <c r="AF65" i="9" s="1"/>
  <c r="AF66" i="9" s="1"/>
  <c r="AF67" i="9" s="1"/>
  <c r="AF68" i="9" s="1"/>
  <c r="AF69" i="9" s="1"/>
  <c r="AF70" i="9" s="1"/>
  <c r="AF71" i="9" s="1"/>
  <c r="AF72" i="9" s="1"/>
  <c r="AF73" i="9" s="1"/>
  <c r="AF74" i="9" s="1"/>
  <c r="AF75" i="9" s="1"/>
  <c r="AF76" i="9" s="1"/>
  <c r="AF77" i="9" s="1"/>
  <c r="AF78" i="9" s="1"/>
  <c r="AF79" i="9" s="1"/>
  <c r="AF80" i="9" s="1"/>
  <c r="AF81" i="9" s="1"/>
  <c r="AF82" i="9" s="1"/>
  <c r="AF83" i="9" s="1"/>
  <c r="AF84" i="9" s="1"/>
  <c r="AF85" i="9" s="1"/>
  <c r="AF86" i="9" s="1"/>
  <c r="AF87" i="9" s="1"/>
  <c r="AF88" i="9" s="1"/>
  <c r="AF89" i="9" s="1"/>
  <c r="AF90" i="9" s="1"/>
  <c r="AF91" i="9" s="1"/>
  <c r="AF92" i="9" s="1"/>
  <c r="AF93" i="9" s="1"/>
  <c r="AF94" i="9" s="1"/>
  <c r="AG57" i="9"/>
  <c r="AG58" i="9" s="1"/>
  <c r="AF96" i="9"/>
  <c r="AF97" i="9" s="1"/>
  <c r="AF98" i="9" s="1"/>
  <c r="AF99" i="9" s="1"/>
  <c r="AF100" i="9" s="1"/>
  <c r="AF101" i="9" s="1"/>
  <c r="AF102" i="9" s="1"/>
  <c r="AF103" i="9" s="1"/>
  <c r="AF104" i="9" s="1"/>
  <c r="AF105" i="9" s="1"/>
  <c r="AF106" i="9" s="1"/>
  <c r="AF107" i="9" s="1"/>
  <c r="AF108" i="9" s="1"/>
  <c r="AF109" i="9" s="1"/>
  <c r="AF110" i="9" s="1"/>
  <c r="AF111" i="9" s="1"/>
  <c r="AF112" i="9" s="1"/>
  <c r="AF113" i="9" s="1"/>
  <c r="AF114" i="9" s="1"/>
  <c r="AF115" i="9" s="1"/>
  <c r="AF116" i="9" s="1"/>
  <c r="AF117" i="9" s="1"/>
  <c r="AF118" i="9" s="1"/>
  <c r="AF119" i="9" s="1"/>
  <c r="AF120" i="9" s="1"/>
  <c r="AF121" i="9" s="1"/>
  <c r="AF122" i="9" s="1"/>
  <c r="AF123" i="9" s="1"/>
  <c r="AF124" i="9" s="1"/>
  <c r="AF125" i="9" s="1"/>
  <c r="AF126" i="9" s="1"/>
  <c r="AF127" i="9" s="1"/>
  <c r="AF128" i="9" s="1"/>
  <c r="AF129" i="9" s="1"/>
  <c r="AF130" i="9" s="1"/>
  <c r="AF131" i="9" s="1"/>
  <c r="AF132" i="9" s="1"/>
  <c r="AF133" i="9" s="1"/>
  <c r="AF134" i="9" s="1"/>
  <c r="AF135" i="9" s="1"/>
  <c r="AF136" i="9" s="1"/>
  <c r="AF137" i="9" s="1"/>
  <c r="AF138" i="9" s="1"/>
  <c r="AF139" i="9" s="1"/>
  <c r="AF140" i="9" s="1"/>
  <c r="AF141" i="9" s="1"/>
  <c r="AF142" i="9" s="1"/>
  <c r="AG96" i="9"/>
  <c r="AG97" i="9" s="1"/>
  <c r="AH97" i="9" s="1"/>
  <c r="AF144" i="9"/>
  <c r="AF145" i="9" s="1"/>
  <c r="AF146" i="9" s="1"/>
  <c r="AF147" i="9" s="1"/>
  <c r="AF148" i="9" s="1"/>
  <c r="AF149" i="9" s="1"/>
  <c r="AF150" i="9" s="1"/>
  <c r="AF151" i="9" s="1"/>
  <c r="AF152" i="9" s="1"/>
  <c r="AF153" i="9" s="1"/>
  <c r="AF154" i="9" s="1"/>
  <c r="AF155" i="9" s="1"/>
  <c r="AF156" i="9" s="1"/>
  <c r="AF157" i="9" s="1"/>
  <c r="AF158" i="9" s="1"/>
  <c r="AF159" i="9" s="1"/>
  <c r="AF160" i="9" s="1"/>
  <c r="AF161" i="9" s="1"/>
  <c r="AF162" i="9" s="1"/>
  <c r="AF163" i="9" s="1"/>
  <c r="AF164" i="9" s="1"/>
  <c r="AG144" i="9"/>
  <c r="AG145" i="9" s="1"/>
  <c r="AF166" i="9"/>
  <c r="AF167" i="9" s="1"/>
  <c r="AF168" i="9" s="1"/>
  <c r="AF169" i="9" s="1"/>
  <c r="AF170" i="9" s="1"/>
  <c r="AF171" i="9" s="1"/>
  <c r="AF172" i="9" s="1"/>
  <c r="AF173" i="9" s="1"/>
  <c r="AF174" i="9" s="1"/>
  <c r="AF175" i="9" s="1"/>
  <c r="AF176" i="9" s="1"/>
  <c r="AF177" i="9" s="1"/>
  <c r="AF178" i="9" s="1"/>
  <c r="AF179" i="9" s="1"/>
  <c r="AF180" i="9" s="1"/>
  <c r="AF181" i="9" s="1"/>
  <c r="AF182" i="9" s="1"/>
  <c r="AF183" i="9" s="1"/>
  <c r="AF184" i="9" s="1"/>
  <c r="AF185" i="9" s="1"/>
  <c r="AF186" i="9" s="1"/>
  <c r="AF187" i="9" s="1"/>
  <c r="AF188" i="9" s="1"/>
  <c r="AF189" i="9" s="1"/>
  <c r="AG166" i="9"/>
  <c r="AF191" i="9"/>
  <c r="AF192" i="9" s="1"/>
  <c r="AF193" i="9" s="1"/>
  <c r="AF194" i="9" s="1"/>
  <c r="AF195" i="9" s="1"/>
  <c r="AF196" i="9" s="1"/>
  <c r="AF197" i="9" s="1"/>
  <c r="AF198" i="9" s="1"/>
  <c r="AF199" i="9" s="1"/>
  <c r="AF200" i="9" s="1"/>
  <c r="AF201" i="9" s="1"/>
  <c r="AF202" i="9" s="1"/>
  <c r="AF203" i="9" s="1"/>
  <c r="AF204" i="9" s="1"/>
  <c r="AF205" i="9" s="1"/>
  <c r="AF206" i="9" s="1"/>
  <c r="AF207" i="9" s="1"/>
  <c r="AF208" i="9" s="1"/>
  <c r="AG191" i="9"/>
  <c r="AH191" i="9" s="1"/>
  <c r="AF210" i="9"/>
  <c r="AF211" i="9" s="1"/>
  <c r="AF212" i="9" s="1"/>
  <c r="AF213" i="9" s="1"/>
  <c r="AF214" i="9" s="1"/>
  <c r="AF215" i="9" s="1"/>
  <c r="AF216" i="9" s="1"/>
  <c r="AF217" i="9" s="1"/>
  <c r="AF218" i="9" s="1"/>
  <c r="AF219" i="9" s="1"/>
  <c r="AF220" i="9" s="1"/>
  <c r="AF221" i="9" s="1"/>
  <c r="AF222" i="9" s="1"/>
  <c r="AF223" i="9" s="1"/>
  <c r="AF224" i="9" s="1"/>
  <c r="AF225" i="9" s="1"/>
  <c r="AF226" i="9" s="1"/>
  <c r="AF227" i="9" s="1"/>
  <c r="AF228" i="9" s="1"/>
  <c r="AG210" i="9"/>
  <c r="AH210" i="9" s="1"/>
  <c r="AF230" i="9"/>
  <c r="AF231" i="9" s="1"/>
  <c r="AF232" i="9" s="1"/>
  <c r="AF233" i="9" s="1"/>
  <c r="AG230" i="9"/>
  <c r="AH230" i="9" s="1"/>
  <c r="AF235" i="9"/>
  <c r="AF236" i="9" s="1"/>
  <c r="AF237" i="9" s="1"/>
  <c r="AF238" i="9" s="1"/>
  <c r="AG235" i="9"/>
  <c r="AF240" i="9"/>
  <c r="AF241" i="9" s="1"/>
  <c r="AG240" i="9"/>
  <c r="AF245" i="9"/>
  <c r="AG245" i="9"/>
  <c r="AH245" i="9" s="1"/>
  <c r="AF248" i="9"/>
  <c r="AF249" i="9" s="1"/>
  <c r="AG248" i="9"/>
  <c r="AG249" i="9" s="1"/>
  <c r="AH249" i="9" s="1"/>
  <c r="AF251" i="9"/>
  <c r="AG251" i="9"/>
  <c r="AH251" i="9" s="1"/>
  <c r="AF253" i="9"/>
  <c r="AF254" i="9" s="1"/>
  <c r="AF255" i="9" s="1"/>
  <c r="AG253" i="9"/>
  <c r="AG254" i="9" s="1"/>
  <c r="AF257" i="9"/>
  <c r="AF258" i="9" s="1"/>
  <c r="AF259" i="9" s="1"/>
  <c r="AG257" i="9"/>
  <c r="AH257" i="9" s="1"/>
  <c r="AF261" i="9"/>
  <c r="AF262" i="9" s="1"/>
  <c r="AF263" i="9" s="1"/>
  <c r="AF264" i="9" s="1"/>
  <c r="AG261" i="9"/>
  <c r="AF266" i="9"/>
  <c r="AF267" i="9" s="1"/>
  <c r="AF268" i="9" s="1"/>
  <c r="AF269" i="9" s="1"/>
  <c r="AF270" i="9" s="1"/>
  <c r="AF271" i="9" s="1"/>
  <c r="AG266" i="9"/>
  <c r="AH266" i="9" s="1"/>
  <c r="AF273" i="9"/>
  <c r="AF274" i="9" s="1"/>
  <c r="AF275" i="9" s="1"/>
  <c r="AF276" i="9" s="1"/>
  <c r="AG273" i="9"/>
  <c r="AH273" i="9" s="1"/>
  <c r="AF278" i="9"/>
  <c r="AG278" i="9"/>
  <c r="AH278" i="9" s="1"/>
  <c r="AG11" i="5"/>
  <c r="X294" i="9"/>
  <c r="W294" i="9"/>
  <c r="X293" i="9"/>
  <c r="W293" i="9"/>
  <c r="X292" i="9"/>
  <c r="W292" i="9"/>
  <c r="X291" i="9"/>
  <c r="W291" i="9"/>
  <c r="X290" i="9"/>
  <c r="W290" i="9"/>
  <c r="X289" i="9"/>
  <c r="W289" i="9"/>
  <c r="X288" i="9"/>
  <c r="W288" i="9"/>
  <c r="X287" i="9"/>
  <c r="W287" i="9"/>
  <c r="X286" i="9"/>
  <c r="W286" i="9"/>
  <c r="X285" i="9"/>
  <c r="W285" i="9"/>
  <c r="X284" i="9"/>
  <c r="W284" i="9"/>
  <c r="X283" i="9"/>
  <c r="W283" i="9"/>
  <c r="X282" i="9"/>
  <c r="W282" i="9"/>
  <c r="X281" i="9"/>
  <c r="W281" i="9"/>
  <c r="X280" i="9"/>
  <c r="W280" i="9"/>
  <c r="X279" i="9"/>
  <c r="W279" i="9"/>
  <c r="X246" i="9"/>
  <c r="W246" i="9"/>
  <c r="X243" i="9"/>
  <c r="W243" i="9"/>
  <c r="X242" i="9"/>
  <c r="W242" i="9"/>
  <c r="X143" i="9"/>
  <c r="W143" i="9"/>
  <c r="X95" i="9"/>
  <c r="W95" i="9"/>
  <c r="X56" i="9"/>
  <c r="W56" i="9"/>
  <c r="X10" i="9"/>
  <c r="W10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7" i="9"/>
  <c r="K278" i="9" s="1"/>
  <c r="L278" i="9" s="1"/>
  <c r="N278" i="9" s="1"/>
  <c r="K272" i="9"/>
  <c r="K273" i="9" s="1"/>
  <c r="K265" i="9"/>
  <c r="K266" i="9" s="1"/>
  <c r="K260" i="9"/>
  <c r="K261" i="9" s="1"/>
  <c r="K262" i="9" s="1"/>
  <c r="K256" i="9"/>
  <c r="K257" i="9" s="1"/>
  <c r="K252" i="9"/>
  <c r="K253" i="9" s="1"/>
  <c r="K250" i="9"/>
  <c r="K251" i="9" s="1"/>
  <c r="L251" i="9" s="1"/>
  <c r="N251" i="9" s="1"/>
  <c r="K247" i="9"/>
  <c r="K248" i="9" s="1"/>
  <c r="K249" i="9" s="1"/>
  <c r="L249" i="9" s="1"/>
  <c r="N249" i="9" s="1"/>
  <c r="K246" i="9"/>
  <c r="K244" i="9"/>
  <c r="K245" i="9" s="1"/>
  <c r="L245" i="9" s="1"/>
  <c r="N245" i="9" s="1"/>
  <c r="K243" i="9"/>
  <c r="K242" i="9"/>
  <c r="K239" i="9"/>
  <c r="K240" i="9" s="1"/>
  <c r="K241" i="9" s="1"/>
  <c r="L241" i="9" s="1"/>
  <c r="N241" i="9" s="1"/>
  <c r="K234" i="9"/>
  <c r="K235" i="9" s="1"/>
  <c r="K229" i="9"/>
  <c r="K230" i="9" s="1"/>
  <c r="K209" i="9"/>
  <c r="K210" i="9" s="1"/>
  <c r="K190" i="9"/>
  <c r="K191" i="9" s="1"/>
  <c r="K192" i="9" s="1"/>
  <c r="K165" i="9"/>
  <c r="K166" i="9" s="1"/>
  <c r="K167" i="9" s="1"/>
  <c r="K143" i="9"/>
  <c r="K144" i="9" s="1"/>
  <c r="K145" i="9" s="1"/>
  <c r="K95" i="9"/>
  <c r="K96" i="9" s="1"/>
  <c r="K97" i="9" s="1"/>
  <c r="K56" i="9"/>
  <c r="K57" i="9" s="1"/>
  <c r="K58" i="9" s="1"/>
  <c r="K10" i="9"/>
  <c r="K11" i="9" s="1"/>
  <c r="K12" i="9" s="1"/>
  <c r="T264" i="9"/>
  <c r="AL530" i="9" l="1"/>
  <c r="AM530" i="9" s="1"/>
  <c r="AR673" i="9"/>
  <c r="AG456" i="9"/>
  <c r="AH456" i="9" s="1"/>
  <c r="CF469" i="9"/>
  <c r="AV524" i="9"/>
  <c r="AV525" i="9" s="1"/>
  <c r="AW525" i="9" s="1"/>
  <c r="AM455" i="9"/>
  <c r="AW437" i="9"/>
  <c r="AW529" i="9"/>
  <c r="AH671" i="9"/>
  <c r="AW672" i="9"/>
  <c r="AH726" i="9"/>
  <c r="N706" i="9"/>
  <c r="AG690" i="9"/>
  <c r="AH690" i="9" s="1"/>
  <c r="N688" i="9"/>
  <c r="AM627" i="9"/>
  <c r="L517" i="9"/>
  <c r="K518" i="9"/>
  <c r="L518" i="9" s="1"/>
  <c r="N518" i="9" s="1"/>
  <c r="AV721" i="9"/>
  <c r="AW720" i="9"/>
  <c r="AQ420" i="9"/>
  <c r="AR419" i="9"/>
  <c r="AH342" i="9"/>
  <c r="AG343" i="9"/>
  <c r="AQ438" i="9"/>
  <c r="AR437" i="9"/>
  <c r="AR299" i="9"/>
  <c r="AQ300" i="9"/>
  <c r="AL720" i="9"/>
  <c r="AM719" i="9"/>
  <c r="AR626" i="9"/>
  <c r="AQ627" i="9"/>
  <c r="AM470" i="9"/>
  <c r="AL471" i="9"/>
  <c r="AL419" i="9"/>
  <c r="AM418" i="9"/>
  <c r="K437" i="9"/>
  <c r="L436" i="9"/>
  <c r="CF516" i="9"/>
  <c r="N516" i="9"/>
  <c r="AL629" i="9"/>
  <c r="AM628" i="9"/>
  <c r="CF435" i="9"/>
  <c r="N435" i="9"/>
  <c r="AQ555" i="9"/>
  <c r="AR554" i="9"/>
  <c r="N715" i="9"/>
  <c r="U715" i="9"/>
  <c r="AG648" i="9"/>
  <c r="AH647" i="9"/>
  <c r="AH596" i="9"/>
  <c r="AG597" i="9"/>
  <c r="AL555" i="9"/>
  <c r="AM554" i="9"/>
  <c r="AL660" i="9"/>
  <c r="AM659" i="9"/>
  <c r="AG628" i="9"/>
  <c r="AH627" i="9"/>
  <c r="AG554" i="9"/>
  <c r="AH553" i="9"/>
  <c r="AV664" i="9"/>
  <c r="AW663" i="9"/>
  <c r="AM647" i="9"/>
  <c r="AL648" i="9"/>
  <c r="CF594" i="9"/>
  <c r="N594" i="9"/>
  <c r="AW648" i="9"/>
  <c r="AV649" i="9"/>
  <c r="AR720" i="9"/>
  <c r="AQ721" i="9"/>
  <c r="AG673" i="9"/>
  <c r="AH672" i="9"/>
  <c r="K596" i="9"/>
  <c r="L595" i="9"/>
  <c r="AQ660" i="9"/>
  <c r="AR659" i="9"/>
  <c r="CF553" i="9"/>
  <c r="N553" i="9"/>
  <c r="L719" i="9"/>
  <c r="K720" i="9"/>
  <c r="K628" i="9"/>
  <c r="L627" i="9"/>
  <c r="AQ690" i="9"/>
  <c r="AR690" i="9" s="1"/>
  <c r="AR689" i="9"/>
  <c r="AG661" i="9"/>
  <c r="AH660" i="9"/>
  <c r="AL596" i="9"/>
  <c r="AM595" i="9"/>
  <c r="K555" i="9"/>
  <c r="L554" i="9"/>
  <c r="CF718" i="9"/>
  <c r="N718" i="9"/>
  <c r="CF626" i="9"/>
  <c r="N626" i="9"/>
  <c r="AV690" i="9"/>
  <c r="AW690" i="9" s="1"/>
  <c r="AW689" i="9"/>
  <c r="CF645" i="9"/>
  <c r="N645" i="9"/>
  <c r="CF690" i="9"/>
  <c r="N690" i="9"/>
  <c r="AW726" i="9"/>
  <c r="AV727" i="9"/>
  <c r="AW727" i="9" s="1"/>
  <c r="AV674" i="9"/>
  <c r="AW673" i="9"/>
  <c r="K647" i="9"/>
  <c r="L646" i="9"/>
  <c r="N727" i="9"/>
  <c r="AQ649" i="9"/>
  <c r="AR648" i="9"/>
  <c r="N689" i="9"/>
  <c r="CF689" i="9"/>
  <c r="AR674" i="9"/>
  <c r="AQ675" i="9"/>
  <c r="CF726" i="9"/>
  <c r="N726" i="9"/>
  <c r="AL715" i="9"/>
  <c r="AM715" i="9" s="1"/>
  <c r="AM714" i="9"/>
  <c r="AQ596" i="9"/>
  <c r="AR595" i="9"/>
  <c r="AL673" i="9"/>
  <c r="AM672" i="9"/>
  <c r="AW714" i="9"/>
  <c r="AV715" i="9"/>
  <c r="AW715" i="9" s="1"/>
  <c r="CF673" i="9"/>
  <c r="N673" i="9"/>
  <c r="AV627" i="9"/>
  <c r="AW626" i="9"/>
  <c r="AQ695" i="9"/>
  <c r="AR695" i="9" s="1"/>
  <c r="AR694" i="9"/>
  <c r="AV554" i="9"/>
  <c r="AW553" i="9"/>
  <c r="L674" i="9"/>
  <c r="K675" i="9"/>
  <c r="AL695" i="9"/>
  <c r="AM695" i="9" s="1"/>
  <c r="AM694" i="9"/>
  <c r="CF658" i="9"/>
  <c r="N658" i="9"/>
  <c r="N714" i="9"/>
  <c r="CF714" i="9"/>
  <c r="K660" i="9"/>
  <c r="L659" i="9"/>
  <c r="AW595" i="9"/>
  <c r="AV596" i="9"/>
  <c r="AG715" i="9"/>
  <c r="AH715" i="9" s="1"/>
  <c r="AH714" i="9"/>
  <c r="AG300" i="9"/>
  <c r="AH299" i="9"/>
  <c r="AH437" i="9"/>
  <c r="AG438" i="9"/>
  <c r="K472" i="9"/>
  <c r="L471" i="9"/>
  <c r="L342" i="9"/>
  <c r="K343" i="9"/>
  <c r="AW419" i="9"/>
  <c r="AV420" i="9"/>
  <c r="AV439" i="9"/>
  <c r="AW438" i="9"/>
  <c r="CF512" i="9"/>
  <c r="N512" i="9"/>
  <c r="CF470" i="9"/>
  <c r="N470" i="9"/>
  <c r="CF341" i="9"/>
  <c r="N341" i="9"/>
  <c r="AL457" i="9"/>
  <c r="AM456" i="9"/>
  <c r="CF528" i="9"/>
  <c r="N528" i="9"/>
  <c r="AQ343" i="9"/>
  <c r="AR342" i="9"/>
  <c r="K530" i="9"/>
  <c r="L530" i="9" s="1"/>
  <c r="L529" i="9"/>
  <c r="AQ458" i="9"/>
  <c r="AR457" i="9"/>
  <c r="AG475" i="9"/>
  <c r="AH474" i="9"/>
  <c r="AV487" i="9"/>
  <c r="AW487" i="9" s="1"/>
  <c r="AW486" i="9"/>
  <c r="AM439" i="9"/>
  <c r="AL440" i="9"/>
  <c r="AL376" i="9"/>
  <c r="AM375" i="9"/>
  <c r="AG518" i="9"/>
  <c r="AH518" i="9" s="1"/>
  <c r="AH517" i="9"/>
  <c r="CF298" i="9"/>
  <c r="N298" i="9"/>
  <c r="AG376" i="9"/>
  <c r="AH375" i="9"/>
  <c r="K300" i="9"/>
  <c r="L299" i="9"/>
  <c r="L486" i="9"/>
  <c r="K487" i="9"/>
  <c r="L487" i="9" s="1"/>
  <c r="AR523" i="9"/>
  <c r="AQ524" i="9"/>
  <c r="AL518" i="9"/>
  <c r="AM518" i="9" s="1"/>
  <c r="AM517" i="9"/>
  <c r="AL300" i="9"/>
  <c r="AM299" i="9"/>
  <c r="CF485" i="9"/>
  <c r="N485" i="9"/>
  <c r="AW456" i="9"/>
  <c r="AV457" i="9"/>
  <c r="AL523" i="9"/>
  <c r="AM522" i="9"/>
  <c r="AQ473" i="9"/>
  <c r="AR472" i="9"/>
  <c r="N491" i="9"/>
  <c r="CF491" i="9"/>
  <c r="N521" i="9"/>
  <c r="CF521" i="9"/>
  <c r="AG419" i="9"/>
  <c r="AH418" i="9"/>
  <c r="AV376" i="9"/>
  <c r="AW375" i="9"/>
  <c r="AR375" i="9"/>
  <c r="AQ376" i="9"/>
  <c r="AV471" i="9"/>
  <c r="AW470" i="9"/>
  <c r="AV300" i="9"/>
  <c r="AW299" i="9"/>
  <c r="N492" i="9"/>
  <c r="L522" i="9"/>
  <c r="K523" i="9"/>
  <c r="L455" i="9"/>
  <c r="K456" i="9"/>
  <c r="AW344" i="9"/>
  <c r="AV345" i="9"/>
  <c r="L418" i="9"/>
  <c r="K419" i="9"/>
  <c r="K376" i="9"/>
  <c r="L375" i="9"/>
  <c r="AV518" i="9"/>
  <c r="AW518" i="9" s="1"/>
  <c r="AW517" i="9"/>
  <c r="CF508" i="9"/>
  <c r="N508" i="9"/>
  <c r="CF454" i="9"/>
  <c r="N454" i="9"/>
  <c r="AM342" i="9"/>
  <c r="AL343" i="9"/>
  <c r="AG525" i="9"/>
  <c r="AH525" i="9" s="1"/>
  <c r="AH524" i="9"/>
  <c r="CF417" i="9"/>
  <c r="N417" i="9"/>
  <c r="CF374" i="9"/>
  <c r="N374" i="9"/>
  <c r="CF509" i="9"/>
  <c r="N509" i="9"/>
  <c r="N513" i="9"/>
  <c r="CF513" i="9"/>
  <c r="AQ274" i="9"/>
  <c r="AR274" i="9" s="1"/>
  <c r="AL267" i="9"/>
  <c r="AM267" i="9" s="1"/>
  <c r="AL274" i="9"/>
  <c r="AL275" i="9" s="1"/>
  <c r="AG211" i="9"/>
  <c r="AG212" i="9" s="1"/>
  <c r="AH212" i="9" s="1"/>
  <c r="AQ13" i="9"/>
  <c r="AQ14" i="9" s="1"/>
  <c r="AQ167" i="9"/>
  <c r="AR167" i="9" s="1"/>
  <c r="AL231" i="9"/>
  <c r="AL232" i="9" s="1"/>
  <c r="AQ236" i="9"/>
  <c r="AQ237" i="9" s="1"/>
  <c r="AV258" i="9"/>
  <c r="AV259" i="9" s="1"/>
  <c r="AW259" i="9" s="1"/>
  <c r="AH23" i="9"/>
  <c r="AQ59" i="9"/>
  <c r="AR59" i="9" s="1"/>
  <c r="AL262" i="9"/>
  <c r="AM262" i="9" s="1"/>
  <c r="AH36" i="9"/>
  <c r="AV249" i="9"/>
  <c r="AW249" i="9" s="1"/>
  <c r="AH39" i="9"/>
  <c r="AL258" i="9"/>
  <c r="AL259" i="9" s="1"/>
  <c r="AM259" i="9" s="1"/>
  <c r="AQ254" i="9"/>
  <c r="AQ255" i="9" s="1"/>
  <c r="AR255" i="9" s="1"/>
  <c r="AV192" i="9"/>
  <c r="AV193" i="9" s="1"/>
  <c r="AG258" i="9"/>
  <c r="AL254" i="9"/>
  <c r="AL255" i="9" s="1"/>
  <c r="AM255" i="9" s="1"/>
  <c r="AQ231" i="9"/>
  <c r="AR231" i="9" s="1"/>
  <c r="AV236" i="9"/>
  <c r="AW236" i="9" s="1"/>
  <c r="AH14" i="9"/>
  <c r="AH26" i="9"/>
  <c r="AQ146" i="9"/>
  <c r="AR145" i="9"/>
  <c r="AL98" i="9"/>
  <c r="AM97" i="9"/>
  <c r="AQ249" i="9"/>
  <c r="AR249" i="9" s="1"/>
  <c r="AR248" i="9"/>
  <c r="AV59" i="9"/>
  <c r="AW58" i="9"/>
  <c r="AV231" i="9"/>
  <c r="AW230" i="9"/>
  <c r="AV167" i="9"/>
  <c r="AW166" i="9"/>
  <c r="AH12" i="9"/>
  <c r="AH24" i="9"/>
  <c r="AH37" i="9"/>
  <c r="AG267" i="9"/>
  <c r="AG167" i="9"/>
  <c r="AH166" i="9"/>
  <c r="AG59" i="9"/>
  <c r="AH58" i="9"/>
  <c r="AL249" i="9"/>
  <c r="AM249" i="9" s="1"/>
  <c r="AM248" i="9"/>
  <c r="AL167" i="9"/>
  <c r="AL59" i="9"/>
  <c r="AV262" i="9"/>
  <c r="AH13" i="9"/>
  <c r="AH25" i="9"/>
  <c r="AH38" i="9"/>
  <c r="AG146" i="9"/>
  <c r="AH145" i="9"/>
  <c r="AQ241" i="9"/>
  <c r="AR241" i="9" s="1"/>
  <c r="AV13" i="9"/>
  <c r="AW12" i="9"/>
  <c r="AH15" i="9"/>
  <c r="AH28" i="9"/>
  <c r="AH40" i="9"/>
  <c r="AH248" i="9"/>
  <c r="AQ258" i="9"/>
  <c r="AR257" i="9"/>
  <c r="AV211" i="9"/>
  <c r="AW210" i="9"/>
  <c r="AG46" i="9"/>
  <c r="AH45" i="9"/>
  <c r="AV241" i="9"/>
  <c r="AW241" i="9" s="1"/>
  <c r="AW240" i="9"/>
  <c r="AH16" i="9"/>
  <c r="AH29" i="9"/>
  <c r="AH42" i="9"/>
  <c r="AG262" i="9"/>
  <c r="AH261" i="9"/>
  <c r="AG98" i="9"/>
  <c r="AH98" i="9" s="1"/>
  <c r="AL241" i="9"/>
  <c r="AM241" i="9" s="1"/>
  <c r="AL211" i="9"/>
  <c r="AL13" i="9"/>
  <c r="AQ267" i="9"/>
  <c r="AQ211" i="9"/>
  <c r="AR210" i="9"/>
  <c r="AV146" i="9"/>
  <c r="AW145" i="9"/>
  <c r="AH17" i="9"/>
  <c r="AH30" i="9"/>
  <c r="AH43" i="9"/>
  <c r="AH253" i="9"/>
  <c r="AV274" i="9"/>
  <c r="AW273" i="9"/>
  <c r="AH18" i="9"/>
  <c r="AH31" i="9"/>
  <c r="AH44" i="9"/>
  <c r="AG241" i="9"/>
  <c r="AH241" i="9" s="1"/>
  <c r="AH240" i="9"/>
  <c r="AV254" i="9"/>
  <c r="AW253" i="9"/>
  <c r="AH19" i="9"/>
  <c r="AH32" i="9"/>
  <c r="AM145" i="9"/>
  <c r="AG274" i="9"/>
  <c r="AL148" i="9"/>
  <c r="AM147" i="9"/>
  <c r="AV98" i="9"/>
  <c r="AW97" i="9"/>
  <c r="AH20" i="9"/>
  <c r="AH33" i="9"/>
  <c r="AM146" i="9"/>
  <c r="AG255" i="9"/>
  <c r="AH255" i="9" s="1"/>
  <c r="AH254" i="9"/>
  <c r="AG236" i="9"/>
  <c r="AH235" i="9"/>
  <c r="AL236" i="9"/>
  <c r="AL192" i="9"/>
  <c r="AQ192" i="9"/>
  <c r="AR191" i="9"/>
  <c r="AQ98" i="9"/>
  <c r="AR97" i="9"/>
  <c r="AV267" i="9"/>
  <c r="AW266" i="9"/>
  <c r="AH21" i="9"/>
  <c r="AH34" i="9"/>
  <c r="AQ262" i="9"/>
  <c r="AR261" i="9"/>
  <c r="AH22" i="9"/>
  <c r="AH35" i="9"/>
  <c r="AG231" i="9"/>
  <c r="AG192" i="9"/>
  <c r="V264" i="9"/>
  <c r="K146" i="9"/>
  <c r="L145" i="9"/>
  <c r="CF145" i="9" s="1"/>
  <c r="L235" i="9"/>
  <c r="CF235" i="9" s="1"/>
  <c r="K236" i="9"/>
  <c r="K98" i="9"/>
  <c r="L97" i="9"/>
  <c r="CF97" i="9" s="1"/>
  <c r="K274" i="9"/>
  <c r="L273" i="9"/>
  <c r="L166" i="9"/>
  <c r="K193" i="9"/>
  <c r="L192" i="9"/>
  <c r="K258" i="9"/>
  <c r="L257" i="9"/>
  <c r="K254" i="9"/>
  <c r="L253" i="9"/>
  <c r="N253" i="9" s="1"/>
  <c r="K211" i="9"/>
  <c r="L210" i="9"/>
  <c r="CF210" i="9" s="1"/>
  <c r="K263" i="9"/>
  <c r="L262" i="9"/>
  <c r="L240" i="9"/>
  <c r="K168" i="9"/>
  <c r="L167" i="9"/>
  <c r="K231" i="9"/>
  <c r="L230" i="9"/>
  <c r="L191" i="9"/>
  <c r="CF191" i="9" s="1"/>
  <c r="L248" i="9"/>
  <c r="L261" i="9"/>
  <c r="K267" i="9"/>
  <c r="L266" i="9"/>
  <c r="N266" i="9" s="1"/>
  <c r="K13" i="9"/>
  <c r="L12" i="9"/>
  <c r="CF12" i="9" s="1"/>
  <c r="K59" i="9"/>
  <c r="L58" i="9"/>
  <c r="N58" i="9" s="1"/>
  <c r="CF278" i="9"/>
  <c r="M274" i="9"/>
  <c r="M267" i="9"/>
  <c r="CF251" i="9"/>
  <c r="CF245" i="9"/>
  <c r="CF241" i="9"/>
  <c r="AG457" i="9" l="1"/>
  <c r="AG458" i="9" s="1"/>
  <c r="AH458" i="9" s="1"/>
  <c r="AW524" i="9"/>
  <c r="AQ275" i="9"/>
  <c r="AQ276" i="9" s="1"/>
  <c r="AR276" i="9" s="1"/>
  <c r="AW192" i="9"/>
  <c r="AL268" i="9"/>
  <c r="AL269" i="9" s="1"/>
  <c r="CF436" i="9"/>
  <c r="N436" i="9"/>
  <c r="AH211" i="9"/>
  <c r="AR300" i="9"/>
  <c r="AQ301" i="9"/>
  <c r="K438" i="9"/>
  <c r="L437" i="9"/>
  <c r="AQ439" i="9"/>
  <c r="AR438" i="9"/>
  <c r="AG344" i="9"/>
  <c r="AH343" i="9"/>
  <c r="AM419" i="9"/>
  <c r="AL420" i="9"/>
  <c r="AL472" i="9"/>
  <c r="AM471" i="9"/>
  <c r="AQ421" i="9"/>
  <c r="AR420" i="9"/>
  <c r="AQ628" i="9"/>
  <c r="AR627" i="9"/>
  <c r="AV722" i="9"/>
  <c r="AW722" i="9" s="1"/>
  <c r="AW721" i="9"/>
  <c r="AL630" i="9"/>
  <c r="AM629" i="9"/>
  <c r="AM720" i="9"/>
  <c r="AL721" i="9"/>
  <c r="CF517" i="9"/>
  <c r="N517" i="9"/>
  <c r="AL674" i="9"/>
  <c r="AM673" i="9"/>
  <c r="AR660" i="9"/>
  <c r="AQ661" i="9"/>
  <c r="AL556" i="9"/>
  <c r="AM555" i="9"/>
  <c r="AG555" i="9"/>
  <c r="AH554" i="9"/>
  <c r="CF659" i="9"/>
  <c r="N659" i="9"/>
  <c r="AV628" i="9"/>
  <c r="AW627" i="9"/>
  <c r="AQ597" i="9"/>
  <c r="AR596" i="9"/>
  <c r="CF646" i="9"/>
  <c r="N646" i="9"/>
  <c r="CF627" i="9"/>
  <c r="N627" i="9"/>
  <c r="AV650" i="9"/>
  <c r="AW649" i="9"/>
  <c r="AG598" i="9"/>
  <c r="AH597" i="9"/>
  <c r="L660" i="9"/>
  <c r="K661" i="9"/>
  <c r="L675" i="9"/>
  <c r="K676" i="9"/>
  <c r="L647" i="9"/>
  <c r="K648" i="9"/>
  <c r="CF554" i="9"/>
  <c r="N554" i="9"/>
  <c r="K629" i="9"/>
  <c r="L628" i="9"/>
  <c r="AG629" i="9"/>
  <c r="AH628" i="9"/>
  <c r="N674" i="9"/>
  <c r="CF674" i="9"/>
  <c r="K556" i="9"/>
  <c r="L555" i="9"/>
  <c r="L720" i="9"/>
  <c r="K721" i="9"/>
  <c r="AR675" i="9"/>
  <c r="AQ676" i="9"/>
  <c r="CF719" i="9"/>
  <c r="N719" i="9"/>
  <c r="AW674" i="9"/>
  <c r="AV675" i="9"/>
  <c r="CF595" i="9"/>
  <c r="N595" i="9"/>
  <c r="AM660" i="9"/>
  <c r="AL661" i="9"/>
  <c r="AG649" i="9"/>
  <c r="AH648" i="9"/>
  <c r="K597" i="9"/>
  <c r="L596" i="9"/>
  <c r="AL597" i="9"/>
  <c r="AM596" i="9"/>
  <c r="AM648" i="9"/>
  <c r="AL649" i="9"/>
  <c r="AI715" i="9"/>
  <c r="AW554" i="9"/>
  <c r="AV555" i="9"/>
  <c r="AV597" i="9"/>
  <c r="AW596" i="9"/>
  <c r="AH673" i="9"/>
  <c r="AG674" i="9"/>
  <c r="AQ650" i="9"/>
  <c r="AR649" i="9"/>
  <c r="AH661" i="9"/>
  <c r="AG662" i="9"/>
  <c r="AR721" i="9"/>
  <c r="AQ722" i="9"/>
  <c r="AR722" i="9" s="1"/>
  <c r="AV665" i="9"/>
  <c r="AW664" i="9"/>
  <c r="AQ556" i="9"/>
  <c r="AR555" i="9"/>
  <c r="AV421" i="9"/>
  <c r="AW420" i="9"/>
  <c r="K420" i="9"/>
  <c r="L419" i="9"/>
  <c r="AR376" i="9"/>
  <c r="AQ377" i="9"/>
  <c r="AV458" i="9"/>
  <c r="AW457" i="9"/>
  <c r="CF418" i="9"/>
  <c r="N418" i="9"/>
  <c r="L523" i="9"/>
  <c r="K524" i="9"/>
  <c r="L343" i="9"/>
  <c r="K344" i="9"/>
  <c r="N522" i="9"/>
  <c r="CF522" i="9"/>
  <c r="AR524" i="9"/>
  <c r="AQ525" i="9"/>
  <c r="AR525" i="9" s="1"/>
  <c r="CF342" i="9"/>
  <c r="N342" i="9"/>
  <c r="AW376" i="9"/>
  <c r="AV377" i="9"/>
  <c r="AM376" i="9"/>
  <c r="AL377" i="9"/>
  <c r="AR343" i="9"/>
  <c r="AQ344" i="9"/>
  <c r="CF471" i="9"/>
  <c r="N471" i="9"/>
  <c r="AV346" i="9"/>
  <c r="AW345" i="9"/>
  <c r="CF487" i="9"/>
  <c r="N487" i="9"/>
  <c r="AG377" i="9"/>
  <c r="AH376" i="9"/>
  <c r="AG476" i="9"/>
  <c r="AH475" i="9"/>
  <c r="L472" i="9"/>
  <c r="K473" i="9"/>
  <c r="AL301" i="9"/>
  <c r="AM300" i="9"/>
  <c r="CF486" i="9"/>
  <c r="N486" i="9"/>
  <c r="AV301" i="9"/>
  <c r="AW300" i="9"/>
  <c r="AR458" i="9"/>
  <c r="AQ459" i="9"/>
  <c r="AG439" i="9"/>
  <c r="AH438" i="9"/>
  <c r="AH419" i="9"/>
  <c r="AG420" i="9"/>
  <c r="AR473" i="9"/>
  <c r="AQ474" i="9"/>
  <c r="CF529" i="9"/>
  <c r="N529" i="9"/>
  <c r="AM343" i="9"/>
  <c r="AL344" i="9"/>
  <c r="AM523" i="9"/>
  <c r="AL524" i="9"/>
  <c r="CF375" i="9"/>
  <c r="N375" i="9"/>
  <c r="K457" i="9"/>
  <c r="L456" i="9"/>
  <c r="AV472" i="9"/>
  <c r="AW471" i="9"/>
  <c r="N299" i="9"/>
  <c r="CF299" i="9"/>
  <c r="AL441" i="9"/>
  <c r="AM440" i="9"/>
  <c r="N530" i="9"/>
  <c r="L376" i="9"/>
  <c r="K377" i="9"/>
  <c r="CF455" i="9"/>
  <c r="N455" i="9"/>
  <c r="K301" i="9"/>
  <c r="L300" i="9"/>
  <c r="AM457" i="9"/>
  <c r="AL458" i="9"/>
  <c r="AV440" i="9"/>
  <c r="AW439" i="9"/>
  <c r="AH300" i="9"/>
  <c r="AG301" i="9"/>
  <c r="AQ168" i="9"/>
  <c r="AQ169" i="9" s="1"/>
  <c r="AQ170" i="9" s="1"/>
  <c r="AW258" i="9"/>
  <c r="AG213" i="9"/>
  <c r="AG214" i="9" s="1"/>
  <c r="AH214" i="9" s="1"/>
  <c r="AG99" i="9"/>
  <c r="AH99" i="9" s="1"/>
  <c r="AR13" i="9"/>
  <c r="AM274" i="9"/>
  <c r="AM231" i="9"/>
  <c r="AQ232" i="9"/>
  <c r="AQ233" i="9" s="1"/>
  <c r="AR233" i="9" s="1"/>
  <c r="AR254" i="9"/>
  <c r="AM258" i="9"/>
  <c r="AR236" i="9"/>
  <c r="AL263" i="9"/>
  <c r="AL264" i="9" s="1"/>
  <c r="AM264" i="9" s="1"/>
  <c r="AQ60" i="9"/>
  <c r="AQ61" i="9" s="1"/>
  <c r="AH258" i="9"/>
  <c r="AG259" i="9"/>
  <c r="AH259" i="9" s="1"/>
  <c r="AM254" i="9"/>
  <c r="AV237" i="9"/>
  <c r="AG237" i="9"/>
  <c r="AH236" i="9"/>
  <c r="AV275" i="9"/>
  <c r="AW274" i="9"/>
  <c r="AR267" i="9"/>
  <c r="AQ268" i="9"/>
  <c r="AL233" i="9"/>
  <c r="AM233" i="9" s="1"/>
  <c r="AM232" i="9"/>
  <c r="AL14" i="9"/>
  <c r="AM13" i="9"/>
  <c r="AQ147" i="9"/>
  <c r="AR146" i="9"/>
  <c r="AQ99" i="9"/>
  <c r="AR98" i="9"/>
  <c r="AL212" i="9"/>
  <c r="AM211" i="9"/>
  <c r="AQ259" i="9"/>
  <c r="AR259" i="9" s="1"/>
  <c r="AR258" i="9"/>
  <c r="AW262" i="9"/>
  <c r="AV263" i="9"/>
  <c r="AV255" i="9"/>
  <c r="AW255" i="9" s="1"/>
  <c r="AW254" i="9"/>
  <c r="AW13" i="9"/>
  <c r="AV14" i="9"/>
  <c r="AM98" i="9"/>
  <c r="AL99" i="9"/>
  <c r="AQ193" i="9"/>
  <c r="AR192" i="9"/>
  <c r="AV99" i="9"/>
  <c r="AW98" i="9"/>
  <c r="AV168" i="9"/>
  <c r="AW167" i="9"/>
  <c r="AV147" i="9"/>
  <c r="AW146" i="9"/>
  <c r="AG47" i="9"/>
  <c r="AG48" i="9" s="1"/>
  <c r="AH46" i="9"/>
  <c r="AL149" i="9"/>
  <c r="AM148" i="9"/>
  <c r="AG263" i="9"/>
  <c r="AH262" i="9"/>
  <c r="AL276" i="9"/>
  <c r="AM276" i="9" s="1"/>
  <c r="AM275" i="9"/>
  <c r="AV232" i="9"/>
  <c r="AW231" i="9"/>
  <c r="AH274" i="9"/>
  <c r="AG275" i="9"/>
  <c r="AQ238" i="9"/>
  <c r="AR238" i="9" s="1"/>
  <c r="AR237" i="9"/>
  <c r="AL193" i="9"/>
  <c r="AM192" i="9"/>
  <c r="AQ15" i="9"/>
  <c r="AR14" i="9"/>
  <c r="AG147" i="9"/>
  <c r="AH146" i="9"/>
  <c r="AG60" i="9"/>
  <c r="AH59" i="9"/>
  <c r="AM236" i="9"/>
  <c r="AL237" i="9"/>
  <c r="AV194" i="9"/>
  <c r="AW193" i="9"/>
  <c r="AL60" i="9"/>
  <c r="AM59" i="9"/>
  <c r="AV60" i="9"/>
  <c r="AW59" i="9"/>
  <c r="AQ263" i="9"/>
  <c r="AR262" i="9"/>
  <c r="AV212" i="9"/>
  <c r="AW211" i="9"/>
  <c r="AL168" i="9"/>
  <c r="AM167" i="9"/>
  <c r="AG168" i="9"/>
  <c r="AH167" i="9"/>
  <c r="AV268" i="9"/>
  <c r="AW267" i="9"/>
  <c r="AQ212" i="9"/>
  <c r="AR211" i="9"/>
  <c r="AH267" i="9"/>
  <c r="AG268" i="9"/>
  <c r="AH192" i="9"/>
  <c r="AG193" i="9"/>
  <c r="AH231" i="9"/>
  <c r="AG232" i="9"/>
  <c r="N240" i="9"/>
  <c r="N210" i="9"/>
  <c r="N192" i="9"/>
  <c r="N261" i="9"/>
  <c r="N273" i="9"/>
  <c r="N230" i="9"/>
  <c r="N248" i="9"/>
  <c r="N166" i="9"/>
  <c r="N191" i="9"/>
  <c r="N262" i="9"/>
  <c r="N97" i="9"/>
  <c r="N145" i="9"/>
  <c r="N167" i="9"/>
  <c r="N12" i="9"/>
  <c r="N257" i="9"/>
  <c r="N235" i="9"/>
  <c r="CF262" i="9"/>
  <c r="CF192" i="9"/>
  <c r="CF248" i="9"/>
  <c r="CF166" i="9"/>
  <c r="CF167" i="9"/>
  <c r="CF230" i="9"/>
  <c r="CF58" i="9"/>
  <c r="K255" i="9"/>
  <c r="L255" i="9" s="1"/>
  <c r="L254" i="9"/>
  <c r="L236" i="9"/>
  <c r="K237" i="9"/>
  <c r="K169" i="9"/>
  <c r="L168" i="9"/>
  <c r="K14" i="9"/>
  <c r="L13" i="9"/>
  <c r="K259" i="9"/>
  <c r="L259" i="9" s="1"/>
  <c r="L258" i="9"/>
  <c r="CF240" i="9"/>
  <c r="K264" i="9"/>
  <c r="L264" i="9" s="1"/>
  <c r="L263" i="9"/>
  <c r="K194" i="9"/>
  <c r="L193" i="9"/>
  <c r="K268" i="9"/>
  <c r="L267" i="9"/>
  <c r="CF257" i="9"/>
  <c r="K212" i="9"/>
  <c r="L211" i="9"/>
  <c r="K60" i="9"/>
  <c r="L59" i="9"/>
  <c r="K275" i="9"/>
  <c r="L274" i="9"/>
  <c r="K232" i="9"/>
  <c r="L231" i="9"/>
  <c r="K99" i="9"/>
  <c r="L98" i="9"/>
  <c r="K147" i="9"/>
  <c r="L146" i="9"/>
  <c r="BL458" i="6"/>
  <c r="BK458" i="6"/>
  <c r="L458" i="6"/>
  <c r="AC27" i="6" a="1"/>
  <c r="AC28" i="6"/>
  <c r="AB27" i="6" a="1"/>
  <c r="AB28" i="6"/>
  <c r="AC27" i="4" a="1"/>
  <c r="AC28" i="4"/>
  <c r="AA27" i="6" a="1"/>
  <c r="AA28" i="6"/>
  <c r="Z27" i="6" a="1"/>
  <c r="Z28" i="6"/>
  <c r="AR275" i="9" l="1"/>
  <c r="AG459" i="9"/>
  <c r="AH459" i="9" s="1"/>
  <c r="AH457" i="9"/>
  <c r="AG100" i="9"/>
  <c r="AG101" i="9" s="1"/>
  <c r="AM268" i="9"/>
  <c r="AH213" i="9"/>
  <c r="AG215" i="9"/>
  <c r="AG216" i="9" s="1"/>
  <c r="AH344" i="9"/>
  <c r="AG345" i="9"/>
  <c r="AQ440" i="9"/>
  <c r="AR439" i="9"/>
  <c r="N437" i="9"/>
  <c r="CF437" i="9"/>
  <c r="AM630" i="9"/>
  <c r="AL631" i="9"/>
  <c r="AR628" i="9"/>
  <c r="AQ629" i="9"/>
  <c r="L438" i="9"/>
  <c r="K439" i="9"/>
  <c r="AQ302" i="9"/>
  <c r="AR301" i="9"/>
  <c r="AR421" i="9"/>
  <c r="AQ422" i="9"/>
  <c r="AM472" i="9"/>
  <c r="AL473" i="9"/>
  <c r="AM721" i="9"/>
  <c r="AL722" i="9"/>
  <c r="AM722" i="9" s="1"/>
  <c r="AL421" i="9"/>
  <c r="AM420" i="9"/>
  <c r="AL650" i="9"/>
  <c r="AM649" i="9"/>
  <c r="AW628" i="9"/>
  <c r="AV629" i="9"/>
  <c r="AR650" i="9"/>
  <c r="AQ651" i="9"/>
  <c r="AH649" i="9"/>
  <c r="AG650" i="9"/>
  <c r="AV651" i="9"/>
  <c r="AW650" i="9"/>
  <c r="AL557" i="9"/>
  <c r="AM556" i="9"/>
  <c r="AV598" i="9"/>
  <c r="AW597" i="9"/>
  <c r="AL598" i="9"/>
  <c r="AM597" i="9"/>
  <c r="AM661" i="9"/>
  <c r="AL662" i="9"/>
  <c r="K649" i="9"/>
  <c r="L648" i="9"/>
  <c r="AQ557" i="9"/>
  <c r="AR556" i="9"/>
  <c r="CF647" i="9"/>
  <c r="N647" i="9"/>
  <c r="AR661" i="9"/>
  <c r="AQ662" i="9"/>
  <c r="AQ677" i="9"/>
  <c r="AR676" i="9"/>
  <c r="AH629" i="9"/>
  <c r="AG630" i="9"/>
  <c r="K677" i="9"/>
  <c r="L676" i="9"/>
  <c r="AW665" i="9"/>
  <c r="AV666" i="9"/>
  <c r="CF675" i="9"/>
  <c r="N675" i="9"/>
  <c r="AH555" i="9"/>
  <c r="AG556" i="9"/>
  <c r="AH674" i="9"/>
  <c r="AG675" i="9"/>
  <c r="AW555" i="9"/>
  <c r="AV556" i="9"/>
  <c r="CF596" i="9"/>
  <c r="N596" i="9"/>
  <c r="L721" i="9"/>
  <c r="K722" i="9"/>
  <c r="L722" i="9" s="1"/>
  <c r="L661" i="9"/>
  <c r="K662" i="9"/>
  <c r="AV676" i="9"/>
  <c r="AW675" i="9"/>
  <c r="CF660" i="9"/>
  <c r="N660" i="9"/>
  <c r="K598" i="9"/>
  <c r="L597" i="9"/>
  <c r="N720" i="9"/>
  <c r="CF720" i="9"/>
  <c r="AN715" i="9"/>
  <c r="AO715" i="9" s="1"/>
  <c r="CF555" i="9"/>
  <c r="N555" i="9"/>
  <c r="CF628" i="9"/>
  <c r="N628" i="9"/>
  <c r="AG663" i="9"/>
  <c r="AH662" i="9"/>
  <c r="AJ715" i="9"/>
  <c r="K557" i="9"/>
  <c r="L556" i="9"/>
  <c r="K630" i="9"/>
  <c r="L629" i="9"/>
  <c r="AG599" i="9"/>
  <c r="AH598" i="9"/>
  <c r="AR597" i="9"/>
  <c r="AQ598" i="9"/>
  <c r="AL675" i="9"/>
  <c r="AM674" i="9"/>
  <c r="K458" i="9"/>
  <c r="L457" i="9"/>
  <c r="AR459" i="9"/>
  <c r="AQ460" i="9"/>
  <c r="AL378" i="9"/>
  <c r="AM377" i="9"/>
  <c r="CF343" i="9"/>
  <c r="N343" i="9"/>
  <c r="AR474" i="9"/>
  <c r="AQ475" i="9"/>
  <c r="L473" i="9"/>
  <c r="K474" i="9"/>
  <c r="AG302" i="9"/>
  <c r="AH301" i="9"/>
  <c r="AG421" i="9"/>
  <c r="AH420" i="9"/>
  <c r="AV302" i="9"/>
  <c r="AW301" i="9"/>
  <c r="CF472" i="9"/>
  <c r="N472" i="9"/>
  <c r="AV459" i="9"/>
  <c r="AW458" i="9"/>
  <c r="AV347" i="9"/>
  <c r="AW346" i="9"/>
  <c r="AQ378" i="9"/>
  <c r="AR377" i="9"/>
  <c r="N376" i="9"/>
  <c r="CF376" i="9"/>
  <c r="AH476" i="9"/>
  <c r="AG477" i="9"/>
  <c r="AW440" i="9"/>
  <c r="AV441" i="9"/>
  <c r="AV378" i="9"/>
  <c r="AW377" i="9"/>
  <c r="L524" i="9"/>
  <c r="K525" i="9"/>
  <c r="L525" i="9" s="1"/>
  <c r="N419" i="9"/>
  <c r="CF419" i="9"/>
  <c r="AM524" i="9"/>
  <c r="AL525" i="9"/>
  <c r="AM525" i="9" s="1"/>
  <c r="K378" i="9"/>
  <c r="L377" i="9"/>
  <c r="AL345" i="9"/>
  <c r="AM344" i="9"/>
  <c r="AM458" i="9"/>
  <c r="AL459" i="9"/>
  <c r="AV473" i="9"/>
  <c r="AW472" i="9"/>
  <c r="AH377" i="9"/>
  <c r="AG378" i="9"/>
  <c r="N523" i="9"/>
  <c r="CF523" i="9"/>
  <c r="K421" i="9"/>
  <c r="L420" i="9"/>
  <c r="AM441" i="9"/>
  <c r="AL442" i="9"/>
  <c r="CF300" i="9"/>
  <c r="N300" i="9"/>
  <c r="AM301" i="9"/>
  <c r="AL302" i="9"/>
  <c r="CF456" i="9"/>
  <c r="N456" i="9"/>
  <c r="AH439" i="9"/>
  <c r="AG440" i="9"/>
  <c r="AQ345" i="9"/>
  <c r="AR344" i="9"/>
  <c r="L301" i="9"/>
  <c r="K302" i="9"/>
  <c r="K345" i="9"/>
  <c r="L344" i="9"/>
  <c r="AV422" i="9"/>
  <c r="AW421" i="9"/>
  <c r="AR169" i="9"/>
  <c r="AR168" i="9"/>
  <c r="AR232" i="9"/>
  <c r="AR60" i="9"/>
  <c r="AM263" i="9"/>
  <c r="M458" i="6"/>
  <c r="AV238" i="9"/>
  <c r="AW238" i="9" s="1"/>
  <c r="AW237" i="9"/>
  <c r="AG269" i="9"/>
  <c r="AH268" i="9"/>
  <c r="AG264" i="9"/>
  <c r="AH264" i="9" s="1"/>
  <c r="AH263" i="9"/>
  <c r="AV269" i="9"/>
  <c r="AW268" i="9"/>
  <c r="AR268" i="9"/>
  <c r="AQ269" i="9"/>
  <c r="AG49" i="9"/>
  <c r="AH48" i="9"/>
  <c r="AL100" i="9"/>
  <c r="AM99" i="9"/>
  <c r="AW263" i="9"/>
  <c r="AV264" i="9"/>
  <c r="AW264" i="9" s="1"/>
  <c r="AV213" i="9"/>
  <c r="AW212" i="9"/>
  <c r="AQ16" i="9"/>
  <c r="AR15" i="9"/>
  <c r="AQ100" i="9"/>
  <c r="AR99" i="9"/>
  <c r="AV195" i="9"/>
  <c r="AW194" i="9"/>
  <c r="AQ171" i="9"/>
  <c r="AR170" i="9"/>
  <c r="AV233" i="9"/>
  <c r="AW233" i="9" s="1"/>
  <c r="AW232" i="9"/>
  <c r="AV169" i="9"/>
  <c r="AW168" i="9"/>
  <c r="AV61" i="9"/>
  <c r="AW60" i="9"/>
  <c r="AL150" i="9"/>
  <c r="AM149" i="9"/>
  <c r="AV148" i="9"/>
  <c r="AW147" i="9"/>
  <c r="AV100" i="9"/>
  <c r="AW99" i="9"/>
  <c r="AV276" i="9"/>
  <c r="AW276" i="9" s="1"/>
  <c r="AW275" i="9"/>
  <c r="AQ213" i="9"/>
  <c r="AR212" i="9"/>
  <c r="AG169" i="9"/>
  <c r="AH168" i="9"/>
  <c r="AG61" i="9"/>
  <c r="AH60" i="9"/>
  <c r="AG276" i="9"/>
  <c r="AH276" i="9" s="1"/>
  <c r="AH275" i="9"/>
  <c r="AL213" i="9"/>
  <c r="AM212" i="9"/>
  <c r="AR61" i="9"/>
  <c r="AQ62" i="9"/>
  <c r="AQ194" i="9"/>
  <c r="AR193" i="9"/>
  <c r="AQ148" i="9"/>
  <c r="AR147" i="9"/>
  <c r="AG238" i="9"/>
  <c r="AH238" i="9" s="1"/>
  <c r="AH237" i="9"/>
  <c r="AL169" i="9"/>
  <c r="AM168" i="9"/>
  <c r="AQ264" i="9"/>
  <c r="AR264" i="9" s="1"/>
  <c r="AR263" i="9"/>
  <c r="AL194" i="9"/>
  <c r="AM193" i="9"/>
  <c r="AL270" i="9"/>
  <c r="AM269" i="9"/>
  <c r="AL61" i="9"/>
  <c r="AM60" i="9"/>
  <c r="AV15" i="9"/>
  <c r="AW14" i="9"/>
  <c r="AL15" i="9"/>
  <c r="AM14" i="9"/>
  <c r="AL238" i="9"/>
  <c r="AM238" i="9" s="1"/>
  <c r="AM237" i="9"/>
  <c r="AG148" i="9"/>
  <c r="AH147" i="9"/>
  <c r="AG233" i="9"/>
  <c r="AH233" i="9" s="1"/>
  <c r="AH232" i="9"/>
  <c r="AH193" i="9"/>
  <c r="AG194" i="9"/>
  <c r="N264" i="9"/>
  <c r="U264" i="9"/>
  <c r="CF267" i="9"/>
  <c r="CF274" i="9"/>
  <c r="N236" i="9"/>
  <c r="N258" i="9"/>
  <c r="CF258" i="9"/>
  <c r="N259" i="9"/>
  <c r="CF259" i="9"/>
  <c r="N13" i="9"/>
  <c r="CF13" i="9"/>
  <c r="L237" i="9"/>
  <c r="K238" i="9"/>
  <c r="L238" i="9" s="1"/>
  <c r="K15" i="9"/>
  <c r="L14" i="9"/>
  <c r="N231" i="9"/>
  <c r="CF231" i="9"/>
  <c r="N193" i="9"/>
  <c r="CF193" i="9"/>
  <c r="N168" i="9"/>
  <c r="CF168" i="9"/>
  <c r="K233" i="9"/>
  <c r="L233" i="9" s="1"/>
  <c r="L232" i="9"/>
  <c r="K276" i="9"/>
  <c r="L276" i="9" s="1"/>
  <c r="L275" i="9"/>
  <c r="K269" i="9"/>
  <c r="L268" i="9"/>
  <c r="K195" i="9"/>
  <c r="L194" i="9"/>
  <c r="K170" i="9"/>
  <c r="L169" i="9"/>
  <c r="N263" i="9"/>
  <c r="CF263" i="9"/>
  <c r="N254" i="9"/>
  <c r="CF254" i="9"/>
  <c r="N255" i="9"/>
  <c r="CF255" i="9"/>
  <c r="N146" i="9"/>
  <c r="CF146" i="9"/>
  <c r="N59" i="9"/>
  <c r="CF59" i="9"/>
  <c r="N274" i="9"/>
  <c r="K61" i="9"/>
  <c r="L60" i="9"/>
  <c r="N211" i="9"/>
  <c r="CF211" i="9"/>
  <c r="K100" i="9"/>
  <c r="L99" i="9"/>
  <c r="K213" i="9"/>
  <c r="L212" i="9"/>
  <c r="K148" i="9"/>
  <c r="L147" i="9"/>
  <c r="N98" i="9"/>
  <c r="CF98" i="9"/>
  <c r="N267" i="9"/>
  <c r="Y27" i="6" a="1"/>
  <c r="Y28" i="6"/>
  <c r="AB27" i="4" a="1"/>
  <c r="AB28" i="4"/>
  <c r="AG460" i="9" l="1"/>
  <c r="AH460" i="9" s="1"/>
  <c r="AH100" i="9"/>
  <c r="AH215" i="9"/>
  <c r="AS715" i="9"/>
  <c r="AT715" i="9" s="1"/>
  <c r="K440" i="9"/>
  <c r="L439" i="9"/>
  <c r="AM421" i="9"/>
  <c r="AL422" i="9"/>
  <c r="AQ630" i="9"/>
  <c r="AR629" i="9"/>
  <c r="AL632" i="9"/>
  <c r="AM631" i="9"/>
  <c r="AL474" i="9"/>
  <c r="AM473" i="9"/>
  <c r="AR422" i="9"/>
  <c r="AQ423" i="9"/>
  <c r="AQ424" i="9" s="1"/>
  <c r="AQ441" i="9"/>
  <c r="AR440" i="9"/>
  <c r="CF438" i="9"/>
  <c r="N438" i="9"/>
  <c r="AH345" i="9"/>
  <c r="AG346" i="9"/>
  <c r="AR302" i="9"/>
  <c r="AQ303" i="9"/>
  <c r="AL663" i="9"/>
  <c r="AM662" i="9"/>
  <c r="AL676" i="9"/>
  <c r="AM675" i="9"/>
  <c r="AR598" i="9"/>
  <c r="AQ599" i="9"/>
  <c r="AL599" i="9"/>
  <c r="AM598" i="9"/>
  <c r="AL651" i="9"/>
  <c r="AM650" i="9"/>
  <c r="AH599" i="9"/>
  <c r="AG600" i="9"/>
  <c r="N676" i="9"/>
  <c r="CF676" i="9"/>
  <c r="AV630" i="9"/>
  <c r="AW629" i="9"/>
  <c r="AG664" i="9"/>
  <c r="AH663" i="9"/>
  <c r="CF629" i="9"/>
  <c r="N629" i="9"/>
  <c r="L630" i="9"/>
  <c r="K631" i="9"/>
  <c r="AH556" i="9"/>
  <c r="AG557" i="9"/>
  <c r="AM557" i="9"/>
  <c r="AL558" i="9"/>
  <c r="CF556" i="9"/>
  <c r="N556" i="9"/>
  <c r="CF597" i="9"/>
  <c r="N597" i="9"/>
  <c r="AQ558" i="9"/>
  <c r="AR557" i="9"/>
  <c r="L557" i="9"/>
  <c r="K558" i="9"/>
  <c r="K599" i="9"/>
  <c r="L598" i="9"/>
  <c r="N722" i="9"/>
  <c r="CF648" i="9"/>
  <c r="N648" i="9"/>
  <c r="AV652" i="9"/>
  <c r="AW651" i="9"/>
  <c r="AR662" i="9"/>
  <c r="AQ663" i="9"/>
  <c r="K663" i="9"/>
  <c r="L662" i="9"/>
  <c r="L677" i="9"/>
  <c r="K678" i="9"/>
  <c r="CF661" i="9"/>
  <c r="N661" i="9"/>
  <c r="AG631" i="9"/>
  <c r="AH630" i="9"/>
  <c r="N721" i="9"/>
  <c r="CF721" i="9"/>
  <c r="AQ678" i="9"/>
  <c r="AR677" i="9"/>
  <c r="K650" i="9"/>
  <c r="L649" i="9"/>
  <c r="AG651" i="9"/>
  <c r="AH650" i="9"/>
  <c r="AW666" i="9"/>
  <c r="AV667" i="9"/>
  <c r="AW667" i="9" s="1"/>
  <c r="AW556" i="9"/>
  <c r="AV557" i="9"/>
  <c r="AQ652" i="9"/>
  <c r="AR651" i="9"/>
  <c r="AV677" i="9"/>
  <c r="AW676" i="9"/>
  <c r="AG676" i="9"/>
  <c r="AH675" i="9"/>
  <c r="AW598" i="9"/>
  <c r="AV599" i="9"/>
  <c r="AL303" i="9"/>
  <c r="AM302" i="9"/>
  <c r="CF377" i="9"/>
  <c r="N377" i="9"/>
  <c r="AW347" i="9"/>
  <c r="AV348" i="9"/>
  <c r="K422" i="9"/>
  <c r="L421" i="9"/>
  <c r="N524" i="9"/>
  <c r="CF524" i="9"/>
  <c r="AL346" i="9"/>
  <c r="AM345" i="9"/>
  <c r="AR345" i="9"/>
  <c r="AQ346" i="9"/>
  <c r="L378" i="9"/>
  <c r="K379" i="9"/>
  <c r="AG478" i="9"/>
  <c r="AH477" i="9"/>
  <c r="K475" i="9"/>
  <c r="L474" i="9"/>
  <c r="AR378" i="9"/>
  <c r="AQ379" i="9"/>
  <c r="K303" i="9"/>
  <c r="L302" i="9"/>
  <c r="CF301" i="9"/>
  <c r="N301" i="9"/>
  <c r="AV379" i="9"/>
  <c r="AW378" i="9"/>
  <c r="AG461" i="9"/>
  <c r="AH378" i="9"/>
  <c r="AG379" i="9"/>
  <c r="AV442" i="9"/>
  <c r="AW441" i="9"/>
  <c r="AV303" i="9"/>
  <c r="AW302" i="9"/>
  <c r="N473" i="9"/>
  <c r="CF473" i="9"/>
  <c r="AM378" i="9"/>
  <c r="AL379" i="9"/>
  <c r="AG441" i="9"/>
  <c r="AH440" i="9"/>
  <c r="AH421" i="9"/>
  <c r="AG422" i="9"/>
  <c r="AQ461" i="9"/>
  <c r="AR460" i="9"/>
  <c r="AW422" i="9"/>
  <c r="AV423" i="9"/>
  <c r="AV424" i="9" s="1"/>
  <c r="CF344" i="9"/>
  <c r="N344" i="9"/>
  <c r="AL443" i="9"/>
  <c r="AM442" i="9"/>
  <c r="AV474" i="9"/>
  <c r="AW473" i="9"/>
  <c r="AW459" i="9"/>
  <c r="AV460" i="9"/>
  <c r="AQ476" i="9"/>
  <c r="AR475" i="9"/>
  <c r="K346" i="9"/>
  <c r="L345" i="9"/>
  <c r="AL460" i="9"/>
  <c r="AM459" i="9"/>
  <c r="AG303" i="9"/>
  <c r="AH302" i="9"/>
  <c r="CF457" i="9"/>
  <c r="N457" i="9"/>
  <c r="CF420" i="9"/>
  <c r="N420" i="9"/>
  <c r="N525" i="9"/>
  <c r="L458" i="9"/>
  <c r="K459" i="9"/>
  <c r="AW148" i="9"/>
  <c r="AV149" i="9"/>
  <c r="AQ270" i="9"/>
  <c r="AR269" i="9"/>
  <c r="AV16" i="9"/>
  <c r="AW15" i="9"/>
  <c r="AQ149" i="9"/>
  <c r="AR148" i="9"/>
  <c r="AQ101" i="9"/>
  <c r="AR100" i="9"/>
  <c r="AL195" i="9"/>
  <c r="AM194" i="9"/>
  <c r="AL151" i="9"/>
  <c r="AM150" i="9"/>
  <c r="AL101" i="9"/>
  <c r="AM100" i="9"/>
  <c r="AG62" i="9"/>
  <c r="AH61" i="9"/>
  <c r="AG50" i="9"/>
  <c r="AH49" i="9"/>
  <c r="AL62" i="9"/>
  <c r="AM61" i="9"/>
  <c r="AQ195" i="9"/>
  <c r="AR194" i="9"/>
  <c r="AI264" i="9"/>
  <c r="AJ264" i="9" s="1"/>
  <c r="AQ172" i="9"/>
  <c r="AR171" i="9"/>
  <c r="AL170" i="9"/>
  <c r="AM169" i="9"/>
  <c r="AL214" i="9"/>
  <c r="AM213" i="9"/>
  <c r="AG170" i="9"/>
  <c r="AH169" i="9"/>
  <c r="AQ17" i="9"/>
  <c r="AR16" i="9"/>
  <c r="AL271" i="9"/>
  <c r="AM271" i="9" s="1"/>
  <c r="AM270" i="9"/>
  <c r="AV170" i="9"/>
  <c r="AW169" i="9"/>
  <c r="AV196" i="9"/>
  <c r="AW195" i="9"/>
  <c r="AL16" i="9"/>
  <c r="AM15" i="9"/>
  <c r="AQ214" i="9"/>
  <c r="AR213" i="9"/>
  <c r="AV270" i="9"/>
  <c r="AW269" i="9"/>
  <c r="AG149" i="9"/>
  <c r="AH148" i="9"/>
  <c r="AR62" i="9"/>
  <c r="AQ63" i="9"/>
  <c r="AV101" i="9"/>
  <c r="AW100" i="9"/>
  <c r="AV62" i="9"/>
  <c r="AW61" i="9"/>
  <c r="AV214" i="9"/>
  <c r="AW213" i="9"/>
  <c r="AH269" i="9"/>
  <c r="AG270" i="9"/>
  <c r="AG102" i="9"/>
  <c r="AH101" i="9"/>
  <c r="AG217" i="9"/>
  <c r="AH216" i="9"/>
  <c r="AG195" i="9"/>
  <c r="AH194" i="9"/>
  <c r="N276" i="9"/>
  <c r="N238" i="9"/>
  <c r="K171" i="9"/>
  <c r="L170" i="9"/>
  <c r="N194" i="9"/>
  <c r="CF194" i="9"/>
  <c r="K16" i="9"/>
  <c r="L15" i="9"/>
  <c r="N212" i="9"/>
  <c r="CF212" i="9"/>
  <c r="N60" i="9"/>
  <c r="CF60" i="9"/>
  <c r="N232" i="9"/>
  <c r="CF232" i="9"/>
  <c r="N237" i="9"/>
  <c r="CF237" i="9"/>
  <c r="K196" i="9"/>
  <c r="L195" i="9"/>
  <c r="N275" i="9"/>
  <c r="CF275" i="9"/>
  <c r="N233" i="9"/>
  <c r="CF233" i="9"/>
  <c r="N14" i="9"/>
  <c r="CF14" i="9"/>
  <c r="K149" i="9"/>
  <c r="L148" i="9"/>
  <c r="K101" i="9"/>
  <c r="L100" i="9"/>
  <c r="N268" i="9"/>
  <c r="CF268" i="9"/>
  <c r="K214" i="9"/>
  <c r="L213" i="9"/>
  <c r="K270" i="9"/>
  <c r="L269" i="9"/>
  <c r="N147" i="9"/>
  <c r="CF147" i="9"/>
  <c r="K62" i="9"/>
  <c r="L61" i="9"/>
  <c r="N99" i="9"/>
  <c r="CF99" i="9"/>
  <c r="N169" i="9"/>
  <c r="CF169" i="9"/>
  <c r="Y130" i="4"/>
  <c r="Y27" i="4" s="1" a="1"/>
  <c r="AA27" i="4" a="1"/>
  <c r="AA28" i="4"/>
  <c r="Z27" i="4" a="1"/>
  <c r="Z28" i="4"/>
  <c r="BL549" i="6"/>
  <c r="BK549" i="6"/>
  <c r="L549" i="6"/>
  <c r="BL548" i="6"/>
  <c r="BK548" i="6"/>
  <c r="L548" i="6"/>
  <c r="BL547" i="6"/>
  <c r="BK547" i="6"/>
  <c r="L547" i="6"/>
  <c r="BL546" i="6"/>
  <c r="BK546" i="6"/>
  <c r="L546" i="6"/>
  <c r="BL545" i="6"/>
  <c r="BK545" i="6"/>
  <c r="L545" i="6"/>
  <c r="BL544" i="6"/>
  <c r="BK544" i="6"/>
  <c r="L544" i="6"/>
  <c r="BL543" i="6"/>
  <c r="BK543" i="6"/>
  <c r="L543" i="6"/>
  <c r="BL542" i="6"/>
  <c r="BK542" i="6"/>
  <c r="L542" i="6"/>
  <c r="BL541" i="6"/>
  <c r="BK541" i="6"/>
  <c r="L541" i="6"/>
  <c r="BL540" i="6"/>
  <c r="BK540" i="6"/>
  <c r="L540" i="6"/>
  <c r="BL539" i="6"/>
  <c r="BK539" i="6"/>
  <c r="L539" i="6"/>
  <c r="BL538" i="6"/>
  <c r="BK538" i="6"/>
  <c r="L538" i="6"/>
  <c r="BL537" i="6"/>
  <c r="BK537" i="6"/>
  <c r="L537" i="6"/>
  <c r="BL536" i="6"/>
  <c r="BK536" i="6"/>
  <c r="L536" i="6"/>
  <c r="BL535" i="6"/>
  <c r="BK535" i="6"/>
  <c r="L535" i="6"/>
  <c r="BL534" i="6"/>
  <c r="BK534" i="6"/>
  <c r="L534" i="6"/>
  <c r="M534" i="6" s="1"/>
  <c r="BL533" i="6"/>
  <c r="BK533" i="6"/>
  <c r="L533" i="6"/>
  <c r="M533" i="6" s="1"/>
  <c r="BL532" i="6"/>
  <c r="BK532" i="6"/>
  <c r="L532" i="6"/>
  <c r="M532" i="6" s="1"/>
  <c r="BL531" i="6"/>
  <c r="BK531" i="6"/>
  <c r="L531" i="6"/>
  <c r="M531" i="6" s="1"/>
  <c r="BL530" i="6"/>
  <c r="BK530" i="6"/>
  <c r="L530" i="6"/>
  <c r="M530" i="6" s="1"/>
  <c r="BL529" i="6"/>
  <c r="BK529" i="6"/>
  <c r="L529" i="6"/>
  <c r="M529" i="6" s="1"/>
  <c r="BL528" i="6"/>
  <c r="BK528" i="6"/>
  <c r="L528" i="6"/>
  <c r="M528" i="6" s="1"/>
  <c r="BL527" i="6"/>
  <c r="BK527" i="6"/>
  <c r="L527" i="6"/>
  <c r="BL526" i="6"/>
  <c r="BK526" i="6"/>
  <c r="L526" i="6"/>
  <c r="BL525" i="6"/>
  <c r="BK525" i="6"/>
  <c r="L525" i="6"/>
  <c r="M525" i="6" s="1"/>
  <c r="BL524" i="6"/>
  <c r="BK524" i="6"/>
  <c r="L524" i="6"/>
  <c r="M524" i="6" s="1"/>
  <c r="BL523" i="6"/>
  <c r="BK523" i="6"/>
  <c r="L523" i="6"/>
  <c r="M523" i="6" s="1"/>
  <c r="BL522" i="6"/>
  <c r="BK522" i="6"/>
  <c r="L522" i="6"/>
  <c r="M522" i="6" s="1"/>
  <c r="BL521" i="6"/>
  <c r="BK521" i="6"/>
  <c r="L521" i="6"/>
  <c r="M521" i="6" s="1"/>
  <c r="BL520" i="6"/>
  <c r="BK520" i="6"/>
  <c r="L520" i="6"/>
  <c r="M520" i="6" s="1"/>
  <c r="BL519" i="6"/>
  <c r="BK519" i="6"/>
  <c r="L519" i="6"/>
  <c r="M519" i="6" s="1"/>
  <c r="BL518" i="6"/>
  <c r="BK518" i="6"/>
  <c r="L518" i="6"/>
  <c r="M518" i="6" s="1"/>
  <c r="BL517" i="6"/>
  <c r="BK517" i="6"/>
  <c r="L517" i="6"/>
  <c r="BL516" i="6"/>
  <c r="BK516" i="6"/>
  <c r="L516" i="6"/>
  <c r="M516" i="6" s="1"/>
  <c r="BL515" i="6"/>
  <c r="BK515" i="6"/>
  <c r="L515" i="6"/>
  <c r="BL514" i="6"/>
  <c r="BK514" i="6"/>
  <c r="L514" i="6"/>
  <c r="BL513" i="6"/>
  <c r="BK513" i="6"/>
  <c r="L513" i="6"/>
  <c r="BL512" i="6"/>
  <c r="BK512" i="6"/>
  <c r="L512" i="6"/>
  <c r="BL511" i="6"/>
  <c r="BK511" i="6"/>
  <c r="L511" i="6"/>
  <c r="BL510" i="6"/>
  <c r="BK510" i="6"/>
  <c r="L510" i="6"/>
  <c r="BL509" i="6"/>
  <c r="BK509" i="6"/>
  <c r="L509" i="6"/>
  <c r="BL508" i="6"/>
  <c r="BK508" i="6"/>
  <c r="L508" i="6"/>
  <c r="BL507" i="6"/>
  <c r="BK507" i="6"/>
  <c r="L507" i="6"/>
  <c r="BL506" i="6"/>
  <c r="BK506" i="6"/>
  <c r="L506" i="6"/>
  <c r="BL505" i="6"/>
  <c r="BK505" i="6"/>
  <c r="L505" i="6"/>
  <c r="BL504" i="6"/>
  <c r="BK504" i="6"/>
  <c r="L504" i="6"/>
  <c r="BL503" i="6"/>
  <c r="BK503" i="6"/>
  <c r="L503" i="6"/>
  <c r="BL502" i="6"/>
  <c r="BK502" i="6"/>
  <c r="L502" i="6"/>
  <c r="BL501" i="6"/>
  <c r="BK501" i="6"/>
  <c r="L501" i="6"/>
  <c r="M501" i="6" s="1"/>
  <c r="BL500" i="6"/>
  <c r="BK500" i="6"/>
  <c r="L500" i="6"/>
  <c r="M500" i="6" s="1"/>
  <c r="BL499" i="6"/>
  <c r="BK499" i="6"/>
  <c r="L499" i="6"/>
  <c r="M499" i="6" s="1"/>
  <c r="BL498" i="6"/>
  <c r="BK498" i="6"/>
  <c r="L498" i="6"/>
  <c r="M498" i="6" s="1"/>
  <c r="BL497" i="6"/>
  <c r="BK497" i="6"/>
  <c r="L497" i="6"/>
  <c r="M497" i="6" s="1"/>
  <c r="BL496" i="6"/>
  <c r="BK496" i="6"/>
  <c r="L496" i="6"/>
  <c r="BL495" i="6"/>
  <c r="BK495" i="6"/>
  <c r="L495" i="6"/>
  <c r="BL494" i="6"/>
  <c r="BK494" i="6"/>
  <c r="L494" i="6"/>
  <c r="BL493" i="6"/>
  <c r="BK493" i="6"/>
  <c r="L493" i="6"/>
  <c r="M493" i="6" s="1"/>
  <c r="BL492" i="6"/>
  <c r="BK492" i="6"/>
  <c r="L492" i="6"/>
  <c r="M492" i="6" s="1"/>
  <c r="BL491" i="6"/>
  <c r="BK491" i="6"/>
  <c r="L491" i="6"/>
  <c r="M491" i="6" s="1"/>
  <c r="BL490" i="6"/>
  <c r="BK490" i="6"/>
  <c r="L490" i="6"/>
  <c r="M490" i="6" s="1"/>
  <c r="BL489" i="6"/>
  <c r="BK489" i="6"/>
  <c r="L489" i="6"/>
  <c r="M489" i="6" s="1"/>
  <c r="BL488" i="6"/>
  <c r="BK488" i="6"/>
  <c r="L488" i="6"/>
  <c r="M488" i="6" s="1"/>
  <c r="BL487" i="6"/>
  <c r="BK487" i="6"/>
  <c r="L487" i="6"/>
  <c r="M487" i="6" s="1"/>
  <c r="BL486" i="6"/>
  <c r="BK486" i="6"/>
  <c r="L486" i="6"/>
  <c r="M486" i="6" s="1"/>
  <c r="BL485" i="6"/>
  <c r="BK485" i="6"/>
  <c r="L485" i="6"/>
  <c r="BL484" i="6"/>
  <c r="BK484" i="6"/>
  <c r="L484" i="6"/>
  <c r="M484" i="6" s="1"/>
  <c r="BL483" i="6"/>
  <c r="BK483" i="6"/>
  <c r="L483" i="6"/>
  <c r="BL482" i="6"/>
  <c r="BK482" i="6"/>
  <c r="L482" i="6"/>
  <c r="BL481" i="6"/>
  <c r="BK481" i="6"/>
  <c r="L481" i="6"/>
  <c r="BL480" i="6"/>
  <c r="BK480" i="6"/>
  <c r="L480" i="6"/>
  <c r="BL479" i="6"/>
  <c r="BK479" i="6"/>
  <c r="L479" i="6"/>
  <c r="BL478" i="6"/>
  <c r="BK478" i="6"/>
  <c r="L478" i="6"/>
  <c r="BL477" i="6"/>
  <c r="BK477" i="6"/>
  <c r="L477" i="6"/>
  <c r="BL476" i="6"/>
  <c r="BK476" i="6"/>
  <c r="L476" i="6"/>
  <c r="BL475" i="6"/>
  <c r="BK475" i="6"/>
  <c r="L475" i="6"/>
  <c r="BL474" i="6"/>
  <c r="BK474" i="6"/>
  <c r="L474" i="6"/>
  <c r="BL473" i="6"/>
  <c r="BK473" i="6"/>
  <c r="L473" i="6"/>
  <c r="BL472" i="6"/>
  <c r="BK472" i="6"/>
  <c r="L472" i="6"/>
  <c r="BL471" i="6"/>
  <c r="BK471" i="6"/>
  <c r="L471" i="6"/>
  <c r="BL470" i="6"/>
  <c r="BK470" i="6"/>
  <c r="L470" i="6"/>
  <c r="BL469" i="6"/>
  <c r="BK469" i="6"/>
  <c r="L469" i="6"/>
  <c r="BL468" i="6"/>
  <c r="BK468" i="6"/>
  <c r="L468" i="6"/>
  <c r="BL467" i="6"/>
  <c r="BK467" i="6"/>
  <c r="L467" i="6"/>
  <c r="BL466" i="6"/>
  <c r="BK466" i="6"/>
  <c r="L466" i="6"/>
  <c r="BL465" i="6"/>
  <c r="BK465" i="6"/>
  <c r="L465" i="6"/>
  <c r="M465" i="6" s="1"/>
  <c r="BL464" i="6"/>
  <c r="BK464" i="6"/>
  <c r="L464" i="6"/>
  <c r="M464" i="6" s="1"/>
  <c r="BL463" i="6"/>
  <c r="BK463" i="6"/>
  <c r="L463" i="6"/>
  <c r="M463" i="6" s="1"/>
  <c r="BL462" i="6"/>
  <c r="BK462" i="6"/>
  <c r="L462" i="6"/>
  <c r="M462" i="6" s="1"/>
  <c r="BL461" i="6"/>
  <c r="BK461" i="6"/>
  <c r="L461" i="6"/>
  <c r="M461" i="6" s="1"/>
  <c r="BL460" i="6"/>
  <c r="BK460" i="6"/>
  <c r="L460" i="6"/>
  <c r="BL459" i="6"/>
  <c r="BK459" i="6"/>
  <c r="L459" i="6"/>
  <c r="BL457" i="6"/>
  <c r="BK457" i="6"/>
  <c r="L457" i="6"/>
  <c r="M457" i="6" s="1"/>
  <c r="BL456" i="6"/>
  <c r="BK456" i="6"/>
  <c r="L456" i="6"/>
  <c r="M456" i="6" s="1"/>
  <c r="BL455" i="6"/>
  <c r="BK455" i="6"/>
  <c r="L455" i="6"/>
  <c r="M455" i="6" s="1"/>
  <c r="BL454" i="6"/>
  <c r="BK454" i="6"/>
  <c r="L454" i="6"/>
  <c r="BL453" i="6"/>
  <c r="BK453" i="6"/>
  <c r="L453" i="6"/>
  <c r="M453" i="6" s="1"/>
  <c r="BL452" i="6"/>
  <c r="BK452" i="6"/>
  <c r="L452" i="6"/>
  <c r="M452" i="6" s="1"/>
  <c r="BL451" i="6"/>
  <c r="BK451" i="6"/>
  <c r="L451" i="6"/>
  <c r="M451" i="6" s="1"/>
  <c r="BL450" i="6"/>
  <c r="BK450" i="6"/>
  <c r="L450" i="6"/>
  <c r="M450" i="6" s="1"/>
  <c r="BL449" i="6"/>
  <c r="BK449" i="6"/>
  <c r="L449" i="6"/>
  <c r="BL448" i="6"/>
  <c r="BK448" i="6"/>
  <c r="L448" i="6"/>
  <c r="M448" i="6" s="1"/>
  <c r="BL447" i="6"/>
  <c r="BK447" i="6"/>
  <c r="L447" i="6"/>
  <c r="M447" i="6" s="1"/>
  <c r="BL446" i="6"/>
  <c r="BK446" i="6"/>
  <c r="L446" i="6"/>
  <c r="M446" i="6" s="1"/>
  <c r="BL445" i="6"/>
  <c r="BK445" i="6"/>
  <c r="L445" i="6"/>
  <c r="M445" i="6" s="1"/>
  <c r="BL444" i="6"/>
  <c r="BK444" i="6"/>
  <c r="L444" i="6"/>
  <c r="M444" i="6" s="1"/>
  <c r="BL443" i="6"/>
  <c r="BK443" i="6"/>
  <c r="L443" i="6"/>
  <c r="BL442" i="6"/>
  <c r="BK442" i="6"/>
  <c r="L442" i="6"/>
  <c r="M442" i="6" s="1"/>
  <c r="BL441" i="6"/>
  <c r="BK441" i="6"/>
  <c r="L441" i="6"/>
  <c r="BL440" i="6"/>
  <c r="BK440" i="6"/>
  <c r="L440" i="6"/>
  <c r="BL439" i="6"/>
  <c r="BK439" i="6"/>
  <c r="L439" i="6"/>
  <c r="BL438" i="6"/>
  <c r="BK438" i="6"/>
  <c r="L438" i="6"/>
  <c r="BL437" i="6"/>
  <c r="BK437" i="6"/>
  <c r="L437" i="6"/>
  <c r="BL436" i="6"/>
  <c r="BK436" i="6"/>
  <c r="L436" i="6"/>
  <c r="BL435" i="6"/>
  <c r="BK435" i="6"/>
  <c r="L435" i="6"/>
  <c r="BL434" i="6"/>
  <c r="L434" i="6"/>
  <c r="BL433" i="6"/>
  <c r="BK433" i="6"/>
  <c r="L433" i="6"/>
  <c r="BL432" i="6"/>
  <c r="BK432" i="6"/>
  <c r="L432" i="6"/>
  <c r="BL431" i="6"/>
  <c r="BK431" i="6"/>
  <c r="L431" i="6"/>
  <c r="BL430" i="6"/>
  <c r="BK430" i="6"/>
  <c r="L430" i="6"/>
  <c r="BL429" i="6"/>
  <c r="BK429" i="6"/>
  <c r="L429" i="6"/>
  <c r="BL428" i="6"/>
  <c r="BK428" i="6"/>
  <c r="L428" i="6"/>
  <c r="BL427" i="6"/>
  <c r="BK427" i="6"/>
  <c r="L427" i="6"/>
  <c r="BL426" i="6"/>
  <c r="BK426" i="6"/>
  <c r="L426" i="6"/>
  <c r="M426" i="6" s="1"/>
  <c r="BL425" i="6"/>
  <c r="BK425" i="6"/>
  <c r="L425" i="6"/>
  <c r="M425" i="6" s="1"/>
  <c r="BL424" i="6"/>
  <c r="BK424" i="6"/>
  <c r="L424" i="6"/>
  <c r="M424" i="6" s="1"/>
  <c r="BL423" i="6"/>
  <c r="BK423" i="6"/>
  <c r="L423" i="6"/>
  <c r="M423" i="6" s="1"/>
  <c r="BL422" i="6"/>
  <c r="BK422" i="6"/>
  <c r="L422" i="6"/>
  <c r="M422" i="6" s="1"/>
  <c r="BL421" i="6"/>
  <c r="BK421" i="6"/>
  <c r="L421" i="6"/>
  <c r="M421" i="6" s="1"/>
  <c r="BL420" i="6"/>
  <c r="BK420" i="6"/>
  <c r="L420" i="6"/>
  <c r="M420" i="6" s="1"/>
  <c r="BL419" i="6"/>
  <c r="BK419" i="6"/>
  <c r="L419" i="6"/>
  <c r="M419" i="6" s="1"/>
  <c r="BL418" i="6"/>
  <c r="BK418" i="6"/>
  <c r="L418" i="6"/>
  <c r="M418" i="6" s="1"/>
  <c r="BL417" i="6"/>
  <c r="BK417" i="6"/>
  <c r="L417" i="6"/>
  <c r="M417" i="6" s="1"/>
  <c r="BL416" i="6"/>
  <c r="BK416" i="6"/>
  <c r="L416" i="6"/>
  <c r="M416" i="6" s="1"/>
  <c r="BL415" i="6"/>
  <c r="BK415" i="6"/>
  <c r="L415" i="6"/>
  <c r="M415" i="6" s="1"/>
  <c r="BL414" i="6"/>
  <c r="BK414" i="6"/>
  <c r="L414" i="6"/>
  <c r="M414" i="6" s="1"/>
  <c r="BL413" i="6"/>
  <c r="BK413" i="6"/>
  <c r="L413" i="6"/>
  <c r="M413" i="6" s="1"/>
  <c r="BL412" i="6"/>
  <c r="BK412" i="6"/>
  <c r="L412" i="6"/>
  <c r="BL411" i="6"/>
  <c r="BK411" i="6"/>
  <c r="L411" i="6"/>
  <c r="BL410" i="6"/>
  <c r="BK410" i="6"/>
  <c r="L410" i="6"/>
  <c r="BL409" i="6"/>
  <c r="BK409" i="6"/>
  <c r="L409" i="6"/>
  <c r="M409" i="6" s="1"/>
  <c r="BL408" i="6"/>
  <c r="BK408" i="6"/>
  <c r="L408" i="6"/>
  <c r="BL407" i="6"/>
  <c r="BK407" i="6"/>
  <c r="L407" i="6"/>
  <c r="BL406" i="6"/>
  <c r="BK406" i="6"/>
  <c r="L406" i="6"/>
  <c r="BL405" i="6"/>
  <c r="BK405" i="6"/>
  <c r="L405" i="6"/>
  <c r="BL404" i="6"/>
  <c r="BK404" i="6"/>
  <c r="L404" i="6"/>
  <c r="BL403" i="6"/>
  <c r="BK403" i="6"/>
  <c r="L403" i="6"/>
  <c r="BL402" i="6"/>
  <c r="BK402" i="6"/>
  <c r="L402" i="6"/>
  <c r="BL401" i="6"/>
  <c r="BK401" i="6"/>
  <c r="L401" i="6"/>
  <c r="BL400" i="6"/>
  <c r="BK400" i="6"/>
  <c r="L400" i="6"/>
  <c r="BL399" i="6"/>
  <c r="BK399" i="6"/>
  <c r="L399" i="6"/>
  <c r="BL398" i="6"/>
  <c r="BK398" i="6"/>
  <c r="L398" i="6"/>
  <c r="BL397" i="6"/>
  <c r="BK397" i="6"/>
  <c r="L397" i="6"/>
  <c r="BL396" i="6"/>
  <c r="BK396" i="6"/>
  <c r="L396" i="6"/>
  <c r="BL395" i="6"/>
  <c r="BK395" i="6"/>
  <c r="L395" i="6"/>
  <c r="BL394" i="6"/>
  <c r="BK394" i="6"/>
  <c r="L394" i="6"/>
  <c r="BL393" i="6"/>
  <c r="BK393" i="6"/>
  <c r="L393" i="6"/>
  <c r="BL392" i="6"/>
  <c r="BK392" i="6"/>
  <c r="L392" i="6"/>
  <c r="BL391" i="6"/>
  <c r="BK391" i="6"/>
  <c r="L391" i="6"/>
  <c r="BL390" i="6"/>
  <c r="BK390" i="6"/>
  <c r="L390" i="6"/>
  <c r="BL389" i="6"/>
  <c r="BK389" i="6"/>
  <c r="L389" i="6"/>
  <c r="BL388" i="6"/>
  <c r="BK388" i="6"/>
  <c r="L388" i="6"/>
  <c r="BL387" i="6"/>
  <c r="BK387" i="6"/>
  <c r="L387" i="6"/>
  <c r="BL386" i="6"/>
  <c r="BK386" i="6"/>
  <c r="L386" i="6"/>
  <c r="BL385" i="6"/>
  <c r="BK385" i="6"/>
  <c r="L385" i="6"/>
  <c r="BL384" i="6"/>
  <c r="BK384" i="6"/>
  <c r="L384" i="6"/>
  <c r="BL383" i="6"/>
  <c r="BK383" i="6"/>
  <c r="L383" i="6"/>
  <c r="BL382" i="6"/>
  <c r="BK382" i="6"/>
  <c r="L382" i="6"/>
  <c r="BL381" i="6"/>
  <c r="BK381" i="6"/>
  <c r="L381" i="6"/>
  <c r="BL380" i="6"/>
  <c r="BK380" i="6"/>
  <c r="L380" i="6"/>
  <c r="BL379" i="6"/>
  <c r="BK379" i="6"/>
  <c r="L379" i="6"/>
  <c r="BL378" i="6"/>
  <c r="BK378" i="6"/>
  <c r="L378" i="6"/>
  <c r="BL377" i="6"/>
  <c r="BK377" i="6"/>
  <c r="L377" i="6"/>
  <c r="BL376" i="6"/>
  <c r="BK376" i="6"/>
  <c r="L376" i="6"/>
  <c r="BL375" i="6"/>
  <c r="BK375" i="6"/>
  <c r="L375" i="6"/>
  <c r="BL374" i="6"/>
  <c r="BK374" i="6"/>
  <c r="L374" i="6"/>
  <c r="BL373" i="6"/>
  <c r="BK373" i="6"/>
  <c r="L373" i="6"/>
  <c r="BL372" i="6"/>
  <c r="BK372" i="6"/>
  <c r="L372" i="6"/>
  <c r="BL371" i="6"/>
  <c r="BK371" i="6"/>
  <c r="L371" i="6"/>
  <c r="BL370" i="6"/>
  <c r="BK370" i="6"/>
  <c r="L370" i="6"/>
  <c r="M370" i="6" s="1"/>
  <c r="BL369" i="6"/>
  <c r="BK369" i="6"/>
  <c r="L369" i="6"/>
  <c r="M369" i="6" s="1"/>
  <c r="BL368" i="6"/>
  <c r="BK368" i="6"/>
  <c r="L368" i="6"/>
  <c r="M368" i="6" s="1"/>
  <c r="BL367" i="6"/>
  <c r="BK367" i="6"/>
  <c r="L367" i="6"/>
  <c r="BL366" i="6"/>
  <c r="BK366" i="6"/>
  <c r="L366" i="6"/>
  <c r="M366" i="6" s="1"/>
  <c r="BL365" i="6"/>
  <c r="BK365" i="6"/>
  <c r="L365" i="6"/>
  <c r="M365" i="6" s="1"/>
  <c r="BL364" i="6"/>
  <c r="BK364" i="6"/>
  <c r="L364" i="6"/>
  <c r="M364" i="6" s="1"/>
  <c r="BL363" i="6"/>
  <c r="BK363" i="6"/>
  <c r="L363" i="6"/>
  <c r="M363" i="6" s="1"/>
  <c r="BL362" i="6"/>
  <c r="BK362" i="6"/>
  <c r="L362" i="6"/>
  <c r="M362" i="6" s="1"/>
  <c r="BL361" i="6"/>
  <c r="BK361" i="6"/>
  <c r="L361" i="6"/>
  <c r="M361" i="6" s="1"/>
  <c r="BL360" i="6"/>
  <c r="BK360" i="6"/>
  <c r="L360" i="6"/>
  <c r="BL359" i="6"/>
  <c r="BK359" i="6"/>
  <c r="L359" i="6"/>
  <c r="M359" i="6" s="1"/>
  <c r="BL358" i="6"/>
  <c r="BK358" i="6"/>
  <c r="L358" i="6"/>
  <c r="M358" i="6" s="1"/>
  <c r="BL357" i="6"/>
  <c r="BK357" i="6"/>
  <c r="L357" i="6"/>
  <c r="M357" i="6" s="1"/>
  <c r="BL356" i="6"/>
  <c r="BK356" i="6"/>
  <c r="L356" i="6"/>
  <c r="M356" i="6" s="1"/>
  <c r="BL355" i="6"/>
  <c r="BK355" i="6"/>
  <c r="L355" i="6"/>
  <c r="M355" i="6" s="1"/>
  <c r="BL354" i="6"/>
  <c r="BK354" i="6"/>
  <c r="L354" i="6"/>
  <c r="M354" i="6" s="1"/>
  <c r="BL353" i="6"/>
  <c r="BK353" i="6"/>
  <c r="L353" i="6"/>
  <c r="M353" i="6" s="1"/>
  <c r="BL352" i="6"/>
  <c r="BK352" i="6"/>
  <c r="L352" i="6"/>
  <c r="M352" i="6" s="1"/>
  <c r="BL351" i="6"/>
  <c r="BK351" i="6"/>
  <c r="L351" i="6"/>
  <c r="M351" i="6" s="1"/>
  <c r="BL350" i="6"/>
  <c r="BK350" i="6"/>
  <c r="L350" i="6"/>
  <c r="M350" i="6" s="1"/>
  <c r="BL349" i="6"/>
  <c r="BK349" i="6"/>
  <c r="L349" i="6"/>
  <c r="M349" i="6" s="1"/>
  <c r="BL348" i="6"/>
  <c r="BK348" i="6"/>
  <c r="L348" i="6"/>
  <c r="M348" i="6" s="1"/>
  <c r="BL347" i="6"/>
  <c r="BK347" i="6"/>
  <c r="L347" i="6"/>
  <c r="BL346" i="6"/>
  <c r="BK346" i="6"/>
  <c r="L346" i="6"/>
  <c r="M346" i="6" s="1"/>
  <c r="BL345" i="6"/>
  <c r="BK345" i="6"/>
  <c r="L345" i="6"/>
  <c r="M345" i="6" s="1"/>
  <c r="BL344" i="6"/>
  <c r="BK344" i="6"/>
  <c r="L344" i="6"/>
  <c r="M344" i="6" s="1"/>
  <c r="BL343" i="6"/>
  <c r="BK343" i="6"/>
  <c r="L343" i="6"/>
  <c r="M343" i="6" s="1"/>
  <c r="BL342" i="6"/>
  <c r="BK342" i="6"/>
  <c r="L342" i="6"/>
  <c r="M342" i="6" s="1"/>
  <c r="BL341" i="6"/>
  <c r="BK341" i="6"/>
  <c r="L341" i="6"/>
  <c r="BL340" i="6"/>
  <c r="BK340" i="6"/>
  <c r="L340" i="6"/>
  <c r="M340" i="6" s="1"/>
  <c r="BL339" i="6"/>
  <c r="BK339" i="6"/>
  <c r="L339" i="6"/>
  <c r="M339" i="6" s="1"/>
  <c r="BL338" i="6"/>
  <c r="BK338" i="6"/>
  <c r="L338" i="6"/>
  <c r="M338" i="6" s="1"/>
  <c r="BL337" i="6"/>
  <c r="BK337" i="6"/>
  <c r="L337" i="6"/>
  <c r="M337" i="6" s="1"/>
  <c r="BL336" i="6"/>
  <c r="BK336" i="6"/>
  <c r="L336" i="6"/>
  <c r="BL335" i="6"/>
  <c r="BK335" i="6"/>
  <c r="L335" i="6"/>
  <c r="BL334" i="6"/>
  <c r="BK334" i="6"/>
  <c r="L334" i="6"/>
  <c r="M334" i="6" s="1"/>
  <c r="BL333" i="6"/>
  <c r="BK333" i="6"/>
  <c r="L333" i="6"/>
  <c r="M333" i="6" s="1"/>
  <c r="BL332" i="6"/>
  <c r="BK332" i="6"/>
  <c r="L332" i="6"/>
  <c r="M332" i="6" s="1"/>
  <c r="BL331" i="6"/>
  <c r="BK331" i="6"/>
  <c r="L331" i="6"/>
  <c r="BL330" i="6"/>
  <c r="BK330" i="6"/>
  <c r="L330" i="6"/>
  <c r="BL329" i="6"/>
  <c r="BK329" i="6"/>
  <c r="L329" i="6"/>
  <c r="BL328" i="6"/>
  <c r="BK328" i="6"/>
  <c r="L328" i="6"/>
  <c r="M328" i="6" s="1"/>
  <c r="BL327" i="6"/>
  <c r="BK327" i="6"/>
  <c r="L327" i="6"/>
  <c r="BL326" i="6"/>
  <c r="BK326" i="6"/>
  <c r="L326" i="6"/>
  <c r="BL325" i="6"/>
  <c r="BK325" i="6"/>
  <c r="L325" i="6"/>
  <c r="BL324" i="6"/>
  <c r="BK324" i="6"/>
  <c r="L324" i="6"/>
  <c r="BL323" i="6"/>
  <c r="BK323" i="6"/>
  <c r="L323" i="6"/>
  <c r="BL322" i="6"/>
  <c r="BK322" i="6"/>
  <c r="L322" i="6"/>
  <c r="BL321" i="6"/>
  <c r="BK321" i="6"/>
  <c r="L321" i="6"/>
  <c r="BL320" i="6"/>
  <c r="BK320" i="6"/>
  <c r="L320" i="6"/>
  <c r="BL319" i="6"/>
  <c r="BK319" i="6"/>
  <c r="L319" i="6"/>
  <c r="BL318" i="6"/>
  <c r="BK318" i="6"/>
  <c r="L318" i="6"/>
  <c r="BL317" i="6"/>
  <c r="BK317" i="6"/>
  <c r="L317" i="6"/>
  <c r="BL316" i="6"/>
  <c r="BK316" i="6"/>
  <c r="L316" i="6"/>
  <c r="BL315" i="6"/>
  <c r="BK315" i="6"/>
  <c r="L315" i="6"/>
  <c r="BL314" i="6"/>
  <c r="BK314" i="6"/>
  <c r="L314" i="6"/>
  <c r="BL313" i="6"/>
  <c r="BK313" i="6"/>
  <c r="L313" i="6"/>
  <c r="BL312" i="6"/>
  <c r="BK312" i="6"/>
  <c r="L312" i="6"/>
  <c r="BL311" i="6"/>
  <c r="BK311" i="6"/>
  <c r="L311" i="6"/>
  <c r="BL310" i="6"/>
  <c r="BK310" i="6"/>
  <c r="L310" i="6"/>
  <c r="BL309" i="6"/>
  <c r="BK309" i="6"/>
  <c r="L309" i="6"/>
  <c r="BL308" i="6"/>
  <c r="BK308" i="6"/>
  <c r="L308" i="6"/>
  <c r="BL307" i="6"/>
  <c r="BK307" i="6"/>
  <c r="L307" i="6"/>
  <c r="BL306" i="6"/>
  <c r="BK306" i="6"/>
  <c r="L306" i="6"/>
  <c r="BL305" i="6"/>
  <c r="BK305" i="6"/>
  <c r="L305" i="6"/>
  <c r="BL304" i="6"/>
  <c r="BK304" i="6"/>
  <c r="L304" i="6"/>
  <c r="BL303" i="6"/>
  <c r="BK303" i="6"/>
  <c r="L303" i="6"/>
  <c r="BL302" i="6"/>
  <c r="BK302" i="6"/>
  <c r="L302" i="6"/>
  <c r="BL301" i="6"/>
  <c r="BK301" i="6"/>
  <c r="L301" i="6"/>
  <c r="BL300" i="6"/>
  <c r="BK300" i="6"/>
  <c r="L300" i="6"/>
  <c r="BL299" i="6"/>
  <c r="BK299" i="6"/>
  <c r="L299" i="6"/>
  <c r="M299" i="6" s="1"/>
  <c r="BL298" i="6"/>
  <c r="BK298" i="6"/>
  <c r="L298" i="6"/>
  <c r="BL297" i="6"/>
  <c r="BK297" i="6"/>
  <c r="L297" i="6"/>
  <c r="BL296" i="6"/>
  <c r="BK296" i="6"/>
  <c r="L296" i="6"/>
  <c r="M296" i="6" s="1"/>
  <c r="BL295" i="6"/>
  <c r="BK295" i="6"/>
  <c r="L295" i="6"/>
  <c r="BL294" i="6"/>
  <c r="BK294" i="6"/>
  <c r="L294" i="6"/>
  <c r="M294" i="6" s="1"/>
  <c r="BL293" i="6"/>
  <c r="BK293" i="6"/>
  <c r="L293" i="6"/>
  <c r="M293" i="6" s="1"/>
  <c r="BL292" i="6"/>
  <c r="BK292" i="6"/>
  <c r="L292" i="6"/>
  <c r="M292" i="6" s="1"/>
  <c r="BL291" i="6"/>
  <c r="BK291" i="6"/>
  <c r="L291" i="6"/>
  <c r="M291" i="6" s="1"/>
  <c r="BL290" i="6"/>
  <c r="BK290" i="6"/>
  <c r="L290" i="6"/>
  <c r="M290" i="6" s="1"/>
  <c r="BL289" i="6"/>
  <c r="BK289" i="6"/>
  <c r="L289" i="6"/>
  <c r="BL288" i="6"/>
  <c r="BK288" i="6"/>
  <c r="L288" i="6"/>
  <c r="M288" i="6" s="1"/>
  <c r="BL287" i="6"/>
  <c r="BK287" i="6"/>
  <c r="L287" i="6"/>
  <c r="M287" i="6" s="1"/>
  <c r="BL286" i="6"/>
  <c r="BK286" i="6"/>
  <c r="L286" i="6"/>
  <c r="M286" i="6" s="1"/>
  <c r="BL285" i="6"/>
  <c r="BK285" i="6"/>
  <c r="L285" i="6"/>
  <c r="M285" i="6" s="1"/>
  <c r="BL284" i="6"/>
  <c r="BK284" i="6"/>
  <c r="L284" i="6"/>
  <c r="M284" i="6" s="1"/>
  <c r="BL283" i="6"/>
  <c r="BK283" i="6"/>
  <c r="L283" i="6"/>
  <c r="M283" i="6" s="1"/>
  <c r="BL282" i="6"/>
  <c r="BK282" i="6"/>
  <c r="L282" i="6"/>
  <c r="M282" i="6" s="1"/>
  <c r="BL281" i="6"/>
  <c r="BK281" i="6"/>
  <c r="L281" i="6"/>
  <c r="M281" i="6" s="1"/>
  <c r="BL280" i="6"/>
  <c r="BK280" i="6"/>
  <c r="L280" i="6"/>
  <c r="M280" i="6" s="1"/>
  <c r="BL279" i="6"/>
  <c r="BK279" i="6"/>
  <c r="L279" i="6"/>
  <c r="M279" i="6" s="1"/>
  <c r="BL278" i="6"/>
  <c r="BK278" i="6"/>
  <c r="L278" i="6"/>
  <c r="M278" i="6" s="1"/>
  <c r="BL277" i="6"/>
  <c r="BK277" i="6"/>
  <c r="L277" i="6"/>
  <c r="BL276" i="6"/>
  <c r="BK276" i="6"/>
  <c r="L276" i="6"/>
  <c r="M276" i="6" s="1"/>
  <c r="BL275" i="6"/>
  <c r="BK275" i="6"/>
  <c r="L275" i="6"/>
  <c r="M275" i="6" s="1"/>
  <c r="BL274" i="6"/>
  <c r="BK274" i="6"/>
  <c r="L274" i="6"/>
  <c r="M274" i="6" s="1"/>
  <c r="BL273" i="6"/>
  <c r="BK273" i="6"/>
  <c r="L273" i="6"/>
  <c r="M273" i="6" s="1"/>
  <c r="BL272" i="6"/>
  <c r="BK272" i="6"/>
  <c r="L272" i="6"/>
  <c r="M272" i="6" s="1"/>
  <c r="BL271" i="6"/>
  <c r="BK271" i="6"/>
  <c r="L271" i="6"/>
  <c r="M271" i="6" s="1"/>
  <c r="BL270" i="6"/>
  <c r="BK270" i="6"/>
  <c r="L270" i="6"/>
  <c r="M270" i="6" s="1"/>
  <c r="BL269" i="6"/>
  <c r="BK269" i="6"/>
  <c r="L269" i="6"/>
  <c r="BL268" i="6"/>
  <c r="BK268" i="6"/>
  <c r="L268" i="6"/>
  <c r="BL267" i="6"/>
  <c r="BK267" i="6"/>
  <c r="L267" i="6"/>
  <c r="BL266" i="6"/>
  <c r="BK266" i="6"/>
  <c r="L266" i="6"/>
  <c r="M266" i="6" s="1"/>
  <c r="BL265" i="6"/>
  <c r="BK265" i="6"/>
  <c r="L265" i="6"/>
  <c r="BL264" i="6"/>
  <c r="BK264" i="6"/>
  <c r="L264" i="6"/>
  <c r="BL263" i="6"/>
  <c r="BK263" i="6"/>
  <c r="L263" i="6"/>
  <c r="BL262" i="6"/>
  <c r="BK262" i="6"/>
  <c r="L262" i="6"/>
  <c r="M262" i="6" s="1"/>
  <c r="BL261" i="6"/>
  <c r="BK261" i="6"/>
  <c r="L261" i="6"/>
  <c r="BL260" i="6"/>
  <c r="BK260" i="6"/>
  <c r="L260" i="6"/>
  <c r="BL259" i="6"/>
  <c r="BK259" i="6"/>
  <c r="L259" i="6"/>
  <c r="BL258" i="6"/>
  <c r="BK258" i="6"/>
  <c r="L258" i="6"/>
  <c r="BL257" i="6"/>
  <c r="BK257" i="6"/>
  <c r="L257" i="6"/>
  <c r="BL256" i="6"/>
  <c r="BK256" i="6"/>
  <c r="L256" i="6"/>
  <c r="BL255" i="6"/>
  <c r="BK255" i="6"/>
  <c r="L255" i="6"/>
  <c r="BL254" i="6"/>
  <c r="BK254" i="6"/>
  <c r="L254" i="6"/>
  <c r="BL253" i="6"/>
  <c r="BK253" i="6"/>
  <c r="L253" i="6"/>
  <c r="BL252" i="6"/>
  <c r="BK252" i="6"/>
  <c r="L252" i="6"/>
  <c r="M252" i="6" s="1"/>
  <c r="BL251" i="6"/>
  <c r="BK251" i="6"/>
  <c r="L251" i="6"/>
  <c r="BL250" i="6"/>
  <c r="BK250" i="6"/>
  <c r="L250" i="6"/>
  <c r="BL249" i="6"/>
  <c r="BK249" i="6"/>
  <c r="L249" i="6"/>
  <c r="BL248" i="6"/>
  <c r="BK248" i="6"/>
  <c r="L248" i="6"/>
  <c r="BL247" i="6"/>
  <c r="BK247" i="6"/>
  <c r="L247" i="6"/>
  <c r="BL246" i="6"/>
  <c r="BK246" i="6"/>
  <c r="L246" i="6"/>
  <c r="BL245" i="6"/>
  <c r="BK245" i="6"/>
  <c r="L245" i="6"/>
  <c r="BL244" i="6"/>
  <c r="BK244" i="6"/>
  <c r="L244" i="6"/>
  <c r="M244" i="6" s="1"/>
  <c r="BL243" i="6"/>
  <c r="BK243" i="6"/>
  <c r="L243" i="6"/>
  <c r="BL242" i="6"/>
  <c r="BK242" i="6"/>
  <c r="L242" i="6"/>
  <c r="BL241" i="6"/>
  <c r="BK241" i="6"/>
  <c r="L241" i="6"/>
  <c r="BL240" i="6"/>
  <c r="BK240" i="6"/>
  <c r="L240" i="6"/>
  <c r="BL239" i="6"/>
  <c r="BK239" i="6"/>
  <c r="L239" i="6"/>
  <c r="BL238" i="6"/>
  <c r="BK238" i="6"/>
  <c r="L238" i="6"/>
  <c r="BL237" i="6"/>
  <c r="BK237" i="6"/>
  <c r="L237" i="6"/>
  <c r="BL236" i="6"/>
  <c r="BK236" i="6"/>
  <c r="L236" i="6"/>
  <c r="BL235" i="6"/>
  <c r="BK235" i="6"/>
  <c r="L235" i="6"/>
  <c r="BL234" i="6"/>
  <c r="BK234" i="6"/>
  <c r="L234" i="6"/>
  <c r="BL233" i="6"/>
  <c r="BK233" i="6"/>
  <c r="L233" i="6"/>
  <c r="BL232" i="6"/>
  <c r="BK232" i="6"/>
  <c r="L232" i="6"/>
  <c r="BL231" i="6"/>
  <c r="BK231" i="6"/>
  <c r="L231" i="6"/>
  <c r="BL230" i="6"/>
  <c r="BK230" i="6"/>
  <c r="L230" i="6"/>
  <c r="BL229" i="6"/>
  <c r="BK229" i="6"/>
  <c r="L229" i="6"/>
  <c r="BL228" i="6"/>
  <c r="BK228" i="6"/>
  <c r="L228" i="6"/>
  <c r="BL227" i="6"/>
  <c r="BK227" i="6"/>
  <c r="L227" i="6"/>
  <c r="M227" i="6" s="1"/>
  <c r="BL226" i="6"/>
  <c r="BK226" i="6"/>
  <c r="L226" i="6"/>
  <c r="M226" i="6" s="1"/>
  <c r="BL225" i="6"/>
  <c r="BK225" i="6"/>
  <c r="L225" i="6"/>
  <c r="M225" i="6" s="1"/>
  <c r="BL224" i="6"/>
  <c r="BK224" i="6"/>
  <c r="L224" i="6"/>
  <c r="M224" i="6" s="1"/>
  <c r="BL223" i="6"/>
  <c r="BK223" i="6"/>
  <c r="L223" i="6"/>
  <c r="BL222" i="6"/>
  <c r="BK222" i="6"/>
  <c r="L222" i="6"/>
  <c r="BL221" i="6"/>
  <c r="BK221" i="6"/>
  <c r="L221" i="6"/>
  <c r="BL220" i="6"/>
  <c r="BK220" i="6"/>
  <c r="L220" i="6"/>
  <c r="M220" i="6" s="1"/>
  <c r="BL219" i="6"/>
  <c r="BK219" i="6"/>
  <c r="L219" i="6"/>
  <c r="BL218" i="6"/>
  <c r="BK218" i="6"/>
  <c r="L218" i="6"/>
  <c r="M218" i="6" s="1"/>
  <c r="BL217" i="6"/>
  <c r="BK217" i="6"/>
  <c r="L217" i="6"/>
  <c r="M217" i="6" s="1"/>
  <c r="BL216" i="6"/>
  <c r="BK216" i="6"/>
  <c r="L216" i="6"/>
  <c r="BL215" i="6"/>
  <c r="BK215" i="6"/>
  <c r="L215" i="6"/>
  <c r="BL214" i="6"/>
  <c r="BK214" i="6"/>
  <c r="L214" i="6"/>
  <c r="M214" i="6" s="1"/>
  <c r="BL213" i="6"/>
  <c r="BK213" i="6"/>
  <c r="L213" i="6"/>
  <c r="M213" i="6" s="1"/>
  <c r="BL212" i="6"/>
  <c r="BK212" i="6"/>
  <c r="L212" i="6"/>
  <c r="M212" i="6" s="1"/>
  <c r="BL211" i="6"/>
  <c r="BK211" i="6"/>
  <c r="L211" i="6"/>
  <c r="M211" i="6" s="1"/>
  <c r="BL210" i="6"/>
  <c r="BK210" i="6"/>
  <c r="L210" i="6"/>
  <c r="M210" i="6" s="1"/>
  <c r="BL209" i="6"/>
  <c r="BK209" i="6"/>
  <c r="L209" i="6"/>
  <c r="M209" i="6" s="1"/>
  <c r="BL208" i="6"/>
  <c r="BK208" i="6"/>
  <c r="L208" i="6"/>
  <c r="M208" i="6" s="1"/>
  <c r="BL207" i="6"/>
  <c r="BK207" i="6"/>
  <c r="L207" i="6"/>
  <c r="M207" i="6" s="1"/>
  <c r="BL206" i="6"/>
  <c r="BK206" i="6"/>
  <c r="L206" i="6"/>
  <c r="M206" i="6" s="1"/>
  <c r="BL205" i="6"/>
  <c r="BK205" i="6"/>
  <c r="L205" i="6"/>
  <c r="BL204" i="6"/>
  <c r="BK204" i="6"/>
  <c r="L204" i="6"/>
  <c r="M204" i="6" s="1"/>
  <c r="BL203" i="6"/>
  <c r="BK203" i="6"/>
  <c r="L203" i="6"/>
  <c r="BL202" i="6"/>
  <c r="BK202" i="6"/>
  <c r="L202" i="6"/>
  <c r="M202" i="6" s="1"/>
  <c r="BL201" i="6"/>
  <c r="BK201" i="6"/>
  <c r="L201" i="6"/>
  <c r="M201" i="6" s="1"/>
  <c r="BL200" i="6"/>
  <c r="BK200" i="6"/>
  <c r="L200" i="6"/>
  <c r="M200" i="6" s="1"/>
  <c r="BL199" i="6"/>
  <c r="BK199" i="6"/>
  <c r="L199" i="6"/>
  <c r="M199" i="6" s="1"/>
  <c r="BL198" i="6"/>
  <c r="BK198" i="6"/>
  <c r="L198" i="6"/>
  <c r="M198" i="6" s="1"/>
  <c r="BL197" i="6"/>
  <c r="BK197" i="6"/>
  <c r="L197" i="6"/>
  <c r="M197" i="6" s="1"/>
  <c r="BL196" i="6"/>
  <c r="BK196" i="6"/>
  <c r="L196" i="6"/>
  <c r="BL195" i="6"/>
  <c r="BK195" i="6"/>
  <c r="L195" i="6"/>
  <c r="BL194" i="6"/>
  <c r="BK194" i="6"/>
  <c r="L194" i="6"/>
  <c r="M194" i="6" s="1"/>
  <c r="BL193" i="6"/>
  <c r="BK193" i="6"/>
  <c r="L193" i="6"/>
  <c r="M193" i="6" s="1"/>
  <c r="BL192" i="6"/>
  <c r="BK192" i="6"/>
  <c r="L192" i="6"/>
  <c r="M192" i="6" s="1"/>
  <c r="BL191" i="6"/>
  <c r="BK191" i="6"/>
  <c r="L191" i="6"/>
  <c r="M191" i="6" s="1"/>
  <c r="BL190" i="6"/>
  <c r="BK190" i="6"/>
  <c r="L190" i="6"/>
  <c r="BL189" i="6"/>
  <c r="BK189" i="6"/>
  <c r="L189" i="6"/>
  <c r="BL188" i="6"/>
  <c r="BK188" i="6"/>
  <c r="L188" i="6"/>
  <c r="M188" i="6" s="1"/>
  <c r="BL187" i="6"/>
  <c r="BK187" i="6"/>
  <c r="L187" i="6"/>
  <c r="BL186" i="6"/>
  <c r="BK186" i="6"/>
  <c r="L186" i="6"/>
  <c r="BL185" i="6"/>
  <c r="BK185" i="6"/>
  <c r="L185" i="6"/>
  <c r="BL184" i="6"/>
  <c r="BK184" i="6"/>
  <c r="L184" i="6"/>
  <c r="BL183" i="6"/>
  <c r="BK183" i="6"/>
  <c r="L183" i="6"/>
  <c r="BL182" i="6"/>
  <c r="BK182" i="6"/>
  <c r="L182" i="6"/>
  <c r="BL181" i="6"/>
  <c r="BK181" i="6"/>
  <c r="L181" i="6"/>
  <c r="BL180" i="6"/>
  <c r="BK180" i="6"/>
  <c r="L180" i="6"/>
  <c r="BL179" i="6"/>
  <c r="BK179" i="6"/>
  <c r="L179" i="6"/>
  <c r="BL178" i="6"/>
  <c r="BK178" i="6"/>
  <c r="L178" i="6"/>
  <c r="BL177" i="6"/>
  <c r="BK177" i="6"/>
  <c r="L177" i="6"/>
  <c r="BL176" i="6"/>
  <c r="BK176" i="6"/>
  <c r="L176" i="6"/>
  <c r="BL175" i="6"/>
  <c r="BK175" i="6"/>
  <c r="L175" i="6"/>
  <c r="BL174" i="6"/>
  <c r="BK174" i="6"/>
  <c r="L174" i="6"/>
  <c r="BL173" i="6"/>
  <c r="BK173" i="6"/>
  <c r="L173" i="6"/>
  <c r="BL172" i="6"/>
  <c r="BK172" i="6"/>
  <c r="L172" i="6"/>
  <c r="BL171" i="6"/>
  <c r="BK171" i="6"/>
  <c r="L171" i="6"/>
  <c r="BL170" i="6"/>
  <c r="BK170" i="6"/>
  <c r="L170" i="6"/>
  <c r="BL169" i="6"/>
  <c r="BK169" i="6"/>
  <c r="L169" i="6"/>
  <c r="BL168" i="6"/>
  <c r="BK168" i="6"/>
  <c r="L168" i="6"/>
  <c r="BL167" i="6"/>
  <c r="BK167" i="6"/>
  <c r="L167" i="6"/>
  <c r="BL166" i="6"/>
  <c r="BK166" i="6"/>
  <c r="L166" i="6"/>
  <c r="BL165" i="6"/>
  <c r="BK165" i="6"/>
  <c r="L165" i="6"/>
  <c r="BL164" i="6"/>
  <c r="BK164" i="6"/>
  <c r="L164" i="6"/>
  <c r="BL163" i="6"/>
  <c r="BK163" i="6"/>
  <c r="L163" i="6"/>
  <c r="BL162" i="6"/>
  <c r="BK162" i="6"/>
  <c r="L162" i="6"/>
  <c r="BL161" i="6"/>
  <c r="BK161" i="6"/>
  <c r="L161" i="6"/>
  <c r="BL160" i="6"/>
  <c r="BK160" i="6"/>
  <c r="L160" i="6"/>
  <c r="BL159" i="6"/>
  <c r="BK159" i="6"/>
  <c r="L159" i="6"/>
  <c r="BL158" i="6"/>
  <c r="BK158" i="6"/>
  <c r="L158" i="6"/>
  <c r="BL157" i="6"/>
  <c r="BK157" i="6"/>
  <c r="L157" i="6"/>
  <c r="BL156" i="6"/>
  <c r="BK156" i="6"/>
  <c r="L156" i="6"/>
  <c r="BL155" i="6"/>
  <c r="BK155" i="6"/>
  <c r="L155" i="6"/>
  <c r="BL154" i="6"/>
  <c r="BK154" i="6"/>
  <c r="L154" i="6"/>
  <c r="BL153" i="6"/>
  <c r="BK153" i="6"/>
  <c r="L153" i="6"/>
  <c r="BL152" i="6"/>
  <c r="BK152" i="6"/>
  <c r="L152" i="6"/>
  <c r="BL151" i="6"/>
  <c r="BK151" i="6"/>
  <c r="L151" i="6"/>
  <c r="BL150" i="6"/>
  <c r="BK150" i="6"/>
  <c r="L150" i="6"/>
  <c r="BL149" i="6"/>
  <c r="BK149" i="6"/>
  <c r="L149" i="6"/>
  <c r="BL148" i="6"/>
  <c r="BK148" i="6"/>
  <c r="L148" i="6"/>
  <c r="BL147" i="6"/>
  <c r="BK147" i="6"/>
  <c r="L147" i="6"/>
  <c r="BL146" i="6"/>
  <c r="BK146" i="6"/>
  <c r="L146" i="6"/>
  <c r="BL145" i="6"/>
  <c r="BK145" i="6"/>
  <c r="L145" i="6"/>
  <c r="BL144" i="6"/>
  <c r="BK144" i="6"/>
  <c r="L144" i="6"/>
  <c r="BL143" i="6"/>
  <c r="BK143" i="6"/>
  <c r="L143" i="6"/>
  <c r="BL142" i="6"/>
  <c r="BK142" i="6"/>
  <c r="L142" i="6"/>
  <c r="BL141" i="6"/>
  <c r="BK141" i="6"/>
  <c r="L141" i="6"/>
  <c r="BL140" i="6"/>
  <c r="BK140" i="6"/>
  <c r="L140" i="6"/>
  <c r="BL139" i="6"/>
  <c r="BK139" i="6"/>
  <c r="L139" i="6"/>
  <c r="BL138" i="6"/>
  <c r="BK138" i="6"/>
  <c r="L138" i="6"/>
  <c r="BL137" i="6"/>
  <c r="BK137" i="6"/>
  <c r="L137" i="6"/>
  <c r="BL136" i="6"/>
  <c r="BK136" i="6"/>
  <c r="L136" i="6"/>
  <c r="BL135" i="6"/>
  <c r="BK135" i="6"/>
  <c r="L135" i="6"/>
  <c r="BL134" i="6"/>
  <c r="BK134" i="6"/>
  <c r="L134" i="6"/>
  <c r="BL133" i="6"/>
  <c r="BK133" i="6"/>
  <c r="L133" i="6"/>
  <c r="BL132" i="6"/>
  <c r="BK132" i="6"/>
  <c r="L132" i="6"/>
  <c r="BL131" i="6"/>
  <c r="BK131" i="6"/>
  <c r="L131" i="6"/>
  <c r="M131" i="6" s="1"/>
  <c r="BL130" i="6"/>
  <c r="BK130" i="6"/>
  <c r="L130" i="6"/>
  <c r="BL129" i="6"/>
  <c r="BK129" i="6"/>
  <c r="L129" i="6"/>
  <c r="BL128" i="6"/>
  <c r="BK128" i="6"/>
  <c r="L128" i="6"/>
  <c r="BL127" i="6"/>
  <c r="BK127" i="6"/>
  <c r="L127" i="6"/>
  <c r="BL126" i="6"/>
  <c r="BK126" i="6"/>
  <c r="L126" i="6"/>
  <c r="BL125" i="6"/>
  <c r="BK125" i="6"/>
  <c r="L125" i="6"/>
  <c r="BL124" i="6"/>
  <c r="BK124" i="6"/>
  <c r="L124" i="6"/>
  <c r="BL123" i="6"/>
  <c r="BK123" i="6"/>
  <c r="L123" i="6"/>
  <c r="BL122" i="6"/>
  <c r="BK122" i="6"/>
  <c r="L122" i="6"/>
  <c r="BL121" i="6"/>
  <c r="BK121" i="6"/>
  <c r="L121" i="6"/>
  <c r="BL120" i="6"/>
  <c r="BK120" i="6"/>
  <c r="L120" i="6"/>
  <c r="BL119" i="6"/>
  <c r="BK119" i="6"/>
  <c r="L119" i="6"/>
  <c r="BL118" i="6"/>
  <c r="BK118" i="6"/>
  <c r="L118" i="6"/>
  <c r="BL117" i="6"/>
  <c r="BK117" i="6"/>
  <c r="L117" i="6"/>
  <c r="BL116" i="6"/>
  <c r="BK116" i="6"/>
  <c r="L116" i="6"/>
  <c r="BL115" i="6"/>
  <c r="BK115" i="6"/>
  <c r="L115" i="6"/>
  <c r="BL114" i="6"/>
  <c r="BK114" i="6"/>
  <c r="L114" i="6"/>
  <c r="BL113" i="6"/>
  <c r="BK113" i="6"/>
  <c r="L113" i="6"/>
  <c r="BL112" i="6"/>
  <c r="BK112" i="6"/>
  <c r="L112" i="6"/>
  <c r="BL111" i="6"/>
  <c r="BK111" i="6"/>
  <c r="L111" i="6"/>
  <c r="BL110" i="6"/>
  <c r="BK110" i="6"/>
  <c r="L110" i="6"/>
  <c r="BL109" i="6"/>
  <c r="BK109" i="6"/>
  <c r="L109" i="6"/>
  <c r="BL108" i="6"/>
  <c r="BK108" i="6"/>
  <c r="L108" i="6"/>
  <c r="BL107" i="6"/>
  <c r="BK107" i="6"/>
  <c r="L107" i="6"/>
  <c r="BL106" i="6"/>
  <c r="BK106" i="6"/>
  <c r="L106" i="6"/>
  <c r="BL105" i="6"/>
  <c r="BK105" i="6"/>
  <c r="L105" i="6"/>
  <c r="BL104" i="6"/>
  <c r="BK104" i="6"/>
  <c r="L104" i="6"/>
  <c r="BL103" i="6"/>
  <c r="BK103" i="6"/>
  <c r="L103" i="6"/>
  <c r="BL102" i="6"/>
  <c r="BK102" i="6"/>
  <c r="L102" i="6"/>
  <c r="BL101" i="6"/>
  <c r="BK101" i="6"/>
  <c r="L101" i="6"/>
  <c r="BL100" i="6"/>
  <c r="BK100" i="6"/>
  <c r="L100" i="6"/>
  <c r="BL99" i="6"/>
  <c r="BK99" i="6"/>
  <c r="L99" i="6"/>
  <c r="BL98" i="6"/>
  <c r="BK98" i="6"/>
  <c r="L98" i="6"/>
  <c r="BL97" i="6"/>
  <c r="BK97" i="6"/>
  <c r="L97" i="6"/>
  <c r="BL96" i="6"/>
  <c r="BK96" i="6"/>
  <c r="L96" i="6"/>
  <c r="BL95" i="6"/>
  <c r="BK95" i="6"/>
  <c r="L95" i="6"/>
  <c r="BL94" i="6"/>
  <c r="BK94" i="6"/>
  <c r="L94" i="6"/>
  <c r="BL93" i="6"/>
  <c r="BK93" i="6"/>
  <c r="L93" i="6"/>
  <c r="BL92" i="6"/>
  <c r="BK92" i="6"/>
  <c r="L92" i="6"/>
  <c r="BL91" i="6"/>
  <c r="BK91" i="6"/>
  <c r="L91" i="6"/>
  <c r="BL90" i="6"/>
  <c r="BK90" i="6"/>
  <c r="L90" i="6"/>
  <c r="BL89" i="6"/>
  <c r="BK89" i="6"/>
  <c r="L89" i="6"/>
  <c r="BL88" i="6"/>
  <c r="BK88" i="6"/>
  <c r="L88" i="6"/>
  <c r="BL87" i="6"/>
  <c r="BK87" i="6"/>
  <c r="L87" i="6"/>
  <c r="BL86" i="6"/>
  <c r="BK86" i="6"/>
  <c r="L86" i="6"/>
  <c r="BL85" i="6"/>
  <c r="BK85" i="6"/>
  <c r="L85" i="6"/>
  <c r="BL84" i="6"/>
  <c r="BK84" i="6"/>
  <c r="L84" i="6"/>
  <c r="BL83" i="6"/>
  <c r="BK83" i="6"/>
  <c r="L83" i="6"/>
  <c r="BL82" i="6"/>
  <c r="BK82" i="6"/>
  <c r="L82" i="6"/>
  <c r="BL81" i="6"/>
  <c r="BK81" i="6"/>
  <c r="L81" i="6"/>
  <c r="BL80" i="6"/>
  <c r="BK80" i="6"/>
  <c r="L80" i="6"/>
  <c r="BL79" i="6"/>
  <c r="BK79" i="6"/>
  <c r="L79" i="6"/>
  <c r="BL78" i="6"/>
  <c r="BK78" i="6"/>
  <c r="L78" i="6"/>
  <c r="BL77" i="6"/>
  <c r="BK77" i="6"/>
  <c r="L77" i="6"/>
  <c r="BL76" i="6"/>
  <c r="BK76" i="6"/>
  <c r="L76" i="6"/>
  <c r="BL75" i="6"/>
  <c r="BK75" i="6"/>
  <c r="L75" i="6"/>
  <c r="BL74" i="6"/>
  <c r="BK74" i="6"/>
  <c r="L74" i="6"/>
  <c r="BL73" i="6"/>
  <c r="BK73" i="6"/>
  <c r="L73" i="6"/>
  <c r="BL72" i="6"/>
  <c r="BK72" i="6"/>
  <c r="L72" i="6"/>
  <c r="BL71" i="6"/>
  <c r="BK71" i="6"/>
  <c r="L71" i="6"/>
  <c r="BL70" i="6"/>
  <c r="BK70" i="6"/>
  <c r="L70" i="6"/>
  <c r="BL69" i="6"/>
  <c r="BK69" i="6"/>
  <c r="L69" i="6"/>
  <c r="BL68" i="6"/>
  <c r="BK68" i="6"/>
  <c r="L68" i="6"/>
  <c r="BL67" i="6"/>
  <c r="BK67" i="6"/>
  <c r="L67" i="6"/>
  <c r="BL66" i="6"/>
  <c r="BK66" i="6"/>
  <c r="L66" i="6"/>
  <c r="BL65" i="6"/>
  <c r="BK65" i="6"/>
  <c r="L65" i="6"/>
  <c r="BL64" i="6"/>
  <c r="BK64" i="6"/>
  <c r="L64" i="6"/>
  <c r="BL63" i="6"/>
  <c r="BK63" i="6"/>
  <c r="L63" i="6"/>
  <c r="BL62" i="6"/>
  <c r="BK62" i="6"/>
  <c r="L62" i="6"/>
  <c r="BL61" i="6"/>
  <c r="BK61" i="6"/>
  <c r="L61" i="6"/>
  <c r="BL60" i="6"/>
  <c r="BK60" i="6"/>
  <c r="L60" i="6"/>
  <c r="BL59" i="6"/>
  <c r="BK59" i="6"/>
  <c r="L59" i="6"/>
  <c r="BL58" i="6"/>
  <c r="BK58" i="6"/>
  <c r="L58" i="6"/>
  <c r="BL57" i="6"/>
  <c r="BK57" i="6"/>
  <c r="L57" i="6"/>
  <c r="BL56" i="6"/>
  <c r="BK56" i="6"/>
  <c r="L56" i="6"/>
  <c r="BL55" i="6"/>
  <c r="BK55" i="6"/>
  <c r="L55" i="6"/>
  <c r="BL54" i="6"/>
  <c r="BK54" i="6"/>
  <c r="L54" i="6"/>
  <c r="BL53" i="6"/>
  <c r="BK53" i="6"/>
  <c r="L53" i="6"/>
  <c r="BL52" i="6"/>
  <c r="BK52" i="6"/>
  <c r="L52" i="6"/>
  <c r="BL51" i="6"/>
  <c r="BK51" i="6"/>
  <c r="L51" i="6"/>
  <c r="BL50" i="6"/>
  <c r="BK50" i="6"/>
  <c r="L50" i="6"/>
  <c r="BL49" i="6"/>
  <c r="BK49" i="6"/>
  <c r="L49" i="6"/>
  <c r="BL48" i="6"/>
  <c r="BK48" i="6"/>
  <c r="L48" i="6"/>
  <c r="BL47" i="6"/>
  <c r="BK47" i="6"/>
  <c r="L47" i="6"/>
  <c r="BL46" i="6"/>
  <c r="BK46" i="6"/>
  <c r="L46" i="6"/>
  <c r="BL45" i="6"/>
  <c r="BK45" i="6"/>
  <c r="L45" i="6"/>
  <c r="BL44" i="6"/>
  <c r="BK44" i="6"/>
  <c r="L44" i="6"/>
  <c r="BL43" i="6"/>
  <c r="BK43" i="6"/>
  <c r="L43" i="6"/>
  <c r="BL42" i="6"/>
  <c r="BK42" i="6"/>
  <c r="L42" i="6"/>
  <c r="BL41" i="6"/>
  <c r="BK41" i="6"/>
  <c r="L41" i="6"/>
  <c r="BL40" i="6"/>
  <c r="BK40" i="6"/>
  <c r="L40" i="6"/>
  <c r="BL39" i="6"/>
  <c r="BK39" i="6"/>
  <c r="L39" i="6"/>
  <c r="BL38" i="6"/>
  <c r="BK38" i="6"/>
  <c r="L38" i="6"/>
  <c r="BL37" i="6"/>
  <c r="BK37" i="6"/>
  <c r="L37" i="6"/>
  <c r="BL36" i="6"/>
  <c r="BK36" i="6"/>
  <c r="L36" i="6"/>
  <c r="BL35" i="6"/>
  <c r="BK35" i="6"/>
  <c r="L35" i="6"/>
  <c r="BL34" i="6"/>
  <c r="BK34" i="6"/>
  <c r="L34" i="6"/>
  <c r="BL33" i="6"/>
  <c r="BK33" i="6"/>
  <c r="L33" i="6"/>
  <c r="BL32" i="6"/>
  <c r="BK32" i="6"/>
  <c r="L32" i="6"/>
  <c r="BL31" i="6"/>
  <c r="BK31" i="6"/>
  <c r="L31" i="6"/>
  <c r="BL30" i="6"/>
  <c r="BK30" i="6"/>
  <c r="L30" i="6"/>
  <c r="X28" i="6"/>
  <c r="W28" i="6"/>
  <c r="V28" i="6"/>
  <c r="U28" i="6"/>
  <c r="T28" i="6"/>
  <c r="S28" i="6"/>
  <c r="R28" i="6"/>
  <c r="Q28" i="6"/>
  <c r="P28" i="6"/>
  <c r="O28" i="6"/>
  <c r="N28" i="6"/>
  <c r="BH27" i="6" a="1"/>
  <c r="X27" i="6" a="1"/>
  <c r="W27" i="6" a="1"/>
  <c r="V27" i="6" a="1"/>
  <c r="U27" i="6" a="1"/>
  <c r="T27" i="6" a="1"/>
  <c r="S27" i="6" a="1"/>
  <c r="R27" i="6" a="1"/>
  <c r="Q27" i="6" a="1"/>
  <c r="P27" i="6" a="1"/>
  <c r="O27" i="6" a="1"/>
  <c r="N27" i="6" a="1"/>
  <c r="R13" i="6" a="1"/>
  <c r="Q13" i="6" a="1"/>
  <c r="P13" i="6" a="1"/>
  <c r="O13" i="6" a="1"/>
  <c r="N13" i="6" a="1"/>
  <c r="R12" i="6" a="1"/>
  <c r="Q12" i="6" a="1"/>
  <c r="P12" i="6" a="1"/>
  <c r="O12" i="6" a="1"/>
  <c r="N12" i="6" a="1"/>
  <c r="F7" i="6"/>
  <c r="E7" i="6"/>
  <c r="F6" i="6"/>
  <c r="E6" i="6"/>
  <c r="F5" i="6"/>
  <c r="E5" i="6"/>
  <c r="T71" i="4"/>
  <c r="T130" i="4"/>
  <c r="AV11" i="5"/>
  <c r="AW11" i="5" s="1"/>
  <c r="AU11" i="5"/>
  <c r="AP11" i="5"/>
  <c r="AF11" i="5"/>
  <c r="AH11" i="5"/>
  <c r="AK11" i="5"/>
  <c r="AL11" i="5"/>
  <c r="AM11" i="5" s="1"/>
  <c r="AQ11" i="5"/>
  <c r="AR11" i="5" s="1"/>
  <c r="AX715" i="9" l="1"/>
  <c r="AY715" i="9" s="1"/>
  <c r="AR424" i="9"/>
  <c r="AQ425" i="9"/>
  <c r="AL475" i="9"/>
  <c r="AM474" i="9"/>
  <c r="AR303" i="9"/>
  <c r="AQ304" i="9"/>
  <c r="AL633" i="9"/>
  <c r="AM632" i="9"/>
  <c r="AH346" i="9"/>
  <c r="AG347" i="9"/>
  <c r="AR630" i="9"/>
  <c r="AQ631" i="9"/>
  <c r="AM422" i="9"/>
  <c r="AL423" i="9"/>
  <c r="AL424" i="9" s="1"/>
  <c r="CF439" i="9"/>
  <c r="N439" i="9"/>
  <c r="AR441" i="9"/>
  <c r="AQ442" i="9"/>
  <c r="K441" i="9"/>
  <c r="L440" i="9"/>
  <c r="AW599" i="9"/>
  <c r="AV600" i="9"/>
  <c r="AG632" i="9"/>
  <c r="AH631" i="9"/>
  <c r="AG665" i="9"/>
  <c r="AH664" i="9"/>
  <c r="AW652" i="9"/>
  <c r="AV653" i="9"/>
  <c r="AL600" i="9"/>
  <c r="AM599" i="9"/>
  <c r="AQ559" i="9"/>
  <c r="AR558" i="9"/>
  <c r="AG558" i="9"/>
  <c r="AH557" i="9"/>
  <c r="AG677" i="9"/>
  <c r="AH676" i="9"/>
  <c r="AG652" i="9"/>
  <c r="AH651" i="9"/>
  <c r="AV631" i="9"/>
  <c r="AW630" i="9"/>
  <c r="AQ600" i="9"/>
  <c r="AR599" i="9"/>
  <c r="AQ653" i="9"/>
  <c r="AR652" i="9"/>
  <c r="CF649" i="9"/>
  <c r="N649" i="9"/>
  <c r="K632" i="9"/>
  <c r="L631" i="9"/>
  <c r="AV678" i="9"/>
  <c r="AW677" i="9"/>
  <c r="AW557" i="9"/>
  <c r="AV558" i="9"/>
  <c r="K651" i="9"/>
  <c r="L650" i="9"/>
  <c r="K679" i="9"/>
  <c r="L678" i="9"/>
  <c r="N630" i="9"/>
  <c r="CF630" i="9"/>
  <c r="N677" i="9"/>
  <c r="CF677" i="9"/>
  <c r="AR678" i="9"/>
  <c r="AQ679" i="9"/>
  <c r="CF662" i="9"/>
  <c r="N662" i="9"/>
  <c r="K664" i="9"/>
  <c r="L663" i="9"/>
  <c r="CF598" i="9"/>
  <c r="N598" i="9"/>
  <c r="AH600" i="9"/>
  <c r="AG601" i="9"/>
  <c r="AL677" i="9"/>
  <c r="AM676" i="9"/>
  <c r="AQ664" i="9"/>
  <c r="AR663" i="9"/>
  <c r="K600" i="9"/>
  <c r="L599" i="9"/>
  <c r="L558" i="9"/>
  <c r="K559" i="9"/>
  <c r="N557" i="9"/>
  <c r="CF557" i="9"/>
  <c r="AL559" i="9"/>
  <c r="AM558" i="9"/>
  <c r="AM651" i="9"/>
  <c r="AL652" i="9"/>
  <c r="AL664" i="9"/>
  <c r="AM663" i="9"/>
  <c r="AG304" i="9"/>
  <c r="AH303" i="9"/>
  <c r="AG423" i="9"/>
  <c r="AG424" i="9" s="1"/>
  <c r="AH422" i="9"/>
  <c r="AR379" i="9"/>
  <c r="AQ380" i="9"/>
  <c r="AQ477" i="9"/>
  <c r="AR476" i="9"/>
  <c r="AV425" i="9"/>
  <c r="AW424" i="9"/>
  <c r="AM346" i="9"/>
  <c r="AL347" i="9"/>
  <c r="N474" i="9"/>
  <c r="CF474" i="9"/>
  <c r="AH461" i="9"/>
  <c r="AG462" i="9"/>
  <c r="AW460" i="9"/>
  <c r="AV461" i="9"/>
  <c r="AV304" i="9"/>
  <c r="AW303" i="9"/>
  <c r="AW379" i="9"/>
  <c r="AV380" i="9"/>
  <c r="K476" i="9"/>
  <c r="L475" i="9"/>
  <c r="AQ462" i="9"/>
  <c r="AR461" i="9"/>
  <c r="K460" i="9"/>
  <c r="L459" i="9"/>
  <c r="CF458" i="9"/>
  <c r="N458" i="9"/>
  <c r="AV475" i="9"/>
  <c r="AW474" i="9"/>
  <c r="AV443" i="9"/>
  <c r="AW442" i="9"/>
  <c r="AG479" i="9"/>
  <c r="AH478" i="9"/>
  <c r="CF421" i="9"/>
  <c r="N421" i="9"/>
  <c r="AL461" i="9"/>
  <c r="AM460" i="9"/>
  <c r="K380" i="9"/>
  <c r="L379" i="9"/>
  <c r="K423" i="9"/>
  <c r="K424" i="9" s="1"/>
  <c r="L422" i="9"/>
  <c r="AL304" i="9"/>
  <c r="AM303" i="9"/>
  <c r="AL444" i="9"/>
  <c r="AM443" i="9"/>
  <c r="AH441" i="9"/>
  <c r="AG442" i="9"/>
  <c r="AG380" i="9"/>
  <c r="AH379" i="9"/>
  <c r="N378" i="9"/>
  <c r="CF378" i="9"/>
  <c r="CF345" i="9"/>
  <c r="N345" i="9"/>
  <c r="AL380" i="9"/>
  <c r="AM379" i="9"/>
  <c r="CF302" i="9"/>
  <c r="N302" i="9"/>
  <c r="AQ347" i="9"/>
  <c r="AR346" i="9"/>
  <c r="L346" i="9"/>
  <c r="K347" i="9"/>
  <c r="K304" i="9"/>
  <c r="L303" i="9"/>
  <c r="AW348" i="9"/>
  <c r="AV349" i="9"/>
  <c r="Y28" i="4"/>
  <c r="M31" i="6"/>
  <c r="M35" i="6"/>
  <c r="M39" i="6"/>
  <c r="M43" i="6"/>
  <c r="M47" i="6"/>
  <c r="M51" i="6"/>
  <c r="M55" i="6"/>
  <c r="M59" i="6"/>
  <c r="M63" i="6"/>
  <c r="M67" i="6"/>
  <c r="M71" i="6"/>
  <c r="M75" i="6"/>
  <c r="M79" i="6"/>
  <c r="M83" i="6"/>
  <c r="M87" i="6"/>
  <c r="M91" i="6"/>
  <c r="M95" i="6"/>
  <c r="M99" i="6"/>
  <c r="M103" i="6"/>
  <c r="M107" i="6"/>
  <c r="M111" i="6"/>
  <c r="M115" i="6"/>
  <c r="M119" i="6"/>
  <c r="M123" i="6"/>
  <c r="M127" i="6"/>
  <c r="M135" i="6"/>
  <c r="M139" i="6"/>
  <c r="M143" i="6"/>
  <c r="M147" i="6"/>
  <c r="M151" i="6"/>
  <c r="M155" i="6"/>
  <c r="M159" i="6"/>
  <c r="M163" i="6"/>
  <c r="M167" i="6"/>
  <c r="M171" i="6"/>
  <c r="M175" i="6"/>
  <c r="M179" i="6"/>
  <c r="M183" i="6"/>
  <c r="M187" i="6"/>
  <c r="M195" i="6"/>
  <c r="M203" i="6"/>
  <c r="M215" i="6"/>
  <c r="M219" i="6"/>
  <c r="M223" i="6"/>
  <c r="M231" i="6"/>
  <c r="M235" i="6"/>
  <c r="M239" i="6"/>
  <c r="M243" i="6"/>
  <c r="M247" i="6"/>
  <c r="M251" i="6"/>
  <c r="M255" i="6"/>
  <c r="M259" i="6"/>
  <c r="M263" i="6"/>
  <c r="M267" i="6"/>
  <c r="M295" i="6"/>
  <c r="M303" i="6"/>
  <c r="M307" i="6"/>
  <c r="M311" i="6"/>
  <c r="M315" i="6"/>
  <c r="M319" i="6"/>
  <c r="M323" i="6"/>
  <c r="M327" i="6"/>
  <c r="M331" i="6"/>
  <c r="M335" i="6"/>
  <c r="M347" i="6"/>
  <c r="M367" i="6"/>
  <c r="M371" i="6"/>
  <c r="M375" i="6"/>
  <c r="M379" i="6"/>
  <c r="M383" i="6"/>
  <c r="M387" i="6"/>
  <c r="M391" i="6"/>
  <c r="M395" i="6"/>
  <c r="M399" i="6"/>
  <c r="M403" i="6"/>
  <c r="M407" i="6"/>
  <c r="M411" i="6"/>
  <c r="M427" i="6"/>
  <c r="M431" i="6"/>
  <c r="M435" i="6"/>
  <c r="M439" i="6"/>
  <c r="M443" i="6"/>
  <c r="M460" i="6"/>
  <c r="M468" i="6"/>
  <c r="M472" i="6"/>
  <c r="M476" i="6"/>
  <c r="M480" i="6"/>
  <c r="M496" i="6"/>
  <c r="M504" i="6"/>
  <c r="M508" i="6"/>
  <c r="M512" i="6"/>
  <c r="M536" i="6"/>
  <c r="M540" i="6"/>
  <c r="M544" i="6"/>
  <c r="M548" i="6"/>
  <c r="M32" i="6"/>
  <c r="M36" i="6"/>
  <c r="M40" i="6"/>
  <c r="M48" i="6"/>
  <c r="M52" i="6"/>
  <c r="M56" i="6"/>
  <c r="M60" i="6"/>
  <c r="M64" i="6"/>
  <c r="M68" i="6"/>
  <c r="M72" i="6"/>
  <c r="M76" i="6"/>
  <c r="M80" i="6"/>
  <c r="M84" i="6"/>
  <c r="M88" i="6"/>
  <c r="M92" i="6"/>
  <c r="M96" i="6"/>
  <c r="M100" i="6"/>
  <c r="M104" i="6"/>
  <c r="M108" i="6"/>
  <c r="M112" i="6"/>
  <c r="M116" i="6"/>
  <c r="M120" i="6"/>
  <c r="M124" i="6"/>
  <c r="M128" i="6"/>
  <c r="M132" i="6"/>
  <c r="M136" i="6"/>
  <c r="M140" i="6"/>
  <c r="M144" i="6"/>
  <c r="M148" i="6"/>
  <c r="M152" i="6"/>
  <c r="M156" i="6"/>
  <c r="M160" i="6"/>
  <c r="M164" i="6"/>
  <c r="M168" i="6"/>
  <c r="M172" i="6"/>
  <c r="M176" i="6"/>
  <c r="M180" i="6"/>
  <c r="M184" i="6"/>
  <c r="M196" i="6"/>
  <c r="M216" i="6"/>
  <c r="M228" i="6"/>
  <c r="M232" i="6"/>
  <c r="M236" i="6"/>
  <c r="M240" i="6"/>
  <c r="M248" i="6"/>
  <c r="M256" i="6"/>
  <c r="M260" i="6"/>
  <c r="M264" i="6"/>
  <c r="M268" i="6"/>
  <c r="M300" i="6"/>
  <c r="M304" i="6"/>
  <c r="M308" i="6"/>
  <c r="M312" i="6"/>
  <c r="M316" i="6"/>
  <c r="M320" i="6"/>
  <c r="M324" i="6"/>
  <c r="M336" i="6"/>
  <c r="M360" i="6"/>
  <c r="M372" i="6"/>
  <c r="M376" i="6"/>
  <c r="M380" i="6"/>
  <c r="M384" i="6"/>
  <c r="M388" i="6"/>
  <c r="M392" i="6"/>
  <c r="M396" i="6"/>
  <c r="M400" i="6"/>
  <c r="M404" i="6"/>
  <c r="M408" i="6"/>
  <c r="M412" i="6"/>
  <c r="M428" i="6"/>
  <c r="M432" i="6"/>
  <c r="M436" i="6"/>
  <c r="M440" i="6"/>
  <c r="M469" i="6"/>
  <c r="M473" i="6"/>
  <c r="M477" i="6"/>
  <c r="M481" i="6"/>
  <c r="M485" i="6"/>
  <c r="M505" i="6"/>
  <c r="M509" i="6"/>
  <c r="M513" i="6"/>
  <c r="M517" i="6"/>
  <c r="M537" i="6"/>
  <c r="M541" i="6"/>
  <c r="M545" i="6"/>
  <c r="M549" i="6"/>
  <c r="M37" i="6"/>
  <c r="M41" i="6"/>
  <c r="M45" i="6"/>
  <c r="M49" i="6"/>
  <c r="M53" i="6"/>
  <c r="M57" i="6"/>
  <c r="M61" i="6"/>
  <c r="M65" i="6"/>
  <c r="M69" i="6"/>
  <c r="M73" i="6"/>
  <c r="M77" i="6"/>
  <c r="M81" i="6"/>
  <c r="M85" i="6"/>
  <c r="M89" i="6"/>
  <c r="M93" i="6"/>
  <c r="M97" i="6"/>
  <c r="M101" i="6"/>
  <c r="M105" i="6"/>
  <c r="M109" i="6"/>
  <c r="M113" i="6"/>
  <c r="M117" i="6"/>
  <c r="M121" i="6"/>
  <c r="M125" i="6"/>
  <c r="M129" i="6"/>
  <c r="M133" i="6"/>
  <c r="M137" i="6"/>
  <c r="M141" i="6"/>
  <c r="M145" i="6"/>
  <c r="M149" i="6"/>
  <c r="M153" i="6"/>
  <c r="M157" i="6"/>
  <c r="M161" i="6"/>
  <c r="M165" i="6"/>
  <c r="M169" i="6"/>
  <c r="M173" i="6"/>
  <c r="M177" i="6"/>
  <c r="M181" i="6"/>
  <c r="M185" i="6"/>
  <c r="M189" i="6"/>
  <c r="M205" i="6"/>
  <c r="M221" i="6"/>
  <c r="M229" i="6"/>
  <c r="M233" i="6"/>
  <c r="M237" i="6"/>
  <c r="M241" i="6"/>
  <c r="M245" i="6"/>
  <c r="M249" i="6"/>
  <c r="M253" i="6"/>
  <c r="M257" i="6"/>
  <c r="M261" i="6"/>
  <c r="M265" i="6"/>
  <c r="M269" i="6"/>
  <c r="M277" i="6"/>
  <c r="M289" i="6"/>
  <c r="M297" i="6"/>
  <c r="M301" i="6"/>
  <c r="M305" i="6"/>
  <c r="M309" i="6"/>
  <c r="M313" i="6"/>
  <c r="M317" i="6"/>
  <c r="M321" i="6"/>
  <c r="M325" i="6"/>
  <c r="M329" i="6"/>
  <c r="M341" i="6"/>
  <c r="M373" i="6"/>
  <c r="M377" i="6"/>
  <c r="M381" i="6"/>
  <c r="M385" i="6"/>
  <c r="M389" i="6"/>
  <c r="M393" i="6"/>
  <c r="M397" i="6"/>
  <c r="M401" i="6"/>
  <c r="M405" i="6"/>
  <c r="M429" i="6"/>
  <c r="M433" i="6"/>
  <c r="M437" i="6"/>
  <c r="M441" i="6"/>
  <c r="M449" i="6"/>
  <c r="M466" i="6"/>
  <c r="M470" i="6"/>
  <c r="M474" i="6"/>
  <c r="M478" i="6"/>
  <c r="M482" i="6"/>
  <c r="M494" i="6"/>
  <c r="M502" i="6"/>
  <c r="M506" i="6"/>
  <c r="M510" i="6"/>
  <c r="M514" i="6"/>
  <c r="M526" i="6"/>
  <c r="M538" i="6"/>
  <c r="M542" i="6"/>
  <c r="M546" i="6"/>
  <c r="M30" i="6"/>
  <c r="M34" i="6"/>
  <c r="M38" i="6"/>
  <c r="M42" i="6"/>
  <c r="M46" i="6"/>
  <c r="M50" i="6"/>
  <c r="M54" i="6"/>
  <c r="M58" i="6"/>
  <c r="M62" i="6"/>
  <c r="M66" i="6"/>
  <c r="M70" i="6"/>
  <c r="M74" i="6"/>
  <c r="M78" i="6"/>
  <c r="M82" i="6"/>
  <c r="M86" i="6"/>
  <c r="M90" i="6"/>
  <c r="M94" i="6"/>
  <c r="M98" i="6"/>
  <c r="M102" i="6"/>
  <c r="M106" i="6"/>
  <c r="M110" i="6"/>
  <c r="M114" i="6"/>
  <c r="M118" i="6"/>
  <c r="M122" i="6"/>
  <c r="M126" i="6"/>
  <c r="M130" i="6"/>
  <c r="M134" i="6"/>
  <c r="M138" i="6"/>
  <c r="M142" i="6"/>
  <c r="M146" i="6"/>
  <c r="M150" i="6"/>
  <c r="M154" i="6"/>
  <c r="M158" i="6"/>
  <c r="M162" i="6"/>
  <c r="M166" i="6"/>
  <c r="M170" i="6"/>
  <c r="M174" i="6"/>
  <c r="M178" i="6"/>
  <c r="M182" i="6"/>
  <c r="M186" i="6"/>
  <c r="M190" i="6"/>
  <c r="M222" i="6"/>
  <c r="M230" i="6"/>
  <c r="M234" i="6"/>
  <c r="M238" i="6"/>
  <c r="M242" i="6"/>
  <c r="M246" i="6"/>
  <c r="M250" i="6"/>
  <c r="M254" i="6"/>
  <c r="M258" i="6"/>
  <c r="M298" i="6"/>
  <c r="M302" i="6"/>
  <c r="M306" i="6"/>
  <c r="M310" i="6"/>
  <c r="M314" i="6"/>
  <c r="M318" i="6"/>
  <c r="M322" i="6"/>
  <c r="M326" i="6"/>
  <c r="M330" i="6"/>
  <c r="M374" i="6"/>
  <c r="M378" i="6"/>
  <c r="M382" i="6"/>
  <c r="M386" i="6"/>
  <c r="M390" i="6"/>
  <c r="M394" i="6"/>
  <c r="M398" i="6"/>
  <c r="M402" i="6"/>
  <c r="M406" i="6"/>
  <c r="M410" i="6"/>
  <c r="M430" i="6"/>
  <c r="M434" i="6"/>
  <c r="M438" i="6"/>
  <c r="M454" i="6"/>
  <c r="M459" i="6"/>
  <c r="M467" i="6"/>
  <c r="M471" i="6"/>
  <c r="M475" i="6"/>
  <c r="M479" i="6"/>
  <c r="M483" i="6"/>
  <c r="M495" i="6"/>
  <c r="M503" i="6"/>
  <c r="M507" i="6"/>
  <c r="M511" i="6"/>
  <c r="M515" i="6"/>
  <c r="M527" i="6"/>
  <c r="M535" i="6"/>
  <c r="M539" i="6"/>
  <c r="M543" i="6"/>
  <c r="M547" i="6"/>
  <c r="AG271" i="9"/>
  <c r="AH271" i="9" s="1"/>
  <c r="AH270" i="9"/>
  <c r="AV215" i="9"/>
  <c r="AW214" i="9"/>
  <c r="AV197" i="9"/>
  <c r="AW196" i="9"/>
  <c r="AG171" i="9"/>
  <c r="AH170" i="9"/>
  <c r="AN264" i="9"/>
  <c r="AO264" i="9" s="1"/>
  <c r="AL152" i="9"/>
  <c r="AL153" i="9" s="1"/>
  <c r="AM151" i="9"/>
  <c r="AV150" i="9"/>
  <c r="AW149" i="9"/>
  <c r="AG150" i="9"/>
  <c r="AH149" i="9"/>
  <c r="AQ215" i="9"/>
  <c r="AR214" i="9"/>
  <c r="AG51" i="9"/>
  <c r="AH50" i="9"/>
  <c r="AG63" i="9"/>
  <c r="AH62" i="9"/>
  <c r="AV171" i="9"/>
  <c r="AW170" i="9"/>
  <c r="AL215" i="9"/>
  <c r="AM214" i="9"/>
  <c r="AQ196" i="9"/>
  <c r="AR195" i="9"/>
  <c r="AV17" i="9"/>
  <c r="AW16" i="9"/>
  <c r="AV63" i="9"/>
  <c r="AW62" i="9"/>
  <c r="AL63" i="9"/>
  <c r="AM62" i="9"/>
  <c r="AL196" i="9"/>
  <c r="AM195" i="9"/>
  <c r="AQ102" i="9"/>
  <c r="AR101" i="9"/>
  <c r="AV271" i="9"/>
  <c r="AW271" i="9" s="1"/>
  <c r="AW270" i="9"/>
  <c r="AQ173" i="9"/>
  <c r="AR172" i="9"/>
  <c r="AQ271" i="9"/>
  <c r="AR271" i="9" s="1"/>
  <c r="AR270" i="9"/>
  <c r="AV102" i="9"/>
  <c r="AW101" i="9"/>
  <c r="AL171" i="9"/>
  <c r="AM170" i="9"/>
  <c r="AQ64" i="9"/>
  <c r="AR63" i="9"/>
  <c r="AL17" i="9"/>
  <c r="AM16" i="9"/>
  <c r="AQ18" i="9"/>
  <c r="AR17" i="9"/>
  <c r="AL102" i="9"/>
  <c r="AM101" i="9"/>
  <c r="AQ150" i="9"/>
  <c r="AR149" i="9"/>
  <c r="AG196" i="9"/>
  <c r="AH195" i="9"/>
  <c r="AG218" i="9"/>
  <c r="AH217" i="9"/>
  <c r="AG103" i="9"/>
  <c r="AH102" i="9"/>
  <c r="K271" i="9"/>
  <c r="L271" i="9" s="1"/>
  <c r="L270" i="9"/>
  <c r="K150" i="9"/>
  <c r="L149" i="9"/>
  <c r="N213" i="9"/>
  <c r="CF213" i="9"/>
  <c r="K215" i="9"/>
  <c r="L214" i="9"/>
  <c r="N15" i="9"/>
  <c r="CF15" i="9"/>
  <c r="K17" i="9"/>
  <c r="L16" i="9"/>
  <c r="N100" i="9"/>
  <c r="CF100" i="9"/>
  <c r="K102" i="9"/>
  <c r="L101" i="9"/>
  <c r="N61" i="9"/>
  <c r="CF61" i="9"/>
  <c r="N195" i="9"/>
  <c r="CF195" i="9"/>
  <c r="N170" i="9"/>
  <c r="CF170" i="9"/>
  <c r="K63" i="9"/>
  <c r="L62" i="9"/>
  <c r="N269" i="9"/>
  <c r="CF269" i="9"/>
  <c r="N148" i="9"/>
  <c r="CF148" i="9"/>
  <c r="K197" i="9"/>
  <c r="L196" i="9"/>
  <c r="K172" i="9"/>
  <c r="L171" i="9"/>
  <c r="O15" i="6" a="1"/>
  <c r="G5" i="6" a="1"/>
  <c r="F8" i="6"/>
  <c r="E5" i="2" s="1"/>
  <c r="M33" i="6"/>
  <c r="P14" i="6" a="1"/>
  <c r="G6" i="6" a="1"/>
  <c r="H7" i="6" a="1"/>
  <c r="R14" i="6" a="1"/>
  <c r="E8" i="6"/>
  <c r="H5" i="6" a="1"/>
  <c r="Q14" i="6" a="1"/>
  <c r="N15" i="6" a="1"/>
  <c r="R15" i="6" a="1"/>
  <c r="M44" i="6"/>
  <c r="G7" i="6" a="1"/>
  <c r="P15" i="6" a="1"/>
  <c r="Q15" i="6" a="1"/>
  <c r="N14" i="6" a="1"/>
  <c r="H6" i="6" a="1"/>
  <c r="O14" i="6" a="1"/>
  <c r="K365" i="5"/>
  <c r="K366" i="5" s="1"/>
  <c r="L366" i="5" s="1"/>
  <c r="N366" i="5" s="1"/>
  <c r="K363" i="5"/>
  <c r="K364" i="5" s="1"/>
  <c r="L364" i="5" s="1"/>
  <c r="N364" i="5" s="1"/>
  <c r="K361" i="5"/>
  <c r="K362" i="5" s="1"/>
  <c r="L362" i="5" s="1"/>
  <c r="N362" i="5" s="1"/>
  <c r="K359" i="5"/>
  <c r="K360" i="5" s="1"/>
  <c r="L360" i="5" s="1"/>
  <c r="N360" i="5" s="1"/>
  <c r="K357" i="5"/>
  <c r="K358" i="5" s="1"/>
  <c r="L358" i="5" s="1"/>
  <c r="N358" i="5" s="1"/>
  <c r="K355" i="5"/>
  <c r="K356" i="5" s="1"/>
  <c r="L356" i="5" s="1"/>
  <c r="N356" i="5" s="1"/>
  <c r="K353" i="5"/>
  <c r="K354" i="5" s="1"/>
  <c r="L354" i="5" s="1"/>
  <c r="N354" i="5" s="1"/>
  <c r="K351" i="5"/>
  <c r="K352" i="5" s="1"/>
  <c r="L352" i="5" s="1"/>
  <c r="N352" i="5" s="1"/>
  <c r="K349" i="5"/>
  <c r="K350" i="5" s="1"/>
  <c r="L350" i="5" s="1"/>
  <c r="N350" i="5" s="1"/>
  <c r="K347" i="5"/>
  <c r="K348" i="5" s="1"/>
  <c r="L348" i="5" s="1"/>
  <c r="N348" i="5" s="1"/>
  <c r="K345" i="5"/>
  <c r="K346" i="5" s="1"/>
  <c r="L346" i="5" s="1"/>
  <c r="N346" i="5" s="1"/>
  <c r="K342" i="5"/>
  <c r="K343" i="5" s="1"/>
  <c r="K344" i="5" s="1"/>
  <c r="L344" i="5" s="1"/>
  <c r="N344" i="5" s="1"/>
  <c r="K339" i="5"/>
  <c r="K340" i="5" s="1"/>
  <c r="K336" i="5"/>
  <c r="K337" i="5" s="1"/>
  <c r="K334" i="5"/>
  <c r="K335" i="5" s="1"/>
  <c r="L335" i="5" s="1"/>
  <c r="N335" i="5" s="1"/>
  <c r="K332" i="5"/>
  <c r="K333" i="5" s="1"/>
  <c r="L333" i="5" s="1"/>
  <c r="N333" i="5" s="1"/>
  <c r="K328" i="5"/>
  <c r="K329" i="5" s="1"/>
  <c r="K330" i="5" s="1"/>
  <c r="K331" i="5" s="1"/>
  <c r="L331" i="5" s="1"/>
  <c r="N331" i="5" s="1"/>
  <c r="K326" i="5"/>
  <c r="K327" i="5" s="1"/>
  <c r="L327" i="5" s="1"/>
  <c r="N327" i="5" s="1"/>
  <c r="K324" i="5"/>
  <c r="K325" i="5" s="1"/>
  <c r="L325" i="5" s="1"/>
  <c r="N325" i="5" s="1"/>
  <c r="K322" i="5"/>
  <c r="K323" i="5" s="1"/>
  <c r="L323" i="5" s="1"/>
  <c r="N323" i="5" s="1"/>
  <c r="K320" i="5"/>
  <c r="K321" i="5" s="1"/>
  <c r="L321" i="5" s="1"/>
  <c r="N321" i="5" s="1"/>
  <c r="K318" i="5"/>
  <c r="K319" i="5" s="1"/>
  <c r="L319" i="5" s="1"/>
  <c r="N319" i="5" s="1"/>
  <c r="K314" i="5"/>
  <c r="K315" i="5" s="1"/>
  <c r="K316" i="5" s="1"/>
  <c r="K317" i="5" s="1"/>
  <c r="L317" i="5" s="1"/>
  <c r="N317" i="5" s="1"/>
  <c r="K312" i="5"/>
  <c r="K313" i="5" s="1"/>
  <c r="L313" i="5" s="1"/>
  <c r="N313" i="5" s="1"/>
  <c r="K309" i="5"/>
  <c r="K310" i="5" s="1"/>
  <c r="K311" i="5" s="1"/>
  <c r="L311" i="5" s="1"/>
  <c r="N311" i="5" s="1"/>
  <c r="K307" i="5"/>
  <c r="K308" i="5" s="1"/>
  <c r="L308" i="5" s="1"/>
  <c r="N308" i="5" s="1"/>
  <c r="K305" i="5"/>
  <c r="K306" i="5" s="1"/>
  <c r="L306" i="5" s="1"/>
  <c r="N306" i="5" s="1"/>
  <c r="K303" i="5"/>
  <c r="K304" i="5" s="1"/>
  <c r="L304" i="5" s="1"/>
  <c r="N304" i="5" s="1"/>
  <c r="K299" i="5"/>
  <c r="K300" i="5" s="1"/>
  <c r="K301" i="5" s="1"/>
  <c r="K302" i="5" s="1"/>
  <c r="L302" i="5" s="1"/>
  <c r="N302" i="5" s="1"/>
  <c r="K284" i="5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L298" i="5" s="1"/>
  <c r="N298" i="5" s="1"/>
  <c r="K271" i="5"/>
  <c r="K272" i="5" s="1"/>
  <c r="L272" i="5" s="1"/>
  <c r="N272" i="5" s="1"/>
  <c r="K256" i="5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L270" i="5" s="1"/>
  <c r="N270" i="5" s="1"/>
  <c r="K250" i="5"/>
  <c r="K251" i="5" s="1"/>
  <c r="K252" i="5" s="1"/>
  <c r="K253" i="5" s="1"/>
  <c r="K254" i="5" s="1"/>
  <c r="K255" i="5" s="1"/>
  <c r="L255" i="5" s="1"/>
  <c r="N255" i="5" s="1"/>
  <c r="K244" i="5"/>
  <c r="K245" i="5" s="1"/>
  <c r="K246" i="5" s="1"/>
  <c r="K247" i="5" s="1"/>
  <c r="K248" i="5" s="1"/>
  <c r="K249" i="5" s="1"/>
  <c r="L249" i="5" s="1"/>
  <c r="N249" i="5" s="1"/>
  <c r="K238" i="5"/>
  <c r="K239" i="5" s="1"/>
  <c r="K240" i="5" s="1"/>
  <c r="K241" i="5" s="1"/>
  <c r="K242" i="5" s="1"/>
  <c r="K243" i="5" s="1"/>
  <c r="L243" i="5" s="1"/>
  <c r="N243" i="5" s="1"/>
  <c r="K232" i="5"/>
  <c r="K233" i="5" s="1"/>
  <c r="K234" i="5" s="1"/>
  <c r="K235" i="5" s="1"/>
  <c r="K236" i="5" s="1"/>
  <c r="K237" i="5" s="1"/>
  <c r="L237" i="5" s="1"/>
  <c r="N237" i="5" s="1"/>
  <c r="K226" i="5"/>
  <c r="K227" i="5" s="1"/>
  <c r="K220" i="5"/>
  <c r="K221" i="5" s="1"/>
  <c r="K222" i="5" s="1"/>
  <c r="K223" i="5" s="1"/>
  <c r="K224" i="5" s="1"/>
  <c r="K225" i="5" s="1"/>
  <c r="L225" i="5" s="1"/>
  <c r="N225" i="5" s="1"/>
  <c r="K214" i="5"/>
  <c r="K215" i="5" s="1"/>
  <c r="K216" i="5" s="1"/>
  <c r="K217" i="5" s="1"/>
  <c r="K218" i="5" s="1"/>
  <c r="K219" i="5" s="1"/>
  <c r="L219" i="5" s="1"/>
  <c r="N219" i="5" s="1"/>
  <c r="K208" i="5"/>
  <c r="K209" i="5" s="1"/>
  <c r="K210" i="5" s="1"/>
  <c r="K211" i="5" s="1"/>
  <c r="K212" i="5" s="1"/>
  <c r="K213" i="5" s="1"/>
  <c r="L213" i="5" s="1"/>
  <c r="N213" i="5" s="1"/>
  <c r="K202" i="5"/>
  <c r="K203" i="5" s="1"/>
  <c r="K204" i="5" s="1"/>
  <c r="K205" i="5" s="1"/>
  <c r="K206" i="5" s="1"/>
  <c r="K207" i="5" s="1"/>
  <c r="L207" i="5" s="1"/>
  <c r="N207" i="5" s="1"/>
  <c r="K196" i="5"/>
  <c r="K197" i="5" s="1"/>
  <c r="K190" i="5"/>
  <c r="K191" i="5" s="1"/>
  <c r="K192" i="5" s="1"/>
  <c r="K193" i="5" s="1"/>
  <c r="K194" i="5" s="1"/>
  <c r="K195" i="5" s="1"/>
  <c r="L195" i="5" s="1"/>
  <c r="N195" i="5" s="1"/>
  <c r="K184" i="5"/>
  <c r="K185" i="5" s="1"/>
  <c r="K186" i="5" s="1"/>
  <c r="K187" i="5" s="1"/>
  <c r="K188" i="5" s="1"/>
  <c r="K189" i="5" s="1"/>
  <c r="L189" i="5" s="1"/>
  <c r="N189" i="5" s="1"/>
  <c r="K167" i="5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L183" i="5" s="1"/>
  <c r="N183" i="5" s="1"/>
  <c r="K138" i="5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L166" i="5" s="1"/>
  <c r="N166" i="5" s="1"/>
  <c r="K118" i="5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L137" i="5" s="1"/>
  <c r="N137" i="5" s="1"/>
  <c r="K114" i="5"/>
  <c r="K115" i="5" s="1"/>
  <c r="K116" i="5" s="1"/>
  <c r="K117" i="5" s="1"/>
  <c r="L117" i="5" s="1"/>
  <c r="N117" i="5" s="1"/>
  <c r="K103" i="5"/>
  <c r="K104" i="5" s="1"/>
  <c r="K92" i="5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L102" i="5" s="1"/>
  <c r="N102" i="5" s="1"/>
  <c r="K79" i="5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L91" i="5" s="1"/>
  <c r="N91" i="5" s="1"/>
  <c r="K74" i="5"/>
  <c r="K75" i="5" s="1"/>
  <c r="K76" i="5" s="1"/>
  <c r="K77" i="5" s="1"/>
  <c r="K78" i="5" s="1"/>
  <c r="L78" i="5" s="1"/>
  <c r="N78" i="5" s="1"/>
  <c r="K69" i="5"/>
  <c r="K70" i="5" s="1"/>
  <c r="K71" i="5" s="1"/>
  <c r="K72" i="5" s="1"/>
  <c r="K73" i="5" s="1"/>
  <c r="L73" i="5" s="1"/>
  <c r="N73" i="5" s="1"/>
  <c r="K64" i="5"/>
  <c r="K65" i="5" s="1"/>
  <c r="K66" i="5" s="1"/>
  <c r="K67" i="5" s="1"/>
  <c r="K68" i="5" s="1"/>
  <c r="L68" i="5" s="1"/>
  <c r="N68" i="5" s="1"/>
  <c r="K59" i="5"/>
  <c r="K60" i="5" s="1"/>
  <c r="K61" i="5" s="1"/>
  <c r="K62" i="5" s="1"/>
  <c r="K49" i="5"/>
  <c r="K50" i="5" s="1"/>
  <c r="K51" i="5" s="1"/>
  <c r="K52" i="5" s="1"/>
  <c r="K53" i="5" s="1"/>
  <c r="K54" i="5" s="1"/>
  <c r="K55" i="5" s="1"/>
  <c r="K56" i="5" s="1"/>
  <c r="K57" i="5" s="1"/>
  <c r="K58" i="5" s="1"/>
  <c r="L58" i="5" s="1"/>
  <c r="N58" i="5" s="1"/>
  <c r="K39" i="5"/>
  <c r="K40" i="5" s="1"/>
  <c r="K34" i="5"/>
  <c r="K35" i="5" s="1"/>
  <c r="K36" i="5" s="1"/>
  <c r="K37" i="5" s="1"/>
  <c r="K38" i="5" s="1"/>
  <c r="L38" i="5" s="1"/>
  <c r="N38" i="5" s="1"/>
  <c r="K24" i="5"/>
  <c r="K25" i="5" s="1"/>
  <c r="K26" i="5" s="1"/>
  <c r="K27" i="5" s="1"/>
  <c r="K28" i="5" s="1"/>
  <c r="K29" i="5" s="1"/>
  <c r="K30" i="5" s="1"/>
  <c r="K31" i="5" s="1"/>
  <c r="K32" i="5" s="1"/>
  <c r="K33" i="5" s="1"/>
  <c r="L33" i="5" s="1"/>
  <c r="N33" i="5" s="1"/>
  <c r="K15" i="5"/>
  <c r="K16" i="5" s="1"/>
  <c r="K17" i="5" s="1"/>
  <c r="K18" i="5" s="1"/>
  <c r="K19" i="5" s="1"/>
  <c r="K20" i="5" s="1"/>
  <c r="K21" i="5" s="1"/>
  <c r="K22" i="5" s="1"/>
  <c r="K23" i="5" s="1"/>
  <c r="L23" i="5" s="1"/>
  <c r="N23" i="5" s="1"/>
  <c r="K10" i="5"/>
  <c r="K11" i="5" s="1"/>
  <c r="L11" i="5" s="1"/>
  <c r="N11" i="5" s="1"/>
  <c r="BD68" i="4"/>
  <c r="BC68" i="4"/>
  <c r="L68" i="4"/>
  <c r="M68" i="4" s="1"/>
  <c r="BD67" i="4"/>
  <c r="BC67" i="4"/>
  <c r="L67" i="4"/>
  <c r="M67" i="4" s="1"/>
  <c r="BD66" i="4"/>
  <c r="BC66" i="4"/>
  <c r="L66" i="4"/>
  <c r="M66" i="4" s="1"/>
  <c r="BD65" i="4"/>
  <c r="BC65" i="4"/>
  <c r="L65" i="4"/>
  <c r="M65" i="4" s="1"/>
  <c r="BD64" i="4"/>
  <c r="BC64" i="4"/>
  <c r="L64" i="4"/>
  <c r="M64" i="4" s="1"/>
  <c r="BD63" i="4"/>
  <c r="BC63" i="4"/>
  <c r="L63" i="4"/>
  <c r="M63" i="4" s="1"/>
  <c r="BD62" i="4"/>
  <c r="BC62" i="4"/>
  <c r="L62" i="4"/>
  <c r="M62" i="4" s="1"/>
  <c r="BD61" i="4"/>
  <c r="BC61" i="4"/>
  <c r="L61" i="4"/>
  <c r="M61" i="4" s="1"/>
  <c r="BD60" i="4"/>
  <c r="BC60" i="4"/>
  <c r="L60" i="4"/>
  <c r="M60" i="4" s="1"/>
  <c r="BD59" i="4"/>
  <c r="BC59" i="4"/>
  <c r="L59" i="4"/>
  <c r="M59" i="4" s="1"/>
  <c r="BD58" i="4"/>
  <c r="BC58" i="4"/>
  <c r="L58" i="4"/>
  <c r="M58" i="4" s="1"/>
  <c r="BD55" i="4"/>
  <c r="BC55" i="4"/>
  <c r="L55" i="4"/>
  <c r="M55" i="4" s="1"/>
  <c r="BD54" i="4"/>
  <c r="BC54" i="4"/>
  <c r="L54" i="4"/>
  <c r="M54" i="4" s="1"/>
  <c r="AL476" i="9" l="1"/>
  <c r="AM475" i="9"/>
  <c r="AR631" i="9"/>
  <c r="AQ632" i="9"/>
  <c r="CF440" i="9"/>
  <c r="N440" i="9"/>
  <c r="AG348" i="9"/>
  <c r="AH347" i="9"/>
  <c r="K442" i="9"/>
  <c r="L441" i="9"/>
  <c r="AL634" i="9"/>
  <c r="AM633" i="9"/>
  <c r="AR442" i="9"/>
  <c r="AQ443" i="9"/>
  <c r="AR304" i="9"/>
  <c r="AQ305" i="9"/>
  <c r="AL425" i="9"/>
  <c r="AM424" i="9"/>
  <c r="AQ426" i="9"/>
  <c r="AR425" i="9"/>
  <c r="AL665" i="9"/>
  <c r="AM664" i="9"/>
  <c r="AG653" i="9"/>
  <c r="AH652" i="9"/>
  <c r="L651" i="9"/>
  <c r="K652" i="9"/>
  <c r="AQ654" i="9"/>
  <c r="AR653" i="9"/>
  <c r="AM559" i="9"/>
  <c r="AL560" i="9"/>
  <c r="AW558" i="9"/>
  <c r="AV559" i="9"/>
  <c r="N599" i="9"/>
  <c r="CF599" i="9"/>
  <c r="CF663" i="9"/>
  <c r="N663" i="9"/>
  <c r="AH558" i="9"/>
  <c r="AG559" i="9"/>
  <c r="AV679" i="9"/>
  <c r="AW678" i="9"/>
  <c r="AR559" i="9"/>
  <c r="AQ560" i="9"/>
  <c r="K601" i="9"/>
  <c r="L600" i="9"/>
  <c r="K665" i="9"/>
  <c r="L664" i="9"/>
  <c r="AQ601" i="9"/>
  <c r="AR600" i="9"/>
  <c r="AG666" i="9"/>
  <c r="AH665" i="9"/>
  <c r="AR664" i="9"/>
  <c r="AQ665" i="9"/>
  <c r="AV632" i="9"/>
  <c r="AW631" i="9"/>
  <c r="CF631" i="9"/>
  <c r="N631" i="9"/>
  <c r="K633" i="9"/>
  <c r="L632" i="9"/>
  <c r="AG633" i="9"/>
  <c r="AH632" i="9"/>
  <c r="AM677" i="9"/>
  <c r="AL678" i="9"/>
  <c r="AQ680" i="9"/>
  <c r="AR679" i="9"/>
  <c r="AL601" i="9"/>
  <c r="AM600" i="9"/>
  <c r="AM652" i="9"/>
  <c r="AL653" i="9"/>
  <c r="AH601" i="9"/>
  <c r="AG602" i="9"/>
  <c r="N678" i="9"/>
  <c r="CF678" i="9"/>
  <c r="CF558" i="9"/>
  <c r="N558" i="9"/>
  <c r="L679" i="9"/>
  <c r="K680" i="9"/>
  <c r="AV654" i="9"/>
  <c r="AW653" i="9"/>
  <c r="AW600" i="9"/>
  <c r="AV601" i="9"/>
  <c r="L559" i="9"/>
  <c r="K560" i="9"/>
  <c r="CF650" i="9"/>
  <c r="N650" i="9"/>
  <c r="AH677" i="9"/>
  <c r="AG678" i="9"/>
  <c r="N422" i="9"/>
  <c r="CF422" i="9"/>
  <c r="AH380" i="9"/>
  <c r="AG381" i="9"/>
  <c r="CF379" i="9"/>
  <c r="N379" i="9"/>
  <c r="N475" i="9"/>
  <c r="CF475" i="9"/>
  <c r="AV426" i="9"/>
  <c r="AW425" i="9"/>
  <c r="AG443" i="9"/>
  <c r="AH442" i="9"/>
  <c r="K381" i="9"/>
  <c r="L380" i="9"/>
  <c r="L476" i="9"/>
  <c r="K477" i="9"/>
  <c r="AV350" i="9"/>
  <c r="AW349" i="9"/>
  <c r="AG480" i="9"/>
  <c r="AH479" i="9"/>
  <c r="AW380" i="9"/>
  <c r="AV381" i="9"/>
  <c r="AR477" i="9"/>
  <c r="AQ478" i="9"/>
  <c r="CF303" i="9"/>
  <c r="N303" i="9"/>
  <c r="AR347" i="9"/>
  <c r="AQ348" i="9"/>
  <c r="CF459" i="9"/>
  <c r="N459" i="9"/>
  <c r="AV305" i="9"/>
  <c r="AW304" i="9"/>
  <c r="AR380" i="9"/>
  <c r="AQ381" i="9"/>
  <c r="AM444" i="9"/>
  <c r="AL445" i="9"/>
  <c r="AV444" i="9"/>
  <c r="AW443" i="9"/>
  <c r="K305" i="9"/>
  <c r="L304" i="9"/>
  <c r="L460" i="9"/>
  <c r="K461" i="9"/>
  <c r="AM347" i="9"/>
  <c r="AL348" i="9"/>
  <c r="AM461" i="9"/>
  <c r="AL462" i="9"/>
  <c r="AV476" i="9"/>
  <c r="AW475" i="9"/>
  <c r="AV462" i="9"/>
  <c r="AW461" i="9"/>
  <c r="AH424" i="9"/>
  <c r="AG425" i="9"/>
  <c r="AL305" i="9"/>
  <c r="AM304" i="9"/>
  <c r="AR462" i="9"/>
  <c r="AQ463" i="9"/>
  <c r="AH462" i="9"/>
  <c r="AG463" i="9"/>
  <c r="L347" i="9"/>
  <c r="K348" i="9"/>
  <c r="CF346" i="9"/>
  <c r="N346" i="9"/>
  <c r="AM380" i="9"/>
  <c r="AL381" i="9"/>
  <c r="L424" i="9"/>
  <c r="K425" i="9"/>
  <c r="AG305" i="9"/>
  <c r="AH304" i="9"/>
  <c r="AQ19" i="9"/>
  <c r="AR18" i="9"/>
  <c r="AS264" i="9"/>
  <c r="AT264" i="9" s="1"/>
  <c r="AL64" i="9"/>
  <c r="AM63" i="9"/>
  <c r="AL216" i="9"/>
  <c r="AM215" i="9"/>
  <c r="AG151" i="9"/>
  <c r="AH150" i="9"/>
  <c r="AL172" i="9"/>
  <c r="AM171" i="9"/>
  <c r="AV172" i="9"/>
  <c r="AW171" i="9"/>
  <c r="AV151" i="9"/>
  <c r="AW150" i="9"/>
  <c r="AG52" i="9"/>
  <c r="AH51" i="9"/>
  <c r="AG172" i="9"/>
  <c r="AH171" i="9"/>
  <c r="AL18" i="9"/>
  <c r="AM17" i="9"/>
  <c r="AV198" i="9"/>
  <c r="AW197" i="9"/>
  <c r="AL103" i="9"/>
  <c r="AM102" i="9"/>
  <c r="AQ65" i="9"/>
  <c r="AR64" i="9"/>
  <c r="AL154" i="9"/>
  <c r="AM153" i="9"/>
  <c r="AV64" i="9"/>
  <c r="AW63" i="9"/>
  <c r="AV216" i="9"/>
  <c r="AW215" i="9"/>
  <c r="AQ151" i="9"/>
  <c r="AR150" i="9"/>
  <c r="AQ103" i="9"/>
  <c r="AR102" i="9"/>
  <c r="AV103" i="9"/>
  <c r="AW102" i="9"/>
  <c r="AQ174" i="9"/>
  <c r="AR173" i="9"/>
  <c r="AL197" i="9"/>
  <c r="AM196" i="9"/>
  <c r="AV18" i="9"/>
  <c r="AW17" i="9"/>
  <c r="AQ197" i="9"/>
  <c r="AR196" i="9"/>
  <c r="AG64" i="9"/>
  <c r="AH63" i="9"/>
  <c r="AQ216" i="9"/>
  <c r="AR215" i="9"/>
  <c r="AG219" i="9"/>
  <c r="AH218" i="9"/>
  <c r="AG197" i="9"/>
  <c r="AH196" i="9"/>
  <c r="AG104" i="9"/>
  <c r="AH103" i="9"/>
  <c r="N271" i="9"/>
  <c r="K173" i="9"/>
  <c r="L172" i="9"/>
  <c r="N62" i="9"/>
  <c r="CF62" i="9"/>
  <c r="K103" i="9"/>
  <c r="L102" i="9"/>
  <c r="K18" i="9"/>
  <c r="L17" i="9"/>
  <c r="N214" i="9"/>
  <c r="CF214" i="9"/>
  <c r="N196" i="9"/>
  <c r="CF196" i="9"/>
  <c r="K64" i="9"/>
  <c r="L63" i="9"/>
  <c r="K216" i="9"/>
  <c r="L215" i="9"/>
  <c r="K198" i="9"/>
  <c r="L197" i="9"/>
  <c r="N149" i="9"/>
  <c r="CF149" i="9"/>
  <c r="K151" i="9"/>
  <c r="L150" i="9"/>
  <c r="N270" i="9"/>
  <c r="CF270" i="9"/>
  <c r="N171" i="9"/>
  <c r="CF171" i="9"/>
  <c r="N101" i="9"/>
  <c r="CF101" i="9"/>
  <c r="N16" i="9"/>
  <c r="CF16" i="9"/>
  <c r="Q17" i="6" a="1"/>
  <c r="O16" i="6" a="1"/>
  <c r="R17" i="6" a="1"/>
  <c r="Q16" i="6" a="1"/>
  <c r="P18" i="6" a="1"/>
  <c r="Q18" i="6" a="1"/>
  <c r="N17" i="6" a="1"/>
  <c r="I6" i="6" a="1"/>
  <c r="I5" i="6" a="1"/>
  <c r="J7" i="6" a="1"/>
  <c r="P16" i="6" a="1"/>
  <c r="I7" i="6" a="1"/>
  <c r="R18" i="6" a="1"/>
  <c r="J5" i="6" a="1"/>
  <c r="J6" i="6" a="1"/>
  <c r="E11" i="6" a="1"/>
  <c r="N16" i="6" a="1"/>
  <c r="O17" i="6" a="1"/>
  <c r="E21" i="6" a="1"/>
  <c r="R16" i="6" a="1"/>
  <c r="P17" i="6" a="1"/>
  <c r="N18" i="6" a="1"/>
  <c r="O18" i="6" a="1"/>
  <c r="L77" i="5"/>
  <c r="N77" i="5" s="1"/>
  <c r="L155" i="5"/>
  <c r="N155" i="5" s="1"/>
  <c r="L258" i="5"/>
  <c r="N258" i="5" s="1"/>
  <c r="K63" i="5"/>
  <c r="L63" i="5" s="1"/>
  <c r="N63" i="5" s="1"/>
  <c r="L62" i="5"/>
  <c r="N62" i="5" s="1"/>
  <c r="L104" i="5"/>
  <c r="N104" i="5" s="1"/>
  <c r="K105" i="5"/>
  <c r="K106" i="5" s="1"/>
  <c r="K107" i="5" s="1"/>
  <c r="K108" i="5" s="1"/>
  <c r="K109" i="5" s="1"/>
  <c r="K110" i="5" s="1"/>
  <c r="K111" i="5" s="1"/>
  <c r="K112" i="5" s="1"/>
  <c r="K113" i="5" s="1"/>
  <c r="L113" i="5" s="1"/>
  <c r="L148" i="5"/>
  <c r="N148" i="5" s="1"/>
  <c r="L252" i="5"/>
  <c r="N252" i="5" s="1"/>
  <c r="L83" i="5"/>
  <c r="N83" i="5" s="1"/>
  <c r="L160" i="5"/>
  <c r="N160" i="5" s="1"/>
  <c r="L265" i="5"/>
  <c r="N265" i="5" s="1"/>
  <c r="L90" i="5"/>
  <c r="N90" i="5" s="1"/>
  <c r="L168" i="5"/>
  <c r="N168" i="5" s="1"/>
  <c r="L96" i="5"/>
  <c r="L173" i="5"/>
  <c r="N173" i="5" s="1"/>
  <c r="L291" i="5"/>
  <c r="L180" i="5"/>
  <c r="N180" i="5" s="1"/>
  <c r="L296" i="5"/>
  <c r="L119" i="5"/>
  <c r="N119" i="5" s="1"/>
  <c r="L186" i="5"/>
  <c r="N186" i="5" s="1"/>
  <c r="L25" i="5"/>
  <c r="N25" i="5" s="1"/>
  <c r="L121" i="5"/>
  <c r="N121" i="5" s="1"/>
  <c r="L194" i="5"/>
  <c r="N194" i="5" s="1"/>
  <c r="L315" i="5"/>
  <c r="L27" i="5"/>
  <c r="N27" i="5" s="1"/>
  <c r="L123" i="5"/>
  <c r="N123" i="5" s="1"/>
  <c r="L209" i="5"/>
  <c r="N209" i="5" s="1"/>
  <c r="L35" i="5"/>
  <c r="N35" i="5" s="1"/>
  <c r="L130" i="5"/>
  <c r="N130" i="5" s="1"/>
  <c r="L215" i="5"/>
  <c r="N215" i="5" s="1"/>
  <c r="L54" i="5"/>
  <c r="N54" i="5" s="1"/>
  <c r="L135" i="5"/>
  <c r="N135" i="5" s="1"/>
  <c r="L223" i="5"/>
  <c r="N223" i="5" s="1"/>
  <c r="L143" i="5"/>
  <c r="N143" i="5" s="1"/>
  <c r="K41" i="5"/>
  <c r="L40" i="5"/>
  <c r="N40" i="5" s="1"/>
  <c r="K198" i="5"/>
  <c r="L197" i="5"/>
  <c r="N197" i="5" s="1"/>
  <c r="L337" i="5"/>
  <c r="N337" i="5" s="1"/>
  <c r="K338" i="5"/>
  <c r="L338" i="5" s="1"/>
  <c r="N338" i="5" s="1"/>
  <c r="K228" i="5"/>
  <c r="L227" i="5"/>
  <c r="N227" i="5" s="1"/>
  <c r="K341" i="5"/>
  <c r="L341" i="5" s="1"/>
  <c r="L340" i="5"/>
  <c r="L20" i="5"/>
  <c r="N20" i="5" s="1"/>
  <c r="L61" i="5"/>
  <c r="N61" i="5" s="1"/>
  <c r="L76" i="5"/>
  <c r="N76" i="5" s="1"/>
  <c r="L89" i="5"/>
  <c r="CB89" i="5" s="1"/>
  <c r="L116" i="5"/>
  <c r="N116" i="5" s="1"/>
  <c r="L129" i="5"/>
  <c r="N129" i="5" s="1"/>
  <c r="L142" i="5"/>
  <c r="N142" i="5" s="1"/>
  <c r="L154" i="5"/>
  <c r="N154" i="5" s="1"/>
  <c r="L179" i="5"/>
  <c r="N179" i="5" s="1"/>
  <c r="L193" i="5"/>
  <c r="N193" i="5" s="1"/>
  <c r="L222" i="5"/>
  <c r="L236" i="5"/>
  <c r="N236" i="5" s="1"/>
  <c r="L251" i="5"/>
  <c r="L264" i="5"/>
  <c r="N264" i="5" s="1"/>
  <c r="L290" i="5"/>
  <c r="L22" i="5"/>
  <c r="N22" i="5" s="1"/>
  <c r="L36" i="5"/>
  <c r="N36" i="5" s="1"/>
  <c r="L50" i="5"/>
  <c r="N50" i="5" s="1"/>
  <c r="L131" i="5"/>
  <c r="N131" i="5" s="1"/>
  <c r="L144" i="5"/>
  <c r="N144" i="5" s="1"/>
  <c r="L156" i="5"/>
  <c r="N156" i="5" s="1"/>
  <c r="L169" i="5"/>
  <c r="N169" i="5" s="1"/>
  <c r="L181" i="5"/>
  <c r="N181" i="5" s="1"/>
  <c r="L210" i="5"/>
  <c r="L224" i="5"/>
  <c r="N224" i="5" s="1"/>
  <c r="L239" i="5"/>
  <c r="L253" i="5"/>
  <c r="L266" i="5"/>
  <c r="N266" i="5" s="1"/>
  <c r="L292" i="5"/>
  <c r="CB292" i="5" s="1"/>
  <c r="L329" i="5"/>
  <c r="CB329" i="5" s="1"/>
  <c r="L37" i="5"/>
  <c r="N37" i="5" s="1"/>
  <c r="L51" i="5"/>
  <c r="N51" i="5" s="1"/>
  <c r="L65" i="5"/>
  <c r="N65" i="5" s="1"/>
  <c r="L80" i="5"/>
  <c r="N80" i="5" s="1"/>
  <c r="L93" i="5"/>
  <c r="N93" i="5" s="1"/>
  <c r="L120" i="5"/>
  <c r="N120" i="5" s="1"/>
  <c r="L132" i="5"/>
  <c r="N132" i="5" s="1"/>
  <c r="L145" i="5"/>
  <c r="N145" i="5" s="1"/>
  <c r="L157" i="5"/>
  <c r="N157" i="5" s="1"/>
  <c r="L170" i="5"/>
  <c r="N170" i="5" s="1"/>
  <c r="L182" i="5"/>
  <c r="N182" i="5" s="1"/>
  <c r="L211" i="5"/>
  <c r="L240" i="5"/>
  <c r="N240" i="5" s="1"/>
  <c r="L254" i="5"/>
  <c r="N254" i="5" s="1"/>
  <c r="L267" i="5"/>
  <c r="N267" i="5" s="1"/>
  <c r="L293" i="5"/>
  <c r="L310" i="5"/>
  <c r="N310" i="5" s="1"/>
  <c r="L330" i="5"/>
  <c r="L21" i="5"/>
  <c r="N21" i="5" s="1"/>
  <c r="L52" i="5"/>
  <c r="N52" i="5" s="1"/>
  <c r="L66" i="5"/>
  <c r="N66" i="5" s="1"/>
  <c r="L81" i="5"/>
  <c r="N81" i="5" s="1"/>
  <c r="L94" i="5"/>
  <c r="N94" i="5" s="1"/>
  <c r="L133" i="5"/>
  <c r="N133" i="5" s="1"/>
  <c r="L146" i="5"/>
  <c r="N146" i="5" s="1"/>
  <c r="L158" i="5"/>
  <c r="N158" i="5" s="1"/>
  <c r="L171" i="5"/>
  <c r="N171" i="5" s="1"/>
  <c r="L212" i="5"/>
  <c r="N212" i="5" s="1"/>
  <c r="L241" i="5"/>
  <c r="L268" i="5"/>
  <c r="N268" i="5" s="1"/>
  <c r="L294" i="5"/>
  <c r="L26" i="5"/>
  <c r="N26" i="5" s="1"/>
  <c r="L53" i="5"/>
  <c r="N53" i="5" s="1"/>
  <c r="L67" i="5"/>
  <c r="N67" i="5" s="1"/>
  <c r="L82" i="5"/>
  <c r="N82" i="5" s="1"/>
  <c r="L95" i="5"/>
  <c r="CB95" i="5" s="1"/>
  <c r="L122" i="5"/>
  <c r="N122" i="5" s="1"/>
  <c r="L134" i="5"/>
  <c r="N134" i="5" s="1"/>
  <c r="L147" i="5"/>
  <c r="N147" i="5" s="1"/>
  <c r="L159" i="5"/>
  <c r="N159" i="5" s="1"/>
  <c r="L172" i="5"/>
  <c r="N172" i="5" s="1"/>
  <c r="L185" i="5"/>
  <c r="L242" i="5"/>
  <c r="N242" i="5" s="1"/>
  <c r="L257" i="5"/>
  <c r="N257" i="5" s="1"/>
  <c r="L269" i="5"/>
  <c r="N269" i="5" s="1"/>
  <c r="L295" i="5"/>
  <c r="K273" i="5"/>
  <c r="K12" i="5"/>
  <c r="L28" i="5"/>
  <c r="N28" i="5" s="1"/>
  <c r="L55" i="5"/>
  <c r="N55" i="5" s="1"/>
  <c r="L70" i="5"/>
  <c r="N70" i="5" s="1"/>
  <c r="L84" i="5"/>
  <c r="L97" i="5"/>
  <c r="L124" i="5"/>
  <c r="N124" i="5" s="1"/>
  <c r="L136" i="5"/>
  <c r="N136" i="5" s="1"/>
  <c r="L149" i="5"/>
  <c r="N149" i="5" s="1"/>
  <c r="L161" i="5"/>
  <c r="N161" i="5" s="1"/>
  <c r="L174" i="5"/>
  <c r="N174" i="5" s="1"/>
  <c r="L187" i="5"/>
  <c r="L216" i="5"/>
  <c r="L245" i="5"/>
  <c r="L259" i="5"/>
  <c r="N259" i="5" s="1"/>
  <c r="L285" i="5"/>
  <c r="L297" i="5"/>
  <c r="L316" i="5"/>
  <c r="L16" i="5"/>
  <c r="N16" i="5" s="1"/>
  <c r="L29" i="5"/>
  <c r="N29" i="5" s="1"/>
  <c r="L56" i="5"/>
  <c r="N56" i="5" s="1"/>
  <c r="L71" i="5"/>
  <c r="N71" i="5" s="1"/>
  <c r="L85" i="5"/>
  <c r="N85" i="5" s="1"/>
  <c r="L98" i="5"/>
  <c r="CB98" i="5" s="1"/>
  <c r="L125" i="5"/>
  <c r="N125" i="5" s="1"/>
  <c r="L150" i="5"/>
  <c r="N150" i="5" s="1"/>
  <c r="L162" i="5"/>
  <c r="N162" i="5" s="1"/>
  <c r="L175" i="5"/>
  <c r="N175" i="5" s="1"/>
  <c r="L188" i="5"/>
  <c r="N188" i="5" s="1"/>
  <c r="L203" i="5"/>
  <c r="N203" i="5" s="1"/>
  <c r="L217" i="5"/>
  <c r="L246" i="5"/>
  <c r="L260" i="5"/>
  <c r="N260" i="5" s="1"/>
  <c r="L286" i="5"/>
  <c r="N286" i="5" s="1"/>
  <c r="L17" i="5"/>
  <c r="N17" i="5" s="1"/>
  <c r="L30" i="5"/>
  <c r="N30" i="5" s="1"/>
  <c r="L57" i="5"/>
  <c r="N57" i="5" s="1"/>
  <c r="L72" i="5"/>
  <c r="N72" i="5" s="1"/>
  <c r="L86" i="5"/>
  <c r="N86" i="5" s="1"/>
  <c r="L99" i="5"/>
  <c r="N99" i="5" s="1"/>
  <c r="L126" i="5"/>
  <c r="N126" i="5" s="1"/>
  <c r="L139" i="5"/>
  <c r="N139" i="5" s="1"/>
  <c r="L151" i="5"/>
  <c r="N151" i="5" s="1"/>
  <c r="L163" i="5"/>
  <c r="N163" i="5" s="1"/>
  <c r="L176" i="5"/>
  <c r="N176" i="5" s="1"/>
  <c r="L204" i="5"/>
  <c r="L218" i="5"/>
  <c r="N218" i="5" s="1"/>
  <c r="L233" i="5"/>
  <c r="L247" i="5"/>
  <c r="N247" i="5" s="1"/>
  <c r="L261" i="5"/>
  <c r="N261" i="5" s="1"/>
  <c r="L287" i="5"/>
  <c r="L300" i="5"/>
  <c r="L18" i="5"/>
  <c r="N18" i="5" s="1"/>
  <c r="L31" i="5"/>
  <c r="N31" i="5" s="1"/>
  <c r="L87" i="5"/>
  <c r="N87" i="5" s="1"/>
  <c r="L100" i="5"/>
  <c r="N100" i="5" s="1"/>
  <c r="L127" i="5"/>
  <c r="N127" i="5" s="1"/>
  <c r="L140" i="5"/>
  <c r="N140" i="5" s="1"/>
  <c r="L152" i="5"/>
  <c r="N152" i="5" s="1"/>
  <c r="L164" i="5"/>
  <c r="L177" i="5"/>
  <c r="N177" i="5" s="1"/>
  <c r="L191" i="5"/>
  <c r="N191" i="5" s="1"/>
  <c r="L205" i="5"/>
  <c r="N205" i="5" s="1"/>
  <c r="L234" i="5"/>
  <c r="L248" i="5"/>
  <c r="N248" i="5" s="1"/>
  <c r="L262" i="5"/>
  <c r="N262" i="5" s="1"/>
  <c r="L288" i="5"/>
  <c r="L301" i="5"/>
  <c r="CB301" i="5" s="1"/>
  <c r="L19" i="5"/>
  <c r="N19" i="5" s="1"/>
  <c r="L32" i="5"/>
  <c r="N32" i="5" s="1"/>
  <c r="L60" i="5"/>
  <c r="N60" i="5" s="1"/>
  <c r="L75" i="5"/>
  <c r="N75" i="5" s="1"/>
  <c r="L88" i="5"/>
  <c r="L101" i="5"/>
  <c r="L115" i="5"/>
  <c r="N115" i="5" s="1"/>
  <c r="L128" i="5"/>
  <c r="N128" i="5" s="1"/>
  <c r="L141" i="5"/>
  <c r="N141" i="5" s="1"/>
  <c r="L153" i="5"/>
  <c r="N153" i="5" s="1"/>
  <c r="L165" i="5"/>
  <c r="L178" i="5"/>
  <c r="N178" i="5" s="1"/>
  <c r="L192" i="5"/>
  <c r="L206" i="5"/>
  <c r="N206" i="5" s="1"/>
  <c r="L221" i="5"/>
  <c r="N221" i="5" s="1"/>
  <c r="L235" i="5"/>
  <c r="N235" i="5" s="1"/>
  <c r="L263" i="5"/>
  <c r="N263" i="5" s="1"/>
  <c r="L289" i="5"/>
  <c r="L343" i="5"/>
  <c r="N343" i="5" s="1"/>
  <c r="CB366" i="5"/>
  <c r="AV366" i="5"/>
  <c r="AW366" i="5" s="1"/>
  <c r="AU366" i="5"/>
  <c r="AQ366" i="5"/>
  <c r="AR366" i="5" s="1"/>
  <c r="AP366" i="5"/>
  <c r="AL366" i="5"/>
  <c r="AM366" i="5" s="1"/>
  <c r="AK366" i="5"/>
  <c r="AG366" i="5"/>
  <c r="AH366" i="5" s="1"/>
  <c r="AF366" i="5"/>
  <c r="CB364" i="5"/>
  <c r="AV364" i="5"/>
  <c r="AW364" i="5" s="1"/>
  <c r="AU364" i="5"/>
  <c r="AQ364" i="5"/>
  <c r="AR364" i="5" s="1"/>
  <c r="AP364" i="5"/>
  <c r="AL364" i="5"/>
  <c r="AM364" i="5" s="1"/>
  <c r="AK364" i="5"/>
  <c r="AG364" i="5"/>
  <c r="AH364" i="5" s="1"/>
  <c r="AF364" i="5"/>
  <c r="CB362" i="5"/>
  <c r="AV362" i="5"/>
  <c r="AW362" i="5" s="1"/>
  <c r="AU362" i="5"/>
  <c r="AQ362" i="5"/>
  <c r="AR362" i="5" s="1"/>
  <c r="AP362" i="5"/>
  <c r="AL362" i="5"/>
  <c r="AM362" i="5" s="1"/>
  <c r="AK362" i="5"/>
  <c r="AG362" i="5"/>
  <c r="AH362" i="5" s="1"/>
  <c r="AF362" i="5"/>
  <c r="CB360" i="5"/>
  <c r="AV360" i="5"/>
  <c r="AW360" i="5" s="1"/>
  <c r="AU360" i="5"/>
  <c r="AQ360" i="5"/>
  <c r="AR360" i="5" s="1"/>
  <c r="AP360" i="5"/>
  <c r="AL360" i="5"/>
  <c r="AM360" i="5" s="1"/>
  <c r="AK360" i="5"/>
  <c r="AG360" i="5"/>
  <c r="AH360" i="5" s="1"/>
  <c r="AF360" i="5"/>
  <c r="CB358" i="5"/>
  <c r="AV358" i="5"/>
  <c r="AW358" i="5" s="1"/>
  <c r="AU358" i="5"/>
  <c r="AQ358" i="5"/>
  <c r="AR358" i="5" s="1"/>
  <c r="AP358" i="5"/>
  <c r="AL358" i="5"/>
  <c r="AM358" i="5" s="1"/>
  <c r="AK358" i="5"/>
  <c r="AG358" i="5"/>
  <c r="AH358" i="5" s="1"/>
  <c r="AF358" i="5"/>
  <c r="CB356" i="5"/>
  <c r="AV356" i="5"/>
  <c r="AW356" i="5" s="1"/>
  <c r="AU356" i="5"/>
  <c r="AQ356" i="5"/>
  <c r="AR356" i="5" s="1"/>
  <c r="AP356" i="5"/>
  <c r="AL356" i="5"/>
  <c r="AM356" i="5" s="1"/>
  <c r="AK356" i="5"/>
  <c r="AG356" i="5"/>
  <c r="AH356" i="5" s="1"/>
  <c r="AF356" i="5"/>
  <c r="CB354" i="5"/>
  <c r="AV354" i="5"/>
  <c r="AW354" i="5" s="1"/>
  <c r="AU354" i="5"/>
  <c r="AQ354" i="5"/>
  <c r="AR354" i="5" s="1"/>
  <c r="AP354" i="5"/>
  <c r="AL354" i="5"/>
  <c r="AM354" i="5" s="1"/>
  <c r="AK354" i="5"/>
  <c r="AG354" i="5"/>
  <c r="AH354" i="5" s="1"/>
  <c r="AF354" i="5"/>
  <c r="CB352" i="5"/>
  <c r="AV352" i="5"/>
  <c r="AW352" i="5" s="1"/>
  <c r="AU352" i="5"/>
  <c r="AQ352" i="5"/>
  <c r="AR352" i="5" s="1"/>
  <c r="AP352" i="5"/>
  <c r="AL352" i="5"/>
  <c r="AM352" i="5" s="1"/>
  <c r="AK352" i="5"/>
  <c r="AG352" i="5"/>
  <c r="AH352" i="5" s="1"/>
  <c r="AF352" i="5"/>
  <c r="CB350" i="5"/>
  <c r="AV350" i="5"/>
  <c r="AW350" i="5" s="1"/>
  <c r="AU350" i="5"/>
  <c r="AQ350" i="5"/>
  <c r="AR350" i="5" s="1"/>
  <c r="AP350" i="5"/>
  <c r="AL350" i="5"/>
  <c r="AM350" i="5" s="1"/>
  <c r="AK350" i="5"/>
  <c r="AG350" i="5"/>
  <c r="AH350" i="5" s="1"/>
  <c r="AF350" i="5"/>
  <c r="CB348" i="5"/>
  <c r="AV348" i="5"/>
  <c r="AW348" i="5" s="1"/>
  <c r="AU348" i="5"/>
  <c r="AQ348" i="5"/>
  <c r="AR348" i="5" s="1"/>
  <c r="AP348" i="5"/>
  <c r="AL348" i="5"/>
  <c r="AM348" i="5" s="1"/>
  <c r="AK348" i="5"/>
  <c r="AG348" i="5"/>
  <c r="AH348" i="5" s="1"/>
  <c r="AF348" i="5"/>
  <c r="CB346" i="5"/>
  <c r="AV346" i="5"/>
  <c r="AW346" i="5" s="1"/>
  <c r="AU346" i="5"/>
  <c r="AQ346" i="5"/>
  <c r="AR346" i="5" s="1"/>
  <c r="AP346" i="5"/>
  <c r="AL346" i="5"/>
  <c r="AM346" i="5" s="1"/>
  <c r="AK346" i="5"/>
  <c r="AG346" i="5"/>
  <c r="AH346" i="5" s="1"/>
  <c r="AF346" i="5"/>
  <c r="CB344" i="5"/>
  <c r="AV343" i="5"/>
  <c r="AU343" i="5"/>
  <c r="AU344" i="5" s="1"/>
  <c r="AQ343" i="5"/>
  <c r="AP343" i="5"/>
  <c r="AP344" i="5" s="1"/>
  <c r="AL343" i="5"/>
  <c r="AK343" i="5"/>
  <c r="AK344" i="5" s="1"/>
  <c r="AG343" i="5"/>
  <c r="AF343" i="5"/>
  <c r="AF344" i="5" s="1"/>
  <c r="AV340" i="5"/>
  <c r="AU340" i="5"/>
  <c r="AU341" i="5" s="1"/>
  <c r="AQ340" i="5"/>
  <c r="AP340" i="5"/>
  <c r="AP341" i="5" s="1"/>
  <c r="AL340" i="5"/>
  <c r="AK340" i="5"/>
  <c r="AK341" i="5" s="1"/>
  <c r="AG340" i="5"/>
  <c r="AF340" i="5"/>
  <c r="AF341" i="5" s="1"/>
  <c r="AV337" i="5"/>
  <c r="AU337" i="5"/>
  <c r="AU338" i="5" s="1"/>
  <c r="AQ337" i="5"/>
  <c r="AP337" i="5"/>
  <c r="AP338" i="5" s="1"/>
  <c r="AL337" i="5"/>
  <c r="AK337" i="5"/>
  <c r="AK338" i="5" s="1"/>
  <c r="AG337" i="5"/>
  <c r="AF337" i="5"/>
  <c r="AF338" i="5" s="1"/>
  <c r="CB335" i="5"/>
  <c r="AV335" i="5"/>
  <c r="AW335" i="5" s="1"/>
  <c r="AU335" i="5"/>
  <c r="AQ335" i="5"/>
  <c r="AR335" i="5" s="1"/>
  <c r="AP335" i="5"/>
  <c r="AL335" i="5"/>
  <c r="AM335" i="5" s="1"/>
  <c r="AK335" i="5"/>
  <c r="AG335" i="5"/>
  <c r="AH335" i="5" s="1"/>
  <c r="AF335" i="5"/>
  <c r="CB333" i="5"/>
  <c r="AV333" i="5"/>
  <c r="AW333" i="5" s="1"/>
  <c r="AU333" i="5"/>
  <c r="AQ333" i="5"/>
  <c r="AR333" i="5" s="1"/>
  <c r="AP333" i="5"/>
  <c r="AL333" i="5"/>
  <c r="AM333" i="5" s="1"/>
  <c r="AK333" i="5"/>
  <c r="AG333" i="5"/>
  <c r="AH333" i="5" s="1"/>
  <c r="AF333" i="5"/>
  <c r="CB331" i="5"/>
  <c r="AV329" i="5"/>
  <c r="AU329" i="5"/>
  <c r="AU330" i="5" s="1"/>
  <c r="AU331" i="5" s="1"/>
  <c r="AQ329" i="5"/>
  <c r="AP329" i="5"/>
  <c r="AP330" i="5" s="1"/>
  <c r="AP331" i="5" s="1"/>
  <c r="AL329" i="5"/>
  <c r="AK329" i="5"/>
  <c r="AK330" i="5" s="1"/>
  <c r="AK331" i="5" s="1"/>
  <c r="AG329" i="5"/>
  <c r="AF329" i="5"/>
  <c r="AF330" i="5" s="1"/>
  <c r="AF331" i="5" s="1"/>
  <c r="CB327" i="5"/>
  <c r="AV327" i="5"/>
  <c r="AW327" i="5" s="1"/>
  <c r="AU327" i="5"/>
  <c r="AQ327" i="5"/>
  <c r="AR327" i="5" s="1"/>
  <c r="AP327" i="5"/>
  <c r="AL327" i="5"/>
  <c r="AM327" i="5" s="1"/>
  <c r="AK327" i="5"/>
  <c r="AG327" i="5"/>
  <c r="AH327" i="5" s="1"/>
  <c r="AF327" i="5"/>
  <c r="CB325" i="5"/>
  <c r="AV325" i="5"/>
  <c r="AW325" i="5" s="1"/>
  <c r="AU325" i="5"/>
  <c r="AQ325" i="5"/>
  <c r="AR325" i="5" s="1"/>
  <c r="AP325" i="5"/>
  <c r="AL325" i="5"/>
  <c r="AM325" i="5" s="1"/>
  <c r="AK325" i="5"/>
  <c r="AG325" i="5"/>
  <c r="AH325" i="5" s="1"/>
  <c r="AF325" i="5"/>
  <c r="CB323" i="5"/>
  <c r="AV323" i="5"/>
  <c r="AW323" i="5" s="1"/>
  <c r="AU323" i="5"/>
  <c r="AQ323" i="5"/>
  <c r="AR323" i="5" s="1"/>
  <c r="AP323" i="5"/>
  <c r="AL323" i="5"/>
  <c r="AM323" i="5" s="1"/>
  <c r="AK323" i="5"/>
  <c r="AG323" i="5"/>
  <c r="AH323" i="5" s="1"/>
  <c r="AF323" i="5"/>
  <c r="CB321" i="5"/>
  <c r="AV321" i="5"/>
  <c r="AW321" i="5" s="1"/>
  <c r="AU321" i="5"/>
  <c r="AQ321" i="5"/>
  <c r="AR321" i="5" s="1"/>
  <c r="AP321" i="5"/>
  <c r="AL321" i="5"/>
  <c r="AM321" i="5" s="1"/>
  <c r="AK321" i="5"/>
  <c r="AG321" i="5"/>
  <c r="AH321" i="5" s="1"/>
  <c r="AF321" i="5"/>
  <c r="CB319" i="5"/>
  <c r="AV319" i="5"/>
  <c r="AW319" i="5" s="1"/>
  <c r="AU319" i="5"/>
  <c r="AQ319" i="5"/>
  <c r="AR319" i="5" s="1"/>
  <c r="AP319" i="5"/>
  <c r="AL319" i="5"/>
  <c r="AM319" i="5" s="1"/>
  <c r="AK319" i="5"/>
  <c r="AG319" i="5"/>
  <c r="AH319" i="5" s="1"/>
  <c r="AF319" i="5"/>
  <c r="CB317" i="5"/>
  <c r="AV315" i="5"/>
  <c r="AU315" i="5"/>
  <c r="AU316" i="5" s="1"/>
  <c r="AU317" i="5" s="1"/>
  <c r="AQ315" i="5"/>
  <c r="AP315" i="5"/>
  <c r="AP316" i="5" s="1"/>
  <c r="AP317" i="5" s="1"/>
  <c r="AL315" i="5"/>
  <c r="AK315" i="5"/>
  <c r="AK316" i="5" s="1"/>
  <c r="AK317" i="5" s="1"/>
  <c r="AG315" i="5"/>
  <c r="AF315" i="5"/>
  <c r="AF316" i="5" s="1"/>
  <c r="AF317" i="5" s="1"/>
  <c r="CB313" i="5"/>
  <c r="AV313" i="5"/>
  <c r="AW313" i="5" s="1"/>
  <c r="AU313" i="5"/>
  <c r="AQ313" i="5"/>
  <c r="AR313" i="5" s="1"/>
  <c r="AP313" i="5"/>
  <c r="AL313" i="5"/>
  <c r="AM313" i="5" s="1"/>
  <c r="AK313" i="5"/>
  <c r="AG313" i="5"/>
  <c r="AH313" i="5" s="1"/>
  <c r="AF313" i="5"/>
  <c r="CB311" i="5"/>
  <c r="AV310" i="5"/>
  <c r="AU310" i="5"/>
  <c r="AU311" i="5" s="1"/>
  <c r="AQ310" i="5"/>
  <c r="AP310" i="5"/>
  <c r="AP311" i="5" s="1"/>
  <c r="AL310" i="5"/>
  <c r="AK310" i="5"/>
  <c r="AK311" i="5" s="1"/>
  <c r="AG310" i="5"/>
  <c r="AF310" i="5"/>
  <c r="AF311" i="5" s="1"/>
  <c r="CB308" i="5"/>
  <c r="AV308" i="5"/>
  <c r="AW308" i="5" s="1"/>
  <c r="AU308" i="5"/>
  <c r="AQ308" i="5"/>
  <c r="AR308" i="5" s="1"/>
  <c r="AP308" i="5"/>
  <c r="AL308" i="5"/>
  <c r="AM308" i="5" s="1"/>
  <c r="AK308" i="5"/>
  <c r="AG308" i="5"/>
  <c r="AH308" i="5" s="1"/>
  <c r="AF308" i="5"/>
  <c r="CB306" i="5"/>
  <c r="AV306" i="5"/>
  <c r="AW306" i="5" s="1"/>
  <c r="AU306" i="5"/>
  <c r="AQ306" i="5"/>
  <c r="AR306" i="5" s="1"/>
  <c r="AP306" i="5"/>
  <c r="AL306" i="5"/>
  <c r="AM306" i="5" s="1"/>
  <c r="AK306" i="5"/>
  <c r="AG306" i="5"/>
  <c r="AH306" i="5" s="1"/>
  <c r="AF306" i="5"/>
  <c r="CB304" i="5"/>
  <c r="AV304" i="5"/>
  <c r="AW304" i="5" s="1"/>
  <c r="AU304" i="5"/>
  <c r="AQ304" i="5"/>
  <c r="AR304" i="5" s="1"/>
  <c r="AP304" i="5"/>
  <c r="AL304" i="5"/>
  <c r="AM304" i="5" s="1"/>
  <c r="AK304" i="5"/>
  <c r="AG304" i="5"/>
  <c r="AH304" i="5" s="1"/>
  <c r="AF304" i="5"/>
  <c r="CB302" i="5"/>
  <c r="AV300" i="5"/>
  <c r="AU300" i="5"/>
  <c r="AU301" i="5" s="1"/>
  <c r="AU302" i="5" s="1"/>
  <c r="AQ300" i="5"/>
  <c r="AP300" i="5"/>
  <c r="AP301" i="5" s="1"/>
  <c r="AP302" i="5" s="1"/>
  <c r="AL300" i="5"/>
  <c r="AK300" i="5"/>
  <c r="AK301" i="5" s="1"/>
  <c r="AK302" i="5" s="1"/>
  <c r="AG300" i="5"/>
  <c r="AF300" i="5"/>
  <c r="AF301" i="5" s="1"/>
  <c r="AF302" i="5" s="1"/>
  <c r="CB298" i="5"/>
  <c r="AV285" i="5"/>
  <c r="AU285" i="5"/>
  <c r="AU286" i="5" s="1"/>
  <c r="AU287" i="5" s="1"/>
  <c r="AU288" i="5" s="1"/>
  <c r="AU289" i="5" s="1"/>
  <c r="AU290" i="5" s="1"/>
  <c r="AU291" i="5" s="1"/>
  <c r="AU292" i="5" s="1"/>
  <c r="AU293" i="5" s="1"/>
  <c r="AU294" i="5" s="1"/>
  <c r="AU295" i="5" s="1"/>
  <c r="AU296" i="5" s="1"/>
  <c r="AU297" i="5" s="1"/>
  <c r="AU298" i="5" s="1"/>
  <c r="AQ285" i="5"/>
  <c r="AP285" i="5"/>
  <c r="AP286" i="5" s="1"/>
  <c r="AP287" i="5" s="1"/>
  <c r="AP288" i="5" s="1"/>
  <c r="AP289" i="5" s="1"/>
  <c r="AP290" i="5" s="1"/>
  <c r="AP291" i="5" s="1"/>
  <c r="AP292" i="5" s="1"/>
  <c r="AP293" i="5" s="1"/>
  <c r="AP294" i="5" s="1"/>
  <c r="AP295" i="5" s="1"/>
  <c r="AP296" i="5" s="1"/>
  <c r="AP297" i="5" s="1"/>
  <c r="AP298" i="5" s="1"/>
  <c r="AL285" i="5"/>
  <c r="AK285" i="5"/>
  <c r="AK286" i="5" s="1"/>
  <c r="AK287" i="5" s="1"/>
  <c r="AK288" i="5" s="1"/>
  <c r="AK289" i="5" s="1"/>
  <c r="AK290" i="5" s="1"/>
  <c r="AK291" i="5" s="1"/>
  <c r="AK292" i="5" s="1"/>
  <c r="AK293" i="5" s="1"/>
  <c r="AK294" i="5" s="1"/>
  <c r="AK295" i="5" s="1"/>
  <c r="AK296" i="5" s="1"/>
  <c r="AK297" i="5" s="1"/>
  <c r="AK298" i="5" s="1"/>
  <c r="AG285" i="5"/>
  <c r="AF285" i="5"/>
  <c r="AF286" i="5" s="1"/>
  <c r="AF287" i="5" s="1"/>
  <c r="AF288" i="5" s="1"/>
  <c r="AF289" i="5" s="1"/>
  <c r="AF290" i="5" s="1"/>
  <c r="AF291" i="5" s="1"/>
  <c r="AF292" i="5" s="1"/>
  <c r="AF293" i="5" s="1"/>
  <c r="AF294" i="5" s="1"/>
  <c r="AF295" i="5" s="1"/>
  <c r="AF296" i="5" s="1"/>
  <c r="AF297" i="5" s="1"/>
  <c r="AF298" i="5" s="1"/>
  <c r="CB272" i="5"/>
  <c r="AV272" i="5"/>
  <c r="AU272" i="5"/>
  <c r="AU273" i="5" s="1"/>
  <c r="AU274" i="5" s="1"/>
  <c r="AU275" i="5" s="1"/>
  <c r="AU276" i="5" s="1"/>
  <c r="AU277" i="5" s="1"/>
  <c r="AU278" i="5" s="1"/>
  <c r="AU279" i="5" s="1"/>
  <c r="AU280" i="5" s="1"/>
  <c r="AU281" i="5" s="1"/>
  <c r="AU282" i="5" s="1"/>
  <c r="AU283" i="5" s="1"/>
  <c r="AQ272" i="5"/>
  <c r="AP272" i="5"/>
  <c r="AP273" i="5" s="1"/>
  <c r="AP274" i="5" s="1"/>
  <c r="AP275" i="5" s="1"/>
  <c r="AP276" i="5" s="1"/>
  <c r="AP277" i="5" s="1"/>
  <c r="AP278" i="5" s="1"/>
  <c r="AP279" i="5" s="1"/>
  <c r="AP280" i="5" s="1"/>
  <c r="AP281" i="5" s="1"/>
  <c r="AP282" i="5" s="1"/>
  <c r="AP283" i="5" s="1"/>
  <c r="AL272" i="5"/>
  <c r="AK272" i="5"/>
  <c r="AK273" i="5" s="1"/>
  <c r="AK274" i="5" s="1"/>
  <c r="AK275" i="5" s="1"/>
  <c r="AK276" i="5" s="1"/>
  <c r="AK277" i="5" s="1"/>
  <c r="AK278" i="5" s="1"/>
  <c r="AK279" i="5" s="1"/>
  <c r="AK280" i="5" s="1"/>
  <c r="AK281" i="5" s="1"/>
  <c r="AK282" i="5" s="1"/>
  <c r="AK283" i="5" s="1"/>
  <c r="AG272" i="5"/>
  <c r="AF272" i="5"/>
  <c r="AF273" i="5" s="1"/>
  <c r="AF274" i="5" s="1"/>
  <c r="AF275" i="5" s="1"/>
  <c r="AF276" i="5" s="1"/>
  <c r="AF277" i="5" s="1"/>
  <c r="AF278" i="5" s="1"/>
  <c r="AF279" i="5" s="1"/>
  <c r="AF280" i="5" s="1"/>
  <c r="AF281" i="5" s="1"/>
  <c r="AF282" i="5" s="1"/>
  <c r="AF283" i="5" s="1"/>
  <c r="CB270" i="5"/>
  <c r="AV257" i="5"/>
  <c r="AU257" i="5"/>
  <c r="AU258" i="5" s="1"/>
  <c r="AU259" i="5" s="1"/>
  <c r="AU260" i="5" s="1"/>
  <c r="AU261" i="5" s="1"/>
  <c r="AU262" i="5" s="1"/>
  <c r="AU263" i="5" s="1"/>
  <c r="AU264" i="5" s="1"/>
  <c r="AU265" i="5" s="1"/>
  <c r="AU266" i="5" s="1"/>
  <c r="AU267" i="5" s="1"/>
  <c r="AU268" i="5" s="1"/>
  <c r="AU269" i="5" s="1"/>
  <c r="AU270" i="5" s="1"/>
  <c r="AQ257" i="5"/>
  <c r="AP257" i="5"/>
  <c r="AP258" i="5" s="1"/>
  <c r="AP259" i="5" s="1"/>
  <c r="AP260" i="5" s="1"/>
  <c r="AP261" i="5" s="1"/>
  <c r="AP262" i="5" s="1"/>
  <c r="AP263" i="5" s="1"/>
  <c r="AP264" i="5" s="1"/>
  <c r="AP265" i="5" s="1"/>
  <c r="AP266" i="5" s="1"/>
  <c r="AP267" i="5" s="1"/>
  <c r="AP268" i="5" s="1"/>
  <c r="AP269" i="5" s="1"/>
  <c r="AP270" i="5" s="1"/>
  <c r="AL257" i="5"/>
  <c r="AK257" i="5"/>
  <c r="AK258" i="5" s="1"/>
  <c r="AK259" i="5" s="1"/>
  <c r="AK260" i="5" s="1"/>
  <c r="AK261" i="5" s="1"/>
  <c r="AK262" i="5" s="1"/>
  <c r="AK263" i="5" s="1"/>
  <c r="AK264" i="5" s="1"/>
  <c r="AK265" i="5" s="1"/>
  <c r="AK266" i="5" s="1"/>
  <c r="AK267" i="5" s="1"/>
  <c r="AK268" i="5" s="1"/>
  <c r="AK269" i="5" s="1"/>
  <c r="AK270" i="5" s="1"/>
  <c r="AG257" i="5"/>
  <c r="AF257" i="5"/>
  <c r="AF258" i="5" s="1"/>
  <c r="AF259" i="5" s="1"/>
  <c r="AF260" i="5" s="1"/>
  <c r="AF261" i="5" s="1"/>
  <c r="AF262" i="5" s="1"/>
  <c r="AF263" i="5" s="1"/>
  <c r="AF264" i="5" s="1"/>
  <c r="AF265" i="5" s="1"/>
  <c r="AF266" i="5" s="1"/>
  <c r="AF267" i="5" s="1"/>
  <c r="AF268" i="5" s="1"/>
  <c r="AF269" i="5" s="1"/>
  <c r="AF270" i="5" s="1"/>
  <c r="CB255" i="5"/>
  <c r="AV251" i="5"/>
  <c r="AU251" i="5"/>
  <c r="AU252" i="5" s="1"/>
  <c r="AU253" i="5" s="1"/>
  <c r="AU254" i="5" s="1"/>
  <c r="AU255" i="5" s="1"/>
  <c r="AQ251" i="5"/>
  <c r="AP251" i="5"/>
  <c r="AP252" i="5" s="1"/>
  <c r="AP253" i="5" s="1"/>
  <c r="AP254" i="5" s="1"/>
  <c r="AP255" i="5" s="1"/>
  <c r="AL251" i="5"/>
  <c r="AK251" i="5"/>
  <c r="AK252" i="5" s="1"/>
  <c r="AK253" i="5" s="1"/>
  <c r="AK254" i="5" s="1"/>
  <c r="AK255" i="5" s="1"/>
  <c r="AG251" i="5"/>
  <c r="AF251" i="5"/>
  <c r="AF252" i="5" s="1"/>
  <c r="AF253" i="5" s="1"/>
  <c r="AF254" i="5" s="1"/>
  <c r="AF255" i="5" s="1"/>
  <c r="CB249" i="5"/>
  <c r="AV245" i="5"/>
  <c r="AU245" i="5"/>
  <c r="AU246" i="5" s="1"/>
  <c r="AU247" i="5" s="1"/>
  <c r="AU248" i="5" s="1"/>
  <c r="AU249" i="5" s="1"/>
  <c r="AQ245" i="5"/>
  <c r="AP245" i="5"/>
  <c r="AP246" i="5" s="1"/>
  <c r="AP247" i="5" s="1"/>
  <c r="AP248" i="5" s="1"/>
  <c r="AP249" i="5" s="1"/>
  <c r="AL245" i="5"/>
  <c r="AK245" i="5"/>
  <c r="AK246" i="5" s="1"/>
  <c r="AK247" i="5" s="1"/>
  <c r="AK248" i="5" s="1"/>
  <c r="AK249" i="5" s="1"/>
  <c r="AG245" i="5"/>
  <c r="AF245" i="5"/>
  <c r="AF246" i="5" s="1"/>
  <c r="AF247" i="5" s="1"/>
  <c r="AF248" i="5" s="1"/>
  <c r="AF249" i="5" s="1"/>
  <c r="CB243" i="5"/>
  <c r="AV239" i="5"/>
  <c r="AU239" i="5"/>
  <c r="AU240" i="5" s="1"/>
  <c r="AU241" i="5" s="1"/>
  <c r="AU242" i="5" s="1"/>
  <c r="AU243" i="5" s="1"/>
  <c r="AQ239" i="5"/>
  <c r="AP239" i="5"/>
  <c r="AP240" i="5" s="1"/>
  <c r="AP241" i="5" s="1"/>
  <c r="AP242" i="5" s="1"/>
  <c r="AP243" i="5" s="1"/>
  <c r="AL239" i="5"/>
  <c r="AK239" i="5"/>
  <c r="AK240" i="5" s="1"/>
  <c r="AK241" i="5" s="1"/>
  <c r="AK242" i="5" s="1"/>
  <c r="AK243" i="5" s="1"/>
  <c r="AG239" i="5"/>
  <c r="AF239" i="5"/>
  <c r="AF240" i="5" s="1"/>
  <c r="AF241" i="5" s="1"/>
  <c r="AF242" i="5" s="1"/>
  <c r="AF243" i="5" s="1"/>
  <c r="CB237" i="5"/>
  <c r="AV233" i="5"/>
  <c r="AU233" i="5"/>
  <c r="AU234" i="5" s="1"/>
  <c r="AU235" i="5" s="1"/>
  <c r="AU236" i="5" s="1"/>
  <c r="AU237" i="5" s="1"/>
  <c r="AQ233" i="5"/>
  <c r="AP233" i="5"/>
  <c r="AP234" i="5" s="1"/>
  <c r="AP235" i="5" s="1"/>
  <c r="AP236" i="5" s="1"/>
  <c r="AP237" i="5" s="1"/>
  <c r="AL233" i="5"/>
  <c r="AK233" i="5"/>
  <c r="AK234" i="5" s="1"/>
  <c r="AK235" i="5" s="1"/>
  <c r="AK236" i="5" s="1"/>
  <c r="AK237" i="5" s="1"/>
  <c r="AG233" i="5"/>
  <c r="AF233" i="5"/>
  <c r="AF234" i="5" s="1"/>
  <c r="AF235" i="5" s="1"/>
  <c r="AF236" i="5" s="1"/>
  <c r="AF237" i="5" s="1"/>
  <c r="AV227" i="5"/>
  <c r="AU227" i="5"/>
  <c r="AU228" i="5" s="1"/>
  <c r="AU229" i="5" s="1"/>
  <c r="AU230" i="5" s="1"/>
  <c r="AU231" i="5" s="1"/>
  <c r="AQ227" i="5"/>
  <c r="AP227" i="5"/>
  <c r="AP228" i="5" s="1"/>
  <c r="AP229" i="5" s="1"/>
  <c r="AP230" i="5" s="1"/>
  <c r="AP231" i="5" s="1"/>
  <c r="AL227" i="5"/>
  <c r="AK227" i="5"/>
  <c r="AK228" i="5" s="1"/>
  <c r="AK229" i="5" s="1"/>
  <c r="AK230" i="5" s="1"/>
  <c r="AK231" i="5" s="1"/>
  <c r="AG227" i="5"/>
  <c r="AF227" i="5"/>
  <c r="AF228" i="5" s="1"/>
  <c r="AF229" i="5" s="1"/>
  <c r="AF230" i="5" s="1"/>
  <c r="AF231" i="5" s="1"/>
  <c r="CB225" i="5"/>
  <c r="AV221" i="5"/>
  <c r="AU221" i="5"/>
  <c r="AU222" i="5" s="1"/>
  <c r="AU223" i="5" s="1"/>
  <c r="AU224" i="5" s="1"/>
  <c r="AU225" i="5" s="1"/>
  <c r="AQ221" i="5"/>
  <c r="AP221" i="5"/>
  <c r="AP222" i="5" s="1"/>
  <c r="AP223" i="5" s="1"/>
  <c r="AP224" i="5" s="1"/>
  <c r="AP225" i="5" s="1"/>
  <c r="AL221" i="5"/>
  <c r="AK221" i="5"/>
  <c r="AK222" i="5" s="1"/>
  <c r="AK223" i="5" s="1"/>
  <c r="AK224" i="5" s="1"/>
  <c r="AK225" i="5" s="1"/>
  <c r="AG221" i="5"/>
  <c r="AF221" i="5"/>
  <c r="AF222" i="5" s="1"/>
  <c r="AF223" i="5" s="1"/>
  <c r="AF224" i="5" s="1"/>
  <c r="AF225" i="5" s="1"/>
  <c r="CB219" i="5"/>
  <c r="AV215" i="5"/>
  <c r="AU215" i="5"/>
  <c r="AU216" i="5" s="1"/>
  <c r="AU217" i="5" s="1"/>
  <c r="AU218" i="5" s="1"/>
  <c r="AU219" i="5" s="1"/>
  <c r="AQ215" i="5"/>
  <c r="AP215" i="5"/>
  <c r="AP216" i="5" s="1"/>
  <c r="AP217" i="5" s="1"/>
  <c r="AP218" i="5" s="1"/>
  <c r="AP219" i="5" s="1"/>
  <c r="AL215" i="5"/>
  <c r="AK215" i="5"/>
  <c r="AK216" i="5" s="1"/>
  <c r="AK217" i="5" s="1"/>
  <c r="AK218" i="5" s="1"/>
  <c r="AK219" i="5" s="1"/>
  <c r="AG215" i="5"/>
  <c r="AF215" i="5"/>
  <c r="AF216" i="5" s="1"/>
  <c r="AF217" i="5" s="1"/>
  <c r="AF218" i="5" s="1"/>
  <c r="AF219" i="5" s="1"/>
  <c r="CB213" i="5"/>
  <c r="AV209" i="5"/>
  <c r="AU209" i="5"/>
  <c r="AU210" i="5" s="1"/>
  <c r="AU211" i="5" s="1"/>
  <c r="AU212" i="5" s="1"/>
  <c r="AU213" i="5" s="1"/>
  <c r="AQ209" i="5"/>
  <c r="AP209" i="5"/>
  <c r="AP210" i="5" s="1"/>
  <c r="AP211" i="5" s="1"/>
  <c r="AP212" i="5" s="1"/>
  <c r="AP213" i="5" s="1"/>
  <c r="AL209" i="5"/>
  <c r="AK209" i="5"/>
  <c r="AK210" i="5" s="1"/>
  <c r="AK211" i="5" s="1"/>
  <c r="AK212" i="5" s="1"/>
  <c r="AK213" i="5" s="1"/>
  <c r="AG209" i="5"/>
  <c r="AF209" i="5"/>
  <c r="AF210" i="5" s="1"/>
  <c r="AF211" i="5" s="1"/>
  <c r="AF212" i="5" s="1"/>
  <c r="AF213" i="5" s="1"/>
  <c r="CB207" i="5"/>
  <c r="AV203" i="5"/>
  <c r="AU203" i="5"/>
  <c r="AU204" i="5" s="1"/>
  <c r="AU205" i="5" s="1"/>
  <c r="AU206" i="5" s="1"/>
  <c r="AU207" i="5" s="1"/>
  <c r="AQ203" i="5"/>
  <c r="AP203" i="5"/>
  <c r="AP204" i="5" s="1"/>
  <c r="AP205" i="5" s="1"/>
  <c r="AP206" i="5" s="1"/>
  <c r="AP207" i="5" s="1"/>
  <c r="AL203" i="5"/>
  <c r="AK203" i="5"/>
  <c r="AK204" i="5" s="1"/>
  <c r="AK205" i="5" s="1"/>
  <c r="AK206" i="5" s="1"/>
  <c r="AK207" i="5" s="1"/>
  <c r="AG203" i="5"/>
  <c r="AF203" i="5"/>
  <c r="AF204" i="5" s="1"/>
  <c r="AF205" i="5" s="1"/>
  <c r="AF206" i="5" s="1"/>
  <c r="AF207" i="5" s="1"/>
  <c r="AV197" i="5"/>
  <c r="AU197" i="5"/>
  <c r="AU198" i="5" s="1"/>
  <c r="AU199" i="5" s="1"/>
  <c r="AU200" i="5" s="1"/>
  <c r="AU201" i="5" s="1"/>
  <c r="AQ197" i="5"/>
  <c r="AP197" i="5"/>
  <c r="AP198" i="5" s="1"/>
  <c r="AP199" i="5" s="1"/>
  <c r="AP200" i="5" s="1"/>
  <c r="AP201" i="5" s="1"/>
  <c r="AL197" i="5"/>
  <c r="AK197" i="5"/>
  <c r="AK198" i="5" s="1"/>
  <c r="AK199" i="5" s="1"/>
  <c r="AK200" i="5" s="1"/>
  <c r="AK201" i="5" s="1"/>
  <c r="AG197" i="5"/>
  <c r="AF197" i="5"/>
  <c r="AF198" i="5" s="1"/>
  <c r="AF199" i="5" s="1"/>
  <c r="AF200" i="5" s="1"/>
  <c r="AF201" i="5" s="1"/>
  <c r="CB195" i="5"/>
  <c r="AV191" i="5"/>
  <c r="AU191" i="5"/>
  <c r="AU192" i="5" s="1"/>
  <c r="AU193" i="5" s="1"/>
  <c r="AU194" i="5" s="1"/>
  <c r="AU195" i="5" s="1"/>
  <c r="AQ191" i="5"/>
  <c r="AP191" i="5"/>
  <c r="AP192" i="5" s="1"/>
  <c r="AP193" i="5" s="1"/>
  <c r="AP194" i="5" s="1"/>
  <c r="AP195" i="5" s="1"/>
  <c r="AL191" i="5"/>
  <c r="AK191" i="5"/>
  <c r="AK192" i="5" s="1"/>
  <c r="AK193" i="5" s="1"/>
  <c r="AK194" i="5" s="1"/>
  <c r="AK195" i="5" s="1"/>
  <c r="AG191" i="5"/>
  <c r="AF191" i="5"/>
  <c r="AF192" i="5" s="1"/>
  <c r="AF193" i="5" s="1"/>
  <c r="AF194" i="5" s="1"/>
  <c r="AF195" i="5" s="1"/>
  <c r="CB189" i="5"/>
  <c r="AV185" i="5"/>
  <c r="AU185" i="5"/>
  <c r="AU186" i="5" s="1"/>
  <c r="AU187" i="5" s="1"/>
  <c r="AU188" i="5" s="1"/>
  <c r="AU189" i="5" s="1"/>
  <c r="AQ185" i="5"/>
  <c r="AP185" i="5"/>
  <c r="AP186" i="5" s="1"/>
  <c r="AP187" i="5" s="1"/>
  <c r="AP188" i="5" s="1"/>
  <c r="AP189" i="5" s="1"/>
  <c r="AL185" i="5"/>
  <c r="AK185" i="5"/>
  <c r="AK186" i="5" s="1"/>
  <c r="AK187" i="5" s="1"/>
  <c r="AK188" i="5" s="1"/>
  <c r="AK189" i="5" s="1"/>
  <c r="AG185" i="5"/>
  <c r="AF185" i="5"/>
  <c r="AF186" i="5" s="1"/>
  <c r="AF187" i="5" s="1"/>
  <c r="AF188" i="5" s="1"/>
  <c r="AF189" i="5" s="1"/>
  <c r="CB183" i="5"/>
  <c r="AV168" i="5"/>
  <c r="AU168" i="5"/>
  <c r="AU169" i="5" s="1"/>
  <c r="AU170" i="5" s="1"/>
  <c r="AU171" i="5" s="1"/>
  <c r="AU172" i="5" s="1"/>
  <c r="AU173" i="5" s="1"/>
  <c r="AU174" i="5" s="1"/>
  <c r="AU175" i="5" s="1"/>
  <c r="AU176" i="5" s="1"/>
  <c r="AU177" i="5" s="1"/>
  <c r="AU178" i="5" s="1"/>
  <c r="AU179" i="5" s="1"/>
  <c r="AU180" i="5" s="1"/>
  <c r="AU181" i="5" s="1"/>
  <c r="AU182" i="5" s="1"/>
  <c r="AU183" i="5" s="1"/>
  <c r="AQ168" i="5"/>
  <c r="AP168" i="5"/>
  <c r="AP169" i="5" s="1"/>
  <c r="AP170" i="5" s="1"/>
  <c r="AP171" i="5" s="1"/>
  <c r="AP172" i="5" s="1"/>
  <c r="AP173" i="5" s="1"/>
  <c r="AP174" i="5" s="1"/>
  <c r="AP175" i="5" s="1"/>
  <c r="AP176" i="5" s="1"/>
  <c r="AP177" i="5" s="1"/>
  <c r="AP178" i="5" s="1"/>
  <c r="AP179" i="5" s="1"/>
  <c r="AP180" i="5" s="1"/>
  <c r="AP181" i="5" s="1"/>
  <c r="AP182" i="5" s="1"/>
  <c r="AP183" i="5" s="1"/>
  <c r="AL168" i="5"/>
  <c r="AK168" i="5"/>
  <c r="AK169" i="5" s="1"/>
  <c r="AK170" i="5" s="1"/>
  <c r="AK171" i="5" s="1"/>
  <c r="AK172" i="5" s="1"/>
  <c r="AK173" i="5" s="1"/>
  <c r="AK174" i="5" s="1"/>
  <c r="AK175" i="5" s="1"/>
  <c r="AK176" i="5" s="1"/>
  <c r="AK177" i="5" s="1"/>
  <c r="AK178" i="5" s="1"/>
  <c r="AK179" i="5" s="1"/>
  <c r="AK180" i="5" s="1"/>
  <c r="AK181" i="5" s="1"/>
  <c r="AK182" i="5" s="1"/>
  <c r="AK183" i="5" s="1"/>
  <c r="AG168" i="5"/>
  <c r="AF168" i="5"/>
  <c r="AF169" i="5" s="1"/>
  <c r="AF170" i="5" s="1"/>
  <c r="AF171" i="5" s="1"/>
  <c r="AF172" i="5" s="1"/>
  <c r="AF173" i="5" s="1"/>
  <c r="AF174" i="5" s="1"/>
  <c r="AF175" i="5" s="1"/>
  <c r="AF176" i="5" s="1"/>
  <c r="AF177" i="5" s="1"/>
  <c r="AF178" i="5" s="1"/>
  <c r="AF179" i="5" s="1"/>
  <c r="AF180" i="5" s="1"/>
  <c r="AF181" i="5" s="1"/>
  <c r="AF182" i="5" s="1"/>
  <c r="AF183" i="5" s="1"/>
  <c r="CB166" i="5"/>
  <c r="AV139" i="5"/>
  <c r="AU139" i="5"/>
  <c r="AU140" i="5" s="1"/>
  <c r="AU141" i="5" s="1"/>
  <c r="AU142" i="5" s="1"/>
  <c r="AU143" i="5" s="1"/>
  <c r="AU144" i="5" s="1"/>
  <c r="AU145" i="5" s="1"/>
  <c r="AU146" i="5" s="1"/>
  <c r="AU147" i="5" s="1"/>
  <c r="AU148" i="5" s="1"/>
  <c r="AU149" i="5" s="1"/>
  <c r="AU150" i="5" s="1"/>
  <c r="AU151" i="5" s="1"/>
  <c r="AU152" i="5" s="1"/>
  <c r="AU153" i="5" s="1"/>
  <c r="AU154" i="5" s="1"/>
  <c r="AU155" i="5" s="1"/>
  <c r="AU156" i="5" s="1"/>
  <c r="AU157" i="5" s="1"/>
  <c r="AU158" i="5" s="1"/>
  <c r="AU159" i="5" s="1"/>
  <c r="AU160" i="5" s="1"/>
  <c r="AU161" i="5" s="1"/>
  <c r="AU162" i="5" s="1"/>
  <c r="AU163" i="5" s="1"/>
  <c r="AU164" i="5" s="1"/>
  <c r="AU165" i="5" s="1"/>
  <c r="AU166" i="5" s="1"/>
  <c r="AQ139" i="5"/>
  <c r="AP139" i="5"/>
  <c r="AP140" i="5" s="1"/>
  <c r="AP141" i="5" s="1"/>
  <c r="AP142" i="5" s="1"/>
  <c r="AP143" i="5" s="1"/>
  <c r="AP144" i="5" s="1"/>
  <c r="AP145" i="5" s="1"/>
  <c r="AP146" i="5" s="1"/>
  <c r="AP147" i="5" s="1"/>
  <c r="AP148" i="5" s="1"/>
  <c r="AP149" i="5" s="1"/>
  <c r="AP150" i="5" s="1"/>
  <c r="AP151" i="5" s="1"/>
  <c r="AP152" i="5" s="1"/>
  <c r="AP153" i="5" s="1"/>
  <c r="AP154" i="5" s="1"/>
  <c r="AP155" i="5" s="1"/>
  <c r="AP156" i="5" s="1"/>
  <c r="AP157" i="5" s="1"/>
  <c r="AP158" i="5" s="1"/>
  <c r="AP159" i="5" s="1"/>
  <c r="AP160" i="5" s="1"/>
  <c r="AP161" i="5" s="1"/>
  <c r="AP162" i="5" s="1"/>
  <c r="AP163" i="5" s="1"/>
  <c r="AP164" i="5" s="1"/>
  <c r="AP165" i="5" s="1"/>
  <c r="AP166" i="5" s="1"/>
  <c r="AL139" i="5"/>
  <c r="AK139" i="5"/>
  <c r="AK140" i="5" s="1"/>
  <c r="AK141" i="5" s="1"/>
  <c r="AK142" i="5" s="1"/>
  <c r="AK143" i="5" s="1"/>
  <c r="AK144" i="5" s="1"/>
  <c r="AK145" i="5" s="1"/>
  <c r="AK146" i="5" s="1"/>
  <c r="AK147" i="5" s="1"/>
  <c r="AK148" i="5" s="1"/>
  <c r="AK149" i="5" s="1"/>
  <c r="AK150" i="5" s="1"/>
  <c r="AK151" i="5" s="1"/>
  <c r="AK152" i="5" s="1"/>
  <c r="AK153" i="5" s="1"/>
  <c r="AK154" i="5" s="1"/>
  <c r="AK155" i="5" s="1"/>
  <c r="AK156" i="5" s="1"/>
  <c r="AK157" i="5" s="1"/>
  <c r="AK158" i="5" s="1"/>
  <c r="AK159" i="5" s="1"/>
  <c r="AK160" i="5" s="1"/>
  <c r="AK161" i="5" s="1"/>
  <c r="AK162" i="5" s="1"/>
  <c r="AK163" i="5" s="1"/>
  <c r="AK164" i="5" s="1"/>
  <c r="AK165" i="5" s="1"/>
  <c r="AK166" i="5" s="1"/>
  <c r="AG139" i="5"/>
  <c r="AF139" i="5"/>
  <c r="AF140" i="5" s="1"/>
  <c r="AF141" i="5" s="1"/>
  <c r="AF142" i="5" s="1"/>
  <c r="AF143" i="5" s="1"/>
  <c r="AF144" i="5" s="1"/>
  <c r="AF145" i="5" s="1"/>
  <c r="AF146" i="5" s="1"/>
  <c r="AF147" i="5" s="1"/>
  <c r="AF148" i="5" s="1"/>
  <c r="AF149" i="5" s="1"/>
  <c r="AF150" i="5" s="1"/>
  <c r="AF151" i="5" s="1"/>
  <c r="AF152" i="5" s="1"/>
  <c r="AF153" i="5" s="1"/>
  <c r="AF154" i="5" s="1"/>
  <c r="AF155" i="5" s="1"/>
  <c r="AF156" i="5" s="1"/>
  <c r="AF157" i="5" s="1"/>
  <c r="AF158" i="5" s="1"/>
  <c r="AF159" i="5" s="1"/>
  <c r="AF160" i="5" s="1"/>
  <c r="AF161" i="5" s="1"/>
  <c r="AF162" i="5" s="1"/>
  <c r="AF163" i="5" s="1"/>
  <c r="AF164" i="5" s="1"/>
  <c r="AF165" i="5" s="1"/>
  <c r="AF166" i="5" s="1"/>
  <c r="CB137" i="5"/>
  <c r="AV119" i="5"/>
  <c r="AU119" i="5"/>
  <c r="AU120" i="5" s="1"/>
  <c r="AU121" i="5" s="1"/>
  <c r="AU122" i="5" s="1"/>
  <c r="AU123" i="5" s="1"/>
  <c r="AU124" i="5" s="1"/>
  <c r="AU125" i="5" s="1"/>
  <c r="AU126" i="5" s="1"/>
  <c r="AU127" i="5" s="1"/>
  <c r="AU128" i="5" s="1"/>
  <c r="AU129" i="5" s="1"/>
  <c r="AU130" i="5" s="1"/>
  <c r="AU131" i="5" s="1"/>
  <c r="AU132" i="5" s="1"/>
  <c r="AU133" i="5" s="1"/>
  <c r="AU134" i="5" s="1"/>
  <c r="AU135" i="5" s="1"/>
  <c r="AU136" i="5" s="1"/>
  <c r="AU137" i="5" s="1"/>
  <c r="AQ119" i="5"/>
  <c r="AP119" i="5"/>
  <c r="AP120" i="5" s="1"/>
  <c r="AP121" i="5" s="1"/>
  <c r="AP122" i="5" s="1"/>
  <c r="AP123" i="5" s="1"/>
  <c r="AP124" i="5" s="1"/>
  <c r="AP125" i="5" s="1"/>
  <c r="AP126" i="5" s="1"/>
  <c r="AP127" i="5" s="1"/>
  <c r="AP128" i="5" s="1"/>
  <c r="AP129" i="5" s="1"/>
  <c r="AP130" i="5" s="1"/>
  <c r="AP131" i="5" s="1"/>
  <c r="AP132" i="5" s="1"/>
  <c r="AP133" i="5" s="1"/>
  <c r="AP134" i="5" s="1"/>
  <c r="AP135" i="5" s="1"/>
  <c r="AP136" i="5" s="1"/>
  <c r="AP137" i="5" s="1"/>
  <c r="AL119" i="5"/>
  <c r="AK119" i="5"/>
  <c r="AK120" i="5" s="1"/>
  <c r="AK121" i="5" s="1"/>
  <c r="AK122" i="5" s="1"/>
  <c r="AK123" i="5" s="1"/>
  <c r="AK124" i="5" s="1"/>
  <c r="AK125" i="5" s="1"/>
  <c r="AK126" i="5" s="1"/>
  <c r="AK127" i="5" s="1"/>
  <c r="AK128" i="5" s="1"/>
  <c r="AK129" i="5" s="1"/>
  <c r="AK130" i="5" s="1"/>
  <c r="AK131" i="5" s="1"/>
  <c r="AK132" i="5" s="1"/>
  <c r="AK133" i="5" s="1"/>
  <c r="AK134" i="5" s="1"/>
  <c r="AK135" i="5" s="1"/>
  <c r="AK136" i="5" s="1"/>
  <c r="AK137" i="5" s="1"/>
  <c r="AG119" i="5"/>
  <c r="AF119" i="5"/>
  <c r="AF120" i="5" s="1"/>
  <c r="AF121" i="5" s="1"/>
  <c r="AF122" i="5" s="1"/>
  <c r="AF123" i="5" s="1"/>
  <c r="AF124" i="5" s="1"/>
  <c r="AF125" i="5" s="1"/>
  <c r="AF126" i="5" s="1"/>
  <c r="AF127" i="5" s="1"/>
  <c r="AF128" i="5" s="1"/>
  <c r="AF129" i="5" s="1"/>
  <c r="AF130" i="5" s="1"/>
  <c r="AF131" i="5" s="1"/>
  <c r="AF132" i="5" s="1"/>
  <c r="AF133" i="5" s="1"/>
  <c r="AF134" i="5" s="1"/>
  <c r="AF135" i="5" s="1"/>
  <c r="AF136" i="5" s="1"/>
  <c r="AF137" i="5" s="1"/>
  <c r="CB117" i="5"/>
  <c r="AV115" i="5"/>
  <c r="AU115" i="5"/>
  <c r="AU116" i="5" s="1"/>
  <c r="AU117" i="5" s="1"/>
  <c r="AQ115" i="5"/>
  <c r="AP115" i="5"/>
  <c r="AP116" i="5" s="1"/>
  <c r="AP117" i="5" s="1"/>
  <c r="AL115" i="5"/>
  <c r="AK115" i="5"/>
  <c r="AK116" i="5" s="1"/>
  <c r="AK117" i="5" s="1"/>
  <c r="AG115" i="5"/>
  <c r="AF115" i="5"/>
  <c r="AF116" i="5" s="1"/>
  <c r="AF117" i="5" s="1"/>
  <c r="AV104" i="5"/>
  <c r="AU104" i="5"/>
  <c r="AU105" i="5" s="1"/>
  <c r="AU106" i="5" s="1"/>
  <c r="AU107" i="5" s="1"/>
  <c r="AU108" i="5" s="1"/>
  <c r="AU109" i="5" s="1"/>
  <c r="AU110" i="5" s="1"/>
  <c r="AU111" i="5" s="1"/>
  <c r="AU112" i="5" s="1"/>
  <c r="AU113" i="5" s="1"/>
  <c r="AQ104" i="5"/>
  <c r="AP104" i="5"/>
  <c r="AP105" i="5" s="1"/>
  <c r="AP106" i="5" s="1"/>
  <c r="AP107" i="5" s="1"/>
  <c r="AP108" i="5" s="1"/>
  <c r="AP109" i="5" s="1"/>
  <c r="AP110" i="5" s="1"/>
  <c r="AP111" i="5" s="1"/>
  <c r="AP112" i="5" s="1"/>
  <c r="AP113" i="5" s="1"/>
  <c r="AL104" i="5"/>
  <c r="AK104" i="5"/>
  <c r="AK105" i="5" s="1"/>
  <c r="AK106" i="5" s="1"/>
  <c r="AK107" i="5" s="1"/>
  <c r="AK108" i="5" s="1"/>
  <c r="AK109" i="5" s="1"/>
  <c r="AK110" i="5" s="1"/>
  <c r="AK111" i="5" s="1"/>
  <c r="AK112" i="5" s="1"/>
  <c r="AK113" i="5" s="1"/>
  <c r="AG104" i="5"/>
  <c r="AF104" i="5"/>
  <c r="AF105" i="5" s="1"/>
  <c r="AF106" i="5" s="1"/>
  <c r="AF107" i="5" s="1"/>
  <c r="AF108" i="5" s="1"/>
  <c r="AF109" i="5" s="1"/>
  <c r="AF110" i="5" s="1"/>
  <c r="AF111" i="5" s="1"/>
  <c r="AF112" i="5" s="1"/>
  <c r="AF113" i="5" s="1"/>
  <c r="CB102" i="5"/>
  <c r="AV93" i="5"/>
  <c r="AU93" i="5"/>
  <c r="AU94" i="5" s="1"/>
  <c r="AU95" i="5" s="1"/>
  <c r="AU96" i="5" s="1"/>
  <c r="AU97" i="5" s="1"/>
  <c r="AU98" i="5" s="1"/>
  <c r="AU99" i="5" s="1"/>
  <c r="AU100" i="5" s="1"/>
  <c r="AU101" i="5" s="1"/>
  <c r="AU102" i="5" s="1"/>
  <c r="AQ93" i="5"/>
  <c r="AP93" i="5"/>
  <c r="AP94" i="5" s="1"/>
  <c r="AP95" i="5" s="1"/>
  <c r="AP96" i="5" s="1"/>
  <c r="AP97" i="5" s="1"/>
  <c r="AP98" i="5" s="1"/>
  <c r="AP99" i="5" s="1"/>
  <c r="AP100" i="5" s="1"/>
  <c r="AP101" i="5" s="1"/>
  <c r="AP102" i="5" s="1"/>
  <c r="AL93" i="5"/>
  <c r="AK93" i="5"/>
  <c r="AK94" i="5" s="1"/>
  <c r="AK95" i="5" s="1"/>
  <c r="AK96" i="5" s="1"/>
  <c r="AK97" i="5" s="1"/>
  <c r="AK98" i="5" s="1"/>
  <c r="AK99" i="5" s="1"/>
  <c r="AK100" i="5" s="1"/>
  <c r="AK101" i="5" s="1"/>
  <c r="AK102" i="5" s="1"/>
  <c r="AG93" i="5"/>
  <c r="AF93" i="5"/>
  <c r="AF94" i="5" s="1"/>
  <c r="AF95" i="5" s="1"/>
  <c r="AF96" i="5" s="1"/>
  <c r="AF97" i="5" s="1"/>
  <c r="AF98" i="5" s="1"/>
  <c r="AF99" i="5" s="1"/>
  <c r="AF100" i="5" s="1"/>
  <c r="AF101" i="5" s="1"/>
  <c r="AF102" i="5" s="1"/>
  <c r="CB91" i="5"/>
  <c r="AV80" i="5"/>
  <c r="AU80" i="5"/>
  <c r="AU81" i="5" s="1"/>
  <c r="AU82" i="5" s="1"/>
  <c r="AU83" i="5" s="1"/>
  <c r="AU84" i="5" s="1"/>
  <c r="AU85" i="5" s="1"/>
  <c r="AU86" i="5" s="1"/>
  <c r="AU87" i="5" s="1"/>
  <c r="AU88" i="5" s="1"/>
  <c r="AU89" i="5" s="1"/>
  <c r="AU90" i="5" s="1"/>
  <c r="AU91" i="5" s="1"/>
  <c r="AQ80" i="5"/>
  <c r="AP80" i="5"/>
  <c r="AP81" i="5" s="1"/>
  <c r="AP82" i="5" s="1"/>
  <c r="AP83" i="5" s="1"/>
  <c r="AP84" i="5" s="1"/>
  <c r="AP85" i="5" s="1"/>
  <c r="AP86" i="5" s="1"/>
  <c r="AP87" i="5" s="1"/>
  <c r="AP88" i="5" s="1"/>
  <c r="AP89" i="5" s="1"/>
  <c r="AP90" i="5" s="1"/>
  <c r="AP91" i="5" s="1"/>
  <c r="AL80" i="5"/>
  <c r="AK80" i="5"/>
  <c r="AK81" i="5" s="1"/>
  <c r="AK82" i="5" s="1"/>
  <c r="AK83" i="5" s="1"/>
  <c r="AK84" i="5" s="1"/>
  <c r="AK85" i="5" s="1"/>
  <c r="AK86" i="5" s="1"/>
  <c r="AK87" i="5" s="1"/>
  <c r="AK88" i="5" s="1"/>
  <c r="AK89" i="5" s="1"/>
  <c r="AK90" i="5" s="1"/>
  <c r="AK91" i="5" s="1"/>
  <c r="AG80" i="5"/>
  <c r="AF80" i="5"/>
  <c r="AF81" i="5" s="1"/>
  <c r="AF82" i="5" s="1"/>
  <c r="AF83" i="5" s="1"/>
  <c r="AF84" i="5" s="1"/>
  <c r="AF85" i="5" s="1"/>
  <c r="AF86" i="5" s="1"/>
  <c r="AF87" i="5" s="1"/>
  <c r="AF88" i="5" s="1"/>
  <c r="AF89" i="5" s="1"/>
  <c r="AF90" i="5" s="1"/>
  <c r="AF91" i="5" s="1"/>
  <c r="CB78" i="5"/>
  <c r="AV75" i="5"/>
  <c r="AU75" i="5"/>
  <c r="AU76" i="5" s="1"/>
  <c r="AU77" i="5" s="1"/>
  <c r="AU78" i="5" s="1"/>
  <c r="AQ75" i="5"/>
  <c r="AP75" i="5"/>
  <c r="AP76" i="5" s="1"/>
  <c r="AP77" i="5" s="1"/>
  <c r="AP78" i="5" s="1"/>
  <c r="AL75" i="5"/>
  <c r="AK75" i="5"/>
  <c r="AK76" i="5" s="1"/>
  <c r="AK77" i="5" s="1"/>
  <c r="AK78" i="5" s="1"/>
  <c r="AG75" i="5"/>
  <c r="AF75" i="5"/>
  <c r="AF76" i="5" s="1"/>
  <c r="AF77" i="5" s="1"/>
  <c r="AF78" i="5" s="1"/>
  <c r="CB73" i="5"/>
  <c r="AV70" i="5"/>
  <c r="AU70" i="5"/>
  <c r="AU71" i="5" s="1"/>
  <c r="AU72" i="5" s="1"/>
  <c r="AU73" i="5" s="1"/>
  <c r="AQ70" i="5"/>
  <c r="AP70" i="5"/>
  <c r="AP71" i="5" s="1"/>
  <c r="AP72" i="5" s="1"/>
  <c r="AP73" i="5" s="1"/>
  <c r="AL70" i="5"/>
  <c r="AK70" i="5"/>
  <c r="AK71" i="5" s="1"/>
  <c r="AK72" i="5" s="1"/>
  <c r="AK73" i="5" s="1"/>
  <c r="AG70" i="5"/>
  <c r="AF70" i="5"/>
  <c r="AF71" i="5" s="1"/>
  <c r="AF72" i="5" s="1"/>
  <c r="AF73" i="5" s="1"/>
  <c r="CB68" i="5"/>
  <c r="AV65" i="5"/>
  <c r="AU65" i="5"/>
  <c r="AU66" i="5" s="1"/>
  <c r="AU67" i="5" s="1"/>
  <c r="AU68" i="5" s="1"/>
  <c r="AQ65" i="5"/>
  <c r="AP65" i="5"/>
  <c r="AP66" i="5" s="1"/>
  <c r="AP67" i="5" s="1"/>
  <c r="AP68" i="5" s="1"/>
  <c r="AL65" i="5"/>
  <c r="AK65" i="5"/>
  <c r="AK66" i="5" s="1"/>
  <c r="AK67" i="5" s="1"/>
  <c r="AK68" i="5" s="1"/>
  <c r="AG65" i="5"/>
  <c r="AF65" i="5"/>
  <c r="AF66" i="5" s="1"/>
  <c r="AF67" i="5" s="1"/>
  <c r="AF68" i="5" s="1"/>
  <c r="AV60" i="5"/>
  <c r="AU60" i="5"/>
  <c r="AU61" i="5" s="1"/>
  <c r="AU62" i="5" s="1"/>
  <c r="AU63" i="5" s="1"/>
  <c r="AQ60" i="5"/>
  <c r="AP60" i="5"/>
  <c r="AP61" i="5" s="1"/>
  <c r="AP62" i="5" s="1"/>
  <c r="AP63" i="5" s="1"/>
  <c r="AL60" i="5"/>
  <c r="AK60" i="5"/>
  <c r="AK61" i="5" s="1"/>
  <c r="AK62" i="5" s="1"/>
  <c r="AK63" i="5" s="1"/>
  <c r="AG60" i="5"/>
  <c r="AF60" i="5"/>
  <c r="AF61" i="5" s="1"/>
  <c r="AF62" i="5" s="1"/>
  <c r="AF63" i="5" s="1"/>
  <c r="CB58" i="5"/>
  <c r="AV50" i="5"/>
  <c r="AU50" i="5"/>
  <c r="AU51" i="5" s="1"/>
  <c r="AU52" i="5" s="1"/>
  <c r="AU53" i="5" s="1"/>
  <c r="AU54" i="5" s="1"/>
  <c r="AU55" i="5" s="1"/>
  <c r="AU56" i="5" s="1"/>
  <c r="AU57" i="5" s="1"/>
  <c r="AU58" i="5" s="1"/>
  <c r="AQ50" i="5"/>
  <c r="AP50" i="5"/>
  <c r="AP51" i="5" s="1"/>
  <c r="AP52" i="5" s="1"/>
  <c r="AP53" i="5" s="1"/>
  <c r="AP54" i="5" s="1"/>
  <c r="AP55" i="5" s="1"/>
  <c r="AP56" i="5" s="1"/>
  <c r="AP57" i="5" s="1"/>
  <c r="AP58" i="5" s="1"/>
  <c r="AL50" i="5"/>
  <c r="AK50" i="5"/>
  <c r="AK51" i="5" s="1"/>
  <c r="AK52" i="5" s="1"/>
  <c r="AK53" i="5" s="1"/>
  <c r="AK54" i="5" s="1"/>
  <c r="AK55" i="5" s="1"/>
  <c r="AK56" i="5" s="1"/>
  <c r="AK57" i="5" s="1"/>
  <c r="AK58" i="5" s="1"/>
  <c r="AG50" i="5"/>
  <c r="AF50" i="5"/>
  <c r="AF51" i="5" s="1"/>
  <c r="AF52" i="5" s="1"/>
  <c r="AF53" i="5" s="1"/>
  <c r="AF54" i="5" s="1"/>
  <c r="AF55" i="5" s="1"/>
  <c r="AF56" i="5" s="1"/>
  <c r="AF57" i="5" s="1"/>
  <c r="AF58" i="5" s="1"/>
  <c r="AV40" i="5"/>
  <c r="AU40" i="5"/>
  <c r="AU41" i="5" s="1"/>
  <c r="AU42" i="5" s="1"/>
  <c r="AU43" i="5" s="1"/>
  <c r="AU44" i="5" s="1"/>
  <c r="AU45" i="5" s="1"/>
  <c r="AU46" i="5" s="1"/>
  <c r="AU47" i="5" s="1"/>
  <c r="AU48" i="5" s="1"/>
  <c r="AQ40" i="5"/>
  <c r="AP40" i="5"/>
  <c r="AP41" i="5" s="1"/>
  <c r="AP42" i="5" s="1"/>
  <c r="AP43" i="5" s="1"/>
  <c r="AP44" i="5" s="1"/>
  <c r="AP45" i="5" s="1"/>
  <c r="AP46" i="5" s="1"/>
  <c r="AP47" i="5" s="1"/>
  <c r="AP48" i="5" s="1"/>
  <c r="AL40" i="5"/>
  <c r="AK40" i="5"/>
  <c r="AK41" i="5" s="1"/>
  <c r="AK42" i="5" s="1"/>
  <c r="AK43" i="5" s="1"/>
  <c r="AK44" i="5" s="1"/>
  <c r="AK45" i="5" s="1"/>
  <c r="AK46" i="5" s="1"/>
  <c r="AK47" i="5" s="1"/>
  <c r="AK48" i="5" s="1"/>
  <c r="AG40" i="5"/>
  <c r="AF40" i="5"/>
  <c r="AF41" i="5" s="1"/>
  <c r="AF42" i="5" s="1"/>
  <c r="AF43" i="5" s="1"/>
  <c r="AF44" i="5" s="1"/>
  <c r="AF45" i="5" s="1"/>
  <c r="AF46" i="5" s="1"/>
  <c r="AF47" i="5" s="1"/>
  <c r="AF48" i="5" s="1"/>
  <c r="CB38" i="5"/>
  <c r="AV35" i="5"/>
  <c r="AU35" i="5"/>
  <c r="AU36" i="5" s="1"/>
  <c r="AU37" i="5" s="1"/>
  <c r="AU38" i="5" s="1"/>
  <c r="AQ35" i="5"/>
  <c r="AP35" i="5"/>
  <c r="AP36" i="5" s="1"/>
  <c r="AP37" i="5" s="1"/>
  <c r="AP38" i="5" s="1"/>
  <c r="AL35" i="5"/>
  <c r="AK35" i="5"/>
  <c r="AK36" i="5" s="1"/>
  <c r="AK37" i="5" s="1"/>
  <c r="AK38" i="5" s="1"/>
  <c r="AG35" i="5"/>
  <c r="AF35" i="5"/>
  <c r="AF36" i="5" s="1"/>
  <c r="AF37" i="5" s="1"/>
  <c r="AF38" i="5" s="1"/>
  <c r="CB33" i="5"/>
  <c r="AV25" i="5"/>
  <c r="AU25" i="5"/>
  <c r="AU26" i="5" s="1"/>
  <c r="AU27" i="5" s="1"/>
  <c r="AU28" i="5" s="1"/>
  <c r="AU29" i="5" s="1"/>
  <c r="AU30" i="5" s="1"/>
  <c r="AU31" i="5" s="1"/>
  <c r="AU32" i="5" s="1"/>
  <c r="AU33" i="5" s="1"/>
  <c r="AQ25" i="5"/>
  <c r="AP25" i="5"/>
  <c r="AP26" i="5" s="1"/>
  <c r="AP27" i="5" s="1"/>
  <c r="AP28" i="5" s="1"/>
  <c r="AP29" i="5" s="1"/>
  <c r="AP30" i="5" s="1"/>
  <c r="AP31" i="5" s="1"/>
  <c r="AP32" i="5" s="1"/>
  <c r="AP33" i="5" s="1"/>
  <c r="AL25" i="5"/>
  <c r="AK25" i="5"/>
  <c r="AK26" i="5" s="1"/>
  <c r="AK27" i="5" s="1"/>
  <c r="AK28" i="5" s="1"/>
  <c r="AK29" i="5" s="1"/>
  <c r="AK30" i="5" s="1"/>
  <c r="AK31" i="5" s="1"/>
  <c r="AK32" i="5" s="1"/>
  <c r="AK33" i="5" s="1"/>
  <c r="AG25" i="5"/>
  <c r="AF25" i="5"/>
  <c r="AF26" i="5" s="1"/>
  <c r="AF27" i="5" s="1"/>
  <c r="AF28" i="5" s="1"/>
  <c r="AF29" i="5" s="1"/>
  <c r="AF30" i="5" s="1"/>
  <c r="AF31" i="5" s="1"/>
  <c r="AF32" i="5" s="1"/>
  <c r="AF33" i="5" s="1"/>
  <c r="CB23" i="5"/>
  <c r="AV16" i="5"/>
  <c r="AU16" i="5"/>
  <c r="AU17" i="5" s="1"/>
  <c r="AU18" i="5" s="1"/>
  <c r="AU19" i="5" s="1"/>
  <c r="AU20" i="5" s="1"/>
  <c r="AU21" i="5" s="1"/>
  <c r="AU22" i="5" s="1"/>
  <c r="AU23" i="5" s="1"/>
  <c r="AQ16" i="5"/>
  <c r="AP16" i="5"/>
  <c r="AP17" i="5" s="1"/>
  <c r="AP18" i="5" s="1"/>
  <c r="AP19" i="5" s="1"/>
  <c r="AP20" i="5" s="1"/>
  <c r="AP21" i="5" s="1"/>
  <c r="AP22" i="5" s="1"/>
  <c r="AP23" i="5" s="1"/>
  <c r="AL16" i="5"/>
  <c r="AK16" i="5"/>
  <c r="AK17" i="5" s="1"/>
  <c r="AK18" i="5" s="1"/>
  <c r="AK19" i="5" s="1"/>
  <c r="AK20" i="5" s="1"/>
  <c r="AK21" i="5" s="1"/>
  <c r="AK22" i="5" s="1"/>
  <c r="AK23" i="5" s="1"/>
  <c r="AG16" i="5"/>
  <c r="AF16" i="5"/>
  <c r="AF17" i="5" s="1"/>
  <c r="AF18" i="5" s="1"/>
  <c r="AF19" i="5" s="1"/>
  <c r="AF20" i="5" s="1"/>
  <c r="AF21" i="5" s="1"/>
  <c r="AF22" i="5" s="1"/>
  <c r="AF23" i="5" s="1"/>
  <c r="CB11" i="5"/>
  <c r="AV12" i="5"/>
  <c r="AU12" i="5"/>
  <c r="AU13" i="5" s="1"/>
  <c r="AU14" i="5" s="1"/>
  <c r="AQ12" i="5"/>
  <c r="AL12" i="5"/>
  <c r="AK12" i="5"/>
  <c r="AK13" i="5" s="1"/>
  <c r="AK14" i="5" s="1"/>
  <c r="AG12" i="5"/>
  <c r="AF12" i="5"/>
  <c r="AF13" i="5" s="1"/>
  <c r="AF14" i="5" s="1"/>
  <c r="BD325" i="4"/>
  <c r="BC325" i="4"/>
  <c r="L325" i="4"/>
  <c r="BD324" i="4"/>
  <c r="BC324" i="4"/>
  <c r="L324" i="4"/>
  <c r="BD323" i="4"/>
  <c r="BC323" i="4"/>
  <c r="L323" i="4"/>
  <c r="BD322" i="4"/>
  <c r="BC322" i="4"/>
  <c r="L322" i="4"/>
  <c r="BD321" i="4"/>
  <c r="BC321" i="4"/>
  <c r="L321" i="4"/>
  <c r="BD320" i="4"/>
  <c r="BC320" i="4"/>
  <c r="L320" i="4"/>
  <c r="BD319" i="4"/>
  <c r="BC319" i="4"/>
  <c r="L319" i="4"/>
  <c r="BD318" i="4"/>
  <c r="BC318" i="4"/>
  <c r="L318" i="4"/>
  <c r="BD317" i="4"/>
  <c r="BC317" i="4"/>
  <c r="L317" i="4"/>
  <c r="BD316" i="4"/>
  <c r="BC316" i="4"/>
  <c r="L316" i="4"/>
  <c r="BD315" i="4"/>
  <c r="BC315" i="4"/>
  <c r="L315" i="4"/>
  <c r="BD314" i="4"/>
  <c r="BC314" i="4"/>
  <c r="L314" i="4"/>
  <c r="BD313" i="4"/>
  <c r="BC313" i="4"/>
  <c r="L313" i="4"/>
  <c r="BD312" i="4"/>
  <c r="BC312" i="4"/>
  <c r="L312" i="4"/>
  <c r="BD311" i="4"/>
  <c r="BC311" i="4"/>
  <c r="L311" i="4"/>
  <c r="BD310" i="4"/>
  <c r="BC310" i="4"/>
  <c r="L310" i="4"/>
  <c r="BD309" i="4"/>
  <c r="BC309" i="4"/>
  <c r="L309" i="4"/>
  <c r="BD308" i="4"/>
  <c r="BC308" i="4"/>
  <c r="L308" i="4"/>
  <c r="BD307" i="4"/>
  <c r="BC307" i="4"/>
  <c r="L307" i="4"/>
  <c r="BD306" i="4"/>
  <c r="BC306" i="4"/>
  <c r="L306" i="4"/>
  <c r="BD305" i="4"/>
  <c r="BC305" i="4"/>
  <c r="L305" i="4"/>
  <c r="BD304" i="4"/>
  <c r="BC304" i="4"/>
  <c r="L304" i="4"/>
  <c r="BD303" i="4"/>
  <c r="BC303" i="4"/>
  <c r="L303" i="4"/>
  <c r="BD302" i="4"/>
  <c r="BC302" i="4"/>
  <c r="L302" i="4"/>
  <c r="BD301" i="4"/>
  <c r="BC301" i="4"/>
  <c r="L301" i="4"/>
  <c r="BD300" i="4"/>
  <c r="BC300" i="4"/>
  <c r="L300" i="4"/>
  <c r="BD299" i="4"/>
  <c r="BC299" i="4"/>
  <c r="L299" i="4"/>
  <c r="BD298" i="4"/>
  <c r="BC298" i="4"/>
  <c r="L298" i="4"/>
  <c r="BD297" i="4"/>
  <c r="BC297" i="4"/>
  <c r="L297" i="4"/>
  <c r="BD296" i="4"/>
  <c r="BC296" i="4"/>
  <c r="L296" i="4"/>
  <c r="BD295" i="4"/>
  <c r="BC295" i="4"/>
  <c r="L295" i="4"/>
  <c r="BD294" i="4"/>
  <c r="BC294" i="4"/>
  <c r="L294" i="4"/>
  <c r="BD293" i="4"/>
  <c r="BC293" i="4"/>
  <c r="L293" i="4"/>
  <c r="BD292" i="4"/>
  <c r="BC292" i="4"/>
  <c r="L292" i="4"/>
  <c r="BD291" i="4"/>
  <c r="BC291" i="4"/>
  <c r="L291" i="4"/>
  <c r="BD290" i="4"/>
  <c r="BC290" i="4"/>
  <c r="L290" i="4"/>
  <c r="BD289" i="4"/>
  <c r="BC289" i="4"/>
  <c r="L289" i="4"/>
  <c r="BD288" i="4"/>
  <c r="BC288" i="4"/>
  <c r="L288" i="4"/>
  <c r="M288" i="4" s="1"/>
  <c r="BD287" i="4"/>
  <c r="BC287" i="4"/>
  <c r="L287" i="4"/>
  <c r="BD286" i="4"/>
  <c r="BC286" i="4"/>
  <c r="L286" i="4"/>
  <c r="M286" i="4" s="1"/>
  <c r="BD285" i="4"/>
  <c r="BC285" i="4"/>
  <c r="L285" i="4"/>
  <c r="M285" i="4" s="1"/>
  <c r="BD284" i="4"/>
  <c r="BC284" i="4"/>
  <c r="L284" i="4"/>
  <c r="BD283" i="4"/>
  <c r="BC283" i="4"/>
  <c r="L283" i="4"/>
  <c r="BD282" i="4"/>
  <c r="BC282" i="4"/>
  <c r="L282" i="4"/>
  <c r="BD281" i="4"/>
  <c r="BC281" i="4"/>
  <c r="L281" i="4"/>
  <c r="BD280" i="4"/>
  <c r="BC280" i="4"/>
  <c r="L280" i="4"/>
  <c r="BD279" i="4"/>
  <c r="BC279" i="4"/>
  <c r="L279" i="4"/>
  <c r="BD278" i="4"/>
  <c r="BC278" i="4"/>
  <c r="L278" i="4"/>
  <c r="BD277" i="4"/>
  <c r="BC277" i="4"/>
  <c r="L277" i="4"/>
  <c r="BD276" i="4"/>
  <c r="BC276" i="4"/>
  <c r="L276" i="4"/>
  <c r="BD275" i="4"/>
  <c r="BC275" i="4"/>
  <c r="L275" i="4"/>
  <c r="BD274" i="4"/>
  <c r="BC274" i="4"/>
  <c r="L274" i="4"/>
  <c r="BD273" i="4"/>
  <c r="BC273" i="4"/>
  <c r="L273" i="4"/>
  <c r="BD272" i="4"/>
  <c r="BC272" i="4"/>
  <c r="L272" i="4"/>
  <c r="BD271" i="4"/>
  <c r="BC271" i="4"/>
  <c r="L271" i="4"/>
  <c r="BD270" i="4"/>
  <c r="BC270" i="4"/>
  <c r="L270" i="4"/>
  <c r="BD269" i="4"/>
  <c r="BC269" i="4"/>
  <c r="L269" i="4"/>
  <c r="BD268" i="4"/>
  <c r="BC268" i="4"/>
  <c r="L268" i="4"/>
  <c r="BD267" i="4"/>
  <c r="BC267" i="4"/>
  <c r="L267" i="4"/>
  <c r="BD266" i="4"/>
  <c r="BC266" i="4"/>
  <c r="L266" i="4"/>
  <c r="BD265" i="4"/>
  <c r="BC265" i="4"/>
  <c r="L265" i="4"/>
  <c r="BD264" i="4"/>
  <c r="BC264" i="4"/>
  <c r="L264" i="4"/>
  <c r="BD263" i="4"/>
  <c r="BC263" i="4"/>
  <c r="L263" i="4"/>
  <c r="BD262" i="4"/>
  <c r="BC262" i="4"/>
  <c r="L262" i="4"/>
  <c r="BD261" i="4"/>
  <c r="BC261" i="4"/>
  <c r="L261" i="4"/>
  <c r="BD260" i="4"/>
  <c r="BC260" i="4"/>
  <c r="L260" i="4"/>
  <c r="BD259" i="4"/>
  <c r="BC259" i="4"/>
  <c r="L259" i="4"/>
  <c r="BD258" i="4"/>
  <c r="BC258" i="4"/>
  <c r="L258" i="4"/>
  <c r="BD257" i="4"/>
  <c r="BC257" i="4"/>
  <c r="L257" i="4"/>
  <c r="BD256" i="4"/>
  <c r="BC256" i="4"/>
  <c r="L256" i="4"/>
  <c r="BD255" i="4"/>
  <c r="BC255" i="4"/>
  <c r="L255" i="4"/>
  <c r="BD254" i="4"/>
  <c r="BC254" i="4"/>
  <c r="L254" i="4"/>
  <c r="BD253" i="4"/>
  <c r="BC253" i="4"/>
  <c r="L253" i="4"/>
  <c r="BD252" i="4"/>
  <c r="BC252" i="4"/>
  <c r="L252" i="4"/>
  <c r="BD251" i="4"/>
  <c r="BC251" i="4"/>
  <c r="L251" i="4"/>
  <c r="BD250" i="4"/>
  <c r="BC250" i="4"/>
  <c r="L250" i="4"/>
  <c r="BD249" i="4"/>
  <c r="BC249" i="4"/>
  <c r="L249" i="4"/>
  <c r="BD248" i="4"/>
  <c r="BC248" i="4"/>
  <c r="L248" i="4"/>
  <c r="BD247" i="4"/>
  <c r="BC247" i="4"/>
  <c r="L247" i="4"/>
  <c r="BD246" i="4"/>
  <c r="BC246" i="4"/>
  <c r="L246" i="4"/>
  <c r="BD245" i="4"/>
  <c r="BC245" i="4"/>
  <c r="L245" i="4"/>
  <c r="BD244" i="4"/>
  <c r="BC244" i="4"/>
  <c r="L244" i="4"/>
  <c r="BD243" i="4"/>
  <c r="BC243" i="4"/>
  <c r="L243" i="4"/>
  <c r="BD242" i="4"/>
  <c r="BC242" i="4"/>
  <c r="L242" i="4"/>
  <c r="BD241" i="4"/>
  <c r="BC241" i="4"/>
  <c r="L241" i="4"/>
  <c r="BD240" i="4"/>
  <c r="BC240" i="4"/>
  <c r="L240" i="4"/>
  <c r="BD239" i="4"/>
  <c r="BC239" i="4"/>
  <c r="L239" i="4"/>
  <c r="BD238" i="4"/>
  <c r="BC238" i="4"/>
  <c r="L238" i="4"/>
  <c r="BD237" i="4"/>
  <c r="BC237" i="4"/>
  <c r="L237" i="4"/>
  <c r="BD236" i="4"/>
  <c r="BC236" i="4"/>
  <c r="L236" i="4"/>
  <c r="BD235" i="4"/>
  <c r="BC235" i="4"/>
  <c r="L235" i="4"/>
  <c r="BD234" i="4"/>
  <c r="BC234" i="4"/>
  <c r="L234" i="4"/>
  <c r="BD233" i="4"/>
  <c r="BC233" i="4"/>
  <c r="L233" i="4"/>
  <c r="BD232" i="4"/>
  <c r="BC232" i="4"/>
  <c r="L232" i="4"/>
  <c r="BD231" i="4"/>
  <c r="BC231" i="4"/>
  <c r="L231" i="4"/>
  <c r="BD230" i="4"/>
  <c r="BC230" i="4"/>
  <c r="L230" i="4"/>
  <c r="BD229" i="4"/>
  <c r="BC229" i="4"/>
  <c r="L229" i="4"/>
  <c r="BD228" i="4"/>
  <c r="BC228" i="4"/>
  <c r="L228" i="4"/>
  <c r="BD227" i="4"/>
  <c r="BC227" i="4"/>
  <c r="L227" i="4"/>
  <c r="BD226" i="4"/>
  <c r="BC226" i="4"/>
  <c r="L226" i="4"/>
  <c r="BD225" i="4"/>
  <c r="BC225" i="4"/>
  <c r="L225" i="4"/>
  <c r="BD224" i="4"/>
  <c r="BC224" i="4"/>
  <c r="L224" i="4"/>
  <c r="BD223" i="4"/>
  <c r="BC223" i="4"/>
  <c r="L223" i="4"/>
  <c r="BD222" i="4"/>
  <c r="BC222" i="4"/>
  <c r="L222" i="4"/>
  <c r="BD221" i="4"/>
  <c r="BC221" i="4"/>
  <c r="L221" i="4"/>
  <c r="BD220" i="4"/>
  <c r="BC220" i="4"/>
  <c r="L220" i="4"/>
  <c r="BD219" i="4"/>
  <c r="BC219" i="4"/>
  <c r="L219" i="4"/>
  <c r="BD218" i="4"/>
  <c r="BC218" i="4"/>
  <c r="L218" i="4"/>
  <c r="BD217" i="4"/>
  <c r="BC217" i="4"/>
  <c r="L217" i="4"/>
  <c r="BD216" i="4"/>
  <c r="BC216" i="4"/>
  <c r="L216" i="4"/>
  <c r="BD215" i="4"/>
  <c r="BC215" i="4"/>
  <c r="L215" i="4"/>
  <c r="BD214" i="4"/>
  <c r="BC214" i="4"/>
  <c r="L214" i="4"/>
  <c r="BD213" i="4"/>
  <c r="BC213" i="4"/>
  <c r="L213" i="4"/>
  <c r="BD212" i="4"/>
  <c r="BC212" i="4"/>
  <c r="L212" i="4"/>
  <c r="BD211" i="4"/>
  <c r="BC211" i="4"/>
  <c r="L211" i="4"/>
  <c r="BD210" i="4"/>
  <c r="BC210" i="4"/>
  <c r="L210" i="4"/>
  <c r="BD209" i="4"/>
  <c r="BC209" i="4"/>
  <c r="L209" i="4"/>
  <c r="BD208" i="4"/>
  <c r="BC208" i="4"/>
  <c r="L208" i="4"/>
  <c r="BD207" i="4"/>
  <c r="BC207" i="4"/>
  <c r="L207" i="4"/>
  <c r="BD206" i="4"/>
  <c r="BC206" i="4"/>
  <c r="L206" i="4"/>
  <c r="BD205" i="4"/>
  <c r="BC205" i="4"/>
  <c r="L205" i="4"/>
  <c r="BD204" i="4"/>
  <c r="BC204" i="4"/>
  <c r="L204" i="4"/>
  <c r="BD203" i="4"/>
  <c r="BC203" i="4"/>
  <c r="L203" i="4"/>
  <c r="BD202" i="4"/>
  <c r="BC202" i="4"/>
  <c r="L202" i="4"/>
  <c r="BD201" i="4"/>
  <c r="BC201" i="4"/>
  <c r="L201" i="4"/>
  <c r="BD200" i="4"/>
  <c r="BC200" i="4"/>
  <c r="L200" i="4"/>
  <c r="BD199" i="4"/>
  <c r="BC199" i="4"/>
  <c r="L199" i="4"/>
  <c r="BD198" i="4"/>
  <c r="BC198" i="4"/>
  <c r="L198" i="4"/>
  <c r="BD197" i="4"/>
  <c r="BC197" i="4"/>
  <c r="L197" i="4"/>
  <c r="BD196" i="4"/>
  <c r="BC196" i="4"/>
  <c r="L196" i="4"/>
  <c r="BD195" i="4"/>
  <c r="BC195" i="4"/>
  <c r="L195" i="4"/>
  <c r="BD194" i="4"/>
  <c r="BC194" i="4"/>
  <c r="L194" i="4"/>
  <c r="BD193" i="4"/>
  <c r="BC193" i="4"/>
  <c r="L193" i="4"/>
  <c r="BD192" i="4"/>
  <c r="BC192" i="4"/>
  <c r="L192" i="4"/>
  <c r="BD191" i="4"/>
  <c r="BC191" i="4"/>
  <c r="L191" i="4"/>
  <c r="BD190" i="4"/>
  <c r="BC190" i="4"/>
  <c r="L190" i="4"/>
  <c r="BD189" i="4"/>
  <c r="BC189" i="4"/>
  <c r="L189" i="4"/>
  <c r="M189" i="4" s="1"/>
  <c r="BD188" i="4"/>
  <c r="BC188" i="4"/>
  <c r="L188" i="4"/>
  <c r="BD187" i="4"/>
  <c r="BC187" i="4"/>
  <c r="L187" i="4"/>
  <c r="BD186" i="4"/>
  <c r="BC186" i="4"/>
  <c r="L186" i="4"/>
  <c r="BD185" i="4"/>
  <c r="BC185" i="4"/>
  <c r="L185" i="4"/>
  <c r="BD184" i="4"/>
  <c r="BC184" i="4"/>
  <c r="L184" i="4"/>
  <c r="BD183" i="4"/>
  <c r="BC183" i="4"/>
  <c r="L183" i="4"/>
  <c r="BD182" i="4"/>
  <c r="BC182" i="4"/>
  <c r="L182" i="4"/>
  <c r="BD181" i="4"/>
  <c r="BC181" i="4"/>
  <c r="L181" i="4"/>
  <c r="BD180" i="4"/>
  <c r="BC180" i="4"/>
  <c r="L180" i="4"/>
  <c r="BD179" i="4"/>
  <c r="BC179" i="4"/>
  <c r="L179" i="4"/>
  <c r="BD178" i="4"/>
  <c r="BC178" i="4"/>
  <c r="L178" i="4"/>
  <c r="BD177" i="4"/>
  <c r="BC177" i="4"/>
  <c r="L177" i="4"/>
  <c r="M177" i="4" s="1"/>
  <c r="BD176" i="4"/>
  <c r="BC176" i="4"/>
  <c r="L176" i="4"/>
  <c r="BD175" i="4"/>
  <c r="BC175" i="4"/>
  <c r="L175" i="4"/>
  <c r="BD174" i="4"/>
  <c r="BC174" i="4"/>
  <c r="L174" i="4"/>
  <c r="BD173" i="4"/>
  <c r="BC173" i="4"/>
  <c r="L173" i="4"/>
  <c r="BD172" i="4"/>
  <c r="BC172" i="4"/>
  <c r="L172" i="4"/>
  <c r="BD171" i="4"/>
  <c r="BC171" i="4"/>
  <c r="L171" i="4"/>
  <c r="BD170" i="4"/>
  <c r="BC170" i="4"/>
  <c r="L170" i="4"/>
  <c r="BD169" i="4"/>
  <c r="BC169" i="4"/>
  <c r="L169" i="4"/>
  <c r="BD168" i="4"/>
  <c r="BC168" i="4"/>
  <c r="L168" i="4"/>
  <c r="BD167" i="4"/>
  <c r="BC167" i="4"/>
  <c r="L167" i="4"/>
  <c r="BD166" i="4"/>
  <c r="BC166" i="4"/>
  <c r="L166" i="4"/>
  <c r="BD165" i="4"/>
  <c r="BC165" i="4"/>
  <c r="L165" i="4"/>
  <c r="BD164" i="4"/>
  <c r="BC164" i="4"/>
  <c r="L164" i="4"/>
  <c r="BD163" i="4"/>
  <c r="BC163" i="4"/>
  <c r="L163" i="4"/>
  <c r="M163" i="4" s="1"/>
  <c r="BD162" i="4"/>
  <c r="BC162" i="4"/>
  <c r="L162" i="4"/>
  <c r="BD161" i="4"/>
  <c r="BC161" i="4"/>
  <c r="L161" i="4"/>
  <c r="BD160" i="4"/>
  <c r="BC160" i="4"/>
  <c r="L160" i="4"/>
  <c r="BD159" i="4"/>
  <c r="BC159" i="4"/>
  <c r="L159" i="4"/>
  <c r="M159" i="4" s="1"/>
  <c r="BD158" i="4"/>
  <c r="BC158" i="4"/>
  <c r="L158" i="4"/>
  <c r="BD157" i="4"/>
  <c r="BC157" i="4"/>
  <c r="L157" i="4"/>
  <c r="BD156" i="4"/>
  <c r="BC156" i="4"/>
  <c r="L156" i="4"/>
  <c r="BD155" i="4"/>
  <c r="BC155" i="4"/>
  <c r="L155" i="4"/>
  <c r="BD154" i="4"/>
  <c r="BC154" i="4"/>
  <c r="L154" i="4"/>
  <c r="BD153" i="4"/>
  <c r="BC153" i="4"/>
  <c r="L153" i="4"/>
  <c r="BD152" i="4"/>
  <c r="BC152" i="4"/>
  <c r="L152" i="4"/>
  <c r="BD151" i="4"/>
  <c r="BC151" i="4"/>
  <c r="L151" i="4"/>
  <c r="BD150" i="4"/>
  <c r="BC150" i="4"/>
  <c r="L150" i="4"/>
  <c r="BD149" i="4"/>
  <c r="BC149" i="4"/>
  <c r="L149" i="4"/>
  <c r="BD148" i="4"/>
  <c r="BC148" i="4"/>
  <c r="L148" i="4"/>
  <c r="M148" i="4" s="1"/>
  <c r="BD147" i="4"/>
  <c r="BC147" i="4"/>
  <c r="L147" i="4"/>
  <c r="BD146" i="4"/>
  <c r="BC146" i="4"/>
  <c r="L146" i="4"/>
  <c r="BD145" i="4"/>
  <c r="BC145" i="4"/>
  <c r="L145" i="4"/>
  <c r="BD144" i="4"/>
  <c r="BC144" i="4"/>
  <c r="L144" i="4"/>
  <c r="M144" i="4" s="1"/>
  <c r="BD143" i="4"/>
  <c r="BC143" i="4"/>
  <c r="L143" i="4"/>
  <c r="BD142" i="4"/>
  <c r="BC142" i="4"/>
  <c r="L142" i="4"/>
  <c r="BD141" i="4"/>
  <c r="BC141" i="4"/>
  <c r="L141" i="4"/>
  <c r="BD140" i="4"/>
  <c r="BC140" i="4"/>
  <c r="L140" i="4"/>
  <c r="BD139" i="4"/>
  <c r="BC139" i="4"/>
  <c r="L139" i="4"/>
  <c r="BD138" i="4"/>
  <c r="BC138" i="4"/>
  <c r="L138" i="4"/>
  <c r="M138" i="4" s="1"/>
  <c r="BD137" i="4"/>
  <c r="BC137" i="4"/>
  <c r="L137" i="4"/>
  <c r="BD136" i="4"/>
  <c r="BC136" i="4"/>
  <c r="L136" i="4"/>
  <c r="BD135" i="4"/>
  <c r="BC135" i="4"/>
  <c r="L135" i="4"/>
  <c r="BD134" i="4"/>
  <c r="BC134" i="4"/>
  <c r="L134" i="4"/>
  <c r="BD133" i="4"/>
  <c r="BC133" i="4"/>
  <c r="L133" i="4"/>
  <c r="BD132" i="4"/>
  <c r="BC132" i="4"/>
  <c r="L132" i="4"/>
  <c r="M132" i="4" s="1"/>
  <c r="BD131" i="4"/>
  <c r="BC131" i="4"/>
  <c r="L131" i="4"/>
  <c r="BD130" i="4"/>
  <c r="BC130" i="4"/>
  <c r="L130" i="4"/>
  <c r="BD129" i="4"/>
  <c r="BC129" i="4"/>
  <c r="L129" i="4"/>
  <c r="BD128" i="4"/>
  <c r="BC128" i="4"/>
  <c r="L128" i="4"/>
  <c r="BD127" i="4"/>
  <c r="BC127" i="4"/>
  <c r="L127" i="4"/>
  <c r="BD126" i="4"/>
  <c r="BC126" i="4"/>
  <c r="L126" i="4"/>
  <c r="BD125" i="4"/>
  <c r="BC125" i="4"/>
  <c r="L125" i="4"/>
  <c r="BD124" i="4"/>
  <c r="BC124" i="4"/>
  <c r="L124" i="4"/>
  <c r="BD123" i="4"/>
  <c r="BC123" i="4"/>
  <c r="L123" i="4"/>
  <c r="BD122" i="4"/>
  <c r="BC122" i="4"/>
  <c r="L122" i="4"/>
  <c r="BD121" i="4"/>
  <c r="BC121" i="4"/>
  <c r="L121" i="4"/>
  <c r="BD120" i="4"/>
  <c r="BC120" i="4"/>
  <c r="L120" i="4"/>
  <c r="M120" i="4" s="1"/>
  <c r="BD119" i="4"/>
  <c r="BC119" i="4"/>
  <c r="L119" i="4"/>
  <c r="BD118" i="4"/>
  <c r="BC118" i="4"/>
  <c r="L118" i="4"/>
  <c r="M118" i="4" s="1"/>
  <c r="BD117" i="4"/>
  <c r="BC117" i="4"/>
  <c r="L117" i="4"/>
  <c r="BD116" i="4"/>
  <c r="BC116" i="4"/>
  <c r="L116" i="4"/>
  <c r="BD115" i="4"/>
  <c r="BC115" i="4"/>
  <c r="L115" i="4"/>
  <c r="BD114" i="4"/>
  <c r="BC114" i="4"/>
  <c r="L114" i="4"/>
  <c r="BD113" i="4"/>
  <c r="BC113" i="4"/>
  <c r="L113" i="4"/>
  <c r="BD112" i="4"/>
  <c r="BC112" i="4"/>
  <c r="L112" i="4"/>
  <c r="M112" i="4" s="1"/>
  <c r="BD111" i="4"/>
  <c r="BC111" i="4"/>
  <c r="L111" i="4"/>
  <c r="BD110" i="4"/>
  <c r="BC110" i="4"/>
  <c r="L110" i="4"/>
  <c r="BD109" i="4"/>
  <c r="BC109" i="4"/>
  <c r="L109" i="4"/>
  <c r="BD108" i="4"/>
  <c r="BC108" i="4"/>
  <c r="L108" i="4"/>
  <c r="BD107" i="4"/>
  <c r="BC107" i="4"/>
  <c r="L107" i="4"/>
  <c r="BD106" i="4"/>
  <c r="BC106" i="4"/>
  <c r="L106" i="4"/>
  <c r="BD105" i="4"/>
  <c r="BC105" i="4"/>
  <c r="L105" i="4"/>
  <c r="BD104" i="4"/>
  <c r="BC104" i="4"/>
  <c r="L104" i="4"/>
  <c r="BD103" i="4"/>
  <c r="BC103" i="4"/>
  <c r="L103" i="4"/>
  <c r="M103" i="4" s="1"/>
  <c r="BD102" i="4"/>
  <c r="BC102" i="4"/>
  <c r="L102" i="4"/>
  <c r="BD101" i="4"/>
  <c r="BC101" i="4"/>
  <c r="L101" i="4"/>
  <c r="BD100" i="4"/>
  <c r="BC100" i="4"/>
  <c r="L100" i="4"/>
  <c r="BD99" i="4"/>
  <c r="BC99" i="4"/>
  <c r="L99" i="4"/>
  <c r="M99" i="4" s="1"/>
  <c r="BD98" i="4"/>
  <c r="BC98" i="4"/>
  <c r="L98" i="4"/>
  <c r="BD97" i="4"/>
  <c r="BC97" i="4"/>
  <c r="L97" i="4"/>
  <c r="BD96" i="4"/>
  <c r="BC96" i="4"/>
  <c r="L96" i="4"/>
  <c r="M96" i="4" s="1"/>
  <c r="BD95" i="4"/>
  <c r="BC95" i="4"/>
  <c r="L95" i="4"/>
  <c r="BD94" i="4"/>
  <c r="BC94" i="4"/>
  <c r="L94" i="4"/>
  <c r="BD93" i="4"/>
  <c r="BC93" i="4"/>
  <c r="L93" i="4"/>
  <c r="M93" i="4" s="1"/>
  <c r="BD92" i="4"/>
  <c r="BC92" i="4"/>
  <c r="L92" i="4"/>
  <c r="BD91" i="4"/>
  <c r="BC91" i="4"/>
  <c r="L91" i="4"/>
  <c r="BD90" i="4"/>
  <c r="BC90" i="4"/>
  <c r="L90" i="4"/>
  <c r="M90" i="4" s="1"/>
  <c r="BD89" i="4"/>
  <c r="BC89" i="4"/>
  <c r="L89" i="4"/>
  <c r="BD88" i="4"/>
  <c r="BC88" i="4"/>
  <c r="L88" i="4"/>
  <c r="BD87" i="4"/>
  <c r="BC87" i="4"/>
  <c r="L87" i="4"/>
  <c r="M87" i="4" s="1"/>
  <c r="BD86" i="4"/>
  <c r="BC86" i="4"/>
  <c r="L86" i="4"/>
  <c r="BD85" i="4"/>
  <c r="BC85" i="4"/>
  <c r="L85" i="4"/>
  <c r="BD84" i="4"/>
  <c r="BC84" i="4"/>
  <c r="L84" i="4"/>
  <c r="BD83" i="4"/>
  <c r="BC83" i="4"/>
  <c r="L83" i="4"/>
  <c r="BD82" i="4"/>
  <c r="BC82" i="4"/>
  <c r="L82" i="4"/>
  <c r="M82" i="4" s="1"/>
  <c r="BD81" i="4"/>
  <c r="BC81" i="4"/>
  <c r="L81" i="4"/>
  <c r="BD80" i="4"/>
  <c r="BC80" i="4"/>
  <c r="L80" i="4"/>
  <c r="BD79" i="4"/>
  <c r="BC79" i="4"/>
  <c r="L79" i="4"/>
  <c r="BD78" i="4"/>
  <c r="BC78" i="4"/>
  <c r="L78" i="4"/>
  <c r="BD77" i="4"/>
  <c r="BC77" i="4"/>
  <c r="L77" i="4"/>
  <c r="BD76" i="4"/>
  <c r="BC76" i="4"/>
  <c r="L76" i="4"/>
  <c r="BD75" i="4"/>
  <c r="BC75" i="4"/>
  <c r="L75" i="4"/>
  <c r="BD74" i="4"/>
  <c r="BC74" i="4"/>
  <c r="L74" i="4"/>
  <c r="BD73" i="4"/>
  <c r="BC73" i="4"/>
  <c r="L73" i="4"/>
  <c r="BD72" i="4"/>
  <c r="BC72" i="4"/>
  <c r="L72" i="4"/>
  <c r="BD71" i="4"/>
  <c r="BC71" i="4"/>
  <c r="L71" i="4"/>
  <c r="BD70" i="4"/>
  <c r="BC70" i="4"/>
  <c r="L70" i="4"/>
  <c r="BD69" i="4"/>
  <c r="BC69" i="4"/>
  <c r="L69" i="4"/>
  <c r="BD57" i="4"/>
  <c r="BC57" i="4"/>
  <c r="L57" i="4"/>
  <c r="BD56" i="4"/>
  <c r="BC56" i="4"/>
  <c r="L56" i="4"/>
  <c r="BD53" i="4"/>
  <c r="BC53" i="4"/>
  <c r="L53" i="4"/>
  <c r="BD52" i="4"/>
  <c r="BC52" i="4"/>
  <c r="L52" i="4"/>
  <c r="BD51" i="4"/>
  <c r="BC51" i="4"/>
  <c r="L51" i="4"/>
  <c r="BD50" i="4"/>
  <c r="BC50" i="4"/>
  <c r="L50" i="4"/>
  <c r="BD49" i="4"/>
  <c r="BC49" i="4"/>
  <c r="L49" i="4"/>
  <c r="BD48" i="4"/>
  <c r="BC48" i="4"/>
  <c r="L48" i="4"/>
  <c r="BD47" i="4"/>
  <c r="BC47" i="4"/>
  <c r="L47" i="4"/>
  <c r="M47" i="4" s="1"/>
  <c r="BD46" i="4"/>
  <c r="BC46" i="4"/>
  <c r="L46" i="4"/>
  <c r="BD45" i="4"/>
  <c r="BC45" i="4"/>
  <c r="L45" i="4"/>
  <c r="BD44" i="4"/>
  <c r="BC44" i="4"/>
  <c r="L44" i="4"/>
  <c r="BD43" i="4"/>
  <c r="BC43" i="4"/>
  <c r="L43" i="4"/>
  <c r="BD42" i="4"/>
  <c r="BC42" i="4"/>
  <c r="L42" i="4"/>
  <c r="BD41" i="4"/>
  <c r="BC41" i="4"/>
  <c r="L41" i="4"/>
  <c r="BD40" i="4"/>
  <c r="BC40" i="4"/>
  <c r="L40" i="4"/>
  <c r="BD39" i="4"/>
  <c r="BC39" i="4"/>
  <c r="L39" i="4"/>
  <c r="BD38" i="4"/>
  <c r="BC38" i="4"/>
  <c r="L38" i="4"/>
  <c r="BD37" i="4"/>
  <c r="BC37" i="4"/>
  <c r="L37" i="4"/>
  <c r="BD36" i="4"/>
  <c r="BC36" i="4"/>
  <c r="L36" i="4"/>
  <c r="BD35" i="4"/>
  <c r="BC35" i="4"/>
  <c r="L35" i="4"/>
  <c r="BD34" i="4"/>
  <c r="BC34" i="4"/>
  <c r="L34" i="4"/>
  <c r="BD33" i="4"/>
  <c r="BC33" i="4"/>
  <c r="L33" i="4"/>
  <c r="BD32" i="4"/>
  <c r="BC32" i="4"/>
  <c r="L32" i="4"/>
  <c r="BD31" i="4"/>
  <c r="BC31" i="4"/>
  <c r="L31" i="4"/>
  <c r="BC30" i="4"/>
  <c r="L30" i="4"/>
  <c r="AZ28" i="4"/>
  <c r="X28" i="4"/>
  <c r="W28" i="4"/>
  <c r="V28" i="4"/>
  <c r="U28" i="4"/>
  <c r="T28" i="4"/>
  <c r="S28" i="4"/>
  <c r="R28" i="4"/>
  <c r="Q28" i="4"/>
  <c r="P28" i="4"/>
  <c r="O28" i="4"/>
  <c r="N28" i="4"/>
  <c r="AZ27" i="4" a="1"/>
  <c r="X27" i="4" a="1"/>
  <c r="W27" i="4" a="1"/>
  <c r="V27" i="4" a="1"/>
  <c r="U27" i="4" a="1"/>
  <c r="T27" i="4" a="1"/>
  <c r="S27" i="4" a="1"/>
  <c r="R27" i="4" a="1"/>
  <c r="Q27" i="4" a="1"/>
  <c r="P27" i="4" a="1"/>
  <c r="O27" i="4" a="1"/>
  <c r="N27" i="4" a="1"/>
  <c r="R13" i="4" a="1"/>
  <c r="Q13" i="4" a="1"/>
  <c r="P13" i="4" a="1"/>
  <c r="O13" i="4" a="1"/>
  <c r="N13" i="4" a="1"/>
  <c r="M13" i="4" a="1"/>
  <c r="L13" i="4" a="1"/>
  <c r="K13" i="4" a="1"/>
  <c r="J13" i="4" a="1"/>
  <c r="I13" i="4" a="1"/>
  <c r="H13" i="4" a="1"/>
  <c r="G13" i="4" a="1"/>
  <c r="F13" i="4" a="1"/>
  <c r="R12" i="4" a="1"/>
  <c r="Q12" i="4" a="1"/>
  <c r="P12" i="4" a="1"/>
  <c r="O12" i="4" a="1"/>
  <c r="N12" i="4" a="1"/>
  <c r="M12" i="4" a="1"/>
  <c r="L12" i="4" a="1"/>
  <c r="K12" i="4" a="1"/>
  <c r="J12" i="4" a="1"/>
  <c r="I12" i="4" a="1"/>
  <c r="H12" i="4" a="1"/>
  <c r="G12" i="4" a="1"/>
  <c r="F12" i="4" a="1"/>
  <c r="F7" i="4"/>
  <c r="E7" i="4"/>
  <c r="F6" i="4"/>
  <c r="E6" i="4"/>
  <c r="F5" i="4"/>
  <c r="E5" i="4"/>
  <c r="T684" i="9"/>
  <c r="T593" i="9"/>
  <c r="T456" i="9"/>
  <c r="T376" i="9"/>
  <c r="T588" i="9"/>
  <c r="T670" i="9"/>
  <c r="T360" i="5"/>
  <c r="T661" i="9"/>
  <c r="T664" i="9"/>
  <c r="T569" i="9"/>
  <c r="T566" i="9"/>
  <c r="T625" i="9"/>
  <c r="T195" i="9"/>
  <c r="T346" i="5"/>
  <c r="T416" i="9"/>
  <c r="T594" i="9"/>
  <c r="T251" i="9"/>
  <c r="T628" i="9"/>
  <c r="T475" i="9"/>
  <c r="T356" i="5"/>
  <c r="T420" i="9"/>
  <c r="T619" i="9"/>
  <c r="T421" i="9"/>
  <c r="T16" i="9"/>
  <c r="T607" i="9"/>
  <c r="T657" i="9"/>
  <c r="T342" i="9"/>
  <c r="T655" i="9"/>
  <c r="T558" i="9"/>
  <c r="T59" i="9"/>
  <c r="T605" i="9"/>
  <c r="T471" i="9"/>
  <c r="T614" i="9"/>
  <c r="T640" i="9"/>
  <c r="T583" i="9"/>
  <c r="T683" i="9"/>
  <c r="T551" i="9"/>
  <c r="T564" i="9"/>
  <c r="T15" i="9"/>
  <c r="T627" i="9"/>
  <c r="T383" i="9"/>
  <c r="T648" i="9"/>
  <c r="T171" i="9"/>
  <c r="T101" i="9"/>
  <c r="T358" i="5"/>
  <c r="T341" i="9"/>
  <c r="T149" i="9"/>
  <c r="T60" i="9"/>
  <c r="T678" i="9"/>
  <c r="T560" i="9"/>
  <c r="T411" i="9"/>
  <c r="T630" i="9"/>
  <c r="T146" i="9"/>
  <c r="T629" i="9"/>
  <c r="T418" i="9"/>
  <c r="T215" i="9"/>
  <c r="T378" i="9"/>
  <c r="T303" i="9"/>
  <c r="T669" i="9"/>
  <c r="T377" i="9"/>
  <c r="T631" i="9"/>
  <c r="T650" i="9"/>
  <c r="T553" i="9"/>
  <c r="T439" i="9"/>
  <c r="T58" i="9"/>
  <c r="T662" i="9"/>
  <c r="T646" i="9"/>
  <c r="T595" i="9"/>
  <c r="T611" i="9"/>
  <c r="T666" i="9"/>
  <c r="T622" i="9"/>
  <c r="T559" i="9"/>
  <c r="T552" i="9"/>
  <c r="T438" i="9"/>
  <c r="T612" i="9"/>
  <c r="T570" i="9"/>
  <c r="T172" i="9"/>
  <c r="T680" i="9"/>
  <c r="T298" i="9"/>
  <c r="T150" i="9"/>
  <c r="T374" i="9"/>
  <c r="T642" i="9"/>
  <c r="T685" i="9"/>
  <c r="T468" i="9"/>
  <c r="T554" i="9"/>
  <c r="T602" i="9"/>
  <c r="T561" i="9"/>
  <c r="T210" i="9"/>
  <c r="T616" i="9"/>
  <c r="T676" i="9"/>
  <c r="T477" i="9"/>
  <c r="T100" i="9"/>
  <c r="T211" i="9"/>
  <c r="T98" i="9"/>
  <c r="T196" i="9"/>
  <c r="T454" i="9"/>
  <c r="T608" i="9"/>
  <c r="T672" i="9"/>
  <c r="T366" i="5"/>
  <c r="T679" i="9"/>
  <c r="T624" i="9"/>
  <c r="T635" i="9"/>
  <c r="T347" i="9"/>
  <c r="T168" i="9"/>
  <c r="T599" i="9"/>
  <c r="T300" i="9"/>
  <c r="T658" i="9"/>
  <c r="T191" i="9"/>
  <c r="T63" i="9"/>
  <c r="T473" i="9"/>
  <c r="T170" i="9"/>
  <c r="T213" i="9"/>
  <c r="T373" i="9"/>
  <c r="T665" i="9"/>
  <c r="T248" i="9"/>
  <c r="T667" i="9"/>
  <c r="T596" i="9"/>
  <c r="T348" i="5"/>
  <c r="T214" i="9"/>
  <c r="T575" i="9"/>
  <c r="T634" i="9"/>
  <c r="T636" i="9"/>
  <c r="T586" i="9"/>
  <c r="T610" i="9"/>
  <c r="T457" i="9"/>
  <c r="T585" i="9"/>
  <c r="T472" i="9"/>
  <c r="T375" i="9"/>
  <c r="T580" i="9"/>
  <c r="T682" i="9"/>
  <c r="T621" i="9"/>
  <c r="T345" i="9"/>
  <c r="T597" i="9"/>
  <c r="T61" i="9"/>
  <c r="T362" i="5"/>
  <c r="T647" i="9"/>
  <c r="T419" i="9"/>
  <c r="T350" i="5"/>
  <c r="T581" i="9"/>
  <c r="T589" i="9"/>
  <c r="T166" i="9"/>
  <c r="T12" i="9"/>
  <c r="T587" i="9"/>
  <c r="T367" i="9"/>
  <c r="T97" i="9"/>
  <c r="T677" i="9"/>
  <c r="T380" i="9"/>
  <c r="T441" i="9"/>
  <c r="T632" i="9"/>
  <c r="T14" i="9"/>
  <c r="T169" i="9"/>
  <c r="T344" i="9"/>
  <c r="T353" i="9"/>
  <c r="T606" i="9"/>
  <c r="T340" i="9"/>
  <c r="T557" i="9"/>
  <c r="T615" i="9"/>
  <c r="T574" i="9"/>
  <c r="T304" i="9"/>
  <c r="T148" i="9"/>
  <c r="T649" i="9"/>
  <c r="T453" i="9"/>
  <c r="T645" i="9"/>
  <c r="T660" i="9"/>
  <c r="T297" i="9"/>
  <c r="T434" i="9"/>
  <c r="T212" i="9"/>
  <c r="T638" i="9"/>
  <c r="T470" i="9"/>
  <c r="T384" i="9"/>
  <c r="T654" i="9"/>
  <c r="T663" i="9"/>
  <c r="T340" i="5"/>
  <c r="T325" i="9"/>
  <c r="T572" i="9"/>
  <c r="T99" i="9"/>
  <c r="T651" i="9"/>
  <c r="T352" i="5"/>
  <c r="T301" i="9"/>
  <c r="T673" i="9"/>
  <c r="T249" i="9"/>
  <c r="T563" i="9"/>
  <c r="T193" i="9"/>
  <c r="T476" i="9"/>
  <c r="T145" i="9"/>
  <c r="T555" i="9"/>
  <c r="T584" i="9"/>
  <c r="T573" i="9"/>
  <c r="T147" i="9"/>
  <c r="T626" i="9"/>
  <c r="T579" i="9"/>
  <c r="T674" i="9"/>
  <c r="T653" i="9"/>
  <c r="T435" i="9"/>
  <c r="T364" i="5"/>
  <c r="T600" i="9"/>
  <c r="T343" i="9"/>
  <c r="T17" i="9"/>
  <c r="T394" i="9"/>
  <c r="T437" i="9"/>
  <c r="T675" i="9"/>
  <c r="T598" i="9"/>
  <c r="T192" i="9"/>
  <c r="T359" i="9"/>
  <c r="T354" i="5"/>
  <c r="T659" i="9"/>
  <c r="T167" i="9"/>
  <c r="T618" i="9"/>
  <c r="R5" i="6" a="1"/>
  <c r="T474" i="9"/>
  <c r="T422" i="9"/>
  <c r="T633" i="9"/>
  <c r="T556" i="9"/>
  <c r="T455" i="9"/>
  <c r="T604" i="9"/>
  <c r="T436" i="9"/>
  <c r="T576" i="9"/>
  <c r="T299" i="9"/>
  <c r="T102" i="9"/>
  <c r="T644" i="9"/>
  <c r="T341" i="5"/>
  <c r="T417" i="9"/>
  <c r="T578" i="9"/>
  <c r="T302" i="9"/>
  <c r="T197" i="9"/>
  <c r="T681" i="9"/>
  <c r="T403" i="9"/>
  <c r="T444" i="9"/>
  <c r="T62" i="9"/>
  <c r="T13" i="9"/>
  <c r="T590" i="9"/>
  <c r="T194" i="9"/>
  <c r="T469" i="9"/>
  <c r="T567" i="9"/>
  <c r="T613" i="9"/>
  <c r="T346" i="9"/>
  <c r="T641" i="9"/>
  <c r="T458" i="9"/>
  <c r="T671" i="9"/>
  <c r="T620" i="9"/>
  <c r="AI101" i="9" l="1"/>
  <c r="AJ101" i="9" s="1"/>
  <c r="U101" i="9"/>
  <c r="V101" i="9"/>
  <c r="AI342" i="9"/>
  <c r="AJ342" i="9" s="1"/>
  <c r="V342" i="9"/>
  <c r="U342" i="9"/>
  <c r="V606" i="9"/>
  <c r="V569" i="9"/>
  <c r="V654" i="9"/>
  <c r="U678" i="9"/>
  <c r="V678" i="9"/>
  <c r="U213" i="9"/>
  <c r="AI213" i="9"/>
  <c r="AJ213" i="9" s="1"/>
  <c r="V213" i="9"/>
  <c r="U677" i="9"/>
  <c r="V677" i="9"/>
  <c r="AI377" i="9"/>
  <c r="AJ377" i="9" s="1"/>
  <c r="U377" i="9"/>
  <c r="V377" i="9"/>
  <c r="AI303" i="9"/>
  <c r="AN303" i="9" s="1"/>
  <c r="AO303" i="9" s="1"/>
  <c r="U303" i="9"/>
  <c r="V303" i="9"/>
  <c r="V584" i="9"/>
  <c r="AI594" i="9"/>
  <c r="AJ594" i="9" s="1"/>
  <c r="V594" i="9"/>
  <c r="U594" i="9"/>
  <c r="V325" i="9"/>
  <c r="AI300" i="9"/>
  <c r="AJ300" i="9" s="1"/>
  <c r="V300" i="9"/>
  <c r="U300" i="9"/>
  <c r="V621" i="9"/>
  <c r="V600" i="9"/>
  <c r="AI600" i="9"/>
  <c r="AN600" i="9" s="1"/>
  <c r="AO600" i="9" s="1"/>
  <c r="V403" i="9"/>
  <c r="AI670" i="9"/>
  <c r="AJ670" i="9" s="1"/>
  <c r="V670" i="9"/>
  <c r="U670" i="9"/>
  <c r="AI671" i="9"/>
  <c r="AJ671" i="9" s="1"/>
  <c r="U671" i="9"/>
  <c r="V671" i="9"/>
  <c r="V558" i="9"/>
  <c r="U558" i="9"/>
  <c r="V586" i="9"/>
  <c r="U676" i="9"/>
  <c r="AI676" i="9"/>
  <c r="AJ676" i="9" s="1"/>
  <c r="V676" i="9"/>
  <c r="AI299" i="9"/>
  <c r="AJ299" i="9" s="1"/>
  <c r="V299" i="9"/>
  <c r="U299" i="9"/>
  <c r="V575" i="9"/>
  <c r="AI343" i="9"/>
  <c r="AJ343" i="9" s="1"/>
  <c r="V343" i="9"/>
  <c r="U343" i="9"/>
  <c r="V618" i="9"/>
  <c r="V15" i="9"/>
  <c r="U15" i="9"/>
  <c r="AI15" i="9"/>
  <c r="AJ15" i="9" s="1"/>
  <c r="V458" i="9"/>
  <c r="AI458" i="9"/>
  <c r="AJ458" i="9" s="1"/>
  <c r="U458" i="9"/>
  <c r="AI168" i="9"/>
  <c r="AJ168" i="9" s="1"/>
  <c r="U168" i="9"/>
  <c r="V168" i="9"/>
  <c r="X347" i="5"/>
  <c r="V348" i="5"/>
  <c r="W347" i="5" s="1"/>
  <c r="U348" i="5"/>
  <c r="V438" i="9"/>
  <c r="U438" i="9"/>
  <c r="AI438" i="9"/>
  <c r="AJ438" i="9" s="1"/>
  <c r="AI661" i="9"/>
  <c r="AJ661" i="9" s="1"/>
  <c r="V661" i="9"/>
  <c r="U661" i="9"/>
  <c r="V615" i="9"/>
  <c r="AI62" i="9"/>
  <c r="AJ62" i="9" s="1"/>
  <c r="V62" i="9"/>
  <c r="U62" i="9"/>
  <c r="U212" i="9"/>
  <c r="AI212" i="9"/>
  <c r="AJ212" i="9" s="1"/>
  <c r="V212" i="9"/>
  <c r="V572" i="9"/>
  <c r="U149" i="9"/>
  <c r="AI149" i="9"/>
  <c r="AJ149" i="9" s="1"/>
  <c r="V149" i="9"/>
  <c r="V411" i="9"/>
  <c r="V476" i="9"/>
  <c r="AI476" i="9"/>
  <c r="AJ476" i="9" s="1"/>
  <c r="AI596" i="9"/>
  <c r="AJ596" i="9" s="1"/>
  <c r="V596" i="9"/>
  <c r="U596" i="9"/>
  <c r="AI16" i="9"/>
  <c r="AJ16" i="9" s="1"/>
  <c r="U16" i="9"/>
  <c r="V16" i="9"/>
  <c r="V616" i="9"/>
  <c r="V566" i="9"/>
  <c r="V444" i="9"/>
  <c r="V559" i="9"/>
  <c r="V556" i="9"/>
  <c r="U556" i="9"/>
  <c r="AI556" i="9"/>
  <c r="AJ556" i="9" s="1"/>
  <c r="V394" i="9"/>
  <c r="V650" i="9"/>
  <c r="AI650" i="9"/>
  <c r="AJ650" i="9" s="1"/>
  <c r="U650" i="9"/>
  <c r="V683" i="9"/>
  <c r="V367" i="9"/>
  <c r="AI477" i="9"/>
  <c r="AJ477" i="9" s="1"/>
  <c r="V477" i="9"/>
  <c r="V679" i="9"/>
  <c r="V302" i="9"/>
  <c r="U302" i="9"/>
  <c r="AI302" i="9"/>
  <c r="AJ302" i="9" s="1"/>
  <c r="AI457" i="9"/>
  <c r="AJ457" i="9" s="1"/>
  <c r="U457" i="9"/>
  <c r="V457" i="9"/>
  <c r="V346" i="9"/>
  <c r="AI346" i="9"/>
  <c r="AJ346" i="9" s="1"/>
  <c r="U346" i="9"/>
  <c r="AI378" i="9"/>
  <c r="AJ378" i="9" s="1"/>
  <c r="V378" i="9"/>
  <c r="U378" i="9"/>
  <c r="AI340" i="9"/>
  <c r="AJ340" i="9" s="1"/>
  <c r="U340" i="9"/>
  <c r="V340" i="9"/>
  <c r="V145" i="9"/>
  <c r="AI145" i="9"/>
  <c r="AJ145" i="9" s="1"/>
  <c r="U145" i="9"/>
  <c r="V564" i="9"/>
  <c r="V625" i="9"/>
  <c r="U625" i="9"/>
  <c r="AI625" i="9"/>
  <c r="AJ625" i="9" s="1"/>
  <c r="AI599" i="9"/>
  <c r="AJ599" i="9" s="1"/>
  <c r="V599" i="9"/>
  <c r="U599" i="9"/>
  <c r="V684" i="9"/>
  <c r="AI297" i="9"/>
  <c r="AJ297" i="9" s="1"/>
  <c r="V297" i="9"/>
  <c r="U297" i="9"/>
  <c r="U170" i="9"/>
  <c r="V170" i="9"/>
  <c r="AI170" i="9"/>
  <c r="AJ170" i="9" s="1"/>
  <c r="V560" i="9"/>
  <c r="V607" i="9"/>
  <c r="V345" i="9"/>
  <c r="AI345" i="9"/>
  <c r="AJ345" i="9" s="1"/>
  <c r="U345" i="9"/>
  <c r="V664" i="9"/>
  <c r="AI664" i="9"/>
  <c r="AN664" i="9" s="1"/>
  <c r="AO664" i="9" s="1"/>
  <c r="U663" i="9"/>
  <c r="AI663" i="9"/>
  <c r="AJ663" i="9" s="1"/>
  <c r="V663" i="9"/>
  <c r="AI166" i="9"/>
  <c r="AJ166" i="9" s="1"/>
  <c r="V166" i="9"/>
  <c r="U166" i="9"/>
  <c r="V620" i="9"/>
  <c r="V169" i="9"/>
  <c r="U169" i="9"/>
  <c r="AI169" i="9"/>
  <c r="AJ169" i="9" s="1"/>
  <c r="V346" i="5"/>
  <c r="W345" i="5" s="1"/>
  <c r="U346" i="5"/>
  <c r="X345" i="5"/>
  <c r="V646" i="9"/>
  <c r="AI646" i="9"/>
  <c r="AJ646" i="9" s="1"/>
  <c r="U646" i="9"/>
  <c r="U419" i="9"/>
  <c r="AI419" i="9"/>
  <c r="AJ419" i="9" s="1"/>
  <c r="V419" i="9"/>
  <c r="V590" i="9"/>
  <c r="AI553" i="9"/>
  <c r="AJ553" i="9" s="1"/>
  <c r="V553" i="9"/>
  <c r="U553" i="9"/>
  <c r="U192" i="9"/>
  <c r="AI192" i="9"/>
  <c r="AJ192" i="9" s="1"/>
  <c r="V192" i="9"/>
  <c r="AI468" i="9"/>
  <c r="AJ468" i="9" s="1"/>
  <c r="U468" i="9"/>
  <c r="V468" i="9"/>
  <c r="V58" i="9"/>
  <c r="U58" i="9"/>
  <c r="AI58" i="9"/>
  <c r="AN58" i="9" s="1"/>
  <c r="AO58" i="9" s="1"/>
  <c r="AI376" i="9"/>
  <c r="AJ376" i="9" s="1"/>
  <c r="V376" i="9"/>
  <c r="U376" i="9"/>
  <c r="V682" i="9"/>
  <c r="V632" i="9"/>
  <c r="V344" i="9"/>
  <c r="U344" i="9"/>
  <c r="AI344" i="9"/>
  <c r="AJ344" i="9" s="1"/>
  <c r="V579" i="9"/>
  <c r="V629" i="9"/>
  <c r="AI629" i="9"/>
  <c r="AJ629" i="9" s="1"/>
  <c r="U629" i="9"/>
  <c r="V573" i="9"/>
  <c r="V474" i="9"/>
  <c r="AI474" i="9"/>
  <c r="AJ474" i="9" s="1"/>
  <c r="U474" i="9"/>
  <c r="V439" i="9"/>
  <c r="AI439" i="9"/>
  <c r="AJ439" i="9" s="1"/>
  <c r="U439" i="9"/>
  <c r="V633" i="9"/>
  <c r="V360" i="5"/>
  <c r="W359" i="5" s="1"/>
  <c r="U360" i="5"/>
  <c r="X359" i="5"/>
  <c r="V589" i="9"/>
  <c r="AI14" i="9"/>
  <c r="AJ14" i="9" s="1"/>
  <c r="V14" i="9"/>
  <c r="U14" i="9"/>
  <c r="AI658" i="9"/>
  <c r="AJ658" i="9" s="1"/>
  <c r="U658" i="9"/>
  <c r="V658" i="9"/>
  <c r="V666" i="9"/>
  <c r="V552" i="9"/>
  <c r="AI552" i="9"/>
  <c r="AJ552" i="9" s="1"/>
  <c r="U552" i="9"/>
  <c r="AI557" i="9"/>
  <c r="AJ557" i="9" s="1"/>
  <c r="V557" i="9"/>
  <c r="U557" i="9"/>
  <c r="AI598" i="9"/>
  <c r="AJ598" i="9" s="1"/>
  <c r="V598" i="9"/>
  <c r="U598" i="9"/>
  <c r="X355" i="5"/>
  <c r="V356" i="5"/>
  <c r="W355" i="5" s="1"/>
  <c r="U356" i="5"/>
  <c r="AI473" i="9"/>
  <c r="AJ473" i="9" s="1"/>
  <c r="V473" i="9"/>
  <c r="U473" i="9"/>
  <c r="V672" i="9"/>
  <c r="AI672" i="9"/>
  <c r="AJ672" i="9" s="1"/>
  <c r="U672" i="9"/>
  <c r="V655" i="9"/>
  <c r="AI651" i="9"/>
  <c r="AN651" i="9" s="1"/>
  <c r="AO651" i="9" s="1"/>
  <c r="V651" i="9"/>
  <c r="U434" i="9"/>
  <c r="AI434" i="9"/>
  <c r="AJ434" i="9" s="1"/>
  <c r="V434" i="9"/>
  <c r="V581" i="9"/>
  <c r="V685" i="9"/>
  <c r="AI211" i="9"/>
  <c r="AJ211" i="9" s="1"/>
  <c r="V211" i="9"/>
  <c r="U211" i="9"/>
  <c r="V98" i="9"/>
  <c r="AI98" i="9"/>
  <c r="U98" i="9"/>
  <c r="V563" i="9"/>
  <c r="AI418" i="9"/>
  <c r="AJ418" i="9" s="1"/>
  <c r="V418" i="9"/>
  <c r="U418" i="9"/>
  <c r="V171" i="9"/>
  <c r="U171" i="9"/>
  <c r="V374" i="9"/>
  <c r="AI374" i="9"/>
  <c r="AJ374" i="9" s="1"/>
  <c r="U374" i="9"/>
  <c r="AI631" i="9"/>
  <c r="AJ631" i="9" s="1"/>
  <c r="V631" i="9"/>
  <c r="U631" i="9"/>
  <c r="V640" i="9"/>
  <c r="V624" i="9"/>
  <c r="AI624" i="9"/>
  <c r="AJ624" i="9" s="1"/>
  <c r="U624" i="9"/>
  <c r="V602" i="9"/>
  <c r="V657" i="9"/>
  <c r="AI657" i="9"/>
  <c r="AJ657" i="9" s="1"/>
  <c r="U657" i="9"/>
  <c r="AI551" i="9"/>
  <c r="AJ551" i="9" s="1"/>
  <c r="V551" i="9"/>
  <c r="U551" i="9"/>
  <c r="AI644" i="9"/>
  <c r="AJ644" i="9" s="1"/>
  <c r="V644" i="9"/>
  <c r="U644" i="9"/>
  <c r="V680" i="9"/>
  <c r="V561" i="9"/>
  <c r="AI436" i="9"/>
  <c r="AJ436" i="9" s="1"/>
  <c r="V436" i="9"/>
  <c r="U436" i="9"/>
  <c r="V580" i="9"/>
  <c r="V354" i="5"/>
  <c r="W353" i="5" s="1"/>
  <c r="U354" i="5"/>
  <c r="X353" i="5"/>
  <c r="V659" i="9"/>
  <c r="AI659" i="9"/>
  <c r="AJ659" i="9" s="1"/>
  <c r="U659" i="9"/>
  <c r="AI420" i="9"/>
  <c r="AJ420" i="9" s="1"/>
  <c r="V420" i="9"/>
  <c r="U420" i="9"/>
  <c r="V12" i="9"/>
  <c r="AI12" i="9"/>
  <c r="AJ12" i="9" s="1"/>
  <c r="U12" i="9"/>
  <c r="V574" i="9"/>
  <c r="AI595" i="9"/>
  <c r="AJ595" i="9" s="1"/>
  <c r="V595" i="9"/>
  <c r="U595" i="9"/>
  <c r="V673" i="9"/>
  <c r="AI673" i="9"/>
  <c r="AJ673" i="9" s="1"/>
  <c r="U673" i="9"/>
  <c r="V578" i="9"/>
  <c r="V649" i="9"/>
  <c r="AI649" i="9"/>
  <c r="AJ649" i="9" s="1"/>
  <c r="U649" i="9"/>
  <c r="V341" i="9"/>
  <c r="AI341" i="9"/>
  <c r="AJ341" i="9" s="1"/>
  <c r="U341" i="9"/>
  <c r="V585" i="9"/>
  <c r="V191" i="9"/>
  <c r="U191" i="9"/>
  <c r="AI191" i="9"/>
  <c r="AJ191" i="9" s="1"/>
  <c r="U210" i="9"/>
  <c r="AI210" i="9"/>
  <c r="AJ210" i="9" s="1"/>
  <c r="V210" i="9"/>
  <c r="V638" i="9"/>
  <c r="V634" i="9"/>
  <c r="U472" i="9"/>
  <c r="AI472" i="9"/>
  <c r="AJ472" i="9" s="1"/>
  <c r="V472" i="9"/>
  <c r="V60" i="9"/>
  <c r="U60" i="9"/>
  <c r="AI60" i="9"/>
  <c r="AJ60" i="9" s="1"/>
  <c r="V613" i="9"/>
  <c r="AI674" i="9"/>
  <c r="AJ674" i="9" s="1"/>
  <c r="V674" i="9"/>
  <c r="U674" i="9"/>
  <c r="V604" i="9"/>
  <c r="V453" i="9"/>
  <c r="AI453" i="9"/>
  <c r="AJ453" i="9" s="1"/>
  <c r="U453" i="9"/>
  <c r="V641" i="9"/>
  <c r="U475" i="9"/>
  <c r="V475" i="9"/>
  <c r="AI475" i="9"/>
  <c r="AJ475" i="9" s="1"/>
  <c r="AI662" i="9"/>
  <c r="AJ662" i="9" s="1"/>
  <c r="V662" i="9"/>
  <c r="U662" i="9"/>
  <c r="V567" i="9"/>
  <c r="V384" i="9"/>
  <c r="V570" i="9"/>
  <c r="X365" i="5"/>
  <c r="U366" i="5"/>
  <c r="V366" i="5"/>
  <c r="W365" i="5" s="1"/>
  <c r="U554" i="9"/>
  <c r="AI554" i="9"/>
  <c r="AJ554" i="9" s="1"/>
  <c r="V554" i="9"/>
  <c r="AI13" i="9"/>
  <c r="AJ13" i="9" s="1"/>
  <c r="U13" i="9"/>
  <c r="V13" i="9"/>
  <c r="AI373" i="9"/>
  <c r="AJ373" i="9" s="1"/>
  <c r="U373" i="9"/>
  <c r="V373" i="9"/>
  <c r="V454" i="9"/>
  <c r="AI454" i="9"/>
  <c r="AJ454" i="9" s="1"/>
  <c r="U454" i="9"/>
  <c r="AI669" i="9"/>
  <c r="AJ669" i="9" s="1"/>
  <c r="V669" i="9"/>
  <c r="U669" i="9"/>
  <c r="AI417" i="9"/>
  <c r="AJ417" i="9" s="1"/>
  <c r="V417" i="9"/>
  <c r="U417" i="9"/>
  <c r="AI441" i="9"/>
  <c r="AN441" i="9" s="1"/>
  <c r="AO441" i="9" s="1"/>
  <c r="V441" i="9"/>
  <c r="U441" i="9"/>
  <c r="V97" i="9"/>
  <c r="U97" i="9"/>
  <c r="AI97" i="9"/>
  <c r="AJ97" i="9" s="1"/>
  <c r="V59" i="9"/>
  <c r="U59" i="9"/>
  <c r="AI59" i="9"/>
  <c r="AJ59" i="9" s="1"/>
  <c r="U555" i="9"/>
  <c r="AI555" i="9"/>
  <c r="AJ555" i="9" s="1"/>
  <c r="V555" i="9"/>
  <c r="U61" i="9"/>
  <c r="AI61" i="9"/>
  <c r="AJ61" i="9" s="1"/>
  <c r="V61" i="9"/>
  <c r="AI456" i="9"/>
  <c r="AJ456" i="9" s="1"/>
  <c r="U456" i="9"/>
  <c r="V456" i="9"/>
  <c r="V667" i="9"/>
  <c r="V628" i="9"/>
  <c r="AI628" i="9"/>
  <c r="AJ628" i="9" s="1"/>
  <c r="U628" i="9"/>
  <c r="V383" i="9"/>
  <c r="U471" i="9"/>
  <c r="AI471" i="9"/>
  <c r="AJ471" i="9" s="1"/>
  <c r="V471" i="9"/>
  <c r="V455" i="9"/>
  <c r="AI455" i="9"/>
  <c r="AJ455" i="9" s="1"/>
  <c r="U455" i="9"/>
  <c r="V619" i="9"/>
  <c r="V583" i="9"/>
  <c r="AI214" i="9"/>
  <c r="AJ214" i="9" s="1"/>
  <c r="V214" i="9"/>
  <c r="U214" i="9"/>
  <c r="X363" i="5"/>
  <c r="U364" i="5"/>
  <c r="V364" i="5"/>
  <c r="W363" i="5" s="1"/>
  <c r="V611" i="9"/>
  <c r="V635" i="9"/>
  <c r="U470" i="9"/>
  <c r="V470" i="9"/>
  <c r="AI470" i="9"/>
  <c r="AJ470" i="9" s="1"/>
  <c r="V353" i="9"/>
  <c r="U660" i="9"/>
  <c r="AI660" i="9"/>
  <c r="AJ660" i="9" s="1"/>
  <c r="V660" i="9"/>
  <c r="V362" i="5"/>
  <c r="W361" i="5" s="1"/>
  <c r="U362" i="5"/>
  <c r="X361" i="5"/>
  <c r="AI347" i="9"/>
  <c r="AJ347" i="9" s="1"/>
  <c r="V347" i="9"/>
  <c r="AI437" i="9"/>
  <c r="AJ437" i="9" s="1"/>
  <c r="V437" i="9"/>
  <c r="U437" i="9"/>
  <c r="V653" i="9"/>
  <c r="AI147" i="9"/>
  <c r="AJ147" i="9" s="1"/>
  <c r="U147" i="9"/>
  <c r="V147" i="9"/>
  <c r="V608" i="9"/>
  <c r="U167" i="9"/>
  <c r="V167" i="9"/>
  <c r="AI167" i="9"/>
  <c r="U100" i="9"/>
  <c r="V100" i="9"/>
  <c r="AI100" i="9"/>
  <c r="AJ100" i="9" s="1"/>
  <c r="U196" i="9"/>
  <c r="V196" i="9"/>
  <c r="U352" i="5"/>
  <c r="V352" i="5"/>
  <c r="W351" i="5" s="1"/>
  <c r="X351" i="5"/>
  <c r="AI301" i="9"/>
  <c r="AJ301" i="9" s="1"/>
  <c r="V301" i="9"/>
  <c r="U301" i="9"/>
  <c r="V576" i="9"/>
  <c r="V588" i="9"/>
  <c r="AI647" i="9"/>
  <c r="AJ647" i="9" s="1"/>
  <c r="V647" i="9"/>
  <c r="U647" i="9"/>
  <c r="U627" i="9"/>
  <c r="V627" i="9"/>
  <c r="AI627" i="9"/>
  <c r="AJ627" i="9" s="1"/>
  <c r="X357" i="5"/>
  <c r="V358" i="5"/>
  <c r="W357" i="5" s="1"/>
  <c r="U358" i="5"/>
  <c r="V642" i="9"/>
  <c r="V614" i="9"/>
  <c r="V612" i="9"/>
  <c r="V610" i="9"/>
  <c r="U422" i="9"/>
  <c r="AI422" i="9"/>
  <c r="AJ422" i="9" s="1"/>
  <c r="V422" i="9"/>
  <c r="V380" i="9"/>
  <c r="U193" i="9"/>
  <c r="V193" i="9"/>
  <c r="AI193" i="9"/>
  <c r="AJ193" i="9" s="1"/>
  <c r="V421" i="9"/>
  <c r="U421" i="9"/>
  <c r="AI421" i="9"/>
  <c r="AJ421" i="9" s="1"/>
  <c r="V645" i="9"/>
  <c r="U645" i="9"/>
  <c r="AI645" i="9"/>
  <c r="AJ645" i="9" s="1"/>
  <c r="AI194" i="9"/>
  <c r="AN194" i="9" s="1"/>
  <c r="AO194" i="9" s="1"/>
  <c r="V194" i="9"/>
  <c r="U194" i="9"/>
  <c r="AI416" i="9"/>
  <c r="AJ416" i="9" s="1"/>
  <c r="U416" i="9"/>
  <c r="V416" i="9"/>
  <c r="X349" i="5"/>
  <c r="V350" i="5"/>
  <c r="W349" i="5" s="1"/>
  <c r="U350" i="5"/>
  <c r="V435" i="9"/>
  <c r="AI435" i="9"/>
  <c r="AJ435" i="9" s="1"/>
  <c r="U435" i="9"/>
  <c r="AI298" i="9"/>
  <c r="AJ298" i="9" s="1"/>
  <c r="V298" i="9"/>
  <c r="U298" i="9"/>
  <c r="V605" i="9"/>
  <c r="V622" i="9"/>
  <c r="AI469" i="9"/>
  <c r="AJ469" i="9" s="1"/>
  <c r="V469" i="9"/>
  <c r="U469" i="9"/>
  <c r="U626" i="9"/>
  <c r="AI626" i="9"/>
  <c r="AJ626" i="9" s="1"/>
  <c r="V626" i="9"/>
  <c r="AI146" i="9"/>
  <c r="AJ146" i="9" s="1"/>
  <c r="V146" i="9"/>
  <c r="U146" i="9"/>
  <c r="V148" i="9"/>
  <c r="AI148" i="9"/>
  <c r="AJ148" i="9" s="1"/>
  <c r="U148" i="9"/>
  <c r="V593" i="9"/>
  <c r="AI593" i="9"/>
  <c r="AJ593" i="9" s="1"/>
  <c r="U593" i="9"/>
  <c r="AI630" i="9"/>
  <c r="AJ630" i="9" s="1"/>
  <c r="V630" i="9"/>
  <c r="U630" i="9"/>
  <c r="U195" i="9"/>
  <c r="V195" i="9"/>
  <c r="AI195" i="9"/>
  <c r="AJ195" i="9" s="1"/>
  <c r="V636" i="9"/>
  <c r="V597" i="9"/>
  <c r="U597" i="9"/>
  <c r="AI597" i="9"/>
  <c r="AJ597" i="9" s="1"/>
  <c r="V665" i="9"/>
  <c r="AI375" i="9"/>
  <c r="AJ375" i="9" s="1"/>
  <c r="U375" i="9"/>
  <c r="V375" i="9"/>
  <c r="V99" i="9"/>
  <c r="AI99" i="9"/>
  <c r="AJ99" i="9" s="1"/>
  <c r="U99" i="9"/>
  <c r="U675" i="9"/>
  <c r="AI675" i="9"/>
  <c r="AJ675" i="9" s="1"/>
  <c r="V675" i="9"/>
  <c r="V681" i="9"/>
  <c r="V648" i="9"/>
  <c r="U648" i="9"/>
  <c r="AI648" i="9"/>
  <c r="AJ648" i="9" s="1"/>
  <c r="V587" i="9"/>
  <c r="V359" i="9"/>
  <c r="AI350" i="5"/>
  <c r="AJ350" i="5" s="1"/>
  <c r="AI366" i="5"/>
  <c r="AJ366" i="5" s="1"/>
  <c r="AI632" i="9"/>
  <c r="AJ632" i="9" s="1"/>
  <c r="AI677" i="9"/>
  <c r="AJ677" i="9" s="1"/>
  <c r="AI196" i="9"/>
  <c r="AN196" i="9" s="1"/>
  <c r="AO196" i="9" s="1"/>
  <c r="AI364" i="5"/>
  <c r="AJ364" i="5" s="1"/>
  <c r="AI358" i="5"/>
  <c r="AJ358" i="5" s="1"/>
  <c r="AI356" i="5"/>
  <c r="AJ356" i="5" s="1"/>
  <c r="AI354" i="5"/>
  <c r="AJ354" i="5" s="1"/>
  <c r="AI352" i="5"/>
  <c r="AJ352" i="5" s="1"/>
  <c r="AI346" i="5"/>
  <c r="AJ346" i="5" s="1"/>
  <c r="AI360" i="5"/>
  <c r="AJ360" i="5" s="1"/>
  <c r="AI171" i="9"/>
  <c r="AJ171" i="9" s="1"/>
  <c r="AI362" i="5"/>
  <c r="AJ362" i="5" s="1"/>
  <c r="AI348" i="5"/>
  <c r="AJ348" i="5" s="1"/>
  <c r="AI304" i="9"/>
  <c r="AJ304" i="9" s="1"/>
  <c r="V304" i="9"/>
  <c r="AM634" i="9"/>
  <c r="AL635" i="9"/>
  <c r="N441" i="9"/>
  <c r="CF441" i="9"/>
  <c r="K443" i="9"/>
  <c r="L442" i="9"/>
  <c r="AQ427" i="9"/>
  <c r="AR426" i="9"/>
  <c r="AH348" i="9"/>
  <c r="AG349" i="9"/>
  <c r="AM425" i="9"/>
  <c r="AL426" i="9"/>
  <c r="AR305" i="9"/>
  <c r="AQ306" i="9"/>
  <c r="AR632" i="9"/>
  <c r="AQ633" i="9"/>
  <c r="AR443" i="9"/>
  <c r="AQ444" i="9"/>
  <c r="AM476" i="9"/>
  <c r="AL477" i="9"/>
  <c r="CF651" i="9"/>
  <c r="N651" i="9"/>
  <c r="U651" i="9"/>
  <c r="K561" i="9"/>
  <c r="L560" i="9"/>
  <c r="AL602" i="9"/>
  <c r="AM601" i="9"/>
  <c r="AH666" i="9"/>
  <c r="AG667" i="9"/>
  <c r="AH667" i="9" s="1"/>
  <c r="AQ681" i="9"/>
  <c r="AR680" i="9"/>
  <c r="AH653" i="9"/>
  <c r="AG654" i="9"/>
  <c r="AI665" i="9"/>
  <c r="AJ665" i="9" s="1"/>
  <c r="AL679" i="9"/>
  <c r="AM678" i="9"/>
  <c r="AR601" i="9"/>
  <c r="AQ602" i="9"/>
  <c r="N559" i="9"/>
  <c r="CF559" i="9"/>
  <c r="U559" i="9"/>
  <c r="AG679" i="9"/>
  <c r="AH678" i="9"/>
  <c r="AV602" i="9"/>
  <c r="AW601" i="9"/>
  <c r="AV560" i="9"/>
  <c r="AW559" i="9"/>
  <c r="AL666" i="9"/>
  <c r="AM665" i="9"/>
  <c r="U664" i="9"/>
  <c r="N664" i="9"/>
  <c r="CF664" i="9"/>
  <c r="AG560" i="9"/>
  <c r="AH559" i="9"/>
  <c r="AH633" i="9"/>
  <c r="AG634" i="9"/>
  <c r="AW632" i="9"/>
  <c r="AV633" i="9"/>
  <c r="K666" i="9"/>
  <c r="L665" i="9"/>
  <c r="AL561" i="9"/>
  <c r="AM560" i="9"/>
  <c r="AV655" i="9"/>
  <c r="AW655" i="9" s="1"/>
  <c r="AW654" i="9"/>
  <c r="AH602" i="9"/>
  <c r="AG603" i="9"/>
  <c r="AG604" i="9" s="1"/>
  <c r="U600" i="9"/>
  <c r="N600" i="9"/>
  <c r="CF600" i="9"/>
  <c r="AI558" i="9"/>
  <c r="K602" i="9"/>
  <c r="L601" i="9"/>
  <c r="K681" i="9"/>
  <c r="L680" i="9"/>
  <c r="AL654" i="9"/>
  <c r="AM653" i="9"/>
  <c r="U632" i="9"/>
  <c r="N632" i="9"/>
  <c r="CF632" i="9"/>
  <c r="AR665" i="9"/>
  <c r="AQ666" i="9"/>
  <c r="AQ561" i="9"/>
  <c r="AR560" i="9"/>
  <c r="AR654" i="9"/>
  <c r="AQ655" i="9"/>
  <c r="AR655" i="9" s="1"/>
  <c r="AW679" i="9"/>
  <c r="AV680" i="9"/>
  <c r="CF679" i="9"/>
  <c r="U679" i="9"/>
  <c r="N679" i="9"/>
  <c r="K634" i="9"/>
  <c r="L633" i="9"/>
  <c r="K653" i="9"/>
  <c r="L652" i="9"/>
  <c r="K349" i="9"/>
  <c r="L348" i="9"/>
  <c r="AW462" i="9"/>
  <c r="AV463" i="9"/>
  <c r="K478" i="9"/>
  <c r="L477" i="9"/>
  <c r="AM305" i="9"/>
  <c r="AL306" i="9"/>
  <c r="AV306" i="9"/>
  <c r="AW305" i="9"/>
  <c r="U347" i="9"/>
  <c r="CF347" i="9"/>
  <c r="N347" i="9"/>
  <c r="AG426" i="9"/>
  <c r="AH425" i="9"/>
  <c r="AR478" i="9"/>
  <c r="AQ479" i="9"/>
  <c r="N476" i="9"/>
  <c r="CF476" i="9"/>
  <c r="U476" i="9"/>
  <c r="AG306" i="9"/>
  <c r="AH305" i="9"/>
  <c r="AV477" i="9"/>
  <c r="AW476" i="9"/>
  <c r="U304" i="9"/>
  <c r="CF304" i="9"/>
  <c r="N304" i="9"/>
  <c r="AL463" i="9"/>
  <c r="AM462" i="9"/>
  <c r="L305" i="9"/>
  <c r="K306" i="9"/>
  <c r="AV382" i="9"/>
  <c r="AW381" i="9"/>
  <c r="CF380" i="9"/>
  <c r="U380" i="9"/>
  <c r="N380" i="9"/>
  <c r="K426" i="9"/>
  <c r="L425" i="9"/>
  <c r="K382" i="9"/>
  <c r="L381" i="9"/>
  <c r="AH381" i="9"/>
  <c r="AG382" i="9"/>
  <c r="CF424" i="9"/>
  <c r="N424" i="9"/>
  <c r="AW444" i="9"/>
  <c r="AV445" i="9"/>
  <c r="AI380" i="9"/>
  <c r="AJ380" i="9" s="1"/>
  <c r="AH463" i="9"/>
  <c r="AG464" i="9"/>
  <c r="AL349" i="9"/>
  <c r="AM348" i="9"/>
  <c r="AM445" i="9"/>
  <c r="AL446" i="9"/>
  <c r="AQ349" i="9"/>
  <c r="AR348" i="9"/>
  <c r="AH480" i="9"/>
  <c r="AG481" i="9"/>
  <c r="AH443" i="9"/>
  <c r="AG444" i="9"/>
  <c r="AL382" i="9"/>
  <c r="AM381" i="9"/>
  <c r="AQ464" i="9"/>
  <c r="AR463" i="9"/>
  <c r="K462" i="9"/>
  <c r="L461" i="9"/>
  <c r="AQ382" i="9"/>
  <c r="AR381" i="9"/>
  <c r="CF460" i="9"/>
  <c r="N460" i="9"/>
  <c r="AV427" i="9"/>
  <c r="AW426" i="9"/>
  <c r="AV351" i="9"/>
  <c r="AV352" i="9" s="1"/>
  <c r="AW350" i="9"/>
  <c r="V340" i="5"/>
  <c r="V341" i="5"/>
  <c r="N340" i="5"/>
  <c r="N341" i="5"/>
  <c r="AI248" i="9"/>
  <c r="AN248" i="9" s="1"/>
  <c r="AO248" i="9" s="1"/>
  <c r="V248" i="9"/>
  <c r="U248" i="9"/>
  <c r="U251" i="9"/>
  <c r="V251" i="9"/>
  <c r="AI251" i="9"/>
  <c r="AJ251" i="9" s="1"/>
  <c r="U249" i="9"/>
  <c r="AI249" i="9"/>
  <c r="AJ249" i="9" s="1"/>
  <c r="V249" i="9"/>
  <c r="AX264" i="9"/>
  <c r="AY264" i="9" s="1"/>
  <c r="AQ217" i="9"/>
  <c r="AR216" i="9"/>
  <c r="AL155" i="9"/>
  <c r="AM154" i="9"/>
  <c r="AV199" i="9"/>
  <c r="AW198" i="9"/>
  <c r="AG53" i="9"/>
  <c r="AH52" i="9"/>
  <c r="AL104" i="9"/>
  <c r="AM103" i="9"/>
  <c r="AL173" i="9"/>
  <c r="AM172" i="9"/>
  <c r="AG65" i="9"/>
  <c r="AH64" i="9"/>
  <c r="AV217" i="9"/>
  <c r="AW216" i="9"/>
  <c r="AL65" i="9"/>
  <c r="AM64" i="9"/>
  <c r="AQ198" i="9"/>
  <c r="AR197" i="9"/>
  <c r="AV19" i="9"/>
  <c r="AW18" i="9"/>
  <c r="AV65" i="9"/>
  <c r="AW64" i="9"/>
  <c r="AV104" i="9"/>
  <c r="AW103" i="9"/>
  <c r="AV152" i="9"/>
  <c r="AV153" i="9" s="1"/>
  <c r="AW151" i="9"/>
  <c r="AQ20" i="9"/>
  <c r="AR19" i="9"/>
  <c r="AL198" i="9"/>
  <c r="AM197" i="9"/>
  <c r="AQ152" i="9"/>
  <c r="AQ153" i="9" s="1"/>
  <c r="AR151" i="9"/>
  <c r="AV173" i="9"/>
  <c r="AW172" i="9"/>
  <c r="AG152" i="9"/>
  <c r="AG153" i="9" s="1"/>
  <c r="AH151" i="9"/>
  <c r="AQ175" i="9"/>
  <c r="AR174" i="9"/>
  <c r="AQ104" i="9"/>
  <c r="AR103" i="9"/>
  <c r="AQ66" i="9"/>
  <c r="AR65" i="9"/>
  <c r="AG173" i="9"/>
  <c r="AH172" i="9"/>
  <c r="AI172" i="9" s="1"/>
  <c r="AJ172" i="9" s="1"/>
  <c r="AL19" i="9"/>
  <c r="AM18" i="9"/>
  <c r="AL217" i="9"/>
  <c r="AM216" i="9"/>
  <c r="AI63" i="9"/>
  <c r="AJ63" i="9" s="1"/>
  <c r="AI150" i="9"/>
  <c r="AJ150" i="9" s="1"/>
  <c r="AI215" i="9"/>
  <c r="AJ215" i="9" s="1"/>
  <c r="AI17" i="9"/>
  <c r="AJ17" i="9" s="1"/>
  <c r="AI102" i="9"/>
  <c r="AJ102" i="9" s="1"/>
  <c r="AG105" i="9"/>
  <c r="AH104" i="9"/>
  <c r="AG198" i="9"/>
  <c r="AH197" i="9"/>
  <c r="AI197" i="9" s="1"/>
  <c r="AG220" i="9"/>
  <c r="AH219" i="9"/>
  <c r="V63" i="9"/>
  <c r="V172" i="9"/>
  <c r="V150" i="9"/>
  <c r="V197" i="9"/>
  <c r="V215" i="9"/>
  <c r="V17" i="9"/>
  <c r="V102" i="9"/>
  <c r="U63" i="9"/>
  <c r="U172" i="9"/>
  <c r="U150" i="9"/>
  <c r="U197" i="9"/>
  <c r="U215" i="9"/>
  <c r="U17" i="9"/>
  <c r="U102" i="9"/>
  <c r="N150" i="9"/>
  <c r="CF150" i="9"/>
  <c r="N197" i="9"/>
  <c r="CF197" i="9"/>
  <c r="K152" i="9"/>
  <c r="K153" i="9" s="1"/>
  <c r="L151" i="9"/>
  <c r="K199" i="9"/>
  <c r="L198" i="9"/>
  <c r="N215" i="9"/>
  <c r="CF215" i="9"/>
  <c r="K217" i="9"/>
  <c r="L216" i="9"/>
  <c r="N17" i="9"/>
  <c r="CF17" i="9"/>
  <c r="K19" i="9"/>
  <c r="L18" i="9"/>
  <c r="N102" i="9"/>
  <c r="CF102" i="9"/>
  <c r="K104" i="9"/>
  <c r="L103" i="9"/>
  <c r="N63" i="9"/>
  <c r="CF63" i="9"/>
  <c r="K65" i="9"/>
  <c r="L64" i="9"/>
  <c r="N172" i="9"/>
  <c r="CF172" i="9"/>
  <c r="K174" i="9"/>
  <c r="L173" i="9"/>
  <c r="CB337" i="5"/>
  <c r="K25" i="6" a="1"/>
  <c r="F24" i="6" a="1"/>
  <c r="H22" i="6" a="1"/>
  <c r="J25" i="6" a="1"/>
  <c r="G22" i="6" a="1"/>
  <c r="I26" i="6" a="1"/>
  <c r="K24" i="6" a="1"/>
  <c r="F23" i="6" a="1"/>
  <c r="I25" i="6" a="1"/>
  <c r="K23" i="6" a="1"/>
  <c r="F22" i="6" a="1"/>
  <c r="H26" i="6" a="1"/>
  <c r="J24" i="6" a="1"/>
  <c r="H25" i="6" a="1"/>
  <c r="J23" i="6" a="1"/>
  <c r="G26" i="6" a="1"/>
  <c r="I24" i="6" a="1"/>
  <c r="K22" i="6" a="1"/>
  <c r="G25" i="6" a="1"/>
  <c r="I23" i="6" a="1"/>
  <c r="F26" i="6" a="1"/>
  <c r="H24" i="6" a="1"/>
  <c r="J22" i="6" a="1"/>
  <c r="J26" i="6" a="1"/>
  <c r="G23" i="6" a="1"/>
  <c r="G24" i="6" a="1"/>
  <c r="H23" i="6" a="1"/>
  <c r="I22" i="6" a="1"/>
  <c r="K26" i="6" a="1"/>
  <c r="F25" i="6" a="1"/>
  <c r="K18" i="6" a="1"/>
  <c r="G17" i="6" a="1"/>
  <c r="I16" i="6" a="1"/>
  <c r="J18" i="6" a="1"/>
  <c r="L17" i="6" a="1"/>
  <c r="F17" i="6" a="1"/>
  <c r="H16" i="6" a="1"/>
  <c r="I18" i="6" a="1"/>
  <c r="K17" i="6" a="1"/>
  <c r="M16" i="6" a="1"/>
  <c r="H18" i="6" a="1"/>
  <c r="J17" i="6" a="1"/>
  <c r="L16" i="6" a="1"/>
  <c r="F16" i="6" a="1"/>
  <c r="G18" i="6" a="1"/>
  <c r="I17" i="6" a="1"/>
  <c r="K16" i="6" a="1"/>
  <c r="M15" i="6" a="1"/>
  <c r="M18" i="6" a="1"/>
  <c r="M17" i="6" a="1"/>
  <c r="F14" i="6" a="1"/>
  <c r="J13" i="6" a="1"/>
  <c r="L15" i="6" a="1"/>
  <c r="I13" i="6" a="1"/>
  <c r="H17" i="6" a="1"/>
  <c r="K15" i="6" a="1"/>
  <c r="H13" i="6" a="1"/>
  <c r="L12" i="6" a="1"/>
  <c r="K13" i="6" a="1"/>
  <c r="J15" i="6" a="1"/>
  <c r="G13" i="6" a="1"/>
  <c r="K12" i="6" a="1"/>
  <c r="F13" i="6" a="1"/>
  <c r="H14" i="6" a="1"/>
  <c r="I15" i="6" a="1"/>
  <c r="M14" i="6" a="1"/>
  <c r="J12" i="6" a="1"/>
  <c r="H15" i="6" a="1"/>
  <c r="L14" i="6" a="1"/>
  <c r="I12" i="6" a="1"/>
  <c r="H12" i="6" a="1"/>
  <c r="J16" i="6" a="1"/>
  <c r="G15" i="6" a="1"/>
  <c r="K14" i="6" a="1"/>
  <c r="G16" i="6" a="1"/>
  <c r="J14" i="6" a="1"/>
  <c r="G12" i="6" a="1"/>
  <c r="L18" i="6" a="1"/>
  <c r="F15" i="6" a="1"/>
  <c r="I14" i="6" a="1"/>
  <c r="M13" i="6" a="1"/>
  <c r="L13" i="6" a="1"/>
  <c r="F12" i="6" a="1"/>
  <c r="F18" i="6" a="1"/>
  <c r="G14" i="6" a="1"/>
  <c r="M12" i="6" a="1"/>
  <c r="M33" i="4"/>
  <c r="M42" i="4"/>
  <c r="M45" i="4"/>
  <c r="M70" i="4"/>
  <c r="M79" i="4"/>
  <c r="M91" i="4"/>
  <c r="M94" i="4"/>
  <c r="M100" i="4"/>
  <c r="M106" i="4"/>
  <c r="M133" i="4"/>
  <c r="M136" i="4"/>
  <c r="M151" i="4"/>
  <c r="M166" i="4"/>
  <c r="M169" i="4"/>
  <c r="M175" i="4"/>
  <c r="M199" i="4"/>
  <c r="M223" i="4"/>
  <c r="M232" i="4"/>
  <c r="M235" i="4"/>
  <c r="M238" i="4"/>
  <c r="M250" i="4"/>
  <c r="M253" i="4"/>
  <c r="M262" i="4"/>
  <c r="M310" i="4"/>
  <c r="M319" i="4"/>
  <c r="M323" i="4"/>
  <c r="M38" i="4"/>
  <c r="M41" i="4"/>
  <c r="M69" i="4"/>
  <c r="M75" i="4"/>
  <c r="M78" i="4"/>
  <c r="M102" i="4"/>
  <c r="M126" i="4"/>
  <c r="M129" i="4"/>
  <c r="M135" i="4"/>
  <c r="M162" i="4"/>
  <c r="M174" i="4"/>
  <c r="M180" i="4"/>
  <c r="M186" i="4"/>
  <c r="M192" i="4"/>
  <c r="M198" i="4"/>
  <c r="M201" i="4"/>
  <c r="M207" i="4"/>
  <c r="M213" i="4"/>
  <c r="M222" i="4"/>
  <c r="M225" i="4"/>
  <c r="M231" i="4"/>
  <c r="M249" i="4"/>
  <c r="M252" i="4"/>
  <c r="M258" i="4"/>
  <c r="M261" i="4"/>
  <c r="M264" i="4"/>
  <c r="M270" i="4"/>
  <c r="M279" i="4"/>
  <c r="M294" i="4"/>
  <c r="M306" i="4"/>
  <c r="M309" i="4"/>
  <c r="M318" i="4"/>
  <c r="AL51" i="5"/>
  <c r="AM50" i="5"/>
  <c r="AV26" i="5"/>
  <c r="AW25" i="5"/>
  <c r="AQ51" i="5"/>
  <c r="AR50" i="5"/>
  <c r="AV186" i="5"/>
  <c r="AW185" i="5"/>
  <c r="AG198" i="5"/>
  <c r="AH197" i="5"/>
  <c r="AQ204" i="5"/>
  <c r="AR203" i="5"/>
  <c r="AQ228" i="5"/>
  <c r="AR227" i="5"/>
  <c r="AL246" i="5"/>
  <c r="AM245" i="5"/>
  <c r="AL338" i="5"/>
  <c r="AM338" i="5" s="1"/>
  <c r="AM337" i="5"/>
  <c r="AG41" i="5"/>
  <c r="AH40" i="5"/>
  <c r="AL71" i="5"/>
  <c r="AM70" i="5"/>
  <c r="AL105" i="5"/>
  <c r="AM104" i="5"/>
  <c r="AV116" i="5"/>
  <c r="AW115" i="5"/>
  <c r="AG140" i="5"/>
  <c r="AH139" i="5"/>
  <c r="AL286" i="5"/>
  <c r="AM285" i="5"/>
  <c r="AG13" i="5"/>
  <c r="AH12" i="5"/>
  <c r="AQ17" i="5"/>
  <c r="AR16" i="5"/>
  <c r="AG66" i="5"/>
  <c r="AH65" i="5"/>
  <c r="AV76" i="5"/>
  <c r="AW75" i="5"/>
  <c r="AG94" i="5"/>
  <c r="AH93" i="5"/>
  <c r="AQ169" i="5"/>
  <c r="AR168" i="5"/>
  <c r="AL222" i="5"/>
  <c r="AM221" i="5"/>
  <c r="AG240" i="5"/>
  <c r="AH239" i="5"/>
  <c r="AV252" i="5"/>
  <c r="AW251" i="5"/>
  <c r="AG273" i="5"/>
  <c r="AH272" i="5"/>
  <c r="AV301" i="5"/>
  <c r="AW300" i="5"/>
  <c r="AV311" i="5"/>
  <c r="AW311" i="5" s="1"/>
  <c r="AW310" i="5"/>
  <c r="AG316" i="5"/>
  <c r="AH315" i="5"/>
  <c r="AV330" i="5"/>
  <c r="AW329" i="5"/>
  <c r="AV341" i="5"/>
  <c r="AW341" i="5" s="1"/>
  <c r="AW340" i="5"/>
  <c r="AL41" i="5"/>
  <c r="AM40" i="5"/>
  <c r="AV51" i="5"/>
  <c r="AW50" i="5"/>
  <c r="AQ71" i="5"/>
  <c r="AR70" i="5"/>
  <c r="AQ105" i="5"/>
  <c r="AR104" i="5"/>
  <c r="AL140" i="5"/>
  <c r="AM139" i="5"/>
  <c r="AL198" i="5"/>
  <c r="AM197" i="5"/>
  <c r="AV204" i="5"/>
  <c r="AW203" i="5"/>
  <c r="AG216" i="5"/>
  <c r="AH215" i="5"/>
  <c r="AV228" i="5"/>
  <c r="AW227" i="5"/>
  <c r="AQ246" i="5"/>
  <c r="AR245" i="5"/>
  <c r="AQ286" i="5"/>
  <c r="AR285" i="5"/>
  <c r="AQ338" i="5"/>
  <c r="AR338" i="5" s="1"/>
  <c r="AR337" i="5"/>
  <c r="AL17" i="5"/>
  <c r="AM16" i="5"/>
  <c r="AV61" i="5"/>
  <c r="AW60" i="5"/>
  <c r="AQ76" i="5"/>
  <c r="AR75" i="5"/>
  <c r="AV210" i="5"/>
  <c r="AW209" i="5"/>
  <c r="AQ311" i="5"/>
  <c r="AR311" i="5" s="1"/>
  <c r="AR310" i="5"/>
  <c r="AG344" i="5"/>
  <c r="AH344" i="5" s="1"/>
  <c r="AH343" i="5"/>
  <c r="AQ116" i="5"/>
  <c r="AR115" i="5"/>
  <c r="AL169" i="5"/>
  <c r="AM168" i="5"/>
  <c r="AV71" i="5"/>
  <c r="AW70" i="5"/>
  <c r="AV338" i="5"/>
  <c r="AW338" i="5" s="1"/>
  <c r="AW337" i="5"/>
  <c r="AQ341" i="5"/>
  <c r="AR341" i="5" s="1"/>
  <c r="AR340" i="5"/>
  <c r="AQ222" i="5"/>
  <c r="AR221" i="5"/>
  <c r="AL240" i="5"/>
  <c r="AM239" i="5"/>
  <c r="AL273" i="5"/>
  <c r="AM272" i="5"/>
  <c r="AQ13" i="5"/>
  <c r="AR12" i="5"/>
  <c r="AQ41" i="5"/>
  <c r="AR40" i="5"/>
  <c r="AG81" i="5"/>
  <c r="AH80" i="5"/>
  <c r="AL216" i="5"/>
  <c r="AM215" i="5"/>
  <c r="AG258" i="5"/>
  <c r="AH257" i="5"/>
  <c r="AQ301" i="5"/>
  <c r="AR300" i="5"/>
  <c r="AQ330" i="5"/>
  <c r="AR329" i="5"/>
  <c r="AG120" i="5"/>
  <c r="AH119" i="5"/>
  <c r="AV169" i="5"/>
  <c r="AW168" i="5"/>
  <c r="AG192" i="5"/>
  <c r="AH191" i="5"/>
  <c r="AV105" i="5"/>
  <c r="AW104" i="5"/>
  <c r="AQ198" i="5"/>
  <c r="AR197" i="5"/>
  <c r="AG234" i="5"/>
  <c r="AH233" i="5"/>
  <c r="AV246" i="5"/>
  <c r="AW245" i="5"/>
  <c r="AV286" i="5"/>
  <c r="AW285" i="5"/>
  <c r="AL36" i="5"/>
  <c r="AM35" i="5"/>
  <c r="AG61" i="5"/>
  <c r="AH60" i="5"/>
  <c r="AQ66" i="5"/>
  <c r="AR65" i="5"/>
  <c r="AQ94" i="5"/>
  <c r="AR93" i="5"/>
  <c r="AL120" i="5"/>
  <c r="AM119" i="5"/>
  <c r="AL192" i="5"/>
  <c r="AM191" i="5"/>
  <c r="AG210" i="5"/>
  <c r="AH209" i="5"/>
  <c r="AV222" i="5"/>
  <c r="AW221" i="5"/>
  <c r="AQ240" i="5"/>
  <c r="AR239" i="5"/>
  <c r="AQ273" i="5"/>
  <c r="AR272" i="5"/>
  <c r="AQ316" i="5"/>
  <c r="AR315" i="5"/>
  <c r="AL344" i="5"/>
  <c r="AM344" i="5" s="1"/>
  <c r="AM343" i="5"/>
  <c r="AV13" i="5"/>
  <c r="AW12" i="5"/>
  <c r="AG26" i="5"/>
  <c r="AH25" i="5"/>
  <c r="AV41" i="5"/>
  <c r="AW40" i="5"/>
  <c r="AL81" i="5"/>
  <c r="AM80" i="5"/>
  <c r="AG116" i="5"/>
  <c r="AH115" i="5"/>
  <c r="AV140" i="5"/>
  <c r="AW139" i="5"/>
  <c r="AG186" i="5"/>
  <c r="AH185" i="5"/>
  <c r="AV198" i="5"/>
  <c r="AW197" i="5"/>
  <c r="AQ216" i="5"/>
  <c r="AR215" i="5"/>
  <c r="AL234" i="5"/>
  <c r="AM233" i="5"/>
  <c r="AL258" i="5"/>
  <c r="AM257" i="5"/>
  <c r="AQ36" i="5"/>
  <c r="AR35" i="5"/>
  <c r="AL61" i="5"/>
  <c r="AM60" i="5"/>
  <c r="AV66" i="5"/>
  <c r="AW65" i="5"/>
  <c r="AG76" i="5"/>
  <c r="AH75" i="5"/>
  <c r="AV94" i="5"/>
  <c r="AW93" i="5"/>
  <c r="AQ120" i="5"/>
  <c r="AR119" i="5"/>
  <c r="AQ192" i="5"/>
  <c r="AR191" i="5"/>
  <c r="AL210" i="5"/>
  <c r="AM209" i="5"/>
  <c r="AV240" i="5"/>
  <c r="AW239" i="5"/>
  <c r="AG252" i="5"/>
  <c r="AH251" i="5"/>
  <c r="AV273" i="5"/>
  <c r="AW272" i="5"/>
  <c r="AG301" i="5"/>
  <c r="AH300" i="5"/>
  <c r="AG311" i="5"/>
  <c r="AH311" i="5" s="1"/>
  <c r="AH310" i="5"/>
  <c r="AV316" i="5"/>
  <c r="AW315" i="5"/>
  <c r="AG330" i="5"/>
  <c r="AH329" i="5"/>
  <c r="AG341" i="5"/>
  <c r="AH341" i="5" s="1"/>
  <c r="AI341" i="5" s="1"/>
  <c r="AJ341" i="5" s="1"/>
  <c r="AH340" i="5"/>
  <c r="AI340" i="5" s="1"/>
  <c r="AJ340" i="5" s="1"/>
  <c r="AQ344" i="5"/>
  <c r="AR344" i="5" s="1"/>
  <c r="AR343" i="5"/>
  <c r="AL13" i="5"/>
  <c r="AM12" i="5"/>
  <c r="AG36" i="5"/>
  <c r="AH35" i="5"/>
  <c r="AL66" i="5"/>
  <c r="AM65" i="5"/>
  <c r="AL94" i="5"/>
  <c r="AM93" i="5"/>
  <c r="AG51" i="5"/>
  <c r="AH50" i="5"/>
  <c r="AL186" i="5"/>
  <c r="AM185" i="5"/>
  <c r="AL204" i="5"/>
  <c r="AM203" i="5"/>
  <c r="AG222" i="5"/>
  <c r="AH221" i="5"/>
  <c r="AQ252" i="5"/>
  <c r="AR251" i="5"/>
  <c r="AV17" i="5"/>
  <c r="AW16" i="5"/>
  <c r="AL316" i="5"/>
  <c r="AM315" i="5"/>
  <c r="AQ140" i="5"/>
  <c r="AR139" i="5"/>
  <c r="AL26" i="5"/>
  <c r="AM25" i="5"/>
  <c r="AQ81" i="5"/>
  <c r="AR80" i="5"/>
  <c r="AL116" i="5"/>
  <c r="AM115" i="5"/>
  <c r="AG204" i="5"/>
  <c r="AH203" i="5"/>
  <c r="AV216" i="5"/>
  <c r="AW215" i="5"/>
  <c r="AG228" i="5"/>
  <c r="AH227" i="5"/>
  <c r="AQ234" i="5"/>
  <c r="AR233" i="5"/>
  <c r="AQ258" i="5"/>
  <c r="AR257" i="5"/>
  <c r="AG17" i="5"/>
  <c r="AH16" i="5"/>
  <c r="AV36" i="5"/>
  <c r="AW35" i="5"/>
  <c r="AQ61" i="5"/>
  <c r="AR60" i="5"/>
  <c r="AL76" i="5"/>
  <c r="AM75" i="5"/>
  <c r="AV120" i="5"/>
  <c r="AW119" i="5"/>
  <c r="AG169" i="5"/>
  <c r="AH168" i="5"/>
  <c r="AV192" i="5"/>
  <c r="AW191" i="5"/>
  <c r="AQ210" i="5"/>
  <c r="AR209" i="5"/>
  <c r="AL252" i="5"/>
  <c r="AM251" i="5"/>
  <c r="AL301" i="5"/>
  <c r="AM300" i="5"/>
  <c r="AL311" i="5"/>
  <c r="AM311" i="5" s="1"/>
  <c r="AM310" i="5"/>
  <c r="AL330" i="5"/>
  <c r="AM329" i="5"/>
  <c r="AL341" i="5"/>
  <c r="AM341" i="5" s="1"/>
  <c r="AM340" i="5"/>
  <c r="AV344" i="5"/>
  <c r="AW344" i="5" s="1"/>
  <c r="AW343" i="5"/>
  <c r="AQ26" i="5"/>
  <c r="AR25" i="5"/>
  <c r="AG71" i="5"/>
  <c r="AH70" i="5"/>
  <c r="AV81" i="5"/>
  <c r="AW80" i="5"/>
  <c r="AG105" i="5"/>
  <c r="AH104" i="5"/>
  <c r="AQ186" i="5"/>
  <c r="AR185" i="5"/>
  <c r="AL228" i="5"/>
  <c r="AM227" i="5"/>
  <c r="AV234" i="5"/>
  <c r="AW233" i="5"/>
  <c r="AG246" i="5"/>
  <c r="AH245" i="5"/>
  <c r="AV258" i="5"/>
  <c r="AW257" i="5"/>
  <c r="AG286" i="5"/>
  <c r="AH285" i="5"/>
  <c r="AG338" i="5"/>
  <c r="AH338" i="5" s="1"/>
  <c r="AH337" i="5"/>
  <c r="CB269" i="5"/>
  <c r="CB53" i="5"/>
  <c r="CB67" i="5"/>
  <c r="CB62" i="5"/>
  <c r="CB218" i="5"/>
  <c r="CB22" i="5"/>
  <c r="CB182" i="5"/>
  <c r="CB155" i="5"/>
  <c r="CB129" i="5"/>
  <c r="CB258" i="5"/>
  <c r="CB206" i="5"/>
  <c r="CB161" i="5"/>
  <c r="CB71" i="5"/>
  <c r="CB133" i="5"/>
  <c r="CB40" i="5"/>
  <c r="CB173" i="5"/>
  <c r="CB35" i="5"/>
  <c r="CB51" i="5"/>
  <c r="CB152" i="5"/>
  <c r="CB170" i="5"/>
  <c r="CB209" i="5"/>
  <c r="CB63" i="5"/>
  <c r="X339" i="5"/>
  <c r="CB81" i="5"/>
  <c r="CB94" i="5"/>
  <c r="CB27" i="5"/>
  <c r="CB30" i="5"/>
  <c r="CB77" i="5"/>
  <c r="CB90" i="5"/>
  <c r="CB32" i="5"/>
  <c r="CB50" i="5"/>
  <c r="CB123" i="5"/>
  <c r="CB142" i="5"/>
  <c r="N234" i="5"/>
  <c r="N300" i="5"/>
  <c r="L112" i="5"/>
  <c r="CB112" i="5" s="1"/>
  <c r="N297" i="5"/>
  <c r="N84" i="5"/>
  <c r="N293" i="5"/>
  <c r="N222" i="5"/>
  <c r="CB338" i="5"/>
  <c r="N289" i="5"/>
  <c r="N101" i="5"/>
  <c r="U341" i="5"/>
  <c r="N287" i="5"/>
  <c r="CB227" i="5"/>
  <c r="N88" i="5"/>
  <c r="N245" i="5"/>
  <c r="N291" i="5"/>
  <c r="N164" i="5"/>
  <c r="N233" i="5"/>
  <c r="N216" i="5"/>
  <c r="N95" i="5"/>
  <c r="N211" i="5"/>
  <c r="CB122" i="5"/>
  <c r="CB193" i="5"/>
  <c r="N98" i="5"/>
  <c r="N187" i="5"/>
  <c r="N329" i="5"/>
  <c r="N96" i="5"/>
  <c r="N204" i="5"/>
  <c r="N295" i="5"/>
  <c r="N292" i="5"/>
  <c r="U340" i="5"/>
  <c r="N113" i="5"/>
  <c r="CB144" i="5"/>
  <c r="CB215" i="5"/>
  <c r="N192" i="5"/>
  <c r="N89" i="5"/>
  <c r="N315" i="5"/>
  <c r="CB291" i="5"/>
  <c r="N301" i="5"/>
  <c r="N253" i="5"/>
  <c r="N290" i="5"/>
  <c r="N285" i="5"/>
  <c r="N165" i="5"/>
  <c r="N288" i="5"/>
  <c r="N246" i="5"/>
  <c r="N294" i="5"/>
  <c r="N239" i="5"/>
  <c r="N296" i="5"/>
  <c r="CB296" i="5"/>
  <c r="N217" i="5"/>
  <c r="N185" i="5"/>
  <c r="N330" i="5"/>
  <c r="N251" i="5"/>
  <c r="CB113" i="5"/>
  <c r="N316" i="5"/>
  <c r="N97" i="5"/>
  <c r="N241" i="5"/>
  <c r="L106" i="5"/>
  <c r="CB106" i="5" s="1"/>
  <c r="N210" i="5"/>
  <c r="CB254" i="5"/>
  <c r="CB260" i="5"/>
  <c r="CB56" i="5"/>
  <c r="CB149" i="5"/>
  <c r="CB163" i="5"/>
  <c r="CB178" i="5"/>
  <c r="CB240" i="5"/>
  <c r="CB100" i="5"/>
  <c r="CB257" i="5"/>
  <c r="CB16" i="5"/>
  <c r="CB185" i="5"/>
  <c r="CB139" i="5"/>
  <c r="CB179" i="5"/>
  <c r="CB217" i="5"/>
  <c r="CB262" i="5"/>
  <c r="CB29" i="5"/>
  <c r="CB31" i="5"/>
  <c r="CB246" i="5"/>
  <c r="CB294" i="5"/>
  <c r="CB136" i="5"/>
  <c r="CB239" i="5"/>
  <c r="CB76" i="5"/>
  <c r="CB87" i="5"/>
  <c r="CB145" i="5"/>
  <c r="CB165" i="5"/>
  <c r="CB151" i="5"/>
  <c r="CB65" i="5"/>
  <c r="L107" i="5"/>
  <c r="CB153" i="5"/>
  <c r="CB21" i="5"/>
  <c r="CB234" i="5"/>
  <c r="CB159" i="5"/>
  <c r="L111" i="5"/>
  <c r="L108" i="5"/>
  <c r="CB343" i="5"/>
  <c r="CB132" i="5"/>
  <c r="CB175" i="5"/>
  <c r="CB97" i="5"/>
  <c r="CB99" i="5"/>
  <c r="CB174" i="5"/>
  <c r="CB82" i="5"/>
  <c r="CB176" i="5"/>
  <c r="CB192" i="5"/>
  <c r="L109" i="5"/>
  <c r="CB85" i="5"/>
  <c r="CB180" i="5"/>
  <c r="CB104" i="5"/>
  <c r="CB127" i="5"/>
  <c r="CB154" i="5"/>
  <c r="CB295" i="5"/>
  <c r="L105" i="5"/>
  <c r="CB19" i="5"/>
  <c r="CB211" i="5"/>
  <c r="CB130" i="5"/>
  <c r="CB131" i="5"/>
  <c r="CB37" i="5"/>
  <c r="CB54" i="5"/>
  <c r="CB119" i="5"/>
  <c r="CB148" i="5"/>
  <c r="CB204" i="5"/>
  <c r="CB222" i="5"/>
  <c r="CB252" i="5"/>
  <c r="CB267" i="5"/>
  <c r="CB80" i="5"/>
  <c r="CB186" i="5"/>
  <c r="CB340" i="5"/>
  <c r="CB156" i="5"/>
  <c r="CB187" i="5"/>
  <c r="CB341" i="5"/>
  <c r="CB158" i="5"/>
  <c r="CB17" i="5"/>
  <c r="CB135" i="5"/>
  <c r="CB169" i="5"/>
  <c r="L110" i="5"/>
  <c r="CB28" i="5"/>
  <c r="CB60" i="5"/>
  <c r="CB216" i="5"/>
  <c r="CB221" i="5"/>
  <c r="CB286" i="5"/>
  <c r="CB25" i="5"/>
  <c r="CB143" i="5"/>
  <c r="CB241" i="5"/>
  <c r="CB160" i="5"/>
  <c r="CB121" i="5"/>
  <c r="CB212" i="5"/>
  <c r="CB157" i="5"/>
  <c r="CB18" i="5"/>
  <c r="CB96" i="5"/>
  <c r="CB126" i="5"/>
  <c r="CB203" i="5"/>
  <c r="CB233" i="5"/>
  <c r="CB253" i="5"/>
  <c r="CB300" i="5"/>
  <c r="CB248" i="5"/>
  <c r="CB26" i="5"/>
  <c r="CB128" i="5"/>
  <c r="CB146" i="5"/>
  <c r="CB191" i="5"/>
  <c r="CB205" i="5"/>
  <c r="CB242" i="5"/>
  <c r="CB261" i="5"/>
  <c r="CB297" i="5"/>
  <c r="CB162" i="5"/>
  <c r="CB168" i="5"/>
  <c r="CB188" i="5"/>
  <c r="CB223" i="5"/>
  <c r="CB264" i="5"/>
  <c r="CB285" i="5"/>
  <c r="CB197" i="5"/>
  <c r="CB52" i="5"/>
  <c r="CB101" i="5"/>
  <c r="CB194" i="5"/>
  <c r="CB224" i="5"/>
  <c r="CB265" i="5"/>
  <c r="CB330" i="5"/>
  <c r="CB83" i="5"/>
  <c r="CB266" i="5"/>
  <c r="CB287" i="5"/>
  <c r="CB36" i="5"/>
  <c r="CB61" i="5"/>
  <c r="CB66" i="5"/>
  <c r="CB84" i="5"/>
  <c r="CB115" i="5"/>
  <c r="CB120" i="5"/>
  <c r="CB172" i="5"/>
  <c r="CB289" i="5"/>
  <c r="CB116" i="5"/>
  <c r="CB140" i="5"/>
  <c r="CB268" i="5"/>
  <c r="CB290" i="5"/>
  <c r="CB315" i="5"/>
  <c r="CB124" i="5"/>
  <c r="CB86" i="5"/>
  <c r="CB141" i="5"/>
  <c r="CB316" i="5"/>
  <c r="CB177" i="5"/>
  <c r="CB288" i="5"/>
  <c r="CB88" i="5"/>
  <c r="CB93" i="5"/>
  <c r="CB235" i="5"/>
  <c r="CB245" i="5"/>
  <c r="L12" i="5"/>
  <c r="K13" i="5"/>
  <c r="CB20" i="5"/>
  <c r="CB150" i="5"/>
  <c r="CB236" i="5"/>
  <c r="CB251" i="5"/>
  <c r="K274" i="5"/>
  <c r="L273" i="5"/>
  <c r="CB134" i="5"/>
  <c r="CB247" i="5"/>
  <c r="K229" i="5"/>
  <c r="L228" i="5"/>
  <c r="CB164" i="5"/>
  <c r="CB181" i="5"/>
  <c r="CB55" i="5"/>
  <c r="CB70" i="5"/>
  <c r="CB75" i="5"/>
  <c r="CB259" i="5"/>
  <c r="CB293" i="5"/>
  <c r="CB125" i="5"/>
  <c r="CB171" i="5"/>
  <c r="CB147" i="5"/>
  <c r="CB57" i="5"/>
  <c r="CB72" i="5"/>
  <c r="K199" i="5"/>
  <c r="L198" i="5"/>
  <c r="CB210" i="5"/>
  <c r="CB263" i="5"/>
  <c r="CB310" i="5"/>
  <c r="K42" i="5"/>
  <c r="L41" i="5"/>
  <c r="G5" i="4" a="1"/>
  <c r="O14" i="4" a="1"/>
  <c r="L14" i="4" a="1"/>
  <c r="Q15" i="4" a="1"/>
  <c r="O15" i="4" a="1"/>
  <c r="H6" i="4" a="1"/>
  <c r="H5" i="4" a="1"/>
  <c r="G7" i="4" a="1"/>
  <c r="H7" i="4" a="1"/>
  <c r="N14" i="4" a="1"/>
  <c r="P15" i="4" a="1"/>
  <c r="P14" i="4" a="1"/>
  <c r="R15" i="4" a="1"/>
  <c r="M46" i="4"/>
  <c r="Q14" i="4" a="1"/>
  <c r="F14" i="4" a="1"/>
  <c r="R14" i="4" a="1"/>
  <c r="G14" i="4" a="1"/>
  <c r="F15" i="4" a="1"/>
  <c r="H14" i="4" a="1"/>
  <c r="H15" i="4" a="1"/>
  <c r="I14" i="4" a="1"/>
  <c r="I15" i="4" a="1"/>
  <c r="J14" i="4" a="1"/>
  <c r="J15" i="4" a="1"/>
  <c r="K14" i="4" a="1"/>
  <c r="K15" i="4" a="1"/>
  <c r="M15" i="4" a="1"/>
  <c r="N15" i="4" a="1"/>
  <c r="M14" i="4" a="1"/>
  <c r="M83" i="4"/>
  <c r="M104" i="4"/>
  <c r="M146" i="4"/>
  <c r="M167" i="4"/>
  <c r="M193" i="4"/>
  <c r="M217" i="4"/>
  <c r="M233" i="4"/>
  <c r="M254" i="4"/>
  <c r="M302" i="4"/>
  <c r="M128" i="4"/>
  <c r="M188" i="4"/>
  <c r="M196" i="4"/>
  <c r="M212" i="4"/>
  <c r="M220" i="4"/>
  <c r="M241" i="4"/>
  <c r="M257" i="4"/>
  <c r="M278" i="4"/>
  <c r="M305" i="4"/>
  <c r="M31" i="4"/>
  <c r="M49" i="4"/>
  <c r="M107" i="4"/>
  <c r="M110" i="4"/>
  <c r="M115" i="4"/>
  <c r="M123" i="4"/>
  <c r="M141" i="4"/>
  <c r="M149" i="4"/>
  <c r="M154" i="4"/>
  <c r="M170" i="4"/>
  <c r="M183" i="4"/>
  <c r="M204" i="4"/>
  <c r="M228" i="4"/>
  <c r="M236" i="4"/>
  <c r="M244" i="4"/>
  <c r="M265" i="4"/>
  <c r="M273" i="4"/>
  <c r="M281" i="4"/>
  <c r="M289" i="4"/>
  <c r="M297" i="4"/>
  <c r="M313" i="4"/>
  <c r="M321" i="4"/>
  <c r="M36" i="4"/>
  <c r="M44" i="4"/>
  <c r="M57" i="4"/>
  <c r="M73" i="4"/>
  <c r="M81" i="4"/>
  <c r="M89" i="4"/>
  <c r="M131" i="4"/>
  <c r="M157" i="4"/>
  <c r="M165" i="4"/>
  <c r="M173" i="4"/>
  <c r="M178" i="4"/>
  <c r="M191" i="4"/>
  <c r="M215" i="4"/>
  <c r="M260" i="4"/>
  <c r="M268" i="4"/>
  <c r="M284" i="4"/>
  <c r="M292" i="4"/>
  <c r="M308" i="4"/>
  <c r="M316" i="4"/>
  <c r="M39" i="4"/>
  <c r="M76" i="4"/>
  <c r="M97" i="4"/>
  <c r="M113" i="4"/>
  <c r="M152" i="4"/>
  <c r="M160" i="4"/>
  <c r="M194" i="4"/>
  <c r="M210" i="4"/>
  <c r="M218" i="4"/>
  <c r="M239" i="4"/>
  <c r="M247" i="4"/>
  <c r="M276" i="4"/>
  <c r="M300" i="4"/>
  <c r="M324" i="4"/>
  <c r="G15" i="4" a="1"/>
  <c r="M34" i="4"/>
  <c r="M71" i="4"/>
  <c r="M84" i="4"/>
  <c r="M92" i="4"/>
  <c r="M105" i="4"/>
  <c r="M121" i="4"/>
  <c r="M134" i="4"/>
  <c r="M139" i="4"/>
  <c r="M147" i="4"/>
  <c r="M168" i="4"/>
  <c r="M176" i="4"/>
  <c r="M181" i="4"/>
  <c r="M197" i="4"/>
  <c r="M202" i="4"/>
  <c r="M221" i="4"/>
  <c r="M226" i="4"/>
  <c r="M234" i="4"/>
  <c r="M242" i="4"/>
  <c r="M255" i="4"/>
  <c r="M263" i="4"/>
  <c r="M271" i="4"/>
  <c r="M287" i="4"/>
  <c r="M295" i="4"/>
  <c r="M303" i="4"/>
  <c r="M311" i="4"/>
  <c r="M108" i="4"/>
  <c r="M116" i="4"/>
  <c r="M155" i="4"/>
  <c r="M205" i="4"/>
  <c r="M229" i="4"/>
  <c r="M245" i="4"/>
  <c r="M266" i="4"/>
  <c r="M290" i="4"/>
  <c r="M314" i="4"/>
  <c r="M32" i="4"/>
  <c r="M37" i="4"/>
  <c r="M50" i="4"/>
  <c r="M53" i="4"/>
  <c r="M74" i="4"/>
  <c r="M95" i="4"/>
  <c r="M111" i="4"/>
  <c r="M124" i="4"/>
  <c r="M137" i="4"/>
  <c r="M142" i="4"/>
  <c r="M150" i="4"/>
  <c r="M158" i="4"/>
  <c r="M171" i="4"/>
  <c r="M179" i="4"/>
  <c r="M184" i="4"/>
  <c r="M200" i="4"/>
  <c r="M208" i="4"/>
  <c r="M224" i="4"/>
  <c r="M237" i="4"/>
  <c r="M269" i="4"/>
  <c r="M274" i="4"/>
  <c r="M282" i="4"/>
  <c r="M293" i="4"/>
  <c r="M298" i="4"/>
  <c r="M317" i="4"/>
  <c r="M322" i="4"/>
  <c r="M40" i="4"/>
  <c r="M77" i="4"/>
  <c r="M98" i="4"/>
  <c r="M119" i="4"/>
  <c r="M145" i="4"/>
  <c r="M161" i="4"/>
  <c r="M216" i="4"/>
  <c r="M248" i="4"/>
  <c r="M301" i="4"/>
  <c r="M325" i="4"/>
  <c r="M85" i="4"/>
  <c r="M114" i="4"/>
  <c r="M122" i="4"/>
  <c r="M127" i="4"/>
  <c r="M140" i="4"/>
  <c r="M153" i="4"/>
  <c r="M182" i="4"/>
  <c r="M187" i="4"/>
  <c r="M195" i="4"/>
  <c r="M203" i="4"/>
  <c r="M211" i="4"/>
  <c r="M219" i="4"/>
  <c r="M227" i="4"/>
  <c r="M240" i="4"/>
  <c r="M256" i="4"/>
  <c r="M272" i="4"/>
  <c r="M277" i="4"/>
  <c r="M296" i="4"/>
  <c r="M304" i="4"/>
  <c r="M320" i="4"/>
  <c r="L15" i="4" a="1"/>
  <c r="M30" i="4"/>
  <c r="M35" i="4"/>
  <c r="M43" i="4"/>
  <c r="M48" i="4"/>
  <c r="M72" i="4"/>
  <c r="M80" i="4"/>
  <c r="M101" i="4"/>
  <c r="M109" i="4"/>
  <c r="M164" i="4"/>
  <c r="M206" i="4"/>
  <c r="M230" i="4"/>
  <c r="M243" i="4"/>
  <c r="M251" i="4"/>
  <c r="M280" i="4"/>
  <c r="M312" i="4"/>
  <c r="M51" i="4"/>
  <c r="M56" i="4"/>
  <c r="M88" i="4"/>
  <c r="M117" i="4"/>
  <c r="M125" i="4"/>
  <c r="M130" i="4"/>
  <c r="M143" i="4"/>
  <c r="M156" i="4"/>
  <c r="M172" i="4"/>
  <c r="M185" i="4"/>
  <c r="M190" i="4"/>
  <c r="M209" i="4"/>
  <c r="M214" i="4"/>
  <c r="M246" i="4"/>
  <c r="M259" i="4"/>
  <c r="M267" i="4"/>
  <c r="M275" i="4"/>
  <c r="M283" i="4"/>
  <c r="M291" i="4"/>
  <c r="M299" i="4"/>
  <c r="M307" i="4"/>
  <c r="M315" i="4"/>
  <c r="E8" i="4"/>
  <c r="F8" i="4"/>
  <c r="E4" i="2" s="1"/>
  <c r="M52" i="4"/>
  <c r="M86" i="4"/>
  <c r="G6" i="4" a="1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4" i="2"/>
  <c r="AJ600" i="9" l="1"/>
  <c r="W603" i="9"/>
  <c r="W656" i="9"/>
  <c r="AJ98" i="9"/>
  <c r="AN98" i="9"/>
  <c r="AJ167" i="9"/>
  <c r="AN167" i="9"/>
  <c r="AN626" i="9"/>
  <c r="AO626" i="9" s="1"/>
  <c r="AJ441" i="9"/>
  <c r="AN555" i="9"/>
  <c r="AO555" i="9" s="1"/>
  <c r="AN342" i="9"/>
  <c r="AS342" i="9" s="1"/>
  <c r="AT342" i="9" s="1"/>
  <c r="AS441" i="9"/>
  <c r="AT441" i="9" s="1"/>
  <c r="AN474" i="9"/>
  <c r="AO474" i="9" s="1"/>
  <c r="AN472" i="9"/>
  <c r="AO472" i="9" s="1"/>
  <c r="AN632" i="9"/>
  <c r="AO632" i="9" s="1"/>
  <c r="AN377" i="9"/>
  <c r="AO377" i="9" s="1"/>
  <c r="AN599" i="9"/>
  <c r="AS599" i="9" s="1"/>
  <c r="AT599" i="9" s="1"/>
  <c r="AN301" i="9"/>
  <c r="AO301" i="9" s="1"/>
  <c r="AN625" i="9"/>
  <c r="AO625" i="9" s="1"/>
  <c r="AN670" i="9"/>
  <c r="AO670" i="9" s="1"/>
  <c r="AN648" i="9"/>
  <c r="AO648" i="9" s="1"/>
  <c r="AN213" i="9"/>
  <c r="AO213" i="9" s="1"/>
  <c r="AN344" i="9"/>
  <c r="AO344" i="9" s="1"/>
  <c r="AN671" i="9"/>
  <c r="AO671" i="9" s="1"/>
  <c r="AN374" i="9"/>
  <c r="AO374" i="9" s="1"/>
  <c r="AN475" i="9"/>
  <c r="AO475" i="9" s="1"/>
  <c r="AN100" i="9"/>
  <c r="AO100" i="9" s="1"/>
  <c r="AN418" i="9"/>
  <c r="AO418" i="9" s="1"/>
  <c r="AN146" i="9"/>
  <c r="AS146" i="9" s="1"/>
  <c r="AT146" i="9" s="1"/>
  <c r="AN62" i="9"/>
  <c r="AO62" i="9" s="1"/>
  <c r="AN675" i="9"/>
  <c r="AO675" i="9" s="1"/>
  <c r="AN436" i="9"/>
  <c r="AO436" i="9" s="1"/>
  <c r="AN630" i="9"/>
  <c r="AO630" i="9" s="1"/>
  <c r="AN299" i="9"/>
  <c r="AO299" i="9" s="1"/>
  <c r="AN419" i="9"/>
  <c r="AO419" i="9" s="1"/>
  <c r="AN649" i="9"/>
  <c r="AO649" i="9" s="1"/>
  <c r="AN145" i="9"/>
  <c r="AO145" i="9" s="1"/>
  <c r="AN468" i="9"/>
  <c r="AO468" i="9" s="1"/>
  <c r="AN168" i="9"/>
  <c r="AO168" i="9" s="1"/>
  <c r="AN469" i="9"/>
  <c r="AO469" i="9" s="1"/>
  <c r="AN169" i="9"/>
  <c r="AO169" i="9" s="1"/>
  <c r="AN302" i="9"/>
  <c r="AO302" i="9" s="1"/>
  <c r="AN191" i="9"/>
  <c r="AS191" i="9" s="1"/>
  <c r="AT191" i="9" s="1"/>
  <c r="AJ303" i="9"/>
  <c r="AN366" i="5"/>
  <c r="AO366" i="5" s="1"/>
  <c r="AN148" i="9"/>
  <c r="AO148" i="9" s="1"/>
  <c r="AN677" i="9"/>
  <c r="AO677" i="9" s="1"/>
  <c r="AN170" i="9"/>
  <c r="AO170" i="9" s="1"/>
  <c r="AN650" i="9"/>
  <c r="AO650" i="9" s="1"/>
  <c r="AN557" i="9"/>
  <c r="AO557" i="9" s="1"/>
  <c r="AN364" i="5"/>
  <c r="AO364" i="5" s="1"/>
  <c r="AN101" i="9"/>
  <c r="AO101" i="9" s="1"/>
  <c r="AN214" i="9"/>
  <c r="AO214" i="9" s="1"/>
  <c r="AN422" i="9"/>
  <c r="AO422" i="9" s="1"/>
  <c r="AJ194" i="9"/>
  <c r="AN99" i="9"/>
  <c r="AO99" i="9" s="1"/>
  <c r="AN598" i="9"/>
  <c r="AO598" i="9" s="1"/>
  <c r="AN59" i="9"/>
  <c r="AS59" i="9" s="1"/>
  <c r="AT59" i="9" s="1"/>
  <c r="AN341" i="9"/>
  <c r="AS341" i="9" s="1"/>
  <c r="AT341" i="9" s="1"/>
  <c r="AS664" i="9"/>
  <c r="AX664" i="9" s="1"/>
  <c r="AY664" i="9" s="1"/>
  <c r="W571" i="9"/>
  <c r="AN298" i="9"/>
  <c r="AO298" i="9" s="1"/>
  <c r="W609" i="9"/>
  <c r="AS651" i="9"/>
  <c r="AT651" i="9" s="1"/>
  <c r="AN346" i="9"/>
  <c r="AO346" i="9" s="1"/>
  <c r="AN477" i="9"/>
  <c r="AS477" i="9" s="1"/>
  <c r="AT477" i="9" s="1"/>
  <c r="AN439" i="9"/>
  <c r="AO439" i="9" s="1"/>
  <c r="AN476" i="9"/>
  <c r="AO476" i="9" s="1"/>
  <c r="AN15" i="9"/>
  <c r="AO15" i="9" s="1"/>
  <c r="AN437" i="9"/>
  <c r="AO437" i="9" s="1"/>
  <c r="AN646" i="9"/>
  <c r="AO646" i="9" s="1"/>
  <c r="AN350" i="5"/>
  <c r="AO350" i="5" s="1"/>
  <c r="AN661" i="9"/>
  <c r="AO661" i="9" s="1"/>
  <c r="W617" i="9"/>
  <c r="AN473" i="9"/>
  <c r="AO473" i="9" s="1"/>
  <c r="AN556" i="9"/>
  <c r="AO556" i="9" s="1"/>
  <c r="AN348" i="5"/>
  <c r="AO348" i="5" s="1"/>
  <c r="AN360" i="5"/>
  <c r="AO360" i="5" s="1"/>
  <c r="AN212" i="9"/>
  <c r="AO212" i="9" s="1"/>
  <c r="AN345" i="9"/>
  <c r="AO345" i="9" s="1"/>
  <c r="AN356" i="5"/>
  <c r="AO356" i="5" s="1"/>
  <c r="AN193" i="9"/>
  <c r="AO193" i="9" s="1"/>
  <c r="AN420" i="9"/>
  <c r="AO420" i="9" s="1"/>
  <c r="AS303" i="9"/>
  <c r="AT303" i="9" s="1"/>
  <c r="W668" i="9"/>
  <c r="AN358" i="5"/>
  <c r="AO358" i="5" s="1"/>
  <c r="AN97" i="9"/>
  <c r="AO97" i="9" s="1"/>
  <c r="AN676" i="9"/>
  <c r="AO676" i="9" s="1"/>
  <c r="AN195" i="9"/>
  <c r="AO195" i="9" s="1"/>
  <c r="AN166" i="9"/>
  <c r="AO166" i="9" s="1"/>
  <c r="AN60" i="9"/>
  <c r="AO60" i="9" s="1"/>
  <c r="AN455" i="9"/>
  <c r="AO455" i="9" s="1"/>
  <c r="AN551" i="9"/>
  <c r="AS551" i="9" s="1"/>
  <c r="AT551" i="9" s="1"/>
  <c r="AN674" i="9"/>
  <c r="AO674" i="9" s="1"/>
  <c r="AJ196" i="9"/>
  <c r="AJ58" i="9"/>
  <c r="AN672" i="9"/>
  <c r="AO672" i="9" s="1"/>
  <c r="AJ651" i="9"/>
  <c r="AN210" i="9"/>
  <c r="AS210" i="9" s="1"/>
  <c r="AT210" i="9" s="1"/>
  <c r="AN211" i="9"/>
  <c r="AO211" i="9" s="1"/>
  <c r="AN343" i="9"/>
  <c r="AS343" i="9" s="1"/>
  <c r="AT343" i="9" s="1"/>
  <c r="AN347" i="9"/>
  <c r="AS347" i="9" s="1"/>
  <c r="AT347" i="9" s="1"/>
  <c r="AN373" i="9"/>
  <c r="AO373" i="9" s="1"/>
  <c r="AN470" i="9"/>
  <c r="AO470" i="9" s="1"/>
  <c r="AN457" i="9"/>
  <c r="AO457" i="9" s="1"/>
  <c r="AN673" i="9"/>
  <c r="AO673" i="9" s="1"/>
  <c r="AN554" i="9"/>
  <c r="AO554" i="9" s="1"/>
  <c r="AN456" i="9"/>
  <c r="AO456" i="9" s="1"/>
  <c r="AN644" i="9"/>
  <c r="AO644" i="9" s="1"/>
  <c r="AN346" i="5"/>
  <c r="AO346" i="5" s="1"/>
  <c r="AN375" i="9"/>
  <c r="AO375" i="9" s="1"/>
  <c r="AN663" i="9"/>
  <c r="AO663" i="9" s="1"/>
  <c r="AN435" i="9"/>
  <c r="AO435" i="9" s="1"/>
  <c r="AN658" i="9"/>
  <c r="AO658" i="9" s="1"/>
  <c r="AS58" i="9"/>
  <c r="AT58" i="9" s="1"/>
  <c r="AN552" i="9"/>
  <c r="AO552" i="9" s="1"/>
  <c r="AS194" i="9"/>
  <c r="AX194" i="9" s="1"/>
  <c r="AY194" i="9" s="1"/>
  <c r="AN12" i="9"/>
  <c r="AO12" i="9" s="1"/>
  <c r="AN471" i="9"/>
  <c r="AO471" i="9" s="1"/>
  <c r="AN300" i="9"/>
  <c r="AO300" i="9" s="1"/>
  <c r="AN147" i="9"/>
  <c r="AO147" i="9" s="1"/>
  <c r="AN438" i="9"/>
  <c r="AS438" i="9" s="1"/>
  <c r="AT438" i="9" s="1"/>
  <c r="AN593" i="9"/>
  <c r="AO593" i="9" s="1"/>
  <c r="AN628" i="9"/>
  <c r="AO628" i="9" s="1"/>
  <c r="AN594" i="9"/>
  <c r="AO594" i="9" s="1"/>
  <c r="AN13" i="9"/>
  <c r="AO13" i="9" s="1"/>
  <c r="AN434" i="9"/>
  <c r="AO434" i="9" s="1"/>
  <c r="AN553" i="9"/>
  <c r="AO553" i="9" s="1"/>
  <c r="AN631" i="9"/>
  <c r="AO631" i="9" s="1"/>
  <c r="AN378" i="9"/>
  <c r="AO378" i="9" s="1"/>
  <c r="AN362" i="5"/>
  <c r="AO362" i="5" s="1"/>
  <c r="AN16" i="9"/>
  <c r="AO16" i="9" s="1"/>
  <c r="AN453" i="9"/>
  <c r="AO453" i="9" s="1"/>
  <c r="AN657" i="9"/>
  <c r="AO657" i="9" s="1"/>
  <c r="AN597" i="9"/>
  <c r="AS597" i="9" s="1"/>
  <c r="AT597" i="9" s="1"/>
  <c r="AN458" i="9"/>
  <c r="AS458" i="9" s="1"/>
  <c r="AT458" i="9" s="1"/>
  <c r="AN340" i="9"/>
  <c r="AS340" i="9" s="1"/>
  <c r="AT340" i="9" s="1"/>
  <c r="AN627" i="9"/>
  <c r="AO627" i="9" s="1"/>
  <c r="AN354" i="5"/>
  <c r="AO354" i="5" s="1"/>
  <c r="AN192" i="9"/>
  <c r="AO192" i="9" s="1"/>
  <c r="AN421" i="9"/>
  <c r="AO421" i="9" s="1"/>
  <c r="AN659" i="9"/>
  <c r="AO659" i="9" s="1"/>
  <c r="AN662" i="9"/>
  <c r="AS662" i="9" s="1"/>
  <c r="AT662" i="9" s="1"/>
  <c r="AJ664" i="9"/>
  <c r="AN454" i="9"/>
  <c r="AO454" i="9" s="1"/>
  <c r="AN669" i="9"/>
  <c r="AO669" i="9" s="1"/>
  <c r="AN149" i="9"/>
  <c r="AO149" i="9" s="1"/>
  <c r="AN171" i="9"/>
  <c r="AO171" i="9" s="1"/>
  <c r="AN14" i="9"/>
  <c r="AO14" i="9" s="1"/>
  <c r="AN416" i="9"/>
  <c r="AO416" i="9" s="1"/>
  <c r="AN624" i="9"/>
  <c r="AO624" i="9" s="1"/>
  <c r="AN660" i="9"/>
  <c r="AO660" i="9" s="1"/>
  <c r="AN647" i="9"/>
  <c r="AO647" i="9" s="1"/>
  <c r="AN376" i="9"/>
  <c r="AO376" i="9" s="1"/>
  <c r="AN417" i="9"/>
  <c r="AO417" i="9" s="1"/>
  <c r="AN596" i="9"/>
  <c r="AO596" i="9" s="1"/>
  <c r="AN645" i="9"/>
  <c r="AO645" i="9" s="1"/>
  <c r="AN352" i="5"/>
  <c r="AO352" i="5" s="1"/>
  <c r="AN61" i="9"/>
  <c r="AO61" i="9" s="1"/>
  <c r="AN297" i="9"/>
  <c r="AO297" i="9" s="1"/>
  <c r="AN595" i="9"/>
  <c r="AO595" i="9" s="1"/>
  <c r="AN629" i="9"/>
  <c r="AS629" i="9" s="1"/>
  <c r="AT629" i="9" s="1"/>
  <c r="AN304" i="9"/>
  <c r="AS304" i="9" s="1"/>
  <c r="AT304" i="9" s="1"/>
  <c r="AS600" i="9"/>
  <c r="AL478" i="9"/>
  <c r="AM477" i="9"/>
  <c r="L443" i="9"/>
  <c r="K444" i="9"/>
  <c r="AQ307" i="9"/>
  <c r="AR306" i="9"/>
  <c r="AG350" i="9"/>
  <c r="AH349" i="9"/>
  <c r="AQ445" i="9"/>
  <c r="AR444" i="9"/>
  <c r="AQ428" i="9"/>
  <c r="AQ429" i="9" s="1"/>
  <c r="AR427" i="9"/>
  <c r="AL636" i="9"/>
  <c r="AM635" i="9"/>
  <c r="AM426" i="9"/>
  <c r="AL427" i="9"/>
  <c r="AQ634" i="9"/>
  <c r="AR633" i="9"/>
  <c r="N442" i="9"/>
  <c r="CF442" i="9"/>
  <c r="U665" i="9"/>
  <c r="CF665" i="9"/>
  <c r="N665" i="9"/>
  <c r="AI678" i="9"/>
  <c r="AJ678" i="9" s="1"/>
  <c r="L561" i="9"/>
  <c r="K562" i="9"/>
  <c r="CF652" i="9"/>
  <c r="N652" i="9"/>
  <c r="AW680" i="9"/>
  <c r="AV681" i="9"/>
  <c r="L666" i="9"/>
  <c r="K667" i="9"/>
  <c r="L667" i="9" s="1"/>
  <c r="AG680" i="9"/>
  <c r="AH679" i="9"/>
  <c r="K654" i="9"/>
  <c r="L653" i="9"/>
  <c r="AV634" i="9"/>
  <c r="AW633" i="9"/>
  <c r="AQ682" i="9"/>
  <c r="AR681" i="9"/>
  <c r="AL655" i="9"/>
  <c r="AM655" i="9" s="1"/>
  <c r="AM654" i="9"/>
  <c r="AI559" i="9"/>
  <c r="U680" i="9"/>
  <c r="N680" i="9"/>
  <c r="CF680" i="9"/>
  <c r="CF601" i="9"/>
  <c r="N601" i="9"/>
  <c r="AG635" i="9"/>
  <c r="AH634" i="9"/>
  <c r="AG561" i="9"/>
  <c r="AH560" i="9"/>
  <c r="AN665" i="9"/>
  <c r="AS665" i="9" s="1"/>
  <c r="AT665" i="9" s="1"/>
  <c r="U633" i="9"/>
  <c r="CF633" i="9"/>
  <c r="N633" i="9"/>
  <c r="L681" i="9"/>
  <c r="K682" i="9"/>
  <c r="K603" i="9"/>
  <c r="K604" i="9" s="1"/>
  <c r="L602" i="9"/>
  <c r="AI633" i="9"/>
  <c r="AR602" i="9"/>
  <c r="AQ603" i="9"/>
  <c r="AQ604" i="9" s="1"/>
  <c r="L634" i="9"/>
  <c r="K635" i="9"/>
  <c r="AL667" i="9"/>
  <c r="AM667" i="9" s="1"/>
  <c r="AM666" i="9"/>
  <c r="AI667" i="9"/>
  <c r="AQ562" i="9"/>
  <c r="AR561" i="9"/>
  <c r="AG605" i="9"/>
  <c r="AH604" i="9"/>
  <c r="AW560" i="9"/>
  <c r="AV561" i="9"/>
  <c r="AL680" i="9"/>
  <c r="AM679" i="9"/>
  <c r="AI666" i="9"/>
  <c r="AJ666" i="9" s="1"/>
  <c r="AQ667" i="9"/>
  <c r="AR667" i="9" s="1"/>
  <c r="AR666" i="9"/>
  <c r="AI602" i="9"/>
  <c r="AM561" i="9"/>
  <c r="AL562" i="9"/>
  <c r="AG655" i="9"/>
  <c r="AH655" i="9" s="1"/>
  <c r="AH654" i="9"/>
  <c r="AL603" i="9"/>
  <c r="AL604" i="9" s="1"/>
  <c r="AM602" i="9"/>
  <c r="AN558" i="9"/>
  <c r="AO558" i="9" s="1"/>
  <c r="AJ558" i="9"/>
  <c r="AW602" i="9"/>
  <c r="AV603" i="9"/>
  <c r="AV604" i="9" s="1"/>
  <c r="AI653" i="9"/>
  <c r="AJ653" i="9" s="1"/>
  <c r="CF560" i="9"/>
  <c r="N560" i="9"/>
  <c r="U560" i="9"/>
  <c r="AW352" i="9"/>
  <c r="AV353" i="9"/>
  <c r="AV307" i="9"/>
  <c r="AW306" i="9"/>
  <c r="AW463" i="9"/>
  <c r="AV464" i="9"/>
  <c r="AR349" i="9"/>
  <c r="AQ350" i="9"/>
  <c r="AG427" i="9"/>
  <c r="AH426" i="9"/>
  <c r="AL307" i="9"/>
  <c r="AM306" i="9"/>
  <c r="AL447" i="9"/>
  <c r="AM446" i="9"/>
  <c r="AV478" i="9"/>
  <c r="AW477" i="9"/>
  <c r="CF348" i="9"/>
  <c r="N348" i="9"/>
  <c r="AW445" i="9"/>
  <c r="AV446" i="9"/>
  <c r="CF425" i="9"/>
  <c r="N425" i="9"/>
  <c r="AW382" i="9"/>
  <c r="AV383" i="9"/>
  <c r="K350" i="9"/>
  <c r="L349" i="9"/>
  <c r="L426" i="9"/>
  <c r="K427" i="9"/>
  <c r="K307" i="9"/>
  <c r="L306" i="9"/>
  <c r="AQ480" i="9"/>
  <c r="AR479" i="9"/>
  <c r="AQ383" i="9"/>
  <c r="AR382" i="9"/>
  <c r="AM349" i="9"/>
  <c r="AL350" i="9"/>
  <c r="CF305" i="9"/>
  <c r="N305" i="9"/>
  <c r="AG307" i="9"/>
  <c r="AH306" i="9"/>
  <c r="N461" i="9"/>
  <c r="CF461" i="9"/>
  <c r="AH444" i="9"/>
  <c r="AG445" i="9"/>
  <c r="AH464" i="9"/>
  <c r="AG465" i="9"/>
  <c r="AG383" i="9"/>
  <c r="AH382" i="9"/>
  <c r="AW427" i="9"/>
  <c r="AV428" i="9"/>
  <c r="AV429" i="9" s="1"/>
  <c r="K463" i="9"/>
  <c r="L462" i="9"/>
  <c r="AL464" i="9"/>
  <c r="AM463" i="9"/>
  <c r="U477" i="9"/>
  <c r="N477" i="9"/>
  <c r="CF477" i="9"/>
  <c r="AM382" i="9"/>
  <c r="AL383" i="9"/>
  <c r="AH481" i="9"/>
  <c r="AG482" i="9"/>
  <c r="AH482" i="9" s="1"/>
  <c r="AN380" i="9"/>
  <c r="AO380" i="9" s="1"/>
  <c r="N381" i="9"/>
  <c r="CF381" i="9"/>
  <c r="L478" i="9"/>
  <c r="K479" i="9"/>
  <c r="L382" i="9"/>
  <c r="K383" i="9"/>
  <c r="AQ465" i="9"/>
  <c r="AR464" i="9"/>
  <c r="W339" i="5"/>
  <c r="AJ248" i="9"/>
  <c r="AS248" i="9"/>
  <c r="AT248" i="9" s="1"/>
  <c r="AN251" i="9"/>
  <c r="AO251" i="9" s="1"/>
  <c r="AN249" i="9"/>
  <c r="AO249" i="9" s="1"/>
  <c r="AN102" i="9"/>
  <c r="AO102" i="9" s="1"/>
  <c r="AV105" i="9"/>
  <c r="AW104" i="9"/>
  <c r="AV200" i="9"/>
  <c r="AW199" i="9"/>
  <c r="AQ67" i="9"/>
  <c r="AR66" i="9"/>
  <c r="AQ199" i="9"/>
  <c r="AR198" i="9"/>
  <c r="AQ218" i="9"/>
  <c r="AR217" i="9"/>
  <c r="AQ21" i="9"/>
  <c r="AR20" i="9"/>
  <c r="AL156" i="9"/>
  <c r="AM155" i="9"/>
  <c r="AV174" i="9"/>
  <c r="AW173" i="9"/>
  <c r="AG66" i="9"/>
  <c r="AH65" i="9"/>
  <c r="AN17" i="9"/>
  <c r="AO17" i="9" s="1"/>
  <c r="AL105" i="9"/>
  <c r="AM104" i="9"/>
  <c r="AV66" i="9"/>
  <c r="AW65" i="9"/>
  <c r="AQ105" i="9"/>
  <c r="AR104" i="9"/>
  <c r="AV154" i="9"/>
  <c r="AW153" i="9"/>
  <c r="AL66" i="9"/>
  <c r="AM65" i="9"/>
  <c r="AQ176" i="9"/>
  <c r="AR175" i="9"/>
  <c r="AV20" i="9"/>
  <c r="AW19" i="9"/>
  <c r="AL20" i="9"/>
  <c r="AM19" i="9"/>
  <c r="AL199" i="9"/>
  <c r="AM198" i="9"/>
  <c r="AV218" i="9"/>
  <c r="AW217" i="9"/>
  <c r="AL174" i="9"/>
  <c r="AM173" i="9"/>
  <c r="AN63" i="9"/>
  <c r="AO63" i="9" s="1"/>
  <c r="AG154" i="9"/>
  <c r="AH153" i="9"/>
  <c r="AQ154" i="9"/>
  <c r="AR153" i="9"/>
  <c r="AG54" i="9"/>
  <c r="AH53" i="9"/>
  <c r="AS196" i="9"/>
  <c r="AT196" i="9" s="1"/>
  <c r="AL218" i="9"/>
  <c r="AM217" i="9"/>
  <c r="AG174" i="9"/>
  <c r="AH173" i="9"/>
  <c r="AJ197" i="9"/>
  <c r="AN197" i="9"/>
  <c r="AO197" i="9" s="1"/>
  <c r="AN150" i="9"/>
  <c r="AO150" i="9" s="1"/>
  <c r="AN172" i="9"/>
  <c r="AO172" i="9" s="1"/>
  <c r="AN215" i="9"/>
  <c r="AG221" i="9"/>
  <c r="AH220" i="9"/>
  <c r="AG199" i="9"/>
  <c r="AH198" i="9"/>
  <c r="AG106" i="9"/>
  <c r="AH105" i="9"/>
  <c r="K154" i="9"/>
  <c r="L153" i="9"/>
  <c r="N64" i="9"/>
  <c r="CF64" i="9"/>
  <c r="N216" i="9"/>
  <c r="CF216" i="9"/>
  <c r="K66" i="9"/>
  <c r="L65" i="9"/>
  <c r="K218" i="9"/>
  <c r="L217" i="9"/>
  <c r="N18" i="9"/>
  <c r="CF18" i="9"/>
  <c r="K20" i="9"/>
  <c r="L19" i="9"/>
  <c r="N103" i="9"/>
  <c r="CF103" i="9"/>
  <c r="N173" i="9"/>
  <c r="CF173" i="9"/>
  <c r="K105" i="9"/>
  <c r="L104" i="9"/>
  <c r="N198" i="9"/>
  <c r="CF198" i="9"/>
  <c r="K175" i="9"/>
  <c r="L174" i="9"/>
  <c r="K200" i="9"/>
  <c r="L199" i="9"/>
  <c r="N151" i="9"/>
  <c r="CF151" i="9"/>
  <c r="AQ187" i="5"/>
  <c r="AR186" i="5"/>
  <c r="AV193" i="5"/>
  <c r="AW192" i="5"/>
  <c r="AL117" i="5"/>
  <c r="AM117" i="5" s="1"/>
  <c r="AM116" i="5"/>
  <c r="AL67" i="5"/>
  <c r="AM66" i="5"/>
  <c r="AL211" i="5"/>
  <c r="AM210" i="5"/>
  <c r="AV14" i="5"/>
  <c r="AW14" i="5" s="1"/>
  <c r="AW13" i="5"/>
  <c r="AL106" i="5"/>
  <c r="AM105" i="5"/>
  <c r="AG18" i="5"/>
  <c r="AH17" i="5"/>
  <c r="AQ253" i="5"/>
  <c r="AR252" i="5"/>
  <c r="AV317" i="5"/>
  <c r="AW317" i="5" s="1"/>
  <c r="AW316" i="5"/>
  <c r="AL62" i="5"/>
  <c r="AM61" i="5"/>
  <c r="AG187" i="5"/>
  <c r="AH186" i="5"/>
  <c r="AG211" i="5"/>
  <c r="AH210" i="5"/>
  <c r="AL37" i="5"/>
  <c r="AM36" i="5"/>
  <c r="AG193" i="5"/>
  <c r="AH192" i="5"/>
  <c r="AL217" i="5"/>
  <c r="AM216" i="5"/>
  <c r="AQ223" i="5"/>
  <c r="AR222" i="5"/>
  <c r="AL199" i="5"/>
  <c r="AM198" i="5"/>
  <c r="AV253" i="5"/>
  <c r="AW252" i="5"/>
  <c r="AQ205" i="5"/>
  <c r="AR204" i="5"/>
  <c r="AN341" i="5"/>
  <c r="AO341" i="5" s="1"/>
  <c r="AG287" i="5"/>
  <c r="AH286" i="5"/>
  <c r="AG106" i="5"/>
  <c r="AH105" i="5"/>
  <c r="AL331" i="5"/>
  <c r="AM331" i="5" s="1"/>
  <c r="AM330" i="5"/>
  <c r="AG170" i="5"/>
  <c r="AH169" i="5"/>
  <c r="AQ259" i="5"/>
  <c r="AR258" i="5"/>
  <c r="AQ82" i="5"/>
  <c r="AR81" i="5"/>
  <c r="AG223" i="5"/>
  <c r="AH222" i="5"/>
  <c r="AG37" i="5"/>
  <c r="AH36" i="5"/>
  <c r="AQ193" i="5"/>
  <c r="AR192" i="5"/>
  <c r="AQ37" i="5"/>
  <c r="AR36" i="5"/>
  <c r="AV141" i="5"/>
  <c r="AW140" i="5"/>
  <c r="AL193" i="5"/>
  <c r="AM192" i="5"/>
  <c r="AV287" i="5"/>
  <c r="AW286" i="5"/>
  <c r="AV170" i="5"/>
  <c r="AW169" i="5"/>
  <c r="AG82" i="5"/>
  <c r="AH81" i="5"/>
  <c r="AQ287" i="5"/>
  <c r="AR286" i="5"/>
  <c r="AL141" i="5"/>
  <c r="AM140" i="5"/>
  <c r="AV331" i="5"/>
  <c r="AW331" i="5" s="1"/>
  <c r="AW330" i="5"/>
  <c r="AG241" i="5"/>
  <c r="AH240" i="5"/>
  <c r="AQ18" i="5"/>
  <c r="AR17" i="5"/>
  <c r="AL72" i="5"/>
  <c r="AM71" i="5"/>
  <c r="AG199" i="5"/>
  <c r="AH198" i="5"/>
  <c r="AV259" i="5"/>
  <c r="AW258" i="5"/>
  <c r="AV82" i="5"/>
  <c r="AW81" i="5"/>
  <c r="AV121" i="5"/>
  <c r="AW120" i="5"/>
  <c r="AQ235" i="5"/>
  <c r="AR234" i="5"/>
  <c r="AL27" i="5"/>
  <c r="AM26" i="5"/>
  <c r="AL205" i="5"/>
  <c r="AM204" i="5"/>
  <c r="AL14" i="5"/>
  <c r="AM14" i="5" s="1"/>
  <c r="AM13" i="5"/>
  <c r="AG302" i="5"/>
  <c r="AH302" i="5" s="1"/>
  <c r="AH301" i="5"/>
  <c r="AQ121" i="5"/>
  <c r="AR120" i="5"/>
  <c r="AL259" i="5"/>
  <c r="AM258" i="5"/>
  <c r="AG117" i="5"/>
  <c r="AH117" i="5" s="1"/>
  <c r="AH116" i="5"/>
  <c r="AQ317" i="5"/>
  <c r="AR317" i="5" s="1"/>
  <c r="AR316" i="5"/>
  <c r="AL121" i="5"/>
  <c r="AM120" i="5"/>
  <c r="AV247" i="5"/>
  <c r="AW246" i="5"/>
  <c r="AG121" i="5"/>
  <c r="AH120" i="5"/>
  <c r="AQ42" i="5"/>
  <c r="AR41" i="5"/>
  <c r="AV211" i="5"/>
  <c r="AW210" i="5"/>
  <c r="AQ247" i="5"/>
  <c r="AR246" i="5"/>
  <c r="AQ106" i="5"/>
  <c r="AR105" i="5"/>
  <c r="AG317" i="5"/>
  <c r="AH317" i="5" s="1"/>
  <c r="AH316" i="5"/>
  <c r="AL223" i="5"/>
  <c r="AM222" i="5"/>
  <c r="AG14" i="5"/>
  <c r="AH14" i="5" s="1"/>
  <c r="AH13" i="5"/>
  <c r="AG42" i="5"/>
  <c r="AH41" i="5"/>
  <c r="AV187" i="5"/>
  <c r="AW186" i="5"/>
  <c r="AN340" i="5"/>
  <c r="AO340" i="5" s="1"/>
  <c r="AG247" i="5"/>
  <c r="AH246" i="5"/>
  <c r="AG72" i="5"/>
  <c r="AH71" i="5"/>
  <c r="AL302" i="5"/>
  <c r="AM302" i="5" s="1"/>
  <c r="AM301" i="5"/>
  <c r="AL77" i="5"/>
  <c r="AM76" i="5"/>
  <c r="AG229" i="5"/>
  <c r="AH228" i="5"/>
  <c r="AQ141" i="5"/>
  <c r="AR140" i="5"/>
  <c r="AL187" i="5"/>
  <c r="AM186" i="5"/>
  <c r="AV274" i="5"/>
  <c r="AW273" i="5"/>
  <c r="AV95" i="5"/>
  <c r="AW94" i="5"/>
  <c r="AL235" i="5"/>
  <c r="AM234" i="5"/>
  <c r="AL82" i="5"/>
  <c r="AM81" i="5"/>
  <c r="AQ274" i="5"/>
  <c r="AR273" i="5"/>
  <c r="AQ95" i="5"/>
  <c r="AR94" i="5"/>
  <c r="AG235" i="5"/>
  <c r="AH234" i="5"/>
  <c r="AQ331" i="5"/>
  <c r="AR331" i="5" s="1"/>
  <c r="AR330" i="5"/>
  <c r="AQ14" i="5"/>
  <c r="AR14" i="5" s="1"/>
  <c r="AR13" i="5"/>
  <c r="AV72" i="5"/>
  <c r="AW71" i="5"/>
  <c r="AQ77" i="5"/>
  <c r="AR76" i="5"/>
  <c r="AV229" i="5"/>
  <c r="AW228" i="5"/>
  <c r="AQ72" i="5"/>
  <c r="AR71" i="5"/>
  <c r="AQ170" i="5"/>
  <c r="AR169" i="5"/>
  <c r="AL287" i="5"/>
  <c r="AM286" i="5"/>
  <c r="AQ52" i="5"/>
  <c r="AR51" i="5"/>
  <c r="AG67" i="5"/>
  <c r="AH66" i="5"/>
  <c r="AV235" i="5"/>
  <c r="AW234" i="5"/>
  <c r="AQ27" i="5"/>
  <c r="AR26" i="5"/>
  <c r="AL253" i="5"/>
  <c r="AM252" i="5"/>
  <c r="AQ62" i="5"/>
  <c r="AR61" i="5"/>
  <c r="AV217" i="5"/>
  <c r="AW216" i="5"/>
  <c r="AL317" i="5"/>
  <c r="AM317" i="5" s="1"/>
  <c r="AM316" i="5"/>
  <c r="AG52" i="5"/>
  <c r="AH51" i="5"/>
  <c r="AG253" i="5"/>
  <c r="AH252" i="5"/>
  <c r="AG77" i="5"/>
  <c r="AH76" i="5"/>
  <c r="AQ217" i="5"/>
  <c r="AR216" i="5"/>
  <c r="AV42" i="5"/>
  <c r="AW41" i="5"/>
  <c r="AQ241" i="5"/>
  <c r="AR240" i="5"/>
  <c r="AQ67" i="5"/>
  <c r="AR66" i="5"/>
  <c r="AQ199" i="5"/>
  <c r="AR198" i="5"/>
  <c r="AQ302" i="5"/>
  <c r="AR302" i="5" s="1"/>
  <c r="AR301" i="5"/>
  <c r="AL274" i="5"/>
  <c r="AM273" i="5"/>
  <c r="AL170" i="5"/>
  <c r="AM169" i="5"/>
  <c r="AV62" i="5"/>
  <c r="AW61" i="5"/>
  <c r="AG217" i="5"/>
  <c r="AH216" i="5"/>
  <c r="AV52" i="5"/>
  <c r="AW51" i="5"/>
  <c r="AV302" i="5"/>
  <c r="AW302" i="5" s="1"/>
  <c r="AW301" i="5"/>
  <c r="AG95" i="5"/>
  <c r="AH94" i="5"/>
  <c r="AG141" i="5"/>
  <c r="AH140" i="5"/>
  <c r="AL247" i="5"/>
  <c r="AM246" i="5"/>
  <c r="AV27" i="5"/>
  <c r="AW26" i="5"/>
  <c r="AL229" i="5"/>
  <c r="AM228" i="5"/>
  <c r="AQ211" i="5"/>
  <c r="AR210" i="5"/>
  <c r="AV37" i="5"/>
  <c r="AW36" i="5"/>
  <c r="AG205" i="5"/>
  <c r="AH204" i="5"/>
  <c r="AV18" i="5"/>
  <c r="AW17" i="5"/>
  <c r="AL95" i="5"/>
  <c r="AM94" i="5"/>
  <c r="AG331" i="5"/>
  <c r="AH331" i="5" s="1"/>
  <c r="AH330" i="5"/>
  <c r="AV241" i="5"/>
  <c r="AW240" i="5"/>
  <c r="AV67" i="5"/>
  <c r="AW66" i="5"/>
  <c r="AV199" i="5"/>
  <c r="AW198" i="5"/>
  <c r="AG27" i="5"/>
  <c r="AH26" i="5"/>
  <c r="AV223" i="5"/>
  <c r="AW222" i="5"/>
  <c r="AG62" i="5"/>
  <c r="AH61" i="5"/>
  <c r="AV106" i="5"/>
  <c r="AW105" i="5"/>
  <c r="AG259" i="5"/>
  <c r="AH258" i="5"/>
  <c r="AL241" i="5"/>
  <c r="AM240" i="5"/>
  <c r="AQ117" i="5"/>
  <c r="AR117" i="5" s="1"/>
  <c r="AR116" i="5"/>
  <c r="AL18" i="5"/>
  <c r="AM17" i="5"/>
  <c r="AV205" i="5"/>
  <c r="AW204" i="5"/>
  <c r="AL42" i="5"/>
  <c r="AM41" i="5"/>
  <c r="AG274" i="5"/>
  <c r="AH273" i="5"/>
  <c r="AV77" i="5"/>
  <c r="AW76" i="5"/>
  <c r="AV117" i="5"/>
  <c r="AW117" i="5" s="1"/>
  <c r="AW116" i="5"/>
  <c r="AQ229" i="5"/>
  <c r="AR228" i="5"/>
  <c r="AL52" i="5"/>
  <c r="AM51" i="5"/>
  <c r="N106" i="5"/>
  <c r="N111" i="5"/>
  <c r="N109" i="5"/>
  <c r="N107" i="5"/>
  <c r="N112" i="5"/>
  <c r="N110" i="5"/>
  <c r="CB109" i="5"/>
  <c r="CB107" i="5"/>
  <c r="CB110" i="5"/>
  <c r="CB111" i="5"/>
  <c r="N108" i="5"/>
  <c r="CB108" i="5"/>
  <c r="N105" i="5"/>
  <c r="CB105" i="5"/>
  <c r="N198" i="5"/>
  <c r="CB198" i="5"/>
  <c r="K14" i="5"/>
  <c r="L14" i="5" s="1"/>
  <c r="L13" i="5"/>
  <c r="K200" i="5"/>
  <c r="L199" i="5"/>
  <c r="N12" i="5"/>
  <c r="CB12" i="5"/>
  <c r="N228" i="5"/>
  <c r="CB228" i="5"/>
  <c r="K230" i="5"/>
  <c r="L229" i="5"/>
  <c r="N41" i="5"/>
  <c r="CB41" i="5"/>
  <c r="N273" i="5"/>
  <c r="CB273" i="5"/>
  <c r="K43" i="5"/>
  <c r="L42" i="5"/>
  <c r="K275" i="5"/>
  <c r="L274" i="5"/>
  <c r="J6" i="4" a="1"/>
  <c r="K18" i="4" a="1"/>
  <c r="M17" i="4" a="1"/>
  <c r="O16" i="4" a="1"/>
  <c r="I7" i="4" a="1"/>
  <c r="J18" i="4" a="1"/>
  <c r="L17" i="4" a="1"/>
  <c r="N16" i="4" a="1"/>
  <c r="I18" i="4" a="1"/>
  <c r="K17" i="4" a="1"/>
  <c r="M16" i="4" a="1"/>
  <c r="H18" i="4" a="1"/>
  <c r="J17" i="4" a="1"/>
  <c r="L16" i="4" a="1"/>
  <c r="I5" i="4" a="1"/>
  <c r="E21" i="4" a="1"/>
  <c r="G18" i="4" a="1"/>
  <c r="I17" i="4" a="1"/>
  <c r="K16" i="4" a="1"/>
  <c r="R18" i="4" a="1"/>
  <c r="F18" i="4" a="1"/>
  <c r="H17" i="4" a="1"/>
  <c r="J16" i="4" a="1"/>
  <c r="Q18" i="4" a="1"/>
  <c r="G17" i="4" a="1"/>
  <c r="I16" i="4" a="1"/>
  <c r="I6" i="4" a="1"/>
  <c r="P18" i="4" a="1"/>
  <c r="R17" i="4" a="1"/>
  <c r="F17" i="4" a="1"/>
  <c r="H16" i="4" a="1"/>
  <c r="E11" i="4" a="1"/>
  <c r="O18" i="4" a="1"/>
  <c r="Q17" i="4" a="1"/>
  <c r="G16" i="4" a="1"/>
  <c r="N18" i="4" a="1"/>
  <c r="P17" i="4" a="1"/>
  <c r="R16" i="4" a="1"/>
  <c r="F16" i="4" a="1"/>
  <c r="M18" i="4" a="1"/>
  <c r="O17" i="4" a="1"/>
  <c r="Q16" i="4" a="1"/>
  <c r="J5" i="4" a="1"/>
  <c r="J7" i="4" a="1"/>
  <c r="L18" i="4" a="1"/>
  <c r="N17" i="4" a="1"/>
  <c r="P16" i="4" a="1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0" i="2"/>
  <c r="I20" i="2"/>
  <c r="G21" i="2"/>
  <c r="I21" i="2"/>
  <c r="G22" i="2"/>
  <c r="I22" i="2"/>
  <c r="T16" i="5"/>
  <c r="T127" i="5"/>
  <c r="T275" i="9"/>
  <c r="T231" i="9"/>
  <c r="T151" i="9"/>
  <c r="T179" i="5"/>
  <c r="T178" i="5"/>
  <c r="T264" i="5"/>
  <c r="T140" i="5"/>
  <c r="T56" i="5"/>
  <c r="T157" i="5"/>
  <c r="T265" i="5"/>
  <c r="T18" i="9"/>
  <c r="T286" i="5"/>
  <c r="T155" i="5"/>
  <c r="T263" i="9"/>
  <c r="T188" i="5"/>
  <c r="T241" i="5"/>
  <c r="T296" i="5"/>
  <c r="T51" i="5"/>
  <c r="T81" i="5"/>
  <c r="T62" i="5"/>
  <c r="T288" i="5"/>
  <c r="T311" i="5"/>
  <c r="T107" i="5"/>
  <c r="T225" i="5"/>
  <c r="T315" i="5"/>
  <c r="T133" i="5"/>
  <c r="T159" i="5"/>
  <c r="T197" i="5"/>
  <c r="T338" i="5"/>
  <c r="T71" i="5"/>
  <c r="T195" i="5"/>
  <c r="T266" i="9"/>
  <c r="T98" i="5"/>
  <c r="T141" i="5"/>
  <c r="T45" i="5"/>
  <c r="T258" i="9"/>
  <c r="T68" i="5"/>
  <c r="T168" i="5"/>
  <c r="T319" i="5"/>
  <c r="T251" i="5"/>
  <c r="T14" i="5"/>
  <c r="T263" i="5"/>
  <c r="T48" i="5"/>
  <c r="T37" i="5"/>
  <c r="R5" i="4" a="1"/>
  <c r="T25" i="5"/>
  <c r="T249" i="5"/>
  <c r="T461" i="9"/>
  <c r="T36" i="5"/>
  <c r="T75" i="5"/>
  <c r="T199" i="5"/>
  <c r="T19" i="5"/>
  <c r="T329" i="5"/>
  <c r="T289" i="5"/>
  <c r="T160" i="5"/>
  <c r="T144" i="5"/>
  <c r="T40" i="5"/>
  <c r="T215" i="5"/>
  <c r="T128" i="5"/>
  <c r="T153" i="9"/>
  <c r="T245" i="9"/>
  <c r="T164" i="5"/>
  <c r="T126" i="5"/>
  <c r="T440" i="9"/>
  <c r="T331" i="5"/>
  <c r="T187" i="5"/>
  <c r="T210" i="5"/>
  <c r="T102" i="5"/>
  <c r="T255" i="5"/>
  <c r="T99" i="5"/>
  <c r="T134" i="5"/>
  <c r="T213" i="5"/>
  <c r="T176" i="5"/>
  <c r="T505" i="9"/>
  <c r="T93" i="5"/>
  <c r="T162" i="5"/>
  <c r="T193" i="5"/>
  <c r="T382" i="9"/>
  <c r="T273" i="5"/>
  <c r="T87" i="5"/>
  <c r="T231" i="5"/>
  <c r="T13" i="5"/>
  <c r="T31" i="5"/>
  <c r="T143" i="5"/>
  <c r="T272" i="5"/>
  <c r="T52" i="5"/>
  <c r="T166" i="5"/>
  <c r="T306" i="9"/>
  <c r="T43" i="5"/>
  <c r="T95" i="5"/>
  <c r="T58" i="5"/>
  <c r="T204" i="5"/>
  <c r="T170" i="5"/>
  <c r="T174" i="5"/>
  <c r="T268" i="5"/>
  <c r="T11" i="5"/>
  <c r="T246" i="5"/>
  <c r="T270" i="5"/>
  <c r="T459" i="9"/>
  <c r="T248" i="5"/>
  <c r="T125" i="5"/>
  <c r="T198" i="9"/>
  <c r="T502" i="9"/>
  <c r="T20" i="5"/>
  <c r="T17" i="5"/>
  <c r="T327" i="5"/>
  <c r="T219" i="5"/>
  <c r="T27" i="5"/>
  <c r="T30" i="5"/>
  <c r="T323" i="5"/>
  <c r="T245" i="5"/>
  <c r="T478" i="9"/>
  <c r="T149" i="5"/>
  <c r="T276" i="9"/>
  <c r="T239" i="5"/>
  <c r="T115" i="5"/>
  <c r="T335" i="5"/>
  <c r="T216" i="5"/>
  <c r="T94" i="5"/>
  <c r="T294" i="5"/>
  <c r="T247" i="5"/>
  <c r="T212" i="5"/>
  <c r="T33" i="5"/>
  <c r="T223" i="5"/>
  <c r="T268" i="9"/>
  <c r="T274" i="5"/>
  <c r="T90" i="5"/>
  <c r="T269" i="9"/>
  <c r="T298" i="5"/>
  <c r="T116" i="5"/>
  <c r="T147" i="5"/>
  <c r="T77" i="5"/>
  <c r="T76" i="5"/>
  <c r="T169" i="5"/>
  <c r="T136" i="5"/>
  <c r="T317" i="5"/>
  <c r="T91" i="5"/>
  <c r="T82" i="5"/>
  <c r="T161" i="5"/>
  <c r="T218" i="5"/>
  <c r="T70" i="5"/>
  <c r="T285" i="5"/>
  <c r="T50" i="5"/>
  <c r="T267" i="9"/>
  <c r="T148" i="5"/>
  <c r="T222" i="5"/>
  <c r="T203" i="5"/>
  <c r="T269" i="5"/>
  <c r="T259" i="9"/>
  <c r="T601" i="9"/>
  <c r="T156" i="5"/>
  <c r="T151" i="5"/>
  <c r="T67" i="5"/>
  <c r="T348" i="9"/>
  <c r="T201" i="5"/>
  <c r="T181" i="5"/>
  <c r="T233" i="5"/>
  <c r="T103" i="9"/>
  <c r="T183" i="5"/>
  <c r="T236" i="9"/>
  <c r="T21" i="5"/>
  <c r="T132" i="5"/>
  <c r="T191" i="5"/>
  <c r="T287" i="5"/>
  <c r="T254" i="9"/>
  <c r="T240" i="5"/>
  <c r="T105" i="5"/>
  <c r="T22" i="5"/>
  <c r="T206" i="5"/>
  <c r="T35" i="5"/>
  <c r="T297" i="5"/>
  <c r="T253" i="9"/>
  <c r="T221" i="5"/>
  <c r="T104" i="5"/>
  <c r="T343" i="5"/>
  <c r="T146" i="5"/>
  <c r="T302" i="5"/>
  <c r="T61" i="5"/>
  <c r="T78" i="5"/>
  <c r="T18" i="5"/>
  <c r="T224" i="5"/>
  <c r="T253" i="5"/>
  <c r="T182" i="5"/>
  <c r="T185" i="5"/>
  <c r="T104" i="9"/>
  <c r="T260" i="5"/>
  <c r="T242" i="5"/>
  <c r="T236" i="5"/>
  <c r="T89" i="5"/>
  <c r="T295" i="5"/>
  <c r="T652" i="9"/>
  <c r="T198" i="5"/>
  <c r="T274" i="9"/>
  <c r="T80" i="5"/>
  <c r="T316" i="5"/>
  <c r="T38" i="5"/>
  <c r="T139" i="5"/>
  <c r="T255" i="9"/>
  <c r="T97" i="5"/>
  <c r="T47" i="5"/>
  <c r="T180" i="5"/>
  <c r="T130" i="5"/>
  <c r="T122" i="5"/>
  <c r="T379" i="9"/>
  <c r="T308" i="5"/>
  <c r="T258" i="5"/>
  <c r="T313" i="5"/>
  <c r="T228" i="5"/>
  <c r="T28" i="5"/>
  <c r="T152" i="5"/>
  <c r="T44" i="5"/>
  <c r="T321" i="5"/>
  <c r="T60" i="5"/>
  <c r="T217" i="5"/>
  <c r="T173" i="9"/>
  <c r="T173" i="5"/>
  <c r="T137" i="5"/>
  <c r="T154" i="5"/>
  <c r="T237" i="5"/>
  <c r="T235" i="5"/>
  <c r="T172" i="5"/>
  <c r="T273" i="9"/>
  <c r="T235" i="9"/>
  <c r="T177" i="5"/>
  <c r="T205" i="5"/>
  <c r="T32" i="5"/>
  <c r="T84" i="5"/>
  <c r="T261" i="9"/>
  <c r="T88" i="5"/>
  <c r="T96" i="5"/>
  <c r="T53" i="5"/>
  <c r="T42" i="5"/>
  <c r="T194" i="5"/>
  <c r="T230" i="9"/>
  <c r="T119" i="5"/>
  <c r="T211" i="5"/>
  <c r="T111" i="5"/>
  <c r="T254" i="5"/>
  <c r="T266" i="5"/>
  <c r="T271" i="9"/>
  <c r="T503" i="9"/>
  <c r="T234" i="5"/>
  <c r="T262" i="9"/>
  <c r="T57" i="5"/>
  <c r="T73" i="5"/>
  <c r="T121" i="5"/>
  <c r="T158" i="5"/>
  <c r="T306" i="5"/>
  <c r="T153" i="5"/>
  <c r="T117" i="5"/>
  <c r="T129" i="5"/>
  <c r="T112" i="5"/>
  <c r="T101" i="5"/>
  <c r="T330" i="5"/>
  <c r="T120" i="5"/>
  <c r="T291" i="5"/>
  <c r="T189" i="5"/>
  <c r="T292" i="5"/>
  <c r="T142" i="5"/>
  <c r="T174" i="9"/>
  <c r="T145" i="5"/>
  <c r="T108" i="5"/>
  <c r="T63" i="5"/>
  <c r="T26" i="5"/>
  <c r="T55" i="5"/>
  <c r="T229" i="5"/>
  <c r="T171" i="5"/>
  <c r="T135" i="5"/>
  <c r="T66" i="5"/>
  <c r="T109" i="5"/>
  <c r="T41" i="5"/>
  <c r="T424" i="9"/>
  <c r="T325" i="5"/>
  <c r="T257" i="5"/>
  <c r="T216" i="9"/>
  <c r="T175" i="5"/>
  <c r="T192" i="5"/>
  <c r="T165" i="5"/>
  <c r="T238" i="9"/>
  <c r="T259" i="5"/>
  <c r="T243" i="5"/>
  <c r="T54" i="5"/>
  <c r="T100" i="5"/>
  <c r="T290" i="5"/>
  <c r="T86" i="5"/>
  <c r="T300" i="5"/>
  <c r="T209" i="5"/>
  <c r="T252" i="5"/>
  <c r="T12" i="5"/>
  <c r="T23" i="5"/>
  <c r="T29" i="5"/>
  <c r="T65" i="9"/>
  <c r="T83" i="5"/>
  <c r="T123" i="5"/>
  <c r="T237" i="9"/>
  <c r="T278" i="9"/>
  <c r="T106" i="5"/>
  <c r="T150" i="5"/>
  <c r="T241" i="9"/>
  <c r="T305" i="9"/>
  <c r="T310" i="5"/>
  <c r="T163" i="5"/>
  <c r="T301" i="5"/>
  <c r="T46" i="5"/>
  <c r="T460" i="9"/>
  <c r="T124" i="5"/>
  <c r="T337" i="5"/>
  <c r="T262" i="5"/>
  <c r="T207" i="5"/>
  <c r="T85" i="5"/>
  <c r="T113" i="5"/>
  <c r="T270" i="9"/>
  <c r="T304" i="5"/>
  <c r="T227" i="5"/>
  <c r="T110" i="5"/>
  <c r="T261" i="5"/>
  <c r="T293" i="5"/>
  <c r="T65" i="5"/>
  <c r="T19" i="9"/>
  <c r="T217" i="9"/>
  <c r="T72" i="5"/>
  <c r="T233" i="9"/>
  <c r="T240" i="9"/>
  <c r="T462" i="9"/>
  <c r="T199" i="9"/>
  <c r="T257" i="9"/>
  <c r="T186" i="5"/>
  <c r="T131" i="5"/>
  <c r="T267" i="5"/>
  <c r="T232" i="9"/>
  <c r="T333" i="5"/>
  <c r="T64" i="9"/>
  <c r="T344" i="5"/>
  <c r="T527" i="9"/>
  <c r="X656" i="9" l="1"/>
  <c r="V54" i="5"/>
  <c r="U54" i="5"/>
  <c r="U89" i="5"/>
  <c r="V89" i="5"/>
  <c r="V143" i="5"/>
  <c r="U143" i="5"/>
  <c r="U132" i="5"/>
  <c r="V132" i="5"/>
  <c r="U97" i="5"/>
  <c r="V97" i="5"/>
  <c r="V273" i="9"/>
  <c r="AI273" i="9"/>
  <c r="AN273" i="9" s="1"/>
  <c r="AO273" i="9" s="1"/>
  <c r="U273" i="9"/>
  <c r="V293" i="5"/>
  <c r="U293" i="5"/>
  <c r="V19" i="5"/>
  <c r="U19" i="5"/>
  <c r="U233" i="5"/>
  <c r="X232" i="5"/>
  <c r="V233" i="5"/>
  <c r="AI233" i="5"/>
  <c r="AJ233" i="5" s="1"/>
  <c r="U270" i="5"/>
  <c r="V270" i="5"/>
  <c r="U144" i="5"/>
  <c r="V144" i="5"/>
  <c r="U152" i="5"/>
  <c r="V152" i="5"/>
  <c r="V218" i="5"/>
  <c r="U218" i="5"/>
  <c r="X238" i="5"/>
  <c r="V239" i="5"/>
  <c r="U239" i="5"/>
  <c r="AI239" i="5"/>
  <c r="AJ239" i="5" s="1"/>
  <c r="X322" i="5"/>
  <c r="AI323" i="5"/>
  <c r="AJ323" i="5" s="1"/>
  <c r="V323" i="5"/>
  <c r="W322" i="5" s="1"/>
  <c r="U323" i="5"/>
  <c r="U121" i="5"/>
  <c r="V121" i="5"/>
  <c r="V36" i="5"/>
  <c r="U36" i="5"/>
  <c r="V231" i="5"/>
  <c r="U18" i="5"/>
  <c r="V18" i="5"/>
  <c r="AI191" i="5"/>
  <c r="AJ191" i="5" s="1"/>
  <c r="V191" i="5"/>
  <c r="X190" i="5"/>
  <c r="U191" i="5"/>
  <c r="U219" i="5"/>
  <c r="V219" i="5"/>
  <c r="V343" i="5"/>
  <c r="AI343" i="5"/>
  <c r="AJ343" i="5" s="1"/>
  <c r="U343" i="5"/>
  <c r="X342" i="5"/>
  <c r="U116" i="5"/>
  <c r="V116" i="5"/>
  <c r="V135" i="5"/>
  <c r="U135" i="5"/>
  <c r="U233" i="9"/>
  <c r="AI233" i="9"/>
  <c r="AN233" i="9" s="1"/>
  <c r="AO233" i="9" s="1"/>
  <c r="V233" i="9"/>
  <c r="U127" i="5"/>
  <c r="V127" i="5"/>
  <c r="V137" i="5"/>
  <c r="U137" i="5"/>
  <c r="V203" i="5"/>
  <c r="U203" i="5"/>
  <c r="X202" i="5"/>
  <c r="AI203" i="5"/>
  <c r="AJ203" i="5" s="1"/>
  <c r="V212" i="5"/>
  <c r="U212" i="5"/>
  <c r="V48" i="5"/>
  <c r="V255" i="5"/>
  <c r="U255" i="5"/>
  <c r="U28" i="5"/>
  <c r="V28" i="5"/>
  <c r="AI241" i="9"/>
  <c r="AJ241" i="9" s="1"/>
  <c r="V241" i="9"/>
  <c r="U241" i="9"/>
  <c r="V123" i="5"/>
  <c r="U123" i="5"/>
  <c r="V139" i="5"/>
  <c r="X138" i="5"/>
  <c r="U139" i="5"/>
  <c r="AI139" i="5"/>
  <c r="AJ139" i="5" s="1"/>
  <c r="U272" i="5"/>
  <c r="V272" i="5"/>
  <c r="AI272" i="5"/>
  <c r="AJ272" i="5" s="1"/>
  <c r="V126" i="5"/>
  <c r="U126" i="5"/>
  <c r="U107" i="5"/>
  <c r="V107" i="5"/>
  <c r="V47" i="5"/>
  <c r="U50" i="5"/>
  <c r="X49" i="5"/>
  <c r="AI50" i="5"/>
  <c r="AJ50" i="5" s="1"/>
  <c r="V50" i="5"/>
  <c r="U270" i="9"/>
  <c r="V270" i="9"/>
  <c r="AI270" i="9"/>
  <c r="AN270" i="9" s="1"/>
  <c r="AO270" i="9" s="1"/>
  <c r="U106" i="5"/>
  <c r="V106" i="5"/>
  <c r="U130" i="5"/>
  <c r="V130" i="5"/>
  <c r="V57" i="5"/>
  <c r="U57" i="5"/>
  <c r="V243" i="5"/>
  <c r="U243" i="5"/>
  <c r="V146" i="5"/>
  <c r="U146" i="5"/>
  <c r="U147" i="5"/>
  <c r="V147" i="5"/>
  <c r="U289" i="5"/>
  <c r="V289" i="5"/>
  <c r="V311" i="5"/>
  <c r="U311" i="5"/>
  <c r="AI311" i="5"/>
  <c r="AJ311" i="5" s="1"/>
  <c r="V33" i="5"/>
  <c r="U33" i="5"/>
  <c r="V213" i="5"/>
  <c r="U213" i="5"/>
  <c r="AI209" i="5"/>
  <c r="AJ209" i="5" s="1"/>
  <c r="U209" i="5"/>
  <c r="V209" i="5"/>
  <c r="X208" i="5"/>
  <c r="U180" i="5"/>
  <c r="V180" i="5"/>
  <c r="AI274" i="9"/>
  <c r="AJ274" i="9" s="1"/>
  <c r="U274" i="9"/>
  <c r="V274" i="9"/>
  <c r="V173" i="9"/>
  <c r="U173" i="9"/>
  <c r="U266" i="9"/>
  <c r="V266" i="9"/>
  <c r="AI266" i="9"/>
  <c r="AJ266" i="9" s="1"/>
  <c r="U308" i="5"/>
  <c r="AI308" i="5"/>
  <c r="AJ308" i="5" s="1"/>
  <c r="V308" i="5"/>
  <c r="W307" i="5" s="1"/>
  <c r="X307" i="5"/>
  <c r="U252" i="5"/>
  <c r="V252" i="5"/>
  <c r="AI12" i="5"/>
  <c r="AJ12" i="5" s="1"/>
  <c r="U12" i="5"/>
  <c r="V12" i="5"/>
  <c r="X303" i="5"/>
  <c r="U304" i="5"/>
  <c r="V304" i="5"/>
  <c r="W303" i="5" s="1"/>
  <c r="AI304" i="5"/>
  <c r="AJ304" i="5" s="1"/>
  <c r="U601" i="9"/>
  <c r="V601" i="9"/>
  <c r="W592" i="9" s="1"/>
  <c r="AI601" i="9"/>
  <c r="AN601" i="9" s="1"/>
  <c r="AO601" i="9" s="1"/>
  <c r="V16" i="5"/>
  <c r="AI16" i="5"/>
  <c r="AJ16" i="5" s="1"/>
  <c r="X15" i="5"/>
  <c r="U16" i="5"/>
  <c r="V294" i="5"/>
  <c r="U294" i="5"/>
  <c r="AI502" i="9"/>
  <c r="AJ502" i="9" s="1"/>
  <c r="V502" i="9"/>
  <c r="X247" i="9"/>
  <c r="U502" i="9"/>
  <c r="X501" i="9"/>
  <c r="U63" i="5"/>
  <c r="V63" i="5"/>
  <c r="AI70" i="5"/>
  <c r="AJ70" i="5" s="1"/>
  <c r="V70" i="5"/>
  <c r="U70" i="5"/>
  <c r="X69" i="5"/>
  <c r="U26" i="5"/>
  <c r="V26" i="5"/>
  <c r="V14" i="5"/>
  <c r="V236" i="9"/>
  <c r="AI236" i="9"/>
  <c r="AJ236" i="9" s="1"/>
  <c r="U236" i="9"/>
  <c r="V228" i="5"/>
  <c r="U228" i="5"/>
  <c r="V171" i="5"/>
  <c r="U171" i="5"/>
  <c r="U253" i="9"/>
  <c r="AI253" i="9"/>
  <c r="AJ253" i="9" s="1"/>
  <c r="V253" i="9"/>
  <c r="AI503" i="9"/>
  <c r="AJ503" i="9" s="1"/>
  <c r="V503" i="9"/>
  <c r="U503" i="9"/>
  <c r="U175" i="5"/>
  <c r="V175" i="5"/>
  <c r="U105" i="5"/>
  <c r="V105" i="5"/>
  <c r="U176" i="5"/>
  <c r="V176" i="5"/>
  <c r="U267" i="9"/>
  <c r="V267" i="9"/>
  <c r="AI267" i="9"/>
  <c r="AJ267" i="9" s="1"/>
  <c r="V161" i="5"/>
  <c r="U161" i="5"/>
  <c r="V195" i="5"/>
  <c r="U195" i="5"/>
  <c r="V198" i="5"/>
  <c r="U198" i="5"/>
  <c r="U145" i="5"/>
  <c r="V145" i="5"/>
  <c r="V149" i="5"/>
  <c r="U149" i="5"/>
  <c r="V210" i="5"/>
  <c r="U210" i="5"/>
  <c r="U153" i="5"/>
  <c r="V153" i="5"/>
  <c r="V102" i="5"/>
  <c r="U102" i="5"/>
  <c r="AI379" i="9"/>
  <c r="AJ379" i="9" s="1"/>
  <c r="V379" i="9"/>
  <c r="U379" i="9"/>
  <c r="V27" i="5"/>
  <c r="U27" i="5"/>
  <c r="U216" i="5"/>
  <c r="V216" i="5"/>
  <c r="V331" i="5"/>
  <c r="U331" i="5"/>
  <c r="U98" i="5"/>
  <c r="V98" i="5"/>
  <c r="V110" i="5"/>
  <c r="U110" i="5"/>
  <c r="V269" i="9"/>
  <c r="AI269" i="9"/>
  <c r="AN269" i="9" s="1"/>
  <c r="AO269" i="9" s="1"/>
  <c r="U269" i="9"/>
  <c r="U198" i="9"/>
  <c r="V198" i="9"/>
  <c r="U169" i="5"/>
  <c r="V169" i="5"/>
  <c r="V221" i="5"/>
  <c r="AI221" i="5"/>
  <c r="AJ221" i="5" s="1"/>
  <c r="X220" i="5"/>
  <c r="U221" i="5"/>
  <c r="V204" i="5"/>
  <c r="U204" i="5"/>
  <c r="V291" i="5"/>
  <c r="U291" i="5"/>
  <c r="AI338" i="5"/>
  <c r="AJ338" i="5" s="1"/>
  <c r="V338" i="5"/>
  <c r="U338" i="5"/>
  <c r="X244" i="5"/>
  <c r="U245" i="5"/>
  <c r="V245" i="5"/>
  <c r="AI245" i="5"/>
  <c r="AJ245" i="5" s="1"/>
  <c r="V224" i="5"/>
  <c r="U224" i="5"/>
  <c r="U301" i="5"/>
  <c r="V301" i="5"/>
  <c r="U290" i="5"/>
  <c r="V290" i="5"/>
  <c r="V227" i="5"/>
  <c r="U227" i="5"/>
  <c r="AI227" i="5"/>
  <c r="AJ227" i="5" s="1"/>
  <c r="V505" i="9"/>
  <c r="W250" i="9" s="1"/>
  <c r="U505" i="9"/>
  <c r="AI505" i="9"/>
  <c r="AJ505" i="9" s="1"/>
  <c r="X250" i="9"/>
  <c r="X504" i="9"/>
  <c r="V229" i="5"/>
  <c r="V316" i="5"/>
  <c r="U316" i="5"/>
  <c r="U21" i="5"/>
  <c r="V21" i="5"/>
  <c r="U96" i="5"/>
  <c r="V96" i="5"/>
  <c r="V179" i="5"/>
  <c r="U179" i="5"/>
  <c r="AI327" i="5"/>
  <c r="AJ327" i="5" s="1"/>
  <c r="X326" i="5"/>
  <c r="U327" i="5"/>
  <c r="V327" i="5"/>
  <c r="W326" i="5" s="1"/>
  <c r="V242" i="5"/>
  <c r="U242" i="5"/>
  <c r="V287" i="5"/>
  <c r="U287" i="5"/>
  <c r="U275" i="9"/>
  <c r="V275" i="9"/>
  <c r="AI275" i="9"/>
  <c r="AJ275" i="9" s="1"/>
  <c r="X328" i="5"/>
  <c r="V329" i="5"/>
  <c r="U329" i="5"/>
  <c r="AI329" i="5"/>
  <c r="AJ329" i="5" s="1"/>
  <c r="U174" i="5"/>
  <c r="V174" i="5"/>
  <c r="V23" i="5"/>
  <c r="U23" i="5"/>
  <c r="V52" i="5"/>
  <c r="U52" i="5"/>
  <c r="V35" i="5"/>
  <c r="U35" i="5"/>
  <c r="AI35" i="5"/>
  <c r="AJ35" i="5" s="1"/>
  <c r="X34" i="5"/>
  <c r="V76" i="5"/>
  <c r="U76" i="5"/>
  <c r="V131" i="5"/>
  <c r="U131" i="5"/>
  <c r="V262" i="5"/>
  <c r="U262" i="5"/>
  <c r="U278" i="9"/>
  <c r="V278" i="9"/>
  <c r="AI278" i="9"/>
  <c r="AJ278" i="9" s="1"/>
  <c r="V257" i="5"/>
  <c r="U257" i="5"/>
  <c r="AI257" i="5"/>
  <c r="AJ257" i="5" s="1"/>
  <c r="X256" i="5"/>
  <c r="U62" i="5"/>
  <c r="V62" i="5"/>
  <c r="V117" i="5"/>
  <c r="U117" i="5"/>
  <c r="U187" i="5"/>
  <c r="V187" i="5"/>
  <c r="U186" i="5"/>
  <c r="V186" i="5"/>
  <c r="U211" i="5"/>
  <c r="V211" i="5"/>
  <c r="V51" i="5"/>
  <c r="U51" i="5"/>
  <c r="U260" i="5"/>
  <c r="V260" i="5"/>
  <c r="V67" i="5"/>
  <c r="U67" i="5"/>
  <c r="U240" i="9"/>
  <c r="AI240" i="9"/>
  <c r="AN240" i="9" s="1"/>
  <c r="AO240" i="9" s="1"/>
  <c r="V240" i="9"/>
  <c r="V302" i="5"/>
  <c r="U302" i="5"/>
  <c r="V156" i="5"/>
  <c r="U156" i="5"/>
  <c r="V296" i="5"/>
  <c r="U296" i="5"/>
  <c r="V268" i="5"/>
  <c r="U268" i="5"/>
  <c r="V265" i="5"/>
  <c r="U265" i="5"/>
  <c r="V45" i="5"/>
  <c r="V164" i="5"/>
  <c r="U164" i="5"/>
  <c r="AI64" i="9"/>
  <c r="AJ64" i="9" s="1"/>
  <c r="V64" i="9"/>
  <c r="U64" i="9"/>
  <c r="U315" i="5"/>
  <c r="V315" i="5"/>
  <c r="AI315" i="5"/>
  <c r="AJ315" i="5" s="1"/>
  <c r="X314" i="5"/>
  <c r="V201" i="5"/>
  <c r="AI254" i="9"/>
  <c r="AJ254" i="9" s="1"/>
  <c r="U254" i="9"/>
  <c r="V254" i="9"/>
  <c r="U31" i="5"/>
  <c r="V31" i="5"/>
  <c r="U136" i="5"/>
  <c r="V136" i="5"/>
  <c r="U129" i="5"/>
  <c r="V129" i="5"/>
  <c r="V247" i="5"/>
  <c r="U247" i="5"/>
  <c r="X92" i="5"/>
  <c r="V93" i="5"/>
  <c r="U93" i="5"/>
  <c r="AI93" i="5"/>
  <c r="AJ93" i="5" s="1"/>
  <c r="U261" i="5"/>
  <c r="V261" i="5"/>
  <c r="U246" i="5"/>
  <c r="V246" i="5"/>
  <c r="V17" i="5"/>
  <c r="U17" i="5"/>
  <c r="U440" i="9"/>
  <c r="V440" i="9"/>
  <c r="AI440" i="9"/>
  <c r="AJ440" i="9" s="1"/>
  <c r="U81" i="5"/>
  <c r="V81" i="5"/>
  <c r="U85" i="5"/>
  <c r="V85" i="5"/>
  <c r="V254" i="5"/>
  <c r="U254" i="5"/>
  <c r="V44" i="5"/>
  <c r="X114" i="5"/>
  <c r="U115" i="5"/>
  <c r="V115" i="5"/>
  <c r="AI115" i="5"/>
  <c r="AJ115" i="5" s="1"/>
  <c r="U188" i="5"/>
  <c r="V188" i="5"/>
  <c r="U172" i="5"/>
  <c r="V172" i="5"/>
  <c r="U181" i="5"/>
  <c r="V181" i="5"/>
  <c r="V101" i="5"/>
  <c r="U101" i="5"/>
  <c r="V240" i="5"/>
  <c r="U240" i="5"/>
  <c r="V269" i="5"/>
  <c r="U269" i="5"/>
  <c r="U61" i="5"/>
  <c r="V61" i="5"/>
  <c r="V91" i="5"/>
  <c r="U91" i="5"/>
  <c r="V22" i="5"/>
  <c r="U22" i="5"/>
  <c r="V55" i="5"/>
  <c r="U55" i="5"/>
  <c r="V53" i="5"/>
  <c r="U53" i="5"/>
  <c r="V276" i="9"/>
  <c r="U276" i="9"/>
  <c r="AI276" i="9"/>
  <c r="AJ276" i="9" s="1"/>
  <c r="V155" i="5"/>
  <c r="U155" i="5"/>
  <c r="V182" i="5"/>
  <c r="U182" i="5"/>
  <c r="U99" i="5"/>
  <c r="V99" i="5"/>
  <c r="U234" i="5"/>
  <c r="V234" i="5"/>
  <c r="U88" i="5"/>
  <c r="V88" i="5"/>
  <c r="U207" i="5"/>
  <c r="V207" i="5"/>
  <c r="V30" i="5"/>
  <c r="U30" i="5"/>
  <c r="U297" i="5"/>
  <c r="V297" i="5"/>
  <c r="V236" i="5"/>
  <c r="U236" i="5"/>
  <c r="V25" i="5"/>
  <c r="X24" i="5"/>
  <c r="U25" i="5"/>
  <c r="AI25" i="5"/>
  <c r="AJ25" i="5" s="1"/>
  <c r="AI251" i="5"/>
  <c r="AJ251" i="5" s="1"/>
  <c r="U251" i="5"/>
  <c r="V251" i="5"/>
  <c r="X250" i="5"/>
  <c r="V20" i="5"/>
  <c r="U20" i="5"/>
  <c r="V222" i="5"/>
  <c r="U222" i="5"/>
  <c r="V319" i="5"/>
  <c r="W318" i="5" s="1"/>
  <c r="X318" i="5"/>
  <c r="AI319" i="5"/>
  <c r="AJ319" i="5" s="1"/>
  <c r="U319" i="5"/>
  <c r="V73" i="5"/>
  <c r="U73" i="5"/>
  <c r="AI459" i="9"/>
  <c r="AJ459" i="9" s="1"/>
  <c r="V459" i="9"/>
  <c r="U459" i="9"/>
  <c r="U170" i="5"/>
  <c r="V170" i="5"/>
  <c r="V120" i="5"/>
  <c r="U120" i="5"/>
  <c r="V77" i="5"/>
  <c r="U77" i="5"/>
  <c r="V178" i="5"/>
  <c r="U178" i="5"/>
  <c r="U141" i="5"/>
  <c r="V141" i="5"/>
  <c r="AI216" i="9"/>
  <c r="AJ216" i="9" s="1"/>
  <c r="V216" i="9"/>
  <c r="U216" i="9"/>
  <c r="U32" i="5"/>
  <c r="V32" i="5"/>
  <c r="V90" i="5"/>
  <c r="U90" i="5"/>
  <c r="V72" i="5"/>
  <c r="U72" i="5"/>
  <c r="U113" i="5"/>
  <c r="V113" i="5"/>
  <c r="U80" i="5"/>
  <c r="X79" i="5"/>
  <c r="V80" i="5"/>
  <c r="AI80" i="5"/>
  <c r="AJ80" i="5" s="1"/>
  <c r="V60" i="5"/>
  <c r="U60" i="5"/>
  <c r="X59" i="5"/>
  <c r="AI60" i="5"/>
  <c r="AJ60" i="5" s="1"/>
  <c r="AI271" i="9"/>
  <c r="AN271" i="9" s="1"/>
  <c r="AO271" i="9" s="1"/>
  <c r="U271" i="9"/>
  <c r="V271" i="9"/>
  <c r="AI168" i="5"/>
  <c r="AJ168" i="5" s="1"/>
  <c r="X167" i="5"/>
  <c r="U168" i="5"/>
  <c r="V168" i="5"/>
  <c r="AI65" i="5"/>
  <c r="AJ65" i="5" s="1"/>
  <c r="U65" i="5"/>
  <c r="V65" i="5"/>
  <c r="X64" i="5"/>
  <c r="U194" i="5"/>
  <c r="V194" i="5"/>
  <c r="V652" i="9"/>
  <c r="W643" i="9" s="1"/>
  <c r="AI652" i="9"/>
  <c r="AJ652" i="9" s="1"/>
  <c r="U652" i="9"/>
  <c r="AI104" i="5"/>
  <c r="AJ104" i="5" s="1"/>
  <c r="X103" i="5"/>
  <c r="V104" i="5"/>
  <c r="U104" i="5"/>
  <c r="U325" i="5"/>
  <c r="AI325" i="5"/>
  <c r="AJ325" i="5" s="1"/>
  <c r="X324" i="5"/>
  <c r="V325" i="5"/>
  <c r="W324" i="5" s="1"/>
  <c r="V66" i="5"/>
  <c r="U66" i="5"/>
  <c r="V267" i="5"/>
  <c r="U267" i="5"/>
  <c r="U235" i="9"/>
  <c r="AI235" i="9"/>
  <c r="AN235" i="9" s="1"/>
  <c r="AO235" i="9" s="1"/>
  <c r="V235" i="9"/>
  <c r="V241" i="5"/>
  <c r="U241" i="5"/>
  <c r="AI310" i="5"/>
  <c r="AJ310" i="5" s="1"/>
  <c r="U310" i="5"/>
  <c r="V310" i="5"/>
  <c r="X309" i="5"/>
  <c r="U223" i="5"/>
  <c r="V223" i="5"/>
  <c r="U150" i="5"/>
  <c r="V150" i="5"/>
  <c r="X334" i="5"/>
  <c r="V335" i="5"/>
  <c r="W334" i="5" s="1"/>
  <c r="U335" i="5"/>
  <c r="AI335" i="5"/>
  <c r="AJ335" i="5" s="1"/>
  <c r="V133" i="5"/>
  <c r="U133" i="5"/>
  <c r="X415" i="9"/>
  <c r="AI151" i="9"/>
  <c r="AJ151" i="9" s="1"/>
  <c r="V151" i="9"/>
  <c r="W415" i="9" s="1"/>
  <c r="U151" i="9"/>
  <c r="V166" i="5"/>
  <c r="U166" i="5"/>
  <c r="U86" i="5"/>
  <c r="V86" i="5"/>
  <c r="U230" i="9"/>
  <c r="AI230" i="9"/>
  <c r="AJ230" i="9" s="1"/>
  <c r="V230" i="9"/>
  <c r="U263" i="5"/>
  <c r="V263" i="5"/>
  <c r="U205" i="5"/>
  <c r="V205" i="5"/>
  <c r="V206" i="5"/>
  <c r="U206" i="5"/>
  <c r="V197" i="5"/>
  <c r="U197" i="5"/>
  <c r="AI197" i="5"/>
  <c r="AJ197" i="5" s="1"/>
  <c r="V84" i="5"/>
  <c r="U84" i="5"/>
  <c r="V122" i="5"/>
  <c r="U122" i="5"/>
  <c r="U165" i="5"/>
  <c r="V165" i="5"/>
  <c r="U68" i="5"/>
  <c r="V68" i="5"/>
  <c r="U258" i="5"/>
  <c r="V258" i="5"/>
  <c r="V183" i="5"/>
  <c r="U183" i="5"/>
  <c r="V154" i="5"/>
  <c r="U154" i="5"/>
  <c r="AI305" i="9"/>
  <c r="AJ305" i="9" s="1"/>
  <c r="U305" i="9"/>
  <c r="V305" i="9"/>
  <c r="V41" i="5"/>
  <c r="U41" i="5"/>
  <c r="V71" i="5"/>
  <c r="U71" i="5"/>
  <c r="U237" i="5"/>
  <c r="V237" i="5"/>
  <c r="V82" i="5"/>
  <c r="U82" i="5"/>
  <c r="U124" i="5"/>
  <c r="V124" i="5"/>
  <c r="V253" i="5"/>
  <c r="U253" i="5"/>
  <c r="V46" i="5"/>
  <c r="V108" i="5"/>
  <c r="U108" i="5"/>
  <c r="U237" i="9"/>
  <c r="AI237" i="9"/>
  <c r="AJ237" i="9" s="1"/>
  <c r="V237" i="9"/>
  <c r="U112" i="5"/>
  <c r="V112" i="5"/>
  <c r="V42" i="5"/>
  <c r="U140" i="5"/>
  <c r="V140" i="5"/>
  <c r="X312" i="5"/>
  <c r="AI313" i="5"/>
  <c r="AJ313" i="5" s="1"/>
  <c r="V313" i="5"/>
  <c r="W312" i="5" s="1"/>
  <c r="U313" i="5"/>
  <c r="U125" i="5"/>
  <c r="V125" i="5"/>
  <c r="U238" i="9"/>
  <c r="V238" i="9"/>
  <c r="AI238" i="9"/>
  <c r="AJ238" i="9" s="1"/>
  <c r="U330" i="5"/>
  <c r="V330" i="5"/>
  <c r="U189" i="5"/>
  <c r="V189" i="5"/>
  <c r="V158" i="5"/>
  <c r="U158" i="5"/>
  <c r="X320" i="5"/>
  <c r="AI321" i="5"/>
  <c r="AJ321" i="5" s="1"/>
  <c r="U321" i="5"/>
  <c r="V321" i="5"/>
  <c r="W320" i="5" s="1"/>
  <c r="U300" i="5"/>
  <c r="AI300" i="5"/>
  <c r="AJ300" i="5" s="1"/>
  <c r="V300" i="5"/>
  <c r="X299" i="5"/>
  <c r="V56" i="5"/>
  <c r="U56" i="5"/>
  <c r="V259" i="9"/>
  <c r="U259" i="9"/>
  <c r="AI259" i="9"/>
  <c r="AJ259" i="9" s="1"/>
  <c r="V235" i="5"/>
  <c r="U235" i="5"/>
  <c r="U109" i="5"/>
  <c r="V109" i="5"/>
  <c r="V40" i="5"/>
  <c r="U40" i="5"/>
  <c r="AI40" i="5"/>
  <c r="AJ40" i="5" s="1"/>
  <c r="AI18" i="9"/>
  <c r="AJ18" i="9" s="1"/>
  <c r="U18" i="9"/>
  <c r="V18" i="9"/>
  <c r="U94" i="5"/>
  <c r="V94" i="5"/>
  <c r="V292" i="5"/>
  <c r="U292" i="5"/>
  <c r="V100" i="5"/>
  <c r="U100" i="5"/>
  <c r="V58" i="5"/>
  <c r="U58" i="5"/>
  <c r="U263" i="9"/>
  <c r="V263" i="9"/>
  <c r="AI263" i="9"/>
  <c r="AJ263" i="9" s="1"/>
  <c r="X74" i="5"/>
  <c r="V75" i="5"/>
  <c r="AI75" i="5"/>
  <c r="AJ75" i="5" s="1"/>
  <c r="U75" i="5"/>
  <c r="U257" i="9"/>
  <c r="V257" i="9"/>
  <c r="AI257" i="9"/>
  <c r="AJ257" i="9" s="1"/>
  <c r="V248" i="5"/>
  <c r="U248" i="5"/>
  <c r="V43" i="5"/>
  <c r="V13" i="5"/>
  <c r="U288" i="5"/>
  <c r="V288" i="5"/>
  <c r="U173" i="5"/>
  <c r="V173" i="5"/>
  <c r="U177" i="5"/>
  <c r="V177" i="5"/>
  <c r="V38" i="5"/>
  <c r="U38" i="5"/>
  <c r="AI262" i="9"/>
  <c r="AJ262" i="9" s="1"/>
  <c r="V262" i="9"/>
  <c r="U262" i="9"/>
  <c r="V148" i="5"/>
  <c r="U148" i="5"/>
  <c r="V268" i="9"/>
  <c r="AI268" i="9"/>
  <c r="AJ268" i="9" s="1"/>
  <c r="U268" i="9"/>
  <c r="U159" i="5"/>
  <c r="V159" i="5"/>
  <c r="V160" i="5"/>
  <c r="U160" i="5"/>
  <c r="V264" i="5"/>
  <c r="U264" i="5"/>
  <c r="X118" i="5"/>
  <c r="AI119" i="5"/>
  <c r="AJ119" i="5" s="1"/>
  <c r="U119" i="5"/>
  <c r="V119" i="5"/>
  <c r="V295" i="5"/>
  <c r="U295" i="5"/>
  <c r="U95" i="5"/>
  <c r="V95" i="5"/>
  <c r="V337" i="5"/>
  <c r="X336" i="5"/>
  <c r="U337" i="5"/>
  <c r="AI337" i="5"/>
  <c r="AJ337" i="5" s="1"/>
  <c r="V37" i="5"/>
  <c r="U37" i="5"/>
  <c r="U134" i="5"/>
  <c r="V134" i="5"/>
  <c r="U255" i="9"/>
  <c r="AI255" i="9"/>
  <c r="AJ255" i="9" s="1"/>
  <c r="V255" i="9"/>
  <c r="U286" i="5"/>
  <c r="V286" i="5"/>
  <c r="U193" i="5"/>
  <c r="V193" i="5"/>
  <c r="AI258" i="9"/>
  <c r="AJ258" i="9" s="1"/>
  <c r="V258" i="9"/>
  <c r="U258" i="9"/>
  <c r="V225" i="5"/>
  <c r="U225" i="5"/>
  <c r="U78" i="5"/>
  <c r="V78" i="5"/>
  <c r="V157" i="5"/>
  <c r="U157" i="5"/>
  <c r="U285" i="5"/>
  <c r="AI285" i="5"/>
  <c r="AJ285" i="5" s="1"/>
  <c r="V285" i="5"/>
  <c r="X284" i="5"/>
  <c r="V128" i="5"/>
  <c r="U128" i="5"/>
  <c r="U273" i="5"/>
  <c r="V273" i="5"/>
  <c r="V162" i="5"/>
  <c r="U162" i="5"/>
  <c r="V163" i="5"/>
  <c r="U163" i="5"/>
  <c r="V259" i="5"/>
  <c r="U259" i="5"/>
  <c r="AI11" i="5"/>
  <c r="AJ11" i="5" s="1"/>
  <c r="V11" i="5"/>
  <c r="U11" i="5"/>
  <c r="AP12" i="5" s="1"/>
  <c r="AP13" i="5" s="1"/>
  <c r="AP14" i="5" s="1"/>
  <c r="AI103" i="9"/>
  <c r="AJ103" i="9" s="1"/>
  <c r="V103" i="9"/>
  <c r="U103" i="9"/>
  <c r="V83" i="5"/>
  <c r="U83" i="5"/>
  <c r="X214" i="5"/>
  <c r="V215" i="5"/>
  <c r="U215" i="5"/>
  <c r="AI215" i="5"/>
  <c r="AJ215" i="5" s="1"/>
  <c r="V142" i="5"/>
  <c r="U142" i="5"/>
  <c r="V245" i="9"/>
  <c r="AI245" i="9"/>
  <c r="AN245" i="9" s="1"/>
  <c r="AO245" i="9" s="1"/>
  <c r="U245" i="9"/>
  <c r="AI333" i="5"/>
  <c r="AJ333" i="5" s="1"/>
  <c r="V333" i="5"/>
  <c r="W332" i="5" s="1"/>
  <c r="U333" i="5"/>
  <c r="X332" i="5"/>
  <c r="V298" i="5"/>
  <c r="U298" i="5"/>
  <c r="U87" i="5"/>
  <c r="V87" i="5"/>
  <c r="U249" i="5"/>
  <c r="V249" i="5"/>
  <c r="AI232" i="9"/>
  <c r="AJ232" i="9" s="1"/>
  <c r="U232" i="9"/>
  <c r="V232" i="9"/>
  <c r="V29" i="5"/>
  <c r="U29" i="5"/>
  <c r="U192" i="5"/>
  <c r="V192" i="5"/>
  <c r="AI231" i="9"/>
  <c r="AJ231" i="9" s="1"/>
  <c r="U231" i="9"/>
  <c r="V231" i="9"/>
  <c r="U111" i="5"/>
  <c r="V111" i="5"/>
  <c r="V317" i="5"/>
  <c r="U317" i="5"/>
  <c r="X184" i="5"/>
  <c r="V185" i="5"/>
  <c r="U185" i="5"/>
  <c r="AI185" i="5"/>
  <c r="AJ185" i="5" s="1"/>
  <c r="V306" i="5"/>
  <c r="W305" i="5" s="1"/>
  <c r="U306" i="5"/>
  <c r="AI306" i="5"/>
  <c r="AJ306" i="5" s="1"/>
  <c r="X305" i="5"/>
  <c r="U266" i="5"/>
  <c r="V266" i="5"/>
  <c r="U344" i="5"/>
  <c r="AI344" i="5"/>
  <c r="AJ344" i="5" s="1"/>
  <c r="V344" i="5"/>
  <c r="U217" i="5"/>
  <c r="V217" i="5"/>
  <c r="U151" i="5"/>
  <c r="V151" i="5"/>
  <c r="V461" i="9"/>
  <c r="AI461" i="9"/>
  <c r="AN461" i="9" s="1"/>
  <c r="AO461" i="9" s="1"/>
  <c r="U461" i="9"/>
  <c r="AI120" i="5"/>
  <c r="AJ120" i="5" s="1"/>
  <c r="AI273" i="5"/>
  <c r="AN273" i="5" s="1"/>
  <c r="AO273" i="5" s="1"/>
  <c r="AI331" i="5"/>
  <c r="AN331" i="5" s="1"/>
  <c r="AI198" i="5"/>
  <c r="AJ198" i="5" s="1"/>
  <c r="AI81" i="5"/>
  <c r="AJ81" i="5" s="1"/>
  <c r="AI173" i="9"/>
  <c r="AJ173" i="9" s="1"/>
  <c r="AI234" i="5"/>
  <c r="AJ234" i="5" s="1"/>
  <c r="AI258" i="5"/>
  <c r="AJ258" i="5" s="1"/>
  <c r="AI51" i="5"/>
  <c r="AJ51" i="5" s="1"/>
  <c r="AI302" i="5"/>
  <c r="AN302" i="5" s="1"/>
  <c r="AI41" i="5"/>
  <c r="AJ41" i="5" s="1"/>
  <c r="AI94" i="5"/>
  <c r="AN94" i="5" s="1"/>
  <c r="U229" i="5"/>
  <c r="AI26" i="5"/>
  <c r="AJ26" i="5" s="1"/>
  <c r="AI36" i="5"/>
  <c r="AN36" i="5" s="1"/>
  <c r="U14" i="5"/>
  <c r="AI186" i="5"/>
  <c r="AN186" i="5" s="1"/>
  <c r="AI301" i="5"/>
  <c r="AJ301" i="5" s="1"/>
  <c r="AI61" i="5"/>
  <c r="AN61" i="5" s="1"/>
  <c r="AI14" i="5"/>
  <c r="AJ14" i="5" s="1"/>
  <c r="AI192" i="5"/>
  <c r="AJ192" i="5" s="1"/>
  <c r="AI216" i="5"/>
  <c r="AJ216" i="5" s="1"/>
  <c r="AI317" i="5"/>
  <c r="AJ317" i="5" s="1"/>
  <c r="AI210" i="5"/>
  <c r="AJ210" i="5" s="1"/>
  <c r="AI252" i="5"/>
  <c r="AJ252" i="5" s="1"/>
  <c r="AI140" i="5"/>
  <c r="AJ140" i="5" s="1"/>
  <c r="AI13" i="5"/>
  <c r="AJ13" i="5" s="1"/>
  <c r="AI316" i="5"/>
  <c r="AJ316" i="5" s="1"/>
  <c r="AI222" i="5"/>
  <c r="AJ222" i="5" s="1"/>
  <c r="AI330" i="5"/>
  <c r="AJ330" i="5" s="1"/>
  <c r="AI66" i="5"/>
  <c r="AJ66" i="5" s="1"/>
  <c r="AI105" i="5"/>
  <c r="AJ105" i="5" s="1"/>
  <c r="AI116" i="5"/>
  <c r="AJ116" i="5" s="1"/>
  <c r="AI286" i="5"/>
  <c r="AJ286" i="5" s="1"/>
  <c r="AI204" i="5"/>
  <c r="AJ204" i="5" s="1"/>
  <c r="U42" i="5"/>
  <c r="AI228" i="5"/>
  <c r="AJ228" i="5" s="1"/>
  <c r="AI17" i="5"/>
  <c r="AN17" i="5" s="1"/>
  <c r="AI71" i="5"/>
  <c r="AJ71" i="5" s="1"/>
  <c r="AI117" i="5"/>
  <c r="AJ117" i="5" s="1"/>
  <c r="AI169" i="5"/>
  <c r="AJ169" i="5" s="1"/>
  <c r="AI240" i="5"/>
  <c r="AN240" i="5" s="1"/>
  <c r="AI76" i="5"/>
  <c r="AJ76" i="5" s="1"/>
  <c r="AI246" i="5"/>
  <c r="AJ246" i="5" s="1"/>
  <c r="V382" i="9"/>
  <c r="V462" i="9"/>
  <c r="AI462" i="9"/>
  <c r="AJ462" i="9" s="1"/>
  <c r="AI478" i="9"/>
  <c r="AJ478" i="9" s="1"/>
  <c r="V478" i="9"/>
  <c r="AS626" i="9"/>
  <c r="AT626" i="9" s="1"/>
  <c r="AO98" i="9"/>
  <c r="AS98" i="9"/>
  <c r="AS167" i="9"/>
  <c r="AT167" i="9" s="1"/>
  <c r="AO167" i="9"/>
  <c r="AS555" i="9"/>
  <c r="AT555" i="9" s="1"/>
  <c r="AX342" i="9"/>
  <c r="AY342" i="9" s="1"/>
  <c r="AO342" i="9"/>
  <c r="AX441" i="9"/>
  <c r="AY441" i="9" s="1"/>
  <c r="AS624" i="9"/>
  <c r="AT624" i="9" s="1"/>
  <c r="AS472" i="9"/>
  <c r="AT472" i="9" s="1"/>
  <c r="AS474" i="9"/>
  <c r="AT474" i="9" s="1"/>
  <c r="AS419" i="9"/>
  <c r="AT419" i="9" s="1"/>
  <c r="AS671" i="9"/>
  <c r="AT671" i="9" s="1"/>
  <c r="AS632" i="9"/>
  <c r="AT632" i="9" s="1"/>
  <c r="AS436" i="9"/>
  <c r="AT436" i="9" s="1"/>
  <c r="AS377" i="9"/>
  <c r="AT377" i="9" s="1"/>
  <c r="AS299" i="9"/>
  <c r="AX599" i="9"/>
  <c r="AY599" i="9" s="1"/>
  <c r="AS378" i="9"/>
  <c r="AT378" i="9" s="1"/>
  <c r="AS648" i="9"/>
  <c r="AT648" i="9" s="1"/>
  <c r="AS100" i="9"/>
  <c r="AT100" i="9" s="1"/>
  <c r="AS213" i="9"/>
  <c r="AX213" i="9" s="1"/>
  <c r="AY213" i="9" s="1"/>
  <c r="AO146" i="9"/>
  <c r="AS422" i="9"/>
  <c r="AX422" i="9" s="1"/>
  <c r="AY422" i="9" s="1"/>
  <c r="AO599" i="9"/>
  <c r="AS374" i="9"/>
  <c r="AT374" i="9" s="1"/>
  <c r="AS625" i="9"/>
  <c r="AT625" i="9" s="1"/>
  <c r="AS301" i="9"/>
  <c r="AT301" i="9" s="1"/>
  <c r="AS168" i="9"/>
  <c r="AT168" i="9" s="1"/>
  <c r="AS670" i="9"/>
  <c r="AT670" i="9" s="1"/>
  <c r="AO551" i="9"/>
  <c r="AX146" i="9"/>
  <c r="AY146" i="9" s="1"/>
  <c r="AS630" i="9"/>
  <c r="AT630" i="9" s="1"/>
  <c r="AS344" i="9"/>
  <c r="AT344" i="9" s="1"/>
  <c r="AS169" i="9"/>
  <c r="AT169" i="9" s="1"/>
  <c r="AO477" i="9"/>
  <c r="AS147" i="9"/>
  <c r="AX147" i="9" s="1"/>
  <c r="AY147" i="9" s="1"/>
  <c r="AS348" i="5"/>
  <c r="AT348" i="5" s="1"/>
  <c r="AS596" i="9"/>
  <c r="AT596" i="9" s="1"/>
  <c r="AS418" i="9"/>
  <c r="AT418" i="9" s="1"/>
  <c r="AS437" i="9"/>
  <c r="AX437" i="9" s="1"/>
  <c r="AY437" i="9" s="1"/>
  <c r="AS362" i="5"/>
  <c r="AT362" i="5" s="1"/>
  <c r="AS434" i="9"/>
  <c r="AT434" i="9" s="1"/>
  <c r="AS170" i="9"/>
  <c r="AT170" i="9" s="1"/>
  <c r="AX651" i="9"/>
  <c r="AY651" i="9" s="1"/>
  <c r="AS646" i="9"/>
  <c r="AT646" i="9" s="1"/>
  <c r="AS366" i="5"/>
  <c r="AT366" i="5" s="1"/>
  <c r="AS473" i="9"/>
  <c r="AT473" i="9" s="1"/>
  <c r="AS417" i="9"/>
  <c r="AT417" i="9" s="1"/>
  <c r="AS675" i="9"/>
  <c r="AT675" i="9" s="1"/>
  <c r="AS62" i="9"/>
  <c r="AT62" i="9" s="1"/>
  <c r="AS302" i="9"/>
  <c r="AT302" i="9" s="1"/>
  <c r="AS475" i="9"/>
  <c r="AX475" i="9" s="1"/>
  <c r="AY475" i="9" s="1"/>
  <c r="AO347" i="9"/>
  <c r="AS469" i="9"/>
  <c r="AT469" i="9" s="1"/>
  <c r="AS553" i="9"/>
  <c r="AT553" i="9" s="1"/>
  <c r="AS674" i="9"/>
  <c r="AT674" i="9" s="1"/>
  <c r="AS214" i="9"/>
  <c r="AT214" i="9" s="1"/>
  <c r="AS16" i="9"/>
  <c r="AT16" i="9" s="1"/>
  <c r="AS468" i="9"/>
  <c r="AT468" i="9" s="1"/>
  <c r="AS439" i="9"/>
  <c r="AT439" i="9" s="1"/>
  <c r="AX191" i="9"/>
  <c r="AY191" i="9" s="1"/>
  <c r="AS556" i="9"/>
  <c r="AX556" i="9" s="1"/>
  <c r="AY556" i="9" s="1"/>
  <c r="AS346" i="5"/>
  <c r="AT346" i="5" s="1"/>
  <c r="AX59" i="9"/>
  <c r="AY59" i="9" s="1"/>
  <c r="AS420" i="9"/>
  <c r="AT420" i="9" s="1"/>
  <c r="AS101" i="9"/>
  <c r="AT101" i="9" s="1"/>
  <c r="AS631" i="9"/>
  <c r="AT631" i="9" s="1"/>
  <c r="AO191" i="9"/>
  <c r="AS661" i="9"/>
  <c r="AT661" i="9" s="1"/>
  <c r="AS354" i="5"/>
  <c r="AT354" i="5" s="1"/>
  <c r="AS148" i="9"/>
  <c r="AT148" i="9" s="1"/>
  <c r="AS298" i="9"/>
  <c r="AT298" i="9" s="1"/>
  <c r="AS145" i="9"/>
  <c r="AT145" i="9" s="1"/>
  <c r="AO59" i="9"/>
  <c r="AS647" i="9"/>
  <c r="AT647" i="9" s="1"/>
  <c r="AS557" i="9"/>
  <c r="AT557" i="9" s="1"/>
  <c r="AS376" i="9"/>
  <c r="AT376" i="9" s="1"/>
  <c r="AS677" i="9"/>
  <c r="AT677" i="9" s="1"/>
  <c r="AX341" i="9"/>
  <c r="AY341" i="9" s="1"/>
  <c r="AS554" i="9"/>
  <c r="AT554" i="9" s="1"/>
  <c r="AS598" i="9"/>
  <c r="AT598" i="9" s="1"/>
  <c r="AO341" i="9"/>
  <c r="AT664" i="9"/>
  <c r="AS645" i="9"/>
  <c r="AT645" i="9" s="1"/>
  <c r="AS455" i="9"/>
  <c r="AT455" i="9" s="1"/>
  <c r="AS628" i="9"/>
  <c r="AT628" i="9" s="1"/>
  <c r="AS166" i="9"/>
  <c r="AT166" i="9" s="1"/>
  <c r="AS346" i="9"/>
  <c r="AT346" i="9" s="1"/>
  <c r="AS594" i="9"/>
  <c r="AT594" i="9" s="1"/>
  <c r="AO438" i="9"/>
  <c r="AS99" i="9"/>
  <c r="AX99" i="9" s="1"/>
  <c r="AY99" i="9" s="1"/>
  <c r="AS364" i="5"/>
  <c r="AT364" i="5" s="1"/>
  <c r="AS649" i="9"/>
  <c r="AT649" i="9" s="1"/>
  <c r="AS593" i="9"/>
  <c r="AT593" i="9" s="1"/>
  <c r="AS60" i="9"/>
  <c r="AT60" i="9" s="1"/>
  <c r="AS650" i="9"/>
  <c r="AT650" i="9" s="1"/>
  <c r="AS195" i="9"/>
  <c r="AT195" i="9" s="1"/>
  <c r="AO458" i="9"/>
  <c r="AS416" i="9"/>
  <c r="AT416" i="9" s="1"/>
  <c r="AS676" i="9"/>
  <c r="AX676" i="9" s="1"/>
  <c r="AY676" i="9" s="1"/>
  <c r="AS12" i="9"/>
  <c r="AT12" i="9" s="1"/>
  <c r="AS97" i="9"/>
  <c r="AT97" i="9" s="1"/>
  <c r="AS14" i="9"/>
  <c r="AX14" i="9" s="1"/>
  <c r="AY14" i="9" s="1"/>
  <c r="AS171" i="9"/>
  <c r="AT171" i="9" s="1"/>
  <c r="AT194" i="9"/>
  <c r="AS212" i="9"/>
  <c r="AT212" i="9" s="1"/>
  <c r="AS300" i="9"/>
  <c r="AT300" i="9" s="1"/>
  <c r="AS659" i="9"/>
  <c r="AT659" i="9" s="1"/>
  <c r="AS15" i="9"/>
  <c r="AT15" i="9" s="1"/>
  <c r="AS663" i="9"/>
  <c r="AX663" i="9" s="1"/>
  <c r="AY663" i="9" s="1"/>
  <c r="AS345" i="9"/>
  <c r="AT345" i="9" s="1"/>
  <c r="AS360" i="5"/>
  <c r="AT360" i="5" s="1"/>
  <c r="AS358" i="5"/>
  <c r="AT358" i="5" s="1"/>
  <c r="AS192" i="9"/>
  <c r="AT192" i="9" s="1"/>
  <c r="AX303" i="9"/>
  <c r="AY303" i="9" s="1"/>
  <c r="AS149" i="9"/>
  <c r="AT149" i="9" s="1"/>
  <c r="AS193" i="9"/>
  <c r="AT193" i="9" s="1"/>
  <c r="AS350" i="5"/>
  <c r="AT350" i="5" s="1"/>
  <c r="AS471" i="9"/>
  <c r="AT471" i="9" s="1"/>
  <c r="AS356" i="5"/>
  <c r="AT356" i="5" s="1"/>
  <c r="AS476" i="9"/>
  <c r="AT476" i="9" s="1"/>
  <c r="AO662" i="9"/>
  <c r="AS644" i="9"/>
  <c r="AX644" i="9" s="1"/>
  <c r="AY644" i="9" s="1"/>
  <c r="AS552" i="9"/>
  <c r="AT552" i="9" s="1"/>
  <c r="AS595" i="9"/>
  <c r="AT595" i="9" s="1"/>
  <c r="AO210" i="9"/>
  <c r="AX597" i="9"/>
  <c r="AY597" i="9" s="1"/>
  <c r="AS657" i="9"/>
  <c r="AT657" i="9" s="1"/>
  <c r="AS470" i="9"/>
  <c r="AT470" i="9" s="1"/>
  <c r="AX340" i="9"/>
  <c r="AY340" i="9" s="1"/>
  <c r="AX210" i="9"/>
  <c r="AY210" i="9" s="1"/>
  <c r="AO597" i="9"/>
  <c r="AS669" i="9"/>
  <c r="AT669" i="9" s="1"/>
  <c r="AX347" i="9"/>
  <c r="AY347" i="9" s="1"/>
  <c r="AS454" i="9"/>
  <c r="AX454" i="9" s="1"/>
  <c r="AY454" i="9" s="1"/>
  <c r="AS373" i="9"/>
  <c r="AT373" i="9" s="1"/>
  <c r="AS421" i="9"/>
  <c r="AT421" i="9" s="1"/>
  <c r="AS627" i="9"/>
  <c r="AT627" i="9" s="1"/>
  <c r="AS672" i="9"/>
  <c r="AT672" i="9" s="1"/>
  <c r="AS456" i="9"/>
  <c r="AT456" i="9" s="1"/>
  <c r="AX58" i="9"/>
  <c r="AY58" i="9" s="1"/>
  <c r="AS673" i="9"/>
  <c r="AX673" i="9" s="1"/>
  <c r="AY673" i="9" s="1"/>
  <c r="AO340" i="9"/>
  <c r="AX343" i="9"/>
  <c r="AY343" i="9" s="1"/>
  <c r="AX629" i="9"/>
  <c r="AY629" i="9" s="1"/>
  <c r="AS435" i="9"/>
  <c r="AX435" i="9" s="1"/>
  <c r="AY435" i="9" s="1"/>
  <c r="AS13" i="9"/>
  <c r="AT13" i="9" s="1"/>
  <c r="AS352" i="5"/>
  <c r="AT352" i="5" s="1"/>
  <c r="AS297" i="9"/>
  <c r="AT297" i="9" s="1"/>
  <c r="AS658" i="9"/>
  <c r="AT658" i="9" s="1"/>
  <c r="AS453" i="9"/>
  <c r="AT453" i="9" s="1"/>
  <c r="AS457" i="9"/>
  <c r="AT457" i="9" s="1"/>
  <c r="AO343" i="9"/>
  <c r="AO629" i="9"/>
  <c r="AS211" i="9"/>
  <c r="AX211" i="9" s="1"/>
  <c r="AY211" i="9" s="1"/>
  <c r="AS61" i="9"/>
  <c r="AT61" i="9" s="1"/>
  <c r="AS375" i="9"/>
  <c r="AT375" i="9" s="1"/>
  <c r="AS660" i="9"/>
  <c r="AX660" i="9" s="1"/>
  <c r="AY660" i="9" s="1"/>
  <c r="AO304" i="9"/>
  <c r="AX304" i="9"/>
  <c r="AY304" i="9" s="1"/>
  <c r="AI527" i="9"/>
  <c r="AJ527" i="9" s="1"/>
  <c r="U527" i="9"/>
  <c r="V527" i="9"/>
  <c r="AX477" i="9"/>
  <c r="AY477" i="9" s="1"/>
  <c r="AX662" i="9"/>
  <c r="AY662" i="9" s="1"/>
  <c r="AX551" i="9"/>
  <c r="AY551" i="9" s="1"/>
  <c r="AT600" i="9"/>
  <c r="AX600" i="9"/>
  <c r="AY600" i="9" s="1"/>
  <c r="AS558" i="9"/>
  <c r="AT558" i="9" s="1"/>
  <c r="V306" i="9"/>
  <c r="AH350" i="9"/>
  <c r="AG351" i="9"/>
  <c r="AG352" i="9" s="1"/>
  <c r="AQ446" i="9"/>
  <c r="AR445" i="9"/>
  <c r="AR307" i="9"/>
  <c r="AQ308" i="9"/>
  <c r="AM427" i="9"/>
  <c r="AL428" i="9"/>
  <c r="AL429" i="9" s="1"/>
  <c r="AR634" i="9"/>
  <c r="AQ635" i="9"/>
  <c r="K445" i="9"/>
  <c r="L444" i="9"/>
  <c r="AO665" i="9"/>
  <c r="AM636" i="9"/>
  <c r="AL637" i="9"/>
  <c r="CF443" i="9"/>
  <c r="N443" i="9"/>
  <c r="AQ430" i="9"/>
  <c r="AR429" i="9"/>
  <c r="AM478" i="9"/>
  <c r="AL479" i="9"/>
  <c r="AI655" i="9"/>
  <c r="U634" i="9"/>
  <c r="N634" i="9"/>
  <c r="CF634" i="9"/>
  <c r="K683" i="9"/>
  <c r="L682" i="9"/>
  <c r="AX665" i="9"/>
  <c r="AY665" i="9" s="1"/>
  <c r="N667" i="9"/>
  <c r="U667" i="9"/>
  <c r="CF667" i="9"/>
  <c r="N681" i="9"/>
  <c r="U681" i="9"/>
  <c r="CF681" i="9"/>
  <c r="U653" i="9"/>
  <c r="CF653" i="9"/>
  <c r="N653" i="9"/>
  <c r="CF666" i="9"/>
  <c r="U666" i="9"/>
  <c r="N666" i="9"/>
  <c r="AN666" i="9"/>
  <c r="AO666" i="9" s="1"/>
  <c r="AI560" i="9"/>
  <c r="AJ560" i="9" s="1"/>
  <c r="K655" i="9"/>
  <c r="L655" i="9" s="1"/>
  <c r="L654" i="9"/>
  <c r="AG562" i="9"/>
  <c r="AH561" i="9"/>
  <c r="AN667" i="9"/>
  <c r="AL681" i="9"/>
  <c r="AM680" i="9"/>
  <c r="AJ667" i="9"/>
  <c r="AQ605" i="9"/>
  <c r="AR604" i="9"/>
  <c r="AI634" i="9"/>
  <c r="L562" i="9"/>
  <c r="K563" i="9"/>
  <c r="AL563" i="9"/>
  <c r="AM562" i="9"/>
  <c r="AN602" i="9"/>
  <c r="AW561" i="9"/>
  <c r="AV562" i="9"/>
  <c r="AG636" i="9"/>
  <c r="AH635" i="9"/>
  <c r="AN559" i="9"/>
  <c r="AO559" i="9" s="1"/>
  <c r="AI679" i="9"/>
  <c r="AJ679" i="9" s="1"/>
  <c r="AV682" i="9"/>
  <c r="AW681" i="9"/>
  <c r="CF561" i="9"/>
  <c r="U561" i="9"/>
  <c r="N561" i="9"/>
  <c r="AN653" i="9"/>
  <c r="AO653" i="9" s="1"/>
  <c r="AJ602" i="9"/>
  <c r="AJ559" i="9"/>
  <c r="AQ683" i="9"/>
  <c r="AR682" i="9"/>
  <c r="AH680" i="9"/>
  <c r="AG681" i="9"/>
  <c r="AN678" i="9"/>
  <c r="AO678" i="9" s="1"/>
  <c r="AI604" i="9"/>
  <c r="AJ604" i="9" s="1"/>
  <c r="AN633" i="9"/>
  <c r="AO633" i="9" s="1"/>
  <c r="AG606" i="9"/>
  <c r="AH605" i="9"/>
  <c r="AJ633" i="9"/>
  <c r="AV605" i="9"/>
  <c r="AW604" i="9"/>
  <c r="AL605" i="9"/>
  <c r="AM604" i="9"/>
  <c r="CF602" i="9"/>
  <c r="N602" i="9"/>
  <c r="U602" i="9"/>
  <c r="X592" i="9"/>
  <c r="AV635" i="9"/>
  <c r="AW634" i="9"/>
  <c r="AI654" i="9"/>
  <c r="AQ563" i="9"/>
  <c r="AR562" i="9"/>
  <c r="L635" i="9"/>
  <c r="K636" i="9"/>
  <c r="K605" i="9"/>
  <c r="L604" i="9"/>
  <c r="AS380" i="9"/>
  <c r="AT380" i="9" s="1"/>
  <c r="AX438" i="9"/>
  <c r="AY438" i="9" s="1"/>
  <c r="V424" i="9"/>
  <c r="AI424" i="9"/>
  <c r="AJ424" i="9" s="1"/>
  <c r="U424" i="9"/>
  <c r="V348" i="9"/>
  <c r="AI348" i="9"/>
  <c r="AJ348" i="9" s="1"/>
  <c r="U348" i="9"/>
  <c r="V460" i="9"/>
  <c r="AI460" i="9"/>
  <c r="AJ460" i="9" s="1"/>
  <c r="U460" i="9"/>
  <c r="L479" i="9"/>
  <c r="K480" i="9"/>
  <c r="AI444" i="9"/>
  <c r="AG308" i="9"/>
  <c r="AH307" i="9"/>
  <c r="AQ481" i="9"/>
  <c r="AR480" i="9"/>
  <c r="U478" i="9"/>
  <c r="CF478" i="9"/>
  <c r="N478" i="9"/>
  <c r="AQ384" i="9"/>
  <c r="AR383" i="9"/>
  <c r="AL384" i="9"/>
  <c r="AM383" i="9"/>
  <c r="N306" i="9"/>
  <c r="U306" i="9"/>
  <c r="CF306" i="9"/>
  <c r="AV447" i="9"/>
  <c r="AW446" i="9"/>
  <c r="AW464" i="9"/>
  <c r="AV465" i="9"/>
  <c r="AV354" i="9"/>
  <c r="AW353" i="9"/>
  <c r="K308" i="9"/>
  <c r="L307" i="9"/>
  <c r="AI382" i="9"/>
  <c r="AL351" i="9"/>
  <c r="AL352" i="9" s="1"/>
  <c r="AM350" i="9"/>
  <c r="L427" i="9"/>
  <c r="K428" i="9"/>
  <c r="K429" i="9" s="1"/>
  <c r="AL308" i="9"/>
  <c r="AM307" i="9"/>
  <c r="K384" i="9"/>
  <c r="L383" i="9"/>
  <c r="AG384" i="9"/>
  <c r="AH383" i="9"/>
  <c r="N426" i="9"/>
  <c r="CF426" i="9"/>
  <c r="CF349" i="9"/>
  <c r="N349" i="9"/>
  <c r="AV479" i="9"/>
  <c r="AW478" i="9"/>
  <c r="U382" i="9"/>
  <c r="N382" i="9"/>
  <c r="CF382" i="9"/>
  <c r="CF462" i="9"/>
  <c r="N462" i="9"/>
  <c r="U462" i="9"/>
  <c r="L350" i="9"/>
  <c r="K351" i="9"/>
  <c r="K352" i="9" s="1"/>
  <c r="AH427" i="9"/>
  <c r="AG428" i="9"/>
  <c r="AG429" i="9" s="1"/>
  <c r="K464" i="9"/>
  <c r="L463" i="9"/>
  <c r="AX458" i="9"/>
  <c r="AY458" i="9" s="1"/>
  <c r="AH465" i="9"/>
  <c r="AG466" i="9"/>
  <c r="AH466" i="9" s="1"/>
  <c r="AL465" i="9"/>
  <c r="AM464" i="9"/>
  <c r="AV430" i="9"/>
  <c r="AW429" i="9"/>
  <c r="AV384" i="9"/>
  <c r="AW383" i="9"/>
  <c r="AL448" i="9"/>
  <c r="AM447" i="9"/>
  <c r="AV308" i="9"/>
  <c r="AW307" i="9"/>
  <c r="AQ466" i="9"/>
  <c r="AR466" i="9" s="1"/>
  <c r="AR465" i="9"/>
  <c r="AH445" i="9"/>
  <c r="AG446" i="9"/>
  <c r="AQ351" i="9"/>
  <c r="AQ352" i="9" s="1"/>
  <c r="AR350" i="9"/>
  <c r="AI306" i="9"/>
  <c r="AJ306" i="9" s="1"/>
  <c r="U261" i="9"/>
  <c r="V261" i="9"/>
  <c r="AI261" i="9"/>
  <c r="AJ261" i="9" s="1"/>
  <c r="AX248" i="9"/>
  <c r="AY248" i="9" s="1"/>
  <c r="AS251" i="9"/>
  <c r="AT251" i="9" s="1"/>
  <c r="AS249" i="9"/>
  <c r="AT249" i="9" s="1"/>
  <c r="V104" i="9"/>
  <c r="AI104" i="9"/>
  <c r="AN104" i="9" s="1"/>
  <c r="AO104" i="9" s="1"/>
  <c r="U104" i="9"/>
  <c r="AS102" i="9"/>
  <c r="AT102" i="9" s="1"/>
  <c r="AS17" i="9"/>
  <c r="AT17" i="9" s="1"/>
  <c r="AS63" i="9"/>
  <c r="AT63" i="9" s="1"/>
  <c r="AS172" i="9"/>
  <c r="AT172" i="9" s="1"/>
  <c r="AS197" i="9"/>
  <c r="AT197" i="9" s="1"/>
  <c r="AG55" i="9"/>
  <c r="AH55" i="9" s="1"/>
  <c r="AH54" i="9"/>
  <c r="AG67" i="9"/>
  <c r="AH66" i="9"/>
  <c r="AL175" i="9"/>
  <c r="AM174" i="9"/>
  <c r="AL200" i="9"/>
  <c r="AM199" i="9"/>
  <c r="AQ200" i="9"/>
  <c r="AR199" i="9"/>
  <c r="AV219" i="9"/>
  <c r="AW218" i="9"/>
  <c r="AL21" i="9"/>
  <c r="AM20" i="9"/>
  <c r="AQ22" i="9"/>
  <c r="AR21" i="9"/>
  <c r="AV201" i="9"/>
  <c r="AW200" i="9"/>
  <c r="AG175" i="9"/>
  <c r="AH174" i="9"/>
  <c r="AI174" i="9" s="1"/>
  <c r="AJ174" i="9" s="1"/>
  <c r="AQ155" i="9"/>
  <c r="AR154" i="9"/>
  <c r="AV21" i="9"/>
  <c r="AW20" i="9"/>
  <c r="AI198" i="9"/>
  <c r="AJ198" i="9" s="1"/>
  <c r="AL67" i="9"/>
  <c r="AM66" i="9"/>
  <c r="AQ106" i="9"/>
  <c r="AR105" i="9"/>
  <c r="AL106" i="9"/>
  <c r="AM105" i="9"/>
  <c r="AV175" i="9"/>
  <c r="AW174" i="9"/>
  <c r="AL219" i="9"/>
  <c r="AM218" i="9"/>
  <c r="AG155" i="9"/>
  <c r="AH154" i="9"/>
  <c r="AV67" i="9"/>
  <c r="AW66" i="9"/>
  <c r="AX196" i="9"/>
  <c r="AY196" i="9" s="1"/>
  <c r="AQ177" i="9"/>
  <c r="AR176" i="9"/>
  <c r="AQ219" i="9"/>
  <c r="AR218" i="9"/>
  <c r="AQ68" i="9"/>
  <c r="AR67" i="9"/>
  <c r="AV106" i="9"/>
  <c r="AW105" i="9"/>
  <c r="AS150" i="9"/>
  <c r="AT150" i="9" s="1"/>
  <c r="AW154" i="9"/>
  <c r="AV155" i="9"/>
  <c r="AL157" i="9"/>
  <c r="AL158" i="9" s="1"/>
  <c r="AM156" i="9"/>
  <c r="AO215" i="9"/>
  <c r="AS215" i="9"/>
  <c r="AT215" i="9" s="1"/>
  <c r="AI19" i="9"/>
  <c r="AJ19" i="9" s="1"/>
  <c r="AI217" i="9"/>
  <c r="AJ217" i="9" s="1"/>
  <c r="AI153" i="9"/>
  <c r="AJ153" i="9" s="1"/>
  <c r="AI65" i="9"/>
  <c r="AJ65" i="9" s="1"/>
  <c r="AG107" i="9"/>
  <c r="AH106" i="9"/>
  <c r="AG200" i="9"/>
  <c r="AH199" i="9"/>
  <c r="AG222" i="9"/>
  <c r="AH221" i="9"/>
  <c r="V19" i="9"/>
  <c r="V217" i="9"/>
  <c r="V174" i="9"/>
  <c r="V153" i="9"/>
  <c r="V65" i="9"/>
  <c r="V199" i="9"/>
  <c r="U19" i="9"/>
  <c r="U217" i="9"/>
  <c r="U174" i="9"/>
  <c r="U153" i="9"/>
  <c r="U65" i="9"/>
  <c r="U199" i="9"/>
  <c r="N199" i="9"/>
  <c r="CF199" i="9"/>
  <c r="K201" i="9"/>
  <c r="L200" i="9"/>
  <c r="N104" i="9"/>
  <c r="CF104" i="9"/>
  <c r="K106" i="9"/>
  <c r="L105" i="9"/>
  <c r="N19" i="9"/>
  <c r="CF19" i="9"/>
  <c r="N217" i="9"/>
  <c r="CF217" i="9"/>
  <c r="N174" i="9"/>
  <c r="CF174" i="9"/>
  <c r="K21" i="9"/>
  <c r="L20" i="9"/>
  <c r="K219" i="9"/>
  <c r="L218" i="9"/>
  <c r="N153" i="9"/>
  <c r="CF153" i="9"/>
  <c r="K176" i="9"/>
  <c r="L175" i="9"/>
  <c r="N65" i="9"/>
  <c r="CF65" i="9"/>
  <c r="K155" i="9"/>
  <c r="L154" i="9"/>
  <c r="K67" i="9"/>
  <c r="L66" i="9"/>
  <c r="AS341" i="5"/>
  <c r="AT341" i="5" s="1"/>
  <c r="AS340" i="5"/>
  <c r="AT340" i="5" s="1"/>
  <c r="AL43" i="5"/>
  <c r="AM42" i="5"/>
  <c r="AV107" i="5"/>
  <c r="AW106" i="5"/>
  <c r="AV242" i="5"/>
  <c r="AW241" i="5"/>
  <c r="AQ212" i="5"/>
  <c r="AR211" i="5"/>
  <c r="AQ107" i="5"/>
  <c r="AR106" i="5"/>
  <c r="AL122" i="5"/>
  <c r="AM121" i="5"/>
  <c r="AV260" i="5"/>
  <c r="AW259" i="5"/>
  <c r="AL218" i="5"/>
  <c r="AM217" i="5"/>
  <c r="AL68" i="5"/>
  <c r="AM68" i="5" s="1"/>
  <c r="AM67" i="5"/>
  <c r="AG78" i="5"/>
  <c r="AH78" i="5" s="1"/>
  <c r="AI78" i="5" s="1"/>
  <c r="AH77" i="5"/>
  <c r="AI77" i="5" s="1"/>
  <c r="AL254" i="5"/>
  <c r="AM253" i="5"/>
  <c r="AL288" i="5"/>
  <c r="AM287" i="5"/>
  <c r="AL236" i="5"/>
  <c r="AM235" i="5"/>
  <c r="AL78" i="5"/>
  <c r="AM78" i="5" s="1"/>
  <c r="AM77" i="5"/>
  <c r="AL194" i="5"/>
  <c r="AM193" i="5"/>
  <c r="AQ83" i="5"/>
  <c r="AR82" i="5"/>
  <c r="AL53" i="5"/>
  <c r="AM52" i="5"/>
  <c r="AV206" i="5"/>
  <c r="AW205" i="5"/>
  <c r="AG63" i="5"/>
  <c r="AH63" i="5" s="1"/>
  <c r="AI63" i="5" s="1"/>
  <c r="AH62" i="5"/>
  <c r="AI62" i="5" s="1"/>
  <c r="AL230" i="5"/>
  <c r="AM229" i="5"/>
  <c r="AV188" i="5"/>
  <c r="AW187" i="5"/>
  <c r="AQ248" i="5"/>
  <c r="AR247" i="5"/>
  <c r="AL206" i="5"/>
  <c r="AM205" i="5"/>
  <c r="AG194" i="5"/>
  <c r="AH193" i="5"/>
  <c r="AI193" i="5" s="1"/>
  <c r="AQ254" i="5"/>
  <c r="AR253" i="5"/>
  <c r="AV53" i="5"/>
  <c r="AW52" i="5"/>
  <c r="AQ200" i="5"/>
  <c r="AR199" i="5"/>
  <c r="AG254" i="5"/>
  <c r="AH253" i="5"/>
  <c r="AI253" i="5" s="1"/>
  <c r="AQ28" i="5"/>
  <c r="AR27" i="5"/>
  <c r="AQ171" i="5"/>
  <c r="AR170" i="5"/>
  <c r="AV96" i="5"/>
  <c r="AW95" i="5"/>
  <c r="AL142" i="5"/>
  <c r="AM141" i="5"/>
  <c r="AV142" i="5"/>
  <c r="AW141" i="5"/>
  <c r="AQ260" i="5"/>
  <c r="AR259" i="5"/>
  <c r="AQ230" i="5"/>
  <c r="AR229" i="5"/>
  <c r="AL19" i="5"/>
  <c r="AM18" i="5"/>
  <c r="AV224" i="5"/>
  <c r="AW223" i="5"/>
  <c r="AL96" i="5"/>
  <c r="AM95" i="5"/>
  <c r="AG43" i="5"/>
  <c r="AH42" i="5"/>
  <c r="AI42" i="5" s="1"/>
  <c r="AV212" i="5"/>
  <c r="AW211" i="5"/>
  <c r="AL28" i="5"/>
  <c r="AM27" i="5"/>
  <c r="AQ206" i="5"/>
  <c r="AR205" i="5"/>
  <c r="AL38" i="5"/>
  <c r="AM38" i="5" s="1"/>
  <c r="AM37" i="5"/>
  <c r="AG19" i="5"/>
  <c r="AH18" i="5"/>
  <c r="AI18" i="5" s="1"/>
  <c r="AV194" i="5"/>
  <c r="AW193" i="5"/>
  <c r="AV28" i="5"/>
  <c r="AW27" i="5"/>
  <c r="AG218" i="5"/>
  <c r="AH217" i="5"/>
  <c r="AI217" i="5" s="1"/>
  <c r="AQ68" i="5"/>
  <c r="AR68" i="5" s="1"/>
  <c r="AR67" i="5"/>
  <c r="AG53" i="5"/>
  <c r="AH52" i="5"/>
  <c r="AI52" i="5" s="1"/>
  <c r="AV236" i="5"/>
  <c r="AW235" i="5"/>
  <c r="AQ73" i="5"/>
  <c r="AR73" i="5" s="1"/>
  <c r="AR72" i="5"/>
  <c r="AG236" i="5"/>
  <c r="AH235" i="5"/>
  <c r="AI235" i="5" s="1"/>
  <c r="AV275" i="5"/>
  <c r="AW274" i="5"/>
  <c r="AG73" i="5"/>
  <c r="AH73" i="5" s="1"/>
  <c r="AI73" i="5" s="1"/>
  <c r="AH72" i="5"/>
  <c r="AI72" i="5" s="1"/>
  <c r="AG200" i="5"/>
  <c r="AH199" i="5"/>
  <c r="AI199" i="5" s="1"/>
  <c r="AJ199" i="5" s="1"/>
  <c r="AQ288" i="5"/>
  <c r="AR287" i="5"/>
  <c r="AQ38" i="5"/>
  <c r="AR38" i="5" s="1"/>
  <c r="AR37" i="5"/>
  <c r="AG171" i="5"/>
  <c r="AH170" i="5"/>
  <c r="AI170" i="5" s="1"/>
  <c r="AG28" i="5"/>
  <c r="AH27" i="5"/>
  <c r="AI27" i="5" s="1"/>
  <c r="AV19" i="5"/>
  <c r="AW18" i="5"/>
  <c r="AQ43" i="5"/>
  <c r="AR42" i="5"/>
  <c r="AL260" i="5"/>
  <c r="AM259" i="5"/>
  <c r="AQ236" i="5"/>
  <c r="AR235" i="5"/>
  <c r="AV254" i="5"/>
  <c r="AW253" i="5"/>
  <c r="AG212" i="5"/>
  <c r="AH211" i="5"/>
  <c r="AI211" i="5" s="1"/>
  <c r="AL107" i="5"/>
  <c r="AM106" i="5"/>
  <c r="AQ188" i="5"/>
  <c r="AR187" i="5"/>
  <c r="AL248" i="5"/>
  <c r="AM247" i="5"/>
  <c r="AV63" i="5"/>
  <c r="AW63" i="5" s="1"/>
  <c r="AW62" i="5"/>
  <c r="AQ242" i="5"/>
  <c r="AR241" i="5"/>
  <c r="AV230" i="5"/>
  <c r="AW229" i="5"/>
  <c r="AQ96" i="5"/>
  <c r="AR95" i="5"/>
  <c r="AL188" i="5"/>
  <c r="AM187" i="5"/>
  <c r="AG248" i="5"/>
  <c r="AH247" i="5"/>
  <c r="AI247" i="5" s="1"/>
  <c r="AL73" i="5"/>
  <c r="AM73" i="5" s="1"/>
  <c r="AM72" i="5"/>
  <c r="AG83" i="5"/>
  <c r="AH82" i="5"/>
  <c r="AI82" i="5" s="1"/>
  <c r="AQ194" i="5"/>
  <c r="AR193" i="5"/>
  <c r="AV78" i="5"/>
  <c r="AW78" i="5" s="1"/>
  <c r="AW77" i="5"/>
  <c r="AL242" i="5"/>
  <c r="AM241" i="5"/>
  <c r="AV200" i="5"/>
  <c r="AW199" i="5"/>
  <c r="AG206" i="5"/>
  <c r="AH205" i="5"/>
  <c r="AI205" i="5" s="1"/>
  <c r="AL224" i="5"/>
  <c r="AM223" i="5"/>
  <c r="AG122" i="5"/>
  <c r="AH121" i="5"/>
  <c r="AI121" i="5" s="1"/>
  <c r="AQ122" i="5"/>
  <c r="AR121" i="5"/>
  <c r="AV122" i="5"/>
  <c r="AW121" i="5"/>
  <c r="AL200" i="5"/>
  <c r="AM199" i="5"/>
  <c r="AG188" i="5"/>
  <c r="AH187" i="5"/>
  <c r="AI187" i="5" s="1"/>
  <c r="AG142" i="5"/>
  <c r="AH141" i="5"/>
  <c r="AI141" i="5" s="1"/>
  <c r="AL171" i="5"/>
  <c r="AM170" i="5"/>
  <c r="AV43" i="5"/>
  <c r="AW42" i="5"/>
  <c r="AV218" i="5"/>
  <c r="AW217" i="5"/>
  <c r="AG68" i="5"/>
  <c r="AH68" i="5" s="1"/>
  <c r="AI68" i="5" s="1"/>
  <c r="AH67" i="5"/>
  <c r="AI67" i="5" s="1"/>
  <c r="AQ78" i="5"/>
  <c r="AR78" i="5" s="1"/>
  <c r="AR77" i="5"/>
  <c r="AQ275" i="5"/>
  <c r="AR274" i="5"/>
  <c r="AQ142" i="5"/>
  <c r="AR141" i="5"/>
  <c r="AQ19" i="5"/>
  <c r="AR18" i="5"/>
  <c r="AV171" i="5"/>
  <c r="AW170" i="5"/>
  <c r="AG38" i="5"/>
  <c r="AH38" i="5" s="1"/>
  <c r="AI38" i="5" s="1"/>
  <c r="AH37" i="5"/>
  <c r="AI37" i="5" s="1"/>
  <c r="AG107" i="5"/>
  <c r="AH106" i="5"/>
  <c r="AI106" i="5" s="1"/>
  <c r="AJ106" i="5" s="1"/>
  <c r="AG275" i="5"/>
  <c r="AH274" i="5"/>
  <c r="AI274" i="5" s="1"/>
  <c r="AJ274" i="5" s="1"/>
  <c r="AG260" i="5"/>
  <c r="AH259" i="5"/>
  <c r="AI259" i="5" s="1"/>
  <c r="AV68" i="5"/>
  <c r="AW68" i="5" s="1"/>
  <c r="AW67" i="5"/>
  <c r="AV38" i="5"/>
  <c r="AW38" i="5" s="1"/>
  <c r="AW37" i="5"/>
  <c r="AV248" i="5"/>
  <c r="AW247" i="5"/>
  <c r="AV83" i="5"/>
  <c r="AW82" i="5"/>
  <c r="AQ224" i="5"/>
  <c r="AR223" i="5"/>
  <c r="AL63" i="5"/>
  <c r="AM63" i="5" s="1"/>
  <c r="AM62" i="5"/>
  <c r="AL212" i="5"/>
  <c r="AM211" i="5"/>
  <c r="AG96" i="5"/>
  <c r="AH95" i="5"/>
  <c r="AI95" i="5" s="1"/>
  <c r="AL275" i="5"/>
  <c r="AM274" i="5"/>
  <c r="AQ218" i="5"/>
  <c r="AR217" i="5"/>
  <c r="AQ63" i="5"/>
  <c r="AR63" i="5" s="1"/>
  <c r="AR62" i="5"/>
  <c r="AQ53" i="5"/>
  <c r="AR52" i="5"/>
  <c r="AV73" i="5"/>
  <c r="AW73" i="5" s="1"/>
  <c r="AW72" i="5"/>
  <c r="AL83" i="5"/>
  <c r="AM82" i="5"/>
  <c r="AG230" i="5"/>
  <c r="AH229" i="5"/>
  <c r="AI229" i="5" s="1"/>
  <c r="AG242" i="5"/>
  <c r="AH241" i="5"/>
  <c r="AI241" i="5" s="1"/>
  <c r="AV288" i="5"/>
  <c r="AW287" i="5"/>
  <c r="AG224" i="5"/>
  <c r="AH223" i="5"/>
  <c r="AI223" i="5" s="1"/>
  <c r="AG288" i="5"/>
  <c r="AH287" i="5"/>
  <c r="AI287" i="5" s="1"/>
  <c r="V274" i="5"/>
  <c r="V199" i="5"/>
  <c r="X10" i="5"/>
  <c r="U13" i="5"/>
  <c r="U274" i="5"/>
  <c r="U199" i="5"/>
  <c r="N229" i="5"/>
  <c r="CB229" i="5"/>
  <c r="K231" i="5"/>
  <c r="L231" i="5" s="1"/>
  <c r="U231" i="5" s="1"/>
  <c r="L230" i="5"/>
  <c r="N274" i="5"/>
  <c r="CB274" i="5"/>
  <c r="K276" i="5"/>
  <c r="L275" i="5"/>
  <c r="N42" i="5"/>
  <c r="CB42" i="5"/>
  <c r="N199" i="5"/>
  <c r="CB199" i="5"/>
  <c r="K44" i="5"/>
  <c r="L43" i="5"/>
  <c r="K201" i="5"/>
  <c r="L201" i="5" s="1"/>
  <c r="U201" i="5" s="1"/>
  <c r="L200" i="5"/>
  <c r="N13" i="5"/>
  <c r="CB13" i="5"/>
  <c r="N14" i="5"/>
  <c r="CB14" i="5"/>
  <c r="K26" i="4" a="1"/>
  <c r="J26" i="4" a="1"/>
  <c r="I26" i="4" a="1"/>
  <c r="H26" i="4" a="1"/>
  <c r="G26" i="4" a="1"/>
  <c r="F26" i="4" a="1"/>
  <c r="J25" i="4" a="1"/>
  <c r="I25" i="4" a="1"/>
  <c r="H25" i="4" a="1"/>
  <c r="G25" i="4" a="1"/>
  <c r="F25" i="4" a="1"/>
  <c r="K24" i="4" a="1"/>
  <c r="K25" i="4" a="1"/>
  <c r="F24" i="4" a="1"/>
  <c r="H22" i="4" a="1"/>
  <c r="G22" i="4" a="1"/>
  <c r="K23" i="4" a="1"/>
  <c r="F22" i="4" a="1"/>
  <c r="J23" i="4" a="1"/>
  <c r="I23" i="4" a="1"/>
  <c r="H23" i="4" a="1"/>
  <c r="G23" i="4" a="1"/>
  <c r="F23" i="4" a="1"/>
  <c r="J24" i="4" a="1"/>
  <c r="I24" i="4" a="1"/>
  <c r="K22" i="4" a="1"/>
  <c r="H24" i="4" a="1"/>
  <c r="J22" i="4" a="1"/>
  <c r="G24" i="4" a="1"/>
  <c r="I22" i="4" a="1"/>
  <c r="I23" i="2"/>
  <c r="I7" i="2"/>
  <c r="G7" i="2"/>
  <c r="I6" i="2"/>
  <c r="G6" i="2"/>
  <c r="E3" i="2"/>
  <c r="J3" i="2"/>
  <c r="T487" i="9"/>
  <c r="T525" i="9"/>
  <c r="T275" i="5"/>
  <c r="T532" i="9"/>
  <c r="T511" i="9"/>
  <c r="T200" i="5"/>
  <c r="T517" i="9"/>
  <c r="T509" i="9"/>
  <c r="T490" i="9"/>
  <c r="T484" i="9"/>
  <c r="T230" i="5"/>
  <c r="T486" i="9"/>
  <c r="T529" i="9"/>
  <c r="T495" i="9"/>
  <c r="T485" i="9"/>
  <c r="T520" i="9"/>
  <c r="T499" i="9"/>
  <c r="T349" i="9"/>
  <c r="T521" i="9"/>
  <c r="T718" i="9" s="1"/>
  <c r="T491" i="9"/>
  <c r="T479" i="9"/>
  <c r="T507" i="9"/>
  <c r="T530" i="9"/>
  <c r="T522" i="9"/>
  <c r="T66" i="9"/>
  <c r="T523" i="9"/>
  <c r="T381" i="9"/>
  <c r="T513" i="9"/>
  <c r="T492" i="9"/>
  <c r="T722" i="9"/>
  <c r="T512" i="9"/>
  <c r="T709" i="9" s="1"/>
  <c r="T508" i="9"/>
  <c r="T489" i="9"/>
  <c r="T425" i="9"/>
  <c r="T154" i="9"/>
  <c r="T463" i="9"/>
  <c r="T524" i="9"/>
  <c r="T200" i="9"/>
  <c r="T562" i="9"/>
  <c r="T350" i="9"/>
  <c r="T175" i="9"/>
  <c r="T516" i="9"/>
  <c r="T713" i="9" s="1"/>
  <c r="T494" i="9"/>
  <c r="T307" i="9"/>
  <c r="T515" i="9"/>
  <c r="T724" i="9"/>
  <c r="T442" i="9"/>
  <c r="T218" i="9"/>
  <c r="T105" i="9"/>
  <c r="T528" i="9"/>
  <c r="T693" i="9"/>
  <c r="T20" i="9"/>
  <c r="U512" i="9" l="1"/>
  <c r="V512" i="9"/>
  <c r="AI512" i="9"/>
  <c r="AJ512" i="9" s="1"/>
  <c r="V521" i="9"/>
  <c r="AI521" i="9"/>
  <c r="AJ521" i="9" s="1"/>
  <c r="U521" i="9"/>
  <c r="AI522" i="9"/>
  <c r="AJ522" i="9" s="1"/>
  <c r="V522" i="9"/>
  <c r="U522" i="9"/>
  <c r="AI529" i="9"/>
  <c r="AJ529" i="9" s="1"/>
  <c r="U529" i="9"/>
  <c r="V529" i="9"/>
  <c r="V490" i="9"/>
  <c r="AI490" i="9"/>
  <c r="AJ490" i="9" s="1"/>
  <c r="U490" i="9"/>
  <c r="AI507" i="9"/>
  <c r="AJ507" i="9" s="1"/>
  <c r="U507" i="9"/>
  <c r="V507" i="9"/>
  <c r="AI491" i="9"/>
  <c r="AJ491" i="9" s="1"/>
  <c r="U491" i="9"/>
  <c r="V491" i="9"/>
  <c r="V517" i="9"/>
  <c r="AI517" i="9"/>
  <c r="AJ517" i="9" s="1"/>
  <c r="U517" i="9"/>
  <c r="V520" i="9"/>
  <c r="U520" i="9"/>
  <c r="AI520" i="9"/>
  <c r="AJ520" i="9" s="1"/>
  <c r="V525" i="9"/>
  <c r="AI525" i="9"/>
  <c r="AJ525" i="9" s="1"/>
  <c r="U525" i="9"/>
  <c r="AI508" i="9"/>
  <c r="AJ508" i="9" s="1"/>
  <c r="V508" i="9"/>
  <c r="U508" i="9"/>
  <c r="AI530" i="9"/>
  <c r="AJ530" i="9" s="1"/>
  <c r="U530" i="9"/>
  <c r="V530" i="9"/>
  <c r="U516" i="9"/>
  <c r="AI516" i="9"/>
  <c r="AJ516" i="9" s="1"/>
  <c r="V516" i="9"/>
  <c r="V524" i="9"/>
  <c r="AI524" i="9"/>
  <c r="AJ524" i="9" s="1"/>
  <c r="U524" i="9"/>
  <c r="AI511" i="9"/>
  <c r="AJ511" i="9" s="1"/>
  <c r="V511" i="9"/>
  <c r="U511" i="9"/>
  <c r="W501" i="9"/>
  <c r="V486" i="9"/>
  <c r="U486" i="9"/>
  <c r="AI486" i="9"/>
  <c r="AJ486" i="9" s="1"/>
  <c r="AI492" i="9"/>
  <c r="AJ492" i="9" s="1"/>
  <c r="V492" i="9"/>
  <c r="U492" i="9"/>
  <c r="U532" i="9"/>
  <c r="V532" i="9"/>
  <c r="AI532" i="9"/>
  <c r="AJ532" i="9" s="1"/>
  <c r="AI485" i="9"/>
  <c r="AJ485" i="9" s="1"/>
  <c r="V485" i="9"/>
  <c r="U485" i="9"/>
  <c r="U489" i="9"/>
  <c r="AI489" i="9"/>
  <c r="AJ489" i="9" s="1"/>
  <c r="V489" i="9"/>
  <c r="AI513" i="9"/>
  <c r="AJ513" i="9" s="1"/>
  <c r="V513" i="9"/>
  <c r="U513" i="9"/>
  <c r="AI495" i="9"/>
  <c r="AJ495" i="9" s="1"/>
  <c r="V495" i="9"/>
  <c r="U495" i="9"/>
  <c r="AI487" i="9"/>
  <c r="AJ487" i="9" s="1"/>
  <c r="V487" i="9"/>
  <c r="U487" i="9"/>
  <c r="V494" i="9"/>
  <c r="AI494" i="9"/>
  <c r="AJ494" i="9" s="1"/>
  <c r="U494" i="9"/>
  <c r="AI523" i="9"/>
  <c r="AJ523" i="9" s="1"/>
  <c r="U523" i="9"/>
  <c r="V523" i="9"/>
  <c r="V484" i="9"/>
  <c r="U484" i="9"/>
  <c r="AI484" i="9"/>
  <c r="AJ484" i="9" s="1"/>
  <c r="U499" i="9"/>
  <c r="V499" i="9"/>
  <c r="AI499" i="9"/>
  <c r="AJ499" i="9" s="1"/>
  <c r="AI509" i="9"/>
  <c r="AJ509" i="9" s="1"/>
  <c r="U509" i="9"/>
  <c r="V509" i="9"/>
  <c r="AI528" i="9"/>
  <c r="AJ528" i="9" s="1"/>
  <c r="V528" i="9"/>
  <c r="U528" i="9"/>
  <c r="W336" i="5"/>
  <c r="AJ273" i="5"/>
  <c r="AN266" i="9"/>
  <c r="AO266" i="9" s="1"/>
  <c r="W299" i="5"/>
  <c r="AN35" i="5"/>
  <c r="AO35" i="5" s="1"/>
  <c r="AN323" i="5"/>
  <c r="AO323" i="5" s="1"/>
  <c r="AJ331" i="5"/>
  <c r="AJ270" i="9"/>
  <c r="W39" i="5"/>
  <c r="W238" i="5"/>
  <c r="W208" i="5"/>
  <c r="AN286" i="5"/>
  <c r="AO286" i="5" s="1"/>
  <c r="AN120" i="5"/>
  <c r="AO120" i="5" s="1"/>
  <c r="W10" i="5"/>
  <c r="W167" i="5"/>
  <c r="W64" i="5"/>
  <c r="AS270" i="9"/>
  <c r="AT270" i="9" s="1"/>
  <c r="AS245" i="9"/>
  <c r="AT245" i="9" s="1"/>
  <c r="AN228" i="5"/>
  <c r="AO228" i="5" s="1"/>
  <c r="AN652" i="9"/>
  <c r="AS652" i="9" s="1"/>
  <c r="AT652" i="9" s="1"/>
  <c r="AN335" i="5"/>
  <c r="AO335" i="5" s="1"/>
  <c r="AN198" i="5"/>
  <c r="AO198" i="5" s="1"/>
  <c r="AN169" i="5"/>
  <c r="AS169" i="5" s="1"/>
  <c r="AN81" i="5"/>
  <c r="AO81" i="5" s="1"/>
  <c r="AN173" i="9"/>
  <c r="AO173" i="9" s="1"/>
  <c r="W309" i="5"/>
  <c r="W232" i="5"/>
  <c r="W114" i="5"/>
  <c r="AN267" i="9"/>
  <c r="AS267" i="9" s="1"/>
  <c r="AT267" i="9" s="1"/>
  <c r="W342" i="5"/>
  <c r="AJ273" i="9"/>
  <c r="AS273" i="9"/>
  <c r="AT273" i="9" s="1"/>
  <c r="AN116" i="5"/>
  <c r="AO116" i="5" s="1"/>
  <c r="AJ245" i="9"/>
  <c r="AN239" i="5"/>
  <c r="AO239" i="5" s="1"/>
  <c r="AN216" i="9"/>
  <c r="AO216" i="9" s="1"/>
  <c r="AS235" i="9"/>
  <c r="AT235" i="9" s="1"/>
  <c r="AN18" i="9"/>
  <c r="AO18" i="9" s="1"/>
  <c r="AJ235" i="9"/>
  <c r="AN65" i="5"/>
  <c r="AO65" i="5" s="1"/>
  <c r="W74" i="5"/>
  <c r="AN105" i="5"/>
  <c r="AO105" i="5" s="1"/>
  <c r="AS240" i="9"/>
  <c r="AT240" i="9" s="1"/>
  <c r="AJ240" i="9"/>
  <c r="W190" i="5"/>
  <c r="AN71" i="5"/>
  <c r="AO71" i="5" s="1"/>
  <c r="AJ17" i="5"/>
  <c r="AN197" i="5"/>
  <c r="AS197" i="5" s="1"/>
  <c r="AT197" i="5" s="1"/>
  <c r="AN329" i="5"/>
  <c r="AO329" i="5" s="1"/>
  <c r="AN215" i="5"/>
  <c r="AO215" i="5" s="1"/>
  <c r="W328" i="5"/>
  <c r="W69" i="5"/>
  <c r="W314" i="5"/>
  <c r="AN251" i="5"/>
  <c r="AO251" i="5" s="1"/>
  <c r="W59" i="5"/>
  <c r="AN103" i="9"/>
  <c r="AO103" i="9" s="1"/>
  <c r="AN305" i="9"/>
  <c r="AO305" i="9" s="1"/>
  <c r="AN204" i="5"/>
  <c r="AO204" i="5" s="1"/>
  <c r="AN234" i="5"/>
  <c r="AO234" i="5" s="1"/>
  <c r="AN246" i="5"/>
  <c r="AO246" i="5" s="1"/>
  <c r="AN258" i="5"/>
  <c r="AO258" i="5" s="1"/>
  <c r="AN93" i="5"/>
  <c r="AO93" i="5" s="1"/>
  <c r="AN203" i="5"/>
  <c r="AO203" i="5" s="1"/>
  <c r="AN301" i="5"/>
  <c r="AO301" i="5" s="1"/>
  <c r="AJ36" i="5"/>
  <c r="AN151" i="9"/>
  <c r="AO151" i="9" s="1"/>
  <c r="W34" i="5"/>
  <c r="AN337" i="5"/>
  <c r="AO337" i="5" s="1"/>
  <c r="AN221" i="5"/>
  <c r="AO221" i="5" s="1"/>
  <c r="W15" i="5"/>
  <c r="AN70" i="5"/>
  <c r="AO70" i="5" s="1"/>
  <c r="AN192" i="5"/>
  <c r="AO192" i="5" s="1"/>
  <c r="AN51" i="5"/>
  <c r="AO51" i="5" s="1"/>
  <c r="AN11" i="5"/>
  <c r="AO11" i="5" s="1"/>
  <c r="AN209" i="5"/>
  <c r="AO209" i="5" s="1"/>
  <c r="AN216" i="5"/>
  <c r="AO216" i="5" s="1"/>
  <c r="W49" i="5"/>
  <c r="W118" i="5"/>
  <c r="W103" i="5"/>
  <c r="AN330" i="5"/>
  <c r="AO330" i="5" s="1"/>
  <c r="W284" i="5"/>
  <c r="W244" i="5"/>
  <c r="W24" i="5"/>
  <c r="AJ186" i="5"/>
  <c r="W250" i="5"/>
  <c r="AN75" i="5"/>
  <c r="AO75" i="5" s="1"/>
  <c r="AJ94" i="5"/>
  <c r="AN14" i="5"/>
  <c r="AO14" i="5" s="1"/>
  <c r="AN26" i="5"/>
  <c r="AO26" i="5" s="1"/>
  <c r="AN104" i="5"/>
  <c r="AO104" i="5" s="1"/>
  <c r="AN25" i="5"/>
  <c r="AO25" i="5" s="1"/>
  <c r="W202" i="5"/>
  <c r="AN210" i="5"/>
  <c r="AO210" i="5" s="1"/>
  <c r="W138" i="5"/>
  <c r="AN459" i="9"/>
  <c r="AO459" i="9" s="1"/>
  <c r="W214" i="5"/>
  <c r="W256" i="5"/>
  <c r="AN317" i="5"/>
  <c r="AS317" i="5" s="1"/>
  <c r="W92" i="5"/>
  <c r="AN76" i="5"/>
  <c r="AS76" i="5" s="1"/>
  <c r="AT76" i="5" s="1"/>
  <c r="W220" i="5"/>
  <c r="AN313" i="5"/>
  <c r="AO313" i="5" s="1"/>
  <c r="AJ61" i="5"/>
  <c r="AN276" i="9"/>
  <c r="AS276" i="9" s="1"/>
  <c r="AT276" i="9" s="1"/>
  <c r="AN304" i="5"/>
  <c r="AS304" i="5" s="1"/>
  <c r="AT304" i="5" s="1"/>
  <c r="W79" i="5"/>
  <c r="W184" i="5"/>
  <c r="AN12" i="5"/>
  <c r="AO12" i="5" s="1"/>
  <c r="AN40" i="5"/>
  <c r="AO40" i="5" s="1"/>
  <c r="AN60" i="5"/>
  <c r="AO60" i="5" s="1"/>
  <c r="AN252" i="5"/>
  <c r="AO252" i="5" s="1"/>
  <c r="AN16" i="5"/>
  <c r="AO16" i="5" s="1"/>
  <c r="AN502" i="9"/>
  <c r="AS502" i="9" s="1"/>
  <c r="AJ461" i="9"/>
  <c r="AN275" i="9"/>
  <c r="AO275" i="9" s="1"/>
  <c r="AN259" i="9"/>
  <c r="AO259" i="9" s="1"/>
  <c r="AN274" i="9"/>
  <c r="AO274" i="9" s="1"/>
  <c r="AN119" i="5"/>
  <c r="AO119" i="5" s="1"/>
  <c r="AN315" i="5"/>
  <c r="AO315" i="5" s="1"/>
  <c r="AJ269" i="9"/>
  <c r="AS269" i="9"/>
  <c r="AT269" i="9" s="1"/>
  <c r="AN272" i="5"/>
  <c r="AO272" i="5" s="1"/>
  <c r="AN245" i="5"/>
  <c r="AO245" i="5" s="1"/>
  <c r="W247" i="9"/>
  <c r="AJ601" i="9"/>
  <c r="AN285" i="5"/>
  <c r="AO285" i="5" s="1"/>
  <c r="AN268" i="9"/>
  <c r="AO268" i="9" s="1"/>
  <c r="AN185" i="5"/>
  <c r="AO185" i="5" s="1"/>
  <c r="AN80" i="5"/>
  <c r="AO80" i="5" s="1"/>
  <c r="AN262" i="9"/>
  <c r="AS262" i="9" s="1"/>
  <c r="AT262" i="9" s="1"/>
  <c r="AN117" i="5"/>
  <c r="AO117" i="5" s="1"/>
  <c r="AN308" i="5"/>
  <c r="AO308" i="5" s="1"/>
  <c r="AN236" i="9"/>
  <c r="AS236" i="9" s="1"/>
  <c r="AT236" i="9" s="1"/>
  <c r="AN379" i="9"/>
  <c r="AS379" i="9" s="1"/>
  <c r="AT379" i="9" s="1"/>
  <c r="AJ302" i="5"/>
  <c r="AN257" i="5"/>
  <c r="AO257" i="5" s="1"/>
  <c r="AN139" i="5"/>
  <c r="AO139" i="5" s="1"/>
  <c r="AN227" i="5"/>
  <c r="AO227" i="5" s="1"/>
  <c r="AJ233" i="9"/>
  <c r="AS271" i="9"/>
  <c r="AT271" i="9" s="1"/>
  <c r="AN222" i="5"/>
  <c r="AO222" i="5" s="1"/>
  <c r="AN300" i="5"/>
  <c r="AO300" i="5" s="1"/>
  <c r="AN254" i="9"/>
  <c r="AO254" i="9" s="1"/>
  <c r="AN64" i="9"/>
  <c r="AO64" i="9" s="1"/>
  <c r="AN257" i="9"/>
  <c r="AO257" i="9" s="1"/>
  <c r="AN338" i="5"/>
  <c r="AO338" i="5" s="1"/>
  <c r="AN66" i="5"/>
  <c r="AO66" i="5" s="1"/>
  <c r="AN41" i="5"/>
  <c r="AS41" i="5" s="1"/>
  <c r="AN321" i="5"/>
  <c r="AO321" i="5" s="1"/>
  <c r="AN230" i="9"/>
  <c r="AS230" i="9" s="1"/>
  <c r="AT230" i="9" s="1"/>
  <c r="AN140" i="5"/>
  <c r="AS140" i="5" s="1"/>
  <c r="AT140" i="5" s="1"/>
  <c r="AJ240" i="5"/>
  <c r="AN231" i="9"/>
  <c r="AS231" i="9" s="1"/>
  <c r="AT231" i="9" s="1"/>
  <c r="AN50" i="5"/>
  <c r="AO50" i="5" s="1"/>
  <c r="AN241" i="9"/>
  <c r="AS241" i="9" s="1"/>
  <c r="AT241" i="9" s="1"/>
  <c r="AN278" i="9"/>
  <c r="AO278" i="9" s="1"/>
  <c r="AN168" i="5"/>
  <c r="AO168" i="5" s="1"/>
  <c r="AJ271" i="9"/>
  <c r="AN344" i="5"/>
  <c r="AO344" i="5" s="1"/>
  <c r="AN115" i="5"/>
  <c r="AO115" i="5" s="1"/>
  <c r="AN255" i="9"/>
  <c r="AO255" i="9" s="1"/>
  <c r="AN238" i="9"/>
  <c r="AS238" i="9" s="1"/>
  <c r="AT238" i="9" s="1"/>
  <c r="AN232" i="9"/>
  <c r="AS232" i="9" s="1"/>
  <c r="AT232" i="9" s="1"/>
  <c r="AN505" i="9"/>
  <c r="AO505" i="9" s="1"/>
  <c r="AN503" i="9"/>
  <c r="AO503" i="9" s="1"/>
  <c r="W504" i="9"/>
  <c r="AS461" i="9"/>
  <c r="AT461" i="9" s="1"/>
  <c r="AN237" i="9"/>
  <c r="AO237" i="9" s="1"/>
  <c r="AS601" i="9"/>
  <c r="AX601" i="9" s="1"/>
  <c r="AY601" i="9" s="1"/>
  <c r="AN311" i="5"/>
  <c r="AO311" i="5" s="1"/>
  <c r="AN233" i="5"/>
  <c r="AO233" i="5" s="1"/>
  <c r="AN310" i="5"/>
  <c r="AO310" i="5" s="1"/>
  <c r="AN319" i="5"/>
  <c r="AO319" i="5" s="1"/>
  <c r="AN263" i="9"/>
  <c r="AO263" i="9" s="1"/>
  <c r="AN13" i="5"/>
  <c r="AO13" i="5" s="1"/>
  <c r="AN333" i="5"/>
  <c r="AO333" i="5" s="1"/>
  <c r="AS233" i="9"/>
  <c r="AT233" i="9" s="1"/>
  <c r="AN253" i="9"/>
  <c r="AS253" i="9" s="1"/>
  <c r="AT253" i="9" s="1"/>
  <c r="AN440" i="9"/>
  <c r="AO440" i="9" s="1"/>
  <c r="AN325" i="5"/>
  <c r="AO325" i="5" s="1"/>
  <c r="AN191" i="5"/>
  <c r="AS191" i="5" s="1"/>
  <c r="AT191" i="5" s="1"/>
  <c r="AN316" i="5"/>
  <c r="AO316" i="5" s="1"/>
  <c r="AN327" i="5"/>
  <c r="AO327" i="5" s="1"/>
  <c r="AN343" i="5"/>
  <c r="AO343" i="5" s="1"/>
  <c r="AN306" i="5"/>
  <c r="AO306" i="5" s="1"/>
  <c r="AN258" i="9"/>
  <c r="AO258" i="9" s="1"/>
  <c r="V562" i="9"/>
  <c r="W550" i="9" s="1"/>
  <c r="AN478" i="9"/>
  <c r="AS478" i="9" s="1"/>
  <c r="AT478" i="9" s="1"/>
  <c r="AN462" i="9"/>
  <c r="AI479" i="9"/>
  <c r="AJ479" i="9" s="1"/>
  <c r="V479" i="9"/>
  <c r="V463" i="9"/>
  <c r="AI463" i="9"/>
  <c r="AJ463" i="9" s="1"/>
  <c r="V350" i="9"/>
  <c r="AI350" i="9"/>
  <c r="AJ350" i="9" s="1"/>
  <c r="AI713" i="9"/>
  <c r="AJ713" i="9" s="1"/>
  <c r="V713" i="9"/>
  <c r="U713" i="9"/>
  <c r="AX167" i="9"/>
  <c r="AY167" i="9" s="1"/>
  <c r="AX626" i="9"/>
  <c r="AY626" i="9" s="1"/>
  <c r="AX436" i="9"/>
  <c r="AY436" i="9" s="1"/>
  <c r="AT98" i="9"/>
  <c r="AX98" i="9"/>
  <c r="AY98" i="9" s="1"/>
  <c r="AT299" i="9"/>
  <c r="AX299" i="9"/>
  <c r="AY299" i="9" s="1"/>
  <c r="AX555" i="9"/>
  <c r="AY555" i="9" s="1"/>
  <c r="AX624" i="9"/>
  <c r="AY624" i="9" s="1"/>
  <c r="AX474" i="9"/>
  <c r="AY474" i="9" s="1"/>
  <c r="V722" i="9"/>
  <c r="U722" i="9"/>
  <c r="AI722" i="9"/>
  <c r="AJ722" i="9" s="1"/>
  <c r="AX472" i="9"/>
  <c r="AY472" i="9" s="1"/>
  <c r="AX377" i="9"/>
  <c r="AY377" i="9" s="1"/>
  <c r="AX419" i="9"/>
  <c r="AY419" i="9" s="1"/>
  <c r="V709" i="9"/>
  <c r="AI709" i="9"/>
  <c r="AJ709" i="9" s="1"/>
  <c r="U709" i="9"/>
  <c r="AX671" i="9"/>
  <c r="AY671" i="9" s="1"/>
  <c r="AX648" i="9"/>
  <c r="AY648" i="9" s="1"/>
  <c r="AX632" i="9"/>
  <c r="AY632" i="9" s="1"/>
  <c r="AX378" i="9"/>
  <c r="AY378" i="9" s="1"/>
  <c r="AX100" i="9"/>
  <c r="AY100" i="9" s="1"/>
  <c r="AT213" i="9"/>
  <c r="AX418" i="9"/>
  <c r="AY418" i="9" s="1"/>
  <c r="AX434" i="9"/>
  <c r="AY434" i="9" s="1"/>
  <c r="AT422" i="9"/>
  <c r="AX168" i="9"/>
  <c r="AY168" i="9" s="1"/>
  <c r="AX374" i="9"/>
  <c r="AY374" i="9" s="1"/>
  <c r="AT147" i="9"/>
  <c r="AX625" i="9"/>
  <c r="AY625" i="9" s="1"/>
  <c r="AX344" i="9"/>
  <c r="AY344" i="9" s="1"/>
  <c r="AX301" i="9"/>
  <c r="AY301" i="9" s="1"/>
  <c r="AX670" i="9"/>
  <c r="AY670" i="9" s="1"/>
  <c r="AX62" i="9"/>
  <c r="AY62" i="9" s="1"/>
  <c r="AX417" i="9"/>
  <c r="AY417" i="9" s="1"/>
  <c r="AT475" i="9"/>
  <c r="AX557" i="9"/>
  <c r="AY557" i="9" s="1"/>
  <c r="AX169" i="9"/>
  <c r="AY169" i="9" s="1"/>
  <c r="AX149" i="9"/>
  <c r="AY149" i="9" s="1"/>
  <c r="AX302" i="9"/>
  <c r="AY302" i="9" s="1"/>
  <c r="AX455" i="9"/>
  <c r="AY455" i="9" s="1"/>
  <c r="AX669" i="9"/>
  <c r="AY669" i="9" s="1"/>
  <c r="AX674" i="9"/>
  <c r="AY674" i="9" s="1"/>
  <c r="AX373" i="9"/>
  <c r="AY373" i="9" s="1"/>
  <c r="AX630" i="9"/>
  <c r="AY630" i="9" s="1"/>
  <c r="AX473" i="9"/>
  <c r="AY473" i="9" s="1"/>
  <c r="AX645" i="9"/>
  <c r="AY645" i="9" s="1"/>
  <c r="AX421" i="9"/>
  <c r="AY421" i="9" s="1"/>
  <c r="AX170" i="9"/>
  <c r="AY170" i="9" s="1"/>
  <c r="AX596" i="9"/>
  <c r="AY596" i="9" s="1"/>
  <c r="AX672" i="9"/>
  <c r="AY672" i="9" s="1"/>
  <c r="AX362" i="5"/>
  <c r="AY362" i="5" s="1"/>
  <c r="AX166" i="9"/>
  <c r="AY166" i="9" s="1"/>
  <c r="AX675" i="9"/>
  <c r="AY675" i="9" s="1"/>
  <c r="AT437" i="9"/>
  <c r="AX594" i="9"/>
  <c r="AY594" i="9" s="1"/>
  <c r="AX627" i="9"/>
  <c r="AY627" i="9" s="1"/>
  <c r="AX16" i="9"/>
  <c r="AY16" i="9" s="1"/>
  <c r="AX348" i="5"/>
  <c r="AY348" i="5" s="1"/>
  <c r="AX214" i="9"/>
  <c r="AY214" i="9" s="1"/>
  <c r="AX366" i="5"/>
  <c r="AY366" i="5" s="1"/>
  <c r="AT99" i="9"/>
  <c r="AX646" i="9"/>
  <c r="AY646" i="9" s="1"/>
  <c r="AX456" i="9"/>
  <c r="AY456" i="9" s="1"/>
  <c r="AX439" i="9"/>
  <c r="AY439" i="9" s="1"/>
  <c r="AX148" i="9"/>
  <c r="AY148" i="9" s="1"/>
  <c r="AT556" i="9"/>
  <c r="AX649" i="9"/>
  <c r="AY649" i="9" s="1"/>
  <c r="AX661" i="9"/>
  <c r="AY661" i="9" s="1"/>
  <c r="AX354" i="5"/>
  <c r="AY354" i="5" s="1"/>
  <c r="AX346" i="5"/>
  <c r="AY346" i="5" s="1"/>
  <c r="AX631" i="9"/>
  <c r="AY631" i="9" s="1"/>
  <c r="AX420" i="9"/>
  <c r="AY420" i="9" s="1"/>
  <c r="AX469" i="9"/>
  <c r="AY469" i="9" s="1"/>
  <c r="AX647" i="9"/>
  <c r="AY647" i="9" s="1"/>
  <c r="AX677" i="9"/>
  <c r="AY677" i="9" s="1"/>
  <c r="AX360" i="5"/>
  <c r="AY360" i="5" s="1"/>
  <c r="AX346" i="9"/>
  <c r="AY346" i="9" s="1"/>
  <c r="AX554" i="9"/>
  <c r="AY554" i="9" s="1"/>
  <c r="AX471" i="9"/>
  <c r="AY471" i="9" s="1"/>
  <c r="AX358" i="5"/>
  <c r="AY358" i="5" s="1"/>
  <c r="AX101" i="9"/>
  <c r="AY101" i="9" s="1"/>
  <c r="AX376" i="9"/>
  <c r="AY376" i="9" s="1"/>
  <c r="AX468" i="9"/>
  <c r="AY468" i="9" s="1"/>
  <c r="AX598" i="9"/>
  <c r="AY598" i="9" s="1"/>
  <c r="AX171" i="9"/>
  <c r="AY171" i="9" s="1"/>
  <c r="AX298" i="9"/>
  <c r="AY298" i="9" s="1"/>
  <c r="AX553" i="9"/>
  <c r="AY553" i="9" s="1"/>
  <c r="AT676" i="9"/>
  <c r="AX97" i="9"/>
  <c r="AY97" i="9" s="1"/>
  <c r="AX195" i="9"/>
  <c r="AY195" i="9" s="1"/>
  <c r="AX60" i="9"/>
  <c r="AY60" i="9" s="1"/>
  <c r="AT14" i="9"/>
  <c r="AX659" i="9"/>
  <c r="AY659" i="9" s="1"/>
  <c r="AX145" i="9"/>
  <c r="AY145" i="9" s="1"/>
  <c r="AX416" i="9"/>
  <c r="AY416" i="9" s="1"/>
  <c r="AX12" i="9"/>
  <c r="AY12" i="9" s="1"/>
  <c r="AX593" i="9"/>
  <c r="AY593" i="9" s="1"/>
  <c r="AX364" i="5"/>
  <c r="AY364" i="5" s="1"/>
  <c r="AX352" i="5"/>
  <c r="AY352" i="5" s="1"/>
  <c r="AX453" i="9"/>
  <c r="AY453" i="9" s="1"/>
  <c r="AX628" i="9"/>
  <c r="AY628" i="9" s="1"/>
  <c r="AX658" i="9"/>
  <c r="AY658" i="9" s="1"/>
  <c r="AX650" i="9"/>
  <c r="AY650" i="9" s="1"/>
  <c r="AX193" i="9"/>
  <c r="AY193" i="9" s="1"/>
  <c r="AX476" i="9"/>
  <c r="AY476" i="9" s="1"/>
  <c r="AX552" i="9"/>
  <c r="AY552" i="9" s="1"/>
  <c r="AT435" i="9"/>
  <c r="AT454" i="9"/>
  <c r="AT663" i="9"/>
  <c r="AX15" i="9"/>
  <c r="AY15" i="9" s="1"/>
  <c r="AX356" i="5"/>
  <c r="AY356" i="5" s="1"/>
  <c r="AX212" i="9"/>
  <c r="AY212" i="9" s="1"/>
  <c r="AX300" i="9"/>
  <c r="AY300" i="9" s="1"/>
  <c r="AX350" i="5"/>
  <c r="AY350" i="5" s="1"/>
  <c r="AX192" i="9"/>
  <c r="AY192" i="9" s="1"/>
  <c r="AX345" i="9"/>
  <c r="AY345" i="9" s="1"/>
  <c r="AX61" i="9"/>
  <c r="AY61" i="9" s="1"/>
  <c r="V724" i="9"/>
  <c r="U724" i="9"/>
  <c r="AI724" i="9"/>
  <c r="AJ724" i="9" s="1"/>
  <c r="V515" i="9"/>
  <c r="U515" i="9"/>
  <c r="AI515" i="9"/>
  <c r="AJ515" i="9" s="1"/>
  <c r="AI693" i="9"/>
  <c r="AJ693" i="9" s="1"/>
  <c r="V693" i="9"/>
  <c r="U693" i="9"/>
  <c r="AT644" i="9"/>
  <c r="AX657" i="9"/>
  <c r="AY657" i="9" s="1"/>
  <c r="AX457" i="9"/>
  <c r="AY457" i="9" s="1"/>
  <c r="AX595" i="9"/>
  <c r="AY595" i="9" s="1"/>
  <c r="AX470" i="9"/>
  <c r="AY470" i="9" s="1"/>
  <c r="AT673" i="9"/>
  <c r="AX375" i="9"/>
  <c r="AY375" i="9" s="1"/>
  <c r="AT660" i="9"/>
  <c r="AX13" i="9"/>
  <c r="AY13" i="9" s="1"/>
  <c r="AT211" i="9"/>
  <c r="AX297" i="9"/>
  <c r="AY297" i="9" s="1"/>
  <c r="V718" i="9"/>
  <c r="AI718" i="9"/>
  <c r="AJ718" i="9" s="1"/>
  <c r="U718" i="9"/>
  <c r="AN527" i="9"/>
  <c r="AO527" i="9" s="1"/>
  <c r="AX558" i="9"/>
  <c r="AY558" i="9" s="1"/>
  <c r="V307" i="9"/>
  <c r="AS666" i="9"/>
  <c r="AT666" i="9" s="1"/>
  <c r="AQ636" i="9"/>
  <c r="AR635" i="9"/>
  <c r="AQ447" i="9"/>
  <c r="AR446" i="9"/>
  <c r="AL430" i="9"/>
  <c r="AM429" i="9"/>
  <c r="AI307" i="9"/>
  <c r="AN307" i="9" s="1"/>
  <c r="AS307" i="9" s="1"/>
  <c r="AT307" i="9" s="1"/>
  <c r="AS559" i="9"/>
  <c r="AT559" i="9" s="1"/>
  <c r="AL638" i="9"/>
  <c r="AM637" i="9"/>
  <c r="AH352" i="9"/>
  <c r="AG353" i="9"/>
  <c r="AO602" i="9"/>
  <c r="AQ431" i="9"/>
  <c r="AR430" i="9"/>
  <c r="AS667" i="9"/>
  <c r="AT667" i="9" s="1"/>
  <c r="AM479" i="9"/>
  <c r="AL480" i="9"/>
  <c r="AR308" i="9"/>
  <c r="AQ309" i="9"/>
  <c r="AS602" i="9"/>
  <c r="AT602" i="9" s="1"/>
  <c r="U444" i="9"/>
  <c r="N444" i="9"/>
  <c r="CF444" i="9"/>
  <c r="K446" i="9"/>
  <c r="L445" i="9"/>
  <c r="U604" i="9"/>
  <c r="CF604" i="9"/>
  <c r="N604" i="9"/>
  <c r="AS633" i="9"/>
  <c r="AT633" i="9" s="1"/>
  <c r="AG637" i="9"/>
  <c r="AH636" i="9"/>
  <c r="U562" i="9"/>
  <c r="CF562" i="9"/>
  <c r="N562" i="9"/>
  <c r="AN655" i="9"/>
  <c r="AO655" i="9" s="1"/>
  <c r="L605" i="9"/>
  <c r="K606" i="9"/>
  <c r="AN634" i="9"/>
  <c r="AO634" i="9" s="1"/>
  <c r="AI561" i="9"/>
  <c r="AJ561" i="9" s="1"/>
  <c r="AJ655" i="9"/>
  <c r="K637" i="9"/>
  <c r="L636" i="9"/>
  <c r="AN604" i="9"/>
  <c r="AS678" i="9"/>
  <c r="AT678" i="9" s="1"/>
  <c r="AO667" i="9"/>
  <c r="AJ634" i="9"/>
  <c r="AH562" i="9"/>
  <c r="AG563" i="9"/>
  <c r="N635" i="9"/>
  <c r="U635" i="9"/>
  <c r="CF635" i="9"/>
  <c r="AW562" i="9"/>
  <c r="AV563" i="9"/>
  <c r="AI605" i="9"/>
  <c r="AS653" i="9"/>
  <c r="AT653" i="9" s="1"/>
  <c r="AW682" i="9"/>
  <c r="AV683" i="9"/>
  <c r="AR605" i="9"/>
  <c r="AQ606" i="9"/>
  <c r="AR563" i="9"/>
  <c r="AQ564" i="9"/>
  <c r="AG607" i="9"/>
  <c r="AH606" i="9"/>
  <c r="AN679" i="9"/>
  <c r="AO679" i="9" s="1"/>
  <c r="AN654" i="9"/>
  <c r="AO654" i="9" s="1"/>
  <c r="AG682" i="9"/>
  <c r="AH681" i="9"/>
  <c r="U682" i="9"/>
  <c r="N682" i="9"/>
  <c r="CF682" i="9"/>
  <c r="AJ654" i="9"/>
  <c r="AM605" i="9"/>
  <c r="AL606" i="9"/>
  <c r="AI680" i="9"/>
  <c r="K684" i="9"/>
  <c r="L683" i="9"/>
  <c r="AM681" i="9"/>
  <c r="AL682" i="9"/>
  <c r="AW635" i="9"/>
  <c r="AV636" i="9"/>
  <c r="AV606" i="9"/>
  <c r="AW605" i="9"/>
  <c r="AQ684" i="9"/>
  <c r="AR683" i="9"/>
  <c r="AM563" i="9"/>
  <c r="AL564" i="9"/>
  <c r="U654" i="9"/>
  <c r="CF654" i="9"/>
  <c r="N654" i="9"/>
  <c r="X643" i="9"/>
  <c r="N655" i="9"/>
  <c r="CF655" i="9"/>
  <c r="U655" i="9"/>
  <c r="AI635" i="9"/>
  <c r="AJ635" i="9" s="1"/>
  <c r="L563" i="9"/>
  <c r="K564" i="9"/>
  <c r="AN560" i="9"/>
  <c r="AO560" i="9" s="1"/>
  <c r="AX380" i="9"/>
  <c r="AY380" i="9" s="1"/>
  <c r="AI381" i="9"/>
  <c r="AJ381" i="9" s="1"/>
  <c r="V381" i="9"/>
  <c r="U381" i="9"/>
  <c r="V442" i="9"/>
  <c r="AI442" i="9"/>
  <c r="AJ442" i="9" s="1"/>
  <c r="U442" i="9"/>
  <c r="V425" i="9"/>
  <c r="AI425" i="9"/>
  <c r="AJ425" i="9" s="1"/>
  <c r="U425" i="9"/>
  <c r="V349" i="9"/>
  <c r="AI349" i="9"/>
  <c r="AJ349" i="9" s="1"/>
  <c r="U349" i="9"/>
  <c r="AN444" i="9"/>
  <c r="AO444" i="9" s="1"/>
  <c r="AV385" i="9"/>
  <c r="AW384" i="9"/>
  <c r="AL309" i="9"/>
  <c r="AM308" i="9"/>
  <c r="AJ444" i="9"/>
  <c r="AN348" i="9"/>
  <c r="AO348" i="9" s="1"/>
  <c r="AG447" i="9"/>
  <c r="AH446" i="9"/>
  <c r="AV355" i="9"/>
  <c r="AW354" i="9"/>
  <c r="AH429" i="9"/>
  <c r="AG430" i="9"/>
  <c r="AW465" i="9"/>
  <c r="AV466" i="9"/>
  <c r="AW466" i="9" s="1"/>
  <c r="AM384" i="9"/>
  <c r="AL385" i="9"/>
  <c r="L480" i="9"/>
  <c r="K481" i="9"/>
  <c r="L429" i="9"/>
  <c r="K430" i="9"/>
  <c r="U479" i="9"/>
  <c r="N479" i="9"/>
  <c r="CF479" i="9"/>
  <c r="AV431" i="9"/>
  <c r="AW430" i="9"/>
  <c r="K353" i="9"/>
  <c r="L352" i="9"/>
  <c r="N427" i="9"/>
  <c r="CF427" i="9"/>
  <c r="AN306" i="9"/>
  <c r="AO306" i="9" s="1"/>
  <c r="CF350" i="9"/>
  <c r="N350" i="9"/>
  <c r="U350" i="9"/>
  <c r="AI383" i="9"/>
  <c r="AW447" i="9"/>
  <c r="AV448" i="9"/>
  <c r="AV309" i="9"/>
  <c r="AW308" i="9"/>
  <c r="AL466" i="9"/>
  <c r="AM466" i="9" s="1"/>
  <c r="AM465" i="9"/>
  <c r="AG385" i="9"/>
  <c r="AH384" i="9"/>
  <c r="AL353" i="9"/>
  <c r="AM352" i="9"/>
  <c r="AQ385" i="9"/>
  <c r="AR384" i="9"/>
  <c r="AN382" i="9"/>
  <c r="AO382" i="9" s="1"/>
  <c r="U307" i="9"/>
  <c r="CF307" i="9"/>
  <c r="N307" i="9"/>
  <c r="AQ482" i="9"/>
  <c r="AR482" i="9" s="1"/>
  <c r="AR481" i="9"/>
  <c r="AJ382" i="9"/>
  <c r="K309" i="9"/>
  <c r="L308" i="9"/>
  <c r="AN424" i="9"/>
  <c r="AO424" i="9" s="1"/>
  <c r="AQ353" i="9"/>
  <c r="AR352" i="9"/>
  <c r="CF463" i="9"/>
  <c r="N463" i="9"/>
  <c r="U463" i="9"/>
  <c r="AV480" i="9"/>
  <c r="AW479" i="9"/>
  <c r="U383" i="9"/>
  <c r="N383" i="9"/>
  <c r="CF383" i="9"/>
  <c r="AN460" i="9"/>
  <c r="AO460" i="9" s="1"/>
  <c r="AM448" i="9"/>
  <c r="AL449" i="9"/>
  <c r="K465" i="9"/>
  <c r="L464" i="9"/>
  <c r="L384" i="9"/>
  <c r="K385" i="9"/>
  <c r="AG309" i="9"/>
  <c r="AH308" i="9"/>
  <c r="AN261" i="9"/>
  <c r="AO261" i="9" s="1"/>
  <c r="V200" i="5"/>
  <c r="W196" i="5" s="1"/>
  <c r="V230" i="5"/>
  <c r="W226" i="5" s="1"/>
  <c r="U200" i="5"/>
  <c r="U230" i="5"/>
  <c r="AX251" i="9"/>
  <c r="AY251" i="9" s="1"/>
  <c r="AX249" i="9"/>
  <c r="AY249" i="9" s="1"/>
  <c r="AJ104" i="9"/>
  <c r="AX102" i="9"/>
  <c r="AY102" i="9" s="1"/>
  <c r="AX17" i="9"/>
  <c r="AY17" i="9" s="1"/>
  <c r="AS104" i="9"/>
  <c r="AT104" i="9" s="1"/>
  <c r="AX63" i="9"/>
  <c r="AY63" i="9" s="1"/>
  <c r="AX197" i="9"/>
  <c r="AY197" i="9" s="1"/>
  <c r="AN153" i="9"/>
  <c r="AO153" i="9" s="1"/>
  <c r="AN65" i="9"/>
  <c r="AO65" i="9" s="1"/>
  <c r="AX172" i="9"/>
  <c r="AY172" i="9" s="1"/>
  <c r="AN174" i="9"/>
  <c r="AO174" i="9" s="1"/>
  <c r="AQ23" i="9"/>
  <c r="AR22" i="9"/>
  <c r="AL201" i="9"/>
  <c r="AM200" i="9"/>
  <c r="AV176" i="9"/>
  <c r="AW175" i="9"/>
  <c r="AG176" i="9"/>
  <c r="AH175" i="9"/>
  <c r="AI175" i="9" s="1"/>
  <c r="AJ175" i="9" s="1"/>
  <c r="AV107" i="9"/>
  <c r="AW106" i="9"/>
  <c r="AL220" i="9"/>
  <c r="AM219" i="9"/>
  <c r="AL176" i="9"/>
  <c r="AM175" i="9"/>
  <c r="AV68" i="9"/>
  <c r="AW67" i="9"/>
  <c r="AL107" i="9"/>
  <c r="AM106" i="9"/>
  <c r="AN198" i="9"/>
  <c r="AO198" i="9" s="1"/>
  <c r="AQ201" i="9"/>
  <c r="AR200" i="9"/>
  <c r="AV156" i="9"/>
  <c r="AW155" i="9"/>
  <c r="AQ69" i="9"/>
  <c r="AQ70" i="9" s="1"/>
  <c r="AR68" i="9"/>
  <c r="AG68" i="9"/>
  <c r="AH67" i="9"/>
  <c r="AN217" i="9"/>
  <c r="AO217" i="9" s="1"/>
  <c r="AQ107" i="9"/>
  <c r="AR106" i="9"/>
  <c r="AV22" i="9"/>
  <c r="AW21" i="9"/>
  <c r="AN19" i="9"/>
  <c r="AO19" i="9" s="1"/>
  <c r="AX150" i="9"/>
  <c r="AY150" i="9" s="1"/>
  <c r="AQ178" i="9"/>
  <c r="AR177" i="9"/>
  <c r="AL68" i="9"/>
  <c r="AM67" i="9"/>
  <c r="AV202" i="9"/>
  <c r="AW201" i="9"/>
  <c r="AL22" i="9"/>
  <c r="AM21" i="9"/>
  <c r="AQ156" i="9"/>
  <c r="AR155" i="9"/>
  <c r="AG156" i="9"/>
  <c r="AH155" i="9"/>
  <c r="AV220" i="9"/>
  <c r="AW219" i="9"/>
  <c r="AI199" i="9"/>
  <c r="AJ199" i="9" s="1"/>
  <c r="AL159" i="9"/>
  <c r="AM158" i="9"/>
  <c r="AQ220" i="9"/>
  <c r="AR219" i="9"/>
  <c r="AX215" i="9"/>
  <c r="AY215" i="9" s="1"/>
  <c r="AI105" i="9"/>
  <c r="AJ105" i="9" s="1"/>
  <c r="AI66" i="9"/>
  <c r="AJ66" i="9" s="1"/>
  <c r="AI218" i="9"/>
  <c r="AJ218" i="9" s="1"/>
  <c r="AI20" i="9"/>
  <c r="AJ20" i="9" s="1"/>
  <c r="AI154" i="9"/>
  <c r="AJ154" i="9" s="1"/>
  <c r="AG223" i="9"/>
  <c r="AH222" i="9"/>
  <c r="AG201" i="9"/>
  <c r="AH200" i="9"/>
  <c r="AI200" i="9" s="1"/>
  <c r="AN200" i="9" s="1"/>
  <c r="AG108" i="9"/>
  <c r="AH107" i="9"/>
  <c r="V105" i="9"/>
  <c r="V66" i="9"/>
  <c r="V218" i="9"/>
  <c r="V20" i="9"/>
  <c r="V175" i="9"/>
  <c r="V200" i="9"/>
  <c r="V154" i="9"/>
  <c r="U105" i="9"/>
  <c r="U66" i="9"/>
  <c r="U218" i="9"/>
  <c r="U20" i="9"/>
  <c r="U175" i="9"/>
  <c r="U200" i="9"/>
  <c r="U154" i="9"/>
  <c r="N105" i="9"/>
  <c r="CF105" i="9"/>
  <c r="N66" i="9"/>
  <c r="CF66" i="9"/>
  <c r="N218" i="9"/>
  <c r="CF218" i="9"/>
  <c r="K107" i="9"/>
  <c r="L106" i="9"/>
  <c r="K68" i="9"/>
  <c r="L67" i="9"/>
  <c r="K220" i="9"/>
  <c r="L219" i="9"/>
  <c r="N20" i="9"/>
  <c r="CF20" i="9"/>
  <c r="K22" i="9"/>
  <c r="L21" i="9"/>
  <c r="N175" i="9"/>
  <c r="CF175" i="9"/>
  <c r="K177" i="9"/>
  <c r="L176" i="9"/>
  <c r="N200" i="9"/>
  <c r="CF200" i="9"/>
  <c r="N154" i="9"/>
  <c r="CF154" i="9"/>
  <c r="K202" i="9"/>
  <c r="L201" i="9"/>
  <c r="K156" i="9"/>
  <c r="L155" i="9"/>
  <c r="AX341" i="5"/>
  <c r="AY341" i="5" s="1"/>
  <c r="AX340" i="5"/>
  <c r="AY340" i="5" s="1"/>
  <c r="AN106" i="5"/>
  <c r="AO106" i="5" s="1"/>
  <c r="AS273" i="5"/>
  <c r="AT273" i="5" s="1"/>
  <c r="AG231" i="5"/>
  <c r="AH231" i="5" s="1"/>
  <c r="AI231" i="5" s="1"/>
  <c r="AH230" i="5"/>
  <c r="AI230" i="5" s="1"/>
  <c r="AL276" i="5"/>
  <c r="AM275" i="5"/>
  <c r="AJ38" i="5"/>
  <c r="AN38" i="5"/>
  <c r="AO38" i="5" s="1"/>
  <c r="AJ68" i="5"/>
  <c r="AN68" i="5"/>
  <c r="AS68" i="5" s="1"/>
  <c r="AT68" i="5" s="1"/>
  <c r="AG207" i="5"/>
  <c r="AH207" i="5" s="1"/>
  <c r="AI207" i="5" s="1"/>
  <c r="AH206" i="5"/>
  <c r="AI206" i="5" s="1"/>
  <c r="AG84" i="5"/>
  <c r="AH83" i="5"/>
  <c r="AI83" i="5" s="1"/>
  <c r="AV231" i="5"/>
  <c r="AW231" i="5" s="1"/>
  <c r="AW230" i="5"/>
  <c r="AJ211" i="5"/>
  <c r="AN211" i="5"/>
  <c r="AG237" i="5"/>
  <c r="AH237" i="5" s="1"/>
  <c r="AI237" i="5" s="1"/>
  <c r="AH236" i="5"/>
  <c r="AI236" i="5" s="1"/>
  <c r="AV29" i="5"/>
  <c r="AW28" i="5"/>
  <c r="AQ207" i="5"/>
  <c r="AR207" i="5" s="1"/>
  <c r="AR206" i="5"/>
  <c r="AV54" i="5"/>
  <c r="AW53" i="5"/>
  <c r="AQ84" i="5"/>
  <c r="AR83" i="5"/>
  <c r="AJ78" i="5"/>
  <c r="AN78" i="5"/>
  <c r="AS78" i="5" s="1"/>
  <c r="AT78" i="5" s="1"/>
  <c r="AQ123" i="5"/>
  <c r="AR122" i="5"/>
  <c r="AG213" i="5"/>
  <c r="AH213" i="5" s="1"/>
  <c r="AI213" i="5" s="1"/>
  <c r="AH212" i="5"/>
  <c r="AI212" i="5" s="1"/>
  <c r="AQ289" i="5"/>
  <c r="AR288" i="5"/>
  <c r="AO17" i="5"/>
  <c r="AS17" i="5"/>
  <c r="AO61" i="5"/>
  <c r="AS61" i="5"/>
  <c r="AQ108" i="5"/>
  <c r="AR107" i="5"/>
  <c r="AL84" i="5"/>
  <c r="AM83" i="5"/>
  <c r="AG97" i="5"/>
  <c r="AH96" i="5"/>
  <c r="AI96" i="5" s="1"/>
  <c r="AV84" i="5"/>
  <c r="AW83" i="5"/>
  <c r="AV172" i="5"/>
  <c r="AW171" i="5"/>
  <c r="AV219" i="5"/>
  <c r="AW219" i="5" s="1"/>
  <c r="AW218" i="5"/>
  <c r="AJ121" i="5"/>
  <c r="AN121" i="5"/>
  <c r="AS121" i="5" s="1"/>
  <c r="AT121" i="5" s="1"/>
  <c r="AV201" i="5"/>
  <c r="AW201" i="5" s="1"/>
  <c r="AW200" i="5"/>
  <c r="AQ243" i="5"/>
  <c r="AR243" i="5" s="1"/>
  <c r="AR242" i="5"/>
  <c r="AV97" i="5"/>
  <c r="AW96" i="5"/>
  <c r="AQ255" i="5"/>
  <c r="AR255" i="5" s="1"/>
  <c r="AR254" i="5"/>
  <c r="AL231" i="5"/>
  <c r="AM231" i="5" s="1"/>
  <c r="AM230" i="5"/>
  <c r="AL195" i="5"/>
  <c r="AM195" i="5" s="1"/>
  <c r="AM194" i="5"/>
  <c r="AJ95" i="5"/>
  <c r="AN95" i="5"/>
  <c r="AO95" i="5" s="1"/>
  <c r="AJ287" i="5"/>
  <c r="AN287" i="5"/>
  <c r="AO287" i="5" s="1"/>
  <c r="AO302" i="5"/>
  <c r="AS302" i="5"/>
  <c r="AJ259" i="5"/>
  <c r="AN259" i="5"/>
  <c r="AS259" i="5" s="1"/>
  <c r="AT259" i="5" s="1"/>
  <c r="AG123" i="5"/>
  <c r="AH122" i="5"/>
  <c r="AI122" i="5" s="1"/>
  <c r="AV255" i="5"/>
  <c r="AW255" i="5" s="1"/>
  <c r="AW254" i="5"/>
  <c r="AV20" i="5"/>
  <c r="AW19" i="5"/>
  <c r="AG201" i="5"/>
  <c r="AH201" i="5" s="1"/>
  <c r="AI201" i="5" s="1"/>
  <c r="AH200" i="5"/>
  <c r="AI200" i="5" s="1"/>
  <c r="AJ193" i="5"/>
  <c r="AN193" i="5"/>
  <c r="AS193" i="5" s="1"/>
  <c r="AT193" i="5" s="1"/>
  <c r="AO331" i="5"/>
  <c r="AS331" i="5"/>
  <c r="AG289" i="5"/>
  <c r="AH288" i="5"/>
  <c r="AI288" i="5" s="1"/>
  <c r="AL213" i="5"/>
  <c r="AM213" i="5" s="1"/>
  <c r="AM212" i="5"/>
  <c r="AG261" i="5"/>
  <c r="AH260" i="5"/>
  <c r="AI260" i="5" s="1"/>
  <c r="AQ20" i="5"/>
  <c r="AR19" i="5"/>
  <c r="AV44" i="5"/>
  <c r="AW43" i="5"/>
  <c r="AJ187" i="5"/>
  <c r="AN187" i="5"/>
  <c r="AL243" i="5"/>
  <c r="AM243" i="5" s="1"/>
  <c r="AM242" i="5"/>
  <c r="AJ27" i="5"/>
  <c r="AN27" i="5"/>
  <c r="AS27" i="5" s="1"/>
  <c r="AT27" i="5" s="1"/>
  <c r="AV237" i="5"/>
  <c r="AW237" i="5" s="1"/>
  <c r="AW236" i="5"/>
  <c r="AL29" i="5"/>
  <c r="AM28" i="5"/>
  <c r="AL97" i="5"/>
  <c r="AM96" i="5"/>
  <c r="AQ261" i="5"/>
  <c r="AR260" i="5"/>
  <c r="AQ172" i="5"/>
  <c r="AR171" i="5"/>
  <c r="AG195" i="5"/>
  <c r="AH195" i="5" s="1"/>
  <c r="AI195" i="5" s="1"/>
  <c r="AH194" i="5"/>
  <c r="AI194" i="5" s="1"/>
  <c r="AJ223" i="5"/>
  <c r="AN223" i="5"/>
  <c r="AS223" i="5" s="1"/>
  <c r="AT223" i="5" s="1"/>
  <c r="AG189" i="5"/>
  <c r="AH189" i="5" s="1"/>
  <c r="AI189" i="5" s="1"/>
  <c r="AH188" i="5"/>
  <c r="AI188" i="5" s="1"/>
  <c r="AL225" i="5"/>
  <c r="AM225" i="5" s="1"/>
  <c r="AM224" i="5"/>
  <c r="AJ247" i="5"/>
  <c r="AN247" i="5"/>
  <c r="AS247" i="5" s="1"/>
  <c r="AT247" i="5" s="1"/>
  <c r="AG29" i="5"/>
  <c r="AH28" i="5"/>
  <c r="AI28" i="5" s="1"/>
  <c r="AJ52" i="5"/>
  <c r="AN52" i="5"/>
  <c r="AS52" i="5" s="1"/>
  <c r="AT52" i="5" s="1"/>
  <c r="AJ62" i="5"/>
  <c r="AN62" i="5"/>
  <c r="AS62" i="5" s="1"/>
  <c r="AT62" i="5" s="1"/>
  <c r="AQ213" i="5"/>
  <c r="AR213" i="5" s="1"/>
  <c r="AR212" i="5"/>
  <c r="AG225" i="5"/>
  <c r="AH225" i="5" s="1"/>
  <c r="AI225" i="5" s="1"/>
  <c r="AH224" i="5"/>
  <c r="AI224" i="5" s="1"/>
  <c r="AQ54" i="5"/>
  <c r="AR53" i="5"/>
  <c r="AV249" i="5"/>
  <c r="AW249" i="5" s="1"/>
  <c r="AW248" i="5"/>
  <c r="AG276" i="5"/>
  <c r="AH275" i="5"/>
  <c r="AI275" i="5" s="1"/>
  <c r="AJ275" i="5" s="1"/>
  <c r="AQ143" i="5"/>
  <c r="AR142" i="5"/>
  <c r="AL172" i="5"/>
  <c r="AM171" i="5"/>
  <c r="AG249" i="5"/>
  <c r="AH249" i="5" s="1"/>
  <c r="AI249" i="5" s="1"/>
  <c r="AH248" i="5"/>
  <c r="AI248" i="5" s="1"/>
  <c r="AL249" i="5"/>
  <c r="AM249" i="5" s="1"/>
  <c r="AM248" i="5"/>
  <c r="AG54" i="5"/>
  <c r="AH53" i="5"/>
  <c r="AI53" i="5" s="1"/>
  <c r="AV195" i="5"/>
  <c r="AW195" i="5" s="1"/>
  <c r="AW194" i="5"/>
  <c r="AV225" i="5"/>
  <c r="AW225" i="5" s="1"/>
  <c r="AW224" i="5"/>
  <c r="AV143" i="5"/>
  <c r="AW142" i="5"/>
  <c r="AQ29" i="5"/>
  <c r="AR28" i="5"/>
  <c r="AL207" i="5"/>
  <c r="AM207" i="5" s="1"/>
  <c r="AM206" i="5"/>
  <c r="AJ63" i="5"/>
  <c r="AN63" i="5"/>
  <c r="AO63" i="5" s="1"/>
  <c r="AL237" i="5"/>
  <c r="AM237" i="5" s="1"/>
  <c r="AM236" i="5"/>
  <c r="AJ141" i="5"/>
  <c r="AN141" i="5"/>
  <c r="AS141" i="5" s="1"/>
  <c r="AT141" i="5" s="1"/>
  <c r="AL201" i="5"/>
  <c r="AM201" i="5" s="1"/>
  <c r="AM200" i="5"/>
  <c r="AO186" i="5"/>
  <c r="AS186" i="5"/>
  <c r="AQ237" i="5"/>
  <c r="AR237" i="5" s="1"/>
  <c r="AR236" i="5"/>
  <c r="AJ72" i="5"/>
  <c r="AN72" i="5"/>
  <c r="AS72" i="5" s="1"/>
  <c r="AT72" i="5" s="1"/>
  <c r="AJ18" i="5"/>
  <c r="AN18" i="5"/>
  <c r="AO18" i="5" s="1"/>
  <c r="AJ253" i="5"/>
  <c r="AN253" i="5"/>
  <c r="AL219" i="5"/>
  <c r="AM219" i="5" s="1"/>
  <c r="AM218" i="5"/>
  <c r="AV243" i="5"/>
  <c r="AW243" i="5" s="1"/>
  <c r="AW242" i="5"/>
  <c r="AV289" i="5"/>
  <c r="AW288" i="5"/>
  <c r="AQ225" i="5"/>
  <c r="AR225" i="5" s="1"/>
  <c r="AR224" i="5"/>
  <c r="AQ276" i="5"/>
  <c r="AR275" i="5"/>
  <c r="AG143" i="5"/>
  <c r="AH142" i="5"/>
  <c r="AI142" i="5" s="1"/>
  <c r="AO36" i="5"/>
  <c r="AS36" i="5"/>
  <c r="AT36" i="5" s="1"/>
  <c r="AL189" i="5"/>
  <c r="AM189" i="5" s="1"/>
  <c r="AM188" i="5"/>
  <c r="AJ170" i="5"/>
  <c r="AN170" i="5"/>
  <c r="AS170" i="5" s="1"/>
  <c r="AT170" i="5" s="1"/>
  <c r="AJ73" i="5"/>
  <c r="AN73" i="5"/>
  <c r="AO73" i="5" s="1"/>
  <c r="AG20" i="5"/>
  <c r="AH19" i="5"/>
  <c r="AI19" i="5" s="1"/>
  <c r="AV213" i="5"/>
  <c r="AW213" i="5" s="1"/>
  <c r="AW212" i="5"/>
  <c r="AL20" i="5"/>
  <c r="AM19" i="5"/>
  <c r="AL143" i="5"/>
  <c r="AM142" i="5"/>
  <c r="AG255" i="5"/>
  <c r="AH255" i="5" s="1"/>
  <c r="AI255" i="5" s="1"/>
  <c r="AH254" i="5"/>
  <c r="AI254" i="5" s="1"/>
  <c r="AQ249" i="5"/>
  <c r="AR249" i="5" s="1"/>
  <c r="AR248" i="5"/>
  <c r="AV207" i="5"/>
  <c r="AW207" i="5" s="1"/>
  <c r="AW206" i="5"/>
  <c r="AL289" i="5"/>
  <c r="AM288" i="5"/>
  <c r="AJ241" i="5"/>
  <c r="AN241" i="5"/>
  <c r="AO241" i="5" s="1"/>
  <c r="AO94" i="5"/>
  <c r="AS94" i="5"/>
  <c r="AT94" i="5" s="1"/>
  <c r="AQ189" i="5"/>
  <c r="AR189" i="5" s="1"/>
  <c r="AR188" i="5"/>
  <c r="AL261" i="5"/>
  <c r="AM260" i="5"/>
  <c r="AG172" i="5"/>
  <c r="AH171" i="5"/>
  <c r="AI171" i="5" s="1"/>
  <c r="AJ217" i="5"/>
  <c r="AN217" i="5"/>
  <c r="AJ42" i="5"/>
  <c r="AN42" i="5"/>
  <c r="AS42" i="5" s="1"/>
  <c r="AT42" i="5" s="1"/>
  <c r="AV261" i="5"/>
  <c r="AW260" i="5"/>
  <c r="AV108" i="5"/>
  <c r="AW107" i="5"/>
  <c r="AG243" i="5"/>
  <c r="AH243" i="5" s="1"/>
  <c r="AI243" i="5" s="1"/>
  <c r="AH242" i="5"/>
  <c r="AI242" i="5" s="1"/>
  <c r="AQ219" i="5"/>
  <c r="AR219" i="5" s="1"/>
  <c r="AR218" i="5"/>
  <c r="AG108" i="5"/>
  <c r="AH107" i="5"/>
  <c r="AI107" i="5" s="1"/>
  <c r="AQ195" i="5"/>
  <c r="AR195" i="5" s="1"/>
  <c r="AR194" i="5"/>
  <c r="AQ97" i="5"/>
  <c r="AR96" i="5"/>
  <c r="AV276" i="5"/>
  <c r="AW275" i="5"/>
  <c r="AG219" i="5"/>
  <c r="AH219" i="5" s="1"/>
  <c r="AI219" i="5" s="1"/>
  <c r="AH218" i="5"/>
  <c r="AI218" i="5" s="1"/>
  <c r="AG44" i="5"/>
  <c r="AH43" i="5"/>
  <c r="AI43" i="5" s="1"/>
  <c r="AQ231" i="5"/>
  <c r="AR231" i="5" s="1"/>
  <c r="AR230" i="5"/>
  <c r="AQ201" i="5"/>
  <c r="AR201" i="5" s="1"/>
  <c r="AR200" i="5"/>
  <c r="AV189" i="5"/>
  <c r="AW189" i="5" s="1"/>
  <c r="AW188" i="5"/>
  <c r="AL54" i="5"/>
  <c r="AM53" i="5"/>
  <c r="AL255" i="5"/>
  <c r="AM255" i="5" s="1"/>
  <c r="AM254" i="5"/>
  <c r="AJ229" i="5"/>
  <c r="AN229" i="5"/>
  <c r="AS229" i="5" s="1"/>
  <c r="AT229" i="5" s="1"/>
  <c r="AO240" i="5"/>
  <c r="AS240" i="5"/>
  <c r="AJ37" i="5"/>
  <c r="AN37" i="5"/>
  <c r="AS37" i="5" s="1"/>
  <c r="AT37" i="5" s="1"/>
  <c r="AJ67" i="5"/>
  <c r="AN67" i="5"/>
  <c r="AS67" i="5" s="1"/>
  <c r="AT67" i="5" s="1"/>
  <c r="AV123" i="5"/>
  <c r="AW122" i="5"/>
  <c r="AJ205" i="5"/>
  <c r="AN205" i="5"/>
  <c r="AO205" i="5" s="1"/>
  <c r="AJ82" i="5"/>
  <c r="AN82" i="5"/>
  <c r="AO82" i="5" s="1"/>
  <c r="AL108" i="5"/>
  <c r="AM107" i="5"/>
  <c r="AQ44" i="5"/>
  <c r="AR43" i="5"/>
  <c r="AJ235" i="5"/>
  <c r="AN235" i="5"/>
  <c r="AO235" i="5" s="1"/>
  <c r="AJ77" i="5"/>
  <c r="AN77" i="5"/>
  <c r="AS77" i="5" s="1"/>
  <c r="AT77" i="5" s="1"/>
  <c r="AL123" i="5"/>
  <c r="AM122" i="5"/>
  <c r="AL44" i="5"/>
  <c r="AM43" i="5"/>
  <c r="AN199" i="5"/>
  <c r="AO199" i="5" s="1"/>
  <c r="AN274" i="5"/>
  <c r="AO274" i="5" s="1"/>
  <c r="X196" i="5"/>
  <c r="X226" i="5"/>
  <c r="U43" i="5"/>
  <c r="V275" i="5"/>
  <c r="U275" i="5"/>
  <c r="N275" i="5"/>
  <c r="CB275" i="5"/>
  <c r="K277" i="5"/>
  <c r="L276" i="5"/>
  <c r="N200" i="5"/>
  <c r="CB200" i="5"/>
  <c r="N230" i="5"/>
  <c r="CB230" i="5"/>
  <c r="N201" i="5"/>
  <c r="CB201" i="5"/>
  <c r="N231" i="5"/>
  <c r="CB231" i="5"/>
  <c r="N43" i="5"/>
  <c r="CB43" i="5"/>
  <c r="K45" i="5"/>
  <c r="L44" i="5"/>
  <c r="U44" i="5" s="1"/>
  <c r="T725" i="9"/>
  <c r="T201" i="9"/>
  <c r="T720" i="9"/>
  <c r="T694" i="9"/>
  <c r="T518" i="9"/>
  <c r="T705" i="9"/>
  <c r="T704" i="9"/>
  <c r="T21" i="9"/>
  <c r="T692" i="9"/>
  <c r="T426" i="9"/>
  <c r="T719" i="9"/>
  <c r="T687" i="9"/>
  <c r="T698" i="9"/>
  <c r="T726" i="9"/>
  <c r="T219" i="9"/>
  <c r="T695" i="9"/>
  <c r="T689" i="9"/>
  <c r="T727" i="9"/>
  <c r="T702" i="9"/>
  <c r="T729" i="9"/>
  <c r="T155" i="9"/>
  <c r="T717" i="9"/>
  <c r="T706" i="9"/>
  <c r="T697" i="9"/>
  <c r="T308" i="9"/>
  <c r="T688" i="9"/>
  <c r="T480" i="9"/>
  <c r="T67" i="9"/>
  <c r="T721" i="9"/>
  <c r="T690" i="9"/>
  <c r="T714" i="9"/>
  <c r="T176" i="9"/>
  <c r="T710" i="9"/>
  <c r="T443" i="9"/>
  <c r="T106" i="9"/>
  <c r="T708" i="9"/>
  <c r="T276" i="5"/>
  <c r="AN521" i="9" l="1"/>
  <c r="AO521" i="9" s="1"/>
  <c r="U714" i="9"/>
  <c r="AI714" i="9"/>
  <c r="AJ714" i="9" s="1"/>
  <c r="V714" i="9"/>
  <c r="U717" i="9"/>
  <c r="AI717" i="9"/>
  <c r="AJ717" i="9" s="1"/>
  <c r="V717" i="9"/>
  <c r="V727" i="9"/>
  <c r="AI727" i="9"/>
  <c r="AJ727" i="9" s="1"/>
  <c r="U727" i="9"/>
  <c r="U726" i="9"/>
  <c r="AI726" i="9"/>
  <c r="AJ726" i="9" s="1"/>
  <c r="V726" i="9"/>
  <c r="AI719" i="9"/>
  <c r="AJ719" i="9" s="1"/>
  <c r="V719" i="9"/>
  <c r="U719" i="9"/>
  <c r="V692" i="9"/>
  <c r="U692" i="9"/>
  <c r="AI692" i="9"/>
  <c r="AJ692" i="9" s="1"/>
  <c r="X526" i="9"/>
  <c r="U725" i="9"/>
  <c r="AI725" i="9"/>
  <c r="AJ725" i="9" s="1"/>
  <c r="X723" i="9"/>
  <c r="V725" i="9"/>
  <c r="X272" i="9"/>
  <c r="AN512" i="9"/>
  <c r="AS512" i="9" s="1"/>
  <c r="AT512" i="9" s="1"/>
  <c r="X506" i="9"/>
  <c r="X252" i="9"/>
  <c r="AI704" i="9"/>
  <c r="AJ704" i="9" s="1"/>
  <c r="U704" i="9"/>
  <c r="X703" i="9"/>
  <c r="V704" i="9"/>
  <c r="AI705" i="9"/>
  <c r="AJ705" i="9" s="1"/>
  <c r="U705" i="9"/>
  <c r="V705" i="9"/>
  <c r="V695" i="9"/>
  <c r="U695" i="9"/>
  <c r="AI695" i="9"/>
  <c r="AJ695" i="9" s="1"/>
  <c r="AI706" i="9"/>
  <c r="AJ706" i="9" s="1"/>
  <c r="V706" i="9"/>
  <c r="U706" i="9"/>
  <c r="U710" i="9"/>
  <c r="V710" i="9"/>
  <c r="AI710" i="9"/>
  <c r="AJ710" i="9" s="1"/>
  <c r="U694" i="9"/>
  <c r="AI694" i="9"/>
  <c r="AJ694" i="9" s="1"/>
  <c r="X691" i="9"/>
  <c r="X234" i="9"/>
  <c r="V694" i="9"/>
  <c r="X488" i="9"/>
  <c r="X277" i="9"/>
  <c r="U729" i="9"/>
  <c r="AI729" i="9"/>
  <c r="AJ729" i="9" s="1"/>
  <c r="V729" i="9"/>
  <c r="W277" i="9" s="1"/>
  <c r="X728" i="9"/>
  <c r="X531" i="9"/>
  <c r="AN522" i="9"/>
  <c r="AO522" i="9" s="1"/>
  <c r="AN529" i="9"/>
  <c r="AO529" i="9" s="1"/>
  <c r="AN490" i="9"/>
  <c r="AS490" i="9" s="1"/>
  <c r="AT490" i="9" s="1"/>
  <c r="V708" i="9"/>
  <c r="AI708" i="9"/>
  <c r="AJ708" i="9" s="1"/>
  <c r="U708" i="9"/>
  <c r="X510" i="9"/>
  <c r="X707" i="9"/>
  <c r="X256" i="9"/>
  <c r="AI721" i="9"/>
  <c r="AJ721" i="9" s="1"/>
  <c r="U721" i="9"/>
  <c r="V721" i="9"/>
  <c r="V720" i="9"/>
  <c r="X519" i="9"/>
  <c r="X716" i="9"/>
  <c r="U720" i="9"/>
  <c r="X265" i="9"/>
  <c r="AI720" i="9"/>
  <c r="AJ720" i="9" s="1"/>
  <c r="AN520" i="9"/>
  <c r="AO520" i="9" s="1"/>
  <c r="AN491" i="9"/>
  <c r="AO491" i="9" s="1"/>
  <c r="AN507" i="9"/>
  <c r="AO507" i="9" s="1"/>
  <c r="AN484" i="9"/>
  <c r="AO484" i="9" s="1"/>
  <c r="AN524" i="9"/>
  <c r="AS524" i="9" s="1"/>
  <c r="AT524" i="9" s="1"/>
  <c r="V702" i="9"/>
  <c r="W498" i="9" s="1"/>
  <c r="X498" i="9"/>
  <c r="U702" i="9"/>
  <c r="X701" i="9"/>
  <c r="X244" i="9"/>
  <c r="AI702" i="9"/>
  <c r="AJ702" i="9" s="1"/>
  <c r="U698" i="9"/>
  <c r="AI698" i="9"/>
  <c r="AJ698" i="9" s="1"/>
  <c r="V698" i="9"/>
  <c r="X229" i="9"/>
  <c r="X686" i="9"/>
  <c r="AI687" i="9"/>
  <c r="AJ687" i="9" s="1"/>
  <c r="V687" i="9"/>
  <c r="X483" i="9"/>
  <c r="U687" i="9"/>
  <c r="V689" i="9"/>
  <c r="AI689" i="9"/>
  <c r="AJ689" i="9" s="1"/>
  <c r="U689" i="9"/>
  <c r="U697" i="9"/>
  <c r="X493" i="9"/>
  <c r="V697" i="9"/>
  <c r="X239" i="9"/>
  <c r="X696" i="9"/>
  <c r="AI697" i="9"/>
  <c r="AJ697" i="9" s="1"/>
  <c r="V690" i="9"/>
  <c r="AI690" i="9"/>
  <c r="AJ690" i="9" s="1"/>
  <c r="U690" i="9"/>
  <c r="U688" i="9"/>
  <c r="V688" i="9"/>
  <c r="AI688" i="9"/>
  <c r="AJ688" i="9" s="1"/>
  <c r="AN516" i="9"/>
  <c r="AO516" i="9" s="1"/>
  <c r="AN508" i="9"/>
  <c r="AO508" i="9" s="1"/>
  <c r="AN530" i="9"/>
  <c r="AO530" i="9" s="1"/>
  <c r="AN525" i="9"/>
  <c r="AO525" i="9" s="1"/>
  <c r="AN517" i="9"/>
  <c r="AO517" i="9" s="1"/>
  <c r="AN509" i="9"/>
  <c r="AO509" i="9" s="1"/>
  <c r="AN511" i="9"/>
  <c r="AS511" i="9" s="1"/>
  <c r="AT511" i="9" s="1"/>
  <c r="AN532" i="9"/>
  <c r="AO532" i="9" s="1"/>
  <c r="AN528" i="9"/>
  <c r="AO528" i="9" s="1"/>
  <c r="AN499" i="9"/>
  <c r="AO499" i="9" s="1"/>
  <c r="AN486" i="9"/>
  <c r="AO486" i="9" s="1"/>
  <c r="AN485" i="9"/>
  <c r="AS485" i="9" s="1"/>
  <c r="AT485" i="9" s="1"/>
  <c r="AN492" i="9"/>
  <c r="AO492" i="9" s="1"/>
  <c r="AN487" i="9"/>
  <c r="AO487" i="9" s="1"/>
  <c r="AN495" i="9"/>
  <c r="AO495" i="9" s="1"/>
  <c r="AN494" i="9"/>
  <c r="AO494" i="9" s="1"/>
  <c r="AN489" i="9"/>
  <c r="AO489" i="9" s="1"/>
  <c r="AN523" i="9"/>
  <c r="AO523" i="9" s="1"/>
  <c r="AN513" i="9"/>
  <c r="AO513" i="9" s="1"/>
  <c r="AS266" i="9"/>
  <c r="AT266" i="9" s="1"/>
  <c r="AX652" i="9"/>
  <c r="AY652" i="9" s="1"/>
  <c r="AS286" i="5"/>
  <c r="AX286" i="5" s="1"/>
  <c r="AY286" i="5" s="1"/>
  <c r="AS323" i="5"/>
  <c r="AT323" i="5" s="1"/>
  <c r="AS35" i="5"/>
  <c r="AT35" i="5" s="1"/>
  <c r="AS120" i="5"/>
  <c r="AT120" i="5" s="1"/>
  <c r="AS173" i="9"/>
  <c r="AT173" i="9" s="1"/>
  <c r="AS228" i="5"/>
  <c r="AT228" i="5" s="1"/>
  <c r="AS116" i="5"/>
  <c r="AT116" i="5" s="1"/>
  <c r="AO652" i="9"/>
  <c r="AS198" i="5"/>
  <c r="AT198" i="5" s="1"/>
  <c r="AX245" i="9"/>
  <c r="AY245" i="9" s="1"/>
  <c r="AX270" i="9"/>
  <c r="AY270" i="9" s="1"/>
  <c r="AS81" i="5"/>
  <c r="AT81" i="5" s="1"/>
  <c r="AO267" i="9"/>
  <c r="AO169" i="5"/>
  <c r="AX267" i="9"/>
  <c r="AY267" i="9" s="1"/>
  <c r="AS335" i="5"/>
  <c r="AT335" i="5" s="1"/>
  <c r="AS216" i="9"/>
  <c r="AT216" i="9" s="1"/>
  <c r="AS325" i="5"/>
  <c r="AT325" i="5" s="1"/>
  <c r="AS215" i="5"/>
  <c r="AT215" i="5" s="1"/>
  <c r="AX253" i="9"/>
  <c r="AY253" i="9" s="1"/>
  <c r="AX197" i="5"/>
  <c r="AY197" i="5" s="1"/>
  <c r="AX273" i="9"/>
  <c r="AY273" i="9" s="1"/>
  <c r="AX240" i="9"/>
  <c r="AY240" i="9" s="1"/>
  <c r="AS105" i="5"/>
  <c r="AT105" i="5" s="1"/>
  <c r="AX191" i="5"/>
  <c r="AY191" i="5" s="1"/>
  <c r="AS315" i="5"/>
  <c r="AT315" i="5" s="1"/>
  <c r="AS251" i="5"/>
  <c r="AT251" i="5" s="1"/>
  <c r="AX235" i="9"/>
  <c r="AY235" i="9" s="1"/>
  <c r="AS239" i="5"/>
  <c r="AT239" i="5" s="1"/>
  <c r="AS71" i="5"/>
  <c r="AX71" i="5" s="1"/>
  <c r="AY71" i="5" s="1"/>
  <c r="AS18" i="9"/>
  <c r="AT18" i="9" s="1"/>
  <c r="AS65" i="5"/>
  <c r="AT65" i="5" s="1"/>
  <c r="AO197" i="5"/>
  <c r="AO317" i="5"/>
  <c r="AO41" i="5"/>
  <c r="AS329" i="5"/>
  <c r="AT329" i="5" s="1"/>
  <c r="AS503" i="9"/>
  <c r="AX503" i="9" s="1"/>
  <c r="AY503" i="9" s="1"/>
  <c r="AS259" i="9"/>
  <c r="AT259" i="9" s="1"/>
  <c r="AS103" i="9"/>
  <c r="AT103" i="9" s="1"/>
  <c r="AS305" i="9"/>
  <c r="AT305" i="9" s="1"/>
  <c r="AS93" i="5"/>
  <c r="AT93" i="5" s="1"/>
  <c r="AS203" i="5"/>
  <c r="AT203" i="5" s="1"/>
  <c r="AO262" i="9"/>
  <c r="AS246" i="5"/>
  <c r="AT246" i="5" s="1"/>
  <c r="AX238" i="9"/>
  <c r="AY238" i="9" s="1"/>
  <c r="AO238" i="9"/>
  <c r="AX140" i="5"/>
  <c r="AY140" i="5" s="1"/>
  <c r="AS316" i="5"/>
  <c r="AT316" i="5" s="1"/>
  <c r="AS209" i="5"/>
  <c r="AT209" i="5" s="1"/>
  <c r="AS13" i="5"/>
  <c r="AT13" i="5" s="1"/>
  <c r="AS301" i="5"/>
  <c r="AT301" i="5" s="1"/>
  <c r="AS338" i="5"/>
  <c r="AT338" i="5" s="1"/>
  <c r="AS151" i="9"/>
  <c r="AT151" i="9" s="1"/>
  <c r="AS333" i="5"/>
  <c r="AT333" i="5" s="1"/>
  <c r="AS330" i="5"/>
  <c r="AX330" i="5" s="1"/>
  <c r="AY330" i="5" s="1"/>
  <c r="AS192" i="5"/>
  <c r="AX192" i="5" s="1"/>
  <c r="AY192" i="5" s="1"/>
  <c r="AS216" i="5"/>
  <c r="AT216" i="5" s="1"/>
  <c r="AS234" i="5"/>
  <c r="AT234" i="5" s="1"/>
  <c r="AS204" i="5"/>
  <c r="AX204" i="5" s="1"/>
  <c r="AY204" i="5" s="1"/>
  <c r="AX233" i="9"/>
  <c r="AY233" i="9" s="1"/>
  <c r="AS257" i="9"/>
  <c r="AT257" i="9" s="1"/>
  <c r="AS16" i="5"/>
  <c r="AT16" i="5" s="1"/>
  <c r="AS11" i="5"/>
  <c r="AT11" i="5" s="1"/>
  <c r="AS221" i="5"/>
  <c r="AT221" i="5" s="1"/>
  <c r="AS337" i="5"/>
  <c r="AT337" i="5" s="1"/>
  <c r="AO502" i="9"/>
  <c r="AS252" i="5"/>
  <c r="AX252" i="5" s="1"/>
  <c r="AY252" i="5" s="1"/>
  <c r="AS258" i="5"/>
  <c r="AT258" i="5" s="1"/>
  <c r="AS51" i="5"/>
  <c r="AT51" i="5" s="1"/>
  <c r="AO191" i="5"/>
  <c r="AS14" i="5"/>
  <c r="AX14" i="5" s="1"/>
  <c r="AY14" i="5" s="1"/>
  <c r="AS168" i="5"/>
  <c r="AT168" i="5" s="1"/>
  <c r="AS60" i="5"/>
  <c r="AT60" i="5" s="1"/>
  <c r="AS344" i="5"/>
  <c r="AT344" i="5" s="1"/>
  <c r="AS104" i="5"/>
  <c r="AT104" i="5" s="1"/>
  <c r="AS274" i="9"/>
  <c r="AT274" i="9" s="1"/>
  <c r="AS70" i="5"/>
  <c r="AT70" i="5" s="1"/>
  <c r="AS275" i="9"/>
  <c r="AT275" i="9" s="1"/>
  <c r="AS64" i="9"/>
  <c r="AT64" i="9" s="1"/>
  <c r="AS440" i="9"/>
  <c r="AT440" i="9" s="1"/>
  <c r="AO241" i="9"/>
  <c r="AS263" i="9"/>
  <c r="AX263" i="9" s="1"/>
  <c r="AY263" i="9" s="1"/>
  <c r="AS321" i="5"/>
  <c r="AT321" i="5" s="1"/>
  <c r="AO231" i="9"/>
  <c r="AS459" i="9"/>
  <c r="AT459" i="9" s="1"/>
  <c r="AS40" i="5"/>
  <c r="AT40" i="5" s="1"/>
  <c r="AS278" i="9"/>
  <c r="AT278" i="9" s="1"/>
  <c r="AS343" i="5"/>
  <c r="AT343" i="5" s="1"/>
  <c r="AO140" i="5"/>
  <c r="AS75" i="5"/>
  <c r="AT75" i="5" s="1"/>
  <c r="AS26" i="5"/>
  <c r="AT26" i="5" s="1"/>
  <c r="AS258" i="9"/>
  <c r="AT258" i="9" s="1"/>
  <c r="AO304" i="5"/>
  <c r="AS313" i="5"/>
  <c r="AT313" i="5" s="1"/>
  <c r="AS12" i="5"/>
  <c r="AT12" i="5" s="1"/>
  <c r="AS25" i="5"/>
  <c r="AT25" i="5" s="1"/>
  <c r="AS300" i="5"/>
  <c r="AT300" i="5" s="1"/>
  <c r="AX276" i="9"/>
  <c r="AY276" i="9" s="1"/>
  <c r="AO236" i="9"/>
  <c r="AX304" i="5"/>
  <c r="AY304" i="5" s="1"/>
  <c r="AS310" i="5"/>
  <c r="AT310" i="5" s="1"/>
  <c r="AS66" i="5"/>
  <c r="AX66" i="5" s="1"/>
  <c r="AY66" i="5" s="1"/>
  <c r="AS254" i="9"/>
  <c r="AT254" i="9" s="1"/>
  <c r="AO379" i="9"/>
  <c r="AO76" i="5"/>
  <c r="AS210" i="5"/>
  <c r="AT210" i="5" s="1"/>
  <c r="AS327" i="5"/>
  <c r="AT327" i="5" s="1"/>
  <c r="AX269" i="9"/>
  <c r="AY269" i="9" s="1"/>
  <c r="AS255" i="9"/>
  <c r="AX255" i="9" s="1"/>
  <c r="AY255" i="9" s="1"/>
  <c r="AO276" i="9"/>
  <c r="AT601" i="9"/>
  <c r="AS222" i="5"/>
  <c r="AT222" i="5" s="1"/>
  <c r="AS311" i="5"/>
  <c r="AT311" i="5" s="1"/>
  <c r="AS237" i="9"/>
  <c r="AX237" i="9" s="1"/>
  <c r="AY237" i="9" s="1"/>
  <c r="AS285" i="5"/>
  <c r="AT285" i="5" s="1"/>
  <c r="AS308" i="5"/>
  <c r="AT308" i="5" s="1"/>
  <c r="AS268" i="9"/>
  <c r="AX268" i="9" s="1"/>
  <c r="AY268" i="9" s="1"/>
  <c r="AO230" i="9"/>
  <c r="AS505" i="9"/>
  <c r="AT505" i="9" s="1"/>
  <c r="AS50" i="5"/>
  <c r="AT50" i="5" s="1"/>
  <c r="AX230" i="9"/>
  <c r="AY230" i="9" s="1"/>
  <c r="AO253" i="9"/>
  <c r="AX271" i="9"/>
  <c r="AY271" i="9" s="1"/>
  <c r="AS117" i="5"/>
  <c r="AT117" i="5" s="1"/>
  <c r="AS139" i="5"/>
  <c r="AT139" i="5" s="1"/>
  <c r="AX461" i="9"/>
  <c r="AY461" i="9" s="1"/>
  <c r="AO232" i="9"/>
  <c r="AS272" i="5"/>
  <c r="AT272" i="5" s="1"/>
  <c r="AS245" i="5"/>
  <c r="AT245" i="5" s="1"/>
  <c r="AS306" i="5"/>
  <c r="AT306" i="5" s="1"/>
  <c r="AS319" i="5"/>
  <c r="AT319" i="5" s="1"/>
  <c r="AS115" i="5"/>
  <c r="AT115" i="5" s="1"/>
  <c r="AS227" i="5"/>
  <c r="AT227" i="5" s="1"/>
  <c r="AX236" i="9"/>
  <c r="AY236" i="9" s="1"/>
  <c r="AX262" i="9"/>
  <c r="AY262" i="9" s="1"/>
  <c r="AS233" i="5"/>
  <c r="AT233" i="5" s="1"/>
  <c r="AS185" i="5"/>
  <c r="AT185" i="5" s="1"/>
  <c r="AS257" i="5"/>
  <c r="AT257" i="5" s="1"/>
  <c r="AX232" i="9"/>
  <c r="AY232" i="9" s="1"/>
  <c r="AS119" i="5"/>
  <c r="AT119" i="5" s="1"/>
  <c r="AS80" i="5"/>
  <c r="AT80" i="5" s="1"/>
  <c r="AX241" i="9"/>
  <c r="AY241" i="9" s="1"/>
  <c r="AX231" i="9"/>
  <c r="AY231" i="9" s="1"/>
  <c r="AN350" i="9"/>
  <c r="AS350" i="9" s="1"/>
  <c r="AT350" i="9" s="1"/>
  <c r="AO478" i="9"/>
  <c r="AX478" i="9"/>
  <c r="AY478" i="9" s="1"/>
  <c r="AN479" i="9"/>
  <c r="AS479" i="9" s="1"/>
  <c r="AT479" i="9" s="1"/>
  <c r="AS462" i="9"/>
  <c r="AT462" i="9" s="1"/>
  <c r="AO462" i="9"/>
  <c r="V480" i="9"/>
  <c r="AI480" i="9"/>
  <c r="AJ480" i="9" s="1"/>
  <c r="AN713" i="9"/>
  <c r="AO713" i="9" s="1"/>
  <c r="AN463" i="9"/>
  <c r="AN714" i="9"/>
  <c r="AO714" i="9" s="1"/>
  <c r="AI518" i="9"/>
  <c r="AJ518" i="9" s="1"/>
  <c r="V518" i="9"/>
  <c r="U518" i="9"/>
  <c r="AN709" i="9"/>
  <c r="AO709" i="9" s="1"/>
  <c r="AN722" i="9"/>
  <c r="AS722" i="9" s="1"/>
  <c r="AT722" i="9" s="1"/>
  <c r="AN515" i="9"/>
  <c r="AS515" i="9" s="1"/>
  <c r="AT515" i="9" s="1"/>
  <c r="AN724" i="9"/>
  <c r="AS724" i="9" s="1"/>
  <c r="AT724" i="9" s="1"/>
  <c r="AN693" i="9"/>
  <c r="AO693" i="9" s="1"/>
  <c r="AN718" i="9"/>
  <c r="AO718" i="9" s="1"/>
  <c r="AS527" i="9"/>
  <c r="AT527" i="9" s="1"/>
  <c r="AT502" i="9"/>
  <c r="AX502" i="9"/>
  <c r="AY502" i="9" s="1"/>
  <c r="AJ307" i="9"/>
  <c r="AX653" i="9"/>
  <c r="AY653" i="9" s="1"/>
  <c r="AX559" i="9"/>
  <c r="AY559" i="9" s="1"/>
  <c r="AX633" i="9"/>
  <c r="AY633" i="9" s="1"/>
  <c r="AS444" i="9"/>
  <c r="AT444" i="9" s="1"/>
  <c r="AS560" i="9"/>
  <c r="AT560" i="9" s="1"/>
  <c r="V308" i="9"/>
  <c r="AS679" i="9"/>
  <c r="AT679" i="9" s="1"/>
  <c r="AM480" i="9"/>
  <c r="AL481" i="9"/>
  <c r="AH353" i="9"/>
  <c r="AG354" i="9"/>
  <c r="AQ448" i="9"/>
  <c r="AR447" i="9"/>
  <c r="CF445" i="9"/>
  <c r="N445" i="9"/>
  <c r="AL639" i="9"/>
  <c r="AM638" i="9"/>
  <c r="AR636" i="9"/>
  <c r="AQ637" i="9"/>
  <c r="AO604" i="9"/>
  <c r="K447" i="9"/>
  <c r="L446" i="9"/>
  <c r="AX667" i="9"/>
  <c r="AY667" i="9" s="1"/>
  <c r="AS604" i="9"/>
  <c r="AT604" i="9" s="1"/>
  <c r="AR431" i="9"/>
  <c r="AQ432" i="9"/>
  <c r="AR432" i="9" s="1"/>
  <c r="AX602" i="9"/>
  <c r="AY602" i="9" s="1"/>
  <c r="AR309" i="9"/>
  <c r="AQ310" i="9"/>
  <c r="AX666" i="9"/>
  <c r="AY666" i="9" s="1"/>
  <c r="AL431" i="9"/>
  <c r="AM430" i="9"/>
  <c r="AL565" i="9"/>
  <c r="AL566" i="9" s="1"/>
  <c r="AM564" i="9"/>
  <c r="AN561" i="9"/>
  <c r="AO561" i="9" s="1"/>
  <c r="U605" i="9"/>
  <c r="N605" i="9"/>
  <c r="CF605" i="9"/>
  <c r="AH637" i="9"/>
  <c r="AG638" i="9"/>
  <c r="AS306" i="9"/>
  <c r="AT306" i="9" s="1"/>
  <c r="AI681" i="9"/>
  <c r="AN680" i="9"/>
  <c r="AO680" i="9" s="1"/>
  <c r="AG683" i="9"/>
  <c r="AH682" i="9"/>
  <c r="AQ607" i="9"/>
  <c r="AR606" i="9"/>
  <c r="AS634" i="9"/>
  <c r="AT634" i="9" s="1"/>
  <c r="AQ685" i="9"/>
  <c r="AR685" i="9" s="1"/>
  <c r="AR684" i="9"/>
  <c r="AJ680" i="9"/>
  <c r="AN635" i="9"/>
  <c r="AO635" i="9" s="1"/>
  <c r="AS655" i="9"/>
  <c r="AT655" i="9" s="1"/>
  <c r="AV607" i="9"/>
  <c r="AW606" i="9"/>
  <c r="AI606" i="9"/>
  <c r="AJ606" i="9" s="1"/>
  <c r="AV684" i="9"/>
  <c r="AW683" i="9"/>
  <c r="AN442" i="9"/>
  <c r="AO442" i="9" s="1"/>
  <c r="AW636" i="9"/>
  <c r="AV637" i="9"/>
  <c r="AL607" i="9"/>
  <c r="AM606" i="9"/>
  <c r="AS654" i="9"/>
  <c r="AG608" i="9"/>
  <c r="AH607" i="9"/>
  <c r="AV564" i="9"/>
  <c r="AW563" i="9"/>
  <c r="AG564" i="9"/>
  <c r="AH563" i="9"/>
  <c r="K607" i="9"/>
  <c r="L606" i="9"/>
  <c r="AS460" i="9"/>
  <c r="AT460" i="9" s="1"/>
  <c r="AR564" i="9"/>
  <c r="AQ565" i="9"/>
  <c r="AQ566" i="9" s="1"/>
  <c r="AI562" i="9"/>
  <c r="AJ562" i="9" s="1"/>
  <c r="AI636" i="9"/>
  <c r="U636" i="9"/>
  <c r="N636" i="9"/>
  <c r="CF636" i="9"/>
  <c r="K565" i="9"/>
  <c r="K566" i="9" s="1"/>
  <c r="L564" i="9"/>
  <c r="X550" i="9" s="1"/>
  <c r="AO307" i="9"/>
  <c r="N563" i="9"/>
  <c r="CF563" i="9"/>
  <c r="U563" i="9"/>
  <c r="AL683" i="9"/>
  <c r="AM682" i="9"/>
  <c r="CF683" i="9"/>
  <c r="N683" i="9"/>
  <c r="U683" i="9"/>
  <c r="AN605" i="9"/>
  <c r="AO605" i="9" s="1"/>
  <c r="AX678" i="9"/>
  <c r="AY678" i="9" s="1"/>
  <c r="K638" i="9"/>
  <c r="L637" i="9"/>
  <c r="L684" i="9"/>
  <c r="K685" i="9"/>
  <c r="L685" i="9" s="1"/>
  <c r="AJ605" i="9"/>
  <c r="AS348" i="9"/>
  <c r="AT348" i="9" s="1"/>
  <c r="AX379" i="9"/>
  <c r="AY379" i="9" s="1"/>
  <c r="AI426" i="9"/>
  <c r="AJ426" i="9" s="1"/>
  <c r="V426" i="9"/>
  <c r="U426" i="9"/>
  <c r="V443" i="9"/>
  <c r="AI443" i="9"/>
  <c r="AJ443" i="9" s="1"/>
  <c r="U443" i="9"/>
  <c r="N384" i="9"/>
  <c r="CF384" i="9"/>
  <c r="U384" i="9"/>
  <c r="AG386" i="9"/>
  <c r="AH385" i="9"/>
  <c r="AW448" i="9"/>
  <c r="AV449" i="9"/>
  <c r="N464" i="9"/>
  <c r="CF464" i="9"/>
  <c r="K482" i="9"/>
  <c r="L482" i="9" s="1"/>
  <c r="L481" i="9"/>
  <c r="AN381" i="9"/>
  <c r="AO381" i="9" s="1"/>
  <c r="L465" i="9"/>
  <c r="K466" i="9"/>
  <c r="L466" i="9" s="1"/>
  <c r="AS382" i="9"/>
  <c r="AT382" i="9" s="1"/>
  <c r="CF352" i="9"/>
  <c r="N352" i="9"/>
  <c r="U480" i="9"/>
  <c r="N480" i="9"/>
  <c r="CF480" i="9"/>
  <c r="AS424" i="9"/>
  <c r="AT424" i="9" s="1"/>
  <c r="AN383" i="9"/>
  <c r="AO383" i="9" s="1"/>
  <c r="L353" i="9"/>
  <c r="K354" i="9"/>
  <c r="AQ354" i="9"/>
  <c r="AR353" i="9"/>
  <c r="AQ386" i="9"/>
  <c r="AR385" i="9"/>
  <c r="AJ383" i="9"/>
  <c r="AL386" i="9"/>
  <c r="AM385" i="9"/>
  <c r="AN425" i="9"/>
  <c r="AL450" i="9"/>
  <c r="AM449" i="9"/>
  <c r="K431" i="9"/>
  <c r="L430" i="9"/>
  <c r="AM309" i="9"/>
  <c r="AL310" i="9"/>
  <c r="AG310" i="9"/>
  <c r="AH309" i="9"/>
  <c r="U308" i="9"/>
  <c r="N308" i="9"/>
  <c r="CF308" i="9"/>
  <c r="N429" i="9"/>
  <c r="CF429" i="9"/>
  <c r="L309" i="9"/>
  <c r="K310" i="9"/>
  <c r="AM353" i="9"/>
  <c r="AL354" i="9"/>
  <c r="AV432" i="9"/>
  <c r="AW432" i="9" s="1"/>
  <c r="AW431" i="9"/>
  <c r="AG448" i="9"/>
  <c r="AH447" i="9"/>
  <c r="AV481" i="9"/>
  <c r="AW480" i="9"/>
  <c r="AV310" i="9"/>
  <c r="AW309" i="9"/>
  <c r="AH430" i="9"/>
  <c r="AG431" i="9"/>
  <c r="AX307" i="9"/>
  <c r="AY307" i="9" s="1"/>
  <c r="AN349" i="9"/>
  <c r="AI308" i="9"/>
  <c r="AJ308" i="9" s="1"/>
  <c r="K386" i="9"/>
  <c r="L385" i="9"/>
  <c r="AI384" i="9"/>
  <c r="AJ384" i="9" s="1"/>
  <c r="AV356" i="9"/>
  <c r="AW355" i="9"/>
  <c r="AV386" i="9"/>
  <c r="AW385" i="9"/>
  <c r="AS261" i="9"/>
  <c r="AT261" i="9" s="1"/>
  <c r="AO200" i="9"/>
  <c r="AX104" i="9"/>
  <c r="AY104" i="9" s="1"/>
  <c r="AS153" i="9"/>
  <c r="AT153" i="9" s="1"/>
  <c r="AN154" i="9"/>
  <c r="AO154" i="9" s="1"/>
  <c r="AN20" i="9"/>
  <c r="AO20" i="9" s="1"/>
  <c r="AN105" i="9"/>
  <c r="AO105" i="9" s="1"/>
  <c r="AS200" i="9"/>
  <c r="AT200" i="9" s="1"/>
  <c r="AN175" i="9"/>
  <c r="AO175" i="9" s="1"/>
  <c r="AS174" i="9"/>
  <c r="AT174" i="9" s="1"/>
  <c r="AS65" i="9"/>
  <c r="AT65" i="9" s="1"/>
  <c r="AN218" i="9"/>
  <c r="AO218" i="9" s="1"/>
  <c r="AN66" i="9"/>
  <c r="AO66" i="9" s="1"/>
  <c r="AQ221" i="9"/>
  <c r="AR220" i="9"/>
  <c r="AG177" i="9"/>
  <c r="AH176" i="9"/>
  <c r="AI176" i="9" s="1"/>
  <c r="AJ176" i="9" s="1"/>
  <c r="AL202" i="9"/>
  <c r="AM201" i="9"/>
  <c r="AL160" i="9"/>
  <c r="AM159" i="9"/>
  <c r="AG157" i="9"/>
  <c r="AG158" i="9" s="1"/>
  <c r="AH156" i="9"/>
  <c r="AL177" i="9"/>
  <c r="AM176" i="9"/>
  <c r="AV177" i="9"/>
  <c r="AW176" i="9"/>
  <c r="AQ179" i="9"/>
  <c r="AR178" i="9"/>
  <c r="AV23" i="9"/>
  <c r="AW22" i="9"/>
  <c r="AG69" i="9"/>
  <c r="AG70" i="9" s="1"/>
  <c r="AH68" i="9"/>
  <c r="AS198" i="9"/>
  <c r="AT198" i="9" s="1"/>
  <c r="AN199" i="9"/>
  <c r="AO199" i="9" s="1"/>
  <c r="AQ157" i="9"/>
  <c r="AQ158" i="9" s="1"/>
  <c r="AR156" i="9"/>
  <c r="AV108" i="9"/>
  <c r="AW107" i="9"/>
  <c r="AQ108" i="9"/>
  <c r="AR107" i="9"/>
  <c r="AQ71" i="9"/>
  <c r="AR70" i="9"/>
  <c r="AS217" i="9"/>
  <c r="AT217" i="9" s="1"/>
  <c r="AL23" i="9"/>
  <c r="AM22" i="9"/>
  <c r="AL108" i="9"/>
  <c r="AM107" i="9"/>
  <c r="AQ24" i="9"/>
  <c r="AR23" i="9"/>
  <c r="AV157" i="9"/>
  <c r="AV158" i="9" s="1"/>
  <c r="AW156" i="9"/>
  <c r="AV203" i="9"/>
  <c r="AW202" i="9"/>
  <c r="AS19" i="9"/>
  <c r="AT19" i="9" s="1"/>
  <c r="AV69" i="9"/>
  <c r="AV70" i="9" s="1"/>
  <c r="AW68" i="9"/>
  <c r="AL221" i="9"/>
  <c r="AM220" i="9"/>
  <c r="AV221" i="9"/>
  <c r="AW220" i="9"/>
  <c r="AJ200" i="9"/>
  <c r="AL69" i="9"/>
  <c r="AL70" i="9" s="1"/>
  <c r="AM68" i="9"/>
  <c r="AQ202" i="9"/>
  <c r="AR201" i="9"/>
  <c r="AI21" i="9"/>
  <c r="AJ21" i="9" s="1"/>
  <c r="AI219" i="9"/>
  <c r="AJ219" i="9" s="1"/>
  <c r="AI67" i="9"/>
  <c r="AJ67" i="9" s="1"/>
  <c r="AI106" i="9"/>
  <c r="AJ106" i="9" s="1"/>
  <c r="AI155" i="9"/>
  <c r="AJ155" i="9" s="1"/>
  <c r="AG109" i="9"/>
  <c r="AH108" i="9"/>
  <c r="AG202" i="9"/>
  <c r="AH201" i="9"/>
  <c r="AI201" i="9" s="1"/>
  <c r="AG224" i="9"/>
  <c r="AH223" i="9"/>
  <c r="V21" i="9"/>
  <c r="V201" i="9"/>
  <c r="V219" i="9"/>
  <c r="V67" i="9"/>
  <c r="V106" i="9"/>
  <c r="V155" i="9"/>
  <c r="V176" i="9"/>
  <c r="U21" i="9"/>
  <c r="U201" i="9"/>
  <c r="U219" i="9"/>
  <c r="U67" i="9"/>
  <c r="U106" i="9"/>
  <c r="U155" i="9"/>
  <c r="U176" i="9"/>
  <c r="N176" i="9"/>
  <c r="CF176" i="9"/>
  <c r="K178" i="9"/>
  <c r="L177" i="9"/>
  <c r="N21" i="9"/>
  <c r="CF21" i="9"/>
  <c r="N201" i="9"/>
  <c r="CF201" i="9"/>
  <c r="K23" i="9"/>
  <c r="L22" i="9"/>
  <c r="K203" i="9"/>
  <c r="L202" i="9"/>
  <c r="N219" i="9"/>
  <c r="CF219" i="9"/>
  <c r="K221" i="9"/>
  <c r="L220" i="9"/>
  <c r="N67" i="9"/>
  <c r="CF67" i="9"/>
  <c r="K69" i="9"/>
  <c r="K70" i="9" s="1"/>
  <c r="L68" i="9"/>
  <c r="N106" i="9"/>
  <c r="CF106" i="9"/>
  <c r="N155" i="9"/>
  <c r="CF155" i="9"/>
  <c r="K108" i="9"/>
  <c r="L107" i="9"/>
  <c r="K157" i="9"/>
  <c r="K158" i="9" s="1"/>
  <c r="L156" i="9"/>
  <c r="AS106" i="5"/>
  <c r="AT106" i="5" s="1"/>
  <c r="AX76" i="5"/>
  <c r="AY76" i="5" s="1"/>
  <c r="AS82" i="5"/>
  <c r="AT82" i="5" s="1"/>
  <c r="AX273" i="5"/>
  <c r="AY273" i="5" s="1"/>
  <c r="AS287" i="5"/>
  <c r="AS63" i="5"/>
  <c r="AT63" i="5" s="1"/>
  <c r="AX36" i="5"/>
  <c r="AY36" i="5" s="1"/>
  <c r="AS38" i="5"/>
  <c r="AT38" i="5" s="1"/>
  <c r="AS95" i="5"/>
  <c r="AT95" i="5" s="1"/>
  <c r="AS73" i="5"/>
  <c r="AT73" i="5" s="1"/>
  <c r="AS235" i="5"/>
  <c r="AT235" i="5" s="1"/>
  <c r="AJ218" i="5"/>
  <c r="AN218" i="5"/>
  <c r="AO218" i="5" s="1"/>
  <c r="AJ242" i="5"/>
  <c r="AN242" i="5"/>
  <c r="AO242" i="5" s="1"/>
  <c r="AS18" i="5"/>
  <c r="AG55" i="5"/>
  <c r="AH54" i="5"/>
  <c r="AI54" i="5" s="1"/>
  <c r="AG277" i="5"/>
  <c r="AH276" i="5"/>
  <c r="AI276" i="5" s="1"/>
  <c r="AJ276" i="5" s="1"/>
  <c r="AJ194" i="5"/>
  <c r="AN194" i="5"/>
  <c r="AO194" i="5" s="1"/>
  <c r="AV45" i="5"/>
  <c r="AW44" i="5"/>
  <c r="AJ122" i="5"/>
  <c r="AN122" i="5"/>
  <c r="AO122" i="5" s="1"/>
  <c r="AG98" i="5"/>
  <c r="AH97" i="5"/>
  <c r="AI97" i="5" s="1"/>
  <c r="AO211" i="5"/>
  <c r="AS211" i="5"/>
  <c r="AT211" i="5" s="1"/>
  <c r="AQ277" i="5"/>
  <c r="AR276" i="5"/>
  <c r="AL55" i="5"/>
  <c r="AM54" i="5"/>
  <c r="AJ255" i="5"/>
  <c r="AN255" i="5"/>
  <c r="AO255" i="5" s="1"/>
  <c r="AO141" i="5"/>
  <c r="AX141" i="5"/>
  <c r="AY141" i="5" s="1"/>
  <c r="AQ21" i="5"/>
  <c r="AR20" i="5"/>
  <c r="AL85" i="5"/>
  <c r="AM84" i="5"/>
  <c r="AT41" i="5"/>
  <c r="AX41" i="5"/>
  <c r="AY41" i="5" s="1"/>
  <c r="AV277" i="5"/>
  <c r="AW276" i="5"/>
  <c r="AJ171" i="5"/>
  <c r="AN171" i="5"/>
  <c r="AO171" i="5" s="1"/>
  <c r="AO170" i="5"/>
  <c r="AX170" i="5"/>
  <c r="AY170" i="5" s="1"/>
  <c r="AJ248" i="5"/>
  <c r="AN248" i="5"/>
  <c r="AO248" i="5" s="1"/>
  <c r="AQ173" i="5"/>
  <c r="AR172" i="5"/>
  <c r="AX27" i="5"/>
  <c r="AY27" i="5" s="1"/>
  <c r="AJ260" i="5"/>
  <c r="AN260" i="5"/>
  <c r="AO260" i="5" s="1"/>
  <c r="AO27" i="5"/>
  <c r="AO259" i="5"/>
  <c r="AX259" i="5"/>
  <c r="AY259" i="5" s="1"/>
  <c r="AO121" i="5"/>
  <c r="AX121" i="5"/>
  <c r="AY121" i="5" s="1"/>
  <c r="AV55" i="5"/>
  <c r="AW54" i="5"/>
  <c r="AL277" i="5"/>
  <c r="AM276" i="5"/>
  <c r="AJ243" i="5"/>
  <c r="AN243" i="5"/>
  <c r="AO243" i="5" s="1"/>
  <c r="AO37" i="5"/>
  <c r="AX37" i="5"/>
  <c r="AY37" i="5" s="1"/>
  <c r="AV109" i="5"/>
  <c r="AW108" i="5"/>
  <c r="AG173" i="5"/>
  <c r="AH172" i="5"/>
  <c r="AI172" i="5" s="1"/>
  <c r="AL144" i="5"/>
  <c r="AM143" i="5"/>
  <c r="AT317" i="5"/>
  <c r="AX317" i="5"/>
  <c r="AY317" i="5" s="1"/>
  <c r="AQ30" i="5"/>
  <c r="AR29" i="5"/>
  <c r="AJ249" i="5"/>
  <c r="AN249" i="5"/>
  <c r="AO249" i="5" s="1"/>
  <c r="AQ55" i="5"/>
  <c r="AR54" i="5"/>
  <c r="AG262" i="5"/>
  <c r="AH261" i="5"/>
  <c r="AI261" i="5" s="1"/>
  <c r="AJ200" i="5"/>
  <c r="AN200" i="5"/>
  <c r="AO200" i="5" s="1"/>
  <c r="AQ109" i="5"/>
  <c r="AR108" i="5"/>
  <c r="AQ290" i="5"/>
  <c r="AR289" i="5"/>
  <c r="AJ83" i="5"/>
  <c r="AN83" i="5"/>
  <c r="AO83" i="5" s="1"/>
  <c r="AJ230" i="5"/>
  <c r="AN230" i="5"/>
  <c r="AO230" i="5" s="1"/>
  <c r="AS199" i="5"/>
  <c r="AT199" i="5" s="1"/>
  <c r="AQ98" i="5"/>
  <c r="AR97" i="5"/>
  <c r="AV290" i="5"/>
  <c r="AW289" i="5"/>
  <c r="AO72" i="5"/>
  <c r="AX72" i="5"/>
  <c r="AY72" i="5" s="1"/>
  <c r="AJ224" i="5"/>
  <c r="AN224" i="5"/>
  <c r="AO224" i="5" s="1"/>
  <c r="AJ188" i="5"/>
  <c r="AN188" i="5"/>
  <c r="AO188" i="5" s="1"/>
  <c r="AQ262" i="5"/>
  <c r="AR261" i="5"/>
  <c r="AJ201" i="5"/>
  <c r="AN201" i="5"/>
  <c r="AO201" i="5" s="1"/>
  <c r="AT302" i="5"/>
  <c r="AX302" i="5"/>
  <c r="AY302" i="5" s="1"/>
  <c r="AT61" i="5"/>
  <c r="AX61" i="5"/>
  <c r="AY61" i="5" s="1"/>
  <c r="AJ212" i="5"/>
  <c r="AN212" i="5"/>
  <c r="AS212" i="5" s="1"/>
  <c r="AT212" i="5" s="1"/>
  <c r="AG85" i="5"/>
  <c r="AH84" i="5"/>
  <c r="AI84" i="5" s="1"/>
  <c r="AJ231" i="5"/>
  <c r="AN231" i="5"/>
  <c r="AO231" i="5" s="1"/>
  <c r="AJ219" i="5"/>
  <c r="AN219" i="5"/>
  <c r="AO219" i="5" s="1"/>
  <c r="AO62" i="5"/>
  <c r="AX62" i="5"/>
  <c r="AY62" i="5" s="1"/>
  <c r="AJ195" i="5"/>
  <c r="AN195" i="5"/>
  <c r="AO195" i="5" s="1"/>
  <c r="AG124" i="5"/>
  <c r="AH123" i="5"/>
  <c r="AI123" i="5" s="1"/>
  <c r="AQ85" i="5"/>
  <c r="AR84" i="5"/>
  <c r="AT240" i="5"/>
  <c r="AX240" i="5"/>
  <c r="AY240" i="5" s="1"/>
  <c r="AV262" i="5"/>
  <c r="AW261" i="5"/>
  <c r="AL262" i="5"/>
  <c r="AM261" i="5"/>
  <c r="AL21" i="5"/>
  <c r="AM20" i="5"/>
  <c r="AV144" i="5"/>
  <c r="AW143" i="5"/>
  <c r="AJ225" i="5"/>
  <c r="AN225" i="5"/>
  <c r="AO225" i="5" s="1"/>
  <c r="AO52" i="5"/>
  <c r="AX52" i="5"/>
  <c r="AY52" i="5" s="1"/>
  <c r="AJ189" i="5"/>
  <c r="AN189" i="5"/>
  <c r="AO189" i="5" s="1"/>
  <c r="AJ213" i="5"/>
  <c r="AN213" i="5"/>
  <c r="AO213" i="5" s="1"/>
  <c r="AJ206" i="5"/>
  <c r="AN206" i="5"/>
  <c r="AO206" i="5" s="1"/>
  <c r="AL45" i="5"/>
  <c r="AM44" i="5"/>
  <c r="AL98" i="5"/>
  <c r="AM97" i="5"/>
  <c r="AJ288" i="5"/>
  <c r="AN288" i="5"/>
  <c r="AS288" i="5" s="1"/>
  <c r="AT288" i="5" s="1"/>
  <c r="AV21" i="5"/>
  <c r="AW20" i="5"/>
  <c r="AT17" i="5"/>
  <c r="AX17" i="5"/>
  <c r="AY17" i="5" s="1"/>
  <c r="AV30" i="5"/>
  <c r="AW29" i="5"/>
  <c r="AJ207" i="5"/>
  <c r="AN207" i="5"/>
  <c r="AO207" i="5" s="1"/>
  <c r="AO67" i="5"/>
  <c r="AX67" i="5"/>
  <c r="AY67" i="5" s="1"/>
  <c r="AJ254" i="5"/>
  <c r="AN254" i="5"/>
  <c r="AO254" i="5" s="1"/>
  <c r="AS205" i="5"/>
  <c r="AJ107" i="5"/>
  <c r="AN107" i="5"/>
  <c r="AL290" i="5"/>
  <c r="AM289" i="5"/>
  <c r="AL173" i="5"/>
  <c r="AM172" i="5"/>
  <c r="AO223" i="5"/>
  <c r="AX223" i="5"/>
  <c r="AY223" i="5" s="1"/>
  <c r="AG290" i="5"/>
  <c r="AH289" i="5"/>
  <c r="AI289" i="5" s="1"/>
  <c r="AV98" i="5"/>
  <c r="AW97" i="5"/>
  <c r="AV173" i="5"/>
  <c r="AW172" i="5"/>
  <c r="AQ124" i="5"/>
  <c r="AR123" i="5"/>
  <c r="AJ236" i="5"/>
  <c r="AN236" i="5"/>
  <c r="AO236" i="5" s="1"/>
  <c r="AX94" i="5"/>
  <c r="AY94" i="5" s="1"/>
  <c r="AL109" i="5"/>
  <c r="AM108" i="5"/>
  <c r="AX247" i="5"/>
  <c r="AY247" i="5" s="1"/>
  <c r="AO193" i="5"/>
  <c r="AX193" i="5"/>
  <c r="AY193" i="5" s="1"/>
  <c r="AL124" i="5"/>
  <c r="AM123" i="5"/>
  <c r="AO229" i="5"/>
  <c r="AX229" i="5"/>
  <c r="AY229" i="5" s="1"/>
  <c r="AJ43" i="5"/>
  <c r="AN43" i="5"/>
  <c r="AO43" i="5" s="1"/>
  <c r="AG109" i="5"/>
  <c r="AH108" i="5"/>
  <c r="AI108" i="5" s="1"/>
  <c r="AJ19" i="5"/>
  <c r="AN19" i="5"/>
  <c r="AO19" i="5" s="1"/>
  <c r="AT186" i="5"/>
  <c r="AX186" i="5"/>
  <c r="AY186" i="5" s="1"/>
  <c r="AJ28" i="5"/>
  <c r="AN28" i="5"/>
  <c r="AO28" i="5" s="1"/>
  <c r="AL30" i="5"/>
  <c r="AM29" i="5"/>
  <c r="AO187" i="5"/>
  <c r="AS187" i="5"/>
  <c r="AJ237" i="5"/>
  <c r="AN237" i="5"/>
  <c r="AO237" i="5" s="1"/>
  <c r="AO68" i="5"/>
  <c r="AX68" i="5"/>
  <c r="AY68" i="5" s="1"/>
  <c r="AS241" i="5"/>
  <c r="AO217" i="5"/>
  <c r="AS217" i="5"/>
  <c r="AT217" i="5" s="1"/>
  <c r="AG45" i="5"/>
  <c r="AH44" i="5"/>
  <c r="AI44" i="5" s="1"/>
  <c r="AG21" i="5"/>
  <c r="AH20" i="5"/>
  <c r="AI20" i="5" s="1"/>
  <c r="AJ142" i="5"/>
  <c r="AN142" i="5"/>
  <c r="AO142" i="5" s="1"/>
  <c r="AO253" i="5"/>
  <c r="AS253" i="5"/>
  <c r="AQ144" i="5"/>
  <c r="AR143" i="5"/>
  <c r="AG30" i="5"/>
  <c r="AH29" i="5"/>
  <c r="AI29" i="5" s="1"/>
  <c r="AT331" i="5"/>
  <c r="AX331" i="5"/>
  <c r="AY331" i="5" s="1"/>
  <c r="AV85" i="5"/>
  <c r="AW84" i="5"/>
  <c r="AO78" i="5"/>
  <c r="AX78" i="5"/>
  <c r="AY78" i="5" s="1"/>
  <c r="AO77" i="5"/>
  <c r="AX77" i="5"/>
  <c r="AY77" i="5" s="1"/>
  <c r="AQ45" i="5"/>
  <c r="AR44" i="5"/>
  <c r="AV124" i="5"/>
  <c r="AW123" i="5"/>
  <c r="AO42" i="5"/>
  <c r="AX42" i="5"/>
  <c r="AY42" i="5" s="1"/>
  <c r="AG144" i="5"/>
  <c r="AH143" i="5"/>
  <c r="AI143" i="5" s="1"/>
  <c r="AJ53" i="5"/>
  <c r="AN53" i="5"/>
  <c r="AS53" i="5" s="1"/>
  <c r="AT53" i="5" s="1"/>
  <c r="AO247" i="5"/>
  <c r="AJ96" i="5"/>
  <c r="AN96" i="5"/>
  <c r="AS96" i="5" s="1"/>
  <c r="AT96" i="5" s="1"/>
  <c r="AT169" i="5"/>
  <c r="AX169" i="5"/>
  <c r="AY169" i="5" s="1"/>
  <c r="AS274" i="5"/>
  <c r="AN275" i="5"/>
  <c r="AO275" i="5" s="1"/>
  <c r="V276" i="5"/>
  <c r="U276" i="5"/>
  <c r="N44" i="5"/>
  <c r="CB44" i="5"/>
  <c r="N276" i="5"/>
  <c r="CB276" i="5"/>
  <c r="K46" i="5"/>
  <c r="L45" i="5"/>
  <c r="K278" i="5"/>
  <c r="L277" i="5"/>
  <c r="T427" i="9"/>
  <c r="T466" i="9"/>
  <c r="T277" i="5"/>
  <c r="T22" i="9"/>
  <c r="T107" i="9"/>
  <c r="T156" i="9"/>
  <c r="T352" i="9"/>
  <c r="T68" i="9"/>
  <c r="T202" i="9"/>
  <c r="T481" i="9"/>
  <c r="T177" i="9"/>
  <c r="T446" i="9"/>
  <c r="T637" i="9"/>
  <c r="T712" i="9"/>
  <c r="T309" i="9"/>
  <c r="T220" i="9"/>
  <c r="T465" i="9"/>
  <c r="AN717" i="9" l="1"/>
  <c r="AO717" i="9" s="1"/>
  <c r="AS521" i="9"/>
  <c r="AT521" i="9" s="1"/>
  <c r="W526" i="9"/>
  <c r="AN727" i="9"/>
  <c r="AO727" i="9" s="1"/>
  <c r="AO512" i="9"/>
  <c r="AX512" i="9"/>
  <c r="AY512" i="9" s="1"/>
  <c r="AN692" i="9"/>
  <c r="AO692" i="9" s="1"/>
  <c r="AN719" i="9"/>
  <c r="AO719" i="9" s="1"/>
  <c r="AN726" i="9"/>
  <c r="AS726" i="9" s="1"/>
  <c r="AT726" i="9" s="1"/>
  <c r="W723" i="9"/>
  <c r="W272" i="9"/>
  <c r="AN725" i="9"/>
  <c r="AS725" i="9" s="1"/>
  <c r="AT725" i="9" s="1"/>
  <c r="W703" i="9"/>
  <c r="AN704" i="9"/>
  <c r="AO704" i="9" s="1"/>
  <c r="W234" i="9"/>
  <c r="W691" i="9"/>
  <c r="W488" i="9"/>
  <c r="W252" i="9"/>
  <c r="W531" i="9"/>
  <c r="AN694" i="9"/>
  <c r="AO694" i="9" s="1"/>
  <c r="AN729" i="9"/>
  <c r="AO729" i="9" s="1"/>
  <c r="AN695" i="9"/>
  <c r="AS695" i="9" s="1"/>
  <c r="AT695" i="9" s="1"/>
  <c r="W506" i="9"/>
  <c r="AN705" i="9"/>
  <c r="AO705" i="9" s="1"/>
  <c r="W728" i="9"/>
  <c r="AN706" i="9"/>
  <c r="AO706" i="9" s="1"/>
  <c r="AS522" i="9"/>
  <c r="AT522" i="9" s="1"/>
  <c r="AN710" i="9"/>
  <c r="AS710" i="9" s="1"/>
  <c r="AT710" i="9" s="1"/>
  <c r="W510" i="9"/>
  <c r="AN708" i="9"/>
  <c r="AS708" i="9" s="1"/>
  <c r="AT708" i="9" s="1"/>
  <c r="AN720" i="9"/>
  <c r="AO720" i="9" s="1"/>
  <c r="AO490" i="9"/>
  <c r="AX490" i="9"/>
  <c r="AY490" i="9" s="1"/>
  <c r="AS529" i="9"/>
  <c r="AT529" i="9" s="1"/>
  <c r="W716" i="9"/>
  <c r="W707" i="9"/>
  <c r="W256" i="9"/>
  <c r="W265" i="9"/>
  <c r="AN721" i="9"/>
  <c r="AO721" i="9" s="1"/>
  <c r="W519" i="9"/>
  <c r="AS520" i="9"/>
  <c r="AT520" i="9" s="1"/>
  <c r="AX524" i="9"/>
  <c r="AY524" i="9" s="1"/>
  <c r="AS484" i="9"/>
  <c r="AT484" i="9" s="1"/>
  <c r="AS491" i="9"/>
  <c r="AT491" i="9" s="1"/>
  <c r="W493" i="9"/>
  <c r="AN702" i="9"/>
  <c r="AO702" i="9" s="1"/>
  <c r="AS507" i="9"/>
  <c r="AT507" i="9" s="1"/>
  <c r="W244" i="9"/>
  <c r="W701" i="9"/>
  <c r="AO524" i="9"/>
  <c r="AS517" i="9"/>
  <c r="AT517" i="9" s="1"/>
  <c r="AS530" i="9"/>
  <c r="AT530" i="9" s="1"/>
  <c r="AS525" i="9"/>
  <c r="AT525" i="9" s="1"/>
  <c r="W696" i="9"/>
  <c r="W686" i="9"/>
  <c r="W239" i="9"/>
  <c r="AN698" i="9"/>
  <c r="AS698" i="9" s="1"/>
  <c r="AT698" i="9" s="1"/>
  <c r="AN697" i="9"/>
  <c r="AO697" i="9" s="1"/>
  <c r="AN689" i="9"/>
  <c r="AS689" i="9" s="1"/>
  <c r="AT689" i="9" s="1"/>
  <c r="AN688" i="9"/>
  <c r="AO688" i="9" s="1"/>
  <c r="W229" i="9"/>
  <c r="W483" i="9"/>
  <c r="AN690" i="9"/>
  <c r="AO690" i="9" s="1"/>
  <c r="AN687" i="9"/>
  <c r="AO687" i="9" s="1"/>
  <c r="AS516" i="9"/>
  <c r="AT516" i="9" s="1"/>
  <c r="AS508" i="9"/>
  <c r="AX508" i="9" s="1"/>
  <c r="AY508" i="9" s="1"/>
  <c r="AS509" i="9"/>
  <c r="AT509" i="9" s="1"/>
  <c r="AO511" i="9"/>
  <c r="AX511" i="9"/>
  <c r="AY511" i="9" s="1"/>
  <c r="AS532" i="9"/>
  <c r="AT532" i="9" s="1"/>
  <c r="AS528" i="9"/>
  <c r="AT528" i="9" s="1"/>
  <c r="AS499" i="9"/>
  <c r="AT499" i="9" s="1"/>
  <c r="AO485" i="9"/>
  <c r="AS486" i="9"/>
  <c r="AT486" i="9" s="1"/>
  <c r="AX173" i="9"/>
  <c r="AY173" i="9" s="1"/>
  <c r="AS489" i="9"/>
  <c r="AT489" i="9" s="1"/>
  <c r="AS513" i="9"/>
  <c r="AT513" i="9" s="1"/>
  <c r="AS523" i="9"/>
  <c r="AT523" i="9" s="1"/>
  <c r="AS494" i="9"/>
  <c r="AT494" i="9" s="1"/>
  <c r="AX485" i="9"/>
  <c r="AY485" i="9" s="1"/>
  <c r="AS492" i="9"/>
  <c r="AT492" i="9" s="1"/>
  <c r="AS487" i="9"/>
  <c r="AT487" i="9" s="1"/>
  <c r="AS495" i="9"/>
  <c r="AT495" i="9" s="1"/>
  <c r="AX120" i="5"/>
  <c r="AY120" i="5" s="1"/>
  <c r="AX266" i="9"/>
  <c r="AY266" i="9" s="1"/>
  <c r="AT286" i="5"/>
  <c r="AX323" i="5"/>
  <c r="AY323" i="5" s="1"/>
  <c r="AX116" i="5"/>
  <c r="AY116" i="5" s="1"/>
  <c r="AX35" i="5"/>
  <c r="AY35" i="5" s="1"/>
  <c r="AX335" i="5"/>
  <c r="AY335" i="5" s="1"/>
  <c r="AX198" i="5"/>
  <c r="AY198" i="5" s="1"/>
  <c r="AX325" i="5"/>
  <c r="AY325" i="5" s="1"/>
  <c r="AX215" i="5"/>
  <c r="AY215" i="5" s="1"/>
  <c r="AX228" i="5"/>
  <c r="AY228" i="5" s="1"/>
  <c r="AT71" i="5"/>
  <c r="AX81" i="5"/>
  <c r="AY81" i="5" s="1"/>
  <c r="AX315" i="5"/>
  <c r="AY315" i="5" s="1"/>
  <c r="AX251" i="5"/>
  <c r="AY251" i="5" s="1"/>
  <c r="AX216" i="9"/>
  <c r="AY216" i="9" s="1"/>
  <c r="AX239" i="5"/>
  <c r="AY239" i="5" s="1"/>
  <c r="AX246" i="5"/>
  <c r="AY246" i="5" s="1"/>
  <c r="AX105" i="5"/>
  <c r="AY105" i="5" s="1"/>
  <c r="AX329" i="5"/>
  <c r="AY329" i="5" s="1"/>
  <c r="AX259" i="9"/>
  <c r="AY259" i="9" s="1"/>
  <c r="AX103" i="9"/>
  <c r="AY103" i="9" s="1"/>
  <c r="AX305" i="9"/>
  <c r="AY305" i="9" s="1"/>
  <c r="AX18" i="9"/>
  <c r="AY18" i="9" s="1"/>
  <c r="AX274" i="9"/>
  <c r="AY274" i="9" s="1"/>
  <c r="AX65" i="5"/>
  <c r="AY65" i="5" s="1"/>
  <c r="AT503" i="9"/>
  <c r="AX234" i="5"/>
  <c r="AY234" i="5" s="1"/>
  <c r="AT204" i="5"/>
  <c r="AX104" i="5"/>
  <c r="AY104" i="5" s="1"/>
  <c r="AX93" i="5"/>
  <c r="AY93" i="5" s="1"/>
  <c r="AX151" i="9"/>
  <c r="AY151" i="9" s="1"/>
  <c r="AX221" i="5"/>
  <c r="AY221" i="5" s="1"/>
  <c r="AX203" i="5"/>
  <c r="AY203" i="5" s="1"/>
  <c r="AT255" i="9"/>
  <c r="AX275" i="9"/>
  <c r="AY275" i="9" s="1"/>
  <c r="AX11" i="5"/>
  <c r="AY11" i="5" s="1"/>
  <c r="AX50" i="5"/>
  <c r="AY50" i="5" s="1"/>
  <c r="AX338" i="5"/>
  <c r="AY338" i="5" s="1"/>
  <c r="AX343" i="5"/>
  <c r="AY343" i="5" s="1"/>
  <c r="AX13" i="5"/>
  <c r="AY13" i="5" s="1"/>
  <c r="AX308" i="5"/>
  <c r="AY308" i="5" s="1"/>
  <c r="AX209" i="5"/>
  <c r="AY209" i="5" s="1"/>
  <c r="AX313" i="5"/>
  <c r="AY313" i="5" s="1"/>
  <c r="AX16" i="5"/>
  <c r="AY16" i="5" s="1"/>
  <c r="AT14" i="5"/>
  <c r="AX60" i="5"/>
  <c r="AY60" i="5" s="1"/>
  <c r="AX316" i="5"/>
  <c r="AY316" i="5" s="1"/>
  <c r="AX301" i="5"/>
  <c r="AY301" i="5" s="1"/>
  <c r="AX254" i="9"/>
  <c r="AY254" i="9" s="1"/>
  <c r="AX168" i="5"/>
  <c r="AY168" i="5" s="1"/>
  <c r="AX344" i="5"/>
  <c r="AY344" i="5" s="1"/>
  <c r="AT192" i="5"/>
  <c r="AX216" i="5"/>
  <c r="AY216" i="5" s="1"/>
  <c r="AX257" i="9"/>
  <c r="AY257" i="9" s="1"/>
  <c r="AT330" i="5"/>
  <c r="AT237" i="9"/>
  <c r="AX285" i="5"/>
  <c r="AY285" i="5" s="1"/>
  <c r="AX70" i="5"/>
  <c r="AY70" i="5" s="1"/>
  <c r="AX258" i="5"/>
  <c r="AY258" i="5" s="1"/>
  <c r="AX327" i="5"/>
  <c r="AY327" i="5" s="1"/>
  <c r="AX337" i="5"/>
  <c r="AY337" i="5" s="1"/>
  <c r="AX321" i="5"/>
  <c r="AY321" i="5" s="1"/>
  <c r="AT252" i="5"/>
  <c r="AX440" i="9"/>
  <c r="AY440" i="9" s="1"/>
  <c r="AX40" i="5"/>
  <c r="AY40" i="5" s="1"/>
  <c r="AX459" i="9"/>
  <c r="AY459" i="9" s="1"/>
  <c r="AX51" i="5"/>
  <c r="AY51" i="5" s="1"/>
  <c r="AX333" i="5"/>
  <c r="AY333" i="5" s="1"/>
  <c r="AX64" i="9"/>
  <c r="AY64" i="9" s="1"/>
  <c r="AX310" i="5"/>
  <c r="AY310" i="5" s="1"/>
  <c r="AX26" i="5"/>
  <c r="AY26" i="5" s="1"/>
  <c r="AT66" i="5"/>
  <c r="AX258" i="9"/>
  <c r="AY258" i="9" s="1"/>
  <c r="AX12" i="5"/>
  <c r="AY12" i="5" s="1"/>
  <c r="AX75" i="5"/>
  <c r="AY75" i="5" s="1"/>
  <c r="AX278" i="9"/>
  <c r="AY278" i="9" s="1"/>
  <c r="AT263" i="9"/>
  <c r="AX25" i="5"/>
  <c r="AY25" i="5" s="1"/>
  <c r="AX245" i="5"/>
  <c r="AY245" i="5" s="1"/>
  <c r="AX300" i="5"/>
  <c r="AY300" i="5" s="1"/>
  <c r="AX185" i="5"/>
  <c r="AY185" i="5" s="1"/>
  <c r="AX117" i="5"/>
  <c r="AY117" i="5" s="1"/>
  <c r="AX139" i="5"/>
  <c r="AY139" i="5" s="1"/>
  <c r="AX222" i="5"/>
  <c r="AY222" i="5" s="1"/>
  <c r="AX210" i="5"/>
  <c r="AY210" i="5" s="1"/>
  <c r="AX311" i="5"/>
  <c r="AY311" i="5" s="1"/>
  <c r="AX257" i="5"/>
  <c r="AY257" i="5" s="1"/>
  <c r="AX306" i="5"/>
  <c r="AY306" i="5" s="1"/>
  <c r="AX227" i="5"/>
  <c r="AY227" i="5" s="1"/>
  <c r="AX119" i="5"/>
  <c r="AY119" i="5" s="1"/>
  <c r="AT268" i="9"/>
  <c r="AX115" i="5"/>
  <c r="AY115" i="5" s="1"/>
  <c r="AX272" i="5"/>
  <c r="AY272" i="5" s="1"/>
  <c r="AX233" i="5"/>
  <c r="AY233" i="5" s="1"/>
  <c r="AX319" i="5"/>
  <c r="AY319" i="5" s="1"/>
  <c r="AX80" i="5"/>
  <c r="AY80" i="5" s="1"/>
  <c r="AX505" i="9"/>
  <c r="AY505" i="9" s="1"/>
  <c r="V637" i="9"/>
  <c r="AX350" i="9"/>
  <c r="AY350" i="9" s="1"/>
  <c r="AO350" i="9"/>
  <c r="AO479" i="9"/>
  <c r="AX479" i="9"/>
  <c r="AY479" i="9" s="1"/>
  <c r="AN480" i="9"/>
  <c r="AS480" i="9" s="1"/>
  <c r="AT480" i="9" s="1"/>
  <c r="AS713" i="9"/>
  <c r="AT713" i="9" s="1"/>
  <c r="AX462" i="9"/>
  <c r="AY462" i="9" s="1"/>
  <c r="X668" i="9"/>
  <c r="AX722" i="9"/>
  <c r="AY722" i="9" s="1"/>
  <c r="V465" i="9"/>
  <c r="AI465" i="9"/>
  <c r="AJ465" i="9" s="1"/>
  <c r="V466" i="9"/>
  <c r="AI466" i="9"/>
  <c r="AJ466" i="9" s="1"/>
  <c r="V481" i="9"/>
  <c r="AI481" i="9"/>
  <c r="AJ481" i="9" s="1"/>
  <c r="V309" i="9"/>
  <c r="V446" i="9"/>
  <c r="AI446" i="9"/>
  <c r="AN446" i="9" s="1"/>
  <c r="AO446" i="9" s="1"/>
  <c r="AO463" i="9"/>
  <c r="AS463" i="9"/>
  <c r="V712" i="9"/>
  <c r="W260" i="9" s="1"/>
  <c r="X711" i="9"/>
  <c r="AI712" i="9"/>
  <c r="AJ712" i="9" s="1"/>
  <c r="U712" i="9"/>
  <c r="X260" i="9"/>
  <c r="X514" i="9"/>
  <c r="AS714" i="9"/>
  <c r="AT714" i="9" s="1"/>
  <c r="AS709" i="9"/>
  <c r="AT709" i="9" s="1"/>
  <c r="AN518" i="9"/>
  <c r="AO518" i="9" s="1"/>
  <c r="AO722" i="9"/>
  <c r="AS693" i="9"/>
  <c r="AT693" i="9" s="1"/>
  <c r="AX515" i="9"/>
  <c r="AY515" i="9" s="1"/>
  <c r="AO515" i="9"/>
  <c r="AO724" i="9"/>
  <c r="AX724" i="9"/>
  <c r="AY724" i="9" s="1"/>
  <c r="AS727" i="9"/>
  <c r="AT727" i="9" s="1"/>
  <c r="AS692" i="9"/>
  <c r="AT692" i="9" s="1"/>
  <c r="AS719" i="9"/>
  <c r="AX719" i="9" s="1"/>
  <c r="AY719" i="9" s="1"/>
  <c r="AS718" i="9"/>
  <c r="AT718" i="9" s="1"/>
  <c r="AX527" i="9"/>
  <c r="AY527" i="9" s="1"/>
  <c r="AX521" i="9"/>
  <c r="AY521" i="9" s="1"/>
  <c r="AX444" i="9"/>
  <c r="AY444" i="9" s="1"/>
  <c r="AS635" i="9"/>
  <c r="AT635" i="9" s="1"/>
  <c r="AX679" i="9"/>
  <c r="AY679" i="9" s="1"/>
  <c r="AX560" i="9"/>
  <c r="AY560" i="9" s="1"/>
  <c r="AS442" i="9"/>
  <c r="AT442" i="9" s="1"/>
  <c r="AX460" i="9"/>
  <c r="AY460" i="9" s="1"/>
  <c r="AX604" i="9"/>
  <c r="AY604" i="9" s="1"/>
  <c r="AR637" i="9"/>
  <c r="AQ638" i="9"/>
  <c r="AH354" i="9"/>
  <c r="AG355" i="9"/>
  <c r="AM431" i="9"/>
  <c r="AL432" i="9"/>
  <c r="AM432" i="9" s="1"/>
  <c r="AQ311" i="9"/>
  <c r="AR310" i="9"/>
  <c r="AI353" i="9"/>
  <c r="AN353" i="9" s="1"/>
  <c r="AO353" i="9" s="1"/>
  <c r="AX306" i="9"/>
  <c r="AY306" i="9" s="1"/>
  <c r="AL640" i="9"/>
  <c r="AM639" i="9"/>
  <c r="AL482" i="9"/>
  <c r="AM482" i="9" s="1"/>
  <c r="AM481" i="9"/>
  <c r="AS605" i="9"/>
  <c r="AX605" i="9" s="1"/>
  <c r="AY605" i="9" s="1"/>
  <c r="L447" i="9"/>
  <c r="K448" i="9"/>
  <c r="AQ449" i="9"/>
  <c r="AR448" i="9"/>
  <c r="N446" i="9"/>
  <c r="U446" i="9"/>
  <c r="CF446" i="9"/>
  <c r="U637" i="9"/>
  <c r="CF637" i="9"/>
  <c r="N637" i="9"/>
  <c r="K639" i="9"/>
  <c r="L638" i="9"/>
  <c r="AH683" i="9"/>
  <c r="AG684" i="9"/>
  <c r="AG639" i="9"/>
  <c r="AH638" i="9"/>
  <c r="AI607" i="9"/>
  <c r="AI637" i="9"/>
  <c r="AJ637" i="9" s="1"/>
  <c r="AH608" i="9"/>
  <c r="AG609" i="9"/>
  <c r="AG610" i="9" s="1"/>
  <c r="U606" i="9"/>
  <c r="CF606" i="9"/>
  <c r="N606" i="9"/>
  <c r="AT654" i="9"/>
  <c r="AX654" i="9"/>
  <c r="AY654" i="9" s="1"/>
  <c r="AS680" i="9"/>
  <c r="AT680" i="9" s="1"/>
  <c r="K608" i="9"/>
  <c r="L607" i="9"/>
  <c r="AV608" i="9"/>
  <c r="AW607" i="9"/>
  <c r="CF564" i="9"/>
  <c r="N564" i="9"/>
  <c r="U564" i="9"/>
  <c r="AN636" i="9"/>
  <c r="AO636" i="9" s="1"/>
  <c r="AL608" i="9"/>
  <c r="AM607" i="9"/>
  <c r="K567" i="9"/>
  <c r="L566" i="9"/>
  <c r="AJ636" i="9"/>
  <c r="AV638" i="9"/>
  <c r="AW637" i="9"/>
  <c r="AX634" i="9"/>
  <c r="AY634" i="9" s="1"/>
  <c r="AN562" i="9"/>
  <c r="AO562" i="9" s="1"/>
  <c r="AX655" i="9"/>
  <c r="AY655" i="9" s="1"/>
  <c r="AS561" i="9"/>
  <c r="AT561" i="9" s="1"/>
  <c r="N685" i="9"/>
  <c r="U685" i="9"/>
  <c r="CF685" i="9"/>
  <c r="AI563" i="9"/>
  <c r="AJ563" i="9" s="1"/>
  <c r="AN681" i="9"/>
  <c r="AO681" i="9" s="1"/>
  <c r="U684" i="9"/>
  <c r="CF684" i="9"/>
  <c r="N684" i="9"/>
  <c r="AH564" i="9"/>
  <c r="AG565" i="9"/>
  <c r="AG566" i="9" s="1"/>
  <c r="AJ681" i="9"/>
  <c r="AL684" i="9"/>
  <c r="AM683" i="9"/>
  <c r="AQ567" i="9"/>
  <c r="AR566" i="9"/>
  <c r="AV685" i="9"/>
  <c r="AW685" i="9" s="1"/>
  <c r="AW684" i="9"/>
  <c r="AR607" i="9"/>
  <c r="AQ608" i="9"/>
  <c r="AW564" i="9"/>
  <c r="AV565" i="9"/>
  <c r="AV566" i="9" s="1"/>
  <c r="AN606" i="9"/>
  <c r="AO606" i="9" s="1"/>
  <c r="AI682" i="9"/>
  <c r="AJ682" i="9" s="1"/>
  <c r="AL567" i="9"/>
  <c r="AM566" i="9"/>
  <c r="AS381" i="9"/>
  <c r="AT381" i="9" s="1"/>
  <c r="AX424" i="9"/>
  <c r="AY424" i="9" s="1"/>
  <c r="AX348" i="9"/>
  <c r="AY348" i="9" s="1"/>
  <c r="AI352" i="9"/>
  <c r="AJ352" i="9" s="1"/>
  <c r="V352" i="9"/>
  <c r="U352" i="9"/>
  <c r="AI427" i="9"/>
  <c r="AJ427" i="9" s="1"/>
  <c r="V427" i="9"/>
  <c r="U427" i="9"/>
  <c r="X339" i="9"/>
  <c r="X423" i="9"/>
  <c r="AO349" i="9"/>
  <c r="AS349" i="9"/>
  <c r="AT349" i="9" s="1"/>
  <c r="AV387" i="9"/>
  <c r="AW386" i="9"/>
  <c r="AQ387" i="9"/>
  <c r="AR386" i="9"/>
  <c r="AS383" i="9"/>
  <c r="AT383" i="9" s="1"/>
  <c r="AG387" i="9"/>
  <c r="AH386" i="9"/>
  <c r="AW356" i="9"/>
  <c r="AV357" i="9"/>
  <c r="AV358" i="9" s="1"/>
  <c r="AV311" i="9"/>
  <c r="AW310" i="9"/>
  <c r="AG432" i="9"/>
  <c r="AH432" i="9" s="1"/>
  <c r="AH431" i="9"/>
  <c r="AI309" i="9"/>
  <c r="AL451" i="9"/>
  <c r="AM451" i="9" s="1"/>
  <c r="AM450" i="9"/>
  <c r="U481" i="9"/>
  <c r="CF481" i="9"/>
  <c r="N481" i="9"/>
  <c r="AW481" i="9"/>
  <c r="AV482" i="9"/>
  <c r="AW482" i="9" s="1"/>
  <c r="AM354" i="9"/>
  <c r="AL355" i="9"/>
  <c r="AG311" i="9"/>
  <c r="AH310" i="9"/>
  <c r="AR354" i="9"/>
  <c r="AQ355" i="9"/>
  <c r="AX382" i="9"/>
  <c r="AY382" i="9" s="1"/>
  <c r="CF482" i="9"/>
  <c r="N482" i="9"/>
  <c r="AN443" i="9"/>
  <c r="AO443" i="9" s="1"/>
  <c r="AL311" i="9"/>
  <c r="AM310" i="9"/>
  <c r="AO425" i="9"/>
  <c r="AS425" i="9"/>
  <c r="AT425" i="9" s="1"/>
  <c r="AN384" i="9"/>
  <c r="AO384" i="9" s="1"/>
  <c r="N385" i="9"/>
  <c r="CF385" i="9"/>
  <c r="AH448" i="9"/>
  <c r="AG449" i="9"/>
  <c r="K311" i="9"/>
  <c r="L310" i="9"/>
  <c r="N430" i="9"/>
  <c r="CF430" i="9"/>
  <c r="K387" i="9"/>
  <c r="L386" i="9"/>
  <c r="U309" i="9"/>
  <c r="CF309" i="9"/>
  <c r="N309" i="9"/>
  <c r="L431" i="9"/>
  <c r="K432" i="9"/>
  <c r="L432" i="9" s="1"/>
  <c r="AL387" i="9"/>
  <c r="AM386" i="9"/>
  <c r="L354" i="9"/>
  <c r="K355" i="9"/>
  <c r="CF466" i="9"/>
  <c r="N466" i="9"/>
  <c r="U466" i="9"/>
  <c r="AN426" i="9"/>
  <c r="AO426" i="9" s="1"/>
  <c r="AN308" i="9"/>
  <c r="AO308" i="9" s="1"/>
  <c r="U353" i="9"/>
  <c r="N353" i="9"/>
  <c r="CF353" i="9"/>
  <c r="U465" i="9"/>
  <c r="N465" i="9"/>
  <c r="CF465" i="9"/>
  <c r="AW449" i="9"/>
  <c r="AV450" i="9"/>
  <c r="AX261" i="9"/>
  <c r="AY261" i="9" s="1"/>
  <c r="V107" i="9"/>
  <c r="AI107" i="9"/>
  <c r="AJ107" i="9" s="1"/>
  <c r="U107" i="9"/>
  <c r="AS105" i="9"/>
  <c r="AT105" i="9" s="1"/>
  <c r="AN155" i="9"/>
  <c r="AO155" i="9" s="1"/>
  <c r="AS175" i="9"/>
  <c r="AT175" i="9" s="1"/>
  <c r="AX153" i="9"/>
  <c r="AY153" i="9" s="1"/>
  <c r="AS20" i="9"/>
  <c r="AX20" i="9" s="1"/>
  <c r="AY20" i="9" s="1"/>
  <c r="AN21" i="9"/>
  <c r="AO21" i="9" s="1"/>
  <c r="AS154" i="9"/>
  <c r="AT154" i="9" s="1"/>
  <c r="AX200" i="9"/>
  <c r="AY200" i="9" s="1"/>
  <c r="AX65" i="9"/>
  <c r="AY65" i="9" s="1"/>
  <c r="AS218" i="9"/>
  <c r="AT218" i="9" s="1"/>
  <c r="AS199" i="9"/>
  <c r="AT199" i="9" s="1"/>
  <c r="AN176" i="9"/>
  <c r="AO176" i="9" s="1"/>
  <c r="AX198" i="9"/>
  <c r="AY198" i="9" s="1"/>
  <c r="AS66" i="9"/>
  <c r="AT66" i="9" s="1"/>
  <c r="AX174" i="9"/>
  <c r="AY174" i="9" s="1"/>
  <c r="AN201" i="9"/>
  <c r="AO201" i="9" s="1"/>
  <c r="AN67" i="9"/>
  <c r="AO67" i="9" s="1"/>
  <c r="AL71" i="9"/>
  <c r="AM70" i="9"/>
  <c r="AG159" i="9"/>
  <c r="AH158" i="9"/>
  <c r="AQ159" i="9"/>
  <c r="AR158" i="9"/>
  <c r="AN219" i="9"/>
  <c r="AO219" i="9" s="1"/>
  <c r="AV222" i="9"/>
  <c r="AW221" i="9"/>
  <c r="AQ72" i="9"/>
  <c r="AR71" i="9"/>
  <c r="AL161" i="9"/>
  <c r="AM160" i="9"/>
  <c r="AL222" i="9"/>
  <c r="AM221" i="9"/>
  <c r="AL109" i="9"/>
  <c r="AM108" i="9"/>
  <c r="AV178" i="9"/>
  <c r="AW177" i="9"/>
  <c r="AV24" i="9"/>
  <c r="AW23" i="9"/>
  <c r="AL203" i="9"/>
  <c r="AM202" i="9"/>
  <c r="AV71" i="9"/>
  <c r="AW70" i="9"/>
  <c r="AV109" i="9"/>
  <c r="AW108" i="9"/>
  <c r="AQ109" i="9"/>
  <c r="AR108" i="9"/>
  <c r="AQ180" i="9"/>
  <c r="AR179" i="9"/>
  <c r="AG178" i="9"/>
  <c r="AH177" i="9"/>
  <c r="AI177" i="9" s="1"/>
  <c r="AJ177" i="9" s="1"/>
  <c r="AL24" i="9"/>
  <c r="AM23" i="9"/>
  <c r="AQ203" i="9"/>
  <c r="AR202" i="9"/>
  <c r="AV159" i="9"/>
  <c r="AW158" i="9"/>
  <c r="AL178" i="9"/>
  <c r="AM177" i="9"/>
  <c r="AQ222" i="9"/>
  <c r="AR221" i="9"/>
  <c r="AX19" i="9"/>
  <c r="AY19" i="9" s="1"/>
  <c r="AJ201" i="9"/>
  <c r="AN106" i="9"/>
  <c r="AO106" i="9" s="1"/>
  <c r="AV204" i="9"/>
  <c r="AW203" i="9"/>
  <c r="AQ25" i="9"/>
  <c r="AR24" i="9"/>
  <c r="AX217" i="9"/>
  <c r="AY217" i="9" s="1"/>
  <c r="AG71" i="9"/>
  <c r="AH70" i="9"/>
  <c r="AI220" i="9"/>
  <c r="AJ220" i="9" s="1"/>
  <c r="AI22" i="9"/>
  <c r="AJ22" i="9" s="1"/>
  <c r="AI68" i="9"/>
  <c r="AJ68" i="9" s="1"/>
  <c r="AI156" i="9"/>
  <c r="AJ156" i="9" s="1"/>
  <c r="AG225" i="9"/>
  <c r="AH224" i="9"/>
  <c r="AG203" i="9"/>
  <c r="AH202" i="9"/>
  <c r="AI202" i="9" s="1"/>
  <c r="AG110" i="9"/>
  <c r="AH109" i="9"/>
  <c r="X152" i="9"/>
  <c r="V220" i="9"/>
  <c r="V22" i="9"/>
  <c r="V177" i="9"/>
  <c r="V68" i="9"/>
  <c r="V202" i="9"/>
  <c r="V156" i="9"/>
  <c r="U220" i="9"/>
  <c r="U22" i="9"/>
  <c r="U177" i="9"/>
  <c r="U68" i="9"/>
  <c r="U202" i="9"/>
  <c r="U156" i="9"/>
  <c r="K204" i="9"/>
  <c r="L203" i="9"/>
  <c r="N156" i="9"/>
  <c r="CF156" i="9"/>
  <c r="K159" i="9"/>
  <c r="L158" i="9"/>
  <c r="N220" i="9"/>
  <c r="CF220" i="9"/>
  <c r="K222" i="9"/>
  <c r="L221" i="9"/>
  <c r="N22" i="9"/>
  <c r="CF22" i="9"/>
  <c r="K24" i="9"/>
  <c r="L23" i="9"/>
  <c r="N177" i="9"/>
  <c r="CF177" i="9"/>
  <c r="N107" i="9"/>
  <c r="CF107" i="9"/>
  <c r="K179" i="9"/>
  <c r="L178" i="9"/>
  <c r="K109" i="9"/>
  <c r="L108" i="9"/>
  <c r="N68" i="9"/>
  <c r="CF68" i="9"/>
  <c r="K71" i="9"/>
  <c r="L70" i="9"/>
  <c r="N202" i="9"/>
  <c r="CF202" i="9"/>
  <c r="AX106" i="5"/>
  <c r="AY106" i="5" s="1"/>
  <c r="AS201" i="5"/>
  <c r="AT201" i="5" s="1"/>
  <c r="AX235" i="5"/>
  <c r="AY235" i="5" s="1"/>
  <c r="AX63" i="5"/>
  <c r="AY63" i="5" s="1"/>
  <c r="AX82" i="5"/>
  <c r="AY82" i="5" s="1"/>
  <c r="AS254" i="5"/>
  <c r="AT254" i="5" s="1"/>
  <c r="AS242" i="5"/>
  <c r="AT242" i="5" s="1"/>
  <c r="AX73" i="5"/>
  <c r="AY73" i="5" s="1"/>
  <c r="AS207" i="5"/>
  <c r="AT207" i="5" s="1"/>
  <c r="AS225" i="5"/>
  <c r="AT225" i="5" s="1"/>
  <c r="AS43" i="5"/>
  <c r="AT43" i="5" s="1"/>
  <c r="AS260" i="5"/>
  <c r="AT260" i="5" s="1"/>
  <c r="AT287" i="5"/>
  <c r="AX287" i="5"/>
  <c r="AY287" i="5" s="1"/>
  <c r="AS206" i="5"/>
  <c r="AT206" i="5" s="1"/>
  <c r="AS236" i="5"/>
  <c r="AT236" i="5" s="1"/>
  <c r="AS195" i="5"/>
  <c r="AT195" i="5" s="1"/>
  <c r="AX199" i="5"/>
  <c r="AY199" i="5" s="1"/>
  <c r="AS28" i="5"/>
  <c r="AT28" i="5" s="1"/>
  <c r="AO53" i="5"/>
  <c r="AX38" i="5"/>
  <c r="AY38" i="5" s="1"/>
  <c r="AS231" i="5"/>
  <c r="AT231" i="5" s="1"/>
  <c r="AX95" i="5"/>
  <c r="AY95" i="5" s="1"/>
  <c r="AX53" i="5"/>
  <c r="AY53" i="5" s="1"/>
  <c r="AG31" i="5"/>
  <c r="AH30" i="5"/>
  <c r="AI30" i="5" s="1"/>
  <c r="AJ44" i="5"/>
  <c r="AN44" i="5"/>
  <c r="AO44" i="5" s="1"/>
  <c r="AS19" i="5"/>
  <c r="AL125" i="5"/>
  <c r="AM124" i="5"/>
  <c r="AQ125" i="5"/>
  <c r="AR124" i="5"/>
  <c r="AL291" i="5"/>
  <c r="AM290" i="5"/>
  <c r="AS219" i="5"/>
  <c r="AS83" i="5"/>
  <c r="AG263" i="5"/>
  <c r="AH262" i="5"/>
  <c r="AI262" i="5" s="1"/>
  <c r="AL145" i="5"/>
  <c r="AM144" i="5"/>
  <c r="AL86" i="5"/>
  <c r="AM85" i="5"/>
  <c r="AL56" i="5"/>
  <c r="AM55" i="5"/>
  <c r="AS122" i="5"/>
  <c r="AT122" i="5" s="1"/>
  <c r="AJ29" i="5"/>
  <c r="AN29" i="5"/>
  <c r="AO29" i="5" s="1"/>
  <c r="AG22" i="5"/>
  <c r="AH21" i="5"/>
  <c r="AI21" i="5" s="1"/>
  <c r="AV22" i="5"/>
  <c r="AW21" i="5"/>
  <c r="AJ261" i="5"/>
  <c r="AN261" i="5"/>
  <c r="AO261" i="5" s="1"/>
  <c r="AG56" i="5"/>
  <c r="AH55" i="5"/>
  <c r="AI55" i="5" s="1"/>
  <c r="AG46" i="5"/>
  <c r="AH45" i="5"/>
  <c r="AI45" i="5" s="1"/>
  <c r="AT187" i="5"/>
  <c r="AX187" i="5"/>
  <c r="AY187" i="5" s="1"/>
  <c r="AO288" i="5"/>
  <c r="AX288" i="5"/>
  <c r="AY288" i="5" s="1"/>
  <c r="AS213" i="5"/>
  <c r="AT213" i="5" s="1"/>
  <c r="AS188" i="5"/>
  <c r="AT188" i="5" s="1"/>
  <c r="AV291" i="5"/>
  <c r="AW290" i="5"/>
  <c r="AJ172" i="5"/>
  <c r="AN172" i="5"/>
  <c r="AO172" i="5" s="1"/>
  <c r="AT18" i="5"/>
  <c r="AX18" i="5"/>
  <c r="AY18" i="5" s="1"/>
  <c r="AQ145" i="5"/>
  <c r="AR144" i="5"/>
  <c r="AV174" i="5"/>
  <c r="AW173" i="5"/>
  <c r="AO107" i="5"/>
  <c r="AS107" i="5"/>
  <c r="AQ86" i="5"/>
  <c r="AR85" i="5"/>
  <c r="AQ56" i="5"/>
  <c r="AR55" i="5"/>
  <c r="AG174" i="5"/>
  <c r="AH173" i="5"/>
  <c r="AI173" i="5" s="1"/>
  <c r="AL278" i="5"/>
  <c r="AM277" i="5"/>
  <c r="AQ278" i="5"/>
  <c r="AR277" i="5"/>
  <c r="AJ108" i="5"/>
  <c r="AN108" i="5"/>
  <c r="AS108" i="5" s="1"/>
  <c r="AT108" i="5" s="1"/>
  <c r="AV145" i="5"/>
  <c r="AW144" i="5"/>
  <c r="AJ123" i="5"/>
  <c r="AN123" i="5"/>
  <c r="AO123" i="5" s="1"/>
  <c r="AQ99" i="5"/>
  <c r="AR98" i="5"/>
  <c r="AQ22" i="5"/>
  <c r="AR21" i="5"/>
  <c r="AV46" i="5"/>
  <c r="AW45" i="5"/>
  <c r="AJ143" i="5"/>
  <c r="AN143" i="5"/>
  <c r="AO143" i="5" s="1"/>
  <c r="AT253" i="5"/>
  <c r="AX253" i="5"/>
  <c r="AY253" i="5" s="1"/>
  <c r="AT241" i="5"/>
  <c r="AX241" i="5"/>
  <c r="AY241" i="5" s="1"/>
  <c r="AL31" i="5"/>
  <c r="AM30" i="5"/>
  <c r="AG110" i="5"/>
  <c r="AH109" i="5"/>
  <c r="AI109" i="5" s="1"/>
  <c r="AV99" i="5"/>
  <c r="AW98" i="5"/>
  <c r="AT205" i="5"/>
  <c r="AX205" i="5"/>
  <c r="AY205" i="5" s="1"/>
  <c r="AS189" i="5"/>
  <c r="AT189" i="5" s="1"/>
  <c r="AG125" i="5"/>
  <c r="AH124" i="5"/>
  <c r="AI124" i="5" s="1"/>
  <c r="AS224" i="5"/>
  <c r="AT224" i="5" s="1"/>
  <c r="AQ291" i="5"/>
  <c r="AR290" i="5"/>
  <c r="AS249" i="5"/>
  <c r="AT249" i="5" s="1"/>
  <c r="AV110" i="5"/>
  <c r="AW109" i="5"/>
  <c r="AV56" i="5"/>
  <c r="AW55" i="5"/>
  <c r="AQ174" i="5"/>
  <c r="AR173" i="5"/>
  <c r="AS171" i="5"/>
  <c r="AT171" i="5" s="1"/>
  <c r="AG145" i="5"/>
  <c r="AH144" i="5"/>
  <c r="AI144" i="5" s="1"/>
  <c r="AL110" i="5"/>
  <c r="AM109" i="5"/>
  <c r="AJ289" i="5"/>
  <c r="AN289" i="5"/>
  <c r="AO289" i="5" s="1"/>
  <c r="AL99" i="5"/>
  <c r="AM98" i="5"/>
  <c r="AL22" i="5"/>
  <c r="AM21" i="5"/>
  <c r="AX211" i="5"/>
  <c r="AY211" i="5" s="1"/>
  <c r="AS194" i="5"/>
  <c r="AT194" i="5" s="1"/>
  <c r="AG291" i="5"/>
  <c r="AH290" i="5"/>
  <c r="AI290" i="5" s="1"/>
  <c r="AQ110" i="5"/>
  <c r="AR109" i="5"/>
  <c r="AS142" i="5"/>
  <c r="AV31" i="5"/>
  <c r="AW30" i="5"/>
  <c r="AL46" i="5"/>
  <c r="AM45" i="5"/>
  <c r="AL263" i="5"/>
  <c r="AM262" i="5"/>
  <c r="AJ84" i="5"/>
  <c r="AN84" i="5"/>
  <c r="AO84" i="5" s="1"/>
  <c r="AS255" i="5"/>
  <c r="AS218" i="5"/>
  <c r="AQ46" i="5"/>
  <c r="AR45" i="5"/>
  <c r="AQ263" i="5"/>
  <c r="AR262" i="5"/>
  <c r="AO96" i="5"/>
  <c r="AX96" i="5"/>
  <c r="AY96" i="5" s="1"/>
  <c r="AV86" i="5"/>
  <c r="AW85" i="5"/>
  <c r="AS237" i="5"/>
  <c r="AT237" i="5" s="1"/>
  <c r="AG86" i="5"/>
  <c r="AH85" i="5"/>
  <c r="AI85" i="5" s="1"/>
  <c r="AS230" i="5"/>
  <c r="AT230" i="5" s="1"/>
  <c r="AS200" i="5"/>
  <c r="AT200" i="5" s="1"/>
  <c r="AQ31" i="5"/>
  <c r="AR30" i="5"/>
  <c r="AS243" i="5"/>
  <c r="AT243" i="5" s="1"/>
  <c r="AS248" i="5"/>
  <c r="AT248" i="5" s="1"/>
  <c r="AV278" i="5"/>
  <c r="AW277" i="5"/>
  <c r="AJ97" i="5"/>
  <c r="AN97" i="5"/>
  <c r="AO97" i="5" s="1"/>
  <c r="AV125" i="5"/>
  <c r="AW124" i="5"/>
  <c r="AV263" i="5"/>
  <c r="AW262" i="5"/>
  <c r="AX212" i="5"/>
  <c r="AY212" i="5" s="1"/>
  <c r="AO212" i="5"/>
  <c r="AG99" i="5"/>
  <c r="AH98" i="5"/>
  <c r="AI98" i="5" s="1"/>
  <c r="AG278" i="5"/>
  <c r="AH277" i="5"/>
  <c r="AI277" i="5" s="1"/>
  <c r="AJ277" i="5" s="1"/>
  <c r="AJ20" i="5"/>
  <c r="AN20" i="5"/>
  <c r="AO20" i="5" s="1"/>
  <c r="AL174" i="5"/>
  <c r="AM173" i="5"/>
  <c r="AJ54" i="5"/>
  <c r="AN54" i="5"/>
  <c r="AO54" i="5" s="1"/>
  <c r="AX217" i="5"/>
  <c r="AY217" i="5" s="1"/>
  <c r="AT274" i="5"/>
  <c r="AX274" i="5"/>
  <c r="AY274" i="5" s="1"/>
  <c r="AS275" i="5"/>
  <c r="AT275" i="5" s="1"/>
  <c r="AN276" i="5"/>
  <c r="AO276" i="5" s="1"/>
  <c r="U45" i="5"/>
  <c r="V277" i="5"/>
  <c r="U277" i="5"/>
  <c r="N277" i="5"/>
  <c r="CB277" i="5"/>
  <c r="K279" i="5"/>
  <c r="L278" i="5"/>
  <c r="N45" i="5"/>
  <c r="CB45" i="5"/>
  <c r="K47" i="5"/>
  <c r="L46" i="5"/>
  <c r="U46" i="5" s="1"/>
  <c r="T158" i="9"/>
  <c r="T310" i="9"/>
  <c r="T445" i="9"/>
  <c r="T178" i="9"/>
  <c r="T464" i="9"/>
  <c r="T23" i="9"/>
  <c r="T108" i="9"/>
  <c r="T70" i="9"/>
  <c r="T221" i="9"/>
  <c r="T429" i="9"/>
  <c r="T278" i="5"/>
  <c r="T203" i="9"/>
  <c r="AX726" i="9" l="1"/>
  <c r="AY726" i="9" s="1"/>
  <c r="AS717" i="9"/>
  <c r="AT717" i="9" s="1"/>
  <c r="AO726" i="9"/>
  <c r="AO725" i="9"/>
  <c r="AX725" i="9"/>
  <c r="AY725" i="9" s="1"/>
  <c r="AS704" i="9"/>
  <c r="AT704" i="9" s="1"/>
  <c r="AX710" i="9"/>
  <c r="AY710" i="9" s="1"/>
  <c r="AS694" i="9"/>
  <c r="AX694" i="9" s="1"/>
  <c r="AY694" i="9" s="1"/>
  <c r="AX695" i="9"/>
  <c r="AY695" i="9" s="1"/>
  <c r="AO710" i="9"/>
  <c r="AS706" i="9"/>
  <c r="AT706" i="9" s="1"/>
  <c r="AS729" i="9"/>
  <c r="AT729" i="9" s="1"/>
  <c r="AS705" i="9"/>
  <c r="AT705" i="9" s="1"/>
  <c r="AX522" i="9"/>
  <c r="AY522" i="9" s="1"/>
  <c r="AO695" i="9"/>
  <c r="AO708" i="9"/>
  <c r="AX708" i="9"/>
  <c r="AY708" i="9" s="1"/>
  <c r="AX529" i="9"/>
  <c r="AY529" i="9" s="1"/>
  <c r="AS720" i="9"/>
  <c r="AT720" i="9" s="1"/>
  <c r="AX520" i="9"/>
  <c r="AY520" i="9" s="1"/>
  <c r="AS721" i="9"/>
  <c r="AT721" i="9" s="1"/>
  <c r="AX530" i="9"/>
  <c r="AY530" i="9" s="1"/>
  <c r="AX484" i="9"/>
  <c r="AY484" i="9" s="1"/>
  <c r="AX491" i="9"/>
  <c r="AY491" i="9" s="1"/>
  <c r="AX689" i="9"/>
  <c r="AY689" i="9" s="1"/>
  <c r="AX517" i="9"/>
  <c r="AY517" i="9" s="1"/>
  <c r="AX525" i="9"/>
  <c r="AY525" i="9" s="1"/>
  <c r="AO698" i="9"/>
  <c r="AX698" i="9"/>
  <c r="AY698" i="9" s="1"/>
  <c r="AS697" i="9"/>
  <c r="AT697" i="9" s="1"/>
  <c r="AX507" i="9"/>
  <c r="AY507" i="9" s="1"/>
  <c r="AS702" i="9"/>
  <c r="AT702" i="9" s="1"/>
  <c r="AO689" i="9"/>
  <c r="AX516" i="9"/>
  <c r="AY516" i="9" s="1"/>
  <c r="AX509" i="9"/>
  <c r="AY509" i="9" s="1"/>
  <c r="AS688" i="9"/>
  <c r="AT688" i="9" s="1"/>
  <c r="AS690" i="9"/>
  <c r="AT690" i="9" s="1"/>
  <c r="AS687" i="9"/>
  <c r="AT687" i="9" s="1"/>
  <c r="AT508" i="9"/>
  <c r="AX528" i="9"/>
  <c r="AY528" i="9" s="1"/>
  <c r="AX513" i="9"/>
  <c r="AY513" i="9" s="1"/>
  <c r="AX532" i="9"/>
  <c r="AY532" i="9" s="1"/>
  <c r="AX523" i="9"/>
  <c r="AY523" i="9" s="1"/>
  <c r="AX499" i="9"/>
  <c r="AY499" i="9" s="1"/>
  <c r="AX487" i="9"/>
  <c r="AY487" i="9" s="1"/>
  <c r="AX489" i="9"/>
  <c r="AY489" i="9" s="1"/>
  <c r="AX486" i="9"/>
  <c r="AY486" i="9" s="1"/>
  <c r="AX494" i="9"/>
  <c r="AY494" i="9" s="1"/>
  <c r="AX492" i="9"/>
  <c r="AY492" i="9" s="1"/>
  <c r="AX495" i="9"/>
  <c r="AY495" i="9" s="1"/>
  <c r="AO480" i="9"/>
  <c r="AX480" i="9"/>
  <c r="AY480" i="9" s="1"/>
  <c r="AN466" i="9"/>
  <c r="AO466" i="9" s="1"/>
  <c r="AX713" i="9"/>
  <c r="AY713" i="9" s="1"/>
  <c r="AN481" i="9"/>
  <c r="AS481" i="9" s="1"/>
  <c r="AT481" i="9" s="1"/>
  <c r="AJ446" i="9"/>
  <c r="AN465" i="9"/>
  <c r="V310" i="9"/>
  <c r="AT463" i="9"/>
  <c r="AX463" i="9"/>
  <c r="AY463" i="9" s="1"/>
  <c r="W711" i="9"/>
  <c r="AN712" i="9"/>
  <c r="AO712" i="9" s="1"/>
  <c r="W514" i="9"/>
  <c r="AX714" i="9"/>
  <c r="AY714" i="9" s="1"/>
  <c r="AX709" i="9"/>
  <c r="AY709" i="9" s="1"/>
  <c r="AT719" i="9"/>
  <c r="AS518" i="9"/>
  <c r="AT518" i="9" s="1"/>
  <c r="AX693" i="9"/>
  <c r="AY693" i="9" s="1"/>
  <c r="AX692" i="9"/>
  <c r="AY692" i="9" s="1"/>
  <c r="AX727" i="9"/>
  <c r="AY727" i="9" s="1"/>
  <c r="AX718" i="9"/>
  <c r="AY718" i="9" s="1"/>
  <c r="W152" i="9"/>
  <c r="AS446" i="9"/>
  <c r="AT446" i="9" s="1"/>
  <c r="AX635" i="9"/>
  <c r="AY635" i="9" s="1"/>
  <c r="AS353" i="9"/>
  <c r="AX353" i="9" s="1"/>
  <c r="AY353" i="9" s="1"/>
  <c r="AJ353" i="9"/>
  <c r="AX442" i="9"/>
  <c r="AY442" i="9" s="1"/>
  <c r="AX381" i="9"/>
  <c r="AY381" i="9" s="1"/>
  <c r="AT605" i="9"/>
  <c r="AL641" i="9"/>
  <c r="AM640" i="9"/>
  <c r="AQ450" i="9"/>
  <c r="AR449" i="9"/>
  <c r="AS636" i="9"/>
  <c r="AT636" i="9" s="1"/>
  <c r="K449" i="9"/>
  <c r="L448" i="9"/>
  <c r="AS562" i="9"/>
  <c r="AT562" i="9" s="1"/>
  <c r="CF447" i="9"/>
  <c r="N447" i="9"/>
  <c r="AR311" i="9"/>
  <c r="AQ312" i="9"/>
  <c r="AQ313" i="9" s="1"/>
  <c r="AX680" i="9"/>
  <c r="AY680" i="9" s="1"/>
  <c r="AS681" i="9"/>
  <c r="AT681" i="9" s="1"/>
  <c r="AG356" i="9"/>
  <c r="AH355" i="9"/>
  <c r="AQ639" i="9"/>
  <c r="AR638" i="9"/>
  <c r="AM567" i="9"/>
  <c r="AL568" i="9"/>
  <c r="AH566" i="9"/>
  <c r="AG567" i="9"/>
  <c r="AN607" i="9"/>
  <c r="AO607" i="9" s="1"/>
  <c r="AN682" i="9"/>
  <c r="AO682" i="9" s="1"/>
  <c r="AI564" i="9"/>
  <c r="AJ607" i="9"/>
  <c r="AI638" i="9"/>
  <c r="AG640" i="9"/>
  <c r="AH639" i="9"/>
  <c r="AS426" i="9"/>
  <c r="AT426" i="9" s="1"/>
  <c r="AQ568" i="9"/>
  <c r="AR567" i="9"/>
  <c r="CF566" i="9"/>
  <c r="N566" i="9"/>
  <c r="U566" i="9"/>
  <c r="AH684" i="9"/>
  <c r="AG685" i="9"/>
  <c r="AH685" i="9" s="1"/>
  <c r="AV639" i="9"/>
  <c r="AW638" i="9"/>
  <c r="AS606" i="9"/>
  <c r="K568" i="9"/>
  <c r="L567" i="9"/>
  <c r="AI683" i="9"/>
  <c r="AV567" i="9"/>
  <c r="AW566" i="9"/>
  <c r="AM684" i="9"/>
  <c r="AL685" i="9"/>
  <c r="AM685" i="9" s="1"/>
  <c r="AV609" i="9"/>
  <c r="AV610" i="9" s="1"/>
  <c r="AW608" i="9"/>
  <c r="CF638" i="9"/>
  <c r="U638" i="9"/>
  <c r="N638" i="9"/>
  <c r="K640" i="9"/>
  <c r="L639" i="9"/>
  <c r="AM608" i="9"/>
  <c r="AL609" i="9"/>
  <c r="AL610" i="9" s="1"/>
  <c r="AI608" i="9"/>
  <c r="AJ608" i="9" s="1"/>
  <c r="U607" i="9"/>
  <c r="CF607" i="9"/>
  <c r="N607" i="9"/>
  <c r="K609" i="9"/>
  <c r="K610" i="9" s="1"/>
  <c r="L608" i="9"/>
  <c r="X603" i="9" s="1"/>
  <c r="AQ609" i="9"/>
  <c r="AQ610" i="9" s="1"/>
  <c r="AR608" i="9"/>
  <c r="AN563" i="9"/>
  <c r="AO563" i="9" s="1"/>
  <c r="AN637" i="9"/>
  <c r="AO637" i="9" s="1"/>
  <c r="AH610" i="9"/>
  <c r="AG611" i="9"/>
  <c r="AX561" i="9"/>
  <c r="AY561" i="9" s="1"/>
  <c r="AX349" i="9"/>
  <c r="AY349" i="9" s="1"/>
  <c r="AN352" i="9"/>
  <c r="AO352" i="9" s="1"/>
  <c r="AX425" i="9"/>
  <c r="AY425" i="9" s="1"/>
  <c r="AS308" i="9"/>
  <c r="AT308" i="9" s="1"/>
  <c r="AS384" i="9"/>
  <c r="AT384" i="9" s="1"/>
  <c r="AN427" i="9"/>
  <c r="AO427" i="9" s="1"/>
  <c r="AI429" i="9"/>
  <c r="AJ429" i="9" s="1"/>
  <c r="V429" i="9"/>
  <c r="U429" i="9"/>
  <c r="AI445" i="9"/>
  <c r="AJ445" i="9" s="1"/>
  <c r="V445" i="9"/>
  <c r="U445" i="9"/>
  <c r="AI464" i="9"/>
  <c r="AJ464" i="9" s="1"/>
  <c r="V464" i="9"/>
  <c r="U464" i="9"/>
  <c r="X452" i="9"/>
  <c r="W423" i="9"/>
  <c r="AH449" i="9"/>
  <c r="AG450" i="9"/>
  <c r="AS443" i="9"/>
  <c r="AT443" i="9" s="1"/>
  <c r="U310" i="9"/>
  <c r="N310" i="9"/>
  <c r="CF310" i="9"/>
  <c r="CF354" i="9"/>
  <c r="N354" i="9"/>
  <c r="K312" i="9"/>
  <c r="K313" i="9" s="1"/>
  <c r="L311" i="9"/>
  <c r="AL388" i="9"/>
  <c r="AM387" i="9"/>
  <c r="AX383" i="9"/>
  <c r="AY383" i="9" s="1"/>
  <c r="AQ388" i="9"/>
  <c r="AR387" i="9"/>
  <c r="L387" i="9"/>
  <c r="K388" i="9"/>
  <c r="CF432" i="9"/>
  <c r="N432" i="9"/>
  <c r="AR355" i="9"/>
  <c r="AQ356" i="9"/>
  <c r="CF431" i="9"/>
  <c r="N431" i="9"/>
  <c r="AV388" i="9"/>
  <c r="AW387" i="9"/>
  <c r="AV451" i="9"/>
  <c r="AW451" i="9" s="1"/>
  <c r="AW450" i="9"/>
  <c r="AI310" i="9"/>
  <c r="AG312" i="9"/>
  <c r="AG313" i="9" s="1"/>
  <c r="AH311" i="9"/>
  <c r="AL356" i="9"/>
  <c r="AM355" i="9"/>
  <c r="AV312" i="9"/>
  <c r="AV313" i="9" s="1"/>
  <c r="AW311" i="9"/>
  <c r="K356" i="9"/>
  <c r="L355" i="9"/>
  <c r="AM311" i="9"/>
  <c r="AL312" i="9"/>
  <c r="AL313" i="9" s="1"/>
  <c r="AN309" i="9"/>
  <c r="AO309" i="9" s="1"/>
  <c r="AW358" i="9"/>
  <c r="AV359" i="9"/>
  <c r="AJ309" i="9"/>
  <c r="CF386" i="9"/>
  <c r="N386" i="9"/>
  <c r="AG388" i="9"/>
  <c r="AH387" i="9"/>
  <c r="AN107" i="9"/>
  <c r="AO107" i="9" s="1"/>
  <c r="V108" i="9"/>
  <c r="AI108" i="9"/>
  <c r="AJ108" i="9" s="1"/>
  <c r="U108" i="9"/>
  <c r="AX105" i="9"/>
  <c r="AY105" i="9" s="1"/>
  <c r="AT20" i="9"/>
  <c r="AS155" i="9"/>
  <c r="AT155" i="9" s="1"/>
  <c r="AX175" i="9"/>
  <c r="AY175" i="9" s="1"/>
  <c r="AX66" i="9"/>
  <c r="AY66" i="9" s="1"/>
  <c r="AN156" i="9"/>
  <c r="AO156" i="9" s="1"/>
  <c r="AS21" i="9"/>
  <c r="AT21" i="9" s="1"/>
  <c r="AX154" i="9"/>
  <c r="AY154" i="9" s="1"/>
  <c r="AX218" i="9"/>
  <c r="AY218" i="9" s="1"/>
  <c r="AS176" i="9"/>
  <c r="AT176" i="9" s="1"/>
  <c r="AS219" i="9"/>
  <c r="AT219" i="9" s="1"/>
  <c r="AN177" i="9"/>
  <c r="AO177" i="9" s="1"/>
  <c r="AX199" i="9"/>
  <c r="AY199" i="9" s="1"/>
  <c r="AN68" i="9"/>
  <c r="AO68" i="9" s="1"/>
  <c r="AN202" i="9"/>
  <c r="AO202" i="9" s="1"/>
  <c r="AS67" i="9"/>
  <c r="AL204" i="9"/>
  <c r="AM203" i="9"/>
  <c r="AQ181" i="9"/>
  <c r="AR180" i="9"/>
  <c r="AL223" i="9"/>
  <c r="AM222" i="9"/>
  <c r="AQ73" i="9"/>
  <c r="AR72" i="9"/>
  <c r="AV179" i="9"/>
  <c r="AW178" i="9"/>
  <c r="AV205" i="9"/>
  <c r="AW204" i="9"/>
  <c r="AQ204" i="9"/>
  <c r="AR203" i="9"/>
  <c r="AQ110" i="9"/>
  <c r="AR109" i="9"/>
  <c r="AQ223" i="9"/>
  <c r="AR222" i="9"/>
  <c r="AV110" i="9"/>
  <c r="AW109" i="9"/>
  <c r="AL162" i="9"/>
  <c r="AM161" i="9"/>
  <c r="AV223" i="9"/>
  <c r="AW222" i="9"/>
  <c r="AL72" i="9"/>
  <c r="AM71" i="9"/>
  <c r="AN22" i="9"/>
  <c r="AO22" i="9" s="1"/>
  <c r="AL179" i="9"/>
  <c r="AM178" i="9"/>
  <c r="AG179" i="9"/>
  <c r="AH178" i="9"/>
  <c r="AI178" i="9" s="1"/>
  <c r="AJ178" i="9" s="1"/>
  <c r="AV25" i="9"/>
  <c r="AW24" i="9"/>
  <c r="AN220" i="9"/>
  <c r="AO220" i="9" s="1"/>
  <c r="AV72" i="9"/>
  <c r="AW71" i="9"/>
  <c r="AL110" i="9"/>
  <c r="AM109" i="9"/>
  <c r="AQ160" i="9"/>
  <c r="AR159" i="9"/>
  <c r="AS106" i="9"/>
  <c r="AT106" i="9" s="1"/>
  <c r="AG160" i="9"/>
  <c r="AH159" i="9"/>
  <c r="AJ202" i="9"/>
  <c r="AG72" i="9"/>
  <c r="AH71" i="9"/>
  <c r="AQ26" i="9"/>
  <c r="AR25" i="9"/>
  <c r="AV160" i="9"/>
  <c r="AW159" i="9"/>
  <c r="AL25" i="9"/>
  <c r="AM24" i="9"/>
  <c r="AS201" i="9"/>
  <c r="AT201" i="9" s="1"/>
  <c r="AI23" i="9"/>
  <c r="AJ23" i="9" s="1"/>
  <c r="AI158" i="9"/>
  <c r="AJ158" i="9" s="1"/>
  <c r="AI221" i="9"/>
  <c r="AJ221" i="9" s="1"/>
  <c r="AI70" i="9"/>
  <c r="AJ70" i="9" s="1"/>
  <c r="AG111" i="9"/>
  <c r="AH110" i="9"/>
  <c r="AG204" i="9"/>
  <c r="AH203" i="9"/>
  <c r="AG226" i="9"/>
  <c r="AH225" i="9"/>
  <c r="V23" i="9"/>
  <c r="V158" i="9"/>
  <c r="V203" i="9"/>
  <c r="V178" i="9"/>
  <c r="V221" i="9"/>
  <c r="V70" i="9"/>
  <c r="U23" i="9"/>
  <c r="U158" i="9"/>
  <c r="U203" i="9"/>
  <c r="U178" i="9"/>
  <c r="U221" i="9"/>
  <c r="U70" i="9"/>
  <c r="N23" i="9"/>
  <c r="CF23" i="9"/>
  <c r="K25" i="9"/>
  <c r="L24" i="9"/>
  <c r="N108" i="9"/>
  <c r="CF108" i="9"/>
  <c r="N158" i="9"/>
  <c r="CF158" i="9"/>
  <c r="K110" i="9"/>
  <c r="L109" i="9"/>
  <c r="K160" i="9"/>
  <c r="L159" i="9"/>
  <c r="N203" i="9"/>
  <c r="CF203" i="9"/>
  <c r="N178" i="9"/>
  <c r="CF178" i="9"/>
  <c r="K205" i="9"/>
  <c r="L204" i="9"/>
  <c r="K180" i="9"/>
  <c r="L179" i="9"/>
  <c r="N221" i="9"/>
  <c r="CF221" i="9"/>
  <c r="N70" i="9"/>
  <c r="CF70" i="9"/>
  <c r="K223" i="9"/>
  <c r="L222" i="9"/>
  <c r="K72" i="9"/>
  <c r="L71" i="9"/>
  <c r="AX242" i="5"/>
  <c r="AY242" i="5" s="1"/>
  <c r="AX225" i="5"/>
  <c r="AY225" i="5" s="1"/>
  <c r="AX43" i="5"/>
  <c r="AY43" i="5" s="1"/>
  <c r="AX201" i="5"/>
  <c r="AY201" i="5" s="1"/>
  <c r="AX260" i="5"/>
  <c r="AY260" i="5" s="1"/>
  <c r="AX194" i="5"/>
  <c r="AY194" i="5" s="1"/>
  <c r="AS261" i="5"/>
  <c r="AT261" i="5" s="1"/>
  <c r="AX254" i="5"/>
  <c r="AY254" i="5" s="1"/>
  <c r="AS289" i="5"/>
  <c r="AT289" i="5" s="1"/>
  <c r="AX28" i="5"/>
  <c r="AY28" i="5" s="1"/>
  <c r="AX231" i="5"/>
  <c r="AY231" i="5" s="1"/>
  <c r="AS123" i="5"/>
  <c r="AT123" i="5" s="1"/>
  <c r="AX207" i="5"/>
  <c r="AY207" i="5" s="1"/>
  <c r="AX236" i="5"/>
  <c r="AY236" i="5" s="1"/>
  <c r="AX189" i="5"/>
  <c r="AY189" i="5" s="1"/>
  <c r="AX206" i="5"/>
  <c r="AY206" i="5" s="1"/>
  <c r="AX200" i="5"/>
  <c r="AY200" i="5" s="1"/>
  <c r="AX213" i="5"/>
  <c r="AY213" i="5" s="1"/>
  <c r="AX230" i="5"/>
  <c r="AY230" i="5" s="1"/>
  <c r="AX195" i="5"/>
  <c r="AY195" i="5" s="1"/>
  <c r="AJ85" i="5"/>
  <c r="AN85" i="5"/>
  <c r="AS85" i="5" s="1"/>
  <c r="AT85" i="5" s="1"/>
  <c r="AL47" i="5"/>
  <c r="AM46" i="5"/>
  <c r="AQ126" i="5"/>
  <c r="AR125" i="5"/>
  <c r="AS97" i="5"/>
  <c r="AG87" i="5"/>
  <c r="AH86" i="5"/>
  <c r="AI86" i="5" s="1"/>
  <c r="AX248" i="5"/>
  <c r="AY248" i="5" s="1"/>
  <c r="AX224" i="5"/>
  <c r="AY224" i="5" s="1"/>
  <c r="AV100" i="5"/>
  <c r="AW99" i="5"/>
  <c r="AJ173" i="5"/>
  <c r="AN173" i="5"/>
  <c r="AO173" i="5" s="1"/>
  <c r="AQ146" i="5"/>
  <c r="AR145" i="5"/>
  <c r="AV23" i="5"/>
  <c r="AW23" i="5" s="1"/>
  <c r="AW22" i="5"/>
  <c r="AS54" i="5"/>
  <c r="AT54" i="5" s="1"/>
  <c r="AX243" i="5"/>
  <c r="AY243" i="5" s="1"/>
  <c r="AV32" i="5"/>
  <c r="AW31" i="5"/>
  <c r="AL111" i="5"/>
  <c r="AM110" i="5"/>
  <c r="AV111" i="5"/>
  <c r="AW110" i="5"/>
  <c r="AJ109" i="5"/>
  <c r="AN109" i="5"/>
  <c r="AO109" i="5" s="1"/>
  <c r="AG175" i="5"/>
  <c r="AH174" i="5"/>
  <c r="AI174" i="5" s="1"/>
  <c r="AJ21" i="5"/>
  <c r="AN21" i="5"/>
  <c r="AS21" i="5" s="1"/>
  <c r="AT21" i="5" s="1"/>
  <c r="AL146" i="5"/>
  <c r="AM145" i="5"/>
  <c r="AL126" i="5"/>
  <c r="AM125" i="5"/>
  <c r="AG279" i="5"/>
  <c r="AH278" i="5"/>
  <c r="AI278" i="5" s="1"/>
  <c r="AJ278" i="5" s="1"/>
  <c r="AG111" i="5"/>
  <c r="AH110" i="5"/>
  <c r="AI110" i="5" s="1"/>
  <c r="AV47" i="5"/>
  <c r="AW46" i="5"/>
  <c r="AG23" i="5"/>
  <c r="AH23" i="5" s="1"/>
  <c r="AI23" i="5" s="1"/>
  <c r="AH22" i="5"/>
  <c r="AI22" i="5" s="1"/>
  <c r="AJ262" i="5"/>
  <c r="AN262" i="5"/>
  <c r="AO262" i="5" s="1"/>
  <c r="AT19" i="5"/>
  <c r="AX19" i="5"/>
  <c r="AY19" i="5" s="1"/>
  <c r="AJ98" i="5"/>
  <c r="AN98" i="5"/>
  <c r="AO98" i="5" s="1"/>
  <c r="AV87" i="5"/>
  <c r="AW86" i="5"/>
  <c r="AV146" i="5"/>
  <c r="AW145" i="5"/>
  <c r="AQ57" i="5"/>
  <c r="AR56" i="5"/>
  <c r="AJ45" i="5"/>
  <c r="AN45" i="5"/>
  <c r="AO45" i="5" s="1"/>
  <c r="AG264" i="5"/>
  <c r="AH263" i="5"/>
  <c r="AI263" i="5" s="1"/>
  <c r="AL87" i="5"/>
  <c r="AM86" i="5"/>
  <c r="AX122" i="5"/>
  <c r="AY122" i="5" s="1"/>
  <c r="AG100" i="5"/>
  <c r="AH99" i="5"/>
  <c r="AI99" i="5" s="1"/>
  <c r="AV279" i="5"/>
  <c r="AW278" i="5"/>
  <c r="AS84" i="5"/>
  <c r="AX237" i="5"/>
  <c r="AY237" i="5" s="1"/>
  <c r="AL23" i="5"/>
  <c r="AM23" i="5" s="1"/>
  <c r="AM22" i="5"/>
  <c r="AJ144" i="5"/>
  <c r="AN144" i="5"/>
  <c r="AO144" i="5" s="1"/>
  <c r="AQ292" i="5"/>
  <c r="AR291" i="5"/>
  <c r="AL32" i="5"/>
  <c r="AM31" i="5"/>
  <c r="AQ23" i="5"/>
  <c r="AR23" i="5" s="1"/>
  <c r="AR22" i="5"/>
  <c r="AS172" i="5"/>
  <c r="AT172" i="5" s="1"/>
  <c r="AG47" i="5"/>
  <c r="AH46" i="5"/>
  <c r="AI46" i="5" s="1"/>
  <c r="AS29" i="5"/>
  <c r="AT29" i="5" s="1"/>
  <c r="AT83" i="5"/>
  <c r="AX83" i="5"/>
  <c r="AY83" i="5" s="1"/>
  <c r="AS44" i="5"/>
  <c r="AT142" i="5"/>
  <c r="AX142" i="5"/>
  <c r="AY142" i="5" s="1"/>
  <c r="AG146" i="5"/>
  <c r="AH145" i="5"/>
  <c r="AI145" i="5" s="1"/>
  <c r="AX171" i="5"/>
  <c r="AY171" i="5" s="1"/>
  <c r="AO108" i="5"/>
  <c r="AX108" i="5"/>
  <c r="AY108" i="5" s="1"/>
  <c r="AQ87" i="5"/>
  <c r="AR86" i="5"/>
  <c r="AJ55" i="5"/>
  <c r="AN55" i="5"/>
  <c r="AO55" i="5" s="1"/>
  <c r="AX188" i="5"/>
  <c r="AY188" i="5" s="1"/>
  <c r="AV57" i="5"/>
  <c r="AW56" i="5"/>
  <c r="AJ124" i="5"/>
  <c r="AN124" i="5"/>
  <c r="AO124" i="5" s="1"/>
  <c r="AX249" i="5"/>
  <c r="AY249" i="5" s="1"/>
  <c r="AG57" i="5"/>
  <c r="AH56" i="5"/>
  <c r="AI56" i="5" s="1"/>
  <c r="AT219" i="5"/>
  <c r="AX219" i="5"/>
  <c r="AY219" i="5" s="1"/>
  <c r="AQ264" i="5"/>
  <c r="AR263" i="5"/>
  <c r="AQ111" i="5"/>
  <c r="AR110" i="5"/>
  <c r="AL100" i="5"/>
  <c r="AM99" i="5"/>
  <c r="AG126" i="5"/>
  <c r="AH125" i="5"/>
  <c r="AI125" i="5" s="1"/>
  <c r="AT107" i="5"/>
  <c r="AX107" i="5"/>
  <c r="AY107" i="5" s="1"/>
  <c r="AJ30" i="5"/>
  <c r="AN30" i="5"/>
  <c r="AO30" i="5" s="1"/>
  <c r="AL175" i="5"/>
  <c r="AM174" i="5"/>
  <c r="AV264" i="5"/>
  <c r="AW263" i="5"/>
  <c r="AQ32" i="5"/>
  <c r="AR31" i="5"/>
  <c r="AJ290" i="5"/>
  <c r="AN290" i="5"/>
  <c r="AO290" i="5" s="1"/>
  <c r="AQ100" i="5"/>
  <c r="AR99" i="5"/>
  <c r="AQ279" i="5"/>
  <c r="AR278" i="5"/>
  <c r="AV292" i="5"/>
  <c r="AW291" i="5"/>
  <c r="AG32" i="5"/>
  <c r="AH31" i="5"/>
  <c r="AI31" i="5" s="1"/>
  <c r="AT255" i="5"/>
  <c r="AX255" i="5"/>
  <c r="AY255" i="5" s="1"/>
  <c r="AQ47" i="5"/>
  <c r="AR46" i="5"/>
  <c r="AL264" i="5"/>
  <c r="AM263" i="5"/>
  <c r="AG292" i="5"/>
  <c r="AH291" i="5"/>
  <c r="AI291" i="5" s="1"/>
  <c r="AQ175" i="5"/>
  <c r="AR174" i="5"/>
  <c r="AL57" i="5"/>
  <c r="AM56" i="5"/>
  <c r="AL292" i="5"/>
  <c r="AM291" i="5"/>
  <c r="AL279" i="5"/>
  <c r="AM278" i="5"/>
  <c r="AS20" i="5"/>
  <c r="AT20" i="5" s="1"/>
  <c r="AV126" i="5"/>
  <c r="AW125" i="5"/>
  <c r="AT218" i="5"/>
  <c r="AX218" i="5"/>
  <c r="AY218" i="5" s="1"/>
  <c r="AS143" i="5"/>
  <c r="AT143" i="5" s="1"/>
  <c r="AV175" i="5"/>
  <c r="AW174" i="5"/>
  <c r="AX275" i="5"/>
  <c r="AY275" i="5" s="1"/>
  <c r="AS276" i="5"/>
  <c r="AN277" i="5"/>
  <c r="AO277" i="5" s="1"/>
  <c r="V278" i="5"/>
  <c r="U278" i="5"/>
  <c r="N46" i="5"/>
  <c r="CB46" i="5"/>
  <c r="K48" i="5"/>
  <c r="L48" i="5" s="1"/>
  <c r="U48" i="5" s="1"/>
  <c r="L47" i="5"/>
  <c r="N278" i="5"/>
  <c r="CB278" i="5"/>
  <c r="K280" i="5"/>
  <c r="L279" i="5"/>
  <c r="T355" i="9"/>
  <c r="T204" i="9"/>
  <c r="T448" i="9"/>
  <c r="T279" i="5"/>
  <c r="T179" i="9"/>
  <c r="T385" i="9"/>
  <c r="T430" i="9"/>
  <c r="T311" i="9"/>
  <c r="T639" i="9"/>
  <c r="T222" i="9"/>
  <c r="T109" i="9"/>
  <c r="T24" i="9"/>
  <c r="T354" i="9"/>
  <c r="T159" i="9"/>
  <c r="T387" i="9"/>
  <c r="T71" i="9"/>
  <c r="AX717" i="9" l="1"/>
  <c r="AY717" i="9" s="1"/>
  <c r="AX704" i="9"/>
  <c r="AY704" i="9" s="1"/>
  <c r="AX706" i="9"/>
  <c r="AY706" i="9" s="1"/>
  <c r="AX705" i="9"/>
  <c r="AY705" i="9" s="1"/>
  <c r="AT694" i="9"/>
  <c r="AX729" i="9"/>
  <c r="AY729" i="9" s="1"/>
  <c r="AX720" i="9"/>
  <c r="AY720" i="9" s="1"/>
  <c r="AX697" i="9"/>
  <c r="AY697" i="9" s="1"/>
  <c r="AX702" i="9"/>
  <c r="AY702" i="9" s="1"/>
  <c r="AX721" i="9"/>
  <c r="AY721" i="9" s="1"/>
  <c r="AX690" i="9"/>
  <c r="AY690" i="9" s="1"/>
  <c r="AX687" i="9"/>
  <c r="AY687" i="9" s="1"/>
  <c r="AX688" i="9"/>
  <c r="AY688" i="9" s="1"/>
  <c r="V355" i="9"/>
  <c r="V311" i="9"/>
  <c r="AI355" i="9"/>
  <c r="AJ355" i="9" s="1"/>
  <c r="V639" i="9"/>
  <c r="W623" i="9" s="1"/>
  <c r="AO481" i="9"/>
  <c r="AX481" i="9"/>
  <c r="AY481" i="9" s="1"/>
  <c r="AS466" i="9"/>
  <c r="AT466" i="9" s="1"/>
  <c r="AO465" i="9"/>
  <c r="AS465" i="9"/>
  <c r="V387" i="9"/>
  <c r="V448" i="9"/>
  <c r="AI448" i="9"/>
  <c r="AJ448" i="9" s="1"/>
  <c r="AS712" i="9"/>
  <c r="AT712" i="9" s="1"/>
  <c r="AX518" i="9"/>
  <c r="AY518" i="9" s="1"/>
  <c r="AX446" i="9"/>
  <c r="AY446" i="9" s="1"/>
  <c r="AS352" i="9"/>
  <c r="AT352" i="9" s="1"/>
  <c r="AT353" i="9"/>
  <c r="AX636" i="9"/>
  <c r="AY636" i="9" s="1"/>
  <c r="AX562" i="9"/>
  <c r="AY562" i="9" s="1"/>
  <c r="AS427" i="9"/>
  <c r="AT427" i="9" s="1"/>
  <c r="AS637" i="9"/>
  <c r="AT637" i="9" s="1"/>
  <c r="AX426" i="9"/>
  <c r="AY426" i="9" s="1"/>
  <c r="N448" i="9"/>
  <c r="U448" i="9"/>
  <c r="CF448" i="9"/>
  <c r="AX681" i="9"/>
  <c r="AY681" i="9" s="1"/>
  <c r="AQ640" i="9"/>
  <c r="AR639" i="9"/>
  <c r="L449" i="9"/>
  <c r="K450" i="9"/>
  <c r="AG357" i="9"/>
  <c r="AG358" i="9" s="1"/>
  <c r="AH356" i="9"/>
  <c r="AQ451" i="9"/>
  <c r="AR451" i="9" s="1"/>
  <c r="AR450" i="9"/>
  <c r="AQ314" i="9"/>
  <c r="AR313" i="9"/>
  <c r="AM641" i="9"/>
  <c r="AL642" i="9"/>
  <c r="AM642" i="9" s="1"/>
  <c r="AL611" i="9"/>
  <c r="AM610" i="9"/>
  <c r="AI685" i="9"/>
  <c r="AN638" i="9"/>
  <c r="AO638" i="9" s="1"/>
  <c r="AN429" i="9"/>
  <c r="AO429" i="9" s="1"/>
  <c r="AS563" i="9"/>
  <c r="AT563" i="9" s="1"/>
  <c r="AI684" i="9"/>
  <c r="AJ684" i="9" s="1"/>
  <c r="AJ638" i="9"/>
  <c r="CF639" i="9"/>
  <c r="U639" i="9"/>
  <c r="N639" i="9"/>
  <c r="AW567" i="9"/>
  <c r="AV568" i="9"/>
  <c r="K641" i="9"/>
  <c r="L640" i="9"/>
  <c r="AN683" i="9"/>
  <c r="AO683" i="9" s="1"/>
  <c r="AS607" i="9"/>
  <c r="AT607" i="9" s="1"/>
  <c r="AQ611" i="9"/>
  <c r="AR610" i="9"/>
  <c r="AJ683" i="9"/>
  <c r="AN564" i="9"/>
  <c r="AO564" i="9" s="1"/>
  <c r="U608" i="9"/>
  <c r="CF608" i="9"/>
  <c r="N608" i="9"/>
  <c r="AJ564" i="9"/>
  <c r="AG568" i="9"/>
  <c r="AH567" i="9"/>
  <c r="K611" i="9"/>
  <c r="L610" i="9"/>
  <c r="U567" i="9"/>
  <c r="CF567" i="9"/>
  <c r="N567" i="9"/>
  <c r="AI566" i="9"/>
  <c r="AH611" i="9"/>
  <c r="AG612" i="9"/>
  <c r="K569" i="9"/>
  <c r="L568" i="9"/>
  <c r="AQ569" i="9"/>
  <c r="AR568" i="9"/>
  <c r="AS682" i="9"/>
  <c r="AT682" i="9" s="1"/>
  <c r="AX308" i="9"/>
  <c r="AY308" i="9" s="1"/>
  <c r="AI610" i="9"/>
  <c r="AJ610" i="9" s="1"/>
  <c r="AL569" i="9"/>
  <c r="AM568" i="9"/>
  <c r="AV640" i="9"/>
  <c r="AW639" i="9"/>
  <c r="AT606" i="9"/>
  <c r="AX606" i="9"/>
  <c r="AY606" i="9" s="1"/>
  <c r="AI639" i="9"/>
  <c r="AJ639" i="9" s="1"/>
  <c r="AN608" i="9"/>
  <c r="AO608" i="9" s="1"/>
  <c r="AV611" i="9"/>
  <c r="AW610" i="9"/>
  <c r="AG641" i="9"/>
  <c r="AH640" i="9"/>
  <c r="AX443" i="9"/>
  <c r="AY443" i="9" s="1"/>
  <c r="AX384" i="9"/>
  <c r="AY384" i="9" s="1"/>
  <c r="V354" i="9"/>
  <c r="AI354" i="9"/>
  <c r="AJ354" i="9" s="1"/>
  <c r="U354" i="9"/>
  <c r="V430" i="9"/>
  <c r="AI430" i="9"/>
  <c r="AJ430" i="9" s="1"/>
  <c r="U430" i="9"/>
  <c r="AI385" i="9"/>
  <c r="AJ385" i="9" s="1"/>
  <c r="V385" i="9"/>
  <c r="U385" i="9"/>
  <c r="L388" i="9"/>
  <c r="K389" i="9"/>
  <c r="K390" i="9" s="1"/>
  <c r="AN445" i="9"/>
  <c r="AO445" i="9" s="1"/>
  <c r="AI387" i="9"/>
  <c r="CF355" i="9"/>
  <c r="N355" i="9"/>
  <c r="U355" i="9"/>
  <c r="AV389" i="9"/>
  <c r="AV390" i="9" s="1"/>
  <c r="AW388" i="9"/>
  <c r="U387" i="9"/>
  <c r="CF387" i="9"/>
  <c r="N387" i="9"/>
  <c r="AG389" i="9"/>
  <c r="AG390" i="9" s="1"/>
  <c r="AH388" i="9"/>
  <c r="K357" i="9"/>
  <c r="K358" i="9" s="1"/>
  <c r="L356" i="9"/>
  <c r="AI311" i="9"/>
  <c r="AV360" i="9"/>
  <c r="AW359" i="9"/>
  <c r="AQ357" i="9"/>
  <c r="AQ358" i="9" s="1"/>
  <c r="AR356" i="9"/>
  <c r="AS309" i="9"/>
  <c r="AT309" i="9" s="1"/>
  <c r="AV314" i="9"/>
  <c r="AW313" i="9"/>
  <c r="AL357" i="9"/>
  <c r="AL358" i="9" s="1"/>
  <c r="AM356" i="9"/>
  <c r="AN310" i="9"/>
  <c r="AO310" i="9" s="1"/>
  <c r="AG314" i="9"/>
  <c r="AH313" i="9"/>
  <c r="AJ310" i="9"/>
  <c r="AM388" i="9"/>
  <c r="AL389" i="9"/>
  <c r="AL390" i="9" s="1"/>
  <c r="AG451" i="9"/>
  <c r="AH451" i="9" s="1"/>
  <c r="AH450" i="9"/>
  <c r="U311" i="9"/>
  <c r="N311" i="9"/>
  <c r="CF311" i="9"/>
  <c r="AN464" i="9"/>
  <c r="AO464" i="9" s="1"/>
  <c r="AL314" i="9"/>
  <c r="AM313" i="9"/>
  <c r="K314" i="9"/>
  <c r="L313" i="9"/>
  <c r="AQ389" i="9"/>
  <c r="AQ390" i="9" s="1"/>
  <c r="AR388" i="9"/>
  <c r="V71" i="9"/>
  <c r="U71" i="9"/>
  <c r="AN108" i="9"/>
  <c r="AO108" i="9" s="1"/>
  <c r="AS107" i="9"/>
  <c r="AT107" i="9" s="1"/>
  <c r="AX155" i="9"/>
  <c r="AY155" i="9" s="1"/>
  <c r="AS156" i="9"/>
  <c r="AT156" i="9" s="1"/>
  <c r="AX219" i="9"/>
  <c r="AY219" i="9" s="1"/>
  <c r="AX21" i="9"/>
  <c r="AY21" i="9" s="1"/>
  <c r="AX176" i="9"/>
  <c r="AY176" i="9" s="1"/>
  <c r="AN178" i="9"/>
  <c r="AO178" i="9" s="1"/>
  <c r="AS68" i="9"/>
  <c r="AT68" i="9" s="1"/>
  <c r="AS177" i="9"/>
  <c r="AT177" i="9" s="1"/>
  <c r="AN70" i="9"/>
  <c r="AO70" i="9" s="1"/>
  <c r="AS220" i="9"/>
  <c r="AT220" i="9" s="1"/>
  <c r="AN23" i="9"/>
  <c r="AO23" i="9" s="1"/>
  <c r="AS22" i="9"/>
  <c r="AT22" i="9" s="1"/>
  <c r="AX201" i="9"/>
  <c r="AY201" i="9" s="1"/>
  <c r="AV206" i="9"/>
  <c r="AW205" i="9"/>
  <c r="AQ224" i="9"/>
  <c r="AR223" i="9"/>
  <c r="AL205" i="9"/>
  <c r="AM204" i="9"/>
  <c r="AI203" i="9"/>
  <c r="AL26" i="9"/>
  <c r="AM25" i="9"/>
  <c r="AL73" i="9"/>
  <c r="AM72" i="9"/>
  <c r="AN158" i="9"/>
  <c r="AO158" i="9" s="1"/>
  <c r="AW160" i="9"/>
  <c r="AV161" i="9"/>
  <c r="AV73" i="9"/>
  <c r="AW72" i="9"/>
  <c r="AQ161" i="9"/>
  <c r="AR160" i="9"/>
  <c r="AT67" i="9"/>
  <c r="AX67" i="9"/>
  <c r="AY67" i="9" s="1"/>
  <c r="AI71" i="9"/>
  <c r="AJ71" i="9" s="1"/>
  <c r="AV26" i="9"/>
  <c r="AW25" i="9"/>
  <c r="AV224" i="9"/>
  <c r="AW223" i="9"/>
  <c r="AH72" i="9"/>
  <c r="AG73" i="9"/>
  <c r="AG180" i="9"/>
  <c r="AH179" i="9"/>
  <c r="AI179" i="9" s="1"/>
  <c r="AJ179" i="9" s="1"/>
  <c r="AV180" i="9"/>
  <c r="AW179" i="9"/>
  <c r="AQ74" i="9"/>
  <c r="AR73" i="9"/>
  <c r="AL163" i="9"/>
  <c r="AM162" i="9"/>
  <c r="AQ111" i="9"/>
  <c r="AR110" i="9"/>
  <c r="AN221" i="9"/>
  <c r="AO221" i="9" s="1"/>
  <c r="AL180" i="9"/>
  <c r="AM179" i="9"/>
  <c r="AL224" i="9"/>
  <c r="AM223" i="9"/>
  <c r="AQ27" i="9"/>
  <c r="AQ28" i="9" s="1"/>
  <c r="AR26" i="9"/>
  <c r="AL111" i="9"/>
  <c r="AM110" i="9"/>
  <c r="AQ205" i="9"/>
  <c r="AR204" i="9"/>
  <c r="AG161" i="9"/>
  <c r="AH160" i="9"/>
  <c r="AX106" i="9"/>
  <c r="AY106" i="9" s="1"/>
  <c r="AV111" i="9"/>
  <c r="AW110" i="9"/>
  <c r="AQ182" i="9"/>
  <c r="AR181" i="9"/>
  <c r="AS202" i="9"/>
  <c r="AI24" i="9"/>
  <c r="AJ24" i="9" s="1"/>
  <c r="AI159" i="9"/>
  <c r="AJ159" i="9" s="1"/>
  <c r="AI222" i="9"/>
  <c r="AJ222" i="9" s="1"/>
  <c r="AI109" i="9"/>
  <c r="AJ109" i="9" s="1"/>
  <c r="AG227" i="9"/>
  <c r="AH226" i="9"/>
  <c r="AG205" i="9"/>
  <c r="AH204" i="9"/>
  <c r="AG112" i="9"/>
  <c r="AH111" i="9"/>
  <c r="V24" i="9"/>
  <c r="V179" i="9"/>
  <c r="V159" i="9"/>
  <c r="V222" i="9"/>
  <c r="V204" i="9"/>
  <c r="V109" i="9"/>
  <c r="U24" i="9"/>
  <c r="U179" i="9"/>
  <c r="U159" i="9"/>
  <c r="U222" i="9"/>
  <c r="U204" i="9"/>
  <c r="U109" i="9"/>
  <c r="N179" i="9"/>
  <c r="CF179" i="9"/>
  <c r="K181" i="9"/>
  <c r="L180" i="9"/>
  <c r="N24" i="9"/>
  <c r="CF24" i="9"/>
  <c r="N71" i="9"/>
  <c r="CF71" i="9"/>
  <c r="K26" i="9"/>
  <c r="L25" i="9"/>
  <c r="K73" i="9"/>
  <c r="L72" i="9"/>
  <c r="N159" i="9"/>
  <c r="CF159" i="9"/>
  <c r="N222" i="9"/>
  <c r="CF222" i="9"/>
  <c r="N204" i="9"/>
  <c r="CF204" i="9"/>
  <c r="K161" i="9"/>
  <c r="L160" i="9"/>
  <c r="K224" i="9"/>
  <c r="L223" i="9"/>
  <c r="K206" i="9"/>
  <c r="L205" i="9"/>
  <c r="N109" i="9"/>
  <c r="CF109" i="9"/>
  <c r="K111" i="9"/>
  <c r="L110" i="9"/>
  <c r="AO85" i="5"/>
  <c r="AX289" i="5"/>
  <c r="AY289" i="5" s="1"/>
  <c r="AS109" i="5"/>
  <c r="AT109" i="5" s="1"/>
  <c r="AX261" i="5"/>
  <c r="AY261" i="5" s="1"/>
  <c r="AX123" i="5"/>
  <c r="AY123" i="5" s="1"/>
  <c r="AS290" i="5"/>
  <c r="AT290" i="5" s="1"/>
  <c r="AS55" i="5"/>
  <c r="AT55" i="5" s="1"/>
  <c r="AX20" i="5"/>
  <c r="AY20" i="5" s="1"/>
  <c r="AS173" i="5"/>
  <c r="AT173" i="5" s="1"/>
  <c r="AS124" i="5"/>
  <c r="AT124" i="5" s="1"/>
  <c r="AX172" i="5"/>
  <c r="AY172" i="5" s="1"/>
  <c r="AJ99" i="5"/>
  <c r="AN99" i="5"/>
  <c r="AO99" i="5" s="1"/>
  <c r="AV176" i="5"/>
  <c r="AW175" i="5"/>
  <c r="AT44" i="5"/>
  <c r="AX44" i="5"/>
  <c r="AY44" i="5" s="1"/>
  <c r="AQ293" i="5"/>
  <c r="AR292" i="5"/>
  <c r="AG101" i="5"/>
  <c r="AH100" i="5"/>
  <c r="AI100" i="5" s="1"/>
  <c r="AG280" i="5"/>
  <c r="AH279" i="5"/>
  <c r="AI279" i="5" s="1"/>
  <c r="AJ279" i="5" s="1"/>
  <c r="AG88" i="5"/>
  <c r="AH87" i="5"/>
  <c r="AI87" i="5" s="1"/>
  <c r="AL58" i="5"/>
  <c r="AM58" i="5" s="1"/>
  <c r="AM57" i="5"/>
  <c r="AJ56" i="5"/>
  <c r="AN56" i="5"/>
  <c r="AO56" i="5" s="1"/>
  <c r="AQ58" i="5"/>
  <c r="AR58" i="5" s="1"/>
  <c r="AR57" i="5"/>
  <c r="AT97" i="5"/>
  <c r="AX97" i="5"/>
  <c r="AY97" i="5" s="1"/>
  <c r="AX143" i="5"/>
  <c r="AY143" i="5" s="1"/>
  <c r="AJ31" i="5"/>
  <c r="AN31" i="5"/>
  <c r="AO31" i="5" s="1"/>
  <c r="AG58" i="5"/>
  <c r="AH58" i="5" s="1"/>
  <c r="AI58" i="5" s="1"/>
  <c r="AH57" i="5"/>
  <c r="AI57" i="5" s="1"/>
  <c r="AS144" i="5"/>
  <c r="AT144" i="5" s="1"/>
  <c r="AS262" i="5"/>
  <c r="AT262" i="5" s="1"/>
  <c r="AL127" i="5"/>
  <c r="AM126" i="5"/>
  <c r="AQ147" i="5"/>
  <c r="AR146" i="5"/>
  <c r="AX54" i="5"/>
  <c r="AY54" i="5" s="1"/>
  <c r="AG33" i="5"/>
  <c r="AH33" i="5" s="1"/>
  <c r="AI33" i="5" s="1"/>
  <c r="AH32" i="5"/>
  <c r="AI32" i="5" s="1"/>
  <c r="AJ125" i="5"/>
  <c r="AN125" i="5"/>
  <c r="AO125" i="5" s="1"/>
  <c r="AL88" i="5"/>
  <c r="AM87" i="5"/>
  <c r="AV147" i="5"/>
  <c r="AW146" i="5"/>
  <c r="AJ86" i="5"/>
  <c r="AN86" i="5"/>
  <c r="AO86" i="5" s="1"/>
  <c r="AQ176" i="5"/>
  <c r="AR175" i="5"/>
  <c r="AQ33" i="5"/>
  <c r="AR33" i="5" s="1"/>
  <c r="AR32" i="5"/>
  <c r="AG127" i="5"/>
  <c r="AH126" i="5"/>
  <c r="AI126" i="5" s="1"/>
  <c r="AQ88" i="5"/>
  <c r="AR87" i="5"/>
  <c r="AJ46" i="5"/>
  <c r="AN46" i="5"/>
  <c r="AO46" i="5" s="1"/>
  <c r="AJ263" i="5"/>
  <c r="AN263" i="5"/>
  <c r="AO263" i="5" s="1"/>
  <c r="AO21" i="5"/>
  <c r="AL147" i="5"/>
  <c r="AM146" i="5"/>
  <c r="AV112" i="5"/>
  <c r="AW111" i="5"/>
  <c r="AQ127" i="5"/>
  <c r="AR126" i="5"/>
  <c r="AJ291" i="5"/>
  <c r="AN291" i="5"/>
  <c r="AO291" i="5" s="1"/>
  <c r="AV293" i="5"/>
  <c r="AW292" i="5"/>
  <c r="AG48" i="5"/>
  <c r="AH48" i="5" s="1"/>
  <c r="AI48" i="5" s="1"/>
  <c r="AH47" i="5"/>
  <c r="AI47" i="5" s="1"/>
  <c r="AG265" i="5"/>
  <c r="AH264" i="5"/>
  <c r="AI264" i="5" s="1"/>
  <c r="AJ22" i="5"/>
  <c r="AN22" i="5"/>
  <c r="AO22" i="5" s="1"/>
  <c r="AX21" i="5"/>
  <c r="AY21" i="5" s="1"/>
  <c r="AV127" i="5"/>
  <c r="AW126" i="5"/>
  <c r="AG293" i="5"/>
  <c r="AH292" i="5"/>
  <c r="AI292" i="5" s="1"/>
  <c r="AV265" i="5"/>
  <c r="AW264" i="5"/>
  <c r="AL101" i="5"/>
  <c r="AM100" i="5"/>
  <c r="AX29" i="5"/>
  <c r="AY29" i="5" s="1"/>
  <c r="AV88" i="5"/>
  <c r="AW87" i="5"/>
  <c r="AJ23" i="5"/>
  <c r="AN23" i="5"/>
  <c r="AO23" i="5" s="1"/>
  <c r="AL112" i="5"/>
  <c r="AM111" i="5"/>
  <c r="AL48" i="5"/>
  <c r="AM48" i="5" s="1"/>
  <c r="AM47" i="5"/>
  <c r="AQ280" i="5"/>
  <c r="AR279" i="5"/>
  <c r="AS98" i="5"/>
  <c r="AT98" i="5" s="1"/>
  <c r="AX85" i="5"/>
  <c r="AY85" i="5" s="1"/>
  <c r="AL265" i="5"/>
  <c r="AM264" i="5"/>
  <c r="AL176" i="5"/>
  <c r="AM175" i="5"/>
  <c r="AQ112" i="5"/>
  <c r="AR111" i="5"/>
  <c r="AJ145" i="5"/>
  <c r="AN145" i="5"/>
  <c r="AO145" i="5" s="1"/>
  <c r="AT84" i="5"/>
  <c r="AX84" i="5"/>
  <c r="AY84" i="5" s="1"/>
  <c r="AS45" i="5"/>
  <c r="AT45" i="5" s="1"/>
  <c r="AV48" i="5"/>
  <c r="AW48" i="5" s="1"/>
  <c r="AW47" i="5"/>
  <c r="AV33" i="5"/>
  <c r="AW33" i="5" s="1"/>
  <c r="AW32" i="5"/>
  <c r="AV101" i="5"/>
  <c r="AW100" i="5"/>
  <c r="AL293" i="5"/>
  <c r="AM292" i="5"/>
  <c r="AL280" i="5"/>
  <c r="AM279" i="5"/>
  <c r="AQ101" i="5"/>
  <c r="AR100" i="5"/>
  <c r="AV58" i="5"/>
  <c r="AW58" i="5" s="1"/>
  <c r="AW57" i="5"/>
  <c r="AG147" i="5"/>
  <c r="AH146" i="5"/>
  <c r="AI146" i="5" s="1"/>
  <c r="AJ110" i="5"/>
  <c r="AN110" i="5"/>
  <c r="AO110" i="5" s="1"/>
  <c r="AJ174" i="5"/>
  <c r="AN174" i="5"/>
  <c r="AS174" i="5" s="1"/>
  <c r="AT174" i="5" s="1"/>
  <c r="AQ48" i="5"/>
  <c r="AR48" i="5" s="1"/>
  <c r="AR47" i="5"/>
  <c r="AS30" i="5"/>
  <c r="AT30" i="5" s="1"/>
  <c r="AQ265" i="5"/>
  <c r="AR264" i="5"/>
  <c r="AL33" i="5"/>
  <c r="AM33" i="5" s="1"/>
  <c r="AM32" i="5"/>
  <c r="AV280" i="5"/>
  <c r="AW279" i="5"/>
  <c r="AG112" i="5"/>
  <c r="AH111" i="5"/>
  <c r="AI111" i="5" s="1"/>
  <c r="AG176" i="5"/>
  <c r="AH175" i="5"/>
  <c r="AI175" i="5" s="1"/>
  <c r="AT276" i="5"/>
  <c r="AX276" i="5"/>
  <c r="AY276" i="5" s="1"/>
  <c r="AS277" i="5"/>
  <c r="AN278" i="5"/>
  <c r="U47" i="5"/>
  <c r="X39" i="5"/>
  <c r="V279" i="5"/>
  <c r="U279" i="5"/>
  <c r="N279" i="5"/>
  <c r="CB279" i="5"/>
  <c r="K281" i="5"/>
  <c r="L280" i="5"/>
  <c r="N47" i="5"/>
  <c r="CB47" i="5"/>
  <c r="N48" i="5"/>
  <c r="CB48" i="5"/>
  <c r="T223" i="9"/>
  <c r="T432" i="9"/>
  <c r="T280" i="5"/>
  <c r="T160" i="9"/>
  <c r="T388" i="9"/>
  <c r="T447" i="9"/>
  <c r="T482" i="9"/>
  <c r="T180" i="9"/>
  <c r="T568" i="9"/>
  <c r="T356" i="9"/>
  <c r="T72" i="9"/>
  <c r="T110" i="9"/>
  <c r="T313" i="9"/>
  <c r="T25" i="9"/>
  <c r="T205" i="9"/>
  <c r="T386" i="9"/>
  <c r="T431" i="9"/>
  <c r="AN355" i="9" l="1"/>
  <c r="AO355" i="9" s="1"/>
  <c r="V356" i="9"/>
  <c r="AN448" i="9"/>
  <c r="AO448" i="9" s="1"/>
  <c r="AX466" i="9"/>
  <c r="AY466" i="9" s="1"/>
  <c r="AT465" i="9"/>
  <c r="AX465" i="9"/>
  <c r="AY465" i="9" s="1"/>
  <c r="V388" i="9"/>
  <c r="AX712" i="9"/>
  <c r="AY712" i="9" s="1"/>
  <c r="AX352" i="9"/>
  <c r="AY352" i="9" s="1"/>
  <c r="AX427" i="9"/>
  <c r="AY427" i="9" s="1"/>
  <c r="AS608" i="9"/>
  <c r="AT608" i="9" s="1"/>
  <c r="AX637" i="9"/>
  <c r="AY637" i="9" s="1"/>
  <c r="AX682" i="9"/>
  <c r="AY682" i="9" s="1"/>
  <c r="V313" i="9"/>
  <c r="V568" i="9"/>
  <c r="W565" i="9" s="1"/>
  <c r="AN385" i="9"/>
  <c r="AO385" i="9" s="1"/>
  <c r="AS564" i="9"/>
  <c r="AT564" i="9" s="1"/>
  <c r="AX563" i="9"/>
  <c r="AY563" i="9" s="1"/>
  <c r="K451" i="9"/>
  <c r="L451" i="9" s="1"/>
  <c r="L450" i="9"/>
  <c r="N449" i="9"/>
  <c r="CF449" i="9"/>
  <c r="AQ641" i="9"/>
  <c r="AR640" i="9"/>
  <c r="AN354" i="9"/>
  <c r="AO354" i="9" s="1"/>
  <c r="AR314" i="9"/>
  <c r="AQ315" i="9"/>
  <c r="AI356" i="9"/>
  <c r="AN356" i="9" s="1"/>
  <c r="AO356" i="9" s="1"/>
  <c r="AS429" i="9"/>
  <c r="AT429" i="9" s="1"/>
  <c r="AG359" i="9"/>
  <c r="AH358" i="9"/>
  <c r="AI640" i="9"/>
  <c r="AR569" i="9"/>
  <c r="AQ570" i="9"/>
  <c r="K612" i="9"/>
  <c r="L611" i="9"/>
  <c r="CF568" i="9"/>
  <c r="N568" i="9"/>
  <c r="U568" i="9"/>
  <c r="K570" i="9"/>
  <c r="L569" i="9"/>
  <c r="AI567" i="9"/>
  <c r="AH612" i="9"/>
  <c r="AG613" i="9"/>
  <c r="AH568" i="9"/>
  <c r="AG569" i="9"/>
  <c r="AW611" i="9"/>
  <c r="AV612" i="9"/>
  <c r="AV641" i="9"/>
  <c r="AW640" i="9"/>
  <c r="AI611" i="9"/>
  <c r="AJ611" i="9" s="1"/>
  <c r="AS638" i="9"/>
  <c r="AT638" i="9" s="1"/>
  <c r="AG642" i="9"/>
  <c r="AH642" i="9" s="1"/>
  <c r="AH641" i="9"/>
  <c r="AN566" i="9"/>
  <c r="AO566" i="9" s="1"/>
  <c r="AS683" i="9"/>
  <c r="AT683" i="9" s="1"/>
  <c r="AL570" i="9"/>
  <c r="AM569" i="9"/>
  <c r="AJ566" i="9"/>
  <c r="U640" i="9"/>
  <c r="CF640" i="9"/>
  <c r="N640" i="9"/>
  <c r="AN685" i="9"/>
  <c r="AO685" i="9" s="1"/>
  <c r="AR611" i="9"/>
  <c r="AQ612" i="9"/>
  <c r="AN610" i="9"/>
  <c r="AS610" i="9" s="1"/>
  <c r="AT610" i="9" s="1"/>
  <c r="K642" i="9"/>
  <c r="L642" i="9" s="1"/>
  <c r="L641" i="9"/>
  <c r="AN684" i="9"/>
  <c r="AO684" i="9" s="1"/>
  <c r="AJ685" i="9"/>
  <c r="AV569" i="9"/>
  <c r="AW568" i="9"/>
  <c r="AN639" i="9"/>
  <c r="AO639" i="9" s="1"/>
  <c r="AL612" i="9"/>
  <c r="AM611" i="9"/>
  <c r="CF610" i="9"/>
  <c r="N610" i="9"/>
  <c r="U610" i="9"/>
  <c r="AX607" i="9"/>
  <c r="AY607" i="9" s="1"/>
  <c r="AX309" i="9"/>
  <c r="AY309" i="9" s="1"/>
  <c r="AN430" i="9"/>
  <c r="AO430" i="9" s="1"/>
  <c r="AI431" i="9"/>
  <c r="AJ431" i="9" s="1"/>
  <c r="V431" i="9"/>
  <c r="U431" i="9"/>
  <c r="AI482" i="9"/>
  <c r="AJ482" i="9" s="1"/>
  <c r="V482" i="9"/>
  <c r="U482" i="9"/>
  <c r="AI386" i="9"/>
  <c r="AJ386" i="9" s="1"/>
  <c r="V386" i="9"/>
  <c r="U386" i="9"/>
  <c r="X428" i="9"/>
  <c r="V447" i="9"/>
  <c r="AI447" i="9"/>
  <c r="AJ447" i="9" s="1"/>
  <c r="U447" i="9"/>
  <c r="X467" i="9"/>
  <c r="AI432" i="9"/>
  <c r="AJ432" i="9" s="1"/>
  <c r="V432" i="9"/>
  <c r="U432" i="9"/>
  <c r="AS464" i="9"/>
  <c r="AT464" i="9" s="1"/>
  <c r="AV315" i="9"/>
  <c r="AW314" i="9"/>
  <c r="AN387" i="9"/>
  <c r="AO387" i="9" s="1"/>
  <c r="U313" i="9"/>
  <c r="CF313" i="9"/>
  <c r="N313" i="9"/>
  <c r="AG315" i="9"/>
  <c r="AH314" i="9"/>
  <c r="AI388" i="9"/>
  <c r="AJ387" i="9"/>
  <c r="AI313" i="9"/>
  <c r="AJ313" i="9" s="1"/>
  <c r="L314" i="9"/>
  <c r="K315" i="9"/>
  <c r="AW360" i="9"/>
  <c r="AV361" i="9"/>
  <c r="AH390" i="9"/>
  <c r="AG391" i="9"/>
  <c r="L358" i="9"/>
  <c r="K359" i="9"/>
  <c r="CF388" i="9"/>
  <c r="U388" i="9"/>
  <c r="N388" i="9"/>
  <c r="AQ391" i="9"/>
  <c r="AR390" i="9"/>
  <c r="AS310" i="9"/>
  <c r="AT310" i="9" s="1"/>
  <c r="AS445" i="9"/>
  <c r="AT445" i="9" s="1"/>
  <c r="K391" i="9"/>
  <c r="L390" i="9"/>
  <c r="AQ359" i="9"/>
  <c r="AR358" i="9"/>
  <c r="AM314" i="9"/>
  <c r="AL315" i="9"/>
  <c r="AM390" i="9"/>
  <c r="AL391" i="9"/>
  <c r="AL359" i="9"/>
  <c r="AM358" i="9"/>
  <c r="AN311" i="9"/>
  <c r="AO311" i="9" s="1"/>
  <c r="AV391" i="9"/>
  <c r="AW390" i="9"/>
  <c r="AJ311" i="9"/>
  <c r="CF356" i="9"/>
  <c r="U356" i="9"/>
  <c r="N356" i="9"/>
  <c r="V180" i="9"/>
  <c r="U180" i="9"/>
  <c r="AS108" i="9"/>
  <c r="AT108" i="9" s="1"/>
  <c r="AX107" i="9"/>
  <c r="AY107" i="9" s="1"/>
  <c r="AX156" i="9"/>
  <c r="AY156" i="9" s="1"/>
  <c r="AX177" i="9"/>
  <c r="AY177" i="9" s="1"/>
  <c r="AX68" i="9"/>
  <c r="AY68" i="9" s="1"/>
  <c r="AN179" i="9"/>
  <c r="AO179" i="9" s="1"/>
  <c r="AS178" i="9"/>
  <c r="AT178" i="9" s="1"/>
  <c r="AN24" i="9"/>
  <c r="AX22" i="9"/>
  <c r="AY22" i="9" s="1"/>
  <c r="AS70" i="9"/>
  <c r="AX220" i="9"/>
  <c r="AY220" i="9" s="1"/>
  <c r="AS23" i="9"/>
  <c r="AT23" i="9" s="1"/>
  <c r="AN222" i="9"/>
  <c r="AO222" i="9" s="1"/>
  <c r="AG162" i="9"/>
  <c r="AH161" i="9"/>
  <c r="AL181" i="9"/>
  <c r="AM180" i="9"/>
  <c r="AL164" i="9"/>
  <c r="AM164" i="9" s="1"/>
  <c r="AM163" i="9"/>
  <c r="AN109" i="9"/>
  <c r="AO109" i="9" s="1"/>
  <c r="AV112" i="9"/>
  <c r="AW111" i="9"/>
  <c r="AV181" i="9"/>
  <c r="AW180" i="9"/>
  <c r="AN71" i="9"/>
  <c r="AO71" i="9" s="1"/>
  <c r="AV207" i="9"/>
  <c r="AW206" i="9"/>
  <c r="AI204" i="9"/>
  <c r="AL225" i="9"/>
  <c r="AM224" i="9"/>
  <c r="AG181" i="9"/>
  <c r="AH180" i="9"/>
  <c r="AI180" i="9" s="1"/>
  <c r="AV225" i="9"/>
  <c r="AW224" i="9"/>
  <c r="AT202" i="9"/>
  <c r="AX202" i="9"/>
  <c r="AY202" i="9" s="1"/>
  <c r="AG74" i="9"/>
  <c r="AH73" i="9"/>
  <c r="AS221" i="9"/>
  <c r="AT221" i="9" s="1"/>
  <c r="AQ225" i="9"/>
  <c r="AR224" i="9"/>
  <c r="AV27" i="9"/>
  <c r="AV28" i="9" s="1"/>
  <c r="AW26" i="9"/>
  <c r="AV74" i="9"/>
  <c r="AW73" i="9"/>
  <c r="AN159" i="9"/>
  <c r="AO159" i="9" s="1"/>
  <c r="AQ206" i="9"/>
  <c r="AR205" i="9"/>
  <c r="AV162" i="9"/>
  <c r="AW161" i="9"/>
  <c r="AL27" i="9"/>
  <c r="AL28" i="9" s="1"/>
  <c r="AM26" i="9"/>
  <c r="AQ183" i="9"/>
  <c r="AR182" i="9"/>
  <c r="AL112" i="9"/>
  <c r="AM111" i="9"/>
  <c r="AQ112" i="9"/>
  <c r="AR111" i="9"/>
  <c r="AN203" i="9"/>
  <c r="AO203" i="9" s="1"/>
  <c r="AQ162" i="9"/>
  <c r="AR161" i="9"/>
  <c r="AJ203" i="9"/>
  <c r="AQ29" i="9"/>
  <c r="AR28" i="9"/>
  <c r="AQ75" i="9"/>
  <c r="AQ76" i="9" s="1"/>
  <c r="AR74" i="9"/>
  <c r="AL74" i="9"/>
  <c r="AM73" i="9"/>
  <c r="AL206" i="9"/>
  <c r="AM205" i="9"/>
  <c r="AS158" i="9"/>
  <c r="AI223" i="9"/>
  <c r="AJ223" i="9" s="1"/>
  <c r="AI25" i="9"/>
  <c r="AJ25" i="9" s="1"/>
  <c r="AI160" i="9"/>
  <c r="AJ160" i="9" s="1"/>
  <c r="AI110" i="9"/>
  <c r="AJ110" i="9" s="1"/>
  <c r="AI72" i="9"/>
  <c r="AJ72" i="9" s="1"/>
  <c r="AG113" i="9"/>
  <c r="AG114" i="9" s="1"/>
  <c r="AH112" i="9"/>
  <c r="AG206" i="9"/>
  <c r="AH205" i="9"/>
  <c r="AI205" i="9" s="1"/>
  <c r="AG228" i="9"/>
  <c r="AH228" i="9" s="1"/>
  <c r="AH227" i="9"/>
  <c r="V223" i="9"/>
  <c r="V25" i="9"/>
  <c r="V160" i="9"/>
  <c r="V110" i="9"/>
  <c r="V72" i="9"/>
  <c r="V205" i="9"/>
  <c r="U223" i="9"/>
  <c r="U25" i="9"/>
  <c r="U160" i="9"/>
  <c r="U110" i="9"/>
  <c r="U72" i="9"/>
  <c r="U205" i="9"/>
  <c r="N223" i="9"/>
  <c r="CF223" i="9"/>
  <c r="N25" i="9"/>
  <c r="CF25" i="9"/>
  <c r="K27" i="9"/>
  <c r="K28" i="9" s="1"/>
  <c r="L26" i="9"/>
  <c r="K225" i="9"/>
  <c r="L224" i="9"/>
  <c r="N160" i="9"/>
  <c r="CF160" i="9"/>
  <c r="N180" i="9"/>
  <c r="CF180" i="9"/>
  <c r="N110" i="9"/>
  <c r="CF110" i="9"/>
  <c r="K162" i="9"/>
  <c r="L161" i="9"/>
  <c r="K182" i="9"/>
  <c r="L181" i="9"/>
  <c r="K112" i="9"/>
  <c r="L111" i="9"/>
  <c r="N72" i="9"/>
  <c r="CF72" i="9"/>
  <c r="K74" i="9"/>
  <c r="L73" i="9"/>
  <c r="N205" i="9"/>
  <c r="CF205" i="9"/>
  <c r="K207" i="9"/>
  <c r="L206" i="9"/>
  <c r="AX109" i="5"/>
  <c r="AY109" i="5" s="1"/>
  <c r="AS291" i="5"/>
  <c r="AT291" i="5" s="1"/>
  <c r="AS22" i="5"/>
  <c r="AT22" i="5" s="1"/>
  <c r="AX290" i="5"/>
  <c r="AY290" i="5" s="1"/>
  <c r="AX98" i="5"/>
  <c r="AY98" i="5" s="1"/>
  <c r="AS99" i="5"/>
  <c r="AT99" i="5" s="1"/>
  <c r="AX262" i="5"/>
  <c r="AY262" i="5" s="1"/>
  <c r="AX55" i="5"/>
  <c r="AY55" i="5" s="1"/>
  <c r="AX124" i="5"/>
  <c r="AY124" i="5" s="1"/>
  <c r="AS110" i="5"/>
  <c r="AT110" i="5" s="1"/>
  <c r="AS31" i="5"/>
  <c r="AT31" i="5" s="1"/>
  <c r="AS23" i="5"/>
  <c r="AT23" i="5" s="1"/>
  <c r="AS263" i="5"/>
  <c r="AT263" i="5" s="1"/>
  <c r="AS46" i="5"/>
  <c r="AT46" i="5" s="1"/>
  <c r="AX173" i="5"/>
  <c r="AY173" i="5" s="1"/>
  <c r="AX45" i="5"/>
  <c r="AY45" i="5" s="1"/>
  <c r="AJ100" i="5"/>
  <c r="AN100" i="5"/>
  <c r="AO100" i="5" s="1"/>
  <c r="AL294" i="5"/>
  <c r="AM293" i="5"/>
  <c r="AS145" i="5"/>
  <c r="AT145" i="5" s="1"/>
  <c r="AO174" i="5"/>
  <c r="AV89" i="5"/>
  <c r="AW88" i="5"/>
  <c r="AS125" i="5"/>
  <c r="AT125" i="5" s="1"/>
  <c r="AJ57" i="5"/>
  <c r="AN57" i="5"/>
  <c r="AO57" i="5" s="1"/>
  <c r="AX144" i="5"/>
  <c r="AY144" i="5" s="1"/>
  <c r="AG102" i="5"/>
  <c r="AH102" i="5" s="1"/>
  <c r="AI102" i="5" s="1"/>
  <c r="AH101" i="5"/>
  <c r="AI101" i="5" s="1"/>
  <c r="AJ58" i="5"/>
  <c r="AN58" i="5"/>
  <c r="AO58" i="5" s="1"/>
  <c r="AQ266" i="5"/>
  <c r="AR265" i="5"/>
  <c r="AJ146" i="5"/>
  <c r="AN146" i="5"/>
  <c r="AO146" i="5" s="1"/>
  <c r="AV102" i="5"/>
  <c r="AW102" i="5" s="1"/>
  <c r="AW101" i="5"/>
  <c r="AQ281" i="5"/>
  <c r="AR280" i="5"/>
  <c r="AQ177" i="5"/>
  <c r="AR176" i="5"/>
  <c r="AS56" i="5"/>
  <c r="AT56" i="5" s="1"/>
  <c r="AQ294" i="5"/>
  <c r="AR293" i="5"/>
  <c r="AG148" i="5"/>
  <c r="AH147" i="5"/>
  <c r="AI147" i="5" s="1"/>
  <c r="AL102" i="5"/>
  <c r="AM102" i="5" s="1"/>
  <c r="AM101" i="5"/>
  <c r="AQ128" i="5"/>
  <c r="AR127" i="5"/>
  <c r="AJ32" i="5"/>
  <c r="AN32" i="5"/>
  <c r="AO32" i="5" s="1"/>
  <c r="AQ113" i="5"/>
  <c r="AR113" i="5" s="1"/>
  <c r="AR112" i="5"/>
  <c r="AJ264" i="5"/>
  <c r="AN264" i="5"/>
  <c r="AO264" i="5" s="1"/>
  <c r="AS86" i="5"/>
  <c r="AJ33" i="5"/>
  <c r="AN33" i="5"/>
  <c r="AO33" i="5" s="1"/>
  <c r="AG266" i="5"/>
  <c r="AH265" i="5"/>
  <c r="AI265" i="5" s="1"/>
  <c r="AJ175" i="5"/>
  <c r="AN175" i="5"/>
  <c r="AO175" i="5" s="1"/>
  <c r="AV266" i="5"/>
  <c r="AW265" i="5"/>
  <c r="AG177" i="5"/>
  <c r="AH176" i="5"/>
  <c r="AI176" i="5" s="1"/>
  <c r="AX174" i="5"/>
  <c r="AY174" i="5" s="1"/>
  <c r="AX30" i="5"/>
  <c r="AY30" i="5" s="1"/>
  <c r="AL177" i="5"/>
  <c r="AM176" i="5"/>
  <c r="AL113" i="5"/>
  <c r="AM113" i="5" s="1"/>
  <c r="AM112" i="5"/>
  <c r="AJ292" i="5"/>
  <c r="AN292" i="5"/>
  <c r="AO292" i="5" s="1"/>
  <c r="AJ47" i="5"/>
  <c r="AN47" i="5"/>
  <c r="AO47" i="5" s="1"/>
  <c r="AV113" i="5"/>
  <c r="AW113" i="5" s="1"/>
  <c r="AW112" i="5"/>
  <c r="AV177" i="5"/>
  <c r="AW176" i="5"/>
  <c r="AJ111" i="5"/>
  <c r="AN111" i="5"/>
  <c r="AO111" i="5" s="1"/>
  <c r="AG294" i="5"/>
  <c r="AH293" i="5"/>
  <c r="AI293" i="5" s="1"/>
  <c r="AJ48" i="5"/>
  <c r="AN48" i="5"/>
  <c r="AO48" i="5" s="1"/>
  <c r="AQ89" i="5"/>
  <c r="AR88" i="5"/>
  <c r="AQ148" i="5"/>
  <c r="AR147" i="5"/>
  <c r="AJ87" i="5"/>
  <c r="AN87" i="5"/>
  <c r="AS87" i="5" s="1"/>
  <c r="AT87" i="5" s="1"/>
  <c r="AG113" i="5"/>
  <c r="AH113" i="5" s="1"/>
  <c r="AI113" i="5" s="1"/>
  <c r="AH112" i="5"/>
  <c r="AI112" i="5" s="1"/>
  <c r="AQ102" i="5"/>
  <c r="AR102" i="5" s="1"/>
  <c r="AR101" i="5"/>
  <c r="AL266" i="5"/>
  <c r="AM265" i="5"/>
  <c r="AL148" i="5"/>
  <c r="AM147" i="5"/>
  <c r="AV148" i="5"/>
  <c r="AW147" i="5"/>
  <c r="AG89" i="5"/>
  <c r="AH88" i="5"/>
  <c r="AI88" i="5" s="1"/>
  <c r="AV128" i="5"/>
  <c r="AW127" i="5"/>
  <c r="AV294" i="5"/>
  <c r="AW293" i="5"/>
  <c r="AJ126" i="5"/>
  <c r="AN126" i="5"/>
  <c r="AO126" i="5" s="1"/>
  <c r="AL128" i="5"/>
  <c r="AM127" i="5"/>
  <c r="AV281" i="5"/>
  <c r="AW280" i="5"/>
  <c r="AL281" i="5"/>
  <c r="AM280" i="5"/>
  <c r="AG128" i="5"/>
  <c r="AH127" i="5"/>
  <c r="AI127" i="5" s="1"/>
  <c r="AL89" i="5"/>
  <c r="AM88" i="5"/>
  <c r="AG281" i="5"/>
  <c r="AH280" i="5"/>
  <c r="AI280" i="5" s="1"/>
  <c r="AJ280" i="5" s="1"/>
  <c r="AO278" i="5"/>
  <c r="AT277" i="5"/>
  <c r="AX277" i="5"/>
  <c r="AY277" i="5" s="1"/>
  <c r="AS278" i="5"/>
  <c r="AT278" i="5" s="1"/>
  <c r="AN279" i="5"/>
  <c r="V280" i="5"/>
  <c r="U280" i="5"/>
  <c r="K282" i="5"/>
  <c r="L281" i="5"/>
  <c r="N280" i="5"/>
  <c r="CB280" i="5"/>
  <c r="T111" i="9"/>
  <c r="T224" i="9"/>
  <c r="T451" i="9"/>
  <c r="T161" i="9"/>
  <c r="T314" i="9"/>
  <c r="T206" i="9"/>
  <c r="T281" i="5"/>
  <c r="T181" i="9"/>
  <c r="T26" i="9"/>
  <c r="T73" i="9"/>
  <c r="AS355" i="9" l="1"/>
  <c r="AX355" i="9" s="1"/>
  <c r="AY355" i="9" s="1"/>
  <c r="AS448" i="9"/>
  <c r="AT448" i="9" s="1"/>
  <c r="V451" i="9"/>
  <c r="AI451" i="9"/>
  <c r="AJ451" i="9" s="1"/>
  <c r="W428" i="9"/>
  <c r="AS356" i="9"/>
  <c r="AT356" i="9" s="1"/>
  <c r="AS354" i="9"/>
  <c r="AT354" i="9" s="1"/>
  <c r="AX608" i="9"/>
  <c r="AY608" i="9" s="1"/>
  <c r="AS385" i="9"/>
  <c r="AT385" i="9" s="1"/>
  <c r="AN482" i="9"/>
  <c r="AO482" i="9" s="1"/>
  <c r="AS430" i="9"/>
  <c r="AT430" i="9" s="1"/>
  <c r="AJ356" i="9"/>
  <c r="AO610" i="9"/>
  <c r="V314" i="9"/>
  <c r="AQ316" i="9"/>
  <c r="AR315" i="9"/>
  <c r="AX464" i="9"/>
  <c r="AY464" i="9" s="1"/>
  <c r="AR641" i="9"/>
  <c r="AQ642" i="9"/>
  <c r="AR642" i="9" s="1"/>
  <c r="AX429" i="9"/>
  <c r="AY429" i="9" s="1"/>
  <c r="AS685" i="9"/>
  <c r="AT685" i="9" s="1"/>
  <c r="AX564" i="9"/>
  <c r="AY564" i="9" s="1"/>
  <c r="CF450" i="9"/>
  <c r="N450" i="9"/>
  <c r="AX683" i="9"/>
  <c r="AY683" i="9" s="1"/>
  <c r="AG360" i="9"/>
  <c r="AH359" i="9"/>
  <c r="AI359" i="9" s="1"/>
  <c r="AJ359" i="9" s="1"/>
  <c r="U451" i="9"/>
  <c r="CF451" i="9"/>
  <c r="N451" i="9"/>
  <c r="AS684" i="9"/>
  <c r="AT684" i="9" s="1"/>
  <c r="AS566" i="9"/>
  <c r="AV613" i="9"/>
  <c r="AW612" i="9"/>
  <c r="K571" i="9"/>
  <c r="K572" i="9" s="1"/>
  <c r="L570" i="9"/>
  <c r="AL613" i="9"/>
  <c r="AM612" i="9"/>
  <c r="AG570" i="9"/>
  <c r="AH569" i="9"/>
  <c r="AX445" i="9"/>
  <c r="AY445" i="9" s="1"/>
  <c r="U641" i="9"/>
  <c r="CF641" i="9"/>
  <c r="N641" i="9"/>
  <c r="AI641" i="9"/>
  <c r="AI568" i="9"/>
  <c r="AJ568" i="9" s="1"/>
  <c r="AS311" i="9"/>
  <c r="AT311" i="9" s="1"/>
  <c r="AX310" i="9"/>
  <c r="AY310" i="9" s="1"/>
  <c r="AN386" i="9"/>
  <c r="AO386" i="9" s="1"/>
  <c r="CF642" i="9"/>
  <c r="N642" i="9"/>
  <c r="U642" i="9"/>
  <c r="X623" i="9"/>
  <c r="AI642" i="9"/>
  <c r="AG614" i="9"/>
  <c r="AH613" i="9"/>
  <c r="AX610" i="9"/>
  <c r="AY610" i="9" s="1"/>
  <c r="AI612" i="9"/>
  <c r="AJ612" i="9" s="1"/>
  <c r="AS639" i="9"/>
  <c r="AT639" i="9" s="1"/>
  <c r="U611" i="9"/>
  <c r="CF611" i="9"/>
  <c r="N611" i="9"/>
  <c r="AM570" i="9"/>
  <c r="AL571" i="9"/>
  <c r="AL572" i="9" s="1"/>
  <c r="K613" i="9"/>
  <c r="L612" i="9"/>
  <c r="AN611" i="9"/>
  <c r="AS611" i="9" s="1"/>
  <c r="AT611" i="9" s="1"/>
  <c r="AR570" i="9"/>
  <c r="AQ571" i="9"/>
  <c r="AQ572" i="9" s="1"/>
  <c r="AW569" i="9"/>
  <c r="AV570" i="9"/>
  <c r="AQ613" i="9"/>
  <c r="AR612" i="9"/>
  <c r="AX638" i="9"/>
  <c r="AY638" i="9" s="1"/>
  <c r="AN567" i="9"/>
  <c r="AO567" i="9" s="1"/>
  <c r="AJ567" i="9"/>
  <c r="AN640" i="9"/>
  <c r="AO640" i="9" s="1"/>
  <c r="AV642" i="9"/>
  <c r="AW642" i="9" s="1"/>
  <c r="AW641" i="9"/>
  <c r="U569" i="9"/>
  <c r="CF569" i="9"/>
  <c r="N569" i="9"/>
  <c r="AJ640" i="9"/>
  <c r="W467" i="9"/>
  <c r="AN447" i="9"/>
  <c r="AO447" i="9" s="1"/>
  <c r="X296" i="9"/>
  <c r="AM391" i="9"/>
  <c r="AL392" i="9"/>
  <c r="AN388" i="9"/>
  <c r="AO388" i="9" s="1"/>
  <c r="CF390" i="9"/>
  <c r="N390" i="9"/>
  <c r="AJ388" i="9"/>
  <c r="AM315" i="9"/>
  <c r="AL316" i="9"/>
  <c r="L391" i="9"/>
  <c r="K392" i="9"/>
  <c r="AV362" i="9"/>
  <c r="AW361" i="9"/>
  <c r="AW315" i="9"/>
  <c r="AV316" i="9"/>
  <c r="W452" i="9"/>
  <c r="W339" i="9"/>
  <c r="CF358" i="9"/>
  <c r="N358" i="9"/>
  <c r="AG316" i="9"/>
  <c r="AH315" i="9"/>
  <c r="AI314" i="9"/>
  <c r="AJ314" i="9" s="1"/>
  <c r="AM359" i="9"/>
  <c r="AL360" i="9"/>
  <c r="AH391" i="9"/>
  <c r="AG392" i="9"/>
  <c r="AV392" i="9"/>
  <c r="AW391" i="9"/>
  <c r="AR359" i="9"/>
  <c r="AQ360" i="9"/>
  <c r="L315" i="9"/>
  <c r="K316" i="9"/>
  <c r="L359" i="9"/>
  <c r="K360" i="9"/>
  <c r="CF314" i="9"/>
  <c r="N314" i="9"/>
  <c r="U314" i="9"/>
  <c r="AR391" i="9"/>
  <c r="AQ392" i="9"/>
  <c r="AN313" i="9"/>
  <c r="AO313" i="9" s="1"/>
  <c r="AS387" i="9"/>
  <c r="AT387" i="9" s="1"/>
  <c r="AN432" i="9"/>
  <c r="AO432" i="9" s="1"/>
  <c r="AN431" i="9"/>
  <c r="V26" i="9"/>
  <c r="W296" i="9" s="1"/>
  <c r="AI26" i="9"/>
  <c r="AJ26" i="9" s="1"/>
  <c r="U26" i="9"/>
  <c r="AX108" i="9"/>
  <c r="AY108" i="9" s="1"/>
  <c r="V73" i="9"/>
  <c r="U73" i="9"/>
  <c r="AS179" i="9"/>
  <c r="AT179" i="9" s="1"/>
  <c r="AX178" i="9"/>
  <c r="AY178" i="9" s="1"/>
  <c r="AS109" i="9"/>
  <c r="AT109" i="9" s="1"/>
  <c r="AN160" i="9"/>
  <c r="AO160" i="9" s="1"/>
  <c r="AO24" i="9"/>
  <c r="AS24" i="9"/>
  <c r="AT24" i="9" s="1"/>
  <c r="AS222" i="9"/>
  <c r="AT222" i="9" s="1"/>
  <c r="AT70" i="9"/>
  <c r="AX70" i="9"/>
  <c r="AY70" i="9" s="1"/>
  <c r="AS203" i="9"/>
  <c r="AT203" i="9" s="1"/>
  <c r="AX23" i="9"/>
  <c r="AY23" i="9" s="1"/>
  <c r="AN205" i="9"/>
  <c r="AO205" i="9" s="1"/>
  <c r="AG75" i="9"/>
  <c r="AG76" i="9" s="1"/>
  <c r="AH74" i="9"/>
  <c r="AN204" i="9"/>
  <c r="AO204" i="9" s="1"/>
  <c r="AJ204" i="9"/>
  <c r="AN72" i="9"/>
  <c r="AO72" i="9" s="1"/>
  <c r="AL113" i="9"/>
  <c r="AL114" i="9" s="1"/>
  <c r="AM112" i="9"/>
  <c r="AV29" i="9"/>
  <c r="AW28" i="9"/>
  <c r="AV226" i="9"/>
  <c r="AW225" i="9"/>
  <c r="AV163" i="9"/>
  <c r="AW162" i="9"/>
  <c r="AQ207" i="9"/>
  <c r="AR206" i="9"/>
  <c r="AJ180" i="9"/>
  <c r="AN180" i="9"/>
  <c r="AS180" i="9" s="1"/>
  <c r="AT180" i="9" s="1"/>
  <c r="AN110" i="9"/>
  <c r="AO110" i="9" s="1"/>
  <c r="AT158" i="9"/>
  <c r="AX158" i="9"/>
  <c r="AY158" i="9" s="1"/>
  <c r="AQ184" i="9"/>
  <c r="AR183" i="9"/>
  <c r="AG182" i="9"/>
  <c r="AH181" i="9"/>
  <c r="AI181" i="9" s="1"/>
  <c r="AJ181" i="9" s="1"/>
  <c r="AS71" i="9"/>
  <c r="AT71" i="9" s="1"/>
  <c r="AV208" i="9"/>
  <c r="AW208" i="9" s="1"/>
  <c r="AW207" i="9"/>
  <c r="AL207" i="9"/>
  <c r="AM206" i="9"/>
  <c r="AJ205" i="9"/>
  <c r="AV182" i="9"/>
  <c r="AW181" i="9"/>
  <c r="AN25" i="9"/>
  <c r="AO25" i="9" s="1"/>
  <c r="AL75" i="9"/>
  <c r="AL76" i="9" s="1"/>
  <c r="AM74" i="9"/>
  <c r="AL226" i="9"/>
  <c r="AM225" i="9"/>
  <c r="AL182" i="9"/>
  <c r="AM181" i="9"/>
  <c r="AQ77" i="9"/>
  <c r="AR76" i="9"/>
  <c r="AV113" i="9"/>
  <c r="AV114" i="9" s="1"/>
  <c r="AW112" i="9"/>
  <c r="AN223" i="9"/>
  <c r="AO223" i="9" s="1"/>
  <c r="AQ226" i="9"/>
  <c r="AR225" i="9"/>
  <c r="AQ30" i="9"/>
  <c r="AR29" i="9"/>
  <c r="AQ163" i="9"/>
  <c r="AR162" i="9"/>
  <c r="AL29" i="9"/>
  <c r="AM28" i="9"/>
  <c r="AV75" i="9"/>
  <c r="AV76" i="9" s="1"/>
  <c r="AW74" i="9"/>
  <c r="AG163" i="9"/>
  <c r="AH162" i="9"/>
  <c r="AQ113" i="9"/>
  <c r="AQ114" i="9" s="1"/>
  <c r="AR112" i="9"/>
  <c r="AI73" i="9"/>
  <c r="AJ73" i="9" s="1"/>
  <c r="AX221" i="9"/>
  <c r="AY221" i="9" s="1"/>
  <c r="AS159" i="9"/>
  <c r="AI111" i="9"/>
  <c r="AJ111" i="9" s="1"/>
  <c r="AI224" i="9"/>
  <c r="AJ224" i="9" s="1"/>
  <c r="AI161" i="9"/>
  <c r="AJ161" i="9" s="1"/>
  <c r="AG207" i="9"/>
  <c r="AH206" i="9"/>
  <c r="AI206" i="9" s="1"/>
  <c r="AG115" i="9"/>
  <c r="AH114" i="9"/>
  <c r="V111" i="9"/>
  <c r="V181" i="9"/>
  <c r="V224" i="9"/>
  <c r="V161" i="9"/>
  <c r="V206" i="9"/>
  <c r="U111" i="9"/>
  <c r="U181" i="9"/>
  <c r="U224" i="9"/>
  <c r="U161" i="9"/>
  <c r="U206" i="9"/>
  <c r="N111" i="9"/>
  <c r="CF111" i="9"/>
  <c r="K113" i="9"/>
  <c r="K114" i="9" s="1"/>
  <c r="L112" i="9"/>
  <c r="N181" i="9"/>
  <c r="CF181" i="9"/>
  <c r="K183" i="9"/>
  <c r="L182" i="9"/>
  <c r="N224" i="9"/>
  <c r="CF224" i="9"/>
  <c r="N26" i="9"/>
  <c r="CF26" i="9"/>
  <c r="K226" i="9"/>
  <c r="L225" i="9"/>
  <c r="N161" i="9"/>
  <c r="CF161" i="9"/>
  <c r="K29" i="9"/>
  <c r="L28" i="9"/>
  <c r="K163" i="9"/>
  <c r="L162" i="9"/>
  <c r="N206" i="9"/>
  <c r="CF206" i="9"/>
  <c r="K208" i="9"/>
  <c r="L208" i="9" s="1"/>
  <c r="L207" i="9"/>
  <c r="N73" i="9"/>
  <c r="CF73" i="9"/>
  <c r="K75" i="9"/>
  <c r="K76" i="9" s="1"/>
  <c r="L74" i="9"/>
  <c r="AX99" i="5"/>
  <c r="AY99" i="5" s="1"/>
  <c r="AX263" i="5"/>
  <c r="AY263" i="5" s="1"/>
  <c r="AX110" i="5"/>
  <c r="AY110" i="5" s="1"/>
  <c r="AX291" i="5"/>
  <c r="AY291" i="5" s="1"/>
  <c r="AX22" i="5"/>
  <c r="AY22" i="5" s="1"/>
  <c r="AS146" i="5"/>
  <c r="AO87" i="5"/>
  <c r="AS126" i="5"/>
  <c r="AT126" i="5" s="1"/>
  <c r="AX56" i="5"/>
  <c r="AY56" i="5" s="1"/>
  <c r="AX278" i="5"/>
  <c r="AY278" i="5" s="1"/>
  <c r="AS47" i="5"/>
  <c r="AT47" i="5" s="1"/>
  <c r="AS264" i="5"/>
  <c r="AT264" i="5" s="1"/>
  <c r="AS57" i="5"/>
  <c r="AT57" i="5" s="1"/>
  <c r="AX87" i="5"/>
  <c r="AY87" i="5" s="1"/>
  <c r="AX23" i="5"/>
  <c r="AY23" i="5" s="1"/>
  <c r="AS111" i="5"/>
  <c r="AT111" i="5" s="1"/>
  <c r="AS32" i="5"/>
  <c r="AT32" i="5" s="1"/>
  <c r="AX31" i="5"/>
  <c r="AY31" i="5" s="1"/>
  <c r="AS33" i="5"/>
  <c r="AX46" i="5"/>
  <c r="AY46" i="5" s="1"/>
  <c r="AQ90" i="5"/>
  <c r="AR89" i="5"/>
  <c r="AS175" i="5"/>
  <c r="AJ147" i="5"/>
  <c r="AN147" i="5"/>
  <c r="AO147" i="5" s="1"/>
  <c r="AV90" i="5"/>
  <c r="AW89" i="5"/>
  <c r="AL282" i="5"/>
  <c r="AM281" i="5"/>
  <c r="AV295" i="5"/>
  <c r="AW294" i="5"/>
  <c r="AV178" i="5"/>
  <c r="AW177" i="5"/>
  <c r="AG149" i="5"/>
  <c r="AH148" i="5"/>
  <c r="AI148" i="5" s="1"/>
  <c r="AJ101" i="5"/>
  <c r="AN101" i="5"/>
  <c r="AO101" i="5" s="1"/>
  <c r="AL267" i="5"/>
  <c r="AM266" i="5"/>
  <c r="AJ112" i="5"/>
  <c r="AN112" i="5"/>
  <c r="AO112" i="5" s="1"/>
  <c r="AS48" i="5"/>
  <c r="AT48" i="5" s="1"/>
  <c r="AJ102" i="5"/>
  <c r="AN102" i="5"/>
  <c r="AO102" i="5" s="1"/>
  <c r="AQ282" i="5"/>
  <c r="AR281" i="5"/>
  <c r="AV129" i="5"/>
  <c r="AW128" i="5"/>
  <c r="AJ113" i="5"/>
  <c r="AN113" i="5"/>
  <c r="AO113" i="5" s="1"/>
  <c r="AJ265" i="5"/>
  <c r="AN265" i="5"/>
  <c r="AO265" i="5" s="1"/>
  <c r="AQ295" i="5"/>
  <c r="AR294" i="5"/>
  <c r="AL295" i="5"/>
  <c r="AM294" i="5"/>
  <c r="AG282" i="5"/>
  <c r="AH281" i="5"/>
  <c r="AI281" i="5" s="1"/>
  <c r="AJ281" i="5" s="1"/>
  <c r="AV282" i="5"/>
  <c r="AW281" i="5"/>
  <c r="AJ88" i="5"/>
  <c r="AN88" i="5"/>
  <c r="AO88" i="5" s="1"/>
  <c r="AL178" i="5"/>
  <c r="AM177" i="5"/>
  <c r="AG267" i="5"/>
  <c r="AH266" i="5"/>
  <c r="AI266" i="5" s="1"/>
  <c r="AG90" i="5"/>
  <c r="AH89" i="5"/>
  <c r="AI89" i="5" s="1"/>
  <c r="AL129" i="5"/>
  <c r="AM128" i="5"/>
  <c r="AG295" i="5"/>
  <c r="AH294" i="5"/>
  <c r="AI294" i="5" s="1"/>
  <c r="AS100" i="5"/>
  <c r="AT100" i="5" s="1"/>
  <c r="AJ293" i="5"/>
  <c r="AN293" i="5"/>
  <c r="AO293" i="5" s="1"/>
  <c r="AL90" i="5"/>
  <c r="AM89" i="5"/>
  <c r="AV149" i="5"/>
  <c r="AW148" i="5"/>
  <c r="AJ176" i="5"/>
  <c r="AN176" i="5"/>
  <c r="AO176" i="5" s="1"/>
  <c r="AQ178" i="5"/>
  <c r="AR177" i="5"/>
  <c r="AQ267" i="5"/>
  <c r="AR266" i="5"/>
  <c r="AJ127" i="5"/>
  <c r="AN127" i="5"/>
  <c r="AO127" i="5" s="1"/>
  <c r="AG178" i="5"/>
  <c r="AH177" i="5"/>
  <c r="AI177" i="5" s="1"/>
  <c r="AX125" i="5"/>
  <c r="AY125" i="5" s="1"/>
  <c r="AG129" i="5"/>
  <c r="AH128" i="5"/>
  <c r="AI128" i="5" s="1"/>
  <c r="AL149" i="5"/>
  <c r="AM148" i="5"/>
  <c r="AT86" i="5"/>
  <c r="AX86" i="5"/>
  <c r="AY86" i="5" s="1"/>
  <c r="AQ129" i="5"/>
  <c r="AR128" i="5"/>
  <c r="AQ149" i="5"/>
  <c r="AR148" i="5"/>
  <c r="AS292" i="5"/>
  <c r="AT292" i="5" s="1"/>
  <c r="AV267" i="5"/>
  <c r="AW266" i="5"/>
  <c r="AS58" i="5"/>
  <c r="AT58" i="5" s="1"/>
  <c r="AX145" i="5"/>
  <c r="AY145" i="5" s="1"/>
  <c r="AO279" i="5"/>
  <c r="AS279" i="5"/>
  <c r="AT279" i="5" s="1"/>
  <c r="AN280" i="5"/>
  <c r="AO280" i="5" s="1"/>
  <c r="V281" i="5"/>
  <c r="U281" i="5"/>
  <c r="N281" i="5"/>
  <c r="CB281" i="5"/>
  <c r="K283" i="5"/>
  <c r="L283" i="5" s="1"/>
  <c r="L282" i="5"/>
  <c r="T449" i="9"/>
  <c r="T282" i="5"/>
  <c r="T315" i="9"/>
  <c r="T112" i="9"/>
  <c r="T28" i="9"/>
  <c r="T207" i="9"/>
  <c r="T74" i="9"/>
  <c r="T162" i="9"/>
  <c r="T182" i="9"/>
  <c r="T358" i="9"/>
  <c r="T225" i="9"/>
  <c r="T283" i="5"/>
  <c r="T208" i="9"/>
  <c r="AT355" i="9" l="1"/>
  <c r="AN451" i="9"/>
  <c r="AO451" i="9" s="1"/>
  <c r="AX448" i="9"/>
  <c r="AY448" i="9" s="1"/>
  <c r="AX430" i="9"/>
  <c r="AY430" i="9" s="1"/>
  <c r="AX354" i="9"/>
  <c r="AY354" i="9" s="1"/>
  <c r="AX356" i="9"/>
  <c r="AY356" i="9" s="1"/>
  <c r="AS482" i="9"/>
  <c r="AT482" i="9" s="1"/>
  <c r="AX385" i="9"/>
  <c r="AY385" i="9" s="1"/>
  <c r="AX311" i="9"/>
  <c r="AY311" i="9" s="1"/>
  <c r="AS386" i="9"/>
  <c r="AT386" i="9" s="1"/>
  <c r="AX684" i="9"/>
  <c r="AY684" i="9" s="1"/>
  <c r="V315" i="9"/>
  <c r="AX685" i="9"/>
  <c r="AY685" i="9" s="1"/>
  <c r="AS567" i="9"/>
  <c r="AT567" i="9" s="1"/>
  <c r="AH360" i="9"/>
  <c r="AG361" i="9"/>
  <c r="AN359" i="9"/>
  <c r="AO359" i="9" s="1"/>
  <c r="AS640" i="9"/>
  <c r="AT640" i="9" s="1"/>
  <c r="AQ317" i="9"/>
  <c r="AR316" i="9"/>
  <c r="AX611" i="9"/>
  <c r="AY611" i="9" s="1"/>
  <c r="AN612" i="9"/>
  <c r="AO612" i="9" s="1"/>
  <c r="AI569" i="9"/>
  <c r="CF612" i="9"/>
  <c r="N612" i="9"/>
  <c r="U612" i="9"/>
  <c r="AH570" i="9"/>
  <c r="AG571" i="9"/>
  <c r="AG572" i="9" s="1"/>
  <c r="L613" i="9"/>
  <c r="K614" i="9"/>
  <c r="AI613" i="9"/>
  <c r="AN568" i="9"/>
  <c r="AO568" i="9" s="1"/>
  <c r="AL573" i="9"/>
  <c r="AM572" i="9"/>
  <c r="AH614" i="9"/>
  <c r="AG615" i="9"/>
  <c r="AQ614" i="9"/>
  <c r="AR613" i="9"/>
  <c r="AN642" i="9"/>
  <c r="AO642" i="9" s="1"/>
  <c r="AN641" i="9"/>
  <c r="AO641" i="9" s="1"/>
  <c r="AL614" i="9"/>
  <c r="AM613" i="9"/>
  <c r="AS313" i="9"/>
  <c r="AT313" i="9" s="1"/>
  <c r="AV571" i="9"/>
  <c r="AV572" i="9" s="1"/>
  <c r="AW570" i="9"/>
  <c r="AJ642" i="9"/>
  <c r="AJ641" i="9"/>
  <c r="AO611" i="9"/>
  <c r="CF570" i="9"/>
  <c r="N570" i="9"/>
  <c r="U570" i="9"/>
  <c r="X565" i="9"/>
  <c r="AR572" i="9"/>
  <c r="AQ573" i="9"/>
  <c r="K573" i="9"/>
  <c r="L572" i="9"/>
  <c r="AW613" i="9"/>
  <c r="AV614" i="9"/>
  <c r="AX639" i="9"/>
  <c r="AY639" i="9" s="1"/>
  <c r="AT566" i="9"/>
  <c r="AX566" i="9"/>
  <c r="AY566" i="9" s="1"/>
  <c r="AX387" i="9"/>
  <c r="AY387" i="9" s="1"/>
  <c r="AS447" i="9"/>
  <c r="V449" i="9"/>
  <c r="AI449" i="9"/>
  <c r="AJ449" i="9" s="1"/>
  <c r="U449" i="9"/>
  <c r="V358" i="9"/>
  <c r="AI358" i="9"/>
  <c r="AJ358" i="9" s="1"/>
  <c r="U358" i="9"/>
  <c r="X351" i="9"/>
  <c r="L316" i="9"/>
  <c r="K317" i="9"/>
  <c r="AQ361" i="9"/>
  <c r="AR360" i="9"/>
  <c r="AV317" i="9"/>
  <c r="AW316" i="9"/>
  <c r="K361" i="9"/>
  <c r="L360" i="9"/>
  <c r="AG393" i="9"/>
  <c r="AH392" i="9"/>
  <c r="L392" i="9"/>
  <c r="K393" i="9"/>
  <c r="AN314" i="9"/>
  <c r="AO314" i="9" s="1"/>
  <c r="AH316" i="9"/>
  <c r="AG317" i="9"/>
  <c r="CF391" i="9"/>
  <c r="N391" i="9"/>
  <c r="AS388" i="9"/>
  <c r="AT388" i="9" s="1"/>
  <c r="AR392" i="9"/>
  <c r="AQ393" i="9"/>
  <c r="CF359" i="9"/>
  <c r="N359" i="9"/>
  <c r="U359" i="9"/>
  <c r="AW392" i="9"/>
  <c r="AV393" i="9"/>
  <c r="AW362" i="9"/>
  <c r="AV363" i="9"/>
  <c r="AM316" i="9"/>
  <c r="AL317" i="9"/>
  <c r="AL393" i="9"/>
  <c r="AM392" i="9"/>
  <c r="AL361" i="9"/>
  <c r="AM360" i="9"/>
  <c r="AO431" i="9"/>
  <c r="AS431" i="9"/>
  <c r="AT431" i="9" s="1"/>
  <c r="U315" i="9"/>
  <c r="CF315" i="9"/>
  <c r="N315" i="9"/>
  <c r="AS432" i="9"/>
  <c r="AI315" i="9"/>
  <c r="AJ315" i="9" s="1"/>
  <c r="V283" i="5"/>
  <c r="U283" i="5"/>
  <c r="AN26" i="9"/>
  <c r="V74" i="9"/>
  <c r="W351" i="9" s="1"/>
  <c r="AX179" i="9"/>
  <c r="AY179" i="9" s="1"/>
  <c r="AX109" i="9"/>
  <c r="AY109" i="9" s="1"/>
  <c r="AS160" i="9"/>
  <c r="AT160" i="9" s="1"/>
  <c r="AN111" i="9"/>
  <c r="AO111" i="9" s="1"/>
  <c r="AX24" i="9"/>
  <c r="AY24" i="9" s="1"/>
  <c r="AX222" i="9"/>
  <c r="AY222" i="9" s="1"/>
  <c r="AN161" i="9"/>
  <c r="AO161" i="9" s="1"/>
  <c r="AN181" i="9"/>
  <c r="AO181" i="9" s="1"/>
  <c r="AO180" i="9"/>
  <c r="AN224" i="9"/>
  <c r="AO224" i="9" s="1"/>
  <c r="AX71" i="9"/>
  <c r="AY71" i="9" s="1"/>
  <c r="AX180" i="9"/>
  <c r="AY180" i="9" s="1"/>
  <c r="AX203" i="9"/>
  <c r="AY203" i="9" s="1"/>
  <c r="AN206" i="9"/>
  <c r="AO206" i="9" s="1"/>
  <c r="AT159" i="9"/>
  <c r="AX159" i="9"/>
  <c r="AY159" i="9" s="1"/>
  <c r="AQ115" i="9"/>
  <c r="AR114" i="9"/>
  <c r="AV77" i="9"/>
  <c r="AW76" i="9"/>
  <c r="AL227" i="9"/>
  <c r="AM226" i="9"/>
  <c r="AG77" i="9"/>
  <c r="AH76" i="9"/>
  <c r="AV115" i="9"/>
  <c r="AW114" i="9"/>
  <c r="AL208" i="9"/>
  <c r="AM208" i="9" s="1"/>
  <c r="AM207" i="9"/>
  <c r="AG183" i="9"/>
  <c r="AH182" i="9"/>
  <c r="AI182" i="9" s="1"/>
  <c r="AJ182" i="9" s="1"/>
  <c r="AL115" i="9"/>
  <c r="AM114" i="9"/>
  <c r="AL77" i="9"/>
  <c r="AM76" i="9"/>
  <c r="AS223" i="9"/>
  <c r="AT223" i="9" s="1"/>
  <c r="AQ78" i="9"/>
  <c r="AR77" i="9"/>
  <c r="AG164" i="9"/>
  <c r="AH164" i="9" s="1"/>
  <c r="AH163" i="9"/>
  <c r="AL30" i="9"/>
  <c r="AM29" i="9"/>
  <c r="AQ227" i="9"/>
  <c r="AR226" i="9"/>
  <c r="AS72" i="9"/>
  <c r="AQ185" i="9"/>
  <c r="AR184" i="9"/>
  <c r="AS110" i="9"/>
  <c r="AQ164" i="9"/>
  <c r="AR164" i="9" s="1"/>
  <c r="AR163" i="9"/>
  <c r="AL183" i="9"/>
  <c r="AM182" i="9"/>
  <c r="AV183" i="9"/>
  <c r="AW182" i="9"/>
  <c r="AS25" i="9"/>
  <c r="AV227" i="9"/>
  <c r="AW226" i="9"/>
  <c r="AJ206" i="9"/>
  <c r="AQ31" i="9"/>
  <c r="AR30" i="9"/>
  <c r="AQ208" i="9"/>
  <c r="AR208" i="9" s="1"/>
  <c r="AR207" i="9"/>
  <c r="AN73" i="9"/>
  <c r="AO73" i="9" s="1"/>
  <c r="AS204" i="9"/>
  <c r="AV164" i="9"/>
  <c r="AW164" i="9" s="1"/>
  <c r="AW163" i="9"/>
  <c r="AV30" i="9"/>
  <c r="AW29" i="9"/>
  <c r="AI74" i="9"/>
  <c r="AJ74" i="9" s="1"/>
  <c r="AS205" i="9"/>
  <c r="AT205" i="9" s="1"/>
  <c r="AI225" i="9"/>
  <c r="AJ225" i="9" s="1"/>
  <c r="AI28" i="9"/>
  <c r="AJ28" i="9" s="1"/>
  <c r="AI112" i="9"/>
  <c r="AJ112" i="9" s="1"/>
  <c r="AI162" i="9"/>
  <c r="AJ162" i="9" s="1"/>
  <c r="AG116" i="9"/>
  <c r="AH115" i="9"/>
  <c r="AG208" i="9"/>
  <c r="AH208" i="9" s="1"/>
  <c r="AI208" i="9" s="1"/>
  <c r="AH207" i="9"/>
  <c r="AI207" i="9" s="1"/>
  <c r="U74" i="9"/>
  <c r="X69" i="9"/>
  <c r="V225" i="9"/>
  <c r="V28" i="9"/>
  <c r="V112" i="9"/>
  <c r="W372" i="9" s="1"/>
  <c r="V182" i="9"/>
  <c r="V207" i="9"/>
  <c r="V162" i="9"/>
  <c r="V208" i="9"/>
  <c r="U225" i="9"/>
  <c r="U28" i="9"/>
  <c r="U112" i="9"/>
  <c r="U182" i="9"/>
  <c r="U207" i="9"/>
  <c r="U162" i="9"/>
  <c r="U208" i="9"/>
  <c r="N207" i="9"/>
  <c r="CF207" i="9"/>
  <c r="N162" i="9"/>
  <c r="CF162" i="9"/>
  <c r="K184" i="9"/>
  <c r="L183" i="9"/>
  <c r="N208" i="9"/>
  <c r="CF208" i="9"/>
  <c r="N225" i="9"/>
  <c r="CF225" i="9"/>
  <c r="K227" i="9"/>
  <c r="L226" i="9"/>
  <c r="N74" i="9"/>
  <c r="CF74" i="9"/>
  <c r="N28" i="9"/>
  <c r="CF28" i="9"/>
  <c r="K77" i="9"/>
  <c r="L76" i="9"/>
  <c r="K30" i="9"/>
  <c r="L29" i="9"/>
  <c r="N112" i="9"/>
  <c r="CF112" i="9"/>
  <c r="K115" i="9"/>
  <c r="L114" i="9"/>
  <c r="N182" i="9"/>
  <c r="CF182" i="9"/>
  <c r="K164" i="9"/>
  <c r="L164" i="9" s="1"/>
  <c r="L163" i="9"/>
  <c r="AS101" i="5"/>
  <c r="AT101" i="5" s="1"/>
  <c r="AS127" i="5"/>
  <c r="AT127" i="5" s="1"/>
  <c r="AS88" i="5"/>
  <c r="AT88" i="5" s="1"/>
  <c r="AX264" i="5"/>
  <c r="AY264" i="5" s="1"/>
  <c r="AS176" i="5"/>
  <c r="AT176" i="5" s="1"/>
  <c r="AX126" i="5"/>
  <c r="AY126" i="5" s="1"/>
  <c r="AS102" i="5"/>
  <c r="AT102" i="5" s="1"/>
  <c r="AX48" i="5"/>
  <c r="AY48" i="5" s="1"/>
  <c r="AX146" i="5"/>
  <c r="AY146" i="5" s="1"/>
  <c r="AT146" i="5"/>
  <c r="AX47" i="5"/>
  <c r="AY47" i="5" s="1"/>
  <c r="AS265" i="5"/>
  <c r="AT265" i="5" s="1"/>
  <c r="AT33" i="5"/>
  <c r="AX33" i="5"/>
  <c r="AY33" i="5" s="1"/>
  <c r="AX58" i="5"/>
  <c r="AY58" i="5" s="1"/>
  <c r="AX111" i="5"/>
  <c r="AY111" i="5" s="1"/>
  <c r="AX57" i="5"/>
  <c r="AY57" i="5" s="1"/>
  <c r="AX32" i="5"/>
  <c r="AY32" i="5" s="1"/>
  <c r="AG179" i="5"/>
  <c r="AH178" i="5"/>
  <c r="AI178" i="5" s="1"/>
  <c r="AG268" i="5"/>
  <c r="AH267" i="5"/>
  <c r="AI267" i="5" s="1"/>
  <c r="AL296" i="5"/>
  <c r="AM295" i="5"/>
  <c r="AV130" i="5"/>
  <c r="AW129" i="5"/>
  <c r="AV296" i="5"/>
  <c r="AW295" i="5"/>
  <c r="AL268" i="5"/>
  <c r="AM267" i="5"/>
  <c r="AQ130" i="5"/>
  <c r="AR129" i="5"/>
  <c r="AJ294" i="5"/>
  <c r="AN294" i="5"/>
  <c r="AO294" i="5" s="1"/>
  <c r="AL179" i="5"/>
  <c r="AM178" i="5"/>
  <c r="AQ296" i="5"/>
  <c r="AR295" i="5"/>
  <c r="AQ283" i="5"/>
  <c r="AR283" i="5" s="1"/>
  <c r="AR282" i="5"/>
  <c r="AL283" i="5"/>
  <c r="AM283" i="5" s="1"/>
  <c r="AM282" i="5"/>
  <c r="AG296" i="5"/>
  <c r="AH295" i="5"/>
  <c r="AI295" i="5" s="1"/>
  <c r="AV91" i="5"/>
  <c r="AW91" i="5" s="1"/>
  <c r="AW90" i="5"/>
  <c r="AX292" i="5"/>
  <c r="AY292" i="5" s="1"/>
  <c r="AL130" i="5"/>
  <c r="AM129" i="5"/>
  <c r="AL91" i="5"/>
  <c r="AM91" i="5" s="1"/>
  <c r="AM90" i="5"/>
  <c r="AJ89" i="5"/>
  <c r="AN89" i="5"/>
  <c r="AO89" i="5" s="1"/>
  <c r="AJ148" i="5"/>
  <c r="AN148" i="5"/>
  <c r="AO148" i="5" s="1"/>
  <c r="AS147" i="5"/>
  <c r="AV150" i="5"/>
  <c r="AW149" i="5"/>
  <c r="AG150" i="5"/>
  <c r="AH149" i="5"/>
  <c r="AI149" i="5" s="1"/>
  <c r="AL150" i="5"/>
  <c r="AM149" i="5"/>
  <c r="AG91" i="5"/>
  <c r="AH91" i="5" s="1"/>
  <c r="AI91" i="5" s="1"/>
  <c r="AH90" i="5"/>
  <c r="AI90" i="5" s="1"/>
  <c r="AV268" i="5"/>
  <c r="AW267" i="5"/>
  <c r="AJ128" i="5"/>
  <c r="AN128" i="5"/>
  <c r="AO128" i="5" s="1"/>
  <c r="AQ268" i="5"/>
  <c r="AR267" i="5"/>
  <c r="AS293" i="5"/>
  <c r="AT293" i="5" s="1"/>
  <c r="AX100" i="5"/>
  <c r="AY100" i="5" s="1"/>
  <c r="AV283" i="5"/>
  <c r="AW283" i="5" s="1"/>
  <c r="AW282" i="5"/>
  <c r="AS113" i="5"/>
  <c r="AT113" i="5" s="1"/>
  <c r="AG130" i="5"/>
  <c r="AH129" i="5"/>
  <c r="AI129" i="5" s="1"/>
  <c r="AV179" i="5"/>
  <c r="AW178" i="5"/>
  <c r="AT175" i="5"/>
  <c r="AX175" i="5"/>
  <c r="AY175" i="5" s="1"/>
  <c r="AQ179" i="5"/>
  <c r="AR178" i="5"/>
  <c r="AG283" i="5"/>
  <c r="AH283" i="5" s="1"/>
  <c r="AI283" i="5" s="1"/>
  <c r="AH282" i="5"/>
  <c r="AS112" i="5"/>
  <c r="AT112" i="5" s="1"/>
  <c r="AQ150" i="5"/>
  <c r="AR149" i="5"/>
  <c r="AJ177" i="5"/>
  <c r="AN177" i="5"/>
  <c r="AO177" i="5" s="1"/>
  <c r="AJ266" i="5"/>
  <c r="AN266" i="5"/>
  <c r="AO266" i="5" s="1"/>
  <c r="AQ91" i="5"/>
  <c r="AR91" i="5" s="1"/>
  <c r="AR90" i="5"/>
  <c r="AX279" i="5"/>
  <c r="AY279" i="5" s="1"/>
  <c r="AS280" i="5"/>
  <c r="AT280" i="5" s="1"/>
  <c r="AN281" i="5"/>
  <c r="AO281" i="5" s="1"/>
  <c r="AI282" i="5"/>
  <c r="AJ282" i="5" s="1"/>
  <c r="X271" i="5"/>
  <c r="V282" i="5"/>
  <c r="U282" i="5"/>
  <c r="N282" i="5"/>
  <c r="CB282" i="5"/>
  <c r="N283" i="5"/>
  <c r="CB283" i="5"/>
  <c r="T390" i="9"/>
  <c r="T226" i="9"/>
  <c r="T76" i="9"/>
  <c r="T316" i="9"/>
  <c r="T183" i="9"/>
  <c r="T450" i="9"/>
  <c r="T163" i="9"/>
  <c r="T392" i="9"/>
  <c r="T164" i="9"/>
  <c r="T29" i="9"/>
  <c r="T114" i="9"/>
  <c r="V392" i="9" l="1"/>
  <c r="V316" i="9"/>
  <c r="AS451" i="9"/>
  <c r="AT451" i="9" s="1"/>
  <c r="AX482" i="9"/>
  <c r="AY482" i="9" s="1"/>
  <c r="AS642" i="9"/>
  <c r="AT642" i="9" s="1"/>
  <c r="AX567" i="9"/>
  <c r="AY567" i="9" s="1"/>
  <c r="AX386" i="9"/>
  <c r="AY386" i="9" s="1"/>
  <c r="AS359" i="9"/>
  <c r="AX359" i="9" s="1"/>
  <c r="AY359" i="9" s="1"/>
  <c r="AS612" i="9"/>
  <c r="AQ318" i="9"/>
  <c r="AR317" i="9"/>
  <c r="AX640" i="9"/>
  <c r="AY640" i="9" s="1"/>
  <c r="AH361" i="9"/>
  <c r="AG362" i="9"/>
  <c r="AS641" i="9"/>
  <c r="AT641" i="9" s="1"/>
  <c r="AG573" i="9"/>
  <c r="AH572" i="9"/>
  <c r="AL574" i="9"/>
  <c r="AM573" i="9"/>
  <c r="AI570" i="9"/>
  <c r="AS568" i="9"/>
  <c r="AW614" i="9"/>
  <c r="AV615" i="9"/>
  <c r="CF572" i="9"/>
  <c r="N572" i="9"/>
  <c r="U572" i="9"/>
  <c r="AV573" i="9"/>
  <c r="AW572" i="9"/>
  <c r="K574" i="9"/>
  <c r="L573" i="9"/>
  <c r="AQ615" i="9"/>
  <c r="AR614" i="9"/>
  <c r="AN613" i="9"/>
  <c r="AN569" i="9"/>
  <c r="AO569" i="9" s="1"/>
  <c r="AQ574" i="9"/>
  <c r="AR573" i="9"/>
  <c r="AJ613" i="9"/>
  <c r="AJ569" i="9"/>
  <c r="AX313" i="9"/>
  <c r="AY313" i="9" s="1"/>
  <c r="K615" i="9"/>
  <c r="L614" i="9"/>
  <c r="AL615" i="9"/>
  <c r="AM614" i="9"/>
  <c r="AG616" i="9"/>
  <c r="AH615" i="9"/>
  <c r="CF613" i="9"/>
  <c r="N613" i="9"/>
  <c r="U613" i="9"/>
  <c r="AI614" i="9"/>
  <c r="AT447" i="9"/>
  <c r="AX447" i="9"/>
  <c r="AY447" i="9" s="1"/>
  <c r="V390" i="9"/>
  <c r="AI390" i="9"/>
  <c r="AJ390" i="9" s="1"/>
  <c r="U390" i="9"/>
  <c r="V450" i="9"/>
  <c r="W433" i="9" s="1"/>
  <c r="AI450" i="9"/>
  <c r="AJ450" i="9" s="1"/>
  <c r="U450" i="9"/>
  <c r="X372" i="9"/>
  <c r="X433" i="9"/>
  <c r="L393" i="9"/>
  <c r="K394" i="9"/>
  <c r="AV318" i="9"/>
  <c r="AW317" i="9"/>
  <c r="AV364" i="9"/>
  <c r="AW363" i="9"/>
  <c r="U392" i="9"/>
  <c r="N392" i="9"/>
  <c r="CF392" i="9"/>
  <c r="AQ362" i="9"/>
  <c r="AR361" i="9"/>
  <c r="AV394" i="9"/>
  <c r="AW393" i="9"/>
  <c r="AG318" i="9"/>
  <c r="AH317" i="9"/>
  <c r="AI392" i="9"/>
  <c r="AJ392" i="9" s="1"/>
  <c r="AI316" i="9"/>
  <c r="AG394" i="9"/>
  <c r="AH393" i="9"/>
  <c r="AN358" i="9"/>
  <c r="AO358" i="9" s="1"/>
  <c r="AN315" i="9"/>
  <c r="AO315" i="9" s="1"/>
  <c r="AM361" i="9"/>
  <c r="AL362" i="9"/>
  <c r="AS314" i="9"/>
  <c r="AT432" i="9"/>
  <c r="AX432" i="9"/>
  <c r="AY432" i="9" s="1"/>
  <c r="AX388" i="9"/>
  <c r="AY388" i="9" s="1"/>
  <c r="AL394" i="9"/>
  <c r="AM393" i="9"/>
  <c r="K318" i="9"/>
  <c r="L317" i="9"/>
  <c r="AL318" i="9"/>
  <c r="AM317" i="9"/>
  <c r="AR393" i="9"/>
  <c r="AQ394" i="9"/>
  <c r="CF360" i="9"/>
  <c r="N360" i="9"/>
  <c r="U316" i="9"/>
  <c r="CF316" i="9"/>
  <c r="N316" i="9"/>
  <c r="L361" i="9"/>
  <c r="K362" i="9"/>
  <c r="AX431" i="9"/>
  <c r="AY431" i="9" s="1"/>
  <c r="AN449" i="9"/>
  <c r="AO449" i="9" s="1"/>
  <c r="W271" i="5"/>
  <c r="AO26" i="9"/>
  <c r="AS26" i="9"/>
  <c r="AN208" i="9"/>
  <c r="AO208" i="9" s="1"/>
  <c r="AI29" i="9"/>
  <c r="AJ29" i="9" s="1"/>
  <c r="V29" i="9"/>
  <c r="U29" i="9"/>
  <c r="W69" i="9"/>
  <c r="AN162" i="9"/>
  <c r="AO162" i="9" s="1"/>
  <c r="AS206" i="9"/>
  <c r="AT206" i="9" s="1"/>
  <c r="AS224" i="9"/>
  <c r="AT224" i="9" s="1"/>
  <c r="AX160" i="9"/>
  <c r="AY160" i="9" s="1"/>
  <c r="AS73" i="9"/>
  <c r="AT73" i="9" s="1"/>
  <c r="AS111" i="9"/>
  <c r="AS161" i="9"/>
  <c r="AT161" i="9" s="1"/>
  <c r="AS181" i="9"/>
  <c r="AT181" i="9" s="1"/>
  <c r="AX223" i="9"/>
  <c r="AY223" i="9" s="1"/>
  <c r="AN112" i="9"/>
  <c r="AO112" i="9" s="1"/>
  <c r="AX205" i="9"/>
  <c r="AY205" i="9" s="1"/>
  <c r="AN207" i="9"/>
  <c r="AQ186" i="9"/>
  <c r="AR185" i="9"/>
  <c r="AJ207" i="9"/>
  <c r="AN182" i="9"/>
  <c r="AO182" i="9" s="1"/>
  <c r="AQ32" i="9"/>
  <c r="AR31" i="9"/>
  <c r="AT72" i="9"/>
  <c r="AX72" i="9"/>
  <c r="AY72" i="9" s="1"/>
  <c r="AL116" i="9"/>
  <c r="AM115" i="9"/>
  <c r="AJ208" i="9"/>
  <c r="AV78" i="9"/>
  <c r="AW77" i="9"/>
  <c r="AT25" i="9"/>
  <c r="AX25" i="9"/>
  <c r="AY25" i="9" s="1"/>
  <c r="AQ228" i="9"/>
  <c r="AR228" i="9" s="1"/>
  <c r="AR227" i="9"/>
  <c r="AV228" i="9"/>
  <c r="AW228" i="9" s="1"/>
  <c r="AW227" i="9"/>
  <c r="AG78" i="9"/>
  <c r="AH77" i="9"/>
  <c r="AQ116" i="9"/>
  <c r="AR115" i="9"/>
  <c r="AN28" i="9"/>
  <c r="AO28" i="9" s="1"/>
  <c r="AT204" i="9"/>
  <c r="AX204" i="9"/>
  <c r="AY204" i="9" s="1"/>
  <c r="AT110" i="9"/>
  <c r="AX110" i="9"/>
  <c r="AY110" i="9" s="1"/>
  <c r="AG184" i="9"/>
  <c r="AH183" i="9"/>
  <c r="AI183" i="9" s="1"/>
  <c r="AJ183" i="9" s="1"/>
  <c r="AL31" i="9"/>
  <c r="AM30" i="9"/>
  <c r="AN225" i="9"/>
  <c r="AO225" i="9" s="1"/>
  <c r="AN74" i="9"/>
  <c r="AO74" i="9" s="1"/>
  <c r="AV184" i="9"/>
  <c r="AW183" i="9"/>
  <c r="AQ79" i="9"/>
  <c r="AR78" i="9"/>
  <c r="AL78" i="9"/>
  <c r="AM77" i="9"/>
  <c r="AL228" i="9"/>
  <c r="AM228" i="9" s="1"/>
  <c r="AM227" i="9"/>
  <c r="AV31" i="9"/>
  <c r="AW30" i="9"/>
  <c r="AL184" i="9"/>
  <c r="AM183" i="9"/>
  <c r="AV116" i="9"/>
  <c r="AW115" i="9"/>
  <c r="AI163" i="9"/>
  <c r="AJ163" i="9" s="1"/>
  <c r="AI76" i="9"/>
  <c r="AJ76" i="9" s="1"/>
  <c r="AI164" i="9"/>
  <c r="AJ164" i="9" s="1"/>
  <c r="AI226" i="9"/>
  <c r="AJ226" i="9" s="1"/>
  <c r="AI114" i="9"/>
  <c r="AJ114" i="9" s="1"/>
  <c r="AG117" i="9"/>
  <c r="AH116" i="9"/>
  <c r="V163" i="9"/>
  <c r="V76" i="9"/>
  <c r="V183" i="9"/>
  <c r="V164" i="9"/>
  <c r="V226" i="9"/>
  <c r="V114" i="9"/>
  <c r="U163" i="9"/>
  <c r="U76" i="9"/>
  <c r="U183" i="9"/>
  <c r="U164" i="9"/>
  <c r="U226" i="9"/>
  <c r="U114" i="9"/>
  <c r="N29" i="9"/>
  <c r="CF29" i="9"/>
  <c r="K31" i="9"/>
  <c r="L30" i="9"/>
  <c r="N163" i="9"/>
  <c r="CF163" i="9"/>
  <c r="N76" i="9"/>
  <c r="CF76" i="9"/>
  <c r="N183" i="9"/>
  <c r="CF183" i="9"/>
  <c r="N164" i="9"/>
  <c r="CF164" i="9"/>
  <c r="K78" i="9"/>
  <c r="L77" i="9"/>
  <c r="K185" i="9"/>
  <c r="L184" i="9"/>
  <c r="N226" i="9"/>
  <c r="CF226" i="9"/>
  <c r="K228" i="9"/>
  <c r="L228" i="9" s="1"/>
  <c r="L227" i="9"/>
  <c r="N114" i="9"/>
  <c r="CF114" i="9"/>
  <c r="K116" i="9"/>
  <c r="L115" i="9"/>
  <c r="AX101" i="5"/>
  <c r="AY101" i="5" s="1"/>
  <c r="AX176" i="5"/>
  <c r="AY176" i="5" s="1"/>
  <c r="AX88" i="5"/>
  <c r="AY88" i="5" s="1"/>
  <c r="AX127" i="5"/>
  <c r="AY127" i="5" s="1"/>
  <c r="AS294" i="5"/>
  <c r="AT294" i="5" s="1"/>
  <c r="AX265" i="5"/>
  <c r="AY265" i="5" s="1"/>
  <c r="AX102" i="5"/>
  <c r="AY102" i="5" s="1"/>
  <c r="AX112" i="5"/>
  <c r="AY112" i="5" s="1"/>
  <c r="AS266" i="5"/>
  <c r="AT266" i="5" s="1"/>
  <c r="AS177" i="5"/>
  <c r="AT177" i="5" s="1"/>
  <c r="AS128" i="5"/>
  <c r="AT128" i="5" s="1"/>
  <c r="AX113" i="5"/>
  <c r="AY113" i="5" s="1"/>
  <c r="AQ131" i="5"/>
  <c r="AR130" i="5"/>
  <c r="AJ129" i="5"/>
  <c r="AN129" i="5"/>
  <c r="AO129" i="5" s="1"/>
  <c r="AG131" i="5"/>
  <c r="AH130" i="5"/>
  <c r="AI130" i="5" s="1"/>
  <c r="AV151" i="5"/>
  <c r="AW150" i="5"/>
  <c r="AL269" i="5"/>
  <c r="AM268" i="5"/>
  <c r="AL131" i="5"/>
  <c r="AM130" i="5"/>
  <c r="AV269" i="5"/>
  <c r="AW268" i="5"/>
  <c r="AQ297" i="5"/>
  <c r="AR296" i="5"/>
  <c r="AV297" i="5"/>
  <c r="AW296" i="5"/>
  <c r="AT147" i="5"/>
  <c r="AX147" i="5"/>
  <c r="AY147" i="5" s="1"/>
  <c r="AJ90" i="5"/>
  <c r="AN90" i="5"/>
  <c r="AO90" i="5" s="1"/>
  <c r="AS148" i="5"/>
  <c r="AT148" i="5" s="1"/>
  <c r="AJ91" i="5"/>
  <c r="AN91" i="5"/>
  <c r="AO91" i="5" s="1"/>
  <c r="AL180" i="5"/>
  <c r="AM179" i="5"/>
  <c r="AJ283" i="5"/>
  <c r="AN283" i="5"/>
  <c r="AO283" i="5" s="1"/>
  <c r="AX293" i="5"/>
  <c r="AY293" i="5" s="1"/>
  <c r="AV131" i="5"/>
  <c r="AW130" i="5"/>
  <c r="AQ180" i="5"/>
  <c r="AR179" i="5"/>
  <c r="AJ295" i="5"/>
  <c r="AN295" i="5"/>
  <c r="AL151" i="5"/>
  <c r="AM150" i="5"/>
  <c r="AS89" i="5"/>
  <c r="AT89" i="5" s="1"/>
  <c r="AG297" i="5"/>
  <c r="AH296" i="5"/>
  <c r="AI296" i="5" s="1"/>
  <c r="AL297" i="5"/>
  <c r="AM296" i="5"/>
  <c r="AQ269" i="5"/>
  <c r="AR268" i="5"/>
  <c r="AJ149" i="5"/>
  <c r="AN149" i="5"/>
  <c r="AO149" i="5" s="1"/>
  <c r="AJ267" i="5"/>
  <c r="AN267" i="5"/>
  <c r="AO267" i="5" s="1"/>
  <c r="AG151" i="5"/>
  <c r="AH150" i="5"/>
  <c r="AI150" i="5" s="1"/>
  <c r="AG269" i="5"/>
  <c r="AH268" i="5"/>
  <c r="AI268" i="5" s="1"/>
  <c r="AQ151" i="5"/>
  <c r="AR150" i="5"/>
  <c r="AJ178" i="5"/>
  <c r="AN178" i="5"/>
  <c r="AO178" i="5" s="1"/>
  <c r="AS281" i="5"/>
  <c r="AT281" i="5" s="1"/>
  <c r="AV180" i="5"/>
  <c r="AW179" i="5"/>
  <c r="AG180" i="5"/>
  <c r="AH179" i="5"/>
  <c r="AI179" i="5" s="1"/>
  <c r="AX280" i="5"/>
  <c r="AY280" i="5" s="1"/>
  <c r="AN282" i="5"/>
  <c r="AO282" i="5" s="1"/>
  <c r="T77" i="9"/>
  <c r="T227" i="9"/>
  <c r="T391" i="9"/>
  <c r="T184" i="9"/>
  <c r="T360" i="9"/>
  <c r="T115" i="9"/>
  <c r="T317" i="9"/>
  <c r="T228" i="9"/>
  <c r="T30" i="9"/>
  <c r="V317" i="9" l="1"/>
  <c r="AX451" i="9"/>
  <c r="AY451" i="9" s="1"/>
  <c r="AX642" i="9"/>
  <c r="AY642" i="9" s="1"/>
  <c r="AT359" i="9"/>
  <c r="AX612" i="9"/>
  <c r="AY612" i="9" s="1"/>
  <c r="AT612" i="9"/>
  <c r="AG363" i="9"/>
  <c r="AH362" i="9"/>
  <c r="AQ319" i="9"/>
  <c r="AR318" i="9"/>
  <c r="AX641" i="9"/>
  <c r="AY641" i="9" s="1"/>
  <c r="AR615" i="9"/>
  <c r="AQ616" i="9"/>
  <c r="AT568" i="9"/>
  <c r="AX568" i="9"/>
  <c r="AY568" i="9" s="1"/>
  <c r="CF573" i="9"/>
  <c r="U573" i="9"/>
  <c r="N573" i="9"/>
  <c r="L574" i="9"/>
  <c r="K575" i="9"/>
  <c r="AI615" i="9"/>
  <c r="AQ575" i="9"/>
  <c r="AR574" i="9"/>
  <c r="AN570" i="9"/>
  <c r="AO570" i="9" s="1"/>
  <c r="AH616" i="9"/>
  <c r="AG617" i="9"/>
  <c r="AG618" i="9" s="1"/>
  <c r="AW573" i="9"/>
  <c r="AV574" i="9"/>
  <c r="AJ570" i="9"/>
  <c r="AL616" i="9"/>
  <c r="AM615" i="9"/>
  <c r="AS569" i="9"/>
  <c r="AL575" i="9"/>
  <c r="AM574" i="9"/>
  <c r="CF614" i="9"/>
  <c r="N614" i="9"/>
  <c r="U614" i="9"/>
  <c r="AI572" i="9"/>
  <c r="K616" i="9"/>
  <c r="L615" i="9"/>
  <c r="AS613" i="9"/>
  <c r="AT613" i="9" s="1"/>
  <c r="AG574" i="9"/>
  <c r="AH573" i="9"/>
  <c r="AN614" i="9"/>
  <c r="AO614" i="9" s="1"/>
  <c r="AO613" i="9"/>
  <c r="AW615" i="9"/>
  <c r="AV616" i="9"/>
  <c r="AJ614" i="9"/>
  <c r="AN450" i="9"/>
  <c r="AO450" i="9" s="1"/>
  <c r="AS358" i="9"/>
  <c r="AT358" i="9" s="1"/>
  <c r="AI391" i="9"/>
  <c r="AJ391" i="9" s="1"/>
  <c r="V391" i="9"/>
  <c r="U391" i="9"/>
  <c r="V360" i="9"/>
  <c r="AI360" i="9"/>
  <c r="AJ360" i="9" s="1"/>
  <c r="U360" i="9"/>
  <c r="AN390" i="9"/>
  <c r="AO390" i="9" s="1"/>
  <c r="AS315" i="9"/>
  <c r="AR394" i="9"/>
  <c r="AQ395" i="9"/>
  <c r="AI317" i="9"/>
  <c r="AG319" i="9"/>
  <c r="AH318" i="9"/>
  <c r="L362" i="9"/>
  <c r="K363" i="9"/>
  <c r="AT314" i="9"/>
  <c r="AX314" i="9"/>
  <c r="AY314" i="9" s="1"/>
  <c r="AW364" i="9"/>
  <c r="AV365" i="9"/>
  <c r="AV366" i="9" s="1"/>
  <c r="N361" i="9"/>
  <c r="CF361" i="9"/>
  <c r="AM318" i="9"/>
  <c r="AL319" i="9"/>
  <c r="AL363" i="9"/>
  <c r="AM362" i="9"/>
  <c r="AH394" i="9"/>
  <c r="AG395" i="9"/>
  <c r="AW394" i="9"/>
  <c r="AV395" i="9"/>
  <c r="AM394" i="9"/>
  <c r="AL395" i="9"/>
  <c r="AN316" i="9"/>
  <c r="AO316" i="9" s="1"/>
  <c r="AV319" i="9"/>
  <c r="AW318" i="9"/>
  <c r="U317" i="9"/>
  <c r="CF317" i="9"/>
  <c r="N317" i="9"/>
  <c r="AJ316" i="9"/>
  <c r="K395" i="9"/>
  <c r="L394" i="9"/>
  <c r="L318" i="9"/>
  <c r="K319" i="9"/>
  <c r="CF393" i="9"/>
  <c r="N393" i="9"/>
  <c r="AQ363" i="9"/>
  <c r="AR362" i="9"/>
  <c r="AS449" i="9"/>
  <c r="AT449" i="9" s="1"/>
  <c r="AN392" i="9"/>
  <c r="AO392" i="9" s="1"/>
  <c r="AS208" i="9"/>
  <c r="AT208" i="9" s="1"/>
  <c r="V77" i="9"/>
  <c r="AT26" i="9"/>
  <c r="AX26" i="9"/>
  <c r="AY26" i="9" s="1"/>
  <c r="U77" i="9"/>
  <c r="AN29" i="9"/>
  <c r="AS182" i="9"/>
  <c r="AT182" i="9" s="1"/>
  <c r="AX181" i="9"/>
  <c r="AY181" i="9" s="1"/>
  <c r="AX206" i="9"/>
  <c r="AY206" i="9" s="1"/>
  <c r="AS162" i="9"/>
  <c r="AT162" i="9" s="1"/>
  <c r="AX224" i="9"/>
  <c r="AY224" i="9" s="1"/>
  <c r="AX161" i="9"/>
  <c r="AY161" i="9" s="1"/>
  <c r="AX73" i="9"/>
  <c r="AY73" i="9" s="1"/>
  <c r="AN226" i="9"/>
  <c r="AO226" i="9" s="1"/>
  <c r="AN76" i="9"/>
  <c r="AO76" i="9" s="1"/>
  <c r="AT111" i="9"/>
  <c r="AX111" i="9"/>
  <c r="AY111" i="9" s="1"/>
  <c r="W157" i="9"/>
  <c r="AS112" i="9"/>
  <c r="AT112" i="9" s="1"/>
  <c r="AN163" i="9"/>
  <c r="AL79" i="9"/>
  <c r="AM78" i="9"/>
  <c r="AN114" i="9"/>
  <c r="AO114" i="9" s="1"/>
  <c r="AQ80" i="9"/>
  <c r="AR79" i="9"/>
  <c r="AL117" i="9"/>
  <c r="AM116" i="9"/>
  <c r="AL185" i="9"/>
  <c r="AM184" i="9"/>
  <c r="AL32" i="9"/>
  <c r="AM31" i="9"/>
  <c r="AV185" i="9"/>
  <c r="AW184" i="9"/>
  <c r="AV79" i="9"/>
  <c r="AW78" i="9"/>
  <c r="AQ187" i="9"/>
  <c r="AR186" i="9"/>
  <c r="AV117" i="9"/>
  <c r="AW116" i="9"/>
  <c r="AV32" i="9"/>
  <c r="AW31" i="9"/>
  <c r="AS225" i="9"/>
  <c r="AN164" i="9"/>
  <c r="AG185" i="9"/>
  <c r="AH184" i="9"/>
  <c r="AI184" i="9" s="1"/>
  <c r="AJ184" i="9" s="1"/>
  <c r="AQ117" i="9"/>
  <c r="AR116" i="9"/>
  <c r="AO207" i="9"/>
  <c r="AS207" i="9"/>
  <c r="AN183" i="9"/>
  <c r="AS183" i="9" s="1"/>
  <c r="AT183" i="9" s="1"/>
  <c r="AI77" i="9"/>
  <c r="AJ77" i="9" s="1"/>
  <c r="AS74" i="9"/>
  <c r="AT74" i="9" s="1"/>
  <c r="AG79" i="9"/>
  <c r="AH78" i="9"/>
  <c r="AS28" i="9"/>
  <c r="AT28" i="9" s="1"/>
  <c r="AQ33" i="9"/>
  <c r="AR32" i="9"/>
  <c r="AI30" i="9"/>
  <c r="AJ30" i="9" s="1"/>
  <c r="AI227" i="9"/>
  <c r="AJ227" i="9" s="1"/>
  <c r="AI228" i="9"/>
  <c r="AJ228" i="9" s="1"/>
  <c r="AI115" i="9"/>
  <c r="AJ115" i="9" s="1"/>
  <c r="AG118" i="9"/>
  <c r="AH117" i="9"/>
  <c r="X144" i="9"/>
  <c r="X96" i="9"/>
  <c r="X11" i="9"/>
  <c r="X57" i="9"/>
  <c r="X157" i="9"/>
  <c r="X209" i="9"/>
  <c r="X190" i="9"/>
  <c r="V184" i="9"/>
  <c r="V30" i="9"/>
  <c r="V227" i="9"/>
  <c r="V228" i="9"/>
  <c r="V115" i="9"/>
  <c r="U184" i="9"/>
  <c r="U30" i="9"/>
  <c r="U227" i="9"/>
  <c r="U228" i="9"/>
  <c r="U115" i="9"/>
  <c r="N184" i="9"/>
  <c r="CF184" i="9"/>
  <c r="N30" i="9"/>
  <c r="CF30" i="9"/>
  <c r="K186" i="9"/>
  <c r="L185" i="9"/>
  <c r="K32" i="9"/>
  <c r="L31" i="9"/>
  <c r="N227" i="9"/>
  <c r="CF227" i="9"/>
  <c r="N228" i="9"/>
  <c r="CF228" i="9"/>
  <c r="N77" i="9"/>
  <c r="CF77" i="9"/>
  <c r="N115" i="9"/>
  <c r="CF115" i="9"/>
  <c r="K79" i="9"/>
  <c r="L78" i="9"/>
  <c r="K117" i="9"/>
  <c r="L116" i="9"/>
  <c r="AX281" i="5"/>
  <c r="AY281" i="5" s="1"/>
  <c r="AS178" i="5"/>
  <c r="AT178" i="5" s="1"/>
  <c r="AX128" i="5"/>
  <c r="AY128" i="5" s="1"/>
  <c r="AX294" i="5"/>
  <c r="AY294" i="5" s="1"/>
  <c r="AX177" i="5"/>
  <c r="AY177" i="5" s="1"/>
  <c r="AX266" i="5"/>
  <c r="AY266" i="5" s="1"/>
  <c r="AS149" i="5"/>
  <c r="AT149" i="5" s="1"/>
  <c r="AS295" i="5"/>
  <c r="AT295" i="5" s="1"/>
  <c r="AS90" i="5"/>
  <c r="AV181" i="5"/>
  <c r="AW180" i="5"/>
  <c r="AL298" i="5"/>
  <c r="AM298" i="5" s="1"/>
  <c r="AM297" i="5"/>
  <c r="AS91" i="5"/>
  <c r="AT91" i="5" s="1"/>
  <c r="AV152" i="5"/>
  <c r="AW151" i="5"/>
  <c r="AS267" i="5"/>
  <c r="AJ296" i="5"/>
  <c r="AN296" i="5"/>
  <c r="AO296" i="5" s="1"/>
  <c r="AQ181" i="5"/>
  <c r="AR180" i="5"/>
  <c r="AV298" i="5"/>
  <c r="AW298" i="5" s="1"/>
  <c r="AW297" i="5"/>
  <c r="AJ130" i="5"/>
  <c r="AN130" i="5"/>
  <c r="AO130" i="5" s="1"/>
  <c r="AG132" i="5"/>
  <c r="AH131" i="5"/>
  <c r="AI131" i="5" s="1"/>
  <c r="AQ298" i="5"/>
  <c r="AR298" i="5" s="1"/>
  <c r="AR297" i="5"/>
  <c r="AG298" i="5"/>
  <c r="AH298" i="5" s="1"/>
  <c r="AI298" i="5" s="1"/>
  <c r="AH297" i="5"/>
  <c r="AI297" i="5" s="1"/>
  <c r="AV132" i="5"/>
  <c r="AW131" i="5"/>
  <c r="AX148" i="5"/>
  <c r="AY148" i="5" s="1"/>
  <c r="AS129" i="5"/>
  <c r="AL152" i="5"/>
  <c r="AM151" i="5"/>
  <c r="AV270" i="5"/>
  <c r="AW270" i="5" s="1"/>
  <c r="AW269" i="5"/>
  <c r="AJ179" i="5"/>
  <c r="AN179" i="5"/>
  <c r="AO179" i="5" s="1"/>
  <c r="AO295" i="5"/>
  <c r="AQ152" i="5"/>
  <c r="AR151" i="5"/>
  <c r="AS283" i="5"/>
  <c r="AT283" i="5" s="1"/>
  <c r="AG181" i="5"/>
  <c r="AH180" i="5"/>
  <c r="AI180" i="5" s="1"/>
  <c r="AQ132" i="5"/>
  <c r="AR131" i="5"/>
  <c r="AJ268" i="5"/>
  <c r="AN268" i="5"/>
  <c r="AO268" i="5" s="1"/>
  <c r="AL132" i="5"/>
  <c r="AM131" i="5"/>
  <c r="AG270" i="5"/>
  <c r="AH270" i="5" s="1"/>
  <c r="AI270" i="5" s="1"/>
  <c r="AH269" i="5"/>
  <c r="AI269" i="5" s="1"/>
  <c r="AJ150" i="5"/>
  <c r="AN150" i="5"/>
  <c r="AQ270" i="5"/>
  <c r="AR270" i="5" s="1"/>
  <c r="AR269" i="5"/>
  <c r="AL270" i="5"/>
  <c r="AM270" i="5" s="1"/>
  <c r="AM269" i="5"/>
  <c r="AG152" i="5"/>
  <c r="AH151" i="5"/>
  <c r="AI151" i="5" s="1"/>
  <c r="AX89" i="5"/>
  <c r="AY89" i="5" s="1"/>
  <c r="AL181" i="5"/>
  <c r="AM180" i="5"/>
  <c r="AS282" i="5"/>
  <c r="AT282" i="5" s="1"/>
  <c r="T31" i="9"/>
  <c r="T116" i="9"/>
  <c r="T318" i="9"/>
  <c r="T361" i="9"/>
  <c r="T78" i="9"/>
  <c r="T185" i="9"/>
  <c r="V318" i="9" l="1"/>
  <c r="AX358" i="9"/>
  <c r="AY358" i="9" s="1"/>
  <c r="AQ320" i="9"/>
  <c r="AR319" i="9"/>
  <c r="AS390" i="9"/>
  <c r="AT390" i="9" s="1"/>
  <c r="AG364" i="9"/>
  <c r="AH363" i="9"/>
  <c r="AV575" i="9"/>
  <c r="AW574" i="9"/>
  <c r="K576" i="9"/>
  <c r="L575" i="9"/>
  <c r="AG619" i="9"/>
  <c r="AH618" i="9"/>
  <c r="U574" i="9"/>
  <c r="CF574" i="9"/>
  <c r="N574" i="9"/>
  <c r="AI616" i="9"/>
  <c r="AS614" i="9"/>
  <c r="AT614" i="9" s="1"/>
  <c r="AI573" i="9"/>
  <c r="AH574" i="9"/>
  <c r="AG575" i="9"/>
  <c r="AL576" i="9"/>
  <c r="AM575" i="9"/>
  <c r="AS570" i="9"/>
  <c r="AT569" i="9"/>
  <c r="AX569" i="9"/>
  <c r="AY569" i="9" s="1"/>
  <c r="U615" i="9"/>
  <c r="CF615" i="9"/>
  <c r="N615" i="9"/>
  <c r="AQ617" i="9"/>
  <c r="AQ618" i="9" s="1"/>
  <c r="AR616" i="9"/>
  <c r="K617" i="9"/>
  <c r="K618" i="9" s="1"/>
  <c r="L616" i="9"/>
  <c r="AM616" i="9"/>
  <c r="AL617" i="9"/>
  <c r="AL618" i="9" s="1"/>
  <c r="AR575" i="9"/>
  <c r="AQ576" i="9"/>
  <c r="AN572" i="9"/>
  <c r="AO572" i="9" s="1"/>
  <c r="AN615" i="9"/>
  <c r="AO615" i="9" s="1"/>
  <c r="AV617" i="9"/>
  <c r="AV618" i="9" s="1"/>
  <c r="AW616" i="9"/>
  <c r="AJ572" i="9"/>
  <c r="AJ615" i="9"/>
  <c r="AX613" i="9"/>
  <c r="AY613" i="9" s="1"/>
  <c r="AN391" i="9"/>
  <c r="AO391" i="9" s="1"/>
  <c r="AS450" i="9"/>
  <c r="AT450" i="9" s="1"/>
  <c r="AS316" i="9"/>
  <c r="AT316" i="9" s="1"/>
  <c r="V361" i="9"/>
  <c r="AI361" i="9"/>
  <c r="AJ361" i="9" s="1"/>
  <c r="U361" i="9"/>
  <c r="AW319" i="9"/>
  <c r="AV320" i="9"/>
  <c r="L319" i="9"/>
  <c r="K320" i="9"/>
  <c r="AG396" i="9"/>
  <c r="AH395" i="9"/>
  <c r="AR363" i="9"/>
  <c r="AQ364" i="9"/>
  <c r="CF318" i="9"/>
  <c r="N318" i="9"/>
  <c r="U318" i="9"/>
  <c r="AI394" i="9"/>
  <c r="AJ394" i="9" s="1"/>
  <c r="AN317" i="9"/>
  <c r="AO317" i="9" s="1"/>
  <c r="U394" i="9"/>
  <c r="CF394" i="9"/>
  <c r="N394" i="9"/>
  <c r="AJ317" i="9"/>
  <c r="AN360" i="9"/>
  <c r="L395" i="9"/>
  <c r="K396" i="9"/>
  <c r="AM363" i="9"/>
  <c r="AL364" i="9"/>
  <c r="AQ396" i="9"/>
  <c r="AR395" i="9"/>
  <c r="AM319" i="9"/>
  <c r="AL320" i="9"/>
  <c r="L363" i="9"/>
  <c r="K364" i="9"/>
  <c r="CF362" i="9"/>
  <c r="N362" i="9"/>
  <c r="AT315" i="9"/>
  <c r="AX315" i="9"/>
  <c r="AY315" i="9" s="1"/>
  <c r="AS392" i="9"/>
  <c r="AM395" i="9"/>
  <c r="AL396" i="9"/>
  <c r="AX449" i="9"/>
  <c r="AY449" i="9" s="1"/>
  <c r="AI318" i="9"/>
  <c r="AV396" i="9"/>
  <c r="AW395" i="9"/>
  <c r="AV367" i="9"/>
  <c r="AW366" i="9"/>
  <c r="AG320" i="9"/>
  <c r="AH319" i="9"/>
  <c r="V31" i="9"/>
  <c r="AI31" i="9"/>
  <c r="AJ31" i="9" s="1"/>
  <c r="U31" i="9"/>
  <c r="AX208" i="9"/>
  <c r="AY208" i="9" s="1"/>
  <c r="AO29" i="9"/>
  <c r="AS29" i="9"/>
  <c r="AS226" i="9"/>
  <c r="AT226" i="9" s="1"/>
  <c r="AN115" i="9"/>
  <c r="AO115" i="9" s="1"/>
  <c r="AX182" i="9"/>
  <c r="AY182" i="9" s="1"/>
  <c r="AX162" i="9"/>
  <c r="AY162" i="9" s="1"/>
  <c r="AN227" i="9"/>
  <c r="AO227" i="9" s="1"/>
  <c r="AS76" i="9"/>
  <c r="AT76" i="9" s="1"/>
  <c r="AX74" i="9"/>
  <c r="AY74" i="9" s="1"/>
  <c r="AN30" i="9"/>
  <c r="AO30" i="9" s="1"/>
  <c r="AN184" i="9"/>
  <c r="AO184" i="9" s="1"/>
  <c r="AX28" i="9"/>
  <c r="AY28" i="9" s="1"/>
  <c r="AS114" i="9"/>
  <c r="AT114" i="9" s="1"/>
  <c r="AN228" i="9"/>
  <c r="AO228" i="9" s="1"/>
  <c r="AX112" i="9"/>
  <c r="AY112" i="9" s="1"/>
  <c r="AQ34" i="9"/>
  <c r="AR33" i="9"/>
  <c r="AG80" i="9"/>
  <c r="AH79" i="9"/>
  <c r="AN77" i="9"/>
  <c r="AO77" i="9" s="1"/>
  <c r="AO183" i="9"/>
  <c r="AX183" i="9"/>
  <c r="AY183" i="9" s="1"/>
  <c r="AT207" i="9"/>
  <c r="AX207" i="9"/>
  <c r="AY207" i="9" s="1"/>
  <c r="AQ118" i="9"/>
  <c r="AR117" i="9"/>
  <c r="AG186" i="9"/>
  <c r="AH185" i="9"/>
  <c r="AI185" i="9" s="1"/>
  <c r="AO164" i="9"/>
  <c r="AS164" i="9"/>
  <c r="AT164" i="9" s="1"/>
  <c r="AT225" i="9"/>
  <c r="AX225" i="9"/>
  <c r="AY225" i="9" s="1"/>
  <c r="AV33" i="9"/>
  <c r="AW32" i="9"/>
  <c r="AV118" i="9"/>
  <c r="AW117" i="9"/>
  <c r="AQ188" i="9"/>
  <c r="AR187" i="9"/>
  <c r="AV80" i="9"/>
  <c r="AW79" i="9"/>
  <c r="AV186" i="9"/>
  <c r="AW185" i="9"/>
  <c r="AL33" i="9"/>
  <c r="AM32" i="9"/>
  <c r="AL186" i="9"/>
  <c r="AM185" i="9"/>
  <c r="AL118" i="9"/>
  <c r="AM117" i="9"/>
  <c r="AQ81" i="9"/>
  <c r="AR80" i="9"/>
  <c r="AL80" i="9"/>
  <c r="AM79" i="9"/>
  <c r="AO163" i="9"/>
  <c r="AS163" i="9"/>
  <c r="AT163" i="9" s="1"/>
  <c r="AI116" i="9"/>
  <c r="AJ116" i="9" s="1"/>
  <c r="AI78" i="9"/>
  <c r="AJ78" i="9" s="1"/>
  <c r="AG119" i="9"/>
  <c r="AH118" i="9"/>
  <c r="W11" i="9"/>
  <c r="W144" i="9"/>
  <c r="W96" i="9"/>
  <c r="W57" i="9"/>
  <c r="W190" i="9"/>
  <c r="W209" i="9"/>
  <c r="V116" i="9"/>
  <c r="V78" i="9"/>
  <c r="V185" i="9"/>
  <c r="U116" i="9"/>
  <c r="U78" i="9"/>
  <c r="U185" i="9"/>
  <c r="K80" i="9"/>
  <c r="L79" i="9"/>
  <c r="K187" i="9"/>
  <c r="L186" i="9"/>
  <c r="N78" i="9"/>
  <c r="CF78" i="9"/>
  <c r="N185" i="9"/>
  <c r="CF185" i="9"/>
  <c r="N116" i="9"/>
  <c r="CF116" i="9"/>
  <c r="K118" i="9"/>
  <c r="L117" i="9"/>
  <c r="N31" i="9"/>
  <c r="CF31" i="9"/>
  <c r="K33" i="9"/>
  <c r="L32" i="9"/>
  <c r="AX178" i="5"/>
  <c r="AY178" i="5" s="1"/>
  <c r="AS268" i="5"/>
  <c r="AT268" i="5" s="1"/>
  <c r="AT90" i="5"/>
  <c r="AX90" i="5"/>
  <c r="AY90" i="5" s="1"/>
  <c r="AS296" i="5"/>
  <c r="AX283" i="5"/>
  <c r="AY283" i="5" s="1"/>
  <c r="AX149" i="5"/>
  <c r="AY149" i="5" s="1"/>
  <c r="AS130" i="5"/>
  <c r="AT130" i="5" s="1"/>
  <c r="AX295" i="5"/>
  <c r="AY295" i="5" s="1"/>
  <c r="AG133" i="5"/>
  <c r="AH132" i="5"/>
  <c r="AI132" i="5" s="1"/>
  <c r="AT267" i="5"/>
  <c r="AX267" i="5"/>
  <c r="AY267" i="5" s="1"/>
  <c r="AJ180" i="5"/>
  <c r="AN180" i="5"/>
  <c r="AO180" i="5" s="1"/>
  <c r="AJ131" i="5"/>
  <c r="AN131" i="5"/>
  <c r="AS131" i="5" s="1"/>
  <c r="AT131" i="5" s="1"/>
  <c r="AJ269" i="5"/>
  <c r="AN269" i="5"/>
  <c r="AO269" i="5" s="1"/>
  <c r="AL153" i="5"/>
  <c r="AM152" i="5"/>
  <c r="AJ270" i="5"/>
  <c r="AN270" i="5"/>
  <c r="AO270" i="5" s="1"/>
  <c r="AT129" i="5"/>
  <c r="AX129" i="5"/>
  <c r="AY129" i="5" s="1"/>
  <c r="AJ151" i="5"/>
  <c r="AN151" i="5"/>
  <c r="AO151" i="5" s="1"/>
  <c r="AQ153" i="5"/>
  <c r="AR152" i="5"/>
  <c r="AG153" i="5"/>
  <c r="AH152" i="5"/>
  <c r="AI152" i="5" s="1"/>
  <c r="AL133" i="5"/>
  <c r="AM132" i="5"/>
  <c r="AO150" i="5"/>
  <c r="AV153" i="5"/>
  <c r="AW152" i="5"/>
  <c r="AS150" i="5"/>
  <c r="AT150" i="5" s="1"/>
  <c r="AQ133" i="5"/>
  <c r="AR132" i="5"/>
  <c r="AS179" i="5"/>
  <c r="AV133" i="5"/>
  <c r="AW132" i="5"/>
  <c r="AX91" i="5"/>
  <c r="AY91" i="5" s="1"/>
  <c r="AG182" i="5"/>
  <c r="AH181" i="5"/>
  <c r="AI181" i="5" s="1"/>
  <c r="AL182" i="5"/>
  <c r="AM181" i="5"/>
  <c r="AJ297" i="5"/>
  <c r="AN297" i="5"/>
  <c r="AO297" i="5" s="1"/>
  <c r="AJ298" i="5"/>
  <c r="AN298" i="5"/>
  <c r="AO298" i="5" s="1"/>
  <c r="AQ182" i="5"/>
  <c r="AR181" i="5"/>
  <c r="AV182" i="5"/>
  <c r="AW181" i="5"/>
  <c r="AX282" i="5"/>
  <c r="AY282" i="5" s="1"/>
  <c r="T362" i="9"/>
  <c r="T393" i="9"/>
  <c r="T117" i="9"/>
  <c r="T363" i="9"/>
  <c r="T319" i="9"/>
  <c r="T32" i="9"/>
  <c r="T79" i="9"/>
  <c r="T186" i="9"/>
  <c r="V319" i="9" l="1"/>
  <c r="V363" i="9"/>
  <c r="AX316" i="9"/>
  <c r="AY316" i="9" s="1"/>
  <c r="AS615" i="9"/>
  <c r="AT615" i="9" s="1"/>
  <c r="AX390" i="9"/>
  <c r="AY390" i="9" s="1"/>
  <c r="AS391" i="9"/>
  <c r="AT391" i="9" s="1"/>
  <c r="AI363" i="9"/>
  <c r="AJ363" i="9" s="1"/>
  <c r="AH364" i="9"/>
  <c r="AG365" i="9"/>
  <c r="AG366" i="9" s="1"/>
  <c r="AS572" i="9"/>
  <c r="AT572" i="9" s="1"/>
  <c r="AQ321" i="9"/>
  <c r="AR320" i="9"/>
  <c r="AV619" i="9"/>
  <c r="AW618" i="9"/>
  <c r="AT570" i="9"/>
  <c r="AX570" i="9"/>
  <c r="AY570" i="9" s="1"/>
  <c r="CF616" i="9"/>
  <c r="N616" i="9"/>
  <c r="U616" i="9"/>
  <c r="X609" i="9"/>
  <c r="L618" i="9"/>
  <c r="K619" i="9"/>
  <c r="AM576" i="9"/>
  <c r="AL577" i="9"/>
  <c r="AL578" i="9" s="1"/>
  <c r="AH575" i="9"/>
  <c r="AG576" i="9"/>
  <c r="AI618" i="9"/>
  <c r="AR618" i="9"/>
  <c r="AQ619" i="9"/>
  <c r="AI574" i="9"/>
  <c r="AJ574" i="9" s="1"/>
  <c r="AG620" i="9"/>
  <c r="AH619" i="9"/>
  <c r="AN573" i="9"/>
  <c r="AO573" i="9" s="1"/>
  <c r="U575" i="9"/>
  <c r="CF575" i="9"/>
  <c r="N575" i="9"/>
  <c r="AX614" i="9"/>
  <c r="AY614" i="9" s="1"/>
  <c r="AX450" i="9"/>
  <c r="AY450" i="9" s="1"/>
  <c r="AJ573" i="9"/>
  <c r="K577" i="9"/>
  <c r="K578" i="9" s="1"/>
  <c r="L576" i="9"/>
  <c r="AM618" i="9"/>
  <c r="AL619" i="9"/>
  <c r="AR576" i="9"/>
  <c r="AQ577" i="9"/>
  <c r="AQ578" i="9" s="1"/>
  <c r="AN616" i="9"/>
  <c r="AO616" i="9" s="1"/>
  <c r="AJ616" i="9"/>
  <c r="AV576" i="9"/>
  <c r="AW575" i="9"/>
  <c r="AN31" i="9"/>
  <c r="AO31" i="9" s="1"/>
  <c r="AS317" i="9"/>
  <c r="AT317" i="9" s="1"/>
  <c r="V362" i="9"/>
  <c r="AI362" i="9"/>
  <c r="AJ362" i="9" s="1"/>
  <c r="U362" i="9"/>
  <c r="V393" i="9"/>
  <c r="AI393" i="9"/>
  <c r="AJ393" i="9" s="1"/>
  <c r="U393" i="9"/>
  <c r="AQ397" i="9"/>
  <c r="AQ398" i="9" s="1"/>
  <c r="AR396" i="9"/>
  <c r="AQ365" i="9"/>
  <c r="AQ366" i="9" s="1"/>
  <c r="AR364" i="9"/>
  <c r="CF363" i="9"/>
  <c r="N363" i="9"/>
  <c r="U363" i="9"/>
  <c r="AN318" i="9"/>
  <c r="AO318" i="9" s="1"/>
  <c r="AV321" i="9"/>
  <c r="AW320" i="9"/>
  <c r="AJ318" i="9"/>
  <c r="K365" i="9"/>
  <c r="K366" i="9" s="1"/>
  <c r="L364" i="9"/>
  <c r="AM364" i="9"/>
  <c r="AL365" i="9"/>
  <c r="AL366" i="9" s="1"/>
  <c r="AI319" i="9"/>
  <c r="AJ319" i="9" s="1"/>
  <c r="AH396" i="9"/>
  <c r="AG397" i="9"/>
  <c r="AG398" i="9" s="1"/>
  <c r="AH320" i="9"/>
  <c r="AG321" i="9"/>
  <c r="AL397" i="9"/>
  <c r="AL398" i="9" s="1"/>
  <c r="AM396" i="9"/>
  <c r="L396" i="9"/>
  <c r="K397" i="9"/>
  <c r="K398" i="9" s="1"/>
  <c r="N395" i="9"/>
  <c r="CF395" i="9"/>
  <c r="L320" i="9"/>
  <c r="K321" i="9"/>
  <c r="AW367" i="9"/>
  <c r="AV368" i="9"/>
  <c r="AT392" i="9"/>
  <c r="AX392" i="9"/>
  <c r="AY392" i="9" s="1"/>
  <c r="U319" i="9"/>
  <c r="CF319" i="9"/>
  <c r="N319" i="9"/>
  <c r="AN394" i="9"/>
  <c r="AO394" i="9" s="1"/>
  <c r="AN361" i="9"/>
  <c r="AS361" i="9" s="1"/>
  <c r="AT361" i="9" s="1"/>
  <c r="AV397" i="9"/>
  <c r="AV398" i="9" s="1"/>
  <c r="AW396" i="9"/>
  <c r="AM320" i="9"/>
  <c r="AL321" i="9"/>
  <c r="AO360" i="9"/>
  <c r="AS360" i="9"/>
  <c r="AT360" i="9" s="1"/>
  <c r="V32" i="9"/>
  <c r="AI32" i="9"/>
  <c r="AJ32" i="9" s="1"/>
  <c r="U32" i="9"/>
  <c r="AT29" i="9"/>
  <c r="AX29" i="9"/>
  <c r="AY29" i="9" s="1"/>
  <c r="AX226" i="9"/>
  <c r="AY226" i="9" s="1"/>
  <c r="AS115" i="9"/>
  <c r="AT115" i="9" s="1"/>
  <c r="AS77" i="9"/>
  <c r="AT77" i="9" s="1"/>
  <c r="AS227" i="9"/>
  <c r="AT227" i="9" s="1"/>
  <c r="AS30" i="9"/>
  <c r="AT30" i="9" s="1"/>
  <c r="AX114" i="9"/>
  <c r="AY114" i="9" s="1"/>
  <c r="AS184" i="9"/>
  <c r="AT184" i="9" s="1"/>
  <c r="AX76" i="9"/>
  <c r="AY76" i="9" s="1"/>
  <c r="AN116" i="9"/>
  <c r="AO116" i="9" s="1"/>
  <c r="AX164" i="9"/>
  <c r="AY164" i="9" s="1"/>
  <c r="AS228" i="9"/>
  <c r="AT228" i="9" s="1"/>
  <c r="AJ185" i="9"/>
  <c r="AN185" i="9"/>
  <c r="AO185" i="9" s="1"/>
  <c r="AN78" i="9"/>
  <c r="AS78" i="9" s="1"/>
  <c r="AT78" i="9" s="1"/>
  <c r="AX163" i="9"/>
  <c r="AY163" i="9" s="1"/>
  <c r="AL81" i="9"/>
  <c r="AM80" i="9"/>
  <c r="AQ82" i="9"/>
  <c r="AR81" i="9"/>
  <c r="AL119" i="9"/>
  <c r="AM118" i="9"/>
  <c r="AL187" i="9"/>
  <c r="AM186" i="9"/>
  <c r="AL34" i="9"/>
  <c r="AM33" i="9"/>
  <c r="AV187" i="9"/>
  <c r="AW186" i="9"/>
  <c r="AV81" i="9"/>
  <c r="AW80" i="9"/>
  <c r="AQ189" i="9"/>
  <c r="AR189" i="9" s="1"/>
  <c r="AR188" i="9"/>
  <c r="AV119" i="9"/>
  <c r="AW118" i="9"/>
  <c r="AV34" i="9"/>
  <c r="AW33" i="9"/>
  <c r="AG187" i="9"/>
  <c r="AH186" i="9"/>
  <c r="AI186" i="9" s="1"/>
  <c r="AQ119" i="9"/>
  <c r="AR118" i="9"/>
  <c r="AG81" i="9"/>
  <c r="AH80" i="9"/>
  <c r="AQ35" i="9"/>
  <c r="AR34" i="9"/>
  <c r="AI117" i="9"/>
  <c r="AJ117" i="9" s="1"/>
  <c r="AI79" i="9"/>
  <c r="AJ79" i="9" s="1"/>
  <c r="AG120" i="9"/>
  <c r="AH119" i="9"/>
  <c r="V117" i="9"/>
  <c r="V186" i="9"/>
  <c r="V79" i="9"/>
  <c r="U117" i="9"/>
  <c r="U186" i="9"/>
  <c r="U79" i="9"/>
  <c r="N186" i="9"/>
  <c r="CF186" i="9"/>
  <c r="N79" i="9"/>
  <c r="CF79" i="9"/>
  <c r="K81" i="9"/>
  <c r="L80" i="9"/>
  <c r="K188" i="9"/>
  <c r="L187" i="9"/>
  <c r="N32" i="9"/>
  <c r="CF32" i="9"/>
  <c r="N117" i="9"/>
  <c r="CF117" i="9"/>
  <c r="K119" i="9"/>
  <c r="L118" i="9"/>
  <c r="K34" i="9"/>
  <c r="L33" i="9"/>
  <c r="AS297" i="5"/>
  <c r="AT297" i="5" s="1"/>
  <c r="AX268" i="5"/>
  <c r="AY268" i="5" s="1"/>
  <c r="AS180" i="5"/>
  <c r="AT180" i="5" s="1"/>
  <c r="AS270" i="5"/>
  <c r="AT270" i="5" s="1"/>
  <c r="AT296" i="5"/>
  <c r="AX296" i="5"/>
  <c r="AY296" i="5" s="1"/>
  <c r="AS269" i="5"/>
  <c r="AT269" i="5" s="1"/>
  <c r="AX131" i="5"/>
  <c r="AY131" i="5" s="1"/>
  <c r="AX130" i="5"/>
  <c r="AY130" i="5" s="1"/>
  <c r="AJ152" i="5"/>
  <c r="AN152" i="5"/>
  <c r="AS152" i="5" s="1"/>
  <c r="AT179" i="5"/>
  <c r="AX179" i="5"/>
  <c r="AY179" i="5" s="1"/>
  <c r="AS298" i="5"/>
  <c r="AT298" i="5" s="1"/>
  <c r="AL134" i="5"/>
  <c r="AM133" i="5"/>
  <c r="AG154" i="5"/>
  <c r="AH153" i="5"/>
  <c r="AI153" i="5" s="1"/>
  <c r="AQ154" i="5"/>
  <c r="AR153" i="5"/>
  <c r="AO131" i="5"/>
  <c r="AL154" i="5"/>
  <c r="AM153" i="5"/>
  <c r="AV134" i="5"/>
  <c r="AW133" i="5"/>
  <c r="AQ134" i="5"/>
  <c r="AR133" i="5"/>
  <c r="AV183" i="5"/>
  <c r="AW183" i="5" s="1"/>
  <c r="AW182" i="5"/>
  <c r="AL183" i="5"/>
  <c r="AM183" i="5" s="1"/>
  <c r="AM182" i="5"/>
  <c r="AS151" i="5"/>
  <c r="AJ132" i="5"/>
  <c r="AN132" i="5"/>
  <c r="AO132" i="5" s="1"/>
  <c r="AQ183" i="5"/>
  <c r="AR183" i="5" s="1"/>
  <c r="AR182" i="5"/>
  <c r="AJ181" i="5"/>
  <c r="AN181" i="5"/>
  <c r="AO181" i="5" s="1"/>
  <c r="AV154" i="5"/>
  <c r="AW153" i="5"/>
  <c r="AG134" i="5"/>
  <c r="AH133" i="5"/>
  <c r="AI133" i="5" s="1"/>
  <c r="AG183" i="5"/>
  <c r="AH183" i="5" s="1"/>
  <c r="AI183" i="5" s="1"/>
  <c r="AH182" i="5"/>
  <c r="AI182" i="5" s="1"/>
  <c r="AX150" i="5"/>
  <c r="AY150" i="5" s="1"/>
  <c r="T320" i="9"/>
  <c r="T187" i="9"/>
  <c r="T118" i="9"/>
  <c r="T33" i="9"/>
  <c r="T80" i="9"/>
  <c r="AX615" i="9" l="1"/>
  <c r="AY615" i="9" s="1"/>
  <c r="AS31" i="9"/>
  <c r="AT31" i="9" s="1"/>
  <c r="AX391" i="9"/>
  <c r="AY391" i="9" s="1"/>
  <c r="AS573" i="9"/>
  <c r="V320" i="9"/>
  <c r="AI320" i="9"/>
  <c r="AJ320" i="9" s="1"/>
  <c r="AX572" i="9"/>
  <c r="AY572" i="9" s="1"/>
  <c r="AQ322" i="9"/>
  <c r="AR321" i="9"/>
  <c r="AH366" i="9"/>
  <c r="AG367" i="9"/>
  <c r="AN363" i="9"/>
  <c r="AO363" i="9" s="1"/>
  <c r="AL579" i="9"/>
  <c r="AM578" i="9"/>
  <c r="AG621" i="9"/>
  <c r="AH620" i="9"/>
  <c r="AN574" i="9"/>
  <c r="AO574" i="9" s="1"/>
  <c r="K620" i="9"/>
  <c r="L619" i="9"/>
  <c r="CF618" i="9"/>
  <c r="N618" i="9"/>
  <c r="U618" i="9"/>
  <c r="AS394" i="9"/>
  <c r="AT394" i="9" s="1"/>
  <c r="AS616" i="9"/>
  <c r="AQ620" i="9"/>
  <c r="AR619" i="9"/>
  <c r="AQ579" i="9"/>
  <c r="AR578" i="9"/>
  <c r="AN618" i="9"/>
  <c r="AO618" i="9" s="1"/>
  <c r="AJ618" i="9"/>
  <c r="AL620" i="9"/>
  <c r="AM619" i="9"/>
  <c r="AH576" i="9"/>
  <c r="AG577" i="9"/>
  <c r="AG578" i="9" s="1"/>
  <c r="AI575" i="9"/>
  <c r="AJ575" i="9" s="1"/>
  <c r="CF576" i="9"/>
  <c r="N576" i="9"/>
  <c r="U576" i="9"/>
  <c r="X571" i="9"/>
  <c r="AV577" i="9"/>
  <c r="AV578" i="9" s="1"/>
  <c r="AW576" i="9"/>
  <c r="AI619" i="9"/>
  <c r="AJ619" i="9" s="1"/>
  <c r="K579" i="9"/>
  <c r="L578" i="9"/>
  <c r="AW619" i="9"/>
  <c r="AV620" i="9"/>
  <c r="AN32" i="9"/>
  <c r="AO32" i="9" s="1"/>
  <c r="AX317" i="9"/>
  <c r="AY317" i="9" s="1"/>
  <c r="U320" i="9"/>
  <c r="CF320" i="9"/>
  <c r="N320" i="9"/>
  <c r="AW368" i="9"/>
  <c r="AV369" i="9"/>
  <c r="K399" i="9"/>
  <c r="L398" i="9"/>
  <c r="AS318" i="9"/>
  <c r="AT318" i="9" s="1"/>
  <c r="AR366" i="9"/>
  <c r="AQ367" i="9"/>
  <c r="AV399" i="9"/>
  <c r="AW398" i="9"/>
  <c r="N396" i="9"/>
  <c r="CF396" i="9"/>
  <c r="AM366" i="9"/>
  <c r="AL367" i="9"/>
  <c r="AR398" i="9"/>
  <c r="AQ399" i="9"/>
  <c r="AO361" i="9"/>
  <c r="AX361" i="9"/>
  <c r="AY361" i="9" s="1"/>
  <c r="K322" i="9"/>
  <c r="L321" i="9"/>
  <c r="AX360" i="9"/>
  <c r="AY360" i="9" s="1"/>
  <c r="AN393" i="9"/>
  <c r="AO393" i="9" s="1"/>
  <c r="L366" i="9"/>
  <c r="K367" i="9"/>
  <c r="AH398" i="9"/>
  <c r="AG399" i="9"/>
  <c r="AN362" i="9"/>
  <c r="AS362" i="9" s="1"/>
  <c r="AT362" i="9" s="1"/>
  <c r="CF364" i="9"/>
  <c r="N364" i="9"/>
  <c r="AL322" i="9"/>
  <c r="AM321" i="9"/>
  <c r="AL399" i="9"/>
  <c r="AM398" i="9"/>
  <c r="AH321" i="9"/>
  <c r="AG322" i="9"/>
  <c r="AN319" i="9"/>
  <c r="AO319" i="9" s="1"/>
  <c r="AV322" i="9"/>
  <c r="AW321" i="9"/>
  <c r="V118" i="9"/>
  <c r="AI118" i="9"/>
  <c r="AJ118" i="9" s="1"/>
  <c r="U118" i="9"/>
  <c r="AI33" i="9"/>
  <c r="AJ33" i="9" s="1"/>
  <c r="V33" i="9"/>
  <c r="U33" i="9"/>
  <c r="AX115" i="9"/>
  <c r="AY115" i="9" s="1"/>
  <c r="AX77" i="9"/>
  <c r="AY77" i="9" s="1"/>
  <c r="AX227" i="9"/>
  <c r="AY227" i="9" s="1"/>
  <c r="AX30" i="9"/>
  <c r="AY30" i="9" s="1"/>
  <c r="AX184" i="9"/>
  <c r="AY184" i="9" s="1"/>
  <c r="AN79" i="9"/>
  <c r="AO79" i="9" s="1"/>
  <c r="AX228" i="9"/>
  <c r="AY228" i="9" s="1"/>
  <c r="AS185" i="9"/>
  <c r="AT185" i="9" s="1"/>
  <c r="AS116" i="9"/>
  <c r="AT116" i="9" s="1"/>
  <c r="AJ186" i="9"/>
  <c r="AN186" i="9"/>
  <c r="AO186" i="9" s="1"/>
  <c r="AO78" i="9"/>
  <c r="AX78" i="9"/>
  <c r="AY78" i="9" s="1"/>
  <c r="AN117" i="9"/>
  <c r="AQ36" i="9"/>
  <c r="AR35" i="9"/>
  <c r="AG82" i="9"/>
  <c r="AH81" i="9"/>
  <c r="AQ120" i="9"/>
  <c r="AR119" i="9"/>
  <c r="AG188" i="9"/>
  <c r="AH187" i="9"/>
  <c r="AI187" i="9" s="1"/>
  <c r="AV35" i="9"/>
  <c r="AW34" i="9"/>
  <c r="AV120" i="9"/>
  <c r="AW119" i="9"/>
  <c r="AV82" i="9"/>
  <c r="AW81" i="9"/>
  <c r="AV188" i="9"/>
  <c r="AW187" i="9"/>
  <c r="AL35" i="9"/>
  <c r="AM34" i="9"/>
  <c r="AL188" i="9"/>
  <c r="AM187" i="9"/>
  <c r="AL120" i="9"/>
  <c r="AM119" i="9"/>
  <c r="AQ83" i="9"/>
  <c r="AQ84" i="9" s="1"/>
  <c r="AR82" i="9"/>
  <c r="AL82" i="9"/>
  <c r="AM81" i="9"/>
  <c r="AI80" i="9"/>
  <c r="AJ80" i="9" s="1"/>
  <c r="AG121" i="9"/>
  <c r="AG122" i="9" s="1"/>
  <c r="AH120" i="9"/>
  <c r="V187" i="9"/>
  <c r="V80" i="9"/>
  <c r="U187" i="9"/>
  <c r="U80" i="9"/>
  <c r="N33" i="9"/>
  <c r="CF33" i="9"/>
  <c r="N80" i="9"/>
  <c r="CF80" i="9"/>
  <c r="K82" i="9"/>
  <c r="L81" i="9"/>
  <c r="K35" i="9"/>
  <c r="L34" i="9"/>
  <c r="N118" i="9"/>
  <c r="CF118" i="9"/>
  <c r="K120" i="9"/>
  <c r="L119" i="9"/>
  <c r="N187" i="9"/>
  <c r="CF187" i="9"/>
  <c r="K189" i="9"/>
  <c r="L189" i="9" s="1"/>
  <c r="L188" i="9"/>
  <c r="AX297" i="5"/>
  <c r="AY297" i="5" s="1"/>
  <c r="AX180" i="5"/>
  <c r="AY180" i="5" s="1"/>
  <c r="AX270" i="5"/>
  <c r="AY270" i="5" s="1"/>
  <c r="AS132" i="5"/>
  <c r="AT132" i="5" s="1"/>
  <c r="AO152" i="5"/>
  <c r="AX269" i="5"/>
  <c r="AY269" i="5" s="1"/>
  <c r="AT152" i="5"/>
  <c r="AX152" i="5"/>
  <c r="AY152" i="5" s="1"/>
  <c r="AG155" i="5"/>
  <c r="AH154" i="5"/>
  <c r="AI154" i="5" s="1"/>
  <c r="AV135" i="5"/>
  <c r="AW134" i="5"/>
  <c r="AQ135" i="5"/>
  <c r="AR134" i="5"/>
  <c r="AG135" i="5"/>
  <c r="AH134" i="5"/>
  <c r="AI134" i="5" s="1"/>
  <c r="AX298" i="5"/>
  <c r="AY298" i="5" s="1"/>
  <c r="AJ183" i="5"/>
  <c r="AN183" i="5"/>
  <c r="AO183" i="5" s="1"/>
  <c r="AT151" i="5"/>
  <c r="AX151" i="5"/>
  <c r="AY151" i="5" s="1"/>
  <c r="AL155" i="5"/>
  <c r="AM154" i="5"/>
  <c r="AV155" i="5"/>
  <c r="AW154" i="5"/>
  <c r="AL135" i="5"/>
  <c r="AM134" i="5"/>
  <c r="AS181" i="5"/>
  <c r="AJ182" i="5"/>
  <c r="AN182" i="5"/>
  <c r="AO182" i="5" s="1"/>
  <c r="AJ133" i="5"/>
  <c r="AN133" i="5"/>
  <c r="AO133" i="5" s="1"/>
  <c r="AQ155" i="5"/>
  <c r="AR154" i="5"/>
  <c r="AJ153" i="5"/>
  <c r="AN153" i="5"/>
  <c r="AS153" i="5" s="1"/>
  <c r="AT153" i="5" s="1"/>
  <c r="T321" i="9"/>
  <c r="T81" i="9"/>
  <c r="T364" i="9"/>
  <c r="T119" i="9"/>
  <c r="T34" i="9"/>
  <c r="T189" i="9"/>
  <c r="T395" i="9"/>
  <c r="T188" i="9"/>
  <c r="AX31" i="9" l="1"/>
  <c r="AY31" i="9" s="1"/>
  <c r="AS363" i="9"/>
  <c r="AX363" i="9" s="1"/>
  <c r="AY363" i="9" s="1"/>
  <c r="AT573" i="9"/>
  <c r="AX573" i="9"/>
  <c r="AY573" i="9" s="1"/>
  <c r="V321" i="9"/>
  <c r="AN320" i="9"/>
  <c r="AO320" i="9" s="1"/>
  <c r="AS618" i="9"/>
  <c r="AT618" i="9" s="1"/>
  <c r="AG368" i="9"/>
  <c r="AH367" i="9"/>
  <c r="AI367" i="9" s="1"/>
  <c r="AJ367" i="9" s="1"/>
  <c r="AR322" i="9"/>
  <c r="AQ323" i="9"/>
  <c r="AL621" i="9"/>
  <c r="AM620" i="9"/>
  <c r="AX394" i="9"/>
  <c r="AY394" i="9" s="1"/>
  <c r="AV621" i="9"/>
  <c r="AW620" i="9"/>
  <c r="AV579" i="9"/>
  <c r="AW578" i="9"/>
  <c r="AN575" i="9"/>
  <c r="AO575" i="9" s="1"/>
  <c r="L579" i="9"/>
  <c r="K580" i="9"/>
  <c r="AS574" i="9"/>
  <c r="AT574" i="9" s="1"/>
  <c r="U619" i="9"/>
  <c r="CF619" i="9"/>
  <c r="N619" i="9"/>
  <c r="U578" i="9"/>
  <c r="CF578" i="9"/>
  <c r="N578" i="9"/>
  <c r="K621" i="9"/>
  <c r="L620" i="9"/>
  <c r="AQ580" i="9"/>
  <c r="AR579" i="9"/>
  <c r="AS393" i="9"/>
  <c r="AT393" i="9" s="1"/>
  <c r="AN619" i="9"/>
  <c r="AS619" i="9" s="1"/>
  <c r="AG579" i="9"/>
  <c r="AH578" i="9"/>
  <c r="AI576" i="9"/>
  <c r="AJ576" i="9" s="1"/>
  <c r="AR620" i="9"/>
  <c r="AQ621" i="9"/>
  <c r="AI620" i="9"/>
  <c r="AT616" i="9"/>
  <c r="AX616" i="9"/>
  <c r="AY616" i="9" s="1"/>
  <c r="AG622" i="9"/>
  <c r="AH622" i="9" s="1"/>
  <c r="AH621" i="9"/>
  <c r="AM579" i="9"/>
  <c r="AL580" i="9"/>
  <c r="AS32" i="9"/>
  <c r="AT32" i="9" s="1"/>
  <c r="AX318" i="9"/>
  <c r="AY318" i="9" s="1"/>
  <c r="V364" i="9"/>
  <c r="AI364" i="9"/>
  <c r="AJ364" i="9" s="1"/>
  <c r="U364" i="9"/>
  <c r="AI395" i="9"/>
  <c r="AJ395" i="9" s="1"/>
  <c r="V395" i="9"/>
  <c r="U395" i="9"/>
  <c r="N398" i="9"/>
  <c r="CF398" i="9"/>
  <c r="AG323" i="9"/>
  <c r="AH322" i="9"/>
  <c r="CF366" i="9"/>
  <c r="N366" i="9"/>
  <c r="AQ400" i="9"/>
  <c r="AR399" i="9"/>
  <c r="AW399" i="9"/>
  <c r="AV400" i="9"/>
  <c r="AM367" i="9"/>
  <c r="AL368" i="9"/>
  <c r="AL400" i="9"/>
  <c r="AM399" i="9"/>
  <c r="AR367" i="9"/>
  <c r="AQ368" i="9"/>
  <c r="AW322" i="9"/>
  <c r="AV323" i="9"/>
  <c r="AL323" i="9"/>
  <c r="AM322" i="9"/>
  <c r="U321" i="9"/>
  <c r="CF321" i="9"/>
  <c r="N321" i="9"/>
  <c r="K400" i="9"/>
  <c r="L399" i="9"/>
  <c r="AI321" i="9"/>
  <c r="AJ321" i="9" s="1"/>
  <c r="AS319" i="9"/>
  <c r="AO362" i="9"/>
  <c r="AX362" i="9"/>
  <c r="AY362" i="9" s="1"/>
  <c r="K323" i="9"/>
  <c r="L322" i="9"/>
  <c r="AV370" i="9"/>
  <c r="AW370" i="9" s="1"/>
  <c r="AW369" i="9"/>
  <c r="AH399" i="9"/>
  <c r="AG400" i="9"/>
  <c r="K368" i="9"/>
  <c r="L367" i="9"/>
  <c r="V189" i="9"/>
  <c r="AI34" i="9"/>
  <c r="AJ34" i="9" s="1"/>
  <c r="V34" i="9"/>
  <c r="U189" i="9"/>
  <c r="U34" i="9"/>
  <c r="AN118" i="9"/>
  <c r="AO118" i="9" s="1"/>
  <c r="AN33" i="9"/>
  <c r="AO33" i="9" s="1"/>
  <c r="AS79" i="9"/>
  <c r="AT79" i="9" s="1"/>
  <c r="AX185" i="9"/>
  <c r="AY185" i="9" s="1"/>
  <c r="AN80" i="9"/>
  <c r="AO80" i="9" s="1"/>
  <c r="AX116" i="9"/>
  <c r="AY116" i="9" s="1"/>
  <c r="AJ187" i="9"/>
  <c r="AN187" i="9"/>
  <c r="AO187" i="9" s="1"/>
  <c r="AO117" i="9"/>
  <c r="AS117" i="9"/>
  <c r="AT117" i="9" s="1"/>
  <c r="AS186" i="9"/>
  <c r="AT186" i="9" s="1"/>
  <c r="AL83" i="9"/>
  <c r="AL84" i="9" s="1"/>
  <c r="AM82" i="9"/>
  <c r="AQ85" i="9"/>
  <c r="AR84" i="9"/>
  <c r="AL121" i="9"/>
  <c r="AL122" i="9" s="1"/>
  <c r="AM120" i="9"/>
  <c r="AL189" i="9"/>
  <c r="AM189" i="9" s="1"/>
  <c r="AM188" i="9"/>
  <c r="AL36" i="9"/>
  <c r="AM35" i="9"/>
  <c r="AV189" i="9"/>
  <c r="AW189" i="9" s="1"/>
  <c r="AW188" i="9"/>
  <c r="AV83" i="9"/>
  <c r="AV84" i="9" s="1"/>
  <c r="AW82" i="9"/>
  <c r="AV121" i="9"/>
  <c r="AV122" i="9" s="1"/>
  <c r="AW120" i="9"/>
  <c r="AV36" i="9"/>
  <c r="AW35" i="9"/>
  <c r="AG189" i="9"/>
  <c r="AH189" i="9" s="1"/>
  <c r="AI189" i="9" s="1"/>
  <c r="AH188" i="9"/>
  <c r="AI188" i="9" s="1"/>
  <c r="AQ121" i="9"/>
  <c r="AQ122" i="9" s="1"/>
  <c r="AR120" i="9"/>
  <c r="AG83" i="9"/>
  <c r="AG84" i="9" s="1"/>
  <c r="AH84" i="9" s="1"/>
  <c r="AH82" i="9"/>
  <c r="AQ37" i="9"/>
  <c r="AR36" i="9"/>
  <c r="AI81" i="9"/>
  <c r="AN81" i="9" s="1"/>
  <c r="AO81" i="9" s="1"/>
  <c r="AI119" i="9"/>
  <c r="AJ119" i="9" s="1"/>
  <c r="AG123" i="9"/>
  <c r="AH122" i="9"/>
  <c r="X165" i="9"/>
  <c r="V188" i="9"/>
  <c r="V81" i="9"/>
  <c r="V119" i="9"/>
  <c r="U188" i="9"/>
  <c r="U81" i="9"/>
  <c r="U119" i="9"/>
  <c r="K83" i="9"/>
  <c r="K84" i="9" s="1"/>
  <c r="L82" i="9"/>
  <c r="N119" i="9"/>
  <c r="CF119" i="9"/>
  <c r="K121" i="9"/>
  <c r="K122" i="9" s="1"/>
  <c r="L120" i="9"/>
  <c r="N34" i="9"/>
  <c r="CF34" i="9"/>
  <c r="K36" i="9"/>
  <c r="L35" i="9"/>
  <c r="N188" i="9"/>
  <c r="CF188" i="9"/>
  <c r="N189" i="9"/>
  <c r="CF189" i="9"/>
  <c r="N81" i="9"/>
  <c r="CF81" i="9"/>
  <c r="AS182" i="5"/>
  <c r="AT182" i="5" s="1"/>
  <c r="AX153" i="5"/>
  <c r="AY153" i="5" s="1"/>
  <c r="AS133" i="5"/>
  <c r="AT133" i="5" s="1"/>
  <c r="AS183" i="5"/>
  <c r="AO153" i="5"/>
  <c r="AX132" i="5"/>
  <c r="AY132" i="5" s="1"/>
  <c r="AL136" i="5"/>
  <c r="AM135" i="5"/>
  <c r="AL156" i="5"/>
  <c r="AM155" i="5"/>
  <c r="AQ136" i="5"/>
  <c r="AR135" i="5"/>
  <c r="AQ156" i="5"/>
  <c r="AR155" i="5"/>
  <c r="AV136" i="5"/>
  <c r="AW135" i="5"/>
  <c r="AG136" i="5"/>
  <c r="AH135" i="5"/>
  <c r="AI135" i="5" s="1"/>
  <c r="AJ154" i="5"/>
  <c r="AN154" i="5"/>
  <c r="AO154" i="5" s="1"/>
  <c r="AV156" i="5"/>
  <c r="AW155" i="5"/>
  <c r="AG156" i="5"/>
  <c r="AH155" i="5"/>
  <c r="AI155" i="5" s="1"/>
  <c r="AJ134" i="5"/>
  <c r="AN134" i="5"/>
  <c r="AO134" i="5" s="1"/>
  <c r="AX181" i="5"/>
  <c r="AY181" i="5" s="1"/>
  <c r="AT181" i="5"/>
  <c r="T82" i="9"/>
  <c r="T366" i="9"/>
  <c r="T322" i="9"/>
  <c r="T35" i="9"/>
  <c r="T120" i="9"/>
  <c r="T396" i="9"/>
  <c r="V322" i="9" l="1"/>
  <c r="W165" i="9"/>
  <c r="AS575" i="9"/>
  <c r="AT575" i="9" s="1"/>
  <c r="AN367" i="9"/>
  <c r="AS367" i="9" s="1"/>
  <c r="AX367" i="9" s="1"/>
  <c r="AY367" i="9" s="1"/>
  <c r="AX393" i="9"/>
  <c r="AY393" i="9" s="1"/>
  <c r="AO619" i="9"/>
  <c r="AT363" i="9"/>
  <c r="AX574" i="9"/>
  <c r="AY574" i="9" s="1"/>
  <c r="AQ324" i="9"/>
  <c r="AR323" i="9"/>
  <c r="AS320" i="9"/>
  <c r="AT320" i="9" s="1"/>
  <c r="AG369" i="9"/>
  <c r="AH368" i="9"/>
  <c r="AX618" i="9"/>
  <c r="AY618" i="9" s="1"/>
  <c r="AX619" i="9"/>
  <c r="AY619" i="9" s="1"/>
  <c r="AT619" i="9"/>
  <c r="AG580" i="9"/>
  <c r="AH579" i="9"/>
  <c r="AV580" i="9"/>
  <c r="AW579" i="9"/>
  <c r="AN620" i="9"/>
  <c r="AS620" i="9" s="1"/>
  <c r="AT620" i="9" s="1"/>
  <c r="K622" i="9"/>
  <c r="L622" i="9" s="1"/>
  <c r="L621" i="9"/>
  <c r="X617" i="9" s="1"/>
  <c r="AI621" i="9"/>
  <c r="AI622" i="9"/>
  <c r="AI578" i="9"/>
  <c r="AX32" i="9"/>
  <c r="AY32" i="9" s="1"/>
  <c r="AJ620" i="9"/>
  <c r="AV622" i="9"/>
  <c r="AW622" i="9" s="1"/>
  <c r="AW621" i="9"/>
  <c r="AR621" i="9"/>
  <c r="AQ622" i="9"/>
  <c r="AR622" i="9" s="1"/>
  <c r="AQ581" i="9"/>
  <c r="AR580" i="9"/>
  <c r="K581" i="9"/>
  <c r="L580" i="9"/>
  <c r="AL581" i="9"/>
  <c r="AM580" i="9"/>
  <c r="AN576" i="9"/>
  <c r="AO576" i="9" s="1"/>
  <c r="U620" i="9"/>
  <c r="CF620" i="9"/>
  <c r="N620" i="9"/>
  <c r="CF579" i="9"/>
  <c r="U579" i="9"/>
  <c r="N579" i="9"/>
  <c r="AL622" i="9"/>
  <c r="AM622" i="9" s="1"/>
  <c r="AM621" i="9"/>
  <c r="AI366" i="9"/>
  <c r="AJ366" i="9" s="1"/>
  <c r="V366" i="9"/>
  <c r="U366" i="9"/>
  <c r="V396" i="9"/>
  <c r="AI396" i="9"/>
  <c r="AJ396" i="9" s="1"/>
  <c r="U396" i="9"/>
  <c r="X389" i="9"/>
  <c r="N322" i="9"/>
  <c r="CF322" i="9"/>
  <c r="U322" i="9"/>
  <c r="AQ401" i="9"/>
  <c r="AR400" i="9"/>
  <c r="K369" i="9"/>
  <c r="L368" i="9"/>
  <c r="K324" i="9"/>
  <c r="L323" i="9"/>
  <c r="AL324" i="9"/>
  <c r="AM323" i="9"/>
  <c r="AQ369" i="9"/>
  <c r="AR368" i="9"/>
  <c r="CF367" i="9"/>
  <c r="U367" i="9"/>
  <c r="N367" i="9"/>
  <c r="AL401" i="9"/>
  <c r="AM400" i="9"/>
  <c r="AT319" i="9"/>
  <c r="AX319" i="9"/>
  <c r="AY319" i="9" s="1"/>
  <c r="AL369" i="9"/>
  <c r="AM368" i="9"/>
  <c r="AI322" i="9"/>
  <c r="AJ322" i="9" s="1"/>
  <c r="AN395" i="9"/>
  <c r="AO395" i="9" s="1"/>
  <c r="AG324" i="9"/>
  <c r="AH323" i="9"/>
  <c r="AH400" i="9"/>
  <c r="AG401" i="9"/>
  <c r="AN321" i="9"/>
  <c r="AO321" i="9" s="1"/>
  <c r="AV324" i="9"/>
  <c r="AW323" i="9"/>
  <c r="CF399" i="9"/>
  <c r="N399" i="9"/>
  <c r="AW400" i="9"/>
  <c r="AV401" i="9"/>
  <c r="K401" i="9"/>
  <c r="L400" i="9"/>
  <c r="AN364" i="9"/>
  <c r="AN34" i="9"/>
  <c r="AS118" i="9"/>
  <c r="AT118" i="9" s="1"/>
  <c r="AS33" i="9"/>
  <c r="AX79" i="9"/>
  <c r="AY79" i="9" s="1"/>
  <c r="AS80" i="9"/>
  <c r="AT80" i="9" s="1"/>
  <c r="AS81" i="9"/>
  <c r="AT81" i="9" s="1"/>
  <c r="AX186" i="9"/>
  <c r="AY186" i="9" s="1"/>
  <c r="AJ188" i="9"/>
  <c r="AN188" i="9"/>
  <c r="AO188" i="9" s="1"/>
  <c r="AJ81" i="9"/>
  <c r="AN119" i="9"/>
  <c r="AO119" i="9" s="1"/>
  <c r="AX117" i="9"/>
  <c r="AY117" i="9" s="1"/>
  <c r="AS187" i="9"/>
  <c r="AT187" i="9" s="1"/>
  <c r="AQ38" i="9"/>
  <c r="AR37" i="9"/>
  <c r="AG85" i="9"/>
  <c r="AQ123" i="9"/>
  <c r="AR122" i="9"/>
  <c r="AJ189" i="9"/>
  <c r="AN189" i="9"/>
  <c r="AO189" i="9" s="1"/>
  <c r="AV37" i="9"/>
  <c r="AW36" i="9"/>
  <c r="AV123" i="9"/>
  <c r="AW122" i="9"/>
  <c r="AV85" i="9"/>
  <c r="AW84" i="9"/>
  <c r="AL37" i="9"/>
  <c r="AM36" i="9"/>
  <c r="AL123" i="9"/>
  <c r="AM122" i="9"/>
  <c r="AQ86" i="9"/>
  <c r="AR85" i="9"/>
  <c r="AL85" i="9"/>
  <c r="AM84" i="9"/>
  <c r="AI120" i="9"/>
  <c r="AJ120" i="9" s="1"/>
  <c r="AI35" i="9"/>
  <c r="AJ35" i="9" s="1"/>
  <c r="AI82" i="9"/>
  <c r="AJ82" i="9" s="1"/>
  <c r="AG124" i="9"/>
  <c r="AH123" i="9"/>
  <c r="X113" i="9"/>
  <c r="X75" i="9"/>
  <c r="V120" i="9"/>
  <c r="V35" i="9"/>
  <c r="V82" i="9"/>
  <c r="U120" i="9"/>
  <c r="U35" i="9"/>
  <c r="U82" i="9"/>
  <c r="N35" i="9"/>
  <c r="CF35" i="9"/>
  <c r="K37" i="9"/>
  <c r="L36" i="9"/>
  <c r="N82" i="9"/>
  <c r="CF82" i="9"/>
  <c r="K85" i="9"/>
  <c r="L84" i="9"/>
  <c r="N120" i="9"/>
  <c r="CF120" i="9"/>
  <c r="K123" i="9"/>
  <c r="L122" i="9"/>
  <c r="AX182" i="5"/>
  <c r="AY182" i="5" s="1"/>
  <c r="AS154" i="5"/>
  <c r="AS134" i="5"/>
  <c r="AT134" i="5" s="1"/>
  <c r="AX133" i="5"/>
  <c r="AY133" i="5" s="1"/>
  <c r="AT183" i="5"/>
  <c r="AX183" i="5"/>
  <c r="AY183" i="5" s="1"/>
  <c r="AJ155" i="5"/>
  <c r="AN155" i="5"/>
  <c r="AO155" i="5" s="1"/>
  <c r="AQ157" i="5"/>
  <c r="AR156" i="5"/>
  <c r="AQ137" i="5"/>
  <c r="AR137" i="5" s="1"/>
  <c r="AR136" i="5"/>
  <c r="AG157" i="5"/>
  <c r="AH156" i="5"/>
  <c r="AI156" i="5" s="1"/>
  <c r="AV157" i="5"/>
  <c r="AW156" i="5"/>
  <c r="AL157" i="5"/>
  <c r="AM156" i="5"/>
  <c r="AV137" i="5"/>
  <c r="AW137" i="5" s="1"/>
  <c r="AW136" i="5"/>
  <c r="AJ135" i="5"/>
  <c r="AN135" i="5"/>
  <c r="AO135" i="5" s="1"/>
  <c r="AL137" i="5"/>
  <c r="AM137" i="5" s="1"/>
  <c r="AM136" i="5"/>
  <c r="AG137" i="5"/>
  <c r="AH137" i="5" s="1"/>
  <c r="AI137" i="5" s="1"/>
  <c r="AH136" i="5"/>
  <c r="AI136" i="5" s="1"/>
  <c r="T122" i="9"/>
  <c r="T398" i="9"/>
  <c r="T323" i="9"/>
  <c r="T84" i="9"/>
  <c r="T36" i="9"/>
  <c r="V323" i="9" l="1"/>
  <c r="AN396" i="9"/>
  <c r="AO396" i="9" s="1"/>
  <c r="AX575" i="9"/>
  <c r="AY575" i="9" s="1"/>
  <c r="AO367" i="9"/>
  <c r="AS321" i="9"/>
  <c r="AT321" i="9" s="1"/>
  <c r="AT367" i="9"/>
  <c r="AX320" i="9"/>
  <c r="AY320" i="9" s="1"/>
  <c r="AO620" i="9"/>
  <c r="AG370" i="9"/>
  <c r="AH370" i="9" s="1"/>
  <c r="AH369" i="9"/>
  <c r="AR324" i="9"/>
  <c r="AQ325" i="9"/>
  <c r="AS576" i="9"/>
  <c r="U622" i="9"/>
  <c r="CF622" i="9"/>
  <c r="N622" i="9"/>
  <c r="AL582" i="9"/>
  <c r="AM581" i="9"/>
  <c r="AX620" i="9"/>
  <c r="AY620" i="9" s="1"/>
  <c r="U580" i="9"/>
  <c r="CF580" i="9"/>
  <c r="N580" i="9"/>
  <c r="AN578" i="9"/>
  <c r="AO578" i="9" s="1"/>
  <c r="K582" i="9"/>
  <c r="L581" i="9"/>
  <c r="AJ578" i="9"/>
  <c r="AV581" i="9"/>
  <c r="AW580" i="9"/>
  <c r="AN366" i="9"/>
  <c r="AO366" i="9" s="1"/>
  <c r="AN622" i="9"/>
  <c r="AS622" i="9" s="1"/>
  <c r="AT622" i="9" s="1"/>
  <c r="AR581" i="9"/>
  <c r="AQ582" i="9"/>
  <c r="AJ622" i="9"/>
  <c r="AI579" i="9"/>
  <c r="AJ579" i="9" s="1"/>
  <c r="AN621" i="9"/>
  <c r="AO621" i="9" s="1"/>
  <c r="AG581" i="9"/>
  <c r="AH580" i="9"/>
  <c r="AJ621" i="9"/>
  <c r="U621" i="9"/>
  <c r="CF621" i="9"/>
  <c r="N621" i="9"/>
  <c r="AS395" i="9"/>
  <c r="AT395" i="9" s="1"/>
  <c r="V398" i="9"/>
  <c r="AI398" i="9"/>
  <c r="AJ398" i="9" s="1"/>
  <c r="U398" i="9"/>
  <c r="AW401" i="9"/>
  <c r="AV402" i="9"/>
  <c r="AG402" i="9"/>
  <c r="AH401" i="9"/>
  <c r="AI323" i="9"/>
  <c r="AQ402" i="9"/>
  <c r="AR401" i="9"/>
  <c r="AL325" i="9"/>
  <c r="AM324" i="9"/>
  <c r="K370" i="9"/>
  <c r="L370" i="9" s="1"/>
  <c r="L369" i="9"/>
  <c r="AR369" i="9"/>
  <c r="AQ370" i="9"/>
  <c r="AR370" i="9" s="1"/>
  <c r="N368" i="9"/>
  <c r="CF368" i="9"/>
  <c r="AO364" i="9"/>
  <c r="AS364" i="9"/>
  <c r="AT364" i="9" s="1"/>
  <c r="CF400" i="9"/>
  <c r="N400" i="9"/>
  <c r="K325" i="9"/>
  <c r="L324" i="9"/>
  <c r="AM401" i="9"/>
  <c r="AL402" i="9"/>
  <c r="AN322" i="9"/>
  <c r="AO322" i="9" s="1"/>
  <c r="CF323" i="9"/>
  <c r="U323" i="9"/>
  <c r="N323" i="9"/>
  <c r="L401" i="9"/>
  <c r="K402" i="9"/>
  <c r="AW324" i="9"/>
  <c r="AV325" i="9"/>
  <c r="AG325" i="9"/>
  <c r="AH324" i="9"/>
  <c r="AM369" i="9"/>
  <c r="AL370" i="9"/>
  <c r="AO34" i="9"/>
  <c r="AS34" i="9"/>
  <c r="AT34" i="9" s="1"/>
  <c r="AX118" i="9"/>
  <c r="AY118" i="9" s="1"/>
  <c r="AT33" i="9"/>
  <c r="AX33" i="9"/>
  <c r="AY33" i="9" s="1"/>
  <c r="W113" i="9"/>
  <c r="AN120" i="9"/>
  <c r="AO120" i="9" s="1"/>
  <c r="AN82" i="9"/>
  <c r="AO82" i="9" s="1"/>
  <c r="AX80" i="9"/>
  <c r="AY80" i="9" s="1"/>
  <c r="AX81" i="9"/>
  <c r="AY81" i="9" s="1"/>
  <c r="AS119" i="9"/>
  <c r="AT119" i="9" s="1"/>
  <c r="AS188" i="9"/>
  <c r="AT188" i="9" s="1"/>
  <c r="AX187" i="9"/>
  <c r="AY187" i="9" s="1"/>
  <c r="AN35" i="9"/>
  <c r="AO35" i="9" s="1"/>
  <c r="AS189" i="9"/>
  <c r="AT189" i="9" s="1"/>
  <c r="AL86" i="9"/>
  <c r="AM85" i="9"/>
  <c r="AQ87" i="9"/>
  <c r="AR86" i="9"/>
  <c r="AL124" i="9"/>
  <c r="AM123" i="9"/>
  <c r="AL38" i="9"/>
  <c r="AM37" i="9"/>
  <c r="AV86" i="9"/>
  <c r="AW85" i="9"/>
  <c r="AV124" i="9"/>
  <c r="AW123" i="9"/>
  <c r="AV38" i="9"/>
  <c r="AW37" i="9"/>
  <c r="AQ124" i="9"/>
  <c r="AR123" i="9"/>
  <c r="AG86" i="9"/>
  <c r="AH85" i="9"/>
  <c r="AQ39" i="9"/>
  <c r="AR38" i="9"/>
  <c r="AI122" i="9"/>
  <c r="AJ122" i="9" s="1"/>
  <c r="AI36" i="9"/>
  <c r="AJ36" i="9" s="1"/>
  <c r="AI84" i="9"/>
  <c r="AJ84" i="9" s="1"/>
  <c r="AG125" i="9"/>
  <c r="AH124" i="9"/>
  <c r="W75" i="9"/>
  <c r="V122" i="9"/>
  <c r="V36" i="9"/>
  <c r="V84" i="9"/>
  <c r="U122" i="9"/>
  <c r="U36" i="9"/>
  <c r="U84" i="9"/>
  <c r="N84" i="9"/>
  <c r="CF84" i="9"/>
  <c r="K86" i="9"/>
  <c r="L85" i="9"/>
  <c r="N122" i="9"/>
  <c r="CF122" i="9"/>
  <c r="N36" i="9"/>
  <c r="CF36" i="9"/>
  <c r="K124" i="9"/>
  <c r="L123" i="9"/>
  <c r="K38" i="9"/>
  <c r="L37" i="9"/>
  <c r="AT154" i="5"/>
  <c r="AX154" i="5"/>
  <c r="AY154" i="5" s="1"/>
  <c r="AS135" i="5"/>
  <c r="AX134" i="5"/>
  <c r="AY134" i="5" s="1"/>
  <c r="AJ156" i="5"/>
  <c r="AN156" i="5"/>
  <c r="AO156" i="5" s="1"/>
  <c r="AV158" i="5"/>
  <c r="AW157" i="5"/>
  <c r="AG158" i="5"/>
  <c r="AH157" i="5"/>
  <c r="AI157" i="5" s="1"/>
  <c r="AQ158" i="5"/>
  <c r="AR157" i="5"/>
  <c r="AS155" i="5"/>
  <c r="AT155" i="5" s="1"/>
  <c r="AJ136" i="5"/>
  <c r="AN136" i="5"/>
  <c r="AO136" i="5" s="1"/>
  <c r="AL158" i="5"/>
  <c r="AM157" i="5"/>
  <c r="AJ137" i="5"/>
  <c r="AN137" i="5"/>
  <c r="AO137" i="5" s="1"/>
  <c r="T85" i="9"/>
  <c r="T37" i="9"/>
  <c r="T324" i="9"/>
  <c r="T369" i="9"/>
  <c r="T370" i="9"/>
  <c r="T399" i="9"/>
  <c r="T123" i="9"/>
  <c r="T401" i="9"/>
  <c r="T368" i="9"/>
  <c r="V369" i="9" l="1"/>
  <c r="V370" i="9"/>
  <c r="V401" i="9"/>
  <c r="V324" i="9"/>
  <c r="AS396" i="9"/>
  <c r="AT396" i="9" s="1"/>
  <c r="AX395" i="9"/>
  <c r="AY395" i="9" s="1"/>
  <c r="AX321" i="9"/>
  <c r="AY321" i="9" s="1"/>
  <c r="AS366" i="9"/>
  <c r="AT366" i="9" s="1"/>
  <c r="AQ326" i="9"/>
  <c r="AQ327" i="9" s="1"/>
  <c r="AR325" i="9"/>
  <c r="AI369" i="9"/>
  <c r="AN369" i="9" s="1"/>
  <c r="AO369" i="9" s="1"/>
  <c r="AI370" i="9"/>
  <c r="AJ370" i="9" s="1"/>
  <c r="AI580" i="9"/>
  <c r="AS621" i="9"/>
  <c r="AT621" i="9" s="1"/>
  <c r="AV582" i="9"/>
  <c r="AW581" i="9"/>
  <c r="AT576" i="9"/>
  <c r="AX576" i="9"/>
  <c r="AY576" i="9" s="1"/>
  <c r="AN579" i="9"/>
  <c r="AO579" i="9" s="1"/>
  <c r="U581" i="9"/>
  <c r="CF581" i="9"/>
  <c r="N581" i="9"/>
  <c r="AL583" i="9"/>
  <c r="AM582" i="9"/>
  <c r="K583" i="9"/>
  <c r="L582" i="9"/>
  <c r="AQ583" i="9"/>
  <c r="AR582" i="9"/>
  <c r="AS322" i="9"/>
  <c r="AT322" i="9" s="1"/>
  <c r="AO622" i="9"/>
  <c r="AX622" i="9"/>
  <c r="AY622" i="9" s="1"/>
  <c r="AS578" i="9"/>
  <c r="AT578" i="9" s="1"/>
  <c r="AG582" i="9"/>
  <c r="AH581" i="9"/>
  <c r="V368" i="9"/>
  <c r="AI368" i="9"/>
  <c r="AJ368" i="9" s="1"/>
  <c r="U368" i="9"/>
  <c r="V399" i="9"/>
  <c r="AI399" i="9"/>
  <c r="AJ399" i="9" s="1"/>
  <c r="U399" i="9"/>
  <c r="X365" i="9"/>
  <c r="AH325" i="9"/>
  <c r="AG326" i="9"/>
  <c r="AG327" i="9" s="1"/>
  <c r="AM402" i="9"/>
  <c r="AL403" i="9"/>
  <c r="AI401" i="9"/>
  <c r="AH402" i="9"/>
  <c r="AG403" i="9"/>
  <c r="AL326" i="9"/>
  <c r="AL327" i="9" s="1"/>
  <c r="AM325" i="9"/>
  <c r="AV403" i="9"/>
  <c r="AW402" i="9"/>
  <c r="AV326" i="9"/>
  <c r="AV327" i="9" s="1"/>
  <c r="AW325" i="9"/>
  <c r="K403" i="9"/>
  <c r="L402" i="9"/>
  <c r="CF324" i="9"/>
  <c r="U324" i="9"/>
  <c r="N324" i="9"/>
  <c r="AX364" i="9"/>
  <c r="AY364" i="9" s="1"/>
  <c r="AX34" i="9"/>
  <c r="AY34" i="9" s="1"/>
  <c r="N401" i="9"/>
  <c r="CF401" i="9"/>
  <c r="U401" i="9"/>
  <c r="K326" i="9"/>
  <c r="K327" i="9" s="1"/>
  <c r="L325" i="9"/>
  <c r="AR402" i="9"/>
  <c r="AQ403" i="9"/>
  <c r="AM370" i="9"/>
  <c r="AN323" i="9"/>
  <c r="AO323" i="9" s="1"/>
  <c r="U369" i="9"/>
  <c r="CF369" i="9"/>
  <c r="N369" i="9"/>
  <c r="AJ323" i="9"/>
  <c r="AN398" i="9"/>
  <c r="AO398" i="9" s="1"/>
  <c r="AI324" i="9"/>
  <c r="CF370" i="9"/>
  <c r="N370" i="9"/>
  <c r="U370" i="9"/>
  <c r="V85" i="9"/>
  <c r="U85" i="9"/>
  <c r="AS120" i="9"/>
  <c r="AX120" i="9" s="1"/>
  <c r="AY120" i="9" s="1"/>
  <c r="AS82" i="9"/>
  <c r="AT82" i="9" s="1"/>
  <c r="AN122" i="9"/>
  <c r="AO122" i="9" s="1"/>
  <c r="AX188" i="9"/>
  <c r="AY188" i="9" s="1"/>
  <c r="AS35" i="9"/>
  <c r="AT35" i="9" s="1"/>
  <c r="AX119" i="9"/>
  <c r="AY119" i="9" s="1"/>
  <c r="AN84" i="9"/>
  <c r="AX189" i="9"/>
  <c r="AY189" i="9" s="1"/>
  <c r="AN36" i="9"/>
  <c r="AO36" i="9" s="1"/>
  <c r="AQ40" i="9"/>
  <c r="AR39" i="9"/>
  <c r="AI85" i="9"/>
  <c r="AJ85" i="9" s="1"/>
  <c r="AG87" i="9"/>
  <c r="AH86" i="9"/>
  <c r="AQ125" i="9"/>
  <c r="AR124" i="9"/>
  <c r="AV39" i="9"/>
  <c r="AW38" i="9"/>
  <c r="AV125" i="9"/>
  <c r="AW124" i="9"/>
  <c r="AV87" i="9"/>
  <c r="AW86" i="9"/>
  <c r="AL39" i="9"/>
  <c r="AM38" i="9"/>
  <c r="AL125" i="9"/>
  <c r="AM124" i="9"/>
  <c r="AQ88" i="9"/>
  <c r="AR87" i="9"/>
  <c r="AL87" i="9"/>
  <c r="AM86" i="9"/>
  <c r="AI37" i="9"/>
  <c r="AJ37" i="9" s="1"/>
  <c r="AI123" i="9"/>
  <c r="AJ123" i="9" s="1"/>
  <c r="AG126" i="9"/>
  <c r="AH125" i="9"/>
  <c r="V37" i="9"/>
  <c r="V123" i="9"/>
  <c r="U37" i="9"/>
  <c r="U123" i="9"/>
  <c r="K39" i="9"/>
  <c r="L38" i="9"/>
  <c r="N123" i="9"/>
  <c r="CF123" i="9"/>
  <c r="K125" i="9"/>
  <c r="L124" i="9"/>
  <c r="N85" i="9"/>
  <c r="CF85" i="9"/>
  <c r="K87" i="9"/>
  <c r="L86" i="9"/>
  <c r="N37" i="9"/>
  <c r="CF37" i="9"/>
  <c r="AS156" i="5"/>
  <c r="AT156" i="5" s="1"/>
  <c r="AS136" i="5"/>
  <c r="AT136" i="5" s="1"/>
  <c r="AS137" i="5"/>
  <c r="AT137" i="5" s="1"/>
  <c r="AT135" i="5"/>
  <c r="AX135" i="5"/>
  <c r="AY135" i="5" s="1"/>
  <c r="AX155" i="5"/>
  <c r="AY155" i="5" s="1"/>
  <c r="AQ159" i="5"/>
  <c r="AR158" i="5"/>
  <c r="AJ157" i="5"/>
  <c r="AN157" i="5"/>
  <c r="AO157" i="5" s="1"/>
  <c r="AG159" i="5"/>
  <c r="AH158" i="5"/>
  <c r="AI158" i="5" s="1"/>
  <c r="AL159" i="5"/>
  <c r="AM158" i="5"/>
  <c r="AV159" i="5"/>
  <c r="AW158" i="5"/>
  <c r="T86" i="9"/>
  <c r="T124" i="9"/>
  <c r="T400" i="9"/>
  <c r="T582" i="9"/>
  <c r="T38" i="9"/>
  <c r="W365" i="9" l="1"/>
  <c r="AX396" i="9"/>
  <c r="AY396" i="9" s="1"/>
  <c r="AN370" i="9"/>
  <c r="AS370" i="9" s="1"/>
  <c r="AT370" i="9" s="1"/>
  <c r="AX366" i="9"/>
  <c r="AY366" i="9" s="1"/>
  <c r="V582" i="9"/>
  <c r="W577" i="9" s="1"/>
  <c r="AS579" i="9"/>
  <c r="AT579" i="9" s="1"/>
  <c r="AR327" i="9"/>
  <c r="AQ328" i="9"/>
  <c r="AS369" i="9"/>
  <c r="AX369" i="9" s="1"/>
  <c r="AY369" i="9" s="1"/>
  <c r="AJ369" i="9"/>
  <c r="AR583" i="9"/>
  <c r="AQ584" i="9"/>
  <c r="AX322" i="9"/>
  <c r="AY322" i="9" s="1"/>
  <c r="U582" i="9"/>
  <c r="CF582" i="9"/>
  <c r="N582" i="9"/>
  <c r="L583" i="9"/>
  <c r="K584" i="9"/>
  <c r="AI581" i="9"/>
  <c r="AV583" i="9"/>
  <c r="AW582" i="9"/>
  <c r="AG583" i="9"/>
  <c r="AH582" i="9"/>
  <c r="AL584" i="9"/>
  <c r="AM583" i="9"/>
  <c r="AX621" i="9"/>
  <c r="AY621" i="9" s="1"/>
  <c r="AN580" i="9"/>
  <c r="AO580" i="9" s="1"/>
  <c r="AX578" i="9"/>
  <c r="AY578" i="9" s="1"/>
  <c r="AJ580" i="9"/>
  <c r="AS398" i="9"/>
  <c r="AI400" i="9"/>
  <c r="AJ400" i="9" s="1"/>
  <c r="V400" i="9"/>
  <c r="U400" i="9"/>
  <c r="L327" i="9"/>
  <c r="K328" i="9"/>
  <c r="K404" i="9"/>
  <c r="L403" i="9"/>
  <c r="AW327" i="9"/>
  <c r="AV328" i="9"/>
  <c r="AN324" i="9"/>
  <c r="AO324" i="9" s="1"/>
  <c r="AN401" i="9"/>
  <c r="AO401" i="9" s="1"/>
  <c r="AN399" i="9"/>
  <c r="AS399" i="9" s="1"/>
  <c r="AT399" i="9" s="1"/>
  <c r="AJ324" i="9"/>
  <c r="AJ401" i="9"/>
  <c r="AV404" i="9"/>
  <c r="AW403" i="9"/>
  <c r="AL404" i="9"/>
  <c r="AM403" i="9"/>
  <c r="AM327" i="9"/>
  <c r="AL328" i="9"/>
  <c r="AH327" i="9"/>
  <c r="AG328" i="9"/>
  <c r="AN368" i="9"/>
  <c r="AO368" i="9" s="1"/>
  <c r="AI325" i="9"/>
  <c r="AJ325" i="9" s="1"/>
  <c r="AQ404" i="9"/>
  <c r="AR403" i="9"/>
  <c r="AG404" i="9"/>
  <c r="AH403" i="9"/>
  <c r="AS323" i="9"/>
  <c r="AT323" i="9" s="1"/>
  <c r="CF325" i="9"/>
  <c r="U325" i="9"/>
  <c r="N325" i="9"/>
  <c r="CF402" i="9"/>
  <c r="N402" i="9"/>
  <c r="AT120" i="9"/>
  <c r="AX82" i="9"/>
  <c r="AY82" i="9" s="1"/>
  <c r="AS122" i="9"/>
  <c r="AT122" i="9" s="1"/>
  <c r="AX35" i="9"/>
  <c r="AY35" i="9" s="1"/>
  <c r="AN123" i="9"/>
  <c r="AO123" i="9" s="1"/>
  <c r="AN37" i="9"/>
  <c r="AO37" i="9" s="1"/>
  <c r="AO84" i="9"/>
  <c r="AS36" i="9"/>
  <c r="AT36" i="9" s="1"/>
  <c r="AS84" i="9"/>
  <c r="AT84" i="9" s="1"/>
  <c r="AL88" i="9"/>
  <c r="AM87" i="9"/>
  <c r="AQ89" i="9"/>
  <c r="AR88" i="9"/>
  <c r="AL126" i="9"/>
  <c r="AM125" i="9"/>
  <c r="AL40" i="9"/>
  <c r="AM39" i="9"/>
  <c r="AV88" i="9"/>
  <c r="AW87" i="9"/>
  <c r="AV126" i="9"/>
  <c r="AW125" i="9"/>
  <c r="AV40" i="9"/>
  <c r="AW39" i="9"/>
  <c r="AQ126" i="9"/>
  <c r="AR125" i="9"/>
  <c r="AG88" i="9"/>
  <c r="AH87" i="9"/>
  <c r="AN85" i="9"/>
  <c r="AO85" i="9" s="1"/>
  <c r="AQ41" i="9"/>
  <c r="AQ42" i="9" s="1"/>
  <c r="AR40" i="9"/>
  <c r="AI124" i="9"/>
  <c r="AJ124" i="9" s="1"/>
  <c r="AI86" i="9"/>
  <c r="AN86" i="9" s="1"/>
  <c r="AO86" i="9" s="1"/>
  <c r="AI38" i="9"/>
  <c r="AJ38" i="9" s="1"/>
  <c r="AG127" i="9"/>
  <c r="AH126" i="9"/>
  <c r="V124" i="9"/>
  <c r="V86" i="9"/>
  <c r="V38" i="9"/>
  <c r="U124" i="9"/>
  <c r="U86" i="9"/>
  <c r="U38" i="9"/>
  <c r="K126" i="9"/>
  <c r="L125" i="9"/>
  <c r="N124" i="9"/>
  <c r="CF124" i="9"/>
  <c r="N86" i="9"/>
  <c r="CF86" i="9"/>
  <c r="K88" i="9"/>
  <c r="L87" i="9"/>
  <c r="N38" i="9"/>
  <c r="CF38" i="9"/>
  <c r="K40" i="9"/>
  <c r="L39" i="9"/>
  <c r="AX156" i="5"/>
  <c r="AY156" i="5" s="1"/>
  <c r="AX136" i="5"/>
  <c r="AY136" i="5" s="1"/>
  <c r="AX137" i="5"/>
  <c r="AY137" i="5" s="1"/>
  <c r="AS157" i="5"/>
  <c r="AJ158" i="5"/>
  <c r="AN158" i="5"/>
  <c r="AO158" i="5" s="1"/>
  <c r="AG160" i="5"/>
  <c r="AH159" i="5"/>
  <c r="AI159" i="5" s="1"/>
  <c r="AL160" i="5"/>
  <c r="AM159" i="5"/>
  <c r="AQ160" i="5"/>
  <c r="AR159" i="5"/>
  <c r="AV160" i="5"/>
  <c r="AW159" i="5"/>
  <c r="T327" i="9"/>
  <c r="T87" i="9"/>
  <c r="T39" i="9"/>
  <c r="T125" i="9"/>
  <c r="AO370" i="9" l="1"/>
  <c r="AI327" i="9"/>
  <c r="AN327" i="9" s="1"/>
  <c r="V327" i="9"/>
  <c r="AT369" i="9"/>
  <c r="AX579" i="9"/>
  <c r="AY579" i="9" s="1"/>
  <c r="AR328" i="9"/>
  <c r="AQ329" i="9"/>
  <c r="AS580" i="9"/>
  <c r="K585" i="9"/>
  <c r="L584" i="9"/>
  <c r="N583" i="9"/>
  <c r="CF583" i="9"/>
  <c r="U583" i="9"/>
  <c r="AL585" i="9"/>
  <c r="AM584" i="9"/>
  <c r="AI582" i="9"/>
  <c r="AG584" i="9"/>
  <c r="AH583" i="9"/>
  <c r="AW583" i="9"/>
  <c r="AV584" i="9"/>
  <c r="AR584" i="9"/>
  <c r="AQ585" i="9"/>
  <c r="AN581" i="9"/>
  <c r="AO581" i="9" s="1"/>
  <c r="AJ581" i="9"/>
  <c r="AS368" i="9"/>
  <c r="AX370" i="9"/>
  <c r="AY370" i="9" s="1"/>
  <c r="AT398" i="9"/>
  <c r="AX398" i="9"/>
  <c r="AY398" i="9" s="1"/>
  <c r="AO399" i="9"/>
  <c r="AX399" i="9"/>
  <c r="AY399" i="9" s="1"/>
  <c r="AH404" i="9"/>
  <c r="AG405" i="9"/>
  <c r="AS401" i="9"/>
  <c r="AT401" i="9" s="1"/>
  <c r="AR404" i="9"/>
  <c r="AQ405" i="9"/>
  <c r="AN325" i="9"/>
  <c r="AO325" i="9" s="1"/>
  <c r="AM404" i="9"/>
  <c r="AL405" i="9"/>
  <c r="AS324" i="9"/>
  <c r="AT324" i="9" s="1"/>
  <c r="CF403" i="9"/>
  <c r="U403" i="9"/>
  <c r="N403" i="9"/>
  <c r="AN400" i="9"/>
  <c r="AO400" i="9" s="1"/>
  <c r="AI403" i="9"/>
  <c r="K405" i="9"/>
  <c r="L404" i="9"/>
  <c r="AW404" i="9"/>
  <c r="AV405" i="9"/>
  <c r="K329" i="9"/>
  <c r="L328" i="9"/>
  <c r="AX323" i="9"/>
  <c r="AY323" i="9" s="1"/>
  <c r="AL329" i="9"/>
  <c r="AM328" i="9"/>
  <c r="AG329" i="9"/>
  <c r="AH328" i="9"/>
  <c r="AW328" i="9"/>
  <c r="AV329" i="9"/>
  <c r="N327" i="9"/>
  <c r="CF327" i="9"/>
  <c r="U327" i="9"/>
  <c r="V39" i="9"/>
  <c r="AI39" i="9"/>
  <c r="AJ39" i="9" s="1"/>
  <c r="U39" i="9"/>
  <c r="AX122" i="9"/>
  <c r="AY122" i="9" s="1"/>
  <c r="AS37" i="9"/>
  <c r="AT37" i="9" s="1"/>
  <c r="AN38" i="9"/>
  <c r="AO38" i="9" s="1"/>
  <c r="AN124" i="9"/>
  <c r="AO124" i="9" s="1"/>
  <c r="AS123" i="9"/>
  <c r="AT123" i="9" s="1"/>
  <c r="AX36" i="9"/>
  <c r="AY36" i="9" s="1"/>
  <c r="AJ86" i="9"/>
  <c r="AS86" i="9"/>
  <c r="AT86" i="9" s="1"/>
  <c r="AX84" i="9"/>
  <c r="AY84" i="9" s="1"/>
  <c r="AS85" i="9"/>
  <c r="AT85" i="9" s="1"/>
  <c r="AQ43" i="9"/>
  <c r="AR42" i="9"/>
  <c r="AH88" i="9"/>
  <c r="AG89" i="9"/>
  <c r="AQ127" i="9"/>
  <c r="AR126" i="9"/>
  <c r="AV41" i="9"/>
  <c r="AV42" i="9" s="1"/>
  <c r="AW40" i="9"/>
  <c r="AV127" i="9"/>
  <c r="AW126" i="9"/>
  <c r="AV89" i="9"/>
  <c r="AW88" i="9"/>
  <c r="AL41" i="9"/>
  <c r="AL42" i="9" s="1"/>
  <c r="AM40" i="9"/>
  <c r="AL127" i="9"/>
  <c r="AM126" i="9"/>
  <c r="AQ90" i="9"/>
  <c r="AR89" i="9"/>
  <c r="AL89" i="9"/>
  <c r="AM88" i="9"/>
  <c r="AI125" i="9"/>
  <c r="AJ125" i="9" s="1"/>
  <c r="AI87" i="9"/>
  <c r="AG128" i="9"/>
  <c r="AH127" i="9"/>
  <c r="V125" i="9"/>
  <c r="V87" i="9"/>
  <c r="U125" i="9"/>
  <c r="U87" i="9"/>
  <c r="K89" i="9"/>
  <c r="L88" i="9"/>
  <c r="N125" i="9"/>
  <c r="CF125" i="9"/>
  <c r="K127" i="9"/>
  <c r="L126" i="9"/>
  <c r="N87" i="9"/>
  <c r="CF87" i="9"/>
  <c r="N39" i="9"/>
  <c r="CF39" i="9"/>
  <c r="K41" i="9"/>
  <c r="K42" i="9" s="1"/>
  <c r="L40" i="9"/>
  <c r="AS158" i="5"/>
  <c r="AT158" i="5" s="1"/>
  <c r="AT157" i="5"/>
  <c r="AX157" i="5"/>
  <c r="AY157" i="5" s="1"/>
  <c r="AQ161" i="5"/>
  <c r="AR160" i="5"/>
  <c r="AL161" i="5"/>
  <c r="AM160" i="5"/>
  <c r="AV161" i="5"/>
  <c r="AW160" i="5"/>
  <c r="AJ159" i="5"/>
  <c r="AN159" i="5"/>
  <c r="AO159" i="5" s="1"/>
  <c r="AG161" i="5"/>
  <c r="AH160" i="5"/>
  <c r="AI160" i="5" s="1"/>
  <c r="T404" i="9"/>
  <c r="T402" i="9"/>
  <c r="T126" i="9"/>
  <c r="T88" i="9"/>
  <c r="T40" i="9"/>
  <c r="V404" i="9" l="1"/>
  <c r="AJ327" i="9"/>
  <c r="AO327" i="9"/>
  <c r="AS327" i="9"/>
  <c r="AT327" i="9" s="1"/>
  <c r="AR329" i="9"/>
  <c r="AQ330" i="9"/>
  <c r="L585" i="9"/>
  <c r="K586" i="9"/>
  <c r="AT580" i="9"/>
  <c r="AX580" i="9"/>
  <c r="AY580" i="9" s="1"/>
  <c r="AH584" i="9"/>
  <c r="AG585" i="9"/>
  <c r="AN582" i="9"/>
  <c r="AO582" i="9" s="1"/>
  <c r="AJ582" i="9"/>
  <c r="AM585" i="9"/>
  <c r="AL586" i="9"/>
  <c r="AS581" i="9"/>
  <c r="AQ586" i="9"/>
  <c r="AR585" i="9"/>
  <c r="AW584" i="9"/>
  <c r="AV585" i="9"/>
  <c r="U584" i="9"/>
  <c r="CF584" i="9"/>
  <c r="N584" i="9"/>
  <c r="AI583" i="9"/>
  <c r="AT368" i="9"/>
  <c r="AX368" i="9"/>
  <c r="AY368" i="9" s="1"/>
  <c r="AX324" i="9"/>
  <c r="AY324" i="9" s="1"/>
  <c r="AI402" i="9"/>
  <c r="AJ402" i="9" s="1"/>
  <c r="V402" i="9"/>
  <c r="U402" i="9"/>
  <c r="AW405" i="9"/>
  <c r="AV406" i="9"/>
  <c r="AV407" i="9" s="1"/>
  <c r="AN403" i="9"/>
  <c r="AO403" i="9" s="1"/>
  <c r="AJ403" i="9"/>
  <c r="AQ406" i="9"/>
  <c r="AQ407" i="9" s="1"/>
  <c r="AR405" i="9"/>
  <c r="N328" i="9"/>
  <c r="CF328" i="9"/>
  <c r="L329" i="9"/>
  <c r="K330" i="9"/>
  <c r="AG330" i="9"/>
  <c r="AH329" i="9"/>
  <c r="AL406" i="9"/>
  <c r="AL407" i="9" s="1"/>
  <c r="AM405" i="9"/>
  <c r="CF404" i="9"/>
  <c r="N404" i="9"/>
  <c r="U404" i="9"/>
  <c r="AS400" i="9"/>
  <c r="AT400" i="9" s="1"/>
  <c r="AM329" i="9"/>
  <c r="AL330" i="9"/>
  <c r="L405" i="9"/>
  <c r="K406" i="9"/>
  <c r="K407" i="9" s="1"/>
  <c r="AX401" i="9"/>
  <c r="AY401" i="9" s="1"/>
  <c r="AS325" i="9"/>
  <c r="AT325" i="9" s="1"/>
  <c r="AH405" i="9"/>
  <c r="AG406" i="9"/>
  <c r="AG407" i="9" s="1"/>
  <c r="AI404" i="9"/>
  <c r="AJ404" i="9" s="1"/>
  <c r="AV330" i="9"/>
  <c r="AW329" i="9"/>
  <c r="AN39" i="9"/>
  <c r="AX37" i="9"/>
  <c r="AY37" i="9" s="1"/>
  <c r="AX123" i="9"/>
  <c r="AY123" i="9" s="1"/>
  <c r="AS38" i="9"/>
  <c r="AT38" i="9" s="1"/>
  <c r="AN125" i="9"/>
  <c r="AO125" i="9" s="1"/>
  <c r="AS124" i="9"/>
  <c r="AT124" i="9" s="1"/>
  <c r="AX85" i="9"/>
  <c r="AY85" i="9" s="1"/>
  <c r="AN87" i="9"/>
  <c r="AO87" i="9" s="1"/>
  <c r="AX86" i="9"/>
  <c r="AY86" i="9" s="1"/>
  <c r="AJ87" i="9"/>
  <c r="AL90" i="9"/>
  <c r="AM89" i="9"/>
  <c r="AQ91" i="9"/>
  <c r="AR90" i="9"/>
  <c r="AL128" i="9"/>
  <c r="AM127" i="9"/>
  <c r="AL43" i="9"/>
  <c r="AM42" i="9"/>
  <c r="AV90" i="9"/>
  <c r="AW89" i="9"/>
  <c r="AV128" i="9"/>
  <c r="AW127" i="9"/>
  <c r="AV43" i="9"/>
  <c r="AW42" i="9"/>
  <c r="AQ128" i="9"/>
  <c r="AR127" i="9"/>
  <c r="AG90" i="9"/>
  <c r="AH89" i="9"/>
  <c r="AQ44" i="9"/>
  <c r="AR43" i="9"/>
  <c r="AI40" i="9"/>
  <c r="AJ40" i="9" s="1"/>
  <c r="AI88" i="9"/>
  <c r="AN88" i="9" s="1"/>
  <c r="AO88" i="9" s="1"/>
  <c r="AI126" i="9"/>
  <c r="AJ126" i="9" s="1"/>
  <c r="AG129" i="9"/>
  <c r="AH128" i="9"/>
  <c r="X27" i="9"/>
  <c r="V40" i="9"/>
  <c r="V88" i="9"/>
  <c r="V126" i="9"/>
  <c r="U40" i="9"/>
  <c r="U88" i="9"/>
  <c r="U126" i="9"/>
  <c r="N126" i="9"/>
  <c r="CF126" i="9"/>
  <c r="N40" i="9"/>
  <c r="CF40" i="9"/>
  <c r="K128" i="9"/>
  <c r="L127" i="9"/>
  <c r="K43" i="9"/>
  <c r="L42" i="9"/>
  <c r="N88" i="9"/>
  <c r="CF88" i="9"/>
  <c r="K90" i="9"/>
  <c r="L89" i="9"/>
  <c r="AX158" i="5"/>
  <c r="AY158" i="5" s="1"/>
  <c r="AS159" i="5"/>
  <c r="AT159" i="5" s="1"/>
  <c r="AG162" i="5"/>
  <c r="AH161" i="5"/>
  <c r="AI161" i="5" s="1"/>
  <c r="AV162" i="5"/>
  <c r="AW161" i="5"/>
  <c r="AL162" i="5"/>
  <c r="AM161" i="5"/>
  <c r="AJ160" i="5"/>
  <c r="AN160" i="5"/>
  <c r="AO160" i="5" s="1"/>
  <c r="AQ162" i="5"/>
  <c r="AR161" i="5"/>
  <c r="T89" i="9"/>
  <c r="T42" i="9"/>
  <c r="T127" i="9"/>
  <c r="T329" i="9"/>
  <c r="AX327" i="9" l="1"/>
  <c r="AY327" i="9" s="1"/>
  <c r="AN402" i="9"/>
  <c r="AO402" i="9" s="1"/>
  <c r="V329" i="9"/>
  <c r="AI329" i="9"/>
  <c r="AJ329" i="9" s="1"/>
  <c r="AR330" i="9"/>
  <c r="AQ331" i="9"/>
  <c r="AV586" i="9"/>
  <c r="AW585" i="9"/>
  <c r="AS582" i="9"/>
  <c r="AT582" i="9" s="1"/>
  <c r="AH585" i="9"/>
  <c r="AG586" i="9"/>
  <c r="AI584" i="9"/>
  <c r="AJ584" i="9" s="1"/>
  <c r="AQ587" i="9"/>
  <c r="AR586" i="9"/>
  <c r="AT581" i="9"/>
  <c r="AX581" i="9"/>
  <c r="AY581" i="9" s="1"/>
  <c r="L586" i="9"/>
  <c r="K587" i="9"/>
  <c r="AN583" i="9"/>
  <c r="AO583" i="9" s="1"/>
  <c r="AM586" i="9"/>
  <c r="AL587" i="9"/>
  <c r="CF585" i="9"/>
  <c r="U585" i="9"/>
  <c r="N585" i="9"/>
  <c r="AJ583" i="9"/>
  <c r="AX325" i="9"/>
  <c r="AY325" i="9" s="1"/>
  <c r="AL408" i="9"/>
  <c r="AM407" i="9"/>
  <c r="AQ408" i="9"/>
  <c r="AR407" i="9"/>
  <c r="K408" i="9"/>
  <c r="L407" i="9"/>
  <c r="AX400" i="9"/>
  <c r="AY400" i="9" s="1"/>
  <c r="CF405" i="9"/>
  <c r="N405" i="9"/>
  <c r="AW330" i="9"/>
  <c r="AV331" i="9"/>
  <c r="AM330" i="9"/>
  <c r="AL331" i="9"/>
  <c r="AN404" i="9"/>
  <c r="AO404" i="9" s="1"/>
  <c r="AG331" i="9"/>
  <c r="AH330" i="9"/>
  <c r="AS403" i="9"/>
  <c r="L330" i="9"/>
  <c r="K331" i="9"/>
  <c r="U329" i="9"/>
  <c r="N329" i="9"/>
  <c r="CF329" i="9"/>
  <c r="AV408" i="9"/>
  <c r="AW407" i="9"/>
  <c r="AG408" i="9"/>
  <c r="AH407" i="9"/>
  <c r="AS39" i="9"/>
  <c r="AO39" i="9"/>
  <c r="V127" i="9"/>
  <c r="AI127" i="9"/>
  <c r="AJ127" i="9" s="1"/>
  <c r="U127" i="9"/>
  <c r="AX38" i="9"/>
  <c r="AY38" i="9" s="1"/>
  <c r="AS125" i="9"/>
  <c r="AT125" i="9" s="1"/>
  <c r="AS87" i="9"/>
  <c r="AT87" i="9" s="1"/>
  <c r="AX124" i="9"/>
  <c r="AY124" i="9" s="1"/>
  <c r="AS88" i="9"/>
  <c r="AT88" i="9" s="1"/>
  <c r="AN40" i="9"/>
  <c r="AO40" i="9" s="1"/>
  <c r="AN126" i="9"/>
  <c r="AJ88" i="9"/>
  <c r="AQ45" i="9"/>
  <c r="AR44" i="9"/>
  <c r="AG91" i="9"/>
  <c r="AH90" i="9"/>
  <c r="AQ129" i="9"/>
  <c r="AR128" i="9"/>
  <c r="AV44" i="9"/>
  <c r="AW43" i="9"/>
  <c r="AV129" i="9"/>
  <c r="AW128" i="9"/>
  <c r="AV91" i="9"/>
  <c r="AW90" i="9"/>
  <c r="AL44" i="9"/>
  <c r="AM43" i="9"/>
  <c r="AL129" i="9"/>
  <c r="AM128" i="9"/>
  <c r="AQ92" i="9"/>
  <c r="AR91" i="9"/>
  <c r="AL91" i="9"/>
  <c r="AM90" i="9"/>
  <c r="AI89" i="9"/>
  <c r="AN89" i="9" s="1"/>
  <c r="AO89" i="9" s="1"/>
  <c r="AI42" i="9"/>
  <c r="AJ42" i="9" s="1"/>
  <c r="AG130" i="9"/>
  <c r="AG131" i="9" s="1"/>
  <c r="AH129" i="9"/>
  <c r="W27" i="9"/>
  <c r="V89" i="9"/>
  <c r="V42" i="9"/>
  <c r="U89" i="9"/>
  <c r="U42" i="9"/>
  <c r="K91" i="9"/>
  <c r="L90" i="9"/>
  <c r="N42" i="9"/>
  <c r="CF42" i="9"/>
  <c r="K44" i="9"/>
  <c r="L43" i="9"/>
  <c r="N127" i="9"/>
  <c r="CF127" i="9"/>
  <c r="K129" i="9"/>
  <c r="L128" i="9"/>
  <c r="N89" i="9"/>
  <c r="CF89" i="9"/>
  <c r="AX159" i="5"/>
  <c r="AY159" i="5" s="1"/>
  <c r="AQ163" i="5"/>
  <c r="AR162" i="5"/>
  <c r="AS160" i="5"/>
  <c r="AT160" i="5" s="1"/>
  <c r="AL163" i="5"/>
  <c r="AM162" i="5"/>
  <c r="AV163" i="5"/>
  <c r="AW162" i="5"/>
  <c r="AJ161" i="5"/>
  <c r="AN161" i="5"/>
  <c r="AO161" i="5" s="1"/>
  <c r="AG163" i="5"/>
  <c r="AH162" i="5"/>
  <c r="AI162" i="5" s="1"/>
  <c r="T128" i="9"/>
  <c r="T330" i="9"/>
  <c r="T328" i="9"/>
  <c r="T43" i="9"/>
  <c r="T90" i="9"/>
  <c r="AS402" i="9" l="1"/>
  <c r="AT402" i="9" s="1"/>
  <c r="AN329" i="9"/>
  <c r="AS329" i="9" s="1"/>
  <c r="AT329" i="9" s="1"/>
  <c r="AX582" i="9"/>
  <c r="AY582" i="9" s="1"/>
  <c r="V330" i="9"/>
  <c r="AR331" i="9"/>
  <c r="AQ332" i="9"/>
  <c r="AQ333" i="9" s="1"/>
  <c r="AQ588" i="9"/>
  <c r="AR587" i="9"/>
  <c r="AM587" i="9"/>
  <c r="AL588" i="9"/>
  <c r="AN584" i="9"/>
  <c r="AO584" i="9" s="1"/>
  <c r="AG587" i="9"/>
  <c r="AH586" i="9"/>
  <c r="AS583" i="9"/>
  <c r="AT583" i="9" s="1"/>
  <c r="AI585" i="9"/>
  <c r="L587" i="9"/>
  <c r="K588" i="9"/>
  <c r="CF586" i="9"/>
  <c r="N586" i="9"/>
  <c r="U586" i="9"/>
  <c r="AW586" i="9"/>
  <c r="AV587" i="9"/>
  <c r="V328" i="9"/>
  <c r="AI328" i="9"/>
  <c r="AJ328" i="9" s="1"/>
  <c r="U328" i="9"/>
  <c r="AQ409" i="9"/>
  <c r="AR408" i="9"/>
  <c r="AT403" i="9"/>
  <c r="AX403" i="9"/>
  <c r="AY403" i="9" s="1"/>
  <c r="AL409" i="9"/>
  <c r="AM408" i="9"/>
  <c r="AG332" i="9"/>
  <c r="AG333" i="9" s="1"/>
  <c r="AH331" i="9"/>
  <c r="AI330" i="9"/>
  <c r="AG409" i="9"/>
  <c r="AH408" i="9"/>
  <c r="AS404" i="9"/>
  <c r="AT404" i="9" s="1"/>
  <c r="N407" i="9"/>
  <c r="CF407" i="9"/>
  <c r="L331" i="9"/>
  <c r="K332" i="9"/>
  <c r="K333" i="9" s="1"/>
  <c r="AW408" i="9"/>
  <c r="AV409" i="9"/>
  <c r="AL332" i="9"/>
  <c r="AL333" i="9" s="1"/>
  <c r="AM331" i="9"/>
  <c r="K409" i="9"/>
  <c r="L408" i="9"/>
  <c r="U330" i="9"/>
  <c r="N330" i="9"/>
  <c r="CF330" i="9"/>
  <c r="AW331" i="9"/>
  <c r="AV332" i="9"/>
  <c r="AV333" i="9" s="1"/>
  <c r="AN127" i="9"/>
  <c r="AO127" i="9" s="1"/>
  <c r="AT39" i="9"/>
  <c r="AX39" i="9"/>
  <c r="AY39" i="9" s="1"/>
  <c r="AN42" i="9"/>
  <c r="AO42" i="9" s="1"/>
  <c r="AX88" i="9"/>
  <c r="AY88" i="9" s="1"/>
  <c r="AX125" i="9"/>
  <c r="AY125" i="9" s="1"/>
  <c r="AX87" i="9"/>
  <c r="AY87" i="9" s="1"/>
  <c r="AS40" i="9"/>
  <c r="AS89" i="9"/>
  <c r="AT89" i="9" s="1"/>
  <c r="AJ89" i="9"/>
  <c r="AO126" i="9"/>
  <c r="AS126" i="9"/>
  <c r="AT126" i="9" s="1"/>
  <c r="AL92" i="9"/>
  <c r="AM91" i="9"/>
  <c r="AQ93" i="9"/>
  <c r="AR92" i="9"/>
  <c r="AL130" i="9"/>
  <c r="AL131" i="9" s="1"/>
  <c r="AM129" i="9"/>
  <c r="AL45" i="9"/>
  <c r="AM44" i="9"/>
  <c r="AV92" i="9"/>
  <c r="AW91" i="9"/>
  <c r="AV130" i="9"/>
  <c r="AV131" i="9" s="1"/>
  <c r="AW129" i="9"/>
  <c r="AV45" i="9"/>
  <c r="AW44" i="9"/>
  <c r="AQ130" i="9"/>
  <c r="AQ131" i="9" s="1"/>
  <c r="AR129" i="9"/>
  <c r="AG92" i="9"/>
  <c r="AH91" i="9"/>
  <c r="AQ46" i="9"/>
  <c r="AR45" i="9"/>
  <c r="AI90" i="9"/>
  <c r="AN90" i="9" s="1"/>
  <c r="AO90" i="9" s="1"/>
  <c r="AI128" i="9"/>
  <c r="AJ128" i="9" s="1"/>
  <c r="AI43" i="9"/>
  <c r="AJ43" i="9" s="1"/>
  <c r="AG132" i="9"/>
  <c r="AH131" i="9"/>
  <c r="V90" i="9"/>
  <c r="V128" i="9"/>
  <c r="V43" i="9"/>
  <c r="U90" i="9"/>
  <c r="U128" i="9"/>
  <c r="U43" i="9"/>
  <c r="N90" i="9"/>
  <c r="CF90" i="9"/>
  <c r="K92" i="9"/>
  <c r="L91" i="9"/>
  <c r="N128" i="9"/>
  <c r="CF128" i="9"/>
  <c r="K130" i="9"/>
  <c r="K131" i="9" s="1"/>
  <c r="L129" i="9"/>
  <c r="N43" i="9"/>
  <c r="CF43" i="9"/>
  <c r="K45" i="9"/>
  <c r="L44" i="9"/>
  <c r="AS161" i="5"/>
  <c r="AX160" i="5"/>
  <c r="AY160" i="5" s="1"/>
  <c r="AV164" i="5"/>
  <c r="AW163" i="5"/>
  <c r="AL164" i="5"/>
  <c r="AM163" i="5"/>
  <c r="AJ162" i="5"/>
  <c r="AN162" i="5"/>
  <c r="AO162" i="5" s="1"/>
  <c r="AG164" i="5"/>
  <c r="AH163" i="5"/>
  <c r="AI163" i="5" s="1"/>
  <c r="AQ164" i="5"/>
  <c r="AR163" i="5"/>
  <c r="T331" i="9"/>
  <c r="T405" i="9"/>
  <c r="T44" i="9"/>
  <c r="T91" i="9"/>
  <c r="T129" i="9"/>
  <c r="AX402" i="9" l="1"/>
  <c r="AY402" i="9" s="1"/>
  <c r="AO329" i="9"/>
  <c r="AX329" i="9"/>
  <c r="AY329" i="9" s="1"/>
  <c r="AX583" i="9"/>
  <c r="AY583" i="9" s="1"/>
  <c r="AI331" i="9"/>
  <c r="AJ331" i="9" s="1"/>
  <c r="V331" i="9"/>
  <c r="AQ334" i="9"/>
  <c r="AR333" i="9"/>
  <c r="AM588" i="9"/>
  <c r="AL589" i="9"/>
  <c r="CF587" i="9"/>
  <c r="N587" i="9"/>
  <c r="U587" i="9"/>
  <c r="AN585" i="9"/>
  <c r="AO585" i="9" s="1"/>
  <c r="AR588" i="9"/>
  <c r="AQ589" i="9"/>
  <c r="AJ585" i="9"/>
  <c r="L588" i="9"/>
  <c r="K589" i="9"/>
  <c r="AW587" i="9"/>
  <c r="AV588" i="9"/>
  <c r="AI586" i="9"/>
  <c r="AH587" i="9"/>
  <c r="AG588" i="9"/>
  <c r="AS584" i="9"/>
  <c r="AI405" i="9"/>
  <c r="AJ405" i="9" s="1"/>
  <c r="V405" i="9"/>
  <c r="U405" i="9"/>
  <c r="X397" i="9"/>
  <c r="AV334" i="9"/>
  <c r="AW333" i="9"/>
  <c r="AH409" i="9"/>
  <c r="AG410" i="9"/>
  <c r="L333" i="9"/>
  <c r="K334" i="9"/>
  <c r="AN330" i="9"/>
  <c r="AO330" i="9" s="1"/>
  <c r="AR409" i="9"/>
  <c r="AQ410" i="9"/>
  <c r="CF408" i="9"/>
  <c r="N408" i="9"/>
  <c r="U331" i="9"/>
  <c r="N331" i="9"/>
  <c r="CF331" i="9"/>
  <c r="K410" i="9"/>
  <c r="L409" i="9"/>
  <c r="AG334" i="9"/>
  <c r="AH333" i="9"/>
  <c r="AM333" i="9"/>
  <c r="AL334" i="9"/>
  <c r="AX404" i="9"/>
  <c r="AY404" i="9" s="1"/>
  <c r="AM409" i="9"/>
  <c r="AL410" i="9"/>
  <c r="AN328" i="9"/>
  <c r="AO328" i="9" s="1"/>
  <c r="AW409" i="9"/>
  <c r="AV410" i="9"/>
  <c r="AJ330" i="9"/>
  <c r="AS127" i="9"/>
  <c r="AT127" i="9" s="1"/>
  <c r="AX89" i="9"/>
  <c r="AY89" i="9" s="1"/>
  <c r="AS42" i="9"/>
  <c r="AX42" i="9" s="1"/>
  <c r="AY42" i="9" s="1"/>
  <c r="AS90" i="9"/>
  <c r="AT90" i="9" s="1"/>
  <c r="AT40" i="9"/>
  <c r="AX40" i="9"/>
  <c r="AY40" i="9" s="1"/>
  <c r="AJ90" i="9"/>
  <c r="AN43" i="9"/>
  <c r="AO43" i="9" s="1"/>
  <c r="AX126" i="9"/>
  <c r="AY126" i="9" s="1"/>
  <c r="AN128" i="9"/>
  <c r="AO128" i="9" s="1"/>
  <c r="AQ47" i="9"/>
  <c r="AQ48" i="9" s="1"/>
  <c r="AR46" i="9"/>
  <c r="AG93" i="9"/>
  <c r="AH92" i="9"/>
  <c r="AQ132" i="9"/>
  <c r="AR131" i="9"/>
  <c r="AV46" i="9"/>
  <c r="AW45" i="9"/>
  <c r="AV132" i="9"/>
  <c r="AW131" i="9"/>
  <c r="AV93" i="9"/>
  <c r="AW92" i="9"/>
  <c r="AL46" i="9"/>
  <c r="AM45" i="9"/>
  <c r="AL132" i="9"/>
  <c r="AM131" i="9"/>
  <c r="AQ94" i="9"/>
  <c r="AR94" i="9" s="1"/>
  <c r="AR93" i="9"/>
  <c r="AL93" i="9"/>
  <c r="AM92" i="9"/>
  <c r="AI129" i="9"/>
  <c r="AJ129" i="9" s="1"/>
  <c r="AI44" i="9"/>
  <c r="AJ44" i="9" s="1"/>
  <c r="AI91" i="9"/>
  <c r="AN91" i="9" s="1"/>
  <c r="AG133" i="9"/>
  <c r="AH132" i="9"/>
  <c r="X121" i="9"/>
  <c r="V129" i="9"/>
  <c r="V44" i="9"/>
  <c r="V91" i="9"/>
  <c r="U129" i="9"/>
  <c r="U44" i="9"/>
  <c r="U91" i="9"/>
  <c r="N91" i="9"/>
  <c r="CF91" i="9"/>
  <c r="K46" i="9"/>
  <c r="L45" i="9"/>
  <c r="K93" i="9"/>
  <c r="L92" i="9"/>
  <c r="N44" i="9"/>
  <c r="CF44" i="9"/>
  <c r="N129" i="9"/>
  <c r="CF129" i="9"/>
  <c r="K132" i="9"/>
  <c r="L131" i="9"/>
  <c r="AS162" i="5"/>
  <c r="AT162" i="5" s="1"/>
  <c r="AT161" i="5"/>
  <c r="AX161" i="5"/>
  <c r="AY161" i="5" s="1"/>
  <c r="AG165" i="5"/>
  <c r="AH164" i="5"/>
  <c r="AI164" i="5" s="1"/>
  <c r="AL165" i="5"/>
  <c r="AM164" i="5"/>
  <c r="AQ165" i="5"/>
  <c r="AR164" i="5"/>
  <c r="AJ163" i="5"/>
  <c r="AN163" i="5"/>
  <c r="AO163" i="5" s="1"/>
  <c r="AV165" i="5"/>
  <c r="AW164" i="5"/>
  <c r="T407" i="9"/>
  <c r="T333" i="9"/>
  <c r="T92" i="9"/>
  <c r="T409" i="9"/>
  <c r="T45" i="9"/>
  <c r="T131" i="9"/>
  <c r="V409" i="9" l="1"/>
  <c r="AN331" i="9"/>
  <c r="AO331" i="9" s="1"/>
  <c r="AI333" i="9"/>
  <c r="AN333" i="9" s="1"/>
  <c r="AS333" i="9" s="1"/>
  <c r="AT333" i="9" s="1"/>
  <c r="V333" i="9"/>
  <c r="AR334" i="9"/>
  <c r="AQ335" i="9"/>
  <c r="L589" i="9"/>
  <c r="K590" i="9"/>
  <c r="L590" i="9" s="1"/>
  <c r="U588" i="9"/>
  <c r="N588" i="9"/>
  <c r="CF588" i="9"/>
  <c r="AM589" i="9"/>
  <c r="AL590" i="9"/>
  <c r="AM590" i="9" s="1"/>
  <c r="AQ590" i="9"/>
  <c r="AR590" i="9" s="1"/>
  <c r="AR589" i="9"/>
  <c r="AT584" i="9"/>
  <c r="AX584" i="9"/>
  <c r="AY584" i="9" s="1"/>
  <c r="AG589" i="9"/>
  <c r="AH588" i="9"/>
  <c r="AS585" i="9"/>
  <c r="AT585" i="9" s="1"/>
  <c r="AN586" i="9"/>
  <c r="AO586" i="9" s="1"/>
  <c r="AJ586" i="9"/>
  <c r="AI587" i="9"/>
  <c r="AW588" i="9"/>
  <c r="AV589" i="9"/>
  <c r="AN405" i="9"/>
  <c r="AO405" i="9" s="1"/>
  <c r="AI407" i="9"/>
  <c r="AJ407" i="9" s="1"/>
  <c r="V407" i="9"/>
  <c r="U407" i="9"/>
  <c r="AW334" i="9"/>
  <c r="AV335" i="9"/>
  <c r="AV411" i="9"/>
  <c r="AW410" i="9"/>
  <c r="AH334" i="9"/>
  <c r="AG335" i="9"/>
  <c r="AS330" i="9"/>
  <c r="AT330" i="9" s="1"/>
  <c r="N409" i="9"/>
  <c r="U409" i="9"/>
  <c r="CF409" i="9"/>
  <c r="K411" i="9"/>
  <c r="L410" i="9"/>
  <c r="L334" i="9"/>
  <c r="K335" i="9"/>
  <c r="AS328" i="9"/>
  <c r="AT328" i="9" s="1"/>
  <c r="AG411" i="9"/>
  <c r="AH410" i="9"/>
  <c r="AM410" i="9"/>
  <c r="AL411" i="9"/>
  <c r="N333" i="9"/>
  <c r="CF333" i="9"/>
  <c r="U333" i="9"/>
  <c r="W121" i="9"/>
  <c r="AI409" i="9"/>
  <c r="AJ409" i="9" s="1"/>
  <c r="AL335" i="9"/>
  <c r="AM334" i="9"/>
  <c r="AQ411" i="9"/>
  <c r="AR410" i="9"/>
  <c r="AX127" i="9"/>
  <c r="AY127" i="9" s="1"/>
  <c r="AT42" i="9"/>
  <c r="AJ91" i="9"/>
  <c r="AO91" i="9"/>
  <c r="AS91" i="9"/>
  <c r="AT91" i="9" s="1"/>
  <c r="AN44" i="9"/>
  <c r="AO44" i="9" s="1"/>
  <c r="AS43" i="9"/>
  <c r="AX90" i="9"/>
  <c r="AY90" i="9" s="1"/>
  <c r="AS128" i="9"/>
  <c r="AT128" i="9" s="1"/>
  <c r="AN129" i="9"/>
  <c r="AO129" i="9" s="1"/>
  <c r="AG94" i="9"/>
  <c r="AH94" i="9" s="1"/>
  <c r="AH93" i="9"/>
  <c r="AL94" i="9"/>
  <c r="AM94" i="9" s="1"/>
  <c r="AM93" i="9"/>
  <c r="AL133" i="9"/>
  <c r="AM132" i="9"/>
  <c r="AL47" i="9"/>
  <c r="AL48" i="9" s="1"/>
  <c r="AM46" i="9"/>
  <c r="AV94" i="9"/>
  <c r="AW94" i="9" s="1"/>
  <c r="AW93" i="9"/>
  <c r="AV133" i="9"/>
  <c r="AW132" i="9"/>
  <c r="AV47" i="9"/>
  <c r="AV48" i="9" s="1"/>
  <c r="AW46" i="9"/>
  <c r="AQ133" i="9"/>
  <c r="AR132" i="9"/>
  <c r="AQ49" i="9"/>
  <c r="AR48" i="9"/>
  <c r="AI131" i="9"/>
  <c r="AJ131" i="9" s="1"/>
  <c r="AI92" i="9"/>
  <c r="AJ92" i="9" s="1"/>
  <c r="AI45" i="9"/>
  <c r="AJ45" i="9" s="1"/>
  <c r="AG134" i="9"/>
  <c r="AH133" i="9"/>
  <c r="V131" i="9"/>
  <c r="V92" i="9"/>
  <c r="V45" i="9"/>
  <c r="U131" i="9"/>
  <c r="U92" i="9"/>
  <c r="U45" i="9"/>
  <c r="K94" i="9"/>
  <c r="L94" i="9" s="1"/>
  <c r="L93" i="9"/>
  <c r="N92" i="9"/>
  <c r="CF92" i="9"/>
  <c r="N131" i="9"/>
  <c r="CF131" i="9"/>
  <c r="N45" i="9"/>
  <c r="CF45" i="9"/>
  <c r="K47" i="9"/>
  <c r="K48" i="9" s="1"/>
  <c r="L46" i="9"/>
  <c r="K133" i="9"/>
  <c r="L132" i="9"/>
  <c r="AX162" i="5"/>
  <c r="AY162" i="5" s="1"/>
  <c r="AS163" i="5"/>
  <c r="AT163" i="5" s="1"/>
  <c r="AV166" i="5"/>
  <c r="AW166" i="5" s="1"/>
  <c r="AW165" i="5"/>
  <c r="AQ166" i="5"/>
  <c r="AR166" i="5" s="1"/>
  <c r="AR165" i="5"/>
  <c r="AL166" i="5"/>
  <c r="AM166" i="5" s="1"/>
  <c r="AM165" i="5"/>
  <c r="AJ164" i="5"/>
  <c r="AN164" i="5"/>
  <c r="AO164" i="5" s="1"/>
  <c r="AG166" i="5"/>
  <c r="AH166" i="5" s="1"/>
  <c r="AI166" i="5" s="1"/>
  <c r="AH165" i="5"/>
  <c r="AI165" i="5" s="1"/>
  <c r="T408" i="9"/>
  <c r="T46" i="9"/>
  <c r="T334" i="9"/>
  <c r="T93" i="9"/>
  <c r="T94" i="9"/>
  <c r="T132" i="9"/>
  <c r="AS331" i="9" l="1"/>
  <c r="AT331" i="9" s="1"/>
  <c r="AN407" i="9"/>
  <c r="AO407" i="9" s="1"/>
  <c r="AS586" i="9"/>
  <c r="AT586" i="9" s="1"/>
  <c r="V334" i="9"/>
  <c r="AJ333" i="9"/>
  <c r="AX585" i="9"/>
  <c r="AY585" i="9" s="1"/>
  <c r="AR335" i="9"/>
  <c r="AQ336" i="9"/>
  <c r="AS405" i="9"/>
  <c r="AT405" i="9" s="1"/>
  <c r="U589" i="9"/>
  <c r="N589" i="9"/>
  <c r="CF589" i="9"/>
  <c r="AN587" i="9"/>
  <c r="AO587" i="9" s="1"/>
  <c r="AJ587" i="9"/>
  <c r="AI588" i="9"/>
  <c r="AJ588" i="9" s="1"/>
  <c r="AH589" i="9"/>
  <c r="AG590" i="9"/>
  <c r="AH590" i="9" s="1"/>
  <c r="U590" i="9"/>
  <c r="N590" i="9"/>
  <c r="X577" i="9"/>
  <c r="AV590" i="9"/>
  <c r="AW590" i="9" s="1"/>
  <c r="AW589" i="9"/>
  <c r="AX330" i="9"/>
  <c r="AY330" i="9" s="1"/>
  <c r="V408" i="9"/>
  <c r="AI408" i="9"/>
  <c r="AJ408" i="9" s="1"/>
  <c r="U408" i="9"/>
  <c r="AO333" i="9"/>
  <c r="AM335" i="9"/>
  <c r="AL336" i="9"/>
  <c r="AH411" i="9"/>
  <c r="AG412" i="9"/>
  <c r="AN409" i="9"/>
  <c r="AO409" i="9" s="1"/>
  <c r="AX328" i="9"/>
  <c r="AY328" i="9" s="1"/>
  <c r="AG336" i="9"/>
  <c r="AH335" i="9"/>
  <c r="AW411" i="9"/>
  <c r="AV412" i="9"/>
  <c r="CF410" i="9"/>
  <c r="N410" i="9"/>
  <c r="AV336" i="9"/>
  <c r="AW335" i="9"/>
  <c r="K336" i="9"/>
  <c r="L335" i="9"/>
  <c r="U334" i="9"/>
  <c r="CF334" i="9"/>
  <c r="N334" i="9"/>
  <c r="AI334" i="9"/>
  <c r="AJ334" i="9" s="1"/>
  <c r="AR411" i="9"/>
  <c r="AQ412" i="9"/>
  <c r="K412" i="9"/>
  <c r="L411" i="9"/>
  <c r="AL412" i="9"/>
  <c r="AM411" i="9"/>
  <c r="AX333" i="9"/>
  <c r="AY333" i="9" s="1"/>
  <c r="AI46" i="9"/>
  <c r="AJ46" i="9" s="1"/>
  <c r="V46" i="9"/>
  <c r="W41" i="9" s="1"/>
  <c r="X41" i="9"/>
  <c r="U46" i="9"/>
  <c r="AX91" i="9"/>
  <c r="AY91" i="9" s="1"/>
  <c r="AS44" i="9"/>
  <c r="AX44" i="9" s="1"/>
  <c r="AY44" i="9" s="1"/>
  <c r="AN92" i="9"/>
  <c r="AO92" i="9" s="1"/>
  <c r="AN45" i="9"/>
  <c r="AO45" i="9" s="1"/>
  <c r="AX128" i="9"/>
  <c r="AY128" i="9" s="1"/>
  <c r="AT43" i="9"/>
  <c r="AX43" i="9"/>
  <c r="AY43" i="9" s="1"/>
  <c r="AS129" i="9"/>
  <c r="AN131" i="9"/>
  <c r="AO131" i="9" s="1"/>
  <c r="AQ50" i="9"/>
  <c r="AR49" i="9"/>
  <c r="AQ134" i="9"/>
  <c r="AR133" i="9"/>
  <c r="AV49" i="9"/>
  <c r="AW48" i="9"/>
  <c r="AV134" i="9"/>
  <c r="AW133" i="9"/>
  <c r="AL49" i="9"/>
  <c r="AM48" i="9"/>
  <c r="AL134" i="9"/>
  <c r="AM133" i="9"/>
  <c r="AI132" i="9"/>
  <c r="AJ132" i="9" s="1"/>
  <c r="AI93" i="9"/>
  <c r="AJ93" i="9" s="1"/>
  <c r="AI94" i="9"/>
  <c r="AJ94" i="9" s="1"/>
  <c r="AG135" i="9"/>
  <c r="AH134" i="9"/>
  <c r="V132" i="9"/>
  <c r="V93" i="9"/>
  <c r="V94" i="9"/>
  <c r="U132" i="9"/>
  <c r="U93" i="9"/>
  <c r="U94" i="9"/>
  <c r="N93" i="9"/>
  <c r="CF93" i="9"/>
  <c r="N46" i="9"/>
  <c r="CF46" i="9"/>
  <c r="K49" i="9"/>
  <c r="L48" i="9"/>
  <c r="N132" i="9"/>
  <c r="CF132" i="9"/>
  <c r="K134" i="9"/>
  <c r="L133" i="9"/>
  <c r="N94" i="9"/>
  <c r="CF94" i="9"/>
  <c r="AX163" i="5"/>
  <c r="AY163" i="5" s="1"/>
  <c r="AJ165" i="5"/>
  <c r="AN165" i="5"/>
  <c r="AO165" i="5" s="1"/>
  <c r="AS164" i="5"/>
  <c r="AJ166" i="5"/>
  <c r="AN166" i="5"/>
  <c r="AO166" i="5" s="1"/>
  <c r="T48" i="9"/>
  <c r="T133" i="9"/>
  <c r="T335" i="9"/>
  <c r="AX586" i="9" l="1"/>
  <c r="AY586" i="9" s="1"/>
  <c r="AS407" i="9"/>
  <c r="AT407" i="9" s="1"/>
  <c r="AX331" i="9"/>
  <c r="AY331" i="9" s="1"/>
  <c r="AX405" i="9"/>
  <c r="AY405" i="9" s="1"/>
  <c r="V335" i="9"/>
  <c r="AS587" i="9"/>
  <c r="AT587" i="9" s="1"/>
  <c r="AQ337" i="9"/>
  <c r="AR337" i="9" s="1"/>
  <c r="AR336" i="9"/>
  <c r="AI590" i="9"/>
  <c r="AJ590" i="9" s="1"/>
  <c r="AI589" i="9"/>
  <c r="AN588" i="9"/>
  <c r="AO588" i="9" s="1"/>
  <c r="AN408" i="9"/>
  <c r="AO408" i="9" s="1"/>
  <c r="AL413" i="9"/>
  <c r="AM413" i="9" s="1"/>
  <c r="AM412" i="9"/>
  <c r="U335" i="9"/>
  <c r="CF335" i="9"/>
  <c r="N335" i="9"/>
  <c r="K337" i="9"/>
  <c r="L337" i="9" s="1"/>
  <c r="L336" i="9"/>
  <c r="AG337" i="9"/>
  <c r="AH337" i="9" s="1"/>
  <c r="AH336" i="9"/>
  <c r="AV337" i="9"/>
  <c r="AW337" i="9" s="1"/>
  <c r="AW336" i="9"/>
  <c r="CF411" i="9"/>
  <c r="N411" i="9"/>
  <c r="U411" i="9"/>
  <c r="K413" i="9"/>
  <c r="L413" i="9" s="1"/>
  <c r="L412" i="9"/>
  <c r="AS409" i="9"/>
  <c r="AT409" i="9" s="1"/>
  <c r="AQ413" i="9"/>
  <c r="AR413" i="9" s="1"/>
  <c r="AR412" i="9"/>
  <c r="AG413" i="9"/>
  <c r="AH413" i="9" s="1"/>
  <c r="AH412" i="9"/>
  <c r="AI411" i="9"/>
  <c r="AJ411" i="9" s="1"/>
  <c r="AN334" i="9"/>
  <c r="AO334" i="9" s="1"/>
  <c r="AW412" i="9"/>
  <c r="AV413" i="9"/>
  <c r="AW413" i="9" s="1"/>
  <c r="AL337" i="9"/>
  <c r="AM337" i="9" s="1"/>
  <c r="AM336" i="9"/>
  <c r="AI335" i="9"/>
  <c r="AN46" i="9"/>
  <c r="AO46" i="9" s="1"/>
  <c r="AT44" i="9"/>
  <c r="AN93" i="9"/>
  <c r="AO93" i="9" s="1"/>
  <c r="AS92" i="9"/>
  <c r="AT92" i="9" s="1"/>
  <c r="AS45" i="9"/>
  <c r="AT45" i="9" s="1"/>
  <c r="AN132" i="9"/>
  <c r="AO132" i="9" s="1"/>
  <c r="AN94" i="9"/>
  <c r="AO94" i="9" s="1"/>
  <c r="AS131" i="9"/>
  <c r="AT131" i="9" s="1"/>
  <c r="AT129" i="9"/>
  <c r="AX129" i="9"/>
  <c r="AY129" i="9" s="1"/>
  <c r="AL135" i="9"/>
  <c r="AM134" i="9"/>
  <c r="AL50" i="9"/>
  <c r="AM49" i="9"/>
  <c r="AV135" i="9"/>
  <c r="AW134" i="9"/>
  <c r="AV50" i="9"/>
  <c r="AW49" i="9"/>
  <c r="AQ135" i="9"/>
  <c r="AR134" i="9"/>
  <c r="AQ51" i="9"/>
  <c r="AR50" i="9"/>
  <c r="AI48" i="9"/>
  <c r="AJ48" i="9" s="1"/>
  <c r="AI133" i="9"/>
  <c r="AJ133" i="9" s="1"/>
  <c r="AG136" i="9"/>
  <c r="AH135" i="9"/>
  <c r="V48" i="9"/>
  <c r="V133" i="9"/>
  <c r="U48" i="9"/>
  <c r="U133" i="9"/>
  <c r="N48" i="9"/>
  <c r="CF48" i="9"/>
  <c r="K50" i="9"/>
  <c r="L49" i="9"/>
  <c r="N133" i="9"/>
  <c r="CF133" i="9"/>
  <c r="K135" i="9"/>
  <c r="L134" i="9"/>
  <c r="AS166" i="5"/>
  <c r="AT166" i="5" s="1"/>
  <c r="AX164" i="5"/>
  <c r="AY164" i="5" s="1"/>
  <c r="AT164" i="5"/>
  <c r="AS165" i="5"/>
  <c r="T337" i="9"/>
  <c r="T49" i="9"/>
  <c r="T134" i="9"/>
  <c r="T410" i="9"/>
  <c r="T413" i="9"/>
  <c r="T336" i="9"/>
  <c r="V413" i="9" l="1"/>
  <c r="V336" i="9"/>
  <c r="AX407" i="9"/>
  <c r="AY407" i="9" s="1"/>
  <c r="AX587" i="9"/>
  <c r="AY587" i="9" s="1"/>
  <c r="X332" i="9"/>
  <c r="V337" i="9"/>
  <c r="AI337" i="9"/>
  <c r="AN337" i="9" s="1"/>
  <c r="AO337" i="9" s="1"/>
  <c r="AS408" i="9"/>
  <c r="AT408" i="9" s="1"/>
  <c r="AS588" i="9"/>
  <c r="AT588" i="9" s="1"/>
  <c r="AN589" i="9"/>
  <c r="AO589" i="9" s="1"/>
  <c r="AJ589" i="9"/>
  <c r="AN590" i="9"/>
  <c r="AO590" i="9" s="1"/>
  <c r="AX409" i="9"/>
  <c r="AY409" i="9" s="1"/>
  <c r="AI410" i="9"/>
  <c r="AJ410" i="9" s="1"/>
  <c r="V410" i="9"/>
  <c r="U410" i="9"/>
  <c r="AI336" i="9"/>
  <c r="AJ336" i="9" s="1"/>
  <c r="AS334" i="9"/>
  <c r="AT334" i="9" s="1"/>
  <c r="N412" i="9"/>
  <c r="CF412" i="9"/>
  <c r="U336" i="9"/>
  <c r="CF336" i="9"/>
  <c r="N336" i="9"/>
  <c r="U413" i="9"/>
  <c r="CF413" i="9"/>
  <c r="N413" i="9"/>
  <c r="CF337" i="9"/>
  <c r="U337" i="9"/>
  <c r="N337" i="9"/>
  <c r="AN335" i="9"/>
  <c r="AO335" i="9" s="1"/>
  <c r="AN411" i="9"/>
  <c r="AO411" i="9" s="1"/>
  <c r="AJ335" i="9"/>
  <c r="AI413" i="9"/>
  <c r="V134" i="9"/>
  <c r="AI134" i="9"/>
  <c r="AJ134" i="9" s="1"/>
  <c r="U134" i="9"/>
  <c r="AS46" i="9"/>
  <c r="AI49" i="9"/>
  <c r="AJ49" i="9" s="1"/>
  <c r="V49" i="9"/>
  <c r="U49" i="9"/>
  <c r="AX45" i="9"/>
  <c r="AY45" i="9" s="1"/>
  <c r="AS93" i="9"/>
  <c r="AT93" i="9" s="1"/>
  <c r="AX92" i="9"/>
  <c r="AY92" i="9" s="1"/>
  <c r="AN133" i="9"/>
  <c r="AO133" i="9" s="1"/>
  <c r="AS132" i="9"/>
  <c r="AT132" i="9" s="1"/>
  <c r="AX131" i="9"/>
  <c r="AY131" i="9" s="1"/>
  <c r="AS94" i="9"/>
  <c r="AT94" i="9" s="1"/>
  <c r="AN48" i="9"/>
  <c r="AO48" i="9" s="1"/>
  <c r="AQ52" i="9"/>
  <c r="AR51" i="9"/>
  <c r="AQ136" i="9"/>
  <c r="AR135" i="9"/>
  <c r="AV51" i="9"/>
  <c r="AW50" i="9"/>
  <c r="AV136" i="9"/>
  <c r="AW135" i="9"/>
  <c r="AL51" i="9"/>
  <c r="AM50" i="9"/>
  <c r="AL136" i="9"/>
  <c r="AM135" i="9"/>
  <c r="AG137" i="9"/>
  <c r="AH136" i="9"/>
  <c r="N49" i="9"/>
  <c r="CF49" i="9"/>
  <c r="K51" i="9"/>
  <c r="L50" i="9"/>
  <c r="N134" i="9"/>
  <c r="CF134" i="9"/>
  <c r="K136" i="9"/>
  <c r="L135" i="9"/>
  <c r="AT165" i="5"/>
  <c r="AX165" i="5"/>
  <c r="AY165" i="5" s="1"/>
  <c r="AX166" i="5"/>
  <c r="AY166" i="5" s="1"/>
  <c r="T135" i="9"/>
  <c r="T50" i="9"/>
  <c r="W332" i="9" l="1"/>
  <c r="AX408" i="9"/>
  <c r="AY408" i="9" s="1"/>
  <c r="AS337" i="9"/>
  <c r="AT337" i="9" s="1"/>
  <c r="AJ337" i="9"/>
  <c r="AS589" i="9"/>
  <c r="AT589" i="9" s="1"/>
  <c r="AX588" i="9"/>
  <c r="AY588" i="9" s="1"/>
  <c r="AN410" i="9"/>
  <c r="AO410" i="9" s="1"/>
  <c r="AS590" i="9"/>
  <c r="AS335" i="9"/>
  <c r="AN413" i="9"/>
  <c r="AO413" i="9" s="1"/>
  <c r="AJ413" i="9"/>
  <c r="AN336" i="9"/>
  <c r="AO336" i="9" s="1"/>
  <c r="AS411" i="9"/>
  <c r="AT411" i="9" s="1"/>
  <c r="AX334" i="9"/>
  <c r="AY334" i="9" s="1"/>
  <c r="AN134" i="9"/>
  <c r="AO134" i="9" s="1"/>
  <c r="AN49" i="9"/>
  <c r="AO49" i="9" s="1"/>
  <c r="AT46" i="9"/>
  <c r="AX46" i="9"/>
  <c r="AY46" i="9" s="1"/>
  <c r="AX93" i="9"/>
  <c r="AY93" i="9" s="1"/>
  <c r="AX94" i="9"/>
  <c r="AY94" i="9" s="1"/>
  <c r="AX132" i="9"/>
  <c r="AY132" i="9" s="1"/>
  <c r="AS133" i="9"/>
  <c r="AT133" i="9" s="1"/>
  <c r="AS48" i="9"/>
  <c r="AT48" i="9" s="1"/>
  <c r="AL137" i="9"/>
  <c r="AM136" i="9"/>
  <c r="AL52" i="9"/>
  <c r="AM51" i="9"/>
  <c r="AV137" i="9"/>
  <c r="AW136" i="9"/>
  <c r="AV52" i="9"/>
  <c r="AW51" i="9"/>
  <c r="AQ137" i="9"/>
  <c r="AR136" i="9"/>
  <c r="AQ53" i="9"/>
  <c r="AR52" i="9"/>
  <c r="AI50" i="9"/>
  <c r="AJ50" i="9" s="1"/>
  <c r="AI135" i="9"/>
  <c r="AJ135" i="9" s="1"/>
  <c r="AG138" i="9"/>
  <c r="AH137" i="9"/>
  <c r="V50" i="9"/>
  <c r="V135" i="9"/>
  <c r="U50" i="9"/>
  <c r="U135" i="9"/>
  <c r="N50" i="9"/>
  <c r="CF50" i="9"/>
  <c r="K52" i="9"/>
  <c r="L51" i="9"/>
  <c r="N135" i="9"/>
  <c r="CF135" i="9"/>
  <c r="K137" i="9"/>
  <c r="L136" i="9"/>
  <c r="T51" i="9"/>
  <c r="T412" i="9"/>
  <c r="T136" i="9"/>
  <c r="AX589" i="9" l="1"/>
  <c r="AY589" i="9" s="1"/>
  <c r="AX337" i="9"/>
  <c r="AY337" i="9" s="1"/>
  <c r="AS410" i="9"/>
  <c r="AT410" i="9" s="1"/>
  <c r="AT590" i="9"/>
  <c r="AX590" i="9"/>
  <c r="AY590" i="9" s="1"/>
  <c r="AX411" i="9"/>
  <c r="AY411" i="9" s="1"/>
  <c r="AS413" i="9"/>
  <c r="AT413" i="9" s="1"/>
  <c r="AI412" i="9"/>
  <c r="AJ412" i="9" s="1"/>
  <c r="V412" i="9"/>
  <c r="W406" i="9" s="1"/>
  <c r="X312" i="9"/>
  <c r="X357" i="9"/>
  <c r="X326" i="9"/>
  <c r="U412" i="9"/>
  <c r="X406" i="9"/>
  <c r="AT335" i="9"/>
  <c r="AX335" i="9"/>
  <c r="AY335" i="9" s="1"/>
  <c r="AS336" i="9"/>
  <c r="AT336" i="9" s="1"/>
  <c r="V51" i="9"/>
  <c r="AI51" i="9"/>
  <c r="AJ51" i="9" s="1"/>
  <c r="U51" i="9"/>
  <c r="AS134" i="9"/>
  <c r="AT134" i="9" s="1"/>
  <c r="AS49" i="9"/>
  <c r="AT49" i="9" s="1"/>
  <c r="AX48" i="9"/>
  <c r="AY48" i="9" s="1"/>
  <c r="AX133" i="9"/>
  <c r="AY133" i="9" s="1"/>
  <c r="AN50" i="9"/>
  <c r="AO50" i="9" s="1"/>
  <c r="AN135" i="9"/>
  <c r="AO135" i="9" s="1"/>
  <c r="AQ54" i="9"/>
  <c r="AR53" i="9"/>
  <c r="AQ138" i="9"/>
  <c r="AR137" i="9"/>
  <c r="AV53" i="9"/>
  <c r="AW52" i="9"/>
  <c r="AV138" i="9"/>
  <c r="AW137" i="9"/>
  <c r="AL53" i="9"/>
  <c r="AM52" i="9"/>
  <c r="AL138" i="9"/>
  <c r="AM137" i="9"/>
  <c r="AI136" i="9"/>
  <c r="AJ136" i="9" s="1"/>
  <c r="AG139" i="9"/>
  <c r="AH138" i="9"/>
  <c r="V136" i="9"/>
  <c r="U136" i="9"/>
  <c r="N51" i="9"/>
  <c r="CF51" i="9"/>
  <c r="K53" i="9"/>
  <c r="L52" i="9"/>
  <c r="N136" i="9"/>
  <c r="CF136" i="9"/>
  <c r="K138" i="9"/>
  <c r="L137" i="9"/>
  <c r="T52" i="9"/>
  <c r="T137" i="9"/>
  <c r="AX410" i="9" l="1"/>
  <c r="AY410" i="9" s="1"/>
  <c r="AX413" i="9"/>
  <c r="AY413" i="9" s="1"/>
  <c r="W389" i="9"/>
  <c r="W312" i="9"/>
  <c r="W357" i="9"/>
  <c r="W397" i="9"/>
  <c r="W326" i="9"/>
  <c r="AX336" i="9"/>
  <c r="AY336" i="9" s="1"/>
  <c r="AN412" i="9"/>
  <c r="AN51" i="9"/>
  <c r="AO51" i="9" s="1"/>
  <c r="AX134" i="9"/>
  <c r="AY134" i="9" s="1"/>
  <c r="AX49" i="9"/>
  <c r="AY49" i="9" s="1"/>
  <c r="AS135" i="9"/>
  <c r="AT135" i="9" s="1"/>
  <c r="AS50" i="9"/>
  <c r="AN136" i="9"/>
  <c r="AO136" i="9" s="1"/>
  <c r="AL139" i="9"/>
  <c r="AM138" i="9"/>
  <c r="AL54" i="9"/>
  <c r="AM53" i="9"/>
  <c r="AV139" i="9"/>
  <c r="AW138" i="9"/>
  <c r="AV54" i="9"/>
  <c r="AW53" i="9"/>
  <c r="AQ139" i="9"/>
  <c r="AR138" i="9"/>
  <c r="AQ55" i="9"/>
  <c r="AR55" i="9" s="1"/>
  <c r="AR54" i="9"/>
  <c r="AI52" i="9"/>
  <c r="AJ52" i="9" s="1"/>
  <c r="AI137" i="9"/>
  <c r="AJ137" i="9" s="1"/>
  <c r="AG140" i="9"/>
  <c r="AH139" i="9"/>
  <c r="V52" i="9"/>
  <c r="V137" i="9"/>
  <c r="U52" i="9"/>
  <c r="U137" i="9"/>
  <c r="N137" i="9"/>
  <c r="CF137" i="9"/>
  <c r="N52" i="9"/>
  <c r="CF52" i="9"/>
  <c r="K54" i="9"/>
  <c r="L53" i="9"/>
  <c r="K139" i="9"/>
  <c r="L138" i="9"/>
  <c r="T53" i="9"/>
  <c r="T138" i="9"/>
  <c r="AS51" i="9" l="1"/>
  <c r="AT51" i="9" s="1"/>
  <c r="AO412" i="9"/>
  <c r="AS412" i="9"/>
  <c r="AT412" i="9" s="1"/>
  <c r="AX135" i="9"/>
  <c r="AY135" i="9" s="1"/>
  <c r="AN137" i="9"/>
  <c r="AO137" i="9" s="1"/>
  <c r="AN52" i="9"/>
  <c r="AO52" i="9" s="1"/>
  <c r="AT50" i="9"/>
  <c r="AX50" i="9"/>
  <c r="AY50" i="9" s="1"/>
  <c r="AS136" i="9"/>
  <c r="AT136" i="9" s="1"/>
  <c r="AQ140" i="9"/>
  <c r="AR139" i="9"/>
  <c r="AV55" i="9"/>
  <c r="AW55" i="9" s="1"/>
  <c r="AW54" i="9"/>
  <c r="AV140" i="9"/>
  <c r="AW139" i="9"/>
  <c r="AL55" i="9"/>
  <c r="AM55" i="9" s="1"/>
  <c r="AM54" i="9"/>
  <c r="AL140" i="9"/>
  <c r="AM139" i="9"/>
  <c r="AI138" i="9"/>
  <c r="AJ138" i="9" s="1"/>
  <c r="AI53" i="9"/>
  <c r="AJ53" i="9" s="1"/>
  <c r="AG141" i="9"/>
  <c r="AH140" i="9"/>
  <c r="V138" i="9"/>
  <c r="V53" i="9"/>
  <c r="U138" i="9"/>
  <c r="U53" i="9"/>
  <c r="N138" i="9"/>
  <c r="CF138" i="9"/>
  <c r="K140" i="9"/>
  <c r="L139" i="9"/>
  <c r="N53" i="9"/>
  <c r="CF53" i="9"/>
  <c r="K55" i="9"/>
  <c r="L55" i="9" s="1"/>
  <c r="L54" i="9"/>
  <c r="T55" i="9"/>
  <c r="T54" i="9"/>
  <c r="T139" i="9"/>
  <c r="AX51" i="9" l="1"/>
  <c r="AY51" i="9" s="1"/>
  <c r="AX412" i="9"/>
  <c r="AY412" i="9" s="1"/>
  <c r="AS137" i="9"/>
  <c r="AT137" i="9" s="1"/>
  <c r="AS52" i="9"/>
  <c r="AT52" i="9" s="1"/>
  <c r="AX136" i="9"/>
  <c r="AY136" i="9" s="1"/>
  <c r="AN138" i="9"/>
  <c r="AO138" i="9" s="1"/>
  <c r="AN53" i="9"/>
  <c r="AO53" i="9" s="1"/>
  <c r="AL141" i="9"/>
  <c r="AM140" i="9"/>
  <c r="AV141" i="9"/>
  <c r="AW140" i="9"/>
  <c r="AQ141" i="9"/>
  <c r="AR140" i="9"/>
  <c r="AI139" i="9"/>
  <c r="AJ139" i="9" s="1"/>
  <c r="AI54" i="9"/>
  <c r="AJ54" i="9" s="1"/>
  <c r="AI55" i="9"/>
  <c r="AJ55" i="9" s="1"/>
  <c r="AG142" i="9"/>
  <c r="AH142" i="9" s="1"/>
  <c r="AH141" i="9"/>
  <c r="X47" i="9"/>
  <c r="V139" i="9"/>
  <c r="V54" i="9"/>
  <c r="V55" i="9"/>
  <c r="U139" i="9"/>
  <c r="U54" i="9"/>
  <c r="U55" i="9"/>
  <c r="N55" i="9"/>
  <c r="CF55" i="9"/>
  <c r="K141" i="9"/>
  <c r="L140" i="9"/>
  <c r="N54" i="9"/>
  <c r="CF54" i="9"/>
  <c r="N139" i="9"/>
  <c r="CF139" i="9"/>
  <c r="T140" i="9"/>
  <c r="AX137" i="9" l="1"/>
  <c r="AY137" i="9" s="1"/>
  <c r="AX52" i="9"/>
  <c r="AY52" i="9" s="1"/>
  <c r="AS138" i="9"/>
  <c r="AT138" i="9" s="1"/>
  <c r="AN139" i="9"/>
  <c r="AO139" i="9" s="1"/>
  <c r="AN54" i="9"/>
  <c r="AO54" i="9" s="1"/>
  <c r="AS53" i="9"/>
  <c r="AT53" i="9" s="1"/>
  <c r="AN55" i="9"/>
  <c r="AO55" i="9" s="1"/>
  <c r="AQ142" i="9"/>
  <c r="AR142" i="9" s="1"/>
  <c r="AR141" i="9"/>
  <c r="AV142" i="9"/>
  <c r="AW142" i="9" s="1"/>
  <c r="AW141" i="9"/>
  <c r="AL142" i="9"/>
  <c r="AM142" i="9" s="1"/>
  <c r="AM141" i="9"/>
  <c r="AI140" i="9"/>
  <c r="AJ140" i="9" s="1"/>
  <c r="V140" i="9"/>
  <c r="U140" i="9"/>
  <c r="N140" i="9"/>
  <c r="CF140" i="9"/>
  <c r="K142" i="9"/>
  <c r="L142" i="9" s="1"/>
  <c r="L141" i="9"/>
  <c r="T142" i="9"/>
  <c r="T141" i="9"/>
  <c r="AN140" i="9" l="1"/>
  <c r="AO140" i="9" s="1"/>
  <c r="AX138" i="9"/>
  <c r="AY138" i="9" s="1"/>
  <c r="AS139" i="9"/>
  <c r="AT139" i="9" s="1"/>
  <c r="AS54" i="9"/>
  <c r="AT54" i="9" s="1"/>
  <c r="AX53" i="9"/>
  <c r="AY53" i="9" s="1"/>
  <c r="AS55" i="9"/>
  <c r="AT55" i="9" s="1"/>
  <c r="AI141" i="9"/>
  <c r="AJ141" i="9" s="1"/>
  <c r="AI142" i="9"/>
  <c r="AJ142" i="9" s="1"/>
  <c r="X83" i="9"/>
  <c r="X130" i="9"/>
  <c r="V141" i="9"/>
  <c r="V142" i="9"/>
  <c r="U141" i="9"/>
  <c r="U142" i="9"/>
  <c r="N141" i="9"/>
  <c r="CF141" i="9"/>
  <c r="N142" i="9"/>
  <c r="CF142" i="9"/>
  <c r="AX55" i="9" l="1"/>
  <c r="AY55" i="9" s="1"/>
  <c r="AS140" i="9"/>
  <c r="AT140" i="9" s="1"/>
  <c r="AX139" i="9"/>
  <c r="AY139" i="9" s="1"/>
  <c r="AX54" i="9"/>
  <c r="AY54" i="9" s="1"/>
  <c r="AN141" i="9"/>
  <c r="AO141" i="9" s="1"/>
  <c r="AN142" i="9"/>
  <c r="AO142" i="9" s="1"/>
  <c r="W83" i="9"/>
  <c r="W130" i="9"/>
  <c r="W47" i="9"/>
  <c r="AX140" i="9" l="1"/>
  <c r="AY140" i="9" s="1"/>
  <c r="AS142" i="9"/>
  <c r="AT142" i="9" s="1"/>
  <c r="AS141" i="9"/>
  <c r="AT141" i="9" s="1"/>
  <c r="AX141" i="9" l="1"/>
  <c r="AY141" i="9" s="1"/>
  <c r="AX142" i="9"/>
  <c r="AY142" i="9" s="1"/>
  <c r="BH27" i="6" l="1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K26" i="6"/>
  <c r="J26" i="6"/>
  <c r="I26" i="6"/>
  <c r="H26" i="6"/>
  <c r="G26" i="6"/>
  <c r="F26" i="6"/>
  <c r="K25" i="6"/>
  <c r="J25" i="6"/>
  <c r="I25" i="6"/>
  <c r="H25" i="6"/>
  <c r="G25" i="6"/>
  <c r="F25" i="6"/>
  <c r="K24" i="6"/>
  <c r="J24" i="6"/>
  <c r="I24" i="6"/>
  <c r="H24" i="6"/>
  <c r="G24" i="6"/>
  <c r="F24" i="6"/>
  <c r="K23" i="6"/>
  <c r="J23" i="6"/>
  <c r="I23" i="6"/>
  <c r="H23" i="6"/>
  <c r="G23" i="6"/>
  <c r="F23" i="6"/>
  <c r="K22" i="6"/>
  <c r="J22" i="6"/>
  <c r="I22" i="6"/>
  <c r="H22" i="6"/>
  <c r="G22" i="6"/>
  <c r="F22" i="6"/>
  <c r="E21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1" i="6"/>
  <c r="J7" i="6"/>
  <c r="I7" i="6"/>
  <c r="H7" i="6"/>
  <c r="G7" i="6"/>
  <c r="J6" i="6"/>
  <c r="I6" i="6"/>
  <c r="H6" i="6"/>
  <c r="G6" i="6"/>
  <c r="R5" i="6"/>
  <c r="J5" i="6"/>
  <c r="J8" i="6" s="1"/>
  <c r="I5" i="6"/>
  <c r="H5" i="6"/>
  <c r="G5" i="6"/>
  <c r="AZ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K26" i="4"/>
  <c r="J26" i="4"/>
  <c r="I26" i="4"/>
  <c r="H26" i="4"/>
  <c r="G26" i="4"/>
  <c r="F26" i="4"/>
  <c r="K25" i="4"/>
  <c r="J25" i="4"/>
  <c r="I25" i="4"/>
  <c r="H25" i="4"/>
  <c r="G25" i="4"/>
  <c r="F25" i="4"/>
  <c r="K24" i="4"/>
  <c r="J24" i="4"/>
  <c r="I24" i="4"/>
  <c r="H24" i="4"/>
  <c r="G24" i="4"/>
  <c r="F24" i="4"/>
  <c r="K23" i="4"/>
  <c r="J23" i="4"/>
  <c r="I23" i="4"/>
  <c r="H23" i="4"/>
  <c r="G23" i="4"/>
  <c r="F23" i="4"/>
  <c r="K22" i="4"/>
  <c r="J22" i="4"/>
  <c r="I22" i="4"/>
  <c r="H22" i="4"/>
  <c r="G22" i="4"/>
  <c r="F22" i="4"/>
  <c r="E21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1" i="4"/>
  <c r="J7" i="4"/>
  <c r="I7" i="4"/>
  <c r="H7" i="4"/>
  <c r="G7" i="4"/>
  <c r="J6" i="4"/>
  <c r="I6" i="4"/>
  <c r="H6" i="4"/>
  <c r="G6" i="4"/>
  <c r="R5" i="4"/>
  <c r="J5" i="4"/>
  <c r="J8" i="4" s="1"/>
  <c r="I5" i="4"/>
  <c r="I8" i="4" s="1"/>
  <c r="H5" i="4"/>
  <c r="H8" i="4" s="1"/>
  <c r="G5" i="4"/>
  <c r="G8" i="4" s="1"/>
  <c r="M5" i="4" s="1"/>
  <c r="E23" i="4" l="1" a="1"/>
  <c r="E23" i="4" s="1"/>
  <c r="E26" i="4" a="1"/>
  <c r="E26" i="4" s="1"/>
  <c r="E25" i="4" a="1"/>
  <c r="E25" i="4" s="1"/>
  <c r="E24" i="4" a="1"/>
  <c r="E24" i="4" s="1"/>
  <c r="E22" i="4" a="1"/>
  <c r="E22" i="4" s="1"/>
  <c r="N5" i="4"/>
  <c r="F4" i="2"/>
  <c r="E16" i="4" a="1"/>
  <c r="E16" i="4" s="1"/>
  <c r="E15" i="4" a="1"/>
  <c r="E15" i="4" s="1"/>
  <c r="E14" i="4" a="1"/>
  <c r="E14" i="4" s="1"/>
  <c r="E13" i="4" a="1"/>
  <c r="E13" i="4" s="1"/>
  <c r="E18" i="4" a="1"/>
  <c r="E18" i="4" s="1"/>
  <c r="E12" i="4" a="1"/>
  <c r="E12" i="4" s="1"/>
  <c r="E17" i="4" a="1"/>
  <c r="E17" i="4" s="1"/>
  <c r="I8" i="6"/>
  <c r="H8" i="6"/>
  <c r="N5" i="6" s="1"/>
  <c r="G8" i="6"/>
  <c r="M5" i="6" s="1"/>
  <c r="E14" i="6" a="1"/>
  <c r="E14" i="6" s="1"/>
  <c r="E13" i="6" a="1"/>
  <c r="E13" i="6" s="1"/>
  <c r="E16" i="6" a="1"/>
  <c r="E16" i="6" s="1"/>
  <c r="E18" i="6" a="1"/>
  <c r="E18" i="6" s="1"/>
  <c r="E17" i="6" a="1"/>
  <c r="E17" i="6" s="1"/>
  <c r="E15" i="6" a="1"/>
  <c r="E15" i="6" s="1"/>
  <c r="E12" i="6" a="1"/>
  <c r="E12" i="6" s="1"/>
  <c r="E25" i="6" a="1"/>
  <c r="E25" i="6" s="1"/>
  <c r="E26" i="6" a="1"/>
  <c r="E26" i="6" s="1"/>
  <c r="E22" i="6" a="1"/>
  <c r="E22" i="6" s="1"/>
  <c r="E24" i="6" a="1"/>
  <c r="E24" i="6" s="1"/>
  <c r="E23" i="6" a="1"/>
  <c r="E23" i="6" s="1"/>
  <c r="F5" i="2" l="1"/>
  <c r="H5" i="2" s="1"/>
  <c r="I4" i="2"/>
  <c r="G4" i="2"/>
  <c r="G5" i="2" l="1"/>
  <c r="G3" i="2" s="1"/>
  <c r="I5" i="2"/>
  <c r="F3" i="2"/>
  <c r="I3" i="2" s="1"/>
  <c r="H3" i="2"/>
  <c r="K5" i="2"/>
  <c r="K3" i="2" s="1"/>
  <c r="BA61" i="4" l="1"/>
  <c r="BA93" i="4"/>
  <c r="BA125" i="4"/>
  <c r="BA157" i="4"/>
  <c r="BA189" i="4"/>
  <c r="BA221" i="4"/>
  <c r="BA253" i="4"/>
  <c r="BA285" i="4"/>
  <c r="BA317" i="4"/>
  <c r="BA222" i="4"/>
  <c r="BA254" i="4"/>
  <c r="BA286" i="4"/>
  <c r="BA318" i="4"/>
  <c r="BA31" i="4"/>
  <c r="BA63" i="4"/>
  <c r="BA95" i="4"/>
  <c r="BA127" i="4"/>
  <c r="BA159" i="4"/>
  <c r="BA191" i="4"/>
  <c r="BA223" i="4"/>
  <c r="BA255" i="4"/>
  <c r="BA287" i="4"/>
  <c r="BA319" i="4"/>
  <c r="BA97" i="4"/>
  <c r="BA129" i="4"/>
  <c r="BA161" i="4"/>
  <c r="BA193" i="4"/>
  <c r="BA257" i="4"/>
  <c r="BA289" i="4"/>
  <c r="BA66" i="4"/>
  <c r="BA131" i="4"/>
  <c r="BA100" i="4"/>
  <c r="BA196" i="4"/>
  <c r="BA228" i="4"/>
  <c r="BA260" i="4"/>
  <c r="BA292" i="4"/>
  <c r="BA324" i="4"/>
  <c r="BA37" i="4"/>
  <c r="BA69" i="4"/>
  <c r="BA101" i="4"/>
  <c r="BA133" i="4"/>
  <c r="BA165" i="4"/>
  <c r="BA197" i="4"/>
  <c r="BA261" i="4"/>
  <c r="BA293" i="4"/>
  <c r="BA325" i="4"/>
  <c r="BA38" i="4"/>
  <c r="BA102" i="4"/>
  <c r="BA203" i="4"/>
  <c r="BA77" i="4"/>
  <c r="BA270" i="4"/>
  <c r="BA62" i="4"/>
  <c r="BA94" i="4"/>
  <c r="BA126" i="4"/>
  <c r="BA158" i="4"/>
  <c r="BA190" i="4"/>
  <c r="BA33" i="4"/>
  <c r="BA164" i="4"/>
  <c r="BA229" i="4"/>
  <c r="BA70" i="4"/>
  <c r="BA198" i="4"/>
  <c r="BA230" i="4"/>
  <c r="BA294" i="4"/>
  <c r="BA135" i="4"/>
  <c r="BA106" i="4"/>
  <c r="BA267" i="4"/>
  <c r="BA173" i="4"/>
  <c r="BA65" i="4"/>
  <c r="BA321" i="4"/>
  <c r="BA34" i="4"/>
  <c r="BA98" i="4"/>
  <c r="BA130" i="4"/>
  <c r="BA162" i="4"/>
  <c r="BA194" i="4"/>
  <c r="BA226" i="4"/>
  <c r="BA258" i="4"/>
  <c r="BA290" i="4"/>
  <c r="BA322" i="4"/>
  <c r="BA35" i="4"/>
  <c r="BA67" i="4"/>
  <c r="BA99" i="4"/>
  <c r="BA163" i="4"/>
  <c r="BA195" i="4"/>
  <c r="BA227" i="4"/>
  <c r="BA259" i="4"/>
  <c r="BA291" i="4"/>
  <c r="BA323" i="4"/>
  <c r="BA36" i="4"/>
  <c r="BA134" i="4"/>
  <c r="BA262" i="4"/>
  <c r="BA30" i="4"/>
  <c r="BA39" i="4"/>
  <c r="BA71" i="4"/>
  <c r="BA103" i="4"/>
  <c r="BA167" i="4"/>
  <c r="BA199" i="4"/>
  <c r="BA231" i="4"/>
  <c r="BA263" i="4"/>
  <c r="BA295" i="4"/>
  <c r="BA40" i="4"/>
  <c r="BA104" i="4"/>
  <c r="BA136" i="4"/>
  <c r="BA168" i="4"/>
  <c r="BA232" i="4"/>
  <c r="BA296" i="4"/>
  <c r="BA73" i="4"/>
  <c r="BA137" i="4"/>
  <c r="BA201" i="4"/>
  <c r="BA265" i="4"/>
  <c r="BA297" i="4"/>
  <c r="BA138" i="4"/>
  <c r="BA202" i="4"/>
  <c r="BA266" i="4"/>
  <c r="BA43" i="4"/>
  <c r="BA75" i="4"/>
  <c r="BA107" i="4"/>
  <c r="BA139" i="4"/>
  <c r="BA171" i="4"/>
  <c r="BA235" i="4"/>
  <c r="BA299" i="4"/>
  <c r="BA44" i="4"/>
  <c r="BA76" i="4"/>
  <c r="BA108" i="4"/>
  <c r="BA140" i="4"/>
  <c r="BA172" i="4"/>
  <c r="BA204" i="4"/>
  <c r="BA236" i="4"/>
  <c r="BA268" i="4"/>
  <c r="BA300" i="4"/>
  <c r="BA45" i="4"/>
  <c r="BA109" i="4"/>
  <c r="BA141" i="4"/>
  <c r="BA205" i="4"/>
  <c r="BA237" i="4"/>
  <c r="BA269" i="4"/>
  <c r="BA301" i="4"/>
  <c r="BA46" i="4"/>
  <c r="BA78" i="4"/>
  <c r="BA110" i="4"/>
  <c r="BA142" i="4"/>
  <c r="BA174" i="4"/>
  <c r="BA206" i="4"/>
  <c r="BA238" i="4"/>
  <c r="BA302" i="4"/>
  <c r="BA47" i="4"/>
  <c r="BA111" i="4"/>
  <c r="BA143" i="4"/>
  <c r="BA175" i="4"/>
  <c r="BA207" i="4"/>
  <c r="BA271" i="4"/>
  <c r="BA48" i="4"/>
  <c r="BA144" i="4"/>
  <c r="BA32" i="4"/>
  <c r="BA64" i="4"/>
  <c r="BA96" i="4"/>
  <c r="BA128" i="4"/>
  <c r="BA160" i="4"/>
  <c r="BA192" i="4"/>
  <c r="BA224" i="4"/>
  <c r="BA256" i="4"/>
  <c r="BA288" i="4"/>
  <c r="BA320" i="4"/>
  <c r="BA225" i="4"/>
  <c r="BA68" i="4"/>
  <c r="BA166" i="4"/>
  <c r="BA74" i="4"/>
  <c r="BA132" i="4"/>
  <c r="BA72" i="4"/>
  <c r="BA200" i="4"/>
  <c r="BA264" i="4"/>
  <c r="BA41" i="4"/>
  <c r="BA105" i="4"/>
  <c r="BA169" i="4"/>
  <c r="BA233" i="4"/>
  <c r="BA42" i="4"/>
  <c r="BA170" i="4"/>
  <c r="BA234" i="4"/>
  <c r="BA298" i="4"/>
  <c r="BA79" i="4"/>
  <c r="BA239" i="4"/>
  <c r="BA303" i="4"/>
  <c r="BA80" i="4"/>
  <c r="BA176" i="4"/>
  <c r="BA49" i="4"/>
  <c r="BA81" i="4"/>
  <c r="BA113" i="4"/>
  <c r="BA145" i="4"/>
  <c r="BA177" i="4"/>
  <c r="BA209" i="4"/>
  <c r="BA241" i="4"/>
  <c r="BA273" i="4"/>
  <c r="BA305" i="4"/>
  <c r="BA50" i="4"/>
  <c r="BA82" i="4"/>
  <c r="BA123" i="4"/>
  <c r="BA217" i="4"/>
  <c r="BA309" i="4"/>
  <c r="BA187" i="4"/>
  <c r="BA208" i="4"/>
  <c r="BA283" i="4"/>
  <c r="BA124" i="4"/>
  <c r="BA218" i="4"/>
  <c r="BA310" i="4"/>
  <c r="BA51" i="4"/>
  <c r="BA219" i="4"/>
  <c r="BA311" i="4"/>
  <c r="BA52" i="4"/>
  <c r="BA220" i="4"/>
  <c r="BA53" i="4"/>
  <c r="BA240" i="4"/>
  <c r="BA54" i="4"/>
  <c r="BA242" i="4"/>
  <c r="BA55" i="4"/>
  <c r="BA243" i="4"/>
  <c r="BA56" i="4"/>
  <c r="BA244" i="4"/>
  <c r="BA57" i="4"/>
  <c r="BA245" i="4"/>
  <c r="BA153" i="4"/>
  <c r="BA154" i="4"/>
  <c r="BA60" i="4"/>
  <c r="BA248" i="4"/>
  <c r="BA156" i="4"/>
  <c r="BA249" i="4"/>
  <c r="BA178" i="4"/>
  <c r="BA179" i="4"/>
  <c r="BA251" i="4"/>
  <c r="BA180" i="4"/>
  <c r="BA87" i="4"/>
  <c r="BA272" i="4"/>
  <c r="BA182" i="4"/>
  <c r="BA89" i="4"/>
  <c r="BA275" i="4"/>
  <c r="BA184" i="4"/>
  <c r="BA185" i="4"/>
  <c r="BA92" i="4"/>
  <c r="BA146" i="4"/>
  <c r="BA147" i="4"/>
  <c r="BA312" i="4"/>
  <c r="BA148" i="4"/>
  <c r="BA313" i="4"/>
  <c r="BA149" i="4"/>
  <c r="BA314" i="4"/>
  <c r="BA150" i="4"/>
  <c r="BA315" i="4"/>
  <c r="BA151" i="4"/>
  <c r="BA316" i="4"/>
  <c r="BA152" i="4"/>
  <c r="BA58" i="4"/>
  <c r="BA59" i="4"/>
  <c r="BA247" i="4"/>
  <c r="BA155" i="4"/>
  <c r="BA83" i="4"/>
  <c r="BA84" i="4"/>
  <c r="BA250" i="4"/>
  <c r="BA85" i="4"/>
  <c r="BA86" i="4"/>
  <c r="BA252" i="4"/>
  <c r="BA181" i="4"/>
  <c r="BA88" i="4"/>
  <c r="BA274" i="4"/>
  <c r="BA183" i="4"/>
  <c r="BA90" i="4"/>
  <c r="BA91" i="4"/>
  <c r="BA277" i="4"/>
  <c r="BA186" i="4"/>
  <c r="BA278" i="4"/>
  <c r="BA112" i="4"/>
  <c r="BA279" i="4"/>
  <c r="BA114" i="4"/>
  <c r="BA280" i="4"/>
  <c r="BA115" i="4"/>
  <c r="BA281" i="4"/>
  <c r="BA116" i="4"/>
  <c r="BA282" i="4"/>
  <c r="BA117" i="4"/>
  <c r="BA211" i="4"/>
  <c r="BA118" i="4"/>
  <c r="BA284" i="4"/>
  <c r="BA119" i="4"/>
  <c r="BA213" i="4"/>
  <c r="BA304" i="4"/>
  <c r="BA120" i="4"/>
  <c r="BA214" i="4"/>
  <c r="BA121" i="4"/>
  <c r="BA215" i="4"/>
  <c r="BA307" i="4"/>
  <c r="BA122" i="4"/>
  <c r="BA246" i="4"/>
  <c r="BA276" i="4"/>
  <c r="BA188" i="4"/>
  <c r="BA210" i="4"/>
  <c r="BA212" i="4"/>
  <c r="BA306" i="4"/>
  <c r="BA216" i="4"/>
  <c r="BA308" i="4"/>
  <c r="BI39" i="6"/>
  <c r="BI361" i="6"/>
  <c r="BI208" i="6"/>
  <c r="BI71" i="6"/>
  <c r="BI425" i="6"/>
  <c r="BI272" i="6"/>
  <c r="BI489" i="6"/>
  <c r="BI144" i="6"/>
  <c r="BI107" i="6"/>
  <c r="BI175" i="6"/>
  <c r="BI245" i="6"/>
  <c r="BI216" i="6"/>
  <c r="BI253" i="6"/>
  <c r="BI122" i="6"/>
  <c r="BI505" i="6"/>
  <c r="BI64" i="6"/>
  <c r="BI543" i="6"/>
  <c r="BI516" i="6"/>
  <c r="BI415" i="6"/>
  <c r="BI293" i="6"/>
  <c r="BI400" i="6"/>
  <c r="BI309" i="6"/>
  <c r="BI477" i="6"/>
  <c r="BI154" i="6"/>
  <c r="BI320" i="6"/>
  <c r="BI34" i="6"/>
  <c r="BI37" i="6"/>
  <c r="BI432" i="6"/>
  <c r="BI495" i="6"/>
  <c r="BI541" i="6"/>
  <c r="BI436" i="6"/>
  <c r="BI101" i="6"/>
  <c r="BI378" i="6"/>
  <c r="BI357" i="6"/>
  <c r="BI86" i="6"/>
  <c r="BI198" i="6"/>
  <c r="BI391" i="6"/>
  <c r="BI427" i="6"/>
  <c r="BI278" i="6"/>
  <c r="BI326" i="6"/>
  <c r="BI423" i="6"/>
  <c r="BI537" i="6"/>
  <c r="BI452" i="6"/>
  <c r="BI402" i="6"/>
  <c r="BI337" i="6"/>
  <c r="BI380" i="6"/>
  <c r="BI30" i="6"/>
  <c r="BI390" i="6"/>
  <c r="BI370" i="6"/>
  <c r="BI182" i="6"/>
  <c r="BI284" i="6"/>
  <c r="BI289" i="6"/>
  <c r="BI519" i="6"/>
  <c r="BI108" i="6"/>
  <c r="BI348" i="6"/>
  <c r="BI387" i="6"/>
  <c r="BI40" i="6"/>
  <c r="BI243" i="6"/>
  <c r="BI410" i="6"/>
  <c r="BI93" i="6"/>
  <c r="BI294" i="6"/>
  <c r="BI371" i="6"/>
  <c r="BI236" i="6"/>
  <c r="BI247" i="6"/>
  <c r="BI227" i="6"/>
  <c r="BI435" i="6"/>
  <c r="BI59" i="6"/>
  <c r="BI168" i="6"/>
  <c r="BI460" i="6"/>
  <c r="BI381" i="6"/>
  <c r="BI372" i="6"/>
  <c r="BI335" i="6"/>
  <c r="BI540" i="6"/>
  <c r="BI48" i="6"/>
  <c r="BI125" i="6"/>
  <c r="BI457" i="6"/>
  <c r="BI111" i="6"/>
  <c r="BI513" i="6"/>
  <c r="BI103" i="6"/>
  <c r="BI521" i="6"/>
  <c r="BI368" i="6"/>
  <c r="BI42" i="6"/>
  <c r="BI304" i="6"/>
  <c r="BI139" i="6"/>
  <c r="BI239" i="6"/>
  <c r="BI277" i="6"/>
  <c r="BI280" i="6"/>
  <c r="BI413" i="6"/>
  <c r="BI186" i="6"/>
  <c r="BI58" i="6"/>
  <c r="BI192" i="6"/>
  <c r="BI68" i="6"/>
  <c r="BI517" i="6"/>
  <c r="BI416" i="6"/>
  <c r="BI36" i="6"/>
  <c r="BI138" i="6"/>
  <c r="BI171" i="6"/>
  <c r="BI399" i="6"/>
  <c r="BI344" i="6"/>
  <c r="BI282" i="6"/>
  <c r="BI196" i="6"/>
  <c r="BI165" i="6"/>
  <c r="BI203" i="6"/>
  <c r="BI341" i="6"/>
  <c r="BI376" i="6"/>
  <c r="BI442" i="6"/>
  <c r="BI218" i="6"/>
  <c r="BI324" i="6"/>
  <c r="BI420" i="6"/>
  <c r="BI545" i="6"/>
  <c r="BI69" i="6"/>
  <c r="BI261" i="6"/>
  <c r="BI409" i="6"/>
  <c r="BI548" i="6"/>
  <c r="BI44" i="6"/>
  <c r="BI54" i="6"/>
  <c r="BI468" i="6"/>
  <c r="BI300" i="6"/>
  <c r="BI118" i="6"/>
  <c r="BI220" i="6"/>
  <c r="BI358" i="6"/>
  <c r="BI364" i="6"/>
  <c r="BI124" i="6"/>
  <c r="BI223" i="6"/>
  <c r="BI332" i="6"/>
  <c r="BI250" i="6"/>
  <c r="BI351" i="6"/>
  <c r="BI83" i="6"/>
  <c r="BI498" i="6"/>
  <c r="BI214" i="6"/>
  <c r="BI508" i="6"/>
  <c r="BI96" i="6"/>
  <c r="BI109" i="6"/>
  <c r="BI147" i="6"/>
  <c r="BI246" i="6"/>
  <c r="BI226" i="6"/>
  <c r="BI211" i="6"/>
  <c r="BI157" i="6"/>
  <c r="BI136" i="6"/>
  <c r="BI434" i="6"/>
  <c r="BI486" i="6"/>
  <c r="BI403" i="6"/>
  <c r="BI375" i="6"/>
  <c r="BI131" i="6"/>
  <c r="BI149" i="6"/>
  <c r="BI422" i="6"/>
  <c r="BI265" i="6"/>
  <c r="BI355" i="6"/>
  <c r="BI189" i="6"/>
  <c r="BI515" i="6"/>
  <c r="BI135" i="6"/>
  <c r="BI74" i="6"/>
  <c r="BI496" i="6"/>
  <c r="BI167" i="6"/>
  <c r="BI106" i="6"/>
  <c r="BI49" i="6"/>
  <c r="BI202" i="6"/>
  <c r="BI199" i="6"/>
  <c r="BI170" i="6"/>
  <c r="BI209" i="6"/>
  <c r="BI266" i="6"/>
  <c r="BI464" i="6"/>
  <c r="BI235" i="6"/>
  <c r="BI112" i="6"/>
  <c r="BI373" i="6"/>
  <c r="BI504" i="6"/>
  <c r="BI62" i="6"/>
  <c r="BI506" i="6"/>
  <c r="BI314" i="6"/>
  <c r="BI547" i="6"/>
  <c r="BI450" i="6"/>
  <c r="BI163" i="6"/>
  <c r="BI229" i="6"/>
  <c r="BI292" i="6"/>
  <c r="BI305" i="6"/>
  <c r="BI298" i="6"/>
  <c r="BI81" i="6"/>
  <c r="BI267" i="6"/>
  <c r="BI176" i="6"/>
  <c r="BI405" i="6"/>
  <c r="BI89" i="6"/>
  <c r="BI222" i="6"/>
  <c r="BI123" i="6"/>
  <c r="BI65" i="6"/>
  <c r="BI544" i="6"/>
  <c r="BI60" i="6"/>
  <c r="BI386" i="6"/>
  <c r="BI140" i="6"/>
  <c r="BI475" i="6"/>
  <c r="BI204" i="6"/>
  <c r="BI459" i="6"/>
  <c r="BI539" i="6"/>
  <c r="BI455" i="6"/>
  <c r="BI150" i="6"/>
  <c r="BI492" i="6"/>
  <c r="BI497" i="6"/>
  <c r="BI444" i="6"/>
  <c r="BI258" i="6"/>
  <c r="BI45" i="6"/>
  <c r="BI346" i="6"/>
  <c r="BI352" i="6"/>
  <c r="BI291" i="6"/>
  <c r="BI210" i="6"/>
  <c r="BI412" i="6"/>
  <c r="BI104" i="6"/>
  <c r="BI474" i="6"/>
  <c r="BI389" i="6"/>
  <c r="BI307" i="6"/>
  <c r="BI343" i="6"/>
  <c r="BI160" i="6"/>
  <c r="BI52" i="6"/>
  <c r="BI155" i="6"/>
  <c r="BI518" i="6"/>
  <c r="BI527" i="6"/>
  <c r="BI385" i="6"/>
  <c r="BI431" i="6"/>
  <c r="BI512" i="6"/>
  <c r="BI441" i="6"/>
  <c r="BI164" i="6"/>
  <c r="BI231" i="6"/>
  <c r="BI234" i="6"/>
  <c r="BI263" i="6"/>
  <c r="BI330" i="6"/>
  <c r="BI401" i="6"/>
  <c r="BI362" i="6"/>
  <c r="BI145" i="6"/>
  <c r="BI299" i="6"/>
  <c r="BI240" i="6"/>
  <c r="BI437" i="6"/>
  <c r="BI153" i="6"/>
  <c r="BI286" i="6"/>
  <c r="BI251" i="6"/>
  <c r="BI538" i="6"/>
  <c r="BI193" i="6"/>
  <c r="BI325" i="6"/>
  <c r="BI418" i="6"/>
  <c r="BI482" i="6"/>
  <c r="BI421" i="6"/>
  <c r="BI327" i="6"/>
  <c r="BI529" i="6"/>
  <c r="BI363" i="6"/>
  <c r="BI501" i="6"/>
  <c r="BI510" i="6"/>
  <c r="BI187" i="6"/>
  <c r="BI70" i="6"/>
  <c r="BI383" i="6"/>
  <c r="BI522" i="6"/>
  <c r="BI76" i="6"/>
  <c r="BI395" i="6"/>
  <c r="BI533" i="6"/>
  <c r="BI315" i="6"/>
  <c r="BI178" i="6"/>
  <c r="BI177" i="6"/>
  <c r="BI156" i="6"/>
  <c r="BI338" i="6"/>
  <c r="BI241" i="6"/>
  <c r="BI374" i="6"/>
  <c r="BI98" i="6"/>
  <c r="BI306" i="6"/>
  <c r="BI438" i="6"/>
  <c r="BI487" i="6"/>
  <c r="BI172" i="6"/>
  <c r="BI354" i="6"/>
  <c r="BI173" i="6"/>
  <c r="BI274" i="6"/>
  <c r="BI61" i="6"/>
  <c r="BI127" i="6"/>
  <c r="BI365" i="6"/>
  <c r="BI342" i="6"/>
  <c r="BI130" i="6"/>
  <c r="BI333" i="6"/>
  <c r="BI530" i="6"/>
  <c r="BI259" i="6"/>
  <c r="BI462" i="6"/>
  <c r="BI500" i="6"/>
  <c r="BI43" i="6"/>
  <c r="BI345" i="6"/>
  <c r="BI162" i="6"/>
  <c r="BI80" i="6"/>
  <c r="BI377" i="6"/>
  <c r="BI295" i="6"/>
  <c r="BI426" i="6"/>
  <c r="BI465" i="6"/>
  <c r="BI394" i="6"/>
  <c r="BI273" i="6"/>
  <c r="BI331" i="6"/>
  <c r="BI336" i="6"/>
  <c r="BI469" i="6"/>
  <c r="BI249" i="6"/>
  <c r="BI350" i="6"/>
  <c r="BI347" i="6"/>
  <c r="BI91" i="6"/>
  <c r="BI321" i="6"/>
  <c r="BI451" i="6"/>
  <c r="BI97" i="6"/>
  <c r="BI230" i="6"/>
  <c r="BI490" i="6"/>
  <c r="BI458" i="6"/>
  <c r="BI369" i="6"/>
  <c r="BI528" i="6"/>
  <c r="BI313" i="6"/>
  <c r="BI411" i="6"/>
  <c r="BI447" i="6"/>
  <c r="BI225" i="6"/>
  <c r="BI359" i="6"/>
  <c r="BI82" i="6"/>
  <c r="BI433" i="6"/>
  <c r="BI113" i="6"/>
  <c r="BI353" i="6"/>
  <c r="BI50" i="6"/>
  <c r="BI473" i="6"/>
  <c r="BI67" i="6"/>
  <c r="BI102" i="6"/>
  <c r="BI242" i="6"/>
  <c r="BI323" i="6"/>
  <c r="BI268" i="6"/>
  <c r="BI491" i="6"/>
  <c r="BI90" i="6"/>
  <c r="BI479" i="6"/>
  <c r="BI466" i="6"/>
  <c r="BI523" i="6"/>
  <c r="BI87" i="6"/>
  <c r="BI453" i="6"/>
  <c r="BI428" i="6"/>
  <c r="BI146" i="6"/>
  <c r="BI119" i="6"/>
  <c r="BI141" i="6"/>
  <c r="BI215" i="6"/>
  <c r="BI454" i="6"/>
  <c r="BI301" i="6"/>
  <c r="BI310" i="6"/>
  <c r="BI99" i="6"/>
  <c r="BI269" i="6"/>
  <c r="BI396" i="6"/>
  <c r="BI317" i="6"/>
  <c r="BI221" i="6"/>
  <c r="BI255" i="6"/>
  <c r="BI461" i="6"/>
  <c r="BI406" i="6"/>
  <c r="BI285" i="6"/>
  <c r="BI201" i="6"/>
  <c r="BI449" i="6"/>
  <c r="BI181" i="6"/>
  <c r="BI388" i="6"/>
  <c r="BI75" i="6"/>
  <c r="BI200" i="6"/>
  <c r="BI429" i="6"/>
  <c r="BI180" i="6"/>
  <c r="BI525" i="6"/>
  <c r="BI531" i="6"/>
  <c r="BI524" i="6"/>
  <c r="BI115" i="6"/>
  <c r="BI470" i="6"/>
  <c r="BI219" i="6"/>
  <c r="BI471" i="6"/>
  <c r="BI445" i="6"/>
  <c r="BI349" i="6"/>
  <c r="BI133" i="6"/>
  <c r="BI260" i="6"/>
  <c r="BI419" i="6"/>
  <c r="BI484" i="6"/>
  <c r="BI417" i="6"/>
  <c r="BI296" i="6"/>
  <c r="BI264" i="6"/>
  <c r="BI142" i="6"/>
  <c r="BI205" i="6"/>
  <c r="BI534" i="6"/>
  <c r="BI88" i="6"/>
  <c r="BI126" i="6"/>
  <c r="BI159" i="6"/>
  <c r="BI360" i="6"/>
  <c r="BI328" i="6"/>
  <c r="BI308" i="6"/>
  <c r="BI499" i="6"/>
  <c r="BI443" i="6"/>
  <c r="BI318" i="6"/>
  <c r="BI35" i="6"/>
  <c r="BI100" i="6"/>
  <c r="BI456" i="6"/>
  <c r="BI430" i="6"/>
  <c r="BI493" i="6"/>
  <c r="BI92" i="6"/>
  <c r="BI414" i="6"/>
  <c r="BI356" i="6"/>
  <c r="BI520" i="6"/>
  <c r="BI494" i="6"/>
  <c r="BI46" i="6"/>
  <c r="BI279" i="6"/>
  <c r="BI542" i="6"/>
  <c r="BI322" i="6"/>
  <c r="BI197" i="6"/>
  <c r="BI73" i="6"/>
  <c r="BI137" i="6"/>
  <c r="BI174" i="6"/>
  <c r="BI311" i="6"/>
  <c r="BI472" i="6"/>
  <c r="BI95" i="6"/>
  <c r="BI262" i="6"/>
  <c r="BI105" i="6"/>
  <c r="BI233" i="6"/>
  <c r="BI238" i="6"/>
  <c r="BI316" i="6"/>
  <c r="BI440" i="6"/>
  <c r="BI549" i="6"/>
  <c r="BI256" i="6"/>
  <c r="BI169" i="6"/>
  <c r="BI271" i="6"/>
  <c r="BI302" i="6"/>
  <c r="BI439" i="6"/>
  <c r="BI185" i="6"/>
  <c r="BI319" i="6"/>
  <c r="BI257" i="6"/>
  <c r="BI329" i="6"/>
  <c r="BI281" i="6"/>
  <c r="BI33" i="6"/>
  <c r="BI526" i="6"/>
  <c r="BI546" i="6"/>
  <c r="BI213" i="6"/>
  <c r="BI290" i="6"/>
  <c r="BI232" i="6"/>
  <c r="BI110" i="6"/>
  <c r="BI72" i="6"/>
  <c r="BI78" i="6"/>
  <c r="BI148" i="6"/>
  <c r="BI77" i="6"/>
  <c r="BI179" i="6"/>
  <c r="BI502" i="6"/>
  <c r="BI283" i="6"/>
  <c r="BI503" i="6"/>
  <c r="BI94" i="6"/>
  <c r="BI509" i="6"/>
  <c r="BI31" i="6"/>
  <c r="BI134" i="6"/>
  <c r="BI128" i="6"/>
  <c r="BI206" i="6"/>
  <c r="BI244" i="6"/>
  <c r="BI339" i="6"/>
  <c r="BI379" i="6"/>
  <c r="BI158" i="6"/>
  <c r="BI161" i="6"/>
  <c r="BI38" i="6"/>
  <c r="BI485" i="6"/>
  <c r="BI334" i="6"/>
  <c r="BI270" i="6"/>
  <c r="BI237" i="6"/>
  <c r="BI55" i="6"/>
  <c r="BI184" i="6"/>
  <c r="BI190" i="6"/>
  <c r="BI288" i="6"/>
  <c r="BI129" i="6"/>
  <c r="BI79" i="6"/>
  <c r="BI51" i="6"/>
  <c r="BI212" i="6"/>
  <c r="BI183" i="6"/>
  <c r="BI446" i="6"/>
  <c r="BI194" i="6"/>
  <c r="BI511" i="6"/>
  <c r="BI143" i="6"/>
  <c r="BI275" i="6"/>
  <c r="BI340" i="6"/>
  <c r="BI408" i="6"/>
  <c r="BI478" i="6"/>
  <c r="BI481" i="6"/>
  <c r="BI303" i="6"/>
  <c r="BI467" i="6"/>
  <c r="BI53" i="6"/>
  <c r="BI252" i="6"/>
  <c r="BI56" i="6"/>
  <c r="BI448" i="6"/>
  <c r="BI483" i="6"/>
  <c r="BI367" i="6"/>
  <c r="BI116" i="6"/>
  <c r="BI85" i="6"/>
  <c r="BI407" i="6"/>
  <c r="BI57" i="6"/>
  <c r="BI224" i="6"/>
  <c r="BI287" i="6"/>
  <c r="BI463" i="6"/>
  <c r="BI276" i="6"/>
  <c r="BI117" i="6"/>
  <c r="BI536" i="6"/>
  <c r="BI195" i="6"/>
  <c r="BI32" i="6"/>
  <c r="BI404" i="6"/>
  <c r="BI121" i="6"/>
  <c r="BI393" i="6"/>
  <c r="BI217" i="6"/>
  <c r="BI152" i="6"/>
  <c r="BI392" i="6"/>
  <c r="BI398" i="6"/>
  <c r="BI424" i="6"/>
  <c r="BI366" i="6"/>
  <c r="BI114" i="6"/>
  <c r="BI397" i="6"/>
  <c r="BI84" i="6"/>
  <c r="BI151" i="6"/>
  <c r="BI507" i="6"/>
  <c r="BI248" i="6"/>
  <c r="BI382" i="6"/>
  <c r="BI254" i="6"/>
  <c r="BI66" i="6"/>
  <c r="BI532" i="6"/>
  <c r="BI228" i="6"/>
  <c r="BI384" i="6"/>
  <c r="BI488" i="6"/>
  <c r="BI312" i="6"/>
  <c r="BI166" i="6"/>
  <c r="BI41" i="6"/>
  <c r="BI188" i="6"/>
  <c r="BI132" i="6"/>
  <c r="BI47" i="6"/>
  <c r="BI63" i="6"/>
  <c r="BI207" i="6"/>
  <c r="BI191" i="6"/>
  <c r="BI297" i="6"/>
  <c r="BI476" i="6"/>
  <c r="BI480" i="6"/>
  <c r="BI535" i="6"/>
  <c r="BI120" i="6"/>
  <c r="BI514" i="6"/>
  <c r="BA28" i="4" l="1"/>
  <c r="BA27" i="4" a="1"/>
  <c r="BA27" i="4" s="1"/>
  <c r="BI27" i="6" a="1"/>
  <c r="BI27" i="6" s="1"/>
  <c r="BI28" i="6"/>
  <c r="X6" i="9"/>
  <c r="X6" i="9" a="1"/>
  <c r="X6" i="5"/>
  <c r="X6" i="5" a="1"/>
  <c r="P5" i="6"/>
  <c r="P5" i="6" a="1"/>
  <c r="W6" i="9"/>
  <c r="W6" i="9" a="1"/>
  <c r="P5" i="4"/>
  <c r="P5" i="4" a="1"/>
  <c r="W6" i="5"/>
  <c r="W6" i="5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<sst xmlns="http://schemas.openxmlformats.org/spreadsheetml/2006/main" count="28181" uniqueCount="2395">
  <si>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</si>
  <si>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</si>
  <si>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</si>
  <si>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</si>
  <si>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</si>
  <si>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</si>
  <si>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</si>
  <si>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</si>
  <si>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</si>
  <si>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</si>
  <si>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</si>
  <si>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</si>
  <si>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</si>
  <si>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</si>
  <si>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</si>
  <si>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</si>
  <si>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</si>
  <si>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</si>
  <si>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</si>
  <si>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</si>
  <si>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</si>
  <si>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</si>
  <si>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</si>
  <si>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</si>
  <si>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</si>
  <si>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</si>
  <si>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</si>
  <si>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</si>
  <si>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</si>
  <si>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</si>
  <si>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</si>
  <si>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</si>
  <si>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</si>
  <si>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</si>
  <si>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</si>
  <si>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</si>
  <si>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</si>
  <si>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</si>
  <si>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</si>
  <si>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</si>
  <si>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</si>
  <si>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</si>
  <si>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</si>
  <si>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</si>
  <si>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</si>
  <si>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</si>
  <si>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</si>
  <si>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</si>
  <si>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</si>
  <si>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</si>
  <si>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</si>
  <si>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</si>
  <si>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</si>
  <si>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X</t>
  </si>
  <si>
    <t>KL còn lại có thể triển khai</t>
  </si>
  <si>
    <t>ASSEMBLY PART LIST</t>
  </si>
  <si>
    <t>Project name / Tên Dự án      : Kuo Kuang Combined Cycle Power Plant Unit 2</t>
  </si>
  <si>
    <t>chi tiết chia nối</t>
  </si>
  <si>
    <t>Item Name  / Tên Hạng mục   : M4120 - Steam Duct (SD)</t>
  </si>
  <si>
    <t>Contract No. / Số Hợp đồng   : A320</t>
  </si>
  <si>
    <t>Prepared By  / Chuẩn bị         : Design Consultant Center 2</t>
  </si>
  <si>
    <t>Document No. / Số Tài liệu     : A320-01-APL-001</t>
  </si>
  <si>
    <t>Content Rev.</t>
  </si>
  <si>
    <t>Type Fabrication</t>
  </si>
  <si>
    <t>Type</t>
  </si>
  <si>
    <t>Document Cutting</t>
  </si>
  <si>
    <t>DCC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</si>
  <si>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</si>
  <si>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</si>
  <si>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</si>
  <si>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</si>
  <si>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</si>
  <si>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</si>
  <si>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</si>
  <si>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</si>
  <si>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</si>
  <si>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Q'ty</t>
  </si>
  <si>
    <t>Set</t>
  </si>
  <si>
    <t>Chung loai</t>
  </si>
  <si>
    <t>Scope of Steel Work LOT 1</t>
  </si>
  <si>
    <t>SL L1</t>
  </si>
  <si>
    <t>Scope of Steel Work LOT 2</t>
  </si>
  <si>
    <t>SL L2</t>
  </si>
  <si>
    <t>Scope of Steel Work LOT 3</t>
  </si>
  <si>
    <t>SL L3</t>
  </si>
  <si>
    <t>Scope of Steel Work LOT 4</t>
  </si>
  <si>
    <t>SL L4</t>
  </si>
  <si>
    <t>Loose Part</t>
  </si>
  <si>
    <t>Scope of Steel Work - LOT 1</t>
  </si>
  <si>
    <t>Scope of Steel Work - LOT 2</t>
  </si>
  <si>
    <t>Scope of Steel Work - LOT 3</t>
  </si>
  <si>
    <t>Scope of Steel Work - LOT 4</t>
  </si>
  <si>
    <t>Unit Area (m2)</t>
  </si>
  <si>
    <t>Total Area (m2)</t>
  </si>
  <si>
    <t>Remark</t>
  </si>
  <si>
    <t>AS Symbol</t>
  </si>
  <si>
    <t>Delivery item</t>
  </si>
  <si>
    <t>Rev.1
(28/05/2026)</t>
  </si>
  <si>
    <t>Rev.2
(09/06/2026)</t>
  </si>
  <si>
    <t>Rev.3
(19/06/2026)</t>
  </si>
  <si>
    <t>Rev.4
(09/07/2026)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</si>
  <si>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</si>
  <si>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</si>
  <si>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</si>
  <si>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</si>
  <si>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</si>
  <si>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</si>
  <si>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</si>
  <si>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</si>
  <si>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</si>
  <si>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</si>
  <si>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Q'TY</t>
  </si>
  <si>
    <t>Remain
(T'Qty-Q'Ty)</t>
  </si>
  <si>
    <t>1</t>
  </si>
  <si>
    <t>2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</si>
  <si>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</si>
  <si>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</si>
  <si>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</si>
  <si>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</si>
  <si>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</si>
  <si>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</si>
  <si>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</si>
  <si>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</si>
  <si>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</si>
  <si>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</si>
  <si>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</si>
  <si>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</si>
  <si>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</si>
  <si>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15A</t>
  </si>
  <si>
    <t>15</t>
  </si>
  <si>
    <t>16</t>
  </si>
  <si>
    <t>17</t>
  </si>
  <si>
    <t>18</t>
  </si>
  <si>
    <t>19</t>
  </si>
  <si>
    <t>20</t>
  </si>
  <si>
    <t>24D066-00-M4120_0.0 Sh.21</t>
  </si>
  <si>
    <t/>
  </si>
  <si>
    <t>AMC2</t>
  </si>
  <si>
    <t>N/A</t>
  </si>
  <si>
    <t>AMC 2-S3</t>
  </si>
  <si>
    <t>-</t>
  </si>
  <si>
    <t>AMC 2</t>
  </si>
  <si>
    <t>LOT 3</t>
  </si>
  <si>
    <t>x</t>
  </si>
  <si>
    <t>M4120_P0001</t>
  </si>
  <si>
    <t>SD_B0011_A0005_P0001</t>
  </si>
  <si>
    <t>PL10*50</t>
  </si>
  <si>
    <t>A36</t>
  </si>
  <si>
    <t>MCC</t>
  </si>
  <si>
    <t>Added, thêm nguyên công</t>
  </si>
  <si>
    <t xml:space="preserve">Fabrication </t>
  </si>
  <si>
    <t>M4120_P0010</t>
  </si>
  <si>
    <t>SD_B0011_A0005_P0010</t>
  </si>
  <si>
    <t>PL10 Dev. ~2611.1</t>
  </si>
  <si>
    <t>PMC</t>
  </si>
  <si>
    <t>M4120_P0012</t>
  </si>
  <si>
    <t>SD_B0011_A0005_P0012</t>
  </si>
  <si>
    <t>PL15*150</t>
  </si>
  <si>
    <t>M4120_P0013</t>
  </si>
  <si>
    <t>SD_B0011_A0005_P0013</t>
  </si>
  <si>
    <t>PL15*168</t>
  </si>
  <si>
    <t>24D066-00-M4120_0.0 Sh.22</t>
  </si>
  <si>
    <t>M4120_P0014</t>
  </si>
  <si>
    <t>SD_B0012_A0006_P0014</t>
  </si>
  <si>
    <t>M4120_P0043</t>
  </si>
  <si>
    <t>SD_B0012_A0006_P0043</t>
  </si>
  <si>
    <t>PL10 Dev. ~3038.5</t>
  </si>
  <si>
    <t>M4120_P0044</t>
  </si>
  <si>
    <t>SD_B0012_A0006_P0044</t>
  </si>
  <si>
    <t>M4120_P0045</t>
  </si>
  <si>
    <t>SD_B0012_A0006_P0045</t>
  </si>
  <si>
    <t>M4120_P0325</t>
  </si>
  <si>
    <t>SD_B0012_A0006_P0325</t>
  </si>
  <si>
    <t>PL12*200</t>
  </si>
  <si>
    <t>M4120_P0503</t>
  </si>
  <si>
    <t>SD_B0012_A0006_P0503</t>
  </si>
  <si>
    <t>M4120_P0506</t>
  </si>
  <si>
    <t>SD_B0012_A0006_P0506</t>
  </si>
  <si>
    <t>PL20*200</t>
  </si>
  <si>
    <t>M4120_P0510</t>
  </si>
  <si>
    <t>SD_B0012_A0006_P0510</t>
  </si>
  <si>
    <t>24D066-00-M4120_0.0 Sh.23</t>
  </si>
  <si>
    <t>SD_B0012_A0007_P0014</t>
  </si>
  <si>
    <t>SD_B0012_A0007_P0044</t>
  </si>
  <si>
    <t>SD_B0012_A0007_P0045</t>
  </si>
  <si>
    <t>M4120_P0046</t>
  </si>
  <si>
    <t>SD_B0012_A0007_P0046</t>
  </si>
  <si>
    <t>M4120_P0047</t>
  </si>
  <si>
    <t>SD_B0012_A0007_P0047</t>
  </si>
  <si>
    <t>M4120_P0504</t>
  </si>
  <si>
    <t>SD_B0012_A0007_P0504</t>
  </si>
  <si>
    <t>SD_B0012_A0007_P0506</t>
  </si>
  <si>
    <t>SD_B0012_A0007_P0510</t>
  </si>
  <si>
    <t>M4120_P0622</t>
  </si>
  <si>
    <t>SD_B0012_A0007_P0622</t>
  </si>
  <si>
    <t>24D066-00-M4120_0.0 Sh.25</t>
  </si>
  <si>
    <t>LOT 1</t>
  </si>
  <si>
    <t>M4120_P0016</t>
  </si>
  <si>
    <t>SD_B0003_A0009_P0016</t>
  </si>
  <si>
    <t>PL15*220</t>
  </si>
  <si>
    <t>DCC26-A320-0002-7/1
DCC26-A320-0002-7/2</t>
  </si>
  <si>
    <t>A320-03-CP013</t>
  </si>
  <si>
    <t>M4120_P0017</t>
  </si>
  <si>
    <t>SD_B0003_A0009_P0017</t>
  </si>
  <si>
    <t>PL15*200</t>
  </si>
  <si>
    <t>M4120_P0094</t>
  </si>
  <si>
    <t>SD_B0003_A0009_P0094</t>
  </si>
  <si>
    <t>PL12 Dev. ~2243</t>
  </si>
  <si>
    <t>M4120_P0095</t>
  </si>
  <si>
    <t>SD_B0003_A0009_P0095</t>
  </si>
  <si>
    <t>DCC26-A320-0002-5/14
DCC26-A320-0002-5/9
DCC26-A320-0002-5/7
DCC26-A320-0002-5/5
DCC26-A320-0002-5/3
DCC26-A320-0002-5/1</t>
  </si>
  <si>
    <t>A320-03-CP012</t>
  </si>
  <si>
    <t>24D066-00-M4120_0.0 Sh.32</t>
  </si>
  <si>
    <t>M4120_P0026</t>
  </si>
  <si>
    <t>SD_B0020_A0016_P0026</t>
  </si>
  <si>
    <t>PL10 Dev.~4247</t>
  </si>
  <si>
    <t>M4120_P0028</t>
  </si>
  <si>
    <t>SD_B0020_A0016_P0028</t>
  </si>
  <si>
    <t>M4120_P0030</t>
  </si>
  <si>
    <t>SD_B0020_A0016_P0030</t>
  </si>
  <si>
    <t>PL12*218</t>
  </si>
  <si>
    <t>M4120_P0031</t>
  </si>
  <si>
    <t>SD_B0020_A0016_P0031</t>
  </si>
  <si>
    <t>M4120_P0033</t>
  </si>
  <si>
    <t>SD_B0020_A0016_P0033</t>
  </si>
  <si>
    <t>M4120_P0034</t>
  </si>
  <si>
    <t>SD_B0020_A0016_P0034</t>
  </si>
  <si>
    <t>M4120_P0036</t>
  </si>
  <si>
    <t>SD_B0020_A0016_P0036</t>
  </si>
  <si>
    <t>M4120_P0038</t>
  </si>
  <si>
    <t>SD_B0020_A0016_P0038</t>
  </si>
  <si>
    <t>M4120_P0040</t>
  </si>
  <si>
    <t>SD_B0020_A0016_P0040</t>
  </si>
  <si>
    <t>24D066-00-M4120_0.0 Sh.33</t>
  </si>
  <si>
    <t>M4120_P0027</t>
  </si>
  <si>
    <t>SD_B0020_A0017_P0027</t>
  </si>
  <si>
    <t>M4120_P0029</t>
  </si>
  <si>
    <t>SD_B0020_A0017_P0029</t>
  </si>
  <si>
    <t>SD_B0020_A0017_P0030</t>
  </si>
  <si>
    <t>M4120_P0032</t>
  </si>
  <si>
    <t>SD_B0020_A0017_P0032</t>
  </si>
  <si>
    <t>SD_B0020_A0017_P0034</t>
  </si>
  <si>
    <t>M4120_P0035</t>
  </si>
  <si>
    <t>SD_B0020_A0017_P0035</t>
  </si>
  <si>
    <t>M4120_P0037</t>
  </si>
  <si>
    <t>SD_B0020_A0017_P0037</t>
  </si>
  <si>
    <t>M4120_P0039</t>
  </si>
  <si>
    <t>SD_B0020_A0017_P0039</t>
  </si>
  <si>
    <t>SD_B0020_A0017_P0040</t>
  </si>
  <si>
    <t>24D066-00-M4120_0.0 Sh.38</t>
  </si>
  <si>
    <t>AMC 2-S2</t>
  </si>
  <si>
    <t>LOT 2(Qty:4), LOT 3(Qty:4)</t>
  </si>
  <si>
    <t>Modify: LOT2,3 (Qty:1-&gt;4)</t>
  </si>
  <si>
    <t>M4120_P0058</t>
  </si>
  <si>
    <t>SD_B0023_A0022_P0058</t>
  </si>
  <si>
    <t>PL10 Dev. ~2454.1</t>
  </si>
  <si>
    <t>LOT 2, 3</t>
  </si>
  <si>
    <t>Added: thêm nguyên công</t>
  </si>
  <si>
    <t>M4120_P0059</t>
  </si>
  <si>
    <t>SD_B0023_A0022_P0059</t>
  </si>
  <si>
    <t>M4120_P0060</t>
  </si>
  <si>
    <t>SD_B0023_A0022_P0060</t>
  </si>
  <si>
    <t>M4120_P0061</t>
  </si>
  <si>
    <t>SD_B0023_A0022_P0061</t>
  </si>
  <si>
    <t>24D066-00-M4120_0.0 Sh.39</t>
  </si>
  <si>
    <t>LOT 1(Qty:8), LOT 2(Qty:4), LOT 3(Qty:4)</t>
  </si>
  <si>
    <t>Modify: LOT1 (Qty:2-&gt;8); LOT2,3 (Qty:1-&gt;4)</t>
  </si>
  <si>
    <t>SD_B0024_A0023_P0058</t>
  </si>
  <si>
    <t>LOT 1, 2, 3</t>
  </si>
  <si>
    <t>MODIFY, bổ sung cho Lot1</t>
  </si>
  <si>
    <t>SD_B0024_A0023_P0059</t>
  </si>
  <si>
    <t>SD_B0024_A0023_P0060</t>
  </si>
  <si>
    <t>SD_B0024_A0023_P0061</t>
  </si>
  <si>
    <t>24D066-00-M4120_0.0 Sh.45</t>
  </si>
  <si>
    <t>SD_B0028_A0029_P0060</t>
  </si>
  <si>
    <t>SD_B0028_A0029_P0061</t>
  </si>
  <si>
    <t>M4120_P0085</t>
  </si>
  <si>
    <t>SD_B0028_A0029_P0085</t>
  </si>
  <si>
    <t>M4120_P0087</t>
  </si>
  <si>
    <t>SD_B0028_A0029_P0087</t>
  </si>
  <si>
    <t>24D066-00-M4120_0.0 Sh.51</t>
  </si>
  <si>
    <t>AMC 2-S1</t>
  </si>
  <si>
    <t>SD_B0001_A0035_P0060</t>
  </si>
  <si>
    <t>SD_B0001_A0035_P0061</t>
  </si>
  <si>
    <t>M4120_P0102</t>
  </si>
  <si>
    <t>SD_B0001_A0035_P0102</t>
  </si>
  <si>
    <t>M4120_P0103</t>
  </si>
  <si>
    <t>SD_B0001_A0035_P0103</t>
  </si>
  <si>
    <t>24D066-00-M4120_0.0 Sh.52</t>
  </si>
  <si>
    <t>M4120_P0096</t>
  </si>
  <si>
    <t>SD_B0002_A0036_P0096</t>
  </si>
  <si>
    <t>M4120_P0104</t>
  </si>
  <si>
    <t>SD_B0002_A0036_P0104</t>
  </si>
  <si>
    <t>PL10 Dev. ~9556</t>
  </si>
  <si>
    <t>ADDED, thêm nguyên công</t>
  </si>
  <si>
    <t>M4120_P0105</t>
  </si>
  <si>
    <t>SD_B0002_A0036_P0105</t>
  </si>
  <si>
    <t>PL12 Dev. ~4935.8</t>
  </si>
  <si>
    <t>M4120_P0113</t>
  </si>
  <si>
    <t>SD_B0002_A0036_P0113</t>
  </si>
  <si>
    <t>PL10 Dev. ~3853.3</t>
  </si>
  <si>
    <t>M4120_P0116</t>
  </si>
  <si>
    <t>SD_B0002_A0036_P0116</t>
  </si>
  <si>
    <t>PL12*240</t>
  </si>
  <si>
    <t>DCC26-A320-0007-3/6
DCC26-A320-0007-3/5
DCC26-A320-0007-3/4
DCC26-A320-0007-6/7
DCC26-A320-0007-3/3
DCC26-A320-0007-3/2
DCC26-A320-0007-3/1</t>
  </si>
  <si>
    <t>A320-03-CP007</t>
  </si>
  <si>
    <t>M4120_P0332</t>
  </si>
  <si>
    <t>SD_B0002_A0036_P0332</t>
  </si>
  <si>
    <t>M4120_P0336</t>
  </si>
  <si>
    <t>SD_B0002_A0036_P0336</t>
  </si>
  <si>
    <t>Modify: cập nhật nguyên công</t>
  </si>
  <si>
    <t>M4120_P0344</t>
  </si>
  <si>
    <t>SD_B0002_A0036_P0344</t>
  </si>
  <si>
    <t>M4120_P0561</t>
  </si>
  <si>
    <t>SD_B0002_A0036_P0561</t>
  </si>
  <si>
    <t>PL20*1961.5</t>
  </si>
  <si>
    <t>M4120_P0562</t>
  </si>
  <si>
    <t>SD_B0002_A0036_P0562</t>
  </si>
  <si>
    <t>PL20*1166.9</t>
  </si>
  <si>
    <t>M291-724-CP007-1
M291-02-CP010-1
DCC26-A320-0002-9
M306-04-CP010-1
M291-03-CP033-1</t>
  </si>
  <si>
    <t>A320-03-CP008</t>
  </si>
  <si>
    <t>M4120_P0603</t>
  </si>
  <si>
    <t>SD_B0002_A0036_P0603</t>
  </si>
  <si>
    <t>PL12*156.3</t>
  </si>
  <si>
    <t>M4120_P0604</t>
  </si>
  <si>
    <t>SD_B0002_A0036_P0604</t>
  </si>
  <si>
    <t>24D066-00-M4120_0.0 Sh.53</t>
  </si>
  <si>
    <t>M4120_P0097</t>
  </si>
  <si>
    <t>SD_B0002_A0037_P0097</t>
  </si>
  <si>
    <t>M4120_P0106</t>
  </si>
  <si>
    <t>SD_B0002_A0037_P0106</t>
  </si>
  <si>
    <t>PL12 Dev. ~2305.5</t>
  </si>
  <si>
    <t>M4120_P0107</t>
  </si>
  <si>
    <t>SD_B0002_A0037_P0107</t>
  </si>
  <si>
    <t>PL10*60</t>
  </si>
  <si>
    <t>M4120_P0108</t>
  </si>
  <si>
    <t>SD_B0002_A0037_P0108</t>
  </si>
  <si>
    <t>M4120_P0109</t>
  </si>
  <si>
    <t>SD_B0002_A0037_P0109</t>
  </si>
  <si>
    <t>M4120_P0110</t>
  </si>
  <si>
    <t>SD_B0002_A0037_P0110</t>
  </si>
  <si>
    <t>M4120_P0112</t>
  </si>
  <si>
    <t>SD_B0002_A0037_P0112</t>
  </si>
  <si>
    <t>M4120_P0342</t>
  </si>
  <si>
    <t>SD_B0002_A0037_P0342</t>
  </si>
  <si>
    <t>M4120_P0559</t>
  </si>
  <si>
    <t>SD_B0002_A0037_P0559</t>
  </si>
  <si>
    <t>M4120_P0560</t>
  </si>
  <si>
    <t>SD_B0002_A0037_P0560</t>
  </si>
  <si>
    <t>24D066-00-M4120_0.0 Sh.54</t>
  </si>
  <si>
    <t>SD_B0002_A0038_P0097</t>
  </si>
  <si>
    <t>SD_B0002_A0038_P0107</t>
  </si>
  <si>
    <t>SD_B0002_A0038_P0108</t>
  </si>
  <si>
    <t>SD_B0002_A0038_P0109</t>
  </si>
  <si>
    <t>SD_B0002_A0038_P0110</t>
  </si>
  <si>
    <t>SD_B0002_A0038_P0112</t>
  </si>
  <si>
    <t>M4120_P0114</t>
  </si>
  <si>
    <t>SD_B0002_A0038_P0114</t>
  </si>
  <si>
    <t>SD_B0002_A0038_P0342</t>
  </si>
  <si>
    <t>SD_B0002_A0038_P0559</t>
  </si>
  <si>
    <t>SD_B0002_A0038_P0560</t>
  </si>
  <si>
    <t>24D066-00-M4120_0.0 Sh.55</t>
  </si>
  <si>
    <t>SD_B0002_A0039_P0096</t>
  </si>
  <si>
    <t>M4120_P0111</t>
  </si>
  <si>
    <t>SD_B0002_A0039_P0111</t>
  </si>
  <si>
    <t>PL12 Dev. ~4986.1</t>
  </si>
  <si>
    <t>M4120_P0343</t>
  </si>
  <si>
    <t>SD_B0002_A0039_P0343</t>
  </si>
  <si>
    <t>24D066-00-M4120_0.0 Sh.56</t>
  </si>
  <si>
    <t>M4120_P0011</t>
  </si>
  <si>
    <t>SD_B0012_A0040_P0011</t>
  </si>
  <si>
    <t>M4120_P0025</t>
  </si>
  <si>
    <t>SD_B0012_A0040_P0025</t>
  </si>
  <si>
    <t>PL10 Dev. ~6463</t>
  </si>
  <si>
    <t>M4120_P0041</t>
  </si>
  <si>
    <t>SD_B0012_A0040_P0041</t>
  </si>
  <si>
    <t>PL10 Dev. ~8614</t>
  </si>
  <si>
    <t>M4120_P0042</t>
  </si>
  <si>
    <t>SD_B0012_A0040_P0042</t>
  </si>
  <si>
    <t>M4120_P0048</t>
  </si>
  <si>
    <t>SD_B0012_A0040_P0048</t>
  </si>
  <si>
    <t>PL10 Dev. ~3801</t>
  </si>
  <si>
    <t>M4120_P0115</t>
  </si>
  <si>
    <t>SD_B0012_A0040_P0115</t>
  </si>
  <si>
    <t>M4120_P0324</t>
  </si>
  <si>
    <t>SD_B0012_A0040_P0324</t>
  </si>
  <si>
    <t>M4120_P0326</t>
  </si>
  <si>
    <t>SD_B0012_A0040_P0326</t>
  </si>
  <si>
    <t>M4120_P0502</t>
  </si>
  <si>
    <t>SD_B0012_A0040_P0502</t>
  </si>
  <si>
    <t>M4120_P0505</t>
  </si>
  <si>
    <t>SD_B0012_A0040_P0505</t>
  </si>
  <si>
    <t>M4120_P0509</t>
  </si>
  <si>
    <t>SD_B0012_A0040_P0509</t>
  </si>
  <si>
    <t>M4120_P0511</t>
  </si>
  <si>
    <t>SD_B0012_A0040_P0511</t>
  </si>
  <si>
    <t>PL12*400</t>
  </si>
  <si>
    <t>M4120_P0512</t>
  </si>
  <si>
    <t>SD_B0012_A0040_P0512</t>
  </si>
  <si>
    <t>PL12*760.4</t>
  </si>
  <si>
    <t>M4120_P0513</t>
  </si>
  <si>
    <t>SD_B0012_A0040_P0513</t>
  </si>
  <si>
    <t>PL12*420.4</t>
  </si>
  <si>
    <t>M4120_P0514</t>
  </si>
  <si>
    <t>SD_B0012_A0040_P0514</t>
  </si>
  <si>
    <t>M4120_P0515</t>
  </si>
  <si>
    <t>SD_B0012_A0040_P0515</t>
  </si>
  <si>
    <t>PL12*866.6</t>
  </si>
  <si>
    <t>M4120_P0516</t>
  </si>
  <si>
    <t>SD_B0012_A0040_P0516</t>
  </si>
  <si>
    <t>PL12*524.7</t>
  </si>
  <si>
    <t>M4120_P0597</t>
  </si>
  <si>
    <t>SD_B0012_A0040_P0597</t>
  </si>
  <si>
    <t>M4120_P0598</t>
  </si>
  <si>
    <t>SD_B0012_A0040_P0598</t>
  </si>
  <si>
    <t>24D066-00-M4120_0.0 Sh.59</t>
  </si>
  <si>
    <t>M4120_P0132</t>
  </si>
  <si>
    <t>SD_B0014_A0043_P0132</t>
  </si>
  <si>
    <t>PL10 Dev.~9456</t>
  </si>
  <si>
    <t>M4120_P0133</t>
  </si>
  <si>
    <t>SD_B0014_A0043_P0133</t>
  </si>
  <si>
    <t>PL10*678</t>
  </si>
  <si>
    <t>M4120_P0134</t>
  </si>
  <si>
    <t>SD_B0014_A0043_P0134</t>
  </si>
  <si>
    <t>M4120_P0135</t>
  </si>
  <si>
    <t>SD_B0014_A0043_P0135</t>
  </si>
  <si>
    <t>PL10*756.6</t>
  </si>
  <si>
    <t>M4120_P0136</t>
  </si>
  <si>
    <t>SD_B0014_A0043_P0136</t>
  </si>
  <si>
    <t>M4120_P0137</t>
  </si>
  <si>
    <t>SD_B0014_A0043_P0137</t>
  </si>
  <si>
    <t>M4120_P0138</t>
  </si>
  <si>
    <t>SD_B0014_A0043_P0138</t>
  </si>
  <si>
    <t>M4120_P0139</t>
  </si>
  <si>
    <t>SD_B0014_A0043_P0139</t>
  </si>
  <si>
    <t>M4120_P0140</t>
  </si>
  <si>
    <t>SD_B0014_A0043_P0140</t>
  </si>
  <si>
    <t>M4120_P0141</t>
  </si>
  <si>
    <t>SD_B0014_A0043_P0141</t>
  </si>
  <si>
    <t>M4120_P0142</t>
  </si>
  <si>
    <t>SD_B0014_A0043_P0142</t>
  </si>
  <si>
    <t>M4120_P0143</t>
  </si>
  <si>
    <t>SD_B0014_A0043_P0143</t>
  </si>
  <si>
    <t>M4120_P0144</t>
  </si>
  <si>
    <t>SD_B0014_A0043_P0144</t>
  </si>
  <si>
    <t>M4120_P0145</t>
  </si>
  <si>
    <t>SD_B0014_A0043_P0145</t>
  </si>
  <si>
    <t>M4120_P0146</t>
  </si>
  <si>
    <t>SD_B0014_A0043_P0146</t>
  </si>
  <si>
    <t>M4120_P0147</t>
  </si>
  <si>
    <t>SD_B0014_A0043_P0147</t>
  </si>
  <si>
    <t>M4120_P0319</t>
  </si>
  <si>
    <t>SD_B0014_A0043_P0319</t>
  </si>
  <si>
    <t>M4120_P0320</t>
  </si>
  <si>
    <t>SD_B0014_A0043_P0320</t>
  </si>
  <si>
    <t>M4120_P0321</t>
  </si>
  <si>
    <t>SD_B0014_A0043_P0321</t>
  </si>
  <si>
    <t>M4120_P0322</t>
  </si>
  <si>
    <t>SD_B0014_A0043_P0322</t>
  </si>
  <si>
    <t>M4120_P0337</t>
  </si>
  <si>
    <t>SD_B0014_A0043_P0337</t>
  </si>
  <si>
    <t>M4120_P0338</t>
  </si>
  <si>
    <t>SD_B0014_A0043_P0338</t>
  </si>
  <si>
    <t>M4120_P0339</t>
  </si>
  <si>
    <t>SD_B0014_A0043_P0339</t>
  </si>
  <si>
    <t>M4120_P0340</t>
  </si>
  <si>
    <t>SD_B0014_A0043_P0340</t>
  </si>
  <si>
    <t>M4120_P0341</t>
  </si>
  <si>
    <t>SD_B0014_A0043_P0341</t>
  </si>
  <si>
    <t>PL15*300</t>
  </si>
  <si>
    <t>M4120_P0556</t>
  </si>
  <si>
    <t>SD_B0014_A0043_P0556</t>
  </si>
  <si>
    <t>PL20*150</t>
  </si>
  <si>
    <t>M4120_P0558</t>
  </si>
  <si>
    <t>SD_B0014_A0043_P0558</t>
  </si>
  <si>
    <t>M4120_P0596</t>
  </si>
  <si>
    <t>SD_B0014_A0043_P0596</t>
  </si>
  <si>
    <t>24D066-00-M4120_0.0 Sh.60</t>
  </si>
  <si>
    <t>FAC 1</t>
  </si>
  <si>
    <t>LOT 1(Qty:2), LOT 2(Qty:2), LOT 3(Qty:2)</t>
  </si>
  <si>
    <t>SD_A0044_P0134</t>
  </si>
  <si>
    <t>M4120_P0222</t>
  </si>
  <si>
    <t>SD_A0044_P0222</t>
  </si>
  <si>
    <t>M4120_P0223</t>
  </si>
  <si>
    <t>SD_A0044_P0223</t>
  </si>
  <si>
    <t>PL10*485</t>
  </si>
  <si>
    <t>M4120_P0224</t>
  </si>
  <si>
    <t>SD_A0044_P0224</t>
  </si>
  <si>
    <t>PL10*505.9</t>
  </si>
  <si>
    <t>M4120_P0225</t>
  </si>
  <si>
    <t>SD_A0044_P0225</t>
  </si>
  <si>
    <t>M4120_P0226</t>
  </si>
  <si>
    <t>SD_A0044_P0226</t>
  </si>
  <si>
    <t>M4120_P0231</t>
  </si>
  <si>
    <t>SD_A0044_P0231</t>
  </si>
  <si>
    <t>M4120_P0232</t>
  </si>
  <si>
    <t>SD_A0044_P0232</t>
  </si>
  <si>
    <t>M4120_P0233</t>
  </si>
  <si>
    <t>SD_A0044_P0233</t>
  </si>
  <si>
    <t>M4120_P0234</t>
  </si>
  <si>
    <t>SD_A0044_P0234</t>
  </si>
  <si>
    <t>M4120_P0235</t>
  </si>
  <si>
    <t>SD_A0044_P0235</t>
  </si>
  <si>
    <t>M4120_P0236</t>
  </si>
  <si>
    <t>SD_A0044_P0236</t>
  </si>
  <si>
    <t>M4120_P0237</t>
  </si>
  <si>
    <t>SD_A0044_P0237</t>
  </si>
  <si>
    <t>M4120_P0238</t>
  </si>
  <si>
    <t>SD_A0044_P0238</t>
  </si>
  <si>
    <t>M4120_P0239</t>
  </si>
  <si>
    <t>SD_A0044_P0239</t>
  </si>
  <si>
    <t>M4120_P0240</t>
  </si>
  <si>
    <t>SD_A0044_P0240</t>
  </si>
  <si>
    <t>24D066-00-M4120_0.0 Sh.82</t>
  </si>
  <si>
    <t>M4120_P0201</t>
  </si>
  <si>
    <t>SD_B0005_A0066_P0201</t>
  </si>
  <si>
    <t>PL10*44.8</t>
  </si>
  <si>
    <t>M4120_P0202</t>
  </si>
  <si>
    <t>SD_B0005_A0066_P0202</t>
  </si>
  <si>
    <t>PL15*276</t>
  </si>
  <si>
    <t>M4120_P0203</t>
  </si>
  <si>
    <t>SD_B0005_A0066_P0203</t>
  </si>
  <si>
    <t>PL20*276</t>
  </si>
  <si>
    <t>M4120_P0261</t>
  </si>
  <si>
    <t>SD_B0005_A0066_P0261</t>
  </si>
  <si>
    <t>PL15*250</t>
  </si>
  <si>
    <t>M4120_P0265</t>
  </si>
  <si>
    <t>SD_B0005_A0066_P0265</t>
  </si>
  <si>
    <t>PL18 Dev. ~2053.9</t>
  </si>
  <si>
    <t>24D066-00-M4120_0.0 Sh.84</t>
  </si>
  <si>
    <t>SD_B0005_A0068_P0202</t>
  </si>
  <si>
    <t>SD_B0005_A0068_P0203</t>
  </si>
  <si>
    <t>M4120_P0205</t>
  </si>
  <si>
    <t>SD_B0005_A0068_P0205</t>
  </si>
  <si>
    <t>PL10*43.8</t>
  </si>
  <si>
    <t>M4120_P0262</t>
  </si>
  <si>
    <t>SD_B0005_A0068_P0262</t>
  </si>
  <si>
    <t>M4120_P0266</t>
  </si>
  <si>
    <t>SD_B0005_A0068_P0266</t>
  </si>
  <si>
    <t>PL18 Dev. ~2074.3</t>
  </si>
  <si>
    <t>24D066-00-M4120_0.0 Sh.86</t>
  </si>
  <si>
    <t>SD_B0005_A0070_P0202</t>
  </si>
  <si>
    <t>SD_B0005_A0070_P0203</t>
  </si>
  <si>
    <t>M4120_P0213</t>
  </si>
  <si>
    <t>SD_B0005_A0070_P0213</t>
  </si>
  <si>
    <t>PL10*48.4</t>
  </si>
  <si>
    <t>M4120_P0263</t>
  </si>
  <si>
    <t>SD_B0005_A0070_P0263</t>
  </si>
  <si>
    <t>M4120_P0269</t>
  </si>
  <si>
    <t>SD_B0005_A0070_P0269</t>
  </si>
  <si>
    <t>PL18 Dev. ~2028.3</t>
  </si>
  <si>
    <t>24D066-00-M4120_0.0 Sh.88</t>
  </si>
  <si>
    <t>SD_B0005_A0072_P0202</t>
  </si>
  <si>
    <t>SD_B0005_A0072_P0203</t>
  </si>
  <si>
    <t>M4120_P0215</t>
  </si>
  <si>
    <t>SD_B0005_A0072_P0215</t>
  </si>
  <si>
    <t>PL10*49.7</t>
  </si>
  <si>
    <t>SD_B0005_A0072_P0263</t>
  </si>
  <si>
    <t>M4120_P0270</t>
  </si>
  <si>
    <t>SD_B0005_A0072_P0270</t>
  </si>
  <si>
    <t>PL18 Dev. ~2053.7</t>
  </si>
  <si>
    <t>24D066-00-M4120_0.0 Sh.90</t>
  </si>
  <si>
    <t>SD_B0005_A0074_P0202</t>
  </si>
  <si>
    <t>SD_B0005_A0074_P0203</t>
  </si>
  <si>
    <t>M4120_P0217</t>
  </si>
  <si>
    <t>SD_B0005_A0074_P0217</t>
  </si>
  <si>
    <t>SD_B0005_A0074_P0263</t>
  </si>
  <si>
    <t>M4120_P0271</t>
  </si>
  <si>
    <t>SD_B0005_A0074_P0271</t>
  </si>
  <si>
    <t>PL18 Dev. ~2078.6</t>
  </si>
  <si>
    <t>24D066-00-M4120_0.0 Sh.92</t>
  </si>
  <si>
    <t>SD_B0005_A0076_P0202</t>
  </si>
  <si>
    <t>SD_B0005_A0076_P0203</t>
  </si>
  <si>
    <t>M4120_P0219</t>
  </si>
  <si>
    <t>SD_B0005_A0076_P0219</t>
  </si>
  <si>
    <t>PL10*49.9</t>
  </si>
  <si>
    <t>SD_B0005_A0076_P0263</t>
  </si>
  <si>
    <t>M4120_P0272</t>
  </si>
  <si>
    <t>SD_B0005_A0076_P0272</t>
  </si>
  <si>
    <t>PL18 Dev. ~2063.9</t>
  </si>
  <si>
    <t>24D066-00-M4120_0.0 Sh.94</t>
  </si>
  <si>
    <t>SD_B0005_A0078_P0202</t>
  </si>
  <si>
    <t>SD_B0005_A0078_P0203</t>
  </si>
  <si>
    <t>M4120_P0230</t>
  </si>
  <si>
    <t>SD_B0005_A0078_P0230</t>
  </si>
  <si>
    <t>PL10*48.8</t>
  </si>
  <si>
    <t>M4120_P0264</t>
  </si>
  <si>
    <t>SD_B0005_A0078_P0264</t>
  </si>
  <si>
    <t>M4120_P0275</t>
  </si>
  <si>
    <t>SD_B0005_A0078_P0275</t>
  </si>
  <si>
    <t>PL18 Dev. ~1965.5</t>
  </si>
  <si>
    <t>24D066-00-M4120_0.0 Sh.96</t>
  </si>
  <si>
    <t>SD_B0005_A0080_P0202</t>
  </si>
  <si>
    <t>SD_B0005_A0080_P0203</t>
  </si>
  <si>
    <t>M4120_P0260</t>
  </si>
  <si>
    <t>SD_B0005_A0080_P0260</t>
  </si>
  <si>
    <t>PL10*46.9</t>
  </si>
  <si>
    <t>SD_B0005_A0080_P0261</t>
  </si>
  <si>
    <t>M4120_P0276</t>
  </si>
  <si>
    <t>SD_B0005_A0080_P0276</t>
  </si>
  <si>
    <t>PL18 Dev. ~2006.7</t>
  </si>
  <si>
    <t>24D066-00-M4120_0.0 Sh.98</t>
  </si>
  <si>
    <t>SD_B0005_A0082_P0203</t>
  </si>
  <si>
    <t>M4120_P0207</t>
  </si>
  <si>
    <t>SD_B0005_A0082_P0207</t>
  </si>
  <si>
    <t>PL10*44.5</t>
  </si>
  <si>
    <t>M4120_P0208</t>
  </si>
  <si>
    <t>SD_B0005_A0082_P0208</t>
  </si>
  <si>
    <t>SD_B0005_A0082_P0262</t>
  </si>
  <si>
    <t>M4120_P0267</t>
  </si>
  <si>
    <t>SD_B0005_A0082_P0267</t>
  </si>
  <si>
    <t>PL18 Dev. ~2060.4</t>
  </si>
  <si>
    <t>24D066-00-M4120_0.0 Sh.100</t>
  </si>
  <si>
    <t>SD_B0005_A0084_P0203</t>
  </si>
  <si>
    <t>SD_B0005_A0084_P0208</t>
  </si>
  <si>
    <t>M4120_P0221</t>
  </si>
  <si>
    <t>SD_B0005_A0084_P0221</t>
  </si>
  <si>
    <t>SD_B0005_A0084_P0263</t>
  </si>
  <si>
    <t>M4120_P0273</t>
  </si>
  <si>
    <t>SD_B0005_A0084_P0273</t>
  </si>
  <si>
    <t>PL18 Dev. ~2011.7</t>
  </si>
  <si>
    <t>24D066-00-M4120_0.0 Sh.102</t>
  </si>
  <si>
    <t>SD_B0005_A0086_P0203</t>
  </si>
  <si>
    <t>M4120_P0210</t>
  </si>
  <si>
    <t>SD_B0005_A0086_P0210</t>
  </si>
  <si>
    <t>PL10*46.4</t>
  </si>
  <si>
    <t>M4120_P0211</t>
  </si>
  <si>
    <t>SD_B0005_A0086_P0211</t>
  </si>
  <si>
    <t>SD_B0005_A0086_P0262</t>
  </si>
  <si>
    <t>M4120_P0268</t>
  </si>
  <si>
    <t>SD_B0005_A0086_P0268</t>
  </si>
  <si>
    <t>PL18 Dev. ~2033.9</t>
  </si>
  <si>
    <t>24D066-00-M4120_0.0 Sh.104</t>
  </si>
  <si>
    <t>SD_B0005_A0088_P0203</t>
  </si>
  <si>
    <t>SD_B0005_A0088_P0211</t>
  </si>
  <si>
    <t>M4120_P0227</t>
  </si>
  <si>
    <t>SD_B0005_A0088_P0227</t>
  </si>
  <si>
    <t>PL10*49.8</t>
  </si>
  <si>
    <t>SD_B0005_A0088_P0264</t>
  </si>
  <si>
    <t>M4120_P0274</t>
  </si>
  <si>
    <t>SD_B0005_A0088_P0274</t>
  </si>
  <si>
    <t>PL18 Dev. ~1965.9</t>
  </si>
  <si>
    <t>24D066-00-M4120_0.0 Sh.123</t>
  </si>
  <si>
    <t>M4120_P0370</t>
  </si>
  <si>
    <t>SD_B0012_A0113_P0370</t>
  </si>
  <si>
    <t>PL30*1020</t>
  </si>
  <si>
    <t>M4120_P0372</t>
  </si>
  <si>
    <t>SD_B0012_A0113_P0372</t>
  </si>
  <si>
    <t>PL20*400</t>
  </si>
  <si>
    <t>M4120_P0374</t>
  </si>
  <si>
    <t>SD_B0012_A0113_P0374</t>
  </si>
  <si>
    <t>PL3*250</t>
  </si>
  <si>
    <t>AISI304</t>
  </si>
  <si>
    <t>M4120_P0378</t>
  </si>
  <si>
    <t>SD_B0012_A0113_P0378</t>
  </si>
  <si>
    <t>M4120_P0382</t>
  </si>
  <si>
    <t>SD_B0012_A0113_P0382</t>
  </si>
  <si>
    <t>PL20*265</t>
  </si>
  <si>
    <t>M4120_P0403</t>
  </si>
  <si>
    <t>SD_B0012_A0113_P0403</t>
  </si>
  <si>
    <t>M4120_P0404</t>
  </si>
  <si>
    <t>SD_B0012_A0113_P0404</t>
  </si>
  <si>
    <t>M4120_P0407</t>
  </si>
  <si>
    <t>SD_B0012_A0113_P0407</t>
  </si>
  <si>
    <t>M4120_P0408</t>
  </si>
  <si>
    <t>SD_B0012_A0113_P0408</t>
  </si>
  <si>
    <t>M4120_P0409</t>
  </si>
  <si>
    <t>SD_B0012_A0113_P0409</t>
  </si>
  <si>
    <t>M4120_P0410</t>
  </si>
  <si>
    <t>SD_B0012_A0113_P0410</t>
  </si>
  <si>
    <t>M4120_P0411</t>
  </si>
  <si>
    <t>SD_B0012_A0113_P0411</t>
  </si>
  <si>
    <t>PL20*883.5</t>
  </si>
  <si>
    <t>M4120_P0508</t>
  </si>
  <si>
    <t>SD_B0012_A0113_P0508</t>
  </si>
  <si>
    <t>PL20*900.4</t>
  </si>
  <si>
    <t>M4120_P0618</t>
  </si>
  <si>
    <t>SD_B0012_A0113_P0618</t>
  </si>
  <si>
    <t>PL5*50</t>
  </si>
  <si>
    <t>24D066-00-M4120_0.0 Sh.124</t>
  </si>
  <si>
    <t>SD_B0014_A0115_P0372</t>
  </si>
  <si>
    <t>SD_B0014_A0115_P0374</t>
  </si>
  <si>
    <t>E275-01-CP131-1
A320-01-CP004-1</t>
  </si>
  <si>
    <t>A320-03-CP003</t>
  </si>
  <si>
    <t>SD_B0014_A0115_P0378</t>
  </si>
  <si>
    <t>SD_B0014_A0115_P0382</t>
  </si>
  <si>
    <t>M4120_P0390</t>
  </si>
  <si>
    <t>SD_B0014_A0115_P0390</t>
  </si>
  <si>
    <t>M304-04-CP009-1
M304-04-CP014-2
M305-01-CP032-3
DCC26-A320-0002-11
M304-04-CP014-1
M305-11-CP032-3
A320-01-CP013-1
M305-01-CP032-1</t>
  </si>
  <si>
    <t>A320-03-CP010</t>
  </si>
  <si>
    <t>M4120_P0393</t>
  </si>
  <si>
    <t>SD_B0014_A0115_P0393</t>
  </si>
  <si>
    <t>M4120_P0394</t>
  </si>
  <si>
    <t>SD_B0014_A0115_P0394</t>
  </si>
  <si>
    <t>M4120_P0397</t>
  </si>
  <si>
    <t>SD_B0014_A0115_P0397</t>
  </si>
  <si>
    <t>M4120_P0398</t>
  </si>
  <si>
    <t>SD_B0014_A0115_P0398</t>
  </si>
  <si>
    <t>M4120_P0399</t>
  </si>
  <si>
    <t>SD_B0014_A0115_P0399</t>
  </si>
  <si>
    <t>M4120_P0555</t>
  </si>
  <si>
    <t>SD_B0014_A0115_P0555</t>
  </si>
  <si>
    <t>PL20*715.8</t>
  </si>
  <si>
    <t>SD_B0014_A0115_P0618</t>
  </si>
  <si>
    <t>E275-01-CP039-2</t>
  </si>
  <si>
    <t>A320-03-CP006</t>
  </si>
  <si>
    <t>24D066-00-M4120_0.0 Sh.125</t>
  </si>
  <si>
    <t>SD_B0002_A0116_P0372</t>
  </si>
  <si>
    <t>SD_B0002_A0116_P0374</t>
  </si>
  <si>
    <t>SD_B0002_A0116_P0378</t>
  </si>
  <si>
    <t>SD_B0002_A0116_P0382</t>
  </si>
  <si>
    <t>SD_B0002_A0116_P0390</t>
  </si>
  <si>
    <t>M4120_P0414</t>
  </si>
  <si>
    <t>SD_B0002_A0116_P0414</t>
  </si>
  <si>
    <t>PL20*965.9</t>
  </si>
  <si>
    <t>M4120_P0415</t>
  </si>
  <si>
    <t>SD_B0002_A0116_P0415</t>
  </si>
  <si>
    <t>M4120_P0416</t>
  </si>
  <si>
    <t>SD_B0002_A0116_P0416</t>
  </si>
  <si>
    <t>M4120_P0419</t>
  </si>
  <si>
    <t>SD_B0002_A0116_P0419</t>
  </si>
  <si>
    <t>M4120_P0420</t>
  </si>
  <si>
    <t>SD_B0002_A0116_P0420</t>
  </si>
  <si>
    <t>M4120_P0421</t>
  </si>
  <si>
    <t>SD_B0002_A0116_P0421</t>
  </si>
  <si>
    <t>M4120_P0422</t>
  </si>
  <si>
    <t>SD_B0002_A0116_P0422</t>
  </si>
  <si>
    <t>M4120_P0423</t>
  </si>
  <si>
    <t>SD_B0002_A0116_P0423</t>
  </si>
  <si>
    <t>PL20*926.5</t>
  </si>
  <si>
    <t>SD_B0002_A0116_P0618</t>
  </si>
  <si>
    <t>24D066-00-M4120_0.0 Sh.128</t>
  </si>
  <si>
    <t>M4120_P0391</t>
  </si>
  <si>
    <t>SD_B0014_A0127_P0391</t>
  </si>
  <si>
    <t>PL20*410</t>
  </si>
  <si>
    <t>M4120_P0396</t>
  </si>
  <si>
    <t>SD_B0014_A0127_P0396</t>
  </si>
  <si>
    <t>PL20*624.2</t>
  </si>
  <si>
    <t>M4120_P0400</t>
  </si>
  <si>
    <t>SD_B0014_A0127_P0400</t>
  </si>
  <si>
    <t>PL20*420</t>
  </si>
  <si>
    <t>o</t>
  </si>
  <si>
    <t>M4120_P0392</t>
  </si>
  <si>
    <t>SD_B0014_A0128_P0392</t>
  </si>
  <si>
    <t>PL20*380</t>
  </si>
  <si>
    <t>M4120_P0395</t>
  </si>
  <si>
    <t>SD_B0014_A0129_P0395</t>
  </si>
  <si>
    <t>PL20*624</t>
  </si>
  <si>
    <t>M4120_P0401</t>
  </si>
  <si>
    <t>SD_B0014_A0130_P0401</t>
  </si>
  <si>
    <t>PL20*365</t>
  </si>
  <si>
    <t>M4120_P0402</t>
  </si>
  <si>
    <t>SD_B0012_A0131_P0402</t>
  </si>
  <si>
    <t>PL20*407.2</t>
  </si>
  <si>
    <t>M4120_P0406</t>
  </si>
  <si>
    <t>SD_B0012_A0131_P0406</t>
  </si>
  <si>
    <t>PL20*453.2</t>
  </si>
  <si>
    <t>M4120_P0405</t>
  </si>
  <si>
    <t>SD_B0012_A0132_P0405</t>
  </si>
  <si>
    <t>PL20*453.9</t>
  </si>
  <si>
    <t>M4120_P0412</t>
  </si>
  <si>
    <t>SD_B0002_A0133_P0412</t>
  </si>
  <si>
    <t>PL20*408.8</t>
  </si>
  <si>
    <t>M4120_P0418</t>
  </si>
  <si>
    <t>SD_B0002_A0133_P0418</t>
  </si>
  <si>
    <t>PL20*603.9</t>
  </si>
  <si>
    <t>M4120_P0424</t>
  </si>
  <si>
    <t>SD_B0002_A0133_P0424</t>
  </si>
  <si>
    <t>M4120_P0413</t>
  </si>
  <si>
    <t>SD_B0002_A0134_P0413</t>
  </si>
  <si>
    <t>M4120_P0417</t>
  </si>
  <si>
    <t>SD_B0002_A0135_P0417</t>
  </si>
  <si>
    <t>PL20*608.6</t>
  </si>
  <si>
    <t>24D066-00-M4120_0.0 Sh.131</t>
  </si>
  <si>
    <t>M4120_P0425</t>
  </si>
  <si>
    <t>SD_B0002_A0136_P0425</t>
  </si>
  <si>
    <t>24D066-00-M4120_0.0 Sh.136</t>
  </si>
  <si>
    <t>M4120_P0507</t>
  </si>
  <si>
    <t>SD_B0012_A0161_P0507</t>
  </si>
  <si>
    <t>PL20*300</t>
  </si>
  <si>
    <t>M4120_P0522</t>
  </si>
  <si>
    <t>SD_A0162_P0522</t>
  </si>
  <si>
    <t>PL20*1299.6</t>
  </si>
  <si>
    <t>24D066-00-M4120_0.0 Sh.139</t>
  </si>
  <si>
    <t>LOT 1 ?</t>
  </si>
  <si>
    <t>M4120_P0491</t>
  </si>
  <si>
    <t>SD_A0159_P0491</t>
  </si>
  <si>
    <t>PL20*505</t>
  </si>
  <si>
    <t>M4120_P0492</t>
  </si>
  <si>
    <t>SD_A0159_P0492</t>
  </si>
  <si>
    <t>PL20*118.1</t>
  </si>
  <si>
    <t>M4120_P0493</t>
  </si>
  <si>
    <t>SD_A0159_P0493</t>
  </si>
  <si>
    <t>PL20*569.5</t>
  </si>
  <si>
    <t>24D066-00-M4120_0.0 Sh.140</t>
  </si>
  <si>
    <t>M4120_P0523</t>
  </si>
  <si>
    <t>SD_A0163_P0523</t>
  </si>
  <si>
    <t>PL20*1348.8</t>
  </si>
  <si>
    <t>LOT 1(Qty:2), LOT 3(Qty:2)</t>
  </si>
  <si>
    <t>M4120_P0527</t>
  </si>
  <si>
    <t>SD_A0164_P0527</t>
  </si>
  <si>
    <t>PL25*1525.1</t>
  </si>
  <si>
    <t>LOT 1, 3</t>
  </si>
  <si>
    <t>DCC26-A320-0002-10</t>
  </si>
  <si>
    <t>A320-03-CP009</t>
  </si>
  <si>
    <t>LOT 1(Qty:8), LOT 2(Qty:8), LOT 3(Qty:8)</t>
  </si>
  <si>
    <t>M4120_P0528</t>
  </si>
  <si>
    <t>SD_A0165_P0528</t>
  </si>
  <si>
    <t>M4120_P0529</t>
  </si>
  <si>
    <t>SD_A0165_P0529</t>
  </si>
  <si>
    <t>PL15*170</t>
  </si>
  <si>
    <t>FAC 2</t>
  </si>
  <si>
    <t>LOT 2(Qty:2), LOT 3(Qty:2)</t>
  </si>
  <si>
    <t>M4120_P0540</t>
  </si>
  <si>
    <t>SD_A0174_P0540</t>
  </si>
  <si>
    <t>M4120_P0541</t>
  </si>
  <si>
    <t>SD_A0174_P0541</t>
  </si>
  <si>
    <t>PL15*270</t>
  </si>
  <si>
    <t>A320M4120</t>
  </si>
  <si>
    <t>AM2</t>
  </si>
  <si>
    <t>Scope of Steel Work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</si>
  <si>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</si>
  <si>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</si>
  <si>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</si>
  <si>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</si>
  <si>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</si>
  <si>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</si>
  <si>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</si>
  <si>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</si>
  <si>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</si>
  <si>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</si>
  <si>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</si>
  <si>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21</t>
  </si>
  <si>
    <t>22</t>
  </si>
  <si>
    <t>23</t>
  </si>
  <si>
    <t>24</t>
  </si>
  <si>
    <t>T'Qty L1</t>
  </si>
  <si>
    <t>L2</t>
  </si>
  <si>
    <t>T'L2</t>
  </si>
  <si>
    <t>T'L3</t>
  </si>
  <si>
    <t>L3</t>
  </si>
  <si>
    <t>L4</t>
  </si>
  <si>
    <t>T'L4</t>
  </si>
  <si>
    <t>L1</t>
  </si>
  <si>
    <t>Kuo Kuang Combined Cycle Power Plant Unit 2</t>
  </si>
  <si>
    <t>A320</t>
  </si>
  <si>
    <t>M4120</t>
  </si>
  <si>
    <t>A B</t>
  </si>
  <si>
    <t>Rev./ Số Sửa đổi: 3</t>
  </si>
  <si>
    <t>Date: 06-Jul-2026</t>
  </si>
  <si>
    <t>Scope of Painting Work</t>
  </si>
  <si>
    <t>M4120_P0535</t>
  </si>
  <si>
    <t>SD_A0171_P0535</t>
  </si>
  <si>
    <t>M4120_P0536</t>
  </si>
  <si>
    <t>SD_A0171_P0536</t>
  </si>
  <si>
    <t>LOT 1(Qty:1), LOT 3(Qty:1)</t>
  </si>
  <si>
    <t>M4120_P0552</t>
  </si>
  <si>
    <t>SD_A0176_P0552</t>
  </si>
  <si>
    <t>PL25*1341.6</t>
  </si>
  <si>
    <t>M4120_P0554</t>
  </si>
  <si>
    <t>SD_A0177_P0554</t>
  </si>
  <si>
    <t>PL25*1206.2</t>
  </si>
  <si>
    <t>24D066-00-M4120_0.0 Sh.141</t>
  </si>
  <si>
    <t>M4120_P0563</t>
  </si>
  <si>
    <t>SD_A0178_P0563</t>
  </si>
  <si>
    <t>PL20*1385.5</t>
  </si>
  <si>
    <t>M4120_P0564</t>
  </si>
  <si>
    <t>SD_A0179_P0564</t>
  </si>
  <si>
    <t>PL20*1433.2</t>
  </si>
  <si>
    <t>M4120_P0585</t>
  </si>
  <si>
    <t>SD_A0187_P0585</t>
  </si>
  <si>
    <t>PL20*2374.4</t>
  </si>
  <si>
    <t>M4120_P0586</t>
  </si>
  <si>
    <t>SD_A0188_P0586</t>
  </si>
  <si>
    <t>PL20*206.2</t>
  </si>
  <si>
    <t>24D066-00-M4120_0.0 Sh.144</t>
  </si>
  <si>
    <t>M4120_P0587</t>
  </si>
  <si>
    <t>SD_A0189_P0587</t>
  </si>
  <si>
    <t>PL20*2517.7</t>
  </si>
  <si>
    <t>M4120_P0588</t>
  </si>
  <si>
    <t>SD_A0190_P0588</t>
  </si>
  <si>
    <t>PL20*1095</t>
  </si>
  <si>
    <t>M4120_P0589</t>
  </si>
  <si>
    <t>SD_A0191_P0589</t>
  </si>
  <si>
    <t>PL20*1994.1</t>
  </si>
  <si>
    <t>M4120_P0590</t>
  </si>
  <si>
    <t>SD_A0192_P0590</t>
  </si>
  <si>
    <t>M4120_P0591</t>
  </si>
  <si>
    <t>SD_A0193_P0591</t>
  </si>
  <si>
    <t>PL15*1694.2</t>
  </si>
  <si>
    <t>24D066-M4120#A0005#B0011#A0005</t>
  </si>
  <si>
    <t>24D066-M4120#A0006#B0012#A0006</t>
  </si>
  <si>
    <t>24D066-M4120#A0007#B0012#A0007</t>
  </si>
  <si>
    <t>24D066-M4120#A0009#B0003#A0009</t>
  </si>
  <si>
    <t>24D066-M4120#A0016#B0020#A0016</t>
  </si>
  <si>
    <t>24D066-M4120#A0017#B0020#A0017</t>
  </si>
  <si>
    <t>24D066-M4120#A0022#B0023#A0022</t>
  </si>
  <si>
    <t>24D066-M4120#A0023#B0024#A0023</t>
  </si>
  <si>
    <t>24D066-M4120#A0029#B0028#A0029</t>
  </si>
  <si>
    <t>24D066-M4120#A0035#B0001#A0035</t>
  </si>
  <si>
    <t>24D066-M4120#A0036#B0002#A0036</t>
  </si>
  <si>
    <t>24D066-M4120#A0037#B0002#A0037</t>
  </si>
  <si>
    <t>24D066-M4120#A0038#B0002#A0038</t>
  </si>
  <si>
    <t>24D066-M4120#A0039#B0002#A0039</t>
  </si>
  <si>
    <t>24D066-M4120#A0040#B0012#A0040</t>
  </si>
  <si>
    <t>24D066-M4120#A0043#B0014#A0043</t>
  </si>
  <si>
    <t>24D066-M4120#A0044#A0044</t>
  </si>
  <si>
    <t>24D066-M4120#A0066#B0005#A0066</t>
  </si>
  <si>
    <t>24D066-M4120#A0068#B0005#A0068</t>
  </si>
  <si>
    <t>24D066-M4120#A0070#B0005#A0070</t>
  </si>
  <si>
    <t>24D066-M4120#A0072#B0005#A0072</t>
  </si>
  <si>
    <t>24D066-M4120#A0074#B0005#A0074</t>
  </si>
  <si>
    <t>24D066-M4120#A0076#B0005#A0076</t>
  </si>
  <si>
    <t>24D066-M4120#A0078#B0005#A0078</t>
  </si>
  <si>
    <t>24D066-M4120#A0080#B0005#A0080</t>
  </si>
  <si>
    <t>24D066-M4120#A0082#B0005#A0082</t>
  </si>
  <si>
    <t>24D066-M4120#A0084#B0005#A0084</t>
  </si>
  <si>
    <t>24D066-M4120#A0086#B0005#A0086</t>
  </si>
  <si>
    <t>24D066-M4120#A0088#B0005#A0088</t>
  </si>
  <si>
    <t>24D066-M4120#A0113#B0012#A0113</t>
  </si>
  <si>
    <t>24D066-M4120#A0115#B0014#A0115</t>
  </si>
  <si>
    <t>24D066-M4120#A0116#B0002#A0116</t>
  </si>
  <si>
    <t>24D066-M4120#A0127#B0014#A0127</t>
  </si>
  <si>
    <t>24D066-M4120#A0128#B0014#A0128</t>
  </si>
  <si>
    <t>24D066-M4120#A0129#B0014#A0129</t>
  </si>
  <si>
    <t>24D066-M4120#A0130#B0014#A0130</t>
  </si>
  <si>
    <t>24D066-M4120#A0131#B0012#A0131</t>
  </si>
  <si>
    <t>24D066-M4120#A0132#B0012#A0132</t>
  </si>
  <si>
    <t>24D066-M4120#A0133#B0002#A0133</t>
  </si>
  <si>
    <t>24D066-M4120#A0134#B0002#A0134</t>
  </si>
  <si>
    <t>24D066-M4120#A0135#B0002#A0135</t>
  </si>
  <si>
    <t>24D066-M4120#A0136#B0002#A0136</t>
  </si>
  <si>
    <t>24D066-M4120#A0161#B0012#A0161</t>
  </si>
  <si>
    <t>24D066-M4120#A0162#A0162</t>
  </si>
  <si>
    <t>24D066-M4120#A0159#A0159</t>
  </si>
  <si>
    <t>24D066-M4120#A0163#A0163</t>
  </si>
  <si>
    <t>24D066-M4120#A0164#A0164</t>
  </si>
  <si>
    <t>24D066-M4120#A0165#A0165</t>
  </si>
  <si>
    <t>24D066-M4120#A0171#A0171</t>
  </si>
  <si>
    <t>24D066-M4120#A0174#A0174</t>
  </si>
  <si>
    <t>24D066-M4120#A0176#A0176</t>
  </si>
  <si>
    <t>24D066-M4120#A0177#A0177</t>
  </si>
  <si>
    <t>24D066-M4120#A0178#A0178</t>
  </si>
  <si>
    <t>24D066-M4120#A0179#A0179</t>
  </si>
  <si>
    <t>24D066-M4120#A0187#A0187</t>
  </si>
  <si>
    <t>24D066-M4120#A0188#A0188</t>
  </si>
  <si>
    <t>24D066-M4120#A0189#A0189</t>
  </si>
  <si>
    <t>24D066-M4120#A0190#A0190</t>
  </si>
  <si>
    <t>24D066-M4120#A0191#A0191</t>
  </si>
  <si>
    <t>24D066-M4120#A0192#A0192</t>
  </si>
  <si>
    <t>24D066-M4120#A0193#A0193</t>
  </si>
  <si>
    <t>A320M4130</t>
  </si>
  <si>
    <t>SDM_A10_P1</t>
  </si>
  <si>
    <t>PL5x93</t>
  </si>
  <si>
    <t>Shim Plate</t>
  </si>
  <si>
    <t>A320-SDM-PC-007</t>
  </si>
  <si>
    <t>PL5</t>
  </si>
  <si>
    <t>A320-01-CP005</t>
  </si>
  <si>
    <t>SDM_A10_P2</t>
  </si>
  <si>
    <t>PL3x93</t>
  </si>
  <si>
    <t>A320-SDM-PC-003</t>
  </si>
  <si>
    <t>PL3</t>
  </si>
  <si>
    <t>A320-01-CP003</t>
  </si>
  <si>
    <t>SDM_A10_P3</t>
  </si>
  <si>
    <t>PL2x93</t>
  </si>
  <si>
    <t>A320-SDM-PC-002</t>
  </si>
  <si>
    <t>PL2</t>
  </si>
  <si>
    <t>A320-01-CP002</t>
  </si>
  <si>
    <t>SDM_A10_P4</t>
  </si>
  <si>
    <t>PL1x93</t>
  </si>
  <si>
    <t>A320-SDM-PC-001</t>
  </si>
  <si>
    <t>PL1</t>
  </si>
  <si>
    <t>A320-01-CP001</t>
  </si>
  <si>
    <t>SDM_A11_B0616</t>
  </si>
  <si>
    <t>M6x16L (Pitch 1mm; 6H)</t>
  </si>
  <si>
    <t>Countersunk Bolt</t>
  </si>
  <si>
    <t>KHO</t>
  </si>
  <si>
    <t>SDM_A11_B2495</t>
  </si>
  <si>
    <t>M24x95L (Pitch 3mm; 6G)</t>
  </si>
  <si>
    <t>Threaded Bar</t>
  </si>
  <si>
    <t>RB25</t>
  </si>
  <si>
    <t>SDM_A11_M1</t>
  </si>
  <si>
    <t>PL5x160x160</t>
  </si>
  <si>
    <t>Teflon PAD</t>
  </si>
  <si>
    <t>Teflon</t>
  </si>
  <si>
    <t>SDM_A11_P1</t>
  </si>
  <si>
    <t>PL16x200</t>
  </si>
  <si>
    <t>A320-SDM-PC-012</t>
  </si>
  <si>
    <t>PL16</t>
  </si>
  <si>
    <t>A320-01-CP011</t>
  </si>
  <si>
    <t>SDM_A12_P1</t>
  </si>
  <si>
    <t>PL40x170</t>
  </si>
  <si>
    <t>A320-SDM-PC-015</t>
  </si>
  <si>
    <t>PL40</t>
  </si>
  <si>
    <t>A320-01-CP014</t>
  </si>
  <si>
    <t>SDM_A12_P2</t>
  </si>
  <si>
    <t>PL40x150</t>
  </si>
  <si>
    <t>SDM_A15_P1</t>
  </si>
  <si>
    <t>PL1x115</t>
  </si>
  <si>
    <t>A320-01-CP001
A320-01-CP019</t>
  </si>
  <si>
    <t>SDM_A17_M1</t>
  </si>
  <si>
    <t>PL5x220x380</t>
  </si>
  <si>
    <t>SDM_A17_P1</t>
  </si>
  <si>
    <t>PL2x88</t>
  </si>
  <si>
    <t>A320-SDM-PC-009</t>
  </si>
  <si>
    <t>PL10</t>
  </si>
  <si>
    <t>SDM_A18_R1</t>
  </si>
  <si>
    <t>Round Bar</t>
  </si>
  <si>
    <t>SDM_A19_D1</t>
  </si>
  <si>
    <t>PL8x250</t>
  </si>
  <si>
    <t>Pipe</t>
  </si>
  <si>
    <t>A320-SDM-PC-008</t>
  </si>
  <si>
    <t>PL8</t>
  </si>
  <si>
    <t>A320-01-CP007</t>
  </si>
  <si>
    <t>SDM_A19_M1</t>
  </si>
  <si>
    <t>24" 150# SO R.F (ASME B16.5)</t>
  </si>
  <si>
    <t>Flange</t>
  </si>
  <si>
    <t>A105</t>
  </si>
  <si>
    <t>SDM_A19_P1</t>
  </si>
  <si>
    <t>PL12x100</t>
  </si>
  <si>
    <t>A320-SDM-PC-010</t>
  </si>
  <si>
    <t>PL12</t>
  </si>
  <si>
    <t>A320-01-CP009</t>
  </si>
  <si>
    <t>SDM_A20_A1</t>
  </si>
  <si>
    <t>L80x80x10</t>
  </si>
  <si>
    <t>Angle</t>
  </si>
  <si>
    <t>A320-SDM-PC-504</t>
  </si>
  <si>
    <t>L90x90x10</t>
  </si>
  <si>
    <t>A320-01-CP504</t>
  </si>
  <si>
    <t>SDM_A20_P1</t>
  </si>
  <si>
    <t>PL12x80</t>
  </si>
  <si>
    <t>SDM_A20_R1</t>
  </si>
  <si>
    <t>RB60</t>
  </si>
  <si>
    <t>A320-SDM-PC-509</t>
  </si>
  <si>
    <t>A320-01-CP507</t>
  </si>
  <si>
    <t>SDM_A21_M1</t>
  </si>
  <si>
    <t>M16x260L</t>
  </si>
  <si>
    <t>Eyes Bolt</t>
  </si>
  <si>
    <t xml:space="preserve"> </t>
  </si>
  <si>
    <t>SDM_A21_R1</t>
  </si>
  <si>
    <t>RB20</t>
  </si>
  <si>
    <t>A320-SDM-PC-507</t>
  </si>
  <si>
    <t>A320-01-CP506</t>
  </si>
  <si>
    <t>SDM_A21_R2</t>
  </si>
  <si>
    <t>RB15</t>
  </si>
  <si>
    <t>A320-SDM-PC-505</t>
  </si>
  <si>
    <t>A320-01-CP505</t>
  </si>
  <si>
    <t>SDM_A22_D1</t>
  </si>
  <si>
    <t>28" SCH.STD (Ø711x9.53t)</t>
  </si>
  <si>
    <t>A106 Gr.B</t>
  </si>
  <si>
    <t>A320-SDM-PC-503</t>
  </si>
  <si>
    <t>A320-01-CP502</t>
  </si>
  <si>
    <t>SDM_A22_M1</t>
  </si>
  <si>
    <t>28" 150# WN R.F (ASME B16.47 Type A)</t>
  </si>
  <si>
    <t>SDM_A22_M2</t>
  </si>
  <si>
    <t>Mesh</t>
  </si>
  <si>
    <t>SDM_A22_P1</t>
  </si>
  <si>
    <t>PL30x225</t>
  </si>
  <si>
    <t>A320-SDM-PC-014</t>
  </si>
  <si>
    <t>PL30</t>
  </si>
  <si>
    <t>A320-01-CP013</t>
  </si>
  <si>
    <t>SDM_A22_P2</t>
  </si>
  <si>
    <t>PL10x60</t>
  </si>
  <si>
    <t>A320-01-CP008</t>
  </si>
  <si>
    <t>SDM_A22_P3</t>
  </si>
  <si>
    <t>PL10x70</t>
  </si>
  <si>
    <t>SDM_A23_D1</t>
  </si>
  <si>
    <t>SDM_A23_M1</t>
  </si>
  <si>
    <t>SDM_A23_M2</t>
  </si>
  <si>
    <t>SDM_A23_P1</t>
  </si>
  <si>
    <t>PL8x100</t>
  </si>
  <si>
    <t>SDM_A24_WS1</t>
  </si>
  <si>
    <t>PL5x80</t>
  </si>
  <si>
    <t>Washer</t>
  </si>
  <si>
    <t>SDM_A4C_1-0A_D1</t>
  </si>
  <si>
    <t>4" SCH.STD (OD114.3x6.02t)</t>
  </si>
  <si>
    <t>PIPE</t>
  </si>
  <si>
    <t>A53 Gr.B</t>
  </si>
  <si>
    <t>A320-SDM-PC-502</t>
  </si>
  <si>
    <t>SDM_A4C_1-0A_D2</t>
  </si>
  <si>
    <t>1/2" SCH.STD (OD21.3x2.77t)</t>
  </si>
  <si>
    <t>A320-SDM-PC-501</t>
  </si>
  <si>
    <t>SDM_A4C_1-0A_P1</t>
  </si>
  <si>
    <t>PL12x2130</t>
  </si>
  <si>
    <t>Shell Plate</t>
  </si>
  <si>
    <t>SDM_A4C_1-0A_P10</t>
  </si>
  <si>
    <t>PL10x223</t>
  </si>
  <si>
    <t>SDM_A4C_1-0A_P11</t>
  </si>
  <si>
    <t>PL12x1823</t>
  </si>
  <si>
    <t>SDM_A4C_1-0A_P12</t>
  </si>
  <si>
    <t>PL16x154</t>
  </si>
  <si>
    <t>SDM_A4C_1-0A_P2</t>
  </si>
  <si>
    <t>PL15x350</t>
  </si>
  <si>
    <t>A320-SDM-PC-011</t>
  </si>
  <si>
    <t>PL15</t>
  </si>
  <si>
    <t>SDM_A4C_1-0A_P3</t>
  </si>
  <si>
    <t>PL10x180</t>
  </si>
  <si>
    <t>SDM_A4C_1-0A_P4</t>
  </si>
  <si>
    <t>PL20x611</t>
  </si>
  <si>
    <t>A320-SDM-PC-013</t>
  </si>
  <si>
    <t>PL20</t>
  </si>
  <si>
    <t>SDM_A4C_1-0A_P5</t>
  </si>
  <si>
    <t>SDM_A4C_1-0A_P6</t>
  </si>
  <si>
    <t>SDM_A4C_1-0A_P7</t>
  </si>
  <si>
    <t>PL20x200</t>
  </si>
  <si>
    <t>SDM_A4C_1-0A_P8</t>
  </si>
  <si>
    <t>PL5x180</t>
  </si>
  <si>
    <t>A320-SDM-PC-005</t>
  </si>
  <si>
    <t>SDM_A4C_1-0A_P9</t>
  </si>
  <si>
    <t>PL10x286</t>
  </si>
  <si>
    <t>SDM_A4C_1-0B_P14</t>
  </si>
  <si>
    <t>SDM_A4C_1-0B_P17</t>
  </si>
  <si>
    <t>SDM_A4C_1-0B_P18</t>
  </si>
  <si>
    <t>PL20x501</t>
  </si>
  <si>
    <t>SDM_A4C_1-0B_P22</t>
  </si>
  <si>
    <t>PL12x535</t>
  </si>
  <si>
    <t>SDM_A4C_1-0B_P26</t>
  </si>
  <si>
    <t>PL15x356</t>
  </si>
  <si>
    <t>SDM_A4C_1-0C_P14</t>
  </si>
  <si>
    <t>SDM_A4C_1-0C_P22</t>
  </si>
  <si>
    <t>SDM_A4C_1-0C_P23</t>
  </si>
  <si>
    <t>PL20x505</t>
  </si>
  <si>
    <t>SDM_A4C_1-0C_P27</t>
  </si>
  <si>
    <t>PL20x160</t>
  </si>
  <si>
    <t>SDM_A4C_1-0C_P28</t>
  </si>
  <si>
    <t>PL15x110</t>
  </si>
  <si>
    <t>SDM_A4C_1-0D_D2</t>
  </si>
  <si>
    <t>SDM_A4C_1-0D_M1</t>
  </si>
  <si>
    <t>RB50</t>
  </si>
  <si>
    <t>HALF COUPLING</t>
  </si>
  <si>
    <t>SDM_A4C_1-0D_P13</t>
  </si>
  <si>
    <t>SDM_A4C_1-0D_P15</t>
  </si>
  <si>
    <t>PL10x293</t>
  </si>
  <si>
    <t>SDM_A4C_1-0D_P16</t>
  </si>
  <si>
    <t>PL10x163</t>
  </si>
  <si>
    <t>SDM_A4C_1-0D_P17</t>
  </si>
  <si>
    <t>SDM_A4C_1-0D_P18</t>
  </si>
  <si>
    <t>SDM_A4C_1-0D_P19</t>
  </si>
  <si>
    <t>PL10x1071</t>
  </si>
  <si>
    <t>SDM_A4C_1-0D_P20</t>
  </si>
  <si>
    <t>PL10x255</t>
  </si>
  <si>
    <t>SDM_A4C_1-0D_P21</t>
  </si>
  <si>
    <t>PL10x231</t>
  </si>
  <si>
    <t>SDM_A4C_1-0D_P22</t>
  </si>
  <si>
    <t>SDM_A4C_1-0D_P24</t>
  </si>
  <si>
    <t>PL15x408</t>
  </si>
  <si>
    <t>SDM_A4C_1-0D_P25</t>
  </si>
  <si>
    <t>PL15x354</t>
  </si>
  <si>
    <t>SDM_A4C_2-0A_D1</t>
  </si>
  <si>
    <t>SDM_A4C_2-0A_P1</t>
  </si>
  <si>
    <t>PL10x374</t>
  </si>
  <si>
    <t>SDM_A4C_2-0A_P2</t>
  </si>
  <si>
    <t>PL10x512</t>
  </si>
  <si>
    <t>SDM_A4C_2-0A_P3</t>
  </si>
  <si>
    <t>SDM_A4C_2-0A_P4</t>
  </si>
  <si>
    <t>PL12x511</t>
  </si>
  <si>
    <t>SDM_A4C_2-0A_P5</t>
  </si>
  <si>
    <t>PL15x320</t>
  </si>
  <si>
    <t>SDM_A4C_2-0A_P6</t>
  </si>
  <si>
    <t>PL10x152</t>
  </si>
  <si>
    <t>SDM_A4C_2-0A_P7</t>
  </si>
  <si>
    <t>PL12x170</t>
  </si>
  <si>
    <t>SDM_A4C_2-0A_P8</t>
  </si>
  <si>
    <t>PL16x146</t>
  </si>
  <si>
    <t>SDM_A4C_2-0A_P9</t>
  </si>
  <si>
    <t>SDM_A4C_2-0B_P10</t>
  </si>
  <si>
    <t>PL10x2016</t>
  </si>
  <si>
    <t>SDM_A4C_2-0B_P12</t>
  </si>
  <si>
    <t>PL12x2367</t>
  </si>
  <si>
    <t>SDM_A4C_2-0B_P13</t>
  </si>
  <si>
    <t>PL10x2242</t>
  </si>
  <si>
    <t>SDM_A4C_2-0B_P14</t>
  </si>
  <si>
    <t>PL10x542</t>
  </si>
  <si>
    <t>SDM_A4C_2-0B_P15</t>
  </si>
  <si>
    <t>PL12x624</t>
  </si>
  <si>
    <t>SDM_A4C_2-0C_P16</t>
  </si>
  <si>
    <t>PL10x1613</t>
  </si>
  <si>
    <t>SDM_A4C_2-0C_P17</t>
  </si>
  <si>
    <t>PL10x1667</t>
  </si>
  <si>
    <t>SDM_A4C_2-0C_P18</t>
  </si>
  <si>
    <t>PL12x1893</t>
  </si>
  <si>
    <t>SDM_A4C_2-0C_P19</t>
  </si>
  <si>
    <t>PL10x399</t>
  </si>
  <si>
    <t>SDM_A4C_2-0C_P20</t>
  </si>
  <si>
    <t>PL12x456</t>
  </si>
  <si>
    <t>SDM_A4C_2-0C_P21</t>
  </si>
  <si>
    <t>SDM_A4C_2-0C_P22</t>
  </si>
  <si>
    <t>SDM_A4C_2-0D_P10</t>
  </si>
  <si>
    <t>SDM_A4C_2-0D_P11</t>
  </si>
  <si>
    <t>SDM_A4C_2-0D_P12</t>
  </si>
  <si>
    <t>SDM_A4C_2-0D_P14</t>
  </si>
  <si>
    <t>SDM_A4C_2-0D_P15</t>
  </si>
  <si>
    <t>SDM_A4C_3-1_D1</t>
  </si>
  <si>
    <t>SDM_A4C_3-1_P1</t>
  </si>
  <si>
    <t>PL10x6315</t>
  </si>
  <si>
    <t>Duct Plate</t>
  </si>
  <si>
    <t>SDM_A4C_3-1_P10</t>
  </si>
  <si>
    <t>SDM_A4C_3-1_P10A</t>
  </si>
  <si>
    <t>SDM_A4C_3-1_P11</t>
  </si>
  <si>
    <t>PL30x240</t>
  </si>
  <si>
    <t>Base Plate</t>
  </si>
  <si>
    <t>SDM_A4C_3-1_P12</t>
  </si>
  <si>
    <t>SDM_A4C_3-1_P13</t>
  </si>
  <si>
    <t>PL10x304</t>
  </si>
  <si>
    <t>Ring Plate</t>
  </si>
  <si>
    <t>SDM_A4C_3-1_P14</t>
  </si>
  <si>
    <t>PL16x135</t>
  </si>
  <si>
    <t>SDM_A4C_3-1_P15</t>
  </si>
  <si>
    <t>SDM_A4C_3-1_P16</t>
  </si>
  <si>
    <t>SDM_A4C_3-1_P17</t>
  </si>
  <si>
    <t>LUG Plate</t>
  </si>
  <si>
    <t>SDM_A4C_3-1_P18</t>
  </si>
  <si>
    <t>PAD Plate</t>
  </si>
  <si>
    <t>SDM_A4C_3-1_P2</t>
  </si>
  <si>
    <t>PL10x2213</t>
  </si>
  <si>
    <t>SDM_A4C_3-1_P3</t>
  </si>
  <si>
    <t>PL10x2192</t>
  </si>
  <si>
    <t>SDM_A4C_3-1_P4</t>
  </si>
  <si>
    <t>PL10x2300</t>
  </si>
  <si>
    <t>SDM_A4C_3-1_P5</t>
  </si>
  <si>
    <t>PL10x1664</t>
  </si>
  <si>
    <t>SDM_A4C_3-1_P6</t>
  </si>
  <si>
    <t>PL15x282</t>
  </si>
  <si>
    <t>SDM_A4C_3-1_P7</t>
  </si>
  <si>
    <t>PL10x232</t>
  </si>
  <si>
    <t>SDM_A4C_3-1_P8</t>
  </si>
  <si>
    <t>PL20x2330</t>
  </si>
  <si>
    <t>SDM_A4C_3-1_P9</t>
  </si>
  <si>
    <t>PL10x640</t>
  </si>
  <si>
    <t>SDM_A4C_4-1_D1</t>
  </si>
  <si>
    <t>SDM_A4C_4-1_P1</t>
  </si>
  <si>
    <t>PL10x5455</t>
  </si>
  <si>
    <t>SDM_A4C_4-1_P10</t>
  </si>
  <si>
    <t>SDM_A4C_4-1_P11</t>
  </si>
  <si>
    <t>SDM_A4C_4-1_P2</t>
  </si>
  <si>
    <t>SDM_A4C_4-1_P3</t>
  </si>
  <si>
    <t>SDM_A4C_4-1_P4</t>
  </si>
  <si>
    <t>SDM_A4C_4-1_P5</t>
  </si>
  <si>
    <t>PL15x270</t>
  </si>
  <si>
    <t>SDM_A4C_4-1_P6</t>
  </si>
  <si>
    <t>SDM_A4C_4-1_P7</t>
  </si>
  <si>
    <t>SDM_A4C_4-1_P8</t>
  </si>
  <si>
    <t>SDM_A4C_4-1_P9</t>
  </si>
  <si>
    <t>SDM_A4C_5-1_D1</t>
  </si>
  <si>
    <t>SDM_A4C_5-1_P1</t>
  </si>
  <si>
    <t>PL8x3576</t>
  </si>
  <si>
    <t>SDM_A4C_5-1_P10</t>
  </si>
  <si>
    <t>SDM_A4C_5-1_P2</t>
  </si>
  <si>
    <t>PL10x3216</t>
  </si>
  <si>
    <t>SDM_A4C_5-1_P3</t>
  </si>
  <si>
    <t>PL8x1479.5</t>
  </si>
  <si>
    <t>SDM_A4C_5-1_P4</t>
  </si>
  <si>
    <t>SDM_A4C_5-1_P5</t>
  </si>
  <si>
    <t>SDM_A4C_5-1_P6</t>
  </si>
  <si>
    <t>PL15x198</t>
  </si>
  <si>
    <t>SDM_A4C_5-1_P7</t>
  </si>
  <si>
    <t>PL16x104</t>
  </si>
  <si>
    <t>SDM_A4C_5-1_P8</t>
  </si>
  <si>
    <t>188,5</t>
  </si>
  <si>
    <t>SDM_A4C_5-1_P9</t>
  </si>
  <si>
    <t>SDM_A4C_6-1_D1</t>
  </si>
  <si>
    <t>SDM_A4C_6-1_P1</t>
  </si>
  <si>
    <t>SDM_A4C_6-1_P10</t>
  </si>
  <si>
    <t>PL8x1076</t>
  </si>
  <si>
    <t>SDM_A4C_6-1_P11</t>
  </si>
  <si>
    <t>PL8x128</t>
  </si>
  <si>
    <t>SDM_A4C_6-1_P12</t>
  </si>
  <si>
    <t>PL15x306</t>
  </si>
  <si>
    <t>SDM_A4C_6-1_P13</t>
  </si>
  <si>
    <t>PL15x352</t>
  </si>
  <si>
    <t>SDM_A4C_6-1_P14</t>
  </si>
  <si>
    <t>SDM_A4C_6-1_P15</t>
  </si>
  <si>
    <t>SDM_A4C_6-1_P16</t>
  </si>
  <si>
    <t>PL5x190</t>
  </si>
  <si>
    <t>SDM_A4C_6-1_P2</t>
  </si>
  <si>
    <t>PL8x1480</t>
  </si>
  <si>
    <t>SDM_A4C_6-1_P3</t>
  </si>
  <si>
    <t>PL20x1456</t>
  </si>
  <si>
    <t>Close Plate</t>
  </si>
  <si>
    <t>SDM_A4C_6-1_P4</t>
  </si>
  <si>
    <t>PL20x275</t>
  </si>
  <si>
    <t>SDM_A4C_6-1_P5</t>
  </si>
  <si>
    <t>PL16x120</t>
  </si>
  <si>
    <t>SDM_A4C_6-1_P6</t>
  </si>
  <si>
    <t>PL16x80</t>
  </si>
  <si>
    <t>SDM_A4C_6-1_P7</t>
  </si>
  <si>
    <t>SDM_A4C_6-1_P8</t>
  </si>
  <si>
    <t>SDM_A4C_6-1_P9</t>
  </si>
  <si>
    <t>SDM_A5C_1-0A_D1</t>
  </si>
  <si>
    <t>A320-01-CP503</t>
  </si>
  <si>
    <t>SDM_A5C_1-0A_D2</t>
  </si>
  <si>
    <t>A320-01-CP501</t>
  </si>
  <si>
    <t>SDM_A5C_1-0A_P1</t>
  </si>
  <si>
    <t>PL12x2366</t>
  </si>
  <si>
    <t>SDM_A5C_1-0A_P10</t>
  </si>
  <si>
    <t>PL10x308</t>
  </si>
  <si>
    <t>PLATE</t>
  </si>
  <si>
    <t>SDM_A5C_1-0A_P11</t>
  </si>
  <si>
    <t>PL12x206</t>
  </si>
  <si>
    <t>SDM_A5C_1-0A_P11A</t>
  </si>
  <si>
    <t>SDM_A5C_1-0A_P12</t>
  </si>
  <si>
    <t>SDM_A5C_1-0A_P2</t>
  </si>
  <si>
    <t>PL15x360</t>
  </si>
  <si>
    <t>A320-01-CP010</t>
  </si>
  <si>
    <t>SDM_A5C_1-0A_P3</t>
  </si>
  <si>
    <t>SDM_A5C_1-0A_P4</t>
  </si>
  <si>
    <t>PL20x678</t>
  </si>
  <si>
    <t>A320-01-CP012</t>
  </si>
  <si>
    <t>SDM_A5C_1-0A_P5</t>
  </si>
  <si>
    <t>SDM_A5C_1-0A_P6</t>
  </si>
  <si>
    <t>PL10x287</t>
  </si>
  <si>
    <t>SDM_A5C_1-0A_P7</t>
  </si>
  <si>
    <t>A320-01-CP006</t>
  </si>
  <si>
    <t>SDM_A5C_1-0A_P8</t>
  </si>
  <si>
    <t>SDM_A5C_1-0A_P9</t>
  </si>
  <si>
    <t>SDM_A5C_1-0B_P14</t>
  </si>
  <si>
    <t>PL20x563</t>
  </si>
  <si>
    <t>A320-01-CP020</t>
  </si>
  <si>
    <t>SDM_A5C_1-0B_P15</t>
  </si>
  <si>
    <t>PL12x603</t>
  </si>
  <si>
    <t>SDM_A5C_1-0B_P18</t>
  </si>
  <si>
    <t>SDM_A5C_1-0B_P23</t>
  </si>
  <si>
    <t>SDM_A5C_1-0B_P26</t>
  </si>
  <si>
    <t>PL12x222</t>
  </si>
  <si>
    <t>SDM_A5C_1-0B_P27</t>
  </si>
  <si>
    <t>PL12x235</t>
  </si>
  <si>
    <t>SDM_A5C_1-0B_P28</t>
  </si>
  <si>
    <t>PL15x313</t>
  </si>
  <si>
    <t>SDM_A5C_1-0B_P29</t>
  </si>
  <si>
    <t>PL15x351</t>
  </si>
  <si>
    <t>SDM_A5C_1-0C_P15</t>
  </si>
  <si>
    <t>SDM_A5C_1-0C_P23</t>
  </si>
  <si>
    <t>SDM_A5C_1-0C_P24</t>
  </si>
  <si>
    <t>SDM_A5C_1-0C_P25</t>
  </si>
  <si>
    <t>SDM_A5C_1-0C_P30</t>
  </si>
  <si>
    <t>PL20x603</t>
  </si>
  <si>
    <t>SDM_A5C_1-0D_D2</t>
  </si>
  <si>
    <t>SDM_A5C_1-0D_M1</t>
  </si>
  <si>
    <t>A320-01-CP508</t>
  </si>
  <si>
    <t>SDM_A5C_1-0D_P13</t>
  </si>
  <si>
    <t>SDM_A5C_1-0D_P14</t>
  </si>
  <si>
    <t>SDM_A5C_1-0D_P15</t>
  </si>
  <si>
    <t>SDM_A5C_1-0D_P16</t>
  </si>
  <si>
    <t>PL10x221</t>
  </si>
  <si>
    <t>A320-01-CP021</t>
  </si>
  <si>
    <t>SDM_A5C_1-0D_P17</t>
  </si>
  <si>
    <t>PL10x243</t>
  </si>
  <si>
    <t>SDM_A5C_1-0D_P18</t>
  </si>
  <si>
    <t>SDM_A5C_1-0D_P19</t>
  </si>
  <si>
    <t>PL10x301</t>
  </si>
  <si>
    <t>SDM_A5C_1-0D_P20</t>
  </si>
  <si>
    <t>SDM_A5C_1-0D_P21</t>
  </si>
  <si>
    <t>PL15x417</t>
  </si>
  <si>
    <t>SDM_A5C_1-0D_P22</t>
  </si>
  <si>
    <t>PL15x363</t>
  </si>
  <si>
    <t>SDM_A5C_1-0D_PA1</t>
  </si>
  <si>
    <t>SDM_A5C_1-1A_D1</t>
  </si>
  <si>
    <t>SDM_A5C_1-1A_D2</t>
  </si>
  <si>
    <t>SDM_A5C_1-1A_P1</t>
  </si>
  <si>
    <t>SDM_A5C_1-1A_P10</t>
  </si>
  <si>
    <t>SDM_A5C_1-1A_P11</t>
  </si>
  <si>
    <t>SDM_A5C_1-1A_P11A</t>
  </si>
  <si>
    <t>SDM_A5C_1-1A_P12</t>
  </si>
  <si>
    <t>SDM_A5C_1-1A_P2</t>
  </si>
  <si>
    <t>SDM_A5C_1-1A_P3</t>
  </si>
  <si>
    <t>SDM_A5C_1-1A_P4</t>
  </si>
  <si>
    <t>SDM_A5C_1-1A_P5</t>
  </si>
  <si>
    <t>SDM_A5C_1-1A_P6</t>
  </si>
  <si>
    <t>SDM_A5C_1-1A_P7</t>
  </si>
  <si>
    <t>SDM_A5C_1-1A_P8</t>
  </si>
  <si>
    <t>SDM_A5C_1-1A_P9</t>
  </si>
  <si>
    <t>SDM_A5C_1-1C_P15</t>
  </si>
  <si>
    <t>SDM_A5C_1-1C_P23</t>
  </si>
  <si>
    <t>SDM_A5C_1-1C_P24</t>
  </si>
  <si>
    <t>SDM_A5C_1-1C_P25</t>
  </si>
  <si>
    <t>SDM_A5C_1-1D_D2</t>
  </si>
  <si>
    <t>SDM_A5C_1-1D_M1</t>
  </si>
  <si>
    <t>SDM_A5C_1-1D_P13</t>
  </si>
  <si>
    <t>SDM_A5C_1-1D_P14</t>
  </si>
  <si>
    <t>SDM_A5C_1-1D_P15</t>
  </si>
  <si>
    <t>SDM_A5C_1-1D_P16</t>
  </si>
  <si>
    <t>SDM_A5C_1-1D_P17</t>
  </si>
  <si>
    <t>SDM_A5C_1-1D_P18</t>
  </si>
  <si>
    <t>SDM_A5C_1-1D_P19</t>
  </si>
  <si>
    <t>SDM_A5C_1-1D_P20</t>
  </si>
  <si>
    <t>SDM_A5C_1-1D_P21</t>
  </si>
  <si>
    <t>SDM_A5C_1-1D_P22</t>
  </si>
  <si>
    <t>SDM_A5C_1-1D_PA1</t>
  </si>
  <si>
    <t>SDM_A5C_1-1E_P14</t>
  </si>
  <si>
    <t>SDM_A5C_1-1E_P15</t>
  </si>
  <si>
    <t>SDM_A5C_1-1E_P18</t>
  </si>
  <si>
    <t>SDM_A5C_1-1E_P23</t>
  </si>
  <si>
    <t>SDM_A5C_1-1E_P29</t>
  </si>
  <si>
    <t>SDM_A5C_2-0A_D1</t>
  </si>
  <si>
    <t>SDM_A5C_2-0A_P1</t>
  </si>
  <si>
    <t>PL12x418</t>
  </si>
  <si>
    <t>SDM_A5C_2-0A_P2</t>
  </si>
  <si>
    <t>PL12x618</t>
  </si>
  <si>
    <t>A320-01-CP017</t>
  </si>
  <si>
    <t>SDM_A5C_2-0A_P2A</t>
  </si>
  <si>
    <t>SDM_A5C_2-0A_P3</t>
  </si>
  <si>
    <t>SDM_A5C_2-0A_P3A</t>
  </si>
  <si>
    <t>SDM_A5C_2-0A_P4</t>
  </si>
  <si>
    <t>SDM_A5C_2-0A_P5</t>
  </si>
  <si>
    <t>SDM_A5C_2-0A_P6</t>
  </si>
  <si>
    <t>SDM_A5C_2-0A_P7</t>
  </si>
  <si>
    <t>PL12x160</t>
  </si>
  <si>
    <t>SDM_A5C_2-0A_P8</t>
  </si>
  <si>
    <t>PL12x192</t>
  </si>
  <si>
    <t>SDM_A5C_2-0B_P10</t>
  </si>
  <si>
    <t>PL12x1956</t>
  </si>
  <si>
    <t>SDM_A5C_2-0B_P11</t>
  </si>
  <si>
    <t>PL12x2628.5</t>
  </si>
  <si>
    <t>SDM_A5C_2-0B_P12</t>
  </si>
  <si>
    <t>PL12x609</t>
  </si>
  <si>
    <t>SDM_A5C_2-0B_P13</t>
  </si>
  <si>
    <t>PL12x700</t>
  </si>
  <si>
    <t>SDM_A5C_2-0B_P21</t>
  </si>
  <si>
    <t>PL12x218</t>
  </si>
  <si>
    <t>SDM_A5C_2-0B_P22</t>
  </si>
  <si>
    <t>PL12x208</t>
  </si>
  <si>
    <t>SDM_A5C_2-0B_P23</t>
  </si>
  <si>
    <t>PL15x293</t>
  </si>
  <si>
    <t>SDM_A5C_2-0B_P24</t>
  </si>
  <si>
    <t>PL12x243</t>
  </si>
  <si>
    <t>SDM_A5C_2-0B_P25</t>
  </si>
  <si>
    <t>PL12x256</t>
  </si>
  <si>
    <t>SDM_A5C_2-0B_P26</t>
  </si>
  <si>
    <t>SDM_A5C_2-0B_P9</t>
  </si>
  <si>
    <t>PL12x2279.4</t>
  </si>
  <si>
    <t>SDM_A5C_2-0C_P14</t>
  </si>
  <si>
    <t>SDM_A5C_2-0C_P15</t>
  </si>
  <si>
    <t>PL12x1997</t>
  </si>
  <si>
    <t>SDM_A5C_2-0C_P16</t>
  </si>
  <si>
    <t>PL12x2102.7</t>
  </si>
  <si>
    <t>SDM_A5C_2-0C_P17</t>
  </si>
  <si>
    <t>PL12x447</t>
  </si>
  <si>
    <t>SDM_A5C_2-0C_P18</t>
  </si>
  <si>
    <t>PL12x514</t>
  </si>
  <si>
    <t>SDM_A5C_2-0C_P19</t>
  </si>
  <si>
    <t>SDM_A5C_2-0C_P20</t>
  </si>
  <si>
    <t>SDM_A5C_2-0D_P10</t>
  </si>
  <si>
    <t>SDM_A5C_2-0D_P11</t>
  </si>
  <si>
    <t>SDM_A5C_2-0D_P12</t>
  </si>
  <si>
    <t>SDM_A5C_2-0D_P13</t>
  </si>
  <si>
    <t>SDM_A5C_2-0D_P9</t>
  </si>
  <si>
    <t>SDM_A5C_2-1A_D1</t>
  </si>
  <si>
    <t>SDM_A5C_2-1A_P1</t>
  </si>
  <si>
    <t>SDM_A5C_2-1A_P2</t>
  </si>
  <si>
    <t>A320-01-CP017
A320-11-CP017</t>
  </si>
  <si>
    <t>SDM_A5C_2-1A_P2A</t>
  </si>
  <si>
    <t>SDM_A5C_2-1A_P3</t>
  </si>
  <si>
    <t>SDM_A5C_2-1A_P3A</t>
  </si>
  <si>
    <t>SDM_A5C_2-1A_P4</t>
  </si>
  <si>
    <t>SDM_A5C_2-1A_P5</t>
  </si>
  <si>
    <t>SDM_A5C_2-1A_P6</t>
  </si>
  <si>
    <t>SDM_A5C_2-1A_P7</t>
  </si>
  <si>
    <t>SDM_A5C_2-1A_P8</t>
  </si>
  <si>
    <t>SDM_A5C_2-1C_P14</t>
  </si>
  <si>
    <t>SDM_A5C_2-1C_P15</t>
  </si>
  <si>
    <t>SDM_A5C_2-1C_P16</t>
  </si>
  <si>
    <t>SDM_A5C_2-1C_P17</t>
  </si>
  <si>
    <t>SDM_A5C_2-1C_P18</t>
  </si>
  <si>
    <t>SDM_A5C_2-1C_P19</t>
  </si>
  <si>
    <t>SDM_A5C_2-1C_P20</t>
  </si>
  <si>
    <t>SDM_A5C_2-1D_P10</t>
  </si>
  <si>
    <t>SDM_A5C_2-1D_P11</t>
  </si>
  <si>
    <t>SDM_A5C_2-1D_P12</t>
  </si>
  <si>
    <t>SDM_A5C_2-1D_P13</t>
  </si>
  <si>
    <t>SDM_A5C_2-1D_P9</t>
  </si>
  <si>
    <t>SDM_A5C_2-1E_P10</t>
  </si>
  <si>
    <t>SDM_A5C_2-1E_P11</t>
  </si>
  <si>
    <t>SDM_A5C_2-1E_P12</t>
  </si>
  <si>
    <t>SDM_A5C_2-1E_P13</t>
  </si>
  <si>
    <t>SDM_A5C_2-1E_P9</t>
  </si>
  <si>
    <t>SDM_A5C_3-0A_D1</t>
  </si>
  <si>
    <t>SDM_A5C_3-0A_P1</t>
  </si>
  <si>
    <t>PL10x1736</t>
  </si>
  <si>
    <t>SDM_A5C_3-0A_P10</t>
  </si>
  <si>
    <t>PL12x595</t>
  </si>
  <si>
    <t>SDM_A5C_3-0A_P10A</t>
  </si>
  <si>
    <t>SDM_A5C_3-0A_P11</t>
  </si>
  <si>
    <t>PL12x174</t>
  </si>
  <si>
    <t>SDM_A5C_3-0A_P11A</t>
  </si>
  <si>
    <t>SDM_A5C_3-0A_P12</t>
  </si>
  <si>
    <t>SDM_A5C_3-0A_P2</t>
  </si>
  <si>
    <t>SDM_A5C_3-0A_P3</t>
  </si>
  <si>
    <t>PL20x582</t>
  </si>
  <si>
    <t>SDM_A5C_3-0A_P4</t>
  </si>
  <si>
    <t>PL20x254</t>
  </si>
  <si>
    <t>SDM_A5C_3-0A_P4A</t>
  </si>
  <si>
    <t>SDM_A5C_3-0A_P5</t>
  </si>
  <si>
    <t>SDM_A5C_3-0A_P6</t>
  </si>
  <si>
    <t>PL10x465</t>
  </si>
  <si>
    <t>SDM_A5C_3-0A_P7</t>
  </si>
  <si>
    <t>PL12x2052</t>
  </si>
  <si>
    <t>SDM_A5C_3-0A_P8</t>
  </si>
  <si>
    <t>PL10x303</t>
  </si>
  <si>
    <t>SDM_A5C_3-0A_P9</t>
  </si>
  <si>
    <t>SDM_A5C_3-0B_P1</t>
  </si>
  <si>
    <t>SDM_A5C_3-0B_P13</t>
  </si>
  <si>
    <t>PL10x389</t>
  </si>
  <si>
    <t>SDM_A5C_3-0B_P14</t>
  </si>
  <si>
    <t>PL20x488</t>
  </si>
  <si>
    <t>SDM_A5C_3-0B_P15</t>
  </si>
  <si>
    <t>PL12x2030</t>
  </si>
  <si>
    <t>SDM_A5C_3-0B_P16</t>
  </si>
  <si>
    <t>SDM_A5C_3-0B_P17</t>
  </si>
  <si>
    <t>PL12x524</t>
  </si>
  <si>
    <t>SDM_A5C_3-0B_P22</t>
  </si>
  <si>
    <t>PL10x179</t>
  </si>
  <si>
    <t>SDM_A5C_3-0B_P23</t>
  </si>
  <si>
    <t>PL10x185</t>
  </si>
  <si>
    <t>SDM_A5C_3-0B_P24</t>
  </si>
  <si>
    <t>PL15x276</t>
  </si>
  <si>
    <t>SDM_A5C_3-0B_P25</t>
  </si>
  <si>
    <t>PL12x191</t>
  </si>
  <si>
    <t>SDM_A5C_3-0B_P26</t>
  </si>
  <si>
    <t>PL12x200</t>
  </si>
  <si>
    <t>SDM_A5C_3-0B_P27</t>
  </si>
  <si>
    <t>SDM_A5C_3-0C_P1</t>
  </si>
  <si>
    <t>SDM_A5C_3-0C_P16</t>
  </si>
  <si>
    <t>SDM_A5C_3-0C_P17</t>
  </si>
  <si>
    <t>SDM_A5C_3-0C_P18</t>
  </si>
  <si>
    <t>PL20x477</t>
  </si>
  <si>
    <t>SDM_A5C_3-0C_P19</t>
  </si>
  <si>
    <t>PL12x2051</t>
  </si>
  <si>
    <t>SDM_A5C_3-0C_P20</t>
  </si>
  <si>
    <t>SDM_A5C_3-0C_P21</t>
  </si>
  <si>
    <t>SDM_A5C_3-0C_P6</t>
  </si>
  <si>
    <t>SDM_A5C_3-0D_P1</t>
  </si>
  <si>
    <t>SDM_A5C_3-0D_P13</t>
  </si>
  <si>
    <t>SDM_A5C_3-0D_P14</t>
  </si>
  <si>
    <t>SDM_A5C_3-0D_P15</t>
  </si>
  <si>
    <t>SDM_A5C_3-0D_P16</t>
  </si>
  <si>
    <t>SDM_A5C_3-0D_P17</t>
  </si>
  <si>
    <t>SDM_A5C_3-0D_P6</t>
  </si>
  <si>
    <t>SDM_A5C_3-1A_D1</t>
  </si>
  <si>
    <t>SDM_A5C_3-1A_P1</t>
  </si>
  <si>
    <t>SDM_A5C_3-1A_P10</t>
  </si>
  <si>
    <t>SDM_A5C_3-1A_P10A</t>
  </si>
  <si>
    <t>SDM_A5C_3-1A_P11</t>
  </si>
  <si>
    <t>SDM_A5C_3-1A_P11A</t>
  </si>
  <si>
    <t>SDM_A5C_3-1A_P12</t>
  </si>
  <si>
    <t>SDM_A5C_3-1A_P2</t>
  </si>
  <si>
    <t>SDM_A5C_3-1A_P3</t>
  </si>
  <si>
    <t>SDM_A5C_3-1A_P4</t>
  </si>
  <si>
    <t>SDM_A5C_3-1A_P4A</t>
  </si>
  <si>
    <t>SDM_A5C_3-1A_P5</t>
  </si>
  <si>
    <t>SDM_A5C_3-1A_P6</t>
  </si>
  <si>
    <t>SDM_A5C_3-1A_P7</t>
  </si>
  <si>
    <t>SDM_A5C_3-1A_P8</t>
  </si>
  <si>
    <t>SDM_A5C_3-1A_P9</t>
  </si>
  <si>
    <t>SDM_A5C_3-1C_P1</t>
  </si>
  <si>
    <t>SDM_A5C_3-1C_P16</t>
  </si>
  <si>
    <t>SDM_A5C_3-1C_P17</t>
  </si>
  <si>
    <t>SDM_A5C_3-1C_P18</t>
  </si>
  <si>
    <t>SDM_A5C_3-1C_P19</t>
  </si>
  <si>
    <t>SDM_A5C_3-1C_P20</t>
  </si>
  <si>
    <t>SDM_A5C_3-1C_P21</t>
  </si>
  <si>
    <t>SDM_A5C_3-1C_P6</t>
  </si>
  <si>
    <t>SDM_A5C_3-1D_P1</t>
  </si>
  <si>
    <t>SDM_A5C_3-1D_P13</t>
  </si>
  <si>
    <t>SDM_A5C_3-1D_P14</t>
  </si>
  <si>
    <t>SDM_A5C_3-1D_P15</t>
  </si>
  <si>
    <t>SDM_A5C_3-1D_P16</t>
  </si>
  <si>
    <t>SDM_A5C_3-1D_P17</t>
  </si>
  <si>
    <t>SDM_A5C_3-1D_P6</t>
  </si>
  <si>
    <t>SDM_A5C_3-1E_P1</t>
  </si>
  <si>
    <t>SDM_A5C_3-1E_P13</t>
  </si>
  <si>
    <t>SDM_A5C_3-1E_P14</t>
  </si>
  <si>
    <t>SDM_A5C_3-1E_P15</t>
  </si>
  <si>
    <t>SDM_A5C_3-1E_P16</t>
  </si>
  <si>
    <t>SDM_A5C_3-1E_P17</t>
  </si>
  <si>
    <t>SDM_A5C_3-1E_P6</t>
  </si>
  <si>
    <t>SDM_A5C_4-0A_D1</t>
  </si>
  <si>
    <t>SDM_A5C_4-0A_P1</t>
  </si>
  <si>
    <t>PL10x2314</t>
  </si>
  <si>
    <t>SDM_A5C_4-0A_P2</t>
  </si>
  <si>
    <t>SDM_A5C_4-0A_P3</t>
  </si>
  <si>
    <t>SDM_A5C_4-0A_P4</t>
  </si>
  <si>
    <t>PL10x200</t>
  </si>
  <si>
    <t>SDM_A5C_4-0A_P4A</t>
  </si>
  <si>
    <t>SDM_A5C_4-0A_P5</t>
  </si>
  <si>
    <t>PL16x137</t>
  </si>
  <si>
    <t>SDM_A5C_4-0B_P10</t>
  </si>
  <si>
    <t>PL10x387</t>
  </si>
  <si>
    <t>SDM_A5C_4-0B_P11</t>
  </si>
  <si>
    <t>PL10x150</t>
  </si>
  <si>
    <t>SDM_A5C_4-0B_P12</t>
  </si>
  <si>
    <t>SDM_A5C_4-0B_P6</t>
  </si>
  <si>
    <t>SDM_A5C_4-0B_P7</t>
  </si>
  <si>
    <t>PL10x695</t>
  </si>
  <si>
    <t>SDM_A5C_4-0B_P8</t>
  </si>
  <si>
    <t>SDM_A5C_4-0B_P9</t>
  </si>
  <si>
    <t>SDM_A5C_4-0C_P6</t>
  </si>
  <si>
    <t>SDM_A5C_4-0C_P7</t>
  </si>
  <si>
    <t>SDM_A5C_4-0C_P8</t>
  </si>
  <si>
    <t>SDM_A5C_4-0C_P9</t>
  </si>
  <si>
    <t>SDM_A5C_4-1A_D1</t>
  </si>
  <si>
    <t>SDM_A5C_4-1A_P1</t>
  </si>
  <si>
    <t>SDM_A5C_4-1A_P2</t>
  </si>
  <si>
    <t>SDM_A5C_4-1A_P3</t>
  </si>
  <si>
    <t>SDM_A5C_4-1A_P4</t>
  </si>
  <si>
    <t>SDM_A5C_4-1A_P4A</t>
  </si>
  <si>
    <t>SDM_A5C_4-1A_P5</t>
  </si>
  <si>
    <t>SDM_A5C_4-1C_P6</t>
  </si>
  <si>
    <t>SDM_A5C_4-1C_P7</t>
  </si>
  <si>
    <t>SDM_A5C_4-1C_P8</t>
  </si>
  <si>
    <t>SDM_A5C_4-1C_P9</t>
  </si>
  <si>
    <t>SDM_A5C_4-1D_P6</t>
  </si>
  <si>
    <t>SDM_A5C_4-1D_P7</t>
  </si>
  <si>
    <t>SDM_A5C_4-1D_P8</t>
  </si>
  <si>
    <t>SDM_A5C_4-1D_P9</t>
  </si>
  <si>
    <t>SDM_A5C_5-0_D1</t>
  </si>
  <si>
    <t>SDM_A5C_5-0_P1</t>
  </si>
  <si>
    <t>SDM_A5C_5-0_P10</t>
  </si>
  <si>
    <t>SDM_A5C_5-0_P11</t>
  </si>
  <si>
    <t>SDM_A5C_5-0_P12</t>
  </si>
  <si>
    <t>SDM_A5C_5-0_P13</t>
  </si>
  <si>
    <t>PL10x2020</t>
  </si>
  <si>
    <t>SDM_A5C_5-0_P14</t>
  </si>
  <si>
    <t>PL20x2352</t>
  </si>
  <si>
    <t>SDM_A5C_5-0_P15</t>
  </si>
  <si>
    <t>PL10x400</t>
  </si>
  <si>
    <t>SDM_A5C_5-0_P16</t>
  </si>
  <si>
    <t>PL20x180</t>
  </si>
  <si>
    <t>SDM_A5C_5-0_P17</t>
  </si>
  <si>
    <t>PL10x240</t>
  </si>
  <si>
    <t>SDM_A5C_5-0_P18</t>
  </si>
  <si>
    <t>PL3x230</t>
  </si>
  <si>
    <t>A320-SDM-PC-004</t>
  </si>
  <si>
    <t>A320-01-CP004</t>
  </si>
  <si>
    <t>SDM_A5C_5-0_P19</t>
  </si>
  <si>
    <t>SDM_A5C_5-0_P2</t>
  </si>
  <si>
    <t>PL10x1893</t>
  </si>
  <si>
    <t>SDM_A5C_5-0_P20</t>
  </si>
  <si>
    <t>PL10x1636</t>
  </si>
  <si>
    <t>SDM_A5C_5-0_P21</t>
  </si>
  <si>
    <t>PL10x213</t>
  </si>
  <si>
    <t>SDM_A5C_5-0_P22</t>
  </si>
  <si>
    <t>PL16x129</t>
  </si>
  <si>
    <t>SDM_A5C_5-0_P3</t>
  </si>
  <si>
    <t>SDM_A5C_5-0_P4</t>
  </si>
  <si>
    <t>PL10x228</t>
  </si>
  <si>
    <t>SDM_A5C_5-0_P5</t>
  </si>
  <si>
    <t>PL15x300</t>
  </si>
  <si>
    <t>SDM_A5C_5-0_P6</t>
  </si>
  <si>
    <t>SDM_A5C_5-0_P7</t>
  </si>
  <si>
    <t>PL10x2156</t>
  </si>
  <si>
    <t>SDM_A5C_5-0_P8</t>
  </si>
  <si>
    <t>PL10x310</t>
  </si>
  <si>
    <t>SDM_A5C_5-0_P9</t>
  </si>
  <si>
    <t>PL16x143</t>
  </si>
  <si>
    <t>SDM_A5C_5-1_D1</t>
  </si>
  <si>
    <t>SDM_A5C_5-1_P1</t>
  </si>
  <si>
    <t>SDM_A5C_5-1_P10</t>
  </si>
  <si>
    <t>SDM_A5C_5-1_P11</t>
  </si>
  <si>
    <t>SDM_A5C_5-1_P12</t>
  </si>
  <si>
    <t>SDM_A5C_5-1_P13</t>
  </si>
  <si>
    <t>SDM_A5C_5-1_P14</t>
  </si>
  <si>
    <t>SDM_A5C_5-1_P15</t>
  </si>
  <si>
    <t>SDM_A5C_5-1_P16</t>
  </si>
  <si>
    <t>SDM_A5C_5-1_P17</t>
  </si>
  <si>
    <t>SDM_A5C_5-1_P2</t>
  </si>
  <si>
    <t>PL10x2199</t>
  </si>
  <si>
    <t>SDM_A5C_5-1_P3</t>
  </si>
  <si>
    <t>SDM_A5C_5-1_P4</t>
  </si>
  <si>
    <t>SDM_A5C_5-1_P5</t>
  </si>
  <si>
    <t>SDM_A5C_5-1_P6</t>
  </si>
  <si>
    <t>PL10x2260</t>
  </si>
  <si>
    <t>SDM_A5C_5-1_P7</t>
  </si>
  <si>
    <t>SDM_A5C_5-1_P8</t>
  </si>
  <si>
    <t>SDM_A5C_5-1_P9</t>
  </si>
  <si>
    <t>SDM_A5C_6-0_D1</t>
  </si>
  <si>
    <t>SDM_A5C_6-0_P1</t>
  </si>
  <si>
    <t>PL8x3583</t>
  </si>
  <si>
    <t>SDM_A5C_6-0_P10</t>
  </si>
  <si>
    <t>SDM_A5C_6-0_P11</t>
  </si>
  <si>
    <t>SDM_A5C_6-0_P12</t>
  </si>
  <si>
    <t>PL16x99</t>
  </si>
  <si>
    <t>SDM_A5C_6-0_P13</t>
  </si>
  <si>
    <t>SDM_A5C_6-0_P14</t>
  </si>
  <si>
    <t>PL16x130</t>
  </si>
  <si>
    <t>SDM_A5C_6-0_P15</t>
  </si>
  <si>
    <t>SDM_A5C_6-0_P16</t>
  </si>
  <si>
    <t>SDM_A5C_6-0_P17</t>
  </si>
  <si>
    <t>SDM_A5C_6-0_P2</t>
  </si>
  <si>
    <t>PL10x3786</t>
  </si>
  <si>
    <t>SDM_A5C_6-0_P3</t>
  </si>
  <si>
    <t>PL10x4264</t>
  </si>
  <si>
    <t>SDM_A5C_6-0_P4</t>
  </si>
  <si>
    <t>PL8x1482</t>
  </si>
  <si>
    <t>SDM_A5C_6-0_P5</t>
  </si>
  <si>
    <t>SDM_A5C_6-0_P6</t>
  </si>
  <si>
    <t>SDM_A5C_6-0_P7</t>
  </si>
  <si>
    <t>SDM_A5C_6-0_P8</t>
  </si>
  <si>
    <t>PL10x2045</t>
  </si>
  <si>
    <t>SDM_A5C_6-0_P9</t>
  </si>
  <si>
    <t>PL10x266</t>
  </si>
  <si>
    <t>SDM_A5C_6-1_D1</t>
  </si>
  <si>
    <t>SDM_A5C_6-1_P1</t>
  </si>
  <si>
    <t>SDM_A5C_6-1_P10</t>
  </si>
  <si>
    <t>PL16x98</t>
  </si>
  <si>
    <t>SDM_A5C_6-1_P11</t>
  </si>
  <si>
    <t>SDM_A5C_6-1_P12</t>
  </si>
  <si>
    <t>SDM_A5C_6-1_P13</t>
  </si>
  <si>
    <t>SDM_A5C_6-1_P2</t>
  </si>
  <si>
    <t>PL10x3788</t>
  </si>
  <si>
    <t>SDM_A5C_6-1_P3</t>
  </si>
  <si>
    <t>SDM_A5C_6-1_P4</t>
  </si>
  <si>
    <t>SDM_A5C_6-1_P5</t>
  </si>
  <si>
    <t>PL8x1481</t>
  </si>
  <si>
    <t>SDM_A5C_6-1_P6</t>
  </si>
  <si>
    <t>SDM_A5C_6-1_P7</t>
  </si>
  <si>
    <t>SDM_A5C_6-1_P8</t>
  </si>
  <si>
    <t>SDM_A5C_6-1_P9</t>
  </si>
  <si>
    <t>SDM_A5C_7-0_D1</t>
  </si>
  <si>
    <t>SDM_A5C_7-0_P1</t>
  </si>
  <si>
    <t>SDM_A5C_7-0_P10</t>
  </si>
  <si>
    <t>PL15x341</t>
  </si>
  <si>
    <t>SDM_A5C_7-0_P11</t>
  </si>
  <si>
    <t>SDM_A5C_7-0_P12</t>
  </si>
  <si>
    <t>SDM_A5C_7-0_P13</t>
  </si>
  <si>
    <t>SDM_A5C_7-0_P14</t>
  </si>
  <si>
    <t>PL8x1078</t>
  </si>
  <si>
    <t>SDM_A5C_7-0_P15</t>
  </si>
  <si>
    <t>PL8x129</t>
  </si>
  <si>
    <t>SDM_A5C_7-0_P16</t>
  </si>
  <si>
    <t>SDM_A5C_7-0_P17</t>
  </si>
  <si>
    <t>SDM_A5C_7-0_P2</t>
  </si>
  <si>
    <t>SDM_A5C_7-0_P3</t>
  </si>
  <si>
    <t>SDM_A5C_7-0_P4</t>
  </si>
  <si>
    <t>SDM_A5C_7-0_P5</t>
  </si>
  <si>
    <t>SDM_A5C_7-0_P6</t>
  </si>
  <si>
    <t>SDM_A5C_7-0_P7</t>
  </si>
  <si>
    <t>SDM_A5C_7-0_P7A</t>
  </si>
  <si>
    <t>SDM_A5C_7-0_P8</t>
  </si>
  <si>
    <t>SDM_A5C_7-0_P9</t>
  </si>
  <si>
    <t>PL8x1616</t>
  </si>
  <si>
    <t>SDM_A5C_7-1_D1</t>
  </si>
  <si>
    <t>SDM_A5C_7-1_P1</t>
  </si>
  <si>
    <t>SDM_A5C_7-1_P10</t>
  </si>
  <si>
    <t>SDM_A5C_7-1_P11</t>
  </si>
  <si>
    <t>SDM_A5C_7-1_P12</t>
  </si>
  <si>
    <t>SDM_A5C_7-1_P13</t>
  </si>
  <si>
    <t>SDM_A5C_7-1_P2</t>
  </si>
  <si>
    <t>SDM_A5C_7-1_P3</t>
  </si>
  <si>
    <t>SDM_A5C_7-1_P4</t>
  </si>
  <si>
    <t>SDM_A5C_7-1_P5</t>
  </si>
  <si>
    <t>SDM_A5C_7-1_P6</t>
  </si>
  <si>
    <t>SDM_A5C_7-1_P7</t>
  </si>
  <si>
    <t>SDM_A5C_7-1_P7A</t>
  </si>
  <si>
    <t>SDM_A5C_7-1_P8</t>
  </si>
  <si>
    <t>SDM_A5C_7-1_P9</t>
  </si>
  <si>
    <t>Item Name  / Tên Hạng mục   : M4130 &amp; M4131 - Steam Distribution Manifold (SDM)</t>
  </si>
  <si>
    <t>CHECK</t>
  </si>
  <si>
    <t>Document No. / Số Tài liệu     : A320-01-APL-002</t>
  </si>
  <si>
    <t>STR11</t>
  </si>
  <si>
    <t>STR13</t>
  </si>
  <si>
    <t>STR16</t>
  </si>
  <si>
    <t>STR18</t>
  </si>
  <si>
    <t>LOT</t>
  </si>
  <si>
    <t>Rev.1
(30/05/2026)</t>
  </si>
  <si>
    <t>Rev.2
(05/06/2026)</t>
  </si>
  <si>
    <t>Rev.3
(13/06/2026)</t>
  </si>
  <si>
    <t>Rev.4
(19/06/2026)</t>
  </si>
  <si>
    <t>Rev.5
(22/06/2026)</t>
  </si>
  <si>
    <t>Rev.6
(09/07/2026)</t>
  </si>
  <si>
    <t>Rev.7
(15/07/2026)</t>
  </si>
  <si>
    <t>15B</t>
  </si>
  <si>
    <t>15C</t>
  </si>
  <si>
    <t>15D</t>
  </si>
  <si>
    <t>30A</t>
  </si>
  <si>
    <t>30B</t>
  </si>
  <si>
    <t>30C</t>
  </si>
  <si>
    <t>30D</t>
  </si>
  <si>
    <t>30E</t>
  </si>
  <si>
    <t>30F</t>
  </si>
  <si>
    <t>30G</t>
  </si>
  <si>
    <t>24D06641-00-M4131_Sh.06</t>
  </si>
  <si>
    <t>SPOOL_4C_1.0</t>
  </si>
  <si>
    <t>11418xx3413x3257</t>
  </si>
  <si>
    <t>AMC2-S1</t>
  </si>
  <si>
    <t>LOT 4</t>
  </si>
  <si>
    <t>SDM Street 18</t>
  </si>
  <si>
    <t>11418xx2138x679</t>
  </si>
  <si>
    <t>i</t>
  </si>
  <si>
    <t>P1</t>
  </si>
  <si>
    <t>PAC</t>
  </si>
  <si>
    <t>Fabrication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</si>
  <si>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</si>
  <si>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</si>
  <si>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</si>
  <si>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</si>
  <si>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</si>
  <si>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</si>
  <si>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</si>
  <si>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</si>
  <si>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</si>
  <si>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</si>
  <si>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</si>
  <si>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D1</t>
  </si>
  <si>
    <t>D2</t>
  </si>
  <si>
    <t>11306xx757x2138</t>
  </si>
  <si>
    <t>P14</t>
  </si>
  <si>
    <t>P17</t>
  </si>
  <si>
    <t>P18</t>
  </si>
  <si>
    <t>P22</t>
  </si>
  <si>
    <t>P26</t>
  </si>
  <si>
    <t>11306xx2138x682</t>
  </si>
  <si>
    <t>P23</t>
  </si>
  <si>
    <t>P27</t>
  </si>
  <si>
    <t>P28</t>
  </si>
  <si>
    <t>11306xx794x2138</t>
  </si>
  <si>
    <t>P13</t>
  </si>
  <si>
    <t>P15</t>
  </si>
  <si>
    <t>P16</t>
  </si>
  <si>
    <t>P19</t>
  </si>
  <si>
    <t>P20</t>
  </si>
  <si>
    <t>P21</t>
  </si>
  <si>
    <t>P24</t>
  </si>
  <si>
    <t>P25</t>
  </si>
  <si>
    <t>M1</t>
  </si>
  <si>
    <t>Modify, Profile: 1" HALFCOUPLING-&gt;RB50</t>
  </si>
  <si>
    <t>24D06641-00-M4131_Sh.07</t>
  </si>
  <si>
    <t>SPOOL_4C_2.0</t>
  </si>
  <si>
    <t>9819xx3024x3062</t>
  </si>
  <si>
    <t>9819xx1944x391</t>
  </si>
  <si>
    <t>I</t>
  </si>
  <si>
    <t>9719xx795x2356</t>
  </si>
  <si>
    <t>9719xx1944x960</t>
  </si>
  <si>
    <t>24D06641-00-M4131_Sh.09</t>
  </si>
  <si>
    <t>SPOOL_4C_3.1</t>
  </si>
  <si>
    <t>11640x2417x2606</t>
  </si>
  <si>
    <t>Added</t>
  </si>
  <si>
    <t>P10A</t>
  </si>
  <si>
    <t>24D06641-00-M4131_Sh.11</t>
  </si>
  <si>
    <t>SPOOL_4C_4.1</t>
  </si>
  <si>
    <t>11591xx2402x2354</t>
  </si>
  <si>
    <t>24D06641-00-M4131_Sh.13</t>
  </si>
  <si>
    <t>SPOOL_4C_5.1</t>
  </si>
  <si>
    <t>6513x2020x2197</t>
  </si>
  <si>
    <t>24D06641-00-M4131_Sh.15</t>
  </si>
  <si>
    <t>SPOOL_4C_6.1</t>
  </si>
  <si>
    <t>11816xx2098x1949</t>
  </si>
  <si>
    <t>24D06641-00-M4131_Sh.33</t>
  </si>
  <si>
    <t>Front/rear shim pack</t>
  </si>
  <si>
    <t>200x93x40</t>
  </si>
  <si>
    <t>Front/rear saddle support</t>
  </si>
  <si>
    <t>200x200x103</t>
  </si>
  <si>
    <t>B2495</t>
  </si>
  <si>
    <t>SDM Street 18
(+ thêm 30mm lượng dư cho PMC)</t>
  </si>
  <si>
    <t>Modify, Pur. -&gt; Fab., Add remark</t>
  </si>
  <si>
    <t>B0616</t>
  </si>
  <si>
    <t>Front/rear lateral guides</t>
  </si>
  <si>
    <t>200x190x170</t>
  </si>
  <si>
    <t>TW1008-MAG-&amp;MLD020-U-001025_04</t>
  </si>
  <si>
    <t>Lower sealing plate</t>
  </si>
  <si>
    <t>186xx400x16</t>
  </si>
  <si>
    <t>236xx400x16</t>
  </si>
  <si>
    <t>Fixed saddle shim</t>
  </si>
  <si>
    <t>640x115x1</t>
  </si>
  <si>
    <t>24D06641-00-M4131_Sh.32</t>
  </si>
  <si>
    <t>Manhole</t>
  </si>
  <si>
    <t>262x813x942</t>
  </si>
  <si>
    <t>Hinge manhole</t>
  </si>
  <si>
    <t>793x570x80</t>
  </si>
  <si>
    <t>R1</t>
  </si>
  <si>
    <t>A1</t>
  </si>
  <si>
    <t>SDM Street 18
(L90x10 thay thế L80x10)</t>
  </si>
  <si>
    <t>Closing flange manhole</t>
  </si>
  <si>
    <t>813x860x136</t>
  </si>
  <si>
    <t>Blind Flange</t>
  </si>
  <si>
    <t>24" 150# R.F (ASME B16.5)</t>
  </si>
  <si>
    <t>R2</t>
  </si>
  <si>
    <t>Rupture disk spool</t>
  </si>
  <si>
    <t>1142x1360x985</t>
  </si>
  <si>
    <t>M2</t>
  </si>
  <si>
    <t>Rupture disk external spool</t>
  </si>
  <si>
    <t>985x985x737</t>
  </si>
  <si>
    <t>Large washer</t>
  </si>
  <si>
    <t>Plate ø80xø32x5</t>
  </si>
  <si>
    <t>WS1</t>
  </si>
  <si>
    <t>Quarter of 8" Sch.STD Pipe</t>
  </si>
  <si>
    <t>8" Sch.STD (Cut from 1/4 Pipe)</t>
  </si>
  <si>
    <t>Pipe 1/2" Sch.STD - Lg.100 mm</t>
  </si>
  <si>
    <t>1/2" Sch.STD</t>
  </si>
  <si>
    <t>Bolt M24x100</t>
  </si>
  <si>
    <t>Hex. Bolt (Full Threaded)</t>
  </si>
  <si>
    <t>M24x100L</t>
  </si>
  <si>
    <t>A193 B7 - HDG (ISO 4017)</t>
  </si>
  <si>
    <t>DIN 975 - M30x310</t>
  </si>
  <si>
    <t>Stud Bolt</t>
  </si>
  <si>
    <t>M30x310L</t>
  </si>
  <si>
    <t>A193 B7 - HDG (DIN 975)</t>
  </si>
  <si>
    <t>Gasket 24" - 150LB</t>
  </si>
  <si>
    <t>Gasket</t>
  </si>
  <si>
    <t>24" 150# (ASME B16.21)</t>
  </si>
  <si>
    <t>Klingersil</t>
  </si>
  <si>
    <t>ISO 4014 - M30 x 160</t>
  </si>
  <si>
    <t>Hex. Bolt</t>
  </si>
  <si>
    <t>M30x160L</t>
  </si>
  <si>
    <t>A193 B7 - HDG (ISO 4014)</t>
  </si>
  <si>
    <t>ISO 4014 - M30 x 220</t>
  </si>
  <si>
    <t>M30x220L</t>
  </si>
  <si>
    <t>ISO 4032 - M24</t>
  </si>
  <si>
    <t>Hex. Nut</t>
  </si>
  <si>
    <t>M24</t>
  </si>
  <si>
    <t>A194 2H - HDG</t>
  </si>
  <si>
    <t>ISO 4032 - M30</t>
  </si>
  <si>
    <t>M30</t>
  </si>
  <si>
    <t>A194 2H - HDG (ISO 4032)</t>
  </si>
  <si>
    <t>ISO 4032 -M16</t>
  </si>
  <si>
    <t>M16</t>
  </si>
  <si>
    <t>ISO 7089 - 16</t>
  </si>
  <si>
    <t>F436 - HDG</t>
  </si>
  <si>
    <t>ISO 7089 - 24</t>
  </si>
  <si>
    <t>ISO 7089 - 30</t>
  </si>
  <si>
    <t>24D06641-00-M4131_Sh.17</t>
  </si>
  <si>
    <t>SPOOL_1.1</t>
  </si>
  <si>
    <t>8616xx3713x3625</t>
  </si>
  <si>
    <t>AMC2-S4</t>
  </si>
  <si>
    <t>LOT 1(Qty:1), LOT 2(Qty:2), LOT 3(Qty:1)</t>
  </si>
  <si>
    <t>SDM Street 15-&gt;12</t>
  </si>
  <si>
    <t>FAC 1(x1 set)</t>
  </si>
  <si>
    <t>FAC 1(x1 set)/AMC2(x1 set)</t>
  </si>
  <si>
    <t>AMC2(x1 set)</t>
  </si>
  <si>
    <t>8616xx2365x754</t>
  </si>
  <si>
    <t>MODIFY, Qty: 8-&gt;4</t>
  </si>
  <si>
    <t>P11A</t>
  </si>
  <si>
    <t>MODIFY, P11A tách từ P11</t>
  </si>
  <si>
    <t>Modify, cập nhật nguyên công</t>
  </si>
  <si>
    <t>Modify, Mark D1-&gt;D2</t>
  </si>
  <si>
    <t>8516xx854x2365</t>
  </si>
  <si>
    <t>MODIFY, PL12-&gt;20</t>
  </si>
  <si>
    <t>PA1</t>
  </si>
  <si>
    <t>8516xx2365x786</t>
  </si>
  <si>
    <t>MODIFY, Qty: 5-&gt;4</t>
  </si>
  <si>
    <t>8516xx796x2365</t>
  </si>
  <si>
    <t>MODIFY, Qty: 2-&gt;1</t>
  </si>
  <si>
    <t>P29</t>
  </si>
  <si>
    <t>Modify, Mark: P26-&gt;P29</t>
  </si>
  <si>
    <t>24D06641-00-M4131_Sh.19</t>
  </si>
  <si>
    <t>SPOOL_2.1</t>
  </si>
  <si>
    <t>11621xx3344x3439</t>
  </si>
  <si>
    <t>11621xx2149x443</t>
  </si>
  <si>
    <t>P2A</t>
  </si>
  <si>
    <t>MODIFY, P2A tách từ P2</t>
  </si>
  <si>
    <t>P3A</t>
  </si>
  <si>
    <t>11521xx844x2593</t>
  </si>
  <si>
    <t>11521xx2149x1051</t>
  </si>
  <si>
    <t>11521xx850x2593</t>
  </si>
  <si>
    <t>24D06641-00-M4131_Sh.21</t>
  </si>
  <si>
    <t>SPOOL_3.1</t>
  </si>
  <si>
    <t>11100xx2904x3253</t>
  </si>
  <si>
    <t>11101xx2053x686</t>
  </si>
  <si>
    <t>P4A</t>
  </si>
  <si>
    <t>MODIFY, Length: 5809-&gt;5089</t>
  </si>
  <si>
    <t>MODIFY, Qty: 6-&gt;3</t>
  </si>
  <si>
    <t>11101xx697x2131</t>
  </si>
  <si>
    <t>11101xx2053x1076</t>
  </si>
  <si>
    <t>24D06641-00-M4131_Sh.23</t>
  </si>
  <si>
    <t>SPOOL_4.1</t>
  </si>
  <si>
    <t>11920x2500x2747</t>
  </si>
  <si>
    <t>11920x2165x755</t>
  </si>
  <si>
    <t>11820x1250x2067</t>
  </si>
  <si>
    <t>24D06641-00-M4131_Sh.25</t>
  </si>
  <si>
    <t>SPOOL_5.1</t>
  </si>
  <si>
    <t>11415x2352x2651</t>
  </si>
  <si>
    <t>AMC2-S2</t>
  </si>
  <si>
    <t>MODIFY, Part Mark: P16-&gt;P17</t>
  </si>
  <si>
    <t>MODIFY, Part Mark: P17-&gt;P16</t>
  </si>
  <si>
    <t>24D06641-00-M4131_Sh.27</t>
  </si>
  <si>
    <t>SPOOL_6.1</t>
  </si>
  <si>
    <t>11612xx2260x2441</t>
  </si>
  <si>
    <t>24D06641-00-M4131_Sh.30</t>
  </si>
  <si>
    <t>SPOOL_7.1</t>
  </si>
  <si>
    <t>11812xx2112x2017</t>
  </si>
  <si>
    <t>P7A</t>
  </si>
  <si>
    <t>LOT 1(Qty:4), LOT 2(Qty:8), LOT 3(Qty:4)</t>
  </si>
  <si>
    <t>FAC 1(x4 set)</t>
  </si>
  <si>
    <t>FAC 1(x4 set)/AMC2(x4 set)</t>
  </si>
  <si>
    <t>AMC2(x4 set)</t>
  </si>
  <si>
    <t>SDM Street 15-&gt;12
(+ thêm 30mm lượng dư cho PMC)</t>
  </si>
  <si>
    <t>TW1008-MAG-&amp;MLD020-U-001025_07</t>
  </si>
  <si>
    <t>LOT 1(Qty:2), LOT 2(Qty:4), LOT 3(Qty:2)</t>
  </si>
  <si>
    <t>FAC 1(x2 set)</t>
  </si>
  <si>
    <t>FAC 1(x2 set)/AMC2(x2 set)</t>
  </si>
  <si>
    <t>AMC2(x2 set)</t>
  </si>
  <si>
    <t>LOT 1(Qty:10), LOT 2(Qty:20), LOT 3(Qty:10)</t>
  </si>
  <si>
    <t>FAC 1(x1- set)</t>
  </si>
  <si>
    <t>FAC 1(x1- set)/AMC2(x1- set)</t>
  </si>
  <si>
    <t>AMC2(x1- set)</t>
  </si>
  <si>
    <t>Sliding saddle shim</t>
  </si>
  <si>
    <t>400x115x1</t>
  </si>
  <si>
    <t>LOT 1(Qty:20), LOT 2(Qty:40), LOT 3(Qty:20)</t>
  </si>
  <si>
    <t>FAC 1(x2- set)</t>
  </si>
  <si>
    <t>FAC 1(x2- set)/AMC2(x2- set)</t>
  </si>
  <si>
    <t>AMC2(x2- set)</t>
  </si>
  <si>
    <t>Sliding saddle baseplate</t>
  </si>
  <si>
    <t>240x400x12</t>
  </si>
  <si>
    <t>Cylinder øe30 - øi26 H.25</t>
  </si>
  <si>
    <t>30x30x25</t>
  </si>
  <si>
    <t>MODIFY,  cập nhật nguyên công</t>
  </si>
  <si>
    <t>SDM Street 15-&gt;12
(L90x10 thay thế L80x10)</t>
  </si>
  <si>
    <t>LOT 1(Qty:21), LOT 2(Qty:42), LOT 3(Qty:21)</t>
  </si>
  <si>
    <t>FAC 1(x21 set)</t>
  </si>
  <si>
    <t>FAC 1(x21 set)/AMC2(x21 set)</t>
  </si>
  <si>
    <t>AMC2(x21 set)</t>
  </si>
  <si>
    <t>ISO 4014 - M24x100</t>
  </si>
  <si>
    <t>Hex Bolt</t>
  </si>
  <si>
    <t>LOT 1(Qty:28), LOT 2(Qty:56), LOT 3(Qty:28)</t>
  </si>
  <si>
    <t>FAC 1(x28 set)</t>
  </si>
  <si>
    <t>FAC 1(x28 set)/AMC2(x28 set)</t>
  </si>
  <si>
    <t>AMC2(x28 set)</t>
  </si>
  <si>
    <t>LOT 1(Qty:26), LOT 2(Qty:52), LOT 3(Qty:26)</t>
  </si>
  <si>
    <t>FAC 1(x26 set)</t>
  </si>
  <si>
    <t>FAC 1(x26 set)/AMC2(x26 set)</t>
  </si>
  <si>
    <t>AMC2(x26 set)</t>
  </si>
  <si>
    <t>LOT 1(Qty:52), LOT 2(Qty:104), LOT 3(Qty:52)</t>
  </si>
  <si>
    <t>FAC 1(x52 set)</t>
  </si>
  <si>
    <t>FAC 1(x52 set)/AMC2(x52 set)</t>
  </si>
  <si>
    <t>AMC2(x52 set)</t>
  </si>
  <si>
    <t>LOT 1(Qty:3), LOT 2(Qty:6), LOT 3(Qty:3)</t>
  </si>
  <si>
    <t>FAC 1(x3 set)</t>
  </si>
  <si>
    <t>FAC 1(x3 set)/AMC2(x3 set)</t>
  </si>
  <si>
    <t>AMC2(x3 set)</t>
  </si>
  <si>
    <t>LOT 1(Qty:36), LOT 2(Qty:72), LOT 3(Qty:36)</t>
  </si>
  <si>
    <t>FAC 1(x36 set)</t>
  </si>
  <si>
    <t>FAC 1(x36 set)/AMC2(x36 set)</t>
  </si>
  <si>
    <t>AMC2(x36 set)</t>
  </si>
  <si>
    <t>LOT 1(Qty:96), LOT 2(Qty:192), LOT 3(Qty:96)</t>
  </si>
  <si>
    <t>FAC 1(x96 set)</t>
  </si>
  <si>
    <t>FAC 1(x96 set)/AMC2(x96 set)</t>
  </si>
  <si>
    <t>AMC2(x96 set)</t>
  </si>
  <si>
    <t>24D06641-00-M4131_Sh.16</t>
  </si>
  <si>
    <t>SPOOL_5C_SPOOL_1.0</t>
  </si>
  <si>
    <t>8616xx3711x3625</t>
  </si>
  <si>
    <t>SDM Street 11</t>
  </si>
  <si>
    <t>P30</t>
  </si>
  <si>
    <t>ADDED, cắt mới bổ sung</t>
  </si>
  <si>
    <t>24D06641-00-M4131_Sh.18</t>
  </si>
  <si>
    <t>SPOOL_5C_SPOOL_2.0</t>
  </si>
  <si>
    <t>11621xx3464x3409</t>
  </si>
  <si>
    <t>11521xx970x2593</t>
  </si>
  <si>
    <t>24D06641-00-M4131_Sh.20</t>
  </si>
  <si>
    <t>SPOOL_5C_SPOOL_3.0</t>
  </si>
  <si>
    <t>11100xx3023x3253</t>
  </si>
  <si>
    <t>11101xx816x2131</t>
  </si>
  <si>
    <t>24D06641-00-M4131_Sh.22</t>
  </si>
  <si>
    <t>SPOOL_5C_SPOOL_4.0</t>
  </si>
  <si>
    <t>11920x2599x2747</t>
  </si>
  <si>
    <t>11820x1350x2067</t>
  </si>
  <si>
    <t>24D06641-00-M4131_Sh.24</t>
  </si>
  <si>
    <t>SPOOL_5C_SPOOL_5.0</t>
  </si>
  <si>
    <t>11415x2427x2632</t>
  </si>
  <si>
    <t>MODIFY, PL20-&gt;PL15</t>
  </si>
  <si>
    <t>MODIFY, PL10-&gt;20</t>
  </si>
  <si>
    <t>24D06641-00-M4131_Sh.26</t>
  </si>
  <si>
    <t>SPOOL_5C_SPOOL_6.0</t>
  </si>
  <si>
    <t>11612xx2381x2422</t>
  </si>
  <si>
    <t>24D06641-00-M4131_Sh.29</t>
  </si>
  <si>
    <t>SPOOL_5C_SPOOL_7.0</t>
  </si>
  <si>
    <t>MODIFY, Qty: 5-&gt;3</t>
  </si>
  <si>
    <t>MODIFY, Qty: 1-&gt;2</t>
  </si>
  <si>
    <t>SDM Street 11
(+ thêm 30mm lượng dư cho PMC)</t>
  </si>
  <si>
    <t>TW1008-MAG-&amp;MLD020-U-001025_08</t>
  </si>
  <si>
    <t>SDM Street 11
(L90x10 thay thế L80x10)</t>
  </si>
  <si>
    <t>M4130</t>
  </si>
  <si>
    <t>ABCDE</t>
  </si>
  <si>
    <t>ABC</t>
  </si>
  <si>
    <t>ABCD</t>
  </si>
  <si>
    <t>AB</t>
  </si>
  <si>
    <t>ABCDEFG</t>
  </si>
  <si>
    <t>AABB</t>
  </si>
  <si>
    <t>ABCD ABCD</t>
  </si>
  <si>
    <t>BAC</t>
  </si>
  <si>
    <t>4A 4B</t>
  </si>
  <si>
    <t>3B 12A 9B</t>
  </si>
  <si>
    <t>3A3B</t>
  </si>
  <si>
    <t>2A2B</t>
  </si>
  <si>
    <t>EACDB</t>
  </si>
  <si>
    <t>ABCDEFGHI</t>
  </si>
  <si>
    <t>BCDEA</t>
  </si>
  <si>
    <t>CBA</t>
  </si>
  <si>
    <t>SDM_A5C_5-0_P23</t>
  </si>
  <si>
    <t>Rev./ Số Sửa đổi: 11</t>
  </si>
  <si>
    <t>Date: 17-Aug-2026</t>
  </si>
  <si>
    <t>Rev.8
(31/07/2026)</t>
  </si>
  <si>
    <t>Rev.9
(04/08/2026)</t>
  </si>
  <si>
    <t>Rev.10
(04/08/2026)</t>
  </si>
  <si>
    <t>Rev.10
(17/08/2026)</t>
  </si>
  <si>
    <t>30H</t>
  </si>
  <si>
    <t>30I</t>
  </si>
  <si>
    <t>30K</t>
  </si>
  <si>
    <t>30L</t>
  </si>
  <si>
    <t>24D06641-00-M4130#A4C_1.0</t>
  </si>
  <si>
    <t>24D06641-00-M4130#A4C_1.A</t>
  </si>
  <si>
    <t>A320-31-CP008</t>
  </si>
  <si>
    <t>A320-31-CP009</t>
  </si>
  <si>
    <t>A320-31-CP011</t>
  </si>
  <si>
    <t>A320-31-CP005</t>
  </si>
  <si>
    <t>A320-31-CP010</t>
  </si>
  <si>
    <t>A320-31-CP503</t>
  </si>
  <si>
    <t>A320-31-CP501</t>
  </si>
  <si>
    <t>24D06641-00-M4130#A4C_1.B</t>
  </si>
  <si>
    <t>24D06641-00-M4130#A4C_1.C</t>
  </si>
  <si>
    <t>PL20x110</t>
  </si>
  <si>
    <t>REVISED, PL15-&gt;20</t>
  </si>
  <si>
    <t>24D06641-00-M4130#A4C_1.D</t>
  </si>
  <si>
    <t>REVISED, cập nhật nguyên công</t>
  </si>
  <si>
    <t>A320-31-CP508</t>
  </si>
  <si>
    <t>24D06641-00-M4130#A4C_2.0</t>
  </si>
  <si>
    <t>24D06641-00-M4130#A4C_2.A</t>
  </si>
  <si>
    <t>24D06641-00-M4130#A4C_2.B</t>
  </si>
  <si>
    <t>24D06641-00-M4130#A4C_2.C</t>
  </si>
  <si>
    <t>24D06641-00-M4130#A4C_2.D</t>
  </si>
  <si>
    <t>24D06641-00-M4130#A4C_3.1</t>
  </si>
  <si>
    <t>A320-31-CP012</t>
  </si>
  <si>
    <t>24D06641-00-M4130#A4C_4.1</t>
  </si>
  <si>
    <t>REVISED, PL15-&gt;10</t>
  </si>
  <si>
    <t>24D06641-00-M4130#A4C_5.1</t>
  </si>
  <si>
    <t>A320-31-CP006</t>
  </si>
  <si>
    <t>24D06641-00-M4130#A4C_6.1</t>
  </si>
  <si>
    <t>24D06641-00-M4130#A10</t>
  </si>
  <si>
    <t>A320-31-CP004</t>
  </si>
  <si>
    <t>A320-31-CP003</t>
  </si>
  <si>
    <t>A320-31-CP002</t>
  </si>
  <si>
    <t>A320-31-CP001</t>
  </si>
  <si>
    <t>24D06641-00-M4130#A11</t>
  </si>
  <si>
    <t>A320-31-CP505</t>
  </si>
  <si>
    <t>24D06641-00-M4130#A12</t>
  </si>
  <si>
    <t>A320-31-CP013</t>
  </si>
  <si>
    <t>24D06641-00-M4130#A13</t>
  </si>
  <si>
    <t>24D06641-00-M4130#A14</t>
  </si>
  <si>
    <t>24D06641-00-M4130#A15</t>
  </si>
  <si>
    <t>24D06641-00-M4130#A19</t>
  </si>
  <si>
    <t>24D06641-00-M4130#A20</t>
  </si>
  <si>
    <t>A320-31-CP509</t>
  </si>
  <si>
    <t>A320-31-CP504</t>
  </si>
  <si>
    <t>24D06641-00-M4130#A21</t>
  </si>
  <si>
    <t>A320-31-CP507</t>
  </si>
  <si>
    <t>A320-31-CP506</t>
  </si>
  <si>
    <t>24D06641-00-M4130#A22</t>
  </si>
  <si>
    <t>A320-31-CP502</t>
  </si>
  <si>
    <t>24D06641-00-M4130#A23</t>
  </si>
  <si>
    <t>24D06641-00-M4130#A24</t>
  </si>
  <si>
    <t>24D06641-00-M4130#A25</t>
  </si>
  <si>
    <t>24D06641-00-M4130#A26</t>
  </si>
  <si>
    <t>24D06641-00-M4130#A30</t>
  </si>
  <si>
    <t>24D06641-00-M4130#A32</t>
  </si>
  <si>
    <t>24D06641-00-M4130#A5C_1.1</t>
  </si>
  <si>
    <t>24D06641-00-M4130#A5C_1.A</t>
  </si>
  <si>
    <t>A320-01-CP017
A320-11-CP017
A320-21-CP009</t>
  </si>
  <si>
    <t>A320-01-CP010
A320-11-CP010
A320-21-CP010</t>
  </si>
  <si>
    <t>A320-01-CP008
A320-11-CP008
A320-21-CP008</t>
  </si>
  <si>
    <t>A320-01-CP012
A320-11-CP012
A320-21-CP012</t>
  </si>
  <si>
    <t>A320-01-CP006
A320-11-CP006
A320-21-CP006</t>
  </si>
  <si>
    <t>A320-01-CP009
A320-11-CP009
A320-21-CP009</t>
  </si>
  <si>
    <t>A320-01-CP011
A320-11-CP011
A320-21-CP011</t>
  </si>
  <si>
    <t>A320-01-CP503
A320-11-CP503
A320-21-CP503</t>
  </si>
  <si>
    <t>A320-01-CP501
A320-11-CP501
A320-21-CP501</t>
  </si>
  <si>
    <t>24D06641-00-M4130#A5C_1.D</t>
  </si>
  <si>
    <t>A320-01-CP020
A320-11-CP012
A320-21-CP012</t>
  </si>
  <si>
    <t>Revised, PL12-&gt;PL20</t>
  </si>
  <si>
    <t>A320-01-CP022</t>
  </si>
  <si>
    <t>A320-01-CP021
A320-11-CP008
A320-21-CP008</t>
  </si>
  <si>
    <t>A320-01-CP508
A320-11-CP507
A320-21-CP508</t>
  </si>
  <si>
    <t>24D06641-00-M4130#A5C_1.C</t>
  </si>
  <si>
    <t>24D06641-00-M4130#A5C_1.E</t>
  </si>
  <si>
    <t>24D06641-00-M4130#A5C_2.1</t>
  </si>
  <si>
    <t>24D06641-00-M4130#A5C_2.A</t>
  </si>
  <si>
    <t>A320-11-CP017
A320-21-CP009</t>
  </si>
  <si>
    <t>24D06641-00-M4130#A5C_2.D</t>
  </si>
  <si>
    <t>24D06641-00-M4130#A5C_2.C</t>
  </si>
  <si>
    <t>24D06641-00-M4130#A5C_2.E</t>
  </si>
  <si>
    <t>24D06641-00-M4130#A5C_3.1</t>
  </si>
  <si>
    <t>24D06641-00-M4130#A5C_3.A</t>
  </si>
  <si>
    <t>A320-01-CP013
A320-11-CP013
A320-21-CP013</t>
  </si>
  <si>
    <t>24D06641-00-M4130#A5C_3.D</t>
  </si>
  <si>
    <t>24D06641-00-M4130#A5C_3.C</t>
  </si>
  <si>
    <t>24D06641-00-M4130#A5C_3.E</t>
  </si>
  <si>
    <t>24D06641-00-M4130#A5C_4.1</t>
  </si>
  <si>
    <t>24D06641-00-M4130#A5C_4.A</t>
  </si>
  <si>
    <t>REVISED, sửa đổi bản vẽ SGP</t>
  </si>
  <si>
    <t>24D06641-00-M4130#A5C_4.C</t>
  </si>
  <si>
    <t>24D06641-00-M4130#A5C_4.D</t>
  </si>
  <si>
    <t>24D06641-00-M4130#A5C_5.1</t>
  </si>
  <si>
    <t>A320-01-CP004
A320-11-CP004
A320-21-CP004</t>
  </si>
  <si>
    <t>24D06641-00-M4130#A5C_6.1</t>
  </si>
  <si>
    <t>A320-01-CP007
A320-11-CP007
A320-21-CP007</t>
  </si>
  <si>
    <t>24D06641-00-M4130#A5C_7.1</t>
  </si>
  <si>
    <t>A320-01-CP005
A320-11-CP005
A320-21-CP005</t>
  </si>
  <si>
    <t>A320-01-CP003
A320-11-CP003
A320-21-CP003</t>
  </si>
  <si>
    <t>A320-01-CP002
A320-11-CP002
A320-21-CP002</t>
  </si>
  <si>
    <t>A320-01-CP001
A320-11-CP001
A320-21-CP001</t>
  </si>
  <si>
    <t>A320-21-CP505</t>
  </si>
  <si>
    <t>A320-01-CP014
A320-11-CP014
A320-21-CP014</t>
  </si>
  <si>
    <t>A320-01-CP019
A320-11-CP001
A320-21-CP001</t>
  </si>
  <si>
    <t>24D06641-00-M4130#A16</t>
  </si>
  <si>
    <t>24D06641-00-M4130#A17</t>
  </si>
  <si>
    <t>24D06641-00-M4130#A18</t>
  </si>
  <si>
    <t>A320-01-CP507
A320-11-CP508
A320-21-CP509</t>
  </si>
  <si>
    <t>A320-01-CP504
A320-11-CP504
A320-21-CP504</t>
  </si>
  <si>
    <t>A320-01-CP506
A320-11-CP506
A320-21-CP507</t>
  </si>
  <si>
    <t>A320-01-CP505
A320-11-CP505
A320-21-CP506</t>
  </si>
  <si>
    <t>A320-01-CP502
A320-11-CP502
A320-21-CP502</t>
  </si>
  <si>
    <t>24D06641-00-M4130#A27</t>
  </si>
  <si>
    <t>24D06641-00-M4130#A28</t>
  </si>
  <si>
    <t>24D06641-00-M4130#A29</t>
  </si>
  <si>
    <t>24D06641-00-M4130#A5C_1.0</t>
  </si>
  <si>
    <t>24D06641-00-M4130#A5C_1.B</t>
  </si>
  <si>
    <t>24D06641-00-M4130#A5C_2.0</t>
  </si>
  <si>
    <t>24D06641-00-M4130#A5C_2.B</t>
  </si>
  <si>
    <t>24D06641-00-M4130#A5C_3.0</t>
  </si>
  <si>
    <t>24D06641-00-M4130#A5C_3.B</t>
  </si>
  <si>
    <t>24D06641-00-M4130#A5C_4.0</t>
  </si>
  <si>
    <t>24D06641-00-M4130#A5C_4.B</t>
  </si>
  <si>
    <t>24D06641-00-M4130#A5C_5.0</t>
  </si>
  <si>
    <t>24D06641-00-M4130#A5C_6.0</t>
  </si>
  <si>
    <t>24D06641-00-M4130#A5C_7.0</t>
  </si>
  <si>
    <t>13/06/2026</t>
  </si>
  <si>
    <t>30/06/2026</t>
  </si>
  <si>
    <t>28/07/2026</t>
  </si>
  <si>
    <t>14/08/2026</t>
  </si>
  <si>
    <t>18/08/2026</t>
  </si>
  <si>
    <t>13/07/2026</t>
  </si>
  <si>
    <t>BA</t>
  </si>
  <si>
    <t>DEFGBCA</t>
  </si>
  <si>
    <t>ADEFBCG</t>
  </si>
  <si>
    <t>BCEFAD</t>
  </si>
  <si>
    <t>2A</t>
  </si>
  <si>
    <t>2A 2B</t>
  </si>
  <si>
    <t>4A 4B 1C 6D 2B 5C 2A</t>
  </si>
  <si>
    <t>ADCB</t>
  </si>
  <si>
    <t>Đã trả lại FAC1 1 cái ngày 14/09</t>
  </si>
  <si>
    <t>B A</t>
  </si>
  <si>
    <t>ECG BFD</t>
  </si>
  <si>
    <t>FED ABCG</t>
  </si>
  <si>
    <t xml:space="preserve">A D BC </t>
  </si>
  <si>
    <t>AC</t>
  </si>
  <si>
    <t>BC</t>
  </si>
  <si>
    <t>B CA</t>
  </si>
  <si>
    <t>CAB</t>
  </si>
  <si>
    <t>EABCD</t>
  </si>
  <si>
    <t>CBDA</t>
  </si>
  <si>
    <t>BCA</t>
  </si>
  <si>
    <t xml:space="preserve">EDCB </t>
  </si>
  <si>
    <t>ACB</t>
  </si>
  <si>
    <t>C</t>
  </si>
  <si>
    <t>4A4B4C4D</t>
  </si>
  <si>
    <t>B</t>
  </si>
  <si>
    <t>ABCDEF</t>
  </si>
  <si>
    <t>Project name / Tên Dự án      : A320_Kuo Kuang Combined Cycle Power Plant Unit 2</t>
  </si>
  <si>
    <t>Item Name  / Tên Hạng mục   : Bracing for Lot 1 (SDM &amp; CCM)</t>
  </si>
  <si>
    <t xml:space="preserve">Prepared By  / Chuẩn bị         : Design Consultant Center </t>
  </si>
  <si>
    <t>Document No. / Số Tài liệu     : A320-SFR-APL-001</t>
  </si>
  <si>
    <t>Rev./ Số Sửa đổi:1</t>
  </si>
  <si>
    <t>Date: 10-Sep-2026</t>
  </si>
  <si>
    <t>Scope of Steel Work Unit-1</t>
  </si>
  <si>
    <t>Scope of Steel Work Unit-2</t>
  </si>
  <si>
    <t>Scope of Painting Work
Unit-1</t>
  </si>
  <si>
    <t>29A</t>
  </si>
  <si>
    <t>Số Unit cần đảm bảo</t>
  </si>
  <si>
    <t>Số Unit</t>
  </si>
  <si>
    <t>A320-AS-LT-1</t>
  </si>
  <si>
    <t>LT-1</t>
  </si>
  <si>
    <t>LIFTING LUG</t>
  </si>
  <si>
    <t>(160x99x200)</t>
  </si>
  <si>
    <t>GY-1</t>
  </si>
  <si>
    <t>LT-1-GY-1</t>
  </si>
  <si>
    <t>PL20*85</t>
  </si>
  <si>
    <t>SS400</t>
  </si>
  <si>
    <t>P-334</t>
  </si>
  <si>
    <t>LT-1-P-334</t>
  </si>
  <si>
    <t>PL10*200</t>
  </si>
  <si>
    <t>A320-700-CP003</t>
  </si>
  <si>
    <t>A320-700-CP002</t>
  </si>
  <si>
    <t>A320-AS-LT-2</t>
  </si>
  <si>
    <t>LT-2</t>
  </si>
  <si>
    <t>LT-2-GY-1</t>
  </si>
  <si>
    <t>LT-2-P-334</t>
  </si>
  <si>
    <t>A320-AS-BR-25</t>
  </si>
  <si>
    <t>BR-25</t>
  </si>
  <si>
    <t>BRACING</t>
  </si>
  <si>
    <t>(810x10x131)</t>
  </si>
  <si>
    <t>P-340</t>
  </si>
  <si>
    <t>BR-25-P-340</t>
  </si>
  <si>
    <t>PL10*131</t>
  </si>
  <si>
    <t>A320-AS-BR-28</t>
  </si>
  <si>
    <t>BR-28</t>
  </si>
  <si>
    <t>(571x10x227)</t>
  </si>
  <si>
    <t>BEAM</t>
  </si>
  <si>
    <t>P-339</t>
  </si>
  <si>
    <t>BR-28-P-339</t>
  </si>
  <si>
    <t>PL10*150</t>
  </si>
  <si>
    <t>A320-700-CP010</t>
  </si>
  <si>
    <t>A320-AS-BR-29</t>
  </si>
  <si>
    <t>BR-29</t>
  </si>
  <si>
    <t>(1748x12x1723)</t>
  </si>
  <si>
    <t>P-338</t>
  </si>
  <si>
    <t>BR-29-P-338</t>
  </si>
  <si>
    <t>PL12*150</t>
  </si>
  <si>
    <t>A320-700-CP011</t>
  </si>
  <si>
    <t>A320-AS-LT-4</t>
  </si>
  <si>
    <t>LT-4</t>
  </si>
  <si>
    <t>LT-4-GY-1</t>
  </si>
  <si>
    <t>P-335</t>
  </si>
  <si>
    <t>LT-4-P-335</t>
  </si>
  <si>
    <t>A320-AS-BR-27</t>
  </si>
  <si>
    <t>BR-27</t>
  </si>
  <si>
    <t>(565x10x236)</t>
  </si>
  <si>
    <t>P-342</t>
  </si>
  <si>
    <t>BR-27-P-342</t>
  </si>
  <si>
    <t>A320-AS-BR-30</t>
  </si>
  <si>
    <t>BR-30</t>
  </si>
  <si>
    <t>(1263x10x1066)</t>
  </si>
  <si>
    <t>P-341</t>
  </si>
  <si>
    <t>BR-30-P-341</t>
  </si>
  <si>
    <t>A320-AS-BR-26</t>
  </si>
  <si>
    <t>BR-26</t>
  </si>
  <si>
    <t>(1462x10x1253)</t>
  </si>
  <si>
    <t>P-343</t>
  </si>
  <si>
    <t>BR-26-P-343</t>
  </si>
  <si>
    <t>A320-AS-BR-31</t>
  </si>
  <si>
    <t>BR-31</t>
  </si>
  <si>
    <t>(1265x10x1068)</t>
  </si>
  <si>
    <t>PA-1</t>
  </si>
  <si>
    <t>BR-31-PA-1</t>
  </si>
  <si>
    <t>A320-AS-BR-A5C_5-1</t>
  </si>
  <si>
    <t>BR-A5C_5-1</t>
  </si>
  <si>
    <t>(2192x56x2192)</t>
  </si>
  <si>
    <t>BENT CHANNEL</t>
  </si>
  <si>
    <t>CX-47</t>
  </si>
  <si>
    <t>BR-A5C_5-1-CX-47</t>
  </si>
  <si>
    <t>C100*50*4</t>
  </si>
  <si>
    <t>CX-96</t>
  </si>
  <si>
    <t>BR-A5C_5-1-CX-96</t>
  </si>
  <si>
    <t>P-336</t>
  </si>
  <si>
    <t>BR-A5C_5-1-P-336</t>
  </si>
  <si>
    <t>PL6*110</t>
  </si>
  <si>
    <t>P-337</t>
  </si>
  <si>
    <t>BR-A5C_5-1-P-337</t>
  </si>
  <si>
    <t>PL6*230</t>
  </si>
  <si>
    <t>A320-AS-BR-A5C_5-2</t>
  </si>
  <si>
    <t>BR-A5C_5-2</t>
  </si>
  <si>
    <t>(547x10x844)</t>
  </si>
  <si>
    <t>P-345</t>
  </si>
  <si>
    <t>BR-A5C_5-2-P-345</t>
  </si>
  <si>
    <t>A320-AS-BR-A5C_6-2</t>
  </si>
  <si>
    <t>BR-A5C_6-2</t>
  </si>
  <si>
    <t>(1996x56x1996)</t>
  </si>
  <si>
    <t>CX-92</t>
  </si>
  <si>
    <t>BR-A5C_6-2-CX-92</t>
  </si>
  <si>
    <t>CX-93</t>
  </si>
  <si>
    <t>BR-A5C_6-2-CX-93</t>
  </si>
  <si>
    <t>BR-A5C_6-2-P-336</t>
  </si>
  <si>
    <t>BR-A5C_6-2-P-337</t>
  </si>
  <si>
    <t>A320-AS-BR-A5C_6-3</t>
  </si>
  <si>
    <t>BR-A5C_6-3</t>
  </si>
  <si>
    <t>BR-A5C_6-3-P-345</t>
  </si>
  <si>
    <t>A320-AS-BR-A5C_7-1</t>
  </si>
  <si>
    <t>BR-A5C_7-1</t>
  </si>
  <si>
    <t>(1392x56x1392)</t>
  </si>
  <si>
    <t>CX-94</t>
  </si>
  <si>
    <t>BR-A5C_7-1-CX-94</t>
  </si>
  <si>
    <t>CX-95</t>
  </si>
  <si>
    <t>BR-A5C_7-1-CX-95</t>
  </si>
  <si>
    <t>BR-A5C_7-1-P-336</t>
  </si>
  <si>
    <t>BR-A5C_7-1-P-337</t>
  </si>
  <si>
    <t>A320-AS-BR-A5C_7-2</t>
  </si>
  <si>
    <t>BR-A5C_7-2</t>
  </si>
  <si>
    <t>BR-A5C_7-2-P-345</t>
  </si>
  <si>
    <t>Ngày nhận</t>
  </si>
  <si>
    <t>16A16B</t>
  </si>
  <si>
    <t>4A4B</t>
  </si>
  <si>
    <t>8A8B</t>
  </si>
  <si>
    <t>A BC</t>
  </si>
  <si>
    <t>S1=27</t>
  </si>
  <si>
    <t>S1</t>
  </si>
  <si>
    <t>S2</t>
  </si>
  <si>
    <t>ABECD</t>
  </si>
  <si>
    <t>2B</t>
  </si>
  <si>
    <t>4A4B3C3D4ECD</t>
  </si>
  <si>
    <t>A2B</t>
  </si>
  <si>
    <t>2C2A2B</t>
  </si>
  <si>
    <t>C2A2BC</t>
  </si>
  <si>
    <t>A2CA2B2C</t>
  </si>
  <si>
    <t>2C4A4B 4C1 2C2</t>
  </si>
  <si>
    <t>2A4B4C4E 4D A F</t>
  </si>
  <si>
    <t>4A4B4C</t>
  </si>
  <si>
    <t>DFC</t>
  </si>
  <si>
    <t>C4E 4A4B3C4D D 2E 2F</t>
  </si>
  <si>
    <t>12A 10B 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</si>
</sst>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[$-409]d\-mmm\-yy;@"/>
    <numFmt numFmtId="172" formatCode="_-* #,##0.0\ _₫_-;\-* #,##0.0\ _₫_-;_-* &quot;-&quot;?\ _₫_-;_-@_-"/>
  </numFmts>
  <fonts count="33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i/>
      <sz val="9"/>
      <color rgb="FFFF0000"/>
      <name val="Arial"/>
      <family val="2"/>
    </font>
    <font>
      <b/>
      <i/>
      <sz val="9"/>
      <color rgb="FFFF0000"/>
      <name val="Arial"/>
      <family val="2"/>
      <charset val="163"/>
    </font>
    <font>
      <b/>
      <sz val="9"/>
      <color theme="0"/>
      <name val="Arial"/>
      <family val="2"/>
    </font>
    <font>
      <b/>
      <sz val="9"/>
      <color rgb="FFFF0000"/>
      <name val="Arial"/>
      <family val="2"/>
      <charset val="163"/>
    </font>
    <font>
      <b/>
      <sz val="8"/>
      <color theme="0"/>
      <name val="Arial"/>
      <family val="2"/>
    </font>
    <font>
      <b/>
      <sz val="9"/>
      <name val="Arial"/>
      <family val="2"/>
      <charset val="163"/>
    </font>
    <font>
      <b/>
      <sz val="9"/>
      <color theme="0"/>
      <name val="Arial"/>
      <family val="2"/>
      <charset val="163"/>
    </font>
    <font>
      <sz val="9"/>
      <color theme="0"/>
      <name val="Arial"/>
      <family val="2"/>
    </font>
    <font>
      <sz val="9"/>
      <name val="Arial"/>
      <family val="2"/>
      <charset val="163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</borders>
  <cellStyleXfs count="9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277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2" fillId="0" borderId="0" xfId="1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Continuous" vertical="center"/>
    </xf>
    <xf numFmtId="0" fontId="5" fillId="2" borderId="3" xfId="1" applyFont="1" applyFill="1" applyBorder="1" applyAlignment="1">
      <alignment horizontal="centerContinuous" vertical="center"/>
    </xf>
    <xf numFmtId="0" fontId="5" fillId="2" borderId="4" xfId="1" applyFont="1" applyFill="1" applyBorder="1" applyAlignment="1">
      <alignment horizontal="centerContinuous" vertical="center"/>
    </xf>
    <xf numFmtId="0" fontId="5" fillId="2" borderId="5" xfId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65" fontId="5" fillId="0" borderId="0" xfId="2" applyFont="1" applyAlignment="1">
      <alignment horizontal="center" vertical="center" wrapText="1"/>
    </xf>
    <xf numFmtId="166" fontId="6" fillId="0" borderId="11" xfId="3" applyNumberFormat="1" applyFont="1" applyBorder="1"/>
    <xf numFmtId="166" fontId="6" fillId="0" borderId="12" xfId="3" applyNumberFormat="1" applyFont="1" applyBorder="1"/>
    <xf numFmtId="0" fontId="7" fillId="0" borderId="15" xfId="1" applyFont="1" applyBorder="1"/>
    <xf numFmtId="166" fontId="7" fillId="0" borderId="16" xfId="1" applyNumberFormat="1" applyFont="1" applyBorder="1"/>
    <xf numFmtId="167" fontId="7" fillId="0" borderId="16" xfId="3" applyNumberFormat="1" applyFont="1" applyBorder="1"/>
    <xf numFmtId="166" fontId="8" fillId="0" borderId="16" xfId="1" applyNumberFormat="1" applyFont="1" applyBorder="1"/>
    <xf numFmtId="43" fontId="8" fillId="0" borderId="16" xfId="1" applyNumberFormat="1" applyFont="1" applyBorder="1"/>
    <xf numFmtId="166" fontId="8" fillId="0" borderId="17" xfId="1" applyNumberFormat="1" applyFont="1" applyBorder="1"/>
    <xf numFmtId="43" fontId="8" fillId="0" borderId="18" xfId="1" applyNumberFormat="1" applyFont="1" applyBorder="1"/>
    <xf numFmtId="43" fontId="8" fillId="0" borderId="0" xfId="1" applyNumberFormat="1" applyFont="1"/>
    <xf numFmtId="0" fontId="5" fillId="2" borderId="19" xfId="1" applyFont="1" applyFill="1" applyBorder="1" applyAlignment="1">
      <alignment horizontal="center" vertical="center"/>
    </xf>
    <xf numFmtId="0" fontId="7" fillId="0" borderId="0" xfId="1" applyFont="1"/>
    <xf numFmtId="167" fontId="7" fillId="0" borderId="0" xfId="3" applyNumberFormat="1" applyFont="1" applyBorder="1"/>
    <xf numFmtId="166" fontId="8" fillId="0" borderId="0" xfId="1" applyNumberFormat="1" applyFont="1"/>
    <xf numFmtId="0" fontId="5" fillId="2" borderId="20" xfId="1" applyFont="1" applyFill="1" applyBorder="1" applyAlignment="1">
      <alignment horizontal="center" vertical="center"/>
    </xf>
    <xf numFmtId="166" fontId="6" fillId="0" borderId="16" xfId="1" applyNumberFormat="1" applyFont="1" applyBorder="1"/>
    <xf numFmtId="166" fontId="6" fillId="0" borderId="18" xfId="1" applyNumberFormat="1" applyFont="1" applyBorder="1"/>
    <xf numFmtId="0" fontId="9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5" fillId="2" borderId="21" xfId="1" applyFont="1" applyFill="1" applyBorder="1" applyAlignment="1">
      <alignment horizontal="centerContinuous"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19" xfId="1" applyFont="1" applyBorder="1" applyAlignment="1">
      <alignment wrapText="1"/>
    </xf>
    <xf numFmtId="43" fontId="6" fillId="0" borderId="11" xfId="4" applyFont="1" applyBorder="1"/>
    <xf numFmtId="43" fontId="6" fillId="0" borderId="22" xfId="4" applyFont="1" applyBorder="1"/>
    <xf numFmtId="43" fontId="6" fillId="0" borderId="0" xfId="4" applyFont="1" applyFill="1" applyBorder="1"/>
    <xf numFmtId="166" fontId="6" fillId="0" borderId="11" xfId="4" applyNumberFormat="1" applyFont="1" applyBorder="1"/>
    <xf numFmtId="166" fontId="6" fillId="0" borderId="22" xfId="4" applyNumberFormat="1" applyFont="1" applyBorder="1"/>
    <xf numFmtId="166" fontId="6" fillId="0" borderId="0" xfId="4" applyNumberFormat="1" applyFont="1" applyFill="1" applyBorder="1"/>
    <xf numFmtId="0" fontId="6" fillId="0" borderId="19" xfId="1" applyFont="1" applyBorder="1"/>
    <xf numFmtId="0" fontId="6" fillId="0" borderId="23" xfId="1" applyFont="1" applyBorder="1"/>
    <xf numFmtId="166" fontId="6" fillId="0" borderId="24" xfId="4" applyNumberFormat="1" applyFont="1" applyBorder="1"/>
    <xf numFmtId="166" fontId="6" fillId="0" borderId="25" xfId="4" applyNumberFormat="1" applyFont="1" applyBorder="1"/>
    <xf numFmtId="0" fontId="6" fillId="0" borderId="20" xfId="1" applyFont="1" applyBorder="1"/>
    <xf numFmtId="43" fontId="6" fillId="0" borderId="16" xfId="4" applyFont="1" applyBorder="1"/>
    <xf numFmtId="43" fontId="6" fillId="0" borderId="26" xfId="4" applyFont="1" applyBorder="1"/>
    <xf numFmtId="0" fontId="11" fillId="2" borderId="21" xfId="1" applyFont="1" applyFill="1" applyBorder="1" applyAlignment="1">
      <alignment horizontal="centerContinuous" vertical="center" wrapText="1"/>
    </xf>
    <xf numFmtId="0" fontId="11" fillId="2" borderId="11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2" fillId="0" borderId="19" xfId="1" applyBorder="1" applyAlignment="1">
      <alignment wrapText="1"/>
    </xf>
    <xf numFmtId="43" fontId="2" fillId="0" borderId="11" xfId="4" applyFont="1" applyBorder="1"/>
    <xf numFmtId="43" fontId="2" fillId="0" borderId="0" xfId="4" applyFont="1" applyBorder="1"/>
    <xf numFmtId="166" fontId="2" fillId="0" borderId="11" xfId="4" applyNumberFormat="1" applyFont="1" applyBorder="1"/>
    <xf numFmtId="166" fontId="2" fillId="0" borderId="0" xfId="4" applyNumberFormat="1" applyFont="1" applyBorder="1"/>
    <xf numFmtId="0" fontId="2" fillId="0" borderId="23" xfId="1" applyBorder="1" applyAlignment="1">
      <alignment wrapText="1"/>
    </xf>
    <xf numFmtId="0" fontId="12" fillId="0" borderId="20" xfId="1" applyFont="1" applyBorder="1" applyAlignment="1">
      <alignment wrapText="1"/>
    </xf>
    <xf numFmtId="168" fontId="2" fillId="0" borderId="0" xfId="2" applyNumberFormat="1" applyFont="1"/>
    <xf numFmtId="0" fontId="2" fillId="0" borderId="27" xfId="1" applyBorder="1"/>
    <xf numFmtId="166" fontId="2" fillId="0" borderId="27" xfId="1" applyNumberFormat="1" applyBorder="1"/>
    <xf numFmtId="169" fontId="2" fillId="0" borderId="27" xfId="5" applyNumberFormat="1" applyFont="1" applyBorder="1"/>
    <xf numFmtId="0" fontId="5" fillId="2" borderId="11" xfId="1" applyFont="1" applyFill="1" applyBorder="1"/>
    <xf numFmtId="170" fontId="5" fillId="2" borderId="11" xfId="1" applyNumberFormat="1" applyFont="1" applyFill="1" applyBorder="1" applyAlignment="1">
      <alignment horizontal="center" vertical="center"/>
    </xf>
    <xf numFmtId="170" fontId="5" fillId="2" borderId="11" xfId="1" quotePrefix="1" applyNumberFormat="1" applyFont="1" applyFill="1" applyBorder="1" applyAlignment="1">
      <alignment horizontal="center" vertical="center"/>
    </xf>
    <xf numFmtId="0" fontId="5" fillId="0" borderId="11" xfId="1" applyFont="1" applyBorder="1"/>
    <xf numFmtId="43" fontId="5" fillId="0" borderId="11" xfId="4" applyFont="1" applyBorder="1"/>
    <xf numFmtId="0" fontId="2" fillId="0" borderId="11" xfId="1" applyBorder="1"/>
    <xf numFmtId="14" fontId="6" fillId="0" borderId="11" xfId="4" applyNumberFormat="1" applyFont="1" applyBorder="1"/>
    <xf numFmtId="166" fontId="6" fillId="0" borderId="11" xfId="4" applyNumberFormat="1" applyFont="1" applyBorder="1" applyAlignment="1">
      <alignment wrapText="1"/>
    </xf>
    <xf numFmtId="166" fontId="6" fillId="0" borderId="11" xfId="4" applyNumberFormat="1" applyFont="1" applyFill="1" applyBorder="1"/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4" fontId="15" fillId="4" borderId="11" xfId="6" applyFont="1" applyFill="1" applyBorder="1" applyAlignment="1">
      <alignment horizontal="center" vertical="center"/>
    </xf>
    <xf numFmtId="9" fontId="15" fillId="4" borderId="11" xfId="7" applyFont="1" applyFill="1" applyBorder="1" applyAlignment="1">
      <alignment horizontal="center" vertical="center"/>
    </xf>
    <xf numFmtId="164" fontId="15" fillId="4" borderId="12" xfId="6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6" applyFont="1" applyBorder="1" applyAlignment="1">
      <alignment horizontal="center" vertical="center"/>
    </xf>
    <xf numFmtId="9" fontId="0" fillId="0" borderId="11" xfId="7" applyFont="1" applyBorder="1" applyAlignment="1">
      <alignment horizontal="center" vertical="center"/>
    </xf>
    <xf numFmtId="164" fontId="0" fillId="0" borderId="12" xfId="6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6" applyFont="1" applyBorder="1" applyAlignment="1">
      <alignment horizontal="center" vertical="center"/>
    </xf>
    <xf numFmtId="9" fontId="0" fillId="0" borderId="16" xfId="7" applyFont="1" applyBorder="1" applyAlignment="1">
      <alignment horizontal="center" vertical="center"/>
    </xf>
    <xf numFmtId="0" fontId="16" fillId="0" borderId="28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Continuous" vertical="center"/>
      <protection locked="0"/>
    </xf>
    <xf numFmtId="0" fontId="18" fillId="0" borderId="29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20" fillId="0" borderId="0" xfId="8" applyFont="1" applyAlignment="1" applyProtection="1">
      <alignment horizontal="left" vertical="center" indent="2"/>
      <protection locked="0"/>
    </xf>
    <xf numFmtId="0" fontId="20" fillId="0" borderId="0" xfId="8" applyFont="1" applyAlignment="1" applyProtection="1">
      <alignment horizontal="center" vertical="center"/>
      <protection locked="0"/>
    </xf>
    <xf numFmtId="0" fontId="20" fillId="0" borderId="30" xfId="8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2" fillId="0" borderId="24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left" vertical="center"/>
      <protection locked="0"/>
    </xf>
    <xf numFmtId="171" fontId="23" fillId="0" borderId="0" xfId="0" applyNumberFormat="1" applyFont="1" applyAlignment="1" applyProtection="1">
      <alignment horizontal="left" vertical="center"/>
      <protection locked="0"/>
    </xf>
    <xf numFmtId="171" fontId="12" fillId="0" borderId="0" xfId="0" applyNumberFormat="1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center"/>
      <protection locked="0"/>
    </xf>
    <xf numFmtId="0" fontId="25" fillId="0" borderId="0" xfId="8" applyFont="1" applyAlignment="1" applyProtection="1">
      <alignment horizontal="center" vertical="center"/>
      <protection locked="0"/>
    </xf>
    <xf numFmtId="0" fontId="26" fillId="6" borderId="34" xfId="0" applyFont="1" applyFill="1" applyBorder="1" applyAlignment="1" applyProtection="1">
      <alignment horizontal="center" vertical="center"/>
      <protection locked="0"/>
    </xf>
    <xf numFmtId="0" fontId="26" fillId="6" borderId="34" xfId="0" applyFont="1" applyFill="1" applyBorder="1" applyAlignment="1" applyProtection="1">
      <alignment horizontal="center" vertical="center" wrapText="1"/>
      <protection locked="0"/>
    </xf>
    <xf numFmtId="0" fontId="26" fillId="6" borderId="31" xfId="0" applyFont="1" applyFill="1" applyBorder="1" applyAlignment="1" applyProtection="1">
      <alignment horizontal="center" vertical="center" wrapText="1"/>
      <protection locked="0"/>
    </xf>
    <xf numFmtId="171" fontId="26" fillId="6" borderId="34" xfId="0" applyNumberFormat="1" applyFont="1" applyFill="1" applyBorder="1" applyAlignment="1" applyProtection="1">
      <alignment horizontal="center" vertical="center" wrapText="1"/>
      <protection locked="0"/>
    </xf>
    <xf numFmtId="0" fontId="26" fillId="6" borderId="34" xfId="0" applyFont="1" applyFill="1" applyBorder="1" applyAlignment="1" applyProtection="1">
      <alignment horizontal="centerContinuous" vertical="center" wrapText="1"/>
      <protection locked="0"/>
    </xf>
    <xf numFmtId="0" fontId="28" fillId="6" borderId="34" xfId="0" applyFont="1" applyFill="1" applyBorder="1" applyAlignment="1" applyProtection="1">
      <alignment horizontal="center" vertical="center" wrapText="1"/>
      <protection locked="0"/>
    </xf>
    <xf numFmtId="171" fontId="26" fillId="6" borderId="34" xfId="0" applyNumberFormat="1" applyFont="1" applyFill="1" applyBorder="1" applyAlignment="1" applyProtection="1">
      <alignment horizontal="center" vertical="center"/>
      <protection locked="0"/>
    </xf>
    <xf numFmtId="0" fontId="29" fillId="7" borderId="11" xfId="0" applyFont="1" applyFill="1" applyBorder="1" applyAlignment="1" applyProtection="1">
      <alignment horizontal="center" vertical="center"/>
      <protection locked="0"/>
    </xf>
    <xf numFmtId="0" fontId="29" fillId="7" borderId="11" xfId="0" applyFont="1" applyFill="1" applyBorder="1" applyAlignment="1" applyProtection="1">
      <alignment horizontal="left" vertical="center"/>
      <protection locked="0"/>
    </xf>
    <xf numFmtId="167" fontId="29" fillId="7" borderId="11" xfId="3" applyNumberFormat="1" applyFont="1" applyFill="1" applyBorder="1" applyAlignment="1" applyProtection="1">
      <alignment horizontal="left" vertical="center"/>
      <protection locked="0"/>
    </xf>
    <xf numFmtId="167" fontId="29" fillId="7" borderId="11" xfId="3" applyNumberFormat="1" applyFont="1" applyFill="1" applyBorder="1" applyAlignment="1" applyProtection="1">
      <alignment horizontal="center" vertical="center"/>
      <protection locked="0"/>
    </xf>
    <xf numFmtId="0" fontId="29" fillId="7" borderId="11" xfId="3" applyNumberFormat="1" applyFont="1" applyFill="1" applyBorder="1" applyAlignment="1" applyProtection="1">
      <alignment horizontal="center" vertical="center"/>
      <protection locked="0"/>
    </xf>
    <xf numFmtId="172" fontId="29" fillId="7" borderId="11" xfId="3" applyNumberFormat="1" applyFont="1" applyFill="1" applyBorder="1" applyAlignment="1" applyProtection="1">
      <alignment horizontal="center" vertical="center"/>
      <protection locked="0"/>
    </xf>
    <xf numFmtId="0" fontId="30" fillId="7" borderId="11" xfId="0" applyFont="1" applyFill="1" applyBorder="1" applyAlignment="1" applyProtection="1">
      <alignment horizontal="center" vertical="center"/>
      <protection locked="0"/>
    </xf>
    <xf numFmtId="171" fontId="30" fillId="7" borderId="11" xfId="0" applyNumberFormat="1" applyFont="1" applyFill="1" applyBorder="1" applyAlignment="1" applyProtection="1">
      <alignment horizontal="center" vertical="center"/>
      <protection locked="0"/>
    </xf>
    <xf numFmtId="0" fontId="22" fillId="5" borderId="24" xfId="0" applyFont="1" applyFill="1" applyBorder="1" applyAlignment="1" applyProtection="1">
      <alignment horizontal="center" vertical="center"/>
      <protection locked="0"/>
    </xf>
    <xf numFmtId="167" fontId="22" fillId="5" borderId="24" xfId="3" applyNumberFormat="1" applyFont="1" applyFill="1" applyBorder="1" applyAlignment="1" applyProtection="1">
      <alignment horizontal="left" vertical="center"/>
      <protection locked="0"/>
    </xf>
    <xf numFmtId="167" fontId="22" fillId="5" borderId="24" xfId="3" applyNumberFormat="1" applyFont="1" applyFill="1" applyBorder="1" applyAlignment="1" applyProtection="1">
      <alignment horizontal="center" vertical="center"/>
      <protection locked="0"/>
    </xf>
    <xf numFmtId="0" fontId="22" fillId="0" borderId="24" xfId="3" applyNumberFormat="1" applyFont="1" applyFill="1" applyBorder="1" applyAlignment="1" applyProtection="1">
      <alignment horizontal="center" vertical="center"/>
      <protection locked="0"/>
    </xf>
    <xf numFmtId="172" fontId="22" fillId="0" borderId="24" xfId="3" applyNumberFormat="1" applyFont="1" applyFill="1" applyBorder="1" applyAlignment="1" applyProtection="1">
      <alignment horizontal="center" vertical="center"/>
      <protection locked="0"/>
    </xf>
    <xf numFmtId="167" fontId="22" fillId="0" borderId="24" xfId="3" applyNumberFormat="1" applyFont="1" applyFill="1" applyBorder="1" applyAlignment="1" applyProtection="1">
      <alignment horizontal="left" vertical="center"/>
      <protection locked="0"/>
    </xf>
    <xf numFmtId="167" fontId="22" fillId="0" borderId="24" xfId="3" applyNumberFormat="1" applyFont="1" applyFill="1" applyBorder="1" applyAlignment="1" applyProtection="1">
      <alignment horizontal="center" vertical="center"/>
      <protection locked="0"/>
    </xf>
    <xf numFmtId="0" fontId="22" fillId="0" borderId="11" xfId="0" applyFont="1" applyBorder="1" applyAlignment="1" applyProtection="1">
      <alignment horizontal="center" vertical="center"/>
      <protection locked="0"/>
    </xf>
    <xf numFmtId="171" fontId="22" fillId="0" borderId="24" xfId="0" applyNumberFormat="1" applyFont="1" applyBorder="1" applyAlignment="1" applyProtection="1">
      <alignment horizontal="center" vertical="center"/>
      <protection locked="0"/>
    </xf>
    <xf numFmtId="171" fontId="22" fillId="4" borderId="24" xfId="0" applyNumberFormat="1" applyFont="1" applyFill="1" applyBorder="1" applyAlignment="1" applyProtection="1">
      <alignment horizontal="center" vertical="center"/>
      <protection locked="0"/>
    </xf>
    <xf numFmtId="0" fontId="22" fillId="4" borderId="24" xfId="0" applyFont="1" applyFill="1" applyBorder="1" applyAlignment="1" applyProtection="1">
      <alignment horizontal="center" vertical="center"/>
      <protection locked="0"/>
    </xf>
    <xf numFmtId="0" fontId="31" fillId="5" borderId="24" xfId="0" applyFont="1" applyFill="1" applyBorder="1" applyAlignment="1" applyProtection="1">
      <alignment horizontal="center" vertical="center"/>
      <protection locked="0"/>
    </xf>
    <xf numFmtId="171" fontId="22" fillId="5" borderId="24" xfId="0" applyNumberFormat="1" applyFont="1" applyFill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left" vertical="center"/>
      <protection locked="0"/>
    </xf>
    <xf numFmtId="0" fontId="31" fillId="0" borderId="24" xfId="0" applyFont="1" applyBorder="1" applyAlignment="1" applyProtection="1">
      <alignment horizontal="center" vertical="center"/>
      <protection locked="0"/>
    </xf>
    <xf numFmtId="0" fontId="20" fillId="7" borderId="24" xfId="0" applyFont="1" applyFill="1" applyBorder="1" applyAlignment="1" applyProtection="1">
      <alignment horizontal="left" vertical="center"/>
      <protection locked="0"/>
    </xf>
    <xf numFmtId="167" fontId="20" fillId="7" borderId="24" xfId="3" applyNumberFormat="1" applyFont="1" applyFill="1" applyBorder="1" applyAlignment="1" applyProtection="1">
      <alignment horizontal="left" vertical="center"/>
      <protection locked="0"/>
    </xf>
    <xf numFmtId="0" fontId="22" fillId="0" borderId="24" xfId="0" applyFont="1" applyBorder="1" applyAlignment="1" applyProtection="1">
      <alignment horizontal="center" vertical="center" wrapText="1"/>
      <protection locked="0"/>
    </xf>
    <xf numFmtId="167" fontId="20" fillId="7" borderId="24" xfId="3" applyNumberFormat="1" applyFont="1" applyFill="1" applyBorder="1" applyAlignment="1" applyProtection="1">
      <alignment horizontal="center" vertical="center"/>
      <protection locked="0"/>
    </xf>
    <xf numFmtId="0" fontId="20" fillId="7" borderId="24" xfId="3" applyNumberFormat="1" applyFont="1" applyFill="1" applyBorder="1" applyAlignment="1" applyProtection="1">
      <alignment horizontal="center" vertical="center"/>
      <protection locked="0"/>
    </xf>
    <xf numFmtId="0" fontId="20" fillId="7" borderId="24" xfId="0" applyFont="1" applyFill="1" applyBorder="1" applyAlignment="1" applyProtection="1">
      <alignment horizontal="center" vertical="center"/>
      <protection locked="0"/>
    </xf>
    <xf numFmtId="0" fontId="20" fillId="7" borderId="11" xfId="0" applyFont="1" applyFill="1" applyBorder="1" applyAlignment="1" applyProtection="1">
      <alignment horizontal="center" vertical="center"/>
      <protection locked="0"/>
    </xf>
    <xf numFmtId="171" fontId="20" fillId="7" borderId="24" xfId="0" applyNumberFormat="1" applyFont="1" applyFill="1" applyBorder="1" applyAlignment="1" applyProtection="1">
      <alignment horizontal="center" vertical="center"/>
      <protection locked="0"/>
    </xf>
    <xf numFmtId="0" fontId="26" fillId="7" borderId="24" xfId="0" applyFont="1" applyFill="1" applyBorder="1" applyAlignment="1" applyProtection="1">
      <alignment horizontal="center" vertical="center"/>
      <protection locked="0"/>
    </xf>
    <xf numFmtId="0" fontId="22" fillId="5" borderId="24" xfId="3" applyNumberFormat="1" applyFont="1" applyFill="1" applyBorder="1" applyAlignment="1" applyProtection="1">
      <alignment horizontal="center" vertical="center"/>
      <protection locked="0"/>
    </xf>
    <xf numFmtId="0" fontId="22" fillId="5" borderId="11" xfId="0" applyFont="1" applyFill="1" applyBorder="1" applyAlignment="1" applyProtection="1">
      <alignment horizontal="center" vertical="center"/>
      <protection locked="0"/>
    </xf>
    <xf numFmtId="0" fontId="22" fillId="5" borderId="24" xfId="0" applyFont="1" applyFill="1" applyBorder="1" applyAlignment="1" applyProtection="1">
      <alignment horizontal="center" vertical="center" wrapText="1"/>
      <protection locked="0"/>
    </xf>
    <xf numFmtId="0" fontId="22" fillId="4" borderId="24" xfId="3" applyNumberFormat="1" applyFont="1" applyFill="1" applyBorder="1" applyAlignment="1" applyProtection="1">
      <alignment horizontal="center" vertical="center"/>
      <protection locked="0"/>
    </xf>
    <xf numFmtId="0" fontId="17" fillId="0" borderId="29" xfId="0" applyFont="1" applyBorder="1" applyAlignment="1" applyProtection="1">
      <alignment horizontal="left" vertical="center"/>
      <protection locked="0"/>
    </xf>
    <xf numFmtId="0" fontId="20" fillId="0" borderId="0" xfId="8" applyFont="1" applyAlignment="1" applyProtection="1">
      <alignment horizontal="left" vertical="center"/>
      <protection locked="0"/>
    </xf>
    <xf numFmtId="0" fontId="12" fillId="8" borderId="0" xfId="0" applyFont="1" applyFill="1" applyAlignment="1" applyProtection="1">
      <alignment vertical="center"/>
      <protection locked="0"/>
    </xf>
    <xf numFmtId="0" fontId="12" fillId="0" borderId="0" xfId="0" applyFont="1" applyAlignment="1" applyProtection="1">
      <alignment horizontal="left" vertical="center"/>
      <protection locked="0"/>
    </xf>
    <xf numFmtId="0" fontId="12" fillId="9" borderId="0" xfId="0" applyFont="1" applyFill="1" applyAlignment="1" applyProtection="1">
      <alignment vertical="center"/>
      <protection locked="0"/>
    </xf>
    <xf numFmtId="0" fontId="25" fillId="0" borderId="0" xfId="8" applyFont="1" applyAlignment="1" applyProtection="1">
      <alignment horizontal="right" vertical="center"/>
      <protection locked="0"/>
    </xf>
    <xf numFmtId="0" fontId="26" fillId="6" borderId="34" xfId="0" applyFont="1" applyFill="1" applyBorder="1" applyAlignment="1" applyProtection="1">
      <alignment horizontal="left" vertical="center" wrapText="1"/>
      <protection locked="0"/>
    </xf>
    <xf numFmtId="0" fontId="26" fillId="6" borderId="35" xfId="0" applyFont="1" applyFill="1" applyBorder="1" applyAlignment="1" applyProtection="1">
      <alignment horizontal="center" vertical="center" wrapText="1"/>
      <protection locked="0"/>
    </xf>
    <xf numFmtId="0" fontId="20" fillId="7" borderId="24" xfId="0" applyFont="1" applyFill="1" applyBorder="1" applyAlignment="1" applyProtection="1">
      <alignment horizontal="left" vertical="center" indent="1"/>
      <protection locked="0"/>
    </xf>
    <xf numFmtId="43" fontId="20" fillId="7" borderId="24" xfId="3" applyFont="1" applyFill="1" applyBorder="1" applyAlignment="1" applyProtection="1">
      <alignment horizontal="left" vertical="center" wrapText="1" indent="1"/>
      <protection locked="0"/>
    </xf>
    <xf numFmtId="167" fontId="20" fillId="7" borderId="24" xfId="3" applyNumberFormat="1" applyFont="1" applyFill="1" applyBorder="1" applyAlignment="1" applyProtection="1">
      <alignment horizontal="center" vertical="center" wrapText="1"/>
      <protection locked="0"/>
    </xf>
    <xf numFmtId="172" fontId="20" fillId="7" borderId="24" xfId="3" applyNumberFormat="1" applyFont="1" applyFill="1" applyBorder="1" applyAlignment="1" applyProtection="1">
      <alignment horizontal="center" vertical="center"/>
      <protection locked="0"/>
    </xf>
    <xf numFmtId="167" fontId="20" fillId="7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0" fillId="7" borderId="11" xfId="3" applyNumberFormat="1" applyFont="1" applyFill="1" applyBorder="1" applyAlignment="1" applyProtection="1">
      <alignment horizontal="center" vertical="center" wrapText="1"/>
      <protection locked="0"/>
    </xf>
    <xf numFmtId="167" fontId="20" fillId="7" borderId="11" xfId="3" applyNumberFormat="1" applyFont="1" applyFill="1" applyBorder="1" applyAlignment="1" applyProtection="1">
      <alignment horizontal="left" vertical="center" wrapText="1"/>
      <protection locked="0"/>
    </xf>
    <xf numFmtId="0" fontId="20" fillId="7" borderId="24" xfId="0" applyFont="1" applyFill="1" applyBorder="1" applyAlignment="1" applyProtection="1">
      <alignment horizontal="left" vertical="center" wrapText="1" indent="1"/>
      <protection locked="0"/>
    </xf>
    <xf numFmtId="0" fontId="22" fillId="7" borderId="11" xfId="0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left" vertical="center" indent="1"/>
      <protection locked="0"/>
    </xf>
    <xf numFmtId="43" fontId="20" fillId="10" borderId="24" xfId="3" applyFont="1" applyFill="1" applyBorder="1" applyAlignment="1" applyProtection="1">
      <alignment horizontal="left" vertical="center" wrapText="1" indent="1"/>
      <protection locked="0"/>
    </xf>
    <xf numFmtId="167" fontId="20" fillId="10" borderId="24" xfId="3" applyNumberFormat="1" applyFont="1" applyFill="1" applyBorder="1" applyAlignment="1" applyProtection="1">
      <alignment horizontal="center" vertical="center" wrapText="1"/>
      <protection locked="0"/>
    </xf>
    <xf numFmtId="0" fontId="20" fillId="10" borderId="24" xfId="3" applyNumberFormat="1" applyFont="1" applyFill="1" applyBorder="1" applyAlignment="1" applyProtection="1">
      <alignment horizontal="center" vertical="center"/>
      <protection locked="0"/>
    </xf>
    <xf numFmtId="172" fontId="20" fillId="10" borderId="24" xfId="3" applyNumberFormat="1" applyFont="1" applyFill="1" applyBorder="1" applyAlignment="1" applyProtection="1">
      <alignment horizontal="center" vertical="center"/>
      <protection locked="0"/>
    </xf>
    <xf numFmtId="167" fontId="20" fillId="10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0" fillId="10" borderId="24" xfId="3" applyNumberFormat="1" applyFont="1" applyFill="1" applyBorder="1" applyAlignment="1" applyProtection="1">
      <alignment horizontal="center" vertical="center" wrapText="1"/>
      <protection locked="0"/>
    </xf>
    <xf numFmtId="167" fontId="20" fillId="10" borderId="24" xfId="3" applyNumberFormat="1" applyFont="1" applyFill="1" applyBorder="1" applyAlignment="1" applyProtection="1">
      <alignment horizontal="left" vertical="center" wrapText="1"/>
      <protection locked="0"/>
    </xf>
    <xf numFmtId="0" fontId="20" fillId="10" borderId="24" xfId="0" applyFont="1" applyFill="1" applyBorder="1" applyAlignment="1" applyProtection="1">
      <alignment horizontal="left" vertical="center" wrapText="1" indent="1"/>
      <protection locked="0"/>
    </xf>
    <xf numFmtId="0" fontId="20" fillId="10" borderId="11" xfId="0" applyFont="1" applyFill="1" applyBorder="1" applyAlignment="1" applyProtection="1">
      <alignment horizontal="center" vertical="center"/>
      <protection locked="0"/>
    </xf>
    <xf numFmtId="171" fontId="20" fillId="10" borderId="24" xfId="0" applyNumberFormat="1" applyFont="1" applyFill="1" applyBorder="1" applyAlignment="1" applyProtection="1">
      <alignment horizontal="center" vertical="center"/>
      <protection locked="0"/>
    </xf>
    <xf numFmtId="0" fontId="22" fillId="10" borderId="11" xfId="0" applyFont="1" applyFill="1" applyBorder="1" applyAlignment="1" applyProtection="1">
      <alignment horizontal="center" vertical="center"/>
      <protection locked="0"/>
    </xf>
    <xf numFmtId="0" fontId="22" fillId="5" borderId="24" xfId="0" applyFont="1" applyFill="1" applyBorder="1" applyAlignment="1" applyProtection="1">
      <alignment horizontal="left" vertical="center" indent="1"/>
      <protection locked="0"/>
    </xf>
    <xf numFmtId="43" fontId="22" fillId="5" borderId="24" xfId="3" applyFont="1" applyFill="1" applyBorder="1" applyAlignment="1" applyProtection="1">
      <alignment horizontal="left" vertical="center" wrapText="1" indent="1"/>
      <protection locked="0"/>
    </xf>
    <xf numFmtId="167" fontId="22" fillId="5" borderId="24" xfId="3" applyNumberFormat="1" applyFont="1" applyFill="1" applyBorder="1" applyAlignment="1" applyProtection="1">
      <alignment horizontal="center" vertical="center" wrapText="1"/>
      <protection locked="0"/>
    </xf>
    <xf numFmtId="172" fontId="22" fillId="5" borderId="24" xfId="3" applyNumberFormat="1" applyFont="1" applyFill="1" applyBorder="1" applyAlignment="1" applyProtection="1">
      <alignment horizontal="center" vertical="center"/>
      <protection locked="0"/>
    </xf>
    <xf numFmtId="167" fontId="22" fillId="5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2" fillId="5" borderId="24" xfId="3" applyNumberFormat="1" applyFont="1" applyFill="1" applyBorder="1" applyAlignment="1" applyProtection="1">
      <alignment horizontal="center" vertical="center" wrapText="1"/>
      <protection locked="0"/>
    </xf>
    <xf numFmtId="167" fontId="22" fillId="5" borderId="11" xfId="3" applyNumberFormat="1" applyFont="1" applyFill="1" applyBorder="1" applyAlignment="1" applyProtection="1">
      <alignment horizontal="left" vertical="center" wrapText="1"/>
      <protection locked="0"/>
    </xf>
    <xf numFmtId="0" fontId="22" fillId="5" borderId="11" xfId="0" applyFont="1" applyFill="1" applyBorder="1" applyAlignment="1" applyProtection="1">
      <alignment horizontal="left" vertical="center" wrapText="1" indent="1"/>
      <protection locked="0"/>
    </xf>
    <xf numFmtId="171" fontId="31" fillId="5" borderId="24" xfId="0" applyNumberFormat="1" applyFont="1" applyFill="1" applyBorder="1" applyAlignment="1" applyProtection="1">
      <alignment horizontal="center" vertical="center"/>
      <protection locked="0"/>
    </xf>
    <xf numFmtId="0" fontId="31" fillId="5" borderId="11" xfId="0" applyFont="1" applyFill="1" applyBorder="1" applyAlignment="1" applyProtection="1">
      <alignment horizontal="center" vertical="center"/>
      <protection locked="0"/>
    </xf>
    <xf numFmtId="0" fontId="22" fillId="0" borderId="24" xfId="0" applyFont="1" applyBorder="1" applyAlignment="1" applyProtection="1">
      <alignment horizontal="left" vertical="center" indent="1"/>
      <protection locked="0"/>
    </xf>
    <xf numFmtId="43" fontId="22" fillId="0" borderId="24" xfId="3" applyFont="1" applyFill="1" applyBorder="1" applyAlignment="1" applyProtection="1">
      <alignment horizontal="left" vertical="center" wrapText="1" indent="1"/>
      <protection locked="0"/>
    </xf>
    <xf numFmtId="167" fontId="22" fillId="0" borderId="24" xfId="3" applyNumberFormat="1" applyFont="1" applyFill="1" applyBorder="1" applyAlignment="1" applyProtection="1">
      <alignment horizontal="center" vertical="center" wrapText="1"/>
      <protection locked="0"/>
    </xf>
    <xf numFmtId="167" fontId="22" fillId="0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2" fillId="0" borderId="24" xfId="3" applyNumberFormat="1" applyFont="1" applyFill="1" applyBorder="1" applyAlignment="1" applyProtection="1">
      <alignment horizontal="center" vertical="center" wrapText="1"/>
      <protection locked="0"/>
    </xf>
    <xf numFmtId="167" fontId="22" fillId="0" borderId="11" xfId="3" applyNumberFormat="1" applyFont="1" applyFill="1" applyBorder="1" applyAlignment="1" applyProtection="1">
      <alignment horizontal="left" vertical="center" wrapText="1"/>
      <protection locked="0"/>
    </xf>
    <xf numFmtId="0" fontId="22" fillId="0" borderId="11" xfId="0" applyFont="1" applyBorder="1" applyAlignment="1" applyProtection="1">
      <alignment horizontal="left" vertical="center" wrapText="1" indent="1"/>
      <protection locked="0"/>
    </xf>
    <xf numFmtId="171" fontId="31" fillId="0" borderId="24" xfId="0" applyNumberFormat="1" applyFont="1" applyBorder="1" applyAlignment="1" applyProtection="1">
      <alignment horizontal="center" vertical="center"/>
      <protection locked="0"/>
    </xf>
    <xf numFmtId="0" fontId="31" fillId="0" borderId="11" xfId="0" applyFont="1" applyBorder="1" applyAlignment="1" applyProtection="1">
      <alignment horizontal="center" vertical="center"/>
      <protection locked="0"/>
    </xf>
    <xf numFmtId="0" fontId="22" fillId="4" borderId="11" xfId="0" applyFont="1" applyFill="1" applyBorder="1" applyAlignment="1" applyProtection="1">
      <alignment horizontal="center" vertical="center"/>
      <protection locked="0"/>
    </xf>
    <xf numFmtId="0" fontId="22" fillId="4" borderId="24" xfId="0" applyFont="1" applyFill="1" applyBorder="1" applyAlignment="1" applyProtection="1">
      <alignment horizontal="left" vertical="center" indent="1"/>
      <protection locked="0"/>
    </xf>
    <xf numFmtId="43" fontId="22" fillId="4" borderId="24" xfId="3" applyFont="1" applyFill="1" applyBorder="1" applyAlignment="1" applyProtection="1">
      <alignment horizontal="left" vertical="center" wrapText="1" indent="1"/>
      <protection locked="0"/>
    </xf>
    <xf numFmtId="167" fontId="22" fillId="4" borderId="24" xfId="3" applyNumberFormat="1" applyFont="1" applyFill="1" applyBorder="1" applyAlignment="1" applyProtection="1">
      <alignment horizontal="center" vertical="center" wrapText="1"/>
      <protection locked="0"/>
    </xf>
    <xf numFmtId="172" fontId="22" fillId="4" borderId="24" xfId="3" applyNumberFormat="1" applyFont="1" applyFill="1" applyBorder="1" applyAlignment="1" applyProtection="1">
      <alignment horizontal="center" vertical="center"/>
      <protection locked="0"/>
    </xf>
    <xf numFmtId="167" fontId="22" fillId="4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2" fillId="4" borderId="24" xfId="0" applyFont="1" applyFill="1" applyBorder="1" applyAlignment="1" applyProtection="1">
      <alignment horizontal="left" vertical="center" wrapText="1" indent="1"/>
      <protection locked="0"/>
    </xf>
    <xf numFmtId="0" fontId="22" fillId="5" borderId="24" xfId="0" applyFont="1" applyFill="1" applyBorder="1" applyAlignment="1" applyProtection="1">
      <alignment horizontal="left" vertical="center" wrapText="1" indent="1"/>
      <protection locked="0"/>
    </xf>
    <xf numFmtId="0" fontId="22" fillId="0" borderId="24" xfId="0" applyFont="1" applyBorder="1" applyAlignment="1" applyProtection="1">
      <alignment horizontal="left" vertical="center" wrapText="1" indent="1"/>
      <protection locked="0"/>
    </xf>
    <xf numFmtId="43" fontId="20" fillId="7" borderId="24" xfId="3" applyFont="1" applyFill="1" applyBorder="1" applyAlignment="1" applyProtection="1">
      <alignment horizontal="left" vertical="center" indent="1"/>
      <protection locked="0"/>
    </xf>
    <xf numFmtId="167" fontId="20" fillId="7" borderId="24" xfId="3" applyNumberFormat="1" applyFont="1" applyFill="1" applyBorder="1" applyAlignment="1" applyProtection="1">
      <alignment horizontal="left" vertical="center" wrapText="1"/>
      <protection locked="0"/>
    </xf>
    <xf numFmtId="171" fontId="12" fillId="0" borderId="24" xfId="0" applyNumberFormat="1" applyFont="1" applyBorder="1" applyAlignment="1" applyProtection="1">
      <alignment horizontal="center" vertical="center"/>
      <protection locked="0"/>
    </xf>
    <xf numFmtId="171" fontId="12" fillId="5" borderId="24" xfId="0" applyNumberFormat="1" applyFont="1" applyFill="1" applyBorder="1" applyAlignment="1" applyProtection="1">
      <alignment horizontal="center" vertical="center"/>
      <protection locked="0"/>
    </xf>
    <xf numFmtId="167" fontId="22" fillId="5" borderId="24" xfId="3" applyNumberFormat="1" applyFont="1" applyFill="1" applyBorder="1" applyAlignment="1" applyProtection="1">
      <alignment horizontal="left" vertical="center" wrapText="1"/>
      <protection locked="0"/>
    </xf>
    <xf numFmtId="167" fontId="22" fillId="0" borderId="24" xfId="3" applyNumberFormat="1" applyFont="1" applyFill="1" applyBorder="1" applyAlignment="1" applyProtection="1">
      <alignment horizontal="left" vertical="center" wrapText="1"/>
      <protection locked="0"/>
    </xf>
    <xf numFmtId="0" fontId="22" fillId="0" borderId="11" xfId="3" applyNumberFormat="1" applyFont="1" applyFill="1" applyBorder="1" applyAlignment="1" applyProtection="1">
      <alignment horizontal="center" vertical="center" wrapText="1"/>
      <protection locked="0"/>
    </xf>
    <xf numFmtId="171" fontId="22" fillId="0" borderId="24" xfId="0" applyNumberFormat="1" applyFont="1" applyBorder="1" applyAlignment="1" applyProtection="1">
      <alignment horizontal="center" vertical="center" wrapText="1"/>
      <protection locked="0"/>
    </xf>
    <xf numFmtId="171" fontId="22" fillId="5" borderId="24" xfId="0" applyNumberFormat="1" applyFont="1" applyFill="1" applyBorder="1" applyAlignment="1" applyProtection="1">
      <alignment horizontal="center" vertical="center" wrapText="1"/>
      <protection locked="0"/>
    </xf>
    <xf numFmtId="0" fontId="22" fillId="4" borderId="24" xfId="3" applyNumberFormat="1" applyFont="1" applyFill="1" applyBorder="1" applyAlignment="1" applyProtection="1">
      <alignment horizontal="center" vertical="center" wrapText="1"/>
      <protection locked="0"/>
    </xf>
    <xf numFmtId="167" fontId="22" fillId="4" borderId="24" xfId="3" applyNumberFormat="1" applyFont="1" applyFill="1" applyBorder="1" applyAlignment="1" applyProtection="1">
      <alignment horizontal="left" vertical="center" wrapText="1"/>
      <protection locked="0"/>
    </xf>
    <xf numFmtId="0" fontId="2" fillId="0" borderId="0" xfId="1" applyAlignment="1">
      <alignment wrapText="1"/>
    </xf>
    <xf numFmtId="0" fontId="16" fillId="0" borderId="28" xfId="0" applyFont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vertical="center"/>
      <protection locked="0"/>
    </xf>
    <xf numFmtId="0" fontId="26" fillId="6" borderId="31" xfId="0" applyFont="1" applyFill="1" applyBorder="1" applyAlignment="1" applyProtection="1">
      <alignment vertical="center" wrapText="1"/>
      <protection locked="0"/>
    </xf>
    <xf numFmtId="0" fontId="26" fillId="6" borderId="33" xfId="0" applyFont="1" applyFill="1" applyBorder="1" applyAlignment="1" applyProtection="1">
      <alignment vertical="center" wrapText="1"/>
      <protection locked="0"/>
    </xf>
    <xf numFmtId="0" fontId="20" fillId="10" borderId="11" xfId="8" applyFont="1" applyFill="1" applyBorder="1" applyAlignment="1" applyProtection="1">
      <alignment horizontal="center" vertical="center" wrapText="1"/>
      <protection locked="0"/>
    </xf>
    <xf numFmtId="0" fontId="20" fillId="10" borderId="11" xfId="8" applyFont="1" applyFill="1" applyBorder="1" applyAlignment="1" applyProtection="1">
      <alignment horizontal="center" vertical="center"/>
      <protection locked="0"/>
    </xf>
    <xf numFmtId="0" fontId="23" fillId="11" borderId="11" xfId="8" applyFont="1" applyFill="1" applyBorder="1" applyAlignment="1" applyProtection="1">
      <alignment horizontal="center" vertical="center"/>
      <protection locked="0"/>
    </xf>
    <xf numFmtId="0" fontId="23" fillId="11" borderId="11" xfId="0" applyFont="1" applyFill="1" applyBorder="1" applyAlignment="1" applyProtection="1">
      <alignment horizontal="center" vertical="center"/>
      <protection locked="0"/>
    </xf>
    <xf numFmtId="0" fontId="26" fillId="6" borderId="31" xfId="0" applyFont="1" applyFill="1" applyBorder="1" applyAlignment="1" applyProtection="1">
      <alignment vertical="center"/>
      <protection locked="0"/>
    </xf>
    <xf numFmtId="0" fontId="26" fillId="6" borderId="32" xfId="0" applyFont="1" applyFill="1" applyBorder="1" applyAlignment="1" applyProtection="1">
      <alignment vertical="center"/>
      <protection locked="0"/>
    </xf>
    <xf numFmtId="0" fontId="26" fillId="6" borderId="33" xfId="0" applyFont="1" applyFill="1" applyBorder="1" applyAlignment="1" applyProtection="1">
      <alignment vertical="center"/>
      <protection locked="0"/>
    </xf>
    <xf numFmtId="0" fontId="20" fillId="7" borderId="24" xfId="3" applyNumberFormat="1" applyFont="1" applyFill="1" applyBorder="1" applyAlignment="1" applyProtection="1">
      <alignment horizontal="center" vertical="center" wrapText="1"/>
      <protection locked="0"/>
    </xf>
    <xf numFmtId="43" fontId="20" fillId="7" borderId="24" xfId="3" applyFont="1" applyFill="1" applyBorder="1" applyAlignment="1" applyProtection="1">
      <alignment horizontal="center" vertical="center" wrapText="1"/>
      <protection locked="0"/>
    </xf>
    <xf numFmtId="167" fontId="20" fillId="7" borderId="11" xfId="3" applyNumberFormat="1" applyFont="1" applyFill="1" applyBorder="1" applyAlignment="1" applyProtection="1">
      <alignment horizontal="center" vertical="center" wrapText="1"/>
      <protection locked="0"/>
    </xf>
    <xf numFmtId="43" fontId="22" fillId="0" borderId="24" xfId="3" applyFont="1" applyFill="1" applyBorder="1" applyAlignment="1" applyProtection="1">
      <alignment horizontal="center" vertical="center" wrapText="1"/>
      <protection locked="0"/>
    </xf>
    <xf numFmtId="167" fontId="22" fillId="0" borderId="11" xfId="3" applyNumberFormat="1" applyFont="1" applyFill="1" applyBorder="1" applyAlignment="1" applyProtection="1">
      <alignment horizontal="center" vertical="center" wrapText="1"/>
      <protection locked="0"/>
    </xf>
    <xf numFmtId="167" fontId="22" fillId="0" borderId="11" xfId="0" applyNumberFormat="1" applyFont="1" applyBorder="1" applyAlignment="1" applyProtection="1">
      <alignment horizontal="center" vertical="center"/>
      <protection locked="0"/>
    </xf>
    <xf numFmtId="14" fontId="20" fillId="7" borderId="24" xfId="0" applyNumberFormat="1" applyFont="1" applyFill="1" applyBorder="1" applyAlignment="1" applyProtection="1">
      <alignment horizontal="center" vertical="center"/>
      <protection locked="0"/>
    </xf>
    <xf numFmtId="0" fontId="32" fillId="0" borderId="24" xfId="0" applyFont="1" applyBorder="1" applyAlignment="1" applyProtection="1">
      <alignment horizontal="center" vertical="center"/>
      <protection locked="0"/>
    </xf>
    <xf numFmtId="0" fontId="32" fillId="0" borderId="24" xfId="3" applyNumberFormat="1" applyFont="1" applyFill="1" applyBorder="1" applyAlignment="1" applyProtection="1">
      <alignment horizontal="center" vertical="center" wrapText="1"/>
      <protection locked="0"/>
    </xf>
    <xf numFmtId="171" fontId="32" fillId="0" borderId="24" xfId="0" applyNumberFormat="1" applyFont="1" applyBorder="1" applyAlignment="1" applyProtection="1">
      <alignment horizontal="center" vertical="center"/>
      <protection locked="0"/>
    </xf>
    <xf numFmtId="14" fontId="32" fillId="0" borderId="24" xfId="0" applyNumberFormat="1" applyFont="1" applyBorder="1" applyAlignment="1" applyProtection="1">
      <alignment horizontal="center" vertical="center"/>
      <protection locked="0"/>
    </xf>
    <xf numFmtId="167" fontId="20" fillId="7" borderId="11" xfId="0" applyNumberFormat="1" applyFont="1" applyFill="1" applyBorder="1" applyAlignment="1" applyProtection="1">
      <alignment horizontal="center" vertical="center"/>
      <protection locked="0"/>
    </xf>
    <xf numFmtId="171" fontId="26" fillId="7" borderId="24" xfId="0" applyNumberFormat="1" applyFont="1" applyFill="1" applyBorder="1" applyAlignment="1" applyProtection="1">
      <alignment horizontal="center" vertical="center"/>
      <protection locked="0"/>
    </xf>
    <xf numFmtId="0" fontId="32" fillId="4" borderId="24" xfId="0" applyFont="1" applyFill="1" applyBorder="1" applyAlignment="1" applyProtection="1">
      <alignment horizontal="center" vertical="center"/>
      <protection locked="0"/>
    </xf>
    <xf numFmtId="171" fontId="32" fillId="4" borderId="24" xfId="0" applyNumberFormat="1" applyFont="1" applyFill="1" applyBorder="1" applyAlignment="1" applyProtection="1">
      <alignment horizontal="center" vertical="center"/>
      <protection locked="0"/>
    </xf>
    <xf numFmtId="167" fontId="22" fillId="12" borderId="24" xfId="3" applyNumberFormat="1" applyFont="1" applyFill="1" applyBorder="1" applyAlignment="1" applyProtection="1">
      <alignment horizontal="left" vertical="center" wrapText="1" indent="1"/>
      <protection locked="0"/>
    </xf>
    <xf numFmtId="0" fontId="20" fillId="7" borderId="24" xfId="0" applyFont="1" applyFill="1" applyBorder="1" applyAlignment="1" applyProtection="1">
      <alignment horizontal="center" vertical="center" wrapText="1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12" fillId="0" borderId="11" xfId="0" applyFont="1" applyBorder="1" applyAlignment="1" applyProtection="1">
      <alignment horizontal="center" vertical="center"/>
      <protection locked="0"/>
    </xf>
    <xf numFmtId="14" fontId="22" fillId="0" borderId="24" xfId="3" applyNumberFormat="1" applyFont="1" applyFill="1" applyBorder="1" applyAlignment="1" applyProtection="1">
      <alignment horizontal="center" vertical="center" wrapText="1"/>
      <protection locked="0"/>
    </xf>
    <xf numFmtId="0" fontId="26" fillId="6" borderId="31" xfId="0" applyFont="1" applyFill="1" applyBorder="1" applyAlignment="1" applyProtection="1">
      <alignment horizontal="center" vertical="center"/>
      <protection locked="0"/>
    </xf>
    <xf numFmtId="0" fontId="26" fillId="6" borderId="32" xfId="0" applyFont="1" applyFill="1" applyBorder="1" applyAlignment="1" applyProtection="1">
      <alignment horizontal="center" vertical="center"/>
      <protection locked="0"/>
    </xf>
    <xf numFmtId="0" fontId="26" fillId="6" borderId="33" xfId="0" applyFont="1" applyFill="1" applyBorder="1" applyAlignment="1" applyProtection="1">
      <alignment horizontal="center" vertical="center"/>
      <protection locked="0"/>
    </xf>
    <xf numFmtId="0" fontId="26" fillId="6" borderId="31" xfId="0" applyFont="1" applyFill="1" applyBorder="1" applyAlignment="1" applyProtection="1">
      <alignment horizontal="center" vertical="center" wrapText="1"/>
      <protection locked="0"/>
    </xf>
    <xf numFmtId="0" fontId="26" fillId="6" borderId="33" xfId="0" applyFont="1" applyFill="1" applyBorder="1" applyAlignment="1" applyProtection="1">
      <alignment horizontal="center" vertical="center" wrapText="1"/>
      <protection locked="0"/>
    </xf>
    <xf numFmtId="0" fontId="26" fillId="6" borderId="32" xfId="0" applyFont="1" applyFill="1" applyBorder="1" applyAlignment="1" applyProtection="1">
      <alignment horizontal="center" vertical="center" wrapText="1"/>
      <protection locked="0"/>
    </xf>
  </cellXfs>
  <cellStyles count="9">
    <cellStyle name="Comma [0]" xfId="6" builtinId="6"/>
    <cellStyle name="Comma 2 2" xfId="4" xr:uid="{045DD2C5-1D25-4B67-A556-817BEA8E0917}"/>
    <cellStyle name="Comma 2 5 2" xfId="2" xr:uid="{E22FA667-9907-47A6-BB9D-3131C20614B2}"/>
    <cellStyle name="Comma 3" xfId="3" xr:uid="{FBC2EC37-1D8B-467A-8243-55536D2B0BF0}"/>
    <cellStyle name="Comma 8 2 2 2" xfId="5" xr:uid="{160B0797-39D6-44C4-BE75-F5B549ABF275}"/>
    <cellStyle name="Normal" xfId="0" builtinId="0"/>
    <cellStyle name="Normal 3 2" xfId="1" xr:uid="{8185B8D3-5DAC-405D-8B45-122F4FB61ECF}"/>
    <cellStyle name="Normal_BKAN-XD" xfId="8" xr:uid="{4D19EC73-6A6A-4928-99FB-D9C2538C226D}"/>
    <cellStyle name="Percent" xfId="7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Tool/T&#225;ch%20cutting/Cutting%20data/L&#7845;y%20data.xlsm" TargetMode="External"/><Relationship Id="rId2" Type="http://schemas.openxmlformats.org/officeDocument/2006/relationships/externalLinkPath" Target="file:///D:\Tool\T&#225;ch%20cutting\Cutting%20data\L&#7845;y%20data.xlsm" TargetMode="External"/><Relationship Id="rId1" Type="http://schemas.openxmlformats.org/officeDocument/2006/relationships/externalLinkPath" Target="/Tool/T&#225;ch%20cutting/Cutting%20data/L&#7845;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QLDA/A320.xlsx" TargetMode="External"/><Relationship Id="rId2" Type="http://schemas.openxmlformats.org/officeDocument/2006/relationships/externalLinkPath" Target="file:///D:\AMECC%20JSC\Amecc%202\00.%20Overall%20Report\03.QLDA\A320.xlsx" TargetMode="External"/><Relationship Id="rId1" Type="http://schemas.openxmlformats.org/officeDocument/2006/relationships/externalLinkPath" Target="/AMECC%20JSC/Amecc%202/00.%20Overall%20Report/03.QLDA/A3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>
            <v>0</v>
          </cell>
          <cell r="J3">
            <v>0</v>
          </cell>
        </row>
        <row r="4">
          <cell r="D4">
            <v>0</v>
          </cell>
          <cell r="J4">
            <v>0</v>
          </cell>
        </row>
        <row r="5">
          <cell r="D5">
            <v>0</v>
          </cell>
          <cell r="J5">
            <v>0</v>
          </cell>
        </row>
        <row r="6">
          <cell r="D6">
            <v>0</v>
          </cell>
          <cell r="J6">
            <v>0</v>
          </cell>
        </row>
        <row r="7">
          <cell r="D7">
            <v>0</v>
          </cell>
          <cell r="J7">
            <v>0</v>
          </cell>
        </row>
        <row r="8">
          <cell r="D8">
            <v>0</v>
          </cell>
          <cell r="J8">
            <v>0</v>
          </cell>
        </row>
        <row r="9">
          <cell r="D9">
            <v>0</v>
          </cell>
          <cell r="J9">
            <v>0</v>
          </cell>
        </row>
        <row r="10">
          <cell r="D10">
            <v>0</v>
          </cell>
          <cell r="J10">
            <v>0</v>
          </cell>
        </row>
        <row r="11">
          <cell r="D11">
            <v>0</v>
          </cell>
          <cell r="J11">
            <v>0</v>
          </cell>
        </row>
        <row r="12">
          <cell r="D12">
            <v>0</v>
          </cell>
          <cell r="J12">
            <v>0</v>
          </cell>
        </row>
        <row r="13">
          <cell r="D13">
            <v>0</v>
          </cell>
          <cell r="J13">
            <v>0</v>
          </cell>
        </row>
        <row r="14">
          <cell r="D14">
            <v>0</v>
          </cell>
          <cell r="J14">
            <v>0</v>
          </cell>
        </row>
        <row r="15">
          <cell r="D15">
            <v>0</v>
          </cell>
          <cell r="J15">
            <v>0</v>
          </cell>
        </row>
        <row r="16">
          <cell r="D16">
            <v>0</v>
          </cell>
          <cell r="J16">
            <v>0</v>
          </cell>
        </row>
        <row r="17">
          <cell r="D17">
            <v>0</v>
          </cell>
          <cell r="J17">
            <v>0</v>
          </cell>
        </row>
        <row r="18">
          <cell r="D18">
            <v>0</v>
          </cell>
          <cell r="J18">
            <v>0</v>
          </cell>
        </row>
        <row r="19">
          <cell r="D19">
            <v>0</v>
          </cell>
          <cell r="J19">
            <v>0</v>
          </cell>
        </row>
        <row r="20">
          <cell r="D20">
            <v>0</v>
          </cell>
          <cell r="J20">
            <v>0</v>
          </cell>
        </row>
        <row r="21">
          <cell r="D21">
            <v>0</v>
          </cell>
          <cell r="J21">
            <v>0</v>
          </cell>
        </row>
        <row r="22">
          <cell r="D22">
            <v>0</v>
          </cell>
          <cell r="J22">
            <v>0</v>
          </cell>
        </row>
        <row r="23">
          <cell r="D23">
            <v>0</v>
          </cell>
          <cell r="J23">
            <v>0</v>
          </cell>
        </row>
        <row r="24">
          <cell r="D24">
            <v>0</v>
          </cell>
          <cell r="J24">
            <v>0</v>
          </cell>
        </row>
        <row r="25">
          <cell r="D25">
            <v>0</v>
          </cell>
          <cell r="J25">
            <v>0</v>
          </cell>
        </row>
        <row r="26">
          <cell r="D26">
            <v>0</v>
          </cell>
          <cell r="J26">
            <v>0</v>
          </cell>
        </row>
        <row r="27">
          <cell r="D27">
            <v>0</v>
          </cell>
          <cell r="J27">
            <v>0</v>
          </cell>
        </row>
        <row r="28">
          <cell r="D28">
            <v>0</v>
          </cell>
          <cell r="J28">
            <v>0</v>
          </cell>
        </row>
        <row r="29">
          <cell r="D29">
            <v>0</v>
          </cell>
          <cell r="J29">
            <v>0</v>
          </cell>
        </row>
        <row r="30">
          <cell r="D30">
            <v>0</v>
          </cell>
          <cell r="J30">
            <v>0</v>
          </cell>
        </row>
        <row r="31">
          <cell r="D31">
            <v>0</v>
          </cell>
          <cell r="J31">
            <v>0</v>
          </cell>
        </row>
        <row r="32">
          <cell r="D32">
            <v>0</v>
          </cell>
          <cell r="J32">
            <v>0</v>
          </cell>
        </row>
        <row r="33">
          <cell r="D33">
            <v>0</v>
          </cell>
          <cell r="J33">
            <v>0</v>
          </cell>
        </row>
        <row r="34">
          <cell r="D34">
            <v>0</v>
          </cell>
          <cell r="J34">
            <v>0</v>
          </cell>
        </row>
        <row r="35">
          <cell r="D35">
            <v>0</v>
          </cell>
          <cell r="J35">
            <v>0</v>
          </cell>
        </row>
        <row r="36">
          <cell r="D36">
            <v>0</v>
          </cell>
          <cell r="J36">
            <v>0</v>
          </cell>
        </row>
        <row r="37">
          <cell r="D37">
            <v>0</v>
          </cell>
          <cell r="J37">
            <v>0</v>
          </cell>
        </row>
        <row r="38">
          <cell r="D38">
            <v>0</v>
          </cell>
          <cell r="J38">
            <v>0</v>
          </cell>
        </row>
        <row r="39">
          <cell r="D39">
            <v>0</v>
          </cell>
          <cell r="J39">
            <v>0</v>
          </cell>
        </row>
        <row r="40">
          <cell r="D40">
            <v>0</v>
          </cell>
          <cell r="J40">
            <v>0</v>
          </cell>
        </row>
        <row r="41">
          <cell r="D41">
            <v>0</v>
          </cell>
          <cell r="J41">
            <v>0</v>
          </cell>
        </row>
        <row r="42">
          <cell r="D42">
            <v>0</v>
          </cell>
          <cell r="J42">
            <v>0</v>
          </cell>
        </row>
        <row r="43">
          <cell r="D43">
            <v>0</v>
          </cell>
          <cell r="J43">
            <v>0</v>
          </cell>
        </row>
        <row r="44">
          <cell r="D44">
            <v>0</v>
          </cell>
          <cell r="J44">
            <v>0</v>
          </cell>
        </row>
        <row r="45">
          <cell r="D45">
            <v>0</v>
          </cell>
          <cell r="J45">
            <v>0</v>
          </cell>
        </row>
        <row r="46">
          <cell r="D46">
            <v>0</v>
          </cell>
          <cell r="J46">
            <v>0</v>
          </cell>
        </row>
        <row r="47">
          <cell r="D47">
            <v>0</v>
          </cell>
          <cell r="J47">
            <v>0</v>
          </cell>
        </row>
        <row r="48">
          <cell r="D48">
            <v>0</v>
          </cell>
          <cell r="J48">
            <v>0</v>
          </cell>
        </row>
        <row r="49">
          <cell r="D49">
            <v>0</v>
          </cell>
          <cell r="J49">
            <v>0</v>
          </cell>
        </row>
        <row r="50">
          <cell r="D50">
            <v>0</v>
          </cell>
          <cell r="J50">
            <v>0</v>
          </cell>
        </row>
        <row r="51">
          <cell r="D51">
            <v>0</v>
          </cell>
          <cell r="J51">
            <v>0</v>
          </cell>
        </row>
        <row r="52">
          <cell r="D52">
            <v>0</v>
          </cell>
          <cell r="J52">
            <v>0</v>
          </cell>
        </row>
        <row r="53">
          <cell r="D53">
            <v>0</v>
          </cell>
          <cell r="J53">
            <v>0</v>
          </cell>
        </row>
        <row r="54">
          <cell r="D54">
            <v>0</v>
          </cell>
          <cell r="J54">
            <v>0</v>
          </cell>
        </row>
        <row r="55">
          <cell r="D55">
            <v>0</v>
          </cell>
          <cell r="J55">
            <v>0</v>
          </cell>
        </row>
        <row r="56">
          <cell r="D56">
            <v>0</v>
          </cell>
          <cell r="J56">
            <v>0</v>
          </cell>
        </row>
        <row r="57">
          <cell r="D57">
            <v>0</v>
          </cell>
          <cell r="J57">
            <v>0</v>
          </cell>
        </row>
        <row r="58">
          <cell r="D58">
            <v>0</v>
          </cell>
          <cell r="J58">
            <v>0</v>
          </cell>
        </row>
        <row r="59">
          <cell r="D59">
            <v>0</v>
          </cell>
          <cell r="J59">
            <v>0</v>
          </cell>
        </row>
        <row r="60">
          <cell r="D60">
            <v>0</v>
          </cell>
          <cell r="J60">
            <v>0</v>
          </cell>
        </row>
        <row r="61">
          <cell r="D61">
            <v>0</v>
          </cell>
          <cell r="J61">
            <v>0</v>
          </cell>
        </row>
        <row r="62">
          <cell r="D62">
            <v>0</v>
          </cell>
          <cell r="J62">
            <v>0</v>
          </cell>
        </row>
        <row r="63">
          <cell r="D63">
            <v>0</v>
          </cell>
          <cell r="J63">
            <v>0</v>
          </cell>
        </row>
        <row r="64">
          <cell r="D64">
            <v>0</v>
          </cell>
          <cell r="J64">
            <v>0</v>
          </cell>
        </row>
        <row r="65">
          <cell r="D65">
            <v>0</v>
          </cell>
          <cell r="J65">
            <v>0</v>
          </cell>
        </row>
        <row r="66">
          <cell r="D66">
            <v>0</v>
          </cell>
          <cell r="J66">
            <v>0</v>
          </cell>
        </row>
        <row r="67">
          <cell r="D67">
            <v>0</v>
          </cell>
          <cell r="J67">
            <v>0</v>
          </cell>
        </row>
        <row r="68">
          <cell r="D68">
            <v>0</v>
          </cell>
          <cell r="J68">
            <v>0</v>
          </cell>
        </row>
        <row r="69">
          <cell r="D69">
            <v>0</v>
          </cell>
          <cell r="J69">
            <v>0</v>
          </cell>
        </row>
        <row r="70">
          <cell r="D70">
            <v>0</v>
          </cell>
          <cell r="J70">
            <v>0</v>
          </cell>
        </row>
        <row r="71">
          <cell r="D71">
            <v>0</v>
          </cell>
          <cell r="J71">
            <v>0</v>
          </cell>
        </row>
        <row r="72">
          <cell r="D72">
            <v>0</v>
          </cell>
          <cell r="J72">
            <v>0</v>
          </cell>
        </row>
        <row r="73">
          <cell r="D73">
            <v>0</v>
          </cell>
          <cell r="J73">
            <v>0</v>
          </cell>
        </row>
        <row r="74">
          <cell r="D74">
            <v>0</v>
          </cell>
          <cell r="J74">
            <v>0</v>
          </cell>
        </row>
        <row r="75">
          <cell r="D75">
            <v>0</v>
          </cell>
          <cell r="J75">
            <v>0</v>
          </cell>
        </row>
        <row r="76">
          <cell r="D76">
            <v>0</v>
          </cell>
          <cell r="J76">
            <v>0</v>
          </cell>
        </row>
        <row r="77">
          <cell r="D77">
            <v>0</v>
          </cell>
          <cell r="J77">
            <v>0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ess"/>
    </sheetNames>
    <sheetDataSet>
      <sheetData sheetId="0">
        <row r="4">
          <cell r="BH4">
            <v>51008.607039999988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516-5DF6-47F6-AA15-5C6BCB6D3F57}">
  <sheetPr codeName="Sheet1">
    <tabColor rgb="FFFF0000"/>
  </sheetPr>
  <dimension ref="B1:K24"/>
  <sheetViews>
    <sheetView view="pageBreakPreview" zoomScaleNormal="100" zoomScaleSheetLayoutView="100" workbookViewId="0">
      <selection activeCell="J9" sqref="J9"/>
    </sheetView>
  </sheetViews>
  <sheetFormatPr defaultColWidth="9" defaultRowHeight="15.75"/>
  <cols>
    <col min="1" max="1" width="1.875" style="87" customWidth="1"/>
    <col min="2" max="2" width="6" style="87" customWidth="1"/>
    <col min="3" max="3" width="10" style="87" customWidth="1"/>
    <col min="4" max="4" width="19" style="87" customWidth="1"/>
    <col min="5" max="5" width="11.875" style="87" customWidth="1"/>
    <col min="6" max="6" width="11.625" style="87" customWidth="1"/>
    <col min="7" max="7" width="11.25" style="87" customWidth="1"/>
    <col min="8" max="8" width="10.5" style="87" customWidth="1"/>
    <col min="9" max="10" width="8.625" style="87" customWidth="1"/>
    <col min="11" max="11" width="13.125" style="87" customWidth="1"/>
    <col min="12" max="16384" width="9" style="87"/>
  </cols>
  <sheetData>
    <row r="1" spans="2:11" ht="30.75" customHeight="1" thickBot="1">
      <c r="B1" s="86" t="s">
        <v>45</v>
      </c>
      <c r="C1" s="86"/>
      <c r="D1" s="86"/>
      <c r="E1" s="86"/>
      <c r="F1" s="86"/>
      <c r="G1" s="86"/>
      <c r="H1" s="86"/>
      <c r="I1" s="86"/>
      <c r="J1" s="86"/>
    </row>
    <row r="2" spans="2:11" ht="33.75" customHeight="1" thickTop="1">
      <c r="B2" s="88" t="s">
        <v>46</v>
      </c>
      <c r="C2" s="89" t="s">
        <v>47</v>
      </c>
      <c r="D2" s="89" t="s">
        <v>48</v>
      </c>
      <c r="E2" s="89" t="s">
        <v>49</v>
      </c>
      <c r="F2" s="89" t="s">
        <v>50</v>
      </c>
      <c r="G2" s="89" t="s">
        <v>51</v>
      </c>
      <c r="H2" s="89" t="s">
        <v>4</v>
      </c>
      <c r="I2" s="89" t="s">
        <v>52</v>
      </c>
      <c r="J2" s="89" t="s">
        <v>5</v>
      </c>
      <c r="K2" s="90" t="s">
        <v>54</v>
      </c>
    </row>
    <row r="3" spans="2:11">
      <c r="B3" s="91" t="s">
        <v>53</v>
      </c>
      <c r="C3" s="92" t="s">
        <v>845</v>
      </c>
      <c r="D3" s="93" t="s">
        <v>844</v>
      </c>
      <c r="E3" s="94">
        <f>SUM(E4:E23)</f>
        <v>334037.26344611478</v>
      </c>
      <c r="F3" s="94">
        <f>SUM(F4:F23)</f>
        <v>248099.29060000004</v>
      </c>
      <c r="G3" s="94">
        <f>SUM(G4:G23)</f>
        <v>85937.972846114746</v>
      </c>
      <c r="H3" s="94">
        <f>SUM(H4:H23)</f>
        <v>64387.945299999999</v>
      </c>
      <c r="I3" s="95">
        <f>IFERROR(F3/E3," ")</f>
        <v>0.74272938306483938</v>
      </c>
      <c r="J3" s="94">
        <f>SUM(J4:J23)</f>
        <v>51008.607039999988</v>
      </c>
      <c r="K3" s="96">
        <f>SUM(K4:K23)</f>
        <v>13379.338260000011</v>
      </c>
    </row>
    <row r="4" spans="2:11">
      <c r="B4" s="97">
        <v>1</v>
      </c>
      <c r="C4" s="98" t="s">
        <v>845</v>
      </c>
      <c r="D4" s="99" t="s">
        <v>846</v>
      </c>
      <c r="E4" s="100">
        <f>'BTP-A320M4120'!F8</f>
        <v>140087.60000000009</v>
      </c>
      <c r="F4" s="100">
        <f>'BTP-A320M4120'!H8</f>
        <v>119323.40000000004</v>
      </c>
      <c r="G4" s="100">
        <f>+E4-F4</f>
        <v>20764.200000000055</v>
      </c>
      <c r="H4" s="100"/>
      <c r="I4" s="101">
        <f t="shared" ref="I4:I23" si="0">IFERROR(F4/E4," ")</f>
        <v>0.85177703094349511</v>
      </c>
      <c r="J4" s="100"/>
      <c r="K4" s="102">
        <f>IF(H4-J4&lt;0,0,H4-J4)</f>
        <v>0</v>
      </c>
    </row>
    <row r="5" spans="2:11">
      <c r="B5" s="97">
        <v>2</v>
      </c>
      <c r="C5" s="98" t="s">
        <v>845</v>
      </c>
      <c r="D5" s="99" t="s">
        <v>2069</v>
      </c>
      <c r="E5" s="100">
        <f>'BTP-A320M4130'!F8</f>
        <v>193949.66344611469</v>
      </c>
      <c r="F5" s="100">
        <f>'BTP-A320M4130'!H8</f>
        <v>128775.8906</v>
      </c>
      <c r="G5" s="100">
        <f t="shared" ref="G5:G7" si="1">+E5-F5</f>
        <v>65173.772846114691</v>
      </c>
      <c r="H5" s="100">
        <f>+F5*0.5</f>
        <v>64387.945299999999</v>
      </c>
      <c r="I5" s="101">
        <f t="shared" si="0"/>
        <v>0.66396552750800719</v>
      </c>
      <c r="J5" s="100">
        <f>[2]Progress!$BH$4</f>
        <v>51008.607039999988</v>
      </c>
      <c r="K5" s="102">
        <f t="shared" ref="K5:K23" si="2">IF(H5-J5&lt;0,0,H5-J5)</f>
        <v>13379.338260000011</v>
      </c>
    </row>
    <row r="6" spans="2:11">
      <c r="B6" s="97">
        <v>3</v>
      </c>
      <c r="C6" s="98"/>
      <c r="D6" s="99"/>
      <c r="E6" s="100"/>
      <c r="F6" s="100"/>
      <c r="G6" s="100">
        <f t="shared" si="1"/>
        <v>0</v>
      </c>
      <c r="H6" s="100"/>
      <c r="I6" s="101" t="str">
        <f t="shared" si="0"/>
        <v xml:space="preserve"> </v>
      </c>
      <c r="J6" s="100"/>
      <c r="K6" s="102">
        <f t="shared" si="2"/>
        <v>0</v>
      </c>
    </row>
    <row r="7" spans="2:11">
      <c r="B7" s="97">
        <v>4</v>
      </c>
      <c r="C7" s="98"/>
      <c r="D7" s="99"/>
      <c r="E7" s="100"/>
      <c r="F7" s="100"/>
      <c r="G7" s="100">
        <f t="shared" si="1"/>
        <v>0</v>
      </c>
      <c r="H7" s="100"/>
      <c r="I7" s="101" t="str">
        <f t="shared" si="0"/>
        <v xml:space="preserve"> </v>
      </c>
      <c r="J7" s="100"/>
      <c r="K7" s="102">
        <f t="shared" si="2"/>
        <v>0</v>
      </c>
    </row>
    <row r="8" spans="2:11">
      <c r="B8" s="97"/>
      <c r="C8" s="98"/>
      <c r="D8" s="99"/>
      <c r="E8" s="100"/>
      <c r="F8" s="100"/>
      <c r="G8" s="100">
        <f t="shared" ref="G8:G22" si="3">+E8-F8</f>
        <v>0</v>
      </c>
      <c r="H8" s="100"/>
      <c r="I8" s="101" t="str">
        <f t="shared" ref="I8:I22" si="4">IFERROR(F8/E8," ")</f>
        <v xml:space="preserve"> </v>
      </c>
      <c r="J8" s="100"/>
      <c r="K8" s="102">
        <f t="shared" si="2"/>
        <v>0</v>
      </c>
    </row>
    <row r="9" spans="2:11">
      <c r="B9" s="97"/>
      <c r="C9" s="98"/>
      <c r="D9" s="99"/>
      <c r="E9" s="100"/>
      <c r="F9" s="100"/>
      <c r="G9" s="100">
        <f t="shared" si="3"/>
        <v>0</v>
      </c>
      <c r="H9" s="100"/>
      <c r="I9" s="101" t="str">
        <f t="shared" si="4"/>
        <v xml:space="preserve"> </v>
      </c>
      <c r="J9" s="100"/>
      <c r="K9" s="102">
        <f t="shared" si="2"/>
        <v>0</v>
      </c>
    </row>
    <row r="10" spans="2:11">
      <c r="B10" s="97"/>
      <c r="C10" s="98"/>
      <c r="D10" s="99"/>
      <c r="E10" s="100"/>
      <c r="F10" s="100"/>
      <c r="G10" s="100">
        <f t="shared" si="3"/>
        <v>0</v>
      </c>
      <c r="H10" s="100"/>
      <c r="I10" s="101" t="str">
        <f t="shared" si="4"/>
        <v xml:space="preserve"> </v>
      </c>
      <c r="J10" s="100"/>
      <c r="K10" s="102">
        <f t="shared" si="2"/>
        <v>0</v>
      </c>
    </row>
    <row r="11" spans="2:11">
      <c r="B11" s="97"/>
      <c r="C11" s="98"/>
      <c r="D11" s="99"/>
      <c r="E11" s="100"/>
      <c r="F11" s="100"/>
      <c r="G11" s="100">
        <f t="shared" si="3"/>
        <v>0</v>
      </c>
      <c r="H11" s="100"/>
      <c r="I11" s="101" t="str">
        <f t="shared" si="4"/>
        <v xml:space="preserve"> </v>
      </c>
      <c r="J11" s="100"/>
      <c r="K11" s="102">
        <f t="shared" si="2"/>
        <v>0</v>
      </c>
    </row>
    <row r="12" spans="2:11">
      <c r="B12" s="97"/>
      <c r="C12" s="98"/>
      <c r="D12" s="99"/>
      <c r="E12" s="100"/>
      <c r="F12" s="100"/>
      <c r="G12" s="100">
        <f t="shared" si="3"/>
        <v>0</v>
      </c>
      <c r="H12" s="100"/>
      <c r="I12" s="101" t="str">
        <f t="shared" si="4"/>
        <v xml:space="preserve"> </v>
      </c>
      <c r="J12" s="100"/>
      <c r="K12" s="102">
        <f t="shared" si="2"/>
        <v>0</v>
      </c>
    </row>
    <row r="13" spans="2:11">
      <c r="B13" s="97"/>
      <c r="C13" s="98"/>
      <c r="D13" s="99"/>
      <c r="E13" s="100"/>
      <c r="F13" s="100"/>
      <c r="G13" s="100">
        <f t="shared" si="3"/>
        <v>0</v>
      </c>
      <c r="H13" s="100"/>
      <c r="I13" s="101" t="str">
        <f t="shared" si="4"/>
        <v xml:space="preserve"> </v>
      </c>
      <c r="J13" s="100"/>
      <c r="K13" s="102">
        <f t="shared" si="2"/>
        <v>0</v>
      </c>
    </row>
    <row r="14" spans="2:11">
      <c r="B14" s="97"/>
      <c r="C14" s="98"/>
      <c r="D14" s="99"/>
      <c r="E14" s="100"/>
      <c r="F14" s="100"/>
      <c r="G14" s="100">
        <f t="shared" si="3"/>
        <v>0</v>
      </c>
      <c r="H14" s="100"/>
      <c r="I14" s="101" t="str">
        <f t="shared" si="4"/>
        <v xml:space="preserve"> </v>
      </c>
      <c r="J14" s="100"/>
      <c r="K14" s="102">
        <f t="shared" si="2"/>
        <v>0</v>
      </c>
    </row>
    <row r="15" spans="2:11">
      <c r="B15" s="97"/>
      <c r="C15" s="98"/>
      <c r="D15" s="99"/>
      <c r="E15" s="100"/>
      <c r="F15" s="100"/>
      <c r="G15" s="100">
        <f t="shared" si="3"/>
        <v>0</v>
      </c>
      <c r="H15" s="100"/>
      <c r="I15" s="101" t="str">
        <f t="shared" si="4"/>
        <v xml:space="preserve"> </v>
      </c>
      <c r="J15" s="100"/>
      <c r="K15" s="102">
        <f t="shared" si="2"/>
        <v>0</v>
      </c>
    </row>
    <row r="16" spans="2:11">
      <c r="B16" s="97"/>
      <c r="C16" s="98"/>
      <c r="D16" s="99"/>
      <c r="E16" s="100"/>
      <c r="F16" s="100"/>
      <c r="G16" s="100">
        <f t="shared" si="3"/>
        <v>0</v>
      </c>
      <c r="H16" s="100"/>
      <c r="I16" s="101" t="str">
        <f t="shared" si="4"/>
        <v xml:space="preserve"> </v>
      </c>
      <c r="J16" s="100"/>
      <c r="K16" s="102">
        <f t="shared" si="2"/>
        <v>0</v>
      </c>
    </row>
    <row r="17" spans="2:11">
      <c r="B17" s="97"/>
      <c r="C17" s="98"/>
      <c r="D17" s="99"/>
      <c r="E17" s="100"/>
      <c r="F17" s="100"/>
      <c r="G17" s="100">
        <f t="shared" si="3"/>
        <v>0</v>
      </c>
      <c r="H17" s="100"/>
      <c r="I17" s="101" t="str">
        <f t="shared" si="4"/>
        <v xml:space="preserve"> </v>
      </c>
      <c r="J17" s="100"/>
      <c r="K17" s="102">
        <f t="shared" si="2"/>
        <v>0</v>
      </c>
    </row>
    <row r="18" spans="2:11">
      <c r="B18" s="97"/>
      <c r="C18" s="98"/>
      <c r="D18" s="99"/>
      <c r="E18" s="100"/>
      <c r="F18" s="100"/>
      <c r="G18" s="100">
        <f t="shared" si="3"/>
        <v>0</v>
      </c>
      <c r="H18" s="100"/>
      <c r="I18" s="101" t="str">
        <f t="shared" si="4"/>
        <v xml:space="preserve"> </v>
      </c>
      <c r="J18" s="100"/>
      <c r="K18" s="102">
        <f t="shared" si="2"/>
        <v>0</v>
      </c>
    </row>
    <row r="19" spans="2:11">
      <c r="B19" s="97"/>
      <c r="C19" s="98"/>
      <c r="D19" s="99"/>
      <c r="E19" s="100"/>
      <c r="F19" s="100"/>
      <c r="G19" s="100">
        <f t="shared" si="3"/>
        <v>0</v>
      </c>
      <c r="H19" s="100"/>
      <c r="I19" s="101" t="str">
        <f t="shared" si="4"/>
        <v xml:space="preserve"> </v>
      </c>
      <c r="J19" s="100"/>
      <c r="K19" s="102">
        <f t="shared" si="2"/>
        <v>0</v>
      </c>
    </row>
    <row r="20" spans="2:11">
      <c r="B20" s="97"/>
      <c r="C20" s="98"/>
      <c r="D20" s="99"/>
      <c r="E20" s="100"/>
      <c r="F20" s="100"/>
      <c r="G20" s="100">
        <f t="shared" si="3"/>
        <v>0</v>
      </c>
      <c r="H20" s="100"/>
      <c r="I20" s="101" t="str">
        <f t="shared" si="4"/>
        <v xml:space="preserve"> </v>
      </c>
      <c r="J20" s="100"/>
      <c r="K20" s="102">
        <f t="shared" si="2"/>
        <v>0</v>
      </c>
    </row>
    <row r="21" spans="2:11">
      <c r="B21" s="97"/>
      <c r="C21" s="98"/>
      <c r="D21" s="99"/>
      <c r="E21" s="100"/>
      <c r="F21" s="100"/>
      <c r="G21" s="100">
        <f t="shared" si="3"/>
        <v>0</v>
      </c>
      <c r="H21" s="100"/>
      <c r="I21" s="101" t="str">
        <f t="shared" si="4"/>
        <v xml:space="preserve"> </v>
      </c>
      <c r="J21" s="100"/>
      <c r="K21" s="102">
        <f t="shared" si="2"/>
        <v>0</v>
      </c>
    </row>
    <row r="22" spans="2:11">
      <c r="B22" s="97"/>
      <c r="C22" s="98"/>
      <c r="D22" s="99"/>
      <c r="E22" s="100"/>
      <c r="F22" s="100"/>
      <c r="G22" s="100">
        <f t="shared" si="3"/>
        <v>0</v>
      </c>
      <c r="H22" s="100"/>
      <c r="I22" s="101" t="str">
        <f t="shared" si="4"/>
        <v xml:space="preserve"> </v>
      </c>
      <c r="J22" s="100"/>
      <c r="K22" s="102">
        <f t="shared" si="2"/>
        <v>0</v>
      </c>
    </row>
    <row r="23" spans="2:11" ht="16.5" thickBot="1">
      <c r="B23" s="103"/>
      <c r="C23" s="104"/>
      <c r="D23" s="105"/>
      <c r="E23" s="106"/>
      <c r="F23" s="106"/>
      <c r="G23" s="106"/>
      <c r="H23" s="106"/>
      <c r="I23" s="107" t="str">
        <f t="shared" si="0"/>
        <v xml:space="preserve"> </v>
      </c>
      <c r="J23" s="106"/>
      <c r="K23" s="102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2075F-3100-44AB-94B9-16E263AFE82E}">
  <sheetPr codeName="Sheet10" filterMode="1">
    <tabColor rgb="FF7030A0"/>
    <pageSetUpPr fitToPage="1"/>
  </sheetPr>
  <dimension ref="C1:BL332"/>
  <sheetViews>
    <sheetView tabSelected="1" zoomScaleNormal="100" workbookViewId="0">
      <pane xSplit="13" ySplit="29" topLeftCell="AY52" activePane="bottomRight" state="frozen"/>
      <selection activeCell="O42" sqref="O42"/>
      <selection pane="topRight" activeCell="O42" sqref="O42"/>
      <selection pane="bottomLeft" activeCell="O42" sqref="O42"/>
      <selection pane="bottomRight" activeCell="BA336" sqref="BA336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24.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51" width="6.875" style="3" customWidth="1"/>
    <col min="52" max="52" width="7.25" style="3" customWidth="1"/>
    <col min="53" max="53" width="8.625" style="3" customWidth="1"/>
    <col min="54" max="54" width="14.25" style="3" customWidth="1"/>
    <col min="55" max="55" width="8.625" style="3" customWidth="1"/>
    <col min="56" max="56" width="8.75" style="3" customWidth="1"/>
    <col min="57" max="57" width="7.5" style="3" customWidth="1"/>
    <col min="58" max="60" width="9" style="3" customWidth="1"/>
    <col min="61" max="61" width="8.75" style="3" customWidth="1"/>
    <col min="62" max="62" width="8.625" style="3" customWidth="1"/>
    <col min="63" max="64" width="9" style="3" customWidth="1"/>
    <col min="65" max="16384" width="8.75" style="3"/>
  </cols>
  <sheetData>
    <row r="1" spans="4:52" ht="19.5">
      <c r="D1" s="1" t="s">
        <v>818</v>
      </c>
      <c r="E1" s="2"/>
      <c r="F1" s="2"/>
      <c r="G1" s="2"/>
      <c r="H1" s="2"/>
    </row>
    <row r="2" spans="4:52" ht="13.5" thickBot="1"/>
    <row r="3" spans="4:52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</row>
    <row r="4" spans="4:52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5"/>
    </row>
    <row r="5" spans="4:52" ht="13.5" thickBot="1">
      <c r="D5" s="15" t="s">
        <v>11</v>
      </c>
      <c r="E5" s="26">
        <f>SUMIFS(I:I,$C:$C,$D5)</f>
        <v>0</v>
      </c>
      <c r="F5" s="26">
        <f>SUMIFS(K:K,$C:$C,$D5)</f>
        <v>0</v>
      </c>
      <c r="G5" s="26" cm="1">
        <f t="array" ref="G5">SUMPRODUCT(--($C$30:$C$332=$D5),$L$30:$L$332)</f>
        <v>0</v>
      </c>
      <c r="H5" s="26" cm="1">
        <f t="array" ref="H5">SUMPRODUCT(--($C$30:$C$332=$D5),$L$30:$L$332,$J$30:$J$332)</f>
        <v>0</v>
      </c>
      <c r="I5" s="26" cm="1">
        <f t="array" ref="I5">SUMPRODUCT(--($C$30:$C$332=$D5),$M$30:$M$332)</f>
        <v>0</v>
      </c>
      <c r="J5" s="27" cm="1">
        <f t="array" ref="J5">SUMPRODUCT(--($C$30:$C$332=$D5),$M$30:$M$332,$J$30:$J$332)</f>
        <v>0</v>
      </c>
      <c r="L5" s="28" t="s">
        <v>12</v>
      </c>
      <c r="M5" s="29">
        <f>G8</f>
        <v>575</v>
      </c>
      <c r="N5" s="30">
        <f>H8</f>
        <v>119323.40000000004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</row>
    <row r="6" spans="4:52" ht="13.5" thickTop="1">
      <c r="D6" s="36" t="s">
        <v>13</v>
      </c>
      <c r="E6" s="26">
        <f>SUMIFS(I:I,$C:$C,$D6)</f>
        <v>765</v>
      </c>
      <c r="F6" s="26">
        <f>SUMIFS(K:K,$C:$C,$D6)</f>
        <v>140087.60000000009</v>
      </c>
      <c r="G6" s="26" cm="1">
        <f t="array" ref="G6">SUMPRODUCT(--($C$30:$C$332=$D6),$L$30:$L$332)</f>
        <v>575</v>
      </c>
      <c r="H6" s="26" cm="1">
        <f t="array" ref="H6">SUMPRODUCT(--($C$30:$C$332=$D6),$L$30:$L$332,$J$30:$J$332)</f>
        <v>119323.40000000004</v>
      </c>
      <c r="I6" s="26" cm="1">
        <f t="array" ref="I6">SUMPRODUCT(--($C$30:$C$332=$D6),$M$30:$M$332)</f>
        <v>190</v>
      </c>
      <c r="J6" s="27" cm="1">
        <f t="array" ref="J6">SUMPRODUCT(--($C$30:$C$332=$D6),$M$30:$M$332,$J$30:$J$332)</f>
        <v>20764.19999999999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</row>
    <row r="7" spans="4:52">
      <c r="D7" s="36" t="s">
        <v>14</v>
      </c>
      <c r="E7" s="26">
        <f>SUMIFS(I:I,$C:$C,$D7)</f>
        <v>0</v>
      </c>
      <c r="F7" s="26">
        <f>SUMIFS(K:K,$C:$C,$D7)</f>
        <v>0</v>
      </c>
      <c r="G7" s="26" cm="1">
        <f t="array" ref="G7">SUMPRODUCT(--($C$30:$C$332=$D7),$L$30:$L$332)</f>
        <v>0</v>
      </c>
      <c r="H7" s="26" cm="1">
        <f t="array" ref="H7">SUMPRODUCT(--($C$30:$C$332=$D7),$L$30:$L$332,$J$30:$J$332)</f>
        <v>0</v>
      </c>
      <c r="I7" s="26" cm="1">
        <f t="array" ref="I7">SUMPRODUCT(--($C$30:$C$332=$D7),$M$30:$M$332)</f>
        <v>0</v>
      </c>
      <c r="J7" s="27" cm="1">
        <f t="array" ref="J7">SUMPRODUCT(--($C$30:$C$332=$D7),$M$30:$M$332,$J$30:$J$332)</f>
        <v>0</v>
      </c>
    </row>
    <row r="8" spans="4:52" ht="13.5" thickBot="1">
      <c r="D8" s="40" t="s">
        <v>12</v>
      </c>
      <c r="E8" s="41">
        <f t="shared" ref="E8:J8" si="0">E5+E6+E7</f>
        <v>765</v>
      </c>
      <c r="F8" s="41">
        <f t="shared" si="0"/>
        <v>140087.60000000009</v>
      </c>
      <c r="G8" s="41">
        <f t="shared" si="0"/>
        <v>575</v>
      </c>
      <c r="H8" s="41">
        <f t="shared" si="0"/>
        <v>119323.40000000004</v>
      </c>
      <c r="I8" s="41">
        <f t="shared" si="0"/>
        <v>190</v>
      </c>
      <c r="J8" s="42">
        <f t="shared" si="0"/>
        <v>20764.19999999999</v>
      </c>
    </row>
    <row r="9" spans="4:52" ht="13.5" hidden="1" outlineLevel="1" thickTop="1"/>
    <row r="10" spans="4:52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52" ht="23.25" hidden="1" customHeight="1" outlineLevel="1" thickTop="1">
      <c r="D11" s="45" t="s">
        <v>11</v>
      </c>
      <c r="E11" s="46" t="e" cm="1" vm="1">
        <f t="array" ref="E11">TRANSPOSE(_xlfn._xlws.SORT(_xlfn.UNIQUE(_xlfn._xlws.FILTER(E30:E332,(C30:C332=$D$11)*(M30:M332&lt;&gt;0))),,1))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</row>
    <row r="12" spans="4:52" ht="28.9" hidden="1" customHeight="1" outlineLevel="2">
      <c r="D12" s="49" t="s">
        <v>16</v>
      </c>
      <c r="E12" s="50" t="e" cm="1" vm="2">
        <f t="array" ref="E12">SUMPRODUCT(--($C$30:$C$332=$D$11),--($E$30:$E$332=E$11),$I$30:$I$332,$G$30:$G$332)</f>
        <v>#VALUE!</v>
      </c>
      <c r="F12" s="50" cm="1">
        <f t="array" ref="F12">SUMPRODUCT(--($C$30:$C$332=$D$11),--($E$30:$E$332=F$11),$I$30:$I$332,$G$30:$G$332)</f>
        <v>0</v>
      </c>
      <c r="G12" s="50" cm="1">
        <f t="array" ref="G12">SUMPRODUCT(--($C$30:$C$332=$D$11),--($E$30:$E$332=G$11),$I$30:$I$332,$G$30:$G$332)</f>
        <v>0</v>
      </c>
      <c r="H12" s="50" cm="1">
        <f t="array" ref="H12">SUMPRODUCT(--($C$30:$C$332=$D$11),--($E$30:$E$332=H$11),$I$30:$I$332,$G$30:$G$332)</f>
        <v>0</v>
      </c>
      <c r="I12" s="50" cm="1">
        <f t="array" ref="I12">SUMPRODUCT(--($C$30:$C$332=$D$11),--($E$30:$E$332=I$11),$I$30:$I$332,$G$30:$G$332)</f>
        <v>0</v>
      </c>
      <c r="J12" s="50" cm="1">
        <f t="array" ref="J12">SUMPRODUCT(--($C$30:$C$332=$D$11),--($E$30:$E$332=J$11),$I$30:$I$332,$G$30:$G$332)</f>
        <v>0</v>
      </c>
      <c r="K12" s="50" cm="1">
        <f t="array" ref="K12">SUMPRODUCT(--($C$30:$C$332=$D$11),--($E$30:$E$332=K$11),$I$30:$I$332,$G$30:$G$332)</f>
        <v>0</v>
      </c>
      <c r="L12" s="50" cm="1">
        <f t="array" ref="L12">SUMPRODUCT(--($C$30:$C$332=$D$11),--($E$30:$E$332=L$11),$I$30:$I$332,$G$30:$G$332)</f>
        <v>0</v>
      </c>
      <c r="M12" s="50" cm="1">
        <f t="array" ref="M12">SUMPRODUCT(--($C$30:$C$332=$D$11),--($E$30:$E$332=M$11),$I$30:$I$332,$G$30:$G$332)</f>
        <v>0</v>
      </c>
      <c r="N12" s="50" cm="1">
        <f t="array" ref="N12">SUMPRODUCT(--($C$30:$C$332=$D$11),--($E$30:$E$332=N$11),$I$30:$I$332,$G$30:$G$332)</f>
        <v>0</v>
      </c>
      <c r="O12" s="50" cm="1">
        <f t="array" ref="O12">SUMPRODUCT(--($C$30:$C$332=$D$11),--($E$30:$E$332=O$11),$I$30:$I$332,$G$30:$G$332)</f>
        <v>0</v>
      </c>
      <c r="P12" s="50" cm="1">
        <f t="array" ref="P12">SUMPRODUCT(--($C$30:$C$332=$D$11),--($E$30:$E$332=P$11),$I$30:$I$332,$G$30:$G$332)</f>
        <v>0</v>
      </c>
      <c r="Q12" s="50" cm="1">
        <f t="array" ref="Q12">SUMPRODUCT(--($C$30:$C$332=$D$11),--($E$30:$E$332=Q$11),$I$30:$I$332,$G$30:$G$332)</f>
        <v>0</v>
      </c>
      <c r="R12" s="51" cm="1">
        <f t="array" ref="R12">SUMPRODUCT(--($C$30:$C$332=$D$11),--($E$30:$E$332=R$11),$I$30:$I$332,$G$30:$G$332)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</row>
    <row r="13" spans="4:52" ht="15" hidden="1" customHeight="1" outlineLevel="2">
      <c r="D13" s="49" t="s">
        <v>17</v>
      </c>
      <c r="E13" s="53" t="e" cm="1" vm="2">
        <f t="array" ref="E13">SUMPRODUCT(--($C$30:$C$332=$D$11),--($E$30:$E$332=E$11),$I$30:$I$332)</f>
        <v>#VALUE!</v>
      </c>
      <c r="F13" s="53" cm="1">
        <f t="array" ref="F13">SUMPRODUCT(--($C$30:$C$332=$D$11),--($E$30:$E$332=F$11),$I$30:$I$332)</f>
        <v>0</v>
      </c>
      <c r="G13" s="53" cm="1">
        <f t="array" ref="G13">SUMPRODUCT(--($C$30:$C$332=$D$11),--($E$30:$E$332=G$11),$I$30:$I$332)</f>
        <v>0</v>
      </c>
      <c r="H13" s="53" cm="1">
        <f t="array" ref="H13">SUMPRODUCT(--($C$30:$C$332=$D$11),--($E$30:$E$332=H$11),$I$30:$I$332)</f>
        <v>0</v>
      </c>
      <c r="I13" s="53" cm="1">
        <f t="array" ref="I13">SUMPRODUCT(--($C$30:$C$332=$D$11),--($E$30:$E$332=I$11),$I$30:$I$332)</f>
        <v>0</v>
      </c>
      <c r="J13" s="53" cm="1">
        <f t="array" ref="J13">SUMPRODUCT(--($C$30:$C$332=$D$11),--($E$30:$E$332=J$11),$I$30:$I$332)</f>
        <v>0</v>
      </c>
      <c r="K13" s="53" cm="1">
        <f t="array" ref="K13">SUMPRODUCT(--($C$30:$C$332=$D$11),--($E$30:$E$332=K$11),$I$30:$I$332)</f>
        <v>0</v>
      </c>
      <c r="L13" s="53" cm="1">
        <f t="array" ref="L13">SUMPRODUCT(--($C$30:$C$332=$D$11),--($E$30:$E$332=L$11),$I$30:$I$332)</f>
        <v>0</v>
      </c>
      <c r="M13" s="53" cm="1">
        <f t="array" ref="M13">SUMPRODUCT(--($C$30:$C$332=$D$11),--($E$30:$E$332=M$11),$I$30:$I$332)</f>
        <v>0</v>
      </c>
      <c r="N13" s="53" cm="1">
        <f t="array" ref="N13">SUMPRODUCT(--($C$30:$C$332=$D$11),--($E$30:$E$332=N$11),$I$30:$I$332)</f>
        <v>0</v>
      </c>
      <c r="O13" s="53" cm="1">
        <f t="array" ref="O13">SUMPRODUCT(--($C$30:$C$332=$D$11),--($E$30:$E$332=O$11),$I$30:$I$332)</f>
        <v>0</v>
      </c>
      <c r="P13" s="53" cm="1">
        <f t="array" ref="P13">SUMPRODUCT(--($C$30:$C$332=$D$11),--($E$30:$E$332=P$11),$I$30:$I$332)</f>
        <v>0</v>
      </c>
      <c r="Q13" s="53" cm="1">
        <f t="array" ref="Q13">SUMPRODUCT(--($C$30:$C$332=$D$11),--($E$30:$E$332=Q$11),$I$30:$I$332)</f>
        <v>0</v>
      </c>
      <c r="R13" s="54" cm="1">
        <f t="array" ref="R13">SUMPRODUCT(--($C$30:$C$332=$D$11),--($E$30:$E$332=R$11),$I$30:$I$332)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</row>
    <row r="14" spans="4:52" ht="13.5" hidden="1" outlineLevel="2" thickTop="1">
      <c r="D14" s="56" t="s">
        <v>18</v>
      </c>
      <c r="E14" s="50" t="e" cm="1" vm="2">
        <f t="array" ref="E14">SUMPRODUCT(--($C$30:$C$332=$D$11),--($E$30:$E$332=E$11),$L$30:$L$332,$G$30:$G$332)</f>
        <v>#VALUE!</v>
      </c>
      <c r="F14" s="50" cm="1">
        <f t="array" ref="F14">SUMPRODUCT(--($C$30:$C$332=$D$11),--($E$30:$E$332=F$11),$L$30:$L$332,$G$30:$G$332)</f>
        <v>0</v>
      </c>
      <c r="G14" s="50" cm="1">
        <f t="array" ref="G14">SUMPRODUCT(--($C$30:$C$332=$D$11),--($E$30:$E$332=G$11),$L$30:$L$332,$G$30:$G$332)</f>
        <v>0</v>
      </c>
      <c r="H14" s="50" cm="1">
        <f t="array" ref="H14">SUMPRODUCT(--($C$30:$C$332=$D$11),--($E$30:$E$332=H$11),$L$30:$L$332,$G$30:$G$332)</f>
        <v>0</v>
      </c>
      <c r="I14" s="50" cm="1">
        <f t="array" ref="I14">SUMPRODUCT(--($C$30:$C$332=$D$11),--($E$30:$E$332=I$11),$L$30:$L$332,$G$30:$G$332)</f>
        <v>0</v>
      </c>
      <c r="J14" s="50" cm="1">
        <f t="array" ref="J14">SUMPRODUCT(--($C$30:$C$332=$D$11),--($E$30:$E$332=J$11),$L$30:$L$332,$G$30:$G$332)</f>
        <v>0</v>
      </c>
      <c r="K14" s="50" cm="1">
        <f t="array" ref="K14">SUMPRODUCT(--($C$30:$C$332=$D$11),--($E$30:$E$332=K$11),$L$30:$L$332,$G$30:$G$332)</f>
        <v>0</v>
      </c>
      <c r="L14" s="50" cm="1">
        <f t="array" ref="L14">SUMPRODUCT(--($C$30:$C$332=$D$11),--($E$30:$E$332=L$11),$L$30:$L$332,$G$30:$G$332)</f>
        <v>0</v>
      </c>
      <c r="M14" s="50" cm="1">
        <f t="array" ref="M14">SUMPRODUCT(--($C$30:$C$332=$D$11),--($E$30:$E$332=M$11),$L$30:$L$332,$G$30:$G$332)</f>
        <v>0</v>
      </c>
      <c r="N14" s="50" cm="1">
        <f t="array" ref="N14">SUMPRODUCT(--($C$30:$C$332=$D$11),--($E$30:$E$332=N$11),$L$30:$L$332,$G$30:$G$332)</f>
        <v>0</v>
      </c>
      <c r="O14" s="50" cm="1">
        <f t="array" ref="O14">SUMPRODUCT(--($C$30:$C$332=$D$11),--($E$30:$E$332=O$11),$L$30:$L$332,$G$30:$G$332)</f>
        <v>0</v>
      </c>
      <c r="P14" s="50" cm="1">
        <f t="array" ref="P14">SUMPRODUCT(--($C$30:$C$332=$D$11),--($E$30:$E$332=P$11),$L$30:$L$332,$G$30:$G$332)</f>
        <v>0</v>
      </c>
      <c r="Q14" s="50" cm="1">
        <f t="array" ref="Q14">SUMPRODUCT(--($C$30:$C$332=$D$11),--($E$30:$E$332=Q$11),$L$30:$L$332,$G$30:$G$332)</f>
        <v>0</v>
      </c>
      <c r="R14" s="51" cm="1">
        <f t="array" ref="R14">SUMPRODUCT(--($C$30:$C$332=$D$11),--($E$30:$E$332=R$11),$L$30:$L$332,$G$30:$G$332)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</row>
    <row r="15" spans="4:52" ht="13.5" hidden="1" outlineLevel="2" thickTop="1">
      <c r="D15" s="56" t="s">
        <v>19</v>
      </c>
      <c r="E15" s="53" t="e" cm="1" vm="2">
        <f t="array" ref="E15">SUMPRODUCT(--($C$30:$C$332=$D$11),--($E$30:$E$332=E$11),$L$30:$L$332)</f>
        <v>#VALUE!</v>
      </c>
      <c r="F15" s="53" cm="1">
        <f t="array" ref="F15">SUMPRODUCT(--($C$30:$C$332=$D$11),--($E$30:$E$332=F$11),$L$30:$L$332)</f>
        <v>0</v>
      </c>
      <c r="G15" s="53" cm="1">
        <f t="array" ref="G15">SUMPRODUCT(--($C$30:$C$332=$D$11),--($E$30:$E$332=G$11),$L$30:$L$332)</f>
        <v>0</v>
      </c>
      <c r="H15" s="53" cm="1">
        <f t="array" ref="H15">SUMPRODUCT(--($C$30:$C$332=$D$11),--($E$30:$E$332=H$11),$L$30:$L$332)</f>
        <v>0</v>
      </c>
      <c r="I15" s="53" cm="1">
        <f t="array" ref="I15">SUMPRODUCT(--($C$30:$C$332=$D$11),--($E$30:$E$332=I$11),$L$30:$L$332)</f>
        <v>0</v>
      </c>
      <c r="J15" s="53" cm="1">
        <f t="array" ref="J15">SUMPRODUCT(--($C$30:$C$332=$D$11),--($E$30:$E$332=J$11),$L$30:$L$332)</f>
        <v>0</v>
      </c>
      <c r="K15" s="53" cm="1">
        <f t="array" ref="K15">SUMPRODUCT(--($C$30:$C$332=$D$11),--($E$30:$E$332=K$11),$L$30:$L$332)</f>
        <v>0</v>
      </c>
      <c r="L15" s="53" cm="1">
        <f t="array" ref="L15">SUMPRODUCT(--($C$30:$C$332=$D$11),--($E$30:$E$332=L$11),$L$30:$L$332)</f>
        <v>0</v>
      </c>
      <c r="M15" s="53" cm="1">
        <f t="array" ref="M15">SUMPRODUCT(--($C$30:$C$332=$D$11),--($E$30:$E$332=M$11),$L$30:$L$332)</f>
        <v>0</v>
      </c>
      <c r="N15" s="53" cm="1">
        <f t="array" ref="N15">SUMPRODUCT(--($C$30:$C$332=$D$11),--($E$30:$E$332=N$11),$L$30:$L$332)</f>
        <v>0</v>
      </c>
      <c r="O15" s="53" cm="1">
        <f t="array" ref="O15">SUMPRODUCT(--($C$30:$C$332=$D$11),--($E$30:$E$332=O$11),$L$30:$L$332)</f>
        <v>0</v>
      </c>
      <c r="P15" s="53" cm="1">
        <f t="array" ref="P15">SUMPRODUCT(--($C$30:$C$332=$D$11),--($E$30:$E$332=P$11),$L$30:$L$332)</f>
        <v>0</v>
      </c>
      <c r="Q15" s="53" cm="1">
        <f t="array" ref="Q15">SUMPRODUCT(--($C$30:$C$332=$D$11),--($E$30:$E$332=Q$11),$L$30:$L$332)</f>
        <v>0</v>
      </c>
      <c r="R15" s="54" cm="1">
        <f t="array" ref="R15">SUMPRODUCT(--($C$30:$C$332=$D$11),--($E$30:$E$332=R$11),$L$30:$L$332)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</row>
    <row r="16" spans="4:52" ht="13.5" hidden="1" outlineLevel="2" thickTop="1">
      <c r="D16" s="56" t="s">
        <v>20</v>
      </c>
      <c r="E16" s="50" t="e" cm="1" vm="2">
        <f t="array" ref="E16">SUMPRODUCT(--($C$30:$C$332=$D$11),--($E$30:$E$332=E$11),$M$30:$M$332,$G$30:$G$332)</f>
        <v>#VALUE!</v>
      </c>
      <c r="F16" s="50" cm="1">
        <f t="array" ref="F16">SUMPRODUCT(--($C$30:$C$332=$D$11),--($E$30:$E$332=F$11),$M$30:$M$332,$G$30:$G$332)</f>
        <v>0</v>
      </c>
      <c r="G16" s="50" cm="1">
        <f t="array" ref="G16">SUMPRODUCT(--($C$30:$C$332=$D$11),--($E$30:$E$332=G$11),$M$30:$M$332,$G$30:$G$332)</f>
        <v>0</v>
      </c>
      <c r="H16" s="50" cm="1">
        <f t="array" ref="H16">SUMPRODUCT(--($C$30:$C$332=$D$11),--($E$30:$E$332=H$11),$M$30:$M$332,$G$30:$G$332)</f>
        <v>0</v>
      </c>
      <c r="I16" s="50" cm="1">
        <f t="array" ref="I16">SUMPRODUCT(--($C$30:$C$332=$D$11),--($E$30:$E$332=I$11),$M$30:$M$332,$G$30:$G$332)</f>
        <v>0</v>
      </c>
      <c r="J16" s="50" cm="1">
        <f t="array" ref="J16">SUMPRODUCT(--($C$30:$C$332=$D$11),--($E$30:$E$332=J$11),$M$30:$M$332,$G$30:$G$332)</f>
        <v>0</v>
      </c>
      <c r="K16" s="50" cm="1">
        <f t="array" ref="K16">SUMPRODUCT(--($C$30:$C$332=$D$11),--($E$30:$E$332=K$11),$M$30:$M$332,$G$30:$G$332)</f>
        <v>0</v>
      </c>
      <c r="L16" s="50" cm="1">
        <f t="array" ref="L16">SUMPRODUCT(--($C$30:$C$332=$D$11),--($E$30:$E$332=L$11),$M$30:$M$332,$G$30:$G$332)</f>
        <v>0</v>
      </c>
      <c r="M16" s="50" cm="1">
        <f t="array" ref="M16">SUMPRODUCT(--($C$30:$C$332=$D$11),--($E$30:$E$332=M$11),$M$30:$M$332,$G$30:$G$332)</f>
        <v>0</v>
      </c>
      <c r="N16" s="50" cm="1">
        <f t="array" ref="N16">SUMPRODUCT(--($C$30:$C$332=$D$11),--($E$30:$E$332=N$11),$M$30:$M$332,$G$30:$G$332)</f>
        <v>0</v>
      </c>
      <c r="O16" s="50" cm="1">
        <f t="array" ref="O16">SUMPRODUCT(--($C$30:$C$332=$D$11),--($E$30:$E$332=O$11),$M$30:$M$332,$G$30:$G$332)</f>
        <v>0</v>
      </c>
      <c r="P16" s="50" cm="1">
        <f t="array" ref="P16">SUMPRODUCT(--($C$30:$C$332=$D$11),--($E$30:$E$332=P$11),$M$30:$M$332,$G$30:$G$332)</f>
        <v>0</v>
      </c>
      <c r="Q16" s="50" cm="1">
        <f t="array" ref="Q16">SUMPRODUCT(--($C$30:$C$332=$D$11),--($E$30:$E$332=Q$11),$M$30:$M$332,$G$30:$G$332)</f>
        <v>0</v>
      </c>
      <c r="R16" s="51" cm="1">
        <f t="array" ref="R16">SUMPRODUCT(--($C$30:$C$332=$D$11),--($E$30:$E$332=R$11),$M$30:$M$332,$G$30:$G$332)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</row>
    <row r="17" spans="3:64" ht="13.5" hidden="1" outlineLevel="2" thickTop="1">
      <c r="D17" s="57" t="s">
        <v>21</v>
      </c>
      <c r="E17" s="58" t="e" cm="1" vm="2">
        <f t="array" ref="E17">SUMPRODUCT(--($C$30:$C$332=$D$11),--($E$30:$E$332=E$11),$M$30:$M$332)</f>
        <v>#VALUE!</v>
      </c>
      <c r="F17" s="58" cm="1">
        <f t="array" ref="F17">SUMPRODUCT(--($C$30:$C$332=$D$11),--($E$30:$E$332=F$11),$M$30:$M$332)</f>
        <v>0</v>
      </c>
      <c r="G17" s="58" cm="1">
        <f t="array" ref="G17">SUMPRODUCT(--($C$30:$C$332=$D$11),--($E$30:$E$332=G$11),$M$30:$M$332)</f>
        <v>0</v>
      </c>
      <c r="H17" s="58" cm="1">
        <f t="array" ref="H17">SUMPRODUCT(--($C$30:$C$332=$D$11),--($E$30:$E$332=H$11),$M$30:$M$332)</f>
        <v>0</v>
      </c>
      <c r="I17" s="58" cm="1">
        <f t="array" ref="I17">SUMPRODUCT(--($C$30:$C$332=$D$11),--($E$30:$E$332=I$11),$M$30:$M$332)</f>
        <v>0</v>
      </c>
      <c r="J17" s="58" cm="1">
        <f t="array" ref="J17">SUMPRODUCT(--($C$30:$C$332=$D$11),--($E$30:$E$332=J$11),$M$30:$M$332)</f>
        <v>0</v>
      </c>
      <c r="K17" s="58" cm="1">
        <f t="array" ref="K17">SUMPRODUCT(--($C$30:$C$332=$D$11),--($E$30:$E$332=K$11),$M$30:$M$332)</f>
        <v>0</v>
      </c>
      <c r="L17" s="58" cm="1">
        <f t="array" ref="L17">SUMPRODUCT(--($C$30:$C$332=$D$11),--($E$30:$E$332=L$11),$M$30:$M$332)</f>
        <v>0</v>
      </c>
      <c r="M17" s="58" cm="1">
        <f t="array" ref="M17">SUMPRODUCT(--($C$30:$C$332=$D$11),--($E$30:$E$332=M$11),$M$30:$M$332)</f>
        <v>0</v>
      </c>
      <c r="N17" s="58" cm="1">
        <f t="array" ref="N17">SUMPRODUCT(--($C$30:$C$332=$D$11),--($E$30:$E$332=N$11),$M$30:$M$332)</f>
        <v>0</v>
      </c>
      <c r="O17" s="58" cm="1">
        <f t="array" ref="O17">SUMPRODUCT(--($C$30:$C$332=$D$11),--($E$30:$E$332=O$11),$M$30:$M$332)</f>
        <v>0</v>
      </c>
      <c r="P17" s="58" cm="1">
        <f t="array" ref="P17">SUMPRODUCT(--($C$30:$C$332=$D$11),--($E$30:$E$332=P$11),$M$30:$M$332)</f>
        <v>0</v>
      </c>
      <c r="Q17" s="58" cm="1">
        <f t="array" ref="Q17">SUMPRODUCT(--($C$30:$C$332=$D$11),--($E$30:$E$332=Q$11),$M$30:$M$332)</f>
        <v>0</v>
      </c>
      <c r="R17" s="59" cm="1">
        <f t="array" ref="R17">SUMPRODUCT(--($C$30:$C$332=$D$11),--($E$30:$E$332=R$11),$M$30:$M$332)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</row>
    <row r="18" spans="3:64" ht="14.25" hidden="1" outlineLevel="1" collapsed="1" thickTop="1" thickBot="1">
      <c r="D18" s="60" t="s">
        <v>22</v>
      </c>
      <c r="E18" s="61" t="e" cm="1" vm="2">
        <f t="array" ref="E18">SUMPRODUCT(--($C$30:$C$332=$D$11),--($E$30:$E$332=E$11),$M$30:$M$332,$J$30:$J$332)</f>
        <v>#VALUE!</v>
      </c>
      <c r="F18" s="61" cm="1">
        <f t="array" ref="F18">SUMPRODUCT(--($C$30:$C$332=$D$11),--($E$30:$E$332=F$11),$M$30:$M$332,$J$30:$J$332)</f>
        <v>0</v>
      </c>
      <c r="G18" s="61" cm="1">
        <f t="array" ref="G18">SUMPRODUCT(--($C$30:$C$332=$D$11),--($E$30:$E$332=G$11),$M$30:$M$332,$J$30:$J$332)</f>
        <v>0</v>
      </c>
      <c r="H18" s="61" cm="1">
        <f t="array" ref="H18">SUMPRODUCT(--($C$30:$C$332=$D$11),--($E$30:$E$332=H$11),$M$30:$M$332,$J$30:$J$332)</f>
        <v>0</v>
      </c>
      <c r="I18" s="61" cm="1">
        <f t="array" ref="I18">SUMPRODUCT(--($C$30:$C$332=$D$11),--($E$30:$E$332=I$11),$M$30:$M$332,$J$30:$J$332)</f>
        <v>0</v>
      </c>
      <c r="J18" s="61" cm="1">
        <f t="array" ref="J18">SUMPRODUCT(--($C$30:$C$332=$D$11),--($E$30:$E$332=J$11),$M$30:$M$332,$J$30:$J$332)</f>
        <v>0</v>
      </c>
      <c r="K18" s="61" cm="1">
        <f t="array" ref="K18">SUMPRODUCT(--($C$30:$C$332=$D$11),--($E$30:$E$332=K$11),$M$30:$M$332,$J$30:$J$332)</f>
        <v>0</v>
      </c>
      <c r="L18" s="61" cm="1">
        <f t="array" ref="L18">SUMPRODUCT(--($C$30:$C$332=$D$11),--($E$30:$E$332=L$11),$M$30:$M$332,$J$30:$J$332)</f>
        <v>0</v>
      </c>
      <c r="M18" s="61" cm="1">
        <f t="array" ref="M18">SUMPRODUCT(--($C$30:$C$332=$D$11),--($E$30:$E$332=M$11),$M$30:$M$332,$J$30:$J$332)</f>
        <v>0</v>
      </c>
      <c r="N18" s="61" cm="1">
        <f t="array" ref="N18">SUMPRODUCT(--($C$30:$C$332=$D$11),--($E$30:$E$332=N$11),$M$30:$M$332,$J$30:$J$332)</f>
        <v>0</v>
      </c>
      <c r="O18" s="61" cm="1">
        <f t="array" ref="O18">SUMPRODUCT(--($C$30:$C$332=$D$11),--($E$30:$E$332=O$11),$M$30:$M$332,$J$30:$J$332)</f>
        <v>0</v>
      </c>
      <c r="P18" s="61" cm="1">
        <f t="array" ref="P18">SUMPRODUCT(--($C$30:$C$332=$D$11),--($E$30:$E$332=P$11),$M$30:$M$332,$J$30:$J$332)</f>
        <v>0</v>
      </c>
      <c r="Q18" s="61" cm="1">
        <f t="array" ref="Q18">SUMPRODUCT(--($C$30:$C$332=$D$11),--($E$30:$E$332=Q$11),$M$30:$M$332,$J$30:$J$332)</f>
        <v>0</v>
      </c>
      <c r="R18" s="62" cm="1">
        <f t="array" ref="R18">SUMPRODUCT(--($C$30:$C$332=$D$11),--($E$30:$E$332=R$11),$M$30:$M$332,$J$30:$J$332)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</row>
    <row r="19" spans="3:64" ht="13.5" hidden="1" outlineLevel="1" thickTop="1"/>
    <row r="20" spans="3:64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64" ht="13.5" hidden="1" outlineLevel="1" thickTop="1">
      <c r="D21" s="63" t="s">
        <v>13</v>
      </c>
      <c r="E21" s="64" t="str" cm="1">
        <f t="array" ref="E21:M21">_xlfn._xlws.SORT(MID(TRANSPOSE(_xlfn.UNIQUE(_xlfn._xlws.FILTER(BC30:BC332,(C30:C332=$D$21)*(M30:M332&lt;&gt;0)))),3,3),,1)</f>
        <v>25</v>
      </c>
      <c r="F21" s="64" t="str">
        <v>15</v>
      </c>
      <c r="G21" s="64" t="str">
        <v>20</v>
      </c>
      <c r="H21" s="64" t="e">
        <v>#VALUE!</v>
      </c>
      <c r="I21" s="64" t="str">
        <v>12</v>
      </c>
      <c r="J21" s="64" t="str">
        <v>10</v>
      </c>
      <c r="K21" s="64" t="str">
        <v>30</v>
      </c>
      <c r="L21" s="65" t="str">
        <v>3</v>
      </c>
      <c r="M21" s="65" t="str">
        <v>5</v>
      </c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</row>
    <row r="22" spans="3:64" ht="30.75" hidden="1" customHeight="1" outlineLevel="2">
      <c r="D22" s="66" t="s">
        <v>24</v>
      </c>
      <c r="E22" s="67" t="e" cm="1">
        <f t="array" ref="E22">SUMPRODUCT(--($C$30:$C$332=$D$21),--($BC$30:$BC$332="PL"&amp;E$21),$J$30:$J$332,$I$30:$I$332)/(7.85*E$21)</f>
        <v>#VALUE!</v>
      </c>
      <c r="F22" s="67" t="e" cm="1">
        <f t="array" ref="F22">SUMPRODUCT(--($C$30:$C$332=$D$21),--($BC$30:$BC$332="PL"&amp;F$21),$J$30:$J$332,$I$30:$I$332)/(7.85*F$21)</f>
        <v>#VALUE!</v>
      </c>
      <c r="G22" s="67" t="e" cm="1">
        <f t="array" ref="G22">SUMPRODUCT(--($C$30:$C$332=$D$21),--($BC$30:$BC$332="PL"&amp;G$21),$J$30:$J$332,$I$30:$I$332)/(7.85*G$21)</f>
        <v>#VALUE!</v>
      </c>
      <c r="H22" s="67" t="e" cm="1">
        <f t="array" ref="H22">SUMPRODUCT(--($C$30:$C$332=$D$21),--($BC$30:$BC$332="PL"&amp;H$21),$J$30:$J$332,$I$30:$I$332)/(7.85*H$21)</f>
        <v>#VALUE!</v>
      </c>
      <c r="I22" s="67" t="e" cm="1">
        <f t="array" ref="I22">SUMPRODUCT(--($C$30:$C$332=$D$21),--($BC$30:$BC$332="PL"&amp;I$21),$J$30:$J$332,$I$30:$I$332)/(7.85*I$21)</f>
        <v>#VALUE!</v>
      </c>
      <c r="J22" s="67" t="e" cm="1">
        <f t="array" ref="J22">SUMPRODUCT(--($C$30:$C$332=$D$21),--($BC$30:$BC$332="PL"&amp;J$21),$J$30:$J$332,$I$30:$I$332)/(7.85*J$21)</f>
        <v>#VALUE!</v>
      </c>
      <c r="K22" s="67" t="e" cm="1">
        <f t="array" ref="K22">SUMPRODUCT(--($C$30:$C$332=$D$21),--($BC$30:$BC$332="PL"&amp;K$21),$J$30:$J$332,$I$30:$I$332)/(7.85*K$21)</f>
        <v>#VALUE!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</row>
    <row r="23" spans="3:64" ht="21" hidden="1" customHeight="1" outlineLevel="2">
      <c r="D23" s="66" t="s">
        <v>17</v>
      </c>
      <c r="E23" s="69" t="e" cm="1">
        <f t="array" ref="E23">SUMPRODUCT(--($C$30:$C$332=$D$21),--($BC$30:$BC$332="PL"&amp;E$21),$I$30:$I$332)</f>
        <v>#VALUE!</v>
      </c>
      <c r="F23" s="69" t="e" cm="1">
        <f t="array" ref="F23">SUMPRODUCT(--($C$30:$C$332=$D$21),--($BC$30:$BC$332="PL"&amp;F$21),$I$30:$I$332)</f>
        <v>#VALUE!</v>
      </c>
      <c r="G23" s="69" t="e" cm="1">
        <f t="array" ref="G23">SUMPRODUCT(--($C$30:$C$332=$D$21),--($BC$30:$BC$332="PL"&amp;G$21),$I$30:$I$332)</f>
        <v>#VALUE!</v>
      </c>
      <c r="H23" s="69" t="e" cm="1">
        <f t="array" ref="H23">SUMPRODUCT(--($C$30:$C$332=$D$21),--($BC$30:$BC$332="PL"&amp;H$21),$I$30:$I$332)</f>
        <v>#VALUE!</v>
      </c>
      <c r="I23" s="69" t="e" cm="1">
        <f t="array" ref="I23">SUMPRODUCT(--($C$30:$C$332=$D$21),--($BC$30:$BC$332="PL"&amp;I$21),$I$30:$I$332)</f>
        <v>#VALUE!</v>
      </c>
      <c r="J23" s="69" t="e" cm="1">
        <f t="array" ref="J23">SUMPRODUCT(--($C$30:$C$332=$D$21),--($BC$30:$BC$332="PL"&amp;J$21),$I$30:$I$332)</f>
        <v>#VALUE!</v>
      </c>
      <c r="K23" s="69" t="e" cm="1">
        <f t="array" ref="K23">SUMPRODUCT(--($C$30:$C$332=$D$21),--($BC$30:$BC$332="PL"&amp;K$21),$I$30:$I$332)</f>
        <v>#VALUE!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</row>
    <row r="24" spans="3:64" ht="25.9" hidden="1" customHeight="1" outlineLevel="2">
      <c r="D24" s="66" t="s">
        <v>25</v>
      </c>
      <c r="E24" s="67" t="e" cm="1">
        <f t="array" ref="E24">SUMPRODUCT(--($C$30:$C$332=$D$21),--($BC$30:$BC$332="PL"&amp;E$21),$J$30:$J$332,$M$30:$M$332)/(7.85*E$21)</f>
        <v>#VALUE!</v>
      </c>
      <c r="F24" s="67" t="e" cm="1">
        <f t="array" ref="F24">SUMPRODUCT(--($C$30:$C$332=$D$21),--($BC$30:$BC$332="PL"&amp;F$21),$J$30:$J$332,$M$30:$M$332)/(7.85*F$21)</f>
        <v>#VALUE!</v>
      </c>
      <c r="G24" s="67" t="e" cm="1">
        <f t="array" ref="G24">SUMPRODUCT(--($C$30:$C$332=$D$21),--($BC$30:$BC$332="PL"&amp;G$21),$J$30:$J$332,$M$30:$M$332)/(7.85*G$21)</f>
        <v>#VALUE!</v>
      </c>
      <c r="H24" s="67" t="e" cm="1">
        <f t="array" ref="H24">SUMPRODUCT(--($C$30:$C$332=$D$21),--($BC$30:$BC$332="PL"&amp;H$21),$J$30:$J$332,$M$30:$M$332)/(7.85*H$21)</f>
        <v>#VALUE!</v>
      </c>
      <c r="I24" s="67" t="e" cm="1">
        <f t="array" ref="I24">SUMPRODUCT(--($C$30:$C$332=$D$21),--($BC$30:$BC$332="PL"&amp;I$21),$J$30:$J$332,$M$30:$M$332)/(7.85*I$21)</f>
        <v>#VALUE!</v>
      </c>
      <c r="J24" s="67" t="e" cm="1">
        <f t="array" ref="J24">SUMPRODUCT(--($C$30:$C$332=$D$21),--($BC$30:$BC$332="PL"&amp;J$21),$J$30:$J$332,$M$30:$M$332)/(7.85*J$21)</f>
        <v>#VALUE!</v>
      </c>
      <c r="K24" s="67" t="e" cm="1">
        <f t="array" ref="K24">SUMPRODUCT(--($C$30:$C$332=$D$21),--($BC$30:$BC$332="PL"&amp;K$21),$J$30:$J$332,$M$30:$M$332)/(7.85*K$21)</f>
        <v>#VALUE!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</row>
    <row r="25" spans="3:64" ht="19.5" hidden="1" customHeight="1" outlineLevel="2">
      <c r="D25" s="71" t="s">
        <v>26</v>
      </c>
      <c r="E25" s="69" t="e" cm="1">
        <f t="array" ref="E25">SUMPRODUCT(--($C$30:$C$332=$D$21),--($BC$30:$BC$332="PL"&amp;E$21),$M$30:$M$332)</f>
        <v>#VALUE!</v>
      </c>
      <c r="F25" s="69" t="e" cm="1">
        <f t="array" ref="F25">SUMPRODUCT(--($C$30:$C$332=$D$21),--($BC$30:$BC$332="PL"&amp;F$21),$M$30:$M$332)</f>
        <v>#VALUE!</v>
      </c>
      <c r="G25" s="69" t="e" cm="1">
        <f t="array" ref="G25">SUMPRODUCT(--($C$30:$C$332=$D$21),--($BC$30:$BC$332="PL"&amp;G$21),$M$30:$M$332)</f>
        <v>#VALUE!</v>
      </c>
      <c r="H25" s="69" t="e" cm="1">
        <f t="array" ref="H25">SUMPRODUCT(--($C$30:$C$332=$D$21),--($BC$30:$BC$332="PL"&amp;H$21),$M$30:$M$332)</f>
        <v>#VALUE!</v>
      </c>
      <c r="I25" s="69" t="e" cm="1">
        <f t="array" ref="I25">SUMPRODUCT(--($C$30:$C$332=$D$21),--($BC$30:$BC$332="PL"&amp;I$21),$M$30:$M$332)</f>
        <v>#VALUE!</v>
      </c>
      <c r="J25" s="69" t="e" cm="1">
        <f t="array" ref="J25">SUMPRODUCT(--($C$30:$C$332=$D$21),--($BC$30:$BC$332="PL"&amp;J$21),$M$30:$M$332)</f>
        <v>#VALUE!</v>
      </c>
      <c r="K25" s="69" t="e" cm="1">
        <f t="array" ref="K25">SUMPRODUCT(--($C$30:$C$332=$D$21),--($BC$30:$BC$332="PL"&amp;K$21),$M$30:$M$332)</f>
        <v>#VALUE!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</row>
    <row r="26" spans="3:64" ht="25.9" hidden="1" customHeight="1" outlineLevel="1" collapsed="1" thickBot="1">
      <c r="D26" s="72" t="s">
        <v>27</v>
      </c>
      <c r="E26" s="67" t="e" cm="1">
        <f t="array" ref="E26">SUMPRODUCT(--($C$30:$C$332=$D$21),--($BC$30:$BC$332="PL"&amp;E$21),$J$30:$J$332,$M$30:$M$332)</f>
        <v>#VALUE!</v>
      </c>
      <c r="F26" s="67" t="e" cm="1">
        <f t="array" ref="F26">SUMPRODUCT(--($C$30:$C$332=$D$21),--($BC$30:$BC$332="PL"&amp;F$21),$J$30:$J$332,$M$30:$M$332)</f>
        <v>#VALUE!</v>
      </c>
      <c r="G26" s="67" t="e" cm="1">
        <f t="array" ref="G26">SUMPRODUCT(--($C$30:$C$332=$D$21),--($BC$30:$BC$332="PL"&amp;G$21),$J$30:$J$332,$M$30:$M$332)</f>
        <v>#VALUE!</v>
      </c>
      <c r="H26" s="67" t="e" cm="1">
        <f t="array" ref="H26">SUMPRODUCT(--($C$30:$C$332=$D$21),--($BC$30:$BC$332="PL"&amp;H$21),$J$30:$J$332,$M$30:$M$332)</f>
        <v>#VALUE!</v>
      </c>
      <c r="I26" s="67" t="e" cm="1">
        <f t="array" ref="I26">SUMPRODUCT(--($C$30:$C$332=$D$21),--($BC$30:$BC$332="PL"&amp;I$21),$J$30:$J$332,$M$30:$M$332)</f>
        <v>#VALUE!</v>
      </c>
      <c r="J26" s="67" t="e" cm="1">
        <f t="array" ref="J26">SUMPRODUCT(--($C$30:$C$332=$D$21),--($BC$30:$BC$332="PL"&amp;J$21),$J$30:$J$332,$M$30:$M$332)</f>
        <v>#VALUE!</v>
      </c>
      <c r="K26" s="67" t="e" cm="1">
        <f t="array" ref="K26">SUMPRODUCT(--($C$30:$C$332=$D$21),--($BC$30:$BC$332="PL"&amp;K$21),$J$30:$J$332,$M$30:$M$332)</f>
        <v>#VALUE!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</row>
    <row r="27" spans="3:64" ht="13.5" collapsed="1" thickTop="1">
      <c r="N27" s="73" cm="1">
        <f t="array" ref="N27">SUMPRODUCT($J$30:$J$332,N30:N332,--(N30:N332&lt;&gt;""))</f>
        <v>2393</v>
      </c>
      <c r="O27" s="73" cm="1">
        <f t="array" ref="O27">SUMPRODUCT($J$30:$J$332,O30:O332,--(O30:O332&lt;&gt;""))</f>
        <v>2610.6999999999998</v>
      </c>
      <c r="P27" s="73" cm="1">
        <f t="array" ref="P27">SUMPRODUCT($J$30:$J$332,P30:P332,--(P30:P332&lt;&gt;""))</f>
        <v>1732.9999999999998</v>
      </c>
      <c r="Q27" s="73" cm="1">
        <f t="array" ref="Q27">SUMPRODUCT($J$30:$J$332,Q30:Q332,--(Q30:Q332&lt;&gt;""))</f>
        <v>2066.8999999999992</v>
      </c>
      <c r="R27" s="73" cm="1">
        <f t="array" ref="R27">SUMPRODUCT($J$30:$J$332,R30:R332,--(R30:R332&lt;&gt;""))</f>
        <v>204.1</v>
      </c>
      <c r="S27" s="73" cm="1">
        <f t="array" ref="S27">SUMPRODUCT($J$30:$J$332,S30:S332,--(S30:S332&lt;&gt;""))</f>
        <v>14.8</v>
      </c>
      <c r="T27" s="73" cm="1">
        <f t="array" ref="T27">SUMPRODUCT($J$30:$J$332,T30:T332,--(T30:T332&lt;&gt;""))</f>
        <v>45286.8</v>
      </c>
      <c r="U27" s="73" cm="1">
        <f t="array" ref="U27">SUMPRODUCT($J$30:$J$332,U30:U332,--(U30:U332&lt;&gt;""))</f>
        <v>1663.8</v>
      </c>
      <c r="V27" s="73" cm="1">
        <f t="array" ref="V27">SUMPRODUCT($J$30:$J$332,V30:V332,--(V30:V332&lt;&gt;""))</f>
        <v>51</v>
      </c>
      <c r="W27" s="73" cm="1">
        <f t="array" ref="W27">SUMPRODUCT($J$30:$J$332,W30:W332,--(W30:W332&lt;&gt;""))</f>
        <v>20.5</v>
      </c>
      <c r="X27" s="73" cm="1">
        <f t="array" ref="X27">SUMPRODUCT($J$30:$J$332,X30:X332,--(X30:X332&lt;&gt;""))</f>
        <v>5724.5000000000018</v>
      </c>
      <c r="Y27" s="73" cm="1">
        <f t="array" ref="Y27">SUMPRODUCT($J$30:$J$332,Y30:Y332,--(Y30:Y332&lt;&gt;""))</f>
        <v>20015.099999999995</v>
      </c>
      <c r="Z27" s="73" cm="1">
        <f t="array" ref="Z27">SUMPRODUCT($J$30:$J$332,Z30:Z332,--(Z30:Z332&lt;&gt;""))</f>
        <v>2116</v>
      </c>
      <c r="AA27" s="73" cm="1">
        <f t="array" ref="AA27">SUMPRODUCT($J$30:$J$332,AA30:AA332,--(AA30:AA332&lt;&gt;""))</f>
        <v>61.300000000000004</v>
      </c>
      <c r="AB27" s="73" cm="1">
        <f t="array" ref="AB27">SUMPRODUCT($J$30:$J$332,AB30:AB332,--(AB30:AB332&lt;&gt;""))</f>
        <v>274.3</v>
      </c>
      <c r="AC27" s="73" cm="1">
        <f t="array" ref="AC27">SUMPRODUCT($J$30:$J$332,AC30:AC332,--(AC30:AC332&lt;&gt;""))</f>
        <v>1953.3000000000002</v>
      </c>
      <c r="AD27" s="73" cm="1">
        <f t="array" ref="AD27">SUMPRODUCT($J$30:$J$332,AD30:AD332,--(AD30:AD332&lt;&gt;""))</f>
        <v>3143.7</v>
      </c>
      <c r="AE27" s="73" cm="1">
        <f t="array" ref="AE27">SUMPRODUCT($J$30:$J$332,AE30:AE332,--(AE30:AE332&lt;&gt;""))</f>
        <v>3438.6</v>
      </c>
      <c r="AF27" s="73" cm="1">
        <f t="array" ref="AF27">SUMPRODUCT($J$30:$J$332,AF30:AF332,--(AF30:AF332&lt;&gt;""))</f>
        <v>3860.4</v>
      </c>
      <c r="AG27" s="73" cm="1">
        <f t="array" ref="AG27">SUMPRODUCT($J$30:$J$332,AG30:AG332,--(AG30:AG332&lt;&gt;""))</f>
        <v>1424.4</v>
      </c>
      <c r="AH27" s="73" cm="1">
        <f t="array" ref="AH27">SUMPRODUCT($J$30:$J$332,AH30:AH332,--(AH30:AH332&lt;&gt;""))</f>
        <v>7531.6999999999989</v>
      </c>
      <c r="AI27" s="73" cm="1">
        <f t="array" ref="AI27">SUMPRODUCT($J$30:$J$332,AI30:AI332,--(AI30:AI332&lt;&gt;""))</f>
        <v>1426.3</v>
      </c>
      <c r="AJ27" s="73" cm="1">
        <f t="array" ref="AJ27">SUMPRODUCT($J$30:$J$332,AJ30:AJ332,--(AJ30:AJ332&lt;&gt;""))</f>
        <v>4202.7000000000007</v>
      </c>
      <c r="AK27" s="73" cm="1">
        <f t="array" ref="AK27">SUMPRODUCT($J$30:$J$332,AK30:AK332,--(AK30:AK332&lt;&gt;""))</f>
        <v>48070.8</v>
      </c>
      <c r="AL27" s="73" cm="1">
        <f t="array" ref="AL27">SUMPRODUCT($J$30:$J$332,AL30:AL332,--(AL30:AL332&lt;&gt;""))</f>
        <v>1485.9</v>
      </c>
      <c r="AM27" s="73" cm="1">
        <f t="array" ref="AM27">SUMPRODUCT($J$30:$J$332,AM30:AM332,--(AM30:AM332&lt;&gt;""))</f>
        <v>2158.3000000000002</v>
      </c>
      <c r="AN27" s="73" cm="1">
        <f t="array" ref="AN27">SUMPRODUCT($J$30:$J$332,AN30:AN332,--(AN30:AN332&lt;&gt;""))</f>
        <v>580.5</v>
      </c>
      <c r="AO27" s="73" cm="1">
        <f t="array" ref="AO27">SUMPRODUCT($J$30:$J$332,AO30:AO332,--(AO30:AO332&lt;&gt;""))</f>
        <v>45765.9</v>
      </c>
      <c r="AP27" s="73" cm="1">
        <f t="array" ref="AP27">SUMPRODUCT($J$30:$J$332,AP30:AP332,--(AP30:AP332&lt;&gt;""))</f>
        <v>7128.7999999999993</v>
      </c>
      <c r="AQ27" s="73" cm="1">
        <f t="array" ref="AQ27">SUMPRODUCT($J$30:$J$332,AQ30:AQ332,--(AQ30:AQ332&lt;&gt;""))</f>
        <v>10285.700000000001</v>
      </c>
      <c r="AR27" s="73" cm="1">
        <f t="array" ref="AR27">SUMPRODUCT($J$30:$J$332,AR30:AR332,--(AR30:AR332&lt;&gt;""))</f>
        <v>48.8</v>
      </c>
      <c r="AS27" s="73" cm="1">
        <f t="array" ref="AS27">SUMPRODUCT($J$30:$J$332,AS30:AS332,--(AS30:AS332&lt;&gt;""))</f>
        <v>177.60000000000002</v>
      </c>
      <c r="AT27" s="73" cm="1">
        <f t="array" ref="AT27">SUMPRODUCT($J$30:$J$332,AT30:AT332,--(AT30:AT332&lt;&gt;""))</f>
        <v>404.8</v>
      </c>
      <c r="AU27" s="73" cm="1">
        <f t="array" ref="AU27">SUMPRODUCT($J$30:$J$332,AU30:AU332,--(AU30:AU332&lt;&gt;""))</f>
        <v>43622.8</v>
      </c>
      <c r="AV27" s="73" cm="1">
        <f t="array" ref="AV27">SUMPRODUCT($J$30:$J$332,AV30:AV332,--(AV30:AV332&lt;&gt;""))</f>
        <v>1830.4</v>
      </c>
      <c r="AW27" s="73" cm="1">
        <f t="array" ref="AW27">SUMPRODUCT($J$30:$J$332,AW30:AW332,--(AW30:AW332&lt;&gt;""))</f>
        <v>32421.8</v>
      </c>
      <c r="AX27" s="73" cm="1">
        <f t="array" ref="AX27">SUMPRODUCT($J$30:$J$332,AX30:AX332,--(AX30:AX332&lt;&gt;""))</f>
        <v>3849</v>
      </c>
      <c r="AY27" s="73" cm="1">
        <f t="array" ref="AY27">SUMPRODUCT($J$30:$J$332,AY30:AY332,--(AY30:AY332&lt;&gt;""))</f>
        <v>356.2</v>
      </c>
      <c r="AZ27" s="73" cm="1">
        <f t="array" ref="AZ27">SUMPRODUCT($J$30:$J$332,AZ30:AZ332,--(AZ30:AZ332&lt;&gt;""))</f>
        <v>0</v>
      </c>
      <c r="BA27" s="73" t="e" cm="1">
        <f t="array" ref="BA27">SUMPRODUCT($J$30:$J$332,BA30:BA332,--(BA30:BA332&lt;&gt;""))</f>
        <v>#VALUE!</v>
      </c>
    </row>
    <row r="28" spans="3:64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Z28" si="1">SUM(N30:N332)</f>
        <v>17</v>
      </c>
      <c r="O28" s="76">
        <f t="shared" si="1"/>
        <v>28</v>
      </c>
      <c r="P28" s="75">
        <f t="shared" si="1"/>
        <v>45</v>
      </c>
      <c r="Q28" s="75">
        <f t="shared" si="1"/>
        <v>24</v>
      </c>
      <c r="R28" s="75">
        <f t="shared" si="1"/>
        <v>4</v>
      </c>
      <c r="S28" s="75">
        <f t="shared" si="1"/>
        <v>2</v>
      </c>
      <c r="T28" s="75">
        <f t="shared" si="1"/>
        <v>28</v>
      </c>
      <c r="U28" s="75">
        <f t="shared" si="1"/>
        <v>15</v>
      </c>
      <c r="V28" s="75">
        <f t="shared" si="1"/>
        <v>3</v>
      </c>
      <c r="W28" s="75">
        <f t="shared" si="1"/>
        <v>1</v>
      </c>
      <c r="X28" s="75">
        <f t="shared" si="1"/>
        <v>100</v>
      </c>
      <c r="Y28" s="75">
        <f t="shared" ref="Y28:Z28" si="2">SUM(Y30:Y332)</f>
        <v>41</v>
      </c>
      <c r="Z28" s="75">
        <f t="shared" si="2"/>
        <v>36</v>
      </c>
      <c r="AA28" s="75">
        <f t="shared" ref="AA28:AB28" si="3">SUM(AA30:AA332)</f>
        <v>3</v>
      </c>
      <c r="AB28" s="75">
        <f t="shared" si="3"/>
        <v>11</v>
      </c>
      <c r="AC28" s="75">
        <f t="shared" ref="AC28:AD28" si="4">SUM(AC30:AC332)</f>
        <v>12</v>
      </c>
      <c r="AD28" s="75">
        <f t="shared" si="4"/>
        <v>2</v>
      </c>
      <c r="AE28" s="75">
        <f t="shared" ref="AE28:AF28" si="5">SUM(AE30:AE332)</f>
        <v>2</v>
      </c>
      <c r="AF28" s="75">
        <f t="shared" si="5"/>
        <v>6</v>
      </c>
      <c r="AG28" s="75">
        <f t="shared" ref="AG28:AH28" si="6">SUM(AG30:AG332)</f>
        <v>1</v>
      </c>
      <c r="AH28" s="75">
        <f t="shared" si="6"/>
        <v>5</v>
      </c>
      <c r="AI28" s="75">
        <f t="shared" ref="AI28:AJ28" si="7">SUM(AI30:AI332)</f>
        <v>1</v>
      </c>
      <c r="AJ28" s="75">
        <f t="shared" si="7"/>
        <v>3</v>
      </c>
      <c r="AK28" s="75">
        <f t="shared" ref="AK28:AL28" si="8">SUM(AK30:AK332)</f>
        <v>32</v>
      </c>
      <c r="AL28" s="75">
        <f t="shared" si="8"/>
        <v>3</v>
      </c>
      <c r="AM28" s="75">
        <f t="shared" ref="AM28:AN28" si="9">SUM(AM30:AM332)</f>
        <v>37</v>
      </c>
      <c r="AN28" s="75">
        <f t="shared" si="9"/>
        <v>16</v>
      </c>
      <c r="AO28" s="75">
        <f t="shared" ref="AO28:AP28" si="10">SUM(AO30:AO332)</f>
        <v>33</v>
      </c>
      <c r="AP28" s="75">
        <f t="shared" si="10"/>
        <v>98</v>
      </c>
      <c r="AQ28" s="75">
        <f t="shared" ref="AQ28:AR28" si="11">SUM(AQ30:AQ332)</f>
        <v>7</v>
      </c>
      <c r="AR28" s="75">
        <f t="shared" si="11"/>
        <v>2</v>
      </c>
      <c r="AS28" s="75">
        <f t="shared" ref="AS28:AT28" si="12">SUM(AS30:AS332)</f>
        <v>3</v>
      </c>
      <c r="AT28" s="75">
        <f t="shared" si="12"/>
        <v>12</v>
      </c>
      <c r="AU28" s="75">
        <f t="shared" ref="AU28:AV28" si="13">SUM(AU30:AU332)</f>
        <v>27</v>
      </c>
      <c r="AV28" s="75">
        <f t="shared" si="13"/>
        <v>41</v>
      </c>
      <c r="AW28" s="75">
        <f t="shared" ref="AW28:AX28" si="14">SUM(AW30:AW332)</f>
        <v>23</v>
      </c>
      <c r="AX28" s="75">
        <f t="shared" si="14"/>
        <v>7</v>
      </c>
      <c r="AY28" s="75">
        <f t="shared" ref="AY28" si="15">SUM(AY30:AY332)</f>
        <v>21</v>
      </c>
      <c r="AZ28" s="75">
        <f t="shared" si="1"/>
        <v>0</v>
      </c>
      <c r="BA28" s="75" t="e">
        <f t="shared" ref="BA28" si="16">SUM(BA30:BA332)</f>
        <v>#VALUE!</v>
      </c>
      <c r="BB28" s="74"/>
      <c r="BC28" s="74"/>
    </row>
    <row r="29" spans="3:64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46214</v>
      </c>
      <c r="O29" s="78">
        <v>46215</v>
      </c>
      <c r="P29" s="78">
        <v>46216</v>
      </c>
      <c r="Q29" s="78">
        <v>46217</v>
      </c>
      <c r="R29" s="78">
        <v>46218</v>
      </c>
      <c r="S29" s="78">
        <v>46223</v>
      </c>
      <c r="T29" s="79">
        <v>46228</v>
      </c>
      <c r="U29" s="79">
        <v>46232</v>
      </c>
      <c r="V29" s="79">
        <v>46233</v>
      </c>
      <c r="W29" s="79">
        <v>46234</v>
      </c>
      <c r="X29" s="79">
        <v>46237</v>
      </c>
      <c r="Y29" s="79">
        <v>46239</v>
      </c>
      <c r="Z29" s="79">
        <v>46240</v>
      </c>
      <c r="AA29" s="79">
        <v>46244</v>
      </c>
      <c r="AB29" s="79">
        <v>46246</v>
      </c>
      <c r="AC29" s="79">
        <v>46250</v>
      </c>
      <c r="AD29" s="79">
        <v>46258</v>
      </c>
      <c r="AE29" s="79">
        <v>46259</v>
      </c>
      <c r="AF29" s="79">
        <v>46261</v>
      </c>
      <c r="AG29" s="79">
        <v>46262</v>
      </c>
      <c r="AH29" s="79">
        <v>46272</v>
      </c>
      <c r="AI29" s="79">
        <v>46284</v>
      </c>
      <c r="AJ29" s="79">
        <v>46286</v>
      </c>
      <c r="AK29" s="79">
        <v>46287</v>
      </c>
      <c r="AL29" s="79">
        <v>46289</v>
      </c>
      <c r="AM29" s="79">
        <v>46293</v>
      </c>
      <c r="AN29" s="79">
        <v>46294</v>
      </c>
      <c r="AO29" s="79">
        <v>46295</v>
      </c>
      <c r="AP29" s="79">
        <v>46296</v>
      </c>
      <c r="AQ29" s="79">
        <v>46304</v>
      </c>
      <c r="AR29" s="79">
        <v>46307</v>
      </c>
      <c r="AS29" s="79">
        <v>46309</v>
      </c>
      <c r="AT29" s="79">
        <v>46311</v>
      </c>
      <c r="AU29" s="79">
        <v>46317</v>
      </c>
      <c r="AV29" s="79">
        <v>46318</v>
      </c>
      <c r="AW29" s="79">
        <v>46319</v>
      </c>
      <c r="AX29" s="79">
        <v>46323</v>
      </c>
      <c r="AY29" s="79">
        <v>46325</v>
      </c>
      <c r="AZ29" s="78" t="s">
        <v>34</v>
      </c>
      <c r="BA29" s="77" t="s">
        <v>35</v>
      </c>
      <c r="BB29" s="77" t="s">
        <v>36</v>
      </c>
      <c r="BC29" s="77" t="s">
        <v>37</v>
      </c>
      <c r="BD29" s="80" t="s">
        <v>38</v>
      </c>
      <c r="BE29" s="80" t="s">
        <v>39</v>
      </c>
      <c r="BF29" s="80" t="s">
        <v>40</v>
      </c>
      <c r="BG29" s="80" t="s">
        <v>41</v>
      </c>
      <c r="BH29" s="80" t="s">
        <v>42</v>
      </c>
      <c r="BI29" s="80" t="s">
        <v>43</v>
      </c>
      <c r="BJ29" s="81" t="s">
        <v>44</v>
      </c>
      <c r="BK29" s="80"/>
      <c r="BL29" s="80"/>
    </row>
    <row r="30" spans="3:64" ht="14.25" hidden="1" customHeight="1">
      <c r="C30" s="82" t="s">
        <v>13</v>
      </c>
      <c r="D30" s="82" t="s">
        <v>480</v>
      </c>
      <c r="E30" s="82" t="s">
        <v>146</v>
      </c>
      <c r="F30" s="82" t="s">
        <v>13</v>
      </c>
      <c r="G30" s="82">
        <v>11567</v>
      </c>
      <c r="H30" s="82" t="s">
        <v>147</v>
      </c>
      <c r="I30" s="82">
        <v>4</v>
      </c>
      <c r="J30" s="82">
        <v>45.4</v>
      </c>
      <c r="K30" s="82">
        <v>181.6</v>
      </c>
      <c r="L30" s="26">
        <f t="shared" ref="L30:L269" si="17">MIN(SUM(N30:AZ30),I30)</f>
        <v>4</v>
      </c>
      <c r="M30" s="26">
        <f t="shared" ref="M30:M269" si="18">MAX(0,I30-L30)</f>
        <v>0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>
        <v>16</v>
      </c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67" t="e">
        <f>SUMIFS([1]Up!$J:$J,[1]Up!$D:$D,D30)</f>
        <v>#VALUE!</v>
      </c>
      <c r="BB30" s="82"/>
      <c r="BC30" s="82" t="str">
        <f t="shared" ref="BC30:BC269" si="19">IFERROR(IF(C30="Plate",LEFT(E30,FIND("*",E30,1)-1),""),IF(C30="Plate",LEFT(E30,FIND("x",E30,1)-1),""))</f>
        <v>PL10</v>
      </c>
      <c r="BD30" s="53" t="s">
        <v>2251</v>
      </c>
      <c r="BE30" s="53" t="s">
        <v>148</v>
      </c>
      <c r="BF30" s="53"/>
      <c r="BG30" s="53"/>
      <c r="BH30" s="53" t="s">
        <v>57</v>
      </c>
      <c r="BI30" s="53">
        <v>12</v>
      </c>
      <c r="BJ30" s="83"/>
      <c r="BK30" s="53"/>
      <c r="BL30" s="53"/>
    </row>
    <row r="31" spans="3:64" ht="14.25" hidden="1" customHeight="1">
      <c r="C31" s="82" t="s">
        <v>13</v>
      </c>
      <c r="D31" s="82" t="s">
        <v>482</v>
      </c>
      <c r="E31" s="82" t="s">
        <v>418</v>
      </c>
      <c r="F31" s="82" t="s">
        <v>13</v>
      </c>
      <c r="G31" s="82">
        <v>3272</v>
      </c>
      <c r="H31" s="82" t="s">
        <v>147</v>
      </c>
      <c r="I31" s="82">
        <v>2</v>
      </c>
      <c r="J31" s="82">
        <v>1233.4000000000001</v>
      </c>
      <c r="K31" s="82">
        <v>2466.8000000000002</v>
      </c>
      <c r="L31" s="26">
        <f t="shared" si="17"/>
        <v>2</v>
      </c>
      <c r="M31" s="26">
        <f t="shared" si="18"/>
        <v>0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>
        <v>2</v>
      </c>
      <c r="AR31" s="26"/>
      <c r="AS31" s="26"/>
      <c r="AT31" s="26"/>
      <c r="AU31" s="26"/>
      <c r="AV31" s="26"/>
      <c r="AW31" s="26"/>
      <c r="AX31" s="26"/>
      <c r="AY31" s="26"/>
      <c r="AZ31" s="26"/>
      <c r="BA31" s="67" t="e">
        <f>SUMIFS([1]Up!$J:$J,[1]Up!$D:$D,D31)</f>
        <v>#VALUE!</v>
      </c>
      <c r="BB31" s="82" t="s">
        <v>2383</v>
      </c>
      <c r="BC31" s="82" t="e">
        <f t="shared" si="19"/>
        <v>#VALUE!</v>
      </c>
      <c r="BD31" s="53" t="str">
        <f t="shared" ref="BD31:BD269" si="20">IF(ROUND(SUM(N31:AZ31)-I31,0)&gt;0,"Thừa "&amp;SUM(N31:AZ31)-I31,"")</f>
        <v/>
      </c>
      <c r="BE31" s="53" t="s">
        <v>154</v>
      </c>
      <c r="BF31" s="53"/>
      <c r="BG31" s="53"/>
      <c r="BH31" s="53" t="s">
        <v>57</v>
      </c>
      <c r="BI31" s="53">
        <v>6</v>
      </c>
      <c r="BJ31" s="83"/>
      <c r="BK31" s="53"/>
      <c r="BL31" s="53"/>
    </row>
    <row r="32" spans="3:64" ht="14.25" hidden="1" customHeight="1">
      <c r="C32" s="82" t="s">
        <v>13</v>
      </c>
      <c r="D32" s="82" t="s">
        <v>484</v>
      </c>
      <c r="E32" s="82" t="s">
        <v>485</v>
      </c>
      <c r="F32" s="82" t="s">
        <v>13</v>
      </c>
      <c r="G32" s="82">
        <v>11493</v>
      </c>
      <c r="H32" s="82" t="s">
        <v>147</v>
      </c>
      <c r="I32" s="82">
        <v>2</v>
      </c>
      <c r="J32" s="82">
        <v>437.3</v>
      </c>
      <c r="K32" s="82">
        <v>874.6</v>
      </c>
      <c r="L32" s="26">
        <f t="shared" si="17"/>
        <v>2</v>
      </c>
      <c r="M32" s="26">
        <f t="shared" si="18"/>
        <v>0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>
        <v>2</v>
      </c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67" t="e">
        <f>SUMIFS([1]Up!$J:$J,[1]Up!$D:$D,D32)</f>
        <v>#VALUE!</v>
      </c>
      <c r="BB32" s="82"/>
      <c r="BC32" s="82" t="str">
        <f t="shared" si="19"/>
        <v>PL10</v>
      </c>
      <c r="BD32" s="53" t="str">
        <f t="shared" si="20"/>
        <v/>
      </c>
      <c r="BE32" s="53" t="s">
        <v>154</v>
      </c>
      <c r="BF32" s="84" t="s">
        <v>210</v>
      </c>
      <c r="BG32" s="53"/>
      <c r="BH32" s="53" t="s">
        <v>211</v>
      </c>
      <c r="BI32" s="53">
        <v>2</v>
      </c>
      <c r="BJ32" s="83">
        <v>46201</v>
      </c>
      <c r="BK32" s="53"/>
      <c r="BL32" s="53"/>
    </row>
    <row r="33" spans="3:64" ht="14.25" hidden="1" customHeight="1">
      <c r="C33" s="82" t="s">
        <v>13</v>
      </c>
      <c r="D33" s="82" t="s">
        <v>487</v>
      </c>
      <c r="E33" s="82" t="s">
        <v>488</v>
      </c>
      <c r="F33" s="82" t="s">
        <v>13</v>
      </c>
      <c r="G33" s="82">
        <v>509</v>
      </c>
      <c r="H33" s="82" t="s">
        <v>147</v>
      </c>
      <c r="I33" s="82">
        <v>4</v>
      </c>
      <c r="J33" s="82">
        <v>17.600000000000001</v>
      </c>
      <c r="K33" s="82">
        <v>70.400000000000006</v>
      </c>
      <c r="L33" s="26">
        <f t="shared" si="17"/>
        <v>4</v>
      </c>
      <c r="M33" s="26">
        <f t="shared" si="18"/>
        <v>0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>
        <v>4</v>
      </c>
      <c r="AW33" s="26"/>
      <c r="AX33" s="26"/>
      <c r="AY33" s="26"/>
      <c r="AZ33" s="26"/>
      <c r="BA33" s="67" t="e">
        <f>SUMIFS([1]Up!$J:$J,[1]Up!$D:$D,D33)</f>
        <v>#VALUE!</v>
      </c>
      <c r="BB33" s="82"/>
      <c r="BC33" s="82" t="str">
        <f t="shared" si="19"/>
        <v>PL10</v>
      </c>
      <c r="BD33" s="53" t="str">
        <f t="shared" si="20"/>
        <v/>
      </c>
      <c r="BE33" s="53" t="s">
        <v>154</v>
      </c>
      <c r="BF33" s="84" t="s">
        <v>210</v>
      </c>
      <c r="BG33" s="53"/>
      <c r="BH33" s="53" t="s">
        <v>211</v>
      </c>
      <c r="BI33" s="53">
        <v>4</v>
      </c>
      <c r="BJ33" s="83">
        <v>46201</v>
      </c>
      <c r="BK33" s="53"/>
      <c r="BL33" s="53"/>
    </row>
    <row r="34" spans="3:64" ht="14.25" hidden="1" customHeight="1">
      <c r="C34" s="82" t="s">
        <v>13</v>
      </c>
      <c r="D34" s="82" t="s">
        <v>490</v>
      </c>
      <c r="E34" s="82" t="s">
        <v>418</v>
      </c>
      <c r="F34" s="82" t="s">
        <v>13</v>
      </c>
      <c r="G34" s="82">
        <v>3435</v>
      </c>
      <c r="H34" s="82" t="s">
        <v>147</v>
      </c>
      <c r="I34" s="82">
        <v>2</v>
      </c>
      <c r="J34" s="82">
        <v>1353.9</v>
      </c>
      <c r="K34" s="82">
        <v>2707.8</v>
      </c>
      <c r="L34" s="26">
        <f t="shared" si="17"/>
        <v>2</v>
      </c>
      <c r="M34" s="26">
        <f t="shared" si="18"/>
        <v>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>
        <v>1</v>
      </c>
      <c r="AK34" s="26"/>
      <c r="AL34" s="26"/>
      <c r="AM34" s="26"/>
      <c r="AN34" s="26"/>
      <c r="AO34" s="26"/>
      <c r="AP34" s="26"/>
      <c r="AQ34" s="26">
        <v>2</v>
      </c>
      <c r="AR34" s="26"/>
      <c r="AS34" s="26"/>
      <c r="AT34" s="26"/>
      <c r="AU34" s="26"/>
      <c r="AV34" s="26"/>
      <c r="AW34" s="26"/>
      <c r="AX34" s="26"/>
      <c r="AY34" s="26"/>
      <c r="AZ34" s="26"/>
      <c r="BA34" s="67" t="e">
        <f>SUMIFS([1]Up!$J:$J,[1]Up!$D:$D,D34)</f>
        <v>#VALUE!</v>
      </c>
      <c r="BB34" s="82" t="s">
        <v>2385</v>
      </c>
      <c r="BC34" s="82" t="e">
        <f t="shared" si="19"/>
        <v>#VALUE!</v>
      </c>
      <c r="BD34" s="53" t="str">
        <f t="shared" si="20"/>
        <v>Thừa 1</v>
      </c>
      <c r="BE34" s="53" t="s">
        <v>154</v>
      </c>
      <c r="BF34" s="53"/>
      <c r="BG34" s="53"/>
      <c r="BH34" s="53" t="s">
        <v>57</v>
      </c>
      <c r="BI34" s="53">
        <v>6</v>
      </c>
      <c r="BJ34" s="83"/>
      <c r="BK34" s="53"/>
      <c r="BL34" s="53"/>
    </row>
    <row r="35" spans="3:64" ht="14.25" hidden="1" customHeight="1">
      <c r="C35" s="82" t="s">
        <v>13</v>
      </c>
      <c r="D35" s="82" t="s">
        <v>492</v>
      </c>
      <c r="E35" s="82" t="s">
        <v>485</v>
      </c>
      <c r="F35" s="82" t="s">
        <v>13</v>
      </c>
      <c r="G35" s="82">
        <v>4243</v>
      </c>
      <c r="H35" s="82" t="s">
        <v>147</v>
      </c>
      <c r="I35" s="82">
        <v>2</v>
      </c>
      <c r="J35" s="82">
        <v>161.5</v>
      </c>
      <c r="K35" s="82">
        <v>323</v>
      </c>
      <c r="L35" s="26">
        <f t="shared" si="17"/>
        <v>2</v>
      </c>
      <c r="M35" s="26">
        <f t="shared" si="18"/>
        <v>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>
        <v>2</v>
      </c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67" t="e">
        <f>SUMIFS([1]Up!$J:$J,[1]Up!$D:$D,D35)</f>
        <v>#VALUE!</v>
      </c>
      <c r="BB35" s="82"/>
      <c r="BC35" s="82" t="str">
        <f t="shared" si="19"/>
        <v>PL10</v>
      </c>
      <c r="BD35" s="53" t="str">
        <f t="shared" si="20"/>
        <v/>
      </c>
      <c r="BE35" s="53" t="s">
        <v>148</v>
      </c>
      <c r="BF35" s="84" t="s">
        <v>210</v>
      </c>
      <c r="BG35" s="53"/>
      <c r="BH35" s="53" t="s">
        <v>211</v>
      </c>
      <c r="BI35" s="53">
        <v>2</v>
      </c>
      <c r="BJ35" s="83">
        <v>46201</v>
      </c>
      <c r="BK35" s="53"/>
      <c r="BL35" s="53"/>
    </row>
    <row r="36" spans="3:64" ht="14.25" hidden="1" customHeight="1">
      <c r="C36" s="82" t="s">
        <v>13</v>
      </c>
      <c r="D36" s="82" t="s">
        <v>494</v>
      </c>
      <c r="E36" s="82" t="s">
        <v>488</v>
      </c>
      <c r="F36" s="82" t="s">
        <v>13</v>
      </c>
      <c r="G36" s="82">
        <v>768</v>
      </c>
      <c r="H36" s="82" t="s">
        <v>147</v>
      </c>
      <c r="I36" s="82">
        <v>4</v>
      </c>
      <c r="J36" s="82">
        <v>29.1</v>
      </c>
      <c r="K36" s="82">
        <v>116.4</v>
      </c>
      <c r="L36" s="26">
        <f t="shared" si="17"/>
        <v>4</v>
      </c>
      <c r="M36" s="26">
        <f t="shared" si="18"/>
        <v>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>
        <v>4</v>
      </c>
      <c r="AW36" s="26"/>
      <c r="AX36" s="26"/>
      <c r="AY36" s="26"/>
      <c r="AZ36" s="26"/>
      <c r="BA36" s="67" t="e">
        <f>SUMIFS([1]Up!$J:$J,[1]Up!$D:$D,D36)</f>
        <v>#VALUE!</v>
      </c>
      <c r="BB36" s="82"/>
      <c r="BC36" s="82" t="str">
        <f t="shared" si="19"/>
        <v>PL10</v>
      </c>
      <c r="BD36" s="53" t="str">
        <f t="shared" si="20"/>
        <v/>
      </c>
      <c r="BE36" s="53" t="s">
        <v>154</v>
      </c>
      <c r="BF36" s="84" t="s">
        <v>210</v>
      </c>
      <c r="BG36" s="53"/>
      <c r="BH36" s="53" t="s">
        <v>211</v>
      </c>
      <c r="BI36" s="53">
        <v>4</v>
      </c>
      <c r="BJ36" s="83">
        <v>46201</v>
      </c>
      <c r="BK36" s="53"/>
      <c r="BL36" s="53"/>
    </row>
    <row r="37" spans="3:64" ht="14.25" hidden="1" customHeight="1">
      <c r="C37" s="82" t="s">
        <v>13</v>
      </c>
      <c r="D37" s="82" t="s">
        <v>496</v>
      </c>
      <c r="E37" s="82" t="s">
        <v>488</v>
      </c>
      <c r="F37" s="82" t="s">
        <v>13</v>
      </c>
      <c r="G37" s="82">
        <v>1041</v>
      </c>
      <c r="H37" s="82" t="s">
        <v>147</v>
      </c>
      <c r="I37" s="82">
        <v>4</v>
      </c>
      <c r="J37" s="82">
        <v>40.4</v>
      </c>
      <c r="K37" s="82">
        <v>161.6</v>
      </c>
      <c r="L37" s="26">
        <f t="shared" si="17"/>
        <v>4</v>
      </c>
      <c r="M37" s="26">
        <f t="shared" si="18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>
        <v>4</v>
      </c>
      <c r="AW37" s="26"/>
      <c r="AX37" s="26"/>
      <c r="AY37" s="26"/>
      <c r="AZ37" s="26"/>
      <c r="BA37" s="67" t="e">
        <f>SUMIFS([1]Up!$J:$J,[1]Up!$D:$D,D37)</f>
        <v>#VALUE!</v>
      </c>
      <c r="BB37" s="82"/>
      <c r="BC37" s="82" t="str">
        <f t="shared" si="19"/>
        <v>PL10</v>
      </c>
      <c r="BD37" s="53" t="str">
        <f t="shared" si="20"/>
        <v/>
      </c>
      <c r="BE37" s="53" t="s">
        <v>154</v>
      </c>
      <c r="BF37" s="84" t="s">
        <v>210</v>
      </c>
      <c r="BG37" s="53"/>
      <c r="BH37" s="53" t="s">
        <v>211</v>
      </c>
      <c r="BI37" s="53">
        <v>4</v>
      </c>
      <c r="BJ37" s="83">
        <v>46201</v>
      </c>
      <c r="BK37" s="53"/>
      <c r="BL37" s="53"/>
    </row>
    <row r="38" spans="3:64" ht="14.25" hidden="1" customHeight="1">
      <c r="C38" s="82" t="s">
        <v>13</v>
      </c>
      <c r="D38" s="82" t="s">
        <v>498</v>
      </c>
      <c r="E38" s="82" t="s">
        <v>488</v>
      </c>
      <c r="F38" s="82" t="s">
        <v>13</v>
      </c>
      <c r="G38" s="82">
        <v>1223</v>
      </c>
      <c r="H38" s="82" t="s">
        <v>147</v>
      </c>
      <c r="I38" s="82">
        <v>4</v>
      </c>
      <c r="J38" s="82">
        <v>47.9</v>
      </c>
      <c r="K38" s="82">
        <v>191.6</v>
      </c>
      <c r="L38" s="26">
        <f t="shared" si="17"/>
        <v>4</v>
      </c>
      <c r="M38" s="26">
        <f t="shared" si="18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>
        <v>4</v>
      </c>
      <c r="AW38" s="26"/>
      <c r="AX38" s="26"/>
      <c r="AY38" s="26"/>
      <c r="AZ38" s="26"/>
      <c r="BA38" s="67" t="e">
        <f>SUMIFS([1]Up!$J:$J,[1]Up!$D:$D,D38)</f>
        <v>#VALUE!</v>
      </c>
      <c r="BB38" s="82"/>
      <c r="BC38" s="82" t="str">
        <f t="shared" si="19"/>
        <v>PL10</v>
      </c>
      <c r="BD38" s="53" t="str">
        <f t="shared" si="20"/>
        <v/>
      </c>
      <c r="BE38" s="53" t="s">
        <v>154</v>
      </c>
      <c r="BF38" s="84" t="s">
        <v>210</v>
      </c>
      <c r="BG38" s="53"/>
      <c r="BH38" s="53" t="s">
        <v>211</v>
      </c>
      <c r="BI38" s="53">
        <v>4</v>
      </c>
      <c r="BJ38" s="83">
        <v>46201</v>
      </c>
      <c r="BK38" s="53"/>
      <c r="BL38" s="53"/>
    </row>
    <row r="39" spans="3:64" ht="14.25" hidden="1" customHeight="1">
      <c r="C39" s="82" t="s">
        <v>13</v>
      </c>
      <c r="D39" s="82" t="s">
        <v>500</v>
      </c>
      <c r="E39" s="82" t="s">
        <v>488</v>
      </c>
      <c r="F39" s="82" t="s">
        <v>13</v>
      </c>
      <c r="G39" s="82">
        <v>1345</v>
      </c>
      <c r="H39" s="82" t="s">
        <v>147</v>
      </c>
      <c r="I39" s="82">
        <v>4</v>
      </c>
      <c r="J39" s="82">
        <v>52.9</v>
      </c>
      <c r="K39" s="82">
        <v>211.6</v>
      </c>
      <c r="L39" s="26">
        <f t="shared" si="17"/>
        <v>4</v>
      </c>
      <c r="M39" s="26">
        <f t="shared" si="18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>
        <v>4</v>
      </c>
      <c r="AW39" s="26"/>
      <c r="AX39" s="26"/>
      <c r="AY39" s="26"/>
      <c r="AZ39" s="26"/>
      <c r="BA39" s="67" t="e">
        <f>SUMIFS([1]Up!$J:$J,[1]Up!$D:$D,D39)</f>
        <v>#VALUE!</v>
      </c>
      <c r="BB39" s="82"/>
      <c r="BC39" s="82" t="str">
        <f t="shared" si="19"/>
        <v>PL10</v>
      </c>
      <c r="BD39" s="53" t="str">
        <f t="shared" si="20"/>
        <v/>
      </c>
      <c r="BE39" s="53" t="s">
        <v>154</v>
      </c>
      <c r="BF39" s="84" t="s">
        <v>210</v>
      </c>
      <c r="BG39" s="53"/>
      <c r="BH39" s="53" t="s">
        <v>211</v>
      </c>
      <c r="BI39" s="53">
        <v>4</v>
      </c>
      <c r="BJ39" s="83">
        <v>46201</v>
      </c>
      <c r="BK39" s="53"/>
      <c r="BL39" s="53"/>
    </row>
    <row r="40" spans="3:64" ht="14.25" hidden="1" customHeight="1">
      <c r="C40" s="82" t="s">
        <v>13</v>
      </c>
      <c r="D40" s="82" t="s">
        <v>502</v>
      </c>
      <c r="E40" s="82" t="s">
        <v>488</v>
      </c>
      <c r="F40" s="82" t="s">
        <v>13</v>
      </c>
      <c r="G40" s="82">
        <v>1429</v>
      </c>
      <c r="H40" s="82" t="s">
        <v>147</v>
      </c>
      <c r="I40" s="82">
        <v>4</v>
      </c>
      <c r="J40" s="82">
        <v>56.4</v>
      </c>
      <c r="K40" s="82">
        <v>225.6</v>
      </c>
      <c r="L40" s="26">
        <f t="shared" si="17"/>
        <v>4</v>
      </c>
      <c r="M40" s="26">
        <f t="shared" si="18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>
        <v>4</v>
      </c>
      <c r="AW40" s="26"/>
      <c r="AX40" s="26"/>
      <c r="AY40" s="26"/>
      <c r="AZ40" s="26"/>
      <c r="BA40" s="67" t="e">
        <f>SUMIFS([1]Up!$J:$J,[1]Up!$D:$D,D40)</f>
        <v>#VALUE!</v>
      </c>
      <c r="BB40" s="82"/>
      <c r="BC40" s="82" t="str">
        <f t="shared" si="19"/>
        <v>PL10</v>
      </c>
      <c r="BD40" s="53" t="str">
        <f t="shared" si="20"/>
        <v/>
      </c>
      <c r="BE40" s="53" t="s">
        <v>154</v>
      </c>
      <c r="BF40" s="84" t="s">
        <v>210</v>
      </c>
      <c r="BG40" s="53"/>
      <c r="BH40" s="53" t="s">
        <v>211</v>
      </c>
      <c r="BI40" s="53">
        <v>4</v>
      </c>
      <c r="BJ40" s="83">
        <v>46201</v>
      </c>
      <c r="BK40" s="53"/>
      <c r="BL40" s="53"/>
    </row>
    <row r="41" spans="3:64" ht="14.25" hidden="1" customHeight="1">
      <c r="C41" s="82" t="s">
        <v>13</v>
      </c>
      <c r="D41" s="82" t="s">
        <v>504</v>
      </c>
      <c r="E41" s="82" t="s">
        <v>488</v>
      </c>
      <c r="F41" s="82" t="s">
        <v>13</v>
      </c>
      <c r="G41" s="82">
        <v>1477</v>
      </c>
      <c r="H41" s="82" t="s">
        <v>147</v>
      </c>
      <c r="I41" s="82">
        <v>4</v>
      </c>
      <c r="J41" s="82">
        <v>58.4</v>
      </c>
      <c r="K41" s="82">
        <v>233.6</v>
      </c>
      <c r="L41" s="26">
        <f t="shared" si="17"/>
        <v>4</v>
      </c>
      <c r="M41" s="26">
        <f t="shared" si="18"/>
        <v>0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>
        <v>4</v>
      </c>
      <c r="AW41" s="26"/>
      <c r="AX41" s="26"/>
      <c r="AY41" s="26"/>
      <c r="AZ41" s="26"/>
      <c r="BA41" s="67" t="e">
        <f>SUMIFS([1]Up!$J:$J,[1]Up!$D:$D,D41)</f>
        <v>#VALUE!</v>
      </c>
      <c r="BB41" s="82"/>
      <c r="BC41" s="82" t="str">
        <f t="shared" si="19"/>
        <v>PL10</v>
      </c>
      <c r="BD41" s="53" t="str">
        <f t="shared" si="20"/>
        <v/>
      </c>
      <c r="BE41" s="53" t="s">
        <v>154</v>
      </c>
      <c r="BF41" s="84" t="s">
        <v>210</v>
      </c>
      <c r="BG41" s="53"/>
      <c r="BH41" s="53" t="s">
        <v>211</v>
      </c>
      <c r="BI41" s="53">
        <v>4</v>
      </c>
      <c r="BJ41" s="83">
        <v>46201</v>
      </c>
      <c r="BK41" s="53"/>
      <c r="BL41" s="53"/>
    </row>
    <row r="42" spans="3:64" ht="14.25" hidden="1" customHeight="1">
      <c r="C42" s="82" t="s">
        <v>13</v>
      </c>
      <c r="D42" s="82" t="s">
        <v>506</v>
      </c>
      <c r="E42" s="82" t="s">
        <v>488</v>
      </c>
      <c r="F42" s="82" t="s">
        <v>13</v>
      </c>
      <c r="G42" s="82">
        <v>1494</v>
      </c>
      <c r="H42" s="82" t="s">
        <v>147</v>
      </c>
      <c r="I42" s="82">
        <v>4</v>
      </c>
      <c r="J42" s="82">
        <v>59.2</v>
      </c>
      <c r="K42" s="82">
        <v>236.8</v>
      </c>
      <c r="L42" s="26">
        <f t="shared" si="17"/>
        <v>4</v>
      </c>
      <c r="M42" s="26">
        <f t="shared" si="18"/>
        <v>0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>
        <v>3</v>
      </c>
      <c r="AT42" s="26"/>
      <c r="AU42" s="26"/>
      <c r="AV42" s="26">
        <v>1</v>
      </c>
      <c r="AW42" s="26"/>
      <c r="AX42" s="26"/>
      <c r="AY42" s="26"/>
      <c r="AZ42" s="26"/>
      <c r="BA42" s="67" t="e">
        <f>SUMIFS([1]Up!$J:$J,[1]Up!$D:$D,D42)</f>
        <v>#VALUE!</v>
      </c>
      <c r="BB42" s="82"/>
      <c r="BC42" s="82" t="str">
        <f t="shared" si="19"/>
        <v>PL10</v>
      </c>
      <c r="BD42" s="53" t="str">
        <f t="shared" si="20"/>
        <v/>
      </c>
      <c r="BE42" s="53" t="s">
        <v>154</v>
      </c>
      <c r="BF42" s="84" t="s">
        <v>210</v>
      </c>
      <c r="BG42" s="53"/>
      <c r="BH42" s="53" t="s">
        <v>211</v>
      </c>
      <c r="BI42" s="53">
        <v>4</v>
      </c>
      <c r="BJ42" s="83">
        <v>46201</v>
      </c>
      <c r="BK42" s="53"/>
      <c r="BL42" s="53"/>
    </row>
    <row r="43" spans="3:64" ht="14.25" hidden="1" customHeight="1">
      <c r="C43" s="82" t="s">
        <v>13</v>
      </c>
      <c r="D43" s="82" t="s">
        <v>508</v>
      </c>
      <c r="E43" s="82" t="s">
        <v>488</v>
      </c>
      <c r="F43" s="82" t="s">
        <v>13</v>
      </c>
      <c r="G43" s="82">
        <v>1451</v>
      </c>
      <c r="H43" s="82" t="s">
        <v>147</v>
      </c>
      <c r="I43" s="82">
        <v>4</v>
      </c>
      <c r="J43" s="82">
        <v>57.1</v>
      </c>
      <c r="K43" s="82">
        <v>228.4</v>
      </c>
      <c r="L43" s="26">
        <f t="shared" si="17"/>
        <v>4</v>
      </c>
      <c r="M43" s="26">
        <f t="shared" si="18"/>
        <v>0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>
        <v>4</v>
      </c>
      <c r="AW43" s="26"/>
      <c r="AX43" s="26"/>
      <c r="AY43" s="26"/>
      <c r="AZ43" s="26"/>
      <c r="BA43" s="67" t="e">
        <f>SUMIFS([1]Up!$J:$J,[1]Up!$D:$D,D43)</f>
        <v>#VALUE!</v>
      </c>
      <c r="BB43" s="82"/>
      <c r="BC43" s="82" t="str">
        <f t="shared" si="19"/>
        <v>PL10</v>
      </c>
      <c r="BD43" s="53" t="str">
        <f t="shared" si="20"/>
        <v/>
      </c>
      <c r="BE43" s="53" t="s">
        <v>154</v>
      </c>
      <c r="BF43" s="84" t="s">
        <v>210</v>
      </c>
      <c r="BG43" s="53"/>
      <c r="BH43" s="53" t="s">
        <v>211</v>
      </c>
      <c r="BI43" s="53">
        <v>4</v>
      </c>
      <c r="BJ43" s="83">
        <v>46201</v>
      </c>
      <c r="BK43" s="53"/>
      <c r="BL43" s="53"/>
    </row>
    <row r="44" spans="3:64" ht="14.25" hidden="1" customHeight="1">
      <c r="C44" s="82" t="s">
        <v>13</v>
      </c>
      <c r="D44" s="82" t="s">
        <v>510</v>
      </c>
      <c r="E44" s="82" t="s">
        <v>488</v>
      </c>
      <c r="F44" s="82" t="s">
        <v>13</v>
      </c>
      <c r="G44" s="82">
        <v>1276</v>
      </c>
      <c r="H44" s="82" t="s">
        <v>147</v>
      </c>
      <c r="I44" s="82">
        <v>4</v>
      </c>
      <c r="J44" s="82">
        <v>49.7</v>
      </c>
      <c r="K44" s="82">
        <v>198.8</v>
      </c>
      <c r="L44" s="26">
        <f t="shared" si="17"/>
        <v>4</v>
      </c>
      <c r="M44" s="26">
        <f t="shared" si="18"/>
        <v>0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>
        <v>4</v>
      </c>
      <c r="AW44" s="26"/>
      <c r="AX44" s="26"/>
      <c r="AY44" s="26"/>
      <c r="AZ44" s="26"/>
      <c r="BA44" s="67" t="e">
        <f>SUMIFS([1]Up!$J:$J,[1]Up!$D:$D,D44)</f>
        <v>#VALUE!</v>
      </c>
      <c r="BB44" s="82"/>
      <c r="BC44" s="82" t="str">
        <f t="shared" si="19"/>
        <v>PL10</v>
      </c>
      <c r="BD44" s="53" t="str">
        <f t="shared" si="20"/>
        <v/>
      </c>
      <c r="BE44" s="53" t="s">
        <v>154</v>
      </c>
      <c r="BF44" s="84" t="s">
        <v>210</v>
      </c>
      <c r="BG44" s="53"/>
      <c r="BH44" s="53" t="s">
        <v>211</v>
      </c>
      <c r="BI44" s="53">
        <v>4</v>
      </c>
      <c r="BJ44" s="83">
        <v>46201</v>
      </c>
      <c r="BK44" s="53"/>
      <c r="BL44" s="53"/>
    </row>
    <row r="45" spans="3:64" ht="14.25" hidden="1" customHeight="1">
      <c r="C45" s="82" t="s">
        <v>13</v>
      </c>
      <c r="D45" s="82" t="s">
        <v>512</v>
      </c>
      <c r="E45" s="82" t="s">
        <v>488</v>
      </c>
      <c r="F45" s="82" t="s">
        <v>13</v>
      </c>
      <c r="G45" s="82">
        <v>890</v>
      </c>
      <c r="H45" s="82" t="s">
        <v>147</v>
      </c>
      <c r="I45" s="82">
        <v>4</v>
      </c>
      <c r="J45" s="82">
        <v>33.299999999999997</v>
      </c>
      <c r="K45" s="82">
        <v>133.19999999999999</v>
      </c>
      <c r="L45" s="26">
        <f t="shared" si="17"/>
        <v>4</v>
      </c>
      <c r="M45" s="26">
        <f t="shared" si="18"/>
        <v>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>
        <v>4</v>
      </c>
      <c r="AW45" s="26"/>
      <c r="AX45" s="26"/>
      <c r="AY45" s="26"/>
      <c r="AZ45" s="26"/>
      <c r="BA45" s="67" t="e">
        <f>SUMIFS([1]Up!$J:$J,[1]Up!$D:$D,D45)</f>
        <v>#VALUE!</v>
      </c>
      <c r="BB45" s="82"/>
      <c r="BC45" s="82" t="str">
        <f t="shared" si="19"/>
        <v>PL10</v>
      </c>
      <c r="BD45" s="53" t="str">
        <f t="shared" si="20"/>
        <v/>
      </c>
      <c r="BE45" s="53" t="s">
        <v>154</v>
      </c>
      <c r="BF45" s="84" t="s">
        <v>210</v>
      </c>
      <c r="BG45" s="53"/>
      <c r="BH45" s="53" t="s">
        <v>211</v>
      </c>
      <c r="BI45" s="53">
        <v>4</v>
      </c>
      <c r="BJ45" s="83">
        <v>46201</v>
      </c>
      <c r="BK45" s="53"/>
      <c r="BL45" s="53"/>
    </row>
    <row r="46" spans="3:64" ht="14.25" hidden="1" customHeight="1">
      <c r="C46" s="82" t="s">
        <v>13</v>
      </c>
      <c r="D46" s="82" t="s">
        <v>786</v>
      </c>
      <c r="E46" s="82" t="s">
        <v>787</v>
      </c>
      <c r="F46" s="82" t="s">
        <v>13</v>
      </c>
      <c r="G46" s="82">
        <v>3981</v>
      </c>
      <c r="H46" s="82" t="s">
        <v>147</v>
      </c>
      <c r="I46" s="82">
        <v>1</v>
      </c>
      <c r="J46" s="82">
        <v>205.8</v>
      </c>
      <c r="K46" s="82">
        <v>205.8</v>
      </c>
      <c r="L46" s="26">
        <f t="shared" si="17"/>
        <v>1</v>
      </c>
      <c r="M46" s="26">
        <f t="shared" si="18"/>
        <v>0</v>
      </c>
      <c r="N46" s="26">
        <v>1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67" t="e">
        <f>SUMIFS([1]Up!$J:$J,[1]Up!$D:$D,D46)</f>
        <v>#VALUE!</v>
      </c>
      <c r="BB46" s="82"/>
      <c r="BC46" s="82" t="str">
        <f t="shared" si="19"/>
        <v>PL20</v>
      </c>
      <c r="BD46" s="53" t="str">
        <f t="shared" si="20"/>
        <v/>
      </c>
      <c r="BE46" s="53" t="s">
        <v>148</v>
      </c>
      <c r="BF46" s="84" t="s">
        <v>319</v>
      </c>
      <c r="BG46" s="53"/>
      <c r="BH46" s="53" t="s">
        <v>320</v>
      </c>
      <c r="BI46" s="53">
        <v>1</v>
      </c>
      <c r="BJ46" s="83">
        <v>46202</v>
      </c>
      <c r="BK46" s="53"/>
      <c r="BL46" s="53"/>
    </row>
    <row r="47" spans="3:64" ht="14.25" hidden="1" customHeight="1">
      <c r="C47" s="82" t="s">
        <v>13</v>
      </c>
      <c r="D47" s="82" t="s">
        <v>789</v>
      </c>
      <c r="E47" s="82" t="s">
        <v>790</v>
      </c>
      <c r="F47" s="82" t="s">
        <v>13</v>
      </c>
      <c r="G47" s="82">
        <v>450</v>
      </c>
      <c r="H47" s="82" t="s">
        <v>147</v>
      </c>
      <c r="I47" s="82">
        <v>2</v>
      </c>
      <c r="J47" s="82">
        <v>8.3000000000000007</v>
      </c>
      <c r="K47" s="82">
        <v>16.600000000000001</v>
      </c>
      <c r="L47" s="26">
        <f t="shared" si="17"/>
        <v>2</v>
      </c>
      <c r="M47" s="26">
        <f t="shared" si="18"/>
        <v>0</v>
      </c>
      <c r="N47" s="26">
        <v>2</v>
      </c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67" t="e">
        <f>SUMIFS([1]Up!$J:$J,[1]Up!$D:$D,D47)</f>
        <v>#VALUE!</v>
      </c>
      <c r="BB47" s="82"/>
      <c r="BC47" s="82" t="str">
        <f t="shared" si="19"/>
        <v>PL20</v>
      </c>
      <c r="BD47" s="53" t="str">
        <f t="shared" si="20"/>
        <v/>
      </c>
      <c r="BE47" s="53" t="s">
        <v>148</v>
      </c>
      <c r="BF47" s="84" t="s">
        <v>319</v>
      </c>
      <c r="BG47" s="53"/>
      <c r="BH47" s="53" t="s">
        <v>320</v>
      </c>
      <c r="BI47" s="53">
        <v>2</v>
      </c>
      <c r="BJ47" s="83">
        <v>46202</v>
      </c>
      <c r="BK47" s="53"/>
      <c r="BL47" s="53"/>
    </row>
    <row r="48" spans="3:64" ht="14.25" hidden="1" customHeight="1">
      <c r="C48" s="82" t="s">
        <v>13</v>
      </c>
      <c r="D48" s="82" t="s">
        <v>792</v>
      </c>
      <c r="E48" s="82" t="s">
        <v>793</v>
      </c>
      <c r="F48" s="82" t="s">
        <v>13</v>
      </c>
      <c r="G48" s="82">
        <v>3981</v>
      </c>
      <c r="H48" s="82" t="s">
        <v>147</v>
      </c>
      <c r="I48" s="82">
        <v>1</v>
      </c>
      <c r="J48" s="82">
        <v>229.3</v>
      </c>
      <c r="K48" s="82">
        <v>229.3</v>
      </c>
      <c r="L48" s="26">
        <f t="shared" si="17"/>
        <v>1</v>
      </c>
      <c r="M48" s="26">
        <f t="shared" si="18"/>
        <v>0</v>
      </c>
      <c r="N48" s="26">
        <v>1</v>
      </c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67" t="e">
        <f>SUMIFS([1]Up!$J:$J,[1]Up!$D:$D,D48)</f>
        <v>#VALUE!</v>
      </c>
      <c r="BB48" s="82"/>
      <c r="BC48" s="82" t="str">
        <f t="shared" si="19"/>
        <v>PL20</v>
      </c>
      <c r="BD48" s="53" t="str">
        <f t="shared" si="20"/>
        <v/>
      </c>
      <c r="BE48" s="53" t="s">
        <v>148</v>
      </c>
      <c r="BF48" s="84" t="s">
        <v>319</v>
      </c>
      <c r="BG48" s="53"/>
      <c r="BH48" s="53" t="s">
        <v>320</v>
      </c>
      <c r="BI48" s="53">
        <v>1</v>
      </c>
      <c r="BJ48" s="83">
        <v>46202</v>
      </c>
      <c r="BK48" s="53"/>
      <c r="BL48" s="53"/>
    </row>
    <row r="49" spans="3:64" ht="14.25" hidden="1" customHeight="1">
      <c r="C49" s="82" t="s">
        <v>13</v>
      </c>
      <c r="D49" s="82" t="s">
        <v>781</v>
      </c>
      <c r="E49" s="82" t="s">
        <v>782</v>
      </c>
      <c r="F49" s="82" t="s">
        <v>13</v>
      </c>
      <c r="G49" s="82">
        <v>1983</v>
      </c>
      <c r="H49" s="82" t="s">
        <v>147</v>
      </c>
      <c r="I49" s="82">
        <v>1</v>
      </c>
      <c r="J49" s="82">
        <v>215.7</v>
      </c>
      <c r="K49" s="82">
        <v>215.7</v>
      </c>
      <c r="L49" s="26">
        <f t="shared" si="17"/>
        <v>1</v>
      </c>
      <c r="M49" s="26">
        <f t="shared" si="18"/>
        <v>0</v>
      </c>
      <c r="N49" s="26"/>
      <c r="O49" s="26">
        <v>1</v>
      </c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67" t="e">
        <f>SUMIFS([1]Up!$J:$J,[1]Up!$D:$D,D49)</f>
        <v>#VALUE!</v>
      </c>
      <c r="BB49" s="82"/>
      <c r="BC49" s="82" t="str">
        <f t="shared" si="19"/>
        <v>PL20</v>
      </c>
      <c r="BD49" s="53" t="str">
        <f t="shared" si="20"/>
        <v/>
      </c>
      <c r="BE49" s="53" t="s">
        <v>148</v>
      </c>
      <c r="BF49" s="84" t="s">
        <v>319</v>
      </c>
      <c r="BG49" s="53"/>
      <c r="BH49" s="53" t="s">
        <v>320</v>
      </c>
      <c r="BI49" s="53">
        <v>1</v>
      </c>
      <c r="BJ49" s="83">
        <v>46202</v>
      </c>
      <c r="BK49" s="53"/>
      <c r="BL49" s="53"/>
    </row>
    <row r="50" spans="3:64" ht="14.25" hidden="1" customHeight="1">
      <c r="C50" s="82" t="s">
        <v>13</v>
      </c>
      <c r="D50" s="82" t="s">
        <v>796</v>
      </c>
      <c r="E50" s="82" t="s">
        <v>797</v>
      </c>
      <c r="F50" s="82" t="s">
        <v>13</v>
      </c>
      <c r="G50" s="82">
        <v>2024</v>
      </c>
      <c r="H50" s="82" t="s">
        <v>147</v>
      </c>
      <c r="I50" s="82">
        <v>2</v>
      </c>
      <c r="J50" s="82">
        <v>229.5</v>
      </c>
      <c r="K50" s="82">
        <v>459</v>
      </c>
      <c r="L50" s="26">
        <f t="shared" si="17"/>
        <v>2</v>
      </c>
      <c r="M50" s="26">
        <f t="shared" si="18"/>
        <v>0</v>
      </c>
      <c r="N50" s="26"/>
      <c r="O50" s="26">
        <v>2</v>
      </c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67" t="e">
        <f>SUMIFS([1]Up!$J:$J,[1]Up!$D:$D,D50)</f>
        <v>#VALUE!</v>
      </c>
      <c r="BB50" s="82"/>
      <c r="BC50" s="82" t="str">
        <f t="shared" si="19"/>
        <v>PL20</v>
      </c>
      <c r="BD50" s="53" t="str">
        <f t="shared" si="20"/>
        <v/>
      </c>
      <c r="BE50" s="53" t="s">
        <v>148</v>
      </c>
      <c r="BF50" s="84" t="s">
        <v>319</v>
      </c>
      <c r="BG50" s="53"/>
      <c r="BH50" s="53" t="s">
        <v>320</v>
      </c>
      <c r="BI50" s="53">
        <v>2</v>
      </c>
      <c r="BJ50" s="83">
        <v>46202</v>
      </c>
      <c r="BK50" s="53"/>
      <c r="BL50" s="53"/>
    </row>
    <row r="51" spans="3:64" ht="14.25" hidden="1" customHeight="1">
      <c r="C51" s="82" t="s">
        <v>13</v>
      </c>
      <c r="D51" s="82" t="s">
        <v>800</v>
      </c>
      <c r="E51" s="82" t="s">
        <v>801</v>
      </c>
      <c r="F51" s="82" t="s">
        <v>13</v>
      </c>
      <c r="G51" s="82">
        <v>2567</v>
      </c>
      <c r="H51" s="82" t="s">
        <v>147</v>
      </c>
      <c r="I51" s="82">
        <v>4</v>
      </c>
      <c r="J51" s="82">
        <v>386.6</v>
      </c>
      <c r="K51" s="82">
        <v>1546.4</v>
      </c>
      <c r="L51" s="26">
        <f t="shared" si="17"/>
        <v>2</v>
      </c>
      <c r="M51" s="26">
        <f t="shared" si="18"/>
        <v>2</v>
      </c>
      <c r="N51" s="26"/>
      <c r="O51" s="26">
        <v>2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67" t="e">
        <f>SUMIFS([1]Up!$J:$J,[1]Up!$D:$D,D51)</f>
        <v>#VALUE!</v>
      </c>
      <c r="BB51" s="82"/>
      <c r="BC51" s="82" t="str">
        <f t="shared" si="19"/>
        <v>PL25</v>
      </c>
      <c r="BD51" s="53" t="str">
        <f t="shared" si="20"/>
        <v/>
      </c>
      <c r="BE51" s="53" t="s">
        <v>148</v>
      </c>
      <c r="BF51" s="53" t="s">
        <v>803</v>
      </c>
      <c r="BG51" s="53"/>
      <c r="BH51" s="53" t="s">
        <v>804</v>
      </c>
      <c r="BI51" s="53">
        <v>2</v>
      </c>
      <c r="BJ51" s="83">
        <v>46196</v>
      </c>
      <c r="BK51" s="53"/>
      <c r="BL51" s="53"/>
    </row>
    <row r="52" spans="3:64" ht="14.25" hidden="1" customHeight="1">
      <c r="C52" s="82" t="s">
        <v>13</v>
      </c>
      <c r="D52" s="82" t="s">
        <v>807</v>
      </c>
      <c r="E52" s="82" t="s">
        <v>204</v>
      </c>
      <c r="F52" s="82" t="s">
        <v>13</v>
      </c>
      <c r="G52" s="82">
        <v>722</v>
      </c>
      <c r="H52" s="82" t="s">
        <v>147</v>
      </c>
      <c r="I52" s="82">
        <v>48</v>
      </c>
      <c r="J52" s="82">
        <v>17</v>
      </c>
      <c r="K52" s="82">
        <v>816</v>
      </c>
      <c r="L52" s="26">
        <f t="shared" si="17"/>
        <v>32</v>
      </c>
      <c r="M52" s="26">
        <f t="shared" si="18"/>
        <v>16</v>
      </c>
      <c r="N52" s="26"/>
      <c r="O52" s="26"/>
      <c r="P52" s="26"/>
      <c r="Q52" s="26"/>
      <c r="R52" s="26"/>
      <c r="S52" s="26"/>
      <c r="T52" s="26"/>
      <c r="U52" s="26">
        <v>4</v>
      </c>
      <c r="V52" s="26">
        <v>3</v>
      </c>
      <c r="W52" s="26"/>
      <c r="X52" s="26">
        <v>5</v>
      </c>
      <c r="Y52" s="26">
        <v>4</v>
      </c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>
        <v>11</v>
      </c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>
        <v>5</v>
      </c>
      <c r="AZ52" s="26"/>
      <c r="BA52" s="67" t="e">
        <f>SUMIFS([1]Up!$J:$J,[1]Up!$D:$D,D52)</f>
        <v>#VALUE!</v>
      </c>
      <c r="BB52" s="82"/>
      <c r="BC52" s="82" t="str">
        <f t="shared" si="19"/>
        <v>PL15</v>
      </c>
      <c r="BD52" s="53" t="str">
        <f t="shared" si="20"/>
        <v/>
      </c>
      <c r="BE52" s="53" t="s">
        <v>148</v>
      </c>
      <c r="BF52" s="84" t="s">
        <v>200</v>
      </c>
      <c r="BG52" s="53"/>
      <c r="BH52" s="53" t="s">
        <v>201</v>
      </c>
      <c r="BI52" s="53">
        <v>16</v>
      </c>
      <c r="BJ52" s="83">
        <v>46201</v>
      </c>
      <c r="BK52" s="53"/>
      <c r="BL52" s="53"/>
    </row>
    <row r="53" spans="3:64" ht="14.25" customHeight="1">
      <c r="C53" s="82" t="s">
        <v>13</v>
      </c>
      <c r="D53" s="82" t="s">
        <v>809</v>
      </c>
      <c r="E53" s="82" t="s">
        <v>810</v>
      </c>
      <c r="F53" s="82" t="s">
        <v>13</v>
      </c>
      <c r="G53" s="82">
        <v>722</v>
      </c>
      <c r="H53" s="82" t="s">
        <v>147</v>
      </c>
      <c r="I53" s="82">
        <v>48</v>
      </c>
      <c r="J53" s="82">
        <v>13.1</v>
      </c>
      <c r="K53" s="82">
        <v>628.79999999999995</v>
      </c>
      <c r="L53" s="26">
        <f t="shared" si="17"/>
        <v>32</v>
      </c>
      <c r="M53" s="26">
        <f t="shared" si="18"/>
        <v>16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>
        <v>8</v>
      </c>
      <c r="Y53" s="26">
        <v>4</v>
      </c>
      <c r="Z53" s="26">
        <v>4</v>
      </c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>
        <v>2</v>
      </c>
      <c r="AQ53" s="26"/>
      <c r="AR53" s="26"/>
      <c r="AS53" s="26"/>
      <c r="AT53" s="26"/>
      <c r="AU53" s="26"/>
      <c r="AV53" s="26"/>
      <c r="AW53" s="26"/>
      <c r="AX53" s="26"/>
      <c r="AY53" s="26">
        <v>14</v>
      </c>
      <c r="AZ53" s="26"/>
      <c r="BA53" s="67" t="e">
        <f>SUMIFS([1]Up!$J:$J,[1]Up!$D:$D,D53)</f>
        <v>#VALUE!</v>
      </c>
      <c r="BB53" s="82"/>
      <c r="BC53" s="82" t="str">
        <f t="shared" si="19"/>
        <v>PL15</v>
      </c>
      <c r="BD53" s="53" t="str">
        <f t="shared" si="20"/>
        <v/>
      </c>
      <c r="BE53" s="53" t="s">
        <v>148</v>
      </c>
      <c r="BF53" s="84" t="s">
        <v>200</v>
      </c>
      <c r="BG53" s="53"/>
      <c r="BH53" s="53" t="s">
        <v>201</v>
      </c>
      <c r="BI53" s="53">
        <v>16</v>
      </c>
      <c r="BJ53" s="83">
        <v>46201</v>
      </c>
      <c r="BK53" s="53"/>
      <c r="BL53" s="53"/>
    </row>
    <row r="54" spans="3:64" ht="14.25" hidden="1" customHeight="1">
      <c r="C54" s="82" t="s">
        <v>13</v>
      </c>
      <c r="D54" s="82" t="s">
        <v>852</v>
      </c>
      <c r="E54" s="82" t="s">
        <v>204</v>
      </c>
      <c r="F54" s="82" t="s">
        <v>13</v>
      </c>
      <c r="G54" s="82">
        <v>873</v>
      </c>
      <c r="H54" s="82" t="s">
        <v>147</v>
      </c>
      <c r="I54" s="82">
        <v>16</v>
      </c>
      <c r="J54" s="82">
        <v>20.5</v>
      </c>
      <c r="K54" s="82">
        <v>328</v>
      </c>
      <c r="L54" s="26">
        <f t="shared" si="17"/>
        <v>16</v>
      </c>
      <c r="M54" s="26">
        <f t="shared" si="18"/>
        <v>0</v>
      </c>
      <c r="N54" s="26"/>
      <c r="O54" s="26"/>
      <c r="P54" s="26"/>
      <c r="Q54" s="26"/>
      <c r="R54" s="26"/>
      <c r="S54" s="26"/>
      <c r="T54" s="26"/>
      <c r="U54" s="26">
        <v>2</v>
      </c>
      <c r="V54" s="26"/>
      <c r="W54" s="26">
        <v>1</v>
      </c>
      <c r="X54" s="26">
        <v>5</v>
      </c>
      <c r="Y54" s="26">
        <v>6</v>
      </c>
      <c r="Z54" s="26"/>
      <c r="AA54" s="26"/>
      <c r="AB54" s="26">
        <v>2</v>
      </c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67" t="e">
        <f>SUMIFS([1]Up!$J:$J,[1]Up!$D:$D,D54)</f>
        <v>#VALUE!</v>
      </c>
      <c r="BB54" s="82"/>
      <c r="BC54" s="82" t="str">
        <f t="shared" si="19"/>
        <v>PL15</v>
      </c>
      <c r="BD54" s="53" t="str">
        <f t="shared" si="20"/>
        <v/>
      </c>
      <c r="BE54" s="53" t="s">
        <v>148</v>
      </c>
      <c r="BF54" s="84" t="s">
        <v>200</v>
      </c>
      <c r="BG54" s="53"/>
      <c r="BH54" s="53" t="s">
        <v>201</v>
      </c>
      <c r="BI54" s="53">
        <v>16</v>
      </c>
      <c r="BJ54" s="83">
        <v>46201</v>
      </c>
      <c r="BK54" s="53"/>
      <c r="BL54" s="53"/>
    </row>
    <row r="55" spans="3:64" ht="14.25" hidden="1" customHeight="1">
      <c r="C55" s="82" t="s">
        <v>13</v>
      </c>
      <c r="D55" s="82" t="s">
        <v>854</v>
      </c>
      <c r="E55" s="82" t="s">
        <v>810</v>
      </c>
      <c r="F55" s="82" t="s">
        <v>13</v>
      </c>
      <c r="G55" s="82">
        <v>873</v>
      </c>
      <c r="H55" s="82" t="s">
        <v>147</v>
      </c>
      <c r="I55" s="82">
        <v>16</v>
      </c>
      <c r="J55" s="82">
        <v>15.8</v>
      </c>
      <c r="K55" s="82">
        <v>252.8</v>
      </c>
      <c r="L55" s="26">
        <f t="shared" si="17"/>
        <v>15</v>
      </c>
      <c r="M55" s="26">
        <f t="shared" si="18"/>
        <v>1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>
        <v>13</v>
      </c>
      <c r="Y55" s="26">
        <v>2</v>
      </c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67" t="e">
        <f>SUMIFS([1]Up!$J:$J,[1]Up!$D:$D,D55)</f>
        <v>#VALUE!</v>
      </c>
      <c r="BB55" s="82"/>
      <c r="BC55" s="82" t="str">
        <f t="shared" si="19"/>
        <v>PL15</v>
      </c>
      <c r="BD55" s="53" t="str">
        <f t="shared" si="20"/>
        <v/>
      </c>
      <c r="BE55" s="53" t="s">
        <v>148</v>
      </c>
      <c r="BF55" s="84" t="s">
        <v>200</v>
      </c>
      <c r="BG55" s="53"/>
      <c r="BH55" s="53" t="s">
        <v>201</v>
      </c>
      <c r="BI55" s="53">
        <v>16</v>
      </c>
      <c r="BJ55" s="83">
        <v>46201</v>
      </c>
      <c r="BK55" s="53"/>
      <c r="BL55" s="53"/>
    </row>
    <row r="56" spans="3:64" ht="14.25" hidden="1" customHeight="1">
      <c r="C56" s="82" t="s">
        <v>13</v>
      </c>
      <c r="D56" s="82" t="s">
        <v>814</v>
      </c>
      <c r="E56" s="82" t="s">
        <v>469</v>
      </c>
      <c r="F56" s="82" t="s">
        <v>13</v>
      </c>
      <c r="G56" s="82">
        <v>578</v>
      </c>
      <c r="H56" s="82" t="s">
        <v>147</v>
      </c>
      <c r="I56" s="82">
        <v>4</v>
      </c>
      <c r="J56" s="82">
        <v>20.399999999999999</v>
      </c>
      <c r="K56" s="82">
        <v>81.599999999999994</v>
      </c>
      <c r="L56" s="26">
        <f t="shared" si="17"/>
        <v>0</v>
      </c>
      <c r="M56" s="26">
        <f t="shared" si="18"/>
        <v>4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67" t="e">
        <f>SUMIFS([1]Up!$J:$J,[1]Up!$D:$D,D56)</f>
        <v>#VALUE!</v>
      </c>
      <c r="BB56" s="82"/>
      <c r="BC56" s="82" t="str">
        <f t="shared" si="19"/>
        <v>PL15</v>
      </c>
      <c r="BD56" s="53" t="str">
        <f t="shared" si="20"/>
        <v/>
      </c>
      <c r="BE56" s="53" t="s">
        <v>148</v>
      </c>
      <c r="BF56" s="53"/>
      <c r="BG56" s="53"/>
      <c r="BH56" s="53"/>
      <c r="BI56" s="53"/>
      <c r="BJ56" s="83"/>
      <c r="BK56" s="53"/>
      <c r="BL56" s="53"/>
    </row>
    <row r="57" spans="3:64" ht="14.25" hidden="1" customHeight="1">
      <c r="C57" s="82" t="s">
        <v>13</v>
      </c>
      <c r="D57" s="82" t="s">
        <v>816</v>
      </c>
      <c r="E57" s="82" t="s">
        <v>817</v>
      </c>
      <c r="F57" s="82" t="s">
        <v>13</v>
      </c>
      <c r="G57" s="82">
        <v>578</v>
      </c>
      <c r="H57" s="82" t="s">
        <v>147</v>
      </c>
      <c r="I57" s="82">
        <v>4</v>
      </c>
      <c r="J57" s="82">
        <v>17.3</v>
      </c>
      <c r="K57" s="82">
        <v>69.2</v>
      </c>
      <c r="L57" s="26">
        <f t="shared" si="17"/>
        <v>0</v>
      </c>
      <c r="M57" s="26">
        <f t="shared" si="18"/>
        <v>4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67" t="e">
        <f>SUMIFS([1]Up!$J:$J,[1]Up!$D:$D,D57)</f>
        <v>#VALUE!</v>
      </c>
      <c r="BB57" s="82"/>
      <c r="BC57" s="82" t="str">
        <f t="shared" si="19"/>
        <v>PL15</v>
      </c>
      <c r="BD57" s="53" t="str">
        <f t="shared" si="20"/>
        <v/>
      </c>
      <c r="BE57" s="53" t="s">
        <v>148</v>
      </c>
      <c r="BF57" s="53"/>
      <c r="BG57" s="53"/>
      <c r="BH57" s="53"/>
      <c r="BI57" s="53"/>
      <c r="BJ57" s="83"/>
      <c r="BK57" s="53"/>
      <c r="BL57" s="53"/>
    </row>
    <row r="58" spans="3:64" ht="14.25" hidden="1" customHeight="1">
      <c r="C58" s="82" t="s">
        <v>13</v>
      </c>
      <c r="D58" s="82" t="s">
        <v>857</v>
      </c>
      <c r="E58" s="82" t="s">
        <v>858</v>
      </c>
      <c r="F58" s="82" t="s">
        <v>13</v>
      </c>
      <c r="G58" s="82">
        <v>2041</v>
      </c>
      <c r="H58" s="82" t="s">
        <v>147</v>
      </c>
      <c r="I58" s="82">
        <v>2</v>
      </c>
      <c r="J58" s="82">
        <v>281.3</v>
      </c>
      <c r="K58" s="82">
        <v>562.6</v>
      </c>
      <c r="L58" s="26">
        <f t="shared" si="17"/>
        <v>0</v>
      </c>
      <c r="M58" s="26">
        <f t="shared" si="18"/>
        <v>2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67" t="e">
        <f>SUMIFS([1]Up!$J:$J,[1]Up!$D:$D,D58)</f>
        <v>#VALUE!</v>
      </c>
      <c r="BB58" s="82"/>
      <c r="BC58" s="82" t="str">
        <f t="shared" si="19"/>
        <v>PL25</v>
      </c>
      <c r="BD58" s="53" t="str">
        <f t="shared" si="20"/>
        <v/>
      </c>
      <c r="BE58" s="53" t="s">
        <v>148</v>
      </c>
      <c r="BF58" s="53" t="s">
        <v>803</v>
      </c>
      <c r="BG58" s="53"/>
      <c r="BH58" s="53" t="s">
        <v>804</v>
      </c>
      <c r="BI58" s="53">
        <v>1</v>
      </c>
      <c r="BJ58" s="83">
        <v>46196</v>
      </c>
      <c r="BK58" s="53"/>
      <c r="BL58" s="53"/>
    </row>
    <row r="59" spans="3:64" ht="14.25" hidden="1" customHeight="1">
      <c r="C59" s="82" t="s">
        <v>13</v>
      </c>
      <c r="D59" s="82" t="s">
        <v>860</v>
      </c>
      <c r="E59" s="82" t="s">
        <v>861</v>
      </c>
      <c r="F59" s="82" t="s">
        <v>13</v>
      </c>
      <c r="G59" s="82">
        <v>1984</v>
      </c>
      <c r="H59" s="82" t="s">
        <v>147</v>
      </c>
      <c r="I59" s="82">
        <v>4</v>
      </c>
      <c r="J59" s="82">
        <v>249.3</v>
      </c>
      <c r="K59" s="82">
        <v>997.2</v>
      </c>
      <c r="L59" s="26">
        <f t="shared" si="17"/>
        <v>0</v>
      </c>
      <c r="M59" s="26">
        <f t="shared" si="18"/>
        <v>4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67" t="e">
        <f>SUMIFS([1]Up!$J:$J,[1]Up!$D:$D,D59)</f>
        <v>#VALUE!</v>
      </c>
      <c r="BB59" s="82"/>
      <c r="BC59" s="82" t="str">
        <f t="shared" si="19"/>
        <v>PL25</v>
      </c>
      <c r="BD59" s="53" t="str">
        <f t="shared" si="20"/>
        <v/>
      </c>
      <c r="BE59" s="53" t="s">
        <v>148</v>
      </c>
      <c r="BF59" s="53" t="s">
        <v>803</v>
      </c>
      <c r="BG59" s="53"/>
      <c r="BH59" s="53" t="s">
        <v>804</v>
      </c>
      <c r="BI59" s="53">
        <v>2</v>
      </c>
      <c r="BJ59" s="83">
        <v>46196</v>
      </c>
      <c r="BK59" s="53"/>
      <c r="BL59" s="53"/>
    </row>
    <row r="60" spans="3:64" ht="14.25" hidden="1" customHeight="1">
      <c r="C60" s="82" t="s">
        <v>13</v>
      </c>
      <c r="D60" s="82" t="s">
        <v>864</v>
      </c>
      <c r="E60" s="82" t="s">
        <v>865</v>
      </c>
      <c r="F60" s="82" t="s">
        <v>13</v>
      </c>
      <c r="G60" s="82">
        <v>2311</v>
      </c>
      <c r="H60" s="82" t="s">
        <v>147</v>
      </c>
      <c r="I60" s="82">
        <v>1</v>
      </c>
      <c r="J60" s="82">
        <v>263.2</v>
      </c>
      <c r="K60" s="82">
        <v>263.2</v>
      </c>
      <c r="L60" s="26">
        <f t="shared" si="17"/>
        <v>0</v>
      </c>
      <c r="M60" s="26">
        <f t="shared" si="18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67" t="e">
        <f>SUMIFS([1]Up!$J:$J,[1]Up!$D:$D,D60)</f>
        <v>#VALUE!</v>
      </c>
      <c r="BB60" s="82"/>
      <c r="BC60" s="82" t="str">
        <f t="shared" si="19"/>
        <v>PL20</v>
      </c>
      <c r="BD60" s="53" t="str">
        <f t="shared" si="20"/>
        <v/>
      </c>
      <c r="BE60" s="53" t="s">
        <v>148</v>
      </c>
      <c r="BF60" s="84" t="s">
        <v>319</v>
      </c>
      <c r="BG60" s="53"/>
      <c r="BH60" s="53" t="s">
        <v>320</v>
      </c>
      <c r="BI60" s="53">
        <v>1</v>
      </c>
      <c r="BJ60" s="83">
        <v>46202</v>
      </c>
      <c r="BK60" s="53"/>
      <c r="BL60" s="53"/>
    </row>
    <row r="61" spans="3:64" ht="14.25" hidden="1" customHeight="1">
      <c r="C61" s="82" t="s">
        <v>13</v>
      </c>
      <c r="D61" s="82" t="s">
        <v>867</v>
      </c>
      <c r="E61" s="82" t="s">
        <v>868</v>
      </c>
      <c r="F61" s="82" t="s">
        <v>13</v>
      </c>
      <c r="G61" s="82">
        <v>2354</v>
      </c>
      <c r="H61" s="82" t="s">
        <v>147</v>
      </c>
      <c r="I61" s="82">
        <v>2</v>
      </c>
      <c r="J61" s="82">
        <v>279.3</v>
      </c>
      <c r="K61" s="82">
        <v>558.6</v>
      </c>
      <c r="L61" s="26">
        <f t="shared" si="17"/>
        <v>0</v>
      </c>
      <c r="M61" s="26">
        <f t="shared" si="18"/>
        <v>2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67" t="e">
        <f>SUMIFS([1]Up!$J:$J,[1]Up!$D:$D,D61)</f>
        <v>#VALUE!</v>
      </c>
      <c r="BB61" s="82"/>
      <c r="BC61" s="82" t="str">
        <f t="shared" si="19"/>
        <v>PL20</v>
      </c>
      <c r="BD61" s="53" t="str">
        <f t="shared" si="20"/>
        <v/>
      </c>
      <c r="BE61" s="53" t="s">
        <v>148</v>
      </c>
      <c r="BF61" s="84" t="s">
        <v>319</v>
      </c>
      <c r="BG61" s="53"/>
      <c r="BH61" s="53" t="s">
        <v>320</v>
      </c>
      <c r="BI61" s="53">
        <v>2</v>
      </c>
      <c r="BJ61" s="83">
        <v>46202</v>
      </c>
      <c r="BK61" s="53"/>
      <c r="BL61" s="53"/>
    </row>
    <row r="62" spans="3:64" ht="14.25" hidden="1" customHeight="1">
      <c r="C62" s="82" t="s">
        <v>13</v>
      </c>
      <c r="D62" s="82" t="s">
        <v>870</v>
      </c>
      <c r="E62" s="82" t="s">
        <v>871</v>
      </c>
      <c r="F62" s="82" t="s">
        <v>13</v>
      </c>
      <c r="G62" s="82">
        <v>4923</v>
      </c>
      <c r="H62" s="82" t="s">
        <v>147</v>
      </c>
      <c r="I62" s="82">
        <v>2</v>
      </c>
      <c r="J62" s="82">
        <v>607.9</v>
      </c>
      <c r="K62" s="82">
        <v>1215.8</v>
      </c>
      <c r="L62" s="26">
        <f t="shared" si="17"/>
        <v>0</v>
      </c>
      <c r="M62" s="26">
        <f t="shared" si="18"/>
        <v>2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67" t="e">
        <f>SUMIFS([1]Up!$J:$J,[1]Up!$D:$D,D62)</f>
        <v>#VALUE!</v>
      </c>
      <c r="BB62" s="82"/>
      <c r="BC62" s="82" t="str">
        <f t="shared" si="19"/>
        <v>PL20</v>
      </c>
      <c r="BD62" s="53" t="str">
        <f t="shared" si="20"/>
        <v/>
      </c>
      <c r="BE62" s="53" t="s">
        <v>148</v>
      </c>
      <c r="BF62" s="53"/>
      <c r="BG62" s="53"/>
      <c r="BH62" s="53" t="s">
        <v>57</v>
      </c>
      <c r="BI62" s="53">
        <v>2</v>
      </c>
      <c r="BJ62" s="83"/>
      <c r="BK62" s="53"/>
      <c r="BL62" s="53"/>
    </row>
    <row r="63" spans="3:64" ht="14.25" hidden="1" customHeight="1">
      <c r="C63" s="82" t="s">
        <v>13</v>
      </c>
      <c r="D63" s="82" t="s">
        <v>873</v>
      </c>
      <c r="E63" s="82" t="s">
        <v>874</v>
      </c>
      <c r="F63" s="82" t="s">
        <v>13</v>
      </c>
      <c r="G63" s="82">
        <v>1250</v>
      </c>
      <c r="H63" s="82" t="s">
        <v>147</v>
      </c>
      <c r="I63" s="82">
        <v>2</v>
      </c>
      <c r="J63" s="82">
        <v>38.700000000000003</v>
      </c>
      <c r="K63" s="82">
        <v>77.400000000000006</v>
      </c>
      <c r="L63" s="26">
        <f t="shared" si="17"/>
        <v>0</v>
      </c>
      <c r="M63" s="26">
        <f t="shared" si="18"/>
        <v>2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67" t="e">
        <f>SUMIFS([1]Up!$J:$J,[1]Up!$D:$D,D63)</f>
        <v>#VALUE!</v>
      </c>
      <c r="BB63" s="82"/>
      <c r="BC63" s="82" t="str">
        <f t="shared" si="19"/>
        <v>PL20</v>
      </c>
      <c r="BD63" s="53" t="str">
        <f t="shared" si="20"/>
        <v/>
      </c>
      <c r="BE63" s="53" t="s">
        <v>148</v>
      </c>
      <c r="BF63" s="84" t="s">
        <v>319</v>
      </c>
      <c r="BG63" s="53"/>
      <c r="BH63" s="53" t="s">
        <v>320</v>
      </c>
      <c r="BI63" s="53">
        <v>2</v>
      </c>
      <c r="BJ63" s="83">
        <v>46202</v>
      </c>
      <c r="BK63" s="53"/>
      <c r="BL63" s="53"/>
    </row>
    <row r="64" spans="3:64" ht="14.25" hidden="1" customHeight="1">
      <c r="C64" s="82" t="s">
        <v>13</v>
      </c>
      <c r="D64" s="82" t="s">
        <v>877</v>
      </c>
      <c r="E64" s="82" t="s">
        <v>878</v>
      </c>
      <c r="F64" s="82" t="s">
        <v>13</v>
      </c>
      <c r="G64" s="82">
        <v>3413</v>
      </c>
      <c r="H64" s="82" t="s">
        <v>147</v>
      </c>
      <c r="I64" s="82">
        <v>2</v>
      </c>
      <c r="J64" s="82">
        <v>444.8</v>
      </c>
      <c r="K64" s="82">
        <v>889.6</v>
      </c>
      <c r="L64" s="26">
        <f t="shared" si="17"/>
        <v>2</v>
      </c>
      <c r="M64" s="26">
        <f t="shared" si="18"/>
        <v>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>
        <v>2</v>
      </c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67" t="e">
        <f>SUMIFS([1]Up!$J:$J,[1]Up!$D:$D,D64)</f>
        <v>#VALUE!</v>
      </c>
      <c r="BB64" s="82" t="s">
        <v>2232</v>
      </c>
      <c r="BC64" s="82" t="str">
        <f t="shared" si="19"/>
        <v>PL20</v>
      </c>
      <c r="BD64" s="53" t="str">
        <f t="shared" si="20"/>
        <v/>
      </c>
      <c r="BE64" s="53" t="s">
        <v>148</v>
      </c>
      <c r="BF64" s="53"/>
      <c r="BG64" s="53"/>
      <c r="BH64" s="53" t="s">
        <v>57</v>
      </c>
      <c r="BI64" s="53">
        <v>2</v>
      </c>
      <c r="BJ64" s="83"/>
      <c r="BK64" s="53"/>
      <c r="BL64" s="53"/>
    </row>
    <row r="65" spans="3:64" ht="14.25" hidden="1" customHeight="1">
      <c r="C65" s="82" t="s">
        <v>13</v>
      </c>
      <c r="D65" s="82" t="s">
        <v>880</v>
      </c>
      <c r="E65" s="82" t="s">
        <v>881</v>
      </c>
      <c r="F65" s="82" t="s">
        <v>13</v>
      </c>
      <c r="G65" s="82">
        <v>3975</v>
      </c>
      <c r="H65" s="82" t="s">
        <v>147</v>
      </c>
      <c r="I65" s="82">
        <v>2</v>
      </c>
      <c r="J65" s="82">
        <v>683.4</v>
      </c>
      <c r="K65" s="82">
        <v>1366.8</v>
      </c>
      <c r="L65" s="26">
        <f t="shared" si="17"/>
        <v>0</v>
      </c>
      <c r="M65" s="26">
        <f t="shared" si="18"/>
        <v>2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67" t="e">
        <f>SUMIFS([1]Up!$J:$J,[1]Up!$D:$D,D65)</f>
        <v>#VALUE!</v>
      </c>
      <c r="BB65" s="82"/>
      <c r="BC65" s="82" t="str">
        <f t="shared" si="19"/>
        <v>PL20</v>
      </c>
      <c r="BD65" s="53" t="str">
        <f t="shared" si="20"/>
        <v/>
      </c>
      <c r="BE65" s="53" t="s">
        <v>148</v>
      </c>
      <c r="BF65" s="84" t="s">
        <v>319</v>
      </c>
      <c r="BG65" s="53"/>
      <c r="BH65" s="53" t="s">
        <v>320</v>
      </c>
      <c r="BI65" s="53">
        <v>2</v>
      </c>
      <c r="BJ65" s="83">
        <v>46202</v>
      </c>
      <c r="BK65" s="53"/>
      <c r="BL65" s="53"/>
    </row>
    <row r="66" spans="3:64" ht="14.25" hidden="1" customHeight="1">
      <c r="C66" s="82" t="s">
        <v>13</v>
      </c>
      <c r="D66" s="82" t="s">
        <v>883</v>
      </c>
      <c r="E66" s="82" t="s">
        <v>884</v>
      </c>
      <c r="F66" s="82" t="s">
        <v>13</v>
      </c>
      <c r="G66" s="82">
        <v>4132</v>
      </c>
      <c r="H66" s="82" t="s">
        <v>147</v>
      </c>
      <c r="I66" s="82">
        <v>2</v>
      </c>
      <c r="J66" s="82">
        <v>742.7</v>
      </c>
      <c r="K66" s="82">
        <v>1485.4</v>
      </c>
      <c r="L66" s="26">
        <f t="shared" si="17"/>
        <v>2</v>
      </c>
      <c r="M66" s="26">
        <f t="shared" si="18"/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>
        <v>4</v>
      </c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67" t="e">
        <f>SUMIFS([1]Up!$J:$J,[1]Up!$D:$D,D66)</f>
        <v>#VALUE!</v>
      </c>
      <c r="BB66" s="82" t="s">
        <v>2233</v>
      </c>
      <c r="BC66" s="82" t="str">
        <f t="shared" si="19"/>
        <v>PL20</v>
      </c>
      <c r="BD66" s="53" t="str">
        <f t="shared" si="20"/>
        <v>Thừa 2</v>
      </c>
      <c r="BE66" s="53" t="s">
        <v>148</v>
      </c>
      <c r="BF66" s="53"/>
      <c r="BG66" s="53"/>
      <c r="BH66" s="53" t="s">
        <v>57</v>
      </c>
      <c r="BI66" s="53">
        <v>2</v>
      </c>
      <c r="BJ66" s="83"/>
      <c r="BK66" s="53"/>
      <c r="BL66" s="53"/>
    </row>
    <row r="67" spans="3:64" ht="14.25" hidden="1" customHeight="1">
      <c r="C67" s="82" t="s">
        <v>13</v>
      </c>
      <c r="D67" s="82" t="s">
        <v>886</v>
      </c>
      <c r="E67" s="82" t="s">
        <v>874</v>
      </c>
      <c r="F67" s="82" t="s">
        <v>13</v>
      </c>
      <c r="G67" s="82">
        <v>1250</v>
      </c>
      <c r="H67" s="82" t="s">
        <v>147</v>
      </c>
      <c r="I67" s="82">
        <v>2</v>
      </c>
      <c r="J67" s="82">
        <v>38.700000000000003</v>
      </c>
      <c r="K67" s="82">
        <v>77.400000000000006</v>
      </c>
      <c r="L67" s="26">
        <f t="shared" si="17"/>
        <v>0</v>
      </c>
      <c r="M67" s="26">
        <f t="shared" si="18"/>
        <v>2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67" t="e">
        <f>SUMIFS([1]Up!$J:$J,[1]Up!$D:$D,D67)</f>
        <v>#VALUE!</v>
      </c>
      <c r="BB67" s="82"/>
      <c r="BC67" s="82" t="str">
        <f t="shared" si="19"/>
        <v>PL20</v>
      </c>
      <c r="BD67" s="53" t="str">
        <f t="shared" si="20"/>
        <v/>
      </c>
      <c r="BE67" s="53" t="s">
        <v>148</v>
      </c>
      <c r="BF67" s="84" t="s">
        <v>319</v>
      </c>
      <c r="BG67" s="53"/>
      <c r="BH67" s="53" t="s">
        <v>320</v>
      </c>
      <c r="BI67" s="53">
        <v>2</v>
      </c>
      <c r="BJ67" s="83">
        <v>46202</v>
      </c>
      <c r="BK67" s="53"/>
      <c r="BL67" s="53"/>
    </row>
    <row r="68" spans="3:64" ht="14.25" hidden="1" customHeight="1">
      <c r="C68" s="82" t="s">
        <v>13</v>
      </c>
      <c r="D68" s="82" t="s">
        <v>888</v>
      </c>
      <c r="E68" s="82" t="s">
        <v>889</v>
      </c>
      <c r="F68" s="82" t="s">
        <v>13</v>
      </c>
      <c r="G68" s="82">
        <v>2687</v>
      </c>
      <c r="H68" s="82" t="s">
        <v>147</v>
      </c>
      <c r="I68" s="82">
        <v>2</v>
      </c>
      <c r="J68" s="82">
        <v>252.8</v>
      </c>
      <c r="K68" s="82">
        <v>505.6</v>
      </c>
      <c r="L68" s="26">
        <f t="shared" si="17"/>
        <v>2</v>
      </c>
      <c r="M68" s="26">
        <f t="shared" si="18"/>
        <v>0</v>
      </c>
      <c r="N68" s="26"/>
      <c r="O68" s="26"/>
      <c r="P68" s="26"/>
      <c r="Q68" s="26"/>
      <c r="R68" s="26"/>
      <c r="S68" s="26"/>
      <c r="T68" s="26"/>
      <c r="U68" s="26">
        <v>4</v>
      </c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67" t="e">
        <f>SUMIFS([1]Up!$J:$J,[1]Up!$D:$D,D68)</f>
        <v>#VALUE!</v>
      </c>
      <c r="BB68" s="82" t="s">
        <v>2075</v>
      </c>
      <c r="BC68" s="82" t="str">
        <f t="shared" si="19"/>
        <v>PL15</v>
      </c>
      <c r="BD68" s="53" t="str">
        <f t="shared" si="20"/>
        <v>Thừa 2</v>
      </c>
      <c r="BE68" s="53" t="s">
        <v>148</v>
      </c>
      <c r="BF68" s="84" t="s">
        <v>200</v>
      </c>
      <c r="BG68" s="53"/>
      <c r="BH68" s="53" t="s">
        <v>201</v>
      </c>
      <c r="BI68" s="53">
        <v>2</v>
      </c>
      <c r="BJ68" s="83">
        <v>46201</v>
      </c>
      <c r="BK68" s="53"/>
      <c r="BL68" s="53"/>
    </row>
    <row r="69" spans="3:64" ht="14.25" hidden="1" customHeight="1">
      <c r="C69" s="82" t="s">
        <v>13</v>
      </c>
      <c r="D69" s="82" t="s">
        <v>282</v>
      </c>
      <c r="E69" s="82" t="s">
        <v>157</v>
      </c>
      <c r="F69" s="82" t="s">
        <v>13</v>
      </c>
      <c r="G69" s="82">
        <v>2490</v>
      </c>
      <c r="H69" s="82" t="s">
        <v>147</v>
      </c>
      <c r="I69" s="82">
        <v>12</v>
      </c>
      <c r="J69" s="82">
        <v>43.9</v>
      </c>
      <c r="K69" s="82">
        <v>526.79999999999995</v>
      </c>
      <c r="L69" s="26">
        <f t="shared" si="17"/>
        <v>12</v>
      </c>
      <c r="M69" s="26">
        <f t="shared" si="18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>
        <v>3</v>
      </c>
      <c r="Y69" s="26"/>
      <c r="Z69" s="26">
        <v>21</v>
      </c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67" t="e">
        <f>SUMIFS([1]Up!$J:$J,[1]Up!$D:$D,D69)</f>
        <v>#VALUE!</v>
      </c>
      <c r="BB69" s="82" t="s">
        <v>2079</v>
      </c>
      <c r="BC69" s="82" t="str">
        <f t="shared" si="19"/>
        <v>PL15</v>
      </c>
      <c r="BD69" s="53" t="str">
        <f t="shared" si="20"/>
        <v>Thừa 12</v>
      </c>
      <c r="BE69" s="53" t="s">
        <v>148</v>
      </c>
      <c r="BF69" s="84" t="s">
        <v>200</v>
      </c>
      <c r="BG69" s="53"/>
      <c r="BH69" s="53" t="s">
        <v>201</v>
      </c>
      <c r="BI69" s="53">
        <v>12</v>
      </c>
      <c r="BJ69" s="83">
        <v>46201</v>
      </c>
      <c r="BK69" s="53"/>
      <c r="BL69" s="53"/>
    </row>
    <row r="70" spans="3:64" ht="14.25" hidden="1" customHeight="1">
      <c r="C70" s="82" t="s">
        <v>13</v>
      </c>
      <c r="D70" s="82" t="s">
        <v>283</v>
      </c>
      <c r="E70" s="82" t="s">
        <v>160</v>
      </c>
      <c r="F70" s="82" t="s">
        <v>13</v>
      </c>
      <c r="G70" s="82">
        <v>2476</v>
      </c>
      <c r="H70" s="82" t="s">
        <v>147</v>
      </c>
      <c r="I70" s="82">
        <v>4</v>
      </c>
      <c r="J70" s="82">
        <v>48.9</v>
      </c>
      <c r="K70" s="82">
        <v>195.6</v>
      </c>
      <c r="L70" s="26">
        <f t="shared" si="17"/>
        <v>4</v>
      </c>
      <c r="M70" s="26">
        <f t="shared" si="18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>
        <v>8</v>
      </c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67" t="e">
        <f>SUMIFS([1]Up!$J:$J,[1]Up!$D:$D,D70)</f>
        <v>#VALUE!</v>
      </c>
      <c r="BB70" s="82" t="s">
        <v>2078</v>
      </c>
      <c r="BC70" s="82" t="str">
        <f t="shared" si="19"/>
        <v>PL15</v>
      </c>
      <c r="BD70" s="53" t="str">
        <f t="shared" si="20"/>
        <v>Thừa 4</v>
      </c>
      <c r="BE70" s="53" t="s">
        <v>148</v>
      </c>
      <c r="BF70" s="84" t="s">
        <v>200</v>
      </c>
      <c r="BG70" s="53"/>
      <c r="BH70" s="53" t="s">
        <v>201</v>
      </c>
      <c r="BI70" s="53">
        <v>4</v>
      </c>
      <c r="BJ70" s="83">
        <v>46201</v>
      </c>
      <c r="BK70" s="53"/>
      <c r="BL70" s="53"/>
    </row>
    <row r="71" spans="3:64" ht="14.25" hidden="1" customHeight="1">
      <c r="C71" s="82" t="s">
        <v>13</v>
      </c>
      <c r="D71" s="82" t="s">
        <v>285</v>
      </c>
      <c r="E71" s="82" t="s">
        <v>255</v>
      </c>
      <c r="F71" s="82" t="s">
        <v>13</v>
      </c>
      <c r="G71" s="82">
        <v>9185</v>
      </c>
      <c r="H71" s="82" t="s">
        <v>147</v>
      </c>
      <c r="I71" s="82">
        <v>4</v>
      </c>
      <c r="J71" s="82">
        <v>1695.9</v>
      </c>
      <c r="K71" s="82">
        <v>6783.6</v>
      </c>
      <c r="L71" s="26">
        <f t="shared" si="17"/>
        <v>4</v>
      </c>
      <c r="M71" s="26">
        <f t="shared" si="18"/>
        <v>0</v>
      </c>
      <c r="N71" s="26"/>
      <c r="O71" s="26"/>
      <c r="P71" s="26"/>
      <c r="Q71" s="26"/>
      <c r="R71" s="26"/>
      <c r="S71" s="26"/>
      <c r="T71" s="26">
        <f>4+4+3+3+4</f>
        <v>18</v>
      </c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>
        <v>2</v>
      </c>
      <c r="AR71" s="26"/>
      <c r="AS71" s="26"/>
      <c r="AT71" s="26"/>
      <c r="AU71" s="26"/>
      <c r="AV71" s="26"/>
      <c r="AW71" s="26"/>
      <c r="AX71" s="26"/>
      <c r="AY71" s="26"/>
      <c r="AZ71" s="26"/>
      <c r="BA71" s="67" t="e">
        <f>SUMIFS([1]Up!$J:$J,[1]Up!$D:$D,D71)</f>
        <v>#VALUE!</v>
      </c>
      <c r="BB71" s="82" t="s">
        <v>2384</v>
      </c>
      <c r="BC71" s="82" t="e">
        <f t="shared" si="19"/>
        <v>#VALUE!</v>
      </c>
      <c r="BD71" s="53" t="str">
        <f t="shared" si="20"/>
        <v>Thừa 16</v>
      </c>
      <c r="BE71" s="53" t="s">
        <v>154</v>
      </c>
      <c r="BF71" s="53"/>
      <c r="BG71" s="53"/>
      <c r="BH71" s="53" t="s">
        <v>57</v>
      </c>
      <c r="BI71" s="53">
        <v>4</v>
      </c>
      <c r="BJ71" s="83"/>
      <c r="BK71" s="53"/>
      <c r="BL71" s="53"/>
    </row>
    <row r="72" spans="3:64" ht="14.25" hidden="1" customHeight="1">
      <c r="C72" s="82" t="s">
        <v>13</v>
      </c>
      <c r="D72" s="82" t="s">
        <v>287</v>
      </c>
      <c r="E72" s="82" t="s">
        <v>146</v>
      </c>
      <c r="F72" s="82" t="s">
        <v>13</v>
      </c>
      <c r="G72" s="82">
        <v>9185</v>
      </c>
      <c r="H72" s="82" t="s">
        <v>147</v>
      </c>
      <c r="I72" s="82">
        <v>4</v>
      </c>
      <c r="J72" s="82">
        <v>36.1</v>
      </c>
      <c r="K72" s="82">
        <v>144.4</v>
      </c>
      <c r="L72" s="26">
        <f t="shared" si="17"/>
        <v>4</v>
      </c>
      <c r="M72" s="26">
        <f t="shared" si="18"/>
        <v>0</v>
      </c>
      <c r="N72" s="26"/>
      <c r="O72" s="26"/>
      <c r="P72" s="26">
        <v>4</v>
      </c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67" t="e">
        <f>SUMIFS([1]Up!$J:$J,[1]Up!$D:$D,D72)</f>
        <v>#VALUE!</v>
      </c>
      <c r="BB72" s="82"/>
      <c r="BC72" s="82" t="str">
        <f t="shared" si="19"/>
        <v>PL10</v>
      </c>
      <c r="BD72" s="53" t="str">
        <f t="shared" si="20"/>
        <v/>
      </c>
      <c r="BE72" s="53" t="s">
        <v>148</v>
      </c>
      <c r="BF72" s="84" t="s">
        <v>210</v>
      </c>
      <c r="BG72" s="53"/>
      <c r="BH72" s="53" t="s">
        <v>211</v>
      </c>
      <c r="BI72" s="53">
        <v>4</v>
      </c>
      <c r="BJ72" s="83">
        <v>46201</v>
      </c>
      <c r="BK72" s="53"/>
      <c r="BL72" s="53"/>
    </row>
    <row r="73" spans="3:64" ht="14.25" hidden="1" customHeight="1">
      <c r="C73" s="82" t="s">
        <v>13</v>
      </c>
      <c r="D73" s="82" t="s">
        <v>290</v>
      </c>
      <c r="E73" s="82" t="s">
        <v>199</v>
      </c>
      <c r="F73" s="82" t="s">
        <v>13</v>
      </c>
      <c r="G73" s="82">
        <v>5258</v>
      </c>
      <c r="H73" s="82" t="s">
        <v>147</v>
      </c>
      <c r="I73" s="82">
        <v>1</v>
      </c>
      <c r="J73" s="82">
        <v>136.1</v>
      </c>
      <c r="K73" s="82">
        <v>136.1</v>
      </c>
      <c r="L73" s="26">
        <f t="shared" si="17"/>
        <v>1</v>
      </c>
      <c r="M73" s="26">
        <f t="shared" si="18"/>
        <v>0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>
        <v>1</v>
      </c>
      <c r="Y73" s="26"/>
      <c r="Z73" s="26">
        <v>2</v>
      </c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67" t="e">
        <f>SUMIFS([1]Up!$J:$J,[1]Up!$D:$D,D73)</f>
        <v>#VALUE!</v>
      </c>
      <c r="BB73" s="82" t="s">
        <v>2077</v>
      </c>
      <c r="BC73" s="82" t="str">
        <f t="shared" si="19"/>
        <v>PL15</v>
      </c>
      <c r="BD73" s="53" t="str">
        <f t="shared" si="20"/>
        <v>Thừa 2</v>
      </c>
      <c r="BE73" s="53" t="s">
        <v>148</v>
      </c>
      <c r="BF73" s="53"/>
      <c r="BG73" s="53"/>
      <c r="BH73" s="53" t="s">
        <v>57</v>
      </c>
      <c r="BI73" s="53">
        <v>1</v>
      </c>
      <c r="BJ73" s="83"/>
      <c r="BK73" s="53"/>
      <c r="BL73" s="53"/>
    </row>
    <row r="74" spans="3:64" ht="14.25" hidden="1" customHeight="1">
      <c r="C74" s="82" t="s">
        <v>13</v>
      </c>
      <c r="D74" s="82" t="s">
        <v>292</v>
      </c>
      <c r="E74" s="82" t="s">
        <v>293</v>
      </c>
      <c r="F74" s="82" t="s">
        <v>13</v>
      </c>
      <c r="G74" s="82">
        <v>3450</v>
      </c>
      <c r="H74" s="82" t="s">
        <v>147</v>
      </c>
      <c r="I74" s="82">
        <v>1</v>
      </c>
      <c r="J74" s="82">
        <v>1719.3</v>
      </c>
      <c r="K74" s="82">
        <v>1719.3</v>
      </c>
      <c r="L74" s="26">
        <f t="shared" si="17"/>
        <v>1</v>
      </c>
      <c r="M74" s="26">
        <f t="shared" si="18"/>
        <v>0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>
        <v>1</v>
      </c>
      <c r="AE74" s="26">
        <v>2</v>
      </c>
      <c r="AF74" s="26"/>
      <c r="AG74" s="26"/>
      <c r="AH74" s="26">
        <v>1</v>
      </c>
      <c r="AI74" s="26"/>
      <c r="AJ74" s="26"/>
      <c r="AK74" s="26"/>
      <c r="AL74" s="26"/>
      <c r="AM74" s="26"/>
      <c r="AN74" s="26"/>
      <c r="AO74" s="26"/>
      <c r="AP74" s="26"/>
      <c r="AQ74" s="26">
        <v>1</v>
      </c>
      <c r="AR74" s="26"/>
      <c r="AS74" s="26"/>
      <c r="AT74" s="26"/>
      <c r="AU74" s="26"/>
      <c r="AV74" s="26"/>
      <c r="AW74" s="26"/>
      <c r="AX74" s="26"/>
      <c r="AY74" s="26"/>
      <c r="AZ74" s="26"/>
      <c r="BA74" s="67" t="e">
        <f>SUMIFS([1]Up!$J:$J,[1]Up!$D:$D,D74)</f>
        <v>#VALUE!</v>
      </c>
      <c r="BB74" s="82" t="s">
        <v>2382</v>
      </c>
      <c r="BC74" s="82" t="e">
        <f t="shared" si="19"/>
        <v>#VALUE!</v>
      </c>
      <c r="BD74" s="53" t="str">
        <f t="shared" si="20"/>
        <v>Thừa 4</v>
      </c>
      <c r="BE74" s="53" t="s">
        <v>154</v>
      </c>
      <c r="BF74" s="53"/>
      <c r="BG74" s="53"/>
      <c r="BH74" s="53" t="s">
        <v>57</v>
      </c>
      <c r="BI74" s="53">
        <v>1</v>
      </c>
      <c r="BJ74" s="83"/>
      <c r="BK74" s="53"/>
      <c r="BL74" s="53"/>
    </row>
    <row r="75" spans="3:64" ht="14.25" hidden="1" customHeight="1">
      <c r="C75" s="82" t="s">
        <v>13</v>
      </c>
      <c r="D75" s="82" t="s">
        <v>296</v>
      </c>
      <c r="E75" s="82" t="s">
        <v>297</v>
      </c>
      <c r="F75" s="82" t="s">
        <v>13</v>
      </c>
      <c r="G75" s="82">
        <v>5897</v>
      </c>
      <c r="H75" s="82" t="s">
        <v>147</v>
      </c>
      <c r="I75" s="82">
        <v>1</v>
      </c>
      <c r="J75" s="82">
        <v>1000.2</v>
      </c>
      <c r="K75" s="82">
        <v>1000.2</v>
      </c>
      <c r="L75" s="26">
        <f t="shared" si="17"/>
        <v>0</v>
      </c>
      <c r="M75" s="26">
        <f t="shared" si="18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67" t="e">
        <f>SUMIFS([1]Up!$J:$J,[1]Up!$D:$D,D75)</f>
        <v>#VALUE!</v>
      </c>
      <c r="BB75" s="82"/>
      <c r="BC75" s="82" t="e">
        <f t="shared" si="19"/>
        <v>#VALUE!</v>
      </c>
      <c r="BD75" s="53" t="str">
        <f t="shared" si="20"/>
        <v/>
      </c>
      <c r="BE75" s="53" t="s">
        <v>154</v>
      </c>
      <c r="BF75" s="53"/>
      <c r="BG75" s="53"/>
      <c r="BH75" s="53" t="s">
        <v>57</v>
      </c>
      <c r="BI75" s="53">
        <v>1</v>
      </c>
      <c r="BJ75" s="83"/>
      <c r="BK75" s="53"/>
      <c r="BL75" s="53"/>
    </row>
    <row r="76" spans="3:64" ht="14.25" hidden="1" customHeight="1">
      <c r="C76" s="82" t="s">
        <v>13</v>
      </c>
      <c r="D76" s="82" t="s">
        <v>299</v>
      </c>
      <c r="E76" s="82" t="s">
        <v>300</v>
      </c>
      <c r="F76" s="82" t="s">
        <v>13</v>
      </c>
      <c r="G76" s="82">
        <v>3917</v>
      </c>
      <c r="H76" s="82" t="s">
        <v>147</v>
      </c>
      <c r="I76" s="82">
        <v>1</v>
      </c>
      <c r="J76" s="82">
        <v>140.9</v>
      </c>
      <c r="K76" s="82">
        <v>140.9</v>
      </c>
      <c r="L76" s="26">
        <f t="shared" si="17"/>
        <v>1</v>
      </c>
      <c r="M76" s="26">
        <f t="shared" si="18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>
        <v>6</v>
      </c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67" t="e">
        <f>SUMIFS([1]Up!$J:$J,[1]Up!$D:$D,D76)</f>
        <v>#VALUE!</v>
      </c>
      <c r="BB76" s="82" t="s">
        <v>2253</v>
      </c>
      <c r="BC76" s="82" t="e">
        <f t="shared" si="19"/>
        <v>#VALUE!</v>
      </c>
      <c r="BD76" s="53" t="str">
        <f t="shared" si="20"/>
        <v>Thừa 5</v>
      </c>
      <c r="BE76" s="53" t="s">
        <v>154</v>
      </c>
      <c r="BF76" s="53"/>
      <c r="BG76" s="53"/>
      <c r="BH76" s="53" t="s">
        <v>57</v>
      </c>
      <c r="BI76" s="53">
        <v>1</v>
      </c>
      <c r="BJ76" s="83"/>
      <c r="BK76" s="53"/>
      <c r="BL76" s="53"/>
    </row>
    <row r="77" spans="3:64" ht="14.25" hidden="1" customHeight="1">
      <c r="C77" s="82" t="s">
        <v>13</v>
      </c>
      <c r="D77" s="82" t="s">
        <v>302</v>
      </c>
      <c r="E77" s="82" t="s">
        <v>303</v>
      </c>
      <c r="F77" s="82" t="s">
        <v>13</v>
      </c>
      <c r="G77" s="82">
        <v>392</v>
      </c>
      <c r="H77" s="82" t="s">
        <v>147</v>
      </c>
      <c r="I77" s="82">
        <v>2</v>
      </c>
      <c r="J77" s="82">
        <v>7.4</v>
      </c>
      <c r="K77" s="82">
        <v>14.8</v>
      </c>
      <c r="L77" s="26">
        <f t="shared" si="17"/>
        <v>2</v>
      </c>
      <c r="M77" s="26">
        <f t="shared" si="18"/>
        <v>0</v>
      </c>
      <c r="N77" s="26"/>
      <c r="O77" s="26"/>
      <c r="P77" s="26"/>
      <c r="Q77" s="26"/>
      <c r="R77" s="26"/>
      <c r="S77" s="26">
        <v>2</v>
      </c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67" t="e">
        <f>SUMIFS([1]Up!$J:$J,[1]Up!$D:$D,D77)</f>
        <v>#VALUE!</v>
      </c>
      <c r="BB77" s="82"/>
      <c r="BC77" s="82" t="str">
        <f t="shared" si="19"/>
        <v>PL12</v>
      </c>
      <c r="BD77" s="53" t="str">
        <f t="shared" si="20"/>
        <v/>
      </c>
      <c r="BE77" s="53" t="s">
        <v>148</v>
      </c>
      <c r="BF77" s="84" t="s">
        <v>304</v>
      </c>
      <c r="BG77" s="53"/>
      <c r="BH77" s="53" t="s">
        <v>305</v>
      </c>
      <c r="BI77" s="53">
        <v>2</v>
      </c>
      <c r="BJ77" s="83">
        <v>46196</v>
      </c>
      <c r="BK77" s="53"/>
      <c r="BL77" s="53"/>
    </row>
    <row r="78" spans="3:64" ht="14.25" hidden="1" customHeight="1">
      <c r="C78" s="82" t="s">
        <v>13</v>
      </c>
      <c r="D78" s="82" t="s">
        <v>307</v>
      </c>
      <c r="E78" s="82" t="s">
        <v>204</v>
      </c>
      <c r="F78" s="82" t="s">
        <v>13</v>
      </c>
      <c r="G78" s="82">
        <v>3213</v>
      </c>
      <c r="H78" s="82" t="s">
        <v>147</v>
      </c>
      <c r="I78" s="82">
        <v>2</v>
      </c>
      <c r="J78" s="82">
        <v>75.2</v>
      </c>
      <c r="K78" s="82">
        <v>150.4</v>
      </c>
      <c r="L78" s="26">
        <f t="shared" si="17"/>
        <v>2</v>
      </c>
      <c r="M78" s="26">
        <f t="shared" si="18"/>
        <v>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>
        <v>2</v>
      </c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67" t="e">
        <f>SUMIFS([1]Up!$J:$J,[1]Up!$D:$D,D78)</f>
        <v>#VALUE!</v>
      </c>
      <c r="BB78" s="82"/>
      <c r="BC78" s="82" t="str">
        <f t="shared" si="19"/>
        <v>PL15</v>
      </c>
      <c r="BD78" s="53" t="str">
        <f t="shared" si="20"/>
        <v/>
      </c>
      <c r="BE78" s="53" t="s">
        <v>148</v>
      </c>
      <c r="BF78" s="84" t="s">
        <v>200</v>
      </c>
      <c r="BG78" s="53"/>
      <c r="BH78" s="53" t="s">
        <v>201</v>
      </c>
      <c r="BI78" s="53">
        <v>2</v>
      </c>
      <c r="BJ78" s="83">
        <v>46201</v>
      </c>
      <c r="BK78" s="53"/>
      <c r="BL78" s="53"/>
    </row>
    <row r="79" spans="3:64" ht="14.25" hidden="1" customHeight="1">
      <c r="C79" s="82" t="s">
        <v>13</v>
      </c>
      <c r="D79" s="82" t="s">
        <v>309</v>
      </c>
      <c r="E79" s="82" t="s">
        <v>204</v>
      </c>
      <c r="F79" s="82" t="s">
        <v>13</v>
      </c>
      <c r="G79" s="82">
        <v>10116</v>
      </c>
      <c r="H79" s="82" t="s">
        <v>147</v>
      </c>
      <c r="I79" s="82">
        <v>1</v>
      </c>
      <c r="J79" s="82">
        <v>220.6</v>
      </c>
      <c r="K79" s="82">
        <v>220.6</v>
      </c>
      <c r="L79" s="26">
        <f t="shared" si="17"/>
        <v>1</v>
      </c>
      <c r="M79" s="26">
        <f t="shared" si="18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>
        <v>5</v>
      </c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67" t="e">
        <f>SUMIFS([1]Up!$J:$J,[1]Up!$D:$D,D79)</f>
        <v>#VALUE!</v>
      </c>
      <c r="BB79" s="82" t="s">
        <v>2070</v>
      </c>
      <c r="BC79" s="82" t="str">
        <f t="shared" si="19"/>
        <v>PL15</v>
      </c>
      <c r="BD79" s="53" t="str">
        <f t="shared" si="20"/>
        <v>Thừa 4</v>
      </c>
      <c r="BE79" s="53" t="s">
        <v>148</v>
      </c>
      <c r="BF79" s="53"/>
      <c r="BG79" s="53"/>
      <c r="BH79" s="53" t="s">
        <v>57</v>
      </c>
      <c r="BI79" s="53">
        <v>1</v>
      </c>
      <c r="BJ79" s="83"/>
      <c r="BK79" s="53"/>
      <c r="BL79" s="53"/>
    </row>
    <row r="80" spans="3:64" ht="14.25" hidden="1" customHeight="1">
      <c r="C80" s="82" t="s">
        <v>13</v>
      </c>
      <c r="D80" s="82" t="s">
        <v>312</v>
      </c>
      <c r="E80" s="82" t="s">
        <v>204</v>
      </c>
      <c r="F80" s="82" t="s">
        <v>13</v>
      </c>
      <c r="G80" s="82">
        <v>2007</v>
      </c>
      <c r="H80" s="82" t="s">
        <v>147</v>
      </c>
      <c r="I80" s="82">
        <v>2</v>
      </c>
      <c r="J80" s="82">
        <v>46.1</v>
      </c>
      <c r="K80" s="82">
        <v>92.2</v>
      </c>
      <c r="L80" s="26">
        <f t="shared" si="17"/>
        <v>2</v>
      </c>
      <c r="M80" s="26">
        <f t="shared" si="18"/>
        <v>0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>
        <v>2</v>
      </c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67" t="e">
        <f>SUMIFS([1]Up!$J:$J,[1]Up!$D:$D,D80)</f>
        <v>#VALUE!</v>
      </c>
      <c r="BB80" s="82"/>
      <c r="BC80" s="82" t="str">
        <f t="shared" si="19"/>
        <v>PL15</v>
      </c>
      <c r="BD80" s="53" t="str">
        <f t="shared" si="20"/>
        <v/>
      </c>
      <c r="BE80" s="53" t="s">
        <v>148</v>
      </c>
      <c r="BF80" s="84" t="s">
        <v>200</v>
      </c>
      <c r="BG80" s="53"/>
      <c r="BH80" s="53" t="s">
        <v>201</v>
      </c>
      <c r="BI80" s="53">
        <v>2</v>
      </c>
      <c r="BJ80" s="83">
        <v>46201</v>
      </c>
      <c r="BK80" s="53"/>
      <c r="BL80" s="53"/>
    </row>
    <row r="81" spans="3:64" ht="14.25" hidden="1" customHeight="1">
      <c r="C81" s="82" t="s">
        <v>13</v>
      </c>
      <c r="D81" s="82" t="s">
        <v>314</v>
      </c>
      <c r="E81" s="82" t="s">
        <v>315</v>
      </c>
      <c r="F81" s="82" t="s">
        <v>13</v>
      </c>
      <c r="G81" s="82">
        <v>2606</v>
      </c>
      <c r="H81" s="82" t="s">
        <v>147</v>
      </c>
      <c r="I81" s="82">
        <v>1</v>
      </c>
      <c r="J81" s="82">
        <v>353</v>
      </c>
      <c r="K81" s="82">
        <v>353</v>
      </c>
      <c r="L81" s="26">
        <f t="shared" si="17"/>
        <v>1</v>
      </c>
      <c r="M81" s="26">
        <f t="shared" si="18"/>
        <v>0</v>
      </c>
      <c r="N81" s="26"/>
      <c r="O81" s="26"/>
      <c r="P81" s="26"/>
      <c r="Q81" s="26">
        <v>2</v>
      </c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67" t="e">
        <f>SUMIFS([1]Up!$J:$J,[1]Up!$D:$D,D81)</f>
        <v>#VALUE!</v>
      </c>
      <c r="BB81" s="82" t="s">
        <v>847</v>
      </c>
      <c r="BC81" s="82" t="str">
        <f t="shared" si="19"/>
        <v>PL20</v>
      </c>
      <c r="BD81" s="53" t="str">
        <f t="shared" si="20"/>
        <v>Thừa 1</v>
      </c>
      <c r="BE81" s="53" t="s">
        <v>148</v>
      </c>
      <c r="BF81" s="53"/>
      <c r="BG81" s="53"/>
      <c r="BH81" s="53" t="s">
        <v>57</v>
      </c>
      <c r="BI81" s="53">
        <v>1</v>
      </c>
      <c r="BJ81" s="83"/>
      <c r="BK81" s="53"/>
      <c r="BL81" s="53"/>
    </row>
    <row r="82" spans="3:64" ht="14.25" hidden="1" customHeight="1">
      <c r="C82" s="82" t="s">
        <v>13</v>
      </c>
      <c r="D82" s="82" t="s">
        <v>317</v>
      </c>
      <c r="E82" s="82" t="s">
        <v>318</v>
      </c>
      <c r="F82" s="82" t="s">
        <v>13</v>
      </c>
      <c r="G82" s="82">
        <v>1311</v>
      </c>
      <c r="H82" s="82" t="s">
        <v>147</v>
      </c>
      <c r="I82" s="82">
        <v>2</v>
      </c>
      <c r="J82" s="82">
        <v>115.1</v>
      </c>
      <c r="K82" s="82">
        <v>230.2</v>
      </c>
      <c r="L82" s="26">
        <f t="shared" si="17"/>
        <v>1</v>
      </c>
      <c r="M82" s="26">
        <f t="shared" si="18"/>
        <v>1</v>
      </c>
      <c r="N82" s="26"/>
      <c r="O82" s="26"/>
      <c r="P82" s="26"/>
      <c r="Q82" s="26">
        <v>1</v>
      </c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67" t="e">
        <f>SUMIFS([1]Up!$J:$J,[1]Up!$D:$D,D82)</f>
        <v>#VALUE!</v>
      </c>
      <c r="BB82" s="82"/>
      <c r="BC82" s="82" t="str">
        <f t="shared" si="19"/>
        <v>PL20</v>
      </c>
      <c r="BD82" s="53" t="str">
        <f t="shared" si="20"/>
        <v/>
      </c>
      <c r="BE82" s="53" t="s">
        <v>148</v>
      </c>
      <c r="BF82" s="84" t="s">
        <v>319</v>
      </c>
      <c r="BG82" s="53"/>
      <c r="BH82" s="53" t="s">
        <v>320</v>
      </c>
      <c r="BI82" s="53">
        <v>2</v>
      </c>
      <c r="BJ82" s="83">
        <v>46202</v>
      </c>
      <c r="BK82" s="53"/>
      <c r="BL82" s="53"/>
    </row>
    <row r="83" spans="3:64" ht="14.25" hidden="1" customHeight="1">
      <c r="C83" s="82" t="s">
        <v>13</v>
      </c>
      <c r="D83" s="82" t="s">
        <v>322</v>
      </c>
      <c r="E83" s="82" t="s">
        <v>323</v>
      </c>
      <c r="F83" s="82" t="s">
        <v>13</v>
      </c>
      <c r="G83" s="82">
        <v>2595</v>
      </c>
      <c r="H83" s="82" t="s">
        <v>147</v>
      </c>
      <c r="I83" s="82">
        <v>1</v>
      </c>
      <c r="J83" s="82">
        <v>37.4</v>
      </c>
      <c r="K83" s="82">
        <v>37.4</v>
      </c>
      <c r="L83" s="26">
        <f t="shared" si="17"/>
        <v>0</v>
      </c>
      <c r="M83" s="26">
        <f t="shared" si="18"/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67" t="e">
        <f>SUMIFS([1]Up!$J:$J,[1]Up!$D:$D,D83)</f>
        <v>#VALUE!</v>
      </c>
      <c r="BB83" s="82"/>
      <c r="BC83" s="82" t="str">
        <f t="shared" si="19"/>
        <v>PL12</v>
      </c>
      <c r="BD83" s="53" t="str">
        <f t="shared" si="20"/>
        <v/>
      </c>
      <c r="BE83" s="53" t="s">
        <v>154</v>
      </c>
      <c r="BF83" s="84" t="s">
        <v>304</v>
      </c>
      <c r="BG83" s="53"/>
      <c r="BH83" s="53" t="s">
        <v>305</v>
      </c>
      <c r="BI83" s="53">
        <v>1</v>
      </c>
      <c r="BJ83" s="83">
        <v>46196</v>
      </c>
      <c r="BK83" s="53"/>
      <c r="BL83" s="53"/>
    </row>
    <row r="84" spans="3:64" ht="14.25" hidden="1" customHeight="1">
      <c r="C84" s="82" t="s">
        <v>13</v>
      </c>
      <c r="D84" s="82" t="s">
        <v>325</v>
      </c>
      <c r="E84" s="82" t="s">
        <v>323</v>
      </c>
      <c r="F84" s="82" t="s">
        <v>13</v>
      </c>
      <c r="G84" s="82">
        <v>2595</v>
      </c>
      <c r="H84" s="82" t="s">
        <v>147</v>
      </c>
      <c r="I84" s="82">
        <v>1</v>
      </c>
      <c r="J84" s="82">
        <v>37.4</v>
      </c>
      <c r="K84" s="82">
        <v>37.4</v>
      </c>
      <c r="L84" s="26">
        <f t="shared" si="17"/>
        <v>0</v>
      </c>
      <c r="M84" s="26">
        <f t="shared" si="18"/>
        <v>1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67" t="e">
        <f>SUMIFS([1]Up!$J:$J,[1]Up!$D:$D,D84)</f>
        <v>#VALUE!</v>
      </c>
      <c r="BB84" s="82"/>
      <c r="BC84" s="82" t="str">
        <f t="shared" si="19"/>
        <v>PL12</v>
      </c>
      <c r="BD84" s="53" t="str">
        <f t="shared" si="20"/>
        <v/>
      </c>
      <c r="BE84" s="53" t="s">
        <v>154</v>
      </c>
      <c r="BF84" s="84" t="s">
        <v>304</v>
      </c>
      <c r="BG84" s="53"/>
      <c r="BH84" s="53" t="s">
        <v>305</v>
      </c>
      <c r="BI84" s="53">
        <v>1</v>
      </c>
      <c r="BJ84" s="83">
        <v>46196</v>
      </c>
      <c r="BK84" s="53"/>
      <c r="BL84" s="53"/>
    </row>
    <row r="85" spans="3:64" ht="14.25" hidden="1" customHeight="1">
      <c r="C85" s="82" t="s">
        <v>13</v>
      </c>
      <c r="D85" s="82" t="s">
        <v>328</v>
      </c>
      <c r="E85" s="82" t="s">
        <v>199</v>
      </c>
      <c r="F85" s="82" t="s">
        <v>13</v>
      </c>
      <c r="G85" s="82">
        <v>1502</v>
      </c>
      <c r="H85" s="82" t="s">
        <v>147</v>
      </c>
      <c r="I85" s="82">
        <v>1</v>
      </c>
      <c r="J85" s="82">
        <v>38.9</v>
      </c>
      <c r="K85" s="82">
        <v>38.9</v>
      </c>
      <c r="L85" s="26">
        <f t="shared" si="17"/>
        <v>1</v>
      </c>
      <c r="M85" s="26">
        <f t="shared" si="18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>
        <v>1</v>
      </c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67" t="e">
        <f>SUMIFS([1]Up!$J:$J,[1]Up!$D:$D,D85)</f>
        <v>#VALUE!</v>
      </c>
      <c r="BB85" s="82"/>
      <c r="BC85" s="82" t="str">
        <f t="shared" si="19"/>
        <v>PL15</v>
      </c>
      <c r="BD85" s="53" t="str">
        <f t="shared" si="20"/>
        <v/>
      </c>
      <c r="BE85" s="53" t="s">
        <v>148</v>
      </c>
      <c r="BF85" s="84" t="s">
        <v>200</v>
      </c>
      <c r="BG85" s="53"/>
      <c r="BH85" s="53" t="s">
        <v>201</v>
      </c>
      <c r="BI85" s="53">
        <v>1</v>
      </c>
      <c r="BJ85" s="83">
        <v>46201</v>
      </c>
      <c r="BK85" s="53"/>
      <c r="BL85" s="53"/>
    </row>
    <row r="86" spans="3:64" ht="14.25" hidden="1" customHeight="1">
      <c r="C86" s="82" t="s">
        <v>13</v>
      </c>
      <c r="D86" s="82" t="s">
        <v>330</v>
      </c>
      <c r="E86" s="82" t="s">
        <v>331</v>
      </c>
      <c r="F86" s="82" t="s">
        <v>13</v>
      </c>
      <c r="G86" s="82">
        <v>5868</v>
      </c>
      <c r="H86" s="82" t="s">
        <v>147</v>
      </c>
      <c r="I86" s="82">
        <v>1</v>
      </c>
      <c r="J86" s="82">
        <v>856.7</v>
      </c>
      <c r="K86" s="82">
        <v>856.7</v>
      </c>
      <c r="L86" s="26">
        <f t="shared" si="17"/>
        <v>1</v>
      </c>
      <c r="M86" s="26">
        <f t="shared" si="18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>
        <v>1</v>
      </c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67" t="e">
        <f>SUMIFS([1]Up!$J:$J,[1]Up!$D:$D,D86)</f>
        <v>#VALUE!</v>
      </c>
      <c r="BB86" s="82" t="s">
        <v>2252</v>
      </c>
      <c r="BC86" s="82" t="e">
        <f t="shared" si="19"/>
        <v>#VALUE!</v>
      </c>
      <c r="BD86" s="53" t="str">
        <f t="shared" si="20"/>
        <v/>
      </c>
      <c r="BE86" s="53" t="s">
        <v>154</v>
      </c>
      <c r="BF86" s="53"/>
      <c r="BG86" s="53"/>
      <c r="BH86" s="53" t="s">
        <v>57</v>
      </c>
      <c r="BI86" s="53">
        <v>1</v>
      </c>
      <c r="BJ86" s="83"/>
      <c r="BK86" s="53"/>
      <c r="BL86" s="53"/>
    </row>
    <row r="87" spans="3:64" ht="14.25" hidden="1" customHeight="1">
      <c r="C87" s="82" t="s">
        <v>13</v>
      </c>
      <c r="D87" s="82" t="s">
        <v>333</v>
      </c>
      <c r="E87" s="82" t="s">
        <v>334</v>
      </c>
      <c r="F87" s="82" t="s">
        <v>13</v>
      </c>
      <c r="G87" s="82">
        <v>1127</v>
      </c>
      <c r="H87" s="82" t="s">
        <v>147</v>
      </c>
      <c r="I87" s="82">
        <v>1</v>
      </c>
      <c r="J87" s="82">
        <v>5.3</v>
      </c>
      <c r="K87" s="82">
        <v>5.3</v>
      </c>
      <c r="L87" s="26">
        <f t="shared" si="17"/>
        <v>1</v>
      </c>
      <c r="M87" s="26">
        <f t="shared" si="18"/>
        <v>0</v>
      </c>
      <c r="N87" s="26"/>
      <c r="O87" s="26"/>
      <c r="P87" s="26">
        <v>1</v>
      </c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67" t="e">
        <f>SUMIFS([1]Up!$J:$J,[1]Up!$D:$D,D87)</f>
        <v>#VALUE!</v>
      </c>
      <c r="BB87" s="82"/>
      <c r="BC87" s="82" t="str">
        <f t="shared" si="19"/>
        <v>PL10</v>
      </c>
      <c r="BD87" s="53" t="str">
        <f t="shared" si="20"/>
        <v/>
      </c>
      <c r="BE87" s="53" t="s">
        <v>148</v>
      </c>
      <c r="BF87" s="84" t="s">
        <v>210</v>
      </c>
      <c r="BG87" s="53"/>
      <c r="BH87" s="53" t="s">
        <v>211</v>
      </c>
      <c r="BI87" s="53">
        <v>1</v>
      </c>
      <c r="BJ87" s="83">
        <v>46201</v>
      </c>
      <c r="BK87" s="53"/>
      <c r="BL87" s="53"/>
    </row>
    <row r="88" spans="3:64" ht="14.25" hidden="1" customHeight="1">
      <c r="C88" s="82" t="s">
        <v>13</v>
      </c>
      <c r="D88" s="82" t="s">
        <v>336</v>
      </c>
      <c r="E88" s="82" t="s">
        <v>334</v>
      </c>
      <c r="F88" s="82" t="s">
        <v>13</v>
      </c>
      <c r="G88" s="82">
        <v>1410</v>
      </c>
      <c r="H88" s="82" t="s">
        <v>147</v>
      </c>
      <c r="I88" s="82">
        <v>1</v>
      </c>
      <c r="J88" s="82">
        <v>6.6</v>
      </c>
      <c r="K88" s="82">
        <v>6.6</v>
      </c>
      <c r="L88" s="26">
        <f t="shared" si="17"/>
        <v>1</v>
      </c>
      <c r="M88" s="26">
        <f t="shared" si="18"/>
        <v>0</v>
      </c>
      <c r="N88" s="26"/>
      <c r="O88" s="26"/>
      <c r="P88" s="26">
        <v>1</v>
      </c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67" t="e">
        <f>SUMIFS([1]Up!$J:$J,[1]Up!$D:$D,D88)</f>
        <v>#VALUE!</v>
      </c>
      <c r="BB88" s="82"/>
      <c r="BC88" s="82" t="str">
        <f t="shared" si="19"/>
        <v>PL10</v>
      </c>
      <c r="BD88" s="53" t="str">
        <f t="shared" si="20"/>
        <v/>
      </c>
      <c r="BE88" s="53" t="s">
        <v>148</v>
      </c>
      <c r="BF88" s="84" t="s">
        <v>210</v>
      </c>
      <c r="BG88" s="53"/>
      <c r="BH88" s="53" t="s">
        <v>211</v>
      </c>
      <c r="BI88" s="53">
        <v>1</v>
      </c>
      <c r="BJ88" s="83">
        <v>46201</v>
      </c>
      <c r="BK88" s="53"/>
      <c r="BL88" s="53"/>
    </row>
    <row r="89" spans="3:64" ht="14.25" hidden="1" customHeight="1">
      <c r="C89" s="82" t="s">
        <v>13</v>
      </c>
      <c r="D89" s="82" t="s">
        <v>338</v>
      </c>
      <c r="E89" s="82" t="s">
        <v>334</v>
      </c>
      <c r="F89" s="82" t="s">
        <v>13</v>
      </c>
      <c r="G89" s="82">
        <v>1100</v>
      </c>
      <c r="H89" s="82" t="s">
        <v>147</v>
      </c>
      <c r="I89" s="82">
        <v>1</v>
      </c>
      <c r="J89" s="82">
        <v>5.2</v>
      </c>
      <c r="K89" s="82">
        <v>5.2</v>
      </c>
      <c r="L89" s="26">
        <f t="shared" si="17"/>
        <v>1</v>
      </c>
      <c r="M89" s="26">
        <f t="shared" si="18"/>
        <v>0</v>
      </c>
      <c r="N89" s="26"/>
      <c r="O89" s="26"/>
      <c r="P89" s="26">
        <v>1</v>
      </c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67" t="e">
        <f>SUMIFS([1]Up!$J:$J,[1]Up!$D:$D,D89)</f>
        <v>#VALUE!</v>
      </c>
      <c r="BB89" s="82"/>
      <c r="BC89" s="82" t="str">
        <f t="shared" si="19"/>
        <v>PL10</v>
      </c>
      <c r="BD89" s="53" t="str">
        <f t="shared" si="20"/>
        <v/>
      </c>
      <c r="BE89" s="53" t="s">
        <v>148</v>
      </c>
      <c r="BF89" s="84" t="s">
        <v>210</v>
      </c>
      <c r="BG89" s="53"/>
      <c r="BH89" s="53" t="s">
        <v>211</v>
      </c>
      <c r="BI89" s="53">
        <v>1</v>
      </c>
      <c r="BJ89" s="83">
        <v>46201</v>
      </c>
      <c r="BK89" s="53"/>
      <c r="BL89" s="53"/>
    </row>
    <row r="90" spans="3:64" ht="14.25" hidden="1" customHeight="1">
      <c r="C90" s="82" t="s">
        <v>13</v>
      </c>
      <c r="D90" s="82" t="s">
        <v>340</v>
      </c>
      <c r="E90" s="82" t="s">
        <v>334</v>
      </c>
      <c r="F90" s="82" t="s">
        <v>13</v>
      </c>
      <c r="G90" s="82">
        <v>1979</v>
      </c>
      <c r="H90" s="82" t="s">
        <v>147</v>
      </c>
      <c r="I90" s="82">
        <v>1</v>
      </c>
      <c r="J90" s="82">
        <v>9.3000000000000007</v>
      </c>
      <c r="K90" s="82">
        <v>9.3000000000000007</v>
      </c>
      <c r="L90" s="26">
        <f t="shared" si="17"/>
        <v>1</v>
      </c>
      <c r="M90" s="26">
        <f t="shared" si="18"/>
        <v>0</v>
      </c>
      <c r="N90" s="26"/>
      <c r="O90" s="26"/>
      <c r="P90" s="26">
        <v>1</v>
      </c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67" t="e">
        <f>SUMIFS([1]Up!$J:$J,[1]Up!$D:$D,D90)</f>
        <v>#VALUE!</v>
      </c>
      <c r="BB90" s="82"/>
      <c r="BC90" s="82" t="str">
        <f t="shared" si="19"/>
        <v>PL10</v>
      </c>
      <c r="BD90" s="53" t="str">
        <f t="shared" si="20"/>
        <v/>
      </c>
      <c r="BE90" s="53" t="s">
        <v>148</v>
      </c>
      <c r="BF90" s="84" t="s">
        <v>210</v>
      </c>
      <c r="BG90" s="53"/>
      <c r="BH90" s="53" t="s">
        <v>211</v>
      </c>
      <c r="BI90" s="53">
        <v>1</v>
      </c>
      <c r="BJ90" s="83">
        <v>46201</v>
      </c>
      <c r="BK90" s="53"/>
      <c r="BL90" s="53"/>
    </row>
    <row r="91" spans="3:64" ht="14.25" hidden="1" customHeight="1">
      <c r="C91" s="82" t="s">
        <v>13</v>
      </c>
      <c r="D91" s="82" t="s">
        <v>342</v>
      </c>
      <c r="E91" s="82" t="s">
        <v>334</v>
      </c>
      <c r="F91" s="82" t="s">
        <v>13</v>
      </c>
      <c r="G91" s="82">
        <v>5562</v>
      </c>
      <c r="H91" s="82" t="s">
        <v>147</v>
      </c>
      <c r="I91" s="82">
        <v>1</v>
      </c>
      <c r="J91" s="82">
        <v>26.2</v>
      </c>
      <c r="K91" s="82">
        <v>26.2</v>
      </c>
      <c r="L91" s="26">
        <f t="shared" si="17"/>
        <v>1</v>
      </c>
      <c r="M91" s="26">
        <f t="shared" si="18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>
        <v>1</v>
      </c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67" t="e">
        <f>SUMIFS([1]Up!$J:$J,[1]Up!$D:$D,D91)</f>
        <v>#VALUE!</v>
      </c>
      <c r="BB91" s="82"/>
      <c r="BC91" s="82" t="str">
        <f t="shared" si="19"/>
        <v>PL10</v>
      </c>
      <c r="BD91" s="53" t="str">
        <f t="shared" si="20"/>
        <v/>
      </c>
      <c r="BE91" s="53" t="s">
        <v>148</v>
      </c>
      <c r="BF91" s="84" t="s">
        <v>210</v>
      </c>
      <c r="BG91" s="53"/>
      <c r="BH91" s="53" t="s">
        <v>211</v>
      </c>
      <c r="BI91" s="53">
        <v>1</v>
      </c>
      <c r="BJ91" s="83">
        <v>46201</v>
      </c>
      <c r="BK91" s="53"/>
      <c r="BL91" s="53"/>
    </row>
    <row r="92" spans="3:64" ht="14.25" hidden="1" customHeight="1">
      <c r="C92" s="82" t="s">
        <v>13</v>
      </c>
      <c r="D92" s="82" t="s">
        <v>344</v>
      </c>
      <c r="E92" s="82" t="s">
        <v>204</v>
      </c>
      <c r="F92" s="82" t="s">
        <v>13</v>
      </c>
      <c r="G92" s="82">
        <v>1679</v>
      </c>
      <c r="H92" s="82" t="s">
        <v>147</v>
      </c>
      <c r="I92" s="82">
        <v>1</v>
      </c>
      <c r="J92" s="82">
        <v>39.5</v>
      </c>
      <c r="K92" s="82">
        <v>39.5</v>
      </c>
      <c r="L92" s="26">
        <f t="shared" si="17"/>
        <v>1</v>
      </c>
      <c r="M92" s="26">
        <f t="shared" si="18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>
        <v>1</v>
      </c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67" t="e">
        <f>SUMIFS([1]Up!$J:$J,[1]Up!$D:$D,D92)</f>
        <v>#VALUE!</v>
      </c>
      <c r="BB92" s="82"/>
      <c r="BC92" s="82" t="str">
        <f t="shared" si="19"/>
        <v>PL15</v>
      </c>
      <c r="BD92" s="53" t="str">
        <f t="shared" si="20"/>
        <v/>
      </c>
      <c r="BE92" s="53" t="s">
        <v>148</v>
      </c>
      <c r="BF92" s="84" t="s">
        <v>200</v>
      </c>
      <c r="BG92" s="53"/>
      <c r="BH92" s="53" t="s">
        <v>201</v>
      </c>
      <c r="BI92" s="53">
        <v>1</v>
      </c>
      <c r="BJ92" s="83">
        <v>46201</v>
      </c>
      <c r="BK92" s="53"/>
      <c r="BL92" s="53"/>
    </row>
    <row r="93" spans="3:64" ht="14.25" hidden="1" customHeight="1">
      <c r="C93" s="82" t="s">
        <v>13</v>
      </c>
      <c r="D93" s="82" t="s">
        <v>346</v>
      </c>
      <c r="E93" s="82" t="s">
        <v>178</v>
      </c>
      <c r="F93" s="82" t="s">
        <v>13</v>
      </c>
      <c r="G93" s="82">
        <v>1889</v>
      </c>
      <c r="H93" s="82" t="s">
        <v>147</v>
      </c>
      <c r="I93" s="82">
        <v>1</v>
      </c>
      <c r="J93" s="82">
        <v>59.2</v>
      </c>
      <c r="K93" s="82">
        <v>59.2</v>
      </c>
      <c r="L93" s="26">
        <f t="shared" si="17"/>
        <v>1</v>
      </c>
      <c r="M93" s="26">
        <f t="shared" si="18"/>
        <v>0</v>
      </c>
      <c r="N93" s="26"/>
      <c r="O93" s="26"/>
      <c r="P93" s="26"/>
      <c r="Q93" s="26">
        <v>1</v>
      </c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67" t="e">
        <f>SUMIFS([1]Up!$J:$J,[1]Up!$D:$D,D93)</f>
        <v>#VALUE!</v>
      </c>
      <c r="BB93" s="82"/>
      <c r="BC93" s="82" t="str">
        <f t="shared" si="19"/>
        <v>PL20</v>
      </c>
      <c r="BD93" s="53" t="str">
        <f t="shared" si="20"/>
        <v/>
      </c>
      <c r="BE93" s="53" t="s">
        <v>148</v>
      </c>
      <c r="BF93" s="84" t="s">
        <v>319</v>
      </c>
      <c r="BG93" s="53"/>
      <c r="BH93" s="53" t="s">
        <v>320</v>
      </c>
      <c r="BI93" s="53">
        <v>1</v>
      </c>
      <c r="BJ93" s="83">
        <v>46202</v>
      </c>
      <c r="BK93" s="53"/>
      <c r="BL93" s="53"/>
    </row>
    <row r="94" spans="3:64" ht="14.25" hidden="1" customHeight="1">
      <c r="C94" s="82" t="s">
        <v>13</v>
      </c>
      <c r="D94" s="82" t="s">
        <v>348</v>
      </c>
      <c r="E94" s="82" t="s">
        <v>178</v>
      </c>
      <c r="F94" s="82" t="s">
        <v>13</v>
      </c>
      <c r="G94" s="82">
        <v>1941</v>
      </c>
      <c r="H94" s="82" t="s">
        <v>147</v>
      </c>
      <c r="I94" s="82">
        <v>1</v>
      </c>
      <c r="J94" s="82">
        <v>60.8</v>
      </c>
      <c r="K94" s="82">
        <v>60.8</v>
      </c>
      <c r="L94" s="26">
        <f t="shared" si="17"/>
        <v>1</v>
      </c>
      <c r="M94" s="26">
        <f t="shared" si="18"/>
        <v>0</v>
      </c>
      <c r="N94" s="26"/>
      <c r="O94" s="26"/>
      <c r="P94" s="26">
        <v>1</v>
      </c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67" t="e">
        <f>SUMIFS([1]Up!$J:$J,[1]Up!$D:$D,D94)</f>
        <v>#VALUE!</v>
      </c>
      <c r="BB94" s="82"/>
      <c r="BC94" s="82" t="str">
        <f t="shared" si="19"/>
        <v>PL20</v>
      </c>
      <c r="BD94" s="53" t="str">
        <f t="shared" si="20"/>
        <v/>
      </c>
      <c r="BE94" s="53" t="s">
        <v>148</v>
      </c>
      <c r="BF94" s="84" t="s">
        <v>319</v>
      </c>
      <c r="BG94" s="53"/>
      <c r="BH94" s="53" t="s">
        <v>320</v>
      </c>
      <c r="BI94" s="53">
        <v>1</v>
      </c>
      <c r="BJ94" s="83">
        <v>46202</v>
      </c>
      <c r="BK94" s="53"/>
      <c r="BL94" s="53"/>
    </row>
    <row r="95" spans="3:64" ht="14.25" hidden="1" customHeight="1">
      <c r="C95" s="82" t="s">
        <v>13</v>
      </c>
      <c r="D95" s="82" t="s">
        <v>350</v>
      </c>
      <c r="E95" s="82" t="s">
        <v>199</v>
      </c>
      <c r="F95" s="82" t="s">
        <v>13</v>
      </c>
      <c r="G95" s="82">
        <v>1502</v>
      </c>
      <c r="H95" s="82" t="s">
        <v>147</v>
      </c>
      <c r="I95" s="82">
        <v>1</v>
      </c>
      <c r="J95" s="82">
        <v>38.9</v>
      </c>
      <c r="K95" s="82">
        <v>38.9</v>
      </c>
      <c r="L95" s="26">
        <f t="shared" si="17"/>
        <v>1</v>
      </c>
      <c r="M95" s="26">
        <f t="shared" si="18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>
        <v>1</v>
      </c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67" t="e">
        <f>SUMIFS([1]Up!$J:$J,[1]Up!$D:$D,D95)</f>
        <v>#VALUE!</v>
      </c>
      <c r="BB95" s="82"/>
      <c r="BC95" s="82" t="str">
        <f t="shared" si="19"/>
        <v>PL15</v>
      </c>
      <c r="BD95" s="53" t="str">
        <f t="shared" si="20"/>
        <v/>
      </c>
      <c r="BE95" s="53" t="s">
        <v>148</v>
      </c>
      <c r="BF95" s="84" t="s">
        <v>200</v>
      </c>
      <c r="BG95" s="53"/>
      <c r="BH95" s="53" t="s">
        <v>201</v>
      </c>
      <c r="BI95" s="53">
        <v>1</v>
      </c>
      <c r="BJ95" s="83">
        <v>46201</v>
      </c>
      <c r="BK95" s="53"/>
      <c r="BL95" s="53"/>
    </row>
    <row r="96" spans="3:64" ht="14.25" hidden="1" customHeight="1">
      <c r="C96" s="82" t="s">
        <v>13</v>
      </c>
      <c r="D96" s="82" t="s">
        <v>351</v>
      </c>
      <c r="E96" s="82" t="s">
        <v>334</v>
      </c>
      <c r="F96" s="82" t="s">
        <v>13</v>
      </c>
      <c r="G96" s="82">
        <v>1127</v>
      </c>
      <c r="H96" s="82" t="s">
        <v>147</v>
      </c>
      <c r="I96" s="82">
        <v>1</v>
      </c>
      <c r="J96" s="82">
        <v>5.3</v>
      </c>
      <c r="K96" s="82">
        <v>5.3</v>
      </c>
      <c r="L96" s="26">
        <f t="shared" si="17"/>
        <v>1</v>
      </c>
      <c r="M96" s="26">
        <f t="shared" si="18"/>
        <v>0</v>
      </c>
      <c r="N96" s="26"/>
      <c r="O96" s="26"/>
      <c r="P96" s="26">
        <v>1</v>
      </c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67" t="e">
        <f>SUMIFS([1]Up!$J:$J,[1]Up!$D:$D,D96)</f>
        <v>#VALUE!</v>
      </c>
      <c r="BB96" s="82"/>
      <c r="BC96" s="82" t="str">
        <f t="shared" si="19"/>
        <v>PL10</v>
      </c>
      <c r="BD96" s="53" t="str">
        <f t="shared" si="20"/>
        <v/>
      </c>
      <c r="BE96" s="53" t="s">
        <v>148</v>
      </c>
      <c r="BF96" s="84" t="s">
        <v>210</v>
      </c>
      <c r="BG96" s="53"/>
      <c r="BH96" s="53" t="s">
        <v>211</v>
      </c>
      <c r="BI96" s="53">
        <v>1</v>
      </c>
      <c r="BJ96" s="83">
        <v>46201</v>
      </c>
      <c r="BK96" s="53"/>
      <c r="BL96" s="53"/>
    </row>
    <row r="97" spans="3:64" ht="14.25" hidden="1" customHeight="1">
      <c r="C97" s="82" t="s">
        <v>13</v>
      </c>
      <c r="D97" s="82" t="s">
        <v>352</v>
      </c>
      <c r="E97" s="82" t="s">
        <v>334</v>
      </c>
      <c r="F97" s="82" t="s">
        <v>13</v>
      </c>
      <c r="G97" s="82">
        <v>1410</v>
      </c>
      <c r="H97" s="82" t="s">
        <v>147</v>
      </c>
      <c r="I97" s="82">
        <v>1</v>
      </c>
      <c r="J97" s="82">
        <v>6.6</v>
      </c>
      <c r="K97" s="82">
        <v>6.6</v>
      </c>
      <c r="L97" s="26">
        <f t="shared" si="17"/>
        <v>1</v>
      </c>
      <c r="M97" s="26">
        <f t="shared" si="18"/>
        <v>0</v>
      </c>
      <c r="N97" s="26"/>
      <c r="O97" s="26"/>
      <c r="P97" s="26">
        <v>1</v>
      </c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67" t="e">
        <f>SUMIFS([1]Up!$J:$J,[1]Up!$D:$D,D97)</f>
        <v>#VALUE!</v>
      </c>
      <c r="BB97" s="82"/>
      <c r="BC97" s="82" t="str">
        <f t="shared" si="19"/>
        <v>PL10</v>
      </c>
      <c r="BD97" s="53" t="str">
        <f t="shared" si="20"/>
        <v/>
      </c>
      <c r="BE97" s="53" t="s">
        <v>148</v>
      </c>
      <c r="BF97" s="84" t="s">
        <v>210</v>
      </c>
      <c r="BG97" s="53"/>
      <c r="BH97" s="53" t="s">
        <v>211</v>
      </c>
      <c r="BI97" s="53">
        <v>1</v>
      </c>
      <c r="BJ97" s="83">
        <v>46201</v>
      </c>
      <c r="BK97" s="53"/>
      <c r="BL97" s="53"/>
    </row>
    <row r="98" spans="3:64" ht="14.25" hidden="1" customHeight="1">
      <c r="C98" s="82" t="s">
        <v>13</v>
      </c>
      <c r="D98" s="82" t="s">
        <v>353</v>
      </c>
      <c r="E98" s="82" t="s">
        <v>334</v>
      </c>
      <c r="F98" s="82" t="s">
        <v>13</v>
      </c>
      <c r="G98" s="82">
        <v>1100</v>
      </c>
      <c r="H98" s="82" t="s">
        <v>147</v>
      </c>
      <c r="I98" s="82">
        <v>1</v>
      </c>
      <c r="J98" s="82">
        <v>5.2</v>
      </c>
      <c r="K98" s="82">
        <v>5.2</v>
      </c>
      <c r="L98" s="26">
        <f t="shared" si="17"/>
        <v>1</v>
      </c>
      <c r="M98" s="26">
        <f t="shared" si="18"/>
        <v>0</v>
      </c>
      <c r="N98" s="26"/>
      <c r="O98" s="26"/>
      <c r="P98" s="26">
        <v>1</v>
      </c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67" t="e">
        <f>SUMIFS([1]Up!$J:$J,[1]Up!$D:$D,D98)</f>
        <v>#VALUE!</v>
      </c>
      <c r="BB98" s="82"/>
      <c r="BC98" s="82" t="str">
        <f t="shared" si="19"/>
        <v>PL10</v>
      </c>
      <c r="BD98" s="53" t="str">
        <f t="shared" si="20"/>
        <v/>
      </c>
      <c r="BE98" s="53" t="s">
        <v>148</v>
      </c>
      <c r="BF98" s="84" t="s">
        <v>210</v>
      </c>
      <c r="BG98" s="53"/>
      <c r="BH98" s="53" t="s">
        <v>211</v>
      </c>
      <c r="BI98" s="53">
        <v>1</v>
      </c>
      <c r="BJ98" s="83">
        <v>46201</v>
      </c>
      <c r="BK98" s="53"/>
      <c r="BL98" s="53"/>
    </row>
    <row r="99" spans="3:64" ht="14.25" hidden="1" customHeight="1">
      <c r="C99" s="82" t="s">
        <v>13</v>
      </c>
      <c r="D99" s="82" t="s">
        <v>354</v>
      </c>
      <c r="E99" s="82" t="s">
        <v>334</v>
      </c>
      <c r="F99" s="82" t="s">
        <v>13</v>
      </c>
      <c r="G99" s="82">
        <v>1979</v>
      </c>
      <c r="H99" s="82" t="s">
        <v>147</v>
      </c>
      <c r="I99" s="82">
        <v>1</v>
      </c>
      <c r="J99" s="82">
        <v>9.3000000000000007</v>
      </c>
      <c r="K99" s="82">
        <v>9.3000000000000007</v>
      </c>
      <c r="L99" s="26">
        <f t="shared" si="17"/>
        <v>1</v>
      </c>
      <c r="M99" s="26">
        <f t="shared" si="18"/>
        <v>0</v>
      </c>
      <c r="N99" s="26"/>
      <c r="O99" s="26"/>
      <c r="P99" s="26">
        <v>1</v>
      </c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67" t="e">
        <f>SUMIFS([1]Up!$J:$J,[1]Up!$D:$D,D99)</f>
        <v>#VALUE!</v>
      </c>
      <c r="BB99" s="82"/>
      <c r="BC99" s="82" t="str">
        <f t="shared" si="19"/>
        <v>PL10</v>
      </c>
      <c r="BD99" s="53" t="str">
        <f t="shared" si="20"/>
        <v/>
      </c>
      <c r="BE99" s="53" t="s">
        <v>148</v>
      </c>
      <c r="BF99" s="84" t="s">
        <v>210</v>
      </c>
      <c r="BG99" s="53"/>
      <c r="BH99" s="53" t="s">
        <v>211</v>
      </c>
      <c r="BI99" s="53">
        <v>1</v>
      </c>
      <c r="BJ99" s="83">
        <v>46201</v>
      </c>
      <c r="BK99" s="53"/>
      <c r="BL99" s="53"/>
    </row>
    <row r="100" spans="3:64" ht="14.25" hidden="1" customHeight="1">
      <c r="C100" s="82" t="s">
        <v>13</v>
      </c>
      <c r="D100" s="82" t="s">
        <v>355</v>
      </c>
      <c r="E100" s="82" t="s">
        <v>334</v>
      </c>
      <c r="F100" s="82" t="s">
        <v>13</v>
      </c>
      <c r="G100" s="82">
        <v>5562</v>
      </c>
      <c r="H100" s="82" t="s">
        <v>147</v>
      </c>
      <c r="I100" s="82">
        <v>1</v>
      </c>
      <c r="J100" s="82">
        <v>26.2</v>
      </c>
      <c r="K100" s="82">
        <v>26.2</v>
      </c>
      <c r="L100" s="26">
        <f t="shared" si="17"/>
        <v>1</v>
      </c>
      <c r="M100" s="26">
        <f t="shared" si="18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>
        <v>1</v>
      </c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67" t="e">
        <f>SUMIFS([1]Up!$J:$J,[1]Up!$D:$D,D100)</f>
        <v>#VALUE!</v>
      </c>
      <c r="BB100" s="82"/>
      <c r="BC100" s="82" t="str">
        <f t="shared" si="19"/>
        <v>PL10</v>
      </c>
      <c r="BD100" s="53" t="str">
        <f t="shared" si="20"/>
        <v/>
      </c>
      <c r="BE100" s="53" t="s">
        <v>148</v>
      </c>
      <c r="BF100" s="84" t="s">
        <v>210</v>
      </c>
      <c r="BG100" s="53"/>
      <c r="BH100" s="53" t="s">
        <v>211</v>
      </c>
      <c r="BI100" s="53">
        <v>1</v>
      </c>
      <c r="BJ100" s="83">
        <v>46201</v>
      </c>
      <c r="BK100" s="53"/>
      <c r="BL100" s="53"/>
    </row>
    <row r="101" spans="3:64" ht="14.25" hidden="1" customHeight="1">
      <c r="C101" s="82" t="s">
        <v>13</v>
      </c>
      <c r="D101" s="82" t="s">
        <v>357</v>
      </c>
      <c r="E101" s="82" t="s">
        <v>331</v>
      </c>
      <c r="F101" s="82" t="s">
        <v>13</v>
      </c>
      <c r="G101" s="82">
        <v>5868</v>
      </c>
      <c r="H101" s="82" t="s">
        <v>147</v>
      </c>
      <c r="I101" s="82">
        <v>1</v>
      </c>
      <c r="J101" s="82">
        <v>856.7</v>
      </c>
      <c r="K101" s="82">
        <v>856.7</v>
      </c>
      <c r="L101" s="26">
        <f t="shared" si="17"/>
        <v>0</v>
      </c>
      <c r="M101" s="26">
        <f t="shared" si="18"/>
        <v>1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67" t="e">
        <f>SUMIFS([1]Up!$J:$J,[1]Up!$D:$D,D101)</f>
        <v>#VALUE!</v>
      </c>
      <c r="BB101" s="82"/>
      <c r="BC101" s="82" t="e">
        <f t="shared" si="19"/>
        <v>#VALUE!</v>
      </c>
      <c r="BD101" s="53" t="str">
        <f t="shared" si="20"/>
        <v/>
      </c>
      <c r="BE101" s="53" t="s">
        <v>154</v>
      </c>
      <c r="BF101" s="53"/>
      <c r="BG101" s="53"/>
      <c r="BH101" s="53" t="s">
        <v>57</v>
      </c>
      <c r="BI101" s="53">
        <v>1</v>
      </c>
      <c r="BJ101" s="83"/>
      <c r="BK101" s="53"/>
      <c r="BL101" s="53"/>
    </row>
    <row r="102" spans="3:64" ht="14.25" hidden="1" customHeight="1">
      <c r="C102" s="82" t="s">
        <v>13</v>
      </c>
      <c r="D102" s="82" t="s">
        <v>358</v>
      </c>
      <c r="E102" s="82" t="s">
        <v>204</v>
      </c>
      <c r="F102" s="82" t="s">
        <v>13</v>
      </c>
      <c r="G102" s="82">
        <v>1679</v>
      </c>
      <c r="H102" s="82" t="s">
        <v>147</v>
      </c>
      <c r="I102" s="82">
        <v>1</v>
      </c>
      <c r="J102" s="82">
        <v>39.5</v>
      </c>
      <c r="K102" s="82">
        <v>39.5</v>
      </c>
      <c r="L102" s="26">
        <f t="shared" si="17"/>
        <v>1</v>
      </c>
      <c r="M102" s="26">
        <f t="shared" si="18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>
        <v>1</v>
      </c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67" t="e">
        <f>SUMIFS([1]Up!$J:$J,[1]Up!$D:$D,D102)</f>
        <v>#VALUE!</v>
      </c>
      <c r="BB102" s="82"/>
      <c r="BC102" s="82" t="str">
        <f t="shared" si="19"/>
        <v>PL15</v>
      </c>
      <c r="BD102" s="53" t="str">
        <f t="shared" si="20"/>
        <v/>
      </c>
      <c r="BE102" s="53" t="s">
        <v>148</v>
      </c>
      <c r="BF102" s="84" t="s">
        <v>200</v>
      </c>
      <c r="BG102" s="53"/>
      <c r="BH102" s="53" t="s">
        <v>201</v>
      </c>
      <c r="BI102" s="53">
        <v>1</v>
      </c>
      <c r="BJ102" s="83">
        <v>46201</v>
      </c>
      <c r="BK102" s="53"/>
      <c r="BL102" s="53"/>
    </row>
    <row r="103" spans="3:64" ht="14.25" hidden="1" customHeight="1">
      <c r="C103" s="82" t="s">
        <v>13</v>
      </c>
      <c r="D103" s="82" t="s">
        <v>359</v>
      </c>
      <c r="E103" s="82" t="s">
        <v>178</v>
      </c>
      <c r="F103" s="82" t="s">
        <v>13</v>
      </c>
      <c r="G103" s="82">
        <v>1889</v>
      </c>
      <c r="H103" s="82" t="s">
        <v>147</v>
      </c>
      <c r="I103" s="82">
        <v>1</v>
      </c>
      <c r="J103" s="82">
        <v>59.2</v>
      </c>
      <c r="K103" s="82">
        <v>59.2</v>
      </c>
      <c r="L103" s="26">
        <f t="shared" si="17"/>
        <v>1</v>
      </c>
      <c r="M103" s="26">
        <f t="shared" si="18"/>
        <v>0</v>
      </c>
      <c r="N103" s="26"/>
      <c r="O103" s="26"/>
      <c r="P103" s="26">
        <v>1</v>
      </c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67" t="e">
        <f>SUMIFS([1]Up!$J:$J,[1]Up!$D:$D,D103)</f>
        <v>#VALUE!</v>
      </c>
      <c r="BB103" s="82"/>
      <c r="BC103" s="82" t="str">
        <f t="shared" si="19"/>
        <v>PL20</v>
      </c>
      <c r="BD103" s="53" t="str">
        <f t="shared" si="20"/>
        <v/>
      </c>
      <c r="BE103" s="53" t="s">
        <v>148</v>
      </c>
      <c r="BF103" s="84" t="s">
        <v>319</v>
      </c>
      <c r="BG103" s="53"/>
      <c r="BH103" s="53" t="s">
        <v>320</v>
      </c>
      <c r="BI103" s="53">
        <v>1</v>
      </c>
      <c r="BJ103" s="83">
        <v>46202</v>
      </c>
      <c r="BK103" s="53"/>
      <c r="BL103" s="53"/>
    </row>
    <row r="104" spans="3:64" ht="14.25" hidden="1" customHeight="1">
      <c r="C104" s="82" t="s">
        <v>13</v>
      </c>
      <c r="D104" s="82" t="s">
        <v>360</v>
      </c>
      <c r="E104" s="82" t="s">
        <v>178</v>
      </c>
      <c r="F104" s="82" t="s">
        <v>13</v>
      </c>
      <c r="G104" s="82">
        <v>1941</v>
      </c>
      <c r="H104" s="82" t="s">
        <v>147</v>
      </c>
      <c r="I104" s="82">
        <v>1</v>
      </c>
      <c r="J104" s="82">
        <v>60.8</v>
      </c>
      <c r="K104" s="82">
        <v>60.8</v>
      </c>
      <c r="L104" s="26">
        <f t="shared" si="17"/>
        <v>1</v>
      </c>
      <c r="M104" s="26">
        <f t="shared" si="18"/>
        <v>0</v>
      </c>
      <c r="N104" s="26"/>
      <c r="O104" s="26"/>
      <c r="P104" s="26"/>
      <c r="Q104" s="26">
        <v>1</v>
      </c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67" t="e">
        <f>SUMIFS([1]Up!$J:$J,[1]Up!$D:$D,D104)</f>
        <v>#VALUE!</v>
      </c>
      <c r="BB104" s="82"/>
      <c r="BC104" s="82" t="str">
        <f t="shared" si="19"/>
        <v>PL20</v>
      </c>
      <c r="BD104" s="53" t="str">
        <f t="shared" si="20"/>
        <v/>
      </c>
      <c r="BE104" s="53" t="s">
        <v>148</v>
      </c>
      <c r="BF104" s="84" t="s">
        <v>319</v>
      </c>
      <c r="BG104" s="53"/>
      <c r="BH104" s="53" t="s">
        <v>320</v>
      </c>
      <c r="BI104" s="53">
        <v>1</v>
      </c>
      <c r="BJ104" s="83">
        <v>46202</v>
      </c>
      <c r="BK104" s="53"/>
      <c r="BL104" s="53"/>
    </row>
    <row r="105" spans="3:64" ht="14.25" hidden="1" customHeight="1">
      <c r="C105" s="82" t="s">
        <v>13</v>
      </c>
      <c r="D105" s="82" t="s">
        <v>362</v>
      </c>
      <c r="E105" s="82" t="s">
        <v>199</v>
      </c>
      <c r="F105" s="82" t="s">
        <v>13</v>
      </c>
      <c r="G105" s="82">
        <v>5258</v>
      </c>
      <c r="H105" s="82" t="s">
        <v>147</v>
      </c>
      <c r="I105" s="82">
        <v>1</v>
      </c>
      <c r="J105" s="82">
        <v>136.1</v>
      </c>
      <c r="K105" s="82">
        <v>136.1</v>
      </c>
      <c r="L105" s="26">
        <f t="shared" si="17"/>
        <v>1</v>
      </c>
      <c r="M105" s="26">
        <f t="shared" si="18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>
        <v>1</v>
      </c>
      <c r="Y105" s="26"/>
      <c r="Z105" s="26">
        <v>2</v>
      </c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67" t="e">
        <f>SUMIFS([1]Up!$J:$J,[1]Up!$D:$D,D105)</f>
        <v>#VALUE!</v>
      </c>
      <c r="BB105" s="82" t="s">
        <v>2071</v>
      </c>
      <c r="BC105" s="82" t="str">
        <f t="shared" si="19"/>
        <v>PL15</v>
      </c>
      <c r="BD105" s="53" t="str">
        <f t="shared" si="20"/>
        <v>Thừa 2</v>
      </c>
      <c r="BE105" s="53" t="s">
        <v>148</v>
      </c>
      <c r="BF105" s="53"/>
      <c r="BG105" s="53"/>
      <c r="BH105" s="53" t="s">
        <v>57</v>
      </c>
      <c r="BI105" s="53">
        <v>1</v>
      </c>
      <c r="BJ105" s="83"/>
      <c r="BK105" s="53"/>
      <c r="BL105" s="53"/>
    </row>
    <row r="106" spans="3:64" ht="14.25" hidden="1" customHeight="1">
      <c r="C106" s="82" t="s">
        <v>13</v>
      </c>
      <c r="D106" s="82" t="s">
        <v>364</v>
      </c>
      <c r="E106" s="82" t="s">
        <v>365</v>
      </c>
      <c r="F106" s="82" t="s">
        <v>13</v>
      </c>
      <c r="G106" s="82">
        <v>6006</v>
      </c>
      <c r="H106" s="82" t="s">
        <v>147</v>
      </c>
      <c r="I106" s="82">
        <v>1</v>
      </c>
      <c r="J106" s="82">
        <v>2259.1</v>
      </c>
      <c r="K106" s="82">
        <v>2259.1</v>
      </c>
      <c r="L106" s="26">
        <f t="shared" si="17"/>
        <v>1</v>
      </c>
      <c r="M106" s="26">
        <f t="shared" si="18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>
        <v>3</v>
      </c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67" t="e">
        <f>SUMIFS([1]Up!$J:$J,[1]Up!$D:$D,D106)</f>
        <v>#VALUE!</v>
      </c>
      <c r="BB106" s="82" t="s">
        <v>2244</v>
      </c>
      <c r="BC106" s="82" t="e">
        <f t="shared" si="19"/>
        <v>#VALUE!</v>
      </c>
      <c r="BD106" s="53" t="str">
        <f t="shared" si="20"/>
        <v>Thừa 2</v>
      </c>
      <c r="BE106" s="53" t="s">
        <v>154</v>
      </c>
      <c r="BF106" s="53"/>
      <c r="BG106" s="53"/>
      <c r="BH106" s="53" t="s">
        <v>57</v>
      </c>
      <c r="BI106" s="53">
        <v>1</v>
      </c>
      <c r="BJ106" s="83"/>
      <c r="BK106" s="53"/>
      <c r="BL106" s="53"/>
    </row>
    <row r="107" spans="3:64" ht="14.25" hidden="1" customHeight="1">
      <c r="C107" s="82" t="s">
        <v>13</v>
      </c>
      <c r="D107" s="82" t="s">
        <v>367</v>
      </c>
      <c r="E107" s="82" t="s">
        <v>204</v>
      </c>
      <c r="F107" s="82" t="s">
        <v>13</v>
      </c>
      <c r="G107" s="82">
        <v>4773</v>
      </c>
      <c r="H107" s="82" t="s">
        <v>147</v>
      </c>
      <c r="I107" s="82">
        <v>1</v>
      </c>
      <c r="J107" s="82">
        <v>112.3</v>
      </c>
      <c r="K107" s="82">
        <v>112.3</v>
      </c>
      <c r="L107" s="26">
        <f t="shared" si="17"/>
        <v>1</v>
      </c>
      <c r="M107" s="26">
        <f t="shared" si="18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>
        <v>1</v>
      </c>
      <c r="Y107" s="26"/>
      <c r="Z107" s="26">
        <v>2</v>
      </c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67" t="e">
        <f>SUMIFS([1]Up!$J:$J,[1]Up!$D:$D,D107)</f>
        <v>#VALUE!</v>
      </c>
      <c r="BB107" s="82" t="s">
        <v>2077</v>
      </c>
      <c r="BC107" s="82" t="str">
        <f t="shared" si="19"/>
        <v>PL15</v>
      </c>
      <c r="BD107" s="53" t="str">
        <f t="shared" si="20"/>
        <v>Thừa 2</v>
      </c>
      <c r="BE107" s="53" t="s">
        <v>148</v>
      </c>
      <c r="BF107" s="53"/>
      <c r="BG107" s="53"/>
      <c r="BH107" s="53" t="s">
        <v>57</v>
      </c>
      <c r="BI107" s="53">
        <v>1</v>
      </c>
      <c r="BJ107" s="83"/>
      <c r="BK107" s="53"/>
      <c r="BL107" s="53"/>
    </row>
    <row r="108" spans="3:64" ht="14.25" hidden="1" customHeight="1">
      <c r="C108" s="82" t="s">
        <v>13</v>
      </c>
      <c r="D108" s="82" t="s">
        <v>707</v>
      </c>
      <c r="E108" s="82" t="s">
        <v>648</v>
      </c>
      <c r="F108" s="82" t="s">
        <v>13</v>
      </c>
      <c r="G108" s="82">
        <v>400</v>
      </c>
      <c r="H108" s="82" t="s">
        <v>147</v>
      </c>
      <c r="I108" s="82">
        <v>2</v>
      </c>
      <c r="J108" s="82">
        <v>25.1</v>
      </c>
      <c r="K108" s="82">
        <v>50.2</v>
      </c>
      <c r="L108" s="26">
        <f t="shared" si="17"/>
        <v>2</v>
      </c>
      <c r="M108" s="26">
        <f t="shared" si="18"/>
        <v>0</v>
      </c>
      <c r="N108" s="26"/>
      <c r="O108" s="26">
        <v>1</v>
      </c>
      <c r="P108" s="26">
        <v>1</v>
      </c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67" t="e">
        <f>SUMIFS([1]Up!$J:$J,[1]Up!$D:$D,D108)</f>
        <v>#VALUE!</v>
      </c>
      <c r="BB108" s="82"/>
      <c r="BC108" s="82" t="str">
        <f t="shared" si="19"/>
        <v>PL20</v>
      </c>
      <c r="BD108" s="53" t="str">
        <f t="shared" si="20"/>
        <v/>
      </c>
      <c r="BE108" s="53" t="s">
        <v>148</v>
      </c>
      <c r="BF108" s="84" t="s">
        <v>319</v>
      </c>
      <c r="BG108" s="53"/>
      <c r="BH108" s="53" t="s">
        <v>320</v>
      </c>
      <c r="BI108" s="53">
        <v>2</v>
      </c>
      <c r="BJ108" s="83">
        <v>46202</v>
      </c>
      <c r="BK108" s="53"/>
      <c r="BL108" s="53"/>
    </row>
    <row r="109" spans="3:64" ht="14.25" hidden="1" customHeight="1">
      <c r="C109" s="82" t="s">
        <v>13</v>
      </c>
      <c r="D109" s="82" t="s">
        <v>708</v>
      </c>
      <c r="E109" s="82" t="s">
        <v>651</v>
      </c>
      <c r="F109" s="82" t="s">
        <v>13</v>
      </c>
      <c r="G109" s="82">
        <v>800</v>
      </c>
      <c r="H109" s="82" t="s">
        <v>652</v>
      </c>
      <c r="I109" s="82">
        <v>4</v>
      </c>
      <c r="J109" s="82">
        <v>4.7</v>
      </c>
      <c r="K109" s="82">
        <v>18.8</v>
      </c>
      <c r="L109" s="26">
        <f t="shared" si="17"/>
        <v>4</v>
      </c>
      <c r="M109" s="26">
        <f t="shared" si="18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>
        <v>4</v>
      </c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67" t="e">
        <f>SUMIFS([1]Up!$J:$J,[1]Up!$D:$D,D109)</f>
        <v>#VALUE!</v>
      </c>
      <c r="BB109" s="82"/>
      <c r="BC109" s="82" t="str">
        <f t="shared" si="19"/>
        <v>PL3</v>
      </c>
      <c r="BD109" s="53" t="str">
        <f t="shared" si="20"/>
        <v/>
      </c>
      <c r="BE109" s="53" t="s">
        <v>148</v>
      </c>
      <c r="BF109" s="84" t="s">
        <v>682</v>
      </c>
      <c r="BG109" s="53"/>
      <c r="BH109" s="53" t="s">
        <v>683</v>
      </c>
      <c r="BI109" s="53">
        <v>4</v>
      </c>
      <c r="BJ109" s="83">
        <v>46196</v>
      </c>
      <c r="BK109" s="53"/>
      <c r="BL109" s="53"/>
    </row>
    <row r="110" spans="3:64" ht="14.25" hidden="1" customHeight="1">
      <c r="C110" s="82" t="s">
        <v>13</v>
      </c>
      <c r="D110" s="82" t="s">
        <v>709</v>
      </c>
      <c r="E110" s="82" t="s">
        <v>648</v>
      </c>
      <c r="F110" s="82" t="s">
        <v>13</v>
      </c>
      <c r="G110" s="82">
        <v>970</v>
      </c>
      <c r="H110" s="82" t="s">
        <v>147</v>
      </c>
      <c r="I110" s="82">
        <v>2</v>
      </c>
      <c r="J110" s="82">
        <v>60.9</v>
      </c>
      <c r="K110" s="82">
        <v>121.8</v>
      </c>
      <c r="L110" s="26">
        <f t="shared" si="17"/>
        <v>2</v>
      </c>
      <c r="M110" s="26">
        <f t="shared" si="18"/>
        <v>0</v>
      </c>
      <c r="N110" s="26">
        <v>1</v>
      </c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>
        <v>1</v>
      </c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67" t="e">
        <f>SUMIFS([1]Up!$J:$J,[1]Up!$D:$D,D110)</f>
        <v>#VALUE!</v>
      </c>
      <c r="BB110" s="82"/>
      <c r="BC110" s="82" t="str">
        <f t="shared" si="19"/>
        <v>PL20</v>
      </c>
      <c r="BD110" s="53" t="str">
        <f t="shared" si="20"/>
        <v/>
      </c>
      <c r="BE110" s="53" t="s">
        <v>148</v>
      </c>
      <c r="BF110" s="84" t="s">
        <v>319</v>
      </c>
      <c r="BG110" s="53"/>
      <c r="BH110" s="53" t="s">
        <v>320</v>
      </c>
      <c r="BI110" s="53">
        <v>2</v>
      </c>
      <c r="BJ110" s="83">
        <v>46202</v>
      </c>
      <c r="BK110" s="53"/>
      <c r="BL110" s="53"/>
    </row>
    <row r="111" spans="3:64" ht="14.25" hidden="1" customHeight="1">
      <c r="C111" s="82" t="s">
        <v>13</v>
      </c>
      <c r="D111" s="82" t="s">
        <v>710</v>
      </c>
      <c r="E111" s="82" t="s">
        <v>657</v>
      </c>
      <c r="F111" s="82" t="s">
        <v>13</v>
      </c>
      <c r="G111" s="82">
        <v>400</v>
      </c>
      <c r="H111" s="82" t="s">
        <v>147</v>
      </c>
      <c r="I111" s="82">
        <v>4</v>
      </c>
      <c r="J111" s="82">
        <v>16.600000000000001</v>
      </c>
      <c r="K111" s="82">
        <v>66.400000000000006</v>
      </c>
      <c r="L111" s="26">
        <f t="shared" si="17"/>
        <v>4</v>
      </c>
      <c r="M111" s="26">
        <f t="shared" si="18"/>
        <v>0</v>
      </c>
      <c r="N111" s="26">
        <v>1</v>
      </c>
      <c r="O111" s="26">
        <v>1</v>
      </c>
      <c r="P111" s="26">
        <v>2</v>
      </c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67" t="e">
        <f>SUMIFS([1]Up!$J:$J,[1]Up!$D:$D,D111)</f>
        <v>#VALUE!</v>
      </c>
      <c r="BB111" s="82"/>
      <c r="BC111" s="82" t="str">
        <f t="shared" si="19"/>
        <v>PL20</v>
      </c>
      <c r="BD111" s="53" t="str">
        <f t="shared" si="20"/>
        <v/>
      </c>
      <c r="BE111" s="53" t="s">
        <v>148</v>
      </c>
      <c r="BF111" s="84" t="s">
        <v>319</v>
      </c>
      <c r="BG111" s="53"/>
      <c r="BH111" s="53" t="s">
        <v>320</v>
      </c>
      <c r="BI111" s="53">
        <v>4</v>
      </c>
      <c r="BJ111" s="83">
        <v>46202</v>
      </c>
      <c r="BK111" s="53"/>
      <c r="BL111" s="53"/>
    </row>
    <row r="112" spans="3:64" ht="14.25" hidden="1" customHeight="1">
      <c r="C112" s="82" t="s">
        <v>13</v>
      </c>
      <c r="D112" s="82" t="s">
        <v>711</v>
      </c>
      <c r="E112" s="82" t="s">
        <v>645</v>
      </c>
      <c r="F112" s="82" t="s">
        <v>13</v>
      </c>
      <c r="G112" s="82">
        <v>3080</v>
      </c>
      <c r="H112" s="82" t="s">
        <v>147</v>
      </c>
      <c r="I112" s="82">
        <v>1</v>
      </c>
      <c r="J112" s="82">
        <v>739.8</v>
      </c>
      <c r="K112" s="82">
        <v>739.8</v>
      </c>
      <c r="L112" s="26">
        <f t="shared" si="17"/>
        <v>1</v>
      </c>
      <c r="M112" s="26">
        <f t="shared" si="18"/>
        <v>0</v>
      </c>
      <c r="N112" s="26">
        <v>1</v>
      </c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67" t="e">
        <f>SUMIFS([1]Up!$J:$J,[1]Up!$D:$D,D112)</f>
        <v>#VALUE!</v>
      </c>
      <c r="BB112" s="82"/>
      <c r="BC112" s="82" t="str">
        <f t="shared" si="19"/>
        <v>PL30</v>
      </c>
      <c r="BD112" s="53" t="str">
        <f t="shared" si="20"/>
        <v/>
      </c>
      <c r="BE112" s="53" t="s">
        <v>148</v>
      </c>
      <c r="BF112" s="84" t="s">
        <v>688</v>
      </c>
      <c r="BG112" s="53"/>
      <c r="BH112" s="53" t="s">
        <v>689</v>
      </c>
      <c r="BI112" s="53">
        <v>1</v>
      </c>
      <c r="BJ112" s="83">
        <v>46196</v>
      </c>
      <c r="BK112" s="53"/>
      <c r="BL112" s="53"/>
    </row>
    <row r="113" spans="3:64" ht="14.25" hidden="1" customHeight="1">
      <c r="C113" s="82" t="s">
        <v>13</v>
      </c>
      <c r="D113" s="82" t="s">
        <v>713</v>
      </c>
      <c r="E113" s="82" t="s">
        <v>714</v>
      </c>
      <c r="F113" s="82" t="s">
        <v>13</v>
      </c>
      <c r="G113" s="82">
        <v>1505</v>
      </c>
      <c r="H113" s="82" t="s">
        <v>147</v>
      </c>
      <c r="I113" s="82">
        <v>2</v>
      </c>
      <c r="J113" s="82">
        <v>116.6</v>
      </c>
      <c r="K113" s="82">
        <v>233.2</v>
      </c>
      <c r="L113" s="26">
        <f t="shared" si="17"/>
        <v>2</v>
      </c>
      <c r="M113" s="26">
        <f t="shared" si="18"/>
        <v>0</v>
      </c>
      <c r="N113" s="26"/>
      <c r="O113" s="26"/>
      <c r="P113" s="26">
        <v>2</v>
      </c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67" t="e">
        <f>SUMIFS([1]Up!$J:$J,[1]Up!$D:$D,D113)</f>
        <v>#VALUE!</v>
      </c>
      <c r="BB113" s="82"/>
      <c r="BC113" s="82" t="str">
        <f t="shared" si="19"/>
        <v>PL20</v>
      </c>
      <c r="BD113" s="53" t="str">
        <f t="shared" si="20"/>
        <v/>
      </c>
      <c r="BE113" s="53" t="s">
        <v>148</v>
      </c>
      <c r="BF113" s="84" t="s">
        <v>319</v>
      </c>
      <c r="BG113" s="53"/>
      <c r="BH113" s="53" t="s">
        <v>320</v>
      </c>
      <c r="BI113" s="53">
        <v>2</v>
      </c>
      <c r="BJ113" s="83">
        <v>46202</v>
      </c>
      <c r="BK113" s="53"/>
      <c r="BL113" s="53"/>
    </row>
    <row r="114" spans="3:64" ht="14.25" hidden="1" customHeight="1">
      <c r="C114" s="82" t="s">
        <v>13</v>
      </c>
      <c r="D114" s="82" t="s">
        <v>716</v>
      </c>
      <c r="E114" s="82" t="s">
        <v>648</v>
      </c>
      <c r="F114" s="82" t="s">
        <v>13</v>
      </c>
      <c r="G114" s="82">
        <v>1028</v>
      </c>
      <c r="H114" s="82" t="s">
        <v>147</v>
      </c>
      <c r="I114" s="82">
        <v>2</v>
      </c>
      <c r="J114" s="82">
        <v>63.9</v>
      </c>
      <c r="K114" s="82">
        <v>127.8</v>
      </c>
      <c r="L114" s="26">
        <f t="shared" si="17"/>
        <v>2</v>
      </c>
      <c r="M114" s="26">
        <f t="shared" si="18"/>
        <v>0</v>
      </c>
      <c r="N114" s="26"/>
      <c r="O114" s="26"/>
      <c r="P114" s="26">
        <v>2</v>
      </c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67" t="e">
        <f>SUMIFS([1]Up!$J:$J,[1]Up!$D:$D,D114)</f>
        <v>#VALUE!</v>
      </c>
      <c r="BB114" s="82"/>
      <c r="BC114" s="82" t="str">
        <f t="shared" si="19"/>
        <v>PL20</v>
      </c>
      <c r="BD114" s="53" t="str">
        <f t="shared" si="20"/>
        <v/>
      </c>
      <c r="BE114" s="53" t="s">
        <v>148</v>
      </c>
      <c r="BF114" s="84" t="s">
        <v>319</v>
      </c>
      <c r="BG114" s="53"/>
      <c r="BH114" s="53" t="s">
        <v>320</v>
      </c>
      <c r="BI114" s="53">
        <v>2</v>
      </c>
      <c r="BJ114" s="83">
        <v>46202</v>
      </c>
      <c r="BK114" s="53"/>
      <c r="BL114" s="53"/>
    </row>
    <row r="115" spans="3:64" ht="14.25" hidden="1" customHeight="1">
      <c r="C115" s="82" t="s">
        <v>13</v>
      </c>
      <c r="D115" s="82" t="s">
        <v>718</v>
      </c>
      <c r="E115" s="82" t="s">
        <v>648</v>
      </c>
      <c r="F115" s="82" t="s">
        <v>13</v>
      </c>
      <c r="G115" s="82">
        <v>699</v>
      </c>
      <c r="H115" s="82" t="s">
        <v>147</v>
      </c>
      <c r="I115" s="82">
        <v>2</v>
      </c>
      <c r="J115" s="82">
        <v>43.7</v>
      </c>
      <c r="K115" s="82">
        <v>87.4</v>
      </c>
      <c r="L115" s="26">
        <f t="shared" si="17"/>
        <v>2</v>
      </c>
      <c r="M115" s="26">
        <f t="shared" si="18"/>
        <v>0</v>
      </c>
      <c r="N115" s="26"/>
      <c r="O115" s="26"/>
      <c r="P115" s="26">
        <v>2</v>
      </c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67" t="e">
        <f>SUMIFS([1]Up!$J:$J,[1]Up!$D:$D,D115)</f>
        <v>#VALUE!</v>
      </c>
      <c r="BB115" s="82"/>
      <c r="BC115" s="82" t="str">
        <f t="shared" si="19"/>
        <v>PL20</v>
      </c>
      <c r="BD115" s="53" t="str">
        <f t="shared" si="20"/>
        <v/>
      </c>
      <c r="BE115" s="53" t="s">
        <v>148</v>
      </c>
      <c r="BF115" s="84" t="s">
        <v>319</v>
      </c>
      <c r="BG115" s="53"/>
      <c r="BH115" s="53" t="s">
        <v>320</v>
      </c>
      <c r="BI115" s="53">
        <v>2</v>
      </c>
      <c r="BJ115" s="83">
        <v>46202</v>
      </c>
      <c r="BK115" s="53"/>
      <c r="BL115" s="53"/>
    </row>
    <row r="116" spans="3:64" ht="14.25" hidden="1" customHeight="1">
      <c r="C116" s="82" t="s">
        <v>13</v>
      </c>
      <c r="D116" s="82" t="s">
        <v>720</v>
      </c>
      <c r="E116" s="82" t="s">
        <v>657</v>
      </c>
      <c r="F116" s="82" t="s">
        <v>13</v>
      </c>
      <c r="G116" s="82">
        <v>690</v>
      </c>
      <c r="H116" s="82" t="s">
        <v>147</v>
      </c>
      <c r="I116" s="82">
        <v>2</v>
      </c>
      <c r="J116" s="82">
        <v>28.6</v>
      </c>
      <c r="K116" s="82">
        <v>57.2</v>
      </c>
      <c r="L116" s="26">
        <f t="shared" si="17"/>
        <v>2</v>
      </c>
      <c r="M116" s="26">
        <f t="shared" si="18"/>
        <v>0</v>
      </c>
      <c r="N116" s="26"/>
      <c r="O116" s="26"/>
      <c r="P116" s="26">
        <v>2</v>
      </c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67" t="e">
        <f>SUMIFS([1]Up!$J:$J,[1]Up!$D:$D,D116)</f>
        <v>#VALUE!</v>
      </c>
      <c r="BB116" s="82"/>
      <c r="BC116" s="82" t="str">
        <f t="shared" si="19"/>
        <v>PL20</v>
      </c>
      <c r="BD116" s="53" t="str">
        <f t="shared" si="20"/>
        <v/>
      </c>
      <c r="BE116" s="53" t="s">
        <v>148</v>
      </c>
      <c r="BF116" s="84" t="s">
        <v>319</v>
      </c>
      <c r="BG116" s="53"/>
      <c r="BH116" s="53" t="s">
        <v>320</v>
      </c>
      <c r="BI116" s="53">
        <v>2</v>
      </c>
      <c r="BJ116" s="83">
        <v>46202</v>
      </c>
      <c r="BK116" s="53"/>
      <c r="BL116" s="53"/>
    </row>
    <row r="117" spans="3:64" ht="14.25" hidden="1" customHeight="1">
      <c r="C117" s="82" t="s">
        <v>13</v>
      </c>
      <c r="D117" s="82" t="s">
        <v>722</v>
      </c>
      <c r="E117" s="82" t="s">
        <v>657</v>
      </c>
      <c r="F117" s="82" t="s">
        <v>13</v>
      </c>
      <c r="G117" s="82">
        <v>1004</v>
      </c>
      <c r="H117" s="82" t="s">
        <v>147</v>
      </c>
      <c r="I117" s="82">
        <v>2</v>
      </c>
      <c r="J117" s="82">
        <v>41.5</v>
      </c>
      <c r="K117" s="82">
        <v>83</v>
      </c>
      <c r="L117" s="26">
        <f t="shared" si="17"/>
        <v>2</v>
      </c>
      <c r="M117" s="26">
        <f t="shared" si="18"/>
        <v>0</v>
      </c>
      <c r="N117" s="26">
        <v>1</v>
      </c>
      <c r="O117" s="26">
        <v>1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67" t="e">
        <f>SUMIFS([1]Up!$J:$J,[1]Up!$D:$D,D117)</f>
        <v>#VALUE!</v>
      </c>
      <c r="BB117" s="82"/>
      <c r="BC117" s="82" t="str">
        <f t="shared" si="19"/>
        <v>PL20</v>
      </c>
      <c r="BD117" s="53" t="str">
        <f t="shared" si="20"/>
        <v/>
      </c>
      <c r="BE117" s="53" t="s">
        <v>148</v>
      </c>
      <c r="BF117" s="84" t="s">
        <v>319</v>
      </c>
      <c r="BG117" s="53"/>
      <c r="BH117" s="53" t="s">
        <v>320</v>
      </c>
      <c r="BI117" s="53">
        <v>2</v>
      </c>
      <c r="BJ117" s="83">
        <v>46202</v>
      </c>
      <c r="BK117" s="53"/>
      <c r="BL117" s="53"/>
    </row>
    <row r="118" spans="3:64" ht="14.25" hidden="1" customHeight="1">
      <c r="C118" s="82" t="s">
        <v>13</v>
      </c>
      <c r="D118" s="82" t="s">
        <v>724</v>
      </c>
      <c r="E118" s="82" t="s">
        <v>657</v>
      </c>
      <c r="F118" s="82" t="s">
        <v>13</v>
      </c>
      <c r="G118" s="82">
        <v>706</v>
      </c>
      <c r="H118" s="82" t="s">
        <v>147</v>
      </c>
      <c r="I118" s="82">
        <v>2</v>
      </c>
      <c r="J118" s="82">
        <v>29.2</v>
      </c>
      <c r="K118" s="82">
        <v>58.4</v>
      </c>
      <c r="L118" s="26">
        <f t="shared" si="17"/>
        <v>2</v>
      </c>
      <c r="M118" s="26">
        <f t="shared" si="18"/>
        <v>0</v>
      </c>
      <c r="N118" s="26"/>
      <c r="O118" s="26"/>
      <c r="P118" s="26">
        <v>2</v>
      </c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67" t="e">
        <f>SUMIFS([1]Up!$J:$J,[1]Up!$D:$D,D118)</f>
        <v>#VALUE!</v>
      </c>
      <c r="BB118" s="82"/>
      <c r="BC118" s="82" t="str">
        <f t="shared" si="19"/>
        <v>PL20</v>
      </c>
      <c r="BD118" s="53" t="str">
        <f t="shared" si="20"/>
        <v/>
      </c>
      <c r="BE118" s="53" t="s">
        <v>148</v>
      </c>
      <c r="BF118" s="84" t="s">
        <v>319</v>
      </c>
      <c r="BG118" s="53"/>
      <c r="BH118" s="53" t="s">
        <v>320</v>
      </c>
      <c r="BI118" s="53">
        <v>2</v>
      </c>
      <c r="BJ118" s="83">
        <v>46202</v>
      </c>
      <c r="BK118" s="53"/>
      <c r="BL118" s="53"/>
    </row>
    <row r="119" spans="3:64" ht="14.25" hidden="1" customHeight="1">
      <c r="C119" s="82" t="s">
        <v>13</v>
      </c>
      <c r="D119" s="82" t="s">
        <v>726</v>
      </c>
      <c r="E119" s="82" t="s">
        <v>657</v>
      </c>
      <c r="F119" s="82" t="s">
        <v>13</v>
      </c>
      <c r="G119" s="82">
        <v>1046</v>
      </c>
      <c r="H119" s="82" t="s">
        <v>147</v>
      </c>
      <c r="I119" s="82">
        <v>2</v>
      </c>
      <c r="J119" s="82">
        <v>43.2</v>
      </c>
      <c r="K119" s="82">
        <v>86.4</v>
      </c>
      <c r="L119" s="26">
        <f t="shared" si="17"/>
        <v>2</v>
      </c>
      <c r="M119" s="26">
        <f t="shared" si="18"/>
        <v>0</v>
      </c>
      <c r="N119" s="26"/>
      <c r="O119" s="26">
        <v>1</v>
      </c>
      <c r="P119" s="26">
        <v>1</v>
      </c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67" t="e">
        <f>SUMIFS([1]Up!$J:$J,[1]Up!$D:$D,D119)</f>
        <v>#VALUE!</v>
      </c>
      <c r="BB119" s="82"/>
      <c r="BC119" s="82" t="str">
        <f t="shared" si="19"/>
        <v>PL20</v>
      </c>
      <c r="BD119" s="53" t="str">
        <f t="shared" si="20"/>
        <v/>
      </c>
      <c r="BE119" s="53" t="s">
        <v>148</v>
      </c>
      <c r="BF119" s="84" t="s">
        <v>319</v>
      </c>
      <c r="BG119" s="53"/>
      <c r="BH119" s="53" t="s">
        <v>320</v>
      </c>
      <c r="BI119" s="53">
        <v>2</v>
      </c>
      <c r="BJ119" s="83">
        <v>46202</v>
      </c>
      <c r="BK119" s="53"/>
      <c r="BL119" s="53"/>
    </row>
    <row r="120" spans="3:64" ht="14.25" hidden="1" customHeight="1">
      <c r="C120" s="82" t="s">
        <v>13</v>
      </c>
      <c r="D120" s="82" t="s">
        <v>728</v>
      </c>
      <c r="E120" s="82" t="s">
        <v>729</v>
      </c>
      <c r="F120" s="82" t="s">
        <v>13</v>
      </c>
      <c r="G120" s="82">
        <v>1477</v>
      </c>
      <c r="H120" s="82" t="s">
        <v>147</v>
      </c>
      <c r="I120" s="82">
        <v>2</v>
      </c>
      <c r="J120" s="82">
        <v>116</v>
      </c>
      <c r="K120" s="82">
        <v>232</v>
      </c>
      <c r="L120" s="26">
        <f t="shared" si="17"/>
        <v>2</v>
      </c>
      <c r="M120" s="26">
        <f t="shared" si="18"/>
        <v>0</v>
      </c>
      <c r="N120" s="26"/>
      <c r="O120" s="26"/>
      <c r="P120" s="26">
        <v>2</v>
      </c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67" t="e">
        <f>SUMIFS([1]Up!$J:$J,[1]Up!$D:$D,D120)</f>
        <v>#VALUE!</v>
      </c>
      <c r="BB120" s="82"/>
      <c r="BC120" s="82" t="str">
        <f t="shared" si="19"/>
        <v>PL20</v>
      </c>
      <c r="BD120" s="53" t="str">
        <f t="shared" si="20"/>
        <v/>
      </c>
      <c r="BE120" s="53" t="s">
        <v>148</v>
      </c>
      <c r="BF120" s="84" t="s">
        <v>319</v>
      </c>
      <c r="BG120" s="53"/>
      <c r="BH120" s="53" t="s">
        <v>320</v>
      </c>
      <c r="BI120" s="53">
        <v>2</v>
      </c>
      <c r="BJ120" s="83">
        <v>46202</v>
      </c>
      <c r="BK120" s="53"/>
      <c r="BL120" s="53"/>
    </row>
    <row r="121" spans="3:64" ht="14.25" hidden="1" customHeight="1">
      <c r="C121" s="82" t="s">
        <v>13</v>
      </c>
      <c r="D121" s="82" t="s">
        <v>730</v>
      </c>
      <c r="E121" s="82" t="s">
        <v>678</v>
      </c>
      <c r="F121" s="82" t="s">
        <v>13</v>
      </c>
      <c r="G121" s="82">
        <v>100</v>
      </c>
      <c r="H121" s="82" t="s">
        <v>652</v>
      </c>
      <c r="I121" s="82">
        <v>1</v>
      </c>
      <c r="J121" s="82">
        <v>0.2</v>
      </c>
      <c r="K121" s="82">
        <v>0.2</v>
      </c>
      <c r="L121" s="26">
        <f t="shared" si="17"/>
        <v>1</v>
      </c>
      <c r="M121" s="26">
        <f t="shared" si="18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>
        <v>1</v>
      </c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67" t="e">
        <f>SUMIFS([1]Up!$J:$J,[1]Up!$D:$D,D121)</f>
        <v>#VALUE!</v>
      </c>
      <c r="BB121" s="82"/>
      <c r="BC121" s="82" t="str">
        <f t="shared" si="19"/>
        <v>PL5</v>
      </c>
      <c r="BD121" s="53" t="str">
        <f t="shared" si="20"/>
        <v/>
      </c>
      <c r="BE121" s="53" t="s">
        <v>148</v>
      </c>
      <c r="BF121" s="53" t="s">
        <v>704</v>
      </c>
      <c r="BG121" s="53"/>
      <c r="BH121" s="53" t="s">
        <v>705</v>
      </c>
      <c r="BI121" s="53">
        <v>1</v>
      </c>
      <c r="BJ121" s="83">
        <v>46196</v>
      </c>
      <c r="BK121" s="53"/>
      <c r="BL121" s="53"/>
    </row>
    <row r="122" spans="3:64" ht="14.25" hidden="1" customHeight="1">
      <c r="C122" s="82" t="s">
        <v>13</v>
      </c>
      <c r="D122" s="82" t="s">
        <v>761</v>
      </c>
      <c r="E122" s="82" t="s">
        <v>762</v>
      </c>
      <c r="F122" s="82" t="s">
        <v>13</v>
      </c>
      <c r="G122" s="82">
        <v>420</v>
      </c>
      <c r="H122" s="82" t="s">
        <v>147</v>
      </c>
      <c r="I122" s="82">
        <v>1</v>
      </c>
      <c r="J122" s="82">
        <v>27</v>
      </c>
      <c r="K122" s="82">
        <v>27</v>
      </c>
      <c r="L122" s="26">
        <f t="shared" si="17"/>
        <v>1</v>
      </c>
      <c r="M122" s="26">
        <f t="shared" si="18"/>
        <v>0</v>
      </c>
      <c r="N122" s="26"/>
      <c r="O122" s="26">
        <v>1</v>
      </c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67" t="e">
        <f>SUMIFS([1]Up!$J:$J,[1]Up!$D:$D,D122)</f>
        <v>#VALUE!</v>
      </c>
      <c r="BB122" s="82"/>
      <c r="BC122" s="82" t="str">
        <f t="shared" si="19"/>
        <v>PL20</v>
      </c>
      <c r="BD122" s="53" t="str">
        <f t="shared" si="20"/>
        <v/>
      </c>
      <c r="BE122" s="53" t="s">
        <v>148</v>
      </c>
      <c r="BF122" s="84" t="s">
        <v>319</v>
      </c>
      <c r="BG122" s="53"/>
      <c r="BH122" s="53" t="s">
        <v>320</v>
      </c>
      <c r="BI122" s="53">
        <v>1</v>
      </c>
      <c r="BJ122" s="83">
        <v>46202</v>
      </c>
      <c r="BK122" s="53"/>
      <c r="BL122" s="53"/>
    </row>
    <row r="123" spans="3:64" ht="14.25" hidden="1" customHeight="1">
      <c r="C123" s="82" t="s">
        <v>13</v>
      </c>
      <c r="D123" s="82" t="s">
        <v>764</v>
      </c>
      <c r="E123" s="82" t="s">
        <v>765</v>
      </c>
      <c r="F123" s="82" t="s">
        <v>13</v>
      </c>
      <c r="G123" s="82">
        <v>1550</v>
      </c>
      <c r="H123" s="82" t="s">
        <v>147</v>
      </c>
      <c r="I123" s="82">
        <v>1</v>
      </c>
      <c r="J123" s="82">
        <v>115.2</v>
      </c>
      <c r="K123" s="82">
        <v>115.2</v>
      </c>
      <c r="L123" s="26">
        <f t="shared" si="17"/>
        <v>1</v>
      </c>
      <c r="M123" s="26">
        <f t="shared" si="18"/>
        <v>0</v>
      </c>
      <c r="N123" s="26"/>
      <c r="O123" s="26"/>
      <c r="P123" s="26">
        <v>1</v>
      </c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67" t="e">
        <f>SUMIFS([1]Up!$J:$J,[1]Up!$D:$D,D123)</f>
        <v>#VALUE!</v>
      </c>
      <c r="BB123" s="82"/>
      <c r="BC123" s="82" t="str">
        <f t="shared" si="19"/>
        <v>PL20</v>
      </c>
      <c r="BD123" s="53" t="str">
        <f t="shared" si="20"/>
        <v/>
      </c>
      <c r="BE123" s="53" t="s">
        <v>148</v>
      </c>
      <c r="BF123" s="84" t="s">
        <v>319</v>
      </c>
      <c r="BG123" s="53"/>
      <c r="BH123" s="53" t="s">
        <v>320</v>
      </c>
      <c r="BI123" s="53">
        <v>1</v>
      </c>
      <c r="BJ123" s="83">
        <v>46202</v>
      </c>
      <c r="BK123" s="53"/>
      <c r="BL123" s="53"/>
    </row>
    <row r="124" spans="3:64" ht="14.25" hidden="1" customHeight="1">
      <c r="C124" s="82" t="s">
        <v>13</v>
      </c>
      <c r="D124" s="82" t="s">
        <v>767</v>
      </c>
      <c r="E124" s="82" t="s">
        <v>740</v>
      </c>
      <c r="F124" s="82" t="s">
        <v>13</v>
      </c>
      <c r="G124" s="82">
        <v>455</v>
      </c>
      <c r="H124" s="82" t="s">
        <v>147</v>
      </c>
      <c r="I124" s="82">
        <v>2</v>
      </c>
      <c r="J124" s="82">
        <v>30</v>
      </c>
      <c r="K124" s="82">
        <v>60</v>
      </c>
      <c r="L124" s="26">
        <f t="shared" si="17"/>
        <v>2</v>
      </c>
      <c r="M124" s="26">
        <f t="shared" si="18"/>
        <v>0</v>
      </c>
      <c r="N124" s="26"/>
      <c r="O124" s="26"/>
      <c r="P124" s="26">
        <v>2</v>
      </c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67" t="e">
        <f>SUMIFS([1]Up!$J:$J,[1]Up!$D:$D,D124)</f>
        <v>#VALUE!</v>
      </c>
      <c r="BB124" s="82"/>
      <c r="BC124" s="82" t="str">
        <f t="shared" si="19"/>
        <v>PL20</v>
      </c>
      <c r="BD124" s="53" t="str">
        <f t="shared" si="20"/>
        <v/>
      </c>
      <c r="BE124" s="53" t="s">
        <v>148</v>
      </c>
      <c r="BF124" s="84" t="s">
        <v>319</v>
      </c>
      <c r="BG124" s="53"/>
      <c r="BH124" s="53" t="s">
        <v>320</v>
      </c>
      <c r="BI124" s="53">
        <v>2</v>
      </c>
      <c r="BJ124" s="83">
        <v>46202</v>
      </c>
      <c r="BK124" s="53"/>
      <c r="BL124" s="53"/>
    </row>
    <row r="125" spans="3:64" ht="14.25" hidden="1" customHeight="1">
      <c r="C125" s="82" t="s">
        <v>13</v>
      </c>
      <c r="D125" s="82" t="s">
        <v>769</v>
      </c>
      <c r="E125" s="82" t="s">
        <v>744</v>
      </c>
      <c r="F125" s="82" t="s">
        <v>13</v>
      </c>
      <c r="G125" s="82">
        <v>454</v>
      </c>
      <c r="H125" s="82" t="s">
        <v>147</v>
      </c>
      <c r="I125" s="82">
        <v>2</v>
      </c>
      <c r="J125" s="82">
        <v>25.3</v>
      </c>
      <c r="K125" s="82">
        <v>50.6</v>
      </c>
      <c r="L125" s="26">
        <f t="shared" si="17"/>
        <v>2</v>
      </c>
      <c r="M125" s="26">
        <f t="shared" si="18"/>
        <v>0</v>
      </c>
      <c r="N125" s="26"/>
      <c r="O125" s="26"/>
      <c r="P125" s="26"/>
      <c r="Q125" s="26">
        <v>1</v>
      </c>
      <c r="R125" s="26">
        <v>1</v>
      </c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67" t="e">
        <f>SUMIFS([1]Up!$J:$J,[1]Up!$D:$D,D125)</f>
        <v>#VALUE!</v>
      </c>
      <c r="BB125" s="82"/>
      <c r="BC125" s="82" t="str">
        <f t="shared" si="19"/>
        <v>PL20</v>
      </c>
      <c r="BD125" s="53" t="str">
        <f t="shared" si="20"/>
        <v/>
      </c>
      <c r="BE125" s="53" t="s">
        <v>148</v>
      </c>
      <c r="BF125" s="84" t="s">
        <v>319</v>
      </c>
      <c r="BG125" s="53"/>
      <c r="BH125" s="53" t="s">
        <v>320</v>
      </c>
      <c r="BI125" s="53">
        <v>2</v>
      </c>
      <c r="BJ125" s="83">
        <v>46202</v>
      </c>
      <c r="BK125" s="53"/>
      <c r="BL125" s="53"/>
    </row>
    <row r="126" spans="3:64" ht="14.25" hidden="1" customHeight="1">
      <c r="C126" s="82" t="s">
        <v>13</v>
      </c>
      <c r="D126" s="82" t="s">
        <v>771</v>
      </c>
      <c r="E126" s="82" t="s">
        <v>772</v>
      </c>
      <c r="F126" s="82" t="s">
        <v>13</v>
      </c>
      <c r="G126" s="82">
        <v>970</v>
      </c>
      <c r="H126" s="82" t="s">
        <v>147</v>
      </c>
      <c r="I126" s="82">
        <v>2</v>
      </c>
      <c r="J126" s="82">
        <v>91.7</v>
      </c>
      <c r="K126" s="82">
        <v>183.4</v>
      </c>
      <c r="L126" s="26">
        <f t="shared" si="17"/>
        <v>2</v>
      </c>
      <c r="M126" s="26">
        <f t="shared" si="18"/>
        <v>0</v>
      </c>
      <c r="N126" s="26"/>
      <c r="O126" s="26">
        <v>2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67" t="e">
        <f>SUMIFS([1]Up!$J:$J,[1]Up!$D:$D,D126)</f>
        <v>#VALUE!</v>
      </c>
      <c r="BB126" s="82"/>
      <c r="BC126" s="82" t="str">
        <f t="shared" si="19"/>
        <v>PL20</v>
      </c>
      <c r="BD126" s="53" t="str">
        <f t="shared" si="20"/>
        <v/>
      </c>
      <c r="BE126" s="53" t="s">
        <v>148</v>
      </c>
      <c r="BF126" s="84" t="s">
        <v>319</v>
      </c>
      <c r="BG126" s="53"/>
      <c r="BH126" s="53" t="s">
        <v>320</v>
      </c>
      <c r="BI126" s="53">
        <v>2</v>
      </c>
      <c r="BJ126" s="83">
        <v>46202</v>
      </c>
      <c r="BK126" s="53"/>
      <c r="BL126" s="53"/>
    </row>
    <row r="127" spans="3:64" ht="14.25" hidden="1" customHeight="1">
      <c r="C127" s="82" t="s">
        <v>13</v>
      </c>
      <c r="D127" s="82" t="s">
        <v>775</v>
      </c>
      <c r="E127" s="82" t="s">
        <v>750</v>
      </c>
      <c r="F127" s="82" t="s">
        <v>13</v>
      </c>
      <c r="G127" s="82">
        <v>598</v>
      </c>
      <c r="H127" s="82" t="s">
        <v>147</v>
      </c>
      <c r="I127" s="82">
        <v>2</v>
      </c>
      <c r="J127" s="82">
        <v>29.8</v>
      </c>
      <c r="K127" s="82">
        <v>59.6</v>
      </c>
      <c r="L127" s="26">
        <f t="shared" si="17"/>
        <v>2</v>
      </c>
      <c r="M127" s="26">
        <f t="shared" si="18"/>
        <v>0</v>
      </c>
      <c r="N127" s="26"/>
      <c r="O127" s="26"/>
      <c r="P127" s="26"/>
      <c r="Q127" s="26">
        <v>2</v>
      </c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67" t="e">
        <f>SUMIFS([1]Up!$J:$J,[1]Up!$D:$D,D127)</f>
        <v>#VALUE!</v>
      </c>
      <c r="BB127" s="82"/>
      <c r="BC127" s="82" t="str">
        <f t="shared" si="19"/>
        <v>PL20</v>
      </c>
      <c r="BD127" s="53" t="str">
        <f t="shared" si="20"/>
        <v/>
      </c>
      <c r="BE127" s="53" t="s">
        <v>148</v>
      </c>
      <c r="BF127" s="84" t="s">
        <v>319</v>
      </c>
      <c r="BG127" s="53"/>
      <c r="BH127" s="53" t="s">
        <v>320</v>
      </c>
      <c r="BI127" s="53">
        <v>2</v>
      </c>
      <c r="BJ127" s="83">
        <v>46202</v>
      </c>
      <c r="BK127" s="53"/>
      <c r="BL127" s="53"/>
    </row>
    <row r="128" spans="3:64" ht="14.25" hidden="1" customHeight="1">
      <c r="C128" s="82" t="s">
        <v>13</v>
      </c>
      <c r="D128" s="82" t="s">
        <v>198</v>
      </c>
      <c r="E128" s="82" t="s">
        <v>199</v>
      </c>
      <c r="F128" s="82" t="s">
        <v>13</v>
      </c>
      <c r="G128" s="82">
        <v>2254</v>
      </c>
      <c r="H128" s="82" t="s">
        <v>147</v>
      </c>
      <c r="I128" s="82">
        <v>6</v>
      </c>
      <c r="J128" s="82">
        <v>58.3</v>
      </c>
      <c r="K128" s="82">
        <v>349.79999999999995</v>
      </c>
      <c r="L128" s="26">
        <f t="shared" si="17"/>
        <v>6</v>
      </c>
      <c r="M128" s="26">
        <f t="shared" si="18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>
        <v>6</v>
      </c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67" t="e">
        <f>SUMIFS([1]Up!$J:$J,[1]Up!$D:$D,D128)</f>
        <v>#VALUE!</v>
      </c>
      <c r="BB128" s="82"/>
      <c r="BC128" s="82" t="str">
        <f t="shared" si="19"/>
        <v>PL15</v>
      </c>
      <c r="BD128" s="53" t="str">
        <f t="shared" si="20"/>
        <v/>
      </c>
      <c r="BE128" s="53" t="s">
        <v>148</v>
      </c>
      <c r="BF128" s="84" t="s">
        <v>200</v>
      </c>
      <c r="BG128" s="53"/>
      <c r="BH128" s="53" t="s">
        <v>201</v>
      </c>
      <c r="BI128" s="53">
        <v>6</v>
      </c>
      <c r="BJ128" s="83">
        <v>46201</v>
      </c>
      <c r="BK128" s="53"/>
      <c r="BL128" s="53"/>
    </row>
    <row r="129" spans="3:64" ht="14.25" hidden="1" customHeight="1">
      <c r="C129" s="82" t="s">
        <v>13</v>
      </c>
      <c r="D129" s="82" t="s">
        <v>203</v>
      </c>
      <c r="E129" s="82" t="s">
        <v>204</v>
      </c>
      <c r="F129" s="82" t="s">
        <v>13</v>
      </c>
      <c r="G129" s="82">
        <v>2264</v>
      </c>
      <c r="H129" s="82" t="s">
        <v>147</v>
      </c>
      <c r="I129" s="82">
        <v>12</v>
      </c>
      <c r="J129" s="82">
        <v>53.2</v>
      </c>
      <c r="K129" s="82">
        <v>638.40000000000009</v>
      </c>
      <c r="L129" s="26">
        <f t="shared" si="17"/>
        <v>12</v>
      </c>
      <c r="M129" s="26">
        <f t="shared" si="18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>
        <v>12</v>
      </c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67" t="e">
        <f>SUMIFS([1]Up!$J:$J,[1]Up!$D:$D,D129)</f>
        <v>#VALUE!</v>
      </c>
      <c r="BB129" s="82"/>
      <c r="BC129" s="82" t="str">
        <f t="shared" si="19"/>
        <v>PL15</v>
      </c>
      <c r="BD129" s="53" t="str">
        <f t="shared" si="20"/>
        <v/>
      </c>
      <c r="BE129" s="53" t="s">
        <v>148</v>
      </c>
      <c r="BF129" s="84" t="s">
        <v>200</v>
      </c>
      <c r="BG129" s="53"/>
      <c r="BH129" s="53" t="s">
        <v>201</v>
      </c>
      <c r="BI129" s="53">
        <v>12</v>
      </c>
      <c r="BJ129" s="83">
        <v>46201</v>
      </c>
      <c r="BK129" s="53"/>
      <c r="BL129" s="53"/>
    </row>
    <row r="130" spans="3:64" ht="14.25" hidden="1" customHeight="1">
      <c r="C130" s="82" t="s">
        <v>13</v>
      </c>
      <c r="D130" s="82" t="s">
        <v>206</v>
      </c>
      <c r="E130" s="82" t="s">
        <v>207</v>
      </c>
      <c r="F130" s="82" t="s">
        <v>13</v>
      </c>
      <c r="G130" s="82">
        <v>7345</v>
      </c>
      <c r="H130" s="82" t="s">
        <v>147</v>
      </c>
      <c r="I130" s="82">
        <v>6</v>
      </c>
      <c r="J130" s="82">
        <v>1481.8</v>
      </c>
      <c r="K130" s="82">
        <v>8890.7999999999993</v>
      </c>
      <c r="L130" s="26">
        <f t="shared" si="17"/>
        <v>6</v>
      </c>
      <c r="M130" s="26">
        <f t="shared" si="18"/>
        <v>0</v>
      </c>
      <c r="N130" s="26"/>
      <c r="O130" s="26"/>
      <c r="P130" s="26"/>
      <c r="Q130" s="26"/>
      <c r="R130" s="26"/>
      <c r="S130" s="26"/>
      <c r="T130" s="26">
        <f>4+4+1</f>
        <v>9</v>
      </c>
      <c r="U130" s="26"/>
      <c r="V130" s="26"/>
      <c r="W130" s="26"/>
      <c r="X130" s="26"/>
      <c r="Y130" s="26">
        <f>6+2+5</f>
        <v>13</v>
      </c>
      <c r="Z130" s="26"/>
      <c r="AA130" s="26"/>
      <c r="AB130" s="26"/>
      <c r="AC130" s="26"/>
      <c r="AD130" s="26"/>
      <c r="AE130" s="26"/>
      <c r="AF130" s="26"/>
      <c r="AG130" s="26"/>
      <c r="AH130" s="26">
        <v>2</v>
      </c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67" t="e">
        <f>SUMIFS([1]Up!$J:$J,[1]Up!$D:$D,D130)</f>
        <v>#VALUE!</v>
      </c>
      <c r="BB130" s="82" t="s">
        <v>2234</v>
      </c>
      <c r="BC130" s="82" t="e">
        <f t="shared" si="19"/>
        <v>#VALUE!</v>
      </c>
      <c r="BD130" s="53" t="str">
        <f t="shared" si="20"/>
        <v>Thừa 18</v>
      </c>
      <c r="BE130" s="53" t="s">
        <v>154</v>
      </c>
      <c r="BF130" s="53"/>
      <c r="BG130" s="53"/>
      <c r="BH130" s="53" t="s">
        <v>57</v>
      </c>
      <c r="BI130" s="53">
        <v>6</v>
      </c>
      <c r="BJ130" s="83"/>
      <c r="BK130" s="53"/>
      <c r="BL130" s="53"/>
    </row>
    <row r="131" spans="3:64" ht="14.25" hidden="1" customHeight="1">
      <c r="C131" s="82" t="s">
        <v>13</v>
      </c>
      <c r="D131" s="82" t="s">
        <v>209</v>
      </c>
      <c r="E131" s="82" t="s">
        <v>146</v>
      </c>
      <c r="F131" s="82" t="s">
        <v>13</v>
      </c>
      <c r="G131" s="82">
        <v>7345</v>
      </c>
      <c r="H131" s="82" t="s">
        <v>147</v>
      </c>
      <c r="I131" s="82">
        <v>6</v>
      </c>
      <c r="J131" s="82">
        <v>28.8</v>
      </c>
      <c r="K131" s="82">
        <v>172.8</v>
      </c>
      <c r="L131" s="26">
        <f t="shared" si="17"/>
        <v>0</v>
      </c>
      <c r="M131" s="26">
        <f t="shared" si="18"/>
        <v>6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67" t="e">
        <f>SUMIFS([1]Up!$J:$J,[1]Up!$D:$D,D131)</f>
        <v>#VALUE!</v>
      </c>
      <c r="BB131" s="82"/>
      <c r="BC131" s="82" t="str">
        <f t="shared" si="19"/>
        <v>PL10</v>
      </c>
      <c r="BD131" s="53" t="str">
        <f t="shared" si="20"/>
        <v/>
      </c>
      <c r="BE131" s="53" t="s">
        <v>148</v>
      </c>
      <c r="BF131" s="84" t="s">
        <v>210</v>
      </c>
      <c r="BG131" s="53"/>
      <c r="BH131" s="53" t="s">
        <v>211</v>
      </c>
      <c r="BI131" s="53">
        <v>6</v>
      </c>
      <c r="BJ131" s="83">
        <v>46201</v>
      </c>
      <c r="BK131" s="53"/>
      <c r="BL131" s="53"/>
    </row>
    <row r="132" spans="3:64" ht="14.25" hidden="1" customHeight="1">
      <c r="C132" s="82" t="s">
        <v>13</v>
      </c>
      <c r="D132" s="82" t="s">
        <v>515</v>
      </c>
      <c r="E132" s="82" t="s">
        <v>516</v>
      </c>
      <c r="F132" s="82" t="s">
        <v>13</v>
      </c>
      <c r="G132" s="82">
        <v>6766</v>
      </c>
      <c r="H132" s="82" t="s">
        <v>147</v>
      </c>
      <c r="I132" s="82">
        <v>1</v>
      </c>
      <c r="J132" s="82">
        <v>23.7</v>
      </c>
      <c r="K132" s="82">
        <v>23.7</v>
      </c>
      <c r="L132" s="26">
        <f t="shared" si="17"/>
        <v>1</v>
      </c>
      <c r="M132" s="26">
        <f t="shared" si="18"/>
        <v>0</v>
      </c>
      <c r="N132" s="26"/>
      <c r="O132" s="26"/>
      <c r="P132" s="26">
        <v>1</v>
      </c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67" t="e">
        <f>SUMIFS([1]Up!$J:$J,[1]Up!$D:$D,D132)</f>
        <v>#VALUE!</v>
      </c>
      <c r="BB132" s="82"/>
      <c r="BC132" s="82" t="str">
        <f t="shared" si="19"/>
        <v>PL10</v>
      </c>
      <c r="BD132" s="53" t="str">
        <f t="shared" si="20"/>
        <v/>
      </c>
      <c r="BE132" s="53" t="s">
        <v>148</v>
      </c>
      <c r="BF132" s="84" t="s">
        <v>210</v>
      </c>
      <c r="BG132" s="53"/>
      <c r="BH132" s="53" t="s">
        <v>211</v>
      </c>
      <c r="BI132" s="53">
        <v>1</v>
      </c>
      <c r="BJ132" s="83">
        <v>46201</v>
      </c>
      <c r="BK132" s="53"/>
      <c r="BL132" s="53"/>
    </row>
    <row r="133" spans="3:64" ht="14.25" hidden="1" customHeight="1">
      <c r="C133" s="82" t="s">
        <v>13</v>
      </c>
      <c r="D133" s="82" t="s">
        <v>518</v>
      </c>
      <c r="E133" s="82" t="s">
        <v>519</v>
      </c>
      <c r="F133" s="82" t="s">
        <v>13</v>
      </c>
      <c r="G133" s="82">
        <v>2153</v>
      </c>
      <c r="H133" s="82" t="s">
        <v>147</v>
      </c>
      <c r="I133" s="82">
        <v>1</v>
      </c>
      <c r="J133" s="82">
        <v>70</v>
      </c>
      <c r="K133" s="82">
        <v>70</v>
      </c>
      <c r="L133" s="26">
        <f t="shared" si="17"/>
        <v>1</v>
      </c>
      <c r="M133" s="26">
        <f t="shared" si="18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>
        <v>1</v>
      </c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67" t="e">
        <f>SUMIFS([1]Up!$J:$J,[1]Up!$D:$D,D133)</f>
        <v>#VALUE!</v>
      </c>
      <c r="BB133" s="82"/>
      <c r="BC133" s="82" t="str">
        <f t="shared" si="19"/>
        <v>PL15</v>
      </c>
      <c r="BD133" s="53" t="str">
        <f t="shared" si="20"/>
        <v/>
      </c>
      <c r="BE133" s="53" t="s">
        <v>148</v>
      </c>
      <c r="BF133" s="84" t="s">
        <v>200</v>
      </c>
      <c r="BG133" s="53"/>
      <c r="BH133" s="53" t="s">
        <v>201</v>
      </c>
      <c r="BI133" s="53">
        <v>1</v>
      </c>
      <c r="BJ133" s="83">
        <v>46201</v>
      </c>
      <c r="BK133" s="53"/>
      <c r="BL133" s="53"/>
    </row>
    <row r="134" spans="3:64" ht="14.25" hidden="1" customHeight="1">
      <c r="C134" s="82" t="s">
        <v>13</v>
      </c>
      <c r="D134" s="82" t="s">
        <v>521</v>
      </c>
      <c r="E134" s="82" t="s">
        <v>522</v>
      </c>
      <c r="F134" s="82" t="s">
        <v>13</v>
      </c>
      <c r="G134" s="82">
        <v>1377</v>
      </c>
      <c r="H134" s="82" t="s">
        <v>147</v>
      </c>
      <c r="I134" s="82">
        <v>1</v>
      </c>
      <c r="J134" s="82">
        <v>59.6</v>
      </c>
      <c r="K134" s="82">
        <v>59.6</v>
      </c>
      <c r="L134" s="26">
        <f t="shared" si="17"/>
        <v>1</v>
      </c>
      <c r="M134" s="26">
        <f t="shared" si="18"/>
        <v>0</v>
      </c>
      <c r="N134" s="26"/>
      <c r="O134" s="26"/>
      <c r="P134" s="26"/>
      <c r="Q134" s="26">
        <v>1</v>
      </c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67" t="e">
        <f>SUMIFS([1]Up!$J:$J,[1]Up!$D:$D,D134)</f>
        <v>#VALUE!</v>
      </c>
      <c r="BB134" s="82"/>
      <c r="BC134" s="82" t="str">
        <f t="shared" si="19"/>
        <v>PL20</v>
      </c>
      <c r="BD134" s="53" t="str">
        <f t="shared" si="20"/>
        <v/>
      </c>
      <c r="BE134" s="53" t="s">
        <v>148</v>
      </c>
      <c r="BF134" s="84" t="s">
        <v>319</v>
      </c>
      <c r="BG134" s="53"/>
      <c r="BH134" s="53" t="s">
        <v>320</v>
      </c>
      <c r="BI134" s="53">
        <v>1</v>
      </c>
      <c r="BJ134" s="83">
        <v>46202</v>
      </c>
      <c r="BK134" s="53"/>
      <c r="BL134" s="53"/>
    </row>
    <row r="135" spans="3:64" ht="14.25" hidden="1" customHeight="1">
      <c r="C135" s="82" t="s">
        <v>13</v>
      </c>
      <c r="D135" s="82" t="s">
        <v>524</v>
      </c>
      <c r="E135" s="82" t="s">
        <v>525</v>
      </c>
      <c r="F135" s="82" t="s">
        <v>13</v>
      </c>
      <c r="G135" s="82">
        <v>1851</v>
      </c>
      <c r="H135" s="82" t="s">
        <v>147</v>
      </c>
      <c r="I135" s="82">
        <v>1</v>
      </c>
      <c r="J135" s="82">
        <v>54.4</v>
      </c>
      <c r="K135" s="82">
        <v>54.4</v>
      </c>
      <c r="L135" s="26">
        <f t="shared" si="17"/>
        <v>1</v>
      </c>
      <c r="M135" s="26">
        <f t="shared" si="18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>
        <v>1</v>
      </c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67" t="e">
        <f>SUMIFS([1]Up!$J:$J,[1]Up!$D:$D,D135)</f>
        <v>#VALUE!</v>
      </c>
      <c r="BB135" s="82"/>
      <c r="BC135" s="82" t="str">
        <f t="shared" si="19"/>
        <v>PL15</v>
      </c>
      <c r="BD135" s="53" t="str">
        <f t="shared" si="20"/>
        <v/>
      </c>
      <c r="BE135" s="53" t="s">
        <v>148</v>
      </c>
      <c r="BF135" s="84" t="s">
        <v>200</v>
      </c>
      <c r="BG135" s="53"/>
      <c r="BH135" s="53" t="s">
        <v>201</v>
      </c>
      <c r="BI135" s="53">
        <v>1</v>
      </c>
      <c r="BJ135" s="83">
        <v>46201</v>
      </c>
      <c r="BK135" s="53"/>
      <c r="BL135" s="53"/>
    </row>
    <row r="136" spans="3:64" ht="14.25" hidden="1" customHeight="1">
      <c r="C136" s="82" t="s">
        <v>13</v>
      </c>
      <c r="D136" s="82" t="s">
        <v>527</v>
      </c>
      <c r="E136" s="82" t="s">
        <v>528</v>
      </c>
      <c r="F136" s="82" t="s">
        <v>13</v>
      </c>
      <c r="G136" s="82">
        <v>6991</v>
      </c>
      <c r="H136" s="82" t="s">
        <v>147</v>
      </c>
      <c r="I136" s="82">
        <v>1</v>
      </c>
      <c r="J136" s="82">
        <v>1614.4</v>
      </c>
      <c r="K136" s="82">
        <v>1614.4</v>
      </c>
      <c r="L136" s="26">
        <f t="shared" si="17"/>
        <v>1</v>
      </c>
      <c r="M136" s="26">
        <f t="shared" si="18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>
        <v>3</v>
      </c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67" t="e">
        <f>SUMIFS([1]Up!$J:$J,[1]Up!$D:$D,D136)</f>
        <v>#VALUE!</v>
      </c>
      <c r="BB136" s="82" t="s">
        <v>2071</v>
      </c>
      <c r="BC136" s="82" t="e">
        <f t="shared" si="19"/>
        <v>#VALUE!</v>
      </c>
      <c r="BD136" s="53" t="str">
        <f t="shared" si="20"/>
        <v>Thừa 2</v>
      </c>
      <c r="BE136" s="53" t="s">
        <v>154</v>
      </c>
      <c r="BF136" s="53"/>
      <c r="BG136" s="53"/>
      <c r="BH136" s="53" t="s">
        <v>57</v>
      </c>
      <c r="BI136" s="53">
        <v>1</v>
      </c>
      <c r="BJ136" s="83"/>
      <c r="BK136" s="53"/>
      <c r="BL136" s="53"/>
    </row>
    <row r="137" spans="3:64" ht="14.25" hidden="1" customHeight="1">
      <c r="C137" s="82" t="s">
        <v>13</v>
      </c>
      <c r="D137" s="82" t="s">
        <v>530</v>
      </c>
      <c r="E137" s="82" t="s">
        <v>519</v>
      </c>
      <c r="F137" s="82" t="s">
        <v>13</v>
      </c>
      <c r="G137" s="82">
        <v>2153</v>
      </c>
      <c r="H137" s="82" t="s">
        <v>147</v>
      </c>
      <c r="I137" s="82">
        <v>1</v>
      </c>
      <c r="J137" s="82">
        <v>70</v>
      </c>
      <c r="K137" s="82">
        <v>70</v>
      </c>
      <c r="L137" s="26">
        <f t="shared" si="17"/>
        <v>1</v>
      </c>
      <c r="M137" s="26">
        <f t="shared" si="18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>
        <v>1</v>
      </c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67" t="e">
        <f>SUMIFS([1]Up!$J:$J,[1]Up!$D:$D,D137)</f>
        <v>#VALUE!</v>
      </c>
      <c r="BB137" s="82"/>
      <c r="BC137" s="82" t="str">
        <f t="shared" si="19"/>
        <v>PL15</v>
      </c>
      <c r="BD137" s="53" t="str">
        <f t="shared" si="20"/>
        <v/>
      </c>
      <c r="BE137" s="53" t="s">
        <v>148</v>
      </c>
      <c r="BF137" s="84" t="s">
        <v>200</v>
      </c>
      <c r="BG137" s="53"/>
      <c r="BH137" s="53" t="s">
        <v>201</v>
      </c>
      <c r="BI137" s="53">
        <v>1</v>
      </c>
      <c r="BJ137" s="83">
        <v>46201</v>
      </c>
      <c r="BK137" s="53"/>
      <c r="BL137" s="53"/>
    </row>
    <row r="138" spans="3:64" ht="14.25" hidden="1" customHeight="1">
      <c r="C138" s="82" t="s">
        <v>13</v>
      </c>
      <c r="D138" s="82" t="s">
        <v>531</v>
      </c>
      <c r="E138" s="82" t="s">
        <v>522</v>
      </c>
      <c r="F138" s="82" t="s">
        <v>13</v>
      </c>
      <c r="G138" s="82">
        <v>1377</v>
      </c>
      <c r="H138" s="82" t="s">
        <v>147</v>
      </c>
      <c r="I138" s="82">
        <v>1</v>
      </c>
      <c r="J138" s="82">
        <v>59.6</v>
      </c>
      <c r="K138" s="82">
        <v>59.6</v>
      </c>
      <c r="L138" s="26">
        <f t="shared" si="17"/>
        <v>1</v>
      </c>
      <c r="M138" s="26">
        <f t="shared" si="18"/>
        <v>0</v>
      </c>
      <c r="N138" s="26"/>
      <c r="O138" s="26"/>
      <c r="P138" s="26"/>
      <c r="Q138" s="26">
        <v>1</v>
      </c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67" t="e">
        <f>SUMIFS([1]Up!$J:$J,[1]Up!$D:$D,D138)</f>
        <v>#VALUE!</v>
      </c>
      <c r="BB138" s="82"/>
      <c r="BC138" s="82" t="str">
        <f t="shared" si="19"/>
        <v>PL20</v>
      </c>
      <c r="BD138" s="53" t="str">
        <f t="shared" si="20"/>
        <v/>
      </c>
      <c r="BE138" s="53" t="s">
        <v>148</v>
      </c>
      <c r="BF138" s="84" t="s">
        <v>319</v>
      </c>
      <c r="BG138" s="53"/>
      <c r="BH138" s="53" t="s">
        <v>320</v>
      </c>
      <c r="BI138" s="53">
        <v>1</v>
      </c>
      <c r="BJ138" s="83">
        <v>46202</v>
      </c>
      <c r="BK138" s="53"/>
      <c r="BL138" s="53"/>
    </row>
    <row r="139" spans="3:64" ht="14.25" hidden="1" customHeight="1">
      <c r="C139" s="82" t="s">
        <v>13</v>
      </c>
      <c r="D139" s="82" t="s">
        <v>533</v>
      </c>
      <c r="E139" s="82" t="s">
        <v>534</v>
      </c>
      <c r="F139" s="82" t="s">
        <v>13</v>
      </c>
      <c r="G139" s="82">
        <v>6833</v>
      </c>
      <c r="H139" s="82" t="s">
        <v>147</v>
      </c>
      <c r="I139" s="82">
        <v>1</v>
      </c>
      <c r="J139" s="82">
        <v>23.4</v>
      </c>
      <c r="K139" s="82">
        <v>23.4</v>
      </c>
      <c r="L139" s="26">
        <f t="shared" si="17"/>
        <v>0</v>
      </c>
      <c r="M139" s="26">
        <f t="shared" si="18"/>
        <v>1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67" t="e">
        <f>SUMIFS([1]Up!$J:$J,[1]Up!$D:$D,D139)</f>
        <v>#VALUE!</v>
      </c>
      <c r="BB139" s="82"/>
      <c r="BC139" s="82" t="str">
        <f t="shared" si="19"/>
        <v>PL10</v>
      </c>
      <c r="BD139" s="53" t="str">
        <f t="shared" si="20"/>
        <v/>
      </c>
      <c r="BE139" s="53" t="s">
        <v>148</v>
      </c>
      <c r="BF139" s="84" t="s">
        <v>210</v>
      </c>
      <c r="BG139" s="53"/>
      <c r="BH139" s="53" t="s">
        <v>211</v>
      </c>
      <c r="BI139" s="53">
        <v>1</v>
      </c>
      <c r="BJ139" s="83">
        <v>46201</v>
      </c>
      <c r="BK139" s="53"/>
      <c r="BL139" s="53"/>
    </row>
    <row r="140" spans="3:64" ht="14.25" hidden="1" customHeight="1">
      <c r="C140" s="82" t="s">
        <v>13</v>
      </c>
      <c r="D140" s="82" t="s">
        <v>536</v>
      </c>
      <c r="E140" s="82" t="s">
        <v>525</v>
      </c>
      <c r="F140" s="82" t="s">
        <v>13</v>
      </c>
      <c r="G140" s="82">
        <v>1851</v>
      </c>
      <c r="H140" s="82" t="s">
        <v>147</v>
      </c>
      <c r="I140" s="82">
        <v>1</v>
      </c>
      <c r="J140" s="82">
        <v>54.4</v>
      </c>
      <c r="K140" s="82">
        <v>54.4</v>
      </c>
      <c r="L140" s="26">
        <f t="shared" si="17"/>
        <v>1</v>
      </c>
      <c r="M140" s="26">
        <f t="shared" si="18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>
        <v>1</v>
      </c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67" t="e">
        <f>SUMIFS([1]Up!$J:$J,[1]Up!$D:$D,D140)</f>
        <v>#VALUE!</v>
      </c>
      <c r="BB140" s="82"/>
      <c r="BC140" s="82" t="str">
        <f t="shared" si="19"/>
        <v>PL15</v>
      </c>
      <c r="BD140" s="53" t="str">
        <f t="shared" si="20"/>
        <v/>
      </c>
      <c r="BE140" s="53" t="s">
        <v>148</v>
      </c>
      <c r="BF140" s="84" t="s">
        <v>200</v>
      </c>
      <c r="BG140" s="53"/>
      <c r="BH140" s="53" t="s">
        <v>201</v>
      </c>
      <c r="BI140" s="53">
        <v>1</v>
      </c>
      <c r="BJ140" s="83">
        <v>46201</v>
      </c>
      <c r="BK140" s="53"/>
      <c r="BL140" s="53"/>
    </row>
    <row r="141" spans="3:64" ht="14.25" hidden="1" customHeight="1">
      <c r="C141" s="82" t="s">
        <v>13</v>
      </c>
      <c r="D141" s="82" t="s">
        <v>538</v>
      </c>
      <c r="E141" s="82" t="s">
        <v>539</v>
      </c>
      <c r="F141" s="82" t="s">
        <v>13</v>
      </c>
      <c r="G141" s="82">
        <v>6834</v>
      </c>
      <c r="H141" s="82" t="s">
        <v>147</v>
      </c>
      <c r="I141" s="82">
        <v>1</v>
      </c>
      <c r="J141" s="82">
        <v>1620.9</v>
      </c>
      <c r="K141" s="82">
        <v>1620.9</v>
      </c>
      <c r="L141" s="26">
        <f t="shared" si="17"/>
        <v>1</v>
      </c>
      <c r="M141" s="26">
        <f t="shared" si="18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>
        <v>3</v>
      </c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67" t="e">
        <f>SUMIFS([1]Up!$J:$J,[1]Up!$D:$D,D141)</f>
        <v>#VALUE!</v>
      </c>
      <c r="BB141" s="82" t="s">
        <v>2244</v>
      </c>
      <c r="BC141" s="82" t="e">
        <f t="shared" si="19"/>
        <v>#VALUE!</v>
      </c>
      <c r="BD141" s="53" t="str">
        <f t="shared" si="20"/>
        <v>Thừa 2</v>
      </c>
      <c r="BE141" s="53" t="s">
        <v>154</v>
      </c>
      <c r="BF141" s="53"/>
      <c r="BG141" s="53"/>
      <c r="BH141" s="53" t="s">
        <v>57</v>
      </c>
      <c r="BI141" s="53">
        <v>1</v>
      </c>
      <c r="BJ141" s="83"/>
      <c r="BK141" s="53"/>
      <c r="BL141" s="53"/>
    </row>
    <row r="142" spans="3:64" ht="14.25" hidden="1" customHeight="1">
      <c r="C142" s="82" t="s">
        <v>13</v>
      </c>
      <c r="D142" s="82" t="s">
        <v>541</v>
      </c>
      <c r="E142" s="82" t="s">
        <v>519</v>
      </c>
      <c r="F142" s="82" t="s">
        <v>13</v>
      </c>
      <c r="G142" s="82">
        <v>2153</v>
      </c>
      <c r="H142" s="82" t="s">
        <v>147</v>
      </c>
      <c r="I142" s="82">
        <v>1</v>
      </c>
      <c r="J142" s="82">
        <v>70</v>
      </c>
      <c r="K142" s="82">
        <v>70</v>
      </c>
      <c r="L142" s="26">
        <f t="shared" si="17"/>
        <v>1</v>
      </c>
      <c r="M142" s="26">
        <f t="shared" si="18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>
        <v>1</v>
      </c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67" t="e">
        <f>SUMIFS([1]Up!$J:$J,[1]Up!$D:$D,D142)</f>
        <v>#VALUE!</v>
      </c>
      <c r="BB142" s="82"/>
      <c r="BC142" s="82" t="str">
        <f t="shared" si="19"/>
        <v>PL15</v>
      </c>
      <c r="BD142" s="53" t="str">
        <f t="shared" si="20"/>
        <v/>
      </c>
      <c r="BE142" s="53" t="s">
        <v>148</v>
      </c>
      <c r="BF142" s="84" t="s">
        <v>200</v>
      </c>
      <c r="BG142" s="53"/>
      <c r="BH142" s="53" t="s">
        <v>201</v>
      </c>
      <c r="BI142" s="53">
        <v>1</v>
      </c>
      <c r="BJ142" s="83">
        <v>46201</v>
      </c>
      <c r="BK142" s="53"/>
      <c r="BL142" s="53"/>
    </row>
    <row r="143" spans="3:64" ht="14.25" hidden="1" customHeight="1">
      <c r="C143" s="82" t="s">
        <v>13</v>
      </c>
      <c r="D143" s="82" t="s">
        <v>542</v>
      </c>
      <c r="E143" s="82" t="s">
        <v>522</v>
      </c>
      <c r="F143" s="82" t="s">
        <v>13</v>
      </c>
      <c r="G143" s="82">
        <v>1377</v>
      </c>
      <c r="H143" s="82" t="s">
        <v>147</v>
      </c>
      <c r="I143" s="82">
        <v>1</v>
      </c>
      <c r="J143" s="82">
        <v>59.6</v>
      </c>
      <c r="K143" s="82">
        <v>59.6</v>
      </c>
      <c r="L143" s="26">
        <f t="shared" si="17"/>
        <v>1</v>
      </c>
      <c r="M143" s="26">
        <f t="shared" si="18"/>
        <v>0</v>
      </c>
      <c r="N143" s="26"/>
      <c r="O143" s="26"/>
      <c r="P143" s="26"/>
      <c r="Q143" s="26">
        <v>1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67" t="e">
        <f>SUMIFS([1]Up!$J:$J,[1]Up!$D:$D,D143)</f>
        <v>#VALUE!</v>
      </c>
      <c r="BB143" s="82"/>
      <c r="BC143" s="82" t="str">
        <f t="shared" si="19"/>
        <v>PL20</v>
      </c>
      <c r="BD143" s="53" t="str">
        <f t="shared" si="20"/>
        <v/>
      </c>
      <c r="BE143" s="53" t="s">
        <v>148</v>
      </c>
      <c r="BF143" s="84" t="s">
        <v>319</v>
      </c>
      <c r="BG143" s="53"/>
      <c r="BH143" s="53" t="s">
        <v>320</v>
      </c>
      <c r="BI143" s="53">
        <v>1</v>
      </c>
      <c r="BJ143" s="83">
        <v>46202</v>
      </c>
      <c r="BK143" s="53"/>
      <c r="BL143" s="53"/>
    </row>
    <row r="144" spans="3:64" ht="14.25" hidden="1" customHeight="1">
      <c r="C144" s="82" t="s">
        <v>13</v>
      </c>
      <c r="D144" s="82" t="s">
        <v>544</v>
      </c>
      <c r="E144" s="82" t="s">
        <v>545</v>
      </c>
      <c r="F144" s="82" t="s">
        <v>13</v>
      </c>
      <c r="G144" s="82">
        <v>6445</v>
      </c>
      <c r="H144" s="82" t="s">
        <v>147</v>
      </c>
      <c r="I144" s="82">
        <v>1</v>
      </c>
      <c r="J144" s="82">
        <v>24.5</v>
      </c>
      <c r="K144" s="82">
        <v>24.5</v>
      </c>
      <c r="L144" s="26">
        <f t="shared" si="17"/>
        <v>1</v>
      </c>
      <c r="M144" s="26">
        <f t="shared" si="18"/>
        <v>0</v>
      </c>
      <c r="N144" s="26"/>
      <c r="O144" s="26"/>
      <c r="P144" s="26">
        <v>1</v>
      </c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67" t="e">
        <f>SUMIFS([1]Up!$J:$J,[1]Up!$D:$D,D144)</f>
        <v>#VALUE!</v>
      </c>
      <c r="BB144" s="82"/>
      <c r="BC144" s="82" t="str">
        <f t="shared" si="19"/>
        <v>PL10</v>
      </c>
      <c r="BD144" s="53" t="str">
        <f t="shared" si="20"/>
        <v/>
      </c>
      <c r="BE144" s="53" t="s">
        <v>148</v>
      </c>
      <c r="BF144" s="84" t="s">
        <v>210</v>
      </c>
      <c r="BG144" s="53"/>
      <c r="BH144" s="53" t="s">
        <v>211</v>
      </c>
      <c r="BI144" s="53">
        <v>1</v>
      </c>
      <c r="BJ144" s="83">
        <v>46201</v>
      </c>
      <c r="BK144" s="53"/>
      <c r="BL144" s="53"/>
    </row>
    <row r="145" spans="3:64" ht="14.25" hidden="1" customHeight="1">
      <c r="C145" s="82" t="s">
        <v>13</v>
      </c>
      <c r="D145" s="82" t="s">
        <v>547</v>
      </c>
      <c r="E145" s="82" t="s">
        <v>525</v>
      </c>
      <c r="F145" s="82" t="s">
        <v>13</v>
      </c>
      <c r="G145" s="82">
        <v>1848</v>
      </c>
      <c r="H145" s="82" t="s">
        <v>147</v>
      </c>
      <c r="I145" s="82">
        <v>1</v>
      </c>
      <c r="J145" s="82">
        <v>54.3</v>
      </c>
      <c r="K145" s="82">
        <v>54.3</v>
      </c>
      <c r="L145" s="26">
        <f t="shared" si="17"/>
        <v>1</v>
      </c>
      <c r="M145" s="26">
        <f t="shared" si="18"/>
        <v>0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>
        <v>1</v>
      </c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67" t="e">
        <f>SUMIFS([1]Up!$J:$J,[1]Up!$D:$D,D145)</f>
        <v>#VALUE!</v>
      </c>
      <c r="BB145" s="82"/>
      <c r="BC145" s="82" t="str">
        <f t="shared" si="19"/>
        <v>PL15</v>
      </c>
      <c r="BD145" s="53" t="str">
        <f t="shared" si="20"/>
        <v/>
      </c>
      <c r="BE145" s="53" t="s">
        <v>148</v>
      </c>
      <c r="BF145" s="84" t="s">
        <v>200</v>
      </c>
      <c r="BG145" s="53"/>
      <c r="BH145" s="53" t="s">
        <v>201</v>
      </c>
      <c r="BI145" s="53">
        <v>1</v>
      </c>
      <c r="BJ145" s="83">
        <v>46201</v>
      </c>
      <c r="BK145" s="53"/>
      <c r="BL145" s="53"/>
    </row>
    <row r="146" spans="3:64" ht="14.25" hidden="1" customHeight="1">
      <c r="C146" s="82" t="s">
        <v>13</v>
      </c>
      <c r="D146" s="82" t="s">
        <v>549</v>
      </c>
      <c r="E146" s="82" t="s">
        <v>550</v>
      </c>
      <c r="F146" s="82" t="s">
        <v>13</v>
      </c>
      <c r="G146" s="82">
        <v>6673</v>
      </c>
      <c r="H146" s="82" t="s">
        <v>147</v>
      </c>
      <c r="I146" s="82">
        <v>1</v>
      </c>
      <c r="J146" s="82">
        <v>1451.9</v>
      </c>
      <c r="K146" s="82">
        <v>1451.9</v>
      </c>
      <c r="L146" s="26">
        <f t="shared" si="17"/>
        <v>1</v>
      </c>
      <c r="M146" s="26">
        <f t="shared" si="18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>
        <v>3</v>
      </c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67" t="e">
        <f>SUMIFS([1]Up!$J:$J,[1]Up!$D:$D,D146)</f>
        <v>#VALUE!</v>
      </c>
      <c r="BB146" s="82" t="s">
        <v>2077</v>
      </c>
      <c r="BC146" s="82" t="e">
        <f t="shared" si="19"/>
        <v>#VALUE!</v>
      </c>
      <c r="BD146" s="53" t="str">
        <f t="shared" si="20"/>
        <v>Thừa 2</v>
      </c>
      <c r="BE146" s="53" t="s">
        <v>154</v>
      </c>
      <c r="BF146" s="53"/>
      <c r="BG146" s="53"/>
      <c r="BH146" s="53" t="s">
        <v>57</v>
      </c>
      <c r="BI146" s="53">
        <v>1</v>
      </c>
      <c r="BJ146" s="83"/>
      <c r="BK146" s="53"/>
      <c r="BL146" s="53"/>
    </row>
    <row r="147" spans="3:64" ht="14.25" hidden="1" customHeight="1">
      <c r="C147" s="82" t="s">
        <v>13</v>
      </c>
      <c r="D147" s="82" t="s">
        <v>552</v>
      </c>
      <c r="E147" s="82" t="s">
        <v>519</v>
      </c>
      <c r="F147" s="82" t="s">
        <v>13</v>
      </c>
      <c r="G147" s="82">
        <v>2153</v>
      </c>
      <c r="H147" s="82" t="s">
        <v>147</v>
      </c>
      <c r="I147" s="82">
        <v>1</v>
      </c>
      <c r="J147" s="82">
        <v>70</v>
      </c>
      <c r="K147" s="82">
        <v>70</v>
      </c>
      <c r="L147" s="26">
        <f t="shared" si="17"/>
        <v>1</v>
      </c>
      <c r="M147" s="26">
        <f t="shared" si="18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>
        <v>1</v>
      </c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67" t="e">
        <f>SUMIFS([1]Up!$J:$J,[1]Up!$D:$D,D147)</f>
        <v>#VALUE!</v>
      </c>
      <c r="BB147" s="82"/>
      <c r="BC147" s="82" t="str">
        <f t="shared" si="19"/>
        <v>PL15</v>
      </c>
      <c r="BD147" s="53" t="str">
        <f t="shared" si="20"/>
        <v/>
      </c>
      <c r="BE147" s="53" t="s">
        <v>148</v>
      </c>
      <c r="BF147" s="84" t="s">
        <v>200</v>
      </c>
      <c r="BG147" s="53"/>
      <c r="BH147" s="53" t="s">
        <v>201</v>
      </c>
      <c r="BI147" s="53">
        <v>1</v>
      </c>
      <c r="BJ147" s="83">
        <v>46201</v>
      </c>
      <c r="BK147" s="53"/>
      <c r="BL147" s="53"/>
    </row>
    <row r="148" spans="3:64" ht="14.25" hidden="1" customHeight="1">
      <c r="C148" s="82" t="s">
        <v>13</v>
      </c>
      <c r="D148" s="82" t="s">
        <v>553</v>
      </c>
      <c r="E148" s="82" t="s">
        <v>522</v>
      </c>
      <c r="F148" s="82" t="s">
        <v>13</v>
      </c>
      <c r="G148" s="82">
        <v>1377</v>
      </c>
      <c r="H148" s="82" t="s">
        <v>147</v>
      </c>
      <c r="I148" s="82">
        <v>1</v>
      </c>
      <c r="J148" s="82">
        <v>59.6</v>
      </c>
      <c r="K148" s="82">
        <v>59.6</v>
      </c>
      <c r="L148" s="26">
        <f t="shared" si="17"/>
        <v>1</v>
      </c>
      <c r="M148" s="26">
        <f t="shared" si="18"/>
        <v>0</v>
      </c>
      <c r="N148" s="26"/>
      <c r="O148" s="26"/>
      <c r="P148" s="26"/>
      <c r="Q148" s="26">
        <v>1</v>
      </c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67" t="e">
        <f>SUMIFS([1]Up!$J:$J,[1]Up!$D:$D,D148)</f>
        <v>#VALUE!</v>
      </c>
      <c r="BB148" s="82"/>
      <c r="BC148" s="82" t="str">
        <f t="shared" si="19"/>
        <v>PL20</v>
      </c>
      <c r="BD148" s="53" t="str">
        <f t="shared" si="20"/>
        <v/>
      </c>
      <c r="BE148" s="53" t="s">
        <v>148</v>
      </c>
      <c r="BF148" s="84" t="s">
        <v>319</v>
      </c>
      <c r="BG148" s="53"/>
      <c r="BH148" s="53" t="s">
        <v>320</v>
      </c>
      <c r="BI148" s="53">
        <v>1</v>
      </c>
      <c r="BJ148" s="83">
        <v>46202</v>
      </c>
      <c r="BK148" s="53"/>
      <c r="BL148" s="53"/>
    </row>
    <row r="149" spans="3:64" ht="14.25" hidden="1" customHeight="1">
      <c r="C149" s="82" t="s">
        <v>13</v>
      </c>
      <c r="D149" s="82" t="s">
        <v>555</v>
      </c>
      <c r="E149" s="82" t="s">
        <v>556</v>
      </c>
      <c r="F149" s="82" t="s">
        <v>13</v>
      </c>
      <c r="G149" s="82">
        <v>6223</v>
      </c>
      <c r="H149" s="82" t="s">
        <v>147</v>
      </c>
      <c r="I149" s="82">
        <v>1</v>
      </c>
      <c r="J149" s="82">
        <v>24.3</v>
      </c>
      <c r="K149" s="82">
        <v>24.3</v>
      </c>
      <c r="L149" s="26">
        <f t="shared" si="17"/>
        <v>1</v>
      </c>
      <c r="M149" s="26">
        <f t="shared" si="18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>
        <v>1</v>
      </c>
      <c r="AS149" s="26"/>
      <c r="AT149" s="26"/>
      <c r="AU149" s="26"/>
      <c r="AV149" s="26"/>
      <c r="AW149" s="26"/>
      <c r="AX149" s="26"/>
      <c r="AY149" s="26"/>
      <c r="AZ149" s="26"/>
      <c r="BA149" s="67" t="e">
        <f>SUMIFS([1]Up!$J:$J,[1]Up!$D:$D,D149)</f>
        <v>#VALUE!</v>
      </c>
      <c r="BB149" s="82"/>
      <c r="BC149" s="82" t="str">
        <f t="shared" si="19"/>
        <v>PL10</v>
      </c>
      <c r="BD149" s="53" t="str">
        <f t="shared" si="20"/>
        <v/>
      </c>
      <c r="BE149" s="53" t="s">
        <v>148</v>
      </c>
      <c r="BF149" s="53"/>
      <c r="BG149" s="53"/>
      <c r="BH149" s="53"/>
      <c r="BI149" s="53"/>
      <c r="BJ149" s="83"/>
      <c r="BK149" s="53"/>
      <c r="BL149" s="53"/>
    </row>
    <row r="150" spans="3:64" ht="14.25" hidden="1" customHeight="1">
      <c r="C150" s="82" t="s">
        <v>13</v>
      </c>
      <c r="D150" s="82" t="s">
        <v>557</v>
      </c>
      <c r="E150" s="82" t="s">
        <v>525</v>
      </c>
      <c r="F150" s="82" t="s">
        <v>13</v>
      </c>
      <c r="G150" s="82">
        <v>1848</v>
      </c>
      <c r="H150" s="82" t="s">
        <v>147</v>
      </c>
      <c r="I150" s="82">
        <v>1</v>
      </c>
      <c r="J150" s="82">
        <v>54.3</v>
      </c>
      <c r="K150" s="82">
        <v>54.3</v>
      </c>
      <c r="L150" s="26">
        <f t="shared" si="17"/>
        <v>1</v>
      </c>
      <c r="M150" s="26">
        <f t="shared" si="18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>
        <v>1</v>
      </c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67" t="e">
        <f>SUMIFS([1]Up!$J:$J,[1]Up!$D:$D,D150)</f>
        <v>#VALUE!</v>
      </c>
      <c r="BB150" s="82"/>
      <c r="BC150" s="82" t="str">
        <f t="shared" si="19"/>
        <v>PL15</v>
      </c>
      <c r="BD150" s="53" t="str">
        <f t="shared" si="20"/>
        <v/>
      </c>
      <c r="BE150" s="53" t="s">
        <v>148</v>
      </c>
      <c r="BF150" s="84" t="s">
        <v>200</v>
      </c>
      <c r="BG150" s="53"/>
      <c r="BH150" s="53" t="s">
        <v>201</v>
      </c>
      <c r="BI150" s="53">
        <v>1</v>
      </c>
      <c r="BJ150" s="83">
        <v>46201</v>
      </c>
      <c r="BK150" s="53"/>
      <c r="BL150" s="53"/>
    </row>
    <row r="151" spans="3:64" ht="14.25" hidden="1" customHeight="1">
      <c r="C151" s="82" t="s">
        <v>13</v>
      </c>
      <c r="D151" s="82" t="s">
        <v>559</v>
      </c>
      <c r="E151" s="82" t="s">
        <v>560</v>
      </c>
      <c r="F151" s="82" t="s">
        <v>13</v>
      </c>
      <c r="G151" s="82">
        <v>6375</v>
      </c>
      <c r="H151" s="82" t="s">
        <v>147</v>
      </c>
      <c r="I151" s="82">
        <v>1</v>
      </c>
      <c r="J151" s="82">
        <v>1428</v>
      </c>
      <c r="K151" s="82">
        <v>1428</v>
      </c>
      <c r="L151" s="26">
        <f t="shared" si="17"/>
        <v>1</v>
      </c>
      <c r="M151" s="26">
        <f t="shared" si="18"/>
        <v>0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>
        <v>1</v>
      </c>
      <c r="AL151" s="26"/>
      <c r="AM151" s="26"/>
      <c r="AN151" s="26"/>
      <c r="AO151" s="26"/>
      <c r="AP151" s="26">
        <v>2</v>
      </c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67" t="e">
        <f>SUMIFS([1]Up!$J:$J,[1]Up!$D:$D,D151)</f>
        <v>#VALUE!</v>
      </c>
      <c r="BB151" s="82" t="s">
        <v>2378</v>
      </c>
      <c r="BC151" s="82" t="e">
        <f t="shared" si="19"/>
        <v>#VALUE!</v>
      </c>
      <c r="BD151" s="53" t="str">
        <f t="shared" si="20"/>
        <v>Thừa 2</v>
      </c>
      <c r="BE151" s="53" t="s">
        <v>154</v>
      </c>
      <c r="BF151" s="53"/>
      <c r="BG151" s="53"/>
      <c r="BH151" s="53" t="s">
        <v>57</v>
      </c>
      <c r="BI151" s="53">
        <v>1</v>
      </c>
      <c r="BJ151" s="83"/>
      <c r="BK151" s="53"/>
      <c r="BL151" s="53"/>
    </row>
    <row r="152" spans="3:64" ht="14.25" hidden="1" customHeight="1">
      <c r="C152" s="82" t="s">
        <v>13</v>
      </c>
      <c r="D152" s="82" t="s">
        <v>562</v>
      </c>
      <c r="E152" s="82" t="s">
        <v>519</v>
      </c>
      <c r="F152" s="82" t="s">
        <v>13</v>
      </c>
      <c r="G152" s="82">
        <v>2153</v>
      </c>
      <c r="H152" s="82" t="s">
        <v>147</v>
      </c>
      <c r="I152" s="82">
        <v>1</v>
      </c>
      <c r="J152" s="82">
        <v>70</v>
      </c>
      <c r="K152" s="82">
        <v>70</v>
      </c>
      <c r="L152" s="26">
        <f t="shared" si="17"/>
        <v>1</v>
      </c>
      <c r="M152" s="26">
        <f t="shared" si="18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>
        <v>1</v>
      </c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67" t="e">
        <f>SUMIFS([1]Up!$J:$J,[1]Up!$D:$D,D152)</f>
        <v>#VALUE!</v>
      </c>
      <c r="BB152" s="82"/>
      <c r="BC152" s="82" t="str">
        <f t="shared" si="19"/>
        <v>PL15</v>
      </c>
      <c r="BD152" s="53" t="str">
        <f t="shared" si="20"/>
        <v/>
      </c>
      <c r="BE152" s="53" t="s">
        <v>148</v>
      </c>
      <c r="BF152" s="84" t="s">
        <v>200</v>
      </c>
      <c r="BG152" s="53"/>
      <c r="BH152" s="53" t="s">
        <v>201</v>
      </c>
      <c r="BI152" s="53">
        <v>1</v>
      </c>
      <c r="BJ152" s="83">
        <v>46201</v>
      </c>
      <c r="BK152" s="53"/>
      <c r="BL152" s="53"/>
    </row>
    <row r="153" spans="3:64" ht="14.25" hidden="1" customHeight="1">
      <c r="C153" s="82" t="s">
        <v>13</v>
      </c>
      <c r="D153" s="82" t="s">
        <v>563</v>
      </c>
      <c r="E153" s="82" t="s">
        <v>522</v>
      </c>
      <c r="F153" s="82" t="s">
        <v>13</v>
      </c>
      <c r="G153" s="82">
        <v>1377</v>
      </c>
      <c r="H153" s="82" t="s">
        <v>147</v>
      </c>
      <c r="I153" s="82">
        <v>1</v>
      </c>
      <c r="J153" s="82">
        <v>59.6</v>
      </c>
      <c r="K153" s="82">
        <v>59.6</v>
      </c>
      <c r="L153" s="26">
        <f t="shared" si="17"/>
        <v>1</v>
      </c>
      <c r="M153" s="26">
        <f t="shared" si="18"/>
        <v>0</v>
      </c>
      <c r="N153" s="26"/>
      <c r="O153" s="26"/>
      <c r="P153" s="26"/>
      <c r="Q153" s="26">
        <v>1</v>
      </c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67" t="e">
        <f>SUMIFS([1]Up!$J:$J,[1]Up!$D:$D,D153)</f>
        <v>#VALUE!</v>
      </c>
      <c r="BB153" s="82"/>
      <c r="BC153" s="82" t="str">
        <f t="shared" si="19"/>
        <v>PL20</v>
      </c>
      <c r="BD153" s="53" t="str">
        <f t="shared" si="20"/>
        <v/>
      </c>
      <c r="BE153" s="53" t="s">
        <v>148</v>
      </c>
      <c r="BF153" s="84" t="s">
        <v>319</v>
      </c>
      <c r="BG153" s="53"/>
      <c r="BH153" s="53" t="s">
        <v>320</v>
      </c>
      <c r="BI153" s="53">
        <v>1</v>
      </c>
      <c r="BJ153" s="83">
        <v>46202</v>
      </c>
      <c r="BK153" s="53"/>
      <c r="BL153" s="53"/>
    </row>
    <row r="154" spans="3:64" ht="14.25" hidden="1" customHeight="1">
      <c r="C154" s="82" t="s">
        <v>13</v>
      </c>
      <c r="D154" s="82" t="s">
        <v>565</v>
      </c>
      <c r="E154" s="82" t="s">
        <v>146</v>
      </c>
      <c r="F154" s="82" t="s">
        <v>13</v>
      </c>
      <c r="G154" s="82">
        <v>6048</v>
      </c>
      <c r="H154" s="82" t="s">
        <v>147</v>
      </c>
      <c r="I154" s="82">
        <v>1</v>
      </c>
      <c r="J154" s="82">
        <v>23.7</v>
      </c>
      <c r="K154" s="82">
        <v>23.7</v>
      </c>
      <c r="L154" s="26">
        <f t="shared" si="17"/>
        <v>1</v>
      </c>
      <c r="M154" s="26">
        <f t="shared" si="18"/>
        <v>0</v>
      </c>
      <c r="N154" s="26"/>
      <c r="O154" s="26"/>
      <c r="P154" s="26">
        <v>1</v>
      </c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67" t="e">
        <f>SUMIFS([1]Up!$J:$J,[1]Up!$D:$D,D154)</f>
        <v>#VALUE!</v>
      </c>
      <c r="BB154" s="82"/>
      <c r="BC154" s="82" t="str">
        <f t="shared" si="19"/>
        <v>PL10</v>
      </c>
      <c r="BD154" s="53" t="str">
        <f t="shared" si="20"/>
        <v/>
      </c>
      <c r="BE154" s="53" t="s">
        <v>148</v>
      </c>
      <c r="BF154" s="84" t="s">
        <v>210</v>
      </c>
      <c r="BG154" s="53"/>
      <c r="BH154" s="53" t="s">
        <v>211</v>
      </c>
      <c r="BI154" s="53">
        <v>1</v>
      </c>
      <c r="BJ154" s="83">
        <v>46201</v>
      </c>
      <c r="BK154" s="53"/>
      <c r="BL154" s="53"/>
    </row>
    <row r="155" spans="3:64" ht="14.25" hidden="1" customHeight="1">
      <c r="C155" s="82" t="s">
        <v>13</v>
      </c>
      <c r="D155" s="82" t="s">
        <v>566</v>
      </c>
      <c r="E155" s="82" t="s">
        <v>525</v>
      </c>
      <c r="F155" s="82" t="s">
        <v>13</v>
      </c>
      <c r="G155" s="82">
        <v>1847</v>
      </c>
      <c r="H155" s="82" t="s">
        <v>147</v>
      </c>
      <c r="I155" s="82">
        <v>1</v>
      </c>
      <c r="J155" s="82">
        <v>54.3</v>
      </c>
      <c r="K155" s="82">
        <v>54.3</v>
      </c>
      <c r="L155" s="26">
        <f t="shared" si="17"/>
        <v>1</v>
      </c>
      <c r="M155" s="26">
        <f t="shared" si="18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>
        <v>1</v>
      </c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67" t="e">
        <f>SUMIFS([1]Up!$J:$J,[1]Up!$D:$D,D155)</f>
        <v>#VALUE!</v>
      </c>
      <c r="BB155" s="82"/>
      <c r="BC155" s="82" t="str">
        <f t="shared" si="19"/>
        <v>PL15</v>
      </c>
      <c r="BD155" s="53" t="str">
        <f t="shared" si="20"/>
        <v/>
      </c>
      <c r="BE155" s="53" t="s">
        <v>148</v>
      </c>
      <c r="BF155" s="84" t="s">
        <v>200</v>
      </c>
      <c r="BG155" s="53"/>
      <c r="BH155" s="53" t="s">
        <v>201</v>
      </c>
      <c r="BI155" s="53">
        <v>1</v>
      </c>
      <c r="BJ155" s="83">
        <v>46201</v>
      </c>
      <c r="BK155" s="53"/>
      <c r="BL155" s="53"/>
    </row>
    <row r="156" spans="3:64" ht="14.25" hidden="1" customHeight="1">
      <c r="C156" s="82" t="s">
        <v>13</v>
      </c>
      <c r="D156" s="82" t="s">
        <v>568</v>
      </c>
      <c r="E156" s="82" t="s">
        <v>569</v>
      </c>
      <c r="F156" s="82" t="s">
        <v>13</v>
      </c>
      <c r="G156" s="82">
        <v>6038</v>
      </c>
      <c r="H156" s="82" t="s">
        <v>147</v>
      </c>
      <c r="I156" s="82">
        <v>1</v>
      </c>
      <c r="J156" s="82">
        <v>1426.3</v>
      </c>
      <c r="K156" s="82">
        <v>1426.3</v>
      </c>
      <c r="L156" s="26">
        <f t="shared" si="17"/>
        <v>1</v>
      </c>
      <c r="M156" s="26">
        <f t="shared" si="18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>
        <v>3</v>
      </c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67" t="e">
        <f>SUMIFS([1]Up!$J:$J,[1]Up!$D:$D,D156)</f>
        <v>#VALUE!</v>
      </c>
      <c r="BB156" s="82" t="s">
        <v>2085</v>
      </c>
      <c r="BC156" s="82" t="e">
        <f t="shared" si="19"/>
        <v>#VALUE!</v>
      </c>
      <c r="BD156" s="53" t="str">
        <f t="shared" si="20"/>
        <v>Thừa 2</v>
      </c>
      <c r="BE156" s="53" t="s">
        <v>154</v>
      </c>
      <c r="BF156" s="53"/>
      <c r="BG156" s="53"/>
      <c r="BH156" s="53" t="s">
        <v>57</v>
      </c>
      <c r="BI156" s="53">
        <v>1</v>
      </c>
      <c r="BJ156" s="83"/>
      <c r="BK156" s="53"/>
      <c r="BL156" s="53"/>
    </row>
    <row r="157" spans="3:64" ht="14.25" hidden="1" customHeight="1">
      <c r="C157" s="82" t="s">
        <v>13</v>
      </c>
      <c r="D157" s="82" t="s">
        <v>571</v>
      </c>
      <c r="E157" s="82" t="s">
        <v>519</v>
      </c>
      <c r="F157" s="82" t="s">
        <v>13</v>
      </c>
      <c r="G157" s="82">
        <v>2153</v>
      </c>
      <c r="H157" s="82" t="s">
        <v>147</v>
      </c>
      <c r="I157" s="82">
        <v>1</v>
      </c>
      <c r="J157" s="82">
        <v>70</v>
      </c>
      <c r="K157" s="82">
        <v>70</v>
      </c>
      <c r="L157" s="26">
        <f t="shared" si="17"/>
        <v>1</v>
      </c>
      <c r="M157" s="26">
        <f t="shared" si="18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>
        <v>1</v>
      </c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67" t="e">
        <f>SUMIFS([1]Up!$J:$J,[1]Up!$D:$D,D157)</f>
        <v>#VALUE!</v>
      </c>
      <c r="BB157" s="82"/>
      <c r="BC157" s="82" t="str">
        <f t="shared" si="19"/>
        <v>PL15</v>
      </c>
      <c r="BD157" s="53" t="str">
        <f t="shared" si="20"/>
        <v/>
      </c>
      <c r="BE157" s="53" t="s">
        <v>148</v>
      </c>
      <c r="BF157" s="84" t="s">
        <v>200</v>
      </c>
      <c r="BG157" s="53"/>
      <c r="BH157" s="53" t="s">
        <v>201</v>
      </c>
      <c r="BI157" s="53">
        <v>1</v>
      </c>
      <c r="BJ157" s="83">
        <v>46201</v>
      </c>
      <c r="BK157" s="53"/>
      <c r="BL157" s="53"/>
    </row>
    <row r="158" spans="3:64" ht="14.25" hidden="1" customHeight="1">
      <c r="C158" s="82" t="s">
        <v>13</v>
      </c>
      <c r="D158" s="82" t="s">
        <v>572</v>
      </c>
      <c r="E158" s="82" t="s">
        <v>522</v>
      </c>
      <c r="F158" s="82" t="s">
        <v>13</v>
      </c>
      <c r="G158" s="82">
        <v>1377</v>
      </c>
      <c r="H158" s="82" t="s">
        <v>147</v>
      </c>
      <c r="I158" s="82">
        <v>1</v>
      </c>
      <c r="J158" s="82">
        <v>59.6</v>
      </c>
      <c r="K158" s="82">
        <v>59.6</v>
      </c>
      <c r="L158" s="26">
        <f t="shared" si="17"/>
        <v>1</v>
      </c>
      <c r="M158" s="26">
        <f t="shared" si="18"/>
        <v>0</v>
      </c>
      <c r="N158" s="26"/>
      <c r="O158" s="26"/>
      <c r="P158" s="26"/>
      <c r="Q158" s="26">
        <v>1</v>
      </c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67" t="e">
        <f>SUMIFS([1]Up!$J:$J,[1]Up!$D:$D,D158)</f>
        <v>#VALUE!</v>
      </c>
      <c r="BB158" s="82"/>
      <c r="BC158" s="82" t="str">
        <f t="shared" si="19"/>
        <v>PL20</v>
      </c>
      <c r="BD158" s="53" t="str">
        <f t="shared" si="20"/>
        <v/>
      </c>
      <c r="BE158" s="53" t="s">
        <v>148</v>
      </c>
      <c r="BF158" s="84" t="s">
        <v>319</v>
      </c>
      <c r="BG158" s="53"/>
      <c r="BH158" s="53" t="s">
        <v>320</v>
      </c>
      <c r="BI158" s="53">
        <v>1</v>
      </c>
      <c r="BJ158" s="83">
        <v>46202</v>
      </c>
      <c r="BK158" s="53"/>
      <c r="BL158" s="53"/>
    </row>
    <row r="159" spans="3:64" ht="14.25" hidden="1" customHeight="1">
      <c r="C159" s="82" t="s">
        <v>13</v>
      </c>
      <c r="D159" s="82" t="s">
        <v>574</v>
      </c>
      <c r="E159" s="82" t="s">
        <v>575</v>
      </c>
      <c r="F159" s="82" t="s">
        <v>13</v>
      </c>
      <c r="G159" s="82">
        <v>5977</v>
      </c>
      <c r="H159" s="82" t="s">
        <v>147</v>
      </c>
      <c r="I159" s="82">
        <v>1</v>
      </c>
      <c r="J159" s="82">
        <v>23.4</v>
      </c>
      <c r="K159" s="82">
        <v>23.4</v>
      </c>
      <c r="L159" s="26">
        <f t="shared" si="17"/>
        <v>1</v>
      </c>
      <c r="M159" s="26">
        <f t="shared" si="18"/>
        <v>0</v>
      </c>
      <c r="N159" s="26"/>
      <c r="O159" s="26"/>
      <c r="P159" s="26">
        <v>1</v>
      </c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67" t="e">
        <f>SUMIFS([1]Up!$J:$J,[1]Up!$D:$D,D159)</f>
        <v>#VALUE!</v>
      </c>
      <c r="BB159" s="82"/>
      <c r="BC159" s="82" t="str">
        <f t="shared" si="19"/>
        <v>PL10</v>
      </c>
      <c r="BD159" s="53" t="str">
        <f t="shared" si="20"/>
        <v/>
      </c>
      <c r="BE159" s="53" t="s">
        <v>148</v>
      </c>
      <c r="BF159" s="84" t="s">
        <v>210</v>
      </c>
      <c r="BG159" s="53"/>
      <c r="BH159" s="53" t="s">
        <v>211</v>
      </c>
      <c r="BI159" s="53">
        <v>1</v>
      </c>
      <c r="BJ159" s="83">
        <v>46201</v>
      </c>
      <c r="BK159" s="53"/>
      <c r="BL159" s="53"/>
    </row>
    <row r="160" spans="3:64" ht="14.25" hidden="1" customHeight="1">
      <c r="C160" s="82" t="s">
        <v>13</v>
      </c>
      <c r="D160" s="82" t="s">
        <v>576</v>
      </c>
      <c r="E160" s="82" t="s">
        <v>525</v>
      </c>
      <c r="F160" s="82" t="s">
        <v>13</v>
      </c>
      <c r="G160" s="82">
        <v>1848</v>
      </c>
      <c r="H160" s="82" t="s">
        <v>147</v>
      </c>
      <c r="I160" s="82">
        <v>1</v>
      </c>
      <c r="J160" s="82">
        <v>54.3</v>
      </c>
      <c r="K160" s="82">
        <v>54.3</v>
      </c>
      <c r="L160" s="26">
        <f t="shared" si="17"/>
        <v>1</v>
      </c>
      <c r="M160" s="26">
        <f t="shared" si="18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>
        <v>1</v>
      </c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67" t="e">
        <f>SUMIFS([1]Up!$J:$J,[1]Up!$D:$D,D160)</f>
        <v>#VALUE!</v>
      </c>
      <c r="BB160" s="82"/>
      <c r="BC160" s="82" t="str">
        <f t="shared" si="19"/>
        <v>PL15</v>
      </c>
      <c r="BD160" s="53" t="str">
        <f t="shared" si="20"/>
        <v/>
      </c>
      <c r="BE160" s="53" t="s">
        <v>148</v>
      </c>
      <c r="BF160" s="84" t="s">
        <v>200</v>
      </c>
      <c r="BG160" s="53"/>
      <c r="BH160" s="53" t="s">
        <v>201</v>
      </c>
      <c r="BI160" s="53">
        <v>1</v>
      </c>
      <c r="BJ160" s="83">
        <v>46201</v>
      </c>
      <c r="BK160" s="53"/>
      <c r="BL160" s="53"/>
    </row>
    <row r="161" spans="3:64" ht="14.25" hidden="1" customHeight="1">
      <c r="C161" s="82" t="s">
        <v>13</v>
      </c>
      <c r="D161" s="82" t="s">
        <v>578</v>
      </c>
      <c r="E161" s="82" t="s">
        <v>579</v>
      </c>
      <c r="F161" s="82" t="s">
        <v>13</v>
      </c>
      <c r="G161" s="82">
        <v>6180</v>
      </c>
      <c r="H161" s="82" t="s">
        <v>147</v>
      </c>
      <c r="I161" s="82">
        <v>1</v>
      </c>
      <c r="J161" s="82">
        <v>1426.8</v>
      </c>
      <c r="K161" s="82">
        <v>1426.8</v>
      </c>
      <c r="L161" s="26">
        <f t="shared" si="17"/>
        <v>1</v>
      </c>
      <c r="M161" s="26">
        <f t="shared" si="18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>
        <v>3</v>
      </c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67" t="e">
        <f>SUMIFS([1]Up!$J:$J,[1]Up!$D:$D,D161)</f>
        <v>#VALUE!</v>
      </c>
      <c r="BB161" s="82" t="s">
        <v>2071</v>
      </c>
      <c r="BC161" s="82" t="e">
        <f t="shared" si="19"/>
        <v>#VALUE!</v>
      </c>
      <c r="BD161" s="53" t="str">
        <f t="shared" si="20"/>
        <v>Thừa 2</v>
      </c>
      <c r="BE161" s="53" t="s">
        <v>154</v>
      </c>
      <c r="BF161" s="53"/>
      <c r="BG161" s="53"/>
      <c r="BH161" s="53" t="s">
        <v>57</v>
      </c>
      <c r="BI161" s="53">
        <v>1</v>
      </c>
      <c r="BJ161" s="83"/>
      <c r="BK161" s="53"/>
      <c r="BL161" s="53"/>
    </row>
    <row r="162" spans="3:64" ht="14.25" hidden="1" customHeight="1">
      <c r="C162" s="82" t="s">
        <v>13</v>
      </c>
      <c r="D162" s="82" t="s">
        <v>581</v>
      </c>
      <c r="E162" s="82" t="s">
        <v>519</v>
      </c>
      <c r="F162" s="82" t="s">
        <v>13</v>
      </c>
      <c r="G162" s="82">
        <v>2153</v>
      </c>
      <c r="H162" s="82" t="s">
        <v>147</v>
      </c>
      <c r="I162" s="82">
        <v>1</v>
      </c>
      <c r="J162" s="82">
        <v>70</v>
      </c>
      <c r="K162" s="82">
        <v>70</v>
      </c>
      <c r="L162" s="26">
        <f t="shared" si="17"/>
        <v>1</v>
      </c>
      <c r="M162" s="26">
        <f t="shared" si="18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>
        <v>1</v>
      </c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67" t="e">
        <f>SUMIFS([1]Up!$J:$J,[1]Up!$D:$D,D162)</f>
        <v>#VALUE!</v>
      </c>
      <c r="BB162" s="82"/>
      <c r="BC162" s="82" t="str">
        <f t="shared" si="19"/>
        <v>PL15</v>
      </c>
      <c r="BD162" s="53" t="str">
        <f t="shared" si="20"/>
        <v/>
      </c>
      <c r="BE162" s="53" t="s">
        <v>148</v>
      </c>
      <c r="BF162" s="84" t="s">
        <v>200</v>
      </c>
      <c r="BG162" s="53"/>
      <c r="BH162" s="53" t="s">
        <v>201</v>
      </c>
      <c r="BI162" s="53">
        <v>1</v>
      </c>
      <c r="BJ162" s="83">
        <v>46201</v>
      </c>
      <c r="BK162" s="53"/>
      <c r="BL162" s="53"/>
    </row>
    <row r="163" spans="3:64" ht="14.25" hidden="1" customHeight="1">
      <c r="C163" s="82" t="s">
        <v>13</v>
      </c>
      <c r="D163" s="82" t="s">
        <v>582</v>
      </c>
      <c r="E163" s="82" t="s">
        <v>522</v>
      </c>
      <c r="F163" s="82" t="s">
        <v>13</v>
      </c>
      <c r="G163" s="82">
        <v>1377</v>
      </c>
      <c r="H163" s="82" t="s">
        <v>147</v>
      </c>
      <c r="I163" s="82">
        <v>1</v>
      </c>
      <c r="J163" s="82">
        <v>59.6</v>
      </c>
      <c r="K163" s="82">
        <v>59.6</v>
      </c>
      <c r="L163" s="26">
        <f t="shared" si="17"/>
        <v>1</v>
      </c>
      <c r="M163" s="26">
        <f t="shared" si="18"/>
        <v>0</v>
      </c>
      <c r="N163" s="26"/>
      <c r="O163" s="26"/>
      <c r="P163" s="26"/>
      <c r="Q163" s="26">
        <v>1</v>
      </c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67" t="e">
        <f>SUMIFS([1]Up!$J:$J,[1]Up!$D:$D,D163)</f>
        <v>#VALUE!</v>
      </c>
      <c r="BB163" s="82"/>
      <c r="BC163" s="82" t="str">
        <f t="shared" si="19"/>
        <v>PL20</v>
      </c>
      <c r="BD163" s="53" t="str">
        <f t="shared" si="20"/>
        <v/>
      </c>
      <c r="BE163" s="53" t="s">
        <v>148</v>
      </c>
      <c r="BF163" s="84" t="s">
        <v>319</v>
      </c>
      <c r="BG163" s="53"/>
      <c r="BH163" s="53" t="s">
        <v>320</v>
      </c>
      <c r="BI163" s="53">
        <v>1</v>
      </c>
      <c r="BJ163" s="83">
        <v>46202</v>
      </c>
      <c r="BK163" s="53"/>
      <c r="BL163" s="53"/>
    </row>
    <row r="164" spans="3:64" ht="14.25" hidden="1" customHeight="1">
      <c r="C164" s="82" t="s">
        <v>13</v>
      </c>
      <c r="D164" s="82" t="s">
        <v>584</v>
      </c>
      <c r="E164" s="82" t="s">
        <v>585</v>
      </c>
      <c r="F164" s="82" t="s">
        <v>13</v>
      </c>
      <c r="G164" s="82">
        <v>6389</v>
      </c>
      <c r="H164" s="82" t="s">
        <v>147</v>
      </c>
      <c r="I164" s="82">
        <v>1</v>
      </c>
      <c r="J164" s="82">
        <v>24.5</v>
      </c>
      <c r="K164" s="82">
        <v>24.5</v>
      </c>
      <c r="L164" s="26">
        <f t="shared" si="17"/>
        <v>1</v>
      </c>
      <c r="M164" s="26">
        <f t="shared" si="18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>
        <v>1</v>
      </c>
      <c r="AS164" s="26"/>
      <c r="AT164" s="26"/>
      <c r="AU164" s="26"/>
      <c r="AV164" s="26"/>
      <c r="AW164" s="26"/>
      <c r="AX164" s="26"/>
      <c r="AY164" s="26"/>
      <c r="AZ164" s="26"/>
      <c r="BA164" s="67" t="e">
        <f>SUMIFS([1]Up!$J:$J,[1]Up!$D:$D,D164)</f>
        <v>#VALUE!</v>
      </c>
      <c r="BB164" s="82"/>
      <c r="BC164" s="82" t="str">
        <f t="shared" si="19"/>
        <v>PL10</v>
      </c>
      <c r="BD164" s="53" t="str">
        <f t="shared" si="20"/>
        <v/>
      </c>
      <c r="BE164" s="53" t="s">
        <v>148</v>
      </c>
      <c r="BF164" s="53"/>
      <c r="BG164" s="53"/>
      <c r="BH164" s="53"/>
      <c r="BI164" s="53"/>
      <c r="BJ164" s="83"/>
      <c r="BK164" s="53"/>
      <c r="BL164" s="53"/>
    </row>
    <row r="165" spans="3:64" ht="14.25" hidden="1" customHeight="1">
      <c r="C165" s="82" t="s">
        <v>13</v>
      </c>
      <c r="D165" s="82" t="s">
        <v>587</v>
      </c>
      <c r="E165" s="82" t="s">
        <v>525</v>
      </c>
      <c r="F165" s="82" t="s">
        <v>13</v>
      </c>
      <c r="G165" s="82">
        <v>1849</v>
      </c>
      <c r="H165" s="82" t="s">
        <v>147</v>
      </c>
      <c r="I165" s="82">
        <v>1</v>
      </c>
      <c r="J165" s="82">
        <v>54.4</v>
      </c>
      <c r="K165" s="82">
        <v>54.4</v>
      </c>
      <c r="L165" s="26">
        <f t="shared" si="17"/>
        <v>1</v>
      </c>
      <c r="M165" s="26">
        <f t="shared" si="18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>
        <v>1</v>
      </c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67" t="e">
        <f>SUMIFS([1]Up!$J:$J,[1]Up!$D:$D,D165)</f>
        <v>#VALUE!</v>
      </c>
      <c r="BB165" s="82"/>
      <c r="BC165" s="82" t="str">
        <f t="shared" si="19"/>
        <v>PL15</v>
      </c>
      <c r="BD165" s="53" t="str">
        <f t="shared" si="20"/>
        <v/>
      </c>
      <c r="BE165" s="53" t="s">
        <v>148</v>
      </c>
      <c r="BF165" s="84" t="s">
        <v>200</v>
      </c>
      <c r="BG165" s="53"/>
      <c r="BH165" s="53" t="s">
        <v>201</v>
      </c>
      <c r="BI165" s="53">
        <v>1</v>
      </c>
      <c r="BJ165" s="83">
        <v>46201</v>
      </c>
      <c r="BK165" s="53"/>
      <c r="BL165" s="53"/>
    </row>
    <row r="166" spans="3:64" ht="14.25" hidden="1" customHeight="1">
      <c r="C166" s="82" t="s">
        <v>13</v>
      </c>
      <c r="D166" s="82" t="s">
        <v>589</v>
      </c>
      <c r="E166" s="82" t="s">
        <v>590</v>
      </c>
      <c r="F166" s="82" t="s">
        <v>13</v>
      </c>
      <c r="G166" s="82">
        <v>7009</v>
      </c>
      <c r="H166" s="82" t="s">
        <v>147</v>
      </c>
      <c r="I166" s="82">
        <v>1</v>
      </c>
      <c r="J166" s="82">
        <v>1492.4</v>
      </c>
      <c r="K166" s="82">
        <v>1492.4</v>
      </c>
      <c r="L166" s="26">
        <f t="shared" si="17"/>
        <v>1</v>
      </c>
      <c r="M166" s="26">
        <f t="shared" si="18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>
        <v>3</v>
      </c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67" t="e">
        <f>SUMIFS([1]Up!$J:$J,[1]Up!$D:$D,D166)</f>
        <v>#VALUE!</v>
      </c>
      <c r="BB166" s="82" t="s">
        <v>2077</v>
      </c>
      <c r="BC166" s="82" t="e">
        <f t="shared" si="19"/>
        <v>#VALUE!</v>
      </c>
      <c r="BD166" s="53" t="str">
        <f t="shared" si="20"/>
        <v>Thừa 2</v>
      </c>
      <c r="BE166" s="53" t="s">
        <v>154</v>
      </c>
      <c r="BF166" s="53"/>
      <c r="BG166" s="53"/>
      <c r="BH166" s="53" t="s">
        <v>57</v>
      </c>
      <c r="BI166" s="53">
        <v>1</v>
      </c>
      <c r="BJ166" s="83"/>
      <c r="BK166" s="53"/>
      <c r="BL166" s="53"/>
    </row>
    <row r="167" spans="3:64" ht="14.25" hidden="1" customHeight="1">
      <c r="C167" s="82" t="s">
        <v>13</v>
      </c>
      <c r="D167" s="82" t="s">
        <v>592</v>
      </c>
      <c r="E167" s="82" t="s">
        <v>519</v>
      </c>
      <c r="F167" s="82" t="s">
        <v>13</v>
      </c>
      <c r="G167" s="82">
        <v>2153</v>
      </c>
      <c r="H167" s="82" t="s">
        <v>147</v>
      </c>
      <c r="I167" s="82">
        <v>1</v>
      </c>
      <c r="J167" s="82">
        <v>70</v>
      </c>
      <c r="K167" s="82">
        <v>70</v>
      </c>
      <c r="L167" s="26">
        <f t="shared" si="17"/>
        <v>1</v>
      </c>
      <c r="M167" s="26">
        <f t="shared" si="18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>
        <v>1</v>
      </c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67" t="e">
        <f>SUMIFS([1]Up!$J:$J,[1]Up!$D:$D,D167)</f>
        <v>#VALUE!</v>
      </c>
      <c r="BB167" s="82"/>
      <c r="BC167" s="82" t="str">
        <f t="shared" si="19"/>
        <v>PL15</v>
      </c>
      <c r="BD167" s="53" t="str">
        <f t="shared" si="20"/>
        <v/>
      </c>
      <c r="BE167" s="53" t="s">
        <v>148</v>
      </c>
      <c r="BF167" s="84" t="s">
        <v>200</v>
      </c>
      <c r="BG167" s="53"/>
      <c r="BH167" s="53" t="s">
        <v>201</v>
      </c>
      <c r="BI167" s="53">
        <v>1</v>
      </c>
      <c r="BJ167" s="83">
        <v>46201</v>
      </c>
      <c r="BK167" s="53"/>
      <c r="BL167" s="53"/>
    </row>
    <row r="168" spans="3:64" ht="14.25" hidden="1" customHeight="1">
      <c r="C168" s="82" t="s">
        <v>13</v>
      </c>
      <c r="D168" s="82" t="s">
        <v>593</v>
      </c>
      <c r="E168" s="82" t="s">
        <v>522</v>
      </c>
      <c r="F168" s="82" t="s">
        <v>13</v>
      </c>
      <c r="G168" s="82">
        <v>1377</v>
      </c>
      <c r="H168" s="82" t="s">
        <v>147</v>
      </c>
      <c r="I168" s="82">
        <v>1</v>
      </c>
      <c r="J168" s="82">
        <v>59.6</v>
      </c>
      <c r="K168" s="82">
        <v>59.6</v>
      </c>
      <c r="L168" s="26">
        <f t="shared" si="17"/>
        <v>1</v>
      </c>
      <c r="M168" s="26">
        <f t="shared" si="18"/>
        <v>0</v>
      </c>
      <c r="N168" s="26"/>
      <c r="O168" s="26"/>
      <c r="P168" s="26"/>
      <c r="Q168" s="26">
        <v>1</v>
      </c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67" t="e">
        <f>SUMIFS([1]Up!$J:$J,[1]Up!$D:$D,D168)</f>
        <v>#VALUE!</v>
      </c>
      <c r="BB168" s="82"/>
      <c r="BC168" s="82" t="str">
        <f t="shared" si="19"/>
        <v>PL20</v>
      </c>
      <c r="BD168" s="53" t="str">
        <f t="shared" si="20"/>
        <v/>
      </c>
      <c r="BE168" s="53" t="s">
        <v>148</v>
      </c>
      <c r="BF168" s="84" t="s">
        <v>319</v>
      </c>
      <c r="BG168" s="53"/>
      <c r="BH168" s="53" t="s">
        <v>320</v>
      </c>
      <c r="BI168" s="53">
        <v>1</v>
      </c>
      <c r="BJ168" s="83">
        <v>46202</v>
      </c>
      <c r="BK168" s="53"/>
      <c r="BL168" s="53"/>
    </row>
    <row r="169" spans="3:64" ht="14.25" hidden="1" customHeight="1">
      <c r="C169" s="82" t="s">
        <v>13</v>
      </c>
      <c r="D169" s="82" t="s">
        <v>595</v>
      </c>
      <c r="E169" s="82" t="s">
        <v>596</v>
      </c>
      <c r="F169" s="82" t="s">
        <v>13</v>
      </c>
      <c r="G169" s="82">
        <v>6605</v>
      </c>
      <c r="H169" s="82" t="s">
        <v>147</v>
      </c>
      <c r="I169" s="82">
        <v>1</v>
      </c>
      <c r="J169" s="82">
        <v>24.3</v>
      </c>
      <c r="K169" s="82">
        <v>24.3</v>
      </c>
      <c r="L169" s="26">
        <f t="shared" si="17"/>
        <v>0</v>
      </c>
      <c r="M169" s="26">
        <f t="shared" si="18"/>
        <v>1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67" t="e">
        <f>SUMIFS([1]Up!$J:$J,[1]Up!$D:$D,D169)</f>
        <v>#VALUE!</v>
      </c>
      <c r="BB169" s="82"/>
      <c r="BC169" s="82" t="str">
        <f t="shared" si="19"/>
        <v>PL10</v>
      </c>
      <c r="BD169" s="53" t="str">
        <f t="shared" si="20"/>
        <v/>
      </c>
      <c r="BE169" s="53" t="s">
        <v>148</v>
      </c>
      <c r="BF169" s="84" t="s">
        <v>210</v>
      </c>
      <c r="BG169" s="53"/>
      <c r="BH169" s="53" t="s">
        <v>211</v>
      </c>
      <c r="BI169" s="53">
        <v>1</v>
      </c>
      <c r="BJ169" s="83">
        <v>46201</v>
      </c>
      <c r="BK169" s="53"/>
      <c r="BL169" s="53"/>
    </row>
    <row r="170" spans="3:64" ht="14.25" hidden="1" customHeight="1">
      <c r="C170" s="82" t="s">
        <v>13</v>
      </c>
      <c r="D170" s="82" t="s">
        <v>597</v>
      </c>
      <c r="E170" s="82" t="s">
        <v>525</v>
      </c>
      <c r="F170" s="82" t="s">
        <v>13</v>
      </c>
      <c r="G170" s="82">
        <v>1851</v>
      </c>
      <c r="H170" s="82" t="s">
        <v>147</v>
      </c>
      <c r="I170" s="82">
        <v>1</v>
      </c>
      <c r="J170" s="82">
        <v>54.4</v>
      </c>
      <c r="K170" s="82">
        <v>54.4</v>
      </c>
      <c r="L170" s="26">
        <f t="shared" si="17"/>
        <v>1</v>
      </c>
      <c r="M170" s="26">
        <f t="shared" si="18"/>
        <v>0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>
        <v>1</v>
      </c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67" t="e">
        <f>SUMIFS([1]Up!$J:$J,[1]Up!$D:$D,D170)</f>
        <v>#VALUE!</v>
      </c>
      <c r="BB170" s="82"/>
      <c r="BC170" s="82" t="str">
        <f t="shared" si="19"/>
        <v>PL15</v>
      </c>
      <c r="BD170" s="53" t="str">
        <f t="shared" si="20"/>
        <v/>
      </c>
      <c r="BE170" s="53" t="s">
        <v>148</v>
      </c>
      <c r="BF170" s="84" t="s">
        <v>200</v>
      </c>
      <c r="BG170" s="53"/>
      <c r="BH170" s="53" t="s">
        <v>201</v>
      </c>
      <c r="BI170" s="53">
        <v>1</v>
      </c>
      <c r="BJ170" s="83">
        <v>46201</v>
      </c>
      <c r="BK170" s="53"/>
      <c r="BL170" s="53"/>
    </row>
    <row r="171" spans="3:64" ht="14.25" hidden="1" customHeight="1">
      <c r="C171" s="82" t="s">
        <v>13</v>
      </c>
      <c r="D171" s="82" t="s">
        <v>599</v>
      </c>
      <c r="E171" s="82" t="s">
        <v>600</v>
      </c>
      <c r="F171" s="82" t="s">
        <v>13</v>
      </c>
      <c r="G171" s="82">
        <v>7076</v>
      </c>
      <c r="H171" s="82" t="s">
        <v>147</v>
      </c>
      <c r="I171" s="82">
        <v>1</v>
      </c>
      <c r="J171" s="82">
        <v>1561.3</v>
      </c>
      <c r="K171" s="82">
        <v>1561.3</v>
      </c>
      <c r="L171" s="26">
        <f t="shared" si="17"/>
        <v>1</v>
      </c>
      <c r="M171" s="26">
        <f t="shared" si="18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>
        <v>3</v>
      </c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67" t="e">
        <f>SUMIFS([1]Up!$J:$J,[1]Up!$D:$D,D171)</f>
        <v>#VALUE!</v>
      </c>
      <c r="BB171" s="82" t="s">
        <v>2085</v>
      </c>
      <c r="BC171" s="82" t="e">
        <f t="shared" si="19"/>
        <v>#VALUE!</v>
      </c>
      <c r="BD171" s="53" t="str">
        <f t="shared" si="20"/>
        <v>Thừa 2</v>
      </c>
      <c r="BE171" s="53" t="s">
        <v>154</v>
      </c>
      <c r="BF171" s="53"/>
      <c r="BG171" s="53"/>
      <c r="BH171" s="53" t="s">
        <v>57</v>
      </c>
      <c r="BI171" s="53">
        <v>1</v>
      </c>
      <c r="BJ171" s="83"/>
      <c r="BK171" s="53"/>
      <c r="BL171" s="53"/>
    </row>
    <row r="172" spans="3:64" ht="14.25" hidden="1" customHeight="1">
      <c r="C172" s="82" t="s">
        <v>13</v>
      </c>
      <c r="D172" s="82" t="s">
        <v>602</v>
      </c>
      <c r="E172" s="82" t="s">
        <v>522</v>
      </c>
      <c r="F172" s="82" t="s">
        <v>13</v>
      </c>
      <c r="G172" s="82">
        <v>1377</v>
      </c>
      <c r="H172" s="82" t="s">
        <v>147</v>
      </c>
      <c r="I172" s="82">
        <v>1</v>
      </c>
      <c r="J172" s="82">
        <v>59.6</v>
      </c>
      <c r="K172" s="82">
        <v>59.6</v>
      </c>
      <c r="L172" s="26">
        <f t="shared" si="17"/>
        <v>1</v>
      </c>
      <c r="M172" s="26">
        <f t="shared" si="18"/>
        <v>0</v>
      </c>
      <c r="N172" s="26"/>
      <c r="O172" s="26"/>
      <c r="P172" s="26"/>
      <c r="Q172" s="26">
        <v>1</v>
      </c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67" t="e">
        <f>SUMIFS([1]Up!$J:$J,[1]Up!$D:$D,D172)</f>
        <v>#VALUE!</v>
      </c>
      <c r="BB172" s="82"/>
      <c r="BC172" s="82" t="str">
        <f t="shared" si="19"/>
        <v>PL20</v>
      </c>
      <c r="BD172" s="53" t="str">
        <f t="shared" si="20"/>
        <v/>
      </c>
      <c r="BE172" s="53" t="s">
        <v>148</v>
      </c>
      <c r="BF172" s="84" t="s">
        <v>319</v>
      </c>
      <c r="BG172" s="53"/>
      <c r="BH172" s="53" t="s">
        <v>320</v>
      </c>
      <c r="BI172" s="53">
        <v>1</v>
      </c>
      <c r="BJ172" s="83">
        <v>46202</v>
      </c>
      <c r="BK172" s="53"/>
      <c r="BL172" s="53"/>
    </row>
    <row r="173" spans="3:64" ht="14.25" hidden="1" customHeight="1">
      <c r="C173" s="82" t="s">
        <v>13</v>
      </c>
      <c r="D173" s="82" t="s">
        <v>604</v>
      </c>
      <c r="E173" s="82" t="s">
        <v>605</v>
      </c>
      <c r="F173" s="82" t="s">
        <v>13</v>
      </c>
      <c r="G173" s="82">
        <v>6792</v>
      </c>
      <c r="H173" s="82" t="s">
        <v>147</v>
      </c>
      <c r="I173" s="82">
        <v>1</v>
      </c>
      <c r="J173" s="82">
        <v>23.6</v>
      </c>
      <c r="K173" s="82">
        <v>23.6</v>
      </c>
      <c r="L173" s="26">
        <f t="shared" si="17"/>
        <v>1</v>
      </c>
      <c r="M173" s="26">
        <f t="shared" si="18"/>
        <v>0</v>
      </c>
      <c r="N173" s="26"/>
      <c r="O173" s="26"/>
      <c r="P173" s="26">
        <v>1</v>
      </c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67" t="e">
        <f>SUMIFS([1]Up!$J:$J,[1]Up!$D:$D,D173)</f>
        <v>#VALUE!</v>
      </c>
      <c r="BB173" s="82"/>
      <c r="BC173" s="82" t="str">
        <f t="shared" si="19"/>
        <v>PL10</v>
      </c>
      <c r="BD173" s="53" t="str">
        <f t="shared" si="20"/>
        <v/>
      </c>
      <c r="BE173" s="53" t="s">
        <v>148</v>
      </c>
      <c r="BF173" s="84" t="s">
        <v>210</v>
      </c>
      <c r="BG173" s="53"/>
      <c r="BH173" s="53" t="s">
        <v>211</v>
      </c>
      <c r="BI173" s="53">
        <v>1</v>
      </c>
      <c r="BJ173" s="83">
        <v>46201</v>
      </c>
      <c r="BK173" s="53"/>
      <c r="BL173" s="53"/>
    </row>
    <row r="174" spans="3:64" ht="14.25" hidden="1" customHeight="1">
      <c r="C174" s="82" t="s">
        <v>13</v>
      </c>
      <c r="D174" s="82" t="s">
        <v>607</v>
      </c>
      <c r="E174" s="82" t="s">
        <v>519</v>
      </c>
      <c r="F174" s="82" t="s">
        <v>13</v>
      </c>
      <c r="G174" s="82">
        <v>2297</v>
      </c>
      <c r="H174" s="82" t="s">
        <v>147</v>
      </c>
      <c r="I174" s="82">
        <v>1</v>
      </c>
      <c r="J174" s="82">
        <v>74.599999999999994</v>
      </c>
      <c r="K174" s="82">
        <v>74.599999999999994</v>
      </c>
      <c r="L174" s="26">
        <f t="shared" si="17"/>
        <v>1</v>
      </c>
      <c r="M174" s="26">
        <f t="shared" si="18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>
        <v>1</v>
      </c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67" t="e">
        <f>SUMIFS([1]Up!$J:$J,[1]Up!$D:$D,D174)</f>
        <v>#VALUE!</v>
      </c>
      <c r="BB174" s="82"/>
      <c r="BC174" s="82" t="str">
        <f t="shared" si="19"/>
        <v>PL15</v>
      </c>
      <c r="BD174" s="53" t="str">
        <f t="shared" si="20"/>
        <v/>
      </c>
      <c r="BE174" s="53" t="s">
        <v>148</v>
      </c>
      <c r="BF174" s="84" t="s">
        <v>200</v>
      </c>
      <c r="BG174" s="53"/>
      <c r="BH174" s="53" t="s">
        <v>201</v>
      </c>
      <c r="BI174" s="53">
        <v>1</v>
      </c>
      <c r="BJ174" s="83">
        <v>46201</v>
      </c>
      <c r="BK174" s="53"/>
      <c r="BL174" s="53"/>
    </row>
    <row r="175" spans="3:64" ht="14.25" hidden="1" customHeight="1">
      <c r="C175" s="82" t="s">
        <v>13</v>
      </c>
      <c r="D175" s="82" t="s">
        <v>608</v>
      </c>
      <c r="E175" s="82" t="s">
        <v>525</v>
      </c>
      <c r="F175" s="82" t="s">
        <v>13</v>
      </c>
      <c r="G175" s="82">
        <v>1851</v>
      </c>
      <c r="H175" s="82" t="s">
        <v>147</v>
      </c>
      <c r="I175" s="82">
        <v>1</v>
      </c>
      <c r="J175" s="82">
        <v>54.4</v>
      </c>
      <c r="K175" s="82">
        <v>54.4</v>
      </c>
      <c r="L175" s="26">
        <f t="shared" si="17"/>
        <v>1</v>
      </c>
      <c r="M175" s="26">
        <f t="shared" si="18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>
        <v>1</v>
      </c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67" t="e">
        <f>SUMIFS([1]Up!$J:$J,[1]Up!$D:$D,D175)</f>
        <v>#VALUE!</v>
      </c>
      <c r="BB175" s="82"/>
      <c r="BC175" s="82" t="str">
        <f t="shared" si="19"/>
        <v>PL15</v>
      </c>
      <c r="BD175" s="53" t="str">
        <f t="shared" si="20"/>
        <v/>
      </c>
      <c r="BE175" s="53" t="s">
        <v>148</v>
      </c>
      <c r="BF175" s="84" t="s">
        <v>200</v>
      </c>
      <c r="BG175" s="53"/>
      <c r="BH175" s="53" t="s">
        <v>201</v>
      </c>
      <c r="BI175" s="53">
        <v>1</v>
      </c>
      <c r="BJ175" s="83">
        <v>46201</v>
      </c>
      <c r="BK175" s="53"/>
      <c r="BL175" s="53"/>
    </row>
    <row r="176" spans="3:64" ht="14.25" hidden="1" customHeight="1">
      <c r="C176" s="82" t="s">
        <v>13</v>
      </c>
      <c r="D176" s="82" t="s">
        <v>610</v>
      </c>
      <c r="E176" s="82" t="s">
        <v>611</v>
      </c>
      <c r="F176" s="82" t="s">
        <v>13</v>
      </c>
      <c r="G176" s="82">
        <v>6882</v>
      </c>
      <c r="H176" s="82" t="s">
        <v>147</v>
      </c>
      <c r="I176" s="82">
        <v>1</v>
      </c>
      <c r="J176" s="82">
        <v>1577</v>
      </c>
      <c r="K176" s="82">
        <v>1577</v>
      </c>
      <c r="L176" s="26">
        <f t="shared" si="17"/>
        <v>1</v>
      </c>
      <c r="M176" s="26">
        <f t="shared" si="18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>
        <v>2</v>
      </c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67" t="e">
        <f>SUMIFS([1]Up!$J:$J,[1]Up!$D:$D,D176)</f>
        <v>#VALUE!</v>
      </c>
      <c r="BB176" s="82" t="s">
        <v>2241</v>
      </c>
      <c r="BC176" s="82" t="e">
        <f t="shared" si="19"/>
        <v>#VALUE!</v>
      </c>
      <c r="BD176" s="53" t="str">
        <f t="shared" si="20"/>
        <v>Thừa 1</v>
      </c>
      <c r="BE176" s="53" t="s">
        <v>154</v>
      </c>
      <c r="BF176" s="53"/>
      <c r="BG176" s="53"/>
      <c r="BH176" s="53" t="s">
        <v>57</v>
      </c>
      <c r="BI176" s="53">
        <v>1</v>
      </c>
      <c r="BJ176" s="83"/>
      <c r="BK176" s="53"/>
      <c r="BL176" s="53"/>
    </row>
    <row r="177" spans="3:64" ht="14.25" hidden="1" customHeight="1">
      <c r="C177" s="82" t="s">
        <v>13</v>
      </c>
      <c r="D177" s="82" t="s">
        <v>613</v>
      </c>
      <c r="E177" s="82" t="s">
        <v>522</v>
      </c>
      <c r="F177" s="82" t="s">
        <v>13</v>
      </c>
      <c r="G177" s="82">
        <v>1377</v>
      </c>
      <c r="H177" s="82" t="s">
        <v>147</v>
      </c>
      <c r="I177" s="82">
        <v>1</v>
      </c>
      <c r="J177" s="82">
        <v>59.6</v>
      </c>
      <c r="K177" s="82">
        <v>59.6</v>
      </c>
      <c r="L177" s="26">
        <f t="shared" si="17"/>
        <v>1</v>
      </c>
      <c r="M177" s="26">
        <f t="shared" si="18"/>
        <v>0</v>
      </c>
      <c r="N177" s="26"/>
      <c r="O177" s="26"/>
      <c r="P177" s="26"/>
      <c r="Q177" s="26"/>
      <c r="R177" s="26">
        <v>1</v>
      </c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67" t="e">
        <f>SUMIFS([1]Up!$J:$J,[1]Up!$D:$D,D177)</f>
        <v>#VALUE!</v>
      </c>
      <c r="BB177" s="82"/>
      <c r="BC177" s="82" t="str">
        <f t="shared" si="19"/>
        <v>PL20</v>
      </c>
      <c r="BD177" s="53" t="str">
        <f t="shared" si="20"/>
        <v/>
      </c>
      <c r="BE177" s="53" t="s">
        <v>148</v>
      </c>
      <c r="BF177" s="84" t="s">
        <v>319</v>
      </c>
      <c r="BG177" s="53"/>
      <c r="BH177" s="53" t="s">
        <v>320</v>
      </c>
      <c r="BI177" s="53">
        <v>1</v>
      </c>
      <c r="BJ177" s="83">
        <v>46202</v>
      </c>
      <c r="BK177" s="53"/>
      <c r="BL177" s="53"/>
    </row>
    <row r="178" spans="3:64" ht="14.25" hidden="1" customHeight="1">
      <c r="C178" s="82" t="s">
        <v>13</v>
      </c>
      <c r="D178" s="82" t="s">
        <v>614</v>
      </c>
      <c r="E178" s="82" t="s">
        <v>519</v>
      </c>
      <c r="F178" s="82" t="s">
        <v>13</v>
      </c>
      <c r="G178" s="82">
        <v>2297</v>
      </c>
      <c r="H178" s="82" t="s">
        <v>147</v>
      </c>
      <c r="I178" s="82">
        <v>1</v>
      </c>
      <c r="J178" s="82">
        <v>74.599999999999994</v>
      </c>
      <c r="K178" s="82">
        <v>74.599999999999994</v>
      </c>
      <c r="L178" s="26">
        <f t="shared" si="17"/>
        <v>1</v>
      </c>
      <c r="M178" s="26">
        <f t="shared" si="18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>
        <v>1</v>
      </c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67" t="e">
        <f>SUMIFS([1]Up!$J:$J,[1]Up!$D:$D,D178)</f>
        <v>#VALUE!</v>
      </c>
      <c r="BB178" s="82"/>
      <c r="BC178" s="82" t="str">
        <f t="shared" si="19"/>
        <v>PL15</v>
      </c>
      <c r="BD178" s="53" t="str">
        <f t="shared" si="20"/>
        <v/>
      </c>
      <c r="BE178" s="53" t="s">
        <v>148</v>
      </c>
      <c r="BF178" s="84" t="s">
        <v>200</v>
      </c>
      <c r="BG178" s="53"/>
      <c r="BH178" s="53" t="s">
        <v>201</v>
      </c>
      <c r="BI178" s="53">
        <v>1</v>
      </c>
      <c r="BJ178" s="83">
        <v>46201</v>
      </c>
      <c r="BK178" s="53"/>
      <c r="BL178" s="53"/>
    </row>
    <row r="179" spans="3:64" ht="14.25" hidden="1" customHeight="1">
      <c r="C179" s="82" t="s">
        <v>13</v>
      </c>
      <c r="D179" s="82" t="s">
        <v>616</v>
      </c>
      <c r="E179" s="82" t="s">
        <v>146</v>
      </c>
      <c r="F179" s="82" t="s">
        <v>13</v>
      </c>
      <c r="G179" s="82">
        <v>6021</v>
      </c>
      <c r="H179" s="82" t="s">
        <v>147</v>
      </c>
      <c r="I179" s="82">
        <v>1</v>
      </c>
      <c r="J179" s="82">
        <v>23.6</v>
      </c>
      <c r="K179" s="82">
        <v>23.6</v>
      </c>
      <c r="L179" s="26">
        <f t="shared" si="17"/>
        <v>1</v>
      </c>
      <c r="M179" s="26">
        <f t="shared" si="18"/>
        <v>0</v>
      </c>
      <c r="N179" s="26"/>
      <c r="O179" s="26"/>
      <c r="P179" s="26">
        <v>1</v>
      </c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67" t="e">
        <f>SUMIFS([1]Up!$J:$J,[1]Up!$D:$D,D179)</f>
        <v>#VALUE!</v>
      </c>
      <c r="BB179" s="82"/>
      <c r="BC179" s="82" t="str">
        <f t="shared" si="19"/>
        <v>PL10</v>
      </c>
      <c r="BD179" s="53" t="str">
        <f t="shared" si="20"/>
        <v/>
      </c>
      <c r="BE179" s="53" t="s">
        <v>148</v>
      </c>
      <c r="BF179" s="84" t="s">
        <v>210</v>
      </c>
      <c r="BG179" s="53"/>
      <c r="BH179" s="53" t="s">
        <v>211</v>
      </c>
      <c r="BI179" s="53">
        <v>1</v>
      </c>
      <c r="BJ179" s="83">
        <v>46201</v>
      </c>
      <c r="BK179" s="53"/>
      <c r="BL179" s="53"/>
    </row>
    <row r="180" spans="3:64" ht="14.25" hidden="1" customHeight="1">
      <c r="C180" s="82" t="s">
        <v>13</v>
      </c>
      <c r="D180" s="82" t="s">
        <v>617</v>
      </c>
      <c r="E180" s="82" t="s">
        <v>525</v>
      </c>
      <c r="F180" s="82" t="s">
        <v>13</v>
      </c>
      <c r="G180" s="82">
        <v>1848</v>
      </c>
      <c r="H180" s="82" t="s">
        <v>147</v>
      </c>
      <c r="I180" s="82">
        <v>1</v>
      </c>
      <c r="J180" s="82">
        <v>54.3</v>
      </c>
      <c r="K180" s="82">
        <v>54.3</v>
      </c>
      <c r="L180" s="26">
        <f t="shared" si="17"/>
        <v>1</v>
      </c>
      <c r="M180" s="26">
        <f t="shared" si="18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>
        <v>1</v>
      </c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67" t="e">
        <f>SUMIFS([1]Up!$J:$J,[1]Up!$D:$D,D180)</f>
        <v>#VALUE!</v>
      </c>
      <c r="BB180" s="82"/>
      <c r="BC180" s="82" t="str">
        <f t="shared" si="19"/>
        <v>PL15</v>
      </c>
      <c r="BD180" s="53" t="str">
        <f t="shared" si="20"/>
        <v/>
      </c>
      <c r="BE180" s="53" t="s">
        <v>148</v>
      </c>
      <c r="BF180" s="84" t="s">
        <v>200</v>
      </c>
      <c r="BG180" s="53"/>
      <c r="BH180" s="53" t="s">
        <v>201</v>
      </c>
      <c r="BI180" s="53">
        <v>1</v>
      </c>
      <c r="BJ180" s="83">
        <v>46201</v>
      </c>
      <c r="BK180" s="53"/>
      <c r="BL180" s="53"/>
    </row>
    <row r="181" spans="3:64" ht="14.25" hidden="1" customHeight="1">
      <c r="C181" s="82" t="s">
        <v>13</v>
      </c>
      <c r="D181" s="82" t="s">
        <v>619</v>
      </c>
      <c r="E181" s="82" t="s">
        <v>620</v>
      </c>
      <c r="F181" s="82" t="s">
        <v>13</v>
      </c>
      <c r="G181" s="82">
        <v>6500</v>
      </c>
      <c r="H181" s="82" t="s">
        <v>147</v>
      </c>
      <c r="I181" s="82">
        <v>1</v>
      </c>
      <c r="J181" s="82">
        <v>1426.3</v>
      </c>
      <c r="K181" s="82">
        <v>1426.3</v>
      </c>
      <c r="L181" s="26">
        <f t="shared" si="17"/>
        <v>1</v>
      </c>
      <c r="M181" s="26">
        <f t="shared" si="18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>
        <v>1</v>
      </c>
      <c r="AJ181" s="26"/>
      <c r="AK181" s="26">
        <v>2</v>
      </c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67" t="e">
        <f>SUMIFS([1]Up!$J:$J,[1]Up!$D:$D,D181)</f>
        <v>#VALUE!</v>
      </c>
      <c r="BB181" s="82" t="s">
        <v>2243</v>
      </c>
      <c r="BC181" s="82" t="e">
        <f t="shared" si="19"/>
        <v>#VALUE!</v>
      </c>
      <c r="BD181" s="53" t="str">
        <f t="shared" si="20"/>
        <v>Thừa 2</v>
      </c>
      <c r="BE181" s="53" t="s">
        <v>154</v>
      </c>
      <c r="BF181" s="53"/>
      <c r="BG181" s="53"/>
      <c r="BH181" s="53" t="s">
        <v>57</v>
      </c>
      <c r="BI181" s="53">
        <v>1</v>
      </c>
      <c r="BJ181" s="83"/>
      <c r="BK181" s="53"/>
      <c r="BL181" s="53"/>
    </row>
    <row r="182" spans="3:64" ht="14.25" hidden="1" customHeight="1">
      <c r="C182" s="82" t="s">
        <v>13</v>
      </c>
      <c r="D182" s="82" t="s">
        <v>622</v>
      </c>
      <c r="E182" s="82" t="s">
        <v>522</v>
      </c>
      <c r="F182" s="82" t="s">
        <v>13</v>
      </c>
      <c r="G182" s="82">
        <v>1377</v>
      </c>
      <c r="H182" s="82" t="s">
        <v>147</v>
      </c>
      <c r="I182" s="82">
        <v>1</v>
      </c>
      <c r="J182" s="82">
        <v>59.6</v>
      </c>
      <c r="K182" s="82">
        <v>59.6</v>
      </c>
      <c r="L182" s="26">
        <f t="shared" si="17"/>
        <v>1</v>
      </c>
      <c r="M182" s="26">
        <f t="shared" si="18"/>
        <v>0</v>
      </c>
      <c r="N182" s="26"/>
      <c r="O182" s="26"/>
      <c r="P182" s="26"/>
      <c r="Q182" s="26"/>
      <c r="R182" s="26">
        <v>1</v>
      </c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67" t="e">
        <f>SUMIFS([1]Up!$J:$J,[1]Up!$D:$D,D182)</f>
        <v>#VALUE!</v>
      </c>
      <c r="BB182" s="82"/>
      <c r="BC182" s="82" t="str">
        <f t="shared" si="19"/>
        <v>PL20</v>
      </c>
      <c r="BD182" s="53" t="str">
        <f t="shared" si="20"/>
        <v/>
      </c>
      <c r="BE182" s="53" t="s">
        <v>148</v>
      </c>
      <c r="BF182" s="84" t="s">
        <v>319</v>
      </c>
      <c r="BG182" s="53"/>
      <c r="BH182" s="53" t="s">
        <v>320</v>
      </c>
      <c r="BI182" s="53">
        <v>1</v>
      </c>
      <c r="BJ182" s="83">
        <v>46202</v>
      </c>
      <c r="BK182" s="53"/>
      <c r="BL182" s="53"/>
    </row>
    <row r="183" spans="3:64" ht="14.25" hidden="1" customHeight="1">
      <c r="C183" s="82" t="s">
        <v>13</v>
      </c>
      <c r="D183" s="82" t="s">
        <v>624</v>
      </c>
      <c r="E183" s="82" t="s">
        <v>625</v>
      </c>
      <c r="F183" s="82" t="s">
        <v>13</v>
      </c>
      <c r="G183" s="82">
        <v>6651</v>
      </c>
      <c r="H183" s="82" t="s">
        <v>147</v>
      </c>
      <c r="I183" s="82">
        <v>1</v>
      </c>
      <c r="J183" s="82">
        <v>24.1</v>
      </c>
      <c r="K183" s="82">
        <v>24.1</v>
      </c>
      <c r="L183" s="26">
        <f t="shared" si="17"/>
        <v>1</v>
      </c>
      <c r="M183" s="26">
        <f t="shared" si="18"/>
        <v>0</v>
      </c>
      <c r="N183" s="26"/>
      <c r="O183" s="26"/>
      <c r="P183" s="26">
        <v>1</v>
      </c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67" t="e">
        <f>SUMIFS([1]Up!$J:$J,[1]Up!$D:$D,D183)</f>
        <v>#VALUE!</v>
      </c>
      <c r="BB183" s="82"/>
      <c r="BC183" s="82" t="str">
        <f t="shared" si="19"/>
        <v>PL10</v>
      </c>
      <c r="BD183" s="53" t="str">
        <f t="shared" si="20"/>
        <v/>
      </c>
      <c r="BE183" s="53" t="s">
        <v>148</v>
      </c>
      <c r="BF183" s="84" t="s">
        <v>210</v>
      </c>
      <c r="BG183" s="53"/>
      <c r="BH183" s="53" t="s">
        <v>211</v>
      </c>
      <c r="BI183" s="53">
        <v>1</v>
      </c>
      <c r="BJ183" s="83">
        <v>46201</v>
      </c>
      <c r="BK183" s="53"/>
      <c r="BL183" s="53"/>
    </row>
    <row r="184" spans="3:64" ht="14.25" hidden="1" customHeight="1">
      <c r="C184" s="82" t="s">
        <v>13</v>
      </c>
      <c r="D184" s="82" t="s">
        <v>627</v>
      </c>
      <c r="E184" s="82" t="s">
        <v>519</v>
      </c>
      <c r="F184" s="82" t="s">
        <v>13</v>
      </c>
      <c r="G184" s="82">
        <v>2009</v>
      </c>
      <c r="H184" s="82" t="s">
        <v>147</v>
      </c>
      <c r="I184" s="82">
        <v>1</v>
      </c>
      <c r="J184" s="82">
        <v>65.3</v>
      </c>
      <c r="K184" s="82">
        <v>65.3</v>
      </c>
      <c r="L184" s="26">
        <f t="shared" si="17"/>
        <v>1</v>
      </c>
      <c r="M184" s="26">
        <f t="shared" si="18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>
        <v>1</v>
      </c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67" t="e">
        <f>SUMIFS([1]Up!$J:$J,[1]Up!$D:$D,D184)</f>
        <v>#VALUE!</v>
      </c>
      <c r="BB184" s="82"/>
      <c r="BC184" s="82" t="str">
        <f t="shared" si="19"/>
        <v>PL15</v>
      </c>
      <c r="BD184" s="53" t="str">
        <f t="shared" si="20"/>
        <v/>
      </c>
      <c r="BE184" s="53" t="s">
        <v>148</v>
      </c>
      <c r="BF184" s="84" t="s">
        <v>200</v>
      </c>
      <c r="BG184" s="53"/>
      <c r="BH184" s="53" t="s">
        <v>201</v>
      </c>
      <c r="BI184" s="53">
        <v>1</v>
      </c>
      <c r="BJ184" s="83">
        <v>46201</v>
      </c>
      <c r="BK184" s="53"/>
      <c r="BL184" s="53"/>
    </row>
    <row r="185" spans="3:64" ht="14.25" hidden="1" customHeight="1">
      <c r="C185" s="82" t="s">
        <v>13</v>
      </c>
      <c r="D185" s="82" t="s">
        <v>628</v>
      </c>
      <c r="E185" s="82" t="s">
        <v>525</v>
      </c>
      <c r="F185" s="82" t="s">
        <v>13</v>
      </c>
      <c r="G185" s="82">
        <v>1851</v>
      </c>
      <c r="H185" s="82" t="s">
        <v>147</v>
      </c>
      <c r="I185" s="82">
        <v>1</v>
      </c>
      <c r="J185" s="82">
        <v>54.4</v>
      </c>
      <c r="K185" s="82">
        <v>54.4</v>
      </c>
      <c r="L185" s="26">
        <f t="shared" si="17"/>
        <v>1</v>
      </c>
      <c r="M185" s="26">
        <f t="shared" si="18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>
        <v>1</v>
      </c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67" t="e">
        <f>SUMIFS([1]Up!$J:$J,[1]Up!$D:$D,D185)</f>
        <v>#VALUE!</v>
      </c>
      <c r="BB185" s="82"/>
      <c r="BC185" s="82" t="str">
        <f t="shared" si="19"/>
        <v>PL15</v>
      </c>
      <c r="BD185" s="53" t="str">
        <f t="shared" si="20"/>
        <v/>
      </c>
      <c r="BE185" s="53" t="s">
        <v>148</v>
      </c>
      <c r="BF185" s="84" t="s">
        <v>200</v>
      </c>
      <c r="BG185" s="53"/>
      <c r="BH185" s="53" t="s">
        <v>201</v>
      </c>
      <c r="BI185" s="53">
        <v>1</v>
      </c>
      <c r="BJ185" s="83">
        <v>46201</v>
      </c>
      <c r="BK185" s="53"/>
      <c r="BL185" s="53"/>
    </row>
    <row r="186" spans="3:64" ht="14.25" hidden="1" customHeight="1">
      <c r="C186" s="82" t="s">
        <v>13</v>
      </c>
      <c r="D186" s="82" t="s">
        <v>630</v>
      </c>
      <c r="E186" s="82" t="s">
        <v>631</v>
      </c>
      <c r="F186" s="82" t="s">
        <v>13</v>
      </c>
      <c r="G186" s="82">
        <v>6854</v>
      </c>
      <c r="H186" s="82" t="s">
        <v>147</v>
      </c>
      <c r="I186" s="82">
        <v>1</v>
      </c>
      <c r="J186" s="82">
        <v>1508.3</v>
      </c>
      <c r="K186" s="82">
        <v>1508.3</v>
      </c>
      <c r="L186" s="26">
        <f t="shared" si="17"/>
        <v>1</v>
      </c>
      <c r="M186" s="26">
        <f t="shared" si="18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>
        <v>3</v>
      </c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67" t="e">
        <f>SUMIFS([1]Up!$J:$J,[1]Up!$D:$D,D186)</f>
        <v>#VALUE!</v>
      </c>
      <c r="BB186" s="82" t="s">
        <v>2085</v>
      </c>
      <c r="BC186" s="82" t="e">
        <f t="shared" si="19"/>
        <v>#VALUE!</v>
      </c>
      <c r="BD186" s="53" t="str">
        <f t="shared" si="20"/>
        <v>Thừa 2</v>
      </c>
      <c r="BE186" s="53" t="s">
        <v>154</v>
      </c>
      <c r="BF186" s="53"/>
      <c r="BG186" s="53"/>
      <c r="BH186" s="53" t="s">
        <v>57</v>
      </c>
      <c r="BI186" s="53">
        <v>1</v>
      </c>
      <c r="BJ186" s="83"/>
      <c r="BK186" s="53"/>
      <c r="BL186" s="53"/>
    </row>
    <row r="187" spans="3:64" ht="14.25" hidden="1" customHeight="1">
      <c r="C187" s="82" t="s">
        <v>13</v>
      </c>
      <c r="D187" s="82" t="s">
        <v>633</v>
      </c>
      <c r="E187" s="82" t="s">
        <v>522</v>
      </c>
      <c r="F187" s="82" t="s">
        <v>13</v>
      </c>
      <c r="G187" s="82">
        <v>1377</v>
      </c>
      <c r="H187" s="82" t="s">
        <v>147</v>
      </c>
      <c r="I187" s="82">
        <v>1</v>
      </c>
      <c r="J187" s="82">
        <v>59.6</v>
      </c>
      <c r="K187" s="82">
        <v>59.6</v>
      </c>
      <c r="L187" s="26">
        <f t="shared" si="17"/>
        <v>1</v>
      </c>
      <c r="M187" s="26">
        <f t="shared" si="18"/>
        <v>0</v>
      </c>
      <c r="N187" s="26"/>
      <c r="O187" s="26"/>
      <c r="P187" s="26"/>
      <c r="Q187" s="26"/>
      <c r="R187" s="26">
        <v>1</v>
      </c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67" t="e">
        <f>SUMIFS([1]Up!$J:$J,[1]Up!$D:$D,D187)</f>
        <v>#VALUE!</v>
      </c>
      <c r="BB187" s="82"/>
      <c r="BC187" s="82" t="str">
        <f t="shared" si="19"/>
        <v>PL20</v>
      </c>
      <c r="BD187" s="53" t="str">
        <f t="shared" si="20"/>
        <v/>
      </c>
      <c r="BE187" s="53" t="s">
        <v>148</v>
      </c>
      <c r="BF187" s="84" t="s">
        <v>319</v>
      </c>
      <c r="BG187" s="53"/>
      <c r="BH187" s="53" t="s">
        <v>320</v>
      </c>
      <c r="BI187" s="53">
        <v>1</v>
      </c>
      <c r="BJ187" s="83">
        <v>46202</v>
      </c>
      <c r="BK187" s="53"/>
      <c r="BL187" s="53"/>
    </row>
    <row r="188" spans="3:64" ht="14.25" hidden="1" customHeight="1">
      <c r="C188" s="82" t="s">
        <v>13</v>
      </c>
      <c r="D188" s="82" t="s">
        <v>634</v>
      </c>
      <c r="E188" s="82" t="s">
        <v>519</v>
      </c>
      <c r="F188" s="82" t="s">
        <v>13</v>
      </c>
      <c r="G188" s="82">
        <v>2010</v>
      </c>
      <c r="H188" s="82" t="s">
        <v>147</v>
      </c>
      <c r="I188" s="82">
        <v>1</v>
      </c>
      <c r="J188" s="82">
        <v>65.3</v>
      </c>
      <c r="K188" s="82">
        <v>65.3</v>
      </c>
      <c r="L188" s="26">
        <f t="shared" si="17"/>
        <v>1</v>
      </c>
      <c r="M188" s="26">
        <f t="shared" si="18"/>
        <v>0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>
        <v>1</v>
      </c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67" t="e">
        <f>SUMIFS([1]Up!$J:$J,[1]Up!$D:$D,D188)</f>
        <v>#VALUE!</v>
      </c>
      <c r="BB188" s="82"/>
      <c r="BC188" s="82" t="str">
        <f t="shared" si="19"/>
        <v>PL15</v>
      </c>
      <c r="BD188" s="53" t="str">
        <f t="shared" si="20"/>
        <v/>
      </c>
      <c r="BE188" s="53" t="s">
        <v>148</v>
      </c>
      <c r="BF188" s="84" t="s">
        <v>200</v>
      </c>
      <c r="BG188" s="53"/>
      <c r="BH188" s="53" t="s">
        <v>201</v>
      </c>
      <c r="BI188" s="53">
        <v>1</v>
      </c>
      <c r="BJ188" s="83">
        <v>46201</v>
      </c>
      <c r="BK188" s="53"/>
      <c r="BL188" s="53"/>
    </row>
    <row r="189" spans="3:64" ht="14.25" hidden="1" customHeight="1">
      <c r="C189" s="82" t="s">
        <v>13</v>
      </c>
      <c r="D189" s="82" t="s">
        <v>636</v>
      </c>
      <c r="E189" s="82" t="s">
        <v>637</v>
      </c>
      <c r="F189" s="82" t="s">
        <v>13</v>
      </c>
      <c r="G189" s="82">
        <v>6173</v>
      </c>
      <c r="H189" s="82" t="s">
        <v>147</v>
      </c>
      <c r="I189" s="82">
        <v>1</v>
      </c>
      <c r="J189" s="82">
        <v>24.1</v>
      </c>
      <c r="K189" s="82">
        <v>24.1</v>
      </c>
      <c r="L189" s="26">
        <f t="shared" si="17"/>
        <v>1</v>
      </c>
      <c r="M189" s="26">
        <f t="shared" si="18"/>
        <v>0</v>
      </c>
      <c r="N189" s="26"/>
      <c r="O189" s="26"/>
      <c r="P189" s="26">
        <v>1</v>
      </c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67" t="e">
        <f>SUMIFS([1]Up!$J:$J,[1]Up!$D:$D,D189)</f>
        <v>#VALUE!</v>
      </c>
      <c r="BB189" s="82"/>
      <c r="BC189" s="82" t="str">
        <f t="shared" si="19"/>
        <v>PL10</v>
      </c>
      <c r="BD189" s="53" t="str">
        <f t="shared" si="20"/>
        <v/>
      </c>
      <c r="BE189" s="53" t="s">
        <v>148</v>
      </c>
      <c r="BF189" s="84" t="s">
        <v>210</v>
      </c>
      <c r="BG189" s="53"/>
      <c r="BH189" s="53" t="s">
        <v>211</v>
      </c>
      <c r="BI189" s="53">
        <v>1</v>
      </c>
      <c r="BJ189" s="83">
        <v>46201</v>
      </c>
      <c r="BK189" s="53"/>
      <c r="BL189" s="53"/>
    </row>
    <row r="190" spans="3:64" ht="14.25" hidden="1" customHeight="1">
      <c r="C190" s="82" t="s">
        <v>13</v>
      </c>
      <c r="D190" s="82" t="s">
        <v>638</v>
      </c>
      <c r="E190" s="82" t="s">
        <v>525</v>
      </c>
      <c r="F190" s="82" t="s">
        <v>13</v>
      </c>
      <c r="G190" s="82">
        <v>1849</v>
      </c>
      <c r="H190" s="82" t="s">
        <v>147</v>
      </c>
      <c r="I190" s="82">
        <v>1</v>
      </c>
      <c r="J190" s="82">
        <v>54.4</v>
      </c>
      <c r="K190" s="82">
        <v>54.4</v>
      </c>
      <c r="L190" s="26">
        <f t="shared" si="17"/>
        <v>1</v>
      </c>
      <c r="M190" s="26">
        <f t="shared" si="18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>
        <v>1</v>
      </c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67" t="e">
        <f>SUMIFS([1]Up!$J:$J,[1]Up!$D:$D,D190)</f>
        <v>#VALUE!</v>
      </c>
      <c r="BB190" s="82"/>
      <c r="BC190" s="82" t="str">
        <f t="shared" si="19"/>
        <v>PL15</v>
      </c>
      <c r="BD190" s="53" t="str">
        <f t="shared" si="20"/>
        <v/>
      </c>
      <c r="BE190" s="53" t="s">
        <v>148</v>
      </c>
      <c r="BF190" s="84" t="s">
        <v>200</v>
      </c>
      <c r="BG190" s="53"/>
      <c r="BH190" s="53" t="s">
        <v>201</v>
      </c>
      <c r="BI190" s="53">
        <v>1</v>
      </c>
      <c r="BJ190" s="83">
        <v>46201</v>
      </c>
      <c r="BK190" s="53"/>
      <c r="BL190" s="53"/>
    </row>
    <row r="191" spans="3:64" ht="14.25" hidden="1" customHeight="1">
      <c r="C191" s="82" t="s">
        <v>13</v>
      </c>
      <c r="D191" s="82" t="s">
        <v>640</v>
      </c>
      <c r="E191" s="82" t="s">
        <v>641</v>
      </c>
      <c r="F191" s="82" t="s">
        <v>13</v>
      </c>
      <c r="G191" s="82">
        <v>6802</v>
      </c>
      <c r="H191" s="82" t="s">
        <v>147</v>
      </c>
      <c r="I191" s="82">
        <v>1</v>
      </c>
      <c r="J191" s="82">
        <v>1443.1</v>
      </c>
      <c r="K191" s="82">
        <v>1443.1</v>
      </c>
      <c r="L191" s="26">
        <f t="shared" si="17"/>
        <v>1</v>
      </c>
      <c r="M191" s="26">
        <f t="shared" si="18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>
        <v>3</v>
      </c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67" t="e">
        <f>SUMIFS([1]Up!$J:$J,[1]Up!$D:$D,D191)</f>
        <v>#VALUE!</v>
      </c>
      <c r="BB191" s="82" t="s">
        <v>2077</v>
      </c>
      <c r="BC191" s="82" t="e">
        <f t="shared" si="19"/>
        <v>#VALUE!</v>
      </c>
      <c r="BD191" s="53" t="str">
        <f t="shared" si="20"/>
        <v>Thừa 2</v>
      </c>
      <c r="BE191" s="53" t="s">
        <v>154</v>
      </c>
      <c r="BF191" s="53"/>
      <c r="BG191" s="53"/>
      <c r="BH191" s="53" t="s">
        <v>57</v>
      </c>
      <c r="BI191" s="53">
        <v>1</v>
      </c>
      <c r="BJ191" s="83"/>
      <c r="BK191" s="53"/>
      <c r="BL191" s="53"/>
    </row>
    <row r="192" spans="3:64" ht="14.25" hidden="1" customHeight="1">
      <c r="C192" s="82" t="s">
        <v>13</v>
      </c>
      <c r="D192" s="82" t="s">
        <v>145</v>
      </c>
      <c r="E192" s="82" t="s">
        <v>146</v>
      </c>
      <c r="F192" s="82" t="s">
        <v>13</v>
      </c>
      <c r="G192" s="82">
        <v>7090</v>
      </c>
      <c r="H192" s="82" t="s">
        <v>147</v>
      </c>
      <c r="I192" s="82">
        <v>4</v>
      </c>
      <c r="J192" s="82">
        <v>27.8</v>
      </c>
      <c r="K192" s="82">
        <v>111.2</v>
      </c>
      <c r="L192" s="26">
        <f t="shared" si="17"/>
        <v>3</v>
      </c>
      <c r="M192" s="26">
        <f t="shared" si="18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>
        <f>1+2</f>
        <v>3</v>
      </c>
      <c r="AY192" s="26"/>
      <c r="AZ192" s="26"/>
      <c r="BA192" s="67" t="e">
        <f>SUMIFS([1]Up!$J:$J,[1]Up!$D:$D,D192)</f>
        <v>#VALUE!</v>
      </c>
      <c r="BB192" s="82"/>
      <c r="BC192" s="82" t="str">
        <f t="shared" si="19"/>
        <v>PL10</v>
      </c>
      <c r="BD192" s="53" t="str">
        <f t="shared" si="20"/>
        <v/>
      </c>
      <c r="BE192" s="53" t="s">
        <v>148</v>
      </c>
      <c r="BF192" s="53"/>
      <c r="BG192" s="53"/>
      <c r="BH192" s="53"/>
      <c r="BI192" s="53"/>
      <c r="BJ192" s="83"/>
      <c r="BK192" s="53"/>
      <c r="BL192" s="53"/>
    </row>
    <row r="193" spans="3:64" ht="14.25" hidden="1" customHeight="1">
      <c r="C193" s="82" t="s">
        <v>13</v>
      </c>
      <c r="D193" s="82" t="s">
        <v>152</v>
      </c>
      <c r="E193" s="82" t="s">
        <v>153</v>
      </c>
      <c r="F193" s="82" t="s">
        <v>13</v>
      </c>
      <c r="G193" s="82">
        <v>7090</v>
      </c>
      <c r="H193" s="82" t="s">
        <v>147</v>
      </c>
      <c r="I193" s="82">
        <v>4</v>
      </c>
      <c r="J193" s="82">
        <v>1396.5</v>
      </c>
      <c r="K193" s="82">
        <v>5586</v>
      </c>
      <c r="L193" s="26">
        <f t="shared" si="17"/>
        <v>4</v>
      </c>
      <c r="M193" s="26">
        <f t="shared" si="18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>
        <v>12</v>
      </c>
      <c r="AX193" s="26"/>
      <c r="AY193" s="26"/>
      <c r="AZ193" s="26"/>
      <c r="BA193" s="67" t="e">
        <f>SUMIFS([1]Up!$J:$J,[1]Up!$D:$D,D193)</f>
        <v>#VALUE!</v>
      </c>
      <c r="BB193" s="82" t="s">
        <v>2391</v>
      </c>
      <c r="BC193" s="82" t="e">
        <f t="shared" si="19"/>
        <v>#VALUE!</v>
      </c>
      <c r="BD193" s="53" t="str">
        <f t="shared" si="20"/>
        <v>Thừa 8</v>
      </c>
      <c r="BE193" s="53" t="s">
        <v>154</v>
      </c>
      <c r="BF193" s="53"/>
      <c r="BG193" s="53"/>
      <c r="BH193" s="53"/>
      <c r="BI193" s="53"/>
      <c r="BJ193" s="83"/>
      <c r="BK193" s="53"/>
      <c r="BL193" s="53"/>
    </row>
    <row r="194" spans="3:64" ht="14.25" hidden="1" customHeight="1">
      <c r="C194" s="82" t="s">
        <v>13</v>
      </c>
      <c r="D194" s="82" t="s">
        <v>156</v>
      </c>
      <c r="E194" s="82" t="s">
        <v>157</v>
      </c>
      <c r="F194" s="82" t="s">
        <v>13</v>
      </c>
      <c r="G194" s="82">
        <v>2647</v>
      </c>
      <c r="H194" s="82" t="s">
        <v>147</v>
      </c>
      <c r="I194" s="82">
        <v>8</v>
      </c>
      <c r="J194" s="82">
        <v>46.7</v>
      </c>
      <c r="K194" s="82">
        <v>373.6</v>
      </c>
      <c r="L194" s="26">
        <f t="shared" si="17"/>
        <v>0</v>
      </c>
      <c r="M194" s="26">
        <f t="shared" si="18"/>
        <v>8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67" t="e">
        <f>SUMIFS([1]Up!$J:$J,[1]Up!$D:$D,D194)</f>
        <v>#VALUE!</v>
      </c>
      <c r="BB194" s="82"/>
      <c r="BC194" s="82" t="str">
        <f t="shared" si="19"/>
        <v>PL15</v>
      </c>
      <c r="BD194" s="53" t="str">
        <f t="shared" si="20"/>
        <v/>
      </c>
      <c r="BE194" s="53" t="s">
        <v>148</v>
      </c>
      <c r="BF194" s="53"/>
      <c r="BG194" s="53"/>
      <c r="BH194" s="53"/>
      <c r="BI194" s="53"/>
      <c r="BJ194" s="83"/>
      <c r="BK194" s="53"/>
      <c r="BL194" s="53"/>
    </row>
    <row r="195" spans="3:64" ht="14.25" hidden="1" customHeight="1">
      <c r="C195" s="82" t="s">
        <v>13</v>
      </c>
      <c r="D195" s="82" t="s">
        <v>159</v>
      </c>
      <c r="E195" s="82" t="s">
        <v>160</v>
      </c>
      <c r="F195" s="82" t="s">
        <v>13</v>
      </c>
      <c r="G195" s="82">
        <v>2633</v>
      </c>
      <c r="H195" s="82" t="s">
        <v>147</v>
      </c>
      <c r="I195" s="82">
        <v>4</v>
      </c>
      <c r="J195" s="82">
        <v>52</v>
      </c>
      <c r="K195" s="82">
        <v>208</v>
      </c>
      <c r="L195" s="26">
        <f t="shared" si="17"/>
        <v>0</v>
      </c>
      <c r="M195" s="26">
        <f t="shared" si="18"/>
        <v>4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67" t="e">
        <f>SUMIFS([1]Up!$J:$J,[1]Up!$D:$D,D195)</f>
        <v>#VALUE!</v>
      </c>
      <c r="BB195" s="82"/>
      <c r="BC195" s="82" t="str">
        <f t="shared" si="19"/>
        <v>PL15</v>
      </c>
      <c r="BD195" s="53" t="str">
        <f t="shared" si="20"/>
        <v/>
      </c>
      <c r="BE195" s="53" t="s">
        <v>148</v>
      </c>
      <c r="BF195" s="53"/>
      <c r="BG195" s="53"/>
      <c r="BH195" s="53"/>
      <c r="BI195" s="53"/>
      <c r="BJ195" s="83"/>
      <c r="BK195" s="53"/>
      <c r="BL195" s="53"/>
    </row>
    <row r="196" spans="3:64" ht="14.25" hidden="1" customHeight="1">
      <c r="C196" s="82" t="s">
        <v>13</v>
      </c>
      <c r="D196" s="82" t="s">
        <v>163</v>
      </c>
      <c r="E196" s="82" t="s">
        <v>160</v>
      </c>
      <c r="F196" s="82" t="s">
        <v>13</v>
      </c>
      <c r="G196" s="82">
        <v>2925</v>
      </c>
      <c r="H196" s="82" t="s">
        <v>147</v>
      </c>
      <c r="I196" s="82">
        <v>1</v>
      </c>
      <c r="J196" s="82">
        <v>57.8</v>
      </c>
      <c r="K196" s="82">
        <v>57.8</v>
      </c>
      <c r="L196" s="26">
        <f t="shared" si="17"/>
        <v>0</v>
      </c>
      <c r="M196" s="26">
        <f t="shared" si="18"/>
        <v>1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67" t="e">
        <f>SUMIFS([1]Up!$J:$J,[1]Up!$D:$D,D196)</f>
        <v>#VALUE!</v>
      </c>
      <c r="BB196" s="82"/>
      <c r="BC196" s="82" t="str">
        <f t="shared" si="19"/>
        <v>PL15</v>
      </c>
      <c r="BD196" s="53" t="str">
        <f t="shared" si="20"/>
        <v/>
      </c>
      <c r="BE196" s="53" t="s">
        <v>148</v>
      </c>
      <c r="BF196" s="53"/>
      <c r="BG196" s="53"/>
      <c r="BH196" s="53"/>
      <c r="BI196" s="53"/>
      <c r="BJ196" s="83"/>
      <c r="BK196" s="53"/>
      <c r="BL196" s="53"/>
    </row>
    <row r="197" spans="3:64" ht="14.25" hidden="1" customHeight="1">
      <c r="C197" s="82" t="s">
        <v>13</v>
      </c>
      <c r="D197" s="82" t="s">
        <v>165</v>
      </c>
      <c r="E197" s="82" t="s">
        <v>166</v>
      </c>
      <c r="F197" s="82" t="s">
        <v>13</v>
      </c>
      <c r="G197" s="82">
        <v>6418</v>
      </c>
      <c r="H197" s="82" t="s">
        <v>147</v>
      </c>
      <c r="I197" s="82">
        <v>1</v>
      </c>
      <c r="J197" s="82">
        <v>1158.7</v>
      </c>
      <c r="K197" s="82">
        <v>1158.7</v>
      </c>
      <c r="L197" s="26">
        <f t="shared" si="17"/>
        <v>0</v>
      </c>
      <c r="M197" s="26">
        <f t="shared" si="18"/>
        <v>1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67" t="e">
        <f>SUMIFS([1]Up!$J:$J,[1]Up!$D:$D,D197)</f>
        <v>#VALUE!</v>
      </c>
      <c r="BB197" s="82"/>
      <c r="BC197" s="82" t="e">
        <f t="shared" si="19"/>
        <v>#VALUE!</v>
      </c>
      <c r="BD197" s="53" t="str">
        <f t="shared" si="20"/>
        <v/>
      </c>
      <c r="BE197" s="53" t="s">
        <v>148</v>
      </c>
      <c r="BF197" s="53"/>
      <c r="BG197" s="53"/>
      <c r="BH197" s="53"/>
      <c r="BI197" s="53"/>
      <c r="BJ197" s="83"/>
      <c r="BK197" s="53"/>
      <c r="BL197" s="53"/>
    </row>
    <row r="198" spans="3:64" ht="14.25" hidden="1" customHeight="1">
      <c r="C198" s="82" t="s">
        <v>13</v>
      </c>
      <c r="D198" s="82" t="s">
        <v>168</v>
      </c>
      <c r="E198" s="82" t="s">
        <v>146</v>
      </c>
      <c r="F198" s="82" t="s">
        <v>13</v>
      </c>
      <c r="G198" s="82">
        <v>4042</v>
      </c>
      <c r="H198" s="82" t="s">
        <v>147</v>
      </c>
      <c r="I198" s="82">
        <v>1</v>
      </c>
      <c r="J198" s="82">
        <v>15.9</v>
      </c>
      <c r="K198" s="82">
        <v>15.9</v>
      </c>
      <c r="L198" s="26">
        <f t="shared" si="17"/>
        <v>0</v>
      </c>
      <c r="M198" s="26">
        <f t="shared" si="18"/>
        <v>1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67" t="e">
        <f>SUMIFS([1]Up!$J:$J,[1]Up!$D:$D,D198)</f>
        <v>#VALUE!</v>
      </c>
      <c r="BB198" s="82"/>
      <c r="BC198" s="82" t="str">
        <f t="shared" si="19"/>
        <v>PL10</v>
      </c>
      <c r="BD198" s="53" t="str">
        <f t="shared" si="20"/>
        <v/>
      </c>
      <c r="BE198" s="53" t="s">
        <v>148</v>
      </c>
      <c r="BF198" s="53"/>
      <c r="BG198" s="53"/>
      <c r="BH198" s="53"/>
      <c r="BI198" s="53"/>
      <c r="BJ198" s="83"/>
      <c r="BK198" s="53"/>
      <c r="BL198" s="53"/>
    </row>
    <row r="199" spans="3:64" ht="14.25" hidden="1" customHeight="1">
      <c r="C199" s="82" t="s">
        <v>13</v>
      </c>
      <c r="D199" s="82" t="s">
        <v>170</v>
      </c>
      <c r="E199" s="82" t="s">
        <v>146</v>
      </c>
      <c r="F199" s="82" t="s">
        <v>13</v>
      </c>
      <c r="G199" s="82">
        <v>2051</v>
      </c>
      <c r="H199" s="82" t="s">
        <v>147</v>
      </c>
      <c r="I199" s="82">
        <v>1</v>
      </c>
      <c r="J199" s="82">
        <v>8.1</v>
      </c>
      <c r="K199" s="82">
        <v>8.1</v>
      </c>
      <c r="L199" s="26">
        <f t="shared" si="17"/>
        <v>0</v>
      </c>
      <c r="M199" s="26">
        <f t="shared" si="18"/>
        <v>1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67" t="e">
        <f>SUMIFS([1]Up!$J:$J,[1]Up!$D:$D,D199)</f>
        <v>#VALUE!</v>
      </c>
      <c r="BB199" s="82"/>
      <c r="BC199" s="82" t="str">
        <f t="shared" si="19"/>
        <v>PL10</v>
      </c>
      <c r="BD199" s="53" t="str">
        <f t="shared" si="20"/>
        <v/>
      </c>
      <c r="BE199" s="53" t="s">
        <v>148</v>
      </c>
      <c r="BF199" s="53"/>
      <c r="BG199" s="53"/>
      <c r="BH199" s="53"/>
      <c r="BI199" s="53"/>
      <c r="BJ199" s="83"/>
      <c r="BK199" s="53"/>
      <c r="BL199" s="53"/>
    </row>
    <row r="200" spans="3:64" ht="14.25" hidden="1" customHeight="1">
      <c r="C200" s="82" t="s">
        <v>13</v>
      </c>
      <c r="D200" s="82" t="s">
        <v>172</v>
      </c>
      <c r="E200" s="82" t="s">
        <v>173</v>
      </c>
      <c r="F200" s="82" t="s">
        <v>13</v>
      </c>
      <c r="G200" s="82">
        <v>2921</v>
      </c>
      <c r="H200" s="82" t="s">
        <v>147</v>
      </c>
      <c r="I200" s="82">
        <v>1</v>
      </c>
      <c r="J200" s="82">
        <v>54.9</v>
      </c>
      <c r="K200" s="82">
        <v>54.9</v>
      </c>
      <c r="L200" s="26">
        <f t="shared" si="17"/>
        <v>0</v>
      </c>
      <c r="M200" s="26">
        <f t="shared" si="18"/>
        <v>1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67" t="e">
        <f>SUMIFS([1]Up!$J:$J,[1]Up!$D:$D,D200)</f>
        <v>#VALUE!</v>
      </c>
      <c r="BB200" s="82"/>
      <c r="BC200" s="82" t="str">
        <f t="shared" si="19"/>
        <v>PL12</v>
      </c>
      <c r="BD200" s="53" t="str">
        <f t="shared" si="20"/>
        <v/>
      </c>
      <c r="BE200" s="53" t="s">
        <v>148</v>
      </c>
      <c r="BF200" s="53"/>
      <c r="BG200" s="53"/>
      <c r="BH200" s="53"/>
      <c r="BI200" s="53"/>
      <c r="BJ200" s="83"/>
      <c r="BK200" s="53"/>
      <c r="BL200" s="53"/>
    </row>
    <row r="201" spans="3:64" ht="14.25" hidden="1" customHeight="1">
      <c r="C201" s="82" t="s">
        <v>13</v>
      </c>
      <c r="D201" s="82" t="s">
        <v>175</v>
      </c>
      <c r="E201" s="82" t="s">
        <v>173</v>
      </c>
      <c r="F201" s="82" t="s">
        <v>13</v>
      </c>
      <c r="G201" s="82">
        <v>2531</v>
      </c>
      <c r="H201" s="82" t="s">
        <v>147</v>
      </c>
      <c r="I201" s="82">
        <v>1</v>
      </c>
      <c r="J201" s="82">
        <v>47.6</v>
      </c>
      <c r="K201" s="82">
        <v>47.6</v>
      </c>
      <c r="L201" s="26">
        <f t="shared" si="17"/>
        <v>0</v>
      </c>
      <c r="M201" s="26">
        <f t="shared" si="18"/>
        <v>1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67" t="e">
        <f>SUMIFS([1]Up!$J:$J,[1]Up!$D:$D,D201)</f>
        <v>#VALUE!</v>
      </c>
      <c r="BB201" s="82"/>
      <c r="BC201" s="82" t="str">
        <f t="shared" si="19"/>
        <v>PL12</v>
      </c>
      <c r="BD201" s="53" t="str">
        <f t="shared" si="20"/>
        <v/>
      </c>
      <c r="BE201" s="53" t="s">
        <v>148</v>
      </c>
      <c r="BF201" s="53"/>
      <c r="BG201" s="53"/>
      <c r="BH201" s="53"/>
      <c r="BI201" s="53"/>
      <c r="BJ201" s="83"/>
      <c r="BK201" s="53"/>
      <c r="BL201" s="53"/>
    </row>
    <row r="202" spans="3:64" ht="14.25" hidden="1" customHeight="1">
      <c r="C202" s="82" t="s">
        <v>13</v>
      </c>
      <c r="D202" s="82" t="s">
        <v>177</v>
      </c>
      <c r="E202" s="82" t="s">
        <v>178</v>
      </c>
      <c r="F202" s="82" t="s">
        <v>13</v>
      </c>
      <c r="G202" s="82">
        <v>973</v>
      </c>
      <c r="H202" s="82" t="s">
        <v>147</v>
      </c>
      <c r="I202" s="82">
        <v>1</v>
      </c>
      <c r="J202" s="82">
        <v>30.5</v>
      </c>
      <c r="K202" s="82">
        <v>30.5</v>
      </c>
      <c r="L202" s="26">
        <f t="shared" si="17"/>
        <v>1</v>
      </c>
      <c r="M202" s="26">
        <f t="shared" si="18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>
        <v>1</v>
      </c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67" t="e">
        <f>SUMIFS([1]Up!$J:$J,[1]Up!$D:$D,D202)</f>
        <v>#VALUE!</v>
      </c>
      <c r="BB202" s="82"/>
      <c r="BC202" s="82" t="str">
        <f t="shared" si="19"/>
        <v>PL20</v>
      </c>
      <c r="BD202" s="53" t="str">
        <f t="shared" si="20"/>
        <v/>
      </c>
      <c r="BE202" s="53" t="s">
        <v>148</v>
      </c>
      <c r="BF202" s="53"/>
      <c r="BG202" s="53"/>
      <c r="BH202" s="53"/>
      <c r="BI202" s="53"/>
      <c r="BJ202" s="83"/>
      <c r="BK202" s="53"/>
      <c r="BL202" s="53"/>
    </row>
    <row r="203" spans="3:64" ht="14.25" hidden="1" customHeight="1">
      <c r="C203" s="82" t="s">
        <v>13</v>
      </c>
      <c r="D203" s="82" t="s">
        <v>180</v>
      </c>
      <c r="E203" s="82" t="s">
        <v>178</v>
      </c>
      <c r="F203" s="82" t="s">
        <v>13</v>
      </c>
      <c r="G203" s="82">
        <v>1051</v>
      </c>
      <c r="H203" s="82" t="s">
        <v>147</v>
      </c>
      <c r="I203" s="82">
        <v>1</v>
      </c>
      <c r="J203" s="82">
        <v>32.9</v>
      </c>
      <c r="K203" s="82">
        <v>32.9</v>
      </c>
      <c r="L203" s="26">
        <f t="shared" si="17"/>
        <v>0</v>
      </c>
      <c r="M203" s="26">
        <f t="shared" si="18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67" t="e">
        <f>SUMIFS([1]Up!$J:$J,[1]Up!$D:$D,D203)</f>
        <v>#VALUE!</v>
      </c>
      <c r="BB203" s="82"/>
      <c r="BC203" s="82" t="str">
        <f t="shared" si="19"/>
        <v>PL20</v>
      </c>
      <c r="BD203" s="53" t="str">
        <f t="shared" si="20"/>
        <v/>
      </c>
      <c r="BE203" s="53" t="s">
        <v>148</v>
      </c>
      <c r="BF203" s="53"/>
      <c r="BG203" s="53"/>
      <c r="BH203" s="53"/>
      <c r="BI203" s="53"/>
      <c r="BJ203" s="83"/>
      <c r="BK203" s="53"/>
      <c r="BL203" s="53"/>
    </row>
    <row r="204" spans="3:64" ht="14.25" hidden="1" customHeight="1">
      <c r="C204" s="82" t="s">
        <v>13</v>
      </c>
      <c r="D204" s="82" t="s">
        <v>182</v>
      </c>
      <c r="E204" s="82" t="s">
        <v>160</v>
      </c>
      <c r="F204" s="82" t="s">
        <v>13</v>
      </c>
      <c r="G204" s="82">
        <v>2925</v>
      </c>
      <c r="H204" s="82" t="s">
        <v>147</v>
      </c>
      <c r="I204" s="82">
        <v>1</v>
      </c>
      <c r="J204" s="82">
        <v>57.8</v>
      </c>
      <c r="K204" s="82">
        <v>57.8</v>
      </c>
      <c r="L204" s="26">
        <f t="shared" si="17"/>
        <v>0</v>
      </c>
      <c r="M204" s="26">
        <f t="shared" si="18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67" t="e">
        <f>SUMIFS([1]Up!$J:$J,[1]Up!$D:$D,D204)</f>
        <v>#VALUE!</v>
      </c>
      <c r="BB204" s="82"/>
      <c r="BC204" s="82" t="str">
        <f t="shared" si="19"/>
        <v>PL15</v>
      </c>
      <c r="BD204" s="53" t="str">
        <f t="shared" si="20"/>
        <v/>
      </c>
      <c r="BE204" s="53" t="s">
        <v>148</v>
      </c>
      <c r="BF204" s="53"/>
      <c r="BG204" s="53"/>
      <c r="BH204" s="53"/>
      <c r="BI204" s="53"/>
      <c r="BJ204" s="83"/>
      <c r="BK204" s="53"/>
      <c r="BL204" s="53"/>
    </row>
    <row r="205" spans="3:64" ht="14.25" hidden="1" customHeight="1">
      <c r="C205" s="82" t="s">
        <v>13</v>
      </c>
      <c r="D205" s="82" t="s">
        <v>183</v>
      </c>
      <c r="E205" s="82" t="s">
        <v>146</v>
      </c>
      <c r="F205" s="82" t="s">
        <v>13</v>
      </c>
      <c r="G205" s="82">
        <v>4042</v>
      </c>
      <c r="H205" s="82" t="s">
        <v>147</v>
      </c>
      <c r="I205" s="82">
        <v>1</v>
      </c>
      <c r="J205" s="82">
        <v>15.9</v>
      </c>
      <c r="K205" s="82">
        <v>15.9</v>
      </c>
      <c r="L205" s="26">
        <f t="shared" si="17"/>
        <v>0</v>
      </c>
      <c r="M205" s="26">
        <f t="shared" si="18"/>
        <v>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67" t="e">
        <f>SUMIFS([1]Up!$J:$J,[1]Up!$D:$D,D205)</f>
        <v>#VALUE!</v>
      </c>
      <c r="BB205" s="82"/>
      <c r="BC205" s="82" t="str">
        <f t="shared" si="19"/>
        <v>PL10</v>
      </c>
      <c r="BD205" s="53" t="str">
        <f t="shared" si="20"/>
        <v/>
      </c>
      <c r="BE205" s="53" t="s">
        <v>148</v>
      </c>
      <c r="BF205" s="53"/>
      <c r="BG205" s="53"/>
      <c r="BH205" s="53"/>
      <c r="BI205" s="53"/>
      <c r="BJ205" s="83"/>
      <c r="BK205" s="53"/>
      <c r="BL205" s="53"/>
    </row>
    <row r="206" spans="3:64" ht="14.25" hidden="1" customHeight="1">
      <c r="C206" s="82" t="s">
        <v>13</v>
      </c>
      <c r="D206" s="82" t="s">
        <v>184</v>
      </c>
      <c r="E206" s="82" t="s">
        <v>146</v>
      </c>
      <c r="F206" s="82" t="s">
        <v>13</v>
      </c>
      <c r="G206" s="82">
        <v>2051</v>
      </c>
      <c r="H206" s="82" t="s">
        <v>147</v>
      </c>
      <c r="I206" s="82">
        <v>1</v>
      </c>
      <c r="J206" s="82">
        <v>8.1</v>
      </c>
      <c r="K206" s="82">
        <v>8.1</v>
      </c>
      <c r="L206" s="26">
        <f t="shared" si="17"/>
        <v>0</v>
      </c>
      <c r="M206" s="26">
        <f t="shared" si="18"/>
        <v>1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67" t="e">
        <f>SUMIFS([1]Up!$J:$J,[1]Up!$D:$D,D206)</f>
        <v>#VALUE!</v>
      </c>
      <c r="BB206" s="82"/>
      <c r="BC206" s="82" t="str">
        <f t="shared" si="19"/>
        <v>PL10</v>
      </c>
      <c r="BD206" s="53" t="str">
        <f t="shared" si="20"/>
        <v/>
      </c>
      <c r="BE206" s="53" t="s">
        <v>148</v>
      </c>
      <c r="BF206" s="53"/>
      <c r="BG206" s="53"/>
      <c r="BH206" s="53"/>
      <c r="BI206" s="53"/>
      <c r="BJ206" s="83"/>
      <c r="BK206" s="53"/>
      <c r="BL206" s="53"/>
    </row>
    <row r="207" spans="3:64" ht="14.25" hidden="1" customHeight="1">
      <c r="C207" s="82" t="s">
        <v>13</v>
      </c>
      <c r="D207" s="82" t="s">
        <v>186</v>
      </c>
      <c r="E207" s="82" t="s">
        <v>146</v>
      </c>
      <c r="F207" s="82" t="s">
        <v>13</v>
      </c>
      <c r="G207" s="82">
        <v>6024</v>
      </c>
      <c r="H207" s="82" t="s">
        <v>147</v>
      </c>
      <c r="I207" s="82">
        <v>1</v>
      </c>
      <c r="J207" s="82">
        <v>22.6</v>
      </c>
      <c r="K207" s="82">
        <v>22.6</v>
      </c>
      <c r="L207" s="26">
        <f t="shared" si="17"/>
        <v>0</v>
      </c>
      <c r="M207" s="26">
        <f t="shared" si="18"/>
        <v>1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67" t="e">
        <f>SUMIFS([1]Up!$J:$J,[1]Up!$D:$D,D207)</f>
        <v>#VALUE!</v>
      </c>
      <c r="BB207" s="82"/>
      <c r="BC207" s="82" t="str">
        <f t="shared" si="19"/>
        <v>PL10</v>
      </c>
      <c r="BD207" s="53" t="str">
        <f t="shared" si="20"/>
        <v/>
      </c>
      <c r="BE207" s="53" t="s">
        <v>148</v>
      </c>
      <c r="BF207" s="53"/>
      <c r="BG207" s="53"/>
      <c r="BH207" s="53"/>
      <c r="BI207" s="53"/>
      <c r="BJ207" s="83"/>
      <c r="BK207" s="53"/>
      <c r="BL207" s="53"/>
    </row>
    <row r="208" spans="3:64" ht="14.25" hidden="1" customHeight="1">
      <c r="C208" s="82" t="s">
        <v>13</v>
      </c>
      <c r="D208" s="82" t="s">
        <v>188</v>
      </c>
      <c r="E208" s="82" t="s">
        <v>166</v>
      </c>
      <c r="F208" s="82" t="s">
        <v>13</v>
      </c>
      <c r="G208" s="82">
        <v>6418</v>
      </c>
      <c r="H208" s="82" t="s">
        <v>147</v>
      </c>
      <c r="I208" s="82">
        <v>1</v>
      </c>
      <c r="J208" s="82">
        <v>1158.7</v>
      </c>
      <c r="K208" s="82">
        <v>1158.7</v>
      </c>
      <c r="L208" s="26">
        <f t="shared" si="17"/>
        <v>0</v>
      </c>
      <c r="M208" s="26">
        <f t="shared" si="18"/>
        <v>1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67" t="e">
        <f>SUMIFS([1]Up!$J:$J,[1]Up!$D:$D,D208)</f>
        <v>#VALUE!</v>
      </c>
      <c r="BB208" s="82"/>
      <c r="BC208" s="82" t="e">
        <f t="shared" si="19"/>
        <v>#VALUE!</v>
      </c>
      <c r="BD208" s="53" t="str">
        <f t="shared" si="20"/>
        <v/>
      </c>
      <c r="BE208" s="53" t="s">
        <v>148</v>
      </c>
      <c r="BF208" s="53"/>
      <c r="BG208" s="53"/>
      <c r="BH208" s="53"/>
      <c r="BI208" s="53"/>
      <c r="BJ208" s="83"/>
      <c r="BK208" s="53"/>
      <c r="BL208" s="53"/>
    </row>
    <row r="209" spans="3:64" ht="14.25" hidden="1" customHeight="1">
      <c r="C209" s="82" t="s">
        <v>13</v>
      </c>
      <c r="D209" s="82" t="s">
        <v>190</v>
      </c>
      <c r="E209" s="82" t="s">
        <v>173</v>
      </c>
      <c r="F209" s="82" t="s">
        <v>13</v>
      </c>
      <c r="G209" s="82">
        <v>2541</v>
      </c>
      <c r="H209" s="82" t="s">
        <v>147</v>
      </c>
      <c r="I209" s="82">
        <v>1</v>
      </c>
      <c r="J209" s="82">
        <v>47.8</v>
      </c>
      <c r="K209" s="82">
        <v>47.8</v>
      </c>
      <c r="L209" s="26">
        <f t="shared" si="17"/>
        <v>0</v>
      </c>
      <c r="M209" s="26">
        <f t="shared" si="18"/>
        <v>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67" t="e">
        <f>SUMIFS([1]Up!$J:$J,[1]Up!$D:$D,D209)</f>
        <v>#VALUE!</v>
      </c>
      <c r="BB209" s="82"/>
      <c r="BC209" s="82" t="str">
        <f t="shared" si="19"/>
        <v>PL12</v>
      </c>
      <c r="BD209" s="53" t="str">
        <f t="shared" si="20"/>
        <v/>
      </c>
      <c r="BE209" s="53" t="s">
        <v>148</v>
      </c>
      <c r="BF209" s="53"/>
      <c r="BG209" s="53"/>
      <c r="BH209" s="53"/>
      <c r="BI209" s="53"/>
      <c r="BJ209" s="83"/>
      <c r="BK209" s="53"/>
      <c r="BL209" s="53"/>
    </row>
    <row r="210" spans="3:64" ht="14.25" hidden="1" customHeight="1">
      <c r="C210" s="82" t="s">
        <v>13</v>
      </c>
      <c r="D210" s="82" t="s">
        <v>191</v>
      </c>
      <c r="E210" s="82" t="s">
        <v>178</v>
      </c>
      <c r="F210" s="82" t="s">
        <v>13</v>
      </c>
      <c r="G210" s="82">
        <v>973</v>
      </c>
      <c r="H210" s="82" t="s">
        <v>147</v>
      </c>
      <c r="I210" s="82">
        <v>1</v>
      </c>
      <c r="J210" s="82">
        <v>30.5</v>
      </c>
      <c r="K210" s="82">
        <v>30.5</v>
      </c>
      <c r="L210" s="26">
        <f t="shared" si="17"/>
        <v>0</v>
      </c>
      <c r="M210" s="26">
        <f t="shared" si="18"/>
        <v>1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67" t="e">
        <f>SUMIFS([1]Up!$J:$J,[1]Up!$D:$D,D210)</f>
        <v>#VALUE!</v>
      </c>
      <c r="BB210" s="82"/>
      <c r="BC210" s="82" t="str">
        <f t="shared" si="19"/>
        <v>PL20</v>
      </c>
      <c r="BD210" s="53" t="str">
        <f t="shared" si="20"/>
        <v/>
      </c>
      <c r="BE210" s="53" t="s">
        <v>148</v>
      </c>
      <c r="BF210" s="53"/>
      <c r="BG210" s="53"/>
      <c r="BH210" s="53"/>
      <c r="BI210" s="53"/>
      <c r="BJ210" s="83"/>
      <c r="BK210" s="53"/>
      <c r="BL210" s="53"/>
    </row>
    <row r="211" spans="3:64" ht="14.25" hidden="1" customHeight="1">
      <c r="C211" s="82" t="s">
        <v>13</v>
      </c>
      <c r="D211" s="82" t="s">
        <v>192</v>
      </c>
      <c r="E211" s="82" t="s">
        <v>178</v>
      </c>
      <c r="F211" s="82" t="s">
        <v>13</v>
      </c>
      <c r="G211" s="82">
        <v>1051</v>
      </c>
      <c r="H211" s="82" t="s">
        <v>147</v>
      </c>
      <c r="I211" s="82">
        <v>1</v>
      </c>
      <c r="J211" s="82">
        <v>32.9</v>
      </c>
      <c r="K211" s="82">
        <v>32.9</v>
      </c>
      <c r="L211" s="26">
        <f t="shared" si="17"/>
        <v>0</v>
      </c>
      <c r="M211" s="26">
        <f t="shared" si="18"/>
        <v>1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67" t="e">
        <f>SUMIFS([1]Up!$J:$J,[1]Up!$D:$D,D211)</f>
        <v>#VALUE!</v>
      </c>
      <c r="BB211" s="82"/>
      <c r="BC211" s="82" t="str">
        <f t="shared" si="19"/>
        <v>PL20</v>
      </c>
      <c r="BD211" s="53" t="str">
        <f t="shared" si="20"/>
        <v/>
      </c>
      <c r="BE211" s="53" t="s">
        <v>148</v>
      </c>
      <c r="BF211" s="53"/>
      <c r="BG211" s="53"/>
      <c r="BH211" s="53"/>
      <c r="BI211" s="53"/>
      <c r="BJ211" s="83"/>
      <c r="BK211" s="53"/>
      <c r="BL211" s="53"/>
    </row>
    <row r="212" spans="3:64" ht="14.25" hidden="1" customHeight="1">
      <c r="C212" s="82" t="s">
        <v>13</v>
      </c>
      <c r="D212" s="82" t="s">
        <v>194</v>
      </c>
      <c r="E212" s="82" t="s">
        <v>173</v>
      </c>
      <c r="F212" s="82" t="s">
        <v>13</v>
      </c>
      <c r="G212" s="82">
        <v>2921</v>
      </c>
      <c r="H212" s="82" t="s">
        <v>147</v>
      </c>
      <c r="I212" s="82">
        <v>1</v>
      </c>
      <c r="J212" s="82">
        <v>54.9</v>
      </c>
      <c r="K212" s="82">
        <v>54.9</v>
      </c>
      <c r="L212" s="26">
        <f t="shared" si="17"/>
        <v>0</v>
      </c>
      <c r="M212" s="26">
        <f t="shared" si="18"/>
        <v>1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67" t="e">
        <f>SUMIFS([1]Up!$J:$J,[1]Up!$D:$D,D212)</f>
        <v>#VALUE!</v>
      </c>
      <c r="BB212" s="82"/>
      <c r="BC212" s="82" t="str">
        <f t="shared" si="19"/>
        <v>PL12</v>
      </c>
      <c r="BD212" s="53" t="str">
        <f t="shared" si="20"/>
        <v/>
      </c>
      <c r="BE212" s="53" t="s">
        <v>148</v>
      </c>
      <c r="BF212" s="53"/>
      <c r="BG212" s="53"/>
      <c r="BH212" s="53"/>
      <c r="BI212" s="53"/>
      <c r="BJ212" s="83"/>
      <c r="BK212" s="53"/>
      <c r="BL212" s="53"/>
    </row>
    <row r="213" spans="3:64" ht="14.25" hidden="1" customHeight="1">
      <c r="C213" s="82" t="s">
        <v>13</v>
      </c>
      <c r="D213" s="82" t="s">
        <v>370</v>
      </c>
      <c r="E213" s="82" t="s">
        <v>160</v>
      </c>
      <c r="F213" s="82" t="s">
        <v>13</v>
      </c>
      <c r="G213" s="82">
        <v>4680</v>
      </c>
      <c r="H213" s="82" t="s">
        <v>147</v>
      </c>
      <c r="I213" s="82">
        <v>1</v>
      </c>
      <c r="J213" s="82">
        <v>92.5</v>
      </c>
      <c r="K213" s="82">
        <v>92.5</v>
      </c>
      <c r="L213" s="26">
        <f t="shared" si="17"/>
        <v>0</v>
      </c>
      <c r="M213" s="26">
        <f t="shared" si="18"/>
        <v>1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67" t="e">
        <f>SUMIFS([1]Up!$J:$J,[1]Up!$D:$D,D213)</f>
        <v>#VALUE!</v>
      </c>
      <c r="BB213" s="82"/>
      <c r="BC213" s="82" t="str">
        <f t="shared" si="19"/>
        <v>PL15</v>
      </c>
      <c r="BD213" s="53" t="str">
        <f t="shared" si="20"/>
        <v/>
      </c>
      <c r="BE213" s="53" t="s">
        <v>148</v>
      </c>
      <c r="BF213" s="53"/>
      <c r="BG213" s="53"/>
      <c r="BH213" s="53"/>
      <c r="BI213" s="53"/>
      <c r="BJ213" s="83"/>
      <c r="BK213" s="53"/>
      <c r="BL213" s="53"/>
    </row>
    <row r="214" spans="3:64" ht="14.25" hidden="1" customHeight="1">
      <c r="C214" s="82" t="s">
        <v>13</v>
      </c>
      <c r="D214" s="82" t="s">
        <v>372</v>
      </c>
      <c r="E214" s="82" t="s">
        <v>373</v>
      </c>
      <c r="F214" s="82" t="s">
        <v>13</v>
      </c>
      <c r="G214" s="82">
        <v>4383</v>
      </c>
      <c r="H214" s="82" t="s">
        <v>147</v>
      </c>
      <c r="I214" s="82">
        <v>1</v>
      </c>
      <c r="J214" s="82">
        <v>955.7</v>
      </c>
      <c r="K214" s="82">
        <v>955.7</v>
      </c>
      <c r="L214" s="26">
        <f t="shared" si="17"/>
        <v>0</v>
      </c>
      <c r="M214" s="26">
        <f t="shared" si="18"/>
        <v>1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67" t="e">
        <f>SUMIFS([1]Up!$J:$J,[1]Up!$D:$D,D214)</f>
        <v>#VALUE!</v>
      </c>
      <c r="BB214" s="82"/>
      <c r="BC214" s="82" t="e">
        <f t="shared" si="19"/>
        <v>#VALUE!</v>
      </c>
      <c r="BD214" s="53" t="str">
        <f t="shared" si="20"/>
        <v/>
      </c>
      <c r="BE214" s="53" t="s">
        <v>148</v>
      </c>
      <c r="BF214" s="53"/>
      <c r="BG214" s="53"/>
      <c r="BH214" s="53"/>
      <c r="BI214" s="53"/>
      <c r="BJ214" s="83"/>
      <c r="BK214" s="53"/>
      <c r="BL214" s="53"/>
    </row>
    <row r="215" spans="3:64" ht="14.25" hidden="1" customHeight="1">
      <c r="C215" s="82" t="s">
        <v>13</v>
      </c>
      <c r="D215" s="82" t="s">
        <v>375</v>
      </c>
      <c r="E215" s="82" t="s">
        <v>376</v>
      </c>
      <c r="F215" s="82" t="s">
        <v>13</v>
      </c>
      <c r="G215" s="82">
        <v>3640</v>
      </c>
      <c r="H215" s="82" t="s">
        <v>147</v>
      </c>
      <c r="I215" s="82">
        <v>1</v>
      </c>
      <c r="J215" s="82">
        <v>1964.7</v>
      </c>
      <c r="K215" s="82">
        <v>1964.7</v>
      </c>
      <c r="L215" s="26">
        <f t="shared" si="17"/>
        <v>0</v>
      </c>
      <c r="M215" s="26">
        <f t="shared" si="18"/>
        <v>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67" t="e">
        <f>SUMIFS([1]Up!$J:$J,[1]Up!$D:$D,D215)</f>
        <v>#VALUE!</v>
      </c>
      <c r="BB215" s="82"/>
      <c r="BC215" s="82" t="e">
        <f t="shared" si="19"/>
        <v>#VALUE!</v>
      </c>
      <c r="BD215" s="53" t="str">
        <f t="shared" si="20"/>
        <v/>
      </c>
      <c r="BE215" s="53" t="s">
        <v>148</v>
      </c>
      <c r="BF215" s="53"/>
      <c r="BG215" s="53"/>
      <c r="BH215" s="53"/>
      <c r="BI215" s="53"/>
      <c r="BJ215" s="83"/>
      <c r="BK215" s="53"/>
      <c r="BL215" s="53"/>
    </row>
    <row r="216" spans="3:64" ht="14.25" hidden="1" customHeight="1">
      <c r="C216" s="82" t="s">
        <v>13</v>
      </c>
      <c r="D216" s="82" t="s">
        <v>378</v>
      </c>
      <c r="E216" s="82" t="s">
        <v>173</v>
      </c>
      <c r="F216" s="82" t="s">
        <v>13</v>
      </c>
      <c r="G216" s="82">
        <v>9174</v>
      </c>
      <c r="H216" s="82" t="s">
        <v>147</v>
      </c>
      <c r="I216" s="82">
        <v>1</v>
      </c>
      <c r="J216" s="82">
        <v>172.7</v>
      </c>
      <c r="K216" s="82">
        <v>172.7</v>
      </c>
      <c r="L216" s="26">
        <f t="shared" si="17"/>
        <v>0</v>
      </c>
      <c r="M216" s="26">
        <f t="shared" si="18"/>
        <v>1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67" t="e">
        <f>SUMIFS([1]Up!$J:$J,[1]Up!$D:$D,D216)</f>
        <v>#VALUE!</v>
      </c>
      <c r="BB216" s="82"/>
      <c r="BC216" s="82" t="str">
        <f t="shared" si="19"/>
        <v>PL12</v>
      </c>
      <c r="BD216" s="53" t="str">
        <f t="shared" si="20"/>
        <v/>
      </c>
      <c r="BE216" s="53" t="s">
        <v>148</v>
      </c>
      <c r="BF216" s="53"/>
      <c r="BG216" s="53"/>
      <c r="BH216" s="53"/>
      <c r="BI216" s="53"/>
      <c r="BJ216" s="83"/>
      <c r="BK216" s="53"/>
      <c r="BL216" s="53"/>
    </row>
    <row r="217" spans="3:64" ht="14.25" hidden="1" customHeight="1">
      <c r="C217" s="82" t="s">
        <v>13</v>
      </c>
      <c r="D217" s="82" t="s">
        <v>380</v>
      </c>
      <c r="E217" s="82" t="s">
        <v>381</v>
      </c>
      <c r="F217" s="82" t="s">
        <v>13</v>
      </c>
      <c r="G217" s="82">
        <v>3555</v>
      </c>
      <c r="H217" s="82" t="s">
        <v>147</v>
      </c>
      <c r="I217" s="82">
        <v>1</v>
      </c>
      <c r="J217" s="82">
        <v>139.9</v>
      </c>
      <c r="K217" s="82">
        <v>139.9</v>
      </c>
      <c r="L217" s="26">
        <f t="shared" si="17"/>
        <v>0</v>
      </c>
      <c r="M217" s="26">
        <f t="shared" si="18"/>
        <v>1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67" t="e">
        <f>SUMIFS([1]Up!$J:$J,[1]Up!$D:$D,D217)</f>
        <v>#VALUE!</v>
      </c>
      <c r="BB217" s="82"/>
      <c r="BC217" s="82" t="e">
        <f t="shared" si="19"/>
        <v>#VALUE!</v>
      </c>
      <c r="BD217" s="53" t="str">
        <f t="shared" si="20"/>
        <v/>
      </c>
      <c r="BE217" s="53" t="s">
        <v>148</v>
      </c>
      <c r="BF217" s="53"/>
      <c r="BG217" s="53"/>
      <c r="BH217" s="53"/>
      <c r="BI217" s="53"/>
      <c r="BJ217" s="83"/>
      <c r="BK217" s="53"/>
      <c r="BL217" s="53"/>
    </row>
    <row r="218" spans="3:64" ht="14.25" hidden="1" customHeight="1">
      <c r="C218" s="82" t="s">
        <v>13</v>
      </c>
      <c r="D218" s="82" t="s">
        <v>383</v>
      </c>
      <c r="E218" s="82" t="s">
        <v>303</v>
      </c>
      <c r="F218" s="82" t="s">
        <v>13</v>
      </c>
      <c r="G218" s="82">
        <v>365</v>
      </c>
      <c r="H218" s="82" t="s">
        <v>147</v>
      </c>
      <c r="I218" s="82">
        <v>2</v>
      </c>
      <c r="J218" s="82">
        <v>7.2</v>
      </c>
      <c r="K218" s="82">
        <v>14.4</v>
      </c>
      <c r="L218" s="26">
        <f t="shared" si="17"/>
        <v>0</v>
      </c>
      <c r="M218" s="26">
        <f t="shared" si="18"/>
        <v>2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67" t="e">
        <f>SUMIFS([1]Up!$J:$J,[1]Up!$D:$D,D218)</f>
        <v>#VALUE!</v>
      </c>
      <c r="BB218" s="82"/>
      <c r="BC218" s="82" t="str">
        <f t="shared" si="19"/>
        <v>PL12</v>
      </c>
      <c r="BD218" s="53" t="str">
        <f t="shared" si="20"/>
        <v/>
      </c>
      <c r="BE218" s="53" t="s">
        <v>148</v>
      </c>
      <c r="BF218" s="53"/>
      <c r="BG218" s="53"/>
      <c r="BH218" s="53"/>
      <c r="BI218" s="53"/>
      <c r="BJ218" s="83"/>
      <c r="BK218" s="53"/>
      <c r="BL218" s="53"/>
    </row>
    <row r="219" spans="3:64" ht="14.25" hidden="1" customHeight="1">
      <c r="C219" s="82" t="s">
        <v>13</v>
      </c>
      <c r="D219" s="82" t="s">
        <v>385</v>
      </c>
      <c r="E219" s="82" t="s">
        <v>173</v>
      </c>
      <c r="F219" s="82" t="s">
        <v>13</v>
      </c>
      <c r="G219" s="82">
        <v>3210</v>
      </c>
      <c r="H219" s="82" t="s">
        <v>147</v>
      </c>
      <c r="I219" s="82">
        <v>2</v>
      </c>
      <c r="J219" s="82">
        <v>60</v>
      </c>
      <c r="K219" s="82">
        <v>120</v>
      </c>
      <c r="L219" s="26">
        <f t="shared" si="17"/>
        <v>0</v>
      </c>
      <c r="M219" s="26">
        <f t="shared" si="18"/>
        <v>2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67" t="e">
        <f>SUMIFS([1]Up!$J:$J,[1]Up!$D:$D,D219)</f>
        <v>#VALUE!</v>
      </c>
      <c r="BB219" s="82"/>
      <c r="BC219" s="82" t="str">
        <f t="shared" si="19"/>
        <v>PL12</v>
      </c>
      <c r="BD219" s="53" t="str">
        <f t="shared" si="20"/>
        <v/>
      </c>
      <c r="BE219" s="53" t="s">
        <v>148</v>
      </c>
      <c r="BF219" s="53"/>
      <c r="BG219" s="53"/>
      <c r="BH219" s="53"/>
      <c r="BI219" s="53"/>
      <c r="BJ219" s="83"/>
      <c r="BK219" s="53"/>
      <c r="BL219" s="53"/>
    </row>
    <row r="220" spans="3:64" ht="14.25" hidden="1" customHeight="1">
      <c r="C220" s="82" t="s">
        <v>13</v>
      </c>
      <c r="D220" s="82" t="s">
        <v>387</v>
      </c>
      <c r="E220" s="82" t="s">
        <v>173</v>
      </c>
      <c r="F220" s="82" t="s">
        <v>13</v>
      </c>
      <c r="G220" s="82">
        <v>1726</v>
      </c>
      <c r="H220" s="82" t="s">
        <v>147</v>
      </c>
      <c r="I220" s="82">
        <v>2</v>
      </c>
      <c r="J220" s="82">
        <v>32</v>
      </c>
      <c r="K220" s="82">
        <v>64</v>
      </c>
      <c r="L220" s="26">
        <f t="shared" si="17"/>
        <v>0</v>
      </c>
      <c r="M220" s="26">
        <f t="shared" si="18"/>
        <v>2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67" t="e">
        <f>SUMIFS([1]Up!$J:$J,[1]Up!$D:$D,D220)</f>
        <v>#VALUE!</v>
      </c>
      <c r="BB220" s="82"/>
      <c r="BC220" s="82" t="str">
        <f t="shared" si="19"/>
        <v>PL12</v>
      </c>
      <c r="BD220" s="53" t="str">
        <f t="shared" si="20"/>
        <v/>
      </c>
      <c r="BE220" s="53" t="s">
        <v>148</v>
      </c>
      <c r="BF220" s="53"/>
      <c r="BG220" s="53"/>
      <c r="BH220" s="53"/>
      <c r="BI220" s="53"/>
      <c r="BJ220" s="83"/>
      <c r="BK220" s="53"/>
      <c r="BL220" s="53"/>
    </row>
    <row r="221" spans="3:64" ht="14.25" hidden="1" customHeight="1">
      <c r="C221" s="82" t="s">
        <v>13</v>
      </c>
      <c r="D221" s="82" t="s">
        <v>389</v>
      </c>
      <c r="E221" s="82" t="s">
        <v>173</v>
      </c>
      <c r="F221" s="82" t="s">
        <v>13</v>
      </c>
      <c r="G221" s="82">
        <v>3228</v>
      </c>
      <c r="H221" s="82" t="s">
        <v>147</v>
      </c>
      <c r="I221" s="82">
        <v>1</v>
      </c>
      <c r="J221" s="82">
        <v>60.7</v>
      </c>
      <c r="K221" s="82">
        <v>60.7</v>
      </c>
      <c r="L221" s="26">
        <f t="shared" si="17"/>
        <v>0</v>
      </c>
      <c r="M221" s="26">
        <f t="shared" si="18"/>
        <v>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67" t="e">
        <f>SUMIFS([1]Up!$J:$J,[1]Up!$D:$D,D221)</f>
        <v>#VALUE!</v>
      </c>
      <c r="BB221" s="82"/>
      <c r="BC221" s="82" t="str">
        <f t="shared" si="19"/>
        <v>PL12</v>
      </c>
      <c r="BD221" s="53" t="str">
        <f t="shared" si="20"/>
        <v/>
      </c>
      <c r="BE221" s="53" t="s">
        <v>148</v>
      </c>
      <c r="BF221" s="53"/>
      <c r="BG221" s="53"/>
      <c r="BH221" s="53"/>
      <c r="BI221" s="53"/>
      <c r="BJ221" s="83"/>
      <c r="BK221" s="53"/>
      <c r="BL221" s="53"/>
    </row>
    <row r="222" spans="3:64" ht="14.25" hidden="1" customHeight="1">
      <c r="C222" s="82" t="s">
        <v>13</v>
      </c>
      <c r="D222" s="82" t="s">
        <v>391</v>
      </c>
      <c r="E222" s="82" t="s">
        <v>178</v>
      </c>
      <c r="F222" s="82" t="s">
        <v>13</v>
      </c>
      <c r="G222" s="82">
        <v>3027</v>
      </c>
      <c r="H222" s="82" t="s">
        <v>147</v>
      </c>
      <c r="I222" s="82">
        <v>1</v>
      </c>
      <c r="J222" s="82">
        <v>94.8</v>
      </c>
      <c r="K222" s="82">
        <v>94.8</v>
      </c>
      <c r="L222" s="26">
        <f t="shared" si="17"/>
        <v>0</v>
      </c>
      <c r="M222" s="26">
        <f t="shared" si="18"/>
        <v>1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67" t="e">
        <f>SUMIFS([1]Up!$J:$J,[1]Up!$D:$D,D222)</f>
        <v>#VALUE!</v>
      </c>
      <c r="BB222" s="82"/>
      <c r="BC222" s="82" t="str">
        <f t="shared" si="19"/>
        <v>PL20</v>
      </c>
      <c r="BD222" s="53" t="str">
        <f t="shared" si="20"/>
        <v/>
      </c>
      <c r="BE222" s="53" t="s">
        <v>148</v>
      </c>
      <c r="BF222" s="53"/>
      <c r="BG222" s="53"/>
      <c r="BH222" s="53"/>
      <c r="BI222" s="53"/>
      <c r="BJ222" s="83"/>
      <c r="BK222" s="53"/>
      <c r="BL222" s="53"/>
    </row>
    <row r="223" spans="3:64" ht="14.25" hidden="1" customHeight="1">
      <c r="C223" s="82" t="s">
        <v>13</v>
      </c>
      <c r="D223" s="82" t="s">
        <v>393</v>
      </c>
      <c r="E223" s="82" t="s">
        <v>178</v>
      </c>
      <c r="F223" s="82" t="s">
        <v>13</v>
      </c>
      <c r="G223" s="82">
        <v>3130</v>
      </c>
      <c r="H223" s="82" t="s">
        <v>147</v>
      </c>
      <c r="I223" s="82">
        <v>1</v>
      </c>
      <c r="J223" s="82">
        <v>98.1</v>
      </c>
      <c r="K223" s="82">
        <v>98.1</v>
      </c>
      <c r="L223" s="26">
        <f t="shared" si="17"/>
        <v>0</v>
      </c>
      <c r="M223" s="26">
        <f t="shared" si="18"/>
        <v>1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67" t="e">
        <f>SUMIFS([1]Up!$J:$J,[1]Up!$D:$D,D223)</f>
        <v>#VALUE!</v>
      </c>
      <c r="BB223" s="82"/>
      <c r="BC223" s="82" t="str">
        <f t="shared" si="19"/>
        <v>PL20</v>
      </c>
      <c r="BD223" s="53" t="str">
        <f t="shared" si="20"/>
        <v/>
      </c>
      <c r="BE223" s="53" t="s">
        <v>148</v>
      </c>
      <c r="BF223" s="53"/>
      <c r="BG223" s="53"/>
      <c r="BH223" s="53"/>
      <c r="BI223" s="53"/>
      <c r="BJ223" s="83"/>
      <c r="BK223" s="53"/>
      <c r="BL223" s="53"/>
    </row>
    <row r="224" spans="3:64" ht="14.25" hidden="1" customHeight="1">
      <c r="C224" s="82" t="s">
        <v>13</v>
      </c>
      <c r="D224" s="82" t="s">
        <v>395</v>
      </c>
      <c r="E224" s="82" t="s">
        <v>396</v>
      </c>
      <c r="F224" s="82" t="s">
        <v>13</v>
      </c>
      <c r="G224" s="82">
        <v>1359</v>
      </c>
      <c r="H224" s="82" t="s">
        <v>147</v>
      </c>
      <c r="I224" s="82">
        <v>1</v>
      </c>
      <c r="J224" s="82">
        <v>46.4</v>
      </c>
      <c r="K224" s="82">
        <v>46.4</v>
      </c>
      <c r="L224" s="26">
        <f t="shared" si="17"/>
        <v>0</v>
      </c>
      <c r="M224" s="26">
        <f t="shared" si="18"/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67" t="e">
        <f>SUMIFS([1]Up!$J:$J,[1]Up!$D:$D,D224)</f>
        <v>#VALUE!</v>
      </c>
      <c r="BB224" s="82"/>
      <c r="BC224" s="82" t="str">
        <f t="shared" si="19"/>
        <v>PL12</v>
      </c>
      <c r="BD224" s="53" t="str">
        <f t="shared" si="20"/>
        <v/>
      </c>
      <c r="BE224" s="53" t="s">
        <v>148</v>
      </c>
      <c r="BF224" s="53"/>
      <c r="BG224" s="53"/>
      <c r="BH224" s="53"/>
      <c r="BI224" s="53"/>
      <c r="BJ224" s="83"/>
      <c r="BK224" s="53"/>
      <c r="BL224" s="53"/>
    </row>
    <row r="225" spans="3:64" ht="14.25" hidden="1" customHeight="1">
      <c r="C225" s="82" t="s">
        <v>13</v>
      </c>
      <c r="D225" s="82" t="s">
        <v>398</v>
      </c>
      <c r="E225" s="82" t="s">
        <v>399</v>
      </c>
      <c r="F225" s="82" t="s">
        <v>13</v>
      </c>
      <c r="G225" s="82">
        <v>983</v>
      </c>
      <c r="H225" s="82" t="s">
        <v>147</v>
      </c>
      <c r="I225" s="82">
        <v>1</v>
      </c>
      <c r="J225" s="82">
        <v>34.799999999999997</v>
      </c>
      <c r="K225" s="82">
        <v>34.799999999999997</v>
      </c>
      <c r="L225" s="26">
        <f t="shared" si="17"/>
        <v>0</v>
      </c>
      <c r="M225" s="26">
        <f t="shared" si="18"/>
        <v>1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67" t="e">
        <f>SUMIFS([1]Up!$J:$J,[1]Up!$D:$D,D225)</f>
        <v>#VALUE!</v>
      </c>
      <c r="BB225" s="82"/>
      <c r="BC225" s="82" t="str">
        <f t="shared" si="19"/>
        <v>PL12</v>
      </c>
      <c r="BD225" s="53" t="str">
        <f t="shared" si="20"/>
        <v/>
      </c>
      <c r="BE225" s="53" t="s">
        <v>148</v>
      </c>
      <c r="BF225" s="53"/>
      <c r="BG225" s="53"/>
      <c r="BH225" s="53"/>
      <c r="BI225" s="53"/>
      <c r="BJ225" s="83"/>
      <c r="BK225" s="53"/>
      <c r="BL225" s="53"/>
    </row>
    <row r="226" spans="3:64" ht="14.25" hidden="1" customHeight="1">
      <c r="C226" s="82" t="s">
        <v>13</v>
      </c>
      <c r="D226" s="82" t="s">
        <v>401</v>
      </c>
      <c r="E226" s="82" t="s">
        <v>402</v>
      </c>
      <c r="F226" s="82" t="s">
        <v>13</v>
      </c>
      <c r="G226" s="82">
        <v>434</v>
      </c>
      <c r="H226" s="82" t="s">
        <v>147</v>
      </c>
      <c r="I226" s="82">
        <v>1</v>
      </c>
      <c r="J226" s="82">
        <v>11.1</v>
      </c>
      <c r="K226" s="82">
        <v>11.1</v>
      </c>
      <c r="L226" s="26">
        <f t="shared" si="17"/>
        <v>0</v>
      </c>
      <c r="M226" s="26">
        <f t="shared" si="18"/>
        <v>1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67" t="e">
        <f>SUMIFS([1]Up!$J:$J,[1]Up!$D:$D,D226)</f>
        <v>#VALUE!</v>
      </c>
      <c r="BB226" s="82"/>
      <c r="BC226" s="82" t="str">
        <f t="shared" si="19"/>
        <v>PL12</v>
      </c>
      <c r="BD226" s="53" t="str">
        <f t="shared" si="20"/>
        <v/>
      </c>
      <c r="BE226" s="53" t="s">
        <v>148</v>
      </c>
      <c r="BF226" s="53"/>
      <c r="BG226" s="53"/>
      <c r="BH226" s="53"/>
      <c r="BI226" s="53"/>
      <c r="BJ226" s="83"/>
      <c r="BK226" s="53"/>
      <c r="BL226" s="53"/>
    </row>
    <row r="227" spans="3:64" ht="14.25" hidden="1" customHeight="1">
      <c r="C227" s="82" t="s">
        <v>13</v>
      </c>
      <c r="D227" s="82" t="s">
        <v>404</v>
      </c>
      <c r="E227" s="82" t="s">
        <v>396</v>
      </c>
      <c r="F227" s="82" t="s">
        <v>13</v>
      </c>
      <c r="G227" s="82">
        <v>1471</v>
      </c>
      <c r="H227" s="82" t="s">
        <v>147</v>
      </c>
      <c r="I227" s="82">
        <v>2</v>
      </c>
      <c r="J227" s="82">
        <v>50.2</v>
      </c>
      <c r="K227" s="82">
        <v>100.4</v>
      </c>
      <c r="L227" s="26">
        <f t="shared" si="17"/>
        <v>0</v>
      </c>
      <c r="M227" s="26">
        <f t="shared" si="18"/>
        <v>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67" t="e">
        <f>SUMIFS([1]Up!$J:$J,[1]Up!$D:$D,D227)</f>
        <v>#VALUE!</v>
      </c>
      <c r="BB227" s="82"/>
      <c r="BC227" s="82" t="str">
        <f t="shared" si="19"/>
        <v>PL12</v>
      </c>
      <c r="BD227" s="53" t="str">
        <f t="shared" si="20"/>
        <v/>
      </c>
      <c r="BE227" s="53" t="s">
        <v>148</v>
      </c>
      <c r="BF227" s="53"/>
      <c r="BG227" s="53"/>
      <c r="BH227" s="53"/>
      <c r="BI227" s="53"/>
      <c r="BJ227" s="83"/>
      <c r="BK227" s="53"/>
      <c r="BL227" s="53"/>
    </row>
    <row r="228" spans="3:64" ht="14.25" hidden="1" customHeight="1">
      <c r="C228" s="82" t="s">
        <v>13</v>
      </c>
      <c r="D228" s="82" t="s">
        <v>406</v>
      </c>
      <c r="E228" s="82" t="s">
        <v>407</v>
      </c>
      <c r="F228" s="82" t="s">
        <v>13</v>
      </c>
      <c r="G228" s="82">
        <v>1087</v>
      </c>
      <c r="H228" s="82" t="s">
        <v>147</v>
      </c>
      <c r="I228" s="82">
        <v>2</v>
      </c>
      <c r="J228" s="82">
        <v>41.9</v>
      </c>
      <c r="K228" s="82">
        <v>83.8</v>
      </c>
      <c r="L228" s="26">
        <f t="shared" si="17"/>
        <v>0</v>
      </c>
      <c r="M228" s="26">
        <f t="shared" si="18"/>
        <v>2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67" t="e">
        <f>SUMIFS([1]Up!$J:$J,[1]Up!$D:$D,D228)</f>
        <v>#VALUE!</v>
      </c>
      <c r="BB228" s="82"/>
      <c r="BC228" s="82" t="str">
        <f t="shared" si="19"/>
        <v>PL12</v>
      </c>
      <c r="BD228" s="53" t="str">
        <f t="shared" si="20"/>
        <v/>
      </c>
      <c r="BE228" s="53" t="s">
        <v>148</v>
      </c>
      <c r="BF228" s="53"/>
      <c r="BG228" s="53"/>
      <c r="BH228" s="53"/>
      <c r="BI228" s="53"/>
      <c r="BJ228" s="83"/>
      <c r="BK228" s="53"/>
      <c r="BL228" s="53"/>
    </row>
    <row r="229" spans="3:64" ht="14.25" hidden="1" customHeight="1">
      <c r="C229" s="82" t="s">
        <v>13</v>
      </c>
      <c r="D229" s="82" t="s">
        <v>409</v>
      </c>
      <c r="E229" s="82" t="s">
        <v>410</v>
      </c>
      <c r="F229" s="82" t="s">
        <v>13</v>
      </c>
      <c r="G229" s="82">
        <v>547</v>
      </c>
      <c r="H229" s="82" t="s">
        <v>147</v>
      </c>
      <c r="I229" s="82">
        <v>2</v>
      </c>
      <c r="J229" s="82">
        <v>17.3</v>
      </c>
      <c r="K229" s="82">
        <v>34.6</v>
      </c>
      <c r="L229" s="26">
        <f t="shared" si="17"/>
        <v>0</v>
      </c>
      <c r="M229" s="26">
        <f t="shared" si="18"/>
        <v>2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67" t="e">
        <f>SUMIFS([1]Up!$J:$J,[1]Up!$D:$D,D229)</f>
        <v>#VALUE!</v>
      </c>
      <c r="BB229" s="82"/>
      <c r="BC229" s="82" t="str">
        <f t="shared" si="19"/>
        <v>PL12</v>
      </c>
      <c r="BD229" s="53" t="str">
        <f t="shared" si="20"/>
        <v/>
      </c>
      <c r="BE229" s="53" t="s">
        <v>148</v>
      </c>
      <c r="BF229" s="53"/>
      <c r="BG229" s="53"/>
      <c r="BH229" s="53"/>
      <c r="BI229" s="53"/>
      <c r="BJ229" s="83"/>
      <c r="BK229" s="53"/>
      <c r="BL229" s="53"/>
    </row>
    <row r="230" spans="3:64" ht="14.25" hidden="1" customHeight="1">
      <c r="C230" s="82" t="s">
        <v>13</v>
      </c>
      <c r="D230" s="82" t="s">
        <v>412</v>
      </c>
      <c r="E230" s="82" t="s">
        <v>323</v>
      </c>
      <c r="F230" s="82" t="s">
        <v>13</v>
      </c>
      <c r="G230" s="82">
        <v>2220</v>
      </c>
      <c r="H230" s="82" t="s">
        <v>147</v>
      </c>
      <c r="I230" s="82">
        <v>1</v>
      </c>
      <c r="J230" s="82">
        <v>31.9</v>
      </c>
      <c r="K230" s="82">
        <v>31.9</v>
      </c>
      <c r="L230" s="26">
        <f t="shared" si="17"/>
        <v>0</v>
      </c>
      <c r="M230" s="26">
        <f t="shared" si="18"/>
        <v>1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67" t="e">
        <f>SUMIFS([1]Up!$J:$J,[1]Up!$D:$D,D230)</f>
        <v>#VALUE!</v>
      </c>
      <c r="BB230" s="82"/>
      <c r="BC230" s="82" t="str">
        <f t="shared" si="19"/>
        <v>PL12</v>
      </c>
      <c r="BD230" s="53" t="str">
        <f t="shared" si="20"/>
        <v/>
      </c>
      <c r="BE230" s="53" t="s">
        <v>154</v>
      </c>
      <c r="BF230" s="53"/>
      <c r="BG230" s="53"/>
      <c r="BH230" s="53"/>
      <c r="BI230" s="53"/>
      <c r="BJ230" s="83"/>
      <c r="BK230" s="53"/>
      <c r="BL230" s="53"/>
    </row>
    <row r="231" spans="3:64" ht="14.25" hidden="1" customHeight="1">
      <c r="C231" s="82" t="s">
        <v>13</v>
      </c>
      <c r="D231" s="82" t="s">
        <v>414</v>
      </c>
      <c r="E231" s="82" t="s">
        <v>323</v>
      </c>
      <c r="F231" s="82" t="s">
        <v>13</v>
      </c>
      <c r="G231" s="82">
        <v>2220</v>
      </c>
      <c r="H231" s="82" t="s">
        <v>147</v>
      </c>
      <c r="I231" s="82">
        <v>1</v>
      </c>
      <c r="J231" s="82">
        <v>31.9</v>
      </c>
      <c r="K231" s="82">
        <v>31.9</v>
      </c>
      <c r="L231" s="26">
        <f t="shared" si="17"/>
        <v>0</v>
      </c>
      <c r="M231" s="26">
        <f t="shared" si="18"/>
        <v>1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67" t="e">
        <f>SUMIFS([1]Up!$J:$J,[1]Up!$D:$D,D231)</f>
        <v>#VALUE!</v>
      </c>
      <c r="BB231" s="82"/>
      <c r="BC231" s="82" t="str">
        <f t="shared" si="19"/>
        <v>PL12</v>
      </c>
      <c r="BD231" s="53" t="str">
        <f t="shared" si="20"/>
        <v/>
      </c>
      <c r="BE231" s="53" t="s">
        <v>154</v>
      </c>
      <c r="BF231" s="53"/>
      <c r="BG231" s="53"/>
      <c r="BH231" s="53"/>
      <c r="BI231" s="53"/>
      <c r="BJ231" s="83"/>
      <c r="BK231" s="53"/>
      <c r="BL231" s="53"/>
    </row>
    <row r="232" spans="3:64" ht="14.25" hidden="1" customHeight="1">
      <c r="C232" s="82" t="s">
        <v>13</v>
      </c>
      <c r="D232" s="82" t="s">
        <v>644</v>
      </c>
      <c r="E232" s="82" t="s">
        <v>645</v>
      </c>
      <c r="F232" s="82" t="s">
        <v>13</v>
      </c>
      <c r="G232" s="82">
        <v>2150</v>
      </c>
      <c r="H232" s="82" t="s">
        <v>147</v>
      </c>
      <c r="I232" s="82">
        <v>1</v>
      </c>
      <c r="J232" s="82">
        <v>516.5</v>
      </c>
      <c r="K232" s="82">
        <v>516.5</v>
      </c>
      <c r="L232" s="26">
        <f t="shared" si="17"/>
        <v>0</v>
      </c>
      <c r="M232" s="26">
        <f t="shared" si="18"/>
        <v>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67" t="e">
        <f>SUMIFS([1]Up!$J:$J,[1]Up!$D:$D,D232)</f>
        <v>#VALUE!</v>
      </c>
      <c r="BB232" s="82"/>
      <c r="BC232" s="82" t="str">
        <f t="shared" si="19"/>
        <v>PL30</v>
      </c>
      <c r="BD232" s="53" t="str">
        <f t="shared" si="20"/>
        <v/>
      </c>
      <c r="BE232" s="53" t="s">
        <v>148</v>
      </c>
      <c r="BF232" s="53"/>
      <c r="BG232" s="53"/>
      <c r="BH232" s="53"/>
      <c r="BI232" s="53"/>
      <c r="BJ232" s="83"/>
      <c r="BK232" s="53"/>
      <c r="BL232" s="53"/>
    </row>
    <row r="233" spans="3:64" ht="14.25" hidden="1" customHeight="1">
      <c r="C233" s="82" t="s">
        <v>13</v>
      </c>
      <c r="D233" s="82" t="s">
        <v>647</v>
      </c>
      <c r="E233" s="82" t="s">
        <v>648</v>
      </c>
      <c r="F233" s="82" t="s">
        <v>13</v>
      </c>
      <c r="G233" s="82">
        <v>400</v>
      </c>
      <c r="H233" s="82" t="s">
        <v>147</v>
      </c>
      <c r="I233" s="82">
        <v>2</v>
      </c>
      <c r="J233" s="82">
        <v>25.1</v>
      </c>
      <c r="K233" s="82">
        <v>50.2</v>
      </c>
      <c r="L233" s="26">
        <f t="shared" si="17"/>
        <v>0</v>
      </c>
      <c r="M233" s="26">
        <f t="shared" si="18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67" t="e">
        <f>SUMIFS([1]Up!$J:$J,[1]Up!$D:$D,D233)</f>
        <v>#VALUE!</v>
      </c>
      <c r="BB233" s="82"/>
      <c r="BC233" s="82" t="str">
        <f t="shared" si="19"/>
        <v>PL20</v>
      </c>
      <c r="BD233" s="53" t="str">
        <f t="shared" si="20"/>
        <v/>
      </c>
      <c r="BE233" s="53" t="s">
        <v>148</v>
      </c>
      <c r="BF233" s="53"/>
      <c r="BG233" s="53"/>
      <c r="BH233" s="53"/>
      <c r="BI233" s="53"/>
      <c r="BJ233" s="83"/>
      <c r="BK233" s="53"/>
      <c r="BL233" s="53"/>
    </row>
    <row r="234" spans="3:64" ht="14.25" hidden="1" customHeight="1">
      <c r="C234" s="82" t="s">
        <v>13</v>
      </c>
      <c r="D234" s="82" t="s">
        <v>650</v>
      </c>
      <c r="E234" s="82" t="s">
        <v>651</v>
      </c>
      <c r="F234" s="82" t="s">
        <v>13</v>
      </c>
      <c r="G234" s="82">
        <v>800</v>
      </c>
      <c r="H234" s="82" t="s">
        <v>652</v>
      </c>
      <c r="I234" s="82">
        <v>4</v>
      </c>
      <c r="J234" s="82">
        <v>4.7</v>
      </c>
      <c r="K234" s="82">
        <v>18.8</v>
      </c>
      <c r="L234" s="26">
        <f t="shared" si="17"/>
        <v>0</v>
      </c>
      <c r="M234" s="26">
        <f t="shared" si="18"/>
        <v>4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67" t="e">
        <f>SUMIFS([1]Up!$J:$J,[1]Up!$D:$D,D234)</f>
        <v>#VALUE!</v>
      </c>
      <c r="BB234" s="82"/>
      <c r="BC234" s="82" t="str">
        <f t="shared" si="19"/>
        <v>PL3</v>
      </c>
      <c r="BD234" s="53" t="str">
        <f t="shared" si="20"/>
        <v/>
      </c>
      <c r="BE234" s="53" t="s">
        <v>148</v>
      </c>
      <c r="BF234" s="53"/>
      <c r="BG234" s="53"/>
      <c r="BH234" s="53"/>
      <c r="BI234" s="53"/>
      <c r="BJ234" s="83"/>
      <c r="BK234" s="53"/>
      <c r="BL234" s="53"/>
    </row>
    <row r="235" spans="3:64" ht="14.25" hidden="1" customHeight="1">
      <c r="C235" s="82" t="s">
        <v>13</v>
      </c>
      <c r="D235" s="82" t="s">
        <v>654</v>
      </c>
      <c r="E235" s="82" t="s">
        <v>648</v>
      </c>
      <c r="F235" s="82" t="s">
        <v>13</v>
      </c>
      <c r="G235" s="82">
        <v>970</v>
      </c>
      <c r="H235" s="82" t="s">
        <v>147</v>
      </c>
      <c r="I235" s="82">
        <v>2</v>
      </c>
      <c r="J235" s="82">
        <v>60.9</v>
      </c>
      <c r="K235" s="82">
        <v>121.8</v>
      </c>
      <c r="L235" s="26">
        <f t="shared" si="17"/>
        <v>0</v>
      </c>
      <c r="M235" s="26">
        <f t="shared" si="18"/>
        <v>2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67" t="e">
        <f>SUMIFS([1]Up!$J:$J,[1]Up!$D:$D,D235)</f>
        <v>#VALUE!</v>
      </c>
      <c r="BB235" s="82"/>
      <c r="BC235" s="82" t="str">
        <f t="shared" si="19"/>
        <v>PL20</v>
      </c>
      <c r="BD235" s="53" t="str">
        <f t="shared" si="20"/>
        <v/>
      </c>
      <c r="BE235" s="53" t="s">
        <v>148</v>
      </c>
      <c r="BF235" s="53"/>
      <c r="BG235" s="53"/>
      <c r="BH235" s="53"/>
      <c r="BI235" s="53"/>
      <c r="BJ235" s="83"/>
      <c r="BK235" s="53"/>
      <c r="BL235" s="53"/>
    </row>
    <row r="236" spans="3:64" ht="14.25" hidden="1" customHeight="1">
      <c r="C236" s="82" t="s">
        <v>13</v>
      </c>
      <c r="D236" s="82" t="s">
        <v>656</v>
      </c>
      <c r="E236" s="82" t="s">
        <v>657</v>
      </c>
      <c r="F236" s="82" t="s">
        <v>13</v>
      </c>
      <c r="G236" s="82">
        <v>400</v>
      </c>
      <c r="H236" s="82" t="s">
        <v>147</v>
      </c>
      <c r="I236" s="82">
        <v>4</v>
      </c>
      <c r="J236" s="82">
        <v>16.600000000000001</v>
      </c>
      <c r="K236" s="82">
        <v>66.400000000000006</v>
      </c>
      <c r="L236" s="26">
        <f t="shared" si="17"/>
        <v>0</v>
      </c>
      <c r="M236" s="26">
        <f t="shared" si="18"/>
        <v>4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67" t="e">
        <f>SUMIFS([1]Up!$J:$J,[1]Up!$D:$D,D236)</f>
        <v>#VALUE!</v>
      </c>
      <c r="BB236" s="82"/>
      <c r="BC236" s="82" t="str">
        <f t="shared" si="19"/>
        <v>PL20</v>
      </c>
      <c r="BD236" s="53" t="str">
        <f t="shared" si="20"/>
        <v/>
      </c>
      <c r="BE236" s="53" t="s">
        <v>148</v>
      </c>
      <c r="BF236" s="53"/>
      <c r="BG236" s="53"/>
      <c r="BH236" s="53"/>
      <c r="BI236" s="53"/>
      <c r="BJ236" s="83"/>
      <c r="BK236" s="53"/>
      <c r="BL236" s="53"/>
    </row>
    <row r="237" spans="3:64" ht="14.25" hidden="1" customHeight="1">
      <c r="C237" s="82" t="s">
        <v>13</v>
      </c>
      <c r="D237" s="82" t="s">
        <v>659</v>
      </c>
      <c r="E237" s="82" t="s">
        <v>648</v>
      </c>
      <c r="F237" s="82" t="s">
        <v>13</v>
      </c>
      <c r="G237" s="82">
        <v>753</v>
      </c>
      <c r="H237" s="82" t="s">
        <v>147</v>
      </c>
      <c r="I237" s="82">
        <v>2</v>
      </c>
      <c r="J237" s="82">
        <v>46.8</v>
      </c>
      <c r="K237" s="82">
        <v>93.6</v>
      </c>
      <c r="L237" s="26">
        <f t="shared" si="17"/>
        <v>0</v>
      </c>
      <c r="M237" s="26">
        <f t="shared" si="18"/>
        <v>2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67" t="e">
        <f>SUMIFS([1]Up!$J:$J,[1]Up!$D:$D,D237)</f>
        <v>#VALUE!</v>
      </c>
      <c r="BB237" s="82"/>
      <c r="BC237" s="82" t="str">
        <f t="shared" si="19"/>
        <v>PL20</v>
      </c>
      <c r="BD237" s="53" t="str">
        <f t="shared" si="20"/>
        <v/>
      </c>
      <c r="BE237" s="53" t="s">
        <v>148</v>
      </c>
      <c r="BF237" s="53"/>
      <c r="BG237" s="53"/>
      <c r="BH237" s="53"/>
      <c r="BI237" s="53"/>
      <c r="BJ237" s="83"/>
      <c r="BK237" s="53"/>
      <c r="BL237" s="53"/>
    </row>
    <row r="238" spans="3:64" ht="14.25" hidden="1" customHeight="1">
      <c r="C238" s="82" t="s">
        <v>13</v>
      </c>
      <c r="D238" s="82" t="s">
        <v>661</v>
      </c>
      <c r="E238" s="82" t="s">
        <v>648</v>
      </c>
      <c r="F238" s="82" t="s">
        <v>13</v>
      </c>
      <c r="G238" s="82">
        <v>509</v>
      </c>
      <c r="H238" s="82" t="s">
        <v>147</v>
      </c>
      <c r="I238" s="82">
        <v>2</v>
      </c>
      <c r="J238" s="82">
        <v>31.9</v>
      </c>
      <c r="K238" s="82">
        <v>63.8</v>
      </c>
      <c r="L238" s="26">
        <f t="shared" si="17"/>
        <v>0</v>
      </c>
      <c r="M238" s="26">
        <f t="shared" si="18"/>
        <v>2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67" t="e">
        <f>SUMIFS([1]Up!$J:$J,[1]Up!$D:$D,D238)</f>
        <v>#VALUE!</v>
      </c>
      <c r="BB238" s="82"/>
      <c r="BC238" s="82" t="str">
        <f t="shared" si="19"/>
        <v>PL20</v>
      </c>
      <c r="BD238" s="53" t="str">
        <f t="shared" si="20"/>
        <v/>
      </c>
      <c r="BE238" s="53" t="s">
        <v>148</v>
      </c>
      <c r="BF238" s="53"/>
      <c r="BG238" s="53"/>
      <c r="BH238" s="53"/>
      <c r="BI238" s="53"/>
      <c r="BJ238" s="83"/>
      <c r="BK238" s="53"/>
      <c r="BL238" s="53"/>
    </row>
    <row r="239" spans="3:64" ht="14.25" hidden="1" customHeight="1">
      <c r="C239" s="82" t="s">
        <v>13</v>
      </c>
      <c r="D239" s="82" t="s">
        <v>663</v>
      </c>
      <c r="E239" s="82" t="s">
        <v>657</v>
      </c>
      <c r="F239" s="82" t="s">
        <v>13</v>
      </c>
      <c r="G239" s="82">
        <v>506</v>
      </c>
      <c r="H239" s="82" t="s">
        <v>147</v>
      </c>
      <c r="I239" s="82">
        <v>2</v>
      </c>
      <c r="J239" s="82">
        <v>21</v>
      </c>
      <c r="K239" s="82">
        <v>42</v>
      </c>
      <c r="L239" s="26">
        <f t="shared" si="17"/>
        <v>0</v>
      </c>
      <c r="M239" s="26">
        <f t="shared" si="18"/>
        <v>2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67" t="e">
        <f>SUMIFS([1]Up!$J:$J,[1]Up!$D:$D,D239)</f>
        <v>#VALUE!</v>
      </c>
      <c r="BB239" s="82"/>
      <c r="BC239" s="82" t="str">
        <f t="shared" si="19"/>
        <v>PL20</v>
      </c>
      <c r="BD239" s="53" t="str">
        <f t="shared" si="20"/>
        <v/>
      </c>
      <c r="BE239" s="53" t="s">
        <v>148</v>
      </c>
      <c r="BF239" s="53"/>
      <c r="BG239" s="53"/>
      <c r="BH239" s="53"/>
      <c r="BI239" s="53"/>
      <c r="BJ239" s="83"/>
      <c r="BK239" s="53"/>
      <c r="BL239" s="53"/>
    </row>
    <row r="240" spans="3:64" ht="14.25" hidden="1" customHeight="1">
      <c r="C240" s="82" t="s">
        <v>13</v>
      </c>
      <c r="D240" s="82" t="s">
        <v>665</v>
      </c>
      <c r="E240" s="82" t="s">
        <v>657</v>
      </c>
      <c r="F240" s="82" t="s">
        <v>13</v>
      </c>
      <c r="G240" s="82">
        <v>736</v>
      </c>
      <c r="H240" s="82" t="s">
        <v>147</v>
      </c>
      <c r="I240" s="82">
        <v>2</v>
      </c>
      <c r="J240" s="82">
        <v>30.4</v>
      </c>
      <c r="K240" s="82">
        <v>60.8</v>
      </c>
      <c r="L240" s="26">
        <f t="shared" si="17"/>
        <v>0</v>
      </c>
      <c r="M240" s="26">
        <f t="shared" si="18"/>
        <v>2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67" t="e">
        <f>SUMIFS([1]Up!$J:$J,[1]Up!$D:$D,D240)</f>
        <v>#VALUE!</v>
      </c>
      <c r="BB240" s="82"/>
      <c r="BC240" s="82" t="str">
        <f t="shared" si="19"/>
        <v>PL20</v>
      </c>
      <c r="BD240" s="53" t="str">
        <f t="shared" si="20"/>
        <v/>
      </c>
      <c r="BE240" s="53" t="s">
        <v>148</v>
      </c>
      <c r="BF240" s="53"/>
      <c r="BG240" s="53"/>
      <c r="BH240" s="53"/>
      <c r="BI240" s="53"/>
      <c r="BJ240" s="83"/>
      <c r="BK240" s="53"/>
      <c r="BL240" s="53"/>
    </row>
    <row r="241" spans="3:64" ht="14.25" hidden="1" customHeight="1">
      <c r="C241" s="82" t="s">
        <v>13</v>
      </c>
      <c r="D241" s="82" t="s">
        <v>667</v>
      </c>
      <c r="E241" s="82" t="s">
        <v>657</v>
      </c>
      <c r="F241" s="82" t="s">
        <v>13</v>
      </c>
      <c r="G241" s="82">
        <v>512</v>
      </c>
      <c r="H241" s="82" t="s">
        <v>147</v>
      </c>
      <c r="I241" s="82">
        <v>2</v>
      </c>
      <c r="J241" s="82">
        <v>21.2</v>
      </c>
      <c r="K241" s="82">
        <v>42.4</v>
      </c>
      <c r="L241" s="26">
        <f t="shared" si="17"/>
        <v>1</v>
      </c>
      <c r="M241" s="26">
        <f t="shared" si="18"/>
        <v>1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>
        <v>1</v>
      </c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67" t="e">
        <f>SUMIFS([1]Up!$J:$J,[1]Up!$D:$D,D241)</f>
        <v>#VALUE!</v>
      </c>
      <c r="BB241" s="82"/>
      <c r="BC241" s="82" t="str">
        <f t="shared" si="19"/>
        <v>PL20</v>
      </c>
      <c r="BD241" s="53" t="str">
        <f t="shared" si="20"/>
        <v/>
      </c>
      <c r="BE241" s="53" t="s">
        <v>148</v>
      </c>
      <c r="BF241" s="53"/>
      <c r="BG241" s="53"/>
      <c r="BH241" s="53"/>
      <c r="BI241" s="53"/>
      <c r="BJ241" s="83"/>
      <c r="BK241" s="53"/>
      <c r="BL241" s="53"/>
    </row>
    <row r="242" spans="3:64" ht="14.25" hidden="1" customHeight="1">
      <c r="C242" s="82" t="s">
        <v>13</v>
      </c>
      <c r="D242" s="82" t="s">
        <v>669</v>
      </c>
      <c r="E242" s="82" t="s">
        <v>657</v>
      </c>
      <c r="F242" s="82" t="s">
        <v>13</v>
      </c>
      <c r="G242" s="82">
        <v>766</v>
      </c>
      <c r="H242" s="82" t="s">
        <v>147</v>
      </c>
      <c r="I242" s="82">
        <v>2</v>
      </c>
      <c r="J242" s="82">
        <v>31.6</v>
      </c>
      <c r="K242" s="82">
        <v>63.2</v>
      </c>
      <c r="L242" s="26">
        <f t="shared" si="17"/>
        <v>0</v>
      </c>
      <c r="M242" s="26">
        <f t="shared" si="18"/>
        <v>2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67" t="e">
        <f>SUMIFS([1]Up!$J:$J,[1]Up!$D:$D,D242)</f>
        <v>#VALUE!</v>
      </c>
      <c r="BB242" s="82"/>
      <c r="BC242" s="82" t="str">
        <f t="shared" si="19"/>
        <v>PL20</v>
      </c>
      <c r="BD242" s="53" t="str">
        <f t="shared" si="20"/>
        <v/>
      </c>
      <c r="BE242" s="53" t="s">
        <v>148</v>
      </c>
      <c r="BF242" s="53"/>
      <c r="BG242" s="53"/>
      <c r="BH242" s="53"/>
      <c r="BI242" s="53"/>
      <c r="BJ242" s="83"/>
      <c r="BK242" s="53"/>
      <c r="BL242" s="53"/>
    </row>
    <row r="243" spans="3:64" ht="14.25" hidden="1" customHeight="1">
      <c r="C243" s="82" t="s">
        <v>13</v>
      </c>
      <c r="D243" s="82" t="s">
        <v>671</v>
      </c>
      <c r="E243" s="82" t="s">
        <v>672</v>
      </c>
      <c r="F243" s="82" t="s">
        <v>13</v>
      </c>
      <c r="G243" s="82">
        <v>1068</v>
      </c>
      <c r="H243" s="82" t="s">
        <v>147</v>
      </c>
      <c r="I243" s="82">
        <v>2</v>
      </c>
      <c r="J243" s="82">
        <v>80.8</v>
      </c>
      <c r="K243" s="82">
        <v>161.6</v>
      </c>
      <c r="L243" s="26">
        <f t="shared" si="17"/>
        <v>0</v>
      </c>
      <c r="M243" s="26">
        <f t="shared" si="18"/>
        <v>2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67" t="e">
        <f>SUMIFS([1]Up!$J:$J,[1]Up!$D:$D,D243)</f>
        <v>#VALUE!</v>
      </c>
      <c r="BB243" s="82"/>
      <c r="BC243" s="82" t="str">
        <f t="shared" si="19"/>
        <v>PL20</v>
      </c>
      <c r="BD243" s="53" t="str">
        <f t="shared" si="20"/>
        <v/>
      </c>
      <c r="BE243" s="53" t="s">
        <v>148</v>
      </c>
      <c r="BF243" s="53"/>
      <c r="BG243" s="53"/>
      <c r="BH243" s="53"/>
      <c r="BI243" s="53"/>
      <c r="BJ243" s="83"/>
      <c r="BK243" s="53"/>
      <c r="BL243" s="53"/>
    </row>
    <row r="244" spans="3:64" ht="14.25" hidden="1" customHeight="1">
      <c r="C244" s="82" t="s">
        <v>13</v>
      </c>
      <c r="D244" s="82" t="s">
        <v>674</v>
      </c>
      <c r="E244" s="82" t="s">
        <v>675</v>
      </c>
      <c r="F244" s="82" t="s">
        <v>13</v>
      </c>
      <c r="G244" s="82">
        <v>1055</v>
      </c>
      <c r="H244" s="82" t="s">
        <v>147</v>
      </c>
      <c r="I244" s="82">
        <v>2</v>
      </c>
      <c r="J244" s="82">
        <v>79.900000000000006</v>
      </c>
      <c r="K244" s="82">
        <v>159.80000000000001</v>
      </c>
      <c r="L244" s="26">
        <f t="shared" si="17"/>
        <v>0</v>
      </c>
      <c r="M244" s="26">
        <f t="shared" si="18"/>
        <v>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67" t="e">
        <f>SUMIFS([1]Up!$J:$J,[1]Up!$D:$D,D244)</f>
        <v>#VALUE!</v>
      </c>
      <c r="BB244" s="82"/>
      <c r="BC244" s="82" t="str">
        <f t="shared" si="19"/>
        <v>PL20</v>
      </c>
      <c r="BD244" s="53" t="str">
        <f t="shared" si="20"/>
        <v/>
      </c>
      <c r="BE244" s="53" t="s">
        <v>148</v>
      </c>
      <c r="BF244" s="53"/>
      <c r="BG244" s="53"/>
      <c r="BH244" s="53"/>
      <c r="BI244" s="53"/>
      <c r="BJ244" s="83"/>
      <c r="BK244" s="53"/>
      <c r="BL244" s="53"/>
    </row>
    <row r="245" spans="3:64" ht="14.25" hidden="1" customHeight="1">
      <c r="C245" s="82" t="s">
        <v>13</v>
      </c>
      <c r="D245" s="82" t="s">
        <v>677</v>
      </c>
      <c r="E245" s="82" t="s">
        <v>678</v>
      </c>
      <c r="F245" s="82" t="s">
        <v>13</v>
      </c>
      <c r="G245" s="82">
        <v>100</v>
      </c>
      <c r="H245" s="82" t="s">
        <v>652</v>
      </c>
      <c r="I245" s="82">
        <v>1</v>
      </c>
      <c r="J245" s="82">
        <v>0.2</v>
      </c>
      <c r="K245" s="82">
        <v>0.2</v>
      </c>
      <c r="L245" s="26">
        <f t="shared" si="17"/>
        <v>0</v>
      </c>
      <c r="M245" s="26">
        <f t="shared" si="18"/>
        <v>1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67" t="e">
        <f>SUMIFS([1]Up!$J:$J,[1]Up!$D:$D,D245)</f>
        <v>#VALUE!</v>
      </c>
      <c r="BB245" s="82"/>
      <c r="BC245" s="82" t="str">
        <f t="shared" si="19"/>
        <v>PL5</v>
      </c>
      <c r="BD245" s="53" t="str">
        <f t="shared" si="20"/>
        <v/>
      </c>
      <c r="BE245" s="53" t="s">
        <v>148</v>
      </c>
      <c r="BF245" s="53"/>
      <c r="BG245" s="53"/>
      <c r="BH245" s="53"/>
      <c r="BI245" s="53"/>
      <c r="BJ245" s="83"/>
      <c r="BK245" s="53"/>
      <c r="BL245" s="53"/>
    </row>
    <row r="246" spans="3:64" ht="14.25" hidden="1" customHeight="1">
      <c r="C246" s="82" t="s">
        <v>13</v>
      </c>
      <c r="D246" s="82" t="s">
        <v>752</v>
      </c>
      <c r="E246" s="82" t="s">
        <v>753</v>
      </c>
      <c r="F246" s="82" t="s">
        <v>13</v>
      </c>
      <c r="G246" s="82">
        <v>420</v>
      </c>
      <c r="H246" s="82" t="s">
        <v>147</v>
      </c>
      <c r="I246" s="82">
        <v>1</v>
      </c>
      <c r="J246" s="82">
        <v>26.8</v>
      </c>
      <c r="K246" s="82">
        <v>26.8</v>
      </c>
      <c r="L246" s="26">
        <f t="shared" si="17"/>
        <v>0</v>
      </c>
      <c r="M246" s="26">
        <f t="shared" si="18"/>
        <v>1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67" t="e">
        <f>SUMIFS([1]Up!$J:$J,[1]Up!$D:$D,D246)</f>
        <v>#VALUE!</v>
      </c>
      <c r="BB246" s="82"/>
      <c r="BC246" s="82" t="str">
        <f t="shared" si="19"/>
        <v>PL20</v>
      </c>
      <c r="BD246" s="53" t="str">
        <f t="shared" si="20"/>
        <v/>
      </c>
      <c r="BE246" s="53" t="s">
        <v>148</v>
      </c>
      <c r="BF246" s="53"/>
      <c r="BG246" s="53"/>
      <c r="BH246" s="53"/>
      <c r="BI246" s="53"/>
      <c r="BJ246" s="83"/>
      <c r="BK246" s="53"/>
      <c r="BL246" s="53"/>
    </row>
    <row r="247" spans="3:64" ht="14.25" hidden="1" customHeight="1">
      <c r="C247" s="82" t="s">
        <v>13</v>
      </c>
      <c r="D247" s="82" t="s">
        <v>755</v>
      </c>
      <c r="E247" s="82" t="s">
        <v>756</v>
      </c>
      <c r="F247" s="82" t="s">
        <v>13</v>
      </c>
      <c r="G247" s="82">
        <v>620</v>
      </c>
      <c r="H247" s="82" t="s">
        <v>147</v>
      </c>
      <c r="I247" s="82">
        <v>1</v>
      </c>
      <c r="J247" s="82">
        <v>41.5</v>
      </c>
      <c r="K247" s="82">
        <v>41.5</v>
      </c>
      <c r="L247" s="26">
        <f t="shared" si="17"/>
        <v>0</v>
      </c>
      <c r="M247" s="26">
        <f t="shared" si="18"/>
        <v>1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67" t="e">
        <f>SUMIFS([1]Up!$J:$J,[1]Up!$D:$D,D247)</f>
        <v>#VALUE!</v>
      </c>
      <c r="BB247" s="82"/>
      <c r="BC247" s="82" t="str">
        <f t="shared" si="19"/>
        <v>PL20</v>
      </c>
      <c r="BD247" s="53" t="str">
        <f t="shared" si="20"/>
        <v/>
      </c>
      <c r="BE247" s="53" t="s">
        <v>148</v>
      </c>
      <c r="BF247" s="53"/>
      <c r="BG247" s="53"/>
      <c r="BH247" s="53"/>
      <c r="BI247" s="53"/>
      <c r="BJ247" s="83"/>
      <c r="BK247" s="53"/>
      <c r="BL247" s="53"/>
    </row>
    <row r="248" spans="3:64" ht="14.25" hidden="1" customHeight="1">
      <c r="C248" s="82" t="s">
        <v>13</v>
      </c>
      <c r="D248" s="82" t="s">
        <v>758</v>
      </c>
      <c r="E248" s="82" t="s">
        <v>759</v>
      </c>
      <c r="F248" s="82" t="s">
        <v>13</v>
      </c>
      <c r="G248" s="82">
        <v>970</v>
      </c>
      <c r="H248" s="82" t="s">
        <v>147</v>
      </c>
      <c r="I248" s="82">
        <v>2</v>
      </c>
      <c r="J248" s="82">
        <v>68.900000000000006</v>
      </c>
      <c r="K248" s="82">
        <v>137.80000000000001</v>
      </c>
      <c r="L248" s="26">
        <f t="shared" si="17"/>
        <v>0</v>
      </c>
      <c r="M248" s="26">
        <f t="shared" si="18"/>
        <v>2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67" t="e">
        <f>SUMIFS([1]Up!$J:$J,[1]Up!$D:$D,D248)</f>
        <v>#VALUE!</v>
      </c>
      <c r="BB248" s="82"/>
      <c r="BC248" s="82" t="str">
        <f t="shared" si="19"/>
        <v>PL20</v>
      </c>
      <c r="BD248" s="53" t="str">
        <f t="shared" si="20"/>
        <v/>
      </c>
      <c r="BE248" s="53" t="s">
        <v>148</v>
      </c>
      <c r="BF248" s="53"/>
      <c r="BG248" s="53"/>
      <c r="BH248" s="53"/>
      <c r="BI248" s="53"/>
      <c r="BJ248" s="83"/>
      <c r="BK248" s="53"/>
      <c r="BL248" s="53"/>
    </row>
    <row r="249" spans="3:64" ht="14.25" hidden="1" customHeight="1">
      <c r="C249" s="82" t="s">
        <v>13</v>
      </c>
      <c r="D249" s="82" t="s">
        <v>778</v>
      </c>
      <c r="E249" s="82" t="s">
        <v>779</v>
      </c>
      <c r="F249" s="82" t="s">
        <v>13</v>
      </c>
      <c r="G249" s="82">
        <v>451</v>
      </c>
      <c r="H249" s="82" t="s">
        <v>147</v>
      </c>
      <c r="I249" s="82">
        <v>2</v>
      </c>
      <c r="J249" s="82">
        <v>20</v>
      </c>
      <c r="K249" s="82">
        <v>40</v>
      </c>
      <c r="L249" s="26">
        <f t="shared" si="17"/>
        <v>2</v>
      </c>
      <c r="M249" s="26">
        <f t="shared" si="18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>
        <v>2</v>
      </c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67" t="e">
        <f>SUMIFS([1]Up!$J:$J,[1]Up!$D:$D,D249)</f>
        <v>#VALUE!</v>
      </c>
      <c r="BB249" s="82"/>
      <c r="BC249" s="82" t="str">
        <f t="shared" si="19"/>
        <v>PL20</v>
      </c>
      <c r="BD249" s="53" t="str">
        <f t="shared" si="20"/>
        <v/>
      </c>
      <c r="BE249" s="53" t="s">
        <v>148</v>
      </c>
      <c r="BF249" s="53"/>
      <c r="BG249" s="53"/>
      <c r="BH249" s="53"/>
      <c r="BI249" s="53"/>
      <c r="BJ249" s="83"/>
      <c r="BK249" s="53"/>
      <c r="BL249" s="53"/>
    </row>
    <row r="250" spans="3:64" ht="14.25" hidden="1" customHeight="1">
      <c r="C250" s="82" t="s">
        <v>13</v>
      </c>
      <c r="D250" s="82" t="s">
        <v>417</v>
      </c>
      <c r="E250" s="82" t="s">
        <v>418</v>
      </c>
      <c r="F250" s="82" t="s">
        <v>13</v>
      </c>
      <c r="G250" s="82">
        <v>3430</v>
      </c>
      <c r="H250" s="82" t="s">
        <v>147</v>
      </c>
      <c r="I250" s="82">
        <v>1</v>
      </c>
      <c r="J250" s="82">
        <v>1424.4</v>
      </c>
      <c r="K250" s="82">
        <v>1424.4</v>
      </c>
      <c r="L250" s="26">
        <f t="shared" si="17"/>
        <v>1</v>
      </c>
      <c r="M250" s="26">
        <f t="shared" si="18"/>
        <v>0</v>
      </c>
      <c r="N250" s="26"/>
      <c r="O250" s="26"/>
      <c r="P250" s="26"/>
      <c r="Q250" s="26"/>
      <c r="R250" s="26"/>
      <c r="S250" s="26"/>
      <c r="T250" s="26">
        <v>1</v>
      </c>
      <c r="U250" s="26"/>
      <c r="V250" s="26"/>
      <c r="W250" s="26"/>
      <c r="X250" s="26"/>
      <c r="Y250" s="26"/>
      <c r="Z250" s="26"/>
      <c r="AA250" s="26"/>
      <c r="AB250" s="26"/>
      <c r="AC250" s="26"/>
      <c r="AD250" s="26">
        <v>1</v>
      </c>
      <c r="AE250" s="26"/>
      <c r="AF250" s="26"/>
      <c r="AG250" s="26">
        <v>1</v>
      </c>
      <c r="AH250" s="26">
        <v>1</v>
      </c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67" t="e">
        <f>SUMIFS([1]Up!$J:$J,[1]Up!$D:$D,D250)</f>
        <v>#VALUE!</v>
      </c>
      <c r="BB250" s="82" t="s">
        <v>2235</v>
      </c>
      <c r="BC250" s="82" t="e">
        <f t="shared" si="19"/>
        <v>#VALUE!</v>
      </c>
      <c r="BD250" s="53" t="str">
        <f t="shared" si="20"/>
        <v>Thừa 3</v>
      </c>
      <c r="BE250" s="53" t="s">
        <v>154</v>
      </c>
      <c r="BF250" s="53"/>
      <c r="BG250" s="53"/>
      <c r="BH250" s="53" t="s">
        <v>57</v>
      </c>
      <c r="BI250" s="53">
        <v>1</v>
      </c>
      <c r="BJ250" s="83"/>
      <c r="BK250" s="53"/>
      <c r="BL250" s="53"/>
    </row>
    <row r="251" spans="3:64" ht="14.25" hidden="1" customHeight="1">
      <c r="C251" s="82" t="s">
        <v>13</v>
      </c>
      <c r="D251" s="82" t="s">
        <v>420</v>
      </c>
      <c r="E251" s="82" t="s">
        <v>421</v>
      </c>
      <c r="F251" s="82" t="s">
        <v>13</v>
      </c>
      <c r="G251" s="82">
        <v>11493</v>
      </c>
      <c r="H251" s="82" t="s">
        <v>147</v>
      </c>
      <c r="I251" s="82">
        <v>1</v>
      </c>
      <c r="J251" s="82">
        <v>611.29999999999995</v>
      </c>
      <c r="K251" s="82">
        <v>611.29999999999995</v>
      </c>
      <c r="L251" s="26">
        <f t="shared" si="17"/>
        <v>1</v>
      </c>
      <c r="M251" s="26">
        <f t="shared" si="18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>
        <v>1</v>
      </c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67" t="e">
        <f>SUMIFS([1]Up!$J:$J,[1]Up!$D:$D,D251)</f>
        <v>#VALUE!</v>
      </c>
      <c r="BB251" s="82"/>
      <c r="BC251" s="82" t="str">
        <f t="shared" si="19"/>
        <v>PL10</v>
      </c>
      <c r="BD251" s="53" t="str">
        <f t="shared" si="20"/>
        <v/>
      </c>
      <c r="BE251" s="53" t="s">
        <v>154</v>
      </c>
      <c r="BF251" s="84" t="s">
        <v>210</v>
      </c>
      <c r="BG251" s="53"/>
      <c r="BH251" s="53" t="s">
        <v>211</v>
      </c>
      <c r="BI251" s="53">
        <v>1</v>
      </c>
      <c r="BJ251" s="83">
        <v>46201</v>
      </c>
      <c r="BK251" s="53"/>
      <c r="BL251" s="53"/>
    </row>
    <row r="252" spans="3:64" ht="14.25" hidden="1" customHeight="1">
      <c r="C252" s="82" t="s">
        <v>13</v>
      </c>
      <c r="D252" s="82" t="s">
        <v>423</v>
      </c>
      <c r="E252" s="82" t="s">
        <v>146</v>
      </c>
      <c r="F252" s="82" t="s">
        <v>13</v>
      </c>
      <c r="G252" s="82">
        <v>11567</v>
      </c>
      <c r="H252" s="82" t="s">
        <v>147</v>
      </c>
      <c r="I252" s="82">
        <v>2</v>
      </c>
      <c r="J252" s="82">
        <v>45.4</v>
      </c>
      <c r="K252" s="82">
        <v>90.8</v>
      </c>
      <c r="L252" s="26">
        <f t="shared" si="17"/>
        <v>2</v>
      </c>
      <c r="M252" s="26">
        <f t="shared" si="18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>
        <v>8</v>
      </c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67" t="e">
        <f>SUMIFS([1]Up!$J:$J,[1]Up!$D:$D,D252)</f>
        <v>#VALUE!</v>
      </c>
      <c r="BB252" s="82" t="s">
        <v>2072</v>
      </c>
      <c r="BC252" s="82" t="str">
        <f t="shared" si="19"/>
        <v>PL10</v>
      </c>
      <c r="BD252" s="53" t="str">
        <f t="shared" si="20"/>
        <v>Thừa 6</v>
      </c>
      <c r="BE252" s="53" t="s">
        <v>148</v>
      </c>
      <c r="BF252" s="53"/>
      <c r="BG252" s="53"/>
      <c r="BH252" s="53" t="s">
        <v>57</v>
      </c>
      <c r="BI252" s="53">
        <v>2</v>
      </c>
      <c r="BJ252" s="83"/>
      <c r="BK252" s="53"/>
      <c r="BL252" s="53"/>
    </row>
    <row r="253" spans="3:64" ht="14.25" hidden="1" customHeight="1">
      <c r="C253" s="82" t="s">
        <v>13</v>
      </c>
      <c r="D253" s="82" t="s">
        <v>425</v>
      </c>
      <c r="E253" s="82" t="s">
        <v>426</v>
      </c>
      <c r="F253" s="82" t="s">
        <v>13</v>
      </c>
      <c r="G253" s="82">
        <v>644</v>
      </c>
      <c r="H253" s="82" t="s">
        <v>147</v>
      </c>
      <c r="I253" s="82">
        <v>2</v>
      </c>
      <c r="J253" s="82">
        <v>32.299999999999997</v>
      </c>
      <c r="K253" s="82">
        <v>64.599999999999994</v>
      </c>
      <c r="L253" s="26">
        <f t="shared" si="17"/>
        <v>2</v>
      </c>
      <c r="M253" s="26">
        <f t="shared" si="18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>
        <v>2</v>
      </c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67" t="e">
        <f>SUMIFS([1]Up!$J:$J,[1]Up!$D:$D,D253)</f>
        <v>#VALUE!</v>
      </c>
      <c r="BB253" s="82"/>
      <c r="BC253" s="82" t="str">
        <f t="shared" si="19"/>
        <v>PL10</v>
      </c>
      <c r="BD253" s="53" t="str">
        <f t="shared" si="20"/>
        <v/>
      </c>
      <c r="BE253" s="53" t="s">
        <v>154</v>
      </c>
      <c r="BF253" s="84" t="s">
        <v>210</v>
      </c>
      <c r="BG253" s="53"/>
      <c r="BH253" s="53" t="s">
        <v>211</v>
      </c>
      <c r="BI253" s="53">
        <v>2</v>
      </c>
      <c r="BJ253" s="83">
        <v>46201</v>
      </c>
      <c r="BK253" s="53"/>
      <c r="BL253" s="53"/>
    </row>
    <row r="254" spans="3:64" ht="14.25" hidden="1" customHeight="1">
      <c r="C254" s="82" t="s">
        <v>13</v>
      </c>
      <c r="D254" s="82" t="s">
        <v>428</v>
      </c>
      <c r="E254" s="82" t="s">
        <v>426</v>
      </c>
      <c r="F254" s="82" t="s">
        <v>13</v>
      </c>
      <c r="G254" s="82">
        <v>851</v>
      </c>
      <c r="H254" s="82" t="s">
        <v>147</v>
      </c>
      <c r="I254" s="82">
        <v>2</v>
      </c>
      <c r="J254" s="82">
        <v>46.9</v>
      </c>
      <c r="K254" s="82">
        <v>93.8</v>
      </c>
      <c r="L254" s="26">
        <f t="shared" si="17"/>
        <v>2</v>
      </c>
      <c r="M254" s="26">
        <f t="shared" si="18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>
        <v>1</v>
      </c>
      <c r="AN254" s="26"/>
      <c r="AO254" s="26">
        <v>1</v>
      </c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67" t="e">
        <f>SUMIFS([1]Up!$J:$J,[1]Up!$D:$D,D254)</f>
        <v>#VALUE!</v>
      </c>
      <c r="BB254" s="82"/>
      <c r="BC254" s="82" t="str">
        <f t="shared" si="19"/>
        <v>PL10</v>
      </c>
      <c r="BD254" s="53" t="str">
        <f t="shared" si="20"/>
        <v/>
      </c>
      <c r="BE254" s="53" t="s">
        <v>154</v>
      </c>
      <c r="BF254" s="84" t="s">
        <v>210</v>
      </c>
      <c r="BG254" s="53"/>
      <c r="BH254" s="53" t="s">
        <v>211</v>
      </c>
      <c r="BI254" s="53">
        <v>2</v>
      </c>
      <c r="BJ254" s="83">
        <v>46201</v>
      </c>
      <c r="BK254" s="53"/>
      <c r="BL254" s="53"/>
    </row>
    <row r="255" spans="3:64" ht="14.25" hidden="1" customHeight="1">
      <c r="C255" s="82" t="s">
        <v>13</v>
      </c>
      <c r="D255" s="82" t="s">
        <v>430</v>
      </c>
      <c r="E255" s="82" t="s">
        <v>426</v>
      </c>
      <c r="F255" s="82" t="s">
        <v>13</v>
      </c>
      <c r="G255" s="82">
        <v>1096</v>
      </c>
      <c r="H255" s="82" t="s">
        <v>147</v>
      </c>
      <c r="I255" s="82">
        <v>2</v>
      </c>
      <c r="J255" s="82">
        <v>62.6</v>
      </c>
      <c r="K255" s="82">
        <v>125.2</v>
      </c>
      <c r="L255" s="26">
        <f t="shared" si="17"/>
        <v>2</v>
      </c>
      <c r="M255" s="26">
        <f t="shared" si="18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>
        <v>1</v>
      </c>
      <c r="AN255" s="26"/>
      <c r="AO255" s="26">
        <v>1</v>
      </c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67" t="e">
        <f>SUMIFS([1]Up!$J:$J,[1]Up!$D:$D,D255)</f>
        <v>#VALUE!</v>
      </c>
      <c r="BB255" s="82"/>
      <c r="BC255" s="82" t="str">
        <f t="shared" si="19"/>
        <v>PL10</v>
      </c>
      <c r="BD255" s="53" t="str">
        <f t="shared" si="20"/>
        <v/>
      </c>
      <c r="BE255" s="53" t="s">
        <v>154</v>
      </c>
      <c r="BF255" s="84" t="s">
        <v>210</v>
      </c>
      <c r="BG255" s="53"/>
      <c r="BH255" s="53" t="s">
        <v>211</v>
      </c>
      <c r="BI255" s="53">
        <v>2</v>
      </c>
      <c r="BJ255" s="83">
        <v>46201</v>
      </c>
      <c r="BK255" s="53"/>
      <c r="BL255" s="53"/>
    </row>
    <row r="256" spans="3:64" ht="14.25" hidden="1" customHeight="1">
      <c r="C256" s="82" t="s">
        <v>13</v>
      </c>
      <c r="D256" s="82" t="s">
        <v>432</v>
      </c>
      <c r="E256" s="82" t="s">
        <v>426</v>
      </c>
      <c r="F256" s="82" t="s">
        <v>13</v>
      </c>
      <c r="G256" s="82">
        <v>1260</v>
      </c>
      <c r="H256" s="82" t="s">
        <v>147</v>
      </c>
      <c r="I256" s="82">
        <v>2</v>
      </c>
      <c r="J256" s="82">
        <v>73.099999999999994</v>
      </c>
      <c r="K256" s="82">
        <v>146.19999999999999</v>
      </c>
      <c r="L256" s="26">
        <f t="shared" si="17"/>
        <v>2</v>
      </c>
      <c r="M256" s="26">
        <f t="shared" si="18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>
        <v>2</v>
      </c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67" t="e">
        <f>SUMIFS([1]Up!$J:$J,[1]Up!$D:$D,D256)</f>
        <v>#VALUE!</v>
      </c>
      <c r="BB256" s="82"/>
      <c r="BC256" s="82" t="str">
        <f t="shared" si="19"/>
        <v>PL10</v>
      </c>
      <c r="BD256" s="53" t="str">
        <f t="shared" si="20"/>
        <v/>
      </c>
      <c r="BE256" s="53" t="s">
        <v>154</v>
      </c>
      <c r="BF256" s="84" t="s">
        <v>210</v>
      </c>
      <c r="BG256" s="53"/>
      <c r="BH256" s="53" t="s">
        <v>211</v>
      </c>
      <c r="BI256" s="53">
        <v>2</v>
      </c>
      <c r="BJ256" s="83">
        <v>46201</v>
      </c>
      <c r="BK256" s="53"/>
      <c r="BL256" s="53"/>
    </row>
    <row r="257" spans="3:64" ht="14.25" hidden="1" customHeight="1">
      <c r="C257" s="82" t="s">
        <v>13</v>
      </c>
      <c r="D257" s="82" t="s">
        <v>434</v>
      </c>
      <c r="E257" s="82" t="s">
        <v>426</v>
      </c>
      <c r="F257" s="82" t="s">
        <v>13</v>
      </c>
      <c r="G257" s="82">
        <v>1372</v>
      </c>
      <c r="H257" s="82" t="s">
        <v>147</v>
      </c>
      <c r="I257" s="82">
        <v>2</v>
      </c>
      <c r="J257" s="82">
        <v>80.2</v>
      </c>
      <c r="K257" s="82">
        <v>160.4</v>
      </c>
      <c r="L257" s="26">
        <f t="shared" si="17"/>
        <v>2</v>
      </c>
      <c r="M257" s="26">
        <f t="shared" si="18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>
        <v>2</v>
      </c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67" t="e">
        <f>SUMIFS([1]Up!$J:$J,[1]Up!$D:$D,D257)</f>
        <v>#VALUE!</v>
      </c>
      <c r="BB257" s="82"/>
      <c r="BC257" s="82" t="str">
        <f t="shared" si="19"/>
        <v>PL10</v>
      </c>
      <c r="BD257" s="53" t="str">
        <f t="shared" si="20"/>
        <v/>
      </c>
      <c r="BE257" s="53" t="s">
        <v>154</v>
      </c>
      <c r="BF257" s="84" t="s">
        <v>210</v>
      </c>
      <c r="BG257" s="53"/>
      <c r="BH257" s="53" t="s">
        <v>211</v>
      </c>
      <c r="BI257" s="53">
        <v>2</v>
      </c>
      <c r="BJ257" s="83">
        <v>46201</v>
      </c>
      <c r="BK257" s="53"/>
      <c r="BL257" s="53"/>
    </row>
    <row r="258" spans="3:64" ht="14.25" hidden="1" customHeight="1">
      <c r="C258" s="82" t="s">
        <v>13</v>
      </c>
      <c r="D258" s="82" t="s">
        <v>436</v>
      </c>
      <c r="E258" s="82" t="s">
        <v>426</v>
      </c>
      <c r="F258" s="82" t="s">
        <v>13</v>
      </c>
      <c r="G258" s="82">
        <v>1445</v>
      </c>
      <c r="H258" s="82" t="s">
        <v>147</v>
      </c>
      <c r="I258" s="82">
        <v>2</v>
      </c>
      <c r="J258" s="82">
        <v>84.9</v>
      </c>
      <c r="K258" s="82">
        <v>169.8</v>
      </c>
      <c r="L258" s="26">
        <f t="shared" si="17"/>
        <v>2</v>
      </c>
      <c r="M258" s="26">
        <f t="shared" si="18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>
        <v>2</v>
      </c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67" t="e">
        <f>SUMIFS([1]Up!$J:$J,[1]Up!$D:$D,D258)</f>
        <v>#VALUE!</v>
      </c>
      <c r="BB258" s="82"/>
      <c r="BC258" s="82" t="str">
        <f t="shared" si="19"/>
        <v>PL10</v>
      </c>
      <c r="BD258" s="53" t="str">
        <f t="shared" si="20"/>
        <v/>
      </c>
      <c r="BE258" s="53" t="s">
        <v>154</v>
      </c>
      <c r="BF258" s="84" t="s">
        <v>210</v>
      </c>
      <c r="BG258" s="53"/>
      <c r="BH258" s="53" t="s">
        <v>211</v>
      </c>
      <c r="BI258" s="53">
        <v>2</v>
      </c>
      <c r="BJ258" s="83">
        <v>46201</v>
      </c>
      <c r="BK258" s="53"/>
      <c r="BL258" s="53"/>
    </row>
    <row r="259" spans="3:64" ht="14.25" hidden="1" customHeight="1">
      <c r="C259" s="82" t="s">
        <v>13</v>
      </c>
      <c r="D259" s="82" t="s">
        <v>438</v>
      </c>
      <c r="E259" s="82" t="s">
        <v>426</v>
      </c>
      <c r="F259" s="82" t="s">
        <v>13</v>
      </c>
      <c r="G259" s="82">
        <v>1484</v>
      </c>
      <c r="H259" s="82" t="s">
        <v>147</v>
      </c>
      <c r="I259" s="82">
        <v>2</v>
      </c>
      <c r="J259" s="82">
        <v>87.6</v>
      </c>
      <c r="K259" s="82">
        <v>175.2</v>
      </c>
      <c r="L259" s="26">
        <f t="shared" si="17"/>
        <v>2</v>
      </c>
      <c r="M259" s="26">
        <f t="shared" si="18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>
        <v>2</v>
      </c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67" t="e">
        <f>SUMIFS([1]Up!$J:$J,[1]Up!$D:$D,D259)</f>
        <v>#VALUE!</v>
      </c>
      <c r="BB259" s="82"/>
      <c r="BC259" s="82" t="str">
        <f t="shared" si="19"/>
        <v>PL10</v>
      </c>
      <c r="BD259" s="53" t="str">
        <f t="shared" si="20"/>
        <v/>
      </c>
      <c r="BE259" s="53" t="s">
        <v>154</v>
      </c>
      <c r="BF259" s="84" t="s">
        <v>210</v>
      </c>
      <c r="BG259" s="53"/>
      <c r="BH259" s="53" t="s">
        <v>211</v>
      </c>
      <c r="BI259" s="53">
        <v>2</v>
      </c>
      <c r="BJ259" s="83">
        <v>46201</v>
      </c>
      <c r="BK259" s="53"/>
      <c r="BL259" s="53"/>
    </row>
    <row r="260" spans="3:64" ht="14.25" hidden="1" customHeight="1">
      <c r="C260" s="82" t="s">
        <v>13</v>
      </c>
      <c r="D260" s="82" t="s">
        <v>440</v>
      </c>
      <c r="E260" s="82" t="s">
        <v>426</v>
      </c>
      <c r="F260" s="82" t="s">
        <v>13</v>
      </c>
      <c r="G260" s="82">
        <v>1495</v>
      </c>
      <c r="H260" s="82" t="s">
        <v>147</v>
      </c>
      <c r="I260" s="82">
        <v>2</v>
      </c>
      <c r="J260" s="82">
        <v>88.5</v>
      </c>
      <c r="K260" s="82">
        <v>177</v>
      </c>
      <c r="L260" s="26">
        <f t="shared" si="17"/>
        <v>2</v>
      </c>
      <c r="M260" s="26">
        <f t="shared" si="18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>
        <v>2</v>
      </c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67" t="e">
        <f>SUMIFS([1]Up!$J:$J,[1]Up!$D:$D,D260)</f>
        <v>#VALUE!</v>
      </c>
      <c r="BB260" s="82"/>
      <c r="BC260" s="82" t="str">
        <f t="shared" si="19"/>
        <v>PL10</v>
      </c>
      <c r="BD260" s="53" t="str">
        <f t="shared" si="20"/>
        <v/>
      </c>
      <c r="BE260" s="53" t="s">
        <v>154</v>
      </c>
      <c r="BF260" s="84" t="s">
        <v>210</v>
      </c>
      <c r="BG260" s="53"/>
      <c r="BH260" s="53" t="s">
        <v>211</v>
      </c>
      <c r="BI260" s="53">
        <v>2</v>
      </c>
      <c r="BJ260" s="83">
        <v>46201</v>
      </c>
      <c r="BK260" s="53"/>
      <c r="BL260" s="53"/>
    </row>
    <row r="261" spans="3:64" ht="14.25" hidden="1" customHeight="1">
      <c r="C261" s="82" t="s">
        <v>13</v>
      </c>
      <c r="D261" s="82" t="s">
        <v>442</v>
      </c>
      <c r="E261" s="82" t="s">
        <v>426</v>
      </c>
      <c r="F261" s="82" t="s">
        <v>13</v>
      </c>
      <c r="G261" s="82">
        <v>1451</v>
      </c>
      <c r="H261" s="82" t="s">
        <v>147</v>
      </c>
      <c r="I261" s="82">
        <v>2</v>
      </c>
      <c r="J261" s="82">
        <v>84.8</v>
      </c>
      <c r="K261" s="82">
        <v>169.6</v>
      </c>
      <c r="L261" s="26">
        <f t="shared" si="17"/>
        <v>2</v>
      </c>
      <c r="M261" s="26">
        <f t="shared" si="18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>
        <v>2</v>
      </c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67" t="e">
        <f>SUMIFS([1]Up!$J:$J,[1]Up!$D:$D,D261)</f>
        <v>#VALUE!</v>
      </c>
      <c r="BB261" s="82"/>
      <c r="BC261" s="82" t="str">
        <f t="shared" si="19"/>
        <v>PL10</v>
      </c>
      <c r="BD261" s="53" t="str">
        <f t="shared" si="20"/>
        <v/>
      </c>
      <c r="BE261" s="53" t="s">
        <v>154</v>
      </c>
      <c r="BF261" s="84" t="s">
        <v>210</v>
      </c>
      <c r="BG261" s="53"/>
      <c r="BH261" s="53" t="s">
        <v>211</v>
      </c>
      <c r="BI261" s="53">
        <v>2</v>
      </c>
      <c r="BJ261" s="83">
        <v>46201</v>
      </c>
      <c r="BK261" s="53"/>
      <c r="BL261" s="53"/>
    </row>
    <row r="262" spans="3:64" ht="14.25" hidden="1" customHeight="1">
      <c r="C262" s="82" t="s">
        <v>13</v>
      </c>
      <c r="D262" s="82" t="s">
        <v>444</v>
      </c>
      <c r="E262" s="82" t="s">
        <v>426</v>
      </c>
      <c r="F262" s="82" t="s">
        <v>13</v>
      </c>
      <c r="G262" s="82">
        <v>1276</v>
      </c>
      <c r="H262" s="82" t="s">
        <v>147</v>
      </c>
      <c r="I262" s="82">
        <v>2</v>
      </c>
      <c r="J262" s="82">
        <v>72.8</v>
      </c>
      <c r="K262" s="82">
        <v>145.6</v>
      </c>
      <c r="L262" s="26">
        <f t="shared" si="17"/>
        <v>2</v>
      </c>
      <c r="M262" s="26">
        <f t="shared" si="18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>
        <v>2</v>
      </c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67" t="e">
        <f>SUMIFS([1]Up!$J:$J,[1]Up!$D:$D,D262)</f>
        <v>#VALUE!</v>
      </c>
      <c r="BB262" s="82"/>
      <c r="BC262" s="82" t="str">
        <f t="shared" si="19"/>
        <v>PL10</v>
      </c>
      <c r="BD262" s="53" t="str">
        <f t="shared" si="20"/>
        <v/>
      </c>
      <c r="BE262" s="53" t="s">
        <v>154</v>
      </c>
      <c r="BF262" s="84" t="s">
        <v>210</v>
      </c>
      <c r="BG262" s="53"/>
      <c r="BH262" s="53" t="s">
        <v>211</v>
      </c>
      <c r="BI262" s="53">
        <v>2</v>
      </c>
      <c r="BJ262" s="83">
        <v>46201</v>
      </c>
      <c r="BK262" s="53"/>
      <c r="BL262" s="53"/>
    </row>
    <row r="263" spans="3:64" ht="14.25" hidden="1" customHeight="1">
      <c r="C263" s="82" t="s">
        <v>13</v>
      </c>
      <c r="D263" s="82" t="s">
        <v>446</v>
      </c>
      <c r="E263" s="82" t="s">
        <v>426</v>
      </c>
      <c r="F263" s="82" t="s">
        <v>13</v>
      </c>
      <c r="G263" s="82">
        <v>890</v>
      </c>
      <c r="H263" s="82" t="s">
        <v>147</v>
      </c>
      <c r="I263" s="82">
        <v>2</v>
      </c>
      <c r="J263" s="82">
        <v>46.4</v>
      </c>
      <c r="K263" s="82">
        <v>92.8</v>
      </c>
      <c r="L263" s="26">
        <f t="shared" si="17"/>
        <v>2</v>
      </c>
      <c r="M263" s="26">
        <f t="shared" si="18"/>
        <v>0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>
        <v>2</v>
      </c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67" t="e">
        <f>SUMIFS([1]Up!$J:$J,[1]Up!$D:$D,D263)</f>
        <v>#VALUE!</v>
      </c>
      <c r="BB263" s="82"/>
      <c r="BC263" s="82" t="str">
        <f t="shared" si="19"/>
        <v>PL10</v>
      </c>
      <c r="BD263" s="53" t="str">
        <f t="shared" si="20"/>
        <v/>
      </c>
      <c r="BE263" s="53" t="s">
        <v>154</v>
      </c>
      <c r="BF263" s="84" t="s">
        <v>210</v>
      </c>
      <c r="BG263" s="53"/>
      <c r="BH263" s="53" t="s">
        <v>211</v>
      </c>
      <c r="BI263" s="53">
        <v>2</v>
      </c>
      <c r="BJ263" s="83">
        <v>46201</v>
      </c>
      <c r="BK263" s="53"/>
      <c r="BL263" s="53"/>
    </row>
    <row r="264" spans="3:64" ht="14.25" hidden="1" customHeight="1">
      <c r="C264" s="82" t="s">
        <v>13</v>
      </c>
      <c r="D264" s="82" t="s">
        <v>448</v>
      </c>
      <c r="E264" s="82" t="s">
        <v>418</v>
      </c>
      <c r="F264" s="82" t="s">
        <v>13</v>
      </c>
      <c r="G264" s="82">
        <v>3530</v>
      </c>
      <c r="H264" s="82" t="s">
        <v>147</v>
      </c>
      <c r="I264" s="82">
        <v>1</v>
      </c>
      <c r="J264" s="82">
        <v>1424.4</v>
      </c>
      <c r="K264" s="82">
        <v>1424.4</v>
      </c>
      <c r="L264" s="26">
        <f t="shared" si="17"/>
        <v>1</v>
      </c>
      <c r="M264" s="26">
        <f t="shared" si="18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>
        <v>1</v>
      </c>
      <c r="AD264" s="26"/>
      <c r="AE264" s="26"/>
      <c r="AF264" s="26"/>
      <c r="AG264" s="26"/>
      <c r="AH264" s="26">
        <v>1</v>
      </c>
      <c r="AI264" s="26"/>
      <c r="AJ264" s="26">
        <f>1+1</f>
        <v>2</v>
      </c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67" t="e">
        <f>SUMIFS([1]Up!$J:$J,[1]Up!$D:$D,D264)</f>
        <v>#VALUE!</v>
      </c>
      <c r="BB264" s="82" t="s">
        <v>2240</v>
      </c>
      <c r="BC264" s="82" t="e">
        <f t="shared" si="19"/>
        <v>#VALUE!</v>
      </c>
      <c r="BD264" s="53" t="str">
        <f t="shared" si="20"/>
        <v>Thừa 3</v>
      </c>
      <c r="BE264" s="53" t="s">
        <v>154</v>
      </c>
      <c r="BF264" s="53"/>
      <c r="BG264" s="53"/>
      <c r="BH264" s="53" t="s">
        <v>57</v>
      </c>
      <c r="BI264" s="53">
        <v>1</v>
      </c>
      <c r="BJ264" s="83"/>
      <c r="BK264" s="53"/>
      <c r="BL264" s="53"/>
    </row>
    <row r="265" spans="3:64" ht="14.25" hidden="1" customHeight="1">
      <c r="C265" s="82" t="s">
        <v>13</v>
      </c>
      <c r="D265" s="82" t="s">
        <v>450</v>
      </c>
      <c r="E265" s="82" t="s">
        <v>421</v>
      </c>
      <c r="F265" s="82" t="s">
        <v>13</v>
      </c>
      <c r="G265" s="82">
        <v>4243</v>
      </c>
      <c r="H265" s="82" t="s">
        <v>147</v>
      </c>
      <c r="I265" s="82">
        <v>1</v>
      </c>
      <c r="J265" s="82">
        <v>225.8</v>
      </c>
      <c r="K265" s="82">
        <v>225.8</v>
      </c>
      <c r="L265" s="26">
        <f t="shared" si="17"/>
        <v>1</v>
      </c>
      <c r="M265" s="26">
        <f t="shared" si="18"/>
        <v>0</v>
      </c>
      <c r="N265" s="26"/>
      <c r="O265" s="26"/>
      <c r="P265" s="26"/>
      <c r="Q265" s="26"/>
      <c r="R265" s="26"/>
      <c r="S265" s="26"/>
      <c r="T265" s="26"/>
      <c r="U265" s="26">
        <v>1</v>
      </c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67" t="e">
        <f>SUMIFS([1]Up!$J:$J,[1]Up!$D:$D,D265)</f>
        <v>#VALUE!</v>
      </c>
      <c r="BB265" s="82"/>
      <c r="BC265" s="82" t="str">
        <f t="shared" si="19"/>
        <v>PL10</v>
      </c>
      <c r="BD265" s="53" t="str">
        <f t="shared" si="20"/>
        <v/>
      </c>
      <c r="BE265" s="53" t="s">
        <v>148</v>
      </c>
      <c r="BF265" s="84" t="s">
        <v>210</v>
      </c>
      <c r="BG265" s="53"/>
      <c r="BH265" s="53" t="s">
        <v>211</v>
      </c>
      <c r="BI265" s="53">
        <v>1</v>
      </c>
      <c r="BJ265" s="83">
        <v>46201</v>
      </c>
      <c r="BK265" s="53"/>
      <c r="BL265" s="53"/>
    </row>
    <row r="266" spans="3:64" ht="14.25" hidden="1" customHeight="1">
      <c r="C266" s="82" t="s">
        <v>13</v>
      </c>
      <c r="D266" s="82" t="s">
        <v>452</v>
      </c>
      <c r="E266" s="82" t="s">
        <v>157</v>
      </c>
      <c r="F266" s="82" t="s">
        <v>13</v>
      </c>
      <c r="G266" s="82">
        <v>4619</v>
      </c>
      <c r="H266" s="82" t="s">
        <v>147</v>
      </c>
      <c r="I266" s="82">
        <v>1</v>
      </c>
      <c r="J266" s="82">
        <v>80.900000000000006</v>
      </c>
      <c r="K266" s="82">
        <v>80.900000000000006</v>
      </c>
      <c r="L266" s="26">
        <f t="shared" si="17"/>
        <v>1</v>
      </c>
      <c r="M266" s="26">
        <f t="shared" si="18"/>
        <v>0</v>
      </c>
      <c r="N266" s="26"/>
      <c r="O266" s="26"/>
      <c r="P266" s="26"/>
      <c r="Q266" s="26"/>
      <c r="R266" s="26"/>
      <c r="S266" s="26"/>
      <c r="T266" s="26"/>
      <c r="U266" s="26">
        <v>1</v>
      </c>
      <c r="V266" s="26"/>
      <c r="W266" s="26"/>
      <c r="X266" s="26">
        <v>2</v>
      </c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67" t="e">
        <f>SUMIFS([1]Up!$J:$J,[1]Up!$D:$D,D266)</f>
        <v>#VALUE!</v>
      </c>
      <c r="BB266" s="82" t="s">
        <v>2077</v>
      </c>
      <c r="BC266" s="82" t="str">
        <f t="shared" si="19"/>
        <v>PL15</v>
      </c>
      <c r="BD266" s="53" t="str">
        <f t="shared" si="20"/>
        <v>Thừa 2</v>
      </c>
      <c r="BE266" s="53" t="s">
        <v>148</v>
      </c>
      <c r="BF266" s="53"/>
      <c r="BG266" s="53"/>
      <c r="BH266" s="53" t="s">
        <v>57</v>
      </c>
      <c r="BI266" s="53">
        <v>1</v>
      </c>
      <c r="BJ266" s="83"/>
      <c r="BK266" s="53"/>
      <c r="BL266" s="53"/>
    </row>
    <row r="267" spans="3:64" ht="14.25" hidden="1" customHeight="1">
      <c r="C267" s="82" t="s">
        <v>13</v>
      </c>
      <c r="D267" s="82" t="s">
        <v>454</v>
      </c>
      <c r="E267" s="82" t="s">
        <v>157</v>
      </c>
      <c r="F267" s="82" t="s">
        <v>13</v>
      </c>
      <c r="G267" s="82">
        <v>5305</v>
      </c>
      <c r="H267" s="82" t="s">
        <v>147</v>
      </c>
      <c r="I267" s="82">
        <v>1</v>
      </c>
      <c r="J267" s="82">
        <v>93.5</v>
      </c>
      <c r="K267" s="82">
        <v>93.5</v>
      </c>
      <c r="L267" s="26">
        <f t="shared" si="17"/>
        <v>1</v>
      </c>
      <c r="M267" s="26">
        <f t="shared" si="18"/>
        <v>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>
        <v>3</v>
      </c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67" t="e">
        <f>SUMIFS([1]Up!$J:$J,[1]Up!$D:$D,D267)</f>
        <v>#VALUE!</v>
      </c>
      <c r="BB267" s="82" t="s">
        <v>2071</v>
      </c>
      <c r="BC267" s="82" t="str">
        <f t="shared" si="19"/>
        <v>PL15</v>
      </c>
      <c r="BD267" s="53" t="str">
        <f t="shared" si="20"/>
        <v>Thừa 2</v>
      </c>
      <c r="BE267" s="53" t="s">
        <v>148</v>
      </c>
      <c r="BF267" s="53"/>
      <c r="BG267" s="53"/>
      <c r="BH267" s="53" t="s">
        <v>57</v>
      </c>
      <c r="BI267" s="53">
        <v>1</v>
      </c>
      <c r="BJ267" s="83"/>
      <c r="BK267" s="53"/>
      <c r="BL267" s="53"/>
    </row>
    <row r="268" spans="3:64" ht="14.25" hidden="1" customHeight="1">
      <c r="C268" s="82" t="s">
        <v>13</v>
      </c>
      <c r="D268" s="82" t="s">
        <v>456</v>
      </c>
      <c r="E268" s="82" t="s">
        <v>157</v>
      </c>
      <c r="F268" s="82" t="s">
        <v>13</v>
      </c>
      <c r="G268" s="82">
        <v>985</v>
      </c>
      <c r="H268" s="82" t="s">
        <v>147</v>
      </c>
      <c r="I268" s="82">
        <v>2</v>
      </c>
      <c r="J268" s="82">
        <v>17</v>
      </c>
      <c r="K268" s="82">
        <v>34</v>
      </c>
      <c r="L268" s="26">
        <f t="shared" si="17"/>
        <v>2</v>
      </c>
      <c r="M268" s="26">
        <f t="shared" si="18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>
        <v>2</v>
      </c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67" t="e">
        <f>SUMIFS([1]Up!$J:$J,[1]Up!$D:$D,D268)</f>
        <v>#VALUE!</v>
      </c>
      <c r="BB268" s="82"/>
      <c r="BC268" s="82" t="str">
        <f t="shared" si="19"/>
        <v>PL15</v>
      </c>
      <c r="BD268" s="53" t="str">
        <f t="shared" si="20"/>
        <v/>
      </c>
      <c r="BE268" s="53" t="s">
        <v>148</v>
      </c>
      <c r="BF268" s="84" t="s">
        <v>200</v>
      </c>
      <c r="BG268" s="53"/>
      <c r="BH268" s="53" t="s">
        <v>201</v>
      </c>
      <c r="BI268" s="53">
        <v>2</v>
      </c>
      <c r="BJ268" s="83">
        <v>46201</v>
      </c>
      <c r="BK268" s="53"/>
      <c r="BL268" s="53"/>
    </row>
    <row r="269" spans="3:64" ht="14.25" hidden="1" customHeight="1">
      <c r="C269" s="82" t="s">
        <v>13</v>
      </c>
      <c r="D269" s="82" t="s">
        <v>458</v>
      </c>
      <c r="E269" s="82" t="s">
        <v>157</v>
      </c>
      <c r="F269" s="82" t="s">
        <v>13</v>
      </c>
      <c r="G269" s="82">
        <v>1397</v>
      </c>
      <c r="H269" s="82" t="s">
        <v>147</v>
      </c>
      <c r="I269" s="82">
        <v>2</v>
      </c>
      <c r="J269" s="82">
        <v>22.8</v>
      </c>
      <c r="K269" s="82">
        <v>45.6</v>
      </c>
      <c r="L269" s="26">
        <f t="shared" si="17"/>
        <v>2</v>
      </c>
      <c r="M269" s="26">
        <f t="shared" si="18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>
        <v>1</v>
      </c>
      <c r="Y269" s="26">
        <v>1</v>
      </c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67" t="e">
        <f>SUMIFS([1]Up!$J:$J,[1]Up!$D:$D,D269)</f>
        <v>#VALUE!</v>
      </c>
      <c r="BB269" s="82"/>
      <c r="BC269" s="82" t="str">
        <f t="shared" si="19"/>
        <v>PL15</v>
      </c>
      <c r="BD269" s="53" t="str">
        <f t="shared" si="20"/>
        <v/>
      </c>
      <c r="BE269" s="53" t="s">
        <v>148</v>
      </c>
      <c r="BF269" s="84" t="s">
        <v>200</v>
      </c>
      <c r="BG269" s="53"/>
      <c r="BH269" s="53" t="s">
        <v>201</v>
      </c>
      <c r="BI269" s="53">
        <v>2</v>
      </c>
      <c r="BJ269" s="83">
        <v>46201</v>
      </c>
      <c r="BK269" s="53"/>
      <c r="BL269" s="53"/>
    </row>
    <row r="270" spans="3:64" ht="14.25" hidden="1" customHeight="1">
      <c r="C270" s="82" t="s">
        <v>13</v>
      </c>
      <c r="D270" s="82" t="s">
        <v>460</v>
      </c>
      <c r="E270" s="82" t="s">
        <v>157</v>
      </c>
      <c r="F270" s="82" t="s">
        <v>13</v>
      </c>
      <c r="G270" s="82">
        <v>410</v>
      </c>
      <c r="H270" s="82" t="s">
        <v>147</v>
      </c>
      <c r="I270" s="82">
        <v>1</v>
      </c>
      <c r="J270" s="82">
        <v>7.2</v>
      </c>
      <c r="K270" s="82">
        <v>7.2</v>
      </c>
      <c r="L270" s="26">
        <f t="shared" ref="L270:L325" si="21">MIN(SUM(N270:AZ270),I270)</f>
        <v>1</v>
      </c>
      <c r="M270" s="26">
        <f t="shared" ref="M270:M325" si="22">MAX(0,I270-L270)</f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>
        <v>1</v>
      </c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67" t="e">
        <f>SUMIFS([1]Up!$J:$J,[1]Up!$D:$D,D270)</f>
        <v>#VALUE!</v>
      </c>
      <c r="BB270" s="82"/>
      <c r="BC270" s="82" t="str">
        <f t="shared" ref="BC270:BC325" si="23">IFERROR(IF(C270="Plate",LEFT(E270,FIND("*",E270,1)-1),""),IF(C270="Plate",LEFT(E270,FIND("x",E270,1)-1),""))</f>
        <v>PL15</v>
      </c>
      <c r="BD270" s="53" t="str">
        <f t="shared" ref="BD270:BD325" si="24">IF(ROUND(SUM(N270:AZ270)-I270,0)&gt;0,"Thừa "&amp;SUM(N270:AZ270)-I270,"")</f>
        <v/>
      </c>
      <c r="BE270" s="53" t="s">
        <v>148</v>
      </c>
      <c r="BF270" s="84" t="s">
        <v>200</v>
      </c>
      <c r="BG270" s="53"/>
      <c r="BH270" s="53" t="s">
        <v>201</v>
      </c>
      <c r="BI270" s="53">
        <v>1</v>
      </c>
      <c r="BJ270" s="83">
        <v>46201</v>
      </c>
      <c r="BK270" s="53"/>
      <c r="BL270" s="53"/>
    </row>
    <row r="271" spans="3:64" ht="14.25" hidden="1" customHeight="1">
      <c r="C271" s="82" t="s">
        <v>13</v>
      </c>
      <c r="D271" s="82" t="s">
        <v>462</v>
      </c>
      <c r="E271" s="82" t="s">
        <v>157</v>
      </c>
      <c r="F271" s="82" t="s">
        <v>13</v>
      </c>
      <c r="G271" s="82">
        <v>678</v>
      </c>
      <c r="H271" s="82" t="s">
        <v>147</v>
      </c>
      <c r="I271" s="82">
        <v>1</v>
      </c>
      <c r="J271" s="82">
        <v>10.3</v>
      </c>
      <c r="K271" s="82">
        <v>10.3</v>
      </c>
      <c r="L271" s="26">
        <f t="shared" si="21"/>
        <v>1</v>
      </c>
      <c r="M271" s="26">
        <f t="shared" si="22"/>
        <v>0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>
        <v>1</v>
      </c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67" t="e">
        <f>SUMIFS([1]Up!$J:$J,[1]Up!$D:$D,D271)</f>
        <v>#VALUE!</v>
      </c>
      <c r="BB271" s="82"/>
      <c r="BC271" s="82" t="str">
        <f t="shared" si="23"/>
        <v>PL15</v>
      </c>
      <c r="BD271" s="53" t="str">
        <f t="shared" si="24"/>
        <v/>
      </c>
      <c r="BE271" s="53" t="s">
        <v>148</v>
      </c>
      <c r="BF271" s="84" t="s">
        <v>200</v>
      </c>
      <c r="BG271" s="53"/>
      <c r="BH271" s="53" t="s">
        <v>201</v>
      </c>
      <c r="BI271" s="53">
        <v>1</v>
      </c>
      <c r="BJ271" s="83">
        <v>46201</v>
      </c>
      <c r="BK271" s="53"/>
      <c r="BL271" s="53"/>
    </row>
    <row r="272" spans="3:64" ht="14.25" hidden="1" customHeight="1">
      <c r="C272" s="82" t="s">
        <v>13</v>
      </c>
      <c r="D272" s="82" t="s">
        <v>464</v>
      </c>
      <c r="E272" s="82" t="s">
        <v>157</v>
      </c>
      <c r="F272" s="82" t="s">
        <v>13</v>
      </c>
      <c r="G272" s="82">
        <v>510</v>
      </c>
      <c r="H272" s="82" t="s">
        <v>147</v>
      </c>
      <c r="I272" s="82">
        <v>1</v>
      </c>
      <c r="J272" s="82">
        <v>7.2</v>
      </c>
      <c r="K272" s="82">
        <v>7.2</v>
      </c>
      <c r="L272" s="26">
        <f t="shared" si="21"/>
        <v>1</v>
      </c>
      <c r="M272" s="26">
        <f t="shared" si="22"/>
        <v>0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>
        <v>1</v>
      </c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67" t="e">
        <f>SUMIFS([1]Up!$J:$J,[1]Up!$D:$D,D272)</f>
        <v>#VALUE!</v>
      </c>
      <c r="BB272" s="82"/>
      <c r="BC272" s="82" t="str">
        <f t="shared" si="23"/>
        <v>PL15</v>
      </c>
      <c r="BD272" s="53" t="str">
        <f t="shared" si="24"/>
        <v/>
      </c>
      <c r="BE272" s="53" t="s">
        <v>148</v>
      </c>
      <c r="BF272" s="84" t="s">
        <v>200</v>
      </c>
      <c r="BG272" s="53"/>
      <c r="BH272" s="53" t="s">
        <v>201</v>
      </c>
      <c r="BI272" s="53">
        <v>1</v>
      </c>
      <c r="BJ272" s="83">
        <v>46201</v>
      </c>
      <c r="BK272" s="53"/>
      <c r="BL272" s="53"/>
    </row>
    <row r="273" spans="3:64" ht="14.25" hidden="1" customHeight="1">
      <c r="C273" s="82" t="s">
        <v>13</v>
      </c>
      <c r="D273" s="82" t="s">
        <v>466</v>
      </c>
      <c r="E273" s="82" t="s">
        <v>157</v>
      </c>
      <c r="F273" s="82" t="s">
        <v>13</v>
      </c>
      <c r="G273" s="82">
        <v>1761</v>
      </c>
      <c r="H273" s="82" t="s">
        <v>147</v>
      </c>
      <c r="I273" s="82">
        <v>1</v>
      </c>
      <c r="J273" s="82">
        <v>31.1</v>
      </c>
      <c r="K273" s="82">
        <v>31.1</v>
      </c>
      <c r="L273" s="26">
        <f t="shared" si="21"/>
        <v>1</v>
      </c>
      <c r="M273" s="26">
        <f t="shared" si="22"/>
        <v>0</v>
      </c>
      <c r="N273" s="26"/>
      <c r="O273" s="26"/>
      <c r="P273" s="26"/>
      <c r="Q273" s="26"/>
      <c r="R273" s="26"/>
      <c r="S273" s="26"/>
      <c r="T273" s="26"/>
      <c r="U273" s="26">
        <v>1</v>
      </c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67" t="e">
        <f>SUMIFS([1]Up!$J:$J,[1]Up!$D:$D,D273)</f>
        <v>#VALUE!</v>
      </c>
      <c r="BB273" s="82"/>
      <c r="BC273" s="82" t="str">
        <f t="shared" si="23"/>
        <v>PL15</v>
      </c>
      <c r="BD273" s="53" t="str">
        <f t="shared" si="24"/>
        <v/>
      </c>
      <c r="BE273" s="53" t="s">
        <v>148</v>
      </c>
      <c r="BF273" s="84" t="s">
        <v>200</v>
      </c>
      <c r="BG273" s="53"/>
      <c r="BH273" s="53" t="s">
        <v>201</v>
      </c>
      <c r="BI273" s="53">
        <v>1</v>
      </c>
      <c r="BJ273" s="83">
        <v>46201</v>
      </c>
      <c r="BK273" s="53"/>
      <c r="BL273" s="53"/>
    </row>
    <row r="274" spans="3:64" ht="14.25" hidden="1" customHeight="1">
      <c r="C274" s="82" t="s">
        <v>13</v>
      </c>
      <c r="D274" s="82" t="s">
        <v>468</v>
      </c>
      <c r="E274" s="82" t="s">
        <v>469</v>
      </c>
      <c r="F274" s="82" t="s">
        <v>13</v>
      </c>
      <c r="G274" s="82">
        <v>383</v>
      </c>
      <c r="H274" s="82" t="s">
        <v>147</v>
      </c>
      <c r="I274" s="82">
        <v>1</v>
      </c>
      <c r="J274" s="82">
        <v>10.1</v>
      </c>
      <c r="K274" s="82">
        <v>10.1</v>
      </c>
      <c r="L274" s="26">
        <f t="shared" si="21"/>
        <v>1</v>
      </c>
      <c r="M274" s="26">
        <f t="shared" si="22"/>
        <v>0</v>
      </c>
      <c r="N274" s="26"/>
      <c r="O274" s="26"/>
      <c r="P274" s="26"/>
      <c r="Q274" s="26"/>
      <c r="R274" s="26"/>
      <c r="S274" s="26"/>
      <c r="T274" s="26"/>
      <c r="U274" s="26">
        <v>1</v>
      </c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67" t="e">
        <f>SUMIFS([1]Up!$J:$J,[1]Up!$D:$D,D274)</f>
        <v>#VALUE!</v>
      </c>
      <c r="BB274" s="82"/>
      <c r="BC274" s="82" t="str">
        <f t="shared" si="23"/>
        <v>PL15</v>
      </c>
      <c r="BD274" s="53" t="str">
        <f t="shared" si="24"/>
        <v/>
      </c>
      <c r="BE274" s="53" t="s">
        <v>148</v>
      </c>
      <c r="BF274" s="84" t="s">
        <v>200</v>
      </c>
      <c r="BG274" s="53"/>
      <c r="BH274" s="53" t="s">
        <v>201</v>
      </c>
      <c r="BI274" s="53">
        <v>1</v>
      </c>
      <c r="BJ274" s="83">
        <v>46201</v>
      </c>
      <c r="BK274" s="53"/>
      <c r="BL274" s="53"/>
    </row>
    <row r="275" spans="3:64" ht="14.25" hidden="1" customHeight="1">
      <c r="C275" s="82" t="s">
        <v>13</v>
      </c>
      <c r="D275" s="82" t="s">
        <v>471</v>
      </c>
      <c r="E275" s="82" t="s">
        <v>472</v>
      </c>
      <c r="F275" s="82" t="s">
        <v>13</v>
      </c>
      <c r="G275" s="82">
        <v>3213</v>
      </c>
      <c r="H275" s="82" t="s">
        <v>147</v>
      </c>
      <c r="I275" s="82">
        <v>2</v>
      </c>
      <c r="J275" s="82">
        <v>72.7</v>
      </c>
      <c r="K275" s="82">
        <v>145.4</v>
      </c>
      <c r="L275" s="26">
        <f t="shared" si="21"/>
        <v>2</v>
      </c>
      <c r="M275" s="26">
        <f t="shared" si="22"/>
        <v>0</v>
      </c>
      <c r="N275" s="26"/>
      <c r="O275" s="26">
        <v>2</v>
      </c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67" t="e">
        <f>SUMIFS([1]Up!$J:$J,[1]Up!$D:$D,D275)</f>
        <v>#VALUE!</v>
      </c>
      <c r="BB275" s="82"/>
      <c r="BC275" s="82" t="str">
        <f t="shared" si="23"/>
        <v>PL20</v>
      </c>
      <c r="BD275" s="53" t="str">
        <f t="shared" si="24"/>
        <v/>
      </c>
      <c r="BE275" s="53" t="s">
        <v>148</v>
      </c>
      <c r="BF275" s="84" t="s">
        <v>319</v>
      </c>
      <c r="BG275" s="53"/>
      <c r="BH275" s="53" t="s">
        <v>320</v>
      </c>
      <c r="BI275" s="53">
        <v>2</v>
      </c>
      <c r="BJ275" s="83">
        <v>46202</v>
      </c>
      <c r="BK275" s="53"/>
      <c r="BL275" s="53"/>
    </row>
    <row r="276" spans="3:64" ht="14.25" hidden="1" customHeight="1">
      <c r="C276" s="82" t="s">
        <v>13</v>
      </c>
      <c r="D276" s="82" t="s">
        <v>474</v>
      </c>
      <c r="E276" s="82" t="s">
        <v>472</v>
      </c>
      <c r="F276" s="82" t="s">
        <v>13</v>
      </c>
      <c r="G276" s="82">
        <v>3252</v>
      </c>
      <c r="H276" s="82" t="s">
        <v>147</v>
      </c>
      <c r="I276" s="82">
        <v>2</v>
      </c>
      <c r="J276" s="82">
        <v>73</v>
      </c>
      <c r="K276" s="82">
        <v>146</v>
      </c>
      <c r="L276" s="26">
        <f t="shared" si="21"/>
        <v>2</v>
      </c>
      <c r="M276" s="26">
        <f t="shared" si="22"/>
        <v>0</v>
      </c>
      <c r="N276" s="26">
        <v>2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67" t="e">
        <f>SUMIFS([1]Up!$J:$J,[1]Up!$D:$D,D276)</f>
        <v>#VALUE!</v>
      </c>
      <c r="BB276" s="82"/>
      <c r="BC276" s="82" t="str">
        <f t="shared" si="23"/>
        <v>PL20</v>
      </c>
      <c r="BD276" s="53" t="str">
        <f t="shared" si="24"/>
        <v/>
      </c>
      <c r="BE276" s="53" t="s">
        <v>148</v>
      </c>
      <c r="BF276" s="84" t="s">
        <v>319</v>
      </c>
      <c r="BG276" s="53"/>
      <c r="BH276" s="53" t="s">
        <v>320</v>
      </c>
      <c r="BI276" s="53">
        <v>2</v>
      </c>
      <c r="BJ276" s="83">
        <v>46202</v>
      </c>
      <c r="BK276" s="53"/>
      <c r="BL276" s="53"/>
    </row>
    <row r="277" spans="3:64" ht="14.25" hidden="1" customHeight="1">
      <c r="C277" s="82" t="s">
        <v>13</v>
      </c>
      <c r="D277" s="82" t="s">
        <v>476</v>
      </c>
      <c r="E277" s="82" t="s">
        <v>160</v>
      </c>
      <c r="F277" s="82" t="s">
        <v>13</v>
      </c>
      <c r="G277" s="82">
        <v>9902</v>
      </c>
      <c r="H277" s="82" t="s">
        <v>147</v>
      </c>
      <c r="I277" s="82">
        <v>1</v>
      </c>
      <c r="J277" s="82">
        <v>195.7</v>
      </c>
      <c r="K277" s="82">
        <v>195.7</v>
      </c>
      <c r="L277" s="26">
        <f t="shared" si="21"/>
        <v>1</v>
      </c>
      <c r="M277" s="26">
        <f t="shared" si="22"/>
        <v>0</v>
      </c>
      <c r="N277" s="26"/>
      <c r="O277" s="26"/>
      <c r="P277" s="26"/>
      <c r="Q277" s="26"/>
      <c r="R277" s="26"/>
      <c r="S277" s="26"/>
      <c r="T277" s="26"/>
      <c r="U277" s="26">
        <v>1</v>
      </c>
      <c r="V277" s="26"/>
      <c r="W277" s="26"/>
      <c r="X277" s="26">
        <v>3</v>
      </c>
      <c r="Y277" s="26"/>
      <c r="Z277" s="26"/>
      <c r="AA277" s="26"/>
      <c r="AB277" s="26">
        <v>1</v>
      </c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67" t="e">
        <f>SUMIFS([1]Up!$J:$J,[1]Up!$D:$D,D277)</f>
        <v>#VALUE!</v>
      </c>
      <c r="BB277" s="82" t="s">
        <v>2082</v>
      </c>
      <c r="BC277" s="82" t="str">
        <f t="shared" si="23"/>
        <v>PL15</v>
      </c>
      <c r="BD277" s="53" t="str">
        <f t="shared" si="24"/>
        <v>Thừa 4</v>
      </c>
      <c r="BE277" s="53" t="s">
        <v>148</v>
      </c>
      <c r="BF277" s="53"/>
      <c r="BG277" s="53"/>
      <c r="BH277" s="53" t="s">
        <v>57</v>
      </c>
      <c r="BI277" s="53">
        <v>1</v>
      </c>
      <c r="BJ277" s="83"/>
      <c r="BK277" s="53"/>
      <c r="BL277" s="53"/>
    </row>
    <row r="278" spans="3:64" ht="14.25" hidden="1" customHeight="1">
      <c r="C278" s="82" t="s">
        <v>13</v>
      </c>
      <c r="D278" s="82" t="s">
        <v>680</v>
      </c>
      <c r="E278" s="82" t="s">
        <v>648</v>
      </c>
      <c r="F278" s="82" t="s">
        <v>13</v>
      </c>
      <c r="G278" s="82">
        <v>400</v>
      </c>
      <c r="H278" s="82" t="s">
        <v>147</v>
      </c>
      <c r="I278" s="82">
        <v>2</v>
      </c>
      <c r="J278" s="82">
        <v>25.1</v>
      </c>
      <c r="K278" s="82">
        <v>50.2</v>
      </c>
      <c r="L278" s="26">
        <f t="shared" si="21"/>
        <v>2</v>
      </c>
      <c r="M278" s="26">
        <f t="shared" si="22"/>
        <v>0</v>
      </c>
      <c r="N278" s="26">
        <v>1</v>
      </c>
      <c r="O278" s="26">
        <v>1</v>
      </c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67" t="e">
        <f>SUMIFS([1]Up!$J:$J,[1]Up!$D:$D,D278)</f>
        <v>#VALUE!</v>
      </c>
      <c r="BB278" s="82"/>
      <c r="BC278" s="82" t="str">
        <f t="shared" si="23"/>
        <v>PL20</v>
      </c>
      <c r="BD278" s="53" t="str">
        <f t="shared" si="24"/>
        <v/>
      </c>
      <c r="BE278" s="53" t="s">
        <v>148</v>
      </c>
      <c r="BF278" s="84" t="s">
        <v>319</v>
      </c>
      <c r="BG278" s="53"/>
      <c r="BH278" s="53" t="s">
        <v>320</v>
      </c>
      <c r="BI278" s="53">
        <v>2</v>
      </c>
      <c r="BJ278" s="83">
        <v>46202</v>
      </c>
      <c r="BK278" s="53"/>
      <c r="BL278" s="53"/>
    </row>
    <row r="279" spans="3:64" ht="14.25" hidden="1" customHeight="1">
      <c r="C279" s="82" t="s">
        <v>13</v>
      </c>
      <c r="D279" s="82" t="s">
        <v>681</v>
      </c>
      <c r="E279" s="82" t="s">
        <v>651</v>
      </c>
      <c r="F279" s="82" t="s">
        <v>13</v>
      </c>
      <c r="G279" s="82">
        <v>800</v>
      </c>
      <c r="H279" s="82" t="s">
        <v>652</v>
      </c>
      <c r="I279" s="82">
        <v>4</v>
      </c>
      <c r="J279" s="82">
        <v>4.7</v>
      </c>
      <c r="K279" s="82">
        <v>18.8</v>
      </c>
      <c r="L279" s="26">
        <f t="shared" si="21"/>
        <v>4</v>
      </c>
      <c r="M279" s="26">
        <f t="shared" si="22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>
        <v>4</v>
      </c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67" t="e">
        <f>SUMIFS([1]Up!$J:$J,[1]Up!$D:$D,D279)</f>
        <v>#VALUE!</v>
      </c>
      <c r="BB279" s="82"/>
      <c r="BC279" s="82" t="str">
        <f t="shared" si="23"/>
        <v>PL3</v>
      </c>
      <c r="BD279" s="53" t="str">
        <f t="shared" si="24"/>
        <v/>
      </c>
      <c r="BE279" s="53" t="s">
        <v>148</v>
      </c>
      <c r="BF279" s="84" t="s">
        <v>682</v>
      </c>
      <c r="BG279" s="53"/>
      <c r="BH279" s="53" t="s">
        <v>683</v>
      </c>
      <c r="BI279" s="53">
        <v>4</v>
      </c>
      <c r="BJ279" s="83">
        <v>46196</v>
      </c>
      <c r="BK279" s="53"/>
      <c r="BL279" s="53"/>
    </row>
    <row r="280" spans="3:64" ht="14.25" hidden="1" customHeight="1">
      <c r="C280" s="82" t="s">
        <v>13</v>
      </c>
      <c r="D280" s="82" t="s">
        <v>684</v>
      </c>
      <c r="E280" s="82" t="s">
        <v>648</v>
      </c>
      <c r="F280" s="82" t="s">
        <v>13</v>
      </c>
      <c r="G280" s="82">
        <v>970</v>
      </c>
      <c r="H280" s="82" t="s">
        <v>147</v>
      </c>
      <c r="I280" s="82">
        <v>2</v>
      </c>
      <c r="J280" s="82">
        <v>60.9</v>
      </c>
      <c r="K280" s="82">
        <v>121.8</v>
      </c>
      <c r="L280" s="26">
        <f t="shared" si="21"/>
        <v>2</v>
      </c>
      <c r="M280" s="26">
        <f t="shared" si="22"/>
        <v>0</v>
      </c>
      <c r="N280" s="26">
        <v>2</v>
      </c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67" t="e">
        <f>SUMIFS([1]Up!$J:$J,[1]Up!$D:$D,D280)</f>
        <v>#VALUE!</v>
      </c>
      <c r="BB280" s="82"/>
      <c r="BC280" s="82" t="str">
        <f t="shared" si="23"/>
        <v>PL20</v>
      </c>
      <c r="BD280" s="53" t="str">
        <f t="shared" si="24"/>
        <v/>
      </c>
      <c r="BE280" s="53" t="s">
        <v>148</v>
      </c>
      <c r="BF280" s="84" t="s">
        <v>319</v>
      </c>
      <c r="BG280" s="53"/>
      <c r="BH280" s="53" t="s">
        <v>320</v>
      </c>
      <c r="BI280" s="53">
        <v>2</v>
      </c>
      <c r="BJ280" s="83">
        <v>46202</v>
      </c>
      <c r="BK280" s="53"/>
      <c r="BL280" s="53"/>
    </row>
    <row r="281" spans="3:64" ht="14.25" hidden="1" customHeight="1">
      <c r="C281" s="82" t="s">
        <v>13</v>
      </c>
      <c r="D281" s="82" t="s">
        <v>685</v>
      </c>
      <c r="E281" s="82" t="s">
        <v>657</v>
      </c>
      <c r="F281" s="82" t="s">
        <v>13</v>
      </c>
      <c r="G281" s="82">
        <v>400</v>
      </c>
      <c r="H281" s="82" t="s">
        <v>147</v>
      </c>
      <c r="I281" s="82">
        <v>4</v>
      </c>
      <c r="J281" s="82">
        <v>16.600000000000001</v>
      </c>
      <c r="K281" s="82">
        <v>66.400000000000006</v>
      </c>
      <c r="L281" s="26">
        <f t="shared" si="21"/>
        <v>4</v>
      </c>
      <c r="M281" s="26">
        <f t="shared" si="22"/>
        <v>0</v>
      </c>
      <c r="N281" s="26">
        <v>3</v>
      </c>
      <c r="O281" s="26">
        <v>1</v>
      </c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67" t="e">
        <f>SUMIFS([1]Up!$J:$J,[1]Up!$D:$D,D281)</f>
        <v>#VALUE!</v>
      </c>
      <c r="BB281" s="82"/>
      <c r="BC281" s="82" t="str">
        <f t="shared" si="23"/>
        <v>PL20</v>
      </c>
      <c r="BD281" s="53" t="str">
        <f t="shared" si="24"/>
        <v/>
      </c>
      <c r="BE281" s="53" t="s">
        <v>148</v>
      </c>
      <c r="BF281" s="84" t="s">
        <v>319</v>
      </c>
      <c r="BG281" s="53"/>
      <c r="BH281" s="53" t="s">
        <v>320</v>
      </c>
      <c r="BI281" s="53">
        <v>4</v>
      </c>
      <c r="BJ281" s="83">
        <v>46202</v>
      </c>
      <c r="BK281" s="53"/>
      <c r="BL281" s="53"/>
    </row>
    <row r="282" spans="3:64" ht="14.25" hidden="1" customHeight="1">
      <c r="C282" s="82" t="s">
        <v>13</v>
      </c>
      <c r="D282" s="82" t="s">
        <v>687</v>
      </c>
      <c r="E282" s="82" t="s">
        <v>645</v>
      </c>
      <c r="F282" s="82" t="s">
        <v>13</v>
      </c>
      <c r="G282" s="82">
        <v>3080</v>
      </c>
      <c r="H282" s="82" t="s">
        <v>147</v>
      </c>
      <c r="I282" s="82">
        <v>1</v>
      </c>
      <c r="J282" s="82">
        <v>739.8</v>
      </c>
      <c r="K282" s="82">
        <v>739.8</v>
      </c>
      <c r="L282" s="26">
        <f t="shared" si="21"/>
        <v>1</v>
      </c>
      <c r="M282" s="26">
        <f t="shared" si="22"/>
        <v>0</v>
      </c>
      <c r="N282" s="26">
        <v>1</v>
      </c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67" t="e">
        <f>SUMIFS([1]Up!$J:$J,[1]Up!$D:$D,D282)</f>
        <v>#VALUE!</v>
      </c>
      <c r="BB282" s="82"/>
      <c r="BC282" s="82" t="str">
        <f t="shared" si="23"/>
        <v>PL30</v>
      </c>
      <c r="BD282" s="53" t="str">
        <f t="shared" si="24"/>
        <v/>
      </c>
      <c r="BE282" s="53" t="s">
        <v>148</v>
      </c>
      <c r="BF282" s="84" t="s">
        <v>688</v>
      </c>
      <c r="BG282" s="53"/>
      <c r="BH282" s="53" t="s">
        <v>689</v>
      </c>
      <c r="BI282" s="53">
        <v>1</v>
      </c>
      <c r="BJ282" s="83">
        <v>46196</v>
      </c>
      <c r="BK282" s="53"/>
      <c r="BL282" s="53"/>
    </row>
    <row r="283" spans="3:64" ht="14.25" hidden="1" customHeight="1">
      <c r="C283" s="82" t="s">
        <v>13</v>
      </c>
      <c r="D283" s="82" t="s">
        <v>691</v>
      </c>
      <c r="E283" s="82" t="s">
        <v>648</v>
      </c>
      <c r="F283" s="82" t="s">
        <v>13</v>
      </c>
      <c r="G283" s="82">
        <v>1119</v>
      </c>
      <c r="H283" s="82" t="s">
        <v>147</v>
      </c>
      <c r="I283" s="82">
        <v>2</v>
      </c>
      <c r="J283" s="82">
        <v>70.3</v>
      </c>
      <c r="K283" s="82">
        <v>140.6</v>
      </c>
      <c r="L283" s="26">
        <f t="shared" si="21"/>
        <v>2</v>
      </c>
      <c r="M283" s="26">
        <f t="shared" si="22"/>
        <v>0</v>
      </c>
      <c r="N283" s="26"/>
      <c r="O283" s="26"/>
      <c r="P283" s="26"/>
      <c r="Q283" s="26">
        <v>2</v>
      </c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67" t="e">
        <f>SUMIFS([1]Up!$J:$J,[1]Up!$D:$D,D283)</f>
        <v>#VALUE!</v>
      </c>
      <c r="BB283" s="82"/>
      <c r="BC283" s="82" t="str">
        <f t="shared" si="23"/>
        <v>PL20</v>
      </c>
      <c r="BD283" s="53" t="str">
        <f t="shared" si="24"/>
        <v/>
      </c>
      <c r="BE283" s="53" t="s">
        <v>148</v>
      </c>
      <c r="BF283" s="84" t="s">
        <v>319</v>
      </c>
      <c r="BG283" s="53"/>
      <c r="BH283" s="53" t="s">
        <v>320</v>
      </c>
      <c r="BI283" s="53">
        <v>2</v>
      </c>
      <c r="BJ283" s="83">
        <v>46202</v>
      </c>
      <c r="BK283" s="53"/>
      <c r="BL283" s="53"/>
    </row>
    <row r="284" spans="3:64" ht="14.25" hidden="1" customHeight="1">
      <c r="C284" s="82" t="s">
        <v>13</v>
      </c>
      <c r="D284" s="82" t="s">
        <v>693</v>
      </c>
      <c r="E284" s="82" t="s">
        <v>648</v>
      </c>
      <c r="F284" s="82" t="s">
        <v>13</v>
      </c>
      <c r="G284" s="82">
        <v>730</v>
      </c>
      <c r="H284" s="82" t="s">
        <v>147</v>
      </c>
      <c r="I284" s="82">
        <v>2</v>
      </c>
      <c r="J284" s="82">
        <v>45.8</v>
      </c>
      <c r="K284" s="82">
        <v>91.6</v>
      </c>
      <c r="L284" s="26">
        <f t="shared" si="21"/>
        <v>2</v>
      </c>
      <c r="M284" s="26">
        <f t="shared" si="22"/>
        <v>0</v>
      </c>
      <c r="N284" s="26"/>
      <c r="O284" s="26"/>
      <c r="P284" s="26">
        <v>2</v>
      </c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67" t="e">
        <f>SUMIFS([1]Up!$J:$J,[1]Up!$D:$D,D284)</f>
        <v>#VALUE!</v>
      </c>
      <c r="BB284" s="82"/>
      <c r="BC284" s="82" t="str">
        <f t="shared" si="23"/>
        <v>PL20</v>
      </c>
      <c r="BD284" s="53" t="str">
        <f t="shared" si="24"/>
        <v/>
      </c>
      <c r="BE284" s="53" t="s">
        <v>148</v>
      </c>
      <c r="BF284" s="84" t="s">
        <v>319</v>
      </c>
      <c r="BG284" s="53"/>
      <c r="BH284" s="53" t="s">
        <v>320</v>
      </c>
      <c r="BI284" s="53">
        <v>2</v>
      </c>
      <c r="BJ284" s="83">
        <v>46202</v>
      </c>
      <c r="BK284" s="53"/>
      <c r="BL284" s="53"/>
    </row>
    <row r="285" spans="3:64" ht="14.25" hidden="1" customHeight="1">
      <c r="C285" s="82" t="s">
        <v>13</v>
      </c>
      <c r="D285" s="82" t="s">
        <v>695</v>
      </c>
      <c r="E285" s="82" t="s">
        <v>657</v>
      </c>
      <c r="F285" s="82" t="s">
        <v>13</v>
      </c>
      <c r="G285" s="82">
        <v>730</v>
      </c>
      <c r="H285" s="82" t="s">
        <v>147</v>
      </c>
      <c r="I285" s="82">
        <v>4</v>
      </c>
      <c r="J285" s="82">
        <v>30.4</v>
      </c>
      <c r="K285" s="82">
        <v>121.6</v>
      </c>
      <c r="L285" s="26">
        <f t="shared" si="21"/>
        <v>4</v>
      </c>
      <c r="M285" s="26">
        <f t="shared" si="22"/>
        <v>0</v>
      </c>
      <c r="N285" s="26"/>
      <c r="O285" s="26">
        <v>2</v>
      </c>
      <c r="P285" s="26">
        <v>2</v>
      </c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67" t="e">
        <f>SUMIFS([1]Up!$J:$J,[1]Up!$D:$D,D285)</f>
        <v>#VALUE!</v>
      </c>
      <c r="BB285" s="82"/>
      <c r="BC285" s="82" t="str">
        <f t="shared" si="23"/>
        <v>PL20</v>
      </c>
      <c r="BD285" s="53" t="str">
        <f t="shared" si="24"/>
        <v/>
      </c>
      <c r="BE285" s="53" t="s">
        <v>148</v>
      </c>
      <c r="BF285" s="84" t="s">
        <v>319</v>
      </c>
      <c r="BG285" s="53"/>
      <c r="BH285" s="53" t="s">
        <v>320</v>
      </c>
      <c r="BI285" s="53">
        <v>4</v>
      </c>
      <c r="BJ285" s="83">
        <v>46202</v>
      </c>
      <c r="BK285" s="53"/>
      <c r="BL285" s="53"/>
    </row>
    <row r="286" spans="3:64" ht="14.25" hidden="1" customHeight="1">
      <c r="C286" s="82" t="s">
        <v>13</v>
      </c>
      <c r="D286" s="82" t="s">
        <v>697</v>
      </c>
      <c r="E286" s="82" t="s">
        <v>657</v>
      </c>
      <c r="F286" s="82" t="s">
        <v>13</v>
      </c>
      <c r="G286" s="82">
        <v>1119</v>
      </c>
      <c r="H286" s="82" t="s">
        <v>147</v>
      </c>
      <c r="I286" s="82">
        <v>2</v>
      </c>
      <c r="J286" s="82">
        <v>46.6</v>
      </c>
      <c r="K286" s="82">
        <v>93.2</v>
      </c>
      <c r="L286" s="26">
        <f t="shared" si="21"/>
        <v>2</v>
      </c>
      <c r="M286" s="26">
        <f t="shared" si="22"/>
        <v>0</v>
      </c>
      <c r="N286" s="26"/>
      <c r="O286" s="26">
        <v>2</v>
      </c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67" t="e">
        <f>SUMIFS([1]Up!$J:$J,[1]Up!$D:$D,D286)</f>
        <v>#VALUE!</v>
      </c>
      <c r="BB286" s="82"/>
      <c r="BC286" s="82" t="str">
        <f t="shared" si="23"/>
        <v>PL20</v>
      </c>
      <c r="BD286" s="53" t="str">
        <f t="shared" si="24"/>
        <v/>
      </c>
      <c r="BE286" s="53" t="s">
        <v>148</v>
      </c>
      <c r="BF286" s="84" t="s">
        <v>319</v>
      </c>
      <c r="BG286" s="53"/>
      <c r="BH286" s="53" t="s">
        <v>320</v>
      </c>
      <c r="BI286" s="53">
        <v>2</v>
      </c>
      <c r="BJ286" s="83">
        <v>46202</v>
      </c>
      <c r="BK286" s="53"/>
      <c r="BL286" s="53"/>
    </row>
    <row r="287" spans="3:64" ht="14.25" hidden="1" customHeight="1">
      <c r="C287" s="82" t="s">
        <v>13</v>
      </c>
      <c r="D287" s="82" t="s">
        <v>699</v>
      </c>
      <c r="E287" s="82" t="s">
        <v>657</v>
      </c>
      <c r="F287" s="82" t="s">
        <v>13</v>
      </c>
      <c r="G287" s="82">
        <v>1119</v>
      </c>
      <c r="H287" s="82" t="s">
        <v>147</v>
      </c>
      <c r="I287" s="82">
        <v>2</v>
      </c>
      <c r="J287" s="82">
        <v>45</v>
      </c>
      <c r="K287" s="82">
        <v>90</v>
      </c>
      <c r="L287" s="26">
        <f t="shared" si="21"/>
        <v>2</v>
      </c>
      <c r="M287" s="26">
        <f t="shared" si="22"/>
        <v>0</v>
      </c>
      <c r="N287" s="26"/>
      <c r="O287" s="26">
        <v>2</v>
      </c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67" t="e">
        <f>SUMIFS([1]Up!$J:$J,[1]Up!$D:$D,D287)</f>
        <v>#VALUE!</v>
      </c>
      <c r="BB287" s="82"/>
      <c r="BC287" s="82" t="str">
        <f t="shared" si="23"/>
        <v>PL20</v>
      </c>
      <c r="BD287" s="53" t="str">
        <f t="shared" si="24"/>
        <v/>
      </c>
      <c r="BE287" s="53" t="s">
        <v>148</v>
      </c>
      <c r="BF287" s="84" t="s">
        <v>319</v>
      </c>
      <c r="BG287" s="53"/>
      <c r="BH287" s="53" t="s">
        <v>320</v>
      </c>
      <c r="BI287" s="53">
        <v>2</v>
      </c>
      <c r="BJ287" s="83">
        <v>46202</v>
      </c>
      <c r="BK287" s="53"/>
      <c r="BL287" s="53"/>
    </row>
    <row r="288" spans="3:64" ht="14.25" hidden="1" customHeight="1">
      <c r="C288" s="82" t="s">
        <v>13</v>
      </c>
      <c r="D288" s="82" t="s">
        <v>701</v>
      </c>
      <c r="E288" s="82" t="s">
        <v>702</v>
      </c>
      <c r="F288" s="82" t="s">
        <v>13</v>
      </c>
      <c r="G288" s="82">
        <v>1241</v>
      </c>
      <c r="H288" s="82" t="s">
        <v>147</v>
      </c>
      <c r="I288" s="82">
        <v>4</v>
      </c>
      <c r="J288" s="82">
        <v>104.3</v>
      </c>
      <c r="K288" s="82">
        <v>417.2</v>
      </c>
      <c r="L288" s="26">
        <f t="shared" si="21"/>
        <v>4</v>
      </c>
      <c r="M288" s="26">
        <f t="shared" si="22"/>
        <v>0</v>
      </c>
      <c r="N288" s="26"/>
      <c r="O288" s="26"/>
      <c r="P288" s="26"/>
      <c r="Q288" s="26">
        <v>3</v>
      </c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>
        <v>1</v>
      </c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67" t="e">
        <f>SUMIFS([1]Up!$J:$J,[1]Up!$D:$D,D288)</f>
        <v>#VALUE!</v>
      </c>
      <c r="BB288" s="82"/>
      <c r="BC288" s="82" t="str">
        <f t="shared" si="23"/>
        <v>PL20</v>
      </c>
      <c r="BD288" s="53" t="str">
        <f t="shared" si="24"/>
        <v/>
      </c>
      <c r="BE288" s="53" t="s">
        <v>148</v>
      </c>
      <c r="BF288" s="84" t="s">
        <v>319</v>
      </c>
      <c r="BG288" s="53"/>
      <c r="BH288" s="53" t="s">
        <v>320</v>
      </c>
      <c r="BI288" s="53">
        <v>4</v>
      </c>
      <c r="BJ288" s="83">
        <v>46202</v>
      </c>
      <c r="BK288" s="53"/>
      <c r="BL288" s="53"/>
    </row>
    <row r="289" spans="3:64" ht="14.25" hidden="1" customHeight="1">
      <c r="C289" s="82" t="s">
        <v>13</v>
      </c>
      <c r="D289" s="82" t="s">
        <v>703</v>
      </c>
      <c r="E289" s="82" t="s">
        <v>678</v>
      </c>
      <c r="F289" s="82" t="s">
        <v>13</v>
      </c>
      <c r="G289" s="82">
        <v>100</v>
      </c>
      <c r="H289" s="82" t="s">
        <v>652</v>
      </c>
      <c r="I289" s="82">
        <v>1</v>
      </c>
      <c r="J289" s="82">
        <v>0.2</v>
      </c>
      <c r="K289" s="82">
        <v>0.2</v>
      </c>
      <c r="L289" s="26">
        <f t="shared" si="21"/>
        <v>1</v>
      </c>
      <c r="M289" s="26">
        <f t="shared" si="22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>
        <v>1</v>
      </c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67" t="e">
        <f>SUMIFS([1]Up!$J:$J,[1]Up!$D:$D,D289)</f>
        <v>#VALUE!</v>
      </c>
      <c r="BB289" s="82"/>
      <c r="BC289" s="82" t="str">
        <f t="shared" si="23"/>
        <v>PL5</v>
      </c>
      <c r="BD289" s="53" t="str">
        <f t="shared" si="24"/>
        <v/>
      </c>
      <c r="BE289" s="53" t="s">
        <v>148</v>
      </c>
      <c r="BF289" s="53" t="s">
        <v>704</v>
      </c>
      <c r="BG289" s="53"/>
      <c r="BH289" s="53" t="s">
        <v>705</v>
      </c>
      <c r="BI289" s="53">
        <v>1</v>
      </c>
      <c r="BJ289" s="83">
        <v>46196</v>
      </c>
      <c r="BK289" s="53"/>
      <c r="BL289" s="53"/>
    </row>
    <row r="290" spans="3:64" ht="14.25" hidden="1" customHeight="1">
      <c r="C290" s="82" t="s">
        <v>13</v>
      </c>
      <c r="D290" s="82" t="s">
        <v>733</v>
      </c>
      <c r="E290" s="82" t="s">
        <v>734</v>
      </c>
      <c r="F290" s="82" t="s">
        <v>13</v>
      </c>
      <c r="G290" s="82">
        <v>420</v>
      </c>
      <c r="H290" s="82" t="s">
        <v>147</v>
      </c>
      <c r="I290" s="82">
        <v>1</v>
      </c>
      <c r="J290" s="82">
        <v>27</v>
      </c>
      <c r="K290" s="82">
        <v>27</v>
      </c>
      <c r="L290" s="26">
        <f t="shared" si="21"/>
        <v>1</v>
      </c>
      <c r="M290" s="26">
        <f t="shared" si="22"/>
        <v>0</v>
      </c>
      <c r="N290" s="26"/>
      <c r="O290" s="26">
        <v>1</v>
      </c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67" t="e">
        <f>SUMIFS([1]Up!$J:$J,[1]Up!$D:$D,D290)</f>
        <v>#VALUE!</v>
      </c>
      <c r="BB290" s="82"/>
      <c r="BC290" s="82" t="str">
        <f t="shared" si="23"/>
        <v>PL20</v>
      </c>
      <c r="BD290" s="53" t="str">
        <f t="shared" si="24"/>
        <v/>
      </c>
      <c r="BE290" s="53" t="s">
        <v>148</v>
      </c>
      <c r="BF290" s="84" t="s">
        <v>319</v>
      </c>
      <c r="BG290" s="53"/>
      <c r="BH290" s="53" t="s">
        <v>320</v>
      </c>
      <c r="BI290" s="53">
        <v>1</v>
      </c>
      <c r="BJ290" s="83">
        <v>46202</v>
      </c>
      <c r="BK290" s="53"/>
      <c r="BL290" s="53"/>
    </row>
    <row r="291" spans="3:64" ht="14.25" hidden="1" customHeight="1">
      <c r="C291" s="82" t="s">
        <v>13</v>
      </c>
      <c r="D291" s="82" t="s">
        <v>736</v>
      </c>
      <c r="E291" s="82" t="s">
        <v>737</v>
      </c>
      <c r="F291" s="82" t="s">
        <v>13</v>
      </c>
      <c r="G291" s="82">
        <v>1550</v>
      </c>
      <c r="H291" s="82" t="s">
        <v>147</v>
      </c>
      <c r="I291" s="82">
        <v>1</v>
      </c>
      <c r="J291" s="82">
        <v>117.1</v>
      </c>
      <c r="K291" s="82">
        <v>117.1</v>
      </c>
      <c r="L291" s="26">
        <f t="shared" si="21"/>
        <v>1</v>
      </c>
      <c r="M291" s="26">
        <f t="shared" si="22"/>
        <v>0</v>
      </c>
      <c r="N291" s="26"/>
      <c r="O291" s="26">
        <v>1</v>
      </c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67" t="e">
        <f>SUMIFS([1]Up!$J:$J,[1]Up!$D:$D,D291)</f>
        <v>#VALUE!</v>
      </c>
      <c r="BB291" s="82"/>
      <c r="BC291" s="82" t="str">
        <f t="shared" si="23"/>
        <v>PL20</v>
      </c>
      <c r="BD291" s="53" t="str">
        <f t="shared" si="24"/>
        <v/>
      </c>
      <c r="BE291" s="53" t="s">
        <v>148</v>
      </c>
      <c r="BF291" s="84" t="s">
        <v>319</v>
      </c>
      <c r="BG291" s="53"/>
      <c r="BH291" s="53" t="s">
        <v>320</v>
      </c>
      <c r="BI291" s="53">
        <v>1</v>
      </c>
      <c r="BJ291" s="83">
        <v>46202</v>
      </c>
      <c r="BK291" s="53"/>
      <c r="BL291" s="53"/>
    </row>
    <row r="292" spans="3:64" ht="14.25" hidden="1" customHeight="1">
      <c r="C292" s="82" t="s">
        <v>13</v>
      </c>
      <c r="D292" s="82" t="s">
        <v>739</v>
      </c>
      <c r="E292" s="82" t="s">
        <v>740</v>
      </c>
      <c r="F292" s="82" t="s">
        <v>13</v>
      </c>
      <c r="G292" s="82">
        <v>461</v>
      </c>
      <c r="H292" s="82" t="s">
        <v>147</v>
      </c>
      <c r="I292" s="82">
        <v>2</v>
      </c>
      <c r="J292" s="82">
        <v>30.4</v>
      </c>
      <c r="K292" s="82">
        <v>60.8</v>
      </c>
      <c r="L292" s="26">
        <f t="shared" si="21"/>
        <v>2</v>
      </c>
      <c r="M292" s="26">
        <f t="shared" si="22"/>
        <v>0</v>
      </c>
      <c r="N292" s="26"/>
      <c r="O292" s="26">
        <v>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67" t="e">
        <f>SUMIFS([1]Up!$J:$J,[1]Up!$D:$D,D292)</f>
        <v>#VALUE!</v>
      </c>
      <c r="BB292" s="82"/>
      <c r="BC292" s="82" t="str">
        <f t="shared" si="23"/>
        <v>PL20</v>
      </c>
      <c r="BD292" s="53" t="str">
        <f t="shared" si="24"/>
        <v/>
      </c>
      <c r="BE292" s="53" t="s">
        <v>148</v>
      </c>
      <c r="BF292" s="84" t="s">
        <v>319</v>
      </c>
      <c r="BG292" s="53"/>
      <c r="BH292" s="53" t="s">
        <v>320</v>
      </c>
      <c r="BI292" s="53">
        <v>2</v>
      </c>
      <c r="BJ292" s="83">
        <v>46202</v>
      </c>
      <c r="BK292" s="53"/>
      <c r="BL292" s="53"/>
    </row>
    <row r="293" spans="3:64" ht="14.25" hidden="1" customHeight="1">
      <c r="C293" s="82" t="s">
        <v>13</v>
      </c>
      <c r="D293" s="82" t="s">
        <v>743</v>
      </c>
      <c r="E293" s="82" t="s">
        <v>744</v>
      </c>
      <c r="F293" s="82" t="s">
        <v>13</v>
      </c>
      <c r="G293" s="82">
        <v>461</v>
      </c>
      <c r="H293" s="82" t="s">
        <v>147</v>
      </c>
      <c r="I293" s="82">
        <v>2</v>
      </c>
      <c r="J293" s="82">
        <v>25.5</v>
      </c>
      <c r="K293" s="82">
        <v>51</v>
      </c>
      <c r="L293" s="26">
        <f t="shared" si="21"/>
        <v>2</v>
      </c>
      <c r="M293" s="26">
        <f t="shared" si="22"/>
        <v>0</v>
      </c>
      <c r="N293" s="26"/>
      <c r="O293" s="26"/>
      <c r="P293" s="26"/>
      <c r="Q293" s="26">
        <v>2</v>
      </c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67" t="e">
        <f>SUMIFS([1]Up!$J:$J,[1]Up!$D:$D,D293)</f>
        <v>#VALUE!</v>
      </c>
      <c r="BB293" s="82"/>
      <c r="BC293" s="82" t="str">
        <f t="shared" si="23"/>
        <v>PL20</v>
      </c>
      <c r="BD293" s="53" t="str">
        <f t="shared" si="24"/>
        <v/>
      </c>
      <c r="BE293" s="53" t="s">
        <v>148</v>
      </c>
      <c r="BF293" s="84" t="s">
        <v>319</v>
      </c>
      <c r="BG293" s="53"/>
      <c r="BH293" s="53" t="s">
        <v>320</v>
      </c>
      <c r="BI293" s="53">
        <v>2</v>
      </c>
      <c r="BJ293" s="83">
        <v>46202</v>
      </c>
      <c r="BK293" s="53"/>
      <c r="BL293" s="53"/>
    </row>
    <row r="294" spans="3:64" ht="14.25" hidden="1" customHeight="1">
      <c r="C294" s="82" t="s">
        <v>13</v>
      </c>
      <c r="D294" s="82" t="s">
        <v>746</v>
      </c>
      <c r="E294" s="82" t="s">
        <v>747</v>
      </c>
      <c r="F294" s="82" t="s">
        <v>13</v>
      </c>
      <c r="G294" s="82">
        <v>970</v>
      </c>
      <c r="H294" s="82" t="s">
        <v>147</v>
      </c>
      <c r="I294" s="82">
        <v>2</v>
      </c>
      <c r="J294" s="82">
        <v>95</v>
      </c>
      <c r="K294" s="82">
        <v>190</v>
      </c>
      <c r="L294" s="26">
        <f t="shared" si="21"/>
        <v>2</v>
      </c>
      <c r="M294" s="26">
        <f t="shared" si="22"/>
        <v>0</v>
      </c>
      <c r="N294" s="26"/>
      <c r="O294" s="26">
        <v>2</v>
      </c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67" t="e">
        <f>SUMIFS([1]Up!$J:$J,[1]Up!$D:$D,D294)</f>
        <v>#VALUE!</v>
      </c>
      <c r="BB294" s="82"/>
      <c r="BC294" s="82" t="str">
        <f t="shared" si="23"/>
        <v>PL20</v>
      </c>
      <c r="BD294" s="53" t="str">
        <f t="shared" si="24"/>
        <v/>
      </c>
      <c r="BE294" s="53" t="s">
        <v>148</v>
      </c>
      <c r="BF294" s="84" t="s">
        <v>319</v>
      </c>
      <c r="BG294" s="53"/>
      <c r="BH294" s="53" t="s">
        <v>320</v>
      </c>
      <c r="BI294" s="53">
        <v>2</v>
      </c>
      <c r="BJ294" s="83">
        <v>46202</v>
      </c>
      <c r="BK294" s="53"/>
      <c r="BL294" s="53"/>
    </row>
    <row r="295" spans="3:64" ht="14.25" hidden="1" customHeight="1">
      <c r="C295" s="82" t="s">
        <v>13</v>
      </c>
      <c r="D295" s="82" t="s">
        <v>749</v>
      </c>
      <c r="E295" s="82" t="s">
        <v>750</v>
      </c>
      <c r="F295" s="82" t="s">
        <v>13</v>
      </c>
      <c r="G295" s="82">
        <v>624</v>
      </c>
      <c r="H295" s="82" t="s">
        <v>147</v>
      </c>
      <c r="I295" s="82">
        <v>2</v>
      </c>
      <c r="J295" s="82">
        <v>30.7</v>
      </c>
      <c r="K295" s="82">
        <v>61.4</v>
      </c>
      <c r="L295" s="26">
        <f t="shared" si="21"/>
        <v>2</v>
      </c>
      <c r="M295" s="26">
        <f t="shared" si="22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>
        <v>2</v>
      </c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67" t="e">
        <f>SUMIFS([1]Up!$J:$J,[1]Up!$D:$D,D295)</f>
        <v>#VALUE!</v>
      </c>
      <c r="BB295" s="82"/>
      <c r="BC295" s="82" t="str">
        <f t="shared" si="23"/>
        <v>PL20</v>
      </c>
      <c r="BD295" s="53" t="str">
        <f t="shared" si="24"/>
        <v/>
      </c>
      <c r="BE295" s="53" t="s">
        <v>148</v>
      </c>
      <c r="BF295" s="84" t="s">
        <v>319</v>
      </c>
      <c r="BG295" s="53"/>
      <c r="BH295" s="53" t="s">
        <v>320</v>
      </c>
      <c r="BI295" s="53">
        <v>2</v>
      </c>
      <c r="BJ295" s="83">
        <v>46202</v>
      </c>
      <c r="BK295" s="53"/>
      <c r="BL295" s="53"/>
    </row>
    <row r="296" spans="3:64" ht="14.25" hidden="1" customHeight="1">
      <c r="C296" s="82" t="s">
        <v>13</v>
      </c>
      <c r="D296" s="82" t="s">
        <v>214</v>
      </c>
      <c r="E296" s="82" t="s">
        <v>215</v>
      </c>
      <c r="F296" s="82" t="s">
        <v>13</v>
      </c>
      <c r="G296" s="82">
        <v>821</v>
      </c>
      <c r="H296" s="82" t="s">
        <v>147</v>
      </c>
      <c r="I296" s="82">
        <v>1</v>
      </c>
      <c r="J296" s="82">
        <v>240.6</v>
      </c>
      <c r="K296" s="82">
        <v>240.6</v>
      </c>
      <c r="L296" s="26">
        <f t="shared" si="21"/>
        <v>0</v>
      </c>
      <c r="M296" s="26">
        <f t="shared" si="22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67" t="e">
        <f>SUMIFS([1]Up!$J:$J,[1]Up!$D:$D,D296)</f>
        <v>#VALUE!</v>
      </c>
      <c r="BB296" s="82"/>
      <c r="BC296" s="82" t="e">
        <f t="shared" si="23"/>
        <v>#VALUE!</v>
      </c>
      <c r="BD296" s="53" t="str">
        <f t="shared" si="24"/>
        <v/>
      </c>
      <c r="BE296" s="53" t="s">
        <v>148</v>
      </c>
      <c r="BF296" s="53"/>
      <c r="BG296" s="53"/>
      <c r="BH296" s="53"/>
      <c r="BI296" s="53"/>
      <c r="BJ296" s="83"/>
      <c r="BK296" s="53"/>
      <c r="BL296" s="53"/>
    </row>
    <row r="297" spans="3:64" ht="14.25" hidden="1" customHeight="1">
      <c r="C297" s="82" t="s">
        <v>13</v>
      </c>
      <c r="D297" s="82" t="s">
        <v>217</v>
      </c>
      <c r="E297" s="82" t="s">
        <v>146</v>
      </c>
      <c r="F297" s="82" t="s">
        <v>13</v>
      </c>
      <c r="G297" s="82">
        <v>550</v>
      </c>
      <c r="H297" s="82" t="s">
        <v>147</v>
      </c>
      <c r="I297" s="82">
        <v>1</v>
      </c>
      <c r="J297" s="82">
        <v>2.2000000000000002</v>
      </c>
      <c r="K297" s="82">
        <v>2.2000000000000002</v>
      </c>
      <c r="L297" s="26">
        <f t="shared" si="21"/>
        <v>0</v>
      </c>
      <c r="M297" s="26">
        <f t="shared" si="22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67" t="e">
        <f>SUMIFS([1]Up!$J:$J,[1]Up!$D:$D,D297)</f>
        <v>#VALUE!</v>
      </c>
      <c r="BB297" s="82"/>
      <c r="BC297" s="82" t="str">
        <f t="shared" si="23"/>
        <v>PL10</v>
      </c>
      <c r="BD297" s="53" t="str">
        <f t="shared" si="24"/>
        <v/>
      </c>
      <c r="BE297" s="53" t="s">
        <v>148</v>
      </c>
      <c r="BF297" s="53"/>
      <c r="BG297" s="53"/>
      <c r="BH297" s="53"/>
      <c r="BI297" s="53"/>
      <c r="BJ297" s="83"/>
      <c r="BK297" s="53"/>
      <c r="BL297" s="53"/>
    </row>
    <row r="298" spans="3:64" ht="14.25" hidden="1" customHeight="1">
      <c r="C298" s="82" t="s">
        <v>13</v>
      </c>
      <c r="D298" s="82" t="s">
        <v>219</v>
      </c>
      <c r="E298" s="82" t="s">
        <v>220</v>
      </c>
      <c r="F298" s="82" t="s">
        <v>13</v>
      </c>
      <c r="G298" s="82">
        <v>4558</v>
      </c>
      <c r="H298" s="82" t="s">
        <v>147</v>
      </c>
      <c r="I298" s="82">
        <v>1</v>
      </c>
      <c r="J298" s="82">
        <v>93.5</v>
      </c>
      <c r="K298" s="82">
        <v>93.5</v>
      </c>
      <c r="L298" s="26">
        <f t="shared" si="21"/>
        <v>0</v>
      </c>
      <c r="M298" s="26">
        <f t="shared" si="22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67" t="e">
        <f>SUMIFS([1]Up!$J:$J,[1]Up!$D:$D,D298)</f>
        <v>#VALUE!</v>
      </c>
      <c r="BB298" s="82"/>
      <c r="BC298" s="82" t="str">
        <f t="shared" si="23"/>
        <v>PL12</v>
      </c>
      <c r="BD298" s="53" t="str">
        <f t="shared" si="24"/>
        <v/>
      </c>
      <c r="BE298" s="53" t="s">
        <v>148</v>
      </c>
      <c r="BF298" s="53"/>
      <c r="BG298" s="53"/>
      <c r="BH298" s="53"/>
      <c r="BI298" s="53"/>
      <c r="BJ298" s="83"/>
      <c r="BK298" s="53"/>
      <c r="BL298" s="53"/>
    </row>
    <row r="299" spans="3:64" ht="14.25" hidden="1" customHeight="1">
      <c r="C299" s="82" t="s">
        <v>13</v>
      </c>
      <c r="D299" s="82" t="s">
        <v>222</v>
      </c>
      <c r="E299" s="82" t="s">
        <v>215</v>
      </c>
      <c r="F299" s="82" t="s">
        <v>13</v>
      </c>
      <c r="G299" s="82">
        <v>2142</v>
      </c>
      <c r="H299" s="82" t="s">
        <v>147</v>
      </c>
      <c r="I299" s="82">
        <v>1</v>
      </c>
      <c r="J299" s="82">
        <v>647.70000000000005</v>
      </c>
      <c r="K299" s="82">
        <v>647.70000000000005</v>
      </c>
      <c r="L299" s="26">
        <f t="shared" si="21"/>
        <v>0</v>
      </c>
      <c r="M299" s="26">
        <f t="shared" si="22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67" t="e">
        <f>SUMIFS([1]Up!$J:$J,[1]Up!$D:$D,D299)</f>
        <v>#VALUE!</v>
      </c>
      <c r="BB299" s="82"/>
      <c r="BC299" s="82" t="e">
        <f t="shared" si="23"/>
        <v>#VALUE!</v>
      </c>
      <c r="BD299" s="53" t="str">
        <f t="shared" si="24"/>
        <v/>
      </c>
      <c r="BE299" s="53" t="s">
        <v>148</v>
      </c>
      <c r="BF299" s="53"/>
      <c r="BG299" s="53"/>
      <c r="BH299" s="53"/>
      <c r="BI299" s="53"/>
      <c r="BJ299" s="83"/>
      <c r="BK299" s="53"/>
      <c r="BL299" s="53"/>
    </row>
    <row r="300" spans="3:64" ht="14.25" hidden="1" customHeight="1">
      <c r="C300" s="82" t="s">
        <v>13</v>
      </c>
      <c r="D300" s="82" t="s">
        <v>224</v>
      </c>
      <c r="E300" s="82" t="s">
        <v>146</v>
      </c>
      <c r="F300" s="82" t="s">
        <v>13</v>
      </c>
      <c r="G300" s="82">
        <v>1601</v>
      </c>
      <c r="H300" s="82" t="s">
        <v>147</v>
      </c>
      <c r="I300" s="82">
        <v>1</v>
      </c>
      <c r="J300" s="82">
        <v>6.3</v>
      </c>
      <c r="K300" s="82">
        <v>6.3</v>
      </c>
      <c r="L300" s="26">
        <f t="shared" si="21"/>
        <v>0</v>
      </c>
      <c r="M300" s="26">
        <f t="shared" si="22"/>
        <v>1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67" t="e">
        <f>SUMIFS([1]Up!$J:$J,[1]Up!$D:$D,D300)</f>
        <v>#VALUE!</v>
      </c>
      <c r="BB300" s="82"/>
      <c r="BC300" s="82" t="str">
        <f t="shared" si="23"/>
        <v>PL10</v>
      </c>
      <c r="BD300" s="53" t="str">
        <f t="shared" si="24"/>
        <v/>
      </c>
      <c r="BE300" s="53" t="s">
        <v>148</v>
      </c>
      <c r="BF300" s="53"/>
      <c r="BG300" s="53"/>
      <c r="BH300" s="53"/>
      <c r="BI300" s="53"/>
      <c r="BJ300" s="83"/>
      <c r="BK300" s="53"/>
      <c r="BL300" s="53"/>
    </row>
    <row r="301" spans="3:64" ht="14.25" hidden="1" customHeight="1">
      <c r="C301" s="82" t="s">
        <v>13</v>
      </c>
      <c r="D301" s="82" t="s">
        <v>226</v>
      </c>
      <c r="E301" s="82" t="s">
        <v>173</v>
      </c>
      <c r="F301" s="82" t="s">
        <v>13</v>
      </c>
      <c r="G301" s="82">
        <v>4587</v>
      </c>
      <c r="H301" s="82" t="s">
        <v>147</v>
      </c>
      <c r="I301" s="82">
        <v>1</v>
      </c>
      <c r="J301" s="82">
        <v>86.3</v>
      </c>
      <c r="K301" s="82">
        <v>86.3</v>
      </c>
      <c r="L301" s="26">
        <f t="shared" si="21"/>
        <v>0</v>
      </c>
      <c r="M301" s="26">
        <f t="shared" si="22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67" t="e">
        <f>SUMIFS([1]Up!$J:$J,[1]Up!$D:$D,D301)</f>
        <v>#VALUE!</v>
      </c>
      <c r="BB301" s="82"/>
      <c r="BC301" s="82" t="str">
        <f t="shared" si="23"/>
        <v>PL12</v>
      </c>
      <c r="BD301" s="53" t="str">
        <f t="shared" si="24"/>
        <v/>
      </c>
      <c r="BE301" s="53" t="s">
        <v>148</v>
      </c>
      <c r="BF301" s="53"/>
      <c r="BG301" s="53"/>
      <c r="BH301" s="53"/>
      <c r="BI301" s="53"/>
      <c r="BJ301" s="83"/>
      <c r="BK301" s="53"/>
      <c r="BL301" s="53"/>
    </row>
    <row r="302" spans="3:64" ht="14.25" hidden="1" customHeight="1">
      <c r="C302" s="82" t="s">
        <v>13</v>
      </c>
      <c r="D302" s="82" t="s">
        <v>228</v>
      </c>
      <c r="E302" s="82" t="s">
        <v>215</v>
      </c>
      <c r="F302" s="82" t="s">
        <v>13</v>
      </c>
      <c r="G302" s="82">
        <v>1171</v>
      </c>
      <c r="H302" s="82" t="s">
        <v>147</v>
      </c>
      <c r="I302" s="82">
        <v>1</v>
      </c>
      <c r="J302" s="82">
        <v>323.89999999999998</v>
      </c>
      <c r="K302" s="82">
        <v>323.89999999999998</v>
      </c>
      <c r="L302" s="26">
        <f t="shared" si="21"/>
        <v>0</v>
      </c>
      <c r="M302" s="26">
        <f t="shared" si="22"/>
        <v>1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67" t="e">
        <f>SUMIFS([1]Up!$J:$J,[1]Up!$D:$D,D302)</f>
        <v>#VALUE!</v>
      </c>
      <c r="BB302" s="82"/>
      <c r="BC302" s="82" t="e">
        <f t="shared" si="23"/>
        <v>#VALUE!</v>
      </c>
      <c r="BD302" s="53" t="str">
        <f t="shared" si="24"/>
        <v/>
      </c>
      <c r="BE302" s="53" t="s">
        <v>148</v>
      </c>
      <c r="BF302" s="53"/>
      <c r="BG302" s="53"/>
      <c r="BH302" s="53"/>
      <c r="BI302" s="53"/>
      <c r="BJ302" s="83"/>
      <c r="BK302" s="53"/>
      <c r="BL302" s="53"/>
    </row>
    <row r="303" spans="3:64" ht="14.25" hidden="1" customHeight="1">
      <c r="C303" s="82" t="s">
        <v>13</v>
      </c>
      <c r="D303" s="82" t="s">
        <v>230</v>
      </c>
      <c r="E303" s="82" t="s">
        <v>146</v>
      </c>
      <c r="F303" s="82" t="s">
        <v>13</v>
      </c>
      <c r="G303" s="82">
        <v>901</v>
      </c>
      <c r="H303" s="82" t="s">
        <v>147</v>
      </c>
      <c r="I303" s="82">
        <v>1</v>
      </c>
      <c r="J303" s="82">
        <v>3.1</v>
      </c>
      <c r="K303" s="82">
        <v>3.1</v>
      </c>
      <c r="L303" s="26">
        <f t="shared" si="21"/>
        <v>0</v>
      </c>
      <c r="M303" s="26">
        <f t="shared" si="22"/>
        <v>1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67" t="e">
        <f>SUMIFS([1]Up!$J:$J,[1]Up!$D:$D,D303)</f>
        <v>#VALUE!</v>
      </c>
      <c r="BB303" s="82"/>
      <c r="BC303" s="82" t="str">
        <f t="shared" si="23"/>
        <v>PL10</v>
      </c>
      <c r="BD303" s="53" t="str">
        <f t="shared" si="24"/>
        <v/>
      </c>
      <c r="BE303" s="53" t="s">
        <v>148</v>
      </c>
      <c r="BF303" s="53"/>
      <c r="BG303" s="53"/>
      <c r="BH303" s="53"/>
      <c r="BI303" s="53"/>
      <c r="BJ303" s="83"/>
      <c r="BK303" s="53"/>
      <c r="BL303" s="53"/>
    </row>
    <row r="304" spans="3:64" ht="14.25" hidden="1" customHeight="1">
      <c r="C304" s="82" t="s">
        <v>13</v>
      </c>
      <c r="D304" s="82" t="s">
        <v>232</v>
      </c>
      <c r="E304" s="82" t="s">
        <v>146</v>
      </c>
      <c r="F304" s="82" t="s">
        <v>13</v>
      </c>
      <c r="G304" s="82">
        <v>4335</v>
      </c>
      <c r="H304" s="82" t="s">
        <v>147</v>
      </c>
      <c r="I304" s="82">
        <v>2</v>
      </c>
      <c r="J304" s="82">
        <v>17</v>
      </c>
      <c r="K304" s="82">
        <v>34</v>
      </c>
      <c r="L304" s="26">
        <f t="shared" si="21"/>
        <v>0</v>
      </c>
      <c r="M304" s="26">
        <f t="shared" si="22"/>
        <v>2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67" t="e">
        <f>SUMIFS([1]Up!$J:$J,[1]Up!$D:$D,D304)</f>
        <v>#VALUE!</v>
      </c>
      <c r="BB304" s="82"/>
      <c r="BC304" s="82" t="str">
        <f t="shared" si="23"/>
        <v>PL10</v>
      </c>
      <c r="BD304" s="53" t="str">
        <f t="shared" si="24"/>
        <v/>
      </c>
      <c r="BE304" s="53" t="s">
        <v>148</v>
      </c>
      <c r="BF304" s="53"/>
      <c r="BG304" s="53"/>
      <c r="BH304" s="53"/>
      <c r="BI304" s="53"/>
      <c r="BJ304" s="83"/>
      <c r="BK304" s="53"/>
      <c r="BL304" s="53"/>
    </row>
    <row r="305" spans="3:64" ht="14.25" hidden="1" customHeight="1">
      <c r="C305" s="82" t="s">
        <v>13</v>
      </c>
      <c r="D305" s="82" t="s">
        <v>235</v>
      </c>
      <c r="E305" s="82" t="s">
        <v>215</v>
      </c>
      <c r="F305" s="82" t="s">
        <v>13</v>
      </c>
      <c r="G305" s="82">
        <v>550</v>
      </c>
      <c r="H305" s="82" t="s">
        <v>147</v>
      </c>
      <c r="I305" s="82">
        <v>1</v>
      </c>
      <c r="J305" s="82">
        <v>126.1</v>
      </c>
      <c r="K305" s="82">
        <v>126.1</v>
      </c>
      <c r="L305" s="26">
        <f t="shared" si="21"/>
        <v>0</v>
      </c>
      <c r="M305" s="26">
        <f t="shared" si="22"/>
        <v>1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67" t="e">
        <f>SUMIFS([1]Up!$J:$J,[1]Up!$D:$D,D305)</f>
        <v>#VALUE!</v>
      </c>
      <c r="BB305" s="82"/>
      <c r="BC305" s="82" t="e">
        <f t="shared" si="23"/>
        <v>#VALUE!</v>
      </c>
      <c r="BD305" s="53" t="str">
        <f t="shared" si="24"/>
        <v/>
      </c>
      <c r="BE305" s="53" t="s">
        <v>148</v>
      </c>
      <c r="BF305" s="53"/>
      <c r="BG305" s="53"/>
      <c r="BH305" s="53"/>
      <c r="BI305" s="53"/>
      <c r="BJ305" s="83"/>
      <c r="BK305" s="53"/>
      <c r="BL305" s="53"/>
    </row>
    <row r="306" spans="3:64" ht="14.25" hidden="1" customHeight="1">
      <c r="C306" s="82" t="s">
        <v>13</v>
      </c>
      <c r="D306" s="82" t="s">
        <v>237</v>
      </c>
      <c r="E306" s="82" t="s">
        <v>146</v>
      </c>
      <c r="F306" s="82" t="s">
        <v>13</v>
      </c>
      <c r="G306" s="82">
        <v>548</v>
      </c>
      <c r="H306" s="82" t="s">
        <v>147</v>
      </c>
      <c r="I306" s="82">
        <v>1</v>
      </c>
      <c r="J306" s="82">
        <v>2.2000000000000002</v>
      </c>
      <c r="K306" s="82">
        <v>2.2000000000000002</v>
      </c>
      <c r="L306" s="26">
        <f t="shared" si="21"/>
        <v>0</v>
      </c>
      <c r="M306" s="26">
        <f t="shared" si="22"/>
        <v>1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67" t="e">
        <f>SUMIFS([1]Up!$J:$J,[1]Up!$D:$D,D306)</f>
        <v>#VALUE!</v>
      </c>
      <c r="BB306" s="82"/>
      <c r="BC306" s="82" t="str">
        <f t="shared" si="23"/>
        <v>PL10</v>
      </c>
      <c r="BD306" s="53" t="str">
        <f t="shared" si="24"/>
        <v/>
      </c>
      <c r="BE306" s="53" t="s">
        <v>148</v>
      </c>
      <c r="BF306" s="53"/>
      <c r="BG306" s="53"/>
      <c r="BH306" s="53"/>
      <c r="BI306" s="53"/>
      <c r="BJ306" s="83"/>
      <c r="BK306" s="53"/>
      <c r="BL306" s="53"/>
    </row>
    <row r="307" spans="3:64" ht="14.25" hidden="1" customHeight="1">
      <c r="C307" s="82" t="s">
        <v>13</v>
      </c>
      <c r="D307" s="82" t="s">
        <v>238</v>
      </c>
      <c r="E307" s="82" t="s">
        <v>220</v>
      </c>
      <c r="F307" s="82" t="s">
        <v>13</v>
      </c>
      <c r="G307" s="82">
        <v>4558</v>
      </c>
      <c r="H307" s="82" t="s">
        <v>147</v>
      </c>
      <c r="I307" s="82">
        <v>1</v>
      </c>
      <c r="J307" s="82">
        <v>93.5</v>
      </c>
      <c r="K307" s="82">
        <v>93.5</v>
      </c>
      <c r="L307" s="26">
        <f t="shared" si="21"/>
        <v>0</v>
      </c>
      <c r="M307" s="26">
        <f t="shared" si="22"/>
        <v>1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67" t="e">
        <f>SUMIFS([1]Up!$J:$J,[1]Up!$D:$D,D307)</f>
        <v>#VALUE!</v>
      </c>
      <c r="BB307" s="82"/>
      <c r="BC307" s="82" t="str">
        <f t="shared" si="23"/>
        <v>PL12</v>
      </c>
      <c r="BD307" s="53" t="str">
        <f t="shared" si="24"/>
        <v/>
      </c>
      <c r="BE307" s="53" t="s">
        <v>148</v>
      </c>
      <c r="BF307" s="53"/>
      <c r="BG307" s="53"/>
      <c r="BH307" s="53"/>
      <c r="BI307" s="53"/>
      <c r="BJ307" s="83"/>
      <c r="BK307" s="53"/>
      <c r="BL307" s="53"/>
    </row>
    <row r="308" spans="3:64" ht="14.25" hidden="1" customHeight="1">
      <c r="C308" s="82" t="s">
        <v>13</v>
      </c>
      <c r="D308" s="82" t="s">
        <v>240</v>
      </c>
      <c r="E308" s="82" t="s">
        <v>215</v>
      </c>
      <c r="F308" s="82" t="s">
        <v>13</v>
      </c>
      <c r="G308" s="82">
        <v>1601</v>
      </c>
      <c r="H308" s="82" t="s">
        <v>147</v>
      </c>
      <c r="I308" s="82">
        <v>1</v>
      </c>
      <c r="J308" s="82">
        <v>418.7</v>
      </c>
      <c r="K308" s="82">
        <v>418.7</v>
      </c>
      <c r="L308" s="26">
        <f t="shared" si="21"/>
        <v>0</v>
      </c>
      <c r="M308" s="26">
        <f t="shared" si="22"/>
        <v>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67" t="e">
        <f>SUMIFS([1]Up!$J:$J,[1]Up!$D:$D,D308)</f>
        <v>#VALUE!</v>
      </c>
      <c r="BB308" s="82"/>
      <c r="BC308" s="82" t="e">
        <f t="shared" si="23"/>
        <v>#VALUE!</v>
      </c>
      <c r="BD308" s="53" t="str">
        <f t="shared" si="24"/>
        <v/>
      </c>
      <c r="BE308" s="53" t="s">
        <v>148</v>
      </c>
      <c r="BF308" s="53"/>
      <c r="BG308" s="53"/>
      <c r="BH308" s="53"/>
      <c r="BI308" s="53"/>
      <c r="BJ308" s="83"/>
      <c r="BK308" s="53"/>
      <c r="BL308" s="53"/>
    </row>
    <row r="309" spans="3:64" ht="14.25" hidden="1" customHeight="1">
      <c r="C309" s="82" t="s">
        <v>13</v>
      </c>
      <c r="D309" s="82" t="s">
        <v>241</v>
      </c>
      <c r="E309" s="82" t="s">
        <v>173</v>
      </c>
      <c r="F309" s="82" t="s">
        <v>13</v>
      </c>
      <c r="G309" s="82">
        <v>4587</v>
      </c>
      <c r="H309" s="82" t="s">
        <v>147</v>
      </c>
      <c r="I309" s="82">
        <v>1</v>
      </c>
      <c r="J309" s="82">
        <v>86.3</v>
      </c>
      <c r="K309" s="82">
        <v>86.3</v>
      </c>
      <c r="L309" s="26">
        <f t="shared" si="21"/>
        <v>0</v>
      </c>
      <c r="M309" s="26">
        <f t="shared" si="22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67" t="e">
        <f>SUMIFS([1]Up!$J:$J,[1]Up!$D:$D,D309)</f>
        <v>#VALUE!</v>
      </c>
      <c r="BB309" s="82"/>
      <c r="BC309" s="82" t="str">
        <f t="shared" si="23"/>
        <v>PL12</v>
      </c>
      <c r="BD309" s="53" t="str">
        <f t="shared" si="24"/>
        <v/>
      </c>
      <c r="BE309" s="53" t="s">
        <v>148</v>
      </c>
      <c r="BF309" s="53"/>
      <c r="BG309" s="53"/>
      <c r="BH309" s="53"/>
      <c r="BI309" s="53"/>
      <c r="BJ309" s="83"/>
      <c r="BK309" s="53"/>
      <c r="BL309" s="53"/>
    </row>
    <row r="310" spans="3:64" ht="14.25" hidden="1" customHeight="1">
      <c r="C310" s="82" t="s">
        <v>13</v>
      </c>
      <c r="D310" s="82" t="s">
        <v>243</v>
      </c>
      <c r="E310" s="82" t="s">
        <v>146</v>
      </c>
      <c r="F310" s="82" t="s">
        <v>13</v>
      </c>
      <c r="G310" s="82">
        <v>1597</v>
      </c>
      <c r="H310" s="82" t="s">
        <v>147</v>
      </c>
      <c r="I310" s="82">
        <v>1</v>
      </c>
      <c r="J310" s="82">
        <v>6.3</v>
      </c>
      <c r="K310" s="82">
        <v>6.3</v>
      </c>
      <c r="L310" s="26">
        <f t="shared" si="21"/>
        <v>0</v>
      </c>
      <c r="M310" s="26">
        <f t="shared" si="22"/>
        <v>1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67" t="e">
        <f>SUMIFS([1]Up!$J:$J,[1]Up!$D:$D,D310)</f>
        <v>#VALUE!</v>
      </c>
      <c r="BB310" s="82"/>
      <c r="BC310" s="82" t="str">
        <f t="shared" si="23"/>
        <v>PL10</v>
      </c>
      <c r="BD310" s="53" t="str">
        <f t="shared" si="24"/>
        <v/>
      </c>
      <c r="BE310" s="53" t="s">
        <v>148</v>
      </c>
      <c r="BF310" s="53"/>
      <c r="BG310" s="53"/>
      <c r="BH310" s="53"/>
      <c r="BI310" s="53"/>
      <c r="BJ310" s="83"/>
      <c r="BK310" s="53"/>
      <c r="BL310" s="53"/>
    </row>
    <row r="311" spans="3:64" ht="14.25" hidden="1" customHeight="1">
      <c r="C311" s="82" t="s">
        <v>13</v>
      </c>
      <c r="D311" s="82" t="s">
        <v>245</v>
      </c>
      <c r="E311" s="82" t="s">
        <v>215</v>
      </c>
      <c r="F311" s="82" t="s">
        <v>13</v>
      </c>
      <c r="G311" s="82">
        <v>900</v>
      </c>
      <c r="H311" s="82" t="s">
        <v>147</v>
      </c>
      <c r="I311" s="82">
        <v>1</v>
      </c>
      <c r="J311" s="82">
        <v>209.4</v>
      </c>
      <c r="K311" s="82">
        <v>209.4</v>
      </c>
      <c r="L311" s="26">
        <f t="shared" si="21"/>
        <v>0</v>
      </c>
      <c r="M311" s="26">
        <f t="shared" si="22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67" t="e">
        <f>SUMIFS([1]Up!$J:$J,[1]Up!$D:$D,D311)</f>
        <v>#VALUE!</v>
      </c>
      <c r="BB311" s="82"/>
      <c r="BC311" s="82" t="e">
        <f t="shared" si="23"/>
        <v>#VALUE!</v>
      </c>
      <c r="BD311" s="53" t="str">
        <f t="shared" si="24"/>
        <v/>
      </c>
      <c r="BE311" s="53" t="s">
        <v>148</v>
      </c>
      <c r="BF311" s="53"/>
      <c r="BG311" s="53"/>
      <c r="BH311" s="53"/>
      <c r="BI311" s="53"/>
      <c r="BJ311" s="83"/>
      <c r="BK311" s="53"/>
      <c r="BL311" s="53"/>
    </row>
    <row r="312" spans="3:64" ht="14.25" hidden="1" customHeight="1">
      <c r="C312" s="82" t="s">
        <v>13</v>
      </c>
      <c r="D312" s="82" t="s">
        <v>247</v>
      </c>
      <c r="E312" s="82" t="s">
        <v>146</v>
      </c>
      <c r="F312" s="82" t="s">
        <v>13</v>
      </c>
      <c r="G312" s="82">
        <v>899</v>
      </c>
      <c r="H312" s="82" t="s">
        <v>147</v>
      </c>
      <c r="I312" s="82">
        <v>1</v>
      </c>
      <c r="J312" s="82">
        <v>3.1</v>
      </c>
      <c r="K312" s="82">
        <v>3.1</v>
      </c>
      <c r="L312" s="26">
        <f t="shared" si="21"/>
        <v>0</v>
      </c>
      <c r="M312" s="26">
        <f t="shared" si="22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67" t="e">
        <f>SUMIFS([1]Up!$J:$J,[1]Up!$D:$D,D312)</f>
        <v>#VALUE!</v>
      </c>
      <c r="BB312" s="82"/>
      <c r="BC312" s="82" t="str">
        <f t="shared" si="23"/>
        <v>PL10</v>
      </c>
      <c r="BD312" s="53" t="str">
        <f t="shared" si="24"/>
        <v/>
      </c>
      <c r="BE312" s="53" t="s">
        <v>148</v>
      </c>
      <c r="BF312" s="53"/>
      <c r="BG312" s="53"/>
      <c r="BH312" s="53"/>
      <c r="BI312" s="53"/>
      <c r="BJ312" s="83"/>
      <c r="BK312" s="53"/>
      <c r="BL312" s="53"/>
    </row>
    <row r="313" spans="3:64" ht="14.25" hidden="1" customHeight="1">
      <c r="C313" s="82" t="s">
        <v>13</v>
      </c>
      <c r="D313" s="82" t="s">
        <v>248</v>
      </c>
      <c r="E313" s="82" t="s">
        <v>146</v>
      </c>
      <c r="F313" s="82" t="s">
        <v>13</v>
      </c>
      <c r="G313" s="82">
        <v>4335</v>
      </c>
      <c r="H313" s="82" t="s">
        <v>147</v>
      </c>
      <c r="I313" s="82">
        <v>2</v>
      </c>
      <c r="J313" s="82">
        <v>17</v>
      </c>
      <c r="K313" s="82">
        <v>34</v>
      </c>
      <c r="L313" s="26">
        <f t="shared" si="21"/>
        <v>0</v>
      </c>
      <c r="M313" s="26">
        <f t="shared" si="22"/>
        <v>2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67" t="e">
        <f>SUMIFS([1]Up!$J:$J,[1]Up!$D:$D,D313)</f>
        <v>#VALUE!</v>
      </c>
      <c r="BB313" s="82"/>
      <c r="BC313" s="82" t="str">
        <f t="shared" si="23"/>
        <v>PL10</v>
      </c>
      <c r="BD313" s="53" t="str">
        <f t="shared" si="24"/>
        <v/>
      </c>
      <c r="BE313" s="53" t="s">
        <v>148</v>
      </c>
      <c r="BF313" s="53"/>
      <c r="BG313" s="53"/>
      <c r="BH313" s="53"/>
      <c r="BI313" s="53"/>
      <c r="BJ313" s="83"/>
      <c r="BK313" s="53"/>
      <c r="BL313" s="53"/>
    </row>
    <row r="314" spans="3:64" ht="14.25" hidden="1" customHeight="1">
      <c r="C314" s="82" t="s">
        <v>13</v>
      </c>
      <c r="D314" s="82" t="s">
        <v>254</v>
      </c>
      <c r="E314" s="82" t="s">
        <v>255</v>
      </c>
      <c r="F314" s="82" t="s">
        <v>13</v>
      </c>
      <c r="G314" s="82">
        <v>9985</v>
      </c>
      <c r="H314" s="82" t="s">
        <v>147</v>
      </c>
      <c r="I314" s="82">
        <v>8</v>
      </c>
      <c r="J314" s="82">
        <v>1843.6</v>
      </c>
      <c r="K314" s="82">
        <v>14748.8</v>
      </c>
      <c r="L314" s="26">
        <f t="shared" si="21"/>
        <v>8</v>
      </c>
      <c r="M314" s="26">
        <f t="shared" si="22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>
        <v>5</v>
      </c>
      <c r="AP314" s="26"/>
      <c r="AQ314" s="26"/>
      <c r="AR314" s="26"/>
      <c r="AS314" s="26"/>
      <c r="AT314" s="26"/>
      <c r="AU314" s="26">
        <v>15</v>
      </c>
      <c r="AV314" s="26"/>
      <c r="AW314" s="26">
        <v>3</v>
      </c>
      <c r="AX314" s="26">
        <v>2</v>
      </c>
      <c r="AY314" s="26"/>
      <c r="AZ314" s="26"/>
      <c r="BA314" s="67" t="e">
        <f>SUMIFS([1]Up!$J:$J,[1]Up!$D:$D,D314)</f>
        <v>#VALUE!</v>
      </c>
      <c r="BB314" s="82" t="s">
        <v>2393</v>
      </c>
      <c r="BC314" s="82" t="e">
        <f t="shared" si="23"/>
        <v>#VALUE!</v>
      </c>
      <c r="BD314" s="53" t="str">
        <f t="shared" si="24"/>
        <v>Thừa 17</v>
      </c>
      <c r="BE314" s="53" t="s">
        <v>154</v>
      </c>
      <c r="BF314" s="53"/>
      <c r="BG314" s="53"/>
      <c r="BH314" s="53"/>
      <c r="BI314" s="53"/>
      <c r="BJ314" s="83"/>
      <c r="BK314" s="53"/>
      <c r="BL314" s="53"/>
    </row>
    <row r="315" spans="3:64" ht="14.25" hidden="1" customHeight="1">
      <c r="C315" s="82" t="s">
        <v>13</v>
      </c>
      <c r="D315" s="82" t="s">
        <v>259</v>
      </c>
      <c r="E315" s="82" t="s">
        <v>146</v>
      </c>
      <c r="F315" s="82" t="s">
        <v>13</v>
      </c>
      <c r="G315" s="82">
        <v>9985</v>
      </c>
      <c r="H315" s="82" t="s">
        <v>147</v>
      </c>
      <c r="I315" s="82">
        <v>8</v>
      </c>
      <c r="J315" s="82">
        <v>39.200000000000003</v>
      </c>
      <c r="K315" s="82">
        <v>313.60000000000002</v>
      </c>
      <c r="L315" s="26">
        <f t="shared" si="21"/>
        <v>6</v>
      </c>
      <c r="M315" s="26">
        <f t="shared" si="22"/>
        <v>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>
        <v>4</v>
      </c>
      <c r="AU315" s="26"/>
      <c r="AV315" s="26"/>
      <c r="AW315" s="26"/>
      <c r="AX315" s="26">
        <v>2</v>
      </c>
      <c r="AY315" s="26"/>
      <c r="AZ315" s="26"/>
      <c r="BA315" s="67" t="e">
        <f>SUMIFS([1]Up!$J:$J,[1]Up!$D:$D,D315)</f>
        <v>#VALUE!</v>
      </c>
      <c r="BB315" s="82"/>
      <c r="BC315" s="82" t="str">
        <f t="shared" si="23"/>
        <v>PL10</v>
      </c>
      <c r="BD315" s="53" t="str">
        <f t="shared" si="24"/>
        <v/>
      </c>
      <c r="BE315" s="53" t="s">
        <v>148</v>
      </c>
      <c r="BF315" s="53"/>
      <c r="BG315" s="53"/>
      <c r="BH315" s="53"/>
      <c r="BI315" s="53"/>
      <c r="BJ315" s="83"/>
      <c r="BK315" s="53"/>
      <c r="BL315" s="53"/>
    </row>
    <row r="316" spans="3:64" ht="14.25" hidden="1" customHeight="1">
      <c r="C316" s="82" t="s">
        <v>13</v>
      </c>
      <c r="D316" s="82" t="s">
        <v>261</v>
      </c>
      <c r="E316" s="82" t="s">
        <v>157</v>
      </c>
      <c r="F316" s="82" t="s">
        <v>13</v>
      </c>
      <c r="G316" s="82">
        <v>2490</v>
      </c>
      <c r="H316" s="82" t="s">
        <v>147</v>
      </c>
      <c r="I316" s="82">
        <v>32</v>
      </c>
      <c r="J316" s="82">
        <v>43.9</v>
      </c>
      <c r="K316" s="82">
        <v>1404.8</v>
      </c>
      <c r="L316" s="26">
        <f t="shared" si="21"/>
        <v>32</v>
      </c>
      <c r="M316" s="26">
        <f t="shared" si="22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>
        <v>32</v>
      </c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67" t="e">
        <f>SUMIFS([1]Up!$J:$J,[1]Up!$D:$D,D316)</f>
        <v>#VALUE!</v>
      </c>
      <c r="BB316" s="82" t="s">
        <v>2375</v>
      </c>
      <c r="BC316" s="82" t="str">
        <f t="shared" si="23"/>
        <v>PL15</v>
      </c>
      <c r="BD316" s="53" t="str">
        <f t="shared" si="24"/>
        <v/>
      </c>
      <c r="BE316" s="53" t="s">
        <v>148</v>
      </c>
      <c r="BF316" s="53"/>
      <c r="BG316" s="53"/>
      <c r="BH316" s="53"/>
      <c r="BI316" s="53"/>
      <c r="BJ316" s="83"/>
      <c r="BK316" s="53"/>
      <c r="BL316" s="53"/>
    </row>
    <row r="317" spans="3:64" ht="14.25" hidden="1" customHeight="1">
      <c r="C317" s="82" t="s">
        <v>13</v>
      </c>
      <c r="D317" s="82" t="s">
        <v>263</v>
      </c>
      <c r="E317" s="82" t="s">
        <v>160</v>
      </c>
      <c r="F317" s="82" t="s">
        <v>13</v>
      </c>
      <c r="G317" s="82">
        <v>2476</v>
      </c>
      <c r="H317" s="82" t="s">
        <v>147</v>
      </c>
      <c r="I317" s="82">
        <v>8</v>
      </c>
      <c r="J317" s="82">
        <v>48.9</v>
      </c>
      <c r="K317" s="82">
        <v>391.2</v>
      </c>
      <c r="L317" s="26">
        <f t="shared" si="21"/>
        <v>8</v>
      </c>
      <c r="M317" s="26">
        <f t="shared" si="22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>
        <v>8</v>
      </c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67" t="e">
        <f>SUMIFS([1]Up!$J:$J,[1]Up!$D:$D,D317)</f>
        <v>#VALUE!</v>
      </c>
      <c r="BB317" s="82" t="s">
        <v>2376</v>
      </c>
      <c r="BC317" s="82" t="str">
        <f t="shared" si="23"/>
        <v>PL15</v>
      </c>
      <c r="BD317" s="53" t="str">
        <f t="shared" si="24"/>
        <v/>
      </c>
      <c r="BE317" s="53" t="s">
        <v>148</v>
      </c>
      <c r="BF317" s="53"/>
      <c r="BG317" s="53"/>
      <c r="BH317" s="53"/>
      <c r="BI317" s="53"/>
      <c r="BJ317" s="83"/>
      <c r="BK317" s="53"/>
      <c r="BL317" s="53"/>
    </row>
    <row r="318" spans="3:64" ht="14.25" hidden="1" customHeight="1">
      <c r="C318" s="82" t="s">
        <v>13</v>
      </c>
      <c r="D318" s="82" t="s">
        <v>267</v>
      </c>
      <c r="E318" s="82" t="s">
        <v>255</v>
      </c>
      <c r="F318" s="82" t="s">
        <v>13</v>
      </c>
      <c r="G318" s="82">
        <v>9985</v>
      </c>
      <c r="H318" s="82" t="s">
        <v>147</v>
      </c>
      <c r="I318" s="82">
        <v>8</v>
      </c>
      <c r="J318" s="82">
        <v>1843.6</v>
      </c>
      <c r="K318" s="82">
        <v>14748.8</v>
      </c>
      <c r="L318" s="26">
        <f t="shared" si="21"/>
        <v>8</v>
      </c>
      <c r="M318" s="26">
        <f t="shared" si="22"/>
        <v>0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>
        <v>14</v>
      </c>
      <c r="AP318" s="26"/>
      <c r="AQ318" s="26"/>
      <c r="AR318" s="26"/>
      <c r="AS318" s="26"/>
      <c r="AT318" s="26"/>
      <c r="AU318" s="26">
        <v>4</v>
      </c>
      <c r="AV318" s="26"/>
      <c r="AW318" s="26">
        <v>2</v>
      </c>
      <c r="AX318" s="26"/>
      <c r="AY318" s="26"/>
      <c r="AZ318" s="26"/>
      <c r="BA318" s="67" t="e">
        <f>SUMIFS([1]Up!$J:$J,[1]Up!$D:$D,D318)</f>
        <v>#VALUE!</v>
      </c>
      <c r="BB318" s="82" t="s">
        <v>2390</v>
      </c>
      <c r="BC318" s="82" t="e">
        <f t="shared" si="23"/>
        <v>#VALUE!</v>
      </c>
      <c r="BD318" s="53" t="str">
        <f t="shared" si="24"/>
        <v>Thừa 12</v>
      </c>
      <c r="BE318" s="53" t="s">
        <v>154</v>
      </c>
      <c r="BF318" s="53"/>
      <c r="BG318" s="53"/>
      <c r="BH318" s="53" t="s">
        <v>57</v>
      </c>
      <c r="BI318" s="53">
        <v>16</v>
      </c>
      <c r="BJ318" s="83"/>
      <c r="BK318" s="53"/>
      <c r="BL318" s="53"/>
    </row>
    <row r="319" spans="3:64" ht="14.25" hidden="1" customHeight="1">
      <c r="C319" s="82" t="s">
        <v>13</v>
      </c>
      <c r="D319" s="82" t="s">
        <v>270</v>
      </c>
      <c r="E319" s="82" t="s">
        <v>146</v>
      </c>
      <c r="F319" s="82" t="s">
        <v>13</v>
      </c>
      <c r="G319" s="82">
        <v>9985</v>
      </c>
      <c r="H319" s="82" t="s">
        <v>147</v>
      </c>
      <c r="I319" s="82">
        <v>8</v>
      </c>
      <c r="J319" s="82">
        <v>39.200000000000003</v>
      </c>
      <c r="K319" s="82">
        <v>313.60000000000002</v>
      </c>
      <c r="L319" s="26">
        <f t="shared" si="21"/>
        <v>4</v>
      </c>
      <c r="M319" s="26">
        <f t="shared" si="22"/>
        <v>4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>
        <v>4</v>
      </c>
      <c r="AU319" s="26"/>
      <c r="AV319" s="26"/>
      <c r="AW319" s="26"/>
      <c r="AX319" s="26"/>
      <c r="AY319" s="26"/>
      <c r="AZ319" s="26"/>
      <c r="BA319" s="67" t="e">
        <f>SUMIFS([1]Up!$J:$J,[1]Up!$D:$D,D319)</f>
        <v>#VALUE!</v>
      </c>
      <c r="BB319" s="82"/>
      <c r="BC319" s="82" t="str">
        <f t="shared" si="23"/>
        <v>PL10</v>
      </c>
      <c r="BD319" s="53" t="str">
        <f t="shared" si="24"/>
        <v/>
      </c>
      <c r="BE319" s="53" t="s">
        <v>148</v>
      </c>
      <c r="BF319" s="84" t="s">
        <v>210</v>
      </c>
      <c r="BG319" s="53"/>
      <c r="BH319" s="53" t="s">
        <v>211</v>
      </c>
      <c r="BI319" s="53">
        <v>8</v>
      </c>
      <c r="BJ319" s="83">
        <v>46201</v>
      </c>
      <c r="BK319" s="53"/>
      <c r="BL319" s="53"/>
    </row>
    <row r="320" spans="3:64" ht="14.25" hidden="1" customHeight="1">
      <c r="C320" s="82" t="s">
        <v>13</v>
      </c>
      <c r="D320" s="82" t="s">
        <v>271</v>
      </c>
      <c r="E320" s="82" t="s">
        <v>157</v>
      </c>
      <c r="F320" s="82" t="s">
        <v>13</v>
      </c>
      <c r="G320" s="82">
        <v>2490</v>
      </c>
      <c r="H320" s="82" t="s">
        <v>147</v>
      </c>
      <c r="I320" s="82">
        <v>24</v>
      </c>
      <c r="J320" s="82">
        <v>43.9</v>
      </c>
      <c r="K320" s="82">
        <v>1053.5999999999999</v>
      </c>
      <c r="L320" s="26">
        <f t="shared" si="21"/>
        <v>24</v>
      </c>
      <c r="M320" s="26">
        <f t="shared" si="22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>
        <v>22</v>
      </c>
      <c r="AQ320" s="26"/>
      <c r="AR320" s="26"/>
      <c r="AS320" s="26"/>
      <c r="AT320" s="26"/>
      <c r="AU320" s="26"/>
      <c r="AV320" s="26"/>
      <c r="AW320" s="26"/>
      <c r="AX320" s="26"/>
      <c r="AY320" s="26">
        <v>2</v>
      </c>
      <c r="AZ320" s="26"/>
      <c r="BA320" s="67" t="e">
        <f>SUMIFS([1]Up!$J:$J,[1]Up!$D:$D,D320)</f>
        <v>#VALUE!</v>
      </c>
      <c r="BB320" s="82" t="s">
        <v>2394</v>
      </c>
      <c r="BC320" s="82" t="str">
        <f t="shared" si="23"/>
        <v>PL15</v>
      </c>
      <c r="BD320" s="53" t="str">
        <f t="shared" si="24"/>
        <v/>
      </c>
      <c r="BE320" s="53" t="s">
        <v>148</v>
      </c>
      <c r="BF320" s="84" t="s">
        <v>200</v>
      </c>
      <c r="BG320" s="53"/>
      <c r="BH320" s="53" t="s">
        <v>201</v>
      </c>
      <c r="BI320" s="53">
        <v>24</v>
      </c>
      <c r="BJ320" s="83">
        <v>46201</v>
      </c>
      <c r="BK320" s="53"/>
      <c r="BL320" s="53"/>
    </row>
    <row r="321" spans="3:64" ht="14.25" hidden="1" customHeight="1">
      <c r="C321" s="82" t="s">
        <v>13</v>
      </c>
      <c r="D321" s="82" t="s">
        <v>272</v>
      </c>
      <c r="E321" s="82" t="s">
        <v>160</v>
      </c>
      <c r="F321" s="82" t="s">
        <v>13</v>
      </c>
      <c r="G321" s="82">
        <v>2476</v>
      </c>
      <c r="H321" s="82" t="s">
        <v>147</v>
      </c>
      <c r="I321" s="82">
        <v>8</v>
      </c>
      <c r="J321" s="82">
        <v>48.9</v>
      </c>
      <c r="K321" s="82">
        <v>391.2</v>
      </c>
      <c r="L321" s="26">
        <f t="shared" si="21"/>
        <v>8</v>
      </c>
      <c r="M321" s="26">
        <f t="shared" si="22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>
        <v>8</v>
      </c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67" t="e">
        <f>SUMIFS([1]Up!$J:$J,[1]Up!$D:$D,D321)</f>
        <v>#VALUE!</v>
      </c>
      <c r="BB321" s="82" t="s">
        <v>2376</v>
      </c>
      <c r="BC321" s="82" t="str">
        <f t="shared" si="23"/>
        <v>PL15</v>
      </c>
      <c r="BD321" s="53" t="str">
        <f t="shared" si="24"/>
        <v/>
      </c>
      <c r="BE321" s="53" t="s">
        <v>148</v>
      </c>
      <c r="BF321" s="84" t="s">
        <v>200</v>
      </c>
      <c r="BG321" s="53"/>
      <c r="BH321" s="53" t="s">
        <v>201</v>
      </c>
      <c r="BI321" s="53">
        <v>8</v>
      </c>
      <c r="BJ321" s="83">
        <v>46201</v>
      </c>
      <c r="BK321" s="53"/>
      <c r="BL321" s="53"/>
    </row>
    <row r="322" spans="3:64" ht="14.25" hidden="1" customHeight="1">
      <c r="C322" s="82" t="s">
        <v>13</v>
      </c>
      <c r="D322" s="82" t="s">
        <v>274</v>
      </c>
      <c r="E322" s="82" t="s">
        <v>157</v>
      </c>
      <c r="F322" s="82" t="s">
        <v>13</v>
      </c>
      <c r="G322" s="82">
        <v>2490</v>
      </c>
      <c r="H322" s="82" t="s">
        <v>147</v>
      </c>
      <c r="I322" s="82">
        <v>16</v>
      </c>
      <c r="J322" s="82">
        <v>43.9</v>
      </c>
      <c r="K322" s="82">
        <v>702.4</v>
      </c>
      <c r="L322" s="26">
        <f t="shared" si="21"/>
        <v>16</v>
      </c>
      <c r="M322" s="26">
        <f t="shared" si="22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>
        <v>16</v>
      </c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67" t="e">
        <f>SUMIFS([1]Up!$J:$J,[1]Up!$D:$D,D322)</f>
        <v>#VALUE!</v>
      </c>
      <c r="BB322" s="82" t="s">
        <v>2377</v>
      </c>
      <c r="BC322" s="82" t="str">
        <f t="shared" si="23"/>
        <v>PL15</v>
      </c>
      <c r="BD322" s="53" t="str">
        <f t="shared" si="24"/>
        <v/>
      </c>
      <c r="BE322" s="53" t="s">
        <v>148</v>
      </c>
      <c r="BF322" s="53"/>
      <c r="BG322" s="53"/>
      <c r="BH322" s="53"/>
      <c r="BI322" s="53"/>
      <c r="BJ322" s="83"/>
      <c r="BK322" s="53"/>
      <c r="BL322" s="53"/>
    </row>
    <row r="323" spans="3:64" ht="14.25" hidden="1" customHeight="1">
      <c r="C323" s="82" t="s">
        <v>13</v>
      </c>
      <c r="D323" s="82" t="s">
        <v>275</v>
      </c>
      <c r="E323" s="82" t="s">
        <v>160</v>
      </c>
      <c r="F323" s="82" t="s">
        <v>13</v>
      </c>
      <c r="G323" s="82">
        <v>2476</v>
      </c>
      <c r="H323" s="82" t="s">
        <v>147</v>
      </c>
      <c r="I323" s="82">
        <v>8</v>
      </c>
      <c r="J323" s="82">
        <v>48.9</v>
      </c>
      <c r="K323" s="82">
        <v>391.2</v>
      </c>
      <c r="L323" s="26">
        <f t="shared" si="21"/>
        <v>8</v>
      </c>
      <c r="M323" s="26">
        <f t="shared" si="22"/>
        <v>0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>
        <v>8</v>
      </c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67" t="e">
        <f>SUMIFS([1]Up!$J:$J,[1]Up!$D:$D,D323)</f>
        <v>#VALUE!</v>
      </c>
      <c r="BB323" s="82" t="s">
        <v>2376</v>
      </c>
      <c r="BC323" s="82" t="str">
        <f t="shared" si="23"/>
        <v>PL15</v>
      </c>
      <c r="BD323" s="53" t="str">
        <f t="shared" si="24"/>
        <v/>
      </c>
      <c r="BE323" s="53" t="s">
        <v>148</v>
      </c>
      <c r="BF323" s="53"/>
      <c r="BG323" s="53"/>
      <c r="BH323" s="53"/>
      <c r="BI323" s="53"/>
      <c r="BJ323" s="83"/>
      <c r="BK323" s="53"/>
      <c r="BL323" s="53"/>
    </row>
    <row r="324" spans="3:64" ht="14.25" hidden="1" customHeight="1">
      <c r="C324" s="82" t="s">
        <v>13</v>
      </c>
      <c r="D324" s="82" t="s">
        <v>277</v>
      </c>
      <c r="E324" s="82" t="s">
        <v>255</v>
      </c>
      <c r="F324" s="82" t="s">
        <v>13</v>
      </c>
      <c r="G324" s="82">
        <v>5819</v>
      </c>
      <c r="H324" s="82" t="s">
        <v>147</v>
      </c>
      <c r="I324" s="82">
        <v>8</v>
      </c>
      <c r="J324" s="82">
        <v>1074.3</v>
      </c>
      <c r="K324" s="82">
        <v>8594.4</v>
      </c>
      <c r="L324" s="26">
        <f t="shared" si="21"/>
        <v>8</v>
      </c>
      <c r="M324" s="26">
        <f t="shared" si="22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>
        <v>2</v>
      </c>
      <c r="AP324" s="26"/>
      <c r="AQ324" s="26"/>
      <c r="AR324" s="26"/>
      <c r="AS324" s="26"/>
      <c r="AT324" s="26"/>
      <c r="AU324" s="26">
        <v>8</v>
      </c>
      <c r="AV324" s="26"/>
      <c r="AW324" s="26">
        <v>6</v>
      </c>
      <c r="AX324" s="26"/>
      <c r="AY324" s="26"/>
      <c r="AZ324" s="26"/>
      <c r="BA324" s="67" t="e">
        <f>SUMIFS([1]Up!$J:$J,[1]Up!$D:$D,D324)</f>
        <v>#VALUE!</v>
      </c>
      <c r="BB324" s="82" t="s">
        <v>2389</v>
      </c>
      <c r="BC324" s="82" t="e">
        <f t="shared" si="23"/>
        <v>#VALUE!</v>
      </c>
      <c r="BD324" s="53" t="str">
        <f t="shared" si="24"/>
        <v>Thừa 8</v>
      </c>
      <c r="BE324" s="53" t="s">
        <v>154</v>
      </c>
      <c r="BF324" s="53"/>
      <c r="BG324" s="53"/>
      <c r="BH324" s="53"/>
      <c r="BI324" s="53"/>
      <c r="BJ324" s="83"/>
      <c r="BK324" s="53"/>
      <c r="BL324" s="53"/>
    </row>
    <row r="325" spans="3:64" ht="14.25" hidden="1" customHeight="1">
      <c r="C325" s="82" t="s">
        <v>13</v>
      </c>
      <c r="D325" s="82" t="s">
        <v>279</v>
      </c>
      <c r="E325" s="82" t="s">
        <v>146</v>
      </c>
      <c r="F325" s="82" t="s">
        <v>13</v>
      </c>
      <c r="G325" s="82">
        <v>5819</v>
      </c>
      <c r="H325" s="82" t="s">
        <v>147</v>
      </c>
      <c r="I325" s="82">
        <v>8</v>
      </c>
      <c r="J325" s="82">
        <v>22.8</v>
      </c>
      <c r="K325" s="82">
        <v>182.4</v>
      </c>
      <c r="L325" s="26">
        <f t="shared" si="21"/>
        <v>4</v>
      </c>
      <c r="M325" s="26">
        <f t="shared" si="22"/>
        <v>4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>
        <v>4</v>
      </c>
      <c r="AU325" s="26"/>
      <c r="AV325" s="26"/>
      <c r="AW325" s="26"/>
      <c r="AX325" s="26"/>
      <c r="AY325" s="26"/>
      <c r="AZ325" s="26"/>
      <c r="BA325" s="67" t="e">
        <f>SUMIFS([1]Up!$J:$J,[1]Up!$D:$D,D325)</f>
        <v>#VALUE!</v>
      </c>
      <c r="BB325" s="82"/>
      <c r="BC325" s="82" t="str">
        <f t="shared" si="23"/>
        <v>PL10</v>
      </c>
      <c r="BD325" s="53" t="str">
        <f t="shared" si="24"/>
        <v/>
      </c>
      <c r="BE325" s="53" t="s">
        <v>148</v>
      </c>
      <c r="BF325" s="53"/>
      <c r="BG325" s="53"/>
      <c r="BH325" s="53"/>
      <c r="BI325" s="53"/>
      <c r="BJ325" s="83"/>
      <c r="BK325" s="53"/>
      <c r="BL325" s="53"/>
    </row>
    <row r="326" spans="3:64" hidden="1">
      <c r="C326" s="82"/>
      <c r="D326" s="82"/>
      <c r="E326" s="82"/>
      <c r="F326" s="82"/>
      <c r="G326" s="82"/>
      <c r="H326" s="82"/>
      <c r="I326" s="82"/>
      <c r="J326" s="82"/>
      <c r="K326" s="82"/>
      <c r="L326" s="26"/>
      <c r="M326" s="26"/>
      <c r="N326" s="82"/>
      <c r="O326" s="26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  <c r="AH326" s="82"/>
      <c r="AI326" s="82"/>
      <c r="AJ326" s="82"/>
      <c r="AK326" s="82"/>
      <c r="AL326" s="82"/>
      <c r="AM326" s="82"/>
      <c r="AN326" s="82"/>
      <c r="AO326" s="82"/>
      <c r="AP326" s="82"/>
      <c r="AQ326" s="82"/>
      <c r="AR326" s="82"/>
      <c r="AS326" s="82"/>
      <c r="AT326" s="82"/>
      <c r="AU326" s="82"/>
      <c r="AV326" s="82"/>
      <c r="AW326" s="82"/>
      <c r="AX326" s="82"/>
      <c r="AY326" s="82"/>
      <c r="AZ326" s="82"/>
      <c r="BA326" s="67"/>
      <c r="BB326" s="82"/>
      <c r="BC326" s="82"/>
      <c r="BD326" s="53"/>
      <c r="BE326" s="53"/>
      <c r="BF326" s="53"/>
      <c r="BG326" s="53"/>
      <c r="BH326" s="53"/>
      <c r="BI326" s="85"/>
      <c r="BJ326" s="53"/>
      <c r="BK326" s="53"/>
      <c r="BL326" s="53"/>
    </row>
    <row r="327" spans="3:64" hidden="1">
      <c r="C327" s="82"/>
      <c r="D327" s="82"/>
      <c r="E327" s="82"/>
      <c r="F327" s="82"/>
      <c r="G327" s="82"/>
      <c r="H327" s="82"/>
      <c r="I327" s="82"/>
      <c r="J327" s="82"/>
      <c r="K327" s="82"/>
      <c r="L327" s="26"/>
      <c r="M327" s="26"/>
      <c r="N327" s="82"/>
      <c r="O327" s="26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  <c r="AH327" s="82"/>
      <c r="AI327" s="82"/>
      <c r="AJ327" s="82"/>
      <c r="AK327" s="82"/>
      <c r="AL327" s="82"/>
      <c r="AM327" s="82"/>
      <c r="AN327" s="82"/>
      <c r="AO327" s="82"/>
      <c r="AP327" s="82"/>
      <c r="AQ327" s="82"/>
      <c r="AR327" s="82"/>
      <c r="AS327" s="82"/>
      <c r="AT327" s="82"/>
      <c r="AU327" s="82"/>
      <c r="AV327" s="82"/>
      <c r="AW327" s="82"/>
      <c r="AX327" s="82"/>
      <c r="AY327" s="82"/>
      <c r="AZ327" s="82"/>
      <c r="BA327" s="67"/>
      <c r="BB327" s="82"/>
      <c r="BC327" s="82"/>
      <c r="BD327" s="53"/>
      <c r="BE327" s="53"/>
      <c r="BF327" s="53"/>
      <c r="BG327" s="53"/>
      <c r="BH327" s="53"/>
      <c r="BI327" s="85"/>
      <c r="BJ327" s="53"/>
      <c r="BK327" s="53"/>
      <c r="BL327" s="53"/>
    </row>
    <row r="328" spans="3:64" hidden="1">
      <c r="C328" s="82"/>
      <c r="D328" s="82"/>
      <c r="E328" s="82"/>
      <c r="F328" s="82"/>
      <c r="G328" s="82"/>
      <c r="H328" s="82"/>
      <c r="I328" s="82"/>
      <c r="J328" s="82"/>
      <c r="K328" s="82"/>
      <c r="L328" s="26"/>
      <c r="M328" s="26"/>
      <c r="N328" s="82"/>
      <c r="O328" s="26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  <c r="AH328" s="82"/>
      <c r="AI328" s="82"/>
      <c r="AJ328" s="82"/>
      <c r="AK328" s="82"/>
      <c r="AL328" s="82"/>
      <c r="AM328" s="82"/>
      <c r="AN328" s="82"/>
      <c r="AO328" s="82"/>
      <c r="AP328" s="82"/>
      <c r="AQ328" s="82"/>
      <c r="AR328" s="82"/>
      <c r="AS328" s="82"/>
      <c r="AT328" s="82"/>
      <c r="AU328" s="82"/>
      <c r="AV328" s="82"/>
      <c r="AW328" s="82"/>
      <c r="AX328" s="82"/>
      <c r="AY328" s="82"/>
      <c r="AZ328" s="82"/>
      <c r="BA328" s="67"/>
      <c r="BB328" s="82"/>
      <c r="BC328" s="82"/>
      <c r="BD328" s="53"/>
      <c r="BE328" s="53"/>
      <c r="BF328" s="53"/>
      <c r="BG328" s="53"/>
      <c r="BH328" s="53"/>
      <c r="BI328" s="85"/>
      <c r="BJ328" s="53"/>
      <c r="BK328" s="53"/>
      <c r="BL328" s="53"/>
    </row>
    <row r="329" spans="3:64" hidden="1">
      <c r="C329" s="82"/>
      <c r="D329" s="82"/>
      <c r="E329" s="82"/>
      <c r="F329" s="82"/>
      <c r="G329" s="82"/>
      <c r="H329" s="82"/>
      <c r="I329" s="82"/>
      <c r="J329" s="82"/>
      <c r="K329" s="82"/>
      <c r="L329" s="26"/>
      <c r="M329" s="26"/>
      <c r="N329" s="82"/>
      <c r="O329" s="26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  <c r="AH329" s="82"/>
      <c r="AI329" s="82"/>
      <c r="AJ329" s="82"/>
      <c r="AK329" s="82"/>
      <c r="AL329" s="82"/>
      <c r="AM329" s="82"/>
      <c r="AN329" s="82"/>
      <c r="AO329" s="82"/>
      <c r="AP329" s="82"/>
      <c r="AQ329" s="82"/>
      <c r="AR329" s="82"/>
      <c r="AS329" s="82"/>
      <c r="AT329" s="82"/>
      <c r="AU329" s="82"/>
      <c r="AV329" s="82"/>
      <c r="AW329" s="82"/>
      <c r="AX329" s="82"/>
      <c r="AY329" s="82"/>
      <c r="AZ329" s="82"/>
      <c r="BA329" s="67"/>
      <c r="BB329" s="82"/>
      <c r="BC329" s="82"/>
      <c r="BD329" s="53"/>
      <c r="BE329" s="53"/>
      <c r="BF329" s="53"/>
      <c r="BG329" s="53"/>
      <c r="BH329" s="53"/>
      <c r="BI329" s="85"/>
      <c r="BJ329" s="53"/>
      <c r="BK329" s="53"/>
      <c r="BL329" s="53"/>
    </row>
    <row r="330" spans="3:64" hidden="1">
      <c r="C330" s="82"/>
      <c r="D330" s="82"/>
      <c r="E330" s="82"/>
      <c r="F330" s="82"/>
      <c r="G330" s="82"/>
      <c r="H330" s="82"/>
      <c r="I330" s="82"/>
      <c r="J330" s="82"/>
      <c r="K330" s="82"/>
      <c r="L330" s="26"/>
      <c r="M330" s="26"/>
      <c r="N330" s="82"/>
      <c r="O330" s="26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  <c r="AH330" s="82"/>
      <c r="AI330" s="82"/>
      <c r="AJ330" s="82"/>
      <c r="AK330" s="82"/>
      <c r="AL330" s="82"/>
      <c r="AM330" s="82"/>
      <c r="AN330" s="82"/>
      <c r="AO330" s="82"/>
      <c r="AP330" s="82"/>
      <c r="AQ330" s="82"/>
      <c r="AR330" s="82"/>
      <c r="AS330" s="82"/>
      <c r="AT330" s="82"/>
      <c r="AU330" s="82"/>
      <c r="AV330" s="82"/>
      <c r="AW330" s="82"/>
      <c r="AX330" s="82"/>
      <c r="AY330" s="82"/>
      <c r="AZ330" s="82"/>
      <c r="BA330" s="67"/>
      <c r="BB330" s="82"/>
      <c r="BC330" s="82"/>
      <c r="BD330" s="53"/>
      <c r="BE330" s="53"/>
      <c r="BF330" s="53"/>
      <c r="BG330" s="53"/>
      <c r="BH330" s="53"/>
      <c r="BI330" s="85"/>
      <c r="BJ330" s="53"/>
      <c r="BK330" s="53"/>
      <c r="BL330" s="53"/>
    </row>
    <row r="331" spans="3:64" hidden="1">
      <c r="C331" s="82"/>
      <c r="D331" s="82"/>
      <c r="E331" s="82"/>
      <c r="F331" s="82"/>
      <c r="G331" s="82"/>
      <c r="H331" s="82"/>
      <c r="I331" s="82"/>
      <c r="J331" s="82"/>
      <c r="K331" s="82"/>
      <c r="L331" s="26"/>
      <c r="M331" s="26"/>
      <c r="N331" s="82"/>
      <c r="O331" s="26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  <c r="AH331" s="82"/>
      <c r="AI331" s="82"/>
      <c r="AJ331" s="82"/>
      <c r="AK331" s="82"/>
      <c r="AL331" s="82"/>
      <c r="AM331" s="82"/>
      <c r="AN331" s="82"/>
      <c r="AO331" s="82"/>
      <c r="AP331" s="82"/>
      <c r="AQ331" s="82"/>
      <c r="AR331" s="82"/>
      <c r="AS331" s="82"/>
      <c r="AT331" s="82"/>
      <c r="AU331" s="82"/>
      <c r="AV331" s="82"/>
      <c r="AW331" s="82"/>
      <c r="AX331" s="82"/>
      <c r="AY331" s="82"/>
      <c r="AZ331" s="82"/>
      <c r="BA331" s="67"/>
      <c r="BB331" s="82"/>
      <c r="BC331" s="82"/>
      <c r="BD331" s="53"/>
      <c r="BE331" s="53"/>
      <c r="BF331" s="53"/>
      <c r="BG331" s="53"/>
      <c r="BH331" s="53"/>
      <c r="BI331" s="85"/>
      <c r="BJ331" s="53"/>
      <c r="BK331" s="53"/>
      <c r="BL331" s="53"/>
    </row>
    <row r="332" spans="3:64" hidden="1">
      <c r="C332" s="82"/>
      <c r="D332" s="82"/>
      <c r="E332" s="82"/>
      <c r="F332" s="82"/>
      <c r="G332" s="82"/>
      <c r="H332" s="82"/>
      <c r="I332" s="82"/>
      <c r="J332" s="82"/>
      <c r="K332" s="82"/>
      <c r="L332" s="26"/>
      <c r="M332" s="26"/>
      <c r="N332" s="82"/>
      <c r="O332" s="26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  <c r="AH332" s="82"/>
      <c r="AI332" s="82"/>
      <c r="AJ332" s="82"/>
      <c r="AK332" s="82"/>
      <c r="AL332" s="82"/>
      <c r="AM332" s="82"/>
      <c r="AN332" s="82"/>
      <c r="AO332" s="82"/>
      <c r="AP332" s="82"/>
      <c r="AQ332" s="82"/>
      <c r="AR332" s="82"/>
      <c r="AS332" s="82"/>
      <c r="AT332" s="82"/>
      <c r="AU332" s="82"/>
      <c r="AV332" s="82"/>
      <c r="AW332" s="82"/>
      <c r="AX332" s="82"/>
      <c r="AY332" s="82"/>
      <c r="AZ332" s="82"/>
      <c r="BA332" s="67"/>
      <c r="BB332" s="82"/>
      <c r="BC332" s="82"/>
      <c r="BD332" s="53"/>
      <c r="BE332" s="53"/>
      <c r="BF332" s="53"/>
      <c r="BG332" s="53"/>
      <c r="BH332" s="53"/>
      <c r="BI332" s="85"/>
      <c r="BJ332" s="53"/>
      <c r="BK332" s="53"/>
      <c r="BL332" s="53"/>
    </row>
  </sheetData>
  <autoFilter ref="C29:BL332" xr:uid="{B5DE6D30-F474-449D-82A7-1262A8A8C8BB}">
    <filterColumn colId="1">
      <filters>
        <filter val="SD_A0165_P0529"/>
      </filters>
    </filterColumn>
  </autoFilter>
  <dataConsolidate/>
  <conditionalFormatting sqref="D30:D325">
    <cfRule type="duplicateValues" dxfId="12" priority="12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ACB6B-983B-4CEC-878A-58741A0BCA83}">
  <sheetPr codeName="Sheet2" filterMode="1"/>
  <dimension ref="A1:CB366"/>
  <sheetViews>
    <sheetView zoomScale="70" zoomScaleNormal="70" workbookViewId="0">
      <pane xSplit="14" ySplit="9" topLeftCell="AB38" activePane="bottomRight" state="frozen"/>
      <selection pane="topRight" activeCell="Q1" sqref="Q1"/>
      <selection pane="bottomLeft" activeCell="A10" sqref="A10"/>
      <selection pane="bottomRight" activeCell="AG151" sqref="AG151"/>
    </sheetView>
  </sheetViews>
  <sheetFormatPr defaultRowHeight="15.75"/>
  <cols>
    <col min="1" max="1" width="5" customWidth="1"/>
    <col min="2" max="2" width="20.25" customWidth="1"/>
    <col min="3" max="3" width="17.75" customWidth="1"/>
    <col min="4" max="4" width="11.125" customWidth="1"/>
    <col min="5" max="5" width="14.75" customWidth="1"/>
    <col min="6" max="6" width="19.75" customWidth="1"/>
    <col min="7" max="7" width="12" customWidth="1"/>
    <col min="8" max="8" width="10.25" customWidth="1"/>
    <col min="9" max="9" width="12.625" customWidth="1"/>
    <col min="10" max="12" width="5.875" customWidth="1"/>
    <col min="13" max="14" width="10.375" customWidth="1"/>
    <col min="15" max="15" width="7.75" customWidth="1"/>
    <col min="16" max="28" width="10.375" customWidth="1"/>
    <col min="29" max="29" width="7.625" customWidth="1"/>
    <col min="30" max="30" width="18.125" customWidth="1"/>
    <col min="31" max="31" width="7" customWidth="1"/>
    <col min="32" max="41" width="7.875" customWidth="1"/>
    <col min="42" max="42" width="8.75" customWidth="1"/>
    <col min="43" max="51" width="10.375" customWidth="1"/>
    <col min="52" max="52" width="5.875" customWidth="1"/>
    <col min="53" max="56" width="11.125" customWidth="1"/>
    <col min="57" max="57" width="7.625" customWidth="1"/>
    <col min="58" max="58" width="8.5" customWidth="1"/>
    <col min="59" max="59" width="11.5" customWidth="1"/>
    <col min="60" max="60" width="22.5" customWidth="1"/>
    <col min="61" max="61" width="34.375" customWidth="1"/>
    <col min="62" max="63" width="28.5" customWidth="1"/>
    <col min="64" max="67" width="9.375" customWidth="1"/>
    <col min="68" max="69" width="11.125" customWidth="1"/>
    <col min="70" max="70" width="9.375" customWidth="1"/>
    <col min="71" max="71" width="13.375" bestFit="1" customWidth="1"/>
    <col min="72" max="72" width="19.375" customWidth="1"/>
    <col min="73" max="73" width="9.75" customWidth="1"/>
    <col min="74" max="74" width="13.625" customWidth="1"/>
    <col min="75" max="75" width="6.25" customWidth="1"/>
    <col min="76" max="76" width="8" customWidth="1"/>
    <col min="77" max="77" width="8.375" customWidth="1"/>
    <col min="78" max="78" width="6.25" customWidth="1"/>
    <col min="79" max="79" width="8" customWidth="1"/>
  </cols>
  <sheetData>
    <row r="1" spans="1:80" ht="24" thickTop="1">
      <c r="A1" s="108" t="s">
        <v>55</v>
      </c>
      <c r="B1" s="109"/>
      <c r="C1" s="109"/>
      <c r="D1" s="110"/>
      <c r="E1" s="110"/>
      <c r="F1" s="110"/>
      <c r="G1" s="110"/>
      <c r="H1" s="109"/>
      <c r="I1" s="111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12"/>
      <c r="AD1" s="113"/>
      <c r="AE1" s="112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11"/>
      <c r="BB1" s="111"/>
      <c r="BC1" s="111"/>
      <c r="BD1" s="111"/>
      <c r="BE1" s="112"/>
      <c r="BF1" s="112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</row>
    <row r="2" spans="1:80">
      <c r="A2" s="114" t="s">
        <v>56</v>
      </c>
      <c r="B2" s="112"/>
      <c r="C2" s="113"/>
      <c r="D2" s="115"/>
      <c r="E2" s="116"/>
      <c r="F2" s="116"/>
      <c r="G2" s="116"/>
      <c r="H2" s="112"/>
      <c r="I2" s="113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3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3"/>
      <c r="BB2" s="113"/>
      <c r="BC2" s="113"/>
      <c r="BD2" s="113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7" t="s">
        <v>57</v>
      </c>
      <c r="BW2" s="112"/>
      <c r="BX2" s="112"/>
      <c r="BY2" s="112"/>
      <c r="BZ2" s="112"/>
      <c r="CA2" s="112"/>
      <c r="CB2" s="112"/>
    </row>
    <row r="3" spans="1:80">
      <c r="A3" s="114" t="s">
        <v>58</v>
      </c>
      <c r="B3" s="112"/>
      <c r="C3" s="112"/>
      <c r="D3" s="115"/>
      <c r="E3" s="116"/>
      <c r="F3" s="116"/>
      <c r="G3" s="116"/>
      <c r="H3" s="112"/>
      <c r="I3" s="113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3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3"/>
      <c r="BB3" s="113"/>
      <c r="BC3" s="113"/>
      <c r="BD3" s="113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</row>
    <row r="4" spans="1:80">
      <c r="A4" s="114" t="s">
        <v>59</v>
      </c>
      <c r="B4" s="112"/>
      <c r="C4" s="112" t="s">
        <v>818</v>
      </c>
      <c r="D4" s="115"/>
      <c r="E4" s="116"/>
      <c r="F4" s="116"/>
      <c r="G4" s="116"/>
      <c r="H4" s="112"/>
      <c r="I4" s="113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3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3"/>
      <c r="BB4" s="113"/>
      <c r="BC4" s="113"/>
      <c r="BD4" s="113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2"/>
      <c r="CA4" s="112"/>
      <c r="CB4" s="112"/>
    </row>
    <row r="5" spans="1:80">
      <c r="A5" s="114" t="s">
        <v>60</v>
      </c>
      <c r="B5" s="112"/>
      <c r="C5" s="112"/>
      <c r="D5" s="115"/>
      <c r="E5" s="116"/>
      <c r="F5" s="116"/>
      <c r="G5" s="116"/>
      <c r="H5" s="112"/>
      <c r="I5" s="113"/>
      <c r="J5" s="112"/>
      <c r="K5" s="112"/>
      <c r="L5" s="112"/>
      <c r="M5" s="112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3"/>
      <c r="AE5" s="118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8"/>
      <c r="BB5" s="118"/>
      <c r="BC5" s="118"/>
      <c r="BD5" s="118"/>
      <c r="BE5" s="116"/>
      <c r="BF5" s="118"/>
      <c r="BG5" s="116"/>
      <c r="BH5" s="119"/>
      <c r="BI5" s="119"/>
      <c r="BJ5" s="120"/>
      <c r="BK5" s="120"/>
      <c r="BL5" s="118"/>
      <c r="BM5" s="118"/>
      <c r="BN5" s="118"/>
      <c r="BO5" s="118"/>
      <c r="BP5" s="118"/>
      <c r="BQ5" s="118"/>
      <c r="BR5" s="118"/>
      <c r="BS5" s="118"/>
      <c r="BT5" s="118"/>
      <c r="BU5" s="118"/>
      <c r="BV5" s="118"/>
      <c r="BW5" s="118"/>
      <c r="BX5" s="121"/>
      <c r="BY5" s="118"/>
      <c r="BZ5" s="118"/>
      <c r="CA5" s="118"/>
      <c r="CB5" s="118"/>
    </row>
    <row r="6" spans="1:80">
      <c r="A6" s="114" t="s">
        <v>61</v>
      </c>
      <c r="B6" s="112"/>
      <c r="C6" s="112"/>
      <c r="D6" s="115"/>
      <c r="E6" s="122"/>
      <c r="F6" s="122"/>
      <c r="G6" s="122"/>
      <c r="H6" s="112"/>
      <c r="I6" s="123" t="s">
        <v>848</v>
      </c>
      <c r="J6" s="112"/>
      <c r="K6" s="112"/>
      <c r="L6" s="112"/>
      <c r="M6" s="124"/>
      <c r="N6" s="116"/>
      <c r="O6" s="116"/>
      <c r="P6" s="116"/>
      <c r="Q6" s="116"/>
      <c r="R6" s="116"/>
      <c r="S6" s="116"/>
      <c r="T6" s="116"/>
      <c r="U6" s="116"/>
      <c r="V6" s="116"/>
      <c r="W6" s="116" cm="1">
        <f t="array" aca="1" ref="W6" ca="1">SUMPRODUCT(W:W,M:M,--(AE:AE="x"))</f>
        <v>0</v>
      </c>
      <c r="X6" s="116" t="e" cm="1">
        <f t="array" aca="1" ref="X6" ca="1">SUMPRODUCT(X:X,M:M,--(AE:AE="x"),--(X:X&gt;=80%))</f>
        <v>#DIV/0!</v>
      </c>
      <c r="Y6" s="116"/>
      <c r="Z6" s="116"/>
      <c r="AA6" s="116"/>
      <c r="AB6" s="116"/>
      <c r="AC6" s="116"/>
      <c r="AD6" s="125" t="s">
        <v>849</v>
      </c>
      <c r="AE6" s="118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8"/>
      <c r="BB6" s="118"/>
      <c r="BC6" s="118"/>
      <c r="BD6" s="118"/>
      <c r="BE6" s="116"/>
      <c r="BF6" s="118"/>
      <c r="BG6" s="116"/>
      <c r="BH6" s="271" t="s">
        <v>62</v>
      </c>
      <c r="BI6" s="272"/>
      <c r="BJ6" s="272"/>
      <c r="BK6" s="272"/>
      <c r="BL6" s="271" t="s">
        <v>63</v>
      </c>
      <c r="BM6" s="272"/>
      <c r="BN6" s="272"/>
      <c r="BO6" s="272"/>
      <c r="BP6" s="272"/>
      <c r="BQ6" s="272"/>
      <c r="BR6" s="273"/>
      <c r="BS6" s="126" t="s">
        <v>64</v>
      </c>
      <c r="BT6" s="271" t="s">
        <v>65</v>
      </c>
      <c r="BU6" s="272"/>
      <c r="BV6" s="272"/>
      <c r="BW6" s="272"/>
      <c r="BX6" s="272"/>
      <c r="BY6" s="272"/>
      <c r="BZ6" s="272"/>
      <c r="CA6" s="272"/>
      <c r="CB6" s="273"/>
    </row>
    <row r="7" spans="1:80">
      <c r="A7" s="127" t="s">
        <v>66</v>
      </c>
      <c r="B7" s="127" t="s">
        <v>66</v>
      </c>
      <c r="C7" s="127" t="s">
        <v>66</v>
      </c>
      <c r="D7" s="127" t="s">
        <v>66</v>
      </c>
      <c r="E7" s="127" t="s">
        <v>66</v>
      </c>
      <c r="F7" s="127" t="s">
        <v>66</v>
      </c>
      <c r="G7" s="127" t="s">
        <v>66</v>
      </c>
      <c r="H7" s="127" t="s">
        <v>66</v>
      </c>
      <c r="I7" s="127" t="s">
        <v>66</v>
      </c>
      <c r="J7" s="127" t="s">
        <v>66</v>
      </c>
      <c r="K7" s="127" t="s">
        <v>66</v>
      </c>
      <c r="L7" s="127" t="s">
        <v>66</v>
      </c>
      <c r="M7" s="127" t="s">
        <v>66</v>
      </c>
      <c r="N7" s="127" t="s">
        <v>66</v>
      </c>
      <c r="O7" s="127" t="s">
        <v>819</v>
      </c>
      <c r="P7" s="127" t="s">
        <v>819</v>
      </c>
      <c r="Q7" s="127" t="s">
        <v>819</v>
      </c>
      <c r="R7" s="127" t="s">
        <v>819</v>
      </c>
      <c r="S7" s="127" t="s">
        <v>819</v>
      </c>
      <c r="T7" s="127" t="s">
        <v>819</v>
      </c>
      <c r="U7" s="127" t="s">
        <v>819</v>
      </c>
      <c r="V7" s="127" t="s">
        <v>819</v>
      </c>
      <c r="W7" s="127" t="s">
        <v>819</v>
      </c>
      <c r="X7" s="127" t="s">
        <v>819</v>
      </c>
      <c r="Y7" s="127" t="s">
        <v>819</v>
      </c>
      <c r="Z7" s="127" t="s">
        <v>66</v>
      </c>
      <c r="AA7" s="127" t="s">
        <v>66</v>
      </c>
      <c r="AB7" s="127" t="s">
        <v>66</v>
      </c>
      <c r="AC7" s="127" t="s">
        <v>66</v>
      </c>
      <c r="AD7" s="127" t="s">
        <v>66</v>
      </c>
      <c r="AE7" s="127" t="s">
        <v>66</v>
      </c>
      <c r="AF7" s="127" t="s">
        <v>843</v>
      </c>
      <c r="AG7" s="127" t="s">
        <v>843</v>
      </c>
      <c r="AH7" s="127" t="s">
        <v>843</v>
      </c>
      <c r="AI7" s="127" t="s">
        <v>843</v>
      </c>
      <c r="AJ7" s="127" t="s">
        <v>843</v>
      </c>
      <c r="AK7" s="127" t="s">
        <v>837</v>
      </c>
      <c r="AL7" s="127" t="s">
        <v>837</v>
      </c>
      <c r="AM7" s="127" t="s">
        <v>837</v>
      </c>
      <c r="AN7" s="127" t="s">
        <v>837</v>
      </c>
      <c r="AO7" s="127" t="s">
        <v>837</v>
      </c>
      <c r="AP7" s="127" t="s">
        <v>840</v>
      </c>
      <c r="AQ7" s="127" t="s">
        <v>840</v>
      </c>
      <c r="AR7" s="127" t="s">
        <v>840</v>
      </c>
      <c r="AS7" s="127" t="s">
        <v>840</v>
      </c>
      <c r="AT7" s="127" t="s">
        <v>840</v>
      </c>
      <c r="AU7" s="127" t="s">
        <v>841</v>
      </c>
      <c r="AV7" s="127" t="s">
        <v>841</v>
      </c>
      <c r="AW7" s="127" t="s">
        <v>841</v>
      </c>
      <c r="AX7" s="127" t="s">
        <v>841</v>
      </c>
      <c r="AY7" s="127" t="s">
        <v>841</v>
      </c>
      <c r="AZ7" s="127" t="s">
        <v>66</v>
      </c>
      <c r="BA7" s="127" t="s">
        <v>66</v>
      </c>
      <c r="BB7" s="127" t="s">
        <v>66</v>
      </c>
      <c r="BC7" s="127" t="s">
        <v>66</v>
      </c>
      <c r="BD7" s="127" t="s">
        <v>66</v>
      </c>
      <c r="BE7" s="127" t="s">
        <v>66</v>
      </c>
      <c r="BF7" s="127" t="s">
        <v>66</v>
      </c>
      <c r="BG7" s="127" t="s">
        <v>66</v>
      </c>
      <c r="BH7" s="127" t="s">
        <v>66</v>
      </c>
      <c r="BI7" s="127" t="s">
        <v>66</v>
      </c>
      <c r="BJ7" s="127" t="s">
        <v>66</v>
      </c>
      <c r="BK7" s="127" t="s">
        <v>66</v>
      </c>
      <c r="BL7" s="127" t="s">
        <v>66</v>
      </c>
      <c r="BM7" s="127" t="s">
        <v>67</v>
      </c>
      <c r="BN7" s="127" t="s">
        <v>68</v>
      </c>
      <c r="BO7" s="127" t="s">
        <v>69</v>
      </c>
      <c r="BP7" s="127" t="s">
        <v>70</v>
      </c>
      <c r="BQ7" s="127" t="s">
        <v>71</v>
      </c>
      <c r="BR7" s="127" t="s">
        <v>72</v>
      </c>
      <c r="BS7" s="127" t="s">
        <v>66</v>
      </c>
      <c r="BT7" s="274" t="s">
        <v>66</v>
      </c>
      <c r="BU7" s="275"/>
      <c r="BV7" s="127" t="s">
        <v>66</v>
      </c>
      <c r="BW7" s="127" t="s">
        <v>66</v>
      </c>
      <c r="BX7" s="129" t="s">
        <v>66</v>
      </c>
      <c r="BY7" s="127" t="s">
        <v>66</v>
      </c>
      <c r="BZ7" s="127" t="s">
        <v>66</v>
      </c>
      <c r="CA7" s="127" t="s">
        <v>66</v>
      </c>
      <c r="CB7" s="127" t="s">
        <v>66</v>
      </c>
    </row>
    <row r="8" spans="1:80" ht="15" customHeight="1">
      <c r="A8" s="126" t="s">
        <v>73</v>
      </c>
      <c r="B8" s="127" t="s">
        <v>74</v>
      </c>
      <c r="C8" s="127" t="s">
        <v>75</v>
      </c>
      <c r="D8" s="130" t="s">
        <v>30</v>
      </c>
      <c r="E8" s="276"/>
      <c r="F8" s="275"/>
      <c r="G8" s="130" t="s">
        <v>29</v>
      </c>
      <c r="H8" s="127" t="s">
        <v>31</v>
      </c>
      <c r="I8" s="127" t="s">
        <v>32</v>
      </c>
      <c r="J8" s="130" t="s">
        <v>76</v>
      </c>
      <c r="K8" s="130" t="s">
        <v>77</v>
      </c>
      <c r="L8" s="130" t="s">
        <v>6</v>
      </c>
      <c r="M8" s="127" t="s">
        <v>33</v>
      </c>
      <c r="N8" s="127" t="s">
        <v>7</v>
      </c>
      <c r="O8" s="127" t="s">
        <v>820</v>
      </c>
      <c r="P8" s="127" t="s">
        <v>78</v>
      </c>
      <c r="Q8" s="127" t="s">
        <v>821</v>
      </c>
      <c r="R8" s="127" t="s">
        <v>822</v>
      </c>
      <c r="S8" s="127" t="s">
        <v>823</v>
      </c>
      <c r="T8" s="127" t="s">
        <v>824</v>
      </c>
      <c r="U8" s="127" t="s">
        <v>825</v>
      </c>
      <c r="V8" s="127" t="s">
        <v>826</v>
      </c>
      <c r="W8" s="127" t="s">
        <v>827</v>
      </c>
      <c r="X8" s="127" t="s">
        <v>828</v>
      </c>
      <c r="Y8" s="127" t="s">
        <v>829</v>
      </c>
      <c r="Z8" s="127" t="s">
        <v>830</v>
      </c>
      <c r="AA8" s="127" t="s">
        <v>831</v>
      </c>
      <c r="AB8" s="127" t="s">
        <v>87</v>
      </c>
      <c r="AC8" s="127" t="s">
        <v>93</v>
      </c>
      <c r="AD8" s="127" t="s">
        <v>94</v>
      </c>
      <c r="AE8" s="128" t="s">
        <v>95</v>
      </c>
      <c r="AF8" s="127" t="s">
        <v>79</v>
      </c>
      <c r="AG8" s="127" t="s">
        <v>80</v>
      </c>
      <c r="AH8" s="127" t="s">
        <v>836</v>
      </c>
      <c r="AI8" s="127" t="s">
        <v>824</v>
      </c>
      <c r="AJ8" s="127" t="s">
        <v>825</v>
      </c>
      <c r="AK8" s="127" t="s">
        <v>81</v>
      </c>
      <c r="AL8" s="127" t="s">
        <v>82</v>
      </c>
      <c r="AM8" s="127" t="s">
        <v>838</v>
      </c>
      <c r="AN8" s="127" t="s">
        <v>824</v>
      </c>
      <c r="AO8" s="127" t="s">
        <v>825</v>
      </c>
      <c r="AP8" s="127" t="s">
        <v>83</v>
      </c>
      <c r="AQ8" s="127" t="s">
        <v>84</v>
      </c>
      <c r="AR8" s="127" t="s">
        <v>839</v>
      </c>
      <c r="AS8" s="127" t="s">
        <v>824</v>
      </c>
      <c r="AT8" s="127" t="s">
        <v>825</v>
      </c>
      <c r="AU8" s="127" t="s">
        <v>85</v>
      </c>
      <c r="AV8" s="127" t="s">
        <v>86</v>
      </c>
      <c r="AW8" s="127" t="s">
        <v>842</v>
      </c>
      <c r="AX8" s="127" t="s">
        <v>824</v>
      </c>
      <c r="AY8" s="127" t="s">
        <v>825</v>
      </c>
      <c r="AZ8" s="127" t="s">
        <v>87</v>
      </c>
      <c r="BA8" s="127" t="s">
        <v>88</v>
      </c>
      <c r="BB8" s="127" t="s">
        <v>89</v>
      </c>
      <c r="BC8" s="127" t="s">
        <v>90</v>
      </c>
      <c r="BD8" s="127" t="s">
        <v>91</v>
      </c>
      <c r="BE8" s="127" t="s">
        <v>92</v>
      </c>
      <c r="BF8" s="128" t="s">
        <v>96</v>
      </c>
      <c r="BG8" s="127" t="s">
        <v>850</v>
      </c>
      <c r="BH8" s="127" t="s">
        <v>97</v>
      </c>
      <c r="BI8" s="127" t="s">
        <v>98</v>
      </c>
      <c r="BJ8" s="127" t="s">
        <v>99</v>
      </c>
      <c r="BK8" s="127" t="s">
        <v>100</v>
      </c>
      <c r="BL8" s="126" t="s">
        <v>101</v>
      </c>
      <c r="BM8" s="127" t="s">
        <v>102</v>
      </c>
      <c r="BN8" s="127" t="s">
        <v>103</v>
      </c>
      <c r="BO8" s="127" t="s">
        <v>104</v>
      </c>
      <c r="BP8" s="131" t="s">
        <v>105</v>
      </c>
      <c r="BQ8" s="131" t="s">
        <v>106</v>
      </c>
      <c r="BR8" s="127" t="s">
        <v>107</v>
      </c>
      <c r="BS8" s="127" t="s">
        <v>108</v>
      </c>
      <c r="BT8" s="127" t="s">
        <v>109</v>
      </c>
      <c r="BU8" s="127" t="s">
        <v>110</v>
      </c>
      <c r="BV8" s="127" t="s">
        <v>42</v>
      </c>
      <c r="BW8" s="126" t="s">
        <v>111</v>
      </c>
      <c r="BX8" s="132" t="s">
        <v>44</v>
      </c>
      <c r="BY8" s="127" t="s">
        <v>42</v>
      </c>
      <c r="BZ8" s="126" t="s">
        <v>111</v>
      </c>
      <c r="CA8" s="126" t="s">
        <v>44</v>
      </c>
      <c r="CB8" s="127" t="s">
        <v>112</v>
      </c>
    </row>
    <row r="9" spans="1:80" ht="24">
      <c r="A9" s="126" t="s">
        <v>113</v>
      </c>
      <c r="B9" s="126" t="s">
        <v>114</v>
      </c>
      <c r="C9" s="126" t="s">
        <v>115</v>
      </c>
      <c r="D9" s="126" t="s">
        <v>116</v>
      </c>
      <c r="E9" s="127" t="s">
        <v>117</v>
      </c>
      <c r="F9" s="127" t="s">
        <v>118</v>
      </c>
      <c r="G9" s="127" t="s">
        <v>119</v>
      </c>
      <c r="H9" s="127" t="s">
        <v>120</v>
      </c>
      <c r="I9" s="127" t="s">
        <v>121</v>
      </c>
      <c r="J9" s="127" t="s">
        <v>122</v>
      </c>
      <c r="K9" s="127" t="s">
        <v>123</v>
      </c>
      <c r="L9" s="127" t="s">
        <v>124</v>
      </c>
      <c r="M9" s="127" t="s">
        <v>125</v>
      </c>
      <c r="N9" s="127" t="s">
        <v>126</v>
      </c>
      <c r="O9" s="127"/>
      <c r="P9" s="127"/>
      <c r="Q9" s="127"/>
      <c r="R9" s="127"/>
      <c r="S9" s="127"/>
      <c r="T9" s="127" t="s">
        <v>134</v>
      </c>
      <c r="U9" s="127" t="s">
        <v>832</v>
      </c>
      <c r="V9" s="127" t="s">
        <v>833</v>
      </c>
      <c r="W9" s="127" t="s">
        <v>834</v>
      </c>
      <c r="X9" s="127" t="s">
        <v>835</v>
      </c>
      <c r="Y9" s="127"/>
      <c r="Z9" s="127"/>
      <c r="AA9" s="127"/>
      <c r="AB9" s="127"/>
      <c r="AC9" s="127" t="s">
        <v>131</v>
      </c>
      <c r="AD9" s="127" t="s">
        <v>132</v>
      </c>
      <c r="AE9" s="127" t="s">
        <v>133</v>
      </c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 t="s">
        <v>127</v>
      </c>
      <c r="BA9" s="127" t="s">
        <v>128</v>
      </c>
      <c r="BB9" s="127" t="s">
        <v>129</v>
      </c>
      <c r="BC9" s="127" t="s">
        <v>129</v>
      </c>
      <c r="BD9" s="127" t="s">
        <v>129</v>
      </c>
      <c r="BE9" s="127" t="s">
        <v>130</v>
      </c>
      <c r="BF9" s="127" t="s">
        <v>134</v>
      </c>
      <c r="BG9" s="127">
        <v>29</v>
      </c>
      <c r="BH9" s="127">
        <v>30</v>
      </c>
      <c r="BI9" s="127">
        <v>31</v>
      </c>
      <c r="BJ9" s="127">
        <v>32</v>
      </c>
      <c r="BK9" s="127">
        <v>33</v>
      </c>
      <c r="BL9" s="127">
        <v>34</v>
      </c>
      <c r="BM9" s="127">
        <v>35</v>
      </c>
      <c r="BN9" s="127">
        <v>36</v>
      </c>
      <c r="BO9" s="127">
        <v>37</v>
      </c>
      <c r="BP9" s="127">
        <v>38</v>
      </c>
      <c r="BQ9" s="127">
        <v>39</v>
      </c>
      <c r="BR9" s="127">
        <v>40</v>
      </c>
      <c r="BS9" s="127">
        <v>41</v>
      </c>
      <c r="BT9" s="127">
        <v>42</v>
      </c>
      <c r="BU9" s="127">
        <v>43</v>
      </c>
      <c r="BV9" s="127">
        <v>44</v>
      </c>
      <c r="BW9" s="127">
        <v>45</v>
      </c>
      <c r="BX9" s="127">
        <v>46</v>
      </c>
      <c r="BY9" s="127">
        <v>47</v>
      </c>
      <c r="BZ9" s="127">
        <v>48</v>
      </c>
      <c r="CA9" s="127">
        <v>49</v>
      </c>
      <c r="CB9" s="127">
        <v>50</v>
      </c>
    </row>
    <row r="10" spans="1:80" ht="16.5" hidden="1" customHeight="1">
      <c r="A10" s="133">
        <v>17</v>
      </c>
      <c r="B10" s="134" t="s">
        <v>135</v>
      </c>
      <c r="C10" s="134" t="s">
        <v>890</v>
      </c>
      <c r="D10" s="134"/>
      <c r="E10" s="134" t="s">
        <v>136</v>
      </c>
      <c r="F10" s="134"/>
      <c r="G10" s="134"/>
      <c r="H10" s="135"/>
      <c r="I10" s="136"/>
      <c r="J10" s="137" t="s">
        <v>136</v>
      </c>
      <c r="K10" s="138">
        <f>+AG10+AL10+AQ10+AV10</f>
        <v>4</v>
      </c>
      <c r="L10" s="137" t="s">
        <v>136</v>
      </c>
      <c r="M10" s="135"/>
      <c r="N10" s="135">
        <v>6278.9</v>
      </c>
      <c r="O10" s="135" t="s">
        <v>137</v>
      </c>
      <c r="P10" s="135"/>
      <c r="Q10" s="135"/>
      <c r="R10" s="135"/>
      <c r="S10" s="135"/>
      <c r="T10" s="135"/>
      <c r="U10" s="135"/>
      <c r="V10" s="135"/>
      <c r="W10" s="135">
        <f ca="1">_xlfn.MINIFS(V:V,C:C,C10,AE:AE,"",AB:AB,"")</f>
        <v>0</v>
      </c>
      <c r="X10" s="135">
        <f ca="1">SUMIFS(T:T,C:C,C10,AE:AE,"")/SUMIFS(L:L,C:C,C10,AE:AE,"",AB:AB,"")</f>
        <v>0.35</v>
      </c>
      <c r="Y10" s="135"/>
      <c r="Z10" s="135"/>
      <c r="AA10" s="135"/>
      <c r="AB10" s="135"/>
      <c r="AC10" s="135">
        <v>157.5</v>
      </c>
      <c r="AD10" s="133" t="s">
        <v>142</v>
      </c>
      <c r="AE10" s="133" t="s">
        <v>143</v>
      </c>
      <c r="AF10" s="135" t="s">
        <v>138</v>
      </c>
      <c r="AG10" s="135">
        <v>0</v>
      </c>
      <c r="AH10" s="135"/>
      <c r="AI10" s="135"/>
      <c r="AJ10" s="135"/>
      <c r="AK10" s="135" t="s">
        <v>138</v>
      </c>
      <c r="AL10" s="135">
        <v>0</v>
      </c>
      <c r="AM10" s="135"/>
      <c r="AN10" s="135"/>
      <c r="AO10" s="135"/>
      <c r="AP10" s="135" t="s">
        <v>139</v>
      </c>
      <c r="AQ10" s="135">
        <v>4</v>
      </c>
      <c r="AR10" s="135"/>
      <c r="AS10" s="135"/>
      <c r="AT10" s="135"/>
      <c r="AU10" s="135" t="s">
        <v>138</v>
      </c>
      <c r="AV10" s="135">
        <v>0</v>
      </c>
      <c r="AW10" s="135"/>
      <c r="AX10" s="135"/>
      <c r="AY10" s="135"/>
      <c r="AZ10" s="136"/>
      <c r="BA10" s="137" t="s">
        <v>140</v>
      </c>
      <c r="BB10" s="137" t="s">
        <v>140</v>
      </c>
      <c r="BC10" s="137" t="s">
        <v>141</v>
      </c>
      <c r="BD10" s="137" t="s">
        <v>140</v>
      </c>
      <c r="BE10" s="135">
        <v>39.4</v>
      </c>
      <c r="BF10" s="133"/>
      <c r="BG10" s="135"/>
      <c r="BH10" s="133"/>
      <c r="BI10" s="139"/>
      <c r="BJ10" s="140"/>
      <c r="BK10" s="140"/>
      <c r="BL10" s="133"/>
      <c r="BM10" s="139"/>
      <c r="BN10" s="139"/>
      <c r="BO10" s="139"/>
      <c r="BP10" s="139"/>
      <c r="BQ10" s="139"/>
      <c r="BR10" s="139"/>
      <c r="BS10" s="133"/>
      <c r="BT10" s="139"/>
      <c r="BU10" s="139"/>
      <c r="BV10" s="139"/>
      <c r="BW10" s="139"/>
      <c r="BX10" s="140"/>
      <c r="BY10" s="139"/>
      <c r="BZ10" s="139"/>
      <c r="CA10" s="139"/>
      <c r="CB10" s="133"/>
    </row>
    <row r="11" spans="1:80" ht="16.5" hidden="1" customHeight="1">
      <c r="A11" s="117">
        <v>18</v>
      </c>
      <c r="B11" s="154" t="s">
        <v>135</v>
      </c>
      <c r="C11" s="154" t="s">
        <v>890</v>
      </c>
      <c r="D11" s="154" t="s">
        <v>13</v>
      </c>
      <c r="E11" s="154" t="s">
        <v>144</v>
      </c>
      <c r="F11" s="154" t="s">
        <v>145</v>
      </c>
      <c r="G11" s="154" t="s">
        <v>146</v>
      </c>
      <c r="H11" s="146">
        <v>7090</v>
      </c>
      <c r="I11" s="147" t="s">
        <v>147</v>
      </c>
      <c r="J11" s="144">
        <v>1</v>
      </c>
      <c r="K11" s="145">
        <f t="shared" ref="K11:K14" si="0">K10</f>
        <v>4</v>
      </c>
      <c r="L11" s="144">
        <f>+K11*J11</f>
        <v>4</v>
      </c>
      <c r="M11" s="146">
        <v>27.8</v>
      </c>
      <c r="N11" s="146">
        <f>+M11*L11</f>
        <v>111.2</v>
      </c>
      <c r="O11" s="146" t="s">
        <v>137</v>
      </c>
      <c r="P11" s="146" t="s">
        <v>13</v>
      </c>
      <c r="Q11" s="146" t="s">
        <v>148</v>
      </c>
      <c r="R11" s="146"/>
      <c r="S11" s="146"/>
      <c r="T11" s="146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3</v>
      </c>
      <c r="U11" s="146">
        <f ca="1">+L11-T11</f>
        <v>1</v>
      </c>
      <c r="V11" s="146">
        <f ca="1">ROUNDDOWN(T11/J11,0)</f>
        <v>3</v>
      </c>
      <c r="W11" s="146"/>
      <c r="X11" s="146"/>
      <c r="Y11" s="146"/>
      <c r="Z11" s="146"/>
      <c r="AA11" s="146"/>
      <c r="AB11" s="146"/>
      <c r="AC11" s="146">
        <v>0.9</v>
      </c>
      <c r="AD11" s="117" t="s">
        <v>142</v>
      </c>
      <c r="AE11" s="148"/>
      <c r="AF11" s="146" t="str">
        <f t="shared" ref="AF11:AV14" si="1">AF10</f>
        <v>N/A</v>
      </c>
      <c r="AG11" s="146">
        <f>AG10</f>
        <v>0</v>
      </c>
      <c r="AH11" s="146">
        <f>+AG11*J11</f>
        <v>0</v>
      </c>
      <c r="AI11" s="146">
        <f ca="1">MIN(T11,AH11)</f>
        <v>0</v>
      </c>
      <c r="AJ11" s="146">
        <f ca="1">+AH11-AI11</f>
        <v>0</v>
      </c>
      <c r="AK11" s="146" t="str">
        <f t="shared" si="1"/>
        <v>N/A</v>
      </c>
      <c r="AL11" s="146">
        <f t="shared" si="1"/>
        <v>0</v>
      </c>
      <c r="AM11" s="146">
        <f>+AL11*J11</f>
        <v>0</v>
      </c>
      <c r="AN11" s="146">
        <f ca="1">MIN(T11-AI11,AL11)</f>
        <v>0</v>
      </c>
      <c r="AO11" s="146">
        <f ca="1">+AM11-AN11</f>
        <v>0</v>
      </c>
      <c r="AP11" s="146" t="str">
        <f t="shared" si="1"/>
        <v>AMC 2-S3</v>
      </c>
      <c r="AQ11" s="146">
        <f t="shared" si="1"/>
        <v>4</v>
      </c>
      <c r="AR11" s="146">
        <f>+AQ11*J11</f>
        <v>4</v>
      </c>
      <c r="AS11" s="146">
        <f ca="1">MIN(T11-AI11-AN11,AR11)</f>
        <v>3</v>
      </c>
      <c r="AT11" s="146">
        <f ca="1">+AR11-AS11</f>
        <v>1</v>
      </c>
      <c r="AU11" s="146" t="str">
        <f t="shared" ref="AU11:AV11" si="2">AU10</f>
        <v>N/A</v>
      </c>
      <c r="AV11" s="146">
        <f t="shared" si="2"/>
        <v>0</v>
      </c>
      <c r="AW11" s="146">
        <f>+AV11*J11</f>
        <v>0</v>
      </c>
      <c r="AX11" s="146">
        <f ca="1">MIN(T11-AI11-AN11-AS11,AW11)</f>
        <v>0</v>
      </c>
      <c r="AY11" s="146">
        <f ca="1">+AW11-AX11</f>
        <v>0</v>
      </c>
      <c r="AZ11" s="147"/>
      <c r="BA11" s="144" t="s">
        <v>140</v>
      </c>
      <c r="BB11" s="144" t="s">
        <v>140</v>
      </c>
      <c r="BC11" s="144" t="s">
        <v>141</v>
      </c>
      <c r="BD11" s="144" t="s">
        <v>140</v>
      </c>
      <c r="BE11" s="146">
        <v>0.9</v>
      </c>
      <c r="BF11" s="148"/>
      <c r="BG11" s="146"/>
      <c r="BH11" s="117"/>
      <c r="BI11" s="117"/>
      <c r="BJ11" s="149"/>
      <c r="BK11" s="150" t="s">
        <v>149</v>
      </c>
      <c r="BL11" s="151">
        <v>0</v>
      </c>
      <c r="BM11" s="151">
        <v>0</v>
      </c>
      <c r="BN11" s="151">
        <v>0</v>
      </c>
      <c r="BO11" s="151">
        <v>0</v>
      </c>
      <c r="BP11" s="151">
        <v>0</v>
      </c>
      <c r="BQ11" s="151">
        <v>0</v>
      </c>
      <c r="BR11" s="151">
        <v>0</v>
      </c>
      <c r="BS11" s="117" t="s">
        <v>150</v>
      </c>
      <c r="BT11" s="117"/>
      <c r="BU11" s="155"/>
      <c r="BV11" s="117"/>
      <c r="BW11" s="117"/>
      <c r="BX11" s="149"/>
      <c r="BY11" s="117"/>
      <c r="BZ11" s="117"/>
      <c r="CA11" s="117"/>
      <c r="CB11" s="117">
        <f>+L11-BW11</f>
        <v>4</v>
      </c>
    </row>
    <row r="12" spans="1:80" ht="16.5" hidden="1" customHeight="1">
      <c r="A12" s="117">
        <v>19</v>
      </c>
      <c r="B12" s="154" t="s">
        <v>135</v>
      </c>
      <c r="C12" s="154" t="s">
        <v>890</v>
      </c>
      <c r="D12" s="154" t="s">
        <v>13</v>
      </c>
      <c r="E12" s="154" t="s">
        <v>151</v>
      </c>
      <c r="F12" s="154" t="s">
        <v>152</v>
      </c>
      <c r="G12" s="154" t="s">
        <v>153</v>
      </c>
      <c r="H12" s="146">
        <v>7090</v>
      </c>
      <c r="I12" s="147" t="s">
        <v>147</v>
      </c>
      <c r="J12" s="144">
        <v>1</v>
      </c>
      <c r="K12" s="145">
        <f t="shared" si="0"/>
        <v>4</v>
      </c>
      <c r="L12" s="144">
        <f t="shared" ref="L12:L14" si="3">+K12*J12</f>
        <v>4</v>
      </c>
      <c r="M12" s="146">
        <v>1396.5</v>
      </c>
      <c r="N12" s="146">
        <f t="shared" ref="N12:N14" si="4">+M12*L12</f>
        <v>5586</v>
      </c>
      <c r="O12" s="146" t="s">
        <v>137</v>
      </c>
      <c r="P12" s="146" t="s">
        <v>13</v>
      </c>
      <c r="Q12" s="146" t="s">
        <v>154</v>
      </c>
      <c r="R12" s="146"/>
      <c r="S12" s="146"/>
      <c r="T12" s="146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4</v>
      </c>
      <c r="U12" s="146">
        <f t="shared" ref="U12:U14" ca="1" si="5">+L12-T12</f>
        <v>0</v>
      </c>
      <c r="V12" s="146">
        <f t="shared" ref="V12:V14" ca="1" si="6">ROUNDDOWN(T12/J12,0)</f>
        <v>4</v>
      </c>
      <c r="W12" s="146"/>
      <c r="X12" s="146"/>
      <c r="Y12" s="146"/>
      <c r="Z12" s="146"/>
      <c r="AA12" s="146"/>
      <c r="AB12" s="146"/>
      <c r="AC12" s="146">
        <v>35.799999999999997</v>
      </c>
      <c r="AD12" s="117" t="s">
        <v>142</v>
      </c>
      <c r="AE12" s="148"/>
      <c r="AF12" s="146" t="str">
        <f t="shared" si="1"/>
        <v>N/A</v>
      </c>
      <c r="AG12" s="146">
        <f t="shared" si="1"/>
        <v>0</v>
      </c>
      <c r="AH12" s="146">
        <f t="shared" ref="AH12:AH14" si="7">+AG12*J12</f>
        <v>0</v>
      </c>
      <c r="AI12" s="146">
        <f t="shared" ref="AI12:AI14" ca="1" si="8">MIN(T12,AH12)</f>
        <v>0</v>
      </c>
      <c r="AJ12" s="146">
        <f t="shared" ref="AJ12:AJ14" ca="1" si="9">+AH12-AI12</f>
        <v>0</v>
      </c>
      <c r="AK12" s="146" t="str">
        <f t="shared" si="1"/>
        <v>N/A</v>
      </c>
      <c r="AL12" s="146">
        <f t="shared" si="1"/>
        <v>0</v>
      </c>
      <c r="AM12" s="146">
        <f t="shared" ref="AM12:AM14" si="10">+AL12*J12</f>
        <v>0</v>
      </c>
      <c r="AN12" s="146">
        <f t="shared" ref="AN12:AN14" ca="1" si="11">MIN(T12-AI12,AL12)</f>
        <v>0</v>
      </c>
      <c r="AO12" s="146">
        <f t="shared" ref="AO12:AO14" ca="1" si="12">+AM12-AN12</f>
        <v>0</v>
      </c>
      <c r="AP12" s="146" t="str">
        <f t="shared" si="1"/>
        <v>AMC 2-S3</v>
      </c>
      <c r="AQ12" s="146">
        <f t="shared" si="1"/>
        <v>4</v>
      </c>
      <c r="AR12" s="146">
        <f t="shared" ref="AR12:AR14" si="13">+AQ12*J12</f>
        <v>4</v>
      </c>
      <c r="AS12" s="146">
        <f t="shared" ref="AS12:AS14" ca="1" si="14">MIN(T12-AI12-AN12,AR12)</f>
        <v>4</v>
      </c>
      <c r="AT12" s="146">
        <f t="shared" ref="AT12:AT14" ca="1" si="15">+AR12-AS12</f>
        <v>0</v>
      </c>
      <c r="AU12" s="146" t="str">
        <f t="shared" si="1"/>
        <v>N/A</v>
      </c>
      <c r="AV12" s="146">
        <f t="shared" si="1"/>
        <v>0</v>
      </c>
      <c r="AW12" s="146">
        <f t="shared" ref="AW12:AW14" si="16">+AV12*J12</f>
        <v>0</v>
      </c>
      <c r="AX12" s="146">
        <f t="shared" ref="AX12:AX14" ca="1" si="17">MIN(T12-AI12-AN12-AS12,AW12)</f>
        <v>0</v>
      </c>
      <c r="AY12" s="146">
        <f t="shared" ref="AY12:AY14" ca="1" si="18">+AW12-AX12</f>
        <v>0</v>
      </c>
      <c r="AZ12" s="147"/>
      <c r="BA12" s="144" t="s">
        <v>140</v>
      </c>
      <c r="BB12" s="144" t="s">
        <v>140</v>
      </c>
      <c r="BC12" s="144" t="s">
        <v>141</v>
      </c>
      <c r="BD12" s="144" t="s">
        <v>140</v>
      </c>
      <c r="BE12" s="146">
        <v>35.799999999999997</v>
      </c>
      <c r="BF12" s="148"/>
      <c r="BG12" s="146"/>
      <c r="BH12" s="117"/>
      <c r="BI12" s="117"/>
      <c r="BJ12" s="149"/>
      <c r="BK12" s="150" t="s">
        <v>149</v>
      </c>
      <c r="BL12" s="151">
        <v>0</v>
      </c>
      <c r="BM12" s="151">
        <v>1</v>
      </c>
      <c r="BN12" s="151">
        <v>0</v>
      </c>
      <c r="BO12" s="151">
        <v>1</v>
      </c>
      <c r="BP12" s="151">
        <v>0</v>
      </c>
      <c r="BQ12" s="151">
        <v>0</v>
      </c>
      <c r="BR12" s="151">
        <v>0</v>
      </c>
      <c r="BS12" s="117" t="s">
        <v>150</v>
      </c>
      <c r="BT12" s="117"/>
      <c r="BU12" s="155"/>
      <c r="BV12" s="117"/>
      <c r="BW12" s="117"/>
      <c r="BX12" s="149"/>
      <c r="BY12" s="117"/>
      <c r="BZ12" s="117"/>
      <c r="CA12" s="117"/>
      <c r="CB12" s="117">
        <f>+L12-BW12</f>
        <v>4</v>
      </c>
    </row>
    <row r="13" spans="1:80" ht="16.5" hidden="1" customHeight="1">
      <c r="A13" s="117">
        <v>20</v>
      </c>
      <c r="B13" s="154" t="s">
        <v>135</v>
      </c>
      <c r="C13" s="154" t="s">
        <v>890</v>
      </c>
      <c r="D13" s="154" t="s">
        <v>13</v>
      </c>
      <c r="E13" s="154" t="s">
        <v>155</v>
      </c>
      <c r="F13" s="154" t="s">
        <v>156</v>
      </c>
      <c r="G13" s="154" t="s">
        <v>157</v>
      </c>
      <c r="H13" s="146">
        <v>2647</v>
      </c>
      <c r="I13" s="147" t="s">
        <v>147</v>
      </c>
      <c r="J13" s="144">
        <v>2</v>
      </c>
      <c r="K13" s="145">
        <f t="shared" si="0"/>
        <v>4</v>
      </c>
      <c r="L13" s="144">
        <f t="shared" si="3"/>
        <v>8</v>
      </c>
      <c r="M13" s="146">
        <v>46.7</v>
      </c>
      <c r="N13" s="146">
        <f t="shared" si="4"/>
        <v>373.6</v>
      </c>
      <c r="O13" s="146" t="s">
        <v>137</v>
      </c>
      <c r="P13" s="146" t="s">
        <v>13</v>
      </c>
      <c r="Q13" s="146" t="s">
        <v>148</v>
      </c>
      <c r="R13" s="146"/>
      <c r="S13" s="146"/>
      <c r="T13" s="146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46">
        <f t="shared" ca="1" si="5"/>
        <v>8</v>
      </c>
      <c r="V13" s="146">
        <f t="shared" ca="1" si="6"/>
        <v>0</v>
      </c>
      <c r="W13" s="146"/>
      <c r="X13" s="146"/>
      <c r="Y13" s="146"/>
      <c r="Z13" s="146"/>
      <c r="AA13" s="146"/>
      <c r="AB13" s="146"/>
      <c r="AC13" s="146">
        <v>1.8</v>
      </c>
      <c r="AD13" s="117" t="s">
        <v>142</v>
      </c>
      <c r="AE13" s="148"/>
      <c r="AF13" s="146" t="str">
        <f t="shared" si="1"/>
        <v>N/A</v>
      </c>
      <c r="AG13" s="146">
        <f t="shared" si="1"/>
        <v>0</v>
      </c>
      <c r="AH13" s="146">
        <f t="shared" si="7"/>
        <v>0</v>
      </c>
      <c r="AI13" s="146">
        <f t="shared" ca="1" si="8"/>
        <v>0</v>
      </c>
      <c r="AJ13" s="146">
        <f t="shared" ca="1" si="9"/>
        <v>0</v>
      </c>
      <c r="AK13" s="146" t="str">
        <f t="shared" si="1"/>
        <v>N/A</v>
      </c>
      <c r="AL13" s="146">
        <f t="shared" si="1"/>
        <v>0</v>
      </c>
      <c r="AM13" s="146">
        <f t="shared" si="10"/>
        <v>0</v>
      </c>
      <c r="AN13" s="146">
        <f t="shared" ca="1" si="11"/>
        <v>0</v>
      </c>
      <c r="AO13" s="146">
        <f t="shared" ca="1" si="12"/>
        <v>0</v>
      </c>
      <c r="AP13" s="146" t="str">
        <f t="shared" si="1"/>
        <v>AMC 2-S3</v>
      </c>
      <c r="AQ13" s="146">
        <f t="shared" si="1"/>
        <v>4</v>
      </c>
      <c r="AR13" s="146">
        <f t="shared" si="13"/>
        <v>8</v>
      </c>
      <c r="AS13" s="146">
        <f t="shared" ca="1" si="14"/>
        <v>0</v>
      </c>
      <c r="AT13" s="146">
        <f t="shared" ca="1" si="15"/>
        <v>8</v>
      </c>
      <c r="AU13" s="146" t="str">
        <f t="shared" si="1"/>
        <v>N/A</v>
      </c>
      <c r="AV13" s="146">
        <f t="shared" si="1"/>
        <v>0</v>
      </c>
      <c r="AW13" s="146">
        <f t="shared" si="16"/>
        <v>0</v>
      </c>
      <c r="AX13" s="146">
        <f t="shared" ca="1" si="17"/>
        <v>0</v>
      </c>
      <c r="AY13" s="146">
        <f t="shared" ca="1" si="18"/>
        <v>0</v>
      </c>
      <c r="AZ13" s="147"/>
      <c r="BA13" s="144" t="s">
        <v>140</v>
      </c>
      <c r="BB13" s="144" t="s">
        <v>140</v>
      </c>
      <c r="BC13" s="144" t="s">
        <v>141</v>
      </c>
      <c r="BD13" s="144" t="s">
        <v>140</v>
      </c>
      <c r="BE13" s="146">
        <v>0.9</v>
      </c>
      <c r="BF13" s="148"/>
      <c r="BG13" s="146"/>
      <c r="BH13" s="117"/>
      <c r="BI13" s="117"/>
      <c r="BJ13" s="149"/>
      <c r="BK13" s="150" t="s">
        <v>149</v>
      </c>
      <c r="BL13" s="151">
        <v>0</v>
      </c>
      <c r="BM13" s="151">
        <v>0</v>
      </c>
      <c r="BN13" s="151">
        <v>0</v>
      </c>
      <c r="BO13" s="151">
        <v>1</v>
      </c>
      <c r="BP13" s="151">
        <v>0</v>
      </c>
      <c r="BQ13" s="151">
        <v>0</v>
      </c>
      <c r="BR13" s="151">
        <v>0</v>
      </c>
      <c r="BS13" s="117" t="s">
        <v>150</v>
      </c>
      <c r="BT13" s="117"/>
      <c r="BU13" s="155"/>
      <c r="BV13" s="117"/>
      <c r="BW13" s="117"/>
      <c r="BX13" s="149"/>
      <c r="BY13" s="117"/>
      <c r="BZ13" s="117"/>
      <c r="CA13" s="117"/>
      <c r="CB13" s="117">
        <f>+L13-BW13</f>
        <v>8</v>
      </c>
    </row>
    <row r="14" spans="1:80" ht="16.5" hidden="1" customHeight="1">
      <c r="A14" s="117">
        <v>21</v>
      </c>
      <c r="B14" s="154" t="s">
        <v>135</v>
      </c>
      <c r="C14" s="154" t="s">
        <v>890</v>
      </c>
      <c r="D14" s="154" t="s">
        <v>13</v>
      </c>
      <c r="E14" s="154" t="s">
        <v>158</v>
      </c>
      <c r="F14" s="154" t="s">
        <v>159</v>
      </c>
      <c r="G14" s="154" t="s">
        <v>160</v>
      </c>
      <c r="H14" s="146">
        <v>2633</v>
      </c>
      <c r="I14" s="147" t="s">
        <v>147</v>
      </c>
      <c r="J14" s="144">
        <v>1</v>
      </c>
      <c r="K14" s="145">
        <f t="shared" si="0"/>
        <v>4</v>
      </c>
      <c r="L14" s="144">
        <f t="shared" si="3"/>
        <v>4</v>
      </c>
      <c r="M14" s="146">
        <v>52</v>
      </c>
      <c r="N14" s="146">
        <f t="shared" si="4"/>
        <v>208</v>
      </c>
      <c r="O14" s="146" t="s">
        <v>137</v>
      </c>
      <c r="P14" s="146" t="s">
        <v>13</v>
      </c>
      <c r="Q14" s="146" t="s">
        <v>148</v>
      </c>
      <c r="R14" s="146"/>
      <c r="S14" s="146"/>
      <c r="T14" s="146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146">
        <f t="shared" ca="1" si="5"/>
        <v>4</v>
      </c>
      <c r="V14" s="146">
        <f t="shared" ca="1" si="6"/>
        <v>0</v>
      </c>
      <c r="W14" s="146"/>
      <c r="X14" s="146"/>
      <c r="Y14" s="146"/>
      <c r="Z14" s="146"/>
      <c r="AA14" s="146"/>
      <c r="AB14" s="146"/>
      <c r="AC14" s="146">
        <v>1</v>
      </c>
      <c r="AD14" s="117" t="s">
        <v>142</v>
      </c>
      <c r="AE14" s="148"/>
      <c r="AF14" s="146" t="str">
        <f t="shared" si="1"/>
        <v>N/A</v>
      </c>
      <c r="AG14" s="146">
        <f t="shared" si="1"/>
        <v>0</v>
      </c>
      <c r="AH14" s="146">
        <f t="shared" si="7"/>
        <v>0</v>
      </c>
      <c r="AI14" s="146">
        <f t="shared" ca="1" si="8"/>
        <v>0</v>
      </c>
      <c r="AJ14" s="146">
        <f t="shared" ca="1" si="9"/>
        <v>0</v>
      </c>
      <c r="AK14" s="146" t="str">
        <f t="shared" si="1"/>
        <v>N/A</v>
      </c>
      <c r="AL14" s="146">
        <f t="shared" si="1"/>
        <v>0</v>
      </c>
      <c r="AM14" s="146">
        <f t="shared" si="10"/>
        <v>0</v>
      </c>
      <c r="AN14" s="146">
        <f t="shared" ca="1" si="11"/>
        <v>0</v>
      </c>
      <c r="AO14" s="146">
        <f t="shared" ca="1" si="12"/>
        <v>0</v>
      </c>
      <c r="AP14" s="146" t="str">
        <f t="shared" si="1"/>
        <v>AMC 2-S3</v>
      </c>
      <c r="AQ14" s="146">
        <f t="shared" si="1"/>
        <v>4</v>
      </c>
      <c r="AR14" s="146">
        <f t="shared" si="13"/>
        <v>4</v>
      </c>
      <c r="AS14" s="146">
        <f t="shared" ca="1" si="14"/>
        <v>0</v>
      </c>
      <c r="AT14" s="146">
        <f t="shared" ca="1" si="15"/>
        <v>4</v>
      </c>
      <c r="AU14" s="146" t="str">
        <f t="shared" si="1"/>
        <v>N/A</v>
      </c>
      <c r="AV14" s="146">
        <f t="shared" si="1"/>
        <v>0</v>
      </c>
      <c r="AW14" s="146">
        <f t="shared" si="16"/>
        <v>0</v>
      </c>
      <c r="AX14" s="146">
        <f t="shared" ca="1" si="17"/>
        <v>0</v>
      </c>
      <c r="AY14" s="146">
        <f t="shared" ca="1" si="18"/>
        <v>0</v>
      </c>
      <c r="AZ14" s="147"/>
      <c r="BA14" s="144" t="s">
        <v>140</v>
      </c>
      <c r="BB14" s="144" t="s">
        <v>140</v>
      </c>
      <c r="BC14" s="144" t="s">
        <v>141</v>
      </c>
      <c r="BD14" s="144" t="s">
        <v>140</v>
      </c>
      <c r="BE14" s="146">
        <v>1</v>
      </c>
      <c r="BF14" s="148"/>
      <c r="BG14" s="146"/>
      <c r="BH14" s="117"/>
      <c r="BI14" s="117"/>
      <c r="BJ14" s="149"/>
      <c r="BK14" s="150" t="s">
        <v>149</v>
      </c>
      <c r="BL14" s="151">
        <v>0</v>
      </c>
      <c r="BM14" s="151">
        <v>0</v>
      </c>
      <c r="BN14" s="151">
        <v>0</v>
      </c>
      <c r="BO14" s="151">
        <v>1</v>
      </c>
      <c r="BP14" s="151">
        <v>0</v>
      </c>
      <c r="BQ14" s="151">
        <v>0</v>
      </c>
      <c r="BR14" s="151">
        <v>0</v>
      </c>
      <c r="BS14" s="117" t="s">
        <v>150</v>
      </c>
      <c r="BT14" s="117"/>
      <c r="BU14" s="155"/>
      <c r="BV14" s="117"/>
      <c r="BW14" s="117"/>
      <c r="BX14" s="149"/>
      <c r="BY14" s="117"/>
      <c r="BZ14" s="117"/>
      <c r="CA14" s="117"/>
      <c r="CB14" s="117">
        <f>+L14-BW14</f>
        <v>4</v>
      </c>
    </row>
    <row r="15" spans="1:80" ht="16.5" hidden="1" customHeight="1">
      <c r="A15" s="133">
        <v>22</v>
      </c>
      <c r="B15" s="134" t="s">
        <v>161</v>
      </c>
      <c r="C15" s="134" t="s">
        <v>891</v>
      </c>
      <c r="D15" s="134"/>
      <c r="E15" s="134" t="s">
        <v>136</v>
      </c>
      <c r="F15" s="134"/>
      <c r="G15" s="134"/>
      <c r="H15" s="135"/>
      <c r="I15" s="136"/>
      <c r="J15" s="137" t="s">
        <v>136</v>
      </c>
      <c r="K15" s="138">
        <f>+AG15+AL15+AQ15+AV15</f>
        <v>1</v>
      </c>
      <c r="L15" s="137" t="s">
        <v>136</v>
      </c>
      <c r="M15" s="135"/>
      <c r="N15" s="157">
        <v>1406.4</v>
      </c>
      <c r="O15" s="157" t="s">
        <v>137</v>
      </c>
      <c r="P15" s="157"/>
      <c r="Q15" s="157"/>
      <c r="R15" s="157"/>
      <c r="S15" s="157"/>
      <c r="T15" s="157"/>
      <c r="U15" s="157"/>
      <c r="V15" s="157"/>
      <c r="W15" s="135">
        <f ca="1">_xlfn.MINIFS(V:V,C:C,C15,AE:AE,"",AB:AB,"")</f>
        <v>0</v>
      </c>
      <c r="X15" s="135">
        <f ca="1">SUMIFS(T:T,C:C,C15,AE:AE,"")/SUMIFS(L:L,C:C,C15,AE:AE,"",AB:AB,"")</f>
        <v>0.125</v>
      </c>
      <c r="Y15" s="157"/>
      <c r="Z15" s="157"/>
      <c r="AA15" s="157"/>
      <c r="AB15" s="157"/>
      <c r="AC15" s="157">
        <v>34.700000000000003</v>
      </c>
      <c r="AD15" s="133" t="s">
        <v>142</v>
      </c>
      <c r="AE15" s="133" t="s">
        <v>143</v>
      </c>
      <c r="AF15" s="157" t="s">
        <v>138</v>
      </c>
      <c r="AG15" s="157">
        <v>0</v>
      </c>
      <c r="AH15" s="157"/>
      <c r="AI15" s="157"/>
      <c r="AJ15" s="157"/>
      <c r="AK15" s="157" t="s">
        <v>138</v>
      </c>
      <c r="AL15" s="157">
        <v>0</v>
      </c>
      <c r="AM15" s="157"/>
      <c r="AN15" s="157"/>
      <c r="AO15" s="157"/>
      <c r="AP15" s="157" t="s">
        <v>139</v>
      </c>
      <c r="AQ15" s="157">
        <v>1</v>
      </c>
      <c r="AR15" s="157"/>
      <c r="AS15" s="157"/>
      <c r="AT15" s="157"/>
      <c r="AU15" s="157" t="s">
        <v>138</v>
      </c>
      <c r="AV15" s="157">
        <v>0</v>
      </c>
      <c r="AW15" s="157"/>
      <c r="AX15" s="157"/>
      <c r="AY15" s="157"/>
      <c r="AZ15" s="136"/>
      <c r="BA15" s="137" t="s">
        <v>140</v>
      </c>
      <c r="BB15" s="137" t="s">
        <v>140</v>
      </c>
      <c r="BC15" s="137" t="s">
        <v>141</v>
      </c>
      <c r="BD15" s="137" t="s">
        <v>140</v>
      </c>
      <c r="BE15" s="157">
        <v>34.700000000000003</v>
      </c>
      <c r="BF15" s="133"/>
      <c r="BG15" s="135"/>
      <c r="BH15" s="133"/>
      <c r="BI15" s="139"/>
      <c r="BJ15" s="140"/>
      <c r="BK15" s="140"/>
      <c r="BL15" s="133"/>
      <c r="BM15" s="139"/>
      <c r="BN15" s="139"/>
      <c r="BO15" s="139"/>
      <c r="BP15" s="139"/>
      <c r="BQ15" s="139"/>
      <c r="BR15" s="139"/>
      <c r="BS15" s="133"/>
      <c r="BT15" s="139"/>
      <c r="BU15" s="139"/>
      <c r="BV15" s="139"/>
      <c r="BW15" s="139"/>
      <c r="BX15" s="140"/>
      <c r="BY15" s="139"/>
      <c r="BZ15" s="139"/>
      <c r="CA15" s="139"/>
      <c r="CB15" s="133"/>
    </row>
    <row r="16" spans="1:80" ht="16.5" hidden="1" customHeight="1">
      <c r="A16" s="117">
        <v>23</v>
      </c>
      <c r="B16" s="154" t="s">
        <v>161</v>
      </c>
      <c r="C16" s="154" t="s">
        <v>891</v>
      </c>
      <c r="D16" s="154" t="s">
        <v>13</v>
      </c>
      <c r="E16" s="154" t="s">
        <v>162</v>
      </c>
      <c r="F16" s="154" t="s">
        <v>163</v>
      </c>
      <c r="G16" s="154" t="s">
        <v>160</v>
      </c>
      <c r="H16" s="146">
        <v>2925</v>
      </c>
      <c r="I16" s="147" t="s">
        <v>147</v>
      </c>
      <c r="J16" s="144">
        <v>1</v>
      </c>
      <c r="K16" s="145">
        <f t="shared" ref="K16:K23" si="19">K15</f>
        <v>1</v>
      </c>
      <c r="L16" s="144">
        <f t="shared" ref="L16:L23" si="20">+K16*J16</f>
        <v>1</v>
      </c>
      <c r="M16" s="146">
        <v>57.8</v>
      </c>
      <c r="N16" s="146">
        <f t="shared" ref="N16:N23" si="21">+M16*L16</f>
        <v>57.8</v>
      </c>
      <c r="O16" s="146" t="s">
        <v>137</v>
      </c>
      <c r="P16" s="146" t="s">
        <v>13</v>
      </c>
      <c r="Q16" s="146" t="s">
        <v>148</v>
      </c>
      <c r="R16" s="146"/>
      <c r="S16" s="146"/>
      <c r="T16" s="146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0</v>
      </c>
      <c r="U16" s="146">
        <f t="shared" ref="U16:U23" ca="1" si="22">+L16-T16</f>
        <v>1</v>
      </c>
      <c r="V16" s="146">
        <f t="shared" ref="V16:V23" ca="1" si="23">ROUNDDOWN(T16/J16,0)</f>
        <v>0</v>
      </c>
      <c r="W16" s="146"/>
      <c r="X16" s="146"/>
      <c r="Y16" s="146"/>
      <c r="Z16" s="146"/>
      <c r="AA16" s="146"/>
      <c r="AB16" s="146"/>
      <c r="AC16" s="146">
        <v>1.1000000000000001</v>
      </c>
      <c r="AD16" s="117" t="s">
        <v>142</v>
      </c>
      <c r="AE16" s="148"/>
      <c r="AF16" s="146" t="str">
        <f t="shared" ref="AF16:AV23" si="24">AF15</f>
        <v>N/A</v>
      </c>
      <c r="AG16" s="146">
        <f t="shared" si="24"/>
        <v>0</v>
      </c>
      <c r="AH16" s="146">
        <f t="shared" ref="AH16:AH23" si="25">+AG16*J16</f>
        <v>0</v>
      </c>
      <c r="AI16" s="146">
        <f t="shared" ref="AI16:AI23" ca="1" si="26">MIN(T16,AH16)</f>
        <v>0</v>
      </c>
      <c r="AJ16" s="146">
        <f t="shared" ref="AJ16:AJ23" ca="1" si="27">+AH16-AI16</f>
        <v>0</v>
      </c>
      <c r="AK16" s="146" t="str">
        <f t="shared" si="24"/>
        <v>N/A</v>
      </c>
      <c r="AL16" s="146">
        <f t="shared" si="24"/>
        <v>0</v>
      </c>
      <c r="AM16" s="146">
        <f t="shared" ref="AM16:AM23" si="28">+AL16*J16</f>
        <v>0</v>
      </c>
      <c r="AN16" s="146">
        <f t="shared" ref="AN16:AN23" ca="1" si="29">MIN(T16-AI16,AL16)</f>
        <v>0</v>
      </c>
      <c r="AO16" s="146">
        <f t="shared" ref="AO16:AO23" ca="1" si="30">+AM16-AN16</f>
        <v>0</v>
      </c>
      <c r="AP16" s="146" t="str">
        <f t="shared" si="24"/>
        <v>AMC 2-S3</v>
      </c>
      <c r="AQ16" s="146">
        <f t="shared" si="24"/>
        <v>1</v>
      </c>
      <c r="AR16" s="146">
        <f t="shared" ref="AR16:AR23" si="31">+AQ16*J16</f>
        <v>1</v>
      </c>
      <c r="AS16" s="146">
        <f t="shared" ref="AS16:AS23" ca="1" si="32">MIN(T16-AI16-AN16,AR16)</f>
        <v>0</v>
      </c>
      <c r="AT16" s="146">
        <f t="shared" ref="AT16:AT23" ca="1" si="33">+AR16-AS16</f>
        <v>1</v>
      </c>
      <c r="AU16" s="146" t="str">
        <f t="shared" si="24"/>
        <v>N/A</v>
      </c>
      <c r="AV16" s="146">
        <f t="shared" si="24"/>
        <v>0</v>
      </c>
      <c r="AW16" s="146">
        <f t="shared" ref="AW16:AW23" si="34">+AV16*J16</f>
        <v>0</v>
      </c>
      <c r="AX16" s="146">
        <f t="shared" ref="AX16:AX23" ca="1" si="35">MIN(T16-AI16-AN16-AS16,AW16)</f>
        <v>0</v>
      </c>
      <c r="AY16" s="146">
        <f t="shared" ref="AY16:AY23" ca="1" si="36">+AW16-AX16</f>
        <v>0</v>
      </c>
      <c r="AZ16" s="147"/>
      <c r="BA16" s="144" t="s">
        <v>140</v>
      </c>
      <c r="BB16" s="144" t="s">
        <v>140</v>
      </c>
      <c r="BC16" s="144" t="s">
        <v>141</v>
      </c>
      <c r="BD16" s="144" t="s">
        <v>140</v>
      </c>
      <c r="BE16" s="146">
        <v>1.1000000000000001</v>
      </c>
      <c r="BF16" s="148"/>
      <c r="BG16" s="146"/>
      <c r="BH16" s="117"/>
      <c r="BI16" s="117"/>
      <c r="BJ16" s="149"/>
      <c r="BK16" s="150" t="s">
        <v>149</v>
      </c>
      <c r="BL16" s="151">
        <v>0</v>
      </c>
      <c r="BM16" s="151">
        <v>0</v>
      </c>
      <c r="BN16" s="151">
        <v>0</v>
      </c>
      <c r="BO16" s="151">
        <v>1</v>
      </c>
      <c r="BP16" s="151">
        <v>0</v>
      </c>
      <c r="BQ16" s="151">
        <v>0</v>
      </c>
      <c r="BR16" s="151">
        <v>0</v>
      </c>
      <c r="BS16" s="117" t="s">
        <v>150</v>
      </c>
      <c r="BT16" s="117"/>
      <c r="BU16" s="155"/>
      <c r="BV16" s="117"/>
      <c r="BW16" s="117"/>
      <c r="BX16" s="149"/>
      <c r="BY16" s="117"/>
      <c r="BZ16" s="117"/>
      <c r="CA16" s="117"/>
      <c r="CB16" s="117">
        <f t="shared" ref="CB16:CB23" si="37">+L16-BW16</f>
        <v>1</v>
      </c>
    </row>
    <row r="17" spans="1:80" ht="16.5" hidden="1" customHeight="1">
      <c r="A17" s="117">
        <v>24</v>
      </c>
      <c r="B17" s="154" t="s">
        <v>161</v>
      </c>
      <c r="C17" s="154" t="s">
        <v>891</v>
      </c>
      <c r="D17" s="154" t="s">
        <v>13</v>
      </c>
      <c r="E17" s="154" t="s">
        <v>164</v>
      </c>
      <c r="F17" s="154" t="s">
        <v>165</v>
      </c>
      <c r="G17" s="154" t="s">
        <v>166</v>
      </c>
      <c r="H17" s="146">
        <v>6418</v>
      </c>
      <c r="I17" s="147" t="s">
        <v>147</v>
      </c>
      <c r="J17" s="144">
        <v>1</v>
      </c>
      <c r="K17" s="145">
        <f t="shared" si="19"/>
        <v>1</v>
      </c>
      <c r="L17" s="144">
        <f t="shared" si="20"/>
        <v>1</v>
      </c>
      <c r="M17" s="146">
        <v>1158.7</v>
      </c>
      <c r="N17" s="146">
        <f t="shared" si="21"/>
        <v>1158.7</v>
      </c>
      <c r="O17" s="146" t="s">
        <v>137</v>
      </c>
      <c r="P17" s="146" t="s">
        <v>13</v>
      </c>
      <c r="Q17" s="146" t="s">
        <v>148</v>
      </c>
      <c r="R17" s="146"/>
      <c r="S17" s="146"/>
      <c r="T17" s="146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146">
        <f t="shared" ca="1" si="22"/>
        <v>1</v>
      </c>
      <c r="V17" s="146">
        <f t="shared" ca="1" si="23"/>
        <v>0</v>
      </c>
      <c r="W17" s="146"/>
      <c r="X17" s="146"/>
      <c r="Y17" s="146"/>
      <c r="Z17" s="146"/>
      <c r="AA17" s="146"/>
      <c r="AB17" s="146"/>
      <c r="AC17" s="146">
        <v>29.7</v>
      </c>
      <c r="AD17" s="117" t="s">
        <v>142</v>
      </c>
      <c r="AE17" s="148"/>
      <c r="AF17" s="146" t="str">
        <f t="shared" si="24"/>
        <v>N/A</v>
      </c>
      <c r="AG17" s="146">
        <f t="shared" si="24"/>
        <v>0</v>
      </c>
      <c r="AH17" s="146">
        <f t="shared" si="25"/>
        <v>0</v>
      </c>
      <c r="AI17" s="146">
        <f t="shared" ca="1" si="26"/>
        <v>0</v>
      </c>
      <c r="AJ17" s="146">
        <f t="shared" ca="1" si="27"/>
        <v>0</v>
      </c>
      <c r="AK17" s="146" t="str">
        <f t="shared" si="24"/>
        <v>N/A</v>
      </c>
      <c r="AL17" s="146">
        <f t="shared" si="24"/>
        <v>0</v>
      </c>
      <c r="AM17" s="146">
        <f t="shared" si="28"/>
        <v>0</v>
      </c>
      <c r="AN17" s="146">
        <f t="shared" ca="1" si="29"/>
        <v>0</v>
      </c>
      <c r="AO17" s="146">
        <f t="shared" ca="1" si="30"/>
        <v>0</v>
      </c>
      <c r="AP17" s="146" t="str">
        <f t="shared" si="24"/>
        <v>AMC 2-S3</v>
      </c>
      <c r="AQ17" s="146">
        <f t="shared" si="24"/>
        <v>1</v>
      </c>
      <c r="AR17" s="146">
        <f t="shared" si="31"/>
        <v>1</v>
      </c>
      <c r="AS17" s="146">
        <f t="shared" ca="1" si="32"/>
        <v>0</v>
      </c>
      <c r="AT17" s="146">
        <f t="shared" ca="1" si="33"/>
        <v>1</v>
      </c>
      <c r="AU17" s="146" t="str">
        <f t="shared" si="24"/>
        <v>N/A</v>
      </c>
      <c r="AV17" s="146">
        <f t="shared" si="24"/>
        <v>0</v>
      </c>
      <c r="AW17" s="146">
        <f t="shared" si="34"/>
        <v>0</v>
      </c>
      <c r="AX17" s="146">
        <f t="shared" ca="1" si="35"/>
        <v>0</v>
      </c>
      <c r="AY17" s="146">
        <f t="shared" ca="1" si="36"/>
        <v>0</v>
      </c>
      <c r="AZ17" s="147"/>
      <c r="BA17" s="144" t="s">
        <v>140</v>
      </c>
      <c r="BB17" s="144" t="s">
        <v>140</v>
      </c>
      <c r="BC17" s="144" t="s">
        <v>141</v>
      </c>
      <c r="BD17" s="144" t="s">
        <v>140</v>
      </c>
      <c r="BE17" s="146">
        <v>29.7</v>
      </c>
      <c r="BF17" s="148"/>
      <c r="BG17" s="146"/>
      <c r="BH17" s="117"/>
      <c r="BI17" s="117"/>
      <c r="BJ17" s="149"/>
      <c r="BK17" s="149"/>
      <c r="BL17" s="117"/>
      <c r="BM17" s="117"/>
      <c r="BN17" s="117"/>
      <c r="BO17" s="117"/>
      <c r="BP17" s="117"/>
      <c r="BQ17" s="117"/>
      <c r="BR17" s="117"/>
      <c r="BS17" s="117" t="s">
        <v>150</v>
      </c>
      <c r="BT17" s="117"/>
      <c r="BU17" s="155"/>
      <c r="BV17" s="117"/>
      <c r="BW17" s="117"/>
      <c r="BX17" s="149"/>
      <c r="BY17" s="117"/>
      <c r="BZ17" s="117"/>
      <c r="CA17" s="117"/>
      <c r="CB17" s="117">
        <f t="shared" si="37"/>
        <v>1</v>
      </c>
    </row>
    <row r="18" spans="1:80" ht="16.5" hidden="1" customHeight="1">
      <c r="A18" s="117">
        <v>25</v>
      </c>
      <c r="B18" s="154" t="s">
        <v>161</v>
      </c>
      <c r="C18" s="154" t="s">
        <v>891</v>
      </c>
      <c r="D18" s="154" t="s">
        <v>13</v>
      </c>
      <c r="E18" s="154" t="s">
        <v>167</v>
      </c>
      <c r="F18" s="154" t="s">
        <v>168</v>
      </c>
      <c r="G18" s="154" t="s">
        <v>146</v>
      </c>
      <c r="H18" s="146">
        <v>4042</v>
      </c>
      <c r="I18" s="147" t="s">
        <v>147</v>
      </c>
      <c r="J18" s="144">
        <v>1</v>
      </c>
      <c r="K18" s="145">
        <f t="shared" si="19"/>
        <v>1</v>
      </c>
      <c r="L18" s="144">
        <f t="shared" si="20"/>
        <v>1</v>
      </c>
      <c r="M18" s="146">
        <v>15.9</v>
      </c>
      <c r="N18" s="146">
        <f t="shared" si="21"/>
        <v>15.9</v>
      </c>
      <c r="O18" s="146" t="s">
        <v>137</v>
      </c>
      <c r="P18" s="146" t="s">
        <v>13</v>
      </c>
      <c r="Q18" s="146" t="s">
        <v>148</v>
      </c>
      <c r="R18" s="146"/>
      <c r="S18" s="146"/>
      <c r="T18" s="146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0</v>
      </c>
      <c r="U18" s="146">
        <f t="shared" ca="1" si="22"/>
        <v>1</v>
      </c>
      <c r="V18" s="146">
        <f t="shared" ca="1" si="23"/>
        <v>0</v>
      </c>
      <c r="W18" s="146"/>
      <c r="X18" s="146"/>
      <c r="Y18" s="146"/>
      <c r="Z18" s="146"/>
      <c r="AA18" s="146"/>
      <c r="AB18" s="146"/>
      <c r="AC18" s="146">
        <v>0.5</v>
      </c>
      <c r="AD18" s="117" t="s">
        <v>142</v>
      </c>
      <c r="AE18" s="148"/>
      <c r="AF18" s="146" t="str">
        <f t="shared" si="24"/>
        <v>N/A</v>
      </c>
      <c r="AG18" s="146">
        <f t="shared" si="24"/>
        <v>0</v>
      </c>
      <c r="AH18" s="146">
        <f t="shared" si="25"/>
        <v>0</v>
      </c>
      <c r="AI18" s="146">
        <f t="shared" ca="1" si="26"/>
        <v>0</v>
      </c>
      <c r="AJ18" s="146">
        <f t="shared" ca="1" si="27"/>
        <v>0</v>
      </c>
      <c r="AK18" s="146" t="str">
        <f t="shared" si="24"/>
        <v>N/A</v>
      </c>
      <c r="AL18" s="146">
        <f t="shared" si="24"/>
        <v>0</v>
      </c>
      <c r="AM18" s="146">
        <f t="shared" si="28"/>
        <v>0</v>
      </c>
      <c r="AN18" s="146">
        <f t="shared" ca="1" si="29"/>
        <v>0</v>
      </c>
      <c r="AO18" s="146">
        <f t="shared" ca="1" si="30"/>
        <v>0</v>
      </c>
      <c r="AP18" s="146" t="str">
        <f t="shared" si="24"/>
        <v>AMC 2-S3</v>
      </c>
      <c r="AQ18" s="146">
        <f t="shared" si="24"/>
        <v>1</v>
      </c>
      <c r="AR18" s="146">
        <f t="shared" si="31"/>
        <v>1</v>
      </c>
      <c r="AS18" s="146">
        <f t="shared" ca="1" si="32"/>
        <v>0</v>
      </c>
      <c r="AT18" s="146">
        <f t="shared" ca="1" si="33"/>
        <v>1</v>
      </c>
      <c r="AU18" s="146" t="str">
        <f t="shared" si="24"/>
        <v>N/A</v>
      </c>
      <c r="AV18" s="146">
        <f t="shared" si="24"/>
        <v>0</v>
      </c>
      <c r="AW18" s="146">
        <f t="shared" si="34"/>
        <v>0</v>
      </c>
      <c r="AX18" s="146">
        <f t="shared" ca="1" si="35"/>
        <v>0</v>
      </c>
      <c r="AY18" s="146">
        <f t="shared" ca="1" si="36"/>
        <v>0</v>
      </c>
      <c r="AZ18" s="147"/>
      <c r="BA18" s="144" t="s">
        <v>140</v>
      </c>
      <c r="BB18" s="144" t="s">
        <v>140</v>
      </c>
      <c r="BC18" s="144" t="s">
        <v>141</v>
      </c>
      <c r="BD18" s="144" t="s">
        <v>140</v>
      </c>
      <c r="BE18" s="146">
        <v>0.5</v>
      </c>
      <c r="BF18" s="148"/>
      <c r="BG18" s="146"/>
      <c r="BH18" s="117"/>
      <c r="BI18" s="117"/>
      <c r="BJ18" s="149"/>
      <c r="BK18" s="150" t="s">
        <v>149</v>
      </c>
      <c r="BL18" s="151">
        <v>0</v>
      </c>
      <c r="BM18" s="151">
        <v>0</v>
      </c>
      <c r="BN18" s="151">
        <v>0</v>
      </c>
      <c r="BO18" s="151">
        <v>0</v>
      </c>
      <c r="BP18" s="151">
        <v>0</v>
      </c>
      <c r="BQ18" s="151">
        <v>0</v>
      </c>
      <c r="BR18" s="151">
        <v>0</v>
      </c>
      <c r="BS18" s="117" t="s">
        <v>150</v>
      </c>
      <c r="BT18" s="117"/>
      <c r="BU18" s="155"/>
      <c r="BV18" s="117"/>
      <c r="BW18" s="117"/>
      <c r="BX18" s="149"/>
      <c r="BY18" s="117"/>
      <c r="BZ18" s="117"/>
      <c r="CA18" s="117"/>
      <c r="CB18" s="117">
        <f t="shared" si="37"/>
        <v>1</v>
      </c>
    </row>
    <row r="19" spans="1:80" ht="16.5" hidden="1" customHeight="1">
      <c r="A19" s="117">
        <v>26</v>
      </c>
      <c r="B19" s="154" t="s">
        <v>161</v>
      </c>
      <c r="C19" s="154" t="s">
        <v>891</v>
      </c>
      <c r="D19" s="154" t="s">
        <v>13</v>
      </c>
      <c r="E19" s="154" t="s">
        <v>169</v>
      </c>
      <c r="F19" s="154" t="s">
        <v>170</v>
      </c>
      <c r="G19" s="154" t="s">
        <v>146</v>
      </c>
      <c r="H19" s="146">
        <v>2051</v>
      </c>
      <c r="I19" s="147" t="s">
        <v>147</v>
      </c>
      <c r="J19" s="144">
        <v>1</v>
      </c>
      <c r="K19" s="145">
        <f t="shared" si="19"/>
        <v>1</v>
      </c>
      <c r="L19" s="144">
        <f t="shared" si="20"/>
        <v>1</v>
      </c>
      <c r="M19" s="146">
        <v>8.1</v>
      </c>
      <c r="N19" s="146">
        <f t="shared" si="21"/>
        <v>8.1</v>
      </c>
      <c r="O19" s="146" t="s">
        <v>137</v>
      </c>
      <c r="P19" s="146" t="s">
        <v>13</v>
      </c>
      <c r="Q19" s="146" t="s">
        <v>148</v>
      </c>
      <c r="R19" s="146"/>
      <c r="S19" s="146"/>
      <c r="T19" s="146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146">
        <f t="shared" ca="1" si="22"/>
        <v>1</v>
      </c>
      <c r="V19" s="146">
        <f t="shared" ca="1" si="23"/>
        <v>0</v>
      </c>
      <c r="W19" s="146"/>
      <c r="X19" s="146"/>
      <c r="Y19" s="146"/>
      <c r="Z19" s="146"/>
      <c r="AA19" s="146"/>
      <c r="AB19" s="146"/>
      <c r="AC19" s="146">
        <v>0.2</v>
      </c>
      <c r="AD19" s="117" t="s">
        <v>142</v>
      </c>
      <c r="AE19" s="148"/>
      <c r="AF19" s="146" t="str">
        <f t="shared" si="24"/>
        <v>N/A</v>
      </c>
      <c r="AG19" s="146">
        <f t="shared" si="24"/>
        <v>0</v>
      </c>
      <c r="AH19" s="146">
        <f t="shared" si="25"/>
        <v>0</v>
      </c>
      <c r="AI19" s="146">
        <f t="shared" ca="1" si="26"/>
        <v>0</v>
      </c>
      <c r="AJ19" s="146">
        <f t="shared" ca="1" si="27"/>
        <v>0</v>
      </c>
      <c r="AK19" s="146" t="str">
        <f t="shared" si="24"/>
        <v>N/A</v>
      </c>
      <c r="AL19" s="146">
        <f t="shared" si="24"/>
        <v>0</v>
      </c>
      <c r="AM19" s="146">
        <f t="shared" si="28"/>
        <v>0</v>
      </c>
      <c r="AN19" s="146">
        <f t="shared" ca="1" si="29"/>
        <v>0</v>
      </c>
      <c r="AO19" s="146">
        <f t="shared" ca="1" si="30"/>
        <v>0</v>
      </c>
      <c r="AP19" s="146" t="str">
        <f t="shared" si="24"/>
        <v>AMC 2-S3</v>
      </c>
      <c r="AQ19" s="146">
        <f t="shared" si="24"/>
        <v>1</v>
      </c>
      <c r="AR19" s="146">
        <f t="shared" si="31"/>
        <v>1</v>
      </c>
      <c r="AS19" s="146">
        <f t="shared" ca="1" si="32"/>
        <v>0</v>
      </c>
      <c r="AT19" s="146">
        <f t="shared" ca="1" si="33"/>
        <v>1</v>
      </c>
      <c r="AU19" s="146" t="str">
        <f t="shared" si="24"/>
        <v>N/A</v>
      </c>
      <c r="AV19" s="146">
        <f t="shared" si="24"/>
        <v>0</v>
      </c>
      <c r="AW19" s="146">
        <f t="shared" si="34"/>
        <v>0</v>
      </c>
      <c r="AX19" s="146">
        <f t="shared" ca="1" si="35"/>
        <v>0</v>
      </c>
      <c r="AY19" s="146">
        <f t="shared" ca="1" si="36"/>
        <v>0</v>
      </c>
      <c r="AZ19" s="147"/>
      <c r="BA19" s="144" t="s">
        <v>140</v>
      </c>
      <c r="BB19" s="144" t="s">
        <v>140</v>
      </c>
      <c r="BC19" s="144" t="s">
        <v>141</v>
      </c>
      <c r="BD19" s="144" t="s">
        <v>140</v>
      </c>
      <c r="BE19" s="146">
        <v>0.2</v>
      </c>
      <c r="BF19" s="148"/>
      <c r="BG19" s="146"/>
      <c r="BH19" s="117"/>
      <c r="BI19" s="117"/>
      <c r="BJ19" s="149"/>
      <c r="BK19" s="150" t="s">
        <v>149</v>
      </c>
      <c r="BL19" s="151">
        <v>0</v>
      </c>
      <c r="BM19" s="151">
        <v>0</v>
      </c>
      <c r="BN19" s="151">
        <v>0</v>
      </c>
      <c r="BO19" s="151">
        <v>0</v>
      </c>
      <c r="BP19" s="151">
        <v>0</v>
      </c>
      <c r="BQ19" s="151">
        <v>0</v>
      </c>
      <c r="BR19" s="151">
        <v>0</v>
      </c>
      <c r="BS19" s="117" t="s">
        <v>150</v>
      </c>
      <c r="BT19" s="117"/>
      <c r="BU19" s="155"/>
      <c r="BV19" s="117"/>
      <c r="BW19" s="117"/>
      <c r="BX19" s="149"/>
      <c r="BY19" s="117"/>
      <c r="BZ19" s="117"/>
      <c r="CA19" s="117"/>
      <c r="CB19" s="117">
        <f t="shared" si="37"/>
        <v>1</v>
      </c>
    </row>
    <row r="20" spans="1:80" ht="16.5" hidden="1" customHeight="1">
      <c r="A20" s="117">
        <v>27</v>
      </c>
      <c r="B20" s="154" t="s">
        <v>161</v>
      </c>
      <c r="C20" s="154" t="s">
        <v>891</v>
      </c>
      <c r="D20" s="154" t="s">
        <v>13</v>
      </c>
      <c r="E20" s="154" t="s">
        <v>171</v>
      </c>
      <c r="F20" s="154" t="s">
        <v>172</v>
      </c>
      <c r="G20" s="154" t="s">
        <v>173</v>
      </c>
      <c r="H20" s="146">
        <v>2921</v>
      </c>
      <c r="I20" s="147" t="s">
        <v>147</v>
      </c>
      <c r="J20" s="144">
        <v>1</v>
      </c>
      <c r="K20" s="145">
        <f t="shared" si="19"/>
        <v>1</v>
      </c>
      <c r="L20" s="144">
        <f t="shared" si="20"/>
        <v>1</v>
      </c>
      <c r="M20" s="146">
        <v>54.9</v>
      </c>
      <c r="N20" s="146">
        <f t="shared" si="21"/>
        <v>54.9</v>
      </c>
      <c r="O20" s="146" t="s">
        <v>137</v>
      </c>
      <c r="P20" s="146" t="s">
        <v>13</v>
      </c>
      <c r="Q20" s="146" t="s">
        <v>148</v>
      </c>
      <c r="R20" s="146"/>
      <c r="S20" s="146"/>
      <c r="T20" s="146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0</v>
      </c>
      <c r="U20" s="146">
        <f t="shared" ca="1" si="22"/>
        <v>1</v>
      </c>
      <c r="V20" s="146">
        <f t="shared" ca="1" si="23"/>
        <v>0</v>
      </c>
      <c r="W20" s="146"/>
      <c r="X20" s="146"/>
      <c r="Y20" s="146"/>
      <c r="Z20" s="146"/>
      <c r="AA20" s="146"/>
      <c r="AB20" s="146"/>
      <c r="AC20" s="146">
        <v>1.2</v>
      </c>
      <c r="AD20" s="117" t="s">
        <v>142</v>
      </c>
      <c r="AE20" s="148"/>
      <c r="AF20" s="146" t="str">
        <f t="shared" si="24"/>
        <v>N/A</v>
      </c>
      <c r="AG20" s="146">
        <f t="shared" si="24"/>
        <v>0</v>
      </c>
      <c r="AH20" s="146">
        <f t="shared" si="25"/>
        <v>0</v>
      </c>
      <c r="AI20" s="146">
        <f t="shared" ca="1" si="26"/>
        <v>0</v>
      </c>
      <c r="AJ20" s="146">
        <f t="shared" ca="1" si="27"/>
        <v>0</v>
      </c>
      <c r="AK20" s="146" t="str">
        <f t="shared" si="24"/>
        <v>N/A</v>
      </c>
      <c r="AL20" s="146">
        <f t="shared" si="24"/>
        <v>0</v>
      </c>
      <c r="AM20" s="146">
        <f t="shared" si="28"/>
        <v>0</v>
      </c>
      <c r="AN20" s="146">
        <f t="shared" ca="1" si="29"/>
        <v>0</v>
      </c>
      <c r="AO20" s="146">
        <f t="shared" ca="1" si="30"/>
        <v>0</v>
      </c>
      <c r="AP20" s="146" t="str">
        <f t="shared" si="24"/>
        <v>AMC 2-S3</v>
      </c>
      <c r="AQ20" s="146">
        <f t="shared" si="24"/>
        <v>1</v>
      </c>
      <c r="AR20" s="146">
        <f t="shared" si="31"/>
        <v>1</v>
      </c>
      <c r="AS20" s="146">
        <f t="shared" ca="1" si="32"/>
        <v>0</v>
      </c>
      <c r="AT20" s="146">
        <f t="shared" ca="1" si="33"/>
        <v>1</v>
      </c>
      <c r="AU20" s="146" t="str">
        <f t="shared" si="24"/>
        <v>N/A</v>
      </c>
      <c r="AV20" s="146">
        <f t="shared" si="24"/>
        <v>0</v>
      </c>
      <c r="AW20" s="146">
        <f t="shared" si="34"/>
        <v>0</v>
      </c>
      <c r="AX20" s="146">
        <f t="shared" ca="1" si="35"/>
        <v>0</v>
      </c>
      <c r="AY20" s="146">
        <f t="shared" ca="1" si="36"/>
        <v>0</v>
      </c>
      <c r="AZ20" s="147"/>
      <c r="BA20" s="144" t="s">
        <v>140</v>
      </c>
      <c r="BB20" s="144" t="s">
        <v>140</v>
      </c>
      <c r="BC20" s="144" t="s">
        <v>141</v>
      </c>
      <c r="BD20" s="144" t="s">
        <v>140</v>
      </c>
      <c r="BE20" s="146">
        <v>1.2</v>
      </c>
      <c r="BF20" s="148"/>
      <c r="BG20" s="146"/>
      <c r="BH20" s="117"/>
      <c r="BI20" s="117"/>
      <c r="BJ20" s="149"/>
      <c r="BK20" s="150" t="s">
        <v>149</v>
      </c>
      <c r="BL20" s="151">
        <v>0</v>
      </c>
      <c r="BM20" s="151">
        <v>0</v>
      </c>
      <c r="BN20" s="151">
        <v>0</v>
      </c>
      <c r="BO20" s="151">
        <v>1</v>
      </c>
      <c r="BP20" s="151">
        <v>0</v>
      </c>
      <c r="BQ20" s="151">
        <v>0</v>
      </c>
      <c r="BR20" s="151">
        <v>0</v>
      </c>
      <c r="BS20" s="117" t="s">
        <v>150</v>
      </c>
      <c r="BT20" s="117"/>
      <c r="BU20" s="155"/>
      <c r="BV20" s="117"/>
      <c r="BW20" s="117"/>
      <c r="BX20" s="149"/>
      <c r="BY20" s="117"/>
      <c r="BZ20" s="117"/>
      <c r="CA20" s="117"/>
      <c r="CB20" s="117">
        <f t="shared" si="37"/>
        <v>1</v>
      </c>
    </row>
    <row r="21" spans="1:80" ht="16.5" hidden="1" customHeight="1">
      <c r="A21" s="117">
        <v>28</v>
      </c>
      <c r="B21" s="154" t="s">
        <v>161</v>
      </c>
      <c r="C21" s="154" t="s">
        <v>891</v>
      </c>
      <c r="D21" s="154" t="s">
        <v>13</v>
      </c>
      <c r="E21" s="154" t="s">
        <v>174</v>
      </c>
      <c r="F21" s="154" t="s">
        <v>175</v>
      </c>
      <c r="G21" s="154" t="s">
        <v>173</v>
      </c>
      <c r="H21" s="146">
        <v>2531</v>
      </c>
      <c r="I21" s="147" t="s">
        <v>147</v>
      </c>
      <c r="J21" s="144">
        <v>1</v>
      </c>
      <c r="K21" s="145">
        <f t="shared" si="19"/>
        <v>1</v>
      </c>
      <c r="L21" s="144">
        <f t="shared" si="20"/>
        <v>1</v>
      </c>
      <c r="M21" s="146">
        <v>47.6</v>
      </c>
      <c r="N21" s="146">
        <f t="shared" si="21"/>
        <v>47.6</v>
      </c>
      <c r="O21" s="146" t="s">
        <v>137</v>
      </c>
      <c r="P21" s="146" t="s">
        <v>13</v>
      </c>
      <c r="Q21" s="146" t="s">
        <v>148</v>
      </c>
      <c r="R21" s="146"/>
      <c r="S21" s="146"/>
      <c r="T21" s="146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146">
        <f t="shared" ca="1" si="22"/>
        <v>1</v>
      </c>
      <c r="V21" s="146">
        <f t="shared" ca="1" si="23"/>
        <v>0</v>
      </c>
      <c r="W21" s="146"/>
      <c r="X21" s="146"/>
      <c r="Y21" s="146"/>
      <c r="Z21" s="146"/>
      <c r="AA21" s="146"/>
      <c r="AB21" s="146"/>
      <c r="AC21" s="146">
        <v>1.1000000000000001</v>
      </c>
      <c r="AD21" s="117" t="s">
        <v>142</v>
      </c>
      <c r="AE21" s="148"/>
      <c r="AF21" s="146" t="str">
        <f t="shared" si="24"/>
        <v>N/A</v>
      </c>
      <c r="AG21" s="146">
        <f t="shared" si="24"/>
        <v>0</v>
      </c>
      <c r="AH21" s="146">
        <f t="shared" si="25"/>
        <v>0</v>
      </c>
      <c r="AI21" s="146">
        <f t="shared" ca="1" si="26"/>
        <v>0</v>
      </c>
      <c r="AJ21" s="146">
        <f t="shared" ca="1" si="27"/>
        <v>0</v>
      </c>
      <c r="AK21" s="146" t="str">
        <f t="shared" si="24"/>
        <v>N/A</v>
      </c>
      <c r="AL21" s="146">
        <f t="shared" si="24"/>
        <v>0</v>
      </c>
      <c r="AM21" s="146">
        <f t="shared" si="28"/>
        <v>0</v>
      </c>
      <c r="AN21" s="146">
        <f t="shared" ca="1" si="29"/>
        <v>0</v>
      </c>
      <c r="AO21" s="146">
        <f t="shared" ca="1" si="30"/>
        <v>0</v>
      </c>
      <c r="AP21" s="146" t="str">
        <f t="shared" si="24"/>
        <v>AMC 2-S3</v>
      </c>
      <c r="AQ21" s="146">
        <f t="shared" si="24"/>
        <v>1</v>
      </c>
      <c r="AR21" s="146">
        <f t="shared" si="31"/>
        <v>1</v>
      </c>
      <c r="AS21" s="146">
        <f t="shared" ca="1" si="32"/>
        <v>0</v>
      </c>
      <c r="AT21" s="146">
        <f t="shared" ca="1" si="33"/>
        <v>1</v>
      </c>
      <c r="AU21" s="146" t="str">
        <f t="shared" si="24"/>
        <v>N/A</v>
      </c>
      <c r="AV21" s="146">
        <f t="shared" si="24"/>
        <v>0</v>
      </c>
      <c r="AW21" s="146">
        <f t="shared" si="34"/>
        <v>0</v>
      </c>
      <c r="AX21" s="146">
        <f t="shared" ca="1" si="35"/>
        <v>0</v>
      </c>
      <c r="AY21" s="146">
        <f t="shared" ca="1" si="36"/>
        <v>0</v>
      </c>
      <c r="AZ21" s="147"/>
      <c r="BA21" s="144" t="s">
        <v>140</v>
      </c>
      <c r="BB21" s="144" t="s">
        <v>140</v>
      </c>
      <c r="BC21" s="144" t="s">
        <v>141</v>
      </c>
      <c r="BD21" s="144" t="s">
        <v>140</v>
      </c>
      <c r="BE21" s="146">
        <v>1.1000000000000001</v>
      </c>
      <c r="BF21" s="148"/>
      <c r="BG21" s="146"/>
      <c r="BH21" s="117"/>
      <c r="BI21" s="117"/>
      <c r="BJ21" s="149"/>
      <c r="BK21" s="150" t="s">
        <v>149</v>
      </c>
      <c r="BL21" s="151">
        <v>0</v>
      </c>
      <c r="BM21" s="151">
        <v>0</v>
      </c>
      <c r="BN21" s="151">
        <v>0</v>
      </c>
      <c r="BO21" s="151">
        <v>1</v>
      </c>
      <c r="BP21" s="151">
        <v>0</v>
      </c>
      <c r="BQ21" s="151">
        <v>0</v>
      </c>
      <c r="BR21" s="151">
        <v>0</v>
      </c>
      <c r="BS21" s="117" t="s">
        <v>150</v>
      </c>
      <c r="BT21" s="117"/>
      <c r="BU21" s="155"/>
      <c r="BV21" s="117"/>
      <c r="BW21" s="117"/>
      <c r="BX21" s="149"/>
      <c r="BY21" s="117"/>
      <c r="BZ21" s="117"/>
      <c r="CA21" s="117"/>
      <c r="CB21" s="117">
        <f t="shared" si="37"/>
        <v>1</v>
      </c>
    </row>
    <row r="22" spans="1:80" ht="16.5" hidden="1" customHeight="1">
      <c r="A22" s="117">
        <v>29</v>
      </c>
      <c r="B22" s="154" t="s">
        <v>161</v>
      </c>
      <c r="C22" s="154" t="s">
        <v>891</v>
      </c>
      <c r="D22" s="154" t="s">
        <v>13</v>
      </c>
      <c r="E22" s="154" t="s">
        <v>176</v>
      </c>
      <c r="F22" s="154" t="s">
        <v>177</v>
      </c>
      <c r="G22" s="154" t="s">
        <v>178</v>
      </c>
      <c r="H22" s="146">
        <v>973</v>
      </c>
      <c r="I22" s="147" t="s">
        <v>147</v>
      </c>
      <c r="J22" s="144">
        <v>1</v>
      </c>
      <c r="K22" s="145">
        <f t="shared" si="19"/>
        <v>1</v>
      </c>
      <c r="L22" s="144">
        <f t="shared" si="20"/>
        <v>1</v>
      </c>
      <c r="M22" s="146">
        <v>30.5</v>
      </c>
      <c r="N22" s="146">
        <f t="shared" si="21"/>
        <v>30.5</v>
      </c>
      <c r="O22" s="146" t="s">
        <v>137</v>
      </c>
      <c r="P22" s="146" t="s">
        <v>13</v>
      </c>
      <c r="Q22" s="146" t="s">
        <v>148</v>
      </c>
      <c r="R22" s="146"/>
      <c r="S22" s="146"/>
      <c r="T22" s="146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1</v>
      </c>
      <c r="U22" s="146">
        <f t="shared" ca="1" si="22"/>
        <v>0</v>
      </c>
      <c r="V22" s="146">
        <f t="shared" ca="1" si="23"/>
        <v>1</v>
      </c>
      <c r="W22" s="146"/>
      <c r="X22" s="146"/>
      <c r="Y22" s="146"/>
      <c r="Z22" s="146"/>
      <c r="AA22" s="146"/>
      <c r="AB22" s="146"/>
      <c r="AC22" s="146">
        <v>0.4</v>
      </c>
      <c r="AD22" s="117" t="s">
        <v>142</v>
      </c>
      <c r="AE22" s="148"/>
      <c r="AF22" s="146" t="str">
        <f t="shared" si="24"/>
        <v>N/A</v>
      </c>
      <c r="AG22" s="146">
        <f t="shared" si="24"/>
        <v>0</v>
      </c>
      <c r="AH22" s="146">
        <f t="shared" si="25"/>
        <v>0</v>
      </c>
      <c r="AI22" s="146">
        <f t="shared" ca="1" si="26"/>
        <v>0</v>
      </c>
      <c r="AJ22" s="146">
        <f t="shared" ca="1" si="27"/>
        <v>0</v>
      </c>
      <c r="AK22" s="146" t="str">
        <f t="shared" si="24"/>
        <v>N/A</v>
      </c>
      <c r="AL22" s="146">
        <f t="shared" si="24"/>
        <v>0</v>
      </c>
      <c r="AM22" s="146">
        <f t="shared" si="28"/>
        <v>0</v>
      </c>
      <c r="AN22" s="146">
        <f t="shared" ca="1" si="29"/>
        <v>0</v>
      </c>
      <c r="AO22" s="146">
        <f t="shared" ca="1" si="30"/>
        <v>0</v>
      </c>
      <c r="AP22" s="146" t="str">
        <f t="shared" si="24"/>
        <v>AMC 2-S3</v>
      </c>
      <c r="AQ22" s="146">
        <f t="shared" si="24"/>
        <v>1</v>
      </c>
      <c r="AR22" s="146">
        <f t="shared" si="31"/>
        <v>1</v>
      </c>
      <c r="AS22" s="146">
        <f t="shared" ca="1" si="32"/>
        <v>1</v>
      </c>
      <c r="AT22" s="146">
        <f t="shared" ca="1" si="33"/>
        <v>0</v>
      </c>
      <c r="AU22" s="146" t="str">
        <f t="shared" si="24"/>
        <v>N/A</v>
      </c>
      <c r="AV22" s="146">
        <f t="shared" si="24"/>
        <v>0</v>
      </c>
      <c r="AW22" s="146">
        <f t="shared" si="34"/>
        <v>0</v>
      </c>
      <c r="AX22" s="146">
        <f t="shared" ca="1" si="35"/>
        <v>0</v>
      </c>
      <c r="AY22" s="146">
        <f t="shared" ca="1" si="36"/>
        <v>0</v>
      </c>
      <c r="AZ22" s="147"/>
      <c r="BA22" s="144" t="s">
        <v>140</v>
      </c>
      <c r="BB22" s="144" t="s">
        <v>140</v>
      </c>
      <c r="BC22" s="144" t="s">
        <v>141</v>
      </c>
      <c r="BD22" s="144" t="s">
        <v>140</v>
      </c>
      <c r="BE22" s="146">
        <v>0.4</v>
      </c>
      <c r="BF22" s="148"/>
      <c r="BG22" s="146"/>
      <c r="BH22" s="117"/>
      <c r="BI22" s="117"/>
      <c r="BJ22" s="149"/>
      <c r="BK22" s="150" t="s">
        <v>149</v>
      </c>
      <c r="BL22" s="151">
        <v>0</v>
      </c>
      <c r="BM22" s="151">
        <v>0</v>
      </c>
      <c r="BN22" s="151">
        <v>0</v>
      </c>
      <c r="BO22" s="151">
        <v>1</v>
      </c>
      <c r="BP22" s="151">
        <v>0</v>
      </c>
      <c r="BQ22" s="151">
        <v>0</v>
      </c>
      <c r="BR22" s="151">
        <v>0</v>
      </c>
      <c r="BS22" s="117" t="s">
        <v>150</v>
      </c>
      <c r="BT22" s="117"/>
      <c r="BU22" s="155"/>
      <c r="BV22" s="117"/>
      <c r="BW22" s="117"/>
      <c r="BX22" s="149"/>
      <c r="BY22" s="117"/>
      <c r="BZ22" s="117"/>
      <c r="CA22" s="117"/>
      <c r="CB22" s="117">
        <f t="shared" si="37"/>
        <v>1</v>
      </c>
    </row>
    <row r="23" spans="1:80" ht="16.5" hidden="1" customHeight="1">
      <c r="A23" s="117">
        <v>30</v>
      </c>
      <c r="B23" s="154" t="s">
        <v>161</v>
      </c>
      <c r="C23" s="154" t="s">
        <v>891</v>
      </c>
      <c r="D23" s="154" t="s">
        <v>13</v>
      </c>
      <c r="E23" s="154" t="s">
        <v>179</v>
      </c>
      <c r="F23" s="154" t="s">
        <v>180</v>
      </c>
      <c r="G23" s="154" t="s">
        <v>178</v>
      </c>
      <c r="H23" s="146">
        <v>1051</v>
      </c>
      <c r="I23" s="147" t="s">
        <v>147</v>
      </c>
      <c r="J23" s="144">
        <v>1</v>
      </c>
      <c r="K23" s="145">
        <f t="shared" si="19"/>
        <v>1</v>
      </c>
      <c r="L23" s="144">
        <f t="shared" si="20"/>
        <v>1</v>
      </c>
      <c r="M23" s="146">
        <v>32.9</v>
      </c>
      <c r="N23" s="146">
        <f t="shared" si="21"/>
        <v>32.9</v>
      </c>
      <c r="O23" s="146" t="s">
        <v>137</v>
      </c>
      <c r="P23" s="146" t="s">
        <v>13</v>
      </c>
      <c r="Q23" s="146" t="s">
        <v>148</v>
      </c>
      <c r="R23" s="146"/>
      <c r="S23" s="146"/>
      <c r="T23" s="146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46">
        <f t="shared" ca="1" si="22"/>
        <v>1</v>
      </c>
      <c r="V23" s="146">
        <f t="shared" ca="1" si="23"/>
        <v>0</v>
      </c>
      <c r="W23" s="146"/>
      <c r="X23" s="146"/>
      <c r="Y23" s="146"/>
      <c r="Z23" s="146"/>
      <c r="AA23" s="146"/>
      <c r="AB23" s="146"/>
      <c r="AC23" s="146">
        <v>0.5</v>
      </c>
      <c r="AD23" s="117" t="s">
        <v>142</v>
      </c>
      <c r="AE23" s="148"/>
      <c r="AF23" s="146" t="str">
        <f t="shared" si="24"/>
        <v>N/A</v>
      </c>
      <c r="AG23" s="146">
        <f t="shared" si="24"/>
        <v>0</v>
      </c>
      <c r="AH23" s="146">
        <f t="shared" si="25"/>
        <v>0</v>
      </c>
      <c r="AI23" s="146">
        <f t="shared" ca="1" si="26"/>
        <v>0</v>
      </c>
      <c r="AJ23" s="146">
        <f t="shared" ca="1" si="27"/>
        <v>0</v>
      </c>
      <c r="AK23" s="146" t="str">
        <f t="shared" si="24"/>
        <v>N/A</v>
      </c>
      <c r="AL23" s="146">
        <f t="shared" si="24"/>
        <v>0</v>
      </c>
      <c r="AM23" s="146">
        <f t="shared" si="28"/>
        <v>0</v>
      </c>
      <c r="AN23" s="146">
        <f t="shared" ca="1" si="29"/>
        <v>0</v>
      </c>
      <c r="AO23" s="146">
        <f t="shared" ca="1" si="30"/>
        <v>0</v>
      </c>
      <c r="AP23" s="146" t="str">
        <f t="shared" si="24"/>
        <v>AMC 2-S3</v>
      </c>
      <c r="AQ23" s="146">
        <f t="shared" si="24"/>
        <v>1</v>
      </c>
      <c r="AR23" s="146">
        <f t="shared" si="31"/>
        <v>1</v>
      </c>
      <c r="AS23" s="146">
        <f t="shared" ca="1" si="32"/>
        <v>0</v>
      </c>
      <c r="AT23" s="146">
        <f t="shared" ca="1" si="33"/>
        <v>1</v>
      </c>
      <c r="AU23" s="146" t="str">
        <f t="shared" si="24"/>
        <v>N/A</v>
      </c>
      <c r="AV23" s="146">
        <f t="shared" si="24"/>
        <v>0</v>
      </c>
      <c r="AW23" s="146">
        <f t="shared" si="34"/>
        <v>0</v>
      </c>
      <c r="AX23" s="146">
        <f t="shared" ca="1" si="35"/>
        <v>0</v>
      </c>
      <c r="AY23" s="146">
        <f t="shared" ca="1" si="36"/>
        <v>0</v>
      </c>
      <c r="AZ23" s="147"/>
      <c r="BA23" s="144" t="s">
        <v>140</v>
      </c>
      <c r="BB23" s="144" t="s">
        <v>140</v>
      </c>
      <c r="BC23" s="144" t="s">
        <v>141</v>
      </c>
      <c r="BD23" s="144" t="s">
        <v>140</v>
      </c>
      <c r="BE23" s="146">
        <v>0.5</v>
      </c>
      <c r="BF23" s="148"/>
      <c r="BG23" s="146"/>
      <c r="BH23" s="117"/>
      <c r="BI23" s="117"/>
      <c r="BJ23" s="149"/>
      <c r="BK23" s="150" t="s">
        <v>149</v>
      </c>
      <c r="BL23" s="151">
        <v>0</v>
      </c>
      <c r="BM23" s="151">
        <v>0</v>
      </c>
      <c r="BN23" s="151">
        <v>0</v>
      </c>
      <c r="BO23" s="151">
        <v>1</v>
      </c>
      <c r="BP23" s="151">
        <v>0</v>
      </c>
      <c r="BQ23" s="151">
        <v>0</v>
      </c>
      <c r="BR23" s="151">
        <v>0</v>
      </c>
      <c r="BS23" s="117" t="s">
        <v>150</v>
      </c>
      <c r="BT23" s="117"/>
      <c r="BU23" s="155"/>
      <c r="BV23" s="117"/>
      <c r="BW23" s="117"/>
      <c r="BX23" s="149"/>
      <c r="BY23" s="117"/>
      <c r="BZ23" s="117"/>
      <c r="CA23" s="117"/>
      <c r="CB23" s="117">
        <f t="shared" si="37"/>
        <v>1</v>
      </c>
    </row>
    <row r="24" spans="1:80" ht="16.5" hidden="1" customHeight="1">
      <c r="A24" s="133">
        <v>31</v>
      </c>
      <c r="B24" s="134" t="s">
        <v>181</v>
      </c>
      <c r="C24" s="134" t="s">
        <v>892</v>
      </c>
      <c r="D24" s="134"/>
      <c r="E24" s="134" t="s">
        <v>136</v>
      </c>
      <c r="F24" s="134"/>
      <c r="G24" s="134"/>
      <c r="H24" s="135"/>
      <c r="I24" s="136"/>
      <c r="J24" s="137" t="s">
        <v>136</v>
      </c>
      <c r="K24" s="138">
        <f>+AG24+AL24+AQ24+AV24</f>
        <v>1</v>
      </c>
      <c r="L24" s="137" t="s">
        <v>136</v>
      </c>
      <c r="M24" s="135"/>
      <c r="N24" s="157">
        <v>1429.2</v>
      </c>
      <c r="O24" s="157" t="s">
        <v>137</v>
      </c>
      <c r="P24" s="157"/>
      <c r="Q24" s="157"/>
      <c r="R24" s="157"/>
      <c r="S24" s="157"/>
      <c r="T24" s="157"/>
      <c r="U24" s="157"/>
      <c r="V24" s="157"/>
      <c r="W24" s="135">
        <f ca="1">_xlfn.MINIFS(V:V,C:C,C24,AE:AE,"",AB:AB,"")</f>
        <v>0</v>
      </c>
      <c r="X24" s="135">
        <f ca="1">SUMIFS(T:T,C:C,C24,AE:AE,"")/SUMIFS(L:L,C:C,C24,AE:AE,"",AB:AB,"")</f>
        <v>0</v>
      </c>
      <c r="Y24" s="157"/>
      <c r="Z24" s="157"/>
      <c r="AA24" s="157"/>
      <c r="AB24" s="157"/>
      <c r="AC24" s="157">
        <v>35.4</v>
      </c>
      <c r="AD24" s="133" t="s">
        <v>142</v>
      </c>
      <c r="AE24" s="133" t="s">
        <v>143</v>
      </c>
      <c r="AF24" s="157" t="s">
        <v>138</v>
      </c>
      <c r="AG24" s="157">
        <v>0</v>
      </c>
      <c r="AH24" s="157"/>
      <c r="AI24" s="157"/>
      <c r="AJ24" s="157"/>
      <c r="AK24" s="157" t="s">
        <v>138</v>
      </c>
      <c r="AL24" s="157">
        <v>0</v>
      </c>
      <c r="AM24" s="157"/>
      <c r="AN24" s="157"/>
      <c r="AO24" s="157"/>
      <c r="AP24" s="157" t="s">
        <v>139</v>
      </c>
      <c r="AQ24" s="157">
        <v>1</v>
      </c>
      <c r="AR24" s="157"/>
      <c r="AS24" s="157"/>
      <c r="AT24" s="157"/>
      <c r="AU24" s="157" t="s">
        <v>138</v>
      </c>
      <c r="AV24" s="157">
        <v>0</v>
      </c>
      <c r="AW24" s="157"/>
      <c r="AX24" s="157"/>
      <c r="AY24" s="157"/>
      <c r="AZ24" s="136"/>
      <c r="BA24" s="137" t="s">
        <v>140</v>
      </c>
      <c r="BB24" s="137" t="s">
        <v>140</v>
      </c>
      <c r="BC24" s="137" t="s">
        <v>141</v>
      </c>
      <c r="BD24" s="137" t="s">
        <v>140</v>
      </c>
      <c r="BE24" s="157">
        <v>35.4</v>
      </c>
      <c r="BF24" s="133"/>
      <c r="BG24" s="135"/>
      <c r="BH24" s="133"/>
      <c r="BI24" s="139"/>
      <c r="BJ24" s="140"/>
      <c r="BK24" s="140"/>
      <c r="BL24" s="133"/>
      <c r="BM24" s="139"/>
      <c r="BN24" s="139"/>
      <c r="BO24" s="139"/>
      <c r="BP24" s="139"/>
      <c r="BQ24" s="139"/>
      <c r="BR24" s="139"/>
      <c r="BS24" s="133"/>
      <c r="BT24" s="139"/>
      <c r="BU24" s="139"/>
      <c r="BV24" s="139"/>
      <c r="BW24" s="139"/>
      <c r="BX24" s="140"/>
      <c r="BY24" s="139"/>
      <c r="BZ24" s="139"/>
      <c r="CA24" s="139"/>
      <c r="CB24" s="133"/>
    </row>
    <row r="25" spans="1:80" ht="16.5" hidden="1" customHeight="1">
      <c r="A25" s="117">
        <v>32</v>
      </c>
      <c r="B25" s="154" t="s">
        <v>181</v>
      </c>
      <c r="C25" s="154" t="s">
        <v>892</v>
      </c>
      <c r="D25" s="154" t="s">
        <v>13</v>
      </c>
      <c r="E25" s="154" t="s">
        <v>162</v>
      </c>
      <c r="F25" s="154" t="s">
        <v>182</v>
      </c>
      <c r="G25" s="154" t="s">
        <v>160</v>
      </c>
      <c r="H25" s="146">
        <v>2925</v>
      </c>
      <c r="I25" s="147" t="s">
        <v>147</v>
      </c>
      <c r="J25" s="144">
        <v>1</v>
      </c>
      <c r="K25" s="145">
        <f t="shared" ref="K25:K33" si="38">K24</f>
        <v>1</v>
      </c>
      <c r="L25" s="144">
        <f t="shared" ref="L25:L33" si="39">+K25*J25</f>
        <v>1</v>
      </c>
      <c r="M25" s="146">
        <v>57.8</v>
      </c>
      <c r="N25" s="146">
        <f t="shared" ref="N25:N33" si="40">+M25*L25</f>
        <v>57.8</v>
      </c>
      <c r="O25" s="146" t="s">
        <v>137</v>
      </c>
      <c r="P25" s="146" t="s">
        <v>13</v>
      </c>
      <c r="Q25" s="146" t="s">
        <v>148</v>
      </c>
      <c r="R25" s="146"/>
      <c r="S25" s="146"/>
      <c r="T25" s="146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0</v>
      </c>
      <c r="U25" s="146">
        <f t="shared" ref="U25:U33" ca="1" si="41">+L25-T25</f>
        <v>1</v>
      </c>
      <c r="V25" s="146">
        <f t="shared" ref="V25:V33" ca="1" si="42">ROUNDDOWN(T25/J25,0)</f>
        <v>0</v>
      </c>
      <c r="W25" s="146"/>
      <c r="X25" s="146"/>
      <c r="Y25" s="146"/>
      <c r="Z25" s="146"/>
      <c r="AA25" s="146"/>
      <c r="AB25" s="146"/>
      <c r="AC25" s="146">
        <v>1.1000000000000001</v>
      </c>
      <c r="AD25" s="117" t="s">
        <v>142</v>
      </c>
      <c r="AE25" s="148"/>
      <c r="AF25" s="146" t="str">
        <f t="shared" ref="AF25:AV33" si="43">AF24</f>
        <v>N/A</v>
      </c>
      <c r="AG25" s="146">
        <f t="shared" si="43"/>
        <v>0</v>
      </c>
      <c r="AH25" s="146">
        <f t="shared" ref="AH25:AH33" si="44">+AG25*J25</f>
        <v>0</v>
      </c>
      <c r="AI25" s="146">
        <f t="shared" ref="AI25:AI33" ca="1" si="45">MIN(T25,AH25)</f>
        <v>0</v>
      </c>
      <c r="AJ25" s="146">
        <f t="shared" ref="AJ25:AJ33" ca="1" si="46">+AH25-AI25</f>
        <v>0</v>
      </c>
      <c r="AK25" s="146" t="str">
        <f t="shared" si="43"/>
        <v>N/A</v>
      </c>
      <c r="AL25" s="146">
        <f t="shared" si="43"/>
        <v>0</v>
      </c>
      <c r="AM25" s="146">
        <f t="shared" ref="AM25:AM33" si="47">+AL25*J25</f>
        <v>0</v>
      </c>
      <c r="AN25" s="146">
        <f t="shared" ref="AN25:AN33" ca="1" si="48">MIN(T25-AI25,AL25)</f>
        <v>0</v>
      </c>
      <c r="AO25" s="146">
        <f t="shared" ref="AO25:AO33" ca="1" si="49">+AM25-AN25</f>
        <v>0</v>
      </c>
      <c r="AP25" s="146" t="str">
        <f t="shared" si="43"/>
        <v>AMC 2-S3</v>
      </c>
      <c r="AQ25" s="146">
        <f t="shared" si="43"/>
        <v>1</v>
      </c>
      <c r="AR25" s="146">
        <f t="shared" ref="AR25:AR33" si="50">+AQ25*J25</f>
        <v>1</v>
      </c>
      <c r="AS25" s="146">
        <f t="shared" ref="AS25:AS33" ca="1" si="51">MIN(T25-AI25-AN25,AR25)</f>
        <v>0</v>
      </c>
      <c r="AT25" s="146">
        <f t="shared" ref="AT25:AT33" ca="1" si="52">+AR25-AS25</f>
        <v>1</v>
      </c>
      <c r="AU25" s="146" t="str">
        <f t="shared" si="43"/>
        <v>N/A</v>
      </c>
      <c r="AV25" s="146">
        <f t="shared" si="43"/>
        <v>0</v>
      </c>
      <c r="AW25" s="146">
        <f t="shared" ref="AW25:AW33" si="53">+AV25*J25</f>
        <v>0</v>
      </c>
      <c r="AX25" s="146">
        <f t="shared" ref="AX25:AX33" ca="1" si="54">MIN(T25-AI25-AN25-AS25,AW25)</f>
        <v>0</v>
      </c>
      <c r="AY25" s="146">
        <f t="shared" ref="AY25:AY33" ca="1" si="55">+AW25-AX25</f>
        <v>0</v>
      </c>
      <c r="AZ25" s="147"/>
      <c r="BA25" s="144" t="s">
        <v>140</v>
      </c>
      <c r="BB25" s="144" t="s">
        <v>140</v>
      </c>
      <c r="BC25" s="144" t="s">
        <v>141</v>
      </c>
      <c r="BD25" s="144" t="s">
        <v>140</v>
      </c>
      <c r="BE25" s="146">
        <v>1.1000000000000001</v>
      </c>
      <c r="BF25" s="148"/>
      <c r="BG25" s="146"/>
      <c r="BH25" s="117"/>
      <c r="BI25" s="117"/>
      <c r="BJ25" s="149"/>
      <c r="BK25" s="150" t="s">
        <v>149</v>
      </c>
      <c r="BL25" s="151">
        <v>0</v>
      </c>
      <c r="BM25" s="151">
        <v>0</v>
      </c>
      <c r="BN25" s="151">
        <v>0</v>
      </c>
      <c r="BO25" s="151">
        <v>1</v>
      </c>
      <c r="BP25" s="151">
        <v>0</v>
      </c>
      <c r="BQ25" s="151">
        <v>0</v>
      </c>
      <c r="BR25" s="151">
        <v>0</v>
      </c>
      <c r="BS25" s="117" t="s">
        <v>150</v>
      </c>
      <c r="BT25" s="117"/>
      <c r="BU25" s="155"/>
      <c r="BV25" s="117"/>
      <c r="BW25" s="117"/>
      <c r="BX25" s="149"/>
      <c r="BY25" s="117"/>
      <c r="BZ25" s="117"/>
      <c r="CA25" s="117"/>
      <c r="CB25" s="117">
        <f t="shared" ref="CB25:CB33" si="56">+L25-BW25</f>
        <v>1</v>
      </c>
    </row>
    <row r="26" spans="1:80" ht="16.5" hidden="1" customHeight="1">
      <c r="A26" s="117">
        <v>33</v>
      </c>
      <c r="B26" s="154" t="s">
        <v>181</v>
      </c>
      <c r="C26" s="154" t="s">
        <v>892</v>
      </c>
      <c r="D26" s="154" t="s">
        <v>13</v>
      </c>
      <c r="E26" s="154" t="s">
        <v>167</v>
      </c>
      <c r="F26" s="154" t="s">
        <v>183</v>
      </c>
      <c r="G26" s="154" t="s">
        <v>146</v>
      </c>
      <c r="H26" s="146">
        <v>4042</v>
      </c>
      <c r="I26" s="147" t="s">
        <v>147</v>
      </c>
      <c r="J26" s="144">
        <v>1</v>
      </c>
      <c r="K26" s="145">
        <f t="shared" si="38"/>
        <v>1</v>
      </c>
      <c r="L26" s="144">
        <f t="shared" si="39"/>
        <v>1</v>
      </c>
      <c r="M26" s="146">
        <v>15.9</v>
      </c>
      <c r="N26" s="146">
        <f t="shared" si="40"/>
        <v>15.9</v>
      </c>
      <c r="O26" s="146" t="s">
        <v>137</v>
      </c>
      <c r="P26" s="146" t="s">
        <v>13</v>
      </c>
      <c r="Q26" s="146" t="s">
        <v>148</v>
      </c>
      <c r="R26" s="146"/>
      <c r="S26" s="146"/>
      <c r="T26" s="146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0</v>
      </c>
      <c r="U26" s="146">
        <f t="shared" ca="1" si="41"/>
        <v>1</v>
      </c>
      <c r="V26" s="146">
        <f t="shared" ca="1" si="42"/>
        <v>0</v>
      </c>
      <c r="W26" s="146"/>
      <c r="X26" s="146"/>
      <c r="Y26" s="146"/>
      <c r="Z26" s="146"/>
      <c r="AA26" s="146"/>
      <c r="AB26" s="146"/>
      <c r="AC26" s="146">
        <v>0.5</v>
      </c>
      <c r="AD26" s="117" t="s">
        <v>142</v>
      </c>
      <c r="AE26" s="148"/>
      <c r="AF26" s="146" t="str">
        <f t="shared" si="43"/>
        <v>N/A</v>
      </c>
      <c r="AG26" s="146">
        <f t="shared" si="43"/>
        <v>0</v>
      </c>
      <c r="AH26" s="146">
        <f t="shared" si="44"/>
        <v>0</v>
      </c>
      <c r="AI26" s="146">
        <f t="shared" ca="1" si="45"/>
        <v>0</v>
      </c>
      <c r="AJ26" s="146">
        <f t="shared" ca="1" si="46"/>
        <v>0</v>
      </c>
      <c r="AK26" s="146" t="str">
        <f t="shared" si="43"/>
        <v>N/A</v>
      </c>
      <c r="AL26" s="146">
        <f t="shared" si="43"/>
        <v>0</v>
      </c>
      <c r="AM26" s="146">
        <f t="shared" si="47"/>
        <v>0</v>
      </c>
      <c r="AN26" s="146">
        <f t="shared" ca="1" si="48"/>
        <v>0</v>
      </c>
      <c r="AO26" s="146">
        <f t="shared" ca="1" si="49"/>
        <v>0</v>
      </c>
      <c r="AP26" s="146" t="str">
        <f t="shared" si="43"/>
        <v>AMC 2-S3</v>
      </c>
      <c r="AQ26" s="146">
        <f t="shared" si="43"/>
        <v>1</v>
      </c>
      <c r="AR26" s="146">
        <f t="shared" si="50"/>
        <v>1</v>
      </c>
      <c r="AS26" s="146">
        <f t="shared" ca="1" si="51"/>
        <v>0</v>
      </c>
      <c r="AT26" s="146">
        <f t="shared" ca="1" si="52"/>
        <v>1</v>
      </c>
      <c r="AU26" s="146" t="str">
        <f t="shared" si="43"/>
        <v>N/A</v>
      </c>
      <c r="AV26" s="146">
        <f t="shared" si="43"/>
        <v>0</v>
      </c>
      <c r="AW26" s="146">
        <f t="shared" si="53"/>
        <v>0</v>
      </c>
      <c r="AX26" s="146">
        <f t="shared" ca="1" si="54"/>
        <v>0</v>
      </c>
      <c r="AY26" s="146">
        <f t="shared" ca="1" si="55"/>
        <v>0</v>
      </c>
      <c r="AZ26" s="147"/>
      <c r="BA26" s="144" t="s">
        <v>140</v>
      </c>
      <c r="BB26" s="144" t="s">
        <v>140</v>
      </c>
      <c r="BC26" s="144" t="s">
        <v>141</v>
      </c>
      <c r="BD26" s="144" t="s">
        <v>140</v>
      </c>
      <c r="BE26" s="146">
        <v>0.5</v>
      </c>
      <c r="BF26" s="148"/>
      <c r="BG26" s="146"/>
      <c r="BH26" s="117"/>
      <c r="BI26" s="117"/>
      <c r="BJ26" s="149"/>
      <c r="BK26" s="150" t="s">
        <v>149</v>
      </c>
      <c r="BL26" s="151">
        <v>0</v>
      </c>
      <c r="BM26" s="151">
        <v>0</v>
      </c>
      <c r="BN26" s="151">
        <v>0</v>
      </c>
      <c r="BO26" s="151">
        <v>0</v>
      </c>
      <c r="BP26" s="151">
        <v>0</v>
      </c>
      <c r="BQ26" s="151">
        <v>0</v>
      </c>
      <c r="BR26" s="151">
        <v>0</v>
      </c>
      <c r="BS26" s="117" t="s">
        <v>150</v>
      </c>
      <c r="BT26" s="117"/>
      <c r="BU26" s="155"/>
      <c r="BV26" s="117"/>
      <c r="BW26" s="117"/>
      <c r="BX26" s="149"/>
      <c r="BY26" s="117"/>
      <c r="BZ26" s="117"/>
      <c r="CA26" s="117"/>
      <c r="CB26" s="117">
        <f t="shared" si="56"/>
        <v>1</v>
      </c>
    </row>
    <row r="27" spans="1:80" ht="16.5" hidden="1" customHeight="1">
      <c r="A27" s="117">
        <v>34</v>
      </c>
      <c r="B27" s="154" t="s">
        <v>181</v>
      </c>
      <c r="C27" s="154" t="s">
        <v>892</v>
      </c>
      <c r="D27" s="154" t="s">
        <v>13</v>
      </c>
      <c r="E27" s="154" t="s">
        <v>169</v>
      </c>
      <c r="F27" s="154" t="s">
        <v>184</v>
      </c>
      <c r="G27" s="154" t="s">
        <v>146</v>
      </c>
      <c r="H27" s="146">
        <v>2051</v>
      </c>
      <c r="I27" s="147" t="s">
        <v>147</v>
      </c>
      <c r="J27" s="144">
        <v>1</v>
      </c>
      <c r="K27" s="145">
        <f t="shared" si="38"/>
        <v>1</v>
      </c>
      <c r="L27" s="144">
        <f t="shared" si="39"/>
        <v>1</v>
      </c>
      <c r="M27" s="146">
        <v>8.1</v>
      </c>
      <c r="N27" s="146">
        <f t="shared" si="40"/>
        <v>8.1</v>
      </c>
      <c r="O27" s="146" t="s">
        <v>137</v>
      </c>
      <c r="P27" s="146" t="s">
        <v>13</v>
      </c>
      <c r="Q27" s="146" t="s">
        <v>148</v>
      </c>
      <c r="R27" s="146"/>
      <c r="S27" s="146"/>
      <c r="T27" s="146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146">
        <f t="shared" ca="1" si="41"/>
        <v>1</v>
      </c>
      <c r="V27" s="146">
        <f t="shared" ca="1" si="42"/>
        <v>0</v>
      </c>
      <c r="W27" s="146"/>
      <c r="X27" s="146"/>
      <c r="Y27" s="146"/>
      <c r="Z27" s="146"/>
      <c r="AA27" s="146"/>
      <c r="AB27" s="146"/>
      <c r="AC27" s="146">
        <v>0.2</v>
      </c>
      <c r="AD27" s="117" t="s">
        <v>142</v>
      </c>
      <c r="AE27" s="148"/>
      <c r="AF27" s="146" t="str">
        <f t="shared" si="43"/>
        <v>N/A</v>
      </c>
      <c r="AG27" s="146">
        <f t="shared" si="43"/>
        <v>0</v>
      </c>
      <c r="AH27" s="146">
        <f t="shared" si="44"/>
        <v>0</v>
      </c>
      <c r="AI27" s="146">
        <f t="shared" ca="1" si="45"/>
        <v>0</v>
      </c>
      <c r="AJ27" s="146">
        <f t="shared" ca="1" si="46"/>
        <v>0</v>
      </c>
      <c r="AK27" s="146" t="str">
        <f t="shared" si="43"/>
        <v>N/A</v>
      </c>
      <c r="AL27" s="146">
        <f t="shared" si="43"/>
        <v>0</v>
      </c>
      <c r="AM27" s="146">
        <f t="shared" si="47"/>
        <v>0</v>
      </c>
      <c r="AN27" s="146">
        <f t="shared" ca="1" si="48"/>
        <v>0</v>
      </c>
      <c r="AO27" s="146">
        <f t="shared" ca="1" si="49"/>
        <v>0</v>
      </c>
      <c r="AP27" s="146" t="str">
        <f t="shared" si="43"/>
        <v>AMC 2-S3</v>
      </c>
      <c r="AQ27" s="146">
        <f t="shared" si="43"/>
        <v>1</v>
      </c>
      <c r="AR27" s="146">
        <f t="shared" si="50"/>
        <v>1</v>
      </c>
      <c r="AS27" s="146">
        <f t="shared" ca="1" si="51"/>
        <v>0</v>
      </c>
      <c r="AT27" s="146">
        <f t="shared" ca="1" si="52"/>
        <v>1</v>
      </c>
      <c r="AU27" s="146" t="str">
        <f t="shared" si="43"/>
        <v>N/A</v>
      </c>
      <c r="AV27" s="146">
        <f t="shared" si="43"/>
        <v>0</v>
      </c>
      <c r="AW27" s="146">
        <f t="shared" si="53"/>
        <v>0</v>
      </c>
      <c r="AX27" s="146">
        <f t="shared" ca="1" si="54"/>
        <v>0</v>
      </c>
      <c r="AY27" s="146">
        <f t="shared" ca="1" si="55"/>
        <v>0</v>
      </c>
      <c r="AZ27" s="147"/>
      <c r="BA27" s="144" t="s">
        <v>140</v>
      </c>
      <c r="BB27" s="144" t="s">
        <v>140</v>
      </c>
      <c r="BC27" s="144" t="s">
        <v>141</v>
      </c>
      <c r="BD27" s="144" t="s">
        <v>140</v>
      </c>
      <c r="BE27" s="146">
        <v>0.2</v>
      </c>
      <c r="BF27" s="148"/>
      <c r="BG27" s="146"/>
      <c r="BH27" s="117"/>
      <c r="BI27" s="117"/>
      <c r="BJ27" s="149"/>
      <c r="BK27" s="150" t="s">
        <v>149</v>
      </c>
      <c r="BL27" s="151">
        <v>0</v>
      </c>
      <c r="BM27" s="151">
        <v>0</v>
      </c>
      <c r="BN27" s="151">
        <v>0</v>
      </c>
      <c r="BO27" s="151">
        <v>0</v>
      </c>
      <c r="BP27" s="151">
        <v>0</v>
      </c>
      <c r="BQ27" s="151">
        <v>0</v>
      </c>
      <c r="BR27" s="151">
        <v>0</v>
      </c>
      <c r="BS27" s="117" t="s">
        <v>150</v>
      </c>
      <c r="BT27" s="117"/>
      <c r="BU27" s="155"/>
      <c r="BV27" s="117"/>
      <c r="BW27" s="117"/>
      <c r="BX27" s="149"/>
      <c r="BY27" s="117"/>
      <c r="BZ27" s="117"/>
      <c r="CA27" s="117"/>
      <c r="CB27" s="117">
        <f t="shared" si="56"/>
        <v>1</v>
      </c>
    </row>
    <row r="28" spans="1:80" ht="16.5" hidden="1" customHeight="1">
      <c r="A28" s="117">
        <v>35</v>
      </c>
      <c r="B28" s="154" t="s">
        <v>181</v>
      </c>
      <c r="C28" s="154" t="s">
        <v>892</v>
      </c>
      <c r="D28" s="154" t="s">
        <v>13</v>
      </c>
      <c r="E28" s="154" t="s">
        <v>185</v>
      </c>
      <c r="F28" s="154" t="s">
        <v>186</v>
      </c>
      <c r="G28" s="154" t="s">
        <v>146</v>
      </c>
      <c r="H28" s="146">
        <v>6024</v>
      </c>
      <c r="I28" s="147" t="s">
        <v>147</v>
      </c>
      <c r="J28" s="144">
        <v>1</v>
      </c>
      <c r="K28" s="145">
        <f t="shared" si="38"/>
        <v>1</v>
      </c>
      <c r="L28" s="144">
        <f t="shared" si="39"/>
        <v>1</v>
      </c>
      <c r="M28" s="146">
        <v>22.6</v>
      </c>
      <c r="N28" s="146">
        <f t="shared" si="40"/>
        <v>22.6</v>
      </c>
      <c r="O28" s="146" t="s">
        <v>137</v>
      </c>
      <c r="P28" s="146" t="s">
        <v>13</v>
      </c>
      <c r="Q28" s="146" t="s">
        <v>148</v>
      </c>
      <c r="R28" s="146"/>
      <c r="S28" s="146"/>
      <c r="T28" s="146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146">
        <f t="shared" ca="1" si="41"/>
        <v>1</v>
      </c>
      <c r="V28" s="146">
        <f t="shared" ca="1" si="42"/>
        <v>0</v>
      </c>
      <c r="W28" s="146"/>
      <c r="X28" s="146"/>
      <c r="Y28" s="146"/>
      <c r="Z28" s="146"/>
      <c r="AA28" s="146"/>
      <c r="AB28" s="146"/>
      <c r="AC28" s="146">
        <v>0.7</v>
      </c>
      <c r="AD28" s="117" t="s">
        <v>142</v>
      </c>
      <c r="AE28" s="148"/>
      <c r="AF28" s="146" t="str">
        <f t="shared" si="43"/>
        <v>N/A</v>
      </c>
      <c r="AG28" s="146">
        <f t="shared" si="43"/>
        <v>0</v>
      </c>
      <c r="AH28" s="146">
        <f t="shared" si="44"/>
        <v>0</v>
      </c>
      <c r="AI28" s="146">
        <f t="shared" ca="1" si="45"/>
        <v>0</v>
      </c>
      <c r="AJ28" s="146">
        <f t="shared" ca="1" si="46"/>
        <v>0</v>
      </c>
      <c r="AK28" s="146" t="str">
        <f t="shared" si="43"/>
        <v>N/A</v>
      </c>
      <c r="AL28" s="146">
        <f t="shared" si="43"/>
        <v>0</v>
      </c>
      <c r="AM28" s="146">
        <f t="shared" si="47"/>
        <v>0</v>
      </c>
      <c r="AN28" s="146">
        <f t="shared" ca="1" si="48"/>
        <v>0</v>
      </c>
      <c r="AO28" s="146">
        <f t="shared" ca="1" si="49"/>
        <v>0</v>
      </c>
      <c r="AP28" s="146" t="str">
        <f t="shared" si="43"/>
        <v>AMC 2-S3</v>
      </c>
      <c r="AQ28" s="146">
        <f t="shared" si="43"/>
        <v>1</v>
      </c>
      <c r="AR28" s="146">
        <f t="shared" si="50"/>
        <v>1</v>
      </c>
      <c r="AS28" s="146">
        <f t="shared" ca="1" si="51"/>
        <v>0</v>
      </c>
      <c r="AT28" s="146">
        <f t="shared" ca="1" si="52"/>
        <v>1</v>
      </c>
      <c r="AU28" s="146" t="str">
        <f t="shared" si="43"/>
        <v>N/A</v>
      </c>
      <c r="AV28" s="146">
        <f t="shared" si="43"/>
        <v>0</v>
      </c>
      <c r="AW28" s="146">
        <f t="shared" si="53"/>
        <v>0</v>
      </c>
      <c r="AX28" s="146">
        <f t="shared" ca="1" si="54"/>
        <v>0</v>
      </c>
      <c r="AY28" s="146">
        <f t="shared" ca="1" si="55"/>
        <v>0</v>
      </c>
      <c r="AZ28" s="147"/>
      <c r="BA28" s="144" t="s">
        <v>140</v>
      </c>
      <c r="BB28" s="144" t="s">
        <v>140</v>
      </c>
      <c r="BC28" s="144" t="s">
        <v>141</v>
      </c>
      <c r="BD28" s="144" t="s">
        <v>140</v>
      </c>
      <c r="BE28" s="146">
        <v>0.7</v>
      </c>
      <c r="BF28" s="148"/>
      <c r="BG28" s="146"/>
      <c r="BH28" s="117"/>
      <c r="BI28" s="117"/>
      <c r="BJ28" s="149"/>
      <c r="BK28" s="150" t="s">
        <v>149</v>
      </c>
      <c r="BL28" s="151">
        <v>0</v>
      </c>
      <c r="BM28" s="151">
        <v>0</v>
      </c>
      <c r="BN28" s="151">
        <v>0</v>
      </c>
      <c r="BO28" s="151">
        <v>0</v>
      </c>
      <c r="BP28" s="151">
        <v>0</v>
      </c>
      <c r="BQ28" s="151">
        <v>0</v>
      </c>
      <c r="BR28" s="151">
        <v>0</v>
      </c>
      <c r="BS28" s="117" t="s">
        <v>150</v>
      </c>
      <c r="BT28" s="117"/>
      <c r="BU28" s="155"/>
      <c r="BV28" s="117"/>
      <c r="BW28" s="117"/>
      <c r="BX28" s="149"/>
      <c r="BY28" s="117"/>
      <c r="BZ28" s="117"/>
      <c r="CA28" s="117"/>
      <c r="CB28" s="117">
        <f t="shared" si="56"/>
        <v>1</v>
      </c>
    </row>
    <row r="29" spans="1:80" ht="16.5" hidden="1" customHeight="1">
      <c r="A29" s="117">
        <v>36</v>
      </c>
      <c r="B29" s="154" t="s">
        <v>181</v>
      </c>
      <c r="C29" s="154" t="s">
        <v>892</v>
      </c>
      <c r="D29" s="154" t="s">
        <v>13</v>
      </c>
      <c r="E29" s="154" t="s">
        <v>187</v>
      </c>
      <c r="F29" s="154" t="s">
        <v>188</v>
      </c>
      <c r="G29" s="154" t="s">
        <v>166</v>
      </c>
      <c r="H29" s="146">
        <v>6418</v>
      </c>
      <c r="I29" s="147" t="s">
        <v>147</v>
      </c>
      <c r="J29" s="144">
        <v>1</v>
      </c>
      <c r="K29" s="145">
        <f t="shared" si="38"/>
        <v>1</v>
      </c>
      <c r="L29" s="144">
        <f t="shared" si="39"/>
        <v>1</v>
      </c>
      <c r="M29" s="146">
        <v>1158.7</v>
      </c>
      <c r="N29" s="146">
        <f t="shared" si="40"/>
        <v>1158.7</v>
      </c>
      <c r="O29" s="146" t="s">
        <v>137</v>
      </c>
      <c r="P29" s="146" t="s">
        <v>13</v>
      </c>
      <c r="Q29" s="146" t="s">
        <v>148</v>
      </c>
      <c r="R29" s="146"/>
      <c r="S29" s="146"/>
      <c r="T29" s="146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146">
        <f t="shared" ca="1" si="41"/>
        <v>1</v>
      </c>
      <c r="V29" s="146">
        <f t="shared" ca="1" si="42"/>
        <v>0</v>
      </c>
      <c r="W29" s="146"/>
      <c r="X29" s="146"/>
      <c r="Y29" s="146"/>
      <c r="Z29" s="146"/>
      <c r="AA29" s="146"/>
      <c r="AB29" s="146"/>
      <c r="AC29" s="146">
        <v>29.7</v>
      </c>
      <c r="AD29" s="117" t="s">
        <v>142</v>
      </c>
      <c r="AE29" s="148"/>
      <c r="AF29" s="146" t="str">
        <f t="shared" si="43"/>
        <v>N/A</v>
      </c>
      <c r="AG29" s="146">
        <f t="shared" si="43"/>
        <v>0</v>
      </c>
      <c r="AH29" s="146">
        <f t="shared" si="44"/>
        <v>0</v>
      </c>
      <c r="AI29" s="146">
        <f t="shared" ca="1" si="45"/>
        <v>0</v>
      </c>
      <c r="AJ29" s="146">
        <f t="shared" ca="1" si="46"/>
        <v>0</v>
      </c>
      <c r="AK29" s="146" t="str">
        <f t="shared" si="43"/>
        <v>N/A</v>
      </c>
      <c r="AL29" s="146">
        <f t="shared" si="43"/>
        <v>0</v>
      </c>
      <c r="AM29" s="146">
        <f t="shared" si="47"/>
        <v>0</v>
      </c>
      <c r="AN29" s="146">
        <f t="shared" ca="1" si="48"/>
        <v>0</v>
      </c>
      <c r="AO29" s="146">
        <f t="shared" ca="1" si="49"/>
        <v>0</v>
      </c>
      <c r="AP29" s="146" t="str">
        <f t="shared" si="43"/>
        <v>AMC 2-S3</v>
      </c>
      <c r="AQ29" s="146">
        <f t="shared" si="43"/>
        <v>1</v>
      </c>
      <c r="AR29" s="146">
        <f t="shared" si="50"/>
        <v>1</v>
      </c>
      <c r="AS29" s="146">
        <f t="shared" ca="1" si="51"/>
        <v>0</v>
      </c>
      <c r="AT29" s="146">
        <f t="shared" ca="1" si="52"/>
        <v>1</v>
      </c>
      <c r="AU29" s="146" t="str">
        <f t="shared" si="43"/>
        <v>N/A</v>
      </c>
      <c r="AV29" s="146">
        <f t="shared" si="43"/>
        <v>0</v>
      </c>
      <c r="AW29" s="146">
        <f t="shared" si="53"/>
        <v>0</v>
      </c>
      <c r="AX29" s="146">
        <f t="shared" ca="1" si="54"/>
        <v>0</v>
      </c>
      <c r="AY29" s="146">
        <f t="shared" ca="1" si="55"/>
        <v>0</v>
      </c>
      <c r="AZ29" s="147"/>
      <c r="BA29" s="144" t="s">
        <v>140</v>
      </c>
      <c r="BB29" s="144" t="s">
        <v>140</v>
      </c>
      <c r="BC29" s="144" t="s">
        <v>141</v>
      </c>
      <c r="BD29" s="144" t="s">
        <v>140</v>
      </c>
      <c r="BE29" s="146">
        <v>29.7</v>
      </c>
      <c r="BF29" s="148"/>
      <c r="BG29" s="146"/>
      <c r="BH29" s="117"/>
      <c r="BI29" s="117"/>
      <c r="BJ29" s="149"/>
      <c r="BK29" s="149"/>
      <c r="BL29" s="117"/>
      <c r="BM29" s="117"/>
      <c r="BN29" s="117"/>
      <c r="BO29" s="117"/>
      <c r="BP29" s="117"/>
      <c r="BQ29" s="117"/>
      <c r="BR29" s="117"/>
      <c r="BS29" s="117" t="s">
        <v>150</v>
      </c>
      <c r="BT29" s="117"/>
      <c r="BU29" s="155"/>
      <c r="BV29" s="117"/>
      <c r="BW29" s="117"/>
      <c r="BX29" s="149"/>
      <c r="BY29" s="117"/>
      <c r="BZ29" s="117"/>
      <c r="CA29" s="117"/>
      <c r="CB29" s="117">
        <f t="shared" si="56"/>
        <v>1</v>
      </c>
    </row>
    <row r="30" spans="1:80" ht="16.5" hidden="1" customHeight="1">
      <c r="A30" s="117">
        <v>37</v>
      </c>
      <c r="B30" s="154" t="s">
        <v>181</v>
      </c>
      <c r="C30" s="154" t="s">
        <v>892</v>
      </c>
      <c r="D30" s="154" t="s">
        <v>13</v>
      </c>
      <c r="E30" s="154" t="s">
        <v>189</v>
      </c>
      <c r="F30" s="154" t="s">
        <v>190</v>
      </c>
      <c r="G30" s="154" t="s">
        <v>173</v>
      </c>
      <c r="H30" s="146">
        <v>2541</v>
      </c>
      <c r="I30" s="147" t="s">
        <v>147</v>
      </c>
      <c r="J30" s="144">
        <v>1</v>
      </c>
      <c r="K30" s="145">
        <f t="shared" si="38"/>
        <v>1</v>
      </c>
      <c r="L30" s="144">
        <f t="shared" si="39"/>
        <v>1</v>
      </c>
      <c r="M30" s="146">
        <v>47.8</v>
      </c>
      <c r="N30" s="146">
        <f t="shared" si="40"/>
        <v>47.8</v>
      </c>
      <c r="O30" s="146" t="s">
        <v>137</v>
      </c>
      <c r="P30" s="146" t="s">
        <v>13</v>
      </c>
      <c r="Q30" s="146" t="s">
        <v>148</v>
      </c>
      <c r="R30" s="146"/>
      <c r="S30" s="146"/>
      <c r="T30" s="146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146">
        <f t="shared" ca="1" si="41"/>
        <v>1</v>
      </c>
      <c r="V30" s="146">
        <f t="shared" ca="1" si="42"/>
        <v>0</v>
      </c>
      <c r="W30" s="146"/>
      <c r="X30" s="146"/>
      <c r="Y30" s="146"/>
      <c r="Z30" s="146"/>
      <c r="AA30" s="146"/>
      <c r="AB30" s="146"/>
      <c r="AC30" s="146">
        <v>1.1000000000000001</v>
      </c>
      <c r="AD30" s="117" t="s">
        <v>142</v>
      </c>
      <c r="AE30" s="148"/>
      <c r="AF30" s="146" t="str">
        <f t="shared" si="43"/>
        <v>N/A</v>
      </c>
      <c r="AG30" s="146">
        <f t="shared" si="43"/>
        <v>0</v>
      </c>
      <c r="AH30" s="146">
        <f t="shared" si="44"/>
        <v>0</v>
      </c>
      <c r="AI30" s="146">
        <f t="shared" ca="1" si="45"/>
        <v>0</v>
      </c>
      <c r="AJ30" s="146">
        <f t="shared" ca="1" si="46"/>
        <v>0</v>
      </c>
      <c r="AK30" s="146" t="str">
        <f t="shared" si="43"/>
        <v>N/A</v>
      </c>
      <c r="AL30" s="146">
        <f t="shared" si="43"/>
        <v>0</v>
      </c>
      <c r="AM30" s="146">
        <f t="shared" si="47"/>
        <v>0</v>
      </c>
      <c r="AN30" s="146">
        <f t="shared" ca="1" si="48"/>
        <v>0</v>
      </c>
      <c r="AO30" s="146">
        <f t="shared" ca="1" si="49"/>
        <v>0</v>
      </c>
      <c r="AP30" s="146" t="str">
        <f t="shared" si="43"/>
        <v>AMC 2-S3</v>
      </c>
      <c r="AQ30" s="146">
        <f t="shared" si="43"/>
        <v>1</v>
      </c>
      <c r="AR30" s="146">
        <f t="shared" si="50"/>
        <v>1</v>
      </c>
      <c r="AS30" s="146">
        <f t="shared" ca="1" si="51"/>
        <v>0</v>
      </c>
      <c r="AT30" s="146">
        <f t="shared" ca="1" si="52"/>
        <v>1</v>
      </c>
      <c r="AU30" s="146" t="str">
        <f t="shared" si="43"/>
        <v>N/A</v>
      </c>
      <c r="AV30" s="146">
        <f t="shared" si="43"/>
        <v>0</v>
      </c>
      <c r="AW30" s="146">
        <f t="shared" si="53"/>
        <v>0</v>
      </c>
      <c r="AX30" s="146">
        <f t="shared" ca="1" si="54"/>
        <v>0</v>
      </c>
      <c r="AY30" s="146">
        <f t="shared" ca="1" si="55"/>
        <v>0</v>
      </c>
      <c r="AZ30" s="147"/>
      <c r="BA30" s="144" t="s">
        <v>140</v>
      </c>
      <c r="BB30" s="144" t="s">
        <v>140</v>
      </c>
      <c r="BC30" s="144" t="s">
        <v>141</v>
      </c>
      <c r="BD30" s="144" t="s">
        <v>140</v>
      </c>
      <c r="BE30" s="146">
        <v>1.1000000000000001</v>
      </c>
      <c r="BF30" s="148"/>
      <c r="BG30" s="146"/>
      <c r="BH30" s="117"/>
      <c r="BI30" s="117"/>
      <c r="BJ30" s="149"/>
      <c r="BK30" s="150" t="s">
        <v>149</v>
      </c>
      <c r="BL30" s="151">
        <v>0</v>
      </c>
      <c r="BM30" s="151">
        <v>0</v>
      </c>
      <c r="BN30" s="151">
        <v>0</v>
      </c>
      <c r="BO30" s="151">
        <v>1</v>
      </c>
      <c r="BP30" s="151">
        <v>0</v>
      </c>
      <c r="BQ30" s="151">
        <v>0</v>
      </c>
      <c r="BR30" s="151">
        <v>0</v>
      </c>
      <c r="BS30" s="117" t="s">
        <v>150</v>
      </c>
      <c r="BT30" s="117"/>
      <c r="BU30" s="155"/>
      <c r="BV30" s="117"/>
      <c r="BW30" s="117"/>
      <c r="BX30" s="149"/>
      <c r="BY30" s="117"/>
      <c r="BZ30" s="117"/>
      <c r="CA30" s="117"/>
      <c r="CB30" s="117">
        <f t="shared" si="56"/>
        <v>1</v>
      </c>
    </row>
    <row r="31" spans="1:80" ht="16.5" hidden="1" customHeight="1">
      <c r="A31" s="117">
        <v>38</v>
      </c>
      <c r="B31" s="154" t="s">
        <v>181</v>
      </c>
      <c r="C31" s="154" t="s">
        <v>892</v>
      </c>
      <c r="D31" s="154" t="s">
        <v>13</v>
      </c>
      <c r="E31" s="154" t="s">
        <v>176</v>
      </c>
      <c r="F31" s="154" t="s">
        <v>191</v>
      </c>
      <c r="G31" s="154" t="s">
        <v>178</v>
      </c>
      <c r="H31" s="146">
        <v>973</v>
      </c>
      <c r="I31" s="147" t="s">
        <v>147</v>
      </c>
      <c r="J31" s="144">
        <v>1</v>
      </c>
      <c r="K31" s="145">
        <f t="shared" si="38"/>
        <v>1</v>
      </c>
      <c r="L31" s="144">
        <f t="shared" si="39"/>
        <v>1</v>
      </c>
      <c r="M31" s="146">
        <v>30.5</v>
      </c>
      <c r="N31" s="146">
        <f t="shared" si="40"/>
        <v>30.5</v>
      </c>
      <c r="O31" s="146" t="s">
        <v>137</v>
      </c>
      <c r="P31" s="146" t="s">
        <v>13</v>
      </c>
      <c r="Q31" s="146" t="s">
        <v>148</v>
      </c>
      <c r="R31" s="146"/>
      <c r="S31" s="146"/>
      <c r="T31" s="146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0</v>
      </c>
      <c r="U31" s="146">
        <f t="shared" ca="1" si="41"/>
        <v>1</v>
      </c>
      <c r="V31" s="146">
        <f t="shared" ca="1" si="42"/>
        <v>0</v>
      </c>
      <c r="W31" s="146"/>
      <c r="X31" s="146"/>
      <c r="Y31" s="146"/>
      <c r="Z31" s="146"/>
      <c r="AA31" s="146"/>
      <c r="AB31" s="146"/>
      <c r="AC31" s="146">
        <v>0.4</v>
      </c>
      <c r="AD31" s="117" t="s">
        <v>142</v>
      </c>
      <c r="AE31" s="148"/>
      <c r="AF31" s="146" t="str">
        <f t="shared" si="43"/>
        <v>N/A</v>
      </c>
      <c r="AG31" s="146">
        <f t="shared" si="43"/>
        <v>0</v>
      </c>
      <c r="AH31" s="146">
        <f t="shared" si="44"/>
        <v>0</v>
      </c>
      <c r="AI31" s="146">
        <f t="shared" ca="1" si="45"/>
        <v>0</v>
      </c>
      <c r="AJ31" s="146">
        <f t="shared" ca="1" si="46"/>
        <v>0</v>
      </c>
      <c r="AK31" s="146" t="str">
        <f t="shared" si="43"/>
        <v>N/A</v>
      </c>
      <c r="AL31" s="146">
        <f t="shared" si="43"/>
        <v>0</v>
      </c>
      <c r="AM31" s="146">
        <f t="shared" si="47"/>
        <v>0</v>
      </c>
      <c r="AN31" s="146">
        <f t="shared" ca="1" si="48"/>
        <v>0</v>
      </c>
      <c r="AO31" s="146">
        <f t="shared" ca="1" si="49"/>
        <v>0</v>
      </c>
      <c r="AP31" s="146" t="str">
        <f t="shared" si="43"/>
        <v>AMC 2-S3</v>
      </c>
      <c r="AQ31" s="146">
        <f t="shared" si="43"/>
        <v>1</v>
      </c>
      <c r="AR31" s="146">
        <f t="shared" si="50"/>
        <v>1</v>
      </c>
      <c r="AS31" s="146">
        <f t="shared" ca="1" si="51"/>
        <v>0</v>
      </c>
      <c r="AT31" s="146">
        <f t="shared" ca="1" si="52"/>
        <v>1</v>
      </c>
      <c r="AU31" s="146" t="str">
        <f t="shared" si="43"/>
        <v>N/A</v>
      </c>
      <c r="AV31" s="146">
        <f t="shared" si="43"/>
        <v>0</v>
      </c>
      <c r="AW31" s="146">
        <f t="shared" si="53"/>
        <v>0</v>
      </c>
      <c r="AX31" s="146">
        <f t="shared" ca="1" si="54"/>
        <v>0</v>
      </c>
      <c r="AY31" s="146">
        <f t="shared" ca="1" si="55"/>
        <v>0</v>
      </c>
      <c r="AZ31" s="147"/>
      <c r="BA31" s="144" t="s">
        <v>140</v>
      </c>
      <c r="BB31" s="144" t="s">
        <v>140</v>
      </c>
      <c r="BC31" s="144" t="s">
        <v>141</v>
      </c>
      <c r="BD31" s="144" t="s">
        <v>140</v>
      </c>
      <c r="BE31" s="146">
        <v>0.4</v>
      </c>
      <c r="BF31" s="148"/>
      <c r="BG31" s="146"/>
      <c r="BH31" s="117"/>
      <c r="BI31" s="117"/>
      <c r="BJ31" s="149"/>
      <c r="BK31" s="150" t="s">
        <v>149</v>
      </c>
      <c r="BL31" s="151">
        <v>0</v>
      </c>
      <c r="BM31" s="151">
        <v>0</v>
      </c>
      <c r="BN31" s="151">
        <v>0</v>
      </c>
      <c r="BO31" s="151">
        <v>1</v>
      </c>
      <c r="BP31" s="151">
        <v>0</v>
      </c>
      <c r="BQ31" s="151">
        <v>0</v>
      </c>
      <c r="BR31" s="151">
        <v>0</v>
      </c>
      <c r="BS31" s="117" t="s">
        <v>150</v>
      </c>
      <c r="BT31" s="117"/>
      <c r="BU31" s="155"/>
      <c r="BV31" s="117"/>
      <c r="BW31" s="117"/>
      <c r="BX31" s="149"/>
      <c r="BY31" s="117"/>
      <c r="BZ31" s="117"/>
      <c r="CA31" s="117"/>
      <c r="CB31" s="117">
        <f t="shared" si="56"/>
        <v>1</v>
      </c>
    </row>
    <row r="32" spans="1:80" ht="16.5" hidden="1" customHeight="1">
      <c r="A32" s="117">
        <v>39</v>
      </c>
      <c r="B32" s="154" t="s">
        <v>181</v>
      </c>
      <c r="C32" s="154" t="s">
        <v>892</v>
      </c>
      <c r="D32" s="154" t="s">
        <v>13</v>
      </c>
      <c r="E32" s="154" t="s">
        <v>179</v>
      </c>
      <c r="F32" s="154" t="s">
        <v>192</v>
      </c>
      <c r="G32" s="154" t="s">
        <v>178</v>
      </c>
      <c r="H32" s="146">
        <v>1051</v>
      </c>
      <c r="I32" s="147" t="s">
        <v>147</v>
      </c>
      <c r="J32" s="144">
        <v>1</v>
      </c>
      <c r="K32" s="145">
        <f t="shared" si="38"/>
        <v>1</v>
      </c>
      <c r="L32" s="144">
        <f t="shared" si="39"/>
        <v>1</v>
      </c>
      <c r="M32" s="146">
        <v>32.9</v>
      </c>
      <c r="N32" s="146">
        <f t="shared" si="40"/>
        <v>32.9</v>
      </c>
      <c r="O32" s="146" t="s">
        <v>137</v>
      </c>
      <c r="P32" s="146" t="s">
        <v>13</v>
      </c>
      <c r="Q32" s="146" t="s">
        <v>148</v>
      </c>
      <c r="R32" s="146"/>
      <c r="S32" s="146"/>
      <c r="T32" s="146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0</v>
      </c>
      <c r="U32" s="146">
        <f t="shared" ca="1" si="41"/>
        <v>1</v>
      </c>
      <c r="V32" s="146">
        <f t="shared" ca="1" si="42"/>
        <v>0</v>
      </c>
      <c r="W32" s="146"/>
      <c r="X32" s="146"/>
      <c r="Y32" s="146"/>
      <c r="Z32" s="146"/>
      <c r="AA32" s="146"/>
      <c r="AB32" s="146"/>
      <c r="AC32" s="146">
        <v>0.5</v>
      </c>
      <c r="AD32" s="117" t="s">
        <v>142</v>
      </c>
      <c r="AE32" s="148"/>
      <c r="AF32" s="146" t="str">
        <f t="shared" si="43"/>
        <v>N/A</v>
      </c>
      <c r="AG32" s="146">
        <f t="shared" si="43"/>
        <v>0</v>
      </c>
      <c r="AH32" s="146">
        <f t="shared" si="44"/>
        <v>0</v>
      </c>
      <c r="AI32" s="146">
        <f t="shared" ca="1" si="45"/>
        <v>0</v>
      </c>
      <c r="AJ32" s="146">
        <f t="shared" ca="1" si="46"/>
        <v>0</v>
      </c>
      <c r="AK32" s="146" t="str">
        <f t="shared" si="43"/>
        <v>N/A</v>
      </c>
      <c r="AL32" s="146">
        <f t="shared" si="43"/>
        <v>0</v>
      </c>
      <c r="AM32" s="146">
        <f t="shared" si="47"/>
        <v>0</v>
      </c>
      <c r="AN32" s="146">
        <f t="shared" ca="1" si="48"/>
        <v>0</v>
      </c>
      <c r="AO32" s="146">
        <f t="shared" ca="1" si="49"/>
        <v>0</v>
      </c>
      <c r="AP32" s="146" t="str">
        <f t="shared" si="43"/>
        <v>AMC 2-S3</v>
      </c>
      <c r="AQ32" s="146">
        <f t="shared" si="43"/>
        <v>1</v>
      </c>
      <c r="AR32" s="146">
        <f t="shared" si="50"/>
        <v>1</v>
      </c>
      <c r="AS32" s="146">
        <f t="shared" ca="1" si="51"/>
        <v>0</v>
      </c>
      <c r="AT32" s="146">
        <f t="shared" ca="1" si="52"/>
        <v>1</v>
      </c>
      <c r="AU32" s="146" t="str">
        <f t="shared" si="43"/>
        <v>N/A</v>
      </c>
      <c r="AV32" s="146">
        <f t="shared" si="43"/>
        <v>0</v>
      </c>
      <c r="AW32" s="146">
        <f t="shared" si="53"/>
        <v>0</v>
      </c>
      <c r="AX32" s="146">
        <f t="shared" ca="1" si="54"/>
        <v>0</v>
      </c>
      <c r="AY32" s="146">
        <f t="shared" ca="1" si="55"/>
        <v>0</v>
      </c>
      <c r="AZ32" s="147"/>
      <c r="BA32" s="144" t="s">
        <v>140</v>
      </c>
      <c r="BB32" s="144" t="s">
        <v>140</v>
      </c>
      <c r="BC32" s="144" t="s">
        <v>141</v>
      </c>
      <c r="BD32" s="144" t="s">
        <v>140</v>
      </c>
      <c r="BE32" s="146">
        <v>0.5</v>
      </c>
      <c r="BF32" s="148"/>
      <c r="BG32" s="146"/>
      <c r="BH32" s="117"/>
      <c r="BI32" s="117"/>
      <c r="BJ32" s="149"/>
      <c r="BK32" s="150" t="s">
        <v>149</v>
      </c>
      <c r="BL32" s="151">
        <v>0</v>
      </c>
      <c r="BM32" s="151">
        <v>0</v>
      </c>
      <c r="BN32" s="151">
        <v>0</v>
      </c>
      <c r="BO32" s="151">
        <v>1</v>
      </c>
      <c r="BP32" s="151">
        <v>0</v>
      </c>
      <c r="BQ32" s="151">
        <v>0</v>
      </c>
      <c r="BR32" s="151">
        <v>0</v>
      </c>
      <c r="BS32" s="117" t="s">
        <v>150</v>
      </c>
      <c r="BT32" s="117"/>
      <c r="BU32" s="155"/>
      <c r="BV32" s="117"/>
      <c r="BW32" s="117"/>
      <c r="BX32" s="149"/>
      <c r="BY32" s="117"/>
      <c r="BZ32" s="117"/>
      <c r="CA32" s="117"/>
      <c r="CB32" s="117">
        <f t="shared" si="56"/>
        <v>1</v>
      </c>
    </row>
    <row r="33" spans="1:80" ht="16.5" hidden="1" customHeight="1">
      <c r="A33" s="117">
        <v>40</v>
      </c>
      <c r="B33" s="154" t="s">
        <v>181</v>
      </c>
      <c r="C33" s="154" t="s">
        <v>892</v>
      </c>
      <c r="D33" s="154" t="s">
        <v>13</v>
      </c>
      <c r="E33" s="154" t="s">
        <v>193</v>
      </c>
      <c r="F33" s="154" t="s">
        <v>194</v>
      </c>
      <c r="G33" s="154" t="s">
        <v>173</v>
      </c>
      <c r="H33" s="146">
        <v>2921</v>
      </c>
      <c r="I33" s="147" t="s">
        <v>147</v>
      </c>
      <c r="J33" s="144">
        <v>1</v>
      </c>
      <c r="K33" s="145">
        <f t="shared" si="38"/>
        <v>1</v>
      </c>
      <c r="L33" s="144">
        <f t="shared" si="39"/>
        <v>1</v>
      </c>
      <c r="M33" s="146">
        <v>54.9</v>
      </c>
      <c r="N33" s="146">
        <f t="shared" si="40"/>
        <v>54.9</v>
      </c>
      <c r="O33" s="146" t="s">
        <v>137</v>
      </c>
      <c r="P33" s="146" t="s">
        <v>13</v>
      </c>
      <c r="Q33" s="146" t="s">
        <v>148</v>
      </c>
      <c r="R33" s="146"/>
      <c r="S33" s="146"/>
      <c r="T33" s="146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0</v>
      </c>
      <c r="U33" s="146">
        <f t="shared" ca="1" si="41"/>
        <v>1</v>
      </c>
      <c r="V33" s="146">
        <f t="shared" ca="1" si="42"/>
        <v>0</v>
      </c>
      <c r="W33" s="146"/>
      <c r="X33" s="146"/>
      <c r="Y33" s="146"/>
      <c r="Z33" s="146"/>
      <c r="AA33" s="146"/>
      <c r="AB33" s="146"/>
      <c r="AC33" s="146">
        <v>1.2</v>
      </c>
      <c r="AD33" s="117" t="s">
        <v>142</v>
      </c>
      <c r="AE33" s="148"/>
      <c r="AF33" s="146" t="str">
        <f t="shared" si="43"/>
        <v>N/A</v>
      </c>
      <c r="AG33" s="146">
        <f t="shared" si="43"/>
        <v>0</v>
      </c>
      <c r="AH33" s="146">
        <f t="shared" si="44"/>
        <v>0</v>
      </c>
      <c r="AI33" s="146">
        <f t="shared" ca="1" si="45"/>
        <v>0</v>
      </c>
      <c r="AJ33" s="146">
        <f t="shared" ca="1" si="46"/>
        <v>0</v>
      </c>
      <c r="AK33" s="146" t="str">
        <f t="shared" si="43"/>
        <v>N/A</v>
      </c>
      <c r="AL33" s="146">
        <f t="shared" si="43"/>
        <v>0</v>
      </c>
      <c r="AM33" s="146">
        <f t="shared" si="47"/>
        <v>0</v>
      </c>
      <c r="AN33" s="146">
        <f t="shared" ca="1" si="48"/>
        <v>0</v>
      </c>
      <c r="AO33" s="146">
        <f t="shared" ca="1" si="49"/>
        <v>0</v>
      </c>
      <c r="AP33" s="146" t="str">
        <f t="shared" si="43"/>
        <v>AMC 2-S3</v>
      </c>
      <c r="AQ33" s="146">
        <f t="shared" si="43"/>
        <v>1</v>
      </c>
      <c r="AR33" s="146">
        <f t="shared" si="50"/>
        <v>1</v>
      </c>
      <c r="AS33" s="146">
        <f t="shared" ca="1" si="51"/>
        <v>0</v>
      </c>
      <c r="AT33" s="146">
        <f t="shared" ca="1" si="52"/>
        <v>1</v>
      </c>
      <c r="AU33" s="146" t="str">
        <f t="shared" si="43"/>
        <v>N/A</v>
      </c>
      <c r="AV33" s="146">
        <f t="shared" si="43"/>
        <v>0</v>
      </c>
      <c r="AW33" s="146">
        <f t="shared" si="53"/>
        <v>0</v>
      </c>
      <c r="AX33" s="146">
        <f t="shared" ca="1" si="54"/>
        <v>0</v>
      </c>
      <c r="AY33" s="146">
        <f t="shared" ca="1" si="55"/>
        <v>0</v>
      </c>
      <c r="AZ33" s="147"/>
      <c r="BA33" s="144" t="s">
        <v>140</v>
      </c>
      <c r="BB33" s="144" t="s">
        <v>140</v>
      </c>
      <c r="BC33" s="144" t="s">
        <v>141</v>
      </c>
      <c r="BD33" s="144" t="s">
        <v>140</v>
      </c>
      <c r="BE33" s="146">
        <v>1.2</v>
      </c>
      <c r="BF33" s="148"/>
      <c r="BG33" s="146"/>
      <c r="BH33" s="117"/>
      <c r="BI33" s="117"/>
      <c r="BJ33" s="149"/>
      <c r="BK33" s="150" t="s">
        <v>149</v>
      </c>
      <c r="BL33" s="151">
        <v>0</v>
      </c>
      <c r="BM33" s="151">
        <v>0</v>
      </c>
      <c r="BN33" s="151">
        <v>0</v>
      </c>
      <c r="BO33" s="151">
        <v>1</v>
      </c>
      <c r="BP33" s="151">
        <v>0</v>
      </c>
      <c r="BQ33" s="151">
        <v>0</v>
      </c>
      <c r="BR33" s="151">
        <v>0</v>
      </c>
      <c r="BS33" s="117" t="s">
        <v>150</v>
      </c>
      <c r="BT33" s="117"/>
      <c r="BU33" s="155"/>
      <c r="BV33" s="117"/>
      <c r="BW33" s="117"/>
      <c r="BX33" s="149"/>
      <c r="BY33" s="117"/>
      <c r="BZ33" s="117"/>
      <c r="CA33" s="117"/>
      <c r="CB33" s="117">
        <f t="shared" si="56"/>
        <v>1</v>
      </c>
    </row>
    <row r="34" spans="1:80" ht="16.5" hidden="1" customHeight="1">
      <c r="A34" s="133">
        <v>46</v>
      </c>
      <c r="B34" s="134" t="s">
        <v>195</v>
      </c>
      <c r="C34" s="134" t="s">
        <v>893</v>
      </c>
      <c r="D34" s="134"/>
      <c r="E34" s="134" t="s">
        <v>136</v>
      </c>
      <c r="F34" s="134"/>
      <c r="G34" s="134"/>
      <c r="H34" s="135"/>
      <c r="I34" s="136"/>
      <c r="J34" s="137" t="s">
        <v>136</v>
      </c>
      <c r="K34" s="138">
        <f>+AG34+AL34+AQ34+AV34</f>
        <v>6</v>
      </c>
      <c r="L34" s="137" t="s">
        <v>136</v>
      </c>
      <c r="M34" s="135"/>
      <c r="N34" s="135">
        <v>10052.9</v>
      </c>
      <c r="O34" s="135" t="s">
        <v>137</v>
      </c>
      <c r="P34" s="135"/>
      <c r="Q34" s="135"/>
      <c r="R34" s="135"/>
      <c r="S34" s="135"/>
      <c r="T34" s="135"/>
      <c r="U34" s="135"/>
      <c r="V34" s="135"/>
      <c r="W34" s="135">
        <f ca="1">_xlfn.MINIFS(V:V,C:C,C34,AE:AE,"",AB:AB,"")</f>
        <v>0</v>
      </c>
      <c r="X34" s="135">
        <f ca="1">SUMIFS(T:T,C:C,C34,AE:AE,"")/SUMIFS(L:L,C:C,C34,AE:AE,"",AB:AB,"")</f>
        <v>0.8</v>
      </c>
      <c r="Y34" s="135"/>
      <c r="Z34" s="135"/>
      <c r="AA34" s="135"/>
      <c r="AB34" s="135"/>
      <c r="AC34" s="135">
        <v>213.6</v>
      </c>
      <c r="AD34" s="133" t="s">
        <v>196</v>
      </c>
      <c r="AE34" s="133" t="s">
        <v>143</v>
      </c>
      <c r="AF34" s="135" t="s">
        <v>139</v>
      </c>
      <c r="AG34" s="135">
        <v>6</v>
      </c>
      <c r="AH34" s="135"/>
      <c r="AI34" s="135"/>
      <c r="AJ34" s="135"/>
      <c r="AK34" s="135" t="s">
        <v>138</v>
      </c>
      <c r="AL34" s="135">
        <v>0</v>
      </c>
      <c r="AM34" s="135"/>
      <c r="AN34" s="135"/>
      <c r="AO34" s="135"/>
      <c r="AP34" s="135" t="s">
        <v>138</v>
      </c>
      <c r="AQ34" s="135">
        <v>0</v>
      </c>
      <c r="AR34" s="135"/>
      <c r="AS34" s="135"/>
      <c r="AT34" s="135"/>
      <c r="AU34" s="135" t="s">
        <v>138</v>
      </c>
      <c r="AV34" s="135">
        <v>0</v>
      </c>
      <c r="AW34" s="135"/>
      <c r="AX34" s="135"/>
      <c r="AY34" s="135"/>
      <c r="AZ34" s="136"/>
      <c r="BA34" s="137" t="s">
        <v>141</v>
      </c>
      <c r="BB34" s="137" t="s">
        <v>140</v>
      </c>
      <c r="BC34" s="137" t="s">
        <v>140</v>
      </c>
      <c r="BD34" s="137" t="s">
        <v>140</v>
      </c>
      <c r="BE34" s="135">
        <v>35.6</v>
      </c>
      <c r="BF34" s="133"/>
      <c r="BG34" s="135"/>
      <c r="BH34" s="133"/>
      <c r="BI34" s="139"/>
      <c r="BJ34" s="140"/>
      <c r="BK34" s="140"/>
      <c r="BL34" s="133"/>
      <c r="BM34" s="139"/>
      <c r="BN34" s="139"/>
      <c r="BO34" s="139"/>
      <c r="BP34" s="139"/>
      <c r="BQ34" s="139"/>
      <c r="BR34" s="139"/>
      <c r="BS34" s="133"/>
      <c r="BT34" s="139"/>
      <c r="BU34" s="139"/>
      <c r="BV34" s="139"/>
      <c r="BW34" s="139"/>
      <c r="BX34" s="140"/>
      <c r="BY34" s="139"/>
      <c r="BZ34" s="139"/>
      <c r="CA34" s="139"/>
      <c r="CB34" s="133"/>
    </row>
    <row r="35" spans="1:80" ht="16.5" hidden="1" customHeight="1">
      <c r="A35" s="117">
        <v>47</v>
      </c>
      <c r="B35" s="154" t="s">
        <v>195</v>
      </c>
      <c r="C35" s="154" t="s">
        <v>893</v>
      </c>
      <c r="D35" s="154" t="s">
        <v>13</v>
      </c>
      <c r="E35" s="154" t="s">
        <v>197</v>
      </c>
      <c r="F35" s="154" t="s">
        <v>198</v>
      </c>
      <c r="G35" s="154" t="s">
        <v>199</v>
      </c>
      <c r="H35" s="146">
        <v>2254</v>
      </c>
      <c r="I35" s="147" t="s">
        <v>147</v>
      </c>
      <c r="J35" s="144">
        <v>1</v>
      </c>
      <c r="K35" s="145">
        <f t="shared" ref="K35:K38" si="57">K34</f>
        <v>6</v>
      </c>
      <c r="L35" s="144">
        <f t="shared" ref="L35:L38" si="58">+K35*J35</f>
        <v>6</v>
      </c>
      <c r="M35" s="146">
        <v>58.3</v>
      </c>
      <c r="N35" s="146">
        <f t="shared" ref="N35:N38" si="59">+M35*L35</f>
        <v>349.79999999999995</v>
      </c>
      <c r="O35" s="146" t="s">
        <v>137</v>
      </c>
      <c r="P35" s="146" t="s">
        <v>13</v>
      </c>
      <c r="Q35" s="146" t="s">
        <v>148</v>
      </c>
      <c r="R35" s="146"/>
      <c r="S35" s="146"/>
      <c r="T35" s="146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6</v>
      </c>
      <c r="U35" s="146">
        <f t="shared" ref="U35:U38" ca="1" si="60">+L35-T35</f>
        <v>0</v>
      </c>
      <c r="V35" s="146">
        <f t="shared" ref="V35:V38" ca="1" si="61">ROUNDDOWN(T35/J35,0)</f>
        <v>6</v>
      </c>
      <c r="W35" s="146"/>
      <c r="X35" s="146"/>
      <c r="Y35" s="146"/>
      <c r="Z35" s="146"/>
      <c r="AA35" s="146"/>
      <c r="AB35" s="146"/>
      <c r="AC35" s="146">
        <v>1.1000000000000001</v>
      </c>
      <c r="AD35" s="117" t="s">
        <v>196</v>
      </c>
      <c r="AE35" s="148"/>
      <c r="AF35" s="146" t="str">
        <f t="shared" ref="AF35:AV38" si="62">AF34</f>
        <v>AMC 2-S3</v>
      </c>
      <c r="AG35" s="146">
        <f t="shared" si="62"/>
        <v>6</v>
      </c>
      <c r="AH35" s="146">
        <f t="shared" ref="AH35:AH38" si="63">+AG35*J35</f>
        <v>6</v>
      </c>
      <c r="AI35" s="146">
        <f t="shared" ref="AI35:AI38" ca="1" si="64">MIN(T35,AH35)</f>
        <v>6</v>
      </c>
      <c r="AJ35" s="146">
        <f t="shared" ref="AJ35:AJ38" ca="1" si="65">+AH35-AI35</f>
        <v>0</v>
      </c>
      <c r="AK35" s="146" t="str">
        <f t="shared" si="62"/>
        <v>N/A</v>
      </c>
      <c r="AL35" s="146">
        <f t="shared" si="62"/>
        <v>0</v>
      </c>
      <c r="AM35" s="146">
        <f t="shared" ref="AM35:AM38" si="66">+AL35*J35</f>
        <v>0</v>
      </c>
      <c r="AN35" s="146">
        <f t="shared" ref="AN35:AN38" ca="1" si="67">MIN(T35-AI35,AL35)</f>
        <v>0</v>
      </c>
      <c r="AO35" s="146">
        <f t="shared" ref="AO35:AO38" ca="1" si="68">+AM35-AN35</f>
        <v>0</v>
      </c>
      <c r="AP35" s="146" t="str">
        <f t="shared" si="62"/>
        <v>N/A</v>
      </c>
      <c r="AQ35" s="146">
        <f t="shared" si="62"/>
        <v>0</v>
      </c>
      <c r="AR35" s="146">
        <f t="shared" ref="AR35:AR38" si="69">+AQ35*J35</f>
        <v>0</v>
      </c>
      <c r="AS35" s="146">
        <f t="shared" ref="AS35:AS38" ca="1" si="70">MIN(T35-AI35-AN35,AR35)</f>
        <v>0</v>
      </c>
      <c r="AT35" s="146">
        <f t="shared" ref="AT35:AT38" ca="1" si="71">+AR35-AS35</f>
        <v>0</v>
      </c>
      <c r="AU35" s="146" t="str">
        <f t="shared" si="62"/>
        <v>N/A</v>
      </c>
      <c r="AV35" s="146">
        <f t="shared" si="62"/>
        <v>0</v>
      </c>
      <c r="AW35" s="146">
        <f t="shared" ref="AW35:AW38" si="72">+AV35*J35</f>
        <v>0</v>
      </c>
      <c r="AX35" s="146">
        <f t="shared" ref="AX35:AX38" ca="1" si="73">MIN(T35-AI35-AN35-AS35,AW35)</f>
        <v>0</v>
      </c>
      <c r="AY35" s="146">
        <f t="shared" ref="AY35:AY38" ca="1" si="74">+AW35-AX35</f>
        <v>0</v>
      </c>
      <c r="AZ35" s="147"/>
      <c r="BA35" s="144" t="s">
        <v>141</v>
      </c>
      <c r="BB35" s="144" t="s">
        <v>140</v>
      </c>
      <c r="BC35" s="144" t="s">
        <v>140</v>
      </c>
      <c r="BD35" s="144" t="s">
        <v>140</v>
      </c>
      <c r="BE35" s="146">
        <v>1.1000000000000001</v>
      </c>
      <c r="BF35" s="148"/>
      <c r="BG35" s="146"/>
      <c r="BH35" s="117"/>
      <c r="BI35" s="117"/>
      <c r="BJ35" s="149"/>
      <c r="BK35" s="149"/>
      <c r="BL35" s="117">
        <v>0</v>
      </c>
      <c r="BM35" s="117">
        <v>0</v>
      </c>
      <c r="BN35" s="117">
        <v>0</v>
      </c>
      <c r="BO35" s="117">
        <v>1</v>
      </c>
      <c r="BP35" s="117">
        <v>0</v>
      </c>
      <c r="BQ35" s="117">
        <v>0</v>
      </c>
      <c r="BR35" s="117">
        <v>0</v>
      </c>
      <c r="BS35" s="117" t="s">
        <v>150</v>
      </c>
      <c r="BT35" s="158" t="s">
        <v>200</v>
      </c>
      <c r="BU35" s="117"/>
      <c r="BV35" s="117" t="s">
        <v>201</v>
      </c>
      <c r="BW35" s="117">
        <v>6</v>
      </c>
      <c r="BX35" s="149">
        <v>46201</v>
      </c>
      <c r="BY35" s="117"/>
      <c r="BZ35" s="117"/>
      <c r="CA35" s="117"/>
      <c r="CB35" s="117">
        <f>+L35-BW35</f>
        <v>0</v>
      </c>
    </row>
    <row r="36" spans="1:80" ht="16.5" hidden="1" customHeight="1">
      <c r="A36" s="117">
        <v>48</v>
      </c>
      <c r="B36" s="154" t="s">
        <v>195</v>
      </c>
      <c r="C36" s="154" t="s">
        <v>893</v>
      </c>
      <c r="D36" s="154" t="s">
        <v>13</v>
      </c>
      <c r="E36" s="154" t="s">
        <v>202</v>
      </c>
      <c r="F36" s="154" t="s">
        <v>203</v>
      </c>
      <c r="G36" s="154" t="s">
        <v>204</v>
      </c>
      <c r="H36" s="146">
        <v>2264</v>
      </c>
      <c r="I36" s="147" t="s">
        <v>147</v>
      </c>
      <c r="J36" s="144">
        <v>2</v>
      </c>
      <c r="K36" s="145">
        <f t="shared" si="57"/>
        <v>6</v>
      </c>
      <c r="L36" s="144">
        <f t="shared" si="58"/>
        <v>12</v>
      </c>
      <c r="M36" s="146">
        <v>53.2</v>
      </c>
      <c r="N36" s="146">
        <f t="shared" si="59"/>
        <v>638.40000000000009</v>
      </c>
      <c r="O36" s="146" t="s">
        <v>137</v>
      </c>
      <c r="P36" s="146" t="s">
        <v>13</v>
      </c>
      <c r="Q36" s="146" t="s">
        <v>148</v>
      </c>
      <c r="R36" s="146"/>
      <c r="S36" s="146"/>
      <c r="T36" s="146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12</v>
      </c>
      <c r="U36" s="146">
        <f t="shared" ca="1" si="60"/>
        <v>0</v>
      </c>
      <c r="V36" s="146">
        <f t="shared" ca="1" si="61"/>
        <v>6</v>
      </c>
      <c r="W36" s="146"/>
      <c r="X36" s="146"/>
      <c r="Y36" s="146"/>
      <c r="Z36" s="146"/>
      <c r="AA36" s="146"/>
      <c r="AB36" s="146"/>
      <c r="AC36" s="146">
        <v>2</v>
      </c>
      <c r="AD36" s="117" t="s">
        <v>196</v>
      </c>
      <c r="AE36" s="148"/>
      <c r="AF36" s="146" t="str">
        <f t="shared" si="62"/>
        <v>AMC 2-S3</v>
      </c>
      <c r="AG36" s="146">
        <f t="shared" si="62"/>
        <v>6</v>
      </c>
      <c r="AH36" s="146">
        <f t="shared" si="63"/>
        <v>12</v>
      </c>
      <c r="AI36" s="146">
        <f t="shared" ca="1" si="64"/>
        <v>12</v>
      </c>
      <c r="AJ36" s="146">
        <f t="shared" ca="1" si="65"/>
        <v>0</v>
      </c>
      <c r="AK36" s="146" t="str">
        <f t="shared" si="62"/>
        <v>N/A</v>
      </c>
      <c r="AL36" s="146">
        <f t="shared" si="62"/>
        <v>0</v>
      </c>
      <c r="AM36" s="146">
        <f t="shared" si="66"/>
        <v>0</v>
      </c>
      <c r="AN36" s="146">
        <f t="shared" ca="1" si="67"/>
        <v>0</v>
      </c>
      <c r="AO36" s="146">
        <f t="shared" ca="1" si="68"/>
        <v>0</v>
      </c>
      <c r="AP36" s="146" t="str">
        <f t="shared" si="62"/>
        <v>N/A</v>
      </c>
      <c r="AQ36" s="146">
        <f t="shared" si="62"/>
        <v>0</v>
      </c>
      <c r="AR36" s="146">
        <f t="shared" si="69"/>
        <v>0</v>
      </c>
      <c r="AS36" s="146">
        <f t="shared" ca="1" si="70"/>
        <v>0</v>
      </c>
      <c r="AT36" s="146">
        <f t="shared" ca="1" si="71"/>
        <v>0</v>
      </c>
      <c r="AU36" s="146" t="str">
        <f t="shared" si="62"/>
        <v>N/A</v>
      </c>
      <c r="AV36" s="146">
        <f t="shared" si="62"/>
        <v>0</v>
      </c>
      <c r="AW36" s="146">
        <f t="shared" si="72"/>
        <v>0</v>
      </c>
      <c r="AX36" s="146">
        <f t="shared" ca="1" si="73"/>
        <v>0</v>
      </c>
      <c r="AY36" s="146">
        <f t="shared" ca="1" si="74"/>
        <v>0</v>
      </c>
      <c r="AZ36" s="147"/>
      <c r="BA36" s="144" t="s">
        <v>141</v>
      </c>
      <c r="BB36" s="144" t="s">
        <v>140</v>
      </c>
      <c r="BC36" s="144" t="s">
        <v>140</v>
      </c>
      <c r="BD36" s="144" t="s">
        <v>140</v>
      </c>
      <c r="BE36" s="146">
        <v>1</v>
      </c>
      <c r="BF36" s="148"/>
      <c r="BG36" s="146"/>
      <c r="BH36" s="117"/>
      <c r="BI36" s="117"/>
      <c r="BJ36" s="149"/>
      <c r="BK36" s="149"/>
      <c r="BL36" s="117">
        <v>0</v>
      </c>
      <c r="BM36" s="117">
        <v>0</v>
      </c>
      <c r="BN36" s="117">
        <v>0</v>
      </c>
      <c r="BO36" s="117">
        <v>1</v>
      </c>
      <c r="BP36" s="117">
        <v>0</v>
      </c>
      <c r="BQ36" s="117">
        <v>0</v>
      </c>
      <c r="BR36" s="117">
        <v>0</v>
      </c>
      <c r="BS36" s="117" t="s">
        <v>150</v>
      </c>
      <c r="BT36" s="158" t="s">
        <v>200</v>
      </c>
      <c r="BU36" s="117"/>
      <c r="BV36" s="117" t="s">
        <v>201</v>
      </c>
      <c r="BW36" s="117">
        <v>12</v>
      </c>
      <c r="BX36" s="149">
        <v>46201</v>
      </c>
      <c r="BY36" s="117"/>
      <c r="BZ36" s="117"/>
      <c r="CA36" s="117"/>
      <c r="CB36" s="117">
        <f>+L36-BW36</f>
        <v>0</v>
      </c>
    </row>
    <row r="37" spans="1:80" ht="16.5" hidden="1" customHeight="1">
      <c r="A37" s="117">
        <v>49</v>
      </c>
      <c r="B37" s="154" t="s">
        <v>195</v>
      </c>
      <c r="C37" s="154" t="s">
        <v>893</v>
      </c>
      <c r="D37" s="154" t="s">
        <v>13</v>
      </c>
      <c r="E37" s="154" t="s">
        <v>205</v>
      </c>
      <c r="F37" s="154" t="s">
        <v>206</v>
      </c>
      <c r="G37" s="154" t="s">
        <v>207</v>
      </c>
      <c r="H37" s="146">
        <v>7345</v>
      </c>
      <c r="I37" s="147" t="s">
        <v>147</v>
      </c>
      <c r="J37" s="144">
        <v>1</v>
      </c>
      <c r="K37" s="145">
        <f t="shared" si="57"/>
        <v>6</v>
      </c>
      <c r="L37" s="144">
        <f t="shared" si="58"/>
        <v>6</v>
      </c>
      <c r="M37" s="146">
        <v>1481.8</v>
      </c>
      <c r="N37" s="146">
        <f t="shared" si="59"/>
        <v>8890.7999999999993</v>
      </c>
      <c r="O37" s="146" t="s">
        <v>137</v>
      </c>
      <c r="P37" s="146" t="s">
        <v>13</v>
      </c>
      <c r="Q37" s="146" t="s">
        <v>154</v>
      </c>
      <c r="R37" s="146"/>
      <c r="S37" s="146"/>
      <c r="T37" s="146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6</v>
      </c>
      <c r="U37" s="146">
        <f t="shared" ca="1" si="60"/>
        <v>0</v>
      </c>
      <c r="V37" s="146">
        <f t="shared" ca="1" si="61"/>
        <v>6</v>
      </c>
      <c r="W37" s="146"/>
      <c r="X37" s="146"/>
      <c r="Y37" s="146"/>
      <c r="Z37" s="146"/>
      <c r="AA37" s="146"/>
      <c r="AB37" s="146"/>
      <c r="AC37" s="146">
        <v>31.7</v>
      </c>
      <c r="AD37" s="117" t="s">
        <v>196</v>
      </c>
      <c r="AE37" s="148"/>
      <c r="AF37" s="146" t="str">
        <f t="shared" si="62"/>
        <v>AMC 2-S3</v>
      </c>
      <c r="AG37" s="146">
        <f t="shared" si="62"/>
        <v>6</v>
      </c>
      <c r="AH37" s="146">
        <f t="shared" si="63"/>
        <v>6</v>
      </c>
      <c r="AI37" s="146">
        <f t="shared" ca="1" si="64"/>
        <v>6</v>
      </c>
      <c r="AJ37" s="146">
        <f t="shared" ca="1" si="65"/>
        <v>0</v>
      </c>
      <c r="AK37" s="146" t="str">
        <f t="shared" si="62"/>
        <v>N/A</v>
      </c>
      <c r="AL37" s="146">
        <f t="shared" si="62"/>
        <v>0</v>
      </c>
      <c r="AM37" s="146">
        <f t="shared" si="66"/>
        <v>0</v>
      </c>
      <c r="AN37" s="146">
        <f t="shared" ca="1" si="67"/>
        <v>0</v>
      </c>
      <c r="AO37" s="146">
        <f t="shared" ca="1" si="68"/>
        <v>0</v>
      </c>
      <c r="AP37" s="146" t="str">
        <f t="shared" si="62"/>
        <v>N/A</v>
      </c>
      <c r="AQ37" s="146">
        <f t="shared" si="62"/>
        <v>0</v>
      </c>
      <c r="AR37" s="146">
        <f t="shared" si="69"/>
        <v>0</v>
      </c>
      <c r="AS37" s="146">
        <f t="shared" ca="1" si="70"/>
        <v>0</v>
      </c>
      <c r="AT37" s="146">
        <f t="shared" ca="1" si="71"/>
        <v>0</v>
      </c>
      <c r="AU37" s="146" t="str">
        <f t="shared" si="62"/>
        <v>N/A</v>
      </c>
      <c r="AV37" s="146">
        <f t="shared" si="62"/>
        <v>0</v>
      </c>
      <c r="AW37" s="146">
        <f t="shared" si="72"/>
        <v>0</v>
      </c>
      <c r="AX37" s="146">
        <f t="shared" ca="1" si="73"/>
        <v>0</v>
      </c>
      <c r="AY37" s="146">
        <f t="shared" ca="1" si="74"/>
        <v>0</v>
      </c>
      <c r="AZ37" s="147"/>
      <c r="BA37" s="144" t="s">
        <v>141</v>
      </c>
      <c r="BB37" s="144" t="s">
        <v>140</v>
      </c>
      <c r="BC37" s="144" t="s">
        <v>140</v>
      </c>
      <c r="BD37" s="144" t="s">
        <v>140</v>
      </c>
      <c r="BE37" s="146">
        <v>31.7</v>
      </c>
      <c r="BF37" s="148"/>
      <c r="BG37" s="146"/>
      <c r="BH37" s="117"/>
      <c r="BI37" s="117"/>
      <c r="BJ37" s="149"/>
      <c r="BK37" s="149"/>
      <c r="BL37" s="117">
        <v>0</v>
      </c>
      <c r="BM37" s="117">
        <v>1</v>
      </c>
      <c r="BN37" s="117">
        <v>0</v>
      </c>
      <c r="BO37" s="117">
        <v>1</v>
      </c>
      <c r="BP37" s="117">
        <v>0</v>
      </c>
      <c r="BQ37" s="117">
        <v>0</v>
      </c>
      <c r="BR37" s="117">
        <v>0</v>
      </c>
      <c r="BS37" s="117" t="s">
        <v>150</v>
      </c>
      <c r="BT37" s="117"/>
      <c r="BU37" s="155"/>
      <c r="BV37" s="117" t="s">
        <v>57</v>
      </c>
      <c r="BW37" s="117">
        <v>6</v>
      </c>
      <c r="BX37" s="149"/>
      <c r="BY37" s="117"/>
      <c r="BZ37" s="117"/>
      <c r="CA37" s="117"/>
      <c r="CB37" s="117">
        <f>+L37-BW37</f>
        <v>0</v>
      </c>
    </row>
    <row r="38" spans="1:80" ht="16.5" customHeight="1">
      <c r="A38" s="117">
        <v>50</v>
      </c>
      <c r="B38" s="154" t="s">
        <v>195</v>
      </c>
      <c r="C38" s="154" t="s">
        <v>893</v>
      </c>
      <c r="D38" s="154" t="s">
        <v>13</v>
      </c>
      <c r="E38" s="154" t="s">
        <v>208</v>
      </c>
      <c r="F38" s="154" t="s">
        <v>209</v>
      </c>
      <c r="G38" s="154" t="s">
        <v>146</v>
      </c>
      <c r="H38" s="146">
        <v>7345</v>
      </c>
      <c r="I38" s="147" t="s">
        <v>147</v>
      </c>
      <c r="J38" s="144">
        <v>1</v>
      </c>
      <c r="K38" s="145">
        <f t="shared" si="57"/>
        <v>6</v>
      </c>
      <c r="L38" s="144">
        <f t="shared" si="58"/>
        <v>6</v>
      </c>
      <c r="M38" s="146">
        <v>28.8</v>
      </c>
      <c r="N38" s="146">
        <f t="shared" si="59"/>
        <v>172.8</v>
      </c>
      <c r="O38" s="146" t="s">
        <v>137</v>
      </c>
      <c r="P38" s="146" t="s">
        <v>13</v>
      </c>
      <c r="Q38" s="146" t="s">
        <v>148</v>
      </c>
      <c r="R38" s="146"/>
      <c r="S38" s="146"/>
      <c r="T38" s="146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46">
        <f t="shared" ca="1" si="60"/>
        <v>6</v>
      </c>
      <c r="V38" s="146">
        <f t="shared" ca="1" si="61"/>
        <v>0</v>
      </c>
      <c r="W38" s="146"/>
      <c r="X38" s="146"/>
      <c r="Y38" s="146"/>
      <c r="Z38" s="146"/>
      <c r="AA38" s="146"/>
      <c r="AB38" s="146"/>
      <c r="AC38" s="146">
        <v>0.9</v>
      </c>
      <c r="AD38" s="117" t="s">
        <v>196</v>
      </c>
      <c r="AE38" s="148"/>
      <c r="AF38" s="146" t="str">
        <f t="shared" si="62"/>
        <v>AMC 2-S3</v>
      </c>
      <c r="AG38" s="146">
        <f t="shared" si="62"/>
        <v>6</v>
      </c>
      <c r="AH38" s="146">
        <f t="shared" si="63"/>
        <v>6</v>
      </c>
      <c r="AI38" s="146">
        <f t="shared" ca="1" si="64"/>
        <v>0</v>
      </c>
      <c r="AJ38" s="146">
        <f t="shared" ca="1" si="65"/>
        <v>6</v>
      </c>
      <c r="AK38" s="146" t="str">
        <f t="shared" si="62"/>
        <v>N/A</v>
      </c>
      <c r="AL38" s="146">
        <f t="shared" si="62"/>
        <v>0</v>
      </c>
      <c r="AM38" s="146">
        <f t="shared" si="66"/>
        <v>0</v>
      </c>
      <c r="AN38" s="146">
        <f t="shared" ca="1" si="67"/>
        <v>0</v>
      </c>
      <c r="AO38" s="146">
        <f t="shared" ca="1" si="68"/>
        <v>0</v>
      </c>
      <c r="AP38" s="146" t="str">
        <f t="shared" si="62"/>
        <v>N/A</v>
      </c>
      <c r="AQ38" s="146">
        <f t="shared" si="62"/>
        <v>0</v>
      </c>
      <c r="AR38" s="146">
        <f t="shared" si="69"/>
        <v>0</v>
      </c>
      <c r="AS38" s="146">
        <f t="shared" ca="1" si="70"/>
        <v>0</v>
      </c>
      <c r="AT38" s="146">
        <f t="shared" ca="1" si="71"/>
        <v>0</v>
      </c>
      <c r="AU38" s="146" t="str">
        <f t="shared" si="62"/>
        <v>N/A</v>
      </c>
      <c r="AV38" s="146">
        <f t="shared" si="62"/>
        <v>0</v>
      </c>
      <c r="AW38" s="146">
        <f t="shared" si="72"/>
        <v>0</v>
      </c>
      <c r="AX38" s="146">
        <f t="shared" ca="1" si="73"/>
        <v>0</v>
      </c>
      <c r="AY38" s="146">
        <f t="shared" ca="1" si="74"/>
        <v>0</v>
      </c>
      <c r="AZ38" s="147"/>
      <c r="BA38" s="144" t="s">
        <v>141</v>
      </c>
      <c r="BB38" s="144" t="s">
        <v>140</v>
      </c>
      <c r="BC38" s="144" t="s">
        <v>140</v>
      </c>
      <c r="BD38" s="144" t="s">
        <v>140</v>
      </c>
      <c r="BE38" s="146">
        <v>0.9</v>
      </c>
      <c r="BF38" s="148"/>
      <c r="BG38" s="146"/>
      <c r="BH38" s="117"/>
      <c r="BI38" s="117"/>
      <c r="BJ38" s="149"/>
      <c r="BK38" s="149"/>
      <c r="BL38" s="117">
        <v>0</v>
      </c>
      <c r="BM38" s="117">
        <v>0</v>
      </c>
      <c r="BN38" s="117">
        <v>0</v>
      </c>
      <c r="BO38" s="117">
        <v>0</v>
      </c>
      <c r="BP38" s="117">
        <v>0</v>
      </c>
      <c r="BQ38" s="117">
        <v>0</v>
      </c>
      <c r="BR38" s="117">
        <v>0</v>
      </c>
      <c r="BS38" s="117" t="s">
        <v>150</v>
      </c>
      <c r="BT38" s="158" t="s">
        <v>210</v>
      </c>
      <c r="BU38" s="117"/>
      <c r="BV38" s="117" t="s">
        <v>211</v>
      </c>
      <c r="BW38" s="144">
        <v>6</v>
      </c>
      <c r="BX38" s="149">
        <v>46201</v>
      </c>
      <c r="BY38" s="117"/>
      <c r="BZ38" s="117"/>
      <c r="CA38" s="117"/>
      <c r="CB38" s="117">
        <f>+L38-BW38</f>
        <v>0</v>
      </c>
    </row>
    <row r="39" spans="1:80" ht="16.5" hidden="1" customHeight="1">
      <c r="A39" s="133">
        <v>97</v>
      </c>
      <c r="B39" s="156" t="s">
        <v>212</v>
      </c>
      <c r="C39" s="156" t="s">
        <v>894</v>
      </c>
      <c r="D39" s="156"/>
      <c r="E39" s="156" t="s">
        <v>136</v>
      </c>
      <c r="F39" s="156"/>
      <c r="G39" s="156"/>
      <c r="H39" s="157"/>
      <c r="I39" s="159"/>
      <c r="J39" s="160" t="s">
        <v>136</v>
      </c>
      <c r="K39" s="138">
        <f>+AG39+AL39+AQ39+AV39</f>
        <v>1</v>
      </c>
      <c r="L39" s="160" t="s">
        <v>136</v>
      </c>
      <c r="M39" s="157"/>
      <c r="N39" s="157">
        <v>1437.6</v>
      </c>
      <c r="O39" s="157" t="s">
        <v>137</v>
      </c>
      <c r="P39" s="157"/>
      <c r="Q39" s="157"/>
      <c r="R39" s="157"/>
      <c r="S39" s="157"/>
      <c r="T39" s="157"/>
      <c r="U39" s="157"/>
      <c r="V39" s="157"/>
      <c r="W39" s="135">
        <f ca="1">_xlfn.MINIFS(V:V,C:C,C39,AE:AE,"",AB:AB,"")</f>
        <v>0</v>
      </c>
      <c r="X39" s="135">
        <f ca="1">SUMIFS(T:T,C:C,C39,AE:AE,"")/SUMIFS(L:L,C:C,C39,AE:AE,"",AB:AB,"")</f>
        <v>0</v>
      </c>
      <c r="Y39" s="157"/>
      <c r="Z39" s="157"/>
      <c r="AA39" s="157"/>
      <c r="AB39" s="157"/>
      <c r="AC39" s="157">
        <v>36.700000000000003</v>
      </c>
      <c r="AD39" s="161" t="s">
        <v>142</v>
      </c>
      <c r="AE39" s="162" t="s">
        <v>143</v>
      </c>
      <c r="AF39" s="157" t="s">
        <v>138</v>
      </c>
      <c r="AG39" s="157">
        <v>0</v>
      </c>
      <c r="AH39" s="157"/>
      <c r="AI39" s="157"/>
      <c r="AJ39" s="157"/>
      <c r="AK39" s="157" t="s">
        <v>138</v>
      </c>
      <c r="AL39" s="157">
        <v>0</v>
      </c>
      <c r="AM39" s="157"/>
      <c r="AN39" s="157"/>
      <c r="AO39" s="157"/>
      <c r="AP39" s="157" t="s">
        <v>139</v>
      </c>
      <c r="AQ39" s="157">
        <v>1</v>
      </c>
      <c r="AR39" s="157"/>
      <c r="AS39" s="157"/>
      <c r="AT39" s="157"/>
      <c r="AU39" s="157" t="s">
        <v>138</v>
      </c>
      <c r="AV39" s="157">
        <v>0</v>
      </c>
      <c r="AW39" s="157"/>
      <c r="AX39" s="157"/>
      <c r="AY39" s="157"/>
      <c r="AZ39" s="136"/>
      <c r="BA39" s="137" t="s">
        <v>140</v>
      </c>
      <c r="BB39" s="137" t="s">
        <v>140</v>
      </c>
      <c r="BC39" s="137" t="s">
        <v>141</v>
      </c>
      <c r="BD39" s="137" t="s">
        <v>140</v>
      </c>
      <c r="BE39" s="157">
        <v>36.700000000000003</v>
      </c>
      <c r="BF39" s="162"/>
      <c r="BG39" s="157"/>
      <c r="BH39" s="161"/>
      <c r="BI39" s="161"/>
      <c r="BJ39" s="163"/>
      <c r="BK39" s="163"/>
      <c r="BL39" s="161"/>
      <c r="BM39" s="161"/>
      <c r="BN39" s="161"/>
      <c r="BO39" s="161"/>
      <c r="BP39" s="161"/>
      <c r="BQ39" s="161"/>
      <c r="BR39" s="161"/>
      <c r="BS39" s="161"/>
      <c r="BT39" s="161"/>
      <c r="BU39" s="164"/>
      <c r="BV39" s="161"/>
      <c r="BW39" s="161"/>
      <c r="BX39" s="163"/>
      <c r="BY39" s="161"/>
      <c r="BZ39" s="161"/>
      <c r="CA39" s="161"/>
      <c r="CB39" s="161"/>
    </row>
    <row r="40" spans="1:80" ht="16.5" hidden="1" customHeight="1">
      <c r="A40" s="117">
        <v>98</v>
      </c>
      <c r="B40" s="154" t="s">
        <v>212</v>
      </c>
      <c r="C40" s="154" t="s">
        <v>894</v>
      </c>
      <c r="D40" s="154" t="s">
        <v>13</v>
      </c>
      <c r="E40" s="154" t="s">
        <v>213</v>
      </c>
      <c r="F40" s="154" t="s">
        <v>214</v>
      </c>
      <c r="G40" s="154" t="s">
        <v>215</v>
      </c>
      <c r="H40" s="146">
        <v>821</v>
      </c>
      <c r="I40" s="147" t="s">
        <v>147</v>
      </c>
      <c r="J40" s="144">
        <v>1</v>
      </c>
      <c r="K40" s="145">
        <f t="shared" ref="K40:K48" si="75">K39</f>
        <v>1</v>
      </c>
      <c r="L40" s="144">
        <f t="shared" ref="L40:L48" si="76">+K40*J40</f>
        <v>1</v>
      </c>
      <c r="M40" s="146">
        <v>240.6</v>
      </c>
      <c r="N40" s="146">
        <f t="shared" ref="N40:N48" si="77">+M40*L40</f>
        <v>240.6</v>
      </c>
      <c r="O40" s="146" t="s">
        <v>137</v>
      </c>
      <c r="P40" s="146" t="s">
        <v>13</v>
      </c>
      <c r="Q40" s="146" t="s">
        <v>148</v>
      </c>
      <c r="R40" s="146"/>
      <c r="S40" s="146"/>
      <c r="T40" s="146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46">
        <f t="shared" ref="U40:U48" ca="1" si="78">+L40-T40</f>
        <v>1</v>
      </c>
      <c r="V40" s="146">
        <f t="shared" ref="V40:V48" ca="1" si="79">ROUNDDOWN(T40/J40,0)</f>
        <v>0</v>
      </c>
      <c r="W40" s="146"/>
      <c r="X40" s="146"/>
      <c r="Y40" s="146"/>
      <c r="Z40" s="146"/>
      <c r="AA40" s="146"/>
      <c r="AB40" s="146"/>
      <c r="AC40" s="146">
        <v>6.2</v>
      </c>
      <c r="AD40" s="117" t="s">
        <v>142</v>
      </c>
      <c r="AE40" s="148"/>
      <c r="AF40" s="146" t="str">
        <f t="shared" ref="AF40:AV48" si="80">AF39</f>
        <v>N/A</v>
      </c>
      <c r="AG40" s="146">
        <f t="shared" si="80"/>
        <v>0</v>
      </c>
      <c r="AH40" s="146">
        <f t="shared" ref="AH40:AH48" si="81">+AG40*J40</f>
        <v>0</v>
      </c>
      <c r="AI40" s="146">
        <f t="shared" ref="AI40:AI48" ca="1" si="82">MIN(T40,AH40)</f>
        <v>0</v>
      </c>
      <c r="AJ40" s="146">
        <f t="shared" ref="AJ40:AJ48" ca="1" si="83">+AH40-AI40</f>
        <v>0</v>
      </c>
      <c r="AK40" s="146" t="str">
        <f t="shared" si="80"/>
        <v>N/A</v>
      </c>
      <c r="AL40" s="146">
        <f t="shared" si="80"/>
        <v>0</v>
      </c>
      <c r="AM40" s="146">
        <f t="shared" ref="AM40:AM48" si="84">+AL40*J40</f>
        <v>0</v>
      </c>
      <c r="AN40" s="146">
        <f t="shared" ref="AN40:AN48" ca="1" si="85">MIN(T40-AI40,AL40)</f>
        <v>0</v>
      </c>
      <c r="AO40" s="146">
        <f t="shared" ref="AO40:AO48" ca="1" si="86">+AM40-AN40</f>
        <v>0</v>
      </c>
      <c r="AP40" s="146" t="str">
        <f t="shared" si="80"/>
        <v>AMC 2-S3</v>
      </c>
      <c r="AQ40" s="146">
        <f t="shared" si="80"/>
        <v>1</v>
      </c>
      <c r="AR40" s="146">
        <f t="shared" ref="AR40:AR48" si="87">+AQ40*J40</f>
        <v>1</v>
      </c>
      <c r="AS40" s="146">
        <f t="shared" ref="AS40:AS48" ca="1" si="88">MIN(T40-AI40-AN40,AR40)</f>
        <v>0</v>
      </c>
      <c r="AT40" s="146">
        <f t="shared" ref="AT40:AT48" ca="1" si="89">+AR40-AS40</f>
        <v>1</v>
      </c>
      <c r="AU40" s="146" t="str">
        <f t="shared" si="80"/>
        <v>N/A</v>
      </c>
      <c r="AV40" s="146">
        <f t="shared" si="80"/>
        <v>0</v>
      </c>
      <c r="AW40" s="146">
        <f t="shared" ref="AW40:AW48" si="90">+AV40*J40</f>
        <v>0</v>
      </c>
      <c r="AX40" s="146">
        <f t="shared" ref="AX40:AX48" ca="1" si="91">MIN(T40-AI40-AN40-AS40,AW40)</f>
        <v>0</v>
      </c>
      <c r="AY40" s="146">
        <f t="shared" ref="AY40:AY48" ca="1" si="92">+AW40-AX40</f>
        <v>0</v>
      </c>
      <c r="AZ40" s="147"/>
      <c r="BA40" s="144" t="s">
        <v>140</v>
      </c>
      <c r="BB40" s="144" t="s">
        <v>140</v>
      </c>
      <c r="BC40" s="144" t="s">
        <v>141</v>
      </c>
      <c r="BD40" s="144" t="s">
        <v>140</v>
      </c>
      <c r="BE40" s="146">
        <v>6.2</v>
      </c>
      <c r="BF40" s="148"/>
      <c r="BG40" s="146"/>
      <c r="BH40" s="117"/>
      <c r="BI40" s="117"/>
      <c r="BJ40" s="149"/>
      <c r="BK40" s="149"/>
      <c r="BL40" s="117"/>
      <c r="BM40" s="117"/>
      <c r="BN40" s="117"/>
      <c r="BO40" s="117"/>
      <c r="BP40" s="117"/>
      <c r="BQ40" s="117"/>
      <c r="BR40" s="117"/>
      <c r="BS40" s="117" t="s">
        <v>150</v>
      </c>
      <c r="BT40" s="117"/>
      <c r="BU40" s="155"/>
      <c r="BV40" s="117"/>
      <c r="BW40" s="117"/>
      <c r="BX40" s="149"/>
      <c r="BY40" s="117"/>
      <c r="BZ40" s="117"/>
      <c r="CA40" s="117"/>
      <c r="CB40" s="117">
        <f t="shared" ref="CB40:CB48" si="93">+L40-BW40</f>
        <v>1</v>
      </c>
    </row>
    <row r="41" spans="1:80" ht="16.5" hidden="1" customHeight="1">
      <c r="A41" s="117">
        <v>99</v>
      </c>
      <c r="B41" s="154" t="s">
        <v>212</v>
      </c>
      <c r="C41" s="154" t="s">
        <v>894</v>
      </c>
      <c r="D41" s="154" t="s">
        <v>13</v>
      </c>
      <c r="E41" s="154" t="s">
        <v>216</v>
      </c>
      <c r="F41" s="154" t="s">
        <v>217</v>
      </c>
      <c r="G41" s="154" t="s">
        <v>146</v>
      </c>
      <c r="H41" s="146">
        <v>550</v>
      </c>
      <c r="I41" s="147" t="s">
        <v>147</v>
      </c>
      <c r="J41" s="144">
        <v>1</v>
      </c>
      <c r="K41" s="145">
        <f t="shared" si="75"/>
        <v>1</v>
      </c>
      <c r="L41" s="144">
        <f t="shared" si="76"/>
        <v>1</v>
      </c>
      <c r="M41" s="146">
        <v>2.2000000000000002</v>
      </c>
      <c r="N41" s="146">
        <f t="shared" si="77"/>
        <v>2.2000000000000002</v>
      </c>
      <c r="O41" s="146" t="s">
        <v>137</v>
      </c>
      <c r="P41" s="146" t="s">
        <v>13</v>
      </c>
      <c r="Q41" s="146" t="s">
        <v>148</v>
      </c>
      <c r="R41" s="146"/>
      <c r="S41" s="146"/>
      <c r="T41" s="146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146">
        <f t="shared" ca="1" si="78"/>
        <v>1</v>
      </c>
      <c r="V41" s="146">
        <f t="shared" ca="1" si="79"/>
        <v>0</v>
      </c>
      <c r="W41" s="146"/>
      <c r="X41" s="146"/>
      <c r="Y41" s="146"/>
      <c r="Z41" s="146"/>
      <c r="AA41" s="146"/>
      <c r="AB41" s="146"/>
      <c r="AC41" s="146">
        <v>0.1</v>
      </c>
      <c r="AD41" s="117" t="s">
        <v>142</v>
      </c>
      <c r="AE41" s="148"/>
      <c r="AF41" s="146" t="str">
        <f t="shared" si="80"/>
        <v>N/A</v>
      </c>
      <c r="AG41" s="146">
        <f t="shared" si="80"/>
        <v>0</v>
      </c>
      <c r="AH41" s="146">
        <f t="shared" si="81"/>
        <v>0</v>
      </c>
      <c r="AI41" s="146">
        <f t="shared" ca="1" si="82"/>
        <v>0</v>
      </c>
      <c r="AJ41" s="146">
        <f t="shared" ca="1" si="83"/>
        <v>0</v>
      </c>
      <c r="AK41" s="146" t="str">
        <f t="shared" si="80"/>
        <v>N/A</v>
      </c>
      <c r="AL41" s="146">
        <f t="shared" si="80"/>
        <v>0</v>
      </c>
      <c r="AM41" s="146">
        <f t="shared" si="84"/>
        <v>0</v>
      </c>
      <c r="AN41" s="146">
        <f t="shared" ca="1" si="85"/>
        <v>0</v>
      </c>
      <c r="AO41" s="146">
        <f t="shared" ca="1" si="86"/>
        <v>0</v>
      </c>
      <c r="AP41" s="146" t="str">
        <f t="shared" si="80"/>
        <v>AMC 2-S3</v>
      </c>
      <c r="AQ41" s="146">
        <f t="shared" si="80"/>
        <v>1</v>
      </c>
      <c r="AR41" s="146">
        <f t="shared" si="87"/>
        <v>1</v>
      </c>
      <c r="AS41" s="146">
        <f t="shared" ca="1" si="88"/>
        <v>0</v>
      </c>
      <c r="AT41" s="146">
        <f t="shared" ca="1" si="89"/>
        <v>1</v>
      </c>
      <c r="AU41" s="146" t="str">
        <f t="shared" si="80"/>
        <v>N/A</v>
      </c>
      <c r="AV41" s="146">
        <f t="shared" si="80"/>
        <v>0</v>
      </c>
      <c r="AW41" s="146">
        <f t="shared" si="90"/>
        <v>0</v>
      </c>
      <c r="AX41" s="146">
        <f t="shared" ca="1" si="91"/>
        <v>0</v>
      </c>
      <c r="AY41" s="146">
        <f t="shared" ca="1" si="92"/>
        <v>0</v>
      </c>
      <c r="AZ41" s="147"/>
      <c r="BA41" s="144" t="s">
        <v>140</v>
      </c>
      <c r="BB41" s="144" t="s">
        <v>140</v>
      </c>
      <c r="BC41" s="144" t="s">
        <v>141</v>
      </c>
      <c r="BD41" s="144" t="s">
        <v>140</v>
      </c>
      <c r="BE41" s="146">
        <v>0.1</v>
      </c>
      <c r="BF41" s="148"/>
      <c r="BG41" s="146"/>
      <c r="BH41" s="117"/>
      <c r="BI41" s="117"/>
      <c r="BJ41" s="149"/>
      <c r="BK41" s="150" t="s">
        <v>149</v>
      </c>
      <c r="BL41" s="151">
        <v>0</v>
      </c>
      <c r="BM41" s="151">
        <v>0</v>
      </c>
      <c r="BN41" s="151">
        <v>0</v>
      </c>
      <c r="BO41" s="151">
        <v>0</v>
      </c>
      <c r="BP41" s="151">
        <v>0</v>
      </c>
      <c r="BQ41" s="151">
        <v>0</v>
      </c>
      <c r="BR41" s="151">
        <v>0</v>
      </c>
      <c r="BS41" s="117" t="s">
        <v>150</v>
      </c>
      <c r="BT41" s="117"/>
      <c r="BU41" s="155"/>
      <c r="BV41" s="117"/>
      <c r="BW41" s="117"/>
      <c r="BX41" s="149"/>
      <c r="BY41" s="117"/>
      <c r="BZ41" s="117"/>
      <c r="CA41" s="117"/>
      <c r="CB41" s="117">
        <f t="shared" si="93"/>
        <v>1</v>
      </c>
    </row>
    <row r="42" spans="1:80" ht="16.5" hidden="1" customHeight="1">
      <c r="A42" s="117">
        <v>100</v>
      </c>
      <c r="B42" s="154" t="s">
        <v>212</v>
      </c>
      <c r="C42" s="154" t="s">
        <v>894</v>
      </c>
      <c r="D42" s="154" t="s">
        <v>13</v>
      </c>
      <c r="E42" s="154" t="s">
        <v>218</v>
      </c>
      <c r="F42" s="154" t="s">
        <v>219</v>
      </c>
      <c r="G42" s="154" t="s">
        <v>220</v>
      </c>
      <c r="H42" s="146">
        <v>4558</v>
      </c>
      <c r="I42" s="147" t="s">
        <v>147</v>
      </c>
      <c r="J42" s="144">
        <v>1</v>
      </c>
      <c r="K42" s="145">
        <f t="shared" si="75"/>
        <v>1</v>
      </c>
      <c r="L42" s="144">
        <f t="shared" si="76"/>
        <v>1</v>
      </c>
      <c r="M42" s="146">
        <v>93.5</v>
      </c>
      <c r="N42" s="146">
        <f t="shared" si="77"/>
        <v>93.5</v>
      </c>
      <c r="O42" s="146" t="s">
        <v>137</v>
      </c>
      <c r="P42" s="146" t="s">
        <v>13</v>
      </c>
      <c r="Q42" s="146" t="s">
        <v>148</v>
      </c>
      <c r="R42" s="146"/>
      <c r="S42" s="146"/>
      <c r="T42" s="146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46">
        <f t="shared" ca="1" si="78"/>
        <v>1</v>
      </c>
      <c r="V42" s="146">
        <f t="shared" ca="1" si="79"/>
        <v>0</v>
      </c>
      <c r="W42" s="146"/>
      <c r="X42" s="146"/>
      <c r="Y42" s="146"/>
      <c r="Z42" s="146"/>
      <c r="AA42" s="146"/>
      <c r="AB42" s="146"/>
      <c r="AC42" s="146">
        <v>2.1</v>
      </c>
      <c r="AD42" s="117" t="s">
        <v>142</v>
      </c>
      <c r="AE42" s="148"/>
      <c r="AF42" s="146" t="str">
        <f t="shared" si="80"/>
        <v>N/A</v>
      </c>
      <c r="AG42" s="146">
        <f t="shared" si="80"/>
        <v>0</v>
      </c>
      <c r="AH42" s="146">
        <f t="shared" si="81"/>
        <v>0</v>
      </c>
      <c r="AI42" s="146">
        <f t="shared" ca="1" si="82"/>
        <v>0</v>
      </c>
      <c r="AJ42" s="146">
        <f t="shared" ca="1" si="83"/>
        <v>0</v>
      </c>
      <c r="AK42" s="146" t="str">
        <f t="shared" si="80"/>
        <v>N/A</v>
      </c>
      <c r="AL42" s="146">
        <f t="shared" si="80"/>
        <v>0</v>
      </c>
      <c r="AM42" s="146">
        <f t="shared" si="84"/>
        <v>0</v>
      </c>
      <c r="AN42" s="146">
        <f t="shared" ca="1" si="85"/>
        <v>0</v>
      </c>
      <c r="AO42" s="146">
        <f t="shared" ca="1" si="86"/>
        <v>0</v>
      </c>
      <c r="AP42" s="146" t="str">
        <f t="shared" si="80"/>
        <v>AMC 2-S3</v>
      </c>
      <c r="AQ42" s="146">
        <f t="shared" si="80"/>
        <v>1</v>
      </c>
      <c r="AR42" s="146">
        <f t="shared" si="87"/>
        <v>1</v>
      </c>
      <c r="AS42" s="146">
        <f t="shared" ca="1" si="88"/>
        <v>0</v>
      </c>
      <c r="AT42" s="146">
        <f t="shared" ca="1" si="89"/>
        <v>1</v>
      </c>
      <c r="AU42" s="146" t="str">
        <f t="shared" si="80"/>
        <v>N/A</v>
      </c>
      <c r="AV42" s="146">
        <f t="shared" si="80"/>
        <v>0</v>
      </c>
      <c r="AW42" s="146">
        <f t="shared" si="90"/>
        <v>0</v>
      </c>
      <c r="AX42" s="146">
        <f t="shared" ca="1" si="91"/>
        <v>0</v>
      </c>
      <c r="AY42" s="146">
        <f t="shared" ca="1" si="92"/>
        <v>0</v>
      </c>
      <c r="AZ42" s="147"/>
      <c r="BA42" s="144" t="s">
        <v>140</v>
      </c>
      <c r="BB42" s="144" t="s">
        <v>140</v>
      </c>
      <c r="BC42" s="144" t="s">
        <v>141</v>
      </c>
      <c r="BD42" s="144" t="s">
        <v>140</v>
      </c>
      <c r="BE42" s="146">
        <v>2.1</v>
      </c>
      <c r="BF42" s="148"/>
      <c r="BG42" s="146"/>
      <c r="BH42" s="117"/>
      <c r="BI42" s="117"/>
      <c r="BJ42" s="149"/>
      <c r="BK42" s="150" t="s">
        <v>149</v>
      </c>
      <c r="BL42" s="151">
        <v>0</v>
      </c>
      <c r="BM42" s="151">
        <v>0</v>
      </c>
      <c r="BN42" s="151">
        <v>0</v>
      </c>
      <c r="BO42" s="151">
        <v>1</v>
      </c>
      <c r="BP42" s="151">
        <v>0</v>
      </c>
      <c r="BQ42" s="151">
        <v>0</v>
      </c>
      <c r="BR42" s="151">
        <v>0</v>
      </c>
      <c r="BS42" s="117" t="s">
        <v>150</v>
      </c>
      <c r="BT42" s="117"/>
      <c r="BU42" s="155"/>
      <c r="BV42" s="117"/>
      <c r="BW42" s="117"/>
      <c r="BX42" s="149"/>
      <c r="BY42" s="117"/>
      <c r="BZ42" s="117"/>
      <c r="CA42" s="117"/>
      <c r="CB42" s="117">
        <f t="shared" si="93"/>
        <v>1</v>
      </c>
    </row>
    <row r="43" spans="1:80" ht="16.5" hidden="1" customHeight="1">
      <c r="A43" s="117">
        <v>101</v>
      </c>
      <c r="B43" s="154" t="s">
        <v>212</v>
      </c>
      <c r="C43" s="154" t="s">
        <v>894</v>
      </c>
      <c r="D43" s="154" t="s">
        <v>13</v>
      </c>
      <c r="E43" s="154" t="s">
        <v>221</v>
      </c>
      <c r="F43" s="154" t="s">
        <v>222</v>
      </c>
      <c r="G43" s="154" t="s">
        <v>215</v>
      </c>
      <c r="H43" s="146">
        <v>2142</v>
      </c>
      <c r="I43" s="147" t="s">
        <v>147</v>
      </c>
      <c r="J43" s="144">
        <v>1</v>
      </c>
      <c r="K43" s="145">
        <f t="shared" si="75"/>
        <v>1</v>
      </c>
      <c r="L43" s="144">
        <f t="shared" si="76"/>
        <v>1</v>
      </c>
      <c r="M43" s="146">
        <v>647.70000000000005</v>
      </c>
      <c r="N43" s="146">
        <f t="shared" si="77"/>
        <v>647.70000000000005</v>
      </c>
      <c r="O43" s="146" t="s">
        <v>137</v>
      </c>
      <c r="P43" s="146" t="s">
        <v>13</v>
      </c>
      <c r="Q43" s="146" t="s">
        <v>148</v>
      </c>
      <c r="R43" s="146"/>
      <c r="S43" s="146"/>
      <c r="T43" s="146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146">
        <f t="shared" ca="1" si="78"/>
        <v>1</v>
      </c>
      <c r="V43" s="146">
        <f t="shared" ca="1" si="79"/>
        <v>0</v>
      </c>
      <c r="W43" s="146"/>
      <c r="X43" s="146"/>
      <c r="Y43" s="146"/>
      <c r="Z43" s="146"/>
      <c r="AA43" s="146"/>
      <c r="AB43" s="146"/>
      <c r="AC43" s="146">
        <v>16.600000000000001</v>
      </c>
      <c r="AD43" s="117" t="s">
        <v>142</v>
      </c>
      <c r="AE43" s="148"/>
      <c r="AF43" s="146" t="str">
        <f t="shared" si="80"/>
        <v>N/A</v>
      </c>
      <c r="AG43" s="146">
        <f t="shared" si="80"/>
        <v>0</v>
      </c>
      <c r="AH43" s="146">
        <f t="shared" si="81"/>
        <v>0</v>
      </c>
      <c r="AI43" s="146">
        <f t="shared" ca="1" si="82"/>
        <v>0</v>
      </c>
      <c r="AJ43" s="146">
        <f t="shared" ca="1" si="83"/>
        <v>0</v>
      </c>
      <c r="AK43" s="146" t="str">
        <f t="shared" si="80"/>
        <v>N/A</v>
      </c>
      <c r="AL43" s="146">
        <f t="shared" si="80"/>
        <v>0</v>
      </c>
      <c r="AM43" s="146">
        <f t="shared" si="84"/>
        <v>0</v>
      </c>
      <c r="AN43" s="146">
        <f t="shared" ca="1" si="85"/>
        <v>0</v>
      </c>
      <c r="AO43" s="146">
        <f t="shared" ca="1" si="86"/>
        <v>0</v>
      </c>
      <c r="AP43" s="146" t="str">
        <f t="shared" si="80"/>
        <v>AMC 2-S3</v>
      </c>
      <c r="AQ43" s="146">
        <f t="shared" si="80"/>
        <v>1</v>
      </c>
      <c r="AR43" s="146">
        <f t="shared" si="87"/>
        <v>1</v>
      </c>
      <c r="AS43" s="146">
        <f t="shared" ca="1" si="88"/>
        <v>0</v>
      </c>
      <c r="AT43" s="146">
        <f t="shared" ca="1" si="89"/>
        <v>1</v>
      </c>
      <c r="AU43" s="146" t="str">
        <f t="shared" si="80"/>
        <v>N/A</v>
      </c>
      <c r="AV43" s="146">
        <f t="shared" si="80"/>
        <v>0</v>
      </c>
      <c r="AW43" s="146">
        <f t="shared" si="90"/>
        <v>0</v>
      </c>
      <c r="AX43" s="146">
        <f t="shared" ca="1" si="91"/>
        <v>0</v>
      </c>
      <c r="AY43" s="146">
        <f t="shared" ca="1" si="92"/>
        <v>0</v>
      </c>
      <c r="AZ43" s="147"/>
      <c r="BA43" s="144" t="s">
        <v>140</v>
      </c>
      <c r="BB43" s="144" t="s">
        <v>140</v>
      </c>
      <c r="BC43" s="144" t="s">
        <v>141</v>
      </c>
      <c r="BD43" s="144" t="s">
        <v>140</v>
      </c>
      <c r="BE43" s="146">
        <v>16.600000000000001</v>
      </c>
      <c r="BF43" s="148"/>
      <c r="BG43" s="146"/>
      <c r="BH43" s="117"/>
      <c r="BI43" s="117"/>
      <c r="BJ43" s="149"/>
      <c r="BK43" s="149"/>
      <c r="BL43" s="117"/>
      <c r="BM43" s="117"/>
      <c r="BN43" s="117"/>
      <c r="BO43" s="117"/>
      <c r="BP43" s="117"/>
      <c r="BQ43" s="117"/>
      <c r="BR43" s="117"/>
      <c r="BS43" s="117" t="s">
        <v>150</v>
      </c>
      <c r="BT43" s="117"/>
      <c r="BU43" s="155"/>
      <c r="BV43" s="117"/>
      <c r="BW43" s="117"/>
      <c r="BX43" s="149"/>
      <c r="BY43" s="117"/>
      <c r="BZ43" s="117"/>
      <c r="CA43" s="117"/>
      <c r="CB43" s="117">
        <f t="shared" si="93"/>
        <v>1</v>
      </c>
    </row>
    <row r="44" spans="1:80" ht="16.5" hidden="1" customHeight="1">
      <c r="A44" s="117">
        <v>102</v>
      </c>
      <c r="B44" s="154" t="s">
        <v>212</v>
      </c>
      <c r="C44" s="154" t="s">
        <v>894</v>
      </c>
      <c r="D44" s="154" t="s">
        <v>13</v>
      </c>
      <c r="E44" s="154" t="s">
        <v>223</v>
      </c>
      <c r="F44" s="154" t="s">
        <v>224</v>
      </c>
      <c r="G44" s="154" t="s">
        <v>146</v>
      </c>
      <c r="H44" s="146">
        <v>1601</v>
      </c>
      <c r="I44" s="147" t="s">
        <v>147</v>
      </c>
      <c r="J44" s="144">
        <v>1</v>
      </c>
      <c r="K44" s="145">
        <f t="shared" si="75"/>
        <v>1</v>
      </c>
      <c r="L44" s="144">
        <f t="shared" si="76"/>
        <v>1</v>
      </c>
      <c r="M44" s="146">
        <v>6.3</v>
      </c>
      <c r="N44" s="146">
        <f t="shared" si="77"/>
        <v>6.3</v>
      </c>
      <c r="O44" s="146" t="s">
        <v>137</v>
      </c>
      <c r="P44" s="146" t="s">
        <v>13</v>
      </c>
      <c r="Q44" s="146" t="s">
        <v>148</v>
      </c>
      <c r="R44" s="146"/>
      <c r="S44" s="146"/>
      <c r="T44" s="146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46">
        <f t="shared" ca="1" si="78"/>
        <v>1</v>
      </c>
      <c r="V44" s="146">
        <f t="shared" ca="1" si="79"/>
        <v>0</v>
      </c>
      <c r="W44" s="146"/>
      <c r="X44" s="146"/>
      <c r="Y44" s="146"/>
      <c r="Z44" s="146"/>
      <c r="AA44" s="146"/>
      <c r="AB44" s="146"/>
      <c r="AC44" s="146">
        <v>0.2</v>
      </c>
      <c r="AD44" s="117" t="s">
        <v>142</v>
      </c>
      <c r="AE44" s="148"/>
      <c r="AF44" s="146" t="str">
        <f t="shared" si="80"/>
        <v>N/A</v>
      </c>
      <c r="AG44" s="146">
        <f t="shared" si="80"/>
        <v>0</v>
      </c>
      <c r="AH44" s="146">
        <f t="shared" si="81"/>
        <v>0</v>
      </c>
      <c r="AI44" s="146">
        <f t="shared" ca="1" si="82"/>
        <v>0</v>
      </c>
      <c r="AJ44" s="146">
        <f t="shared" ca="1" si="83"/>
        <v>0</v>
      </c>
      <c r="AK44" s="146" t="str">
        <f t="shared" si="80"/>
        <v>N/A</v>
      </c>
      <c r="AL44" s="146">
        <f t="shared" si="80"/>
        <v>0</v>
      </c>
      <c r="AM44" s="146">
        <f t="shared" si="84"/>
        <v>0</v>
      </c>
      <c r="AN44" s="146">
        <f t="shared" ca="1" si="85"/>
        <v>0</v>
      </c>
      <c r="AO44" s="146">
        <f t="shared" ca="1" si="86"/>
        <v>0</v>
      </c>
      <c r="AP44" s="146" t="str">
        <f t="shared" si="80"/>
        <v>AMC 2-S3</v>
      </c>
      <c r="AQ44" s="146">
        <f t="shared" si="80"/>
        <v>1</v>
      </c>
      <c r="AR44" s="146">
        <f t="shared" si="87"/>
        <v>1</v>
      </c>
      <c r="AS44" s="146">
        <f t="shared" ca="1" si="88"/>
        <v>0</v>
      </c>
      <c r="AT44" s="146">
        <f t="shared" ca="1" si="89"/>
        <v>1</v>
      </c>
      <c r="AU44" s="146" t="str">
        <f t="shared" si="80"/>
        <v>N/A</v>
      </c>
      <c r="AV44" s="146">
        <f t="shared" si="80"/>
        <v>0</v>
      </c>
      <c r="AW44" s="146">
        <f t="shared" si="90"/>
        <v>0</v>
      </c>
      <c r="AX44" s="146">
        <f t="shared" ca="1" si="91"/>
        <v>0</v>
      </c>
      <c r="AY44" s="146">
        <f t="shared" ca="1" si="92"/>
        <v>0</v>
      </c>
      <c r="AZ44" s="147"/>
      <c r="BA44" s="144" t="s">
        <v>140</v>
      </c>
      <c r="BB44" s="144" t="s">
        <v>140</v>
      </c>
      <c r="BC44" s="144" t="s">
        <v>141</v>
      </c>
      <c r="BD44" s="144" t="s">
        <v>140</v>
      </c>
      <c r="BE44" s="146">
        <v>0.2</v>
      </c>
      <c r="BF44" s="148"/>
      <c r="BG44" s="146"/>
      <c r="BH44" s="117"/>
      <c r="BI44" s="117"/>
      <c r="BJ44" s="149"/>
      <c r="BK44" s="150" t="s">
        <v>149</v>
      </c>
      <c r="BL44" s="151">
        <v>0</v>
      </c>
      <c r="BM44" s="151">
        <v>0</v>
      </c>
      <c r="BN44" s="151">
        <v>0</v>
      </c>
      <c r="BO44" s="151">
        <v>0</v>
      </c>
      <c r="BP44" s="151">
        <v>0</v>
      </c>
      <c r="BQ44" s="151">
        <v>0</v>
      </c>
      <c r="BR44" s="151">
        <v>0</v>
      </c>
      <c r="BS44" s="117" t="s">
        <v>150</v>
      </c>
      <c r="BT44" s="117"/>
      <c r="BU44" s="155"/>
      <c r="BV44" s="117"/>
      <c r="BW44" s="117"/>
      <c r="BX44" s="149"/>
      <c r="BY44" s="117"/>
      <c r="BZ44" s="117"/>
      <c r="CA44" s="117"/>
      <c r="CB44" s="117">
        <f t="shared" si="93"/>
        <v>1</v>
      </c>
    </row>
    <row r="45" spans="1:80" ht="16.5" hidden="1" customHeight="1">
      <c r="A45" s="117">
        <v>103</v>
      </c>
      <c r="B45" s="154" t="s">
        <v>212</v>
      </c>
      <c r="C45" s="154" t="s">
        <v>894</v>
      </c>
      <c r="D45" s="154" t="s">
        <v>13</v>
      </c>
      <c r="E45" s="154" t="s">
        <v>225</v>
      </c>
      <c r="F45" s="154" t="s">
        <v>226</v>
      </c>
      <c r="G45" s="154" t="s">
        <v>173</v>
      </c>
      <c r="H45" s="146">
        <v>4587</v>
      </c>
      <c r="I45" s="147" t="s">
        <v>147</v>
      </c>
      <c r="J45" s="144">
        <v>1</v>
      </c>
      <c r="K45" s="145">
        <f t="shared" si="75"/>
        <v>1</v>
      </c>
      <c r="L45" s="144">
        <f t="shared" si="76"/>
        <v>1</v>
      </c>
      <c r="M45" s="146">
        <v>86.3</v>
      </c>
      <c r="N45" s="146">
        <f t="shared" si="77"/>
        <v>86.3</v>
      </c>
      <c r="O45" s="146" t="s">
        <v>137</v>
      </c>
      <c r="P45" s="146" t="s">
        <v>13</v>
      </c>
      <c r="Q45" s="146" t="s">
        <v>148</v>
      </c>
      <c r="R45" s="146"/>
      <c r="S45" s="146"/>
      <c r="T45" s="146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46">
        <f t="shared" ca="1" si="78"/>
        <v>1</v>
      </c>
      <c r="V45" s="146">
        <f t="shared" ca="1" si="79"/>
        <v>0</v>
      </c>
      <c r="W45" s="146"/>
      <c r="X45" s="146"/>
      <c r="Y45" s="146"/>
      <c r="Z45" s="146"/>
      <c r="AA45" s="146"/>
      <c r="AB45" s="146"/>
      <c r="AC45" s="146">
        <v>1.9</v>
      </c>
      <c r="AD45" s="117" t="s">
        <v>142</v>
      </c>
      <c r="AE45" s="148"/>
      <c r="AF45" s="146" t="str">
        <f t="shared" si="80"/>
        <v>N/A</v>
      </c>
      <c r="AG45" s="146">
        <f t="shared" si="80"/>
        <v>0</v>
      </c>
      <c r="AH45" s="146">
        <f t="shared" si="81"/>
        <v>0</v>
      </c>
      <c r="AI45" s="146">
        <f t="shared" ca="1" si="82"/>
        <v>0</v>
      </c>
      <c r="AJ45" s="146">
        <f t="shared" ca="1" si="83"/>
        <v>0</v>
      </c>
      <c r="AK45" s="146" t="str">
        <f t="shared" si="80"/>
        <v>N/A</v>
      </c>
      <c r="AL45" s="146">
        <f t="shared" si="80"/>
        <v>0</v>
      </c>
      <c r="AM45" s="146">
        <f t="shared" si="84"/>
        <v>0</v>
      </c>
      <c r="AN45" s="146">
        <f t="shared" ca="1" si="85"/>
        <v>0</v>
      </c>
      <c r="AO45" s="146">
        <f t="shared" ca="1" si="86"/>
        <v>0</v>
      </c>
      <c r="AP45" s="146" t="str">
        <f t="shared" si="80"/>
        <v>AMC 2-S3</v>
      </c>
      <c r="AQ45" s="146">
        <f t="shared" si="80"/>
        <v>1</v>
      </c>
      <c r="AR45" s="146">
        <f t="shared" si="87"/>
        <v>1</v>
      </c>
      <c r="AS45" s="146">
        <f t="shared" ca="1" si="88"/>
        <v>0</v>
      </c>
      <c r="AT45" s="146">
        <f t="shared" ca="1" si="89"/>
        <v>1</v>
      </c>
      <c r="AU45" s="146" t="str">
        <f t="shared" si="80"/>
        <v>N/A</v>
      </c>
      <c r="AV45" s="146">
        <f t="shared" si="80"/>
        <v>0</v>
      </c>
      <c r="AW45" s="146">
        <f t="shared" si="90"/>
        <v>0</v>
      </c>
      <c r="AX45" s="146">
        <f t="shared" ca="1" si="91"/>
        <v>0</v>
      </c>
      <c r="AY45" s="146">
        <f t="shared" ca="1" si="92"/>
        <v>0</v>
      </c>
      <c r="AZ45" s="147"/>
      <c r="BA45" s="144" t="s">
        <v>140</v>
      </c>
      <c r="BB45" s="144" t="s">
        <v>140</v>
      </c>
      <c r="BC45" s="144" t="s">
        <v>141</v>
      </c>
      <c r="BD45" s="144" t="s">
        <v>140</v>
      </c>
      <c r="BE45" s="146">
        <v>1.9</v>
      </c>
      <c r="BF45" s="148"/>
      <c r="BG45" s="146"/>
      <c r="BH45" s="117"/>
      <c r="BI45" s="117"/>
      <c r="BJ45" s="149"/>
      <c r="BK45" s="150" t="s">
        <v>149</v>
      </c>
      <c r="BL45" s="151">
        <v>0</v>
      </c>
      <c r="BM45" s="151">
        <v>0</v>
      </c>
      <c r="BN45" s="151">
        <v>0</v>
      </c>
      <c r="BO45" s="151">
        <v>1</v>
      </c>
      <c r="BP45" s="151">
        <v>0</v>
      </c>
      <c r="BQ45" s="151">
        <v>0</v>
      </c>
      <c r="BR45" s="151">
        <v>0</v>
      </c>
      <c r="BS45" s="117" t="s">
        <v>150</v>
      </c>
      <c r="BT45" s="117"/>
      <c r="BU45" s="155"/>
      <c r="BV45" s="117"/>
      <c r="BW45" s="117"/>
      <c r="BX45" s="149"/>
      <c r="BY45" s="117"/>
      <c r="BZ45" s="117"/>
      <c r="CA45" s="117"/>
      <c r="CB45" s="117">
        <f t="shared" si="93"/>
        <v>1</v>
      </c>
    </row>
    <row r="46" spans="1:80" ht="16.5" hidden="1" customHeight="1">
      <c r="A46" s="117">
        <v>104</v>
      </c>
      <c r="B46" s="154" t="s">
        <v>212</v>
      </c>
      <c r="C46" s="154" t="s">
        <v>894</v>
      </c>
      <c r="D46" s="154" t="s">
        <v>13</v>
      </c>
      <c r="E46" s="154" t="s">
        <v>227</v>
      </c>
      <c r="F46" s="154" t="s">
        <v>228</v>
      </c>
      <c r="G46" s="154" t="s">
        <v>215</v>
      </c>
      <c r="H46" s="146">
        <v>1171</v>
      </c>
      <c r="I46" s="147" t="s">
        <v>147</v>
      </c>
      <c r="J46" s="144">
        <v>1</v>
      </c>
      <c r="K46" s="145">
        <f t="shared" si="75"/>
        <v>1</v>
      </c>
      <c r="L46" s="144">
        <f t="shared" si="76"/>
        <v>1</v>
      </c>
      <c r="M46" s="146">
        <v>323.89999999999998</v>
      </c>
      <c r="N46" s="146">
        <f t="shared" si="77"/>
        <v>323.89999999999998</v>
      </c>
      <c r="O46" s="146" t="s">
        <v>137</v>
      </c>
      <c r="P46" s="146" t="s">
        <v>13</v>
      </c>
      <c r="Q46" s="146" t="s">
        <v>148</v>
      </c>
      <c r="R46" s="146"/>
      <c r="S46" s="146"/>
      <c r="T46" s="146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146">
        <f t="shared" ca="1" si="78"/>
        <v>1</v>
      </c>
      <c r="V46" s="146">
        <f t="shared" ca="1" si="79"/>
        <v>0</v>
      </c>
      <c r="W46" s="146"/>
      <c r="X46" s="146"/>
      <c r="Y46" s="146"/>
      <c r="Z46" s="146"/>
      <c r="AA46" s="146"/>
      <c r="AB46" s="146"/>
      <c r="AC46" s="146">
        <v>8.4</v>
      </c>
      <c r="AD46" s="117" t="s">
        <v>142</v>
      </c>
      <c r="AE46" s="148"/>
      <c r="AF46" s="146" t="str">
        <f t="shared" si="80"/>
        <v>N/A</v>
      </c>
      <c r="AG46" s="146">
        <f t="shared" si="80"/>
        <v>0</v>
      </c>
      <c r="AH46" s="146">
        <f t="shared" si="81"/>
        <v>0</v>
      </c>
      <c r="AI46" s="146">
        <f t="shared" ca="1" si="82"/>
        <v>0</v>
      </c>
      <c r="AJ46" s="146">
        <f t="shared" ca="1" si="83"/>
        <v>0</v>
      </c>
      <c r="AK46" s="146" t="str">
        <f t="shared" si="80"/>
        <v>N/A</v>
      </c>
      <c r="AL46" s="146">
        <f t="shared" si="80"/>
        <v>0</v>
      </c>
      <c r="AM46" s="146">
        <f t="shared" si="84"/>
        <v>0</v>
      </c>
      <c r="AN46" s="146">
        <f t="shared" ca="1" si="85"/>
        <v>0</v>
      </c>
      <c r="AO46" s="146">
        <f t="shared" ca="1" si="86"/>
        <v>0</v>
      </c>
      <c r="AP46" s="146" t="str">
        <f t="shared" si="80"/>
        <v>AMC 2-S3</v>
      </c>
      <c r="AQ46" s="146">
        <f t="shared" si="80"/>
        <v>1</v>
      </c>
      <c r="AR46" s="146">
        <f t="shared" si="87"/>
        <v>1</v>
      </c>
      <c r="AS46" s="146">
        <f t="shared" ca="1" si="88"/>
        <v>0</v>
      </c>
      <c r="AT46" s="146">
        <f t="shared" ca="1" si="89"/>
        <v>1</v>
      </c>
      <c r="AU46" s="146" t="str">
        <f t="shared" si="80"/>
        <v>N/A</v>
      </c>
      <c r="AV46" s="146">
        <f t="shared" si="80"/>
        <v>0</v>
      </c>
      <c r="AW46" s="146">
        <f t="shared" si="90"/>
        <v>0</v>
      </c>
      <c r="AX46" s="146">
        <f t="shared" ca="1" si="91"/>
        <v>0</v>
      </c>
      <c r="AY46" s="146">
        <f t="shared" ca="1" si="92"/>
        <v>0</v>
      </c>
      <c r="AZ46" s="147"/>
      <c r="BA46" s="144" t="s">
        <v>140</v>
      </c>
      <c r="BB46" s="144" t="s">
        <v>140</v>
      </c>
      <c r="BC46" s="144" t="s">
        <v>141</v>
      </c>
      <c r="BD46" s="144" t="s">
        <v>140</v>
      </c>
      <c r="BE46" s="146">
        <v>8.4</v>
      </c>
      <c r="BF46" s="148"/>
      <c r="BG46" s="146"/>
      <c r="BH46" s="117"/>
      <c r="BI46" s="117"/>
      <c r="BJ46" s="149"/>
      <c r="BK46" s="149"/>
      <c r="BL46" s="117"/>
      <c r="BM46" s="117"/>
      <c r="BN46" s="117"/>
      <c r="BO46" s="117"/>
      <c r="BP46" s="117"/>
      <c r="BQ46" s="117"/>
      <c r="BR46" s="117"/>
      <c r="BS46" s="117" t="s">
        <v>150</v>
      </c>
      <c r="BT46" s="117"/>
      <c r="BU46" s="155"/>
      <c r="BV46" s="117"/>
      <c r="BW46" s="117"/>
      <c r="BX46" s="149"/>
      <c r="BY46" s="117"/>
      <c r="BZ46" s="117"/>
      <c r="CA46" s="117"/>
      <c r="CB46" s="117">
        <f t="shared" si="93"/>
        <v>1</v>
      </c>
    </row>
    <row r="47" spans="1:80" ht="16.5" hidden="1" customHeight="1">
      <c r="A47" s="117">
        <v>105</v>
      </c>
      <c r="B47" s="154" t="s">
        <v>212</v>
      </c>
      <c r="C47" s="154" t="s">
        <v>894</v>
      </c>
      <c r="D47" s="154" t="s">
        <v>13</v>
      </c>
      <c r="E47" s="154" t="s">
        <v>229</v>
      </c>
      <c r="F47" s="154" t="s">
        <v>230</v>
      </c>
      <c r="G47" s="154" t="s">
        <v>146</v>
      </c>
      <c r="H47" s="146">
        <v>901</v>
      </c>
      <c r="I47" s="147" t="s">
        <v>147</v>
      </c>
      <c r="J47" s="144">
        <v>1</v>
      </c>
      <c r="K47" s="145">
        <f t="shared" si="75"/>
        <v>1</v>
      </c>
      <c r="L47" s="144">
        <f t="shared" si="76"/>
        <v>1</v>
      </c>
      <c r="M47" s="146">
        <v>3.1</v>
      </c>
      <c r="N47" s="146">
        <f t="shared" si="77"/>
        <v>3.1</v>
      </c>
      <c r="O47" s="146" t="s">
        <v>137</v>
      </c>
      <c r="P47" s="146" t="s">
        <v>13</v>
      </c>
      <c r="Q47" s="146" t="s">
        <v>148</v>
      </c>
      <c r="R47" s="146"/>
      <c r="S47" s="146"/>
      <c r="T47" s="146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46">
        <f t="shared" ca="1" si="78"/>
        <v>1</v>
      </c>
      <c r="V47" s="146">
        <f t="shared" ca="1" si="79"/>
        <v>0</v>
      </c>
      <c r="W47" s="146"/>
      <c r="X47" s="146"/>
      <c r="Y47" s="146"/>
      <c r="Z47" s="146"/>
      <c r="AA47" s="146"/>
      <c r="AB47" s="146"/>
      <c r="AC47" s="146">
        <v>0.1</v>
      </c>
      <c r="AD47" s="117" t="s">
        <v>142</v>
      </c>
      <c r="AE47" s="148"/>
      <c r="AF47" s="146" t="str">
        <f t="shared" si="80"/>
        <v>N/A</v>
      </c>
      <c r="AG47" s="146">
        <f t="shared" si="80"/>
        <v>0</v>
      </c>
      <c r="AH47" s="146">
        <f t="shared" si="81"/>
        <v>0</v>
      </c>
      <c r="AI47" s="146">
        <f t="shared" ca="1" si="82"/>
        <v>0</v>
      </c>
      <c r="AJ47" s="146">
        <f t="shared" ca="1" si="83"/>
        <v>0</v>
      </c>
      <c r="AK47" s="146" t="str">
        <f t="shared" si="80"/>
        <v>N/A</v>
      </c>
      <c r="AL47" s="146">
        <f t="shared" si="80"/>
        <v>0</v>
      </c>
      <c r="AM47" s="146">
        <f t="shared" si="84"/>
        <v>0</v>
      </c>
      <c r="AN47" s="146">
        <f t="shared" ca="1" si="85"/>
        <v>0</v>
      </c>
      <c r="AO47" s="146">
        <f t="shared" ca="1" si="86"/>
        <v>0</v>
      </c>
      <c r="AP47" s="146" t="str">
        <f t="shared" si="80"/>
        <v>AMC 2-S3</v>
      </c>
      <c r="AQ47" s="146">
        <f t="shared" si="80"/>
        <v>1</v>
      </c>
      <c r="AR47" s="146">
        <f t="shared" si="87"/>
        <v>1</v>
      </c>
      <c r="AS47" s="146">
        <f t="shared" ca="1" si="88"/>
        <v>0</v>
      </c>
      <c r="AT47" s="146">
        <f t="shared" ca="1" si="89"/>
        <v>1</v>
      </c>
      <c r="AU47" s="146" t="str">
        <f t="shared" si="80"/>
        <v>N/A</v>
      </c>
      <c r="AV47" s="146">
        <f t="shared" si="80"/>
        <v>0</v>
      </c>
      <c r="AW47" s="146">
        <f t="shared" si="90"/>
        <v>0</v>
      </c>
      <c r="AX47" s="146">
        <f t="shared" ca="1" si="91"/>
        <v>0</v>
      </c>
      <c r="AY47" s="146">
        <f t="shared" ca="1" si="92"/>
        <v>0</v>
      </c>
      <c r="AZ47" s="147"/>
      <c r="BA47" s="144" t="s">
        <v>140</v>
      </c>
      <c r="BB47" s="144" t="s">
        <v>140</v>
      </c>
      <c r="BC47" s="144" t="s">
        <v>141</v>
      </c>
      <c r="BD47" s="144" t="s">
        <v>140</v>
      </c>
      <c r="BE47" s="146">
        <v>0.1</v>
      </c>
      <c r="BF47" s="148"/>
      <c r="BG47" s="146"/>
      <c r="BH47" s="117"/>
      <c r="BI47" s="117"/>
      <c r="BJ47" s="149"/>
      <c r="BK47" s="150" t="s">
        <v>149</v>
      </c>
      <c r="BL47" s="151">
        <v>0</v>
      </c>
      <c r="BM47" s="151">
        <v>0</v>
      </c>
      <c r="BN47" s="151">
        <v>0</v>
      </c>
      <c r="BO47" s="151">
        <v>0</v>
      </c>
      <c r="BP47" s="151">
        <v>0</v>
      </c>
      <c r="BQ47" s="151">
        <v>0</v>
      </c>
      <c r="BR47" s="151">
        <v>0</v>
      </c>
      <c r="BS47" s="117" t="s">
        <v>150</v>
      </c>
      <c r="BT47" s="117"/>
      <c r="BU47" s="155"/>
      <c r="BV47" s="117"/>
      <c r="BW47" s="117"/>
      <c r="BX47" s="149"/>
      <c r="BY47" s="117"/>
      <c r="BZ47" s="117"/>
      <c r="CA47" s="117"/>
      <c r="CB47" s="117">
        <f t="shared" si="93"/>
        <v>1</v>
      </c>
    </row>
    <row r="48" spans="1:80" ht="16.5" hidden="1" customHeight="1">
      <c r="A48" s="117">
        <v>106</v>
      </c>
      <c r="B48" s="154" t="s">
        <v>212</v>
      </c>
      <c r="C48" s="154" t="s">
        <v>894</v>
      </c>
      <c r="D48" s="154" t="s">
        <v>13</v>
      </c>
      <c r="E48" s="154" t="s">
        <v>231</v>
      </c>
      <c r="F48" s="154" t="s">
        <v>232</v>
      </c>
      <c r="G48" s="154" t="s">
        <v>146</v>
      </c>
      <c r="H48" s="146">
        <v>4335</v>
      </c>
      <c r="I48" s="147" t="s">
        <v>147</v>
      </c>
      <c r="J48" s="144">
        <v>2</v>
      </c>
      <c r="K48" s="145">
        <f t="shared" si="75"/>
        <v>1</v>
      </c>
      <c r="L48" s="144">
        <f t="shared" si="76"/>
        <v>2</v>
      </c>
      <c r="M48" s="146">
        <v>17</v>
      </c>
      <c r="N48" s="146">
        <f t="shared" si="77"/>
        <v>34</v>
      </c>
      <c r="O48" s="146" t="s">
        <v>137</v>
      </c>
      <c r="P48" s="146" t="s">
        <v>13</v>
      </c>
      <c r="Q48" s="146" t="s">
        <v>148</v>
      </c>
      <c r="R48" s="146"/>
      <c r="S48" s="146"/>
      <c r="T48" s="146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46">
        <f t="shared" ca="1" si="78"/>
        <v>2</v>
      </c>
      <c r="V48" s="146">
        <f t="shared" ca="1" si="79"/>
        <v>0</v>
      </c>
      <c r="W48" s="146"/>
      <c r="X48" s="146"/>
      <c r="Y48" s="146"/>
      <c r="Z48" s="146"/>
      <c r="AA48" s="146"/>
      <c r="AB48" s="146"/>
      <c r="AC48" s="146">
        <v>1</v>
      </c>
      <c r="AD48" s="117" t="s">
        <v>142</v>
      </c>
      <c r="AE48" s="148"/>
      <c r="AF48" s="146" t="str">
        <f t="shared" si="80"/>
        <v>N/A</v>
      </c>
      <c r="AG48" s="146">
        <f t="shared" si="80"/>
        <v>0</v>
      </c>
      <c r="AH48" s="146">
        <f t="shared" si="81"/>
        <v>0</v>
      </c>
      <c r="AI48" s="146">
        <f t="shared" ca="1" si="82"/>
        <v>0</v>
      </c>
      <c r="AJ48" s="146">
        <f t="shared" ca="1" si="83"/>
        <v>0</v>
      </c>
      <c r="AK48" s="146" t="str">
        <f t="shared" si="80"/>
        <v>N/A</v>
      </c>
      <c r="AL48" s="146">
        <f t="shared" si="80"/>
        <v>0</v>
      </c>
      <c r="AM48" s="146">
        <f t="shared" si="84"/>
        <v>0</v>
      </c>
      <c r="AN48" s="146">
        <f t="shared" ca="1" si="85"/>
        <v>0</v>
      </c>
      <c r="AO48" s="146">
        <f t="shared" ca="1" si="86"/>
        <v>0</v>
      </c>
      <c r="AP48" s="146" t="str">
        <f t="shared" si="80"/>
        <v>AMC 2-S3</v>
      </c>
      <c r="AQ48" s="146">
        <f t="shared" si="80"/>
        <v>1</v>
      </c>
      <c r="AR48" s="146">
        <f t="shared" si="87"/>
        <v>2</v>
      </c>
      <c r="AS48" s="146">
        <f t="shared" ca="1" si="88"/>
        <v>0</v>
      </c>
      <c r="AT48" s="146">
        <f t="shared" ca="1" si="89"/>
        <v>2</v>
      </c>
      <c r="AU48" s="146" t="str">
        <f t="shared" si="80"/>
        <v>N/A</v>
      </c>
      <c r="AV48" s="146">
        <f t="shared" si="80"/>
        <v>0</v>
      </c>
      <c r="AW48" s="146">
        <f t="shared" si="90"/>
        <v>0</v>
      </c>
      <c r="AX48" s="146">
        <f t="shared" ca="1" si="91"/>
        <v>0</v>
      </c>
      <c r="AY48" s="146">
        <f t="shared" ca="1" si="92"/>
        <v>0</v>
      </c>
      <c r="AZ48" s="147"/>
      <c r="BA48" s="144" t="s">
        <v>140</v>
      </c>
      <c r="BB48" s="144" t="s">
        <v>140</v>
      </c>
      <c r="BC48" s="144" t="s">
        <v>141</v>
      </c>
      <c r="BD48" s="144" t="s">
        <v>140</v>
      </c>
      <c r="BE48" s="146">
        <v>0.5</v>
      </c>
      <c r="BF48" s="148"/>
      <c r="BG48" s="146"/>
      <c r="BH48" s="117"/>
      <c r="BI48" s="117"/>
      <c r="BJ48" s="149"/>
      <c r="BK48" s="150" t="s">
        <v>149</v>
      </c>
      <c r="BL48" s="151">
        <v>0</v>
      </c>
      <c r="BM48" s="151">
        <v>0</v>
      </c>
      <c r="BN48" s="151">
        <v>0</v>
      </c>
      <c r="BO48" s="151">
        <v>0</v>
      </c>
      <c r="BP48" s="151">
        <v>0</v>
      </c>
      <c r="BQ48" s="151">
        <v>0</v>
      </c>
      <c r="BR48" s="151">
        <v>0</v>
      </c>
      <c r="BS48" s="117" t="s">
        <v>150</v>
      </c>
      <c r="BT48" s="117"/>
      <c r="BU48" s="155"/>
      <c r="BV48" s="117"/>
      <c r="BW48" s="117"/>
      <c r="BX48" s="149"/>
      <c r="BY48" s="117"/>
      <c r="BZ48" s="117"/>
      <c r="CA48" s="117"/>
      <c r="CB48" s="117">
        <f t="shared" si="93"/>
        <v>2</v>
      </c>
    </row>
    <row r="49" spans="1:80" ht="16.5" hidden="1" customHeight="1">
      <c r="A49" s="133">
        <v>107</v>
      </c>
      <c r="B49" s="156" t="s">
        <v>233</v>
      </c>
      <c r="C49" s="156" t="s">
        <v>895</v>
      </c>
      <c r="D49" s="156"/>
      <c r="E49" s="156" t="s">
        <v>136</v>
      </c>
      <c r="F49" s="156"/>
      <c r="G49" s="156"/>
      <c r="H49" s="157"/>
      <c r="I49" s="159"/>
      <c r="J49" s="160" t="s">
        <v>136</v>
      </c>
      <c r="K49" s="138">
        <f>+AG49+AL49+AQ49+AV49</f>
        <v>1</v>
      </c>
      <c r="L49" s="160" t="s">
        <v>136</v>
      </c>
      <c r="M49" s="157"/>
      <c r="N49" s="157">
        <v>979.5</v>
      </c>
      <c r="O49" s="157" t="s">
        <v>137</v>
      </c>
      <c r="P49" s="157"/>
      <c r="Q49" s="157"/>
      <c r="R49" s="157"/>
      <c r="S49" s="157"/>
      <c r="T49" s="157"/>
      <c r="U49" s="157"/>
      <c r="V49" s="157"/>
      <c r="W49" s="135">
        <f ca="1">_xlfn.MINIFS(V:V,C:C,C49,AE:AE,"",AB:AB,"")</f>
        <v>0</v>
      </c>
      <c r="X49" s="135">
        <f ca="1">SUMIFS(T:T,C:C,C49,AE:AE,"")/SUMIFS(L:L,C:C,C49,AE:AE,"",AB:AB,"")</f>
        <v>0</v>
      </c>
      <c r="Y49" s="157"/>
      <c r="Z49" s="157"/>
      <c r="AA49" s="157"/>
      <c r="AB49" s="157"/>
      <c r="AC49" s="157">
        <v>25</v>
      </c>
      <c r="AD49" s="161" t="s">
        <v>142</v>
      </c>
      <c r="AE49" s="162" t="s">
        <v>143</v>
      </c>
      <c r="AF49" s="157" t="s">
        <v>138</v>
      </c>
      <c r="AG49" s="157">
        <v>0</v>
      </c>
      <c r="AH49" s="157"/>
      <c r="AI49" s="157"/>
      <c r="AJ49" s="157"/>
      <c r="AK49" s="157" t="s">
        <v>138</v>
      </c>
      <c r="AL49" s="157">
        <v>0</v>
      </c>
      <c r="AM49" s="157"/>
      <c r="AN49" s="157"/>
      <c r="AO49" s="157"/>
      <c r="AP49" s="157" t="s">
        <v>139</v>
      </c>
      <c r="AQ49" s="157">
        <v>1</v>
      </c>
      <c r="AR49" s="157"/>
      <c r="AS49" s="157"/>
      <c r="AT49" s="157"/>
      <c r="AU49" s="157" t="s">
        <v>138</v>
      </c>
      <c r="AV49" s="157">
        <v>0</v>
      </c>
      <c r="AW49" s="157"/>
      <c r="AX49" s="157"/>
      <c r="AY49" s="157"/>
      <c r="AZ49" s="136"/>
      <c r="BA49" s="137" t="s">
        <v>140</v>
      </c>
      <c r="BB49" s="137" t="s">
        <v>140</v>
      </c>
      <c r="BC49" s="137" t="s">
        <v>141</v>
      </c>
      <c r="BD49" s="137" t="s">
        <v>140</v>
      </c>
      <c r="BE49" s="157">
        <v>25</v>
      </c>
      <c r="BF49" s="162"/>
      <c r="BG49" s="157"/>
      <c r="BH49" s="161"/>
      <c r="BI49" s="161"/>
      <c r="BJ49" s="163"/>
      <c r="BK49" s="163"/>
      <c r="BL49" s="161"/>
      <c r="BM49" s="161"/>
      <c r="BN49" s="161"/>
      <c r="BO49" s="161"/>
      <c r="BP49" s="161"/>
      <c r="BQ49" s="161"/>
      <c r="BR49" s="161"/>
      <c r="BS49" s="161"/>
      <c r="BT49" s="161"/>
      <c r="BU49" s="164"/>
      <c r="BV49" s="161"/>
      <c r="BW49" s="161"/>
      <c r="BX49" s="163"/>
      <c r="BY49" s="161"/>
      <c r="BZ49" s="161"/>
      <c r="CA49" s="161"/>
      <c r="CB49" s="161"/>
    </row>
    <row r="50" spans="1:80" ht="16.5" hidden="1" customHeight="1">
      <c r="A50" s="117">
        <v>108</v>
      </c>
      <c r="B50" s="154" t="s">
        <v>233</v>
      </c>
      <c r="C50" s="154" t="s">
        <v>895</v>
      </c>
      <c r="D50" s="154" t="s">
        <v>13</v>
      </c>
      <c r="E50" s="154" t="s">
        <v>234</v>
      </c>
      <c r="F50" s="154" t="s">
        <v>235</v>
      </c>
      <c r="G50" s="154" t="s">
        <v>215</v>
      </c>
      <c r="H50" s="146">
        <v>550</v>
      </c>
      <c r="I50" s="147" t="s">
        <v>147</v>
      </c>
      <c r="J50" s="144">
        <v>1</v>
      </c>
      <c r="K50" s="145">
        <f t="shared" ref="K50:K58" si="94">K49</f>
        <v>1</v>
      </c>
      <c r="L50" s="144">
        <f t="shared" ref="L50:L58" si="95">+K50*J50</f>
        <v>1</v>
      </c>
      <c r="M50" s="146">
        <v>126.1</v>
      </c>
      <c r="N50" s="146">
        <f t="shared" ref="N50:N58" si="96">+M50*L50</f>
        <v>126.1</v>
      </c>
      <c r="O50" s="146" t="s">
        <v>137</v>
      </c>
      <c r="P50" s="146" t="s">
        <v>13</v>
      </c>
      <c r="Q50" s="146" t="s">
        <v>148</v>
      </c>
      <c r="R50" s="146"/>
      <c r="S50" s="146"/>
      <c r="T50" s="146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0</v>
      </c>
      <c r="U50" s="146">
        <f t="shared" ref="U50:U58" ca="1" si="97">+L50-T50</f>
        <v>1</v>
      </c>
      <c r="V50" s="146">
        <f t="shared" ref="V50:V58" ca="1" si="98">ROUNDDOWN(T50/J50,0)</f>
        <v>0</v>
      </c>
      <c r="W50" s="146"/>
      <c r="X50" s="146"/>
      <c r="Y50" s="146"/>
      <c r="Z50" s="146"/>
      <c r="AA50" s="146"/>
      <c r="AB50" s="146"/>
      <c r="AC50" s="146">
        <v>3.3</v>
      </c>
      <c r="AD50" s="117" t="s">
        <v>142</v>
      </c>
      <c r="AE50" s="148"/>
      <c r="AF50" s="146" t="str">
        <f t="shared" ref="AF50:AV58" si="99">AF49</f>
        <v>N/A</v>
      </c>
      <c r="AG50" s="146">
        <f t="shared" si="99"/>
        <v>0</v>
      </c>
      <c r="AH50" s="146">
        <f t="shared" ref="AH50:AH58" si="100">+AG50*J50</f>
        <v>0</v>
      </c>
      <c r="AI50" s="146">
        <f t="shared" ref="AI50:AI58" ca="1" si="101">MIN(T50,AH50)</f>
        <v>0</v>
      </c>
      <c r="AJ50" s="146">
        <f t="shared" ref="AJ50:AJ58" ca="1" si="102">+AH50-AI50</f>
        <v>0</v>
      </c>
      <c r="AK50" s="146" t="str">
        <f t="shared" si="99"/>
        <v>N/A</v>
      </c>
      <c r="AL50" s="146">
        <f t="shared" si="99"/>
        <v>0</v>
      </c>
      <c r="AM50" s="146">
        <f t="shared" ref="AM50:AM58" si="103">+AL50*J50</f>
        <v>0</v>
      </c>
      <c r="AN50" s="146">
        <f t="shared" ref="AN50:AN58" ca="1" si="104">MIN(T50-AI50,AL50)</f>
        <v>0</v>
      </c>
      <c r="AO50" s="146">
        <f t="shared" ref="AO50:AO58" ca="1" si="105">+AM50-AN50</f>
        <v>0</v>
      </c>
      <c r="AP50" s="146" t="str">
        <f t="shared" si="99"/>
        <v>AMC 2-S3</v>
      </c>
      <c r="AQ50" s="146">
        <f t="shared" si="99"/>
        <v>1</v>
      </c>
      <c r="AR50" s="146">
        <f t="shared" ref="AR50:AR58" si="106">+AQ50*J50</f>
        <v>1</v>
      </c>
      <c r="AS50" s="146">
        <f t="shared" ref="AS50:AS58" ca="1" si="107">MIN(T50-AI50-AN50,AR50)</f>
        <v>0</v>
      </c>
      <c r="AT50" s="146">
        <f t="shared" ref="AT50:AT58" ca="1" si="108">+AR50-AS50</f>
        <v>1</v>
      </c>
      <c r="AU50" s="146" t="str">
        <f t="shared" si="99"/>
        <v>N/A</v>
      </c>
      <c r="AV50" s="146">
        <f t="shared" si="99"/>
        <v>0</v>
      </c>
      <c r="AW50" s="146">
        <f t="shared" ref="AW50:AW58" si="109">+AV50*J50</f>
        <v>0</v>
      </c>
      <c r="AX50" s="146">
        <f t="shared" ref="AX50:AX58" ca="1" si="110">MIN(T50-AI50-AN50-AS50,AW50)</f>
        <v>0</v>
      </c>
      <c r="AY50" s="146">
        <f t="shared" ref="AY50:AY58" ca="1" si="111">+AW50-AX50</f>
        <v>0</v>
      </c>
      <c r="AZ50" s="147"/>
      <c r="BA50" s="144" t="s">
        <v>140</v>
      </c>
      <c r="BB50" s="144" t="s">
        <v>140</v>
      </c>
      <c r="BC50" s="144" t="s">
        <v>141</v>
      </c>
      <c r="BD50" s="144" t="s">
        <v>140</v>
      </c>
      <c r="BE50" s="146">
        <v>3.3</v>
      </c>
      <c r="BF50" s="148"/>
      <c r="BG50" s="146"/>
      <c r="BH50" s="117"/>
      <c r="BI50" s="117"/>
      <c r="BJ50" s="149"/>
      <c r="BK50" s="149"/>
      <c r="BL50" s="117"/>
      <c r="BM50" s="117"/>
      <c r="BN50" s="117"/>
      <c r="BO50" s="117"/>
      <c r="BP50" s="117"/>
      <c r="BQ50" s="117"/>
      <c r="BR50" s="117"/>
      <c r="BS50" s="117" t="s">
        <v>150</v>
      </c>
      <c r="BT50" s="117"/>
      <c r="BU50" s="155"/>
      <c r="BV50" s="117"/>
      <c r="BW50" s="117"/>
      <c r="BX50" s="149"/>
      <c r="BY50" s="117"/>
      <c r="BZ50" s="117"/>
      <c r="CA50" s="117"/>
      <c r="CB50" s="117">
        <f t="shared" ref="CB50:CB58" si="112">+L50-BW50</f>
        <v>1</v>
      </c>
    </row>
    <row r="51" spans="1:80" ht="16.5" hidden="1" customHeight="1">
      <c r="A51" s="117">
        <v>109</v>
      </c>
      <c r="B51" s="154" t="s">
        <v>233</v>
      </c>
      <c r="C51" s="154" t="s">
        <v>895</v>
      </c>
      <c r="D51" s="154" t="s">
        <v>13</v>
      </c>
      <c r="E51" s="154" t="s">
        <v>236</v>
      </c>
      <c r="F51" s="154" t="s">
        <v>237</v>
      </c>
      <c r="G51" s="154" t="s">
        <v>146</v>
      </c>
      <c r="H51" s="146">
        <v>548</v>
      </c>
      <c r="I51" s="147" t="s">
        <v>147</v>
      </c>
      <c r="J51" s="144">
        <v>1</v>
      </c>
      <c r="K51" s="145">
        <f t="shared" si="94"/>
        <v>1</v>
      </c>
      <c r="L51" s="144">
        <f t="shared" si="95"/>
        <v>1</v>
      </c>
      <c r="M51" s="146">
        <v>2.2000000000000002</v>
      </c>
      <c r="N51" s="146">
        <f t="shared" si="96"/>
        <v>2.2000000000000002</v>
      </c>
      <c r="O51" s="146" t="s">
        <v>137</v>
      </c>
      <c r="P51" s="146" t="s">
        <v>13</v>
      </c>
      <c r="Q51" s="146" t="s">
        <v>148</v>
      </c>
      <c r="R51" s="146"/>
      <c r="S51" s="146"/>
      <c r="T51" s="146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146">
        <f t="shared" ca="1" si="97"/>
        <v>1</v>
      </c>
      <c r="V51" s="146">
        <f t="shared" ca="1" si="98"/>
        <v>0</v>
      </c>
      <c r="W51" s="146"/>
      <c r="X51" s="146"/>
      <c r="Y51" s="146"/>
      <c r="Z51" s="146"/>
      <c r="AA51" s="146"/>
      <c r="AB51" s="146"/>
      <c r="AC51" s="146">
        <v>0.1</v>
      </c>
      <c r="AD51" s="117" t="s">
        <v>142</v>
      </c>
      <c r="AE51" s="148"/>
      <c r="AF51" s="146" t="str">
        <f t="shared" si="99"/>
        <v>N/A</v>
      </c>
      <c r="AG51" s="146">
        <f t="shared" si="99"/>
        <v>0</v>
      </c>
      <c r="AH51" s="146">
        <f t="shared" si="100"/>
        <v>0</v>
      </c>
      <c r="AI51" s="146">
        <f t="shared" ca="1" si="101"/>
        <v>0</v>
      </c>
      <c r="AJ51" s="146">
        <f t="shared" ca="1" si="102"/>
        <v>0</v>
      </c>
      <c r="AK51" s="146" t="str">
        <f t="shared" si="99"/>
        <v>N/A</v>
      </c>
      <c r="AL51" s="146">
        <f t="shared" si="99"/>
        <v>0</v>
      </c>
      <c r="AM51" s="146">
        <f t="shared" si="103"/>
        <v>0</v>
      </c>
      <c r="AN51" s="146">
        <f t="shared" ca="1" si="104"/>
        <v>0</v>
      </c>
      <c r="AO51" s="146">
        <f t="shared" ca="1" si="105"/>
        <v>0</v>
      </c>
      <c r="AP51" s="146" t="str">
        <f t="shared" si="99"/>
        <v>AMC 2-S3</v>
      </c>
      <c r="AQ51" s="146">
        <f t="shared" si="99"/>
        <v>1</v>
      </c>
      <c r="AR51" s="146">
        <f t="shared" si="106"/>
        <v>1</v>
      </c>
      <c r="AS51" s="146">
        <f t="shared" ca="1" si="107"/>
        <v>0</v>
      </c>
      <c r="AT51" s="146">
        <f t="shared" ca="1" si="108"/>
        <v>1</v>
      </c>
      <c r="AU51" s="146" t="str">
        <f t="shared" si="99"/>
        <v>N/A</v>
      </c>
      <c r="AV51" s="146">
        <f t="shared" si="99"/>
        <v>0</v>
      </c>
      <c r="AW51" s="146">
        <f t="shared" si="109"/>
        <v>0</v>
      </c>
      <c r="AX51" s="146">
        <f t="shared" ca="1" si="110"/>
        <v>0</v>
      </c>
      <c r="AY51" s="146">
        <f t="shared" ca="1" si="111"/>
        <v>0</v>
      </c>
      <c r="AZ51" s="147"/>
      <c r="BA51" s="144" t="s">
        <v>140</v>
      </c>
      <c r="BB51" s="144" t="s">
        <v>140</v>
      </c>
      <c r="BC51" s="144" t="s">
        <v>141</v>
      </c>
      <c r="BD51" s="144" t="s">
        <v>140</v>
      </c>
      <c r="BE51" s="146">
        <v>0.1</v>
      </c>
      <c r="BF51" s="148"/>
      <c r="BG51" s="146"/>
      <c r="BH51" s="117"/>
      <c r="BI51" s="117"/>
      <c r="BJ51" s="149"/>
      <c r="BK51" s="150" t="s">
        <v>149</v>
      </c>
      <c r="BL51" s="151">
        <v>0</v>
      </c>
      <c r="BM51" s="151">
        <v>0</v>
      </c>
      <c r="BN51" s="151">
        <v>0</v>
      </c>
      <c r="BO51" s="151">
        <v>0</v>
      </c>
      <c r="BP51" s="151">
        <v>0</v>
      </c>
      <c r="BQ51" s="151">
        <v>0</v>
      </c>
      <c r="BR51" s="151">
        <v>0</v>
      </c>
      <c r="BS51" s="117" t="s">
        <v>150</v>
      </c>
      <c r="BT51" s="117"/>
      <c r="BU51" s="155"/>
      <c r="BV51" s="117"/>
      <c r="BW51" s="117"/>
      <c r="BX51" s="149"/>
      <c r="BY51" s="117"/>
      <c r="BZ51" s="117"/>
      <c r="CA51" s="117"/>
      <c r="CB51" s="117">
        <f t="shared" si="112"/>
        <v>1</v>
      </c>
    </row>
    <row r="52" spans="1:80" ht="16.5" hidden="1" customHeight="1">
      <c r="A52" s="117">
        <v>110</v>
      </c>
      <c r="B52" s="154" t="s">
        <v>233</v>
      </c>
      <c r="C52" s="154" t="s">
        <v>895</v>
      </c>
      <c r="D52" s="154" t="s">
        <v>13</v>
      </c>
      <c r="E52" s="154" t="s">
        <v>218</v>
      </c>
      <c r="F52" s="154" t="s">
        <v>238</v>
      </c>
      <c r="G52" s="154" t="s">
        <v>220</v>
      </c>
      <c r="H52" s="146">
        <v>4558</v>
      </c>
      <c r="I52" s="147" t="s">
        <v>147</v>
      </c>
      <c r="J52" s="144">
        <v>1</v>
      </c>
      <c r="K52" s="145">
        <f t="shared" si="94"/>
        <v>1</v>
      </c>
      <c r="L52" s="144">
        <f t="shared" si="95"/>
        <v>1</v>
      </c>
      <c r="M52" s="146">
        <v>93.5</v>
      </c>
      <c r="N52" s="146">
        <f t="shared" si="96"/>
        <v>93.5</v>
      </c>
      <c r="O52" s="146" t="s">
        <v>137</v>
      </c>
      <c r="P52" s="146" t="s">
        <v>13</v>
      </c>
      <c r="Q52" s="146" t="s">
        <v>148</v>
      </c>
      <c r="R52" s="146"/>
      <c r="S52" s="146"/>
      <c r="T52" s="146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0</v>
      </c>
      <c r="U52" s="146">
        <f t="shared" ca="1" si="97"/>
        <v>1</v>
      </c>
      <c r="V52" s="146">
        <f t="shared" ca="1" si="98"/>
        <v>0</v>
      </c>
      <c r="W52" s="146"/>
      <c r="X52" s="146"/>
      <c r="Y52" s="146"/>
      <c r="Z52" s="146"/>
      <c r="AA52" s="146"/>
      <c r="AB52" s="146"/>
      <c r="AC52" s="146">
        <v>2.1</v>
      </c>
      <c r="AD52" s="117" t="s">
        <v>142</v>
      </c>
      <c r="AE52" s="148"/>
      <c r="AF52" s="146" t="str">
        <f t="shared" si="99"/>
        <v>N/A</v>
      </c>
      <c r="AG52" s="146">
        <f t="shared" si="99"/>
        <v>0</v>
      </c>
      <c r="AH52" s="146">
        <f t="shared" si="100"/>
        <v>0</v>
      </c>
      <c r="AI52" s="146">
        <f t="shared" ca="1" si="101"/>
        <v>0</v>
      </c>
      <c r="AJ52" s="146">
        <f t="shared" ca="1" si="102"/>
        <v>0</v>
      </c>
      <c r="AK52" s="146" t="str">
        <f t="shared" si="99"/>
        <v>N/A</v>
      </c>
      <c r="AL52" s="146">
        <f t="shared" si="99"/>
        <v>0</v>
      </c>
      <c r="AM52" s="146">
        <f t="shared" si="103"/>
        <v>0</v>
      </c>
      <c r="AN52" s="146">
        <f t="shared" ca="1" si="104"/>
        <v>0</v>
      </c>
      <c r="AO52" s="146">
        <f t="shared" ca="1" si="105"/>
        <v>0</v>
      </c>
      <c r="AP52" s="146" t="str">
        <f t="shared" si="99"/>
        <v>AMC 2-S3</v>
      </c>
      <c r="AQ52" s="146">
        <f t="shared" si="99"/>
        <v>1</v>
      </c>
      <c r="AR52" s="146">
        <f t="shared" si="106"/>
        <v>1</v>
      </c>
      <c r="AS52" s="146">
        <f t="shared" ca="1" si="107"/>
        <v>0</v>
      </c>
      <c r="AT52" s="146">
        <f t="shared" ca="1" si="108"/>
        <v>1</v>
      </c>
      <c r="AU52" s="146" t="str">
        <f t="shared" si="99"/>
        <v>N/A</v>
      </c>
      <c r="AV52" s="146">
        <f t="shared" si="99"/>
        <v>0</v>
      </c>
      <c r="AW52" s="146">
        <f t="shared" si="109"/>
        <v>0</v>
      </c>
      <c r="AX52" s="146">
        <f t="shared" ca="1" si="110"/>
        <v>0</v>
      </c>
      <c r="AY52" s="146">
        <f t="shared" ca="1" si="111"/>
        <v>0</v>
      </c>
      <c r="AZ52" s="147"/>
      <c r="BA52" s="144" t="s">
        <v>140</v>
      </c>
      <c r="BB52" s="144" t="s">
        <v>140</v>
      </c>
      <c r="BC52" s="144" t="s">
        <v>141</v>
      </c>
      <c r="BD52" s="144" t="s">
        <v>140</v>
      </c>
      <c r="BE52" s="146">
        <v>2.1</v>
      </c>
      <c r="BF52" s="148"/>
      <c r="BG52" s="146"/>
      <c r="BH52" s="117"/>
      <c r="BI52" s="117"/>
      <c r="BJ52" s="149"/>
      <c r="BK52" s="150" t="s">
        <v>149</v>
      </c>
      <c r="BL52" s="151">
        <v>0</v>
      </c>
      <c r="BM52" s="151">
        <v>0</v>
      </c>
      <c r="BN52" s="151">
        <v>0</v>
      </c>
      <c r="BO52" s="151">
        <v>1</v>
      </c>
      <c r="BP52" s="151">
        <v>0</v>
      </c>
      <c r="BQ52" s="151">
        <v>0</v>
      </c>
      <c r="BR52" s="151">
        <v>0</v>
      </c>
      <c r="BS52" s="117" t="s">
        <v>150</v>
      </c>
      <c r="BT52" s="117"/>
      <c r="BU52" s="155"/>
      <c r="BV52" s="117"/>
      <c r="BW52" s="117"/>
      <c r="BX52" s="149"/>
      <c r="BY52" s="117"/>
      <c r="BZ52" s="117"/>
      <c r="CA52" s="117"/>
      <c r="CB52" s="117">
        <f t="shared" si="112"/>
        <v>1</v>
      </c>
    </row>
    <row r="53" spans="1:80" ht="16.5" hidden="1" customHeight="1">
      <c r="A53" s="117">
        <v>111</v>
      </c>
      <c r="B53" s="154" t="s">
        <v>233</v>
      </c>
      <c r="C53" s="154" t="s">
        <v>895</v>
      </c>
      <c r="D53" s="154" t="s">
        <v>13</v>
      </c>
      <c r="E53" s="154" t="s">
        <v>239</v>
      </c>
      <c r="F53" s="154" t="s">
        <v>240</v>
      </c>
      <c r="G53" s="154" t="s">
        <v>215</v>
      </c>
      <c r="H53" s="146">
        <v>1601</v>
      </c>
      <c r="I53" s="147" t="s">
        <v>147</v>
      </c>
      <c r="J53" s="144">
        <v>1</v>
      </c>
      <c r="K53" s="145">
        <f t="shared" si="94"/>
        <v>1</v>
      </c>
      <c r="L53" s="144">
        <f t="shared" si="95"/>
        <v>1</v>
      </c>
      <c r="M53" s="146">
        <v>418.7</v>
      </c>
      <c r="N53" s="146">
        <f t="shared" si="96"/>
        <v>418.7</v>
      </c>
      <c r="O53" s="146" t="s">
        <v>137</v>
      </c>
      <c r="P53" s="146" t="s">
        <v>13</v>
      </c>
      <c r="Q53" s="146" t="s">
        <v>148</v>
      </c>
      <c r="R53" s="146"/>
      <c r="S53" s="146"/>
      <c r="T53" s="146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0</v>
      </c>
      <c r="U53" s="146">
        <f t="shared" ca="1" si="97"/>
        <v>1</v>
      </c>
      <c r="V53" s="146">
        <f t="shared" ca="1" si="98"/>
        <v>0</v>
      </c>
      <c r="W53" s="146"/>
      <c r="X53" s="146"/>
      <c r="Y53" s="146"/>
      <c r="Z53" s="146"/>
      <c r="AA53" s="146"/>
      <c r="AB53" s="146"/>
      <c r="AC53" s="146">
        <v>10.8</v>
      </c>
      <c r="AD53" s="117" t="s">
        <v>142</v>
      </c>
      <c r="AE53" s="148"/>
      <c r="AF53" s="146" t="str">
        <f t="shared" si="99"/>
        <v>N/A</v>
      </c>
      <c r="AG53" s="146">
        <f t="shared" si="99"/>
        <v>0</v>
      </c>
      <c r="AH53" s="146">
        <f t="shared" si="100"/>
        <v>0</v>
      </c>
      <c r="AI53" s="146">
        <f t="shared" ca="1" si="101"/>
        <v>0</v>
      </c>
      <c r="AJ53" s="146">
        <f t="shared" ca="1" si="102"/>
        <v>0</v>
      </c>
      <c r="AK53" s="146" t="str">
        <f t="shared" si="99"/>
        <v>N/A</v>
      </c>
      <c r="AL53" s="146">
        <f t="shared" si="99"/>
        <v>0</v>
      </c>
      <c r="AM53" s="146">
        <f t="shared" si="103"/>
        <v>0</v>
      </c>
      <c r="AN53" s="146">
        <f t="shared" ca="1" si="104"/>
        <v>0</v>
      </c>
      <c r="AO53" s="146">
        <f t="shared" ca="1" si="105"/>
        <v>0</v>
      </c>
      <c r="AP53" s="146" t="str">
        <f t="shared" si="99"/>
        <v>AMC 2-S3</v>
      </c>
      <c r="AQ53" s="146">
        <f t="shared" si="99"/>
        <v>1</v>
      </c>
      <c r="AR53" s="146">
        <f t="shared" si="106"/>
        <v>1</v>
      </c>
      <c r="AS53" s="146">
        <f t="shared" ca="1" si="107"/>
        <v>0</v>
      </c>
      <c r="AT53" s="146">
        <f t="shared" ca="1" si="108"/>
        <v>1</v>
      </c>
      <c r="AU53" s="146" t="str">
        <f t="shared" si="99"/>
        <v>N/A</v>
      </c>
      <c r="AV53" s="146">
        <f t="shared" si="99"/>
        <v>0</v>
      </c>
      <c r="AW53" s="146">
        <f t="shared" si="109"/>
        <v>0</v>
      </c>
      <c r="AX53" s="146">
        <f t="shared" ca="1" si="110"/>
        <v>0</v>
      </c>
      <c r="AY53" s="146">
        <f t="shared" ca="1" si="111"/>
        <v>0</v>
      </c>
      <c r="AZ53" s="147"/>
      <c r="BA53" s="144" t="s">
        <v>140</v>
      </c>
      <c r="BB53" s="144" t="s">
        <v>140</v>
      </c>
      <c r="BC53" s="144" t="s">
        <v>141</v>
      </c>
      <c r="BD53" s="144" t="s">
        <v>140</v>
      </c>
      <c r="BE53" s="146">
        <v>10.8</v>
      </c>
      <c r="BF53" s="148"/>
      <c r="BG53" s="146"/>
      <c r="BH53" s="117"/>
      <c r="BI53" s="117"/>
      <c r="BJ53" s="149"/>
      <c r="BK53" s="149"/>
      <c r="BL53" s="117"/>
      <c r="BM53" s="117"/>
      <c r="BN53" s="117"/>
      <c r="BO53" s="117"/>
      <c r="BP53" s="117"/>
      <c r="BQ53" s="117"/>
      <c r="BR53" s="117"/>
      <c r="BS53" s="117" t="s">
        <v>150</v>
      </c>
      <c r="BT53" s="117"/>
      <c r="BU53" s="155"/>
      <c r="BV53" s="117"/>
      <c r="BW53" s="117"/>
      <c r="BX53" s="149"/>
      <c r="BY53" s="117"/>
      <c r="BZ53" s="117"/>
      <c r="CA53" s="117"/>
      <c r="CB53" s="117">
        <f t="shared" si="112"/>
        <v>1</v>
      </c>
    </row>
    <row r="54" spans="1:80" ht="16.5" hidden="1" customHeight="1">
      <c r="A54" s="117">
        <v>112</v>
      </c>
      <c r="B54" s="154" t="s">
        <v>233</v>
      </c>
      <c r="C54" s="154" t="s">
        <v>895</v>
      </c>
      <c r="D54" s="154" t="s">
        <v>13</v>
      </c>
      <c r="E54" s="154" t="s">
        <v>225</v>
      </c>
      <c r="F54" s="154" t="s">
        <v>241</v>
      </c>
      <c r="G54" s="154" t="s">
        <v>173</v>
      </c>
      <c r="H54" s="146">
        <v>4587</v>
      </c>
      <c r="I54" s="147" t="s">
        <v>147</v>
      </c>
      <c r="J54" s="144">
        <v>1</v>
      </c>
      <c r="K54" s="145">
        <f t="shared" si="94"/>
        <v>1</v>
      </c>
      <c r="L54" s="144">
        <f t="shared" si="95"/>
        <v>1</v>
      </c>
      <c r="M54" s="146">
        <v>86.3</v>
      </c>
      <c r="N54" s="146">
        <f t="shared" si="96"/>
        <v>86.3</v>
      </c>
      <c r="O54" s="146" t="s">
        <v>137</v>
      </c>
      <c r="P54" s="146" t="s">
        <v>13</v>
      </c>
      <c r="Q54" s="146" t="s">
        <v>148</v>
      </c>
      <c r="R54" s="146"/>
      <c r="S54" s="146"/>
      <c r="T54" s="146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146">
        <f t="shared" ca="1" si="97"/>
        <v>1</v>
      </c>
      <c r="V54" s="146">
        <f t="shared" ca="1" si="98"/>
        <v>0</v>
      </c>
      <c r="W54" s="146"/>
      <c r="X54" s="146"/>
      <c r="Y54" s="146"/>
      <c r="Z54" s="146"/>
      <c r="AA54" s="146"/>
      <c r="AB54" s="146"/>
      <c r="AC54" s="146">
        <v>1.9</v>
      </c>
      <c r="AD54" s="117" t="s">
        <v>142</v>
      </c>
      <c r="AE54" s="148"/>
      <c r="AF54" s="146" t="str">
        <f t="shared" si="99"/>
        <v>N/A</v>
      </c>
      <c r="AG54" s="146">
        <f t="shared" si="99"/>
        <v>0</v>
      </c>
      <c r="AH54" s="146">
        <f t="shared" si="100"/>
        <v>0</v>
      </c>
      <c r="AI54" s="146">
        <f t="shared" ca="1" si="101"/>
        <v>0</v>
      </c>
      <c r="AJ54" s="146">
        <f t="shared" ca="1" si="102"/>
        <v>0</v>
      </c>
      <c r="AK54" s="146" t="str">
        <f t="shared" si="99"/>
        <v>N/A</v>
      </c>
      <c r="AL54" s="146">
        <f t="shared" si="99"/>
        <v>0</v>
      </c>
      <c r="AM54" s="146">
        <f t="shared" si="103"/>
        <v>0</v>
      </c>
      <c r="AN54" s="146">
        <f t="shared" ca="1" si="104"/>
        <v>0</v>
      </c>
      <c r="AO54" s="146">
        <f t="shared" ca="1" si="105"/>
        <v>0</v>
      </c>
      <c r="AP54" s="146" t="str">
        <f t="shared" si="99"/>
        <v>AMC 2-S3</v>
      </c>
      <c r="AQ54" s="146">
        <f t="shared" si="99"/>
        <v>1</v>
      </c>
      <c r="AR54" s="146">
        <f t="shared" si="106"/>
        <v>1</v>
      </c>
      <c r="AS54" s="146">
        <f t="shared" ca="1" si="107"/>
        <v>0</v>
      </c>
      <c r="AT54" s="146">
        <f t="shared" ca="1" si="108"/>
        <v>1</v>
      </c>
      <c r="AU54" s="146" t="str">
        <f t="shared" si="99"/>
        <v>N/A</v>
      </c>
      <c r="AV54" s="146">
        <f t="shared" si="99"/>
        <v>0</v>
      </c>
      <c r="AW54" s="146">
        <f t="shared" si="109"/>
        <v>0</v>
      </c>
      <c r="AX54" s="146">
        <f t="shared" ca="1" si="110"/>
        <v>0</v>
      </c>
      <c r="AY54" s="146">
        <f t="shared" ca="1" si="111"/>
        <v>0</v>
      </c>
      <c r="AZ54" s="147"/>
      <c r="BA54" s="144" t="s">
        <v>140</v>
      </c>
      <c r="BB54" s="144" t="s">
        <v>140</v>
      </c>
      <c r="BC54" s="144" t="s">
        <v>141</v>
      </c>
      <c r="BD54" s="144" t="s">
        <v>140</v>
      </c>
      <c r="BE54" s="146">
        <v>1.9</v>
      </c>
      <c r="BF54" s="148"/>
      <c r="BG54" s="146"/>
      <c r="BH54" s="117"/>
      <c r="BI54" s="117"/>
      <c r="BJ54" s="149"/>
      <c r="BK54" s="150" t="s">
        <v>149</v>
      </c>
      <c r="BL54" s="151">
        <v>0</v>
      </c>
      <c r="BM54" s="151">
        <v>0</v>
      </c>
      <c r="BN54" s="151">
        <v>0</v>
      </c>
      <c r="BO54" s="151">
        <v>1</v>
      </c>
      <c r="BP54" s="151">
        <v>0</v>
      </c>
      <c r="BQ54" s="151">
        <v>0</v>
      </c>
      <c r="BR54" s="151">
        <v>0</v>
      </c>
      <c r="BS54" s="117" t="s">
        <v>150</v>
      </c>
      <c r="BT54" s="117"/>
      <c r="BU54" s="155"/>
      <c r="BV54" s="117"/>
      <c r="BW54" s="117"/>
      <c r="BX54" s="149"/>
      <c r="BY54" s="117"/>
      <c r="BZ54" s="117"/>
      <c r="CA54" s="117"/>
      <c r="CB54" s="117">
        <f t="shared" si="112"/>
        <v>1</v>
      </c>
    </row>
    <row r="55" spans="1:80" ht="16.5" hidden="1" customHeight="1">
      <c r="A55" s="117">
        <v>113</v>
      </c>
      <c r="B55" s="154" t="s">
        <v>233</v>
      </c>
      <c r="C55" s="154" t="s">
        <v>895</v>
      </c>
      <c r="D55" s="154" t="s">
        <v>13</v>
      </c>
      <c r="E55" s="154" t="s">
        <v>242</v>
      </c>
      <c r="F55" s="154" t="s">
        <v>243</v>
      </c>
      <c r="G55" s="154" t="s">
        <v>146</v>
      </c>
      <c r="H55" s="146">
        <v>1597</v>
      </c>
      <c r="I55" s="147" t="s">
        <v>147</v>
      </c>
      <c r="J55" s="144">
        <v>1</v>
      </c>
      <c r="K55" s="145">
        <f t="shared" si="94"/>
        <v>1</v>
      </c>
      <c r="L55" s="144">
        <f t="shared" si="95"/>
        <v>1</v>
      </c>
      <c r="M55" s="146">
        <v>6.3</v>
      </c>
      <c r="N55" s="146">
        <f t="shared" si="96"/>
        <v>6.3</v>
      </c>
      <c r="O55" s="146" t="s">
        <v>137</v>
      </c>
      <c r="P55" s="146" t="s">
        <v>13</v>
      </c>
      <c r="Q55" s="146" t="s">
        <v>148</v>
      </c>
      <c r="R55" s="146"/>
      <c r="S55" s="146"/>
      <c r="T55" s="146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146">
        <f t="shared" ca="1" si="97"/>
        <v>1</v>
      </c>
      <c r="V55" s="146">
        <f t="shared" ca="1" si="98"/>
        <v>0</v>
      </c>
      <c r="W55" s="146"/>
      <c r="X55" s="146"/>
      <c r="Y55" s="146"/>
      <c r="Z55" s="146"/>
      <c r="AA55" s="146"/>
      <c r="AB55" s="146"/>
      <c r="AC55" s="146">
        <v>0.2</v>
      </c>
      <c r="AD55" s="117" t="s">
        <v>142</v>
      </c>
      <c r="AE55" s="148"/>
      <c r="AF55" s="146" t="str">
        <f t="shared" si="99"/>
        <v>N/A</v>
      </c>
      <c r="AG55" s="146">
        <f t="shared" si="99"/>
        <v>0</v>
      </c>
      <c r="AH55" s="146">
        <f t="shared" si="100"/>
        <v>0</v>
      </c>
      <c r="AI55" s="146">
        <f t="shared" ca="1" si="101"/>
        <v>0</v>
      </c>
      <c r="AJ55" s="146">
        <f t="shared" ca="1" si="102"/>
        <v>0</v>
      </c>
      <c r="AK55" s="146" t="str">
        <f t="shared" si="99"/>
        <v>N/A</v>
      </c>
      <c r="AL55" s="146">
        <f t="shared" si="99"/>
        <v>0</v>
      </c>
      <c r="AM55" s="146">
        <f t="shared" si="103"/>
        <v>0</v>
      </c>
      <c r="AN55" s="146">
        <f t="shared" ca="1" si="104"/>
        <v>0</v>
      </c>
      <c r="AO55" s="146">
        <f t="shared" ca="1" si="105"/>
        <v>0</v>
      </c>
      <c r="AP55" s="146" t="str">
        <f t="shared" si="99"/>
        <v>AMC 2-S3</v>
      </c>
      <c r="AQ55" s="146">
        <f t="shared" si="99"/>
        <v>1</v>
      </c>
      <c r="AR55" s="146">
        <f t="shared" si="106"/>
        <v>1</v>
      </c>
      <c r="AS55" s="146">
        <f t="shared" ca="1" si="107"/>
        <v>0</v>
      </c>
      <c r="AT55" s="146">
        <f t="shared" ca="1" si="108"/>
        <v>1</v>
      </c>
      <c r="AU55" s="146" t="str">
        <f t="shared" si="99"/>
        <v>N/A</v>
      </c>
      <c r="AV55" s="146">
        <f t="shared" si="99"/>
        <v>0</v>
      </c>
      <c r="AW55" s="146">
        <f t="shared" si="109"/>
        <v>0</v>
      </c>
      <c r="AX55" s="146">
        <f t="shared" ca="1" si="110"/>
        <v>0</v>
      </c>
      <c r="AY55" s="146">
        <f t="shared" ca="1" si="111"/>
        <v>0</v>
      </c>
      <c r="AZ55" s="147"/>
      <c r="BA55" s="144" t="s">
        <v>140</v>
      </c>
      <c r="BB55" s="144" t="s">
        <v>140</v>
      </c>
      <c r="BC55" s="144" t="s">
        <v>141</v>
      </c>
      <c r="BD55" s="144" t="s">
        <v>140</v>
      </c>
      <c r="BE55" s="146">
        <v>0.2</v>
      </c>
      <c r="BF55" s="148"/>
      <c r="BG55" s="146"/>
      <c r="BH55" s="117"/>
      <c r="BI55" s="117"/>
      <c r="BJ55" s="149"/>
      <c r="BK55" s="150" t="s">
        <v>149</v>
      </c>
      <c r="BL55" s="151">
        <v>0</v>
      </c>
      <c r="BM55" s="151">
        <v>0</v>
      </c>
      <c r="BN55" s="151">
        <v>0</v>
      </c>
      <c r="BO55" s="151">
        <v>0</v>
      </c>
      <c r="BP55" s="151">
        <v>0</v>
      </c>
      <c r="BQ55" s="151">
        <v>0</v>
      </c>
      <c r="BR55" s="151">
        <v>0</v>
      </c>
      <c r="BS55" s="117" t="s">
        <v>150</v>
      </c>
      <c r="BT55" s="117"/>
      <c r="BU55" s="155"/>
      <c r="BV55" s="117"/>
      <c r="BW55" s="117"/>
      <c r="BX55" s="149"/>
      <c r="BY55" s="117"/>
      <c r="BZ55" s="117"/>
      <c r="CA55" s="117"/>
      <c r="CB55" s="117">
        <f t="shared" si="112"/>
        <v>1</v>
      </c>
    </row>
    <row r="56" spans="1:80" ht="16.5" hidden="1" customHeight="1">
      <c r="A56" s="117">
        <v>114</v>
      </c>
      <c r="B56" s="154" t="s">
        <v>233</v>
      </c>
      <c r="C56" s="154" t="s">
        <v>895</v>
      </c>
      <c r="D56" s="154" t="s">
        <v>13</v>
      </c>
      <c r="E56" s="154" t="s">
        <v>244</v>
      </c>
      <c r="F56" s="154" t="s">
        <v>245</v>
      </c>
      <c r="G56" s="154" t="s">
        <v>215</v>
      </c>
      <c r="H56" s="146">
        <v>900</v>
      </c>
      <c r="I56" s="147" t="s">
        <v>147</v>
      </c>
      <c r="J56" s="144">
        <v>1</v>
      </c>
      <c r="K56" s="145">
        <f t="shared" si="94"/>
        <v>1</v>
      </c>
      <c r="L56" s="144">
        <f t="shared" si="95"/>
        <v>1</v>
      </c>
      <c r="M56" s="146">
        <v>209.4</v>
      </c>
      <c r="N56" s="146">
        <f t="shared" si="96"/>
        <v>209.4</v>
      </c>
      <c r="O56" s="146" t="s">
        <v>137</v>
      </c>
      <c r="P56" s="146" t="s">
        <v>13</v>
      </c>
      <c r="Q56" s="146" t="s">
        <v>148</v>
      </c>
      <c r="R56" s="146"/>
      <c r="S56" s="146"/>
      <c r="T56" s="146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0</v>
      </c>
      <c r="U56" s="146">
        <f t="shared" ca="1" si="97"/>
        <v>1</v>
      </c>
      <c r="V56" s="146">
        <f t="shared" ca="1" si="98"/>
        <v>0</v>
      </c>
      <c r="W56" s="146"/>
      <c r="X56" s="146"/>
      <c r="Y56" s="146"/>
      <c r="Z56" s="146"/>
      <c r="AA56" s="146"/>
      <c r="AB56" s="146"/>
      <c r="AC56" s="146">
        <v>5.4</v>
      </c>
      <c r="AD56" s="117" t="s">
        <v>142</v>
      </c>
      <c r="AE56" s="148"/>
      <c r="AF56" s="146" t="str">
        <f t="shared" si="99"/>
        <v>N/A</v>
      </c>
      <c r="AG56" s="146">
        <f t="shared" si="99"/>
        <v>0</v>
      </c>
      <c r="AH56" s="146">
        <f t="shared" si="100"/>
        <v>0</v>
      </c>
      <c r="AI56" s="146">
        <f t="shared" ca="1" si="101"/>
        <v>0</v>
      </c>
      <c r="AJ56" s="146">
        <f t="shared" ca="1" si="102"/>
        <v>0</v>
      </c>
      <c r="AK56" s="146" t="str">
        <f t="shared" si="99"/>
        <v>N/A</v>
      </c>
      <c r="AL56" s="146">
        <f t="shared" si="99"/>
        <v>0</v>
      </c>
      <c r="AM56" s="146">
        <f t="shared" si="103"/>
        <v>0</v>
      </c>
      <c r="AN56" s="146">
        <f t="shared" ca="1" si="104"/>
        <v>0</v>
      </c>
      <c r="AO56" s="146">
        <f t="shared" ca="1" si="105"/>
        <v>0</v>
      </c>
      <c r="AP56" s="146" t="str">
        <f t="shared" si="99"/>
        <v>AMC 2-S3</v>
      </c>
      <c r="AQ56" s="146">
        <f t="shared" si="99"/>
        <v>1</v>
      </c>
      <c r="AR56" s="146">
        <f t="shared" si="106"/>
        <v>1</v>
      </c>
      <c r="AS56" s="146">
        <f t="shared" ca="1" si="107"/>
        <v>0</v>
      </c>
      <c r="AT56" s="146">
        <f t="shared" ca="1" si="108"/>
        <v>1</v>
      </c>
      <c r="AU56" s="146" t="str">
        <f t="shared" si="99"/>
        <v>N/A</v>
      </c>
      <c r="AV56" s="146">
        <f t="shared" si="99"/>
        <v>0</v>
      </c>
      <c r="AW56" s="146">
        <f t="shared" si="109"/>
        <v>0</v>
      </c>
      <c r="AX56" s="146">
        <f t="shared" ca="1" si="110"/>
        <v>0</v>
      </c>
      <c r="AY56" s="146">
        <f t="shared" ca="1" si="111"/>
        <v>0</v>
      </c>
      <c r="AZ56" s="147"/>
      <c r="BA56" s="144" t="s">
        <v>140</v>
      </c>
      <c r="BB56" s="144" t="s">
        <v>140</v>
      </c>
      <c r="BC56" s="144" t="s">
        <v>141</v>
      </c>
      <c r="BD56" s="144" t="s">
        <v>140</v>
      </c>
      <c r="BE56" s="146">
        <v>5.4</v>
      </c>
      <c r="BF56" s="148"/>
      <c r="BG56" s="146"/>
      <c r="BH56" s="117"/>
      <c r="BI56" s="117"/>
      <c r="BJ56" s="149"/>
      <c r="BK56" s="149"/>
      <c r="BL56" s="117"/>
      <c r="BM56" s="117"/>
      <c r="BN56" s="117"/>
      <c r="BO56" s="117"/>
      <c r="BP56" s="117"/>
      <c r="BQ56" s="117"/>
      <c r="BR56" s="117"/>
      <c r="BS56" s="117" t="s">
        <v>150</v>
      </c>
      <c r="BT56" s="117"/>
      <c r="BU56" s="155"/>
      <c r="BV56" s="117"/>
      <c r="BW56" s="117"/>
      <c r="BX56" s="149"/>
      <c r="BY56" s="117"/>
      <c r="BZ56" s="117"/>
      <c r="CA56" s="117"/>
      <c r="CB56" s="117">
        <f t="shared" si="112"/>
        <v>1</v>
      </c>
    </row>
    <row r="57" spans="1:80" ht="16.5" hidden="1" customHeight="1">
      <c r="A57" s="117">
        <v>115</v>
      </c>
      <c r="B57" s="154" t="s">
        <v>233</v>
      </c>
      <c r="C57" s="154" t="s">
        <v>895</v>
      </c>
      <c r="D57" s="154" t="s">
        <v>13</v>
      </c>
      <c r="E57" s="154" t="s">
        <v>246</v>
      </c>
      <c r="F57" s="154" t="s">
        <v>247</v>
      </c>
      <c r="G57" s="154" t="s">
        <v>146</v>
      </c>
      <c r="H57" s="146">
        <v>899</v>
      </c>
      <c r="I57" s="147" t="s">
        <v>147</v>
      </c>
      <c r="J57" s="144">
        <v>1</v>
      </c>
      <c r="K57" s="145">
        <f t="shared" si="94"/>
        <v>1</v>
      </c>
      <c r="L57" s="144">
        <f t="shared" si="95"/>
        <v>1</v>
      </c>
      <c r="M57" s="146">
        <v>3.1</v>
      </c>
      <c r="N57" s="146">
        <f t="shared" si="96"/>
        <v>3.1</v>
      </c>
      <c r="O57" s="146" t="s">
        <v>137</v>
      </c>
      <c r="P57" s="146" t="s">
        <v>13</v>
      </c>
      <c r="Q57" s="146" t="s">
        <v>148</v>
      </c>
      <c r="R57" s="146"/>
      <c r="S57" s="146"/>
      <c r="T57" s="146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146">
        <f t="shared" ca="1" si="97"/>
        <v>1</v>
      </c>
      <c r="V57" s="146">
        <f t="shared" ca="1" si="98"/>
        <v>0</v>
      </c>
      <c r="W57" s="146"/>
      <c r="X57" s="146"/>
      <c r="Y57" s="146"/>
      <c r="Z57" s="146"/>
      <c r="AA57" s="146"/>
      <c r="AB57" s="146"/>
      <c r="AC57" s="146">
        <v>0.1</v>
      </c>
      <c r="AD57" s="117" t="s">
        <v>142</v>
      </c>
      <c r="AE57" s="148"/>
      <c r="AF57" s="146" t="str">
        <f t="shared" si="99"/>
        <v>N/A</v>
      </c>
      <c r="AG57" s="146">
        <f t="shared" si="99"/>
        <v>0</v>
      </c>
      <c r="AH57" s="146">
        <f t="shared" si="100"/>
        <v>0</v>
      </c>
      <c r="AI57" s="146">
        <f t="shared" ca="1" si="101"/>
        <v>0</v>
      </c>
      <c r="AJ57" s="146">
        <f t="shared" ca="1" si="102"/>
        <v>0</v>
      </c>
      <c r="AK57" s="146" t="str">
        <f t="shared" si="99"/>
        <v>N/A</v>
      </c>
      <c r="AL57" s="146">
        <f t="shared" si="99"/>
        <v>0</v>
      </c>
      <c r="AM57" s="146">
        <f t="shared" si="103"/>
        <v>0</v>
      </c>
      <c r="AN57" s="146">
        <f t="shared" ca="1" si="104"/>
        <v>0</v>
      </c>
      <c r="AO57" s="146">
        <f t="shared" ca="1" si="105"/>
        <v>0</v>
      </c>
      <c r="AP57" s="146" t="str">
        <f t="shared" si="99"/>
        <v>AMC 2-S3</v>
      </c>
      <c r="AQ57" s="146">
        <f t="shared" si="99"/>
        <v>1</v>
      </c>
      <c r="AR57" s="146">
        <f t="shared" si="106"/>
        <v>1</v>
      </c>
      <c r="AS57" s="146">
        <f t="shared" ca="1" si="107"/>
        <v>0</v>
      </c>
      <c r="AT57" s="146">
        <f t="shared" ca="1" si="108"/>
        <v>1</v>
      </c>
      <c r="AU57" s="146" t="str">
        <f t="shared" si="99"/>
        <v>N/A</v>
      </c>
      <c r="AV57" s="146">
        <f t="shared" si="99"/>
        <v>0</v>
      </c>
      <c r="AW57" s="146">
        <f t="shared" si="109"/>
        <v>0</v>
      </c>
      <c r="AX57" s="146">
        <f t="shared" ca="1" si="110"/>
        <v>0</v>
      </c>
      <c r="AY57" s="146">
        <f t="shared" ca="1" si="111"/>
        <v>0</v>
      </c>
      <c r="AZ57" s="147"/>
      <c r="BA57" s="144" t="s">
        <v>140</v>
      </c>
      <c r="BB57" s="144" t="s">
        <v>140</v>
      </c>
      <c r="BC57" s="144" t="s">
        <v>141</v>
      </c>
      <c r="BD57" s="144" t="s">
        <v>140</v>
      </c>
      <c r="BE57" s="146">
        <v>0.1</v>
      </c>
      <c r="BF57" s="148"/>
      <c r="BG57" s="146"/>
      <c r="BH57" s="117"/>
      <c r="BI57" s="117"/>
      <c r="BJ57" s="149"/>
      <c r="BK57" s="150" t="s">
        <v>149</v>
      </c>
      <c r="BL57" s="151">
        <v>0</v>
      </c>
      <c r="BM57" s="151">
        <v>0</v>
      </c>
      <c r="BN57" s="151">
        <v>0</v>
      </c>
      <c r="BO57" s="151">
        <v>0</v>
      </c>
      <c r="BP57" s="151">
        <v>0</v>
      </c>
      <c r="BQ57" s="151">
        <v>0</v>
      </c>
      <c r="BR57" s="151">
        <v>0</v>
      </c>
      <c r="BS57" s="117" t="s">
        <v>150</v>
      </c>
      <c r="BT57" s="117"/>
      <c r="BU57" s="155"/>
      <c r="BV57" s="117"/>
      <c r="BW57" s="117"/>
      <c r="BX57" s="149"/>
      <c r="BY57" s="117"/>
      <c r="BZ57" s="117"/>
      <c r="CA57" s="117"/>
      <c r="CB57" s="117">
        <f t="shared" si="112"/>
        <v>1</v>
      </c>
    </row>
    <row r="58" spans="1:80" ht="16.5" hidden="1" customHeight="1">
      <c r="A58" s="117">
        <v>116</v>
      </c>
      <c r="B58" s="154" t="s">
        <v>233</v>
      </c>
      <c r="C58" s="154" t="s">
        <v>895</v>
      </c>
      <c r="D58" s="154" t="s">
        <v>13</v>
      </c>
      <c r="E58" s="154" t="s">
        <v>231</v>
      </c>
      <c r="F58" s="154" t="s">
        <v>248</v>
      </c>
      <c r="G58" s="154" t="s">
        <v>146</v>
      </c>
      <c r="H58" s="146">
        <v>4335</v>
      </c>
      <c r="I58" s="147" t="s">
        <v>147</v>
      </c>
      <c r="J58" s="144">
        <v>2</v>
      </c>
      <c r="K58" s="145">
        <f t="shared" si="94"/>
        <v>1</v>
      </c>
      <c r="L58" s="144">
        <f t="shared" si="95"/>
        <v>2</v>
      </c>
      <c r="M58" s="146">
        <v>17</v>
      </c>
      <c r="N58" s="146">
        <f t="shared" si="96"/>
        <v>34</v>
      </c>
      <c r="O58" s="146" t="s">
        <v>137</v>
      </c>
      <c r="P58" s="146" t="s">
        <v>13</v>
      </c>
      <c r="Q58" s="146" t="s">
        <v>148</v>
      </c>
      <c r="R58" s="146"/>
      <c r="S58" s="146"/>
      <c r="T58" s="146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0</v>
      </c>
      <c r="U58" s="146">
        <f t="shared" ca="1" si="97"/>
        <v>2</v>
      </c>
      <c r="V58" s="146">
        <f t="shared" ca="1" si="98"/>
        <v>0</v>
      </c>
      <c r="W58" s="146"/>
      <c r="X58" s="146"/>
      <c r="Y58" s="146"/>
      <c r="Z58" s="146"/>
      <c r="AA58" s="146"/>
      <c r="AB58" s="146"/>
      <c r="AC58" s="146">
        <v>1</v>
      </c>
      <c r="AD58" s="117" t="s">
        <v>142</v>
      </c>
      <c r="AE58" s="148"/>
      <c r="AF58" s="146" t="str">
        <f t="shared" si="99"/>
        <v>N/A</v>
      </c>
      <c r="AG58" s="146">
        <f t="shared" si="99"/>
        <v>0</v>
      </c>
      <c r="AH58" s="146">
        <f t="shared" si="100"/>
        <v>0</v>
      </c>
      <c r="AI58" s="146">
        <f t="shared" ca="1" si="101"/>
        <v>0</v>
      </c>
      <c r="AJ58" s="146">
        <f t="shared" ca="1" si="102"/>
        <v>0</v>
      </c>
      <c r="AK58" s="146" t="str">
        <f t="shared" si="99"/>
        <v>N/A</v>
      </c>
      <c r="AL58" s="146">
        <f t="shared" si="99"/>
        <v>0</v>
      </c>
      <c r="AM58" s="146">
        <f t="shared" si="103"/>
        <v>0</v>
      </c>
      <c r="AN58" s="146">
        <f t="shared" ca="1" si="104"/>
        <v>0</v>
      </c>
      <c r="AO58" s="146">
        <f t="shared" ca="1" si="105"/>
        <v>0</v>
      </c>
      <c r="AP58" s="146" t="str">
        <f t="shared" si="99"/>
        <v>AMC 2-S3</v>
      </c>
      <c r="AQ58" s="146">
        <f t="shared" si="99"/>
        <v>1</v>
      </c>
      <c r="AR58" s="146">
        <f t="shared" si="106"/>
        <v>2</v>
      </c>
      <c r="AS58" s="146">
        <f t="shared" ca="1" si="107"/>
        <v>0</v>
      </c>
      <c r="AT58" s="146">
        <f t="shared" ca="1" si="108"/>
        <v>2</v>
      </c>
      <c r="AU58" s="146" t="str">
        <f t="shared" si="99"/>
        <v>N/A</v>
      </c>
      <c r="AV58" s="146">
        <f t="shared" si="99"/>
        <v>0</v>
      </c>
      <c r="AW58" s="146">
        <f t="shared" si="109"/>
        <v>0</v>
      </c>
      <c r="AX58" s="146">
        <f t="shared" ca="1" si="110"/>
        <v>0</v>
      </c>
      <c r="AY58" s="146">
        <f t="shared" ca="1" si="111"/>
        <v>0</v>
      </c>
      <c r="AZ58" s="147"/>
      <c r="BA58" s="144" t="s">
        <v>140</v>
      </c>
      <c r="BB58" s="144" t="s">
        <v>140</v>
      </c>
      <c r="BC58" s="144" t="s">
        <v>141</v>
      </c>
      <c r="BD58" s="144" t="s">
        <v>140</v>
      </c>
      <c r="BE58" s="146">
        <v>0.5</v>
      </c>
      <c r="BF58" s="148"/>
      <c r="BG58" s="146"/>
      <c r="BH58" s="117"/>
      <c r="BI58" s="117"/>
      <c r="BJ58" s="149"/>
      <c r="BK58" s="150" t="s">
        <v>149</v>
      </c>
      <c r="BL58" s="151">
        <v>0</v>
      </c>
      <c r="BM58" s="151">
        <v>0</v>
      </c>
      <c r="BN58" s="151">
        <v>0</v>
      </c>
      <c r="BO58" s="151">
        <v>0</v>
      </c>
      <c r="BP58" s="151">
        <v>0</v>
      </c>
      <c r="BQ58" s="151">
        <v>0</v>
      </c>
      <c r="BR58" s="151">
        <v>0</v>
      </c>
      <c r="BS58" s="117" t="s">
        <v>150</v>
      </c>
      <c r="BT58" s="117"/>
      <c r="BU58" s="155"/>
      <c r="BV58" s="117"/>
      <c r="BW58" s="117"/>
      <c r="BX58" s="149"/>
      <c r="BY58" s="117"/>
      <c r="BZ58" s="117"/>
      <c r="CA58" s="117"/>
      <c r="CB58" s="117">
        <f t="shared" si="112"/>
        <v>2</v>
      </c>
    </row>
    <row r="59" spans="1:80" ht="16.5" hidden="1" customHeight="1">
      <c r="A59" s="133">
        <v>141</v>
      </c>
      <c r="B59" s="156" t="s">
        <v>249</v>
      </c>
      <c r="C59" s="156" t="s">
        <v>896</v>
      </c>
      <c r="D59" s="156"/>
      <c r="E59" s="156" t="s">
        <v>136</v>
      </c>
      <c r="F59" s="156"/>
      <c r="G59" s="156"/>
      <c r="H59" s="157"/>
      <c r="I59" s="159"/>
      <c r="J59" s="160" t="s">
        <v>136</v>
      </c>
      <c r="K59" s="138">
        <f>+AG59+AL59+AQ59+AV59</f>
        <v>8</v>
      </c>
      <c r="L59" s="160" t="s">
        <v>136</v>
      </c>
      <c r="M59" s="157"/>
      <c r="N59" s="157">
        <v>16858.099999999999</v>
      </c>
      <c r="O59" s="157" t="s">
        <v>137</v>
      </c>
      <c r="P59" s="157"/>
      <c r="Q59" s="157"/>
      <c r="R59" s="157"/>
      <c r="S59" s="157"/>
      <c r="T59" s="157"/>
      <c r="U59" s="157"/>
      <c r="V59" s="157"/>
      <c r="W59" s="135">
        <f ca="1">_xlfn.MINIFS(V:V,C:C,C59,AE:AE,"",AB:AB,"")</f>
        <v>6</v>
      </c>
      <c r="X59" s="135">
        <f ca="1">SUMIFS(T:T,C:C,C59,AE:AE,"")/SUMIFS(L:L,C:C,C59,AE:AE,"",AB:AB,"")</f>
        <v>0.9642857142857143</v>
      </c>
      <c r="Y59" s="157"/>
      <c r="Z59" s="157"/>
      <c r="AA59" s="157"/>
      <c r="AB59" s="157"/>
      <c r="AC59" s="157">
        <v>421.2</v>
      </c>
      <c r="AD59" s="161" t="s">
        <v>251</v>
      </c>
      <c r="AE59" s="162" t="s">
        <v>143</v>
      </c>
      <c r="AF59" s="157" t="s">
        <v>138</v>
      </c>
      <c r="AG59" s="157">
        <v>0</v>
      </c>
      <c r="AH59" s="157"/>
      <c r="AI59" s="157"/>
      <c r="AJ59" s="157"/>
      <c r="AK59" s="157" t="s">
        <v>250</v>
      </c>
      <c r="AL59" s="157">
        <v>4</v>
      </c>
      <c r="AM59" s="157"/>
      <c r="AN59" s="157"/>
      <c r="AO59" s="157"/>
      <c r="AP59" s="157" t="s">
        <v>250</v>
      </c>
      <c r="AQ59" s="157">
        <v>4</v>
      </c>
      <c r="AR59" s="157"/>
      <c r="AS59" s="157"/>
      <c r="AT59" s="157"/>
      <c r="AU59" s="157" t="s">
        <v>138</v>
      </c>
      <c r="AV59" s="157">
        <v>0</v>
      </c>
      <c r="AW59" s="157"/>
      <c r="AX59" s="157"/>
      <c r="AY59" s="157"/>
      <c r="AZ59" s="136"/>
      <c r="BA59" s="137" t="s">
        <v>140</v>
      </c>
      <c r="BB59" s="137" t="s">
        <v>141</v>
      </c>
      <c r="BC59" s="137" t="s">
        <v>141</v>
      </c>
      <c r="BD59" s="137" t="s">
        <v>140</v>
      </c>
      <c r="BE59" s="157">
        <v>52.7</v>
      </c>
      <c r="BF59" s="162"/>
      <c r="BG59" s="157"/>
      <c r="BH59" s="161"/>
      <c r="BI59" s="161" t="s">
        <v>252</v>
      </c>
      <c r="BJ59" s="163"/>
      <c r="BK59" s="163"/>
      <c r="BL59" s="161"/>
      <c r="BM59" s="161"/>
      <c r="BN59" s="161"/>
      <c r="BO59" s="161"/>
      <c r="BP59" s="161"/>
      <c r="BQ59" s="161"/>
      <c r="BR59" s="161"/>
      <c r="BS59" s="161"/>
      <c r="BT59" s="161"/>
      <c r="BU59" s="164"/>
      <c r="BV59" s="161"/>
      <c r="BW59" s="161"/>
      <c r="BX59" s="163"/>
      <c r="BY59" s="161"/>
      <c r="BZ59" s="161"/>
      <c r="CA59" s="161"/>
      <c r="CB59" s="161"/>
    </row>
    <row r="60" spans="1:80" ht="16.5" hidden="1" customHeight="1">
      <c r="A60" s="117">
        <v>142</v>
      </c>
      <c r="B60" s="154" t="s">
        <v>249</v>
      </c>
      <c r="C60" s="154" t="s">
        <v>896</v>
      </c>
      <c r="D60" s="154" t="s">
        <v>13</v>
      </c>
      <c r="E60" s="154" t="s">
        <v>253</v>
      </c>
      <c r="F60" s="154" t="s">
        <v>254</v>
      </c>
      <c r="G60" s="154" t="s">
        <v>255</v>
      </c>
      <c r="H60" s="146">
        <v>9985</v>
      </c>
      <c r="I60" s="147" t="s">
        <v>147</v>
      </c>
      <c r="J60" s="144">
        <v>1</v>
      </c>
      <c r="K60" s="145">
        <f t="shared" ref="K60:K63" si="113">K59</f>
        <v>8</v>
      </c>
      <c r="L60" s="144">
        <f t="shared" ref="L60:L63" si="114">+K60*J60</f>
        <v>8</v>
      </c>
      <c r="M60" s="146">
        <v>1843.6</v>
      </c>
      <c r="N60" s="146">
        <f t="shared" ref="N60:N63" si="115">+M60*L60</f>
        <v>14748.8</v>
      </c>
      <c r="O60" s="146" t="s">
        <v>137</v>
      </c>
      <c r="P60" s="146" t="s">
        <v>13</v>
      </c>
      <c r="Q60" s="146" t="s">
        <v>154</v>
      </c>
      <c r="R60" s="146"/>
      <c r="S60" s="146"/>
      <c r="T60" s="146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8</v>
      </c>
      <c r="U60" s="146">
        <f t="shared" ref="U60:U63" ca="1" si="116">+L60-T60</f>
        <v>0</v>
      </c>
      <c r="V60" s="146">
        <f t="shared" ref="V60:V63" ca="1" si="117">ROUNDDOWN(T60/J60,0)</f>
        <v>8</v>
      </c>
      <c r="W60" s="146"/>
      <c r="X60" s="146"/>
      <c r="Y60" s="146"/>
      <c r="Z60" s="146"/>
      <c r="AA60" s="146"/>
      <c r="AB60" s="146"/>
      <c r="AC60" s="146">
        <v>47.2</v>
      </c>
      <c r="AD60" s="117" t="s">
        <v>256</v>
      </c>
      <c r="AE60" s="148"/>
      <c r="AF60" s="146" t="str">
        <f t="shared" ref="AF60:AV63" si="118">AF59</f>
        <v>N/A</v>
      </c>
      <c r="AG60" s="146">
        <f t="shared" si="118"/>
        <v>0</v>
      </c>
      <c r="AH60" s="146">
        <f t="shared" ref="AH60:AH63" si="119">+AG60*J60</f>
        <v>0</v>
      </c>
      <c r="AI60" s="146">
        <f t="shared" ref="AI60:AI63" ca="1" si="120">MIN(T60,AH60)</f>
        <v>0</v>
      </c>
      <c r="AJ60" s="146">
        <f t="shared" ref="AJ60:AJ63" ca="1" si="121">+AH60-AI60</f>
        <v>0</v>
      </c>
      <c r="AK60" s="146" t="str">
        <f t="shared" si="118"/>
        <v>AMC 2-S2</v>
      </c>
      <c r="AL60" s="146">
        <f t="shared" si="118"/>
        <v>4</v>
      </c>
      <c r="AM60" s="146">
        <f t="shared" ref="AM60:AM63" si="122">+AL60*J60</f>
        <v>4</v>
      </c>
      <c r="AN60" s="146">
        <f t="shared" ref="AN60:AN63" ca="1" si="123">MIN(T60-AI60,AL60)</f>
        <v>4</v>
      </c>
      <c r="AO60" s="146">
        <f t="shared" ref="AO60:AO63" ca="1" si="124">+AM60-AN60</f>
        <v>0</v>
      </c>
      <c r="AP60" s="146" t="str">
        <f t="shared" si="118"/>
        <v>AMC 2-S2</v>
      </c>
      <c r="AQ60" s="146">
        <f t="shared" si="118"/>
        <v>4</v>
      </c>
      <c r="AR60" s="146">
        <f t="shared" ref="AR60:AR63" si="125">+AQ60*J60</f>
        <v>4</v>
      </c>
      <c r="AS60" s="146">
        <f t="shared" ref="AS60:AS63" ca="1" si="126">MIN(T60-AI60-AN60,AR60)</f>
        <v>4</v>
      </c>
      <c r="AT60" s="146">
        <f t="shared" ref="AT60:AT63" ca="1" si="127">+AR60-AS60</f>
        <v>0</v>
      </c>
      <c r="AU60" s="146" t="str">
        <f t="shared" si="118"/>
        <v>N/A</v>
      </c>
      <c r="AV60" s="146">
        <f t="shared" si="118"/>
        <v>0</v>
      </c>
      <c r="AW60" s="146">
        <f t="shared" ref="AW60:AW63" si="128">+AV60*J60</f>
        <v>0</v>
      </c>
      <c r="AX60" s="146">
        <f t="shared" ref="AX60:AX63" ca="1" si="129">MIN(T60-AI60-AN60-AS60,AW60)</f>
        <v>0</v>
      </c>
      <c r="AY60" s="146">
        <f t="shared" ref="AY60:AY63" ca="1" si="130">+AW60-AX60</f>
        <v>0</v>
      </c>
      <c r="AZ60" s="147"/>
      <c r="BA60" s="144" t="s">
        <v>140</v>
      </c>
      <c r="BB60" s="144" t="s">
        <v>141</v>
      </c>
      <c r="BC60" s="144" t="s">
        <v>141</v>
      </c>
      <c r="BD60" s="144" t="s">
        <v>140</v>
      </c>
      <c r="BE60" s="146">
        <v>47.2</v>
      </c>
      <c r="BF60" s="148"/>
      <c r="BG60" s="146"/>
      <c r="BH60" s="117"/>
      <c r="BI60" s="141" t="s">
        <v>257</v>
      </c>
      <c r="BJ60" s="153"/>
      <c r="BK60" s="153"/>
      <c r="BL60" s="141">
        <v>0</v>
      </c>
      <c r="BM60" s="141">
        <v>1</v>
      </c>
      <c r="BN60" s="141">
        <v>0</v>
      </c>
      <c r="BO60" s="141">
        <v>1</v>
      </c>
      <c r="BP60" s="141">
        <v>0</v>
      </c>
      <c r="BQ60" s="141">
        <v>0</v>
      </c>
      <c r="BR60" s="141">
        <v>0</v>
      </c>
      <c r="BS60" s="117" t="s">
        <v>150</v>
      </c>
      <c r="BT60" s="117"/>
      <c r="BU60" s="155"/>
      <c r="BV60" s="117"/>
      <c r="BW60" s="117"/>
      <c r="BX60" s="149"/>
      <c r="BY60" s="117"/>
      <c r="BZ60" s="117"/>
      <c r="CA60" s="117"/>
      <c r="CB60" s="117">
        <f>+L60-BW60</f>
        <v>8</v>
      </c>
    </row>
    <row r="61" spans="1:80" ht="16.5" hidden="1" customHeight="1">
      <c r="A61" s="117">
        <v>143</v>
      </c>
      <c r="B61" s="154" t="s">
        <v>249</v>
      </c>
      <c r="C61" s="154" t="s">
        <v>896</v>
      </c>
      <c r="D61" s="154" t="s">
        <v>13</v>
      </c>
      <c r="E61" s="154" t="s">
        <v>258</v>
      </c>
      <c r="F61" s="154" t="s">
        <v>259</v>
      </c>
      <c r="G61" s="154" t="s">
        <v>146</v>
      </c>
      <c r="H61" s="146">
        <v>9985</v>
      </c>
      <c r="I61" s="147" t="s">
        <v>147</v>
      </c>
      <c r="J61" s="144">
        <v>1</v>
      </c>
      <c r="K61" s="145">
        <f t="shared" si="113"/>
        <v>8</v>
      </c>
      <c r="L61" s="144">
        <f t="shared" si="114"/>
        <v>8</v>
      </c>
      <c r="M61" s="146">
        <v>39.200000000000003</v>
      </c>
      <c r="N61" s="146">
        <f t="shared" si="115"/>
        <v>313.60000000000002</v>
      </c>
      <c r="O61" s="146" t="s">
        <v>137</v>
      </c>
      <c r="P61" s="146" t="s">
        <v>13</v>
      </c>
      <c r="Q61" s="146" t="s">
        <v>148</v>
      </c>
      <c r="R61" s="146"/>
      <c r="S61" s="146"/>
      <c r="T61" s="146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6</v>
      </c>
      <c r="U61" s="146">
        <f t="shared" ca="1" si="116"/>
        <v>2</v>
      </c>
      <c r="V61" s="146">
        <f t="shared" ca="1" si="117"/>
        <v>6</v>
      </c>
      <c r="W61" s="146"/>
      <c r="X61" s="146"/>
      <c r="Y61" s="146"/>
      <c r="Z61" s="146"/>
      <c r="AA61" s="146"/>
      <c r="AB61" s="146"/>
      <c r="AC61" s="146">
        <v>1.2</v>
      </c>
      <c r="AD61" s="117" t="s">
        <v>256</v>
      </c>
      <c r="AE61" s="148"/>
      <c r="AF61" s="146" t="str">
        <f t="shared" si="118"/>
        <v>N/A</v>
      </c>
      <c r="AG61" s="146">
        <f t="shared" si="118"/>
        <v>0</v>
      </c>
      <c r="AH61" s="146">
        <f t="shared" si="119"/>
        <v>0</v>
      </c>
      <c r="AI61" s="146">
        <f t="shared" ca="1" si="120"/>
        <v>0</v>
      </c>
      <c r="AJ61" s="146">
        <f t="shared" ca="1" si="121"/>
        <v>0</v>
      </c>
      <c r="AK61" s="146" t="str">
        <f t="shared" si="118"/>
        <v>AMC 2-S2</v>
      </c>
      <c r="AL61" s="146">
        <f t="shared" si="118"/>
        <v>4</v>
      </c>
      <c r="AM61" s="146">
        <f t="shared" si="122"/>
        <v>4</v>
      </c>
      <c r="AN61" s="146">
        <f t="shared" ca="1" si="123"/>
        <v>4</v>
      </c>
      <c r="AO61" s="146">
        <f t="shared" ca="1" si="124"/>
        <v>0</v>
      </c>
      <c r="AP61" s="146" t="str">
        <f t="shared" si="118"/>
        <v>AMC 2-S2</v>
      </c>
      <c r="AQ61" s="146">
        <f t="shared" si="118"/>
        <v>4</v>
      </c>
      <c r="AR61" s="146">
        <f t="shared" si="125"/>
        <v>4</v>
      </c>
      <c r="AS61" s="146">
        <f t="shared" ca="1" si="126"/>
        <v>2</v>
      </c>
      <c r="AT61" s="146">
        <f t="shared" ca="1" si="127"/>
        <v>2</v>
      </c>
      <c r="AU61" s="146" t="str">
        <f t="shared" si="118"/>
        <v>N/A</v>
      </c>
      <c r="AV61" s="146">
        <f t="shared" si="118"/>
        <v>0</v>
      </c>
      <c r="AW61" s="146">
        <f t="shared" si="128"/>
        <v>0</v>
      </c>
      <c r="AX61" s="146">
        <f t="shared" ca="1" si="129"/>
        <v>0</v>
      </c>
      <c r="AY61" s="146">
        <f t="shared" ca="1" si="130"/>
        <v>0</v>
      </c>
      <c r="AZ61" s="147"/>
      <c r="BA61" s="144" t="s">
        <v>140</v>
      </c>
      <c r="BB61" s="144" t="s">
        <v>141</v>
      </c>
      <c r="BC61" s="144" t="s">
        <v>141</v>
      </c>
      <c r="BD61" s="144" t="s">
        <v>140</v>
      </c>
      <c r="BE61" s="146">
        <v>1.2</v>
      </c>
      <c r="BF61" s="148"/>
      <c r="BG61" s="146"/>
      <c r="BH61" s="117"/>
      <c r="BI61" s="141" t="s">
        <v>257</v>
      </c>
      <c r="BJ61" s="153"/>
      <c r="BK61" s="153"/>
      <c r="BL61" s="141">
        <v>0</v>
      </c>
      <c r="BM61" s="141">
        <v>0</v>
      </c>
      <c r="BN61" s="141">
        <v>0</v>
      </c>
      <c r="BO61" s="141">
        <v>0</v>
      </c>
      <c r="BP61" s="141">
        <v>0</v>
      </c>
      <c r="BQ61" s="141">
        <v>0</v>
      </c>
      <c r="BR61" s="141">
        <v>0</v>
      </c>
      <c r="BS61" s="117" t="s">
        <v>150</v>
      </c>
      <c r="BT61" s="117"/>
      <c r="BU61" s="155"/>
      <c r="BV61" s="117"/>
      <c r="BW61" s="117"/>
      <c r="BX61" s="149"/>
      <c r="BY61" s="117"/>
      <c r="BZ61" s="117"/>
      <c r="CA61" s="117"/>
      <c r="CB61" s="117">
        <f>+L61-BW61</f>
        <v>8</v>
      </c>
    </row>
    <row r="62" spans="1:80" ht="16.5" hidden="1" customHeight="1">
      <c r="A62" s="117">
        <v>144</v>
      </c>
      <c r="B62" s="154" t="s">
        <v>249</v>
      </c>
      <c r="C62" s="154" t="s">
        <v>896</v>
      </c>
      <c r="D62" s="154" t="s">
        <v>13</v>
      </c>
      <c r="E62" s="154" t="s">
        <v>260</v>
      </c>
      <c r="F62" s="154" t="s">
        <v>261</v>
      </c>
      <c r="G62" s="154" t="s">
        <v>157</v>
      </c>
      <c r="H62" s="146">
        <v>2490</v>
      </c>
      <c r="I62" s="147" t="s">
        <v>147</v>
      </c>
      <c r="J62" s="144">
        <v>4</v>
      </c>
      <c r="K62" s="145">
        <f t="shared" si="113"/>
        <v>8</v>
      </c>
      <c r="L62" s="144">
        <f t="shared" si="114"/>
        <v>32</v>
      </c>
      <c r="M62" s="146">
        <v>43.9</v>
      </c>
      <c r="N62" s="146">
        <f t="shared" si="115"/>
        <v>1404.8</v>
      </c>
      <c r="O62" s="146" t="s">
        <v>137</v>
      </c>
      <c r="P62" s="146" t="s">
        <v>13</v>
      </c>
      <c r="Q62" s="146" t="s">
        <v>148</v>
      </c>
      <c r="R62" s="146"/>
      <c r="S62" s="146"/>
      <c r="T62" s="146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32</v>
      </c>
      <c r="U62" s="146">
        <f t="shared" ca="1" si="116"/>
        <v>0</v>
      </c>
      <c r="V62" s="146">
        <f t="shared" ca="1" si="117"/>
        <v>8</v>
      </c>
      <c r="W62" s="146"/>
      <c r="X62" s="146"/>
      <c r="Y62" s="146"/>
      <c r="Z62" s="146"/>
      <c r="AA62" s="146"/>
      <c r="AB62" s="146"/>
      <c r="AC62" s="146">
        <v>3.3</v>
      </c>
      <c r="AD62" s="117" t="s">
        <v>256</v>
      </c>
      <c r="AE62" s="148"/>
      <c r="AF62" s="146" t="str">
        <f t="shared" si="118"/>
        <v>N/A</v>
      </c>
      <c r="AG62" s="146">
        <f t="shared" si="118"/>
        <v>0</v>
      </c>
      <c r="AH62" s="146">
        <f t="shared" si="119"/>
        <v>0</v>
      </c>
      <c r="AI62" s="146">
        <f t="shared" ca="1" si="120"/>
        <v>0</v>
      </c>
      <c r="AJ62" s="146">
        <f t="shared" ca="1" si="121"/>
        <v>0</v>
      </c>
      <c r="AK62" s="146" t="str">
        <f t="shared" si="118"/>
        <v>AMC 2-S2</v>
      </c>
      <c r="AL62" s="146">
        <f t="shared" si="118"/>
        <v>4</v>
      </c>
      <c r="AM62" s="146">
        <f t="shared" si="122"/>
        <v>16</v>
      </c>
      <c r="AN62" s="146">
        <f t="shared" ca="1" si="123"/>
        <v>4</v>
      </c>
      <c r="AO62" s="146">
        <f t="shared" ca="1" si="124"/>
        <v>12</v>
      </c>
      <c r="AP62" s="146" t="str">
        <f t="shared" si="118"/>
        <v>AMC 2-S2</v>
      </c>
      <c r="AQ62" s="146">
        <f t="shared" si="118"/>
        <v>4</v>
      </c>
      <c r="AR62" s="146">
        <f t="shared" si="125"/>
        <v>16</v>
      </c>
      <c r="AS62" s="146">
        <f t="shared" ca="1" si="126"/>
        <v>16</v>
      </c>
      <c r="AT62" s="146">
        <f t="shared" ca="1" si="127"/>
        <v>0</v>
      </c>
      <c r="AU62" s="146" t="str">
        <f t="shared" si="118"/>
        <v>N/A</v>
      </c>
      <c r="AV62" s="146">
        <f t="shared" si="118"/>
        <v>0</v>
      </c>
      <c r="AW62" s="146">
        <f t="shared" si="128"/>
        <v>0</v>
      </c>
      <c r="AX62" s="146">
        <f t="shared" ca="1" si="129"/>
        <v>0</v>
      </c>
      <c r="AY62" s="146">
        <f t="shared" ca="1" si="130"/>
        <v>0</v>
      </c>
      <c r="AZ62" s="147"/>
      <c r="BA62" s="144" t="s">
        <v>140</v>
      </c>
      <c r="BB62" s="144" t="s">
        <v>141</v>
      </c>
      <c r="BC62" s="144" t="s">
        <v>141</v>
      </c>
      <c r="BD62" s="144" t="s">
        <v>140</v>
      </c>
      <c r="BE62" s="146">
        <v>0.8</v>
      </c>
      <c r="BF62" s="148"/>
      <c r="BG62" s="146"/>
      <c r="BH62" s="117"/>
      <c r="BI62" s="117"/>
      <c r="BJ62" s="149"/>
      <c r="BK62" s="149"/>
      <c r="BL62" s="117">
        <v>0</v>
      </c>
      <c r="BM62" s="117">
        <v>0</v>
      </c>
      <c r="BN62" s="117">
        <v>0</v>
      </c>
      <c r="BO62" s="117">
        <v>1</v>
      </c>
      <c r="BP62" s="117">
        <v>0</v>
      </c>
      <c r="BQ62" s="117">
        <v>0</v>
      </c>
      <c r="BR62" s="117">
        <v>0</v>
      </c>
      <c r="BS62" s="117" t="s">
        <v>150</v>
      </c>
      <c r="BT62" s="117"/>
      <c r="BU62" s="155"/>
      <c r="BV62" s="117"/>
      <c r="BW62" s="117"/>
      <c r="BX62" s="149"/>
      <c r="BY62" s="117"/>
      <c r="BZ62" s="117"/>
      <c r="CA62" s="117"/>
      <c r="CB62" s="117">
        <f>+L62-BW62</f>
        <v>32</v>
      </c>
    </row>
    <row r="63" spans="1:80" ht="16.5" hidden="1" customHeight="1">
      <c r="A63" s="117">
        <v>145</v>
      </c>
      <c r="B63" s="154" t="s">
        <v>249</v>
      </c>
      <c r="C63" s="154" t="s">
        <v>896</v>
      </c>
      <c r="D63" s="154" t="s">
        <v>13</v>
      </c>
      <c r="E63" s="154" t="s">
        <v>262</v>
      </c>
      <c r="F63" s="154" t="s">
        <v>263</v>
      </c>
      <c r="G63" s="154" t="s">
        <v>160</v>
      </c>
      <c r="H63" s="146">
        <v>2476</v>
      </c>
      <c r="I63" s="147" t="s">
        <v>147</v>
      </c>
      <c r="J63" s="144">
        <v>1</v>
      </c>
      <c r="K63" s="145">
        <f t="shared" si="113"/>
        <v>8</v>
      </c>
      <c r="L63" s="144">
        <f t="shared" si="114"/>
        <v>8</v>
      </c>
      <c r="M63" s="146">
        <v>48.9</v>
      </c>
      <c r="N63" s="146">
        <f t="shared" si="115"/>
        <v>391.2</v>
      </c>
      <c r="O63" s="146" t="s">
        <v>137</v>
      </c>
      <c r="P63" s="146" t="s">
        <v>13</v>
      </c>
      <c r="Q63" s="146" t="s">
        <v>148</v>
      </c>
      <c r="R63" s="146"/>
      <c r="S63" s="146"/>
      <c r="T63" s="146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8</v>
      </c>
      <c r="U63" s="146">
        <f t="shared" ca="1" si="116"/>
        <v>0</v>
      </c>
      <c r="V63" s="146">
        <f t="shared" ca="1" si="117"/>
        <v>8</v>
      </c>
      <c r="W63" s="146"/>
      <c r="X63" s="146"/>
      <c r="Y63" s="146"/>
      <c r="Z63" s="146"/>
      <c r="AA63" s="146"/>
      <c r="AB63" s="146"/>
      <c r="AC63" s="146">
        <v>0.9</v>
      </c>
      <c r="AD63" s="117" t="s">
        <v>256</v>
      </c>
      <c r="AE63" s="148"/>
      <c r="AF63" s="146" t="str">
        <f t="shared" si="118"/>
        <v>N/A</v>
      </c>
      <c r="AG63" s="146">
        <f t="shared" si="118"/>
        <v>0</v>
      </c>
      <c r="AH63" s="146">
        <f t="shared" si="119"/>
        <v>0</v>
      </c>
      <c r="AI63" s="146">
        <f t="shared" ca="1" si="120"/>
        <v>0</v>
      </c>
      <c r="AJ63" s="146">
        <f t="shared" ca="1" si="121"/>
        <v>0</v>
      </c>
      <c r="AK63" s="146" t="str">
        <f t="shared" si="118"/>
        <v>AMC 2-S2</v>
      </c>
      <c r="AL63" s="146">
        <f t="shared" si="118"/>
        <v>4</v>
      </c>
      <c r="AM63" s="146">
        <f t="shared" si="122"/>
        <v>4</v>
      </c>
      <c r="AN63" s="146">
        <f t="shared" ca="1" si="123"/>
        <v>4</v>
      </c>
      <c r="AO63" s="146">
        <f t="shared" ca="1" si="124"/>
        <v>0</v>
      </c>
      <c r="AP63" s="146" t="str">
        <f t="shared" si="118"/>
        <v>AMC 2-S2</v>
      </c>
      <c r="AQ63" s="146">
        <f t="shared" si="118"/>
        <v>4</v>
      </c>
      <c r="AR63" s="146">
        <f t="shared" si="125"/>
        <v>4</v>
      </c>
      <c r="AS63" s="146">
        <f t="shared" ca="1" si="126"/>
        <v>4</v>
      </c>
      <c r="AT63" s="146">
        <f t="shared" ca="1" si="127"/>
        <v>0</v>
      </c>
      <c r="AU63" s="146" t="str">
        <f t="shared" si="118"/>
        <v>N/A</v>
      </c>
      <c r="AV63" s="146">
        <f t="shared" si="118"/>
        <v>0</v>
      </c>
      <c r="AW63" s="146">
        <f t="shared" si="128"/>
        <v>0</v>
      </c>
      <c r="AX63" s="146">
        <f t="shared" ca="1" si="129"/>
        <v>0</v>
      </c>
      <c r="AY63" s="146">
        <f t="shared" ca="1" si="130"/>
        <v>0</v>
      </c>
      <c r="AZ63" s="147"/>
      <c r="BA63" s="144" t="s">
        <v>140</v>
      </c>
      <c r="BB63" s="144" t="s">
        <v>141</v>
      </c>
      <c r="BC63" s="144" t="s">
        <v>141</v>
      </c>
      <c r="BD63" s="144" t="s">
        <v>140</v>
      </c>
      <c r="BE63" s="146">
        <v>0.9</v>
      </c>
      <c r="BF63" s="148"/>
      <c r="BG63" s="146"/>
      <c r="BH63" s="117"/>
      <c r="BI63" s="117"/>
      <c r="BJ63" s="149"/>
      <c r="BK63" s="149"/>
      <c r="BL63" s="117">
        <v>0</v>
      </c>
      <c r="BM63" s="117">
        <v>0</v>
      </c>
      <c r="BN63" s="117">
        <v>0</v>
      </c>
      <c r="BO63" s="117">
        <v>1</v>
      </c>
      <c r="BP63" s="117">
        <v>0</v>
      </c>
      <c r="BQ63" s="117">
        <v>0</v>
      </c>
      <c r="BR63" s="117">
        <v>0</v>
      </c>
      <c r="BS63" s="117" t="s">
        <v>150</v>
      </c>
      <c r="BT63" s="117"/>
      <c r="BU63" s="155"/>
      <c r="BV63" s="117"/>
      <c r="BW63" s="117"/>
      <c r="BX63" s="149"/>
      <c r="BY63" s="117"/>
      <c r="BZ63" s="117"/>
      <c r="CA63" s="117"/>
      <c r="CB63" s="117">
        <f>+L63-BW63</f>
        <v>8</v>
      </c>
    </row>
    <row r="64" spans="1:80" ht="16.5" hidden="1" customHeight="1">
      <c r="A64" s="133">
        <v>146</v>
      </c>
      <c r="B64" s="156" t="s">
        <v>264</v>
      </c>
      <c r="C64" s="156" t="s">
        <v>897</v>
      </c>
      <c r="D64" s="156"/>
      <c r="E64" s="156" t="s">
        <v>136</v>
      </c>
      <c r="F64" s="156"/>
      <c r="G64" s="156"/>
      <c r="H64" s="157"/>
      <c r="I64" s="159"/>
      <c r="J64" s="160" t="s">
        <v>136</v>
      </c>
      <c r="K64" s="138">
        <f>+AG64+AL64+AQ64+AV64</f>
        <v>8</v>
      </c>
      <c r="L64" s="160" t="s">
        <v>136</v>
      </c>
      <c r="M64" s="157"/>
      <c r="N64" s="157">
        <v>33014.1</v>
      </c>
      <c r="O64" s="157" t="s">
        <v>137</v>
      </c>
      <c r="P64" s="157"/>
      <c r="Q64" s="157"/>
      <c r="R64" s="157"/>
      <c r="S64" s="157"/>
      <c r="T64" s="157"/>
      <c r="U64" s="157"/>
      <c r="V64" s="157"/>
      <c r="W64" s="135">
        <f ca="1">_xlfn.MINIFS(V:V,C:C,C64,AE:AE,"",AB:AB,"")</f>
        <v>4</v>
      </c>
      <c r="X64" s="135">
        <f ca="1">SUMIFS(T:T,C:C,C64,AE:AE,"")/SUMIFS(L:L,C:C,C64,AE:AE,"",AB:AB,"")</f>
        <v>0.91666666666666663</v>
      </c>
      <c r="Y64" s="157"/>
      <c r="Z64" s="157"/>
      <c r="AA64" s="157"/>
      <c r="AB64" s="157"/>
      <c r="AC64" s="157">
        <v>829.3</v>
      </c>
      <c r="AD64" s="161" t="s">
        <v>265</v>
      </c>
      <c r="AE64" s="162" t="s">
        <v>143</v>
      </c>
      <c r="AF64" s="157" t="s">
        <v>138</v>
      </c>
      <c r="AG64" s="157">
        <v>0</v>
      </c>
      <c r="AH64" s="157"/>
      <c r="AI64" s="157"/>
      <c r="AJ64" s="157"/>
      <c r="AK64" s="157" t="s">
        <v>250</v>
      </c>
      <c r="AL64" s="157">
        <v>4</v>
      </c>
      <c r="AM64" s="157"/>
      <c r="AN64" s="157"/>
      <c r="AO64" s="157"/>
      <c r="AP64" s="157" t="s">
        <v>250</v>
      </c>
      <c r="AQ64" s="157">
        <v>4</v>
      </c>
      <c r="AR64" s="157"/>
      <c r="AS64" s="157"/>
      <c r="AT64" s="157"/>
      <c r="AU64" s="157" t="s">
        <v>138</v>
      </c>
      <c r="AV64" s="157">
        <v>0</v>
      </c>
      <c r="AW64" s="157"/>
      <c r="AX64" s="157"/>
      <c r="AY64" s="157"/>
      <c r="AZ64" s="136"/>
      <c r="BA64" s="137" t="s">
        <v>811</v>
      </c>
      <c r="BB64" s="137" t="s">
        <v>141</v>
      </c>
      <c r="BC64" s="137" t="s">
        <v>141</v>
      </c>
      <c r="BD64" s="137" t="s">
        <v>140</v>
      </c>
      <c r="BE64" s="157">
        <v>51.8</v>
      </c>
      <c r="BF64" s="162"/>
      <c r="BG64" s="157"/>
      <c r="BH64" s="161"/>
      <c r="BI64" s="161" t="s">
        <v>266</v>
      </c>
      <c r="BJ64" s="163"/>
      <c r="BK64" s="163"/>
      <c r="BL64" s="161"/>
      <c r="BM64" s="161"/>
      <c r="BN64" s="161"/>
      <c r="BO64" s="161"/>
      <c r="BP64" s="161"/>
      <c r="BQ64" s="161"/>
      <c r="BR64" s="161"/>
      <c r="BS64" s="161"/>
      <c r="BT64" s="161"/>
      <c r="BU64" s="164"/>
      <c r="BV64" s="161"/>
      <c r="BW64" s="161"/>
      <c r="BX64" s="163"/>
      <c r="BY64" s="161"/>
      <c r="BZ64" s="161"/>
      <c r="CA64" s="161"/>
      <c r="CB64" s="161"/>
    </row>
    <row r="65" spans="1:80" ht="16.5" hidden="1" customHeight="1">
      <c r="A65" s="117">
        <v>147</v>
      </c>
      <c r="B65" s="154" t="s">
        <v>264</v>
      </c>
      <c r="C65" s="154" t="s">
        <v>897</v>
      </c>
      <c r="D65" s="154" t="s">
        <v>13</v>
      </c>
      <c r="E65" s="154" t="s">
        <v>253</v>
      </c>
      <c r="F65" s="154" t="s">
        <v>267</v>
      </c>
      <c r="G65" s="154" t="s">
        <v>255</v>
      </c>
      <c r="H65" s="146">
        <v>9985</v>
      </c>
      <c r="I65" s="147" t="s">
        <v>147</v>
      </c>
      <c r="J65" s="144">
        <v>1</v>
      </c>
      <c r="K65" s="145">
        <f t="shared" ref="K65:K68" si="131">K64</f>
        <v>8</v>
      </c>
      <c r="L65" s="144">
        <f t="shared" ref="L65:L68" si="132">+K65*J65</f>
        <v>8</v>
      </c>
      <c r="M65" s="146">
        <v>1843.6</v>
      </c>
      <c r="N65" s="146">
        <f t="shared" ref="N65:N68" si="133">+M65*L65</f>
        <v>14748.8</v>
      </c>
      <c r="O65" s="146" t="s">
        <v>137</v>
      </c>
      <c r="P65" s="146" t="s">
        <v>13</v>
      </c>
      <c r="Q65" s="146" t="s">
        <v>154</v>
      </c>
      <c r="R65" s="146"/>
      <c r="S65" s="146"/>
      <c r="T65" s="146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8</v>
      </c>
      <c r="U65" s="146">
        <f t="shared" ref="U65:U68" ca="1" si="134">+L65-T65</f>
        <v>0</v>
      </c>
      <c r="V65" s="146">
        <f t="shared" ref="V65:V68" ca="1" si="135">ROUNDDOWN(T65/J65,0)</f>
        <v>8</v>
      </c>
      <c r="W65" s="146"/>
      <c r="X65" s="146"/>
      <c r="Y65" s="146"/>
      <c r="Z65" s="146"/>
      <c r="AA65" s="146"/>
      <c r="AB65" s="146"/>
      <c r="AC65" s="146">
        <v>47.2</v>
      </c>
      <c r="AD65" s="117" t="s">
        <v>268</v>
      </c>
      <c r="AE65" s="148"/>
      <c r="AF65" s="146" t="str">
        <f t="shared" ref="AF65:AV68" si="136">AF64</f>
        <v>N/A</v>
      </c>
      <c r="AG65" s="146">
        <f t="shared" si="136"/>
        <v>0</v>
      </c>
      <c r="AH65" s="146">
        <f t="shared" ref="AH65:AH68" si="137">+AG65*J65</f>
        <v>0</v>
      </c>
      <c r="AI65" s="146">
        <f t="shared" ref="AI65:AI68" ca="1" si="138">MIN(T65,AH65)</f>
        <v>0</v>
      </c>
      <c r="AJ65" s="146">
        <f t="shared" ref="AJ65:AJ68" ca="1" si="139">+AH65-AI65</f>
        <v>0</v>
      </c>
      <c r="AK65" s="146" t="str">
        <f t="shared" si="136"/>
        <v>AMC 2-S2</v>
      </c>
      <c r="AL65" s="146">
        <f t="shared" si="136"/>
        <v>4</v>
      </c>
      <c r="AM65" s="146">
        <f t="shared" ref="AM65:AM68" si="140">+AL65*J65</f>
        <v>4</v>
      </c>
      <c r="AN65" s="146">
        <f t="shared" ref="AN65:AN68" ca="1" si="141">MIN(T65-AI65,AL65)</f>
        <v>4</v>
      </c>
      <c r="AO65" s="146">
        <f t="shared" ref="AO65:AO68" ca="1" si="142">+AM65-AN65</f>
        <v>0</v>
      </c>
      <c r="AP65" s="146" t="str">
        <f t="shared" si="136"/>
        <v>AMC 2-S2</v>
      </c>
      <c r="AQ65" s="146">
        <f t="shared" si="136"/>
        <v>4</v>
      </c>
      <c r="AR65" s="146">
        <f t="shared" ref="AR65:AR68" si="143">+AQ65*J65</f>
        <v>4</v>
      </c>
      <c r="AS65" s="146">
        <f t="shared" ref="AS65:AS68" ca="1" si="144">MIN(T65-AI65-AN65,AR65)</f>
        <v>4</v>
      </c>
      <c r="AT65" s="146">
        <f t="shared" ref="AT65:AT68" ca="1" si="145">+AR65-AS65</f>
        <v>0</v>
      </c>
      <c r="AU65" s="146" t="str">
        <f t="shared" si="136"/>
        <v>N/A</v>
      </c>
      <c r="AV65" s="146">
        <f t="shared" si="136"/>
        <v>0</v>
      </c>
      <c r="AW65" s="146">
        <f t="shared" ref="AW65:AW68" si="146">+AV65*J65</f>
        <v>0</v>
      </c>
      <c r="AX65" s="146">
        <f t="shared" ref="AX65:AX68" ca="1" si="147">MIN(T65-AI65-AN65-AS65,AW65)</f>
        <v>0</v>
      </c>
      <c r="AY65" s="146">
        <f t="shared" ref="AY65:AY68" ca="1" si="148">+AW65-AX65</f>
        <v>0</v>
      </c>
      <c r="AZ65" s="147"/>
      <c r="BA65" s="144" t="s">
        <v>811</v>
      </c>
      <c r="BB65" s="144" t="s">
        <v>141</v>
      </c>
      <c r="BC65" s="144" t="s">
        <v>141</v>
      </c>
      <c r="BD65" s="144" t="s">
        <v>140</v>
      </c>
      <c r="BE65" s="146">
        <v>47.2</v>
      </c>
      <c r="BF65" s="148"/>
      <c r="BG65" s="146"/>
      <c r="BH65" s="117"/>
      <c r="BI65" s="117" t="s">
        <v>257</v>
      </c>
      <c r="BJ65" s="149" t="s">
        <v>269</v>
      </c>
      <c r="BK65" s="149"/>
      <c r="BL65" s="117">
        <v>0</v>
      </c>
      <c r="BM65" s="117">
        <v>1</v>
      </c>
      <c r="BN65" s="117">
        <v>0</v>
      </c>
      <c r="BO65" s="117">
        <v>1</v>
      </c>
      <c r="BP65" s="117">
        <v>0</v>
      </c>
      <c r="BQ65" s="117">
        <v>0</v>
      </c>
      <c r="BR65" s="117">
        <v>0</v>
      </c>
      <c r="BS65" s="117" t="s">
        <v>150</v>
      </c>
      <c r="BT65" s="117"/>
      <c r="BU65" s="155"/>
      <c r="BV65" s="117" t="s">
        <v>57</v>
      </c>
      <c r="BW65" s="117">
        <v>16</v>
      </c>
      <c r="BX65" s="149"/>
      <c r="BY65" s="117"/>
      <c r="BZ65" s="117"/>
      <c r="CA65" s="117"/>
      <c r="CB65" s="117">
        <f>+L65-BW65</f>
        <v>-8</v>
      </c>
    </row>
    <row r="66" spans="1:80" ht="16.5" hidden="1" customHeight="1">
      <c r="A66" s="117">
        <v>148</v>
      </c>
      <c r="B66" s="154" t="s">
        <v>264</v>
      </c>
      <c r="C66" s="154" t="s">
        <v>897</v>
      </c>
      <c r="D66" s="154" t="s">
        <v>13</v>
      </c>
      <c r="E66" s="154" t="s">
        <v>258</v>
      </c>
      <c r="F66" s="154" t="s">
        <v>270</v>
      </c>
      <c r="G66" s="154" t="s">
        <v>146</v>
      </c>
      <c r="H66" s="146">
        <v>9985</v>
      </c>
      <c r="I66" s="147" t="s">
        <v>147</v>
      </c>
      <c r="J66" s="144">
        <v>1</v>
      </c>
      <c r="K66" s="145">
        <f t="shared" si="131"/>
        <v>8</v>
      </c>
      <c r="L66" s="144">
        <f t="shared" si="132"/>
        <v>8</v>
      </c>
      <c r="M66" s="146">
        <v>39.200000000000003</v>
      </c>
      <c r="N66" s="146">
        <f t="shared" si="133"/>
        <v>313.60000000000002</v>
      </c>
      <c r="O66" s="146" t="s">
        <v>137</v>
      </c>
      <c r="P66" s="146" t="s">
        <v>13</v>
      </c>
      <c r="Q66" s="146" t="s">
        <v>148</v>
      </c>
      <c r="R66" s="146"/>
      <c r="S66" s="146"/>
      <c r="T66" s="146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4</v>
      </c>
      <c r="U66" s="146">
        <f t="shared" ca="1" si="134"/>
        <v>4</v>
      </c>
      <c r="V66" s="146">
        <f t="shared" ca="1" si="135"/>
        <v>4</v>
      </c>
      <c r="W66" s="146"/>
      <c r="X66" s="146"/>
      <c r="Y66" s="146"/>
      <c r="Z66" s="146"/>
      <c r="AA66" s="146"/>
      <c r="AB66" s="146"/>
      <c r="AC66" s="146">
        <v>1.2</v>
      </c>
      <c r="AD66" s="117" t="s">
        <v>268</v>
      </c>
      <c r="AE66" s="148"/>
      <c r="AF66" s="146" t="str">
        <f t="shared" si="136"/>
        <v>N/A</v>
      </c>
      <c r="AG66" s="146">
        <f t="shared" si="136"/>
        <v>0</v>
      </c>
      <c r="AH66" s="146">
        <f t="shared" si="137"/>
        <v>0</v>
      </c>
      <c r="AI66" s="146">
        <f t="shared" ca="1" si="138"/>
        <v>0</v>
      </c>
      <c r="AJ66" s="146">
        <f t="shared" ca="1" si="139"/>
        <v>0</v>
      </c>
      <c r="AK66" s="146" t="str">
        <f t="shared" si="136"/>
        <v>AMC 2-S2</v>
      </c>
      <c r="AL66" s="146">
        <f t="shared" si="136"/>
        <v>4</v>
      </c>
      <c r="AM66" s="146">
        <f t="shared" si="140"/>
        <v>4</v>
      </c>
      <c r="AN66" s="146">
        <f t="shared" ca="1" si="141"/>
        <v>4</v>
      </c>
      <c r="AO66" s="146">
        <f t="shared" ca="1" si="142"/>
        <v>0</v>
      </c>
      <c r="AP66" s="146" t="str">
        <f t="shared" si="136"/>
        <v>AMC 2-S2</v>
      </c>
      <c r="AQ66" s="146">
        <f t="shared" si="136"/>
        <v>4</v>
      </c>
      <c r="AR66" s="146">
        <f t="shared" si="143"/>
        <v>4</v>
      </c>
      <c r="AS66" s="146">
        <f t="shared" ca="1" si="144"/>
        <v>0</v>
      </c>
      <c r="AT66" s="146">
        <f t="shared" ca="1" si="145"/>
        <v>4</v>
      </c>
      <c r="AU66" s="146" t="str">
        <f t="shared" si="136"/>
        <v>N/A</v>
      </c>
      <c r="AV66" s="146">
        <f t="shared" si="136"/>
        <v>0</v>
      </c>
      <c r="AW66" s="146">
        <f t="shared" si="146"/>
        <v>0</v>
      </c>
      <c r="AX66" s="146">
        <f t="shared" ca="1" si="147"/>
        <v>0</v>
      </c>
      <c r="AY66" s="146">
        <f t="shared" ca="1" si="148"/>
        <v>0</v>
      </c>
      <c r="AZ66" s="147"/>
      <c r="BA66" s="144" t="s">
        <v>811</v>
      </c>
      <c r="BB66" s="144" t="s">
        <v>141</v>
      </c>
      <c r="BC66" s="144" t="s">
        <v>141</v>
      </c>
      <c r="BD66" s="144" t="s">
        <v>140</v>
      </c>
      <c r="BE66" s="146">
        <v>1.2</v>
      </c>
      <c r="BF66" s="148"/>
      <c r="BG66" s="146"/>
      <c r="BH66" s="117"/>
      <c r="BI66" s="117" t="s">
        <v>257</v>
      </c>
      <c r="BJ66" s="149" t="s">
        <v>269</v>
      </c>
      <c r="BK66" s="149"/>
      <c r="BL66" s="117">
        <v>0</v>
      </c>
      <c r="BM66" s="117">
        <v>0</v>
      </c>
      <c r="BN66" s="117">
        <v>0</v>
      </c>
      <c r="BO66" s="117">
        <v>0</v>
      </c>
      <c r="BP66" s="117">
        <v>0</v>
      </c>
      <c r="BQ66" s="117">
        <v>0</v>
      </c>
      <c r="BR66" s="117">
        <v>0</v>
      </c>
      <c r="BS66" s="117" t="s">
        <v>150</v>
      </c>
      <c r="BT66" s="158" t="s">
        <v>210</v>
      </c>
      <c r="BU66" s="117"/>
      <c r="BV66" s="117" t="s">
        <v>211</v>
      </c>
      <c r="BW66" s="117">
        <v>8</v>
      </c>
      <c r="BX66" s="149">
        <v>46201</v>
      </c>
      <c r="BY66" s="117"/>
      <c r="BZ66" s="117"/>
      <c r="CA66" s="117"/>
      <c r="CB66" s="117">
        <f>+L66-BW66</f>
        <v>0</v>
      </c>
    </row>
    <row r="67" spans="1:80" ht="16.5" hidden="1" customHeight="1">
      <c r="A67" s="117">
        <v>149</v>
      </c>
      <c r="B67" s="154" t="s">
        <v>264</v>
      </c>
      <c r="C67" s="154" t="s">
        <v>897</v>
      </c>
      <c r="D67" s="154" t="s">
        <v>13</v>
      </c>
      <c r="E67" s="154" t="s">
        <v>260</v>
      </c>
      <c r="F67" s="154" t="s">
        <v>271</v>
      </c>
      <c r="G67" s="154" t="s">
        <v>157</v>
      </c>
      <c r="H67" s="146">
        <v>2490</v>
      </c>
      <c r="I67" s="147" t="s">
        <v>147</v>
      </c>
      <c r="J67" s="144">
        <v>3</v>
      </c>
      <c r="K67" s="145">
        <f t="shared" si="131"/>
        <v>8</v>
      </c>
      <c r="L67" s="144">
        <f t="shared" si="132"/>
        <v>24</v>
      </c>
      <c r="M67" s="146">
        <v>43.9</v>
      </c>
      <c r="N67" s="146">
        <f t="shared" si="133"/>
        <v>1053.5999999999999</v>
      </c>
      <c r="O67" s="146" t="s">
        <v>137</v>
      </c>
      <c r="P67" s="146" t="s">
        <v>13</v>
      </c>
      <c r="Q67" s="146" t="s">
        <v>148</v>
      </c>
      <c r="R67" s="146"/>
      <c r="S67" s="146"/>
      <c r="T67" s="146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24</v>
      </c>
      <c r="U67" s="146">
        <f t="shared" ca="1" si="134"/>
        <v>0</v>
      </c>
      <c r="V67" s="146">
        <f t="shared" ca="1" si="135"/>
        <v>8</v>
      </c>
      <c r="W67" s="146"/>
      <c r="X67" s="146"/>
      <c r="Y67" s="146"/>
      <c r="Z67" s="146"/>
      <c r="AA67" s="146"/>
      <c r="AB67" s="146"/>
      <c r="AC67" s="146">
        <v>2.5</v>
      </c>
      <c r="AD67" s="117" t="s">
        <v>268</v>
      </c>
      <c r="AE67" s="148"/>
      <c r="AF67" s="146" t="str">
        <f t="shared" si="136"/>
        <v>N/A</v>
      </c>
      <c r="AG67" s="146">
        <f t="shared" si="136"/>
        <v>0</v>
      </c>
      <c r="AH67" s="146">
        <f t="shared" si="137"/>
        <v>0</v>
      </c>
      <c r="AI67" s="146">
        <f t="shared" ca="1" si="138"/>
        <v>0</v>
      </c>
      <c r="AJ67" s="146">
        <f t="shared" ca="1" si="139"/>
        <v>0</v>
      </c>
      <c r="AK67" s="146" t="str">
        <f t="shared" si="136"/>
        <v>AMC 2-S2</v>
      </c>
      <c r="AL67" s="146">
        <f t="shared" si="136"/>
        <v>4</v>
      </c>
      <c r="AM67" s="146">
        <f t="shared" si="140"/>
        <v>12</v>
      </c>
      <c r="AN67" s="146">
        <f t="shared" ca="1" si="141"/>
        <v>4</v>
      </c>
      <c r="AO67" s="146">
        <f t="shared" ca="1" si="142"/>
        <v>8</v>
      </c>
      <c r="AP67" s="146" t="str">
        <f t="shared" si="136"/>
        <v>AMC 2-S2</v>
      </c>
      <c r="AQ67" s="146">
        <f t="shared" si="136"/>
        <v>4</v>
      </c>
      <c r="AR67" s="146">
        <f t="shared" si="143"/>
        <v>12</v>
      </c>
      <c r="AS67" s="146">
        <f t="shared" ca="1" si="144"/>
        <v>12</v>
      </c>
      <c r="AT67" s="146">
        <f t="shared" ca="1" si="145"/>
        <v>0</v>
      </c>
      <c r="AU67" s="146" t="str">
        <f t="shared" si="136"/>
        <v>N/A</v>
      </c>
      <c r="AV67" s="146">
        <f t="shared" si="136"/>
        <v>0</v>
      </c>
      <c r="AW67" s="146">
        <f t="shared" si="146"/>
        <v>0</v>
      </c>
      <c r="AX67" s="146">
        <f t="shared" ca="1" si="147"/>
        <v>0</v>
      </c>
      <c r="AY67" s="146">
        <f t="shared" ca="1" si="148"/>
        <v>0</v>
      </c>
      <c r="AZ67" s="147"/>
      <c r="BA67" s="144" t="s">
        <v>811</v>
      </c>
      <c r="BB67" s="144" t="s">
        <v>141</v>
      </c>
      <c r="BC67" s="144" t="s">
        <v>141</v>
      </c>
      <c r="BD67" s="144" t="s">
        <v>140</v>
      </c>
      <c r="BE67" s="146">
        <v>0.8</v>
      </c>
      <c r="BF67" s="148"/>
      <c r="BG67" s="146"/>
      <c r="BH67" s="117"/>
      <c r="BI67" s="117"/>
      <c r="BJ67" s="149" t="s">
        <v>269</v>
      </c>
      <c r="BK67" s="149"/>
      <c r="BL67" s="117">
        <v>0</v>
      </c>
      <c r="BM67" s="117">
        <v>0</v>
      </c>
      <c r="BN67" s="117">
        <v>0</v>
      </c>
      <c r="BO67" s="117">
        <v>1</v>
      </c>
      <c r="BP67" s="117">
        <v>0</v>
      </c>
      <c r="BQ67" s="117">
        <v>0</v>
      </c>
      <c r="BR67" s="117">
        <v>0</v>
      </c>
      <c r="BS67" s="117" t="s">
        <v>150</v>
      </c>
      <c r="BT67" s="158" t="s">
        <v>200</v>
      </c>
      <c r="BU67" s="117"/>
      <c r="BV67" s="117" t="s">
        <v>201</v>
      </c>
      <c r="BW67" s="117">
        <v>24</v>
      </c>
      <c r="BX67" s="149">
        <v>46201</v>
      </c>
      <c r="BY67" s="117"/>
      <c r="BZ67" s="117"/>
      <c r="CA67" s="117"/>
      <c r="CB67" s="117">
        <f>+L67-BW67</f>
        <v>0</v>
      </c>
    </row>
    <row r="68" spans="1:80" ht="16.5" hidden="1" customHeight="1">
      <c r="A68" s="117">
        <v>150</v>
      </c>
      <c r="B68" s="154" t="s">
        <v>264</v>
      </c>
      <c r="C68" s="154" t="s">
        <v>897</v>
      </c>
      <c r="D68" s="154" t="s">
        <v>13</v>
      </c>
      <c r="E68" s="154" t="s">
        <v>262</v>
      </c>
      <c r="F68" s="154" t="s">
        <v>272</v>
      </c>
      <c r="G68" s="154" t="s">
        <v>160</v>
      </c>
      <c r="H68" s="146">
        <v>2476</v>
      </c>
      <c r="I68" s="147" t="s">
        <v>147</v>
      </c>
      <c r="J68" s="144">
        <v>1</v>
      </c>
      <c r="K68" s="145">
        <f t="shared" si="131"/>
        <v>8</v>
      </c>
      <c r="L68" s="144">
        <f t="shared" si="132"/>
        <v>8</v>
      </c>
      <c r="M68" s="146">
        <v>48.9</v>
      </c>
      <c r="N68" s="146">
        <f t="shared" si="133"/>
        <v>391.2</v>
      </c>
      <c r="O68" s="146" t="s">
        <v>137</v>
      </c>
      <c r="P68" s="146" t="s">
        <v>13</v>
      </c>
      <c r="Q68" s="146" t="s">
        <v>148</v>
      </c>
      <c r="R68" s="146"/>
      <c r="S68" s="146"/>
      <c r="T68" s="146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8</v>
      </c>
      <c r="U68" s="146">
        <f t="shared" ca="1" si="134"/>
        <v>0</v>
      </c>
      <c r="V68" s="146">
        <f t="shared" ca="1" si="135"/>
        <v>8</v>
      </c>
      <c r="W68" s="146"/>
      <c r="X68" s="146"/>
      <c r="Y68" s="146"/>
      <c r="Z68" s="146"/>
      <c r="AA68" s="146"/>
      <c r="AB68" s="146"/>
      <c r="AC68" s="146">
        <v>0.9</v>
      </c>
      <c r="AD68" s="117" t="s">
        <v>268</v>
      </c>
      <c r="AE68" s="148"/>
      <c r="AF68" s="146" t="str">
        <f t="shared" si="136"/>
        <v>N/A</v>
      </c>
      <c r="AG68" s="146">
        <f t="shared" si="136"/>
        <v>0</v>
      </c>
      <c r="AH68" s="146">
        <f t="shared" si="137"/>
        <v>0</v>
      </c>
      <c r="AI68" s="146">
        <f t="shared" ca="1" si="138"/>
        <v>0</v>
      </c>
      <c r="AJ68" s="146">
        <f t="shared" ca="1" si="139"/>
        <v>0</v>
      </c>
      <c r="AK68" s="146" t="str">
        <f t="shared" si="136"/>
        <v>AMC 2-S2</v>
      </c>
      <c r="AL68" s="146">
        <f t="shared" si="136"/>
        <v>4</v>
      </c>
      <c r="AM68" s="146">
        <f t="shared" si="140"/>
        <v>4</v>
      </c>
      <c r="AN68" s="146">
        <f t="shared" ca="1" si="141"/>
        <v>4</v>
      </c>
      <c r="AO68" s="146">
        <f t="shared" ca="1" si="142"/>
        <v>0</v>
      </c>
      <c r="AP68" s="146" t="str">
        <f t="shared" si="136"/>
        <v>AMC 2-S2</v>
      </c>
      <c r="AQ68" s="146">
        <f t="shared" si="136"/>
        <v>4</v>
      </c>
      <c r="AR68" s="146">
        <f t="shared" si="143"/>
        <v>4</v>
      </c>
      <c r="AS68" s="146">
        <f t="shared" ca="1" si="144"/>
        <v>4</v>
      </c>
      <c r="AT68" s="146">
        <f t="shared" ca="1" si="145"/>
        <v>0</v>
      </c>
      <c r="AU68" s="146" t="str">
        <f t="shared" si="136"/>
        <v>N/A</v>
      </c>
      <c r="AV68" s="146">
        <f t="shared" si="136"/>
        <v>0</v>
      </c>
      <c r="AW68" s="146">
        <f t="shared" si="146"/>
        <v>0</v>
      </c>
      <c r="AX68" s="146">
        <f t="shared" ca="1" si="147"/>
        <v>0</v>
      </c>
      <c r="AY68" s="146">
        <f t="shared" ca="1" si="148"/>
        <v>0</v>
      </c>
      <c r="AZ68" s="147"/>
      <c r="BA68" s="144" t="s">
        <v>811</v>
      </c>
      <c r="BB68" s="144" t="s">
        <v>141</v>
      </c>
      <c r="BC68" s="144" t="s">
        <v>141</v>
      </c>
      <c r="BD68" s="144" t="s">
        <v>140</v>
      </c>
      <c r="BE68" s="146">
        <v>0.9</v>
      </c>
      <c r="BF68" s="148"/>
      <c r="BG68" s="146"/>
      <c r="BH68" s="117"/>
      <c r="BI68" s="117"/>
      <c r="BJ68" s="149" t="s">
        <v>269</v>
      </c>
      <c r="BK68" s="149"/>
      <c r="BL68" s="117">
        <v>0</v>
      </c>
      <c r="BM68" s="117">
        <v>0</v>
      </c>
      <c r="BN68" s="117">
        <v>0</v>
      </c>
      <c r="BO68" s="117">
        <v>1</v>
      </c>
      <c r="BP68" s="117">
        <v>0</v>
      </c>
      <c r="BQ68" s="117">
        <v>0</v>
      </c>
      <c r="BR68" s="117">
        <v>0</v>
      </c>
      <c r="BS68" s="117" t="s">
        <v>150</v>
      </c>
      <c r="BT68" s="158" t="s">
        <v>200</v>
      </c>
      <c r="BU68" s="117"/>
      <c r="BV68" s="117" t="s">
        <v>201</v>
      </c>
      <c r="BW68" s="117">
        <v>8</v>
      </c>
      <c r="BX68" s="149">
        <v>46201</v>
      </c>
      <c r="BY68" s="117"/>
      <c r="BZ68" s="117"/>
      <c r="CA68" s="117"/>
      <c r="CB68" s="117">
        <f>+L68-BW68</f>
        <v>0</v>
      </c>
    </row>
    <row r="69" spans="1:80" ht="16.5" hidden="1" customHeight="1">
      <c r="A69" s="133">
        <v>176</v>
      </c>
      <c r="B69" s="156" t="s">
        <v>273</v>
      </c>
      <c r="C69" s="156" t="s">
        <v>898</v>
      </c>
      <c r="D69" s="156"/>
      <c r="E69" s="156" t="s">
        <v>136</v>
      </c>
      <c r="F69" s="156"/>
      <c r="G69" s="156"/>
      <c r="H69" s="157"/>
      <c r="I69" s="159"/>
      <c r="J69" s="160" t="s">
        <v>136</v>
      </c>
      <c r="K69" s="138">
        <f>+AG69+AL69+AQ69+AV69</f>
        <v>8</v>
      </c>
      <c r="L69" s="160" t="s">
        <v>136</v>
      </c>
      <c r="M69" s="157"/>
      <c r="N69" s="157">
        <v>9870.7999999999993</v>
      </c>
      <c r="O69" s="157" t="s">
        <v>137</v>
      </c>
      <c r="P69" s="157"/>
      <c r="Q69" s="157"/>
      <c r="R69" s="157"/>
      <c r="S69" s="157"/>
      <c r="T69" s="157"/>
      <c r="U69" s="157"/>
      <c r="V69" s="157"/>
      <c r="W69" s="135">
        <f ca="1">_xlfn.MINIFS(V:V,C:C,C69,AE:AE,"",AB:AB,"")</f>
        <v>4</v>
      </c>
      <c r="X69" s="135">
        <f ca="1">SUMIFS(T:T,C:C,C69,AE:AE,"")/SUMIFS(L:L,C:C,C69,AE:AE,"",AB:AB,"")</f>
        <v>0.9</v>
      </c>
      <c r="Y69" s="157"/>
      <c r="Z69" s="157"/>
      <c r="AA69" s="157"/>
      <c r="AB69" s="157"/>
      <c r="AC69" s="157">
        <v>246.5</v>
      </c>
      <c r="AD69" s="161" t="s">
        <v>251</v>
      </c>
      <c r="AE69" s="162" t="s">
        <v>143</v>
      </c>
      <c r="AF69" s="157" t="s">
        <v>138</v>
      </c>
      <c r="AG69" s="157">
        <v>0</v>
      </c>
      <c r="AH69" s="157"/>
      <c r="AI69" s="157"/>
      <c r="AJ69" s="157"/>
      <c r="AK69" s="157" t="s">
        <v>250</v>
      </c>
      <c r="AL69" s="157">
        <v>4</v>
      </c>
      <c r="AM69" s="157"/>
      <c r="AN69" s="157"/>
      <c r="AO69" s="157"/>
      <c r="AP69" s="157" t="s">
        <v>250</v>
      </c>
      <c r="AQ69" s="157">
        <v>4</v>
      </c>
      <c r="AR69" s="157"/>
      <c r="AS69" s="157"/>
      <c r="AT69" s="157"/>
      <c r="AU69" s="157" t="s">
        <v>138</v>
      </c>
      <c r="AV69" s="157">
        <v>0</v>
      </c>
      <c r="AW69" s="157"/>
      <c r="AX69" s="157"/>
      <c r="AY69" s="157"/>
      <c r="AZ69" s="136"/>
      <c r="BA69" s="137" t="s">
        <v>140</v>
      </c>
      <c r="BB69" s="137" t="s">
        <v>141</v>
      </c>
      <c r="BC69" s="137" t="s">
        <v>141</v>
      </c>
      <c r="BD69" s="137" t="s">
        <v>140</v>
      </c>
      <c r="BE69" s="157">
        <v>30.8</v>
      </c>
      <c r="BF69" s="162"/>
      <c r="BG69" s="157"/>
      <c r="BH69" s="161"/>
      <c r="BI69" s="161" t="s">
        <v>252</v>
      </c>
      <c r="BJ69" s="163"/>
      <c r="BK69" s="163"/>
      <c r="BL69" s="161"/>
      <c r="BM69" s="161"/>
      <c r="BN69" s="161"/>
      <c r="BO69" s="161"/>
      <c r="BP69" s="161"/>
      <c r="BQ69" s="161"/>
      <c r="BR69" s="161"/>
      <c r="BS69" s="161"/>
      <c r="BT69" s="161"/>
      <c r="BU69" s="164"/>
      <c r="BV69" s="161"/>
      <c r="BW69" s="161"/>
      <c r="BX69" s="163"/>
      <c r="BY69" s="161"/>
      <c r="BZ69" s="161"/>
      <c r="CA69" s="161"/>
      <c r="CB69" s="161"/>
    </row>
    <row r="70" spans="1:80" ht="16.5" hidden="1" customHeight="1">
      <c r="A70" s="117">
        <v>177</v>
      </c>
      <c r="B70" s="154" t="s">
        <v>273</v>
      </c>
      <c r="C70" s="154" t="s">
        <v>898</v>
      </c>
      <c r="D70" s="154" t="s">
        <v>13</v>
      </c>
      <c r="E70" s="154" t="s">
        <v>260</v>
      </c>
      <c r="F70" s="154" t="s">
        <v>274</v>
      </c>
      <c r="G70" s="154" t="s">
        <v>157</v>
      </c>
      <c r="H70" s="146">
        <v>2490</v>
      </c>
      <c r="I70" s="147" t="s">
        <v>147</v>
      </c>
      <c r="J70" s="144">
        <v>2</v>
      </c>
      <c r="K70" s="145">
        <f t="shared" ref="K70:K73" si="149">K69</f>
        <v>8</v>
      </c>
      <c r="L70" s="144">
        <f t="shared" ref="L70:L73" si="150">+K70*J70</f>
        <v>16</v>
      </c>
      <c r="M70" s="146">
        <v>43.9</v>
      </c>
      <c r="N70" s="146">
        <f t="shared" ref="N70:N73" si="151">+M70*L70</f>
        <v>702.4</v>
      </c>
      <c r="O70" s="146" t="s">
        <v>137</v>
      </c>
      <c r="P70" s="146" t="s">
        <v>13</v>
      </c>
      <c r="Q70" s="146" t="s">
        <v>148</v>
      </c>
      <c r="R70" s="146"/>
      <c r="S70" s="146"/>
      <c r="T70" s="146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16</v>
      </c>
      <c r="U70" s="146">
        <f t="shared" ref="U70:U73" ca="1" si="152">+L70-T70</f>
        <v>0</v>
      </c>
      <c r="V70" s="146">
        <f t="shared" ref="V70:V73" ca="1" si="153">ROUNDDOWN(T70/J70,0)</f>
        <v>8</v>
      </c>
      <c r="W70" s="146"/>
      <c r="X70" s="146"/>
      <c r="Y70" s="146"/>
      <c r="Z70" s="146"/>
      <c r="AA70" s="146"/>
      <c r="AB70" s="146"/>
      <c r="AC70" s="146">
        <v>1.6</v>
      </c>
      <c r="AD70" s="117" t="s">
        <v>256</v>
      </c>
      <c r="AE70" s="148"/>
      <c r="AF70" s="146" t="str">
        <f t="shared" ref="AF70:AV73" si="154">AF69</f>
        <v>N/A</v>
      </c>
      <c r="AG70" s="146">
        <f t="shared" si="154"/>
        <v>0</v>
      </c>
      <c r="AH70" s="146">
        <f t="shared" ref="AH70:AH73" si="155">+AG70*J70</f>
        <v>0</v>
      </c>
      <c r="AI70" s="146">
        <f t="shared" ref="AI70:AI73" ca="1" si="156">MIN(T70,AH70)</f>
        <v>0</v>
      </c>
      <c r="AJ70" s="146">
        <f t="shared" ref="AJ70:AJ73" ca="1" si="157">+AH70-AI70</f>
        <v>0</v>
      </c>
      <c r="AK70" s="146" t="str">
        <f t="shared" si="154"/>
        <v>AMC 2-S2</v>
      </c>
      <c r="AL70" s="146">
        <f t="shared" si="154"/>
        <v>4</v>
      </c>
      <c r="AM70" s="146">
        <f t="shared" ref="AM70:AM73" si="158">+AL70*J70</f>
        <v>8</v>
      </c>
      <c r="AN70" s="146">
        <f t="shared" ref="AN70:AN73" ca="1" si="159">MIN(T70-AI70,AL70)</f>
        <v>4</v>
      </c>
      <c r="AO70" s="146">
        <f t="shared" ref="AO70:AO73" ca="1" si="160">+AM70-AN70</f>
        <v>4</v>
      </c>
      <c r="AP70" s="146" t="str">
        <f t="shared" si="154"/>
        <v>AMC 2-S2</v>
      </c>
      <c r="AQ70" s="146">
        <f t="shared" si="154"/>
        <v>4</v>
      </c>
      <c r="AR70" s="146">
        <f t="shared" ref="AR70:AR73" si="161">+AQ70*J70</f>
        <v>8</v>
      </c>
      <c r="AS70" s="146">
        <f t="shared" ref="AS70:AS73" ca="1" si="162">MIN(T70-AI70-AN70,AR70)</f>
        <v>8</v>
      </c>
      <c r="AT70" s="146">
        <f t="shared" ref="AT70:AT73" ca="1" si="163">+AR70-AS70</f>
        <v>0</v>
      </c>
      <c r="AU70" s="146" t="str">
        <f t="shared" si="154"/>
        <v>N/A</v>
      </c>
      <c r="AV70" s="146">
        <f t="shared" si="154"/>
        <v>0</v>
      </c>
      <c r="AW70" s="146">
        <f t="shared" ref="AW70:AW73" si="164">+AV70*J70</f>
        <v>0</v>
      </c>
      <c r="AX70" s="146">
        <f t="shared" ref="AX70:AX73" ca="1" si="165">MIN(T70-AI70-AN70-AS70,AW70)</f>
        <v>0</v>
      </c>
      <c r="AY70" s="146">
        <f t="shared" ref="AY70:AY73" ca="1" si="166">+AW70-AX70</f>
        <v>0</v>
      </c>
      <c r="AZ70" s="147"/>
      <c r="BA70" s="144" t="s">
        <v>140</v>
      </c>
      <c r="BB70" s="144" t="s">
        <v>141</v>
      </c>
      <c r="BC70" s="144" t="s">
        <v>141</v>
      </c>
      <c r="BD70" s="144" t="s">
        <v>140</v>
      </c>
      <c r="BE70" s="146">
        <v>0.8</v>
      </c>
      <c r="BF70" s="148"/>
      <c r="BG70" s="146"/>
      <c r="BH70" s="117"/>
      <c r="BI70" s="117"/>
      <c r="BJ70" s="149"/>
      <c r="BK70" s="149"/>
      <c r="BL70" s="117">
        <v>0</v>
      </c>
      <c r="BM70" s="117">
        <v>0</v>
      </c>
      <c r="BN70" s="117">
        <v>0</v>
      </c>
      <c r="BO70" s="117">
        <v>1</v>
      </c>
      <c r="BP70" s="117">
        <v>0</v>
      </c>
      <c r="BQ70" s="117">
        <v>0</v>
      </c>
      <c r="BR70" s="117">
        <v>0</v>
      </c>
      <c r="BS70" s="117" t="s">
        <v>150</v>
      </c>
      <c r="BT70" s="117"/>
      <c r="BU70" s="155"/>
      <c r="BV70" s="117"/>
      <c r="BW70" s="117"/>
      <c r="BX70" s="149"/>
      <c r="BY70" s="117"/>
      <c r="BZ70" s="117"/>
      <c r="CA70" s="117"/>
      <c r="CB70" s="117">
        <f>+L70-BW70</f>
        <v>16</v>
      </c>
    </row>
    <row r="71" spans="1:80" ht="16.5" hidden="1" customHeight="1">
      <c r="A71" s="117">
        <v>178</v>
      </c>
      <c r="B71" s="154" t="s">
        <v>273</v>
      </c>
      <c r="C71" s="154" t="s">
        <v>898</v>
      </c>
      <c r="D71" s="154" t="s">
        <v>13</v>
      </c>
      <c r="E71" s="154" t="s">
        <v>262</v>
      </c>
      <c r="F71" s="154" t="s">
        <v>275</v>
      </c>
      <c r="G71" s="154" t="s">
        <v>160</v>
      </c>
      <c r="H71" s="146">
        <v>2476</v>
      </c>
      <c r="I71" s="147" t="s">
        <v>147</v>
      </c>
      <c r="J71" s="144">
        <v>1</v>
      </c>
      <c r="K71" s="145">
        <f t="shared" si="149"/>
        <v>8</v>
      </c>
      <c r="L71" s="144">
        <f t="shared" si="150"/>
        <v>8</v>
      </c>
      <c r="M71" s="146">
        <v>48.9</v>
      </c>
      <c r="N71" s="146">
        <f t="shared" si="151"/>
        <v>391.2</v>
      </c>
      <c r="O71" s="146" t="s">
        <v>137</v>
      </c>
      <c r="P71" s="146" t="s">
        <v>13</v>
      </c>
      <c r="Q71" s="146" t="s">
        <v>148</v>
      </c>
      <c r="R71" s="146"/>
      <c r="S71" s="146"/>
      <c r="T71" s="146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8</v>
      </c>
      <c r="U71" s="146">
        <f t="shared" ca="1" si="152"/>
        <v>0</v>
      </c>
      <c r="V71" s="146">
        <f t="shared" ca="1" si="153"/>
        <v>8</v>
      </c>
      <c r="W71" s="146"/>
      <c r="X71" s="146"/>
      <c r="Y71" s="146"/>
      <c r="Z71" s="146"/>
      <c r="AA71" s="146"/>
      <c r="AB71" s="146"/>
      <c r="AC71" s="146">
        <v>0.9</v>
      </c>
      <c r="AD71" s="117" t="s">
        <v>256</v>
      </c>
      <c r="AE71" s="148"/>
      <c r="AF71" s="146" t="str">
        <f t="shared" si="154"/>
        <v>N/A</v>
      </c>
      <c r="AG71" s="146">
        <f t="shared" si="154"/>
        <v>0</v>
      </c>
      <c r="AH71" s="146">
        <f t="shared" si="155"/>
        <v>0</v>
      </c>
      <c r="AI71" s="146">
        <f t="shared" ca="1" si="156"/>
        <v>0</v>
      </c>
      <c r="AJ71" s="146">
        <f t="shared" ca="1" si="157"/>
        <v>0</v>
      </c>
      <c r="AK71" s="146" t="str">
        <f t="shared" si="154"/>
        <v>AMC 2-S2</v>
      </c>
      <c r="AL71" s="146">
        <f t="shared" si="154"/>
        <v>4</v>
      </c>
      <c r="AM71" s="146">
        <f t="shared" si="158"/>
        <v>4</v>
      </c>
      <c r="AN71" s="146">
        <f t="shared" ca="1" si="159"/>
        <v>4</v>
      </c>
      <c r="AO71" s="146">
        <f t="shared" ca="1" si="160"/>
        <v>0</v>
      </c>
      <c r="AP71" s="146" t="str">
        <f t="shared" si="154"/>
        <v>AMC 2-S2</v>
      </c>
      <c r="AQ71" s="146">
        <f t="shared" si="154"/>
        <v>4</v>
      </c>
      <c r="AR71" s="146">
        <f t="shared" si="161"/>
        <v>4</v>
      </c>
      <c r="AS71" s="146">
        <f t="shared" ca="1" si="162"/>
        <v>4</v>
      </c>
      <c r="AT71" s="146">
        <f t="shared" ca="1" si="163"/>
        <v>0</v>
      </c>
      <c r="AU71" s="146" t="str">
        <f t="shared" si="154"/>
        <v>N/A</v>
      </c>
      <c r="AV71" s="146">
        <f t="shared" si="154"/>
        <v>0</v>
      </c>
      <c r="AW71" s="146">
        <f t="shared" si="164"/>
        <v>0</v>
      </c>
      <c r="AX71" s="146">
        <f t="shared" ca="1" si="165"/>
        <v>0</v>
      </c>
      <c r="AY71" s="146">
        <f t="shared" ca="1" si="166"/>
        <v>0</v>
      </c>
      <c r="AZ71" s="147"/>
      <c r="BA71" s="144" t="s">
        <v>140</v>
      </c>
      <c r="BB71" s="144" t="s">
        <v>141</v>
      </c>
      <c r="BC71" s="144" t="s">
        <v>141</v>
      </c>
      <c r="BD71" s="144" t="s">
        <v>140</v>
      </c>
      <c r="BE71" s="146">
        <v>0.9</v>
      </c>
      <c r="BF71" s="148"/>
      <c r="BG71" s="146"/>
      <c r="BH71" s="117"/>
      <c r="BI71" s="117"/>
      <c r="BJ71" s="149"/>
      <c r="BK71" s="149"/>
      <c r="BL71" s="117">
        <v>0</v>
      </c>
      <c r="BM71" s="117">
        <v>0</v>
      </c>
      <c r="BN71" s="117">
        <v>0</v>
      </c>
      <c r="BO71" s="117">
        <v>1</v>
      </c>
      <c r="BP71" s="117">
        <v>0</v>
      </c>
      <c r="BQ71" s="117">
        <v>0</v>
      </c>
      <c r="BR71" s="117">
        <v>0</v>
      </c>
      <c r="BS71" s="117" t="s">
        <v>150</v>
      </c>
      <c r="BT71" s="117"/>
      <c r="BU71" s="155"/>
      <c r="BV71" s="117"/>
      <c r="BW71" s="117"/>
      <c r="BX71" s="149"/>
      <c r="BY71" s="117"/>
      <c r="BZ71" s="117"/>
      <c r="CA71" s="117"/>
      <c r="CB71" s="117">
        <f>+L71-BW71</f>
        <v>8</v>
      </c>
    </row>
    <row r="72" spans="1:80" ht="16.5" hidden="1" customHeight="1">
      <c r="A72" s="117">
        <v>179</v>
      </c>
      <c r="B72" s="154" t="s">
        <v>273</v>
      </c>
      <c r="C72" s="154" t="s">
        <v>898</v>
      </c>
      <c r="D72" s="154" t="s">
        <v>13</v>
      </c>
      <c r="E72" s="154" t="s">
        <v>276</v>
      </c>
      <c r="F72" s="154" t="s">
        <v>277</v>
      </c>
      <c r="G72" s="154" t="s">
        <v>255</v>
      </c>
      <c r="H72" s="146">
        <v>5819</v>
      </c>
      <c r="I72" s="147" t="s">
        <v>147</v>
      </c>
      <c r="J72" s="144">
        <v>1</v>
      </c>
      <c r="K72" s="145">
        <f t="shared" si="149"/>
        <v>8</v>
      </c>
      <c r="L72" s="144">
        <f t="shared" si="150"/>
        <v>8</v>
      </c>
      <c r="M72" s="146">
        <v>1074.3</v>
      </c>
      <c r="N72" s="146">
        <f t="shared" si="151"/>
        <v>8594.4</v>
      </c>
      <c r="O72" s="146" t="s">
        <v>137</v>
      </c>
      <c r="P72" s="146" t="s">
        <v>13</v>
      </c>
      <c r="Q72" s="146" t="s">
        <v>154</v>
      </c>
      <c r="R72" s="146"/>
      <c r="S72" s="146"/>
      <c r="T72" s="146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8</v>
      </c>
      <c r="U72" s="146">
        <f t="shared" ca="1" si="152"/>
        <v>0</v>
      </c>
      <c r="V72" s="146">
        <f t="shared" ca="1" si="153"/>
        <v>8</v>
      </c>
      <c r="W72" s="146"/>
      <c r="X72" s="146"/>
      <c r="Y72" s="146"/>
      <c r="Z72" s="146"/>
      <c r="AA72" s="146"/>
      <c r="AB72" s="146"/>
      <c r="AC72" s="146">
        <v>27.6</v>
      </c>
      <c r="AD72" s="117" t="s">
        <v>256</v>
      </c>
      <c r="AE72" s="148"/>
      <c r="AF72" s="146" t="str">
        <f t="shared" si="154"/>
        <v>N/A</v>
      </c>
      <c r="AG72" s="146">
        <f t="shared" si="154"/>
        <v>0</v>
      </c>
      <c r="AH72" s="146">
        <f t="shared" si="155"/>
        <v>0</v>
      </c>
      <c r="AI72" s="146">
        <f t="shared" ca="1" si="156"/>
        <v>0</v>
      </c>
      <c r="AJ72" s="146">
        <f t="shared" ca="1" si="157"/>
        <v>0</v>
      </c>
      <c r="AK72" s="146" t="str">
        <f t="shared" si="154"/>
        <v>AMC 2-S2</v>
      </c>
      <c r="AL72" s="146">
        <f t="shared" si="154"/>
        <v>4</v>
      </c>
      <c r="AM72" s="146">
        <f t="shared" si="158"/>
        <v>4</v>
      </c>
      <c r="AN72" s="146">
        <f t="shared" ca="1" si="159"/>
        <v>4</v>
      </c>
      <c r="AO72" s="146">
        <f t="shared" ca="1" si="160"/>
        <v>0</v>
      </c>
      <c r="AP72" s="146" t="str">
        <f t="shared" si="154"/>
        <v>AMC 2-S2</v>
      </c>
      <c r="AQ72" s="146">
        <f t="shared" si="154"/>
        <v>4</v>
      </c>
      <c r="AR72" s="146">
        <f t="shared" si="161"/>
        <v>4</v>
      </c>
      <c r="AS72" s="146">
        <f t="shared" ca="1" si="162"/>
        <v>4</v>
      </c>
      <c r="AT72" s="146">
        <f t="shared" ca="1" si="163"/>
        <v>0</v>
      </c>
      <c r="AU72" s="146" t="str">
        <f t="shared" si="154"/>
        <v>N/A</v>
      </c>
      <c r="AV72" s="146">
        <f t="shared" si="154"/>
        <v>0</v>
      </c>
      <c r="AW72" s="146">
        <f t="shared" si="164"/>
        <v>0</v>
      </c>
      <c r="AX72" s="146">
        <f t="shared" ca="1" si="165"/>
        <v>0</v>
      </c>
      <c r="AY72" s="146">
        <f t="shared" ca="1" si="166"/>
        <v>0</v>
      </c>
      <c r="AZ72" s="147"/>
      <c r="BA72" s="144" t="s">
        <v>140</v>
      </c>
      <c r="BB72" s="144" t="s">
        <v>141</v>
      </c>
      <c r="BC72" s="144" t="s">
        <v>141</v>
      </c>
      <c r="BD72" s="144" t="s">
        <v>140</v>
      </c>
      <c r="BE72" s="146">
        <v>27.6</v>
      </c>
      <c r="BF72" s="148"/>
      <c r="BG72" s="146"/>
      <c r="BH72" s="117"/>
      <c r="BI72" s="141" t="s">
        <v>257</v>
      </c>
      <c r="BJ72" s="153"/>
      <c r="BK72" s="153"/>
      <c r="BL72" s="141">
        <v>0</v>
      </c>
      <c r="BM72" s="141">
        <v>1</v>
      </c>
      <c r="BN72" s="141">
        <v>0</v>
      </c>
      <c r="BO72" s="141">
        <v>1</v>
      </c>
      <c r="BP72" s="141">
        <v>0</v>
      </c>
      <c r="BQ72" s="141">
        <v>0</v>
      </c>
      <c r="BR72" s="141">
        <v>0</v>
      </c>
      <c r="BS72" s="117" t="s">
        <v>150</v>
      </c>
      <c r="BT72" s="117"/>
      <c r="BU72" s="155"/>
      <c r="BV72" s="117"/>
      <c r="BW72" s="117"/>
      <c r="BX72" s="149"/>
      <c r="BY72" s="117"/>
      <c r="BZ72" s="117"/>
      <c r="CA72" s="117"/>
      <c r="CB72" s="117">
        <f>+L72-BW72</f>
        <v>8</v>
      </c>
    </row>
    <row r="73" spans="1:80" ht="16.5" hidden="1" customHeight="1">
      <c r="A73" s="117">
        <v>180</v>
      </c>
      <c r="B73" s="154" t="s">
        <v>273</v>
      </c>
      <c r="C73" s="154" t="s">
        <v>898</v>
      </c>
      <c r="D73" s="154" t="s">
        <v>13</v>
      </c>
      <c r="E73" s="154" t="s">
        <v>278</v>
      </c>
      <c r="F73" s="154" t="s">
        <v>279</v>
      </c>
      <c r="G73" s="154" t="s">
        <v>146</v>
      </c>
      <c r="H73" s="146">
        <v>5819</v>
      </c>
      <c r="I73" s="147" t="s">
        <v>147</v>
      </c>
      <c r="J73" s="144">
        <v>1</v>
      </c>
      <c r="K73" s="145">
        <f t="shared" si="149"/>
        <v>8</v>
      </c>
      <c r="L73" s="144">
        <f t="shared" si="150"/>
        <v>8</v>
      </c>
      <c r="M73" s="146">
        <v>22.8</v>
      </c>
      <c r="N73" s="146">
        <f t="shared" si="151"/>
        <v>182.4</v>
      </c>
      <c r="O73" s="146" t="s">
        <v>137</v>
      </c>
      <c r="P73" s="146" t="s">
        <v>13</v>
      </c>
      <c r="Q73" s="146" t="s">
        <v>148</v>
      </c>
      <c r="R73" s="146"/>
      <c r="S73" s="146"/>
      <c r="T73" s="146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4</v>
      </c>
      <c r="U73" s="146">
        <f t="shared" ca="1" si="152"/>
        <v>4</v>
      </c>
      <c r="V73" s="146">
        <f t="shared" ca="1" si="153"/>
        <v>4</v>
      </c>
      <c r="W73" s="146"/>
      <c r="X73" s="146"/>
      <c r="Y73" s="146"/>
      <c r="Z73" s="146"/>
      <c r="AA73" s="146"/>
      <c r="AB73" s="146"/>
      <c r="AC73" s="146">
        <v>0.7</v>
      </c>
      <c r="AD73" s="117" t="s">
        <v>256</v>
      </c>
      <c r="AE73" s="148"/>
      <c r="AF73" s="146" t="str">
        <f t="shared" si="154"/>
        <v>N/A</v>
      </c>
      <c r="AG73" s="146">
        <f t="shared" si="154"/>
        <v>0</v>
      </c>
      <c r="AH73" s="146">
        <f t="shared" si="155"/>
        <v>0</v>
      </c>
      <c r="AI73" s="146">
        <f t="shared" ca="1" si="156"/>
        <v>0</v>
      </c>
      <c r="AJ73" s="146">
        <f t="shared" ca="1" si="157"/>
        <v>0</v>
      </c>
      <c r="AK73" s="146" t="str">
        <f t="shared" si="154"/>
        <v>AMC 2-S2</v>
      </c>
      <c r="AL73" s="146">
        <f t="shared" si="154"/>
        <v>4</v>
      </c>
      <c r="AM73" s="146">
        <f t="shared" si="158"/>
        <v>4</v>
      </c>
      <c r="AN73" s="146">
        <f t="shared" ca="1" si="159"/>
        <v>4</v>
      </c>
      <c r="AO73" s="146">
        <f t="shared" ca="1" si="160"/>
        <v>0</v>
      </c>
      <c r="AP73" s="146" t="str">
        <f t="shared" si="154"/>
        <v>AMC 2-S2</v>
      </c>
      <c r="AQ73" s="146">
        <f t="shared" si="154"/>
        <v>4</v>
      </c>
      <c r="AR73" s="146">
        <f t="shared" si="161"/>
        <v>4</v>
      </c>
      <c r="AS73" s="146">
        <f t="shared" ca="1" si="162"/>
        <v>0</v>
      </c>
      <c r="AT73" s="146">
        <f t="shared" ca="1" si="163"/>
        <v>4</v>
      </c>
      <c r="AU73" s="146" t="str">
        <f t="shared" si="154"/>
        <v>N/A</v>
      </c>
      <c r="AV73" s="146">
        <f t="shared" si="154"/>
        <v>0</v>
      </c>
      <c r="AW73" s="146">
        <f t="shared" si="164"/>
        <v>0</v>
      </c>
      <c r="AX73" s="146">
        <f t="shared" ca="1" si="165"/>
        <v>0</v>
      </c>
      <c r="AY73" s="146">
        <f t="shared" ca="1" si="166"/>
        <v>0</v>
      </c>
      <c r="AZ73" s="147"/>
      <c r="BA73" s="144" t="s">
        <v>140</v>
      </c>
      <c r="BB73" s="144" t="s">
        <v>141</v>
      </c>
      <c r="BC73" s="144" t="s">
        <v>141</v>
      </c>
      <c r="BD73" s="144" t="s">
        <v>140</v>
      </c>
      <c r="BE73" s="146">
        <v>0.7</v>
      </c>
      <c r="BF73" s="148"/>
      <c r="BG73" s="146"/>
      <c r="BH73" s="117"/>
      <c r="BI73" s="141" t="s">
        <v>257</v>
      </c>
      <c r="BJ73" s="153"/>
      <c r="BK73" s="153"/>
      <c r="BL73" s="141">
        <v>0</v>
      </c>
      <c r="BM73" s="141">
        <v>0</v>
      </c>
      <c r="BN73" s="141">
        <v>0</v>
      </c>
      <c r="BO73" s="141">
        <v>0</v>
      </c>
      <c r="BP73" s="141">
        <v>0</v>
      </c>
      <c r="BQ73" s="141">
        <v>0</v>
      </c>
      <c r="BR73" s="141">
        <v>0</v>
      </c>
      <c r="BS73" s="117" t="s">
        <v>150</v>
      </c>
      <c r="BT73" s="117"/>
      <c r="BU73" s="155"/>
      <c r="BV73" s="117"/>
      <c r="BW73" s="117"/>
      <c r="BX73" s="149"/>
      <c r="BY73" s="117"/>
      <c r="BZ73" s="117"/>
      <c r="CA73" s="117"/>
      <c r="CB73" s="117">
        <f>+L73-BW73</f>
        <v>8</v>
      </c>
    </row>
    <row r="74" spans="1:80" ht="16.5" hidden="1" customHeight="1">
      <c r="A74" s="133">
        <v>213</v>
      </c>
      <c r="B74" s="156" t="s">
        <v>280</v>
      </c>
      <c r="C74" s="156" t="s">
        <v>899</v>
      </c>
      <c r="D74" s="156"/>
      <c r="E74" s="156" t="s">
        <v>136</v>
      </c>
      <c r="F74" s="156"/>
      <c r="G74" s="156"/>
      <c r="H74" s="157"/>
      <c r="I74" s="159"/>
      <c r="J74" s="160" t="s">
        <v>136</v>
      </c>
      <c r="K74" s="138">
        <f>+AG74+AL74+AQ74+AV74</f>
        <v>4</v>
      </c>
      <c r="L74" s="160" t="s">
        <v>136</v>
      </c>
      <c r="M74" s="157"/>
      <c r="N74" s="157">
        <v>7650.1</v>
      </c>
      <c r="O74" s="157" t="s">
        <v>137</v>
      </c>
      <c r="P74" s="157"/>
      <c r="Q74" s="157"/>
      <c r="R74" s="157"/>
      <c r="S74" s="157"/>
      <c r="T74" s="157"/>
      <c r="U74" s="157"/>
      <c r="V74" s="157"/>
      <c r="W74" s="135">
        <f ca="1">_xlfn.MINIFS(V:V,C:C,C74,AE:AE,"",AB:AB,"")</f>
        <v>4</v>
      </c>
      <c r="X74" s="135">
        <f ca="1">SUMIFS(T:T,C:C,C74,AE:AE,"")/SUMIFS(L:L,C:C,C74,AE:AE,"",AB:AB,"")</f>
        <v>1</v>
      </c>
      <c r="Y74" s="157"/>
      <c r="Z74" s="157"/>
      <c r="AA74" s="157"/>
      <c r="AB74" s="157"/>
      <c r="AC74" s="157">
        <v>191.8</v>
      </c>
      <c r="AD74" s="161" t="s">
        <v>196</v>
      </c>
      <c r="AE74" s="162" t="s">
        <v>143</v>
      </c>
      <c r="AF74" s="157" t="s">
        <v>281</v>
      </c>
      <c r="AG74" s="157">
        <v>4</v>
      </c>
      <c r="AH74" s="157"/>
      <c r="AI74" s="157"/>
      <c r="AJ74" s="157"/>
      <c r="AK74" s="157" t="s">
        <v>138</v>
      </c>
      <c r="AL74" s="157">
        <v>0</v>
      </c>
      <c r="AM74" s="157"/>
      <c r="AN74" s="157"/>
      <c r="AO74" s="157"/>
      <c r="AP74" s="157" t="s">
        <v>138</v>
      </c>
      <c r="AQ74" s="157">
        <v>0</v>
      </c>
      <c r="AR74" s="157"/>
      <c r="AS74" s="157"/>
      <c r="AT74" s="157"/>
      <c r="AU74" s="157" t="s">
        <v>138</v>
      </c>
      <c r="AV74" s="157">
        <v>0</v>
      </c>
      <c r="AW74" s="157"/>
      <c r="AX74" s="157"/>
      <c r="AY74" s="157"/>
      <c r="AZ74" s="136"/>
      <c r="BA74" s="137" t="s">
        <v>141</v>
      </c>
      <c r="BB74" s="137" t="s">
        <v>140</v>
      </c>
      <c r="BC74" s="137" t="s">
        <v>140</v>
      </c>
      <c r="BD74" s="137" t="s">
        <v>140</v>
      </c>
      <c r="BE74" s="157">
        <v>48</v>
      </c>
      <c r="BF74" s="162"/>
      <c r="BG74" s="157"/>
      <c r="BH74" s="161"/>
      <c r="BI74" s="161"/>
      <c r="BJ74" s="163"/>
      <c r="BK74" s="163"/>
      <c r="BL74" s="161"/>
      <c r="BM74" s="161"/>
      <c r="BN74" s="161"/>
      <c r="BO74" s="161"/>
      <c r="BP74" s="161"/>
      <c r="BQ74" s="161"/>
      <c r="BR74" s="161"/>
      <c r="BS74" s="161"/>
      <c r="BT74" s="161"/>
      <c r="BU74" s="164"/>
      <c r="BV74" s="161"/>
      <c r="BW74" s="161"/>
      <c r="BX74" s="163"/>
      <c r="BY74" s="161"/>
      <c r="BZ74" s="161"/>
      <c r="CA74" s="161"/>
      <c r="CB74" s="161"/>
    </row>
    <row r="75" spans="1:80" ht="16.5" hidden="1" customHeight="1">
      <c r="A75" s="117">
        <v>214</v>
      </c>
      <c r="B75" s="154" t="s">
        <v>280</v>
      </c>
      <c r="C75" s="154" t="s">
        <v>899</v>
      </c>
      <c r="D75" s="154" t="s">
        <v>13</v>
      </c>
      <c r="E75" s="154" t="s">
        <v>260</v>
      </c>
      <c r="F75" s="154" t="s">
        <v>282</v>
      </c>
      <c r="G75" s="154" t="s">
        <v>157</v>
      </c>
      <c r="H75" s="146">
        <v>2490</v>
      </c>
      <c r="I75" s="147" t="s">
        <v>147</v>
      </c>
      <c r="J75" s="144">
        <v>3</v>
      </c>
      <c r="K75" s="145">
        <f t="shared" ref="K75:K78" si="167">K74</f>
        <v>4</v>
      </c>
      <c r="L75" s="144">
        <f t="shared" ref="L75:L78" si="168">+K75*J75</f>
        <v>12</v>
      </c>
      <c r="M75" s="146">
        <v>43.9</v>
      </c>
      <c r="N75" s="146">
        <f t="shared" ref="N75:N78" si="169">+M75*L75</f>
        <v>526.79999999999995</v>
      </c>
      <c r="O75" s="146" t="s">
        <v>137</v>
      </c>
      <c r="P75" s="146" t="s">
        <v>13</v>
      </c>
      <c r="Q75" s="146" t="s">
        <v>148</v>
      </c>
      <c r="R75" s="146"/>
      <c r="S75" s="146"/>
      <c r="T75" s="146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12</v>
      </c>
      <c r="U75" s="146">
        <f t="shared" ref="U75:U78" ca="1" si="170">+L75-T75</f>
        <v>0</v>
      </c>
      <c r="V75" s="146">
        <f t="shared" ref="V75:V78" ca="1" si="171">ROUNDDOWN(T75/J75,0)</f>
        <v>4</v>
      </c>
      <c r="W75" s="146"/>
      <c r="X75" s="146"/>
      <c r="Y75" s="146"/>
      <c r="Z75" s="146"/>
      <c r="AA75" s="146"/>
      <c r="AB75" s="146"/>
      <c r="AC75" s="146">
        <v>2.5</v>
      </c>
      <c r="AD75" s="117" t="s">
        <v>196</v>
      </c>
      <c r="AE75" s="148"/>
      <c r="AF75" s="146" t="str">
        <f t="shared" ref="AF75:AV78" si="172">AF74</f>
        <v>AMC 2-S1</v>
      </c>
      <c r="AG75" s="146">
        <f t="shared" si="172"/>
        <v>4</v>
      </c>
      <c r="AH75" s="146">
        <f t="shared" ref="AH75:AH78" si="173">+AG75*J75</f>
        <v>12</v>
      </c>
      <c r="AI75" s="146">
        <f t="shared" ref="AI75:AI78" ca="1" si="174">MIN(T75,AH75)</f>
        <v>12</v>
      </c>
      <c r="AJ75" s="146">
        <f t="shared" ref="AJ75:AJ78" ca="1" si="175">+AH75-AI75</f>
        <v>0</v>
      </c>
      <c r="AK75" s="146" t="str">
        <f t="shared" si="172"/>
        <v>N/A</v>
      </c>
      <c r="AL75" s="146">
        <f t="shared" si="172"/>
        <v>0</v>
      </c>
      <c r="AM75" s="146">
        <f t="shared" ref="AM75:AM78" si="176">+AL75*J75</f>
        <v>0</v>
      </c>
      <c r="AN75" s="146">
        <f t="shared" ref="AN75:AN78" ca="1" si="177">MIN(T75-AI75,AL75)</f>
        <v>0</v>
      </c>
      <c r="AO75" s="146">
        <f t="shared" ref="AO75:AO78" ca="1" si="178">+AM75-AN75</f>
        <v>0</v>
      </c>
      <c r="AP75" s="146" t="str">
        <f t="shared" si="172"/>
        <v>N/A</v>
      </c>
      <c r="AQ75" s="146">
        <f t="shared" si="172"/>
        <v>0</v>
      </c>
      <c r="AR75" s="146">
        <f t="shared" ref="AR75:AR78" si="179">+AQ75*J75</f>
        <v>0</v>
      </c>
      <c r="AS75" s="146">
        <f t="shared" ref="AS75:AS78" ca="1" si="180">MIN(T75-AI75-AN75,AR75)</f>
        <v>0</v>
      </c>
      <c r="AT75" s="146">
        <f t="shared" ref="AT75:AT78" ca="1" si="181">+AR75-AS75</f>
        <v>0</v>
      </c>
      <c r="AU75" s="146" t="str">
        <f t="shared" si="172"/>
        <v>N/A</v>
      </c>
      <c r="AV75" s="146">
        <f t="shared" si="172"/>
        <v>0</v>
      </c>
      <c r="AW75" s="146">
        <f t="shared" ref="AW75:AW78" si="182">+AV75*J75</f>
        <v>0</v>
      </c>
      <c r="AX75" s="146">
        <f t="shared" ref="AX75:AX78" ca="1" si="183">MIN(T75-AI75-AN75-AS75,AW75)</f>
        <v>0</v>
      </c>
      <c r="AY75" s="146">
        <f t="shared" ref="AY75:AY78" ca="1" si="184">+AW75-AX75</f>
        <v>0</v>
      </c>
      <c r="AZ75" s="147"/>
      <c r="BA75" s="144" t="s">
        <v>141</v>
      </c>
      <c r="BB75" s="144" t="s">
        <v>140</v>
      </c>
      <c r="BC75" s="144" t="s">
        <v>140</v>
      </c>
      <c r="BD75" s="144" t="s">
        <v>140</v>
      </c>
      <c r="BE75" s="146">
        <v>0.8</v>
      </c>
      <c r="BF75" s="148"/>
      <c r="BG75" s="146"/>
      <c r="BH75" s="117"/>
      <c r="BI75" s="117"/>
      <c r="BJ75" s="149"/>
      <c r="BK75" s="149"/>
      <c r="BL75" s="117">
        <v>0</v>
      </c>
      <c r="BM75" s="117">
        <v>0</v>
      </c>
      <c r="BN75" s="117">
        <v>0</v>
      </c>
      <c r="BO75" s="117">
        <v>1</v>
      </c>
      <c r="BP75" s="117">
        <v>0</v>
      </c>
      <c r="BQ75" s="117">
        <v>0</v>
      </c>
      <c r="BR75" s="117">
        <v>0</v>
      </c>
      <c r="BS75" s="117" t="s">
        <v>150</v>
      </c>
      <c r="BT75" s="158" t="s">
        <v>200</v>
      </c>
      <c r="BU75" s="117"/>
      <c r="BV75" s="117" t="s">
        <v>201</v>
      </c>
      <c r="BW75" s="117">
        <v>12</v>
      </c>
      <c r="BX75" s="149">
        <v>46201</v>
      </c>
      <c r="BY75" s="117"/>
      <c r="BZ75" s="117"/>
      <c r="CA75" s="117"/>
      <c r="CB75" s="117">
        <f>+L75-BW75</f>
        <v>0</v>
      </c>
    </row>
    <row r="76" spans="1:80" ht="16.5" hidden="1" customHeight="1">
      <c r="A76" s="117">
        <v>215</v>
      </c>
      <c r="B76" s="154" t="s">
        <v>280</v>
      </c>
      <c r="C76" s="154" t="s">
        <v>899</v>
      </c>
      <c r="D76" s="154" t="s">
        <v>13</v>
      </c>
      <c r="E76" s="154" t="s">
        <v>262</v>
      </c>
      <c r="F76" s="154" t="s">
        <v>283</v>
      </c>
      <c r="G76" s="154" t="s">
        <v>160</v>
      </c>
      <c r="H76" s="146">
        <v>2476</v>
      </c>
      <c r="I76" s="147" t="s">
        <v>147</v>
      </c>
      <c r="J76" s="144">
        <v>1</v>
      </c>
      <c r="K76" s="145">
        <f t="shared" si="167"/>
        <v>4</v>
      </c>
      <c r="L76" s="144">
        <f t="shared" si="168"/>
        <v>4</v>
      </c>
      <c r="M76" s="146">
        <v>48.9</v>
      </c>
      <c r="N76" s="146">
        <f t="shared" si="169"/>
        <v>195.6</v>
      </c>
      <c r="O76" s="146" t="s">
        <v>137</v>
      </c>
      <c r="P76" s="146" t="s">
        <v>13</v>
      </c>
      <c r="Q76" s="146" t="s">
        <v>148</v>
      </c>
      <c r="R76" s="146"/>
      <c r="S76" s="146"/>
      <c r="T76" s="146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4</v>
      </c>
      <c r="U76" s="146">
        <f t="shared" ca="1" si="170"/>
        <v>0</v>
      </c>
      <c r="V76" s="146">
        <f t="shared" ca="1" si="171"/>
        <v>4</v>
      </c>
      <c r="W76" s="146"/>
      <c r="X76" s="146"/>
      <c r="Y76" s="146"/>
      <c r="Z76" s="146"/>
      <c r="AA76" s="146"/>
      <c r="AB76" s="146"/>
      <c r="AC76" s="146">
        <v>0.9</v>
      </c>
      <c r="AD76" s="117" t="s">
        <v>196</v>
      </c>
      <c r="AE76" s="148"/>
      <c r="AF76" s="146" t="str">
        <f t="shared" si="172"/>
        <v>AMC 2-S1</v>
      </c>
      <c r="AG76" s="146">
        <f t="shared" si="172"/>
        <v>4</v>
      </c>
      <c r="AH76" s="146">
        <f t="shared" si="173"/>
        <v>4</v>
      </c>
      <c r="AI76" s="146">
        <f t="shared" ca="1" si="174"/>
        <v>4</v>
      </c>
      <c r="AJ76" s="146">
        <f t="shared" ca="1" si="175"/>
        <v>0</v>
      </c>
      <c r="AK76" s="146" t="str">
        <f t="shared" si="172"/>
        <v>N/A</v>
      </c>
      <c r="AL76" s="146">
        <f t="shared" si="172"/>
        <v>0</v>
      </c>
      <c r="AM76" s="146">
        <f t="shared" si="176"/>
        <v>0</v>
      </c>
      <c r="AN76" s="146">
        <f t="shared" ca="1" si="177"/>
        <v>0</v>
      </c>
      <c r="AO76" s="146">
        <f t="shared" ca="1" si="178"/>
        <v>0</v>
      </c>
      <c r="AP76" s="146" t="str">
        <f t="shared" si="172"/>
        <v>N/A</v>
      </c>
      <c r="AQ76" s="146">
        <f t="shared" si="172"/>
        <v>0</v>
      </c>
      <c r="AR76" s="146">
        <f t="shared" si="179"/>
        <v>0</v>
      </c>
      <c r="AS76" s="146">
        <f t="shared" ca="1" si="180"/>
        <v>0</v>
      </c>
      <c r="AT76" s="146">
        <f t="shared" ca="1" si="181"/>
        <v>0</v>
      </c>
      <c r="AU76" s="146" t="str">
        <f t="shared" si="172"/>
        <v>N/A</v>
      </c>
      <c r="AV76" s="146">
        <f t="shared" si="172"/>
        <v>0</v>
      </c>
      <c r="AW76" s="146">
        <f t="shared" si="182"/>
        <v>0</v>
      </c>
      <c r="AX76" s="146">
        <f t="shared" ca="1" si="183"/>
        <v>0</v>
      </c>
      <c r="AY76" s="146">
        <f t="shared" ca="1" si="184"/>
        <v>0</v>
      </c>
      <c r="AZ76" s="147"/>
      <c r="BA76" s="144" t="s">
        <v>141</v>
      </c>
      <c r="BB76" s="144" t="s">
        <v>140</v>
      </c>
      <c r="BC76" s="144" t="s">
        <v>140</v>
      </c>
      <c r="BD76" s="144" t="s">
        <v>140</v>
      </c>
      <c r="BE76" s="146">
        <v>0.9</v>
      </c>
      <c r="BF76" s="148"/>
      <c r="BG76" s="146"/>
      <c r="BH76" s="117"/>
      <c r="BI76" s="117"/>
      <c r="BJ76" s="149"/>
      <c r="BK76" s="149"/>
      <c r="BL76" s="117">
        <v>0</v>
      </c>
      <c r="BM76" s="117">
        <v>0</v>
      </c>
      <c r="BN76" s="117">
        <v>0</v>
      </c>
      <c r="BO76" s="117">
        <v>1</v>
      </c>
      <c r="BP76" s="117">
        <v>0</v>
      </c>
      <c r="BQ76" s="117">
        <v>0</v>
      </c>
      <c r="BR76" s="117">
        <v>0</v>
      </c>
      <c r="BS76" s="117" t="s">
        <v>150</v>
      </c>
      <c r="BT76" s="158" t="s">
        <v>200</v>
      </c>
      <c r="BU76" s="117"/>
      <c r="BV76" s="117" t="s">
        <v>201</v>
      </c>
      <c r="BW76" s="117">
        <v>4</v>
      </c>
      <c r="BX76" s="149">
        <v>46201</v>
      </c>
      <c r="BY76" s="117"/>
      <c r="BZ76" s="117"/>
      <c r="CA76" s="117"/>
      <c r="CB76" s="117">
        <f>+L76-BW76</f>
        <v>0</v>
      </c>
    </row>
    <row r="77" spans="1:80" ht="16.5" hidden="1" customHeight="1">
      <c r="A77" s="117">
        <v>216</v>
      </c>
      <c r="B77" s="154" t="s">
        <v>280</v>
      </c>
      <c r="C77" s="154" t="s">
        <v>899</v>
      </c>
      <c r="D77" s="154" t="s">
        <v>13</v>
      </c>
      <c r="E77" s="154" t="s">
        <v>284</v>
      </c>
      <c r="F77" s="154" t="s">
        <v>285</v>
      </c>
      <c r="G77" s="154" t="s">
        <v>255</v>
      </c>
      <c r="H77" s="146">
        <v>9185</v>
      </c>
      <c r="I77" s="147" t="s">
        <v>147</v>
      </c>
      <c r="J77" s="144">
        <v>1</v>
      </c>
      <c r="K77" s="145">
        <f t="shared" si="167"/>
        <v>4</v>
      </c>
      <c r="L77" s="144">
        <f t="shared" si="168"/>
        <v>4</v>
      </c>
      <c r="M77" s="146">
        <v>1695.9</v>
      </c>
      <c r="N77" s="146">
        <f t="shared" si="169"/>
        <v>6783.6</v>
      </c>
      <c r="O77" s="146" t="s">
        <v>137</v>
      </c>
      <c r="P77" s="146" t="s">
        <v>13</v>
      </c>
      <c r="Q77" s="146" t="s">
        <v>154</v>
      </c>
      <c r="R77" s="146"/>
      <c r="S77" s="146"/>
      <c r="T77" s="146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4</v>
      </c>
      <c r="U77" s="146">
        <f t="shared" ca="1" si="170"/>
        <v>0</v>
      </c>
      <c r="V77" s="146">
        <f t="shared" ca="1" si="171"/>
        <v>4</v>
      </c>
      <c r="W77" s="146"/>
      <c r="X77" s="146"/>
      <c r="Y77" s="146"/>
      <c r="Z77" s="146"/>
      <c r="AA77" s="146"/>
      <c r="AB77" s="146"/>
      <c r="AC77" s="146">
        <v>43.5</v>
      </c>
      <c r="AD77" s="117" t="s">
        <v>196</v>
      </c>
      <c r="AE77" s="148"/>
      <c r="AF77" s="146" t="str">
        <f t="shared" si="172"/>
        <v>AMC 2-S1</v>
      </c>
      <c r="AG77" s="146">
        <f t="shared" si="172"/>
        <v>4</v>
      </c>
      <c r="AH77" s="146">
        <f t="shared" si="173"/>
        <v>4</v>
      </c>
      <c r="AI77" s="146">
        <f t="shared" ca="1" si="174"/>
        <v>4</v>
      </c>
      <c r="AJ77" s="146">
        <f t="shared" ca="1" si="175"/>
        <v>0</v>
      </c>
      <c r="AK77" s="146" t="str">
        <f t="shared" si="172"/>
        <v>N/A</v>
      </c>
      <c r="AL77" s="146">
        <f t="shared" si="172"/>
        <v>0</v>
      </c>
      <c r="AM77" s="146">
        <f t="shared" si="176"/>
        <v>0</v>
      </c>
      <c r="AN77" s="146">
        <f t="shared" ca="1" si="177"/>
        <v>0</v>
      </c>
      <c r="AO77" s="146">
        <f t="shared" ca="1" si="178"/>
        <v>0</v>
      </c>
      <c r="AP77" s="146" t="str">
        <f t="shared" si="172"/>
        <v>N/A</v>
      </c>
      <c r="AQ77" s="146">
        <f t="shared" si="172"/>
        <v>0</v>
      </c>
      <c r="AR77" s="146">
        <f t="shared" si="179"/>
        <v>0</v>
      </c>
      <c r="AS77" s="146">
        <f t="shared" ca="1" si="180"/>
        <v>0</v>
      </c>
      <c r="AT77" s="146">
        <f t="shared" ca="1" si="181"/>
        <v>0</v>
      </c>
      <c r="AU77" s="146" t="str">
        <f t="shared" si="172"/>
        <v>N/A</v>
      </c>
      <c r="AV77" s="146">
        <f t="shared" si="172"/>
        <v>0</v>
      </c>
      <c r="AW77" s="146">
        <f t="shared" si="182"/>
        <v>0</v>
      </c>
      <c r="AX77" s="146">
        <f t="shared" ca="1" si="183"/>
        <v>0</v>
      </c>
      <c r="AY77" s="146">
        <f t="shared" ca="1" si="184"/>
        <v>0</v>
      </c>
      <c r="AZ77" s="147"/>
      <c r="BA77" s="144" t="s">
        <v>141</v>
      </c>
      <c r="BB77" s="144" t="s">
        <v>140</v>
      </c>
      <c r="BC77" s="144" t="s">
        <v>140</v>
      </c>
      <c r="BD77" s="144" t="s">
        <v>140</v>
      </c>
      <c r="BE77" s="146">
        <v>43.5</v>
      </c>
      <c r="BF77" s="148"/>
      <c r="BG77" s="146"/>
      <c r="BH77" s="117"/>
      <c r="BI77" s="117"/>
      <c r="BJ77" s="149"/>
      <c r="BK77" s="149"/>
      <c r="BL77" s="117">
        <v>0</v>
      </c>
      <c r="BM77" s="117">
        <v>1</v>
      </c>
      <c r="BN77" s="117">
        <v>0</v>
      </c>
      <c r="BO77" s="117">
        <v>1</v>
      </c>
      <c r="BP77" s="117">
        <v>0</v>
      </c>
      <c r="BQ77" s="117">
        <v>0</v>
      </c>
      <c r="BR77" s="117">
        <v>0</v>
      </c>
      <c r="BS77" s="117" t="s">
        <v>150</v>
      </c>
      <c r="BT77" s="117"/>
      <c r="BU77" s="155"/>
      <c r="BV77" s="117" t="s">
        <v>57</v>
      </c>
      <c r="BW77" s="117">
        <v>4</v>
      </c>
      <c r="BX77" s="149"/>
      <c r="BY77" s="117"/>
      <c r="BZ77" s="117"/>
      <c r="CA77" s="117"/>
      <c r="CB77" s="117">
        <f>+L77-BW77</f>
        <v>0</v>
      </c>
    </row>
    <row r="78" spans="1:80" ht="16.5" hidden="1" customHeight="1">
      <c r="A78" s="117">
        <v>217</v>
      </c>
      <c r="B78" s="154" t="s">
        <v>280</v>
      </c>
      <c r="C78" s="154" t="s">
        <v>899</v>
      </c>
      <c r="D78" s="154" t="s">
        <v>13</v>
      </c>
      <c r="E78" s="154" t="s">
        <v>286</v>
      </c>
      <c r="F78" s="154" t="s">
        <v>287</v>
      </c>
      <c r="G78" s="154" t="s">
        <v>146</v>
      </c>
      <c r="H78" s="146">
        <v>9185</v>
      </c>
      <c r="I78" s="147" t="s">
        <v>147</v>
      </c>
      <c r="J78" s="144">
        <v>1</v>
      </c>
      <c r="K78" s="145">
        <f t="shared" si="167"/>
        <v>4</v>
      </c>
      <c r="L78" s="144">
        <f t="shared" si="168"/>
        <v>4</v>
      </c>
      <c r="M78" s="146">
        <v>36.1</v>
      </c>
      <c r="N78" s="146">
        <f t="shared" si="169"/>
        <v>144.4</v>
      </c>
      <c r="O78" s="146" t="s">
        <v>137</v>
      </c>
      <c r="P78" s="146" t="s">
        <v>13</v>
      </c>
      <c r="Q78" s="146" t="s">
        <v>148</v>
      </c>
      <c r="R78" s="146"/>
      <c r="S78" s="146"/>
      <c r="T78" s="146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4</v>
      </c>
      <c r="U78" s="146">
        <f t="shared" ca="1" si="170"/>
        <v>0</v>
      </c>
      <c r="V78" s="146">
        <f t="shared" ca="1" si="171"/>
        <v>4</v>
      </c>
      <c r="W78" s="146"/>
      <c r="X78" s="146"/>
      <c r="Y78" s="146"/>
      <c r="Z78" s="146"/>
      <c r="AA78" s="146"/>
      <c r="AB78" s="146"/>
      <c r="AC78" s="146">
        <v>1.1000000000000001</v>
      </c>
      <c r="AD78" s="117" t="s">
        <v>196</v>
      </c>
      <c r="AE78" s="148"/>
      <c r="AF78" s="146" t="str">
        <f t="shared" si="172"/>
        <v>AMC 2-S1</v>
      </c>
      <c r="AG78" s="146">
        <f t="shared" si="172"/>
        <v>4</v>
      </c>
      <c r="AH78" s="146">
        <f t="shared" si="173"/>
        <v>4</v>
      </c>
      <c r="AI78" s="146">
        <f t="shared" ca="1" si="174"/>
        <v>4</v>
      </c>
      <c r="AJ78" s="146">
        <f t="shared" ca="1" si="175"/>
        <v>0</v>
      </c>
      <c r="AK78" s="146" t="str">
        <f t="shared" si="172"/>
        <v>N/A</v>
      </c>
      <c r="AL78" s="146">
        <f t="shared" si="172"/>
        <v>0</v>
      </c>
      <c r="AM78" s="146">
        <f t="shared" si="176"/>
        <v>0</v>
      </c>
      <c r="AN78" s="146">
        <f t="shared" ca="1" si="177"/>
        <v>0</v>
      </c>
      <c r="AO78" s="146">
        <f t="shared" ca="1" si="178"/>
        <v>0</v>
      </c>
      <c r="AP78" s="146" t="str">
        <f t="shared" si="172"/>
        <v>N/A</v>
      </c>
      <c r="AQ78" s="146">
        <f t="shared" si="172"/>
        <v>0</v>
      </c>
      <c r="AR78" s="146">
        <f t="shared" si="179"/>
        <v>0</v>
      </c>
      <c r="AS78" s="146">
        <f t="shared" ca="1" si="180"/>
        <v>0</v>
      </c>
      <c r="AT78" s="146">
        <f t="shared" ca="1" si="181"/>
        <v>0</v>
      </c>
      <c r="AU78" s="146" t="str">
        <f t="shared" si="172"/>
        <v>N/A</v>
      </c>
      <c r="AV78" s="146">
        <f t="shared" si="172"/>
        <v>0</v>
      </c>
      <c r="AW78" s="146">
        <f t="shared" si="182"/>
        <v>0</v>
      </c>
      <c r="AX78" s="146">
        <f t="shared" ca="1" si="183"/>
        <v>0</v>
      </c>
      <c r="AY78" s="146">
        <f t="shared" ca="1" si="184"/>
        <v>0</v>
      </c>
      <c r="AZ78" s="147"/>
      <c r="BA78" s="144" t="s">
        <v>141</v>
      </c>
      <c r="BB78" s="144" t="s">
        <v>140</v>
      </c>
      <c r="BC78" s="144" t="s">
        <v>140</v>
      </c>
      <c r="BD78" s="144" t="s">
        <v>140</v>
      </c>
      <c r="BE78" s="146">
        <v>1.1000000000000001</v>
      </c>
      <c r="BF78" s="148"/>
      <c r="BG78" s="146"/>
      <c r="BH78" s="117"/>
      <c r="BI78" s="117"/>
      <c r="BJ78" s="149"/>
      <c r="BK78" s="149"/>
      <c r="BL78" s="117">
        <v>0</v>
      </c>
      <c r="BM78" s="117">
        <v>0</v>
      </c>
      <c r="BN78" s="117">
        <v>0</v>
      </c>
      <c r="BO78" s="117">
        <v>0</v>
      </c>
      <c r="BP78" s="117">
        <v>0</v>
      </c>
      <c r="BQ78" s="117">
        <v>0</v>
      </c>
      <c r="BR78" s="117">
        <v>0</v>
      </c>
      <c r="BS78" s="117" t="s">
        <v>150</v>
      </c>
      <c r="BT78" s="158" t="s">
        <v>210</v>
      </c>
      <c r="BU78" s="117"/>
      <c r="BV78" s="117" t="s">
        <v>211</v>
      </c>
      <c r="BW78" s="144">
        <v>4</v>
      </c>
      <c r="BX78" s="149">
        <v>46201</v>
      </c>
      <c r="BY78" s="117"/>
      <c r="BZ78" s="117"/>
      <c r="CA78" s="117"/>
      <c r="CB78" s="117">
        <f>+L78-BW78</f>
        <v>0</v>
      </c>
    </row>
    <row r="79" spans="1:80" ht="16.5" hidden="1" customHeight="1">
      <c r="A79" s="133">
        <v>218</v>
      </c>
      <c r="B79" s="156" t="s">
        <v>288</v>
      </c>
      <c r="C79" s="156" t="s">
        <v>900</v>
      </c>
      <c r="D79" s="156"/>
      <c r="E79" s="156" t="s">
        <v>136</v>
      </c>
      <c r="F79" s="156"/>
      <c r="G79" s="156"/>
      <c r="H79" s="157"/>
      <c r="I79" s="159"/>
      <c r="J79" s="160" t="s">
        <v>136</v>
      </c>
      <c r="K79" s="138">
        <f>+AG79+AL79+AQ79+AV79</f>
        <v>1</v>
      </c>
      <c r="L79" s="160" t="s">
        <v>136</v>
      </c>
      <c r="M79" s="157"/>
      <c r="N79" s="157">
        <v>4132.3999999999996</v>
      </c>
      <c r="O79" s="157" t="s">
        <v>137</v>
      </c>
      <c r="P79" s="157"/>
      <c r="Q79" s="157"/>
      <c r="R79" s="157"/>
      <c r="S79" s="157"/>
      <c r="T79" s="157"/>
      <c r="U79" s="157"/>
      <c r="V79" s="157"/>
      <c r="W79" s="135">
        <f ca="1">_xlfn.MINIFS(V:V,C:C,C79,AE:AE,"",AB:AB,"")</f>
        <v>0</v>
      </c>
      <c r="X79" s="135">
        <f ca="1">SUMIFS(T:T,C:C,C79,AE:AE,"")/SUMIFS(L:L,C:C,C79,AE:AE,"",AB:AB,"")</f>
        <v>0.75</v>
      </c>
      <c r="Y79" s="157"/>
      <c r="Z79" s="157"/>
      <c r="AA79" s="157"/>
      <c r="AB79" s="157"/>
      <c r="AC79" s="157">
        <v>90.5</v>
      </c>
      <c r="AD79" s="161" t="s">
        <v>196</v>
      </c>
      <c r="AE79" s="162" t="s">
        <v>143</v>
      </c>
      <c r="AF79" s="157" t="s">
        <v>281</v>
      </c>
      <c r="AG79" s="157">
        <v>1</v>
      </c>
      <c r="AH79" s="157"/>
      <c r="AI79" s="157"/>
      <c r="AJ79" s="157"/>
      <c r="AK79" s="157" t="s">
        <v>138</v>
      </c>
      <c r="AL79" s="157">
        <v>0</v>
      </c>
      <c r="AM79" s="157"/>
      <c r="AN79" s="157"/>
      <c r="AO79" s="157"/>
      <c r="AP79" s="157" t="s">
        <v>138</v>
      </c>
      <c r="AQ79" s="157">
        <v>0</v>
      </c>
      <c r="AR79" s="157"/>
      <c r="AS79" s="157"/>
      <c r="AT79" s="157"/>
      <c r="AU79" s="157" t="s">
        <v>138</v>
      </c>
      <c r="AV79" s="157">
        <v>0</v>
      </c>
      <c r="AW79" s="157"/>
      <c r="AX79" s="157"/>
      <c r="AY79" s="157"/>
      <c r="AZ79" s="136"/>
      <c r="BA79" s="137" t="s">
        <v>141</v>
      </c>
      <c r="BB79" s="137" t="s">
        <v>140</v>
      </c>
      <c r="BC79" s="137" t="s">
        <v>140</v>
      </c>
      <c r="BD79" s="137" t="s">
        <v>140</v>
      </c>
      <c r="BE79" s="157">
        <v>90.5</v>
      </c>
      <c r="BF79" s="162"/>
      <c r="BG79" s="157"/>
      <c r="BH79" s="161"/>
      <c r="BI79" s="161"/>
      <c r="BJ79" s="163"/>
      <c r="BK79" s="163"/>
      <c r="BL79" s="161"/>
      <c r="BM79" s="161"/>
      <c r="BN79" s="161"/>
      <c r="BO79" s="161"/>
      <c r="BP79" s="161"/>
      <c r="BQ79" s="161"/>
      <c r="BR79" s="161"/>
      <c r="BS79" s="161"/>
      <c r="BT79" s="161"/>
      <c r="BU79" s="164"/>
      <c r="BV79" s="161"/>
      <c r="BW79" s="161"/>
      <c r="BX79" s="163"/>
      <c r="BY79" s="161"/>
      <c r="BZ79" s="161"/>
      <c r="CA79" s="161"/>
      <c r="CB79" s="161"/>
    </row>
    <row r="80" spans="1:80" ht="16.5" hidden="1" customHeight="1">
      <c r="A80" s="117">
        <v>219</v>
      </c>
      <c r="B80" s="154" t="s">
        <v>288</v>
      </c>
      <c r="C80" s="154" t="s">
        <v>900</v>
      </c>
      <c r="D80" s="154" t="s">
        <v>13</v>
      </c>
      <c r="E80" s="154" t="s">
        <v>289</v>
      </c>
      <c r="F80" s="154" t="s">
        <v>290</v>
      </c>
      <c r="G80" s="154" t="s">
        <v>199</v>
      </c>
      <c r="H80" s="146">
        <v>5258</v>
      </c>
      <c r="I80" s="147" t="s">
        <v>147</v>
      </c>
      <c r="J80" s="144">
        <v>1</v>
      </c>
      <c r="K80" s="145">
        <f t="shared" ref="K80:K91" si="185">K79</f>
        <v>1</v>
      </c>
      <c r="L80" s="144">
        <f t="shared" ref="L80:L91" si="186">+K80*J80</f>
        <v>1</v>
      </c>
      <c r="M80" s="146">
        <v>136.1</v>
      </c>
      <c r="N80" s="146">
        <f t="shared" ref="N80:N91" si="187">+M80*L80</f>
        <v>136.1</v>
      </c>
      <c r="O80" s="146" t="s">
        <v>137</v>
      </c>
      <c r="P80" s="146" t="s">
        <v>13</v>
      </c>
      <c r="Q80" s="146" t="s">
        <v>148</v>
      </c>
      <c r="R80" s="146"/>
      <c r="S80" s="146"/>
      <c r="T80" s="146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1</v>
      </c>
      <c r="U80" s="146">
        <f t="shared" ref="U80:U91" ca="1" si="188">+L80-T80</f>
        <v>0</v>
      </c>
      <c r="V80" s="146">
        <f t="shared" ref="V80:V91" ca="1" si="189">ROUNDDOWN(T80/J80,0)</f>
        <v>1</v>
      </c>
      <c r="W80" s="146"/>
      <c r="X80" s="146"/>
      <c r="Y80" s="146"/>
      <c r="Z80" s="146"/>
      <c r="AA80" s="146"/>
      <c r="AB80" s="146"/>
      <c r="AC80" s="146">
        <v>2.5</v>
      </c>
      <c r="AD80" s="117" t="s">
        <v>196</v>
      </c>
      <c r="AE80" s="148"/>
      <c r="AF80" s="146" t="str">
        <f t="shared" ref="AF80:AV91" si="190">AF79</f>
        <v>AMC 2-S1</v>
      </c>
      <c r="AG80" s="146">
        <f t="shared" si="190"/>
        <v>1</v>
      </c>
      <c r="AH80" s="146">
        <f t="shared" ref="AH80:AH91" si="191">+AG80*J80</f>
        <v>1</v>
      </c>
      <c r="AI80" s="146">
        <f t="shared" ref="AI80:AI91" ca="1" si="192">MIN(T80,AH80)</f>
        <v>1</v>
      </c>
      <c r="AJ80" s="146">
        <f t="shared" ref="AJ80:AJ91" ca="1" si="193">+AH80-AI80</f>
        <v>0</v>
      </c>
      <c r="AK80" s="146" t="str">
        <f t="shared" si="190"/>
        <v>N/A</v>
      </c>
      <c r="AL80" s="146">
        <f t="shared" si="190"/>
        <v>0</v>
      </c>
      <c r="AM80" s="146">
        <f t="shared" ref="AM80:AM91" si="194">+AL80*J80</f>
        <v>0</v>
      </c>
      <c r="AN80" s="146">
        <f t="shared" ref="AN80:AN91" ca="1" si="195">MIN(T80-AI80,AL80)</f>
        <v>0</v>
      </c>
      <c r="AO80" s="146">
        <f t="shared" ref="AO80:AO91" ca="1" si="196">+AM80-AN80</f>
        <v>0</v>
      </c>
      <c r="AP80" s="146" t="str">
        <f t="shared" si="190"/>
        <v>N/A</v>
      </c>
      <c r="AQ80" s="146">
        <f t="shared" si="190"/>
        <v>0</v>
      </c>
      <c r="AR80" s="146">
        <f t="shared" ref="AR80:AR91" si="197">+AQ80*J80</f>
        <v>0</v>
      </c>
      <c r="AS80" s="146">
        <f t="shared" ref="AS80:AS91" ca="1" si="198">MIN(T80-AI80-AN80,AR80)</f>
        <v>0</v>
      </c>
      <c r="AT80" s="146">
        <f t="shared" ref="AT80:AT91" ca="1" si="199">+AR80-AS80</f>
        <v>0</v>
      </c>
      <c r="AU80" s="146" t="str">
        <f t="shared" si="190"/>
        <v>N/A</v>
      </c>
      <c r="AV80" s="146">
        <f t="shared" si="190"/>
        <v>0</v>
      </c>
      <c r="AW80" s="146">
        <f t="shared" ref="AW80:AW91" si="200">+AV80*J80</f>
        <v>0</v>
      </c>
      <c r="AX80" s="146">
        <f t="shared" ref="AX80:AX91" ca="1" si="201">MIN(T80-AI80-AN80-AS80,AW80)</f>
        <v>0</v>
      </c>
      <c r="AY80" s="146">
        <f t="shared" ref="AY80:AY91" ca="1" si="202">+AW80-AX80</f>
        <v>0</v>
      </c>
      <c r="AZ80" s="147"/>
      <c r="BA80" s="144" t="s">
        <v>141</v>
      </c>
      <c r="BB80" s="144" t="s">
        <v>140</v>
      </c>
      <c r="BC80" s="144" t="s">
        <v>140</v>
      </c>
      <c r="BD80" s="144" t="s">
        <v>140</v>
      </c>
      <c r="BE80" s="146">
        <v>2.5</v>
      </c>
      <c r="BF80" s="148"/>
      <c r="BG80" s="146"/>
      <c r="BH80" s="117"/>
      <c r="BI80" s="117"/>
      <c r="BJ80" s="149"/>
      <c r="BK80" s="149"/>
      <c r="BL80" s="117">
        <v>0</v>
      </c>
      <c r="BM80" s="117">
        <v>0</v>
      </c>
      <c r="BN80" s="117">
        <v>0</v>
      </c>
      <c r="BO80" s="117">
        <v>1</v>
      </c>
      <c r="BP80" s="117">
        <v>0</v>
      </c>
      <c r="BQ80" s="117">
        <v>0</v>
      </c>
      <c r="BR80" s="117">
        <v>0</v>
      </c>
      <c r="BS80" s="117" t="s">
        <v>150</v>
      </c>
      <c r="BT80" s="117"/>
      <c r="BU80" s="155"/>
      <c r="BV80" s="117" t="s">
        <v>57</v>
      </c>
      <c r="BW80" s="117">
        <v>1</v>
      </c>
      <c r="BX80" s="149"/>
      <c r="BY80" s="117"/>
      <c r="BZ80" s="117"/>
      <c r="CA80" s="117"/>
      <c r="CB80" s="117">
        <f t="shared" ref="CB80:CB91" si="203">+L80-BW80</f>
        <v>0</v>
      </c>
    </row>
    <row r="81" spans="1:80" ht="16.5" hidden="1" customHeight="1">
      <c r="A81" s="117">
        <v>220</v>
      </c>
      <c r="B81" s="154" t="s">
        <v>288</v>
      </c>
      <c r="C81" s="154" t="s">
        <v>900</v>
      </c>
      <c r="D81" s="154" t="s">
        <v>13</v>
      </c>
      <c r="E81" s="154" t="s">
        <v>291</v>
      </c>
      <c r="F81" s="154" t="s">
        <v>292</v>
      </c>
      <c r="G81" s="154" t="s">
        <v>293</v>
      </c>
      <c r="H81" s="146">
        <v>3450</v>
      </c>
      <c r="I81" s="147" t="s">
        <v>147</v>
      </c>
      <c r="J81" s="144">
        <v>1</v>
      </c>
      <c r="K81" s="145">
        <f t="shared" si="185"/>
        <v>1</v>
      </c>
      <c r="L81" s="144">
        <f t="shared" si="186"/>
        <v>1</v>
      </c>
      <c r="M81" s="146">
        <v>1719.3</v>
      </c>
      <c r="N81" s="146">
        <f t="shared" si="187"/>
        <v>1719.3</v>
      </c>
      <c r="O81" s="146" t="s">
        <v>137</v>
      </c>
      <c r="P81" s="146" t="s">
        <v>13</v>
      </c>
      <c r="Q81" s="146" t="s">
        <v>154</v>
      </c>
      <c r="R81" s="146"/>
      <c r="S81" s="146"/>
      <c r="T81" s="146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46">
        <f t="shared" ca="1" si="188"/>
        <v>0</v>
      </c>
      <c r="V81" s="146">
        <f t="shared" ca="1" si="189"/>
        <v>1</v>
      </c>
      <c r="W81" s="146"/>
      <c r="X81" s="146"/>
      <c r="Y81" s="146"/>
      <c r="Z81" s="146"/>
      <c r="AA81" s="146"/>
      <c r="AB81" s="146"/>
      <c r="AC81" s="146">
        <v>44.1</v>
      </c>
      <c r="AD81" s="117" t="s">
        <v>196</v>
      </c>
      <c r="AE81" s="148"/>
      <c r="AF81" s="146" t="str">
        <f t="shared" si="190"/>
        <v>AMC 2-S1</v>
      </c>
      <c r="AG81" s="146">
        <f t="shared" si="190"/>
        <v>1</v>
      </c>
      <c r="AH81" s="146">
        <f t="shared" si="191"/>
        <v>1</v>
      </c>
      <c r="AI81" s="146">
        <f t="shared" ca="1" si="192"/>
        <v>1</v>
      </c>
      <c r="AJ81" s="146">
        <f t="shared" ca="1" si="193"/>
        <v>0</v>
      </c>
      <c r="AK81" s="146" t="str">
        <f t="shared" si="190"/>
        <v>N/A</v>
      </c>
      <c r="AL81" s="146">
        <f t="shared" si="190"/>
        <v>0</v>
      </c>
      <c r="AM81" s="146">
        <f t="shared" si="194"/>
        <v>0</v>
      </c>
      <c r="AN81" s="146">
        <f t="shared" ca="1" si="195"/>
        <v>0</v>
      </c>
      <c r="AO81" s="146">
        <f t="shared" ca="1" si="196"/>
        <v>0</v>
      </c>
      <c r="AP81" s="146" t="str">
        <f t="shared" si="190"/>
        <v>N/A</v>
      </c>
      <c r="AQ81" s="146">
        <f t="shared" si="190"/>
        <v>0</v>
      </c>
      <c r="AR81" s="146">
        <f t="shared" si="197"/>
        <v>0</v>
      </c>
      <c r="AS81" s="146">
        <f t="shared" ca="1" si="198"/>
        <v>0</v>
      </c>
      <c r="AT81" s="146">
        <f t="shared" ca="1" si="199"/>
        <v>0</v>
      </c>
      <c r="AU81" s="146" t="str">
        <f t="shared" si="190"/>
        <v>N/A</v>
      </c>
      <c r="AV81" s="146">
        <f t="shared" si="190"/>
        <v>0</v>
      </c>
      <c r="AW81" s="146">
        <f t="shared" si="200"/>
        <v>0</v>
      </c>
      <c r="AX81" s="146">
        <f t="shared" ca="1" si="201"/>
        <v>0</v>
      </c>
      <c r="AY81" s="146">
        <f t="shared" ca="1" si="202"/>
        <v>0</v>
      </c>
      <c r="AZ81" s="147"/>
      <c r="BA81" s="144" t="s">
        <v>141</v>
      </c>
      <c r="BB81" s="144" t="s">
        <v>140</v>
      </c>
      <c r="BC81" s="144" t="s">
        <v>140</v>
      </c>
      <c r="BD81" s="144" t="s">
        <v>140</v>
      </c>
      <c r="BE81" s="146">
        <v>44.1</v>
      </c>
      <c r="BF81" s="148"/>
      <c r="BG81" s="146"/>
      <c r="BH81" s="117"/>
      <c r="BI81" s="117"/>
      <c r="BJ81" s="149" t="s">
        <v>294</v>
      </c>
      <c r="BK81" s="149"/>
      <c r="BL81" s="117">
        <v>0</v>
      </c>
      <c r="BM81" s="117">
        <v>1</v>
      </c>
      <c r="BN81" s="117">
        <v>0</v>
      </c>
      <c r="BO81" s="117">
        <v>1</v>
      </c>
      <c r="BP81" s="117">
        <v>0</v>
      </c>
      <c r="BQ81" s="117">
        <v>0</v>
      </c>
      <c r="BR81" s="117">
        <v>0</v>
      </c>
      <c r="BS81" s="117" t="s">
        <v>150</v>
      </c>
      <c r="BT81" s="117"/>
      <c r="BU81" s="155"/>
      <c r="BV81" s="117" t="s">
        <v>57</v>
      </c>
      <c r="BW81" s="117">
        <v>1</v>
      </c>
      <c r="BX81" s="149"/>
      <c r="BY81" s="117"/>
      <c r="BZ81" s="117"/>
      <c r="CA81" s="117"/>
      <c r="CB81" s="117">
        <f t="shared" si="203"/>
        <v>0</v>
      </c>
    </row>
    <row r="82" spans="1:80" ht="16.5" customHeight="1">
      <c r="A82" s="117">
        <v>221</v>
      </c>
      <c r="B82" s="154" t="s">
        <v>288</v>
      </c>
      <c r="C82" s="154" t="s">
        <v>900</v>
      </c>
      <c r="D82" s="154" t="s">
        <v>13</v>
      </c>
      <c r="E82" s="154" t="s">
        <v>295</v>
      </c>
      <c r="F82" s="154" t="s">
        <v>296</v>
      </c>
      <c r="G82" s="154" t="s">
        <v>297</v>
      </c>
      <c r="H82" s="146">
        <v>5897</v>
      </c>
      <c r="I82" s="147" t="s">
        <v>147</v>
      </c>
      <c r="J82" s="144">
        <v>1</v>
      </c>
      <c r="K82" s="145">
        <f t="shared" si="185"/>
        <v>1</v>
      </c>
      <c r="L82" s="144">
        <f t="shared" si="186"/>
        <v>1</v>
      </c>
      <c r="M82" s="146">
        <v>1000.2</v>
      </c>
      <c r="N82" s="146">
        <f t="shared" si="187"/>
        <v>1000.2</v>
      </c>
      <c r="O82" s="146" t="s">
        <v>137</v>
      </c>
      <c r="P82" s="146" t="s">
        <v>13</v>
      </c>
      <c r="Q82" s="146" t="s">
        <v>154</v>
      </c>
      <c r="R82" s="146"/>
      <c r="S82" s="146"/>
      <c r="T82" s="146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0</v>
      </c>
      <c r="U82" s="146">
        <f t="shared" ca="1" si="188"/>
        <v>1</v>
      </c>
      <c r="V82" s="146">
        <f t="shared" ca="1" si="189"/>
        <v>0</v>
      </c>
      <c r="W82" s="146"/>
      <c r="X82" s="146"/>
      <c r="Y82" s="146"/>
      <c r="Z82" s="146"/>
      <c r="AA82" s="146"/>
      <c r="AB82" s="146"/>
      <c r="AC82" s="146">
        <v>21.7</v>
      </c>
      <c r="AD82" s="117" t="s">
        <v>196</v>
      </c>
      <c r="AE82" s="148"/>
      <c r="AF82" s="146" t="str">
        <f t="shared" si="190"/>
        <v>AMC 2-S1</v>
      </c>
      <c r="AG82" s="146">
        <f t="shared" si="190"/>
        <v>1</v>
      </c>
      <c r="AH82" s="146">
        <f t="shared" si="191"/>
        <v>1</v>
      </c>
      <c r="AI82" s="146">
        <f t="shared" ca="1" si="192"/>
        <v>0</v>
      </c>
      <c r="AJ82" s="146">
        <f t="shared" ca="1" si="193"/>
        <v>1</v>
      </c>
      <c r="AK82" s="146" t="str">
        <f t="shared" si="190"/>
        <v>N/A</v>
      </c>
      <c r="AL82" s="146">
        <f t="shared" si="190"/>
        <v>0</v>
      </c>
      <c r="AM82" s="146">
        <f t="shared" si="194"/>
        <v>0</v>
      </c>
      <c r="AN82" s="146">
        <f t="shared" ca="1" si="195"/>
        <v>0</v>
      </c>
      <c r="AO82" s="146">
        <f t="shared" ca="1" si="196"/>
        <v>0</v>
      </c>
      <c r="AP82" s="146" t="str">
        <f t="shared" si="190"/>
        <v>N/A</v>
      </c>
      <c r="AQ82" s="146">
        <f t="shared" si="190"/>
        <v>0</v>
      </c>
      <c r="AR82" s="146">
        <f t="shared" si="197"/>
        <v>0</v>
      </c>
      <c r="AS82" s="146">
        <f t="shared" ca="1" si="198"/>
        <v>0</v>
      </c>
      <c r="AT82" s="146">
        <f t="shared" ca="1" si="199"/>
        <v>0</v>
      </c>
      <c r="AU82" s="146" t="str">
        <f t="shared" si="190"/>
        <v>N/A</v>
      </c>
      <c r="AV82" s="146">
        <f t="shared" si="190"/>
        <v>0</v>
      </c>
      <c r="AW82" s="146">
        <f t="shared" si="200"/>
        <v>0</v>
      </c>
      <c r="AX82" s="146">
        <f t="shared" ca="1" si="201"/>
        <v>0</v>
      </c>
      <c r="AY82" s="146">
        <f t="shared" ca="1" si="202"/>
        <v>0</v>
      </c>
      <c r="AZ82" s="147"/>
      <c r="BA82" s="144" t="s">
        <v>141</v>
      </c>
      <c r="BB82" s="144" t="s">
        <v>140</v>
      </c>
      <c r="BC82" s="144" t="s">
        <v>140</v>
      </c>
      <c r="BD82" s="144" t="s">
        <v>140</v>
      </c>
      <c r="BE82" s="146">
        <v>21.7</v>
      </c>
      <c r="BF82" s="148"/>
      <c r="BG82" s="146"/>
      <c r="BH82" s="117"/>
      <c r="BI82" s="117"/>
      <c r="BJ82" s="149" t="s">
        <v>294</v>
      </c>
      <c r="BK82" s="149"/>
      <c r="BL82" s="117">
        <v>0</v>
      </c>
      <c r="BM82" s="117">
        <v>1</v>
      </c>
      <c r="BN82" s="117">
        <v>0</v>
      </c>
      <c r="BO82" s="117">
        <v>1</v>
      </c>
      <c r="BP82" s="117">
        <v>0</v>
      </c>
      <c r="BQ82" s="117">
        <v>0</v>
      </c>
      <c r="BR82" s="117">
        <v>0</v>
      </c>
      <c r="BS82" s="117" t="s">
        <v>150</v>
      </c>
      <c r="BT82" s="117"/>
      <c r="BU82" s="155"/>
      <c r="BV82" s="117" t="s">
        <v>57</v>
      </c>
      <c r="BW82" s="117">
        <v>1</v>
      </c>
      <c r="BX82" s="149"/>
      <c r="BY82" s="117"/>
      <c r="BZ82" s="117"/>
      <c r="CA82" s="117"/>
      <c r="CB82" s="117">
        <f t="shared" si="203"/>
        <v>0</v>
      </c>
    </row>
    <row r="83" spans="1:80" ht="16.5" customHeight="1">
      <c r="A83" s="117">
        <v>222</v>
      </c>
      <c r="B83" s="154" t="s">
        <v>288</v>
      </c>
      <c r="C83" s="154" t="s">
        <v>900</v>
      </c>
      <c r="D83" s="154" t="s">
        <v>13</v>
      </c>
      <c r="E83" s="154" t="s">
        <v>298</v>
      </c>
      <c r="F83" s="154" t="s">
        <v>299</v>
      </c>
      <c r="G83" s="154" t="s">
        <v>300</v>
      </c>
      <c r="H83" s="146">
        <v>3917</v>
      </c>
      <c r="I83" s="147" t="s">
        <v>147</v>
      </c>
      <c r="J83" s="144">
        <v>1</v>
      </c>
      <c r="K83" s="145">
        <f t="shared" si="185"/>
        <v>1</v>
      </c>
      <c r="L83" s="144">
        <f t="shared" si="186"/>
        <v>1</v>
      </c>
      <c r="M83" s="146">
        <v>140.9</v>
      </c>
      <c r="N83" s="146">
        <f t="shared" si="187"/>
        <v>140.9</v>
      </c>
      <c r="O83" s="146" t="s">
        <v>137</v>
      </c>
      <c r="P83" s="146" t="s">
        <v>13</v>
      </c>
      <c r="Q83" s="146" t="s">
        <v>154</v>
      </c>
      <c r="R83" s="146"/>
      <c r="S83" s="146"/>
      <c r="T83" s="146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46">
        <f t="shared" ca="1" si="188"/>
        <v>0</v>
      </c>
      <c r="V83" s="146">
        <f t="shared" ca="1" si="189"/>
        <v>1</v>
      </c>
      <c r="W83" s="146"/>
      <c r="X83" s="146"/>
      <c r="Y83" s="146"/>
      <c r="Z83" s="146"/>
      <c r="AA83" s="146"/>
      <c r="AB83" s="146"/>
      <c r="AC83" s="146">
        <v>3.9</v>
      </c>
      <c r="AD83" s="117" t="s">
        <v>196</v>
      </c>
      <c r="AE83" s="148"/>
      <c r="AF83" s="146" t="str">
        <f t="shared" si="190"/>
        <v>AMC 2-S1</v>
      </c>
      <c r="AG83" s="146">
        <f t="shared" si="190"/>
        <v>1</v>
      </c>
      <c r="AH83" s="146">
        <f t="shared" si="191"/>
        <v>1</v>
      </c>
      <c r="AI83" s="146">
        <f t="shared" ca="1" si="192"/>
        <v>1</v>
      </c>
      <c r="AJ83" s="146">
        <f t="shared" ca="1" si="193"/>
        <v>0</v>
      </c>
      <c r="AK83" s="146" t="str">
        <f t="shared" si="190"/>
        <v>N/A</v>
      </c>
      <c r="AL83" s="146">
        <f t="shared" si="190"/>
        <v>0</v>
      </c>
      <c r="AM83" s="146">
        <f t="shared" si="194"/>
        <v>0</v>
      </c>
      <c r="AN83" s="146">
        <f t="shared" ca="1" si="195"/>
        <v>0</v>
      </c>
      <c r="AO83" s="146">
        <f t="shared" ca="1" si="196"/>
        <v>0</v>
      </c>
      <c r="AP83" s="146" t="str">
        <f t="shared" si="190"/>
        <v>N/A</v>
      </c>
      <c r="AQ83" s="146">
        <f t="shared" si="190"/>
        <v>0</v>
      </c>
      <c r="AR83" s="146">
        <f t="shared" si="197"/>
        <v>0</v>
      </c>
      <c r="AS83" s="146">
        <f t="shared" ca="1" si="198"/>
        <v>0</v>
      </c>
      <c r="AT83" s="146">
        <f t="shared" ca="1" si="199"/>
        <v>0</v>
      </c>
      <c r="AU83" s="146" t="str">
        <f t="shared" si="190"/>
        <v>N/A</v>
      </c>
      <c r="AV83" s="146">
        <f t="shared" si="190"/>
        <v>0</v>
      </c>
      <c r="AW83" s="146">
        <f t="shared" si="200"/>
        <v>0</v>
      </c>
      <c r="AX83" s="146">
        <f t="shared" ca="1" si="201"/>
        <v>0</v>
      </c>
      <c r="AY83" s="146">
        <f t="shared" ca="1" si="202"/>
        <v>0</v>
      </c>
      <c r="AZ83" s="147"/>
      <c r="BA83" s="144" t="s">
        <v>141</v>
      </c>
      <c r="BB83" s="144" t="s">
        <v>140</v>
      </c>
      <c r="BC83" s="144" t="s">
        <v>140</v>
      </c>
      <c r="BD83" s="144" t="s">
        <v>140</v>
      </c>
      <c r="BE83" s="146">
        <v>3.9</v>
      </c>
      <c r="BF83" s="148"/>
      <c r="BG83" s="146"/>
      <c r="BH83" s="117"/>
      <c r="BI83" s="117"/>
      <c r="BJ83" s="149" t="s">
        <v>294</v>
      </c>
      <c r="BK83" s="149"/>
      <c r="BL83" s="117">
        <v>0</v>
      </c>
      <c r="BM83" s="117">
        <v>1</v>
      </c>
      <c r="BN83" s="117">
        <v>0</v>
      </c>
      <c r="BO83" s="117">
        <v>0</v>
      </c>
      <c r="BP83" s="117">
        <v>0</v>
      </c>
      <c r="BQ83" s="117">
        <v>0</v>
      </c>
      <c r="BR83" s="117">
        <v>0</v>
      </c>
      <c r="BS83" s="117" t="s">
        <v>150</v>
      </c>
      <c r="BT83" s="117"/>
      <c r="BU83" s="117"/>
      <c r="BV83" s="117" t="s">
        <v>57</v>
      </c>
      <c r="BW83" s="117">
        <v>1</v>
      </c>
      <c r="BX83" s="149"/>
      <c r="BY83" s="117"/>
      <c r="BZ83" s="117"/>
      <c r="CA83" s="117"/>
      <c r="CB83" s="117">
        <f t="shared" si="203"/>
        <v>0</v>
      </c>
    </row>
    <row r="84" spans="1:80" ht="16.5" hidden="1" customHeight="1">
      <c r="A84" s="117">
        <v>223</v>
      </c>
      <c r="B84" s="154" t="s">
        <v>288</v>
      </c>
      <c r="C84" s="154" t="s">
        <v>900</v>
      </c>
      <c r="D84" s="154" t="s">
        <v>13</v>
      </c>
      <c r="E84" s="154" t="s">
        <v>301</v>
      </c>
      <c r="F84" s="154" t="s">
        <v>302</v>
      </c>
      <c r="G84" s="154" t="s">
        <v>303</v>
      </c>
      <c r="H84" s="146">
        <v>392</v>
      </c>
      <c r="I84" s="147" t="s">
        <v>147</v>
      </c>
      <c r="J84" s="144">
        <v>2</v>
      </c>
      <c r="K84" s="145">
        <f t="shared" si="185"/>
        <v>1</v>
      </c>
      <c r="L84" s="144">
        <f t="shared" si="186"/>
        <v>2</v>
      </c>
      <c r="M84" s="146">
        <v>7.4</v>
      </c>
      <c r="N84" s="146">
        <f t="shared" si="187"/>
        <v>14.8</v>
      </c>
      <c r="O84" s="146" t="s">
        <v>137</v>
      </c>
      <c r="P84" s="146" t="s">
        <v>13</v>
      </c>
      <c r="Q84" s="146" t="s">
        <v>148</v>
      </c>
      <c r="R84" s="146"/>
      <c r="S84" s="146"/>
      <c r="T84" s="146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2</v>
      </c>
      <c r="U84" s="146">
        <f t="shared" ca="1" si="188"/>
        <v>0</v>
      </c>
      <c r="V84" s="146">
        <f t="shared" ca="1" si="189"/>
        <v>1</v>
      </c>
      <c r="W84" s="146"/>
      <c r="X84" s="146"/>
      <c r="Y84" s="146"/>
      <c r="Z84" s="146"/>
      <c r="AA84" s="146"/>
      <c r="AB84" s="146"/>
      <c r="AC84" s="146">
        <v>0.3</v>
      </c>
      <c r="AD84" s="117" t="s">
        <v>196</v>
      </c>
      <c r="AE84" s="148"/>
      <c r="AF84" s="146" t="str">
        <f t="shared" si="190"/>
        <v>AMC 2-S1</v>
      </c>
      <c r="AG84" s="146">
        <f t="shared" si="190"/>
        <v>1</v>
      </c>
      <c r="AH84" s="146">
        <f t="shared" si="191"/>
        <v>2</v>
      </c>
      <c r="AI84" s="146">
        <f t="shared" ca="1" si="192"/>
        <v>2</v>
      </c>
      <c r="AJ84" s="146">
        <f t="shared" ca="1" si="193"/>
        <v>0</v>
      </c>
      <c r="AK84" s="146" t="str">
        <f t="shared" si="190"/>
        <v>N/A</v>
      </c>
      <c r="AL84" s="146">
        <f t="shared" si="190"/>
        <v>0</v>
      </c>
      <c r="AM84" s="146">
        <f t="shared" si="194"/>
        <v>0</v>
      </c>
      <c r="AN84" s="146">
        <f t="shared" ca="1" si="195"/>
        <v>0</v>
      </c>
      <c r="AO84" s="146">
        <f t="shared" ca="1" si="196"/>
        <v>0</v>
      </c>
      <c r="AP84" s="146" t="str">
        <f t="shared" si="190"/>
        <v>N/A</v>
      </c>
      <c r="AQ84" s="146">
        <f t="shared" si="190"/>
        <v>0</v>
      </c>
      <c r="AR84" s="146">
        <f t="shared" si="197"/>
        <v>0</v>
      </c>
      <c r="AS84" s="146">
        <f t="shared" ca="1" si="198"/>
        <v>0</v>
      </c>
      <c r="AT84" s="146">
        <f t="shared" ca="1" si="199"/>
        <v>0</v>
      </c>
      <c r="AU84" s="146" t="str">
        <f t="shared" si="190"/>
        <v>N/A</v>
      </c>
      <c r="AV84" s="146">
        <f t="shared" si="190"/>
        <v>0</v>
      </c>
      <c r="AW84" s="146">
        <f t="shared" si="200"/>
        <v>0</v>
      </c>
      <c r="AX84" s="146">
        <f t="shared" ca="1" si="201"/>
        <v>0</v>
      </c>
      <c r="AY84" s="146">
        <f t="shared" ca="1" si="202"/>
        <v>0</v>
      </c>
      <c r="AZ84" s="147"/>
      <c r="BA84" s="144" t="s">
        <v>141</v>
      </c>
      <c r="BB84" s="144" t="s">
        <v>140</v>
      </c>
      <c r="BC84" s="144" t="s">
        <v>140</v>
      </c>
      <c r="BD84" s="144" t="s">
        <v>140</v>
      </c>
      <c r="BE84" s="146">
        <v>0.2</v>
      </c>
      <c r="BF84" s="148"/>
      <c r="BG84" s="146"/>
      <c r="BH84" s="117"/>
      <c r="BI84" s="117"/>
      <c r="BJ84" s="149"/>
      <c r="BK84" s="149"/>
      <c r="BL84" s="117">
        <v>0</v>
      </c>
      <c r="BM84" s="117">
        <v>0</v>
      </c>
      <c r="BN84" s="117">
        <v>0</v>
      </c>
      <c r="BO84" s="117">
        <v>0</v>
      </c>
      <c r="BP84" s="117">
        <v>0</v>
      </c>
      <c r="BQ84" s="117">
        <v>0</v>
      </c>
      <c r="BR84" s="117">
        <v>0</v>
      </c>
      <c r="BS84" s="117" t="s">
        <v>150</v>
      </c>
      <c r="BT84" s="167" t="s">
        <v>304</v>
      </c>
      <c r="BU84" s="152"/>
      <c r="BV84" s="141" t="s">
        <v>305</v>
      </c>
      <c r="BW84" s="165">
        <v>2</v>
      </c>
      <c r="BX84" s="153">
        <v>46196</v>
      </c>
      <c r="BY84" s="117"/>
      <c r="BZ84" s="117"/>
      <c r="CA84" s="117"/>
      <c r="CB84" s="117">
        <f t="shared" si="203"/>
        <v>0</v>
      </c>
    </row>
    <row r="85" spans="1:80" ht="16.5" hidden="1" customHeight="1">
      <c r="A85" s="117">
        <v>224</v>
      </c>
      <c r="B85" s="154" t="s">
        <v>288</v>
      </c>
      <c r="C85" s="154" t="s">
        <v>900</v>
      </c>
      <c r="D85" s="154" t="s">
        <v>13</v>
      </c>
      <c r="E85" s="154" t="s">
        <v>306</v>
      </c>
      <c r="F85" s="154" t="s">
        <v>307</v>
      </c>
      <c r="G85" s="154" t="s">
        <v>204</v>
      </c>
      <c r="H85" s="146">
        <v>3213</v>
      </c>
      <c r="I85" s="147" t="s">
        <v>147</v>
      </c>
      <c r="J85" s="144">
        <v>2</v>
      </c>
      <c r="K85" s="145">
        <f t="shared" si="185"/>
        <v>1</v>
      </c>
      <c r="L85" s="144">
        <f t="shared" si="186"/>
        <v>2</v>
      </c>
      <c r="M85" s="146">
        <v>75.2</v>
      </c>
      <c r="N85" s="146">
        <f t="shared" si="187"/>
        <v>150.4</v>
      </c>
      <c r="O85" s="146" t="s">
        <v>137</v>
      </c>
      <c r="P85" s="146" t="s">
        <v>13</v>
      </c>
      <c r="Q85" s="146" t="s">
        <v>148</v>
      </c>
      <c r="R85" s="146"/>
      <c r="S85" s="146"/>
      <c r="T85" s="146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2</v>
      </c>
      <c r="U85" s="146">
        <f t="shared" ca="1" si="188"/>
        <v>0</v>
      </c>
      <c r="V85" s="146">
        <f t="shared" ca="1" si="189"/>
        <v>1</v>
      </c>
      <c r="W85" s="146"/>
      <c r="X85" s="146"/>
      <c r="Y85" s="146"/>
      <c r="Z85" s="146"/>
      <c r="AA85" s="146"/>
      <c r="AB85" s="146"/>
      <c r="AC85" s="146">
        <v>2.8</v>
      </c>
      <c r="AD85" s="117" t="s">
        <v>196</v>
      </c>
      <c r="AE85" s="148"/>
      <c r="AF85" s="146" t="str">
        <f t="shared" si="190"/>
        <v>AMC 2-S1</v>
      </c>
      <c r="AG85" s="146">
        <f t="shared" si="190"/>
        <v>1</v>
      </c>
      <c r="AH85" s="146">
        <f t="shared" si="191"/>
        <v>2</v>
      </c>
      <c r="AI85" s="146">
        <f t="shared" ca="1" si="192"/>
        <v>2</v>
      </c>
      <c r="AJ85" s="146">
        <f t="shared" ca="1" si="193"/>
        <v>0</v>
      </c>
      <c r="AK85" s="146" t="str">
        <f t="shared" si="190"/>
        <v>N/A</v>
      </c>
      <c r="AL85" s="146">
        <f t="shared" si="190"/>
        <v>0</v>
      </c>
      <c r="AM85" s="146">
        <f t="shared" si="194"/>
        <v>0</v>
      </c>
      <c r="AN85" s="146">
        <f t="shared" ca="1" si="195"/>
        <v>0</v>
      </c>
      <c r="AO85" s="146">
        <f t="shared" ca="1" si="196"/>
        <v>0</v>
      </c>
      <c r="AP85" s="146" t="str">
        <f t="shared" si="190"/>
        <v>N/A</v>
      </c>
      <c r="AQ85" s="146">
        <f t="shared" si="190"/>
        <v>0</v>
      </c>
      <c r="AR85" s="146">
        <f t="shared" si="197"/>
        <v>0</v>
      </c>
      <c r="AS85" s="146">
        <f t="shared" ca="1" si="198"/>
        <v>0</v>
      </c>
      <c r="AT85" s="146">
        <f t="shared" ca="1" si="199"/>
        <v>0</v>
      </c>
      <c r="AU85" s="146" t="str">
        <f t="shared" si="190"/>
        <v>N/A</v>
      </c>
      <c r="AV85" s="146">
        <f t="shared" si="190"/>
        <v>0</v>
      </c>
      <c r="AW85" s="146">
        <f t="shared" si="200"/>
        <v>0</v>
      </c>
      <c r="AX85" s="146">
        <f t="shared" ca="1" si="201"/>
        <v>0</v>
      </c>
      <c r="AY85" s="146">
        <f t="shared" ca="1" si="202"/>
        <v>0</v>
      </c>
      <c r="AZ85" s="147"/>
      <c r="BA85" s="144" t="s">
        <v>141</v>
      </c>
      <c r="BB85" s="144" t="s">
        <v>140</v>
      </c>
      <c r="BC85" s="144" t="s">
        <v>140</v>
      </c>
      <c r="BD85" s="144" t="s">
        <v>140</v>
      </c>
      <c r="BE85" s="146">
        <v>1.4</v>
      </c>
      <c r="BF85" s="148"/>
      <c r="BG85" s="146"/>
      <c r="BH85" s="117"/>
      <c r="BI85" s="117"/>
      <c r="BJ85" s="149"/>
      <c r="BK85" s="149"/>
      <c r="BL85" s="117">
        <v>0</v>
      </c>
      <c r="BM85" s="117">
        <v>0</v>
      </c>
      <c r="BN85" s="117">
        <v>0</v>
      </c>
      <c r="BO85" s="117">
        <v>1</v>
      </c>
      <c r="BP85" s="117">
        <v>0</v>
      </c>
      <c r="BQ85" s="117">
        <v>0</v>
      </c>
      <c r="BR85" s="117">
        <v>0</v>
      </c>
      <c r="BS85" s="117" t="s">
        <v>150</v>
      </c>
      <c r="BT85" s="158" t="s">
        <v>200</v>
      </c>
      <c r="BU85" s="117"/>
      <c r="BV85" s="117" t="s">
        <v>201</v>
      </c>
      <c r="BW85" s="117">
        <v>2</v>
      </c>
      <c r="BX85" s="149">
        <v>46201</v>
      </c>
      <c r="BY85" s="117"/>
      <c r="BZ85" s="117"/>
      <c r="CA85" s="117"/>
      <c r="CB85" s="117">
        <f t="shared" si="203"/>
        <v>0</v>
      </c>
    </row>
    <row r="86" spans="1:80" ht="16.5" hidden="1" customHeight="1">
      <c r="A86" s="117">
        <v>225</v>
      </c>
      <c r="B86" s="154" t="s">
        <v>288</v>
      </c>
      <c r="C86" s="154" t="s">
        <v>900</v>
      </c>
      <c r="D86" s="154" t="s">
        <v>13</v>
      </c>
      <c r="E86" s="154" t="s">
        <v>308</v>
      </c>
      <c r="F86" s="154" t="s">
        <v>309</v>
      </c>
      <c r="G86" s="154" t="s">
        <v>204</v>
      </c>
      <c r="H86" s="146">
        <v>10116</v>
      </c>
      <c r="I86" s="147" t="s">
        <v>147</v>
      </c>
      <c r="J86" s="144">
        <v>1</v>
      </c>
      <c r="K86" s="145">
        <f t="shared" si="185"/>
        <v>1</v>
      </c>
      <c r="L86" s="144">
        <f t="shared" si="186"/>
        <v>1</v>
      </c>
      <c r="M86" s="146">
        <v>220.6</v>
      </c>
      <c r="N86" s="146">
        <f t="shared" si="187"/>
        <v>220.6</v>
      </c>
      <c r="O86" s="146" t="s">
        <v>137</v>
      </c>
      <c r="P86" s="146" t="s">
        <v>13</v>
      </c>
      <c r="Q86" s="146" t="s">
        <v>148</v>
      </c>
      <c r="R86" s="146"/>
      <c r="S86" s="146"/>
      <c r="T86" s="146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</v>
      </c>
      <c r="U86" s="146">
        <f t="shared" ca="1" si="188"/>
        <v>0</v>
      </c>
      <c r="V86" s="146">
        <f t="shared" ca="1" si="189"/>
        <v>1</v>
      </c>
      <c r="W86" s="146"/>
      <c r="X86" s="146"/>
      <c r="Y86" s="146"/>
      <c r="Z86" s="146"/>
      <c r="AA86" s="146"/>
      <c r="AB86" s="146"/>
      <c r="AC86" s="146">
        <v>4.0999999999999996</v>
      </c>
      <c r="AD86" s="117" t="s">
        <v>196</v>
      </c>
      <c r="AE86" s="148"/>
      <c r="AF86" s="146" t="str">
        <f t="shared" si="190"/>
        <v>AMC 2-S1</v>
      </c>
      <c r="AG86" s="146">
        <f t="shared" si="190"/>
        <v>1</v>
      </c>
      <c r="AH86" s="146">
        <f t="shared" si="191"/>
        <v>1</v>
      </c>
      <c r="AI86" s="146">
        <f t="shared" ca="1" si="192"/>
        <v>1</v>
      </c>
      <c r="AJ86" s="146">
        <f t="shared" ca="1" si="193"/>
        <v>0</v>
      </c>
      <c r="AK86" s="146" t="str">
        <f t="shared" si="190"/>
        <v>N/A</v>
      </c>
      <c r="AL86" s="146">
        <f t="shared" si="190"/>
        <v>0</v>
      </c>
      <c r="AM86" s="146">
        <f t="shared" si="194"/>
        <v>0</v>
      </c>
      <c r="AN86" s="146">
        <f t="shared" ca="1" si="195"/>
        <v>0</v>
      </c>
      <c r="AO86" s="146">
        <f t="shared" ca="1" si="196"/>
        <v>0</v>
      </c>
      <c r="AP86" s="146" t="str">
        <f t="shared" si="190"/>
        <v>N/A</v>
      </c>
      <c r="AQ86" s="146">
        <f t="shared" si="190"/>
        <v>0</v>
      </c>
      <c r="AR86" s="146">
        <f t="shared" si="197"/>
        <v>0</v>
      </c>
      <c r="AS86" s="146">
        <f t="shared" ca="1" si="198"/>
        <v>0</v>
      </c>
      <c r="AT86" s="146">
        <f t="shared" ca="1" si="199"/>
        <v>0</v>
      </c>
      <c r="AU86" s="146" t="str">
        <f t="shared" si="190"/>
        <v>N/A</v>
      </c>
      <c r="AV86" s="146">
        <f t="shared" si="190"/>
        <v>0</v>
      </c>
      <c r="AW86" s="146">
        <f t="shared" si="200"/>
        <v>0</v>
      </c>
      <c r="AX86" s="146">
        <f t="shared" ca="1" si="201"/>
        <v>0</v>
      </c>
      <c r="AY86" s="146">
        <f t="shared" ca="1" si="202"/>
        <v>0</v>
      </c>
      <c r="AZ86" s="147"/>
      <c r="BA86" s="144" t="s">
        <v>141</v>
      </c>
      <c r="BB86" s="144" t="s">
        <v>140</v>
      </c>
      <c r="BC86" s="144" t="s">
        <v>140</v>
      </c>
      <c r="BD86" s="144" t="s">
        <v>140</v>
      </c>
      <c r="BE86" s="146">
        <v>4.0999999999999996</v>
      </c>
      <c r="BF86" s="148"/>
      <c r="BG86" s="146"/>
      <c r="BH86" s="117" t="s">
        <v>310</v>
      </c>
      <c r="BI86" s="117"/>
      <c r="BJ86" s="149"/>
      <c r="BK86" s="149"/>
      <c r="BL86" s="117">
        <v>0</v>
      </c>
      <c r="BM86" s="117">
        <v>0</v>
      </c>
      <c r="BN86" s="117">
        <v>0</v>
      </c>
      <c r="BO86" s="117">
        <v>0</v>
      </c>
      <c r="BP86" s="117">
        <v>0</v>
      </c>
      <c r="BQ86" s="117">
        <v>0</v>
      </c>
      <c r="BR86" s="117">
        <v>0</v>
      </c>
      <c r="BS86" s="117" t="s">
        <v>150</v>
      </c>
      <c r="BT86" s="117"/>
      <c r="BU86" s="155"/>
      <c r="BV86" s="117" t="s">
        <v>57</v>
      </c>
      <c r="BW86" s="117">
        <v>1</v>
      </c>
      <c r="BX86" s="149"/>
      <c r="BY86" s="117"/>
      <c r="BZ86" s="117"/>
      <c r="CA86" s="117"/>
      <c r="CB86" s="117">
        <f t="shared" si="203"/>
        <v>0</v>
      </c>
    </row>
    <row r="87" spans="1:80" ht="16.5" hidden="1" customHeight="1">
      <c r="A87" s="117">
        <v>226</v>
      </c>
      <c r="B87" s="154" t="s">
        <v>288</v>
      </c>
      <c r="C87" s="154" t="s">
        <v>900</v>
      </c>
      <c r="D87" s="154" t="s">
        <v>13</v>
      </c>
      <c r="E87" s="154" t="s">
        <v>311</v>
      </c>
      <c r="F87" s="154" t="s">
        <v>312</v>
      </c>
      <c r="G87" s="154" t="s">
        <v>204</v>
      </c>
      <c r="H87" s="146">
        <v>2007</v>
      </c>
      <c r="I87" s="147" t="s">
        <v>147</v>
      </c>
      <c r="J87" s="144">
        <v>2</v>
      </c>
      <c r="K87" s="145">
        <f t="shared" si="185"/>
        <v>1</v>
      </c>
      <c r="L87" s="144">
        <f t="shared" si="186"/>
        <v>2</v>
      </c>
      <c r="M87" s="146">
        <v>46.1</v>
      </c>
      <c r="N87" s="146">
        <f t="shared" si="187"/>
        <v>92.2</v>
      </c>
      <c r="O87" s="146" t="s">
        <v>137</v>
      </c>
      <c r="P87" s="146" t="s">
        <v>13</v>
      </c>
      <c r="Q87" s="146" t="s">
        <v>148</v>
      </c>
      <c r="R87" s="146"/>
      <c r="S87" s="146"/>
      <c r="T87" s="146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2</v>
      </c>
      <c r="U87" s="146">
        <f t="shared" ca="1" si="188"/>
        <v>0</v>
      </c>
      <c r="V87" s="146">
        <f t="shared" ca="1" si="189"/>
        <v>1</v>
      </c>
      <c r="W87" s="146"/>
      <c r="X87" s="146"/>
      <c r="Y87" s="146"/>
      <c r="Z87" s="146"/>
      <c r="AA87" s="146"/>
      <c r="AB87" s="146"/>
      <c r="AC87" s="146">
        <v>1.7</v>
      </c>
      <c r="AD87" s="117" t="s">
        <v>196</v>
      </c>
      <c r="AE87" s="148"/>
      <c r="AF87" s="146" t="str">
        <f t="shared" si="190"/>
        <v>AMC 2-S1</v>
      </c>
      <c r="AG87" s="146">
        <f t="shared" si="190"/>
        <v>1</v>
      </c>
      <c r="AH87" s="146">
        <f t="shared" si="191"/>
        <v>2</v>
      </c>
      <c r="AI87" s="146">
        <f t="shared" ca="1" si="192"/>
        <v>2</v>
      </c>
      <c r="AJ87" s="146">
        <f t="shared" ca="1" si="193"/>
        <v>0</v>
      </c>
      <c r="AK87" s="146" t="str">
        <f t="shared" si="190"/>
        <v>N/A</v>
      </c>
      <c r="AL87" s="146">
        <f t="shared" si="190"/>
        <v>0</v>
      </c>
      <c r="AM87" s="146">
        <f t="shared" si="194"/>
        <v>0</v>
      </c>
      <c r="AN87" s="146">
        <f t="shared" ca="1" si="195"/>
        <v>0</v>
      </c>
      <c r="AO87" s="146">
        <f t="shared" ca="1" si="196"/>
        <v>0</v>
      </c>
      <c r="AP87" s="146" t="str">
        <f t="shared" si="190"/>
        <v>N/A</v>
      </c>
      <c r="AQ87" s="146">
        <f t="shared" si="190"/>
        <v>0</v>
      </c>
      <c r="AR87" s="146">
        <f t="shared" si="197"/>
        <v>0</v>
      </c>
      <c r="AS87" s="146">
        <f t="shared" ca="1" si="198"/>
        <v>0</v>
      </c>
      <c r="AT87" s="146">
        <f t="shared" ca="1" si="199"/>
        <v>0</v>
      </c>
      <c r="AU87" s="146" t="str">
        <f t="shared" si="190"/>
        <v>N/A</v>
      </c>
      <c r="AV87" s="146">
        <f t="shared" si="190"/>
        <v>0</v>
      </c>
      <c r="AW87" s="146">
        <f t="shared" si="200"/>
        <v>0</v>
      </c>
      <c r="AX87" s="146">
        <f t="shared" ca="1" si="201"/>
        <v>0</v>
      </c>
      <c r="AY87" s="146">
        <f t="shared" ca="1" si="202"/>
        <v>0</v>
      </c>
      <c r="AZ87" s="147"/>
      <c r="BA87" s="144" t="s">
        <v>141</v>
      </c>
      <c r="BB87" s="144" t="s">
        <v>140</v>
      </c>
      <c r="BC87" s="144" t="s">
        <v>140</v>
      </c>
      <c r="BD87" s="144" t="s">
        <v>140</v>
      </c>
      <c r="BE87" s="146">
        <v>0.8</v>
      </c>
      <c r="BF87" s="148"/>
      <c r="BG87" s="146"/>
      <c r="BH87" s="117"/>
      <c r="BI87" s="117"/>
      <c r="BJ87" s="149"/>
      <c r="BK87" s="149"/>
      <c r="BL87" s="117">
        <v>0</v>
      </c>
      <c r="BM87" s="117">
        <v>0</v>
      </c>
      <c r="BN87" s="117">
        <v>0</v>
      </c>
      <c r="BO87" s="117">
        <v>1</v>
      </c>
      <c r="BP87" s="117">
        <v>0</v>
      </c>
      <c r="BQ87" s="117">
        <v>0</v>
      </c>
      <c r="BR87" s="117">
        <v>0</v>
      </c>
      <c r="BS87" s="117" t="s">
        <v>150</v>
      </c>
      <c r="BT87" s="158" t="s">
        <v>200</v>
      </c>
      <c r="BU87" s="117"/>
      <c r="BV87" s="117" t="s">
        <v>201</v>
      </c>
      <c r="BW87" s="117">
        <v>2</v>
      </c>
      <c r="BX87" s="149">
        <v>46201</v>
      </c>
      <c r="BY87" s="117"/>
      <c r="BZ87" s="117"/>
      <c r="CA87" s="117"/>
      <c r="CB87" s="117">
        <f t="shared" si="203"/>
        <v>0</v>
      </c>
    </row>
    <row r="88" spans="1:80" ht="16.5" hidden="1" customHeight="1">
      <c r="A88" s="117">
        <v>227</v>
      </c>
      <c r="B88" s="154" t="s">
        <v>288</v>
      </c>
      <c r="C88" s="154" t="s">
        <v>900</v>
      </c>
      <c r="D88" s="154" t="s">
        <v>13</v>
      </c>
      <c r="E88" s="154" t="s">
        <v>313</v>
      </c>
      <c r="F88" s="154" t="s">
        <v>314</v>
      </c>
      <c r="G88" s="154" t="s">
        <v>315</v>
      </c>
      <c r="H88" s="146">
        <v>2606</v>
      </c>
      <c r="I88" s="147" t="s">
        <v>147</v>
      </c>
      <c r="J88" s="144">
        <v>1</v>
      </c>
      <c r="K88" s="145">
        <f t="shared" si="185"/>
        <v>1</v>
      </c>
      <c r="L88" s="144">
        <f t="shared" si="186"/>
        <v>1</v>
      </c>
      <c r="M88" s="146">
        <v>353</v>
      </c>
      <c r="N88" s="146">
        <f t="shared" si="187"/>
        <v>353</v>
      </c>
      <c r="O88" s="146" t="s">
        <v>137</v>
      </c>
      <c r="P88" s="146" t="s">
        <v>13</v>
      </c>
      <c r="Q88" s="146" t="s">
        <v>148</v>
      </c>
      <c r="R88" s="146"/>
      <c r="S88" s="146"/>
      <c r="T88" s="146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</v>
      </c>
      <c r="U88" s="146">
        <f t="shared" ca="1" si="188"/>
        <v>0</v>
      </c>
      <c r="V88" s="146">
        <f t="shared" ca="1" si="189"/>
        <v>1</v>
      </c>
      <c r="W88" s="146"/>
      <c r="X88" s="146"/>
      <c r="Y88" s="146"/>
      <c r="Z88" s="146"/>
      <c r="AA88" s="146"/>
      <c r="AB88" s="146"/>
      <c r="AC88" s="146">
        <v>4.7</v>
      </c>
      <c r="AD88" s="117" t="s">
        <v>196</v>
      </c>
      <c r="AE88" s="148"/>
      <c r="AF88" s="146" t="str">
        <f t="shared" si="190"/>
        <v>AMC 2-S1</v>
      </c>
      <c r="AG88" s="146">
        <f t="shared" si="190"/>
        <v>1</v>
      </c>
      <c r="AH88" s="146">
        <f t="shared" si="191"/>
        <v>1</v>
      </c>
      <c r="AI88" s="146">
        <f t="shared" ca="1" si="192"/>
        <v>1</v>
      </c>
      <c r="AJ88" s="146">
        <f t="shared" ca="1" si="193"/>
        <v>0</v>
      </c>
      <c r="AK88" s="146" t="str">
        <f t="shared" si="190"/>
        <v>N/A</v>
      </c>
      <c r="AL88" s="146">
        <f t="shared" si="190"/>
        <v>0</v>
      </c>
      <c r="AM88" s="146">
        <f t="shared" si="194"/>
        <v>0</v>
      </c>
      <c r="AN88" s="146">
        <f t="shared" ca="1" si="195"/>
        <v>0</v>
      </c>
      <c r="AO88" s="146">
        <f t="shared" ca="1" si="196"/>
        <v>0</v>
      </c>
      <c r="AP88" s="146" t="str">
        <f t="shared" si="190"/>
        <v>N/A</v>
      </c>
      <c r="AQ88" s="146">
        <f t="shared" si="190"/>
        <v>0</v>
      </c>
      <c r="AR88" s="146">
        <f t="shared" si="197"/>
        <v>0</v>
      </c>
      <c r="AS88" s="146">
        <f t="shared" ca="1" si="198"/>
        <v>0</v>
      </c>
      <c r="AT88" s="146">
        <f t="shared" ca="1" si="199"/>
        <v>0</v>
      </c>
      <c r="AU88" s="146" t="str">
        <f t="shared" si="190"/>
        <v>N/A</v>
      </c>
      <c r="AV88" s="146">
        <f t="shared" si="190"/>
        <v>0</v>
      </c>
      <c r="AW88" s="146">
        <f t="shared" si="200"/>
        <v>0</v>
      </c>
      <c r="AX88" s="146">
        <f t="shared" ca="1" si="201"/>
        <v>0</v>
      </c>
      <c r="AY88" s="146">
        <f t="shared" ca="1" si="202"/>
        <v>0</v>
      </c>
      <c r="AZ88" s="147"/>
      <c r="BA88" s="144" t="s">
        <v>141</v>
      </c>
      <c r="BB88" s="144" t="s">
        <v>140</v>
      </c>
      <c r="BC88" s="144" t="s">
        <v>140</v>
      </c>
      <c r="BD88" s="144" t="s">
        <v>140</v>
      </c>
      <c r="BE88" s="146">
        <v>4.7</v>
      </c>
      <c r="BF88" s="148"/>
      <c r="BG88" s="146"/>
      <c r="BH88" s="117"/>
      <c r="BI88" s="117"/>
      <c r="BJ88" s="149"/>
      <c r="BK88" s="149"/>
      <c r="BL88" s="117">
        <v>0</v>
      </c>
      <c r="BM88" s="117">
        <v>0</v>
      </c>
      <c r="BN88" s="117">
        <v>0</v>
      </c>
      <c r="BO88" s="117">
        <v>1</v>
      </c>
      <c r="BP88" s="117">
        <v>0</v>
      </c>
      <c r="BQ88" s="117">
        <v>0</v>
      </c>
      <c r="BR88" s="117">
        <v>0</v>
      </c>
      <c r="BS88" s="117" t="s">
        <v>150</v>
      </c>
      <c r="BT88" s="117"/>
      <c r="BU88" s="155"/>
      <c r="BV88" s="117" t="s">
        <v>57</v>
      </c>
      <c r="BW88" s="117">
        <v>1</v>
      </c>
      <c r="BX88" s="149"/>
      <c r="BY88" s="117"/>
      <c r="BZ88" s="117"/>
      <c r="CA88" s="117"/>
      <c r="CB88" s="117">
        <f t="shared" si="203"/>
        <v>0</v>
      </c>
    </row>
    <row r="89" spans="1:80" ht="16.5" customHeight="1">
      <c r="A89" s="117">
        <v>228</v>
      </c>
      <c r="B89" s="154" t="s">
        <v>288</v>
      </c>
      <c r="C89" s="154" t="s">
        <v>900</v>
      </c>
      <c r="D89" s="154" t="s">
        <v>13</v>
      </c>
      <c r="E89" s="154" t="s">
        <v>316</v>
      </c>
      <c r="F89" s="154" t="s">
        <v>317</v>
      </c>
      <c r="G89" s="154" t="s">
        <v>318</v>
      </c>
      <c r="H89" s="146">
        <v>1311</v>
      </c>
      <c r="I89" s="147" t="s">
        <v>147</v>
      </c>
      <c r="J89" s="144">
        <v>2</v>
      </c>
      <c r="K89" s="145">
        <f t="shared" si="185"/>
        <v>1</v>
      </c>
      <c r="L89" s="144">
        <f t="shared" si="186"/>
        <v>2</v>
      </c>
      <c r="M89" s="146">
        <v>115.1</v>
      </c>
      <c r="N89" s="146">
        <f t="shared" si="187"/>
        <v>230.2</v>
      </c>
      <c r="O89" s="146" t="s">
        <v>137</v>
      </c>
      <c r="P89" s="146" t="s">
        <v>13</v>
      </c>
      <c r="Q89" s="146" t="s">
        <v>148</v>
      </c>
      <c r="R89" s="146"/>
      <c r="S89" s="146"/>
      <c r="T89" s="146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46">
        <f t="shared" ca="1" si="188"/>
        <v>1</v>
      </c>
      <c r="V89" s="146">
        <f t="shared" ca="1" si="189"/>
        <v>0</v>
      </c>
      <c r="W89" s="146"/>
      <c r="X89" s="146"/>
      <c r="Y89" s="146"/>
      <c r="Z89" s="146"/>
      <c r="AA89" s="146"/>
      <c r="AB89" s="146"/>
      <c r="AC89" s="146">
        <v>3.1</v>
      </c>
      <c r="AD89" s="117" t="s">
        <v>196</v>
      </c>
      <c r="AE89" s="148"/>
      <c r="AF89" s="146" t="str">
        <f t="shared" si="190"/>
        <v>AMC 2-S1</v>
      </c>
      <c r="AG89" s="146">
        <f t="shared" si="190"/>
        <v>1</v>
      </c>
      <c r="AH89" s="146">
        <f t="shared" si="191"/>
        <v>2</v>
      </c>
      <c r="AI89" s="146">
        <f t="shared" ca="1" si="192"/>
        <v>1</v>
      </c>
      <c r="AJ89" s="146">
        <f t="shared" ca="1" si="193"/>
        <v>1</v>
      </c>
      <c r="AK89" s="146" t="str">
        <f t="shared" si="190"/>
        <v>N/A</v>
      </c>
      <c r="AL89" s="146">
        <f t="shared" si="190"/>
        <v>0</v>
      </c>
      <c r="AM89" s="146">
        <f t="shared" si="194"/>
        <v>0</v>
      </c>
      <c r="AN89" s="146">
        <f t="shared" ca="1" si="195"/>
        <v>0</v>
      </c>
      <c r="AO89" s="146">
        <f t="shared" ca="1" si="196"/>
        <v>0</v>
      </c>
      <c r="AP89" s="146" t="str">
        <f t="shared" si="190"/>
        <v>N/A</v>
      </c>
      <c r="AQ89" s="146">
        <f t="shared" si="190"/>
        <v>0</v>
      </c>
      <c r="AR89" s="146">
        <f t="shared" si="197"/>
        <v>0</v>
      </c>
      <c r="AS89" s="146">
        <f t="shared" ca="1" si="198"/>
        <v>0</v>
      </c>
      <c r="AT89" s="146">
        <f t="shared" ca="1" si="199"/>
        <v>0</v>
      </c>
      <c r="AU89" s="146" t="str">
        <f t="shared" si="190"/>
        <v>N/A</v>
      </c>
      <c r="AV89" s="146">
        <f t="shared" si="190"/>
        <v>0</v>
      </c>
      <c r="AW89" s="146">
        <f t="shared" si="200"/>
        <v>0</v>
      </c>
      <c r="AX89" s="146">
        <f t="shared" ca="1" si="201"/>
        <v>0</v>
      </c>
      <c r="AY89" s="146">
        <f t="shared" ca="1" si="202"/>
        <v>0</v>
      </c>
      <c r="AZ89" s="147"/>
      <c r="BA89" s="144" t="s">
        <v>141</v>
      </c>
      <c r="BB89" s="144" t="s">
        <v>140</v>
      </c>
      <c r="BC89" s="144" t="s">
        <v>140</v>
      </c>
      <c r="BD89" s="144" t="s">
        <v>140</v>
      </c>
      <c r="BE89" s="146">
        <v>1.5</v>
      </c>
      <c r="BF89" s="148"/>
      <c r="BG89" s="146"/>
      <c r="BH89" s="117"/>
      <c r="BI89" s="117"/>
      <c r="BJ89" s="149"/>
      <c r="BK89" s="149"/>
      <c r="BL89" s="117">
        <v>0</v>
      </c>
      <c r="BM89" s="117">
        <v>0</v>
      </c>
      <c r="BN89" s="117">
        <v>0</v>
      </c>
      <c r="BO89" s="117">
        <v>1</v>
      </c>
      <c r="BP89" s="117">
        <v>0</v>
      </c>
      <c r="BQ89" s="117">
        <v>0</v>
      </c>
      <c r="BR89" s="117">
        <v>0</v>
      </c>
      <c r="BS89" s="117" t="s">
        <v>150</v>
      </c>
      <c r="BT89" s="167" t="s">
        <v>319</v>
      </c>
      <c r="BU89" s="141"/>
      <c r="BV89" s="141" t="s">
        <v>320</v>
      </c>
      <c r="BW89" s="141">
        <v>2</v>
      </c>
      <c r="BX89" s="153">
        <v>46202</v>
      </c>
      <c r="BY89" s="117"/>
      <c r="BZ89" s="117"/>
      <c r="CA89" s="117"/>
      <c r="CB89" s="117">
        <f t="shared" si="203"/>
        <v>0</v>
      </c>
    </row>
    <row r="90" spans="1:80" ht="16.5" customHeight="1">
      <c r="A90" s="117">
        <v>229</v>
      </c>
      <c r="B90" s="154" t="s">
        <v>288</v>
      </c>
      <c r="C90" s="154" t="s">
        <v>900</v>
      </c>
      <c r="D90" s="154" t="s">
        <v>13</v>
      </c>
      <c r="E90" s="154" t="s">
        <v>321</v>
      </c>
      <c r="F90" s="154" t="s">
        <v>322</v>
      </c>
      <c r="G90" s="154" t="s">
        <v>323</v>
      </c>
      <c r="H90" s="146">
        <v>2595</v>
      </c>
      <c r="I90" s="147" t="s">
        <v>147</v>
      </c>
      <c r="J90" s="144">
        <v>1</v>
      </c>
      <c r="K90" s="145">
        <f t="shared" si="185"/>
        <v>1</v>
      </c>
      <c r="L90" s="144">
        <f t="shared" si="186"/>
        <v>1</v>
      </c>
      <c r="M90" s="146">
        <v>37.4</v>
      </c>
      <c r="N90" s="146">
        <f t="shared" si="187"/>
        <v>37.4</v>
      </c>
      <c r="O90" s="146" t="s">
        <v>137</v>
      </c>
      <c r="P90" s="146" t="s">
        <v>13</v>
      </c>
      <c r="Q90" s="146" t="s">
        <v>154</v>
      </c>
      <c r="R90" s="146"/>
      <c r="S90" s="146"/>
      <c r="T90" s="146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146">
        <f t="shared" ca="1" si="188"/>
        <v>1</v>
      </c>
      <c r="V90" s="146">
        <f t="shared" ca="1" si="189"/>
        <v>0</v>
      </c>
      <c r="W90" s="146"/>
      <c r="X90" s="146"/>
      <c r="Y90" s="146"/>
      <c r="Z90" s="146"/>
      <c r="AA90" s="146"/>
      <c r="AB90" s="146"/>
      <c r="AC90" s="146">
        <v>0.9</v>
      </c>
      <c r="AD90" s="117" t="s">
        <v>196</v>
      </c>
      <c r="AE90" s="148"/>
      <c r="AF90" s="146" t="str">
        <f t="shared" si="190"/>
        <v>AMC 2-S1</v>
      </c>
      <c r="AG90" s="146">
        <f t="shared" si="190"/>
        <v>1</v>
      </c>
      <c r="AH90" s="146">
        <f t="shared" si="191"/>
        <v>1</v>
      </c>
      <c r="AI90" s="146">
        <f t="shared" ca="1" si="192"/>
        <v>0</v>
      </c>
      <c r="AJ90" s="146">
        <f t="shared" ca="1" si="193"/>
        <v>1</v>
      </c>
      <c r="AK90" s="146" t="str">
        <f t="shared" si="190"/>
        <v>N/A</v>
      </c>
      <c r="AL90" s="146">
        <f t="shared" si="190"/>
        <v>0</v>
      </c>
      <c r="AM90" s="146">
        <f t="shared" si="194"/>
        <v>0</v>
      </c>
      <c r="AN90" s="146">
        <f t="shared" ca="1" si="195"/>
        <v>0</v>
      </c>
      <c r="AO90" s="146">
        <f t="shared" ca="1" si="196"/>
        <v>0</v>
      </c>
      <c r="AP90" s="146" t="str">
        <f t="shared" si="190"/>
        <v>N/A</v>
      </c>
      <c r="AQ90" s="146">
        <f t="shared" si="190"/>
        <v>0</v>
      </c>
      <c r="AR90" s="146">
        <f t="shared" si="197"/>
        <v>0</v>
      </c>
      <c r="AS90" s="146">
        <f t="shared" ca="1" si="198"/>
        <v>0</v>
      </c>
      <c r="AT90" s="146">
        <f t="shared" ca="1" si="199"/>
        <v>0</v>
      </c>
      <c r="AU90" s="146" t="str">
        <f t="shared" si="190"/>
        <v>N/A</v>
      </c>
      <c r="AV90" s="146">
        <f t="shared" si="190"/>
        <v>0</v>
      </c>
      <c r="AW90" s="146">
        <f t="shared" si="200"/>
        <v>0</v>
      </c>
      <c r="AX90" s="146">
        <f t="shared" ca="1" si="201"/>
        <v>0</v>
      </c>
      <c r="AY90" s="146">
        <f t="shared" ca="1" si="202"/>
        <v>0</v>
      </c>
      <c r="AZ90" s="147"/>
      <c r="BA90" s="144" t="s">
        <v>141</v>
      </c>
      <c r="BB90" s="144" t="s">
        <v>140</v>
      </c>
      <c r="BC90" s="144" t="s">
        <v>140</v>
      </c>
      <c r="BD90" s="144" t="s">
        <v>140</v>
      </c>
      <c r="BE90" s="146">
        <v>0.9</v>
      </c>
      <c r="BF90" s="148"/>
      <c r="BG90" s="146"/>
      <c r="BH90" s="117"/>
      <c r="BI90" s="117"/>
      <c r="BJ90" s="149"/>
      <c r="BK90" s="149"/>
      <c r="BL90" s="117">
        <v>0</v>
      </c>
      <c r="BM90" s="117">
        <v>0</v>
      </c>
      <c r="BN90" s="117">
        <v>1</v>
      </c>
      <c r="BO90" s="117">
        <v>0</v>
      </c>
      <c r="BP90" s="117">
        <v>0</v>
      </c>
      <c r="BQ90" s="117">
        <v>0</v>
      </c>
      <c r="BR90" s="117">
        <v>0</v>
      </c>
      <c r="BS90" s="117" t="s">
        <v>150</v>
      </c>
      <c r="BT90" s="167" t="s">
        <v>304</v>
      </c>
      <c r="BU90" s="152"/>
      <c r="BV90" s="141" t="s">
        <v>305</v>
      </c>
      <c r="BW90" s="165">
        <v>1</v>
      </c>
      <c r="BX90" s="153">
        <v>46196</v>
      </c>
      <c r="BY90" s="117"/>
      <c r="BZ90" s="117"/>
      <c r="CA90" s="117"/>
      <c r="CB90" s="117">
        <f t="shared" si="203"/>
        <v>0</v>
      </c>
    </row>
    <row r="91" spans="1:80" ht="16.5" customHeight="1">
      <c r="A91" s="117">
        <v>230</v>
      </c>
      <c r="B91" s="154" t="s">
        <v>288</v>
      </c>
      <c r="C91" s="154" t="s">
        <v>900</v>
      </c>
      <c r="D91" s="154" t="s">
        <v>13</v>
      </c>
      <c r="E91" s="154" t="s">
        <v>324</v>
      </c>
      <c r="F91" s="154" t="s">
        <v>325</v>
      </c>
      <c r="G91" s="154" t="s">
        <v>323</v>
      </c>
      <c r="H91" s="146">
        <v>2595</v>
      </c>
      <c r="I91" s="147" t="s">
        <v>147</v>
      </c>
      <c r="J91" s="144">
        <v>1</v>
      </c>
      <c r="K91" s="145">
        <f t="shared" si="185"/>
        <v>1</v>
      </c>
      <c r="L91" s="144">
        <f t="shared" si="186"/>
        <v>1</v>
      </c>
      <c r="M91" s="146">
        <v>37.4</v>
      </c>
      <c r="N91" s="146">
        <f t="shared" si="187"/>
        <v>37.4</v>
      </c>
      <c r="O91" s="146" t="s">
        <v>137</v>
      </c>
      <c r="P91" s="146" t="s">
        <v>13</v>
      </c>
      <c r="Q91" s="146" t="s">
        <v>154</v>
      </c>
      <c r="R91" s="146"/>
      <c r="S91" s="146"/>
      <c r="T91" s="146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146">
        <f t="shared" ca="1" si="188"/>
        <v>1</v>
      </c>
      <c r="V91" s="146">
        <f t="shared" ca="1" si="189"/>
        <v>0</v>
      </c>
      <c r="W91" s="146"/>
      <c r="X91" s="146"/>
      <c r="Y91" s="146"/>
      <c r="Z91" s="146"/>
      <c r="AA91" s="146"/>
      <c r="AB91" s="146"/>
      <c r="AC91" s="146">
        <v>0.9</v>
      </c>
      <c r="AD91" s="117" t="s">
        <v>196</v>
      </c>
      <c r="AE91" s="148"/>
      <c r="AF91" s="146" t="str">
        <f t="shared" si="190"/>
        <v>AMC 2-S1</v>
      </c>
      <c r="AG91" s="146">
        <f t="shared" si="190"/>
        <v>1</v>
      </c>
      <c r="AH91" s="146">
        <f t="shared" si="191"/>
        <v>1</v>
      </c>
      <c r="AI91" s="146">
        <f t="shared" ca="1" si="192"/>
        <v>0</v>
      </c>
      <c r="AJ91" s="146">
        <f t="shared" ca="1" si="193"/>
        <v>1</v>
      </c>
      <c r="AK91" s="146" t="str">
        <f t="shared" si="190"/>
        <v>N/A</v>
      </c>
      <c r="AL91" s="146">
        <f t="shared" si="190"/>
        <v>0</v>
      </c>
      <c r="AM91" s="146">
        <f t="shared" si="194"/>
        <v>0</v>
      </c>
      <c r="AN91" s="146">
        <f t="shared" ca="1" si="195"/>
        <v>0</v>
      </c>
      <c r="AO91" s="146">
        <f t="shared" ca="1" si="196"/>
        <v>0</v>
      </c>
      <c r="AP91" s="146" t="str">
        <f t="shared" si="190"/>
        <v>N/A</v>
      </c>
      <c r="AQ91" s="146">
        <f t="shared" si="190"/>
        <v>0</v>
      </c>
      <c r="AR91" s="146">
        <f t="shared" si="197"/>
        <v>0</v>
      </c>
      <c r="AS91" s="146">
        <f t="shared" ca="1" si="198"/>
        <v>0</v>
      </c>
      <c r="AT91" s="146">
        <f t="shared" ca="1" si="199"/>
        <v>0</v>
      </c>
      <c r="AU91" s="146" t="str">
        <f t="shared" si="190"/>
        <v>N/A</v>
      </c>
      <c r="AV91" s="146">
        <f t="shared" si="190"/>
        <v>0</v>
      </c>
      <c r="AW91" s="146">
        <f t="shared" si="200"/>
        <v>0</v>
      </c>
      <c r="AX91" s="146">
        <f t="shared" ca="1" si="201"/>
        <v>0</v>
      </c>
      <c r="AY91" s="146">
        <f t="shared" ca="1" si="202"/>
        <v>0</v>
      </c>
      <c r="AZ91" s="147"/>
      <c r="BA91" s="144" t="s">
        <v>141</v>
      </c>
      <c r="BB91" s="144" t="s">
        <v>140</v>
      </c>
      <c r="BC91" s="144" t="s">
        <v>140</v>
      </c>
      <c r="BD91" s="144" t="s">
        <v>140</v>
      </c>
      <c r="BE91" s="146">
        <v>0.9</v>
      </c>
      <c r="BF91" s="148"/>
      <c r="BG91" s="146"/>
      <c r="BH91" s="117"/>
      <c r="BI91" s="117"/>
      <c r="BJ91" s="149"/>
      <c r="BK91" s="149"/>
      <c r="BL91" s="117">
        <v>0</v>
      </c>
      <c r="BM91" s="117">
        <v>0</v>
      </c>
      <c r="BN91" s="117">
        <v>1</v>
      </c>
      <c r="BO91" s="117">
        <v>0</v>
      </c>
      <c r="BP91" s="117">
        <v>0</v>
      </c>
      <c r="BQ91" s="117">
        <v>0</v>
      </c>
      <c r="BR91" s="117">
        <v>0</v>
      </c>
      <c r="BS91" s="117" t="s">
        <v>150</v>
      </c>
      <c r="BT91" s="167" t="s">
        <v>304</v>
      </c>
      <c r="BU91" s="152"/>
      <c r="BV91" s="141" t="s">
        <v>305</v>
      </c>
      <c r="BW91" s="165">
        <v>1</v>
      </c>
      <c r="BX91" s="153">
        <v>46196</v>
      </c>
      <c r="BY91" s="117"/>
      <c r="BZ91" s="117"/>
      <c r="CA91" s="117"/>
      <c r="CB91" s="117">
        <f t="shared" si="203"/>
        <v>0</v>
      </c>
    </row>
    <row r="92" spans="1:80" ht="16.5" hidden="1" customHeight="1">
      <c r="A92" s="133">
        <v>231</v>
      </c>
      <c r="B92" s="156" t="s">
        <v>326</v>
      </c>
      <c r="C92" s="156" t="s">
        <v>901</v>
      </c>
      <c r="D92" s="156"/>
      <c r="E92" s="156" t="s">
        <v>136</v>
      </c>
      <c r="F92" s="156"/>
      <c r="G92" s="156"/>
      <c r="H92" s="157"/>
      <c r="I92" s="159"/>
      <c r="J92" s="160" t="s">
        <v>136</v>
      </c>
      <c r="K92" s="138">
        <f>+AG92+AL92+AQ92+AV92</f>
        <v>1</v>
      </c>
      <c r="L92" s="160" t="s">
        <v>136</v>
      </c>
      <c r="M92" s="157"/>
      <c r="N92" s="157">
        <v>1107.7</v>
      </c>
      <c r="O92" s="157" t="s">
        <v>137</v>
      </c>
      <c r="P92" s="157"/>
      <c r="Q92" s="157"/>
      <c r="R92" s="157"/>
      <c r="S92" s="157"/>
      <c r="T92" s="157"/>
      <c r="U92" s="157"/>
      <c r="V92" s="157"/>
      <c r="W92" s="135">
        <f ca="1">_xlfn.MINIFS(V:V,C:C,C92,AE:AE,"",AB:AB,"")</f>
        <v>1</v>
      </c>
      <c r="X92" s="135">
        <f ca="1">SUMIFS(T:T,C:C,C92,AE:AE,"")/SUMIFS(L:L,C:C,C92,AE:AE,"",AB:AB,"")</f>
        <v>1</v>
      </c>
      <c r="Y92" s="157"/>
      <c r="Z92" s="157"/>
      <c r="AA92" s="157"/>
      <c r="AB92" s="157"/>
      <c r="AC92" s="157">
        <v>23.1</v>
      </c>
      <c r="AD92" s="161" t="s">
        <v>196</v>
      </c>
      <c r="AE92" s="162" t="s">
        <v>143</v>
      </c>
      <c r="AF92" s="157" t="s">
        <v>281</v>
      </c>
      <c r="AG92" s="157">
        <v>1</v>
      </c>
      <c r="AH92" s="157"/>
      <c r="AI92" s="157"/>
      <c r="AJ92" s="157"/>
      <c r="AK92" s="157" t="s">
        <v>138</v>
      </c>
      <c r="AL92" s="157">
        <v>0</v>
      </c>
      <c r="AM92" s="157"/>
      <c r="AN92" s="157"/>
      <c r="AO92" s="157"/>
      <c r="AP92" s="157" t="s">
        <v>138</v>
      </c>
      <c r="AQ92" s="157">
        <v>0</v>
      </c>
      <c r="AR92" s="157"/>
      <c r="AS92" s="157"/>
      <c r="AT92" s="157"/>
      <c r="AU92" s="157" t="s">
        <v>138</v>
      </c>
      <c r="AV92" s="157">
        <v>0</v>
      </c>
      <c r="AW92" s="157"/>
      <c r="AX92" s="157"/>
      <c r="AY92" s="157"/>
      <c r="AZ92" s="136"/>
      <c r="BA92" s="137" t="s">
        <v>141</v>
      </c>
      <c r="BB92" s="137" t="s">
        <v>140</v>
      </c>
      <c r="BC92" s="137" t="s">
        <v>140</v>
      </c>
      <c r="BD92" s="137" t="s">
        <v>140</v>
      </c>
      <c r="BE92" s="157">
        <v>23.1</v>
      </c>
      <c r="BF92" s="162"/>
      <c r="BG92" s="157"/>
      <c r="BH92" s="161"/>
      <c r="BI92" s="161"/>
      <c r="BJ92" s="163"/>
      <c r="BK92" s="163"/>
      <c r="BL92" s="161"/>
      <c r="BM92" s="161"/>
      <c r="BN92" s="161"/>
      <c r="BO92" s="161"/>
      <c r="BP92" s="161"/>
      <c r="BQ92" s="161"/>
      <c r="BR92" s="161"/>
      <c r="BS92" s="161"/>
      <c r="BT92" s="161"/>
      <c r="BU92" s="164"/>
      <c r="BV92" s="161"/>
      <c r="BW92" s="161"/>
      <c r="BX92" s="163"/>
      <c r="BY92" s="161"/>
      <c r="BZ92" s="161"/>
      <c r="CA92" s="161"/>
      <c r="CB92" s="161"/>
    </row>
    <row r="93" spans="1:80" ht="16.5" hidden="1" customHeight="1">
      <c r="A93" s="117">
        <v>232</v>
      </c>
      <c r="B93" s="154" t="s">
        <v>326</v>
      </c>
      <c r="C93" s="154" t="s">
        <v>901</v>
      </c>
      <c r="D93" s="154" t="s">
        <v>13</v>
      </c>
      <c r="E93" s="154" t="s">
        <v>327</v>
      </c>
      <c r="F93" s="154" t="s">
        <v>328</v>
      </c>
      <c r="G93" s="154" t="s">
        <v>199</v>
      </c>
      <c r="H93" s="146">
        <v>1502</v>
      </c>
      <c r="I93" s="147" t="s">
        <v>147</v>
      </c>
      <c r="J93" s="144">
        <v>1</v>
      </c>
      <c r="K93" s="145">
        <f t="shared" ref="K93:K102" si="204">K92</f>
        <v>1</v>
      </c>
      <c r="L93" s="144">
        <f t="shared" ref="L93:L102" si="205">+K93*J93</f>
        <v>1</v>
      </c>
      <c r="M93" s="146">
        <v>38.9</v>
      </c>
      <c r="N93" s="146">
        <f t="shared" ref="N93:N102" si="206">+M93*L93</f>
        <v>38.9</v>
      </c>
      <c r="O93" s="146" t="s">
        <v>137</v>
      </c>
      <c r="P93" s="146" t="s">
        <v>13</v>
      </c>
      <c r="Q93" s="146" t="s">
        <v>148</v>
      </c>
      <c r="R93" s="146"/>
      <c r="S93" s="146"/>
      <c r="T93" s="146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46">
        <f t="shared" ref="U93:U102" ca="1" si="207">+L93-T93</f>
        <v>0</v>
      </c>
      <c r="V93" s="146">
        <f t="shared" ref="V93:V102" ca="1" si="208">ROUNDDOWN(T93/J93,0)</f>
        <v>1</v>
      </c>
      <c r="W93" s="146"/>
      <c r="X93" s="146"/>
      <c r="Y93" s="146"/>
      <c r="Z93" s="146"/>
      <c r="AA93" s="146"/>
      <c r="AB93" s="146"/>
      <c r="AC93" s="146">
        <v>0.7</v>
      </c>
      <c r="AD93" s="117" t="s">
        <v>196</v>
      </c>
      <c r="AE93" s="148"/>
      <c r="AF93" s="146" t="str">
        <f t="shared" ref="AF93:AV102" si="209">AF92</f>
        <v>AMC 2-S1</v>
      </c>
      <c r="AG93" s="146">
        <f t="shared" si="209"/>
        <v>1</v>
      </c>
      <c r="AH93" s="146">
        <f t="shared" ref="AH93:AH102" si="210">+AG93*J93</f>
        <v>1</v>
      </c>
      <c r="AI93" s="146">
        <f t="shared" ref="AI93:AI102" ca="1" si="211">MIN(T93,AH93)</f>
        <v>1</v>
      </c>
      <c r="AJ93" s="146">
        <f t="shared" ref="AJ93:AJ102" ca="1" si="212">+AH93-AI93</f>
        <v>0</v>
      </c>
      <c r="AK93" s="146" t="str">
        <f t="shared" si="209"/>
        <v>N/A</v>
      </c>
      <c r="AL93" s="146">
        <f t="shared" si="209"/>
        <v>0</v>
      </c>
      <c r="AM93" s="146">
        <f t="shared" ref="AM93:AM102" si="213">+AL93*J93</f>
        <v>0</v>
      </c>
      <c r="AN93" s="146">
        <f t="shared" ref="AN93:AN102" ca="1" si="214">MIN(T93-AI93,AL93)</f>
        <v>0</v>
      </c>
      <c r="AO93" s="146">
        <f t="shared" ref="AO93:AO102" ca="1" si="215">+AM93-AN93</f>
        <v>0</v>
      </c>
      <c r="AP93" s="146" t="str">
        <f t="shared" si="209"/>
        <v>N/A</v>
      </c>
      <c r="AQ93" s="146">
        <f t="shared" si="209"/>
        <v>0</v>
      </c>
      <c r="AR93" s="146">
        <f t="shared" ref="AR93:AR102" si="216">+AQ93*J93</f>
        <v>0</v>
      </c>
      <c r="AS93" s="146">
        <f t="shared" ref="AS93:AS102" ca="1" si="217">MIN(T93-AI93-AN93,AR93)</f>
        <v>0</v>
      </c>
      <c r="AT93" s="146">
        <f t="shared" ref="AT93:AT102" ca="1" si="218">+AR93-AS93</f>
        <v>0</v>
      </c>
      <c r="AU93" s="146" t="str">
        <f t="shared" si="209"/>
        <v>N/A</v>
      </c>
      <c r="AV93" s="146">
        <f t="shared" si="209"/>
        <v>0</v>
      </c>
      <c r="AW93" s="146">
        <f t="shared" ref="AW93:AW102" si="219">+AV93*J93</f>
        <v>0</v>
      </c>
      <c r="AX93" s="146">
        <f t="shared" ref="AX93:AX102" ca="1" si="220">MIN(T93-AI93-AN93-AS93,AW93)</f>
        <v>0</v>
      </c>
      <c r="AY93" s="146">
        <f t="shared" ref="AY93:AY102" ca="1" si="221">+AW93-AX93</f>
        <v>0</v>
      </c>
      <c r="AZ93" s="147"/>
      <c r="BA93" s="144" t="s">
        <v>141</v>
      </c>
      <c r="BB93" s="144" t="s">
        <v>140</v>
      </c>
      <c r="BC93" s="144" t="s">
        <v>140</v>
      </c>
      <c r="BD93" s="144" t="s">
        <v>140</v>
      </c>
      <c r="BE93" s="146">
        <v>0.7</v>
      </c>
      <c r="BF93" s="148"/>
      <c r="BG93" s="146"/>
      <c r="BH93" s="117"/>
      <c r="BI93" s="117"/>
      <c r="BJ93" s="149"/>
      <c r="BK93" s="149"/>
      <c r="BL93" s="117">
        <v>0</v>
      </c>
      <c r="BM93" s="117">
        <v>0</v>
      </c>
      <c r="BN93" s="117">
        <v>0</v>
      </c>
      <c r="BO93" s="117">
        <v>1</v>
      </c>
      <c r="BP93" s="117">
        <v>0</v>
      </c>
      <c r="BQ93" s="117">
        <v>0</v>
      </c>
      <c r="BR93" s="117">
        <v>0</v>
      </c>
      <c r="BS93" s="117" t="s">
        <v>150</v>
      </c>
      <c r="BT93" s="158" t="s">
        <v>200</v>
      </c>
      <c r="BU93" s="117"/>
      <c r="BV93" s="117" t="s">
        <v>201</v>
      </c>
      <c r="BW93" s="117">
        <v>1</v>
      </c>
      <c r="BX93" s="149">
        <v>46201</v>
      </c>
      <c r="BY93" s="117"/>
      <c r="BZ93" s="117"/>
      <c r="CA93" s="117"/>
      <c r="CB93" s="117">
        <f t="shared" ref="CB93:CB102" si="222">+L93-BW93</f>
        <v>0</v>
      </c>
    </row>
    <row r="94" spans="1:80" ht="16.5" customHeight="1">
      <c r="A94" s="117">
        <v>233</v>
      </c>
      <c r="B94" s="154" t="s">
        <v>326</v>
      </c>
      <c r="C94" s="154" t="s">
        <v>901</v>
      </c>
      <c r="D94" s="154" t="s">
        <v>13</v>
      </c>
      <c r="E94" s="154" t="s">
        <v>329</v>
      </c>
      <c r="F94" s="154" t="s">
        <v>330</v>
      </c>
      <c r="G94" s="154" t="s">
        <v>331</v>
      </c>
      <c r="H94" s="146">
        <v>5868</v>
      </c>
      <c r="I94" s="147" t="s">
        <v>147</v>
      </c>
      <c r="J94" s="144">
        <v>1</v>
      </c>
      <c r="K94" s="145">
        <f t="shared" si="204"/>
        <v>1</v>
      </c>
      <c r="L94" s="144">
        <f t="shared" si="205"/>
        <v>1</v>
      </c>
      <c r="M94" s="146">
        <v>856.7</v>
      </c>
      <c r="N94" s="146">
        <f t="shared" si="206"/>
        <v>856.7</v>
      </c>
      <c r="O94" s="146" t="s">
        <v>137</v>
      </c>
      <c r="P94" s="146" t="s">
        <v>13</v>
      </c>
      <c r="Q94" s="146" t="s">
        <v>154</v>
      </c>
      <c r="R94" s="146"/>
      <c r="S94" s="146"/>
      <c r="T94" s="146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46">
        <f t="shared" ca="1" si="207"/>
        <v>0</v>
      </c>
      <c r="V94" s="146">
        <f t="shared" ca="1" si="208"/>
        <v>1</v>
      </c>
      <c r="W94" s="146"/>
      <c r="X94" s="146"/>
      <c r="Y94" s="146"/>
      <c r="Z94" s="146"/>
      <c r="AA94" s="146"/>
      <c r="AB94" s="146"/>
      <c r="AC94" s="146">
        <v>18.399999999999999</v>
      </c>
      <c r="AD94" s="117" t="s">
        <v>196</v>
      </c>
      <c r="AE94" s="148"/>
      <c r="AF94" s="146" t="str">
        <f t="shared" si="209"/>
        <v>AMC 2-S1</v>
      </c>
      <c r="AG94" s="146">
        <f t="shared" si="209"/>
        <v>1</v>
      </c>
      <c r="AH94" s="146">
        <f t="shared" si="210"/>
        <v>1</v>
      </c>
      <c r="AI94" s="146">
        <f t="shared" ca="1" si="211"/>
        <v>1</v>
      </c>
      <c r="AJ94" s="146">
        <f t="shared" ca="1" si="212"/>
        <v>0</v>
      </c>
      <c r="AK94" s="146" t="str">
        <f t="shared" si="209"/>
        <v>N/A</v>
      </c>
      <c r="AL94" s="146">
        <f t="shared" si="209"/>
        <v>0</v>
      </c>
      <c r="AM94" s="146">
        <f t="shared" si="213"/>
        <v>0</v>
      </c>
      <c r="AN94" s="146">
        <f t="shared" ca="1" si="214"/>
        <v>0</v>
      </c>
      <c r="AO94" s="146">
        <f t="shared" ca="1" si="215"/>
        <v>0</v>
      </c>
      <c r="AP94" s="146" t="str">
        <f t="shared" si="209"/>
        <v>N/A</v>
      </c>
      <c r="AQ94" s="146">
        <f t="shared" si="209"/>
        <v>0</v>
      </c>
      <c r="AR94" s="146">
        <f t="shared" si="216"/>
        <v>0</v>
      </c>
      <c r="AS94" s="146">
        <f t="shared" ca="1" si="217"/>
        <v>0</v>
      </c>
      <c r="AT94" s="146">
        <f t="shared" ca="1" si="218"/>
        <v>0</v>
      </c>
      <c r="AU94" s="146" t="str">
        <f t="shared" si="209"/>
        <v>N/A</v>
      </c>
      <c r="AV94" s="146">
        <f t="shared" si="209"/>
        <v>0</v>
      </c>
      <c r="AW94" s="146">
        <f t="shared" si="219"/>
        <v>0</v>
      </c>
      <c r="AX94" s="146">
        <f t="shared" ca="1" si="220"/>
        <v>0</v>
      </c>
      <c r="AY94" s="146">
        <f t="shared" ca="1" si="221"/>
        <v>0</v>
      </c>
      <c r="AZ94" s="147"/>
      <c r="BA94" s="144" t="s">
        <v>141</v>
      </c>
      <c r="BB94" s="144" t="s">
        <v>140</v>
      </c>
      <c r="BC94" s="144" t="s">
        <v>140</v>
      </c>
      <c r="BD94" s="144" t="s">
        <v>140</v>
      </c>
      <c r="BE94" s="146">
        <v>18.399999999999999</v>
      </c>
      <c r="BF94" s="148"/>
      <c r="BG94" s="146"/>
      <c r="BH94" s="117"/>
      <c r="BI94" s="117"/>
      <c r="BJ94" s="149"/>
      <c r="BK94" s="149"/>
      <c r="BL94" s="117">
        <v>0</v>
      </c>
      <c r="BM94" s="117">
        <v>1</v>
      </c>
      <c r="BN94" s="117">
        <v>0</v>
      </c>
      <c r="BO94" s="117">
        <v>1</v>
      </c>
      <c r="BP94" s="117">
        <v>0</v>
      </c>
      <c r="BQ94" s="117">
        <v>0</v>
      </c>
      <c r="BR94" s="117">
        <v>0</v>
      </c>
      <c r="BS94" s="117" t="s">
        <v>150</v>
      </c>
      <c r="BT94" s="117"/>
      <c r="BU94" s="155"/>
      <c r="BV94" s="117" t="s">
        <v>57</v>
      </c>
      <c r="BW94" s="117">
        <v>1</v>
      </c>
      <c r="BX94" s="149"/>
      <c r="BY94" s="117"/>
      <c r="BZ94" s="117"/>
      <c r="CA94" s="117"/>
      <c r="CB94" s="117">
        <f t="shared" si="222"/>
        <v>0</v>
      </c>
    </row>
    <row r="95" spans="1:80" ht="16.5" hidden="1" customHeight="1">
      <c r="A95" s="117">
        <v>234</v>
      </c>
      <c r="B95" s="154" t="s">
        <v>326</v>
      </c>
      <c r="C95" s="154" t="s">
        <v>901</v>
      </c>
      <c r="D95" s="154" t="s">
        <v>13</v>
      </c>
      <c r="E95" s="154" t="s">
        <v>332</v>
      </c>
      <c r="F95" s="154" t="s">
        <v>333</v>
      </c>
      <c r="G95" s="154" t="s">
        <v>334</v>
      </c>
      <c r="H95" s="146">
        <v>1127</v>
      </c>
      <c r="I95" s="147" t="s">
        <v>147</v>
      </c>
      <c r="J95" s="144">
        <v>1</v>
      </c>
      <c r="K95" s="145">
        <f t="shared" si="204"/>
        <v>1</v>
      </c>
      <c r="L95" s="144">
        <f t="shared" si="205"/>
        <v>1</v>
      </c>
      <c r="M95" s="146">
        <v>5.3</v>
      </c>
      <c r="N95" s="146">
        <f t="shared" si="206"/>
        <v>5.3</v>
      </c>
      <c r="O95" s="146" t="s">
        <v>137</v>
      </c>
      <c r="P95" s="146" t="s">
        <v>13</v>
      </c>
      <c r="Q95" s="146" t="s">
        <v>148</v>
      </c>
      <c r="R95" s="146"/>
      <c r="S95" s="146"/>
      <c r="T95" s="146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1</v>
      </c>
      <c r="U95" s="146">
        <f t="shared" ca="1" si="207"/>
        <v>0</v>
      </c>
      <c r="V95" s="146">
        <f t="shared" ca="1" si="208"/>
        <v>1</v>
      </c>
      <c r="W95" s="146"/>
      <c r="X95" s="146"/>
      <c r="Y95" s="146"/>
      <c r="Z95" s="146"/>
      <c r="AA95" s="146"/>
      <c r="AB95" s="146"/>
      <c r="AC95" s="146">
        <v>0.2</v>
      </c>
      <c r="AD95" s="117" t="s">
        <v>196</v>
      </c>
      <c r="AE95" s="148"/>
      <c r="AF95" s="146" t="str">
        <f t="shared" si="209"/>
        <v>AMC 2-S1</v>
      </c>
      <c r="AG95" s="146">
        <f t="shared" si="209"/>
        <v>1</v>
      </c>
      <c r="AH95" s="146">
        <f t="shared" si="210"/>
        <v>1</v>
      </c>
      <c r="AI95" s="146">
        <f t="shared" ca="1" si="211"/>
        <v>1</v>
      </c>
      <c r="AJ95" s="146">
        <f t="shared" ca="1" si="212"/>
        <v>0</v>
      </c>
      <c r="AK95" s="146" t="str">
        <f t="shared" si="209"/>
        <v>N/A</v>
      </c>
      <c r="AL95" s="146">
        <f t="shared" si="209"/>
        <v>0</v>
      </c>
      <c r="AM95" s="146">
        <f t="shared" si="213"/>
        <v>0</v>
      </c>
      <c r="AN95" s="146">
        <f t="shared" ca="1" si="214"/>
        <v>0</v>
      </c>
      <c r="AO95" s="146">
        <f t="shared" ca="1" si="215"/>
        <v>0</v>
      </c>
      <c r="AP95" s="146" t="str">
        <f t="shared" si="209"/>
        <v>N/A</v>
      </c>
      <c r="AQ95" s="146">
        <f t="shared" si="209"/>
        <v>0</v>
      </c>
      <c r="AR95" s="146">
        <f t="shared" si="216"/>
        <v>0</v>
      </c>
      <c r="AS95" s="146">
        <f t="shared" ca="1" si="217"/>
        <v>0</v>
      </c>
      <c r="AT95" s="146">
        <f t="shared" ca="1" si="218"/>
        <v>0</v>
      </c>
      <c r="AU95" s="146" t="str">
        <f t="shared" si="209"/>
        <v>N/A</v>
      </c>
      <c r="AV95" s="146">
        <f t="shared" si="209"/>
        <v>0</v>
      </c>
      <c r="AW95" s="146">
        <f t="shared" si="219"/>
        <v>0</v>
      </c>
      <c r="AX95" s="146">
        <f t="shared" ca="1" si="220"/>
        <v>0</v>
      </c>
      <c r="AY95" s="146">
        <f t="shared" ca="1" si="221"/>
        <v>0</v>
      </c>
      <c r="AZ95" s="147"/>
      <c r="BA95" s="144" t="s">
        <v>141</v>
      </c>
      <c r="BB95" s="144" t="s">
        <v>140</v>
      </c>
      <c r="BC95" s="144" t="s">
        <v>140</v>
      </c>
      <c r="BD95" s="144" t="s">
        <v>140</v>
      </c>
      <c r="BE95" s="146">
        <v>0.2</v>
      </c>
      <c r="BF95" s="148"/>
      <c r="BG95" s="146"/>
      <c r="BH95" s="117"/>
      <c r="BI95" s="117"/>
      <c r="BJ95" s="149"/>
      <c r="BK95" s="149"/>
      <c r="BL95" s="117">
        <v>0</v>
      </c>
      <c r="BM95" s="117">
        <v>0</v>
      </c>
      <c r="BN95" s="117">
        <v>0</v>
      </c>
      <c r="BO95" s="117">
        <v>0</v>
      </c>
      <c r="BP95" s="117">
        <v>0</v>
      </c>
      <c r="BQ95" s="117">
        <v>0</v>
      </c>
      <c r="BR95" s="117">
        <v>0</v>
      </c>
      <c r="BS95" s="117" t="s">
        <v>150</v>
      </c>
      <c r="BT95" s="158" t="s">
        <v>210</v>
      </c>
      <c r="BU95" s="117"/>
      <c r="BV95" s="117" t="s">
        <v>211</v>
      </c>
      <c r="BW95" s="144">
        <v>1</v>
      </c>
      <c r="BX95" s="149">
        <v>46201</v>
      </c>
      <c r="BY95" s="117"/>
      <c r="BZ95" s="117"/>
      <c r="CA95" s="117"/>
      <c r="CB95" s="117">
        <f t="shared" si="222"/>
        <v>0</v>
      </c>
    </row>
    <row r="96" spans="1:80" ht="16.5" hidden="1" customHeight="1">
      <c r="A96" s="117">
        <v>235</v>
      </c>
      <c r="B96" s="154" t="s">
        <v>326</v>
      </c>
      <c r="C96" s="154" t="s">
        <v>901</v>
      </c>
      <c r="D96" s="154" t="s">
        <v>13</v>
      </c>
      <c r="E96" s="154" t="s">
        <v>335</v>
      </c>
      <c r="F96" s="154" t="s">
        <v>336</v>
      </c>
      <c r="G96" s="154" t="s">
        <v>334</v>
      </c>
      <c r="H96" s="146">
        <v>1410</v>
      </c>
      <c r="I96" s="147" t="s">
        <v>147</v>
      </c>
      <c r="J96" s="144">
        <v>1</v>
      </c>
      <c r="K96" s="145">
        <f t="shared" si="204"/>
        <v>1</v>
      </c>
      <c r="L96" s="144">
        <f t="shared" si="205"/>
        <v>1</v>
      </c>
      <c r="M96" s="146">
        <v>6.6</v>
      </c>
      <c r="N96" s="146">
        <f t="shared" si="206"/>
        <v>6.6</v>
      </c>
      <c r="O96" s="146" t="s">
        <v>137</v>
      </c>
      <c r="P96" s="146" t="s">
        <v>13</v>
      </c>
      <c r="Q96" s="146" t="s">
        <v>148</v>
      </c>
      <c r="R96" s="146"/>
      <c r="S96" s="146"/>
      <c r="T96" s="146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</v>
      </c>
      <c r="U96" s="146">
        <f t="shared" ca="1" si="207"/>
        <v>0</v>
      </c>
      <c r="V96" s="146">
        <f t="shared" ca="1" si="208"/>
        <v>1</v>
      </c>
      <c r="W96" s="146"/>
      <c r="X96" s="146"/>
      <c r="Y96" s="146"/>
      <c r="Z96" s="146"/>
      <c r="AA96" s="146"/>
      <c r="AB96" s="146"/>
      <c r="AC96" s="146">
        <v>0.2</v>
      </c>
      <c r="AD96" s="117" t="s">
        <v>196</v>
      </c>
      <c r="AE96" s="148"/>
      <c r="AF96" s="146" t="str">
        <f t="shared" si="209"/>
        <v>AMC 2-S1</v>
      </c>
      <c r="AG96" s="146">
        <f t="shared" si="209"/>
        <v>1</v>
      </c>
      <c r="AH96" s="146">
        <f t="shared" si="210"/>
        <v>1</v>
      </c>
      <c r="AI96" s="146">
        <f t="shared" ca="1" si="211"/>
        <v>1</v>
      </c>
      <c r="AJ96" s="146">
        <f t="shared" ca="1" si="212"/>
        <v>0</v>
      </c>
      <c r="AK96" s="146" t="str">
        <f t="shared" si="209"/>
        <v>N/A</v>
      </c>
      <c r="AL96" s="146">
        <f t="shared" si="209"/>
        <v>0</v>
      </c>
      <c r="AM96" s="146">
        <f t="shared" si="213"/>
        <v>0</v>
      </c>
      <c r="AN96" s="146">
        <f t="shared" ca="1" si="214"/>
        <v>0</v>
      </c>
      <c r="AO96" s="146">
        <f t="shared" ca="1" si="215"/>
        <v>0</v>
      </c>
      <c r="AP96" s="146" t="str">
        <f t="shared" si="209"/>
        <v>N/A</v>
      </c>
      <c r="AQ96" s="146">
        <f t="shared" si="209"/>
        <v>0</v>
      </c>
      <c r="AR96" s="146">
        <f t="shared" si="216"/>
        <v>0</v>
      </c>
      <c r="AS96" s="146">
        <f t="shared" ca="1" si="217"/>
        <v>0</v>
      </c>
      <c r="AT96" s="146">
        <f t="shared" ca="1" si="218"/>
        <v>0</v>
      </c>
      <c r="AU96" s="146" t="str">
        <f t="shared" si="209"/>
        <v>N/A</v>
      </c>
      <c r="AV96" s="146">
        <f t="shared" si="209"/>
        <v>0</v>
      </c>
      <c r="AW96" s="146">
        <f t="shared" si="219"/>
        <v>0</v>
      </c>
      <c r="AX96" s="146">
        <f t="shared" ca="1" si="220"/>
        <v>0</v>
      </c>
      <c r="AY96" s="146">
        <f t="shared" ca="1" si="221"/>
        <v>0</v>
      </c>
      <c r="AZ96" s="147"/>
      <c r="BA96" s="144" t="s">
        <v>141</v>
      </c>
      <c r="BB96" s="144" t="s">
        <v>140</v>
      </c>
      <c r="BC96" s="144" t="s">
        <v>140</v>
      </c>
      <c r="BD96" s="144" t="s">
        <v>140</v>
      </c>
      <c r="BE96" s="146">
        <v>0.2</v>
      </c>
      <c r="BF96" s="148"/>
      <c r="BG96" s="146"/>
      <c r="BH96" s="117"/>
      <c r="BI96" s="117"/>
      <c r="BJ96" s="149"/>
      <c r="BK96" s="149"/>
      <c r="BL96" s="117">
        <v>0</v>
      </c>
      <c r="BM96" s="117">
        <v>0</v>
      </c>
      <c r="BN96" s="117">
        <v>0</v>
      </c>
      <c r="BO96" s="117">
        <v>0</v>
      </c>
      <c r="BP96" s="117">
        <v>0</v>
      </c>
      <c r="BQ96" s="117">
        <v>0</v>
      </c>
      <c r="BR96" s="117">
        <v>0</v>
      </c>
      <c r="BS96" s="117" t="s">
        <v>150</v>
      </c>
      <c r="BT96" s="158" t="s">
        <v>210</v>
      </c>
      <c r="BU96" s="117"/>
      <c r="BV96" s="117" t="s">
        <v>211</v>
      </c>
      <c r="BW96" s="144">
        <v>1</v>
      </c>
      <c r="BX96" s="149">
        <v>46201</v>
      </c>
      <c r="BY96" s="117"/>
      <c r="BZ96" s="117"/>
      <c r="CA96" s="117"/>
      <c r="CB96" s="117">
        <f t="shared" si="222"/>
        <v>0</v>
      </c>
    </row>
    <row r="97" spans="1:80" ht="16.5" hidden="1" customHeight="1">
      <c r="A97" s="117">
        <v>236</v>
      </c>
      <c r="B97" s="154" t="s">
        <v>326</v>
      </c>
      <c r="C97" s="154" t="s">
        <v>901</v>
      </c>
      <c r="D97" s="154" t="s">
        <v>13</v>
      </c>
      <c r="E97" s="154" t="s">
        <v>337</v>
      </c>
      <c r="F97" s="154" t="s">
        <v>338</v>
      </c>
      <c r="G97" s="154" t="s">
        <v>334</v>
      </c>
      <c r="H97" s="146">
        <v>1100</v>
      </c>
      <c r="I97" s="147" t="s">
        <v>147</v>
      </c>
      <c r="J97" s="144">
        <v>1</v>
      </c>
      <c r="K97" s="145">
        <f t="shared" si="204"/>
        <v>1</v>
      </c>
      <c r="L97" s="144">
        <f t="shared" si="205"/>
        <v>1</v>
      </c>
      <c r="M97" s="146">
        <v>5.2</v>
      </c>
      <c r="N97" s="146">
        <f t="shared" si="206"/>
        <v>5.2</v>
      </c>
      <c r="O97" s="146" t="s">
        <v>137</v>
      </c>
      <c r="P97" s="146" t="s">
        <v>13</v>
      </c>
      <c r="Q97" s="146" t="s">
        <v>148</v>
      </c>
      <c r="R97" s="146"/>
      <c r="S97" s="146"/>
      <c r="T97" s="146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1</v>
      </c>
      <c r="U97" s="146">
        <f t="shared" ca="1" si="207"/>
        <v>0</v>
      </c>
      <c r="V97" s="146">
        <f t="shared" ca="1" si="208"/>
        <v>1</v>
      </c>
      <c r="W97" s="146"/>
      <c r="X97" s="146"/>
      <c r="Y97" s="146"/>
      <c r="Z97" s="146"/>
      <c r="AA97" s="146"/>
      <c r="AB97" s="146"/>
      <c r="AC97" s="146">
        <v>0.2</v>
      </c>
      <c r="AD97" s="117" t="s">
        <v>196</v>
      </c>
      <c r="AE97" s="148"/>
      <c r="AF97" s="146" t="str">
        <f t="shared" si="209"/>
        <v>AMC 2-S1</v>
      </c>
      <c r="AG97" s="146">
        <f t="shared" si="209"/>
        <v>1</v>
      </c>
      <c r="AH97" s="146">
        <f t="shared" si="210"/>
        <v>1</v>
      </c>
      <c r="AI97" s="146">
        <f t="shared" ca="1" si="211"/>
        <v>1</v>
      </c>
      <c r="AJ97" s="146">
        <f t="shared" ca="1" si="212"/>
        <v>0</v>
      </c>
      <c r="AK97" s="146" t="str">
        <f t="shared" si="209"/>
        <v>N/A</v>
      </c>
      <c r="AL97" s="146">
        <f t="shared" si="209"/>
        <v>0</v>
      </c>
      <c r="AM97" s="146">
        <f t="shared" si="213"/>
        <v>0</v>
      </c>
      <c r="AN97" s="146">
        <f t="shared" ca="1" si="214"/>
        <v>0</v>
      </c>
      <c r="AO97" s="146">
        <f t="shared" ca="1" si="215"/>
        <v>0</v>
      </c>
      <c r="AP97" s="146" t="str">
        <f t="shared" si="209"/>
        <v>N/A</v>
      </c>
      <c r="AQ97" s="146">
        <f t="shared" si="209"/>
        <v>0</v>
      </c>
      <c r="AR97" s="146">
        <f t="shared" si="216"/>
        <v>0</v>
      </c>
      <c r="AS97" s="146">
        <f t="shared" ca="1" si="217"/>
        <v>0</v>
      </c>
      <c r="AT97" s="146">
        <f t="shared" ca="1" si="218"/>
        <v>0</v>
      </c>
      <c r="AU97" s="146" t="str">
        <f t="shared" si="209"/>
        <v>N/A</v>
      </c>
      <c r="AV97" s="146">
        <f t="shared" si="209"/>
        <v>0</v>
      </c>
      <c r="AW97" s="146">
        <f t="shared" si="219"/>
        <v>0</v>
      </c>
      <c r="AX97" s="146">
        <f t="shared" ca="1" si="220"/>
        <v>0</v>
      </c>
      <c r="AY97" s="146">
        <f t="shared" ca="1" si="221"/>
        <v>0</v>
      </c>
      <c r="AZ97" s="147"/>
      <c r="BA97" s="144" t="s">
        <v>141</v>
      </c>
      <c r="BB97" s="144" t="s">
        <v>140</v>
      </c>
      <c r="BC97" s="144" t="s">
        <v>140</v>
      </c>
      <c r="BD97" s="144" t="s">
        <v>140</v>
      </c>
      <c r="BE97" s="146">
        <v>0.2</v>
      </c>
      <c r="BF97" s="148"/>
      <c r="BG97" s="146"/>
      <c r="BH97" s="117"/>
      <c r="BI97" s="117"/>
      <c r="BJ97" s="149"/>
      <c r="BK97" s="149"/>
      <c r="BL97" s="117">
        <v>0</v>
      </c>
      <c r="BM97" s="117">
        <v>0</v>
      </c>
      <c r="BN97" s="117">
        <v>0</v>
      </c>
      <c r="BO97" s="117">
        <v>0</v>
      </c>
      <c r="BP97" s="117">
        <v>0</v>
      </c>
      <c r="BQ97" s="117">
        <v>0</v>
      </c>
      <c r="BR97" s="117">
        <v>0</v>
      </c>
      <c r="BS97" s="117" t="s">
        <v>150</v>
      </c>
      <c r="BT97" s="158" t="s">
        <v>210</v>
      </c>
      <c r="BU97" s="117"/>
      <c r="BV97" s="117" t="s">
        <v>211</v>
      </c>
      <c r="BW97" s="144">
        <v>1</v>
      </c>
      <c r="BX97" s="149">
        <v>46201</v>
      </c>
      <c r="BY97" s="117"/>
      <c r="BZ97" s="117"/>
      <c r="CA97" s="117"/>
      <c r="CB97" s="117">
        <f t="shared" si="222"/>
        <v>0</v>
      </c>
    </row>
    <row r="98" spans="1:80" ht="16.5" hidden="1" customHeight="1">
      <c r="A98" s="117">
        <v>237</v>
      </c>
      <c r="B98" s="154" t="s">
        <v>326</v>
      </c>
      <c r="C98" s="154" t="s">
        <v>901</v>
      </c>
      <c r="D98" s="154" t="s">
        <v>13</v>
      </c>
      <c r="E98" s="154" t="s">
        <v>339</v>
      </c>
      <c r="F98" s="154" t="s">
        <v>340</v>
      </c>
      <c r="G98" s="154" t="s">
        <v>334</v>
      </c>
      <c r="H98" s="146">
        <v>1979</v>
      </c>
      <c r="I98" s="147" t="s">
        <v>147</v>
      </c>
      <c r="J98" s="144">
        <v>1</v>
      </c>
      <c r="K98" s="145">
        <f t="shared" si="204"/>
        <v>1</v>
      </c>
      <c r="L98" s="144">
        <f t="shared" si="205"/>
        <v>1</v>
      </c>
      <c r="M98" s="146">
        <v>9.3000000000000007</v>
      </c>
      <c r="N98" s="146">
        <f t="shared" si="206"/>
        <v>9.3000000000000007</v>
      </c>
      <c r="O98" s="146" t="s">
        <v>137</v>
      </c>
      <c r="P98" s="146" t="s">
        <v>13</v>
      </c>
      <c r="Q98" s="146" t="s">
        <v>148</v>
      </c>
      <c r="R98" s="146"/>
      <c r="S98" s="146"/>
      <c r="T98" s="146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146">
        <f t="shared" ca="1" si="207"/>
        <v>0</v>
      </c>
      <c r="V98" s="146">
        <f t="shared" ca="1" si="208"/>
        <v>1</v>
      </c>
      <c r="W98" s="146"/>
      <c r="X98" s="146"/>
      <c r="Y98" s="146"/>
      <c r="Z98" s="146"/>
      <c r="AA98" s="146"/>
      <c r="AB98" s="146"/>
      <c r="AC98" s="146">
        <v>0.3</v>
      </c>
      <c r="AD98" s="117" t="s">
        <v>196</v>
      </c>
      <c r="AE98" s="148"/>
      <c r="AF98" s="146" t="str">
        <f t="shared" si="209"/>
        <v>AMC 2-S1</v>
      </c>
      <c r="AG98" s="146">
        <f t="shared" si="209"/>
        <v>1</v>
      </c>
      <c r="AH98" s="146">
        <f t="shared" si="210"/>
        <v>1</v>
      </c>
      <c r="AI98" s="146">
        <f t="shared" ca="1" si="211"/>
        <v>1</v>
      </c>
      <c r="AJ98" s="146">
        <f t="shared" ca="1" si="212"/>
        <v>0</v>
      </c>
      <c r="AK98" s="146" t="str">
        <f t="shared" si="209"/>
        <v>N/A</v>
      </c>
      <c r="AL98" s="146">
        <f t="shared" si="209"/>
        <v>0</v>
      </c>
      <c r="AM98" s="146">
        <f t="shared" si="213"/>
        <v>0</v>
      </c>
      <c r="AN98" s="146">
        <f t="shared" ca="1" si="214"/>
        <v>0</v>
      </c>
      <c r="AO98" s="146">
        <f t="shared" ca="1" si="215"/>
        <v>0</v>
      </c>
      <c r="AP98" s="146" t="str">
        <f t="shared" si="209"/>
        <v>N/A</v>
      </c>
      <c r="AQ98" s="146">
        <f t="shared" si="209"/>
        <v>0</v>
      </c>
      <c r="AR98" s="146">
        <f t="shared" si="216"/>
        <v>0</v>
      </c>
      <c r="AS98" s="146">
        <f t="shared" ca="1" si="217"/>
        <v>0</v>
      </c>
      <c r="AT98" s="146">
        <f t="shared" ca="1" si="218"/>
        <v>0</v>
      </c>
      <c r="AU98" s="146" t="str">
        <f t="shared" si="209"/>
        <v>N/A</v>
      </c>
      <c r="AV98" s="146">
        <f t="shared" si="209"/>
        <v>0</v>
      </c>
      <c r="AW98" s="146">
        <f t="shared" si="219"/>
        <v>0</v>
      </c>
      <c r="AX98" s="146">
        <f t="shared" ca="1" si="220"/>
        <v>0</v>
      </c>
      <c r="AY98" s="146">
        <f t="shared" ca="1" si="221"/>
        <v>0</v>
      </c>
      <c r="AZ98" s="147"/>
      <c r="BA98" s="144" t="s">
        <v>141</v>
      </c>
      <c r="BB98" s="144" t="s">
        <v>140</v>
      </c>
      <c r="BC98" s="144" t="s">
        <v>140</v>
      </c>
      <c r="BD98" s="144" t="s">
        <v>140</v>
      </c>
      <c r="BE98" s="146">
        <v>0.3</v>
      </c>
      <c r="BF98" s="148"/>
      <c r="BG98" s="146"/>
      <c r="BH98" s="117"/>
      <c r="BI98" s="117"/>
      <c r="BJ98" s="149"/>
      <c r="BK98" s="149"/>
      <c r="BL98" s="117">
        <v>0</v>
      </c>
      <c r="BM98" s="117">
        <v>0</v>
      </c>
      <c r="BN98" s="117">
        <v>0</v>
      </c>
      <c r="BO98" s="117">
        <v>0</v>
      </c>
      <c r="BP98" s="117">
        <v>0</v>
      </c>
      <c r="BQ98" s="117">
        <v>0</v>
      </c>
      <c r="BR98" s="117">
        <v>0</v>
      </c>
      <c r="BS98" s="117" t="s">
        <v>150</v>
      </c>
      <c r="BT98" s="158" t="s">
        <v>210</v>
      </c>
      <c r="BU98" s="117"/>
      <c r="BV98" s="117" t="s">
        <v>211</v>
      </c>
      <c r="BW98" s="144">
        <v>1</v>
      </c>
      <c r="BX98" s="149">
        <v>46201</v>
      </c>
      <c r="BY98" s="117"/>
      <c r="BZ98" s="117"/>
      <c r="CA98" s="117"/>
      <c r="CB98" s="117">
        <f t="shared" si="222"/>
        <v>0</v>
      </c>
    </row>
    <row r="99" spans="1:80" ht="16.5" hidden="1" customHeight="1">
      <c r="A99" s="117">
        <v>238</v>
      </c>
      <c r="B99" s="154" t="s">
        <v>326</v>
      </c>
      <c r="C99" s="154" t="s">
        <v>901</v>
      </c>
      <c r="D99" s="154" t="s">
        <v>13</v>
      </c>
      <c r="E99" s="154" t="s">
        <v>341</v>
      </c>
      <c r="F99" s="154" t="s">
        <v>342</v>
      </c>
      <c r="G99" s="154" t="s">
        <v>334</v>
      </c>
      <c r="H99" s="146">
        <v>5562</v>
      </c>
      <c r="I99" s="147" t="s">
        <v>147</v>
      </c>
      <c r="J99" s="144">
        <v>1</v>
      </c>
      <c r="K99" s="145">
        <f t="shared" si="204"/>
        <v>1</v>
      </c>
      <c r="L99" s="144">
        <f t="shared" si="205"/>
        <v>1</v>
      </c>
      <c r="M99" s="146">
        <v>26.2</v>
      </c>
      <c r="N99" s="146">
        <f t="shared" si="206"/>
        <v>26.2</v>
      </c>
      <c r="O99" s="146" t="s">
        <v>137</v>
      </c>
      <c r="P99" s="146" t="s">
        <v>13</v>
      </c>
      <c r="Q99" s="146" t="s">
        <v>148</v>
      </c>
      <c r="R99" s="146"/>
      <c r="S99" s="146"/>
      <c r="T99" s="146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46">
        <f t="shared" ca="1" si="207"/>
        <v>0</v>
      </c>
      <c r="V99" s="146">
        <f t="shared" ca="1" si="208"/>
        <v>1</v>
      </c>
      <c r="W99" s="146"/>
      <c r="X99" s="146"/>
      <c r="Y99" s="146"/>
      <c r="Z99" s="146"/>
      <c r="AA99" s="146"/>
      <c r="AB99" s="146"/>
      <c r="AC99" s="146">
        <v>0.8</v>
      </c>
      <c r="AD99" s="117" t="s">
        <v>196</v>
      </c>
      <c r="AE99" s="148"/>
      <c r="AF99" s="146" t="str">
        <f t="shared" si="209"/>
        <v>AMC 2-S1</v>
      </c>
      <c r="AG99" s="146">
        <f t="shared" si="209"/>
        <v>1</v>
      </c>
      <c r="AH99" s="146">
        <f t="shared" si="210"/>
        <v>1</v>
      </c>
      <c r="AI99" s="146">
        <f t="shared" ca="1" si="211"/>
        <v>1</v>
      </c>
      <c r="AJ99" s="146">
        <f t="shared" ca="1" si="212"/>
        <v>0</v>
      </c>
      <c r="AK99" s="146" t="str">
        <f t="shared" si="209"/>
        <v>N/A</v>
      </c>
      <c r="AL99" s="146">
        <f t="shared" si="209"/>
        <v>0</v>
      </c>
      <c r="AM99" s="146">
        <f t="shared" si="213"/>
        <v>0</v>
      </c>
      <c r="AN99" s="146">
        <f t="shared" ca="1" si="214"/>
        <v>0</v>
      </c>
      <c r="AO99" s="146">
        <f t="shared" ca="1" si="215"/>
        <v>0</v>
      </c>
      <c r="AP99" s="146" t="str">
        <f t="shared" si="209"/>
        <v>N/A</v>
      </c>
      <c r="AQ99" s="146">
        <f t="shared" si="209"/>
        <v>0</v>
      </c>
      <c r="AR99" s="146">
        <f t="shared" si="216"/>
        <v>0</v>
      </c>
      <c r="AS99" s="146">
        <f t="shared" ca="1" si="217"/>
        <v>0</v>
      </c>
      <c r="AT99" s="146">
        <f t="shared" ca="1" si="218"/>
        <v>0</v>
      </c>
      <c r="AU99" s="146" t="str">
        <f t="shared" si="209"/>
        <v>N/A</v>
      </c>
      <c r="AV99" s="146">
        <f t="shared" si="209"/>
        <v>0</v>
      </c>
      <c r="AW99" s="146">
        <f t="shared" si="219"/>
        <v>0</v>
      </c>
      <c r="AX99" s="146">
        <f t="shared" ca="1" si="220"/>
        <v>0</v>
      </c>
      <c r="AY99" s="146">
        <f t="shared" ca="1" si="221"/>
        <v>0</v>
      </c>
      <c r="AZ99" s="147"/>
      <c r="BA99" s="144" t="s">
        <v>141</v>
      </c>
      <c r="BB99" s="144" t="s">
        <v>140</v>
      </c>
      <c r="BC99" s="144" t="s">
        <v>140</v>
      </c>
      <c r="BD99" s="144" t="s">
        <v>140</v>
      </c>
      <c r="BE99" s="146">
        <v>0.8</v>
      </c>
      <c r="BF99" s="148"/>
      <c r="BG99" s="146"/>
      <c r="BH99" s="117"/>
      <c r="BI99" s="117"/>
      <c r="BJ99" s="149"/>
      <c r="BK99" s="149"/>
      <c r="BL99" s="117">
        <v>0</v>
      </c>
      <c r="BM99" s="117">
        <v>0</v>
      </c>
      <c r="BN99" s="117">
        <v>0</v>
      </c>
      <c r="BO99" s="117">
        <v>0</v>
      </c>
      <c r="BP99" s="117">
        <v>0</v>
      </c>
      <c r="BQ99" s="117">
        <v>0</v>
      </c>
      <c r="BR99" s="117">
        <v>0</v>
      </c>
      <c r="BS99" s="117" t="s">
        <v>150</v>
      </c>
      <c r="BT99" s="158" t="s">
        <v>210</v>
      </c>
      <c r="BU99" s="117"/>
      <c r="BV99" s="117" t="s">
        <v>211</v>
      </c>
      <c r="BW99" s="144">
        <v>1</v>
      </c>
      <c r="BX99" s="149">
        <v>46201</v>
      </c>
      <c r="BY99" s="117"/>
      <c r="BZ99" s="117"/>
      <c r="CA99" s="117"/>
      <c r="CB99" s="117">
        <f t="shared" si="222"/>
        <v>0</v>
      </c>
    </row>
    <row r="100" spans="1:80" ht="16.5" hidden="1" customHeight="1">
      <c r="A100" s="117">
        <v>239</v>
      </c>
      <c r="B100" s="154" t="s">
        <v>326</v>
      </c>
      <c r="C100" s="154" t="s">
        <v>901</v>
      </c>
      <c r="D100" s="154" t="s">
        <v>13</v>
      </c>
      <c r="E100" s="154" t="s">
        <v>343</v>
      </c>
      <c r="F100" s="154" t="s">
        <v>344</v>
      </c>
      <c r="G100" s="154" t="s">
        <v>204</v>
      </c>
      <c r="H100" s="146">
        <v>1679</v>
      </c>
      <c r="I100" s="147" t="s">
        <v>147</v>
      </c>
      <c r="J100" s="144">
        <v>1</v>
      </c>
      <c r="K100" s="145">
        <f t="shared" si="204"/>
        <v>1</v>
      </c>
      <c r="L100" s="144">
        <f t="shared" si="205"/>
        <v>1</v>
      </c>
      <c r="M100" s="146">
        <v>39.5</v>
      </c>
      <c r="N100" s="146">
        <f t="shared" si="206"/>
        <v>39.5</v>
      </c>
      <c r="O100" s="146" t="s">
        <v>137</v>
      </c>
      <c r="P100" s="146" t="s">
        <v>13</v>
      </c>
      <c r="Q100" s="146" t="s">
        <v>148</v>
      </c>
      <c r="R100" s="146"/>
      <c r="S100" s="146"/>
      <c r="T100" s="146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1</v>
      </c>
      <c r="U100" s="146">
        <f t="shared" ca="1" si="207"/>
        <v>0</v>
      </c>
      <c r="V100" s="146">
        <f t="shared" ca="1" si="208"/>
        <v>1</v>
      </c>
      <c r="W100" s="146"/>
      <c r="X100" s="146"/>
      <c r="Y100" s="146"/>
      <c r="Z100" s="146"/>
      <c r="AA100" s="146"/>
      <c r="AB100" s="146"/>
      <c r="AC100" s="146">
        <v>0.7</v>
      </c>
      <c r="AD100" s="117" t="s">
        <v>196</v>
      </c>
      <c r="AE100" s="148"/>
      <c r="AF100" s="146" t="str">
        <f t="shared" si="209"/>
        <v>AMC 2-S1</v>
      </c>
      <c r="AG100" s="146">
        <f t="shared" si="209"/>
        <v>1</v>
      </c>
      <c r="AH100" s="146">
        <f t="shared" si="210"/>
        <v>1</v>
      </c>
      <c r="AI100" s="146">
        <f t="shared" ca="1" si="211"/>
        <v>1</v>
      </c>
      <c r="AJ100" s="146">
        <f t="shared" ca="1" si="212"/>
        <v>0</v>
      </c>
      <c r="AK100" s="146" t="str">
        <f t="shared" si="209"/>
        <v>N/A</v>
      </c>
      <c r="AL100" s="146">
        <f t="shared" si="209"/>
        <v>0</v>
      </c>
      <c r="AM100" s="146">
        <f t="shared" si="213"/>
        <v>0</v>
      </c>
      <c r="AN100" s="146">
        <f t="shared" ca="1" si="214"/>
        <v>0</v>
      </c>
      <c r="AO100" s="146">
        <f t="shared" ca="1" si="215"/>
        <v>0</v>
      </c>
      <c r="AP100" s="146" t="str">
        <f t="shared" si="209"/>
        <v>N/A</v>
      </c>
      <c r="AQ100" s="146">
        <f t="shared" si="209"/>
        <v>0</v>
      </c>
      <c r="AR100" s="146">
        <f t="shared" si="216"/>
        <v>0</v>
      </c>
      <c r="AS100" s="146">
        <f t="shared" ca="1" si="217"/>
        <v>0</v>
      </c>
      <c r="AT100" s="146">
        <f t="shared" ca="1" si="218"/>
        <v>0</v>
      </c>
      <c r="AU100" s="146" t="str">
        <f t="shared" si="209"/>
        <v>N/A</v>
      </c>
      <c r="AV100" s="146">
        <f t="shared" si="209"/>
        <v>0</v>
      </c>
      <c r="AW100" s="146">
        <f t="shared" si="219"/>
        <v>0</v>
      </c>
      <c r="AX100" s="146">
        <f t="shared" ca="1" si="220"/>
        <v>0</v>
      </c>
      <c r="AY100" s="146">
        <f t="shared" ca="1" si="221"/>
        <v>0</v>
      </c>
      <c r="AZ100" s="147"/>
      <c r="BA100" s="144" t="s">
        <v>141</v>
      </c>
      <c r="BB100" s="144" t="s">
        <v>140</v>
      </c>
      <c r="BC100" s="144" t="s">
        <v>140</v>
      </c>
      <c r="BD100" s="144" t="s">
        <v>140</v>
      </c>
      <c r="BE100" s="146">
        <v>0.7</v>
      </c>
      <c r="BF100" s="148"/>
      <c r="BG100" s="146"/>
      <c r="BH100" s="117"/>
      <c r="BI100" s="117"/>
      <c r="BJ100" s="149"/>
      <c r="BK100" s="149"/>
      <c r="BL100" s="117">
        <v>0</v>
      </c>
      <c r="BM100" s="117">
        <v>0</v>
      </c>
      <c r="BN100" s="117">
        <v>0</v>
      </c>
      <c r="BO100" s="117">
        <v>1</v>
      </c>
      <c r="BP100" s="117">
        <v>0</v>
      </c>
      <c r="BQ100" s="117">
        <v>0</v>
      </c>
      <c r="BR100" s="117">
        <v>0</v>
      </c>
      <c r="BS100" s="117" t="s">
        <v>150</v>
      </c>
      <c r="BT100" s="158" t="s">
        <v>200</v>
      </c>
      <c r="BU100" s="117"/>
      <c r="BV100" s="117" t="s">
        <v>201</v>
      </c>
      <c r="BW100" s="117">
        <v>1</v>
      </c>
      <c r="BX100" s="149">
        <v>46201</v>
      </c>
      <c r="BY100" s="117"/>
      <c r="BZ100" s="117"/>
      <c r="CA100" s="117"/>
      <c r="CB100" s="117">
        <f t="shared" si="222"/>
        <v>0</v>
      </c>
    </row>
    <row r="101" spans="1:80" ht="16.5" hidden="1" customHeight="1">
      <c r="A101" s="117">
        <v>240</v>
      </c>
      <c r="B101" s="154" t="s">
        <v>326</v>
      </c>
      <c r="C101" s="154" t="s">
        <v>901</v>
      </c>
      <c r="D101" s="154" t="s">
        <v>13</v>
      </c>
      <c r="E101" s="154" t="s">
        <v>345</v>
      </c>
      <c r="F101" s="154" t="s">
        <v>346</v>
      </c>
      <c r="G101" s="154" t="s">
        <v>178</v>
      </c>
      <c r="H101" s="146">
        <v>1889</v>
      </c>
      <c r="I101" s="147" t="s">
        <v>147</v>
      </c>
      <c r="J101" s="144">
        <v>1</v>
      </c>
      <c r="K101" s="145">
        <f t="shared" si="204"/>
        <v>1</v>
      </c>
      <c r="L101" s="144">
        <f t="shared" si="205"/>
        <v>1</v>
      </c>
      <c r="M101" s="146">
        <v>59.2</v>
      </c>
      <c r="N101" s="146">
        <f t="shared" si="206"/>
        <v>59.2</v>
      </c>
      <c r="O101" s="146" t="s">
        <v>137</v>
      </c>
      <c r="P101" s="146" t="s">
        <v>13</v>
      </c>
      <c r="Q101" s="146" t="s">
        <v>148</v>
      </c>
      <c r="R101" s="146"/>
      <c r="S101" s="146"/>
      <c r="T101" s="146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1</v>
      </c>
      <c r="U101" s="146">
        <f t="shared" ca="1" si="207"/>
        <v>0</v>
      </c>
      <c r="V101" s="146">
        <f t="shared" ca="1" si="208"/>
        <v>1</v>
      </c>
      <c r="W101" s="146"/>
      <c r="X101" s="146"/>
      <c r="Y101" s="146"/>
      <c r="Z101" s="146"/>
      <c r="AA101" s="146"/>
      <c r="AB101" s="146"/>
      <c r="AC101" s="146">
        <v>0.8</v>
      </c>
      <c r="AD101" s="117" t="s">
        <v>196</v>
      </c>
      <c r="AE101" s="148"/>
      <c r="AF101" s="146" t="str">
        <f t="shared" si="209"/>
        <v>AMC 2-S1</v>
      </c>
      <c r="AG101" s="146">
        <f t="shared" si="209"/>
        <v>1</v>
      </c>
      <c r="AH101" s="146">
        <f t="shared" si="210"/>
        <v>1</v>
      </c>
      <c r="AI101" s="146">
        <f t="shared" ca="1" si="211"/>
        <v>1</v>
      </c>
      <c r="AJ101" s="146">
        <f t="shared" ca="1" si="212"/>
        <v>0</v>
      </c>
      <c r="AK101" s="146" t="str">
        <f t="shared" si="209"/>
        <v>N/A</v>
      </c>
      <c r="AL101" s="146">
        <f t="shared" si="209"/>
        <v>0</v>
      </c>
      <c r="AM101" s="146">
        <f t="shared" si="213"/>
        <v>0</v>
      </c>
      <c r="AN101" s="146">
        <f t="shared" ca="1" si="214"/>
        <v>0</v>
      </c>
      <c r="AO101" s="146">
        <f t="shared" ca="1" si="215"/>
        <v>0</v>
      </c>
      <c r="AP101" s="146" t="str">
        <f t="shared" si="209"/>
        <v>N/A</v>
      </c>
      <c r="AQ101" s="146">
        <f t="shared" si="209"/>
        <v>0</v>
      </c>
      <c r="AR101" s="146">
        <f t="shared" si="216"/>
        <v>0</v>
      </c>
      <c r="AS101" s="146">
        <f t="shared" ca="1" si="217"/>
        <v>0</v>
      </c>
      <c r="AT101" s="146">
        <f t="shared" ca="1" si="218"/>
        <v>0</v>
      </c>
      <c r="AU101" s="146" t="str">
        <f t="shared" si="209"/>
        <v>N/A</v>
      </c>
      <c r="AV101" s="146">
        <f t="shared" si="209"/>
        <v>0</v>
      </c>
      <c r="AW101" s="146">
        <f t="shared" si="219"/>
        <v>0</v>
      </c>
      <c r="AX101" s="146">
        <f t="shared" ca="1" si="220"/>
        <v>0</v>
      </c>
      <c r="AY101" s="146">
        <f t="shared" ca="1" si="221"/>
        <v>0</v>
      </c>
      <c r="AZ101" s="147"/>
      <c r="BA101" s="144" t="s">
        <v>141</v>
      </c>
      <c r="BB101" s="144" t="s">
        <v>140</v>
      </c>
      <c r="BC101" s="144" t="s">
        <v>140</v>
      </c>
      <c r="BD101" s="144" t="s">
        <v>140</v>
      </c>
      <c r="BE101" s="146">
        <v>0.8</v>
      </c>
      <c r="BF101" s="148"/>
      <c r="BG101" s="146"/>
      <c r="BH101" s="117"/>
      <c r="BI101" s="117"/>
      <c r="BJ101" s="149"/>
      <c r="BK101" s="149"/>
      <c r="BL101" s="117">
        <v>0</v>
      </c>
      <c r="BM101" s="117">
        <v>0</v>
      </c>
      <c r="BN101" s="117">
        <v>0</v>
      </c>
      <c r="BO101" s="117">
        <v>1</v>
      </c>
      <c r="BP101" s="117">
        <v>0</v>
      </c>
      <c r="BQ101" s="117">
        <v>0</v>
      </c>
      <c r="BR101" s="117">
        <v>0</v>
      </c>
      <c r="BS101" s="117" t="s">
        <v>150</v>
      </c>
      <c r="BT101" s="167" t="s">
        <v>319</v>
      </c>
      <c r="BU101" s="141"/>
      <c r="BV101" s="141" t="s">
        <v>320</v>
      </c>
      <c r="BW101" s="141">
        <v>1</v>
      </c>
      <c r="BX101" s="153">
        <v>46202</v>
      </c>
      <c r="BY101" s="117"/>
      <c r="BZ101" s="117"/>
      <c r="CA101" s="117"/>
      <c r="CB101" s="117">
        <f t="shared" si="222"/>
        <v>0</v>
      </c>
    </row>
    <row r="102" spans="1:80" ht="16.5" hidden="1" customHeight="1">
      <c r="A102" s="117">
        <v>241</v>
      </c>
      <c r="B102" s="154" t="s">
        <v>326</v>
      </c>
      <c r="C102" s="154" t="s">
        <v>901</v>
      </c>
      <c r="D102" s="154" t="s">
        <v>13</v>
      </c>
      <c r="E102" s="154" t="s">
        <v>347</v>
      </c>
      <c r="F102" s="154" t="s">
        <v>348</v>
      </c>
      <c r="G102" s="154" t="s">
        <v>178</v>
      </c>
      <c r="H102" s="146">
        <v>1941</v>
      </c>
      <c r="I102" s="147" t="s">
        <v>147</v>
      </c>
      <c r="J102" s="144">
        <v>1</v>
      </c>
      <c r="K102" s="145">
        <f t="shared" si="204"/>
        <v>1</v>
      </c>
      <c r="L102" s="144">
        <f t="shared" si="205"/>
        <v>1</v>
      </c>
      <c r="M102" s="146">
        <v>60.8</v>
      </c>
      <c r="N102" s="146">
        <f t="shared" si="206"/>
        <v>60.8</v>
      </c>
      <c r="O102" s="146" t="s">
        <v>137</v>
      </c>
      <c r="P102" s="146" t="s">
        <v>13</v>
      </c>
      <c r="Q102" s="146" t="s">
        <v>148</v>
      </c>
      <c r="R102" s="146"/>
      <c r="S102" s="146"/>
      <c r="T102" s="146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46">
        <f t="shared" ca="1" si="207"/>
        <v>0</v>
      </c>
      <c r="V102" s="146">
        <f t="shared" ca="1" si="208"/>
        <v>1</v>
      </c>
      <c r="W102" s="146"/>
      <c r="X102" s="146"/>
      <c r="Y102" s="146"/>
      <c r="Z102" s="146"/>
      <c r="AA102" s="146"/>
      <c r="AB102" s="146"/>
      <c r="AC102" s="146">
        <v>0.9</v>
      </c>
      <c r="AD102" s="117" t="s">
        <v>196</v>
      </c>
      <c r="AE102" s="148"/>
      <c r="AF102" s="146" t="str">
        <f t="shared" si="209"/>
        <v>AMC 2-S1</v>
      </c>
      <c r="AG102" s="146">
        <f t="shared" si="209"/>
        <v>1</v>
      </c>
      <c r="AH102" s="146">
        <f t="shared" si="210"/>
        <v>1</v>
      </c>
      <c r="AI102" s="146">
        <f t="shared" ca="1" si="211"/>
        <v>1</v>
      </c>
      <c r="AJ102" s="146">
        <f t="shared" ca="1" si="212"/>
        <v>0</v>
      </c>
      <c r="AK102" s="146" t="str">
        <f t="shared" si="209"/>
        <v>N/A</v>
      </c>
      <c r="AL102" s="146">
        <f t="shared" si="209"/>
        <v>0</v>
      </c>
      <c r="AM102" s="146">
        <f t="shared" si="213"/>
        <v>0</v>
      </c>
      <c r="AN102" s="146">
        <f t="shared" ca="1" si="214"/>
        <v>0</v>
      </c>
      <c r="AO102" s="146">
        <f t="shared" ca="1" si="215"/>
        <v>0</v>
      </c>
      <c r="AP102" s="146" t="str">
        <f t="shared" si="209"/>
        <v>N/A</v>
      </c>
      <c r="AQ102" s="146">
        <f t="shared" si="209"/>
        <v>0</v>
      </c>
      <c r="AR102" s="146">
        <f t="shared" si="216"/>
        <v>0</v>
      </c>
      <c r="AS102" s="146">
        <f t="shared" ca="1" si="217"/>
        <v>0</v>
      </c>
      <c r="AT102" s="146">
        <f t="shared" ca="1" si="218"/>
        <v>0</v>
      </c>
      <c r="AU102" s="146" t="str">
        <f t="shared" si="209"/>
        <v>N/A</v>
      </c>
      <c r="AV102" s="146">
        <f t="shared" si="209"/>
        <v>0</v>
      </c>
      <c r="AW102" s="146">
        <f t="shared" si="219"/>
        <v>0</v>
      </c>
      <c r="AX102" s="146">
        <f t="shared" ca="1" si="220"/>
        <v>0</v>
      </c>
      <c r="AY102" s="146">
        <f t="shared" ca="1" si="221"/>
        <v>0</v>
      </c>
      <c r="AZ102" s="147"/>
      <c r="BA102" s="144" t="s">
        <v>141</v>
      </c>
      <c r="BB102" s="144" t="s">
        <v>140</v>
      </c>
      <c r="BC102" s="144" t="s">
        <v>140</v>
      </c>
      <c r="BD102" s="144" t="s">
        <v>140</v>
      </c>
      <c r="BE102" s="146">
        <v>0.9</v>
      </c>
      <c r="BF102" s="148"/>
      <c r="BG102" s="146"/>
      <c r="BH102" s="117"/>
      <c r="BI102" s="117"/>
      <c r="BJ102" s="149"/>
      <c r="BK102" s="149"/>
      <c r="BL102" s="117">
        <v>0</v>
      </c>
      <c r="BM102" s="117">
        <v>0</v>
      </c>
      <c r="BN102" s="117">
        <v>0</v>
      </c>
      <c r="BO102" s="117">
        <v>1</v>
      </c>
      <c r="BP102" s="117">
        <v>0</v>
      </c>
      <c r="BQ102" s="117">
        <v>0</v>
      </c>
      <c r="BR102" s="117">
        <v>0</v>
      </c>
      <c r="BS102" s="117" t="s">
        <v>150</v>
      </c>
      <c r="BT102" s="167" t="s">
        <v>319</v>
      </c>
      <c r="BU102" s="141"/>
      <c r="BV102" s="141" t="s">
        <v>320</v>
      </c>
      <c r="BW102" s="141">
        <v>1</v>
      </c>
      <c r="BX102" s="153">
        <v>46202</v>
      </c>
      <c r="BY102" s="117"/>
      <c r="BZ102" s="117"/>
      <c r="CA102" s="117"/>
      <c r="CB102" s="117">
        <f t="shared" si="222"/>
        <v>0</v>
      </c>
    </row>
    <row r="103" spans="1:80" ht="16.5" hidden="1" customHeight="1">
      <c r="A103" s="133">
        <v>242</v>
      </c>
      <c r="B103" s="156" t="s">
        <v>349</v>
      </c>
      <c r="C103" s="156" t="s">
        <v>902</v>
      </c>
      <c r="D103" s="156"/>
      <c r="E103" s="156" t="s">
        <v>136</v>
      </c>
      <c r="F103" s="156"/>
      <c r="G103" s="156"/>
      <c r="H103" s="157"/>
      <c r="I103" s="159"/>
      <c r="J103" s="160" t="s">
        <v>136</v>
      </c>
      <c r="K103" s="138">
        <f>+AG103+AL103+AQ103+AV103</f>
        <v>1</v>
      </c>
      <c r="L103" s="160" t="s">
        <v>136</v>
      </c>
      <c r="M103" s="157"/>
      <c r="N103" s="157">
        <v>1107.7</v>
      </c>
      <c r="O103" s="157" t="s">
        <v>137</v>
      </c>
      <c r="P103" s="157"/>
      <c r="Q103" s="157"/>
      <c r="R103" s="157"/>
      <c r="S103" s="157"/>
      <c r="T103" s="157"/>
      <c r="U103" s="157"/>
      <c r="V103" s="157"/>
      <c r="W103" s="135">
        <f ca="1">_xlfn.MINIFS(V:V,C:C,C103,AE:AE,"",AB:AB,"")</f>
        <v>0</v>
      </c>
      <c r="X103" s="135">
        <f ca="1">SUMIFS(T:T,C:C,C103,AE:AE,"")/SUMIFS(L:L,C:C,C103,AE:AE,"",AB:AB,"")</f>
        <v>0.9</v>
      </c>
      <c r="Y103" s="157"/>
      <c r="Z103" s="157"/>
      <c r="AA103" s="157"/>
      <c r="AB103" s="157"/>
      <c r="AC103" s="157">
        <v>23.1</v>
      </c>
      <c r="AD103" s="161" t="s">
        <v>196</v>
      </c>
      <c r="AE103" s="162" t="s">
        <v>143</v>
      </c>
      <c r="AF103" s="157" t="s">
        <v>281</v>
      </c>
      <c r="AG103" s="157">
        <v>1</v>
      </c>
      <c r="AH103" s="157"/>
      <c r="AI103" s="157"/>
      <c r="AJ103" s="157"/>
      <c r="AK103" s="157" t="s">
        <v>138</v>
      </c>
      <c r="AL103" s="157">
        <v>0</v>
      </c>
      <c r="AM103" s="157"/>
      <c r="AN103" s="157"/>
      <c r="AO103" s="157"/>
      <c r="AP103" s="157" t="s">
        <v>138</v>
      </c>
      <c r="AQ103" s="157">
        <v>0</v>
      </c>
      <c r="AR103" s="157"/>
      <c r="AS103" s="157"/>
      <c r="AT103" s="157"/>
      <c r="AU103" s="157" t="s">
        <v>138</v>
      </c>
      <c r="AV103" s="157">
        <v>0</v>
      </c>
      <c r="AW103" s="157"/>
      <c r="AX103" s="157"/>
      <c r="AY103" s="157"/>
      <c r="AZ103" s="136"/>
      <c r="BA103" s="137" t="s">
        <v>141</v>
      </c>
      <c r="BB103" s="137" t="s">
        <v>140</v>
      </c>
      <c r="BC103" s="137" t="s">
        <v>140</v>
      </c>
      <c r="BD103" s="137" t="s">
        <v>140</v>
      </c>
      <c r="BE103" s="157">
        <v>23.1</v>
      </c>
      <c r="BF103" s="162"/>
      <c r="BG103" s="157"/>
      <c r="BH103" s="161"/>
      <c r="BI103" s="161"/>
      <c r="BJ103" s="163"/>
      <c r="BK103" s="163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4"/>
      <c r="BV103" s="161"/>
      <c r="BW103" s="161"/>
      <c r="BX103" s="163"/>
      <c r="BY103" s="161"/>
      <c r="BZ103" s="161"/>
      <c r="CA103" s="161"/>
      <c r="CB103" s="161"/>
    </row>
    <row r="104" spans="1:80" ht="16.5" hidden="1" customHeight="1">
      <c r="A104" s="117">
        <v>243</v>
      </c>
      <c r="B104" s="154" t="s">
        <v>349</v>
      </c>
      <c r="C104" s="154" t="s">
        <v>902</v>
      </c>
      <c r="D104" s="154" t="s">
        <v>13</v>
      </c>
      <c r="E104" s="154" t="s">
        <v>327</v>
      </c>
      <c r="F104" s="154" t="s">
        <v>350</v>
      </c>
      <c r="G104" s="154" t="s">
        <v>199</v>
      </c>
      <c r="H104" s="146">
        <v>1502</v>
      </c>
      <c r="I104" s="147" t="s">
        <v>147</v>
      </c>
      <c r="J104" s="144">
        <v>1</v>
      </c>
      <c r="K104" s="145">
        <f t="shared" ref="K104:K113" si="223">K103</f>
        <v>1</v>
      </c>
      <c r="L104" s="144">
        <f t="shared" ref="L104:L113" si="224">+K104*J104</f>
        <v>1</v>
      </c>
      <c r="M104" s="146">
        <v>38.9</v>
      </c>
      <c r="N104" s="146">
        <f t="shared" ref="N104:N113" si="225">+M104*L104</f>
        <v>38.9</v>
      </c>
      <c r="O104" s="146" t="s">
        <v>137</v>
      </c>
      <c r="P104" s="146" t="s">
        <v>13</v>
      </c>
      <c r="Q104" s="146" t="s">
        <v>148</v>
      </c>
      <c r="R104" s="146"/>
      <c r="S104" s="146"/>
      <c r="T104" s="146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</v>
      </c>
      <c r="U104" s="146">
        <f t="shared" ref="U104:U113" ca="1" si="226">+L104-T104</f>
        <v>0</v>
      </c>
      <c r="V104" s="146">
        <f t="shared" ref="V104:V113" ca="1" si="227">ROUNDDOWN(T104/J104,0)</f>
        <v>1</v>
      </c>
      <c r="W104" s="146"/>
      <c r="X104" s="146"/>
      <c r="Y104" s="146"/>
      <c r="Z104" s="146"/>
      <c r="AA104" s="146"/>
      <c r="AB104" s="146"/>
      <c r="AC104" s="146">
        <v>0.7</v>
      </c>
      <c r="AD104" s="117" t="s">
        <v>196</v>
      </c>
      <c r="AE104" s="148"/>
      <c r="AF104" s="146" t="str">
        <f t="shared" ref="AF104:AV113" si="228">AF103</f>
        <v>AMC 2-S1</v>
      </c>
      <c r="AG104" s="146">
        <f t="shared" si="228"/>
        <v>1</v>
      </c>
      <c r="AH104" s="146">
        <f t="shared" ref="AH104:AH113" si="229">+AG104*J104</f>
        <v>1</v>
      </c>
      <c r="AI104" s="146">
        <f t="shared" ref="AI104:AI113" ca="1" si="230">MIN(T104,AH104)</f>
        <v>1</v>
      </c>
      <c r="AJ104" s="146">
        <f t="shared" ref="AJ104:AJ113" ca="1" si="231">+AH104-AI104</f>
        <v>0</v>
      </c>
      <c r="AK104" s="146" t="str">
        <f t="shared" si="228"/>
        <v>N/A</v>
      </c>
      <c r="AL104" s="146">
        <f t="shared" si="228"/>
        <v>0</v>
      </c>
      <c r="AM104" s="146">
        <f t="shared" ref="AM104:AM113" si="232">+AL104*J104</f>
        <v>0</v>
      </c>
      <c r="AN104" s="146">
        <f t="shared" ref="AN104:AN113" ca="1" si="233">MIN(T104-AI104,AL104)</f>
        <v>0</v>
      </c>
      <c r="AO104" s="146">
        <f t="shared" ref="AO104:AO113" ca="1" si="234">+AM104-AN104</f>
        <v>0</v>
      </c>
      <c r="AP104" s="146" t="str">
        <f t="shared" si="228"/>
        <v>N/A</v>
      </c>
      <c r="AQ104" s="146">
        <f t="shared" si="228"/>
        <v>0</v>
      </c>
      <c r="AR104" s="146">
        <f t="shared" ref="AR104:AR113" si="235">+AQ104*J104</f>
        <v>0</v>
      </c>
      <c r="AS104" s="146">
        <f t="shared" ref="AS104:AS113" ca="1" si="236">MIN(T104-AI104-AN104,AR104)</f>
        <v>0</v>
      </c>
      <c r="AT104" s="146">
        <f t="shared" ref="AT104:AT113" ca="1" si="237">+AR104-AS104</f>
        <v>0</v>
      </c>
      <c r="AU104" s="146" t="str">
        <f t="shared" si="228"/>
        <v>N/A</v>
      </c>
      <c r="AV104" s="146">
        <f t="shared" si="228"/>
        <v>0</v>
      </c>
      <c r="AW104" s="146">
        <f t="shared" ref="AW104:AW113" si="238">+AV104*J104</f>
        <v>0</v>
      </c>
      <c r="AX104" s="146">
        <f t="shared" ref="AX104:AX113" ca="1" si="239">MIN(T104-AI104-AN104-AS104,AW104)</f>
        <v>0</v>
      </c>
      <c r="AY104" s="146">
        <f t="shared" ref="AY104:AY113" ca="1" si="240">+AW104-AX104</f>
        <v>0</v>
      </c>
      <c r="AZ104" s="147"/>
      <c r="BA104" s="144" t="s">
        <v>141</v>
      </c>
      <c r="BB104" s="144" t="s">
        <v>140</v>
      </c>
      <c r="BC104" s="144" t="s">
        <v>140</v>
      </c>
      <c r="BD104" s="144" t="s">
        <v>140</v>
      </c>
      <c r="BE104" s="146">
        <v>0.7</v>
      </c>
      <c r="BF104" s="148"/>
      <c r="BG104" s="146"/>
      <c r="BH104" s="117"/>
      <c r="BI104" s="117"/>
      <c r="BJ104" s="149"/>
      <c r="BK104" s="149"/>
      <c r="BL104" s="117">
        <v>0</v>
      </c>
      <c r="BM104" s="117">
        <v>0</v>
      </c>
      <c r="BN104" s="117">
        <v>0</v>
      </c>
      <c r="BO104" s="117">
        <v>1</v>
      </c>
      <c r="BP104" s="117">
        <v>0</v>
      </c>
      <c r="BQ104" s="117">
        <v>0</v>
      </c>
      <c r="BR104" s="117">
        <v>0</v>
      </c>
      <c r="BS104" s="117" t="s">
        <v>150</v>
      </c>
      <c r="BT104" s="158" t="s">
        <v>200</v>
      </c>
      <c r="BU104" s="117"/>
      <c r="BV104" s="117" t="s">
        <v>201</v>
      </c>
      <c r="BW104" s="117">
        <v>1</v>
      </c>
      <c r="BX104" s="149">
        <v>46201</v>
      </c>
      <c r="BY104" s="117"/>
      <c r="BZ104" s="117"/>
      <c r="CA104" s="117"/>
      <c r="CB104" s="117">
        <f t="shared" ref="CB104:CB113" si="241">+L104-BW104</f>
        <v>0</v>
      </c>
    </row>
    <row r="105" spans="1:80" ht="16.5" hidden="1" customHeight="1">
      <c r="A105" s="117">
        <v>244</v>
      </c>
      <c r="B105" s="154" t="s">
        <v>349</v>
      </c>
      <c r="C105" s="154" t="s">
        <v>902</v>
      </c>
      <c r="D105" s="154" t="s">
        <v>13</v>
      </c>
      <c r="E105" s="154" t="s">
        <v>332</v>
      </c>
      <c r="F105" s="154" t="s">
        <v>351</v>
      </c>
      <c r="G105" s="154" t="s">
        <v>334</v>
      </c>
      <c r="H105" s="146">
        <v>1127</v>
      </c>
      <c r="I105" s="147" t="s">
        <v>147</v>
      </c>
      <c r="J105" s="144">
        <v>1</v>
      </c>
      <c r="K105" s="145">
        <f t="shared" si="223"/>
        <v>1</v>
      </c>
      <c r="L105" s="144">
        <f t="shared" si="224"/>
        <v>1</v>
      </c>
      <c r="M105" s="146">
        <v>5.3</v>
      </c>
      <c r="N105" s="146">
        <f t="shared" si="225"/>
        <v>5.3</v>
      </c>
      <c r="O105" s="146" t="s">
        <v>137</v>
      </c>
      <c r="P105" s="146" t="s">
        <v>13</v>
      </c>
      <c r="Q105" s="146" t="s">
        <v>148</v>
      </c>
      <c r="R105" s="146"/>
      <c r="S105" s="146"/>
      <c r="T105" s="146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1</v>
      </c>
      <c r="U105" s="146">
        <f t="shared" ca="1" si="226"/>
        <v>0</v>
      </c>
      <c r="V105" s="146">
        <f t="shared" ca="1" si="227"/>
        <v>1</v>
      </c>
      <c r="W105" s="146"/>
      <c r="X105" s="146"/>
      <c r="Y105" s="146"/>
      <c r="Z105" s="146"/>
      <c r="AA105" s="146"/>
      <c r="AB105" s="146"/>
      <c r="AC105" s="146">
        <v>0.2</v>
      </c>
      <c r="AD105" s="117" t="s">
        <v>196</v>
      </c>
      <c r="AE105" s="148"/>
      <c r="AF105" s="146" t="str">
        <f t="shared" si="228"/>
        <v>AMC 2-S1</v>
      </c>
      <c r="AG105" s="146">
        <f t="shared" si="228"/>
        <v>1</v>
      </c>
      <c r="AH105" s="146">
        <f t="shared" si="229"/>
        <v>1</v>
      </c>
      <c r="AI105" s="146">
        <f t="shared" ca="1" si="230"/>
        <v>1</v>
      </c>
      <c r="AJ105" s="146">
        <f t="shared" ca="1" si="231"/>
        <v>0</v>
      </c>
      <c r="AK105" s="146" t="str">
        <f t="shared" si="228"/>
        <v>N/A</v>
      </c>
      <c r="AL105" s="146">
        <f t="shared" si="228"/>
        <v>0</v>
      </c>
      <c r="AM105" s="146">
        <f t="shared" si="232"/>
        <v>0</v>
      </c>
      <c r="AN105" s="146">
        <f t="shared" ca="1" si="233"/>
        <v>0</v>
      </c>
      <c r="AO105" s="146">
        <f t="shared" ca="1" si="234"/>
        <v>0</v>
      </c>
      <c r="AP105" s="146" t="str">
        <f t="shared" si="228"/>
        <v>N/A</v>
      </c>
      <c r="AQ105" s="146">
        <f t="shared" si="228"/>
        <v>0</v>
      </c>
      <c r="AR105" s="146">
        <f t="shared" si="235"/>
        <v>0</v>
      </c>
      <c r="AS105" s="146">
        <f t="shared" ca="1" si="236"/>
        <v>0</v>
      </c>
      <c r="AT105" s="146">
        <f t="shared" ca="1" si="237"/>
        <v>0</v>
      </c>
      <c r="AU105" s="146" t="str">
        <f t="shared" si="228"/>
        <v>N/A</v>
      </c>
      <c r="AV105" s="146">
        <f t="shared" si="228"/>
        <v>0</v>
      </c>
      <c r="AW105" s="146">
        <f t="shared" si="238"/>
        <v>0</v>
      </c>
      <c r="AX105" s="146">
        <f t="shared" ca="1" si="239"/>
        <v>0</v>
      </c>
      <c r="AY105" s="146">
        <f t="shared" ca="1" si="240"/>
        <v>0</v>
      </c>
      <c r="AZ105" s="147"/>
      <c r="BA105" s="144" t="s">
        <v>141</v>
      </c>
      <c r="BB105" s="144" t="s">
        <v>140</v>
      </c>
      <c r="BC105" s="144" t="s">
        <v>140</v>
      </c>
      <c r="BD105" s="144" t="s">
        <v>140</v>
      </c>
      <c r="BE105" s="146">
        <v>0.2</v>
      </c>
      <c r="BF105" s="148"/>
      <c r="BG105" s="146"/>
      <c r="BH105" s="117"/>
      <c r="BI105" s="117"/>
      <c r="BJ105" s="149"/>
      <c r="BK105" s="149"/>
      <c r="BL105" s="117">
        <v>0</v>
      </c>
      <c r="BM105" s="117">
        <v>0</v>
      </c>
      <c r="BN105" s="117">
        <v>0</v>
      </c>
      <c r="BO105" s="117">
        <v>0</v>
      </c>
      <c r="BP105" s="117">
        <v>0</v>
      </c>
      <c r="BQ105" s="117">
        <v>0</v>
      </c>
      <c r="BR105" s="117">
        <v>0</v>
      </c>
      <c r="BS105" s="117" t="s">
        <v>150</v>
      </c>
      <c r="BT105" s="158" t="s">
        <v>210</v>
      </c>
      <c r="BU105" s="117"/>
      <c r="BV105" s="117" t="s">
        <v>211</v>
      </c>
      <c r="BW105" s="144">
        <v>1</v>
      </c>
      <c r="BX105" s="149">
        <v>46201</v>
      </c>
      <c r="BY105" s="117"/>
      <c r="BZ105" s="117"/>
      <c r="CA105" s="117"/>
      <c r="CB105" s="117">
        <f t="shared" si="241"/>
        <v>0</v>
      </c>
    </row>
    <row r="106" spans="1:80" ht="16.5" hidden="1" customHeight="1">
      <c r="A106" s="117">
        <v>245</v>
      </c>
      <c r="B106" s="154" t="s">
        <v>349</v>
      </c>
      <c r="C106" s="154" t="s">
        <v>902</v>
      </c>
      <c r="D106" s="154" t="s">
        <v>13</v>
      </c>
      <c r="E106" s="154" t="s">
        <v>335</v>
      </c>
      <c r="F106" s="154" t="s">
        <v>352</v>
      </c>
      <c r="G106" s="154" t="s">
        <v>334</v>
      </c>
      <c r="H106" s="146">
        <v>1410</v>
      </c>
      <c r="I106" s="147" t="s">
        <v>147</v>
      </c>
      <c r="J106" s="144">
        <v>1</v>
      </c>
      <c r="K106" s="145">
        <f t="shared" si="223"/>
        <v>1</v>
      </c>
      <c r="L106" s="144">
        <f t="shared" si="224"/>
        <v>1</v>
      </c>
      <c r="M106" s="146">
        <v>6.6</v>
      </c>
      <c r="N106" s="146">
        <f t="shared" si="225"/>
        <v>6.6</v>
      </c>
      <c r="O106" s="146" t="s">
        <v>137</v>
      </c>
      <c r="P106" s="146" t="s">
        <v>13</v>
      </c>
      <c r="Q106" s="146" t="s">
        <v>148</v>
      </c>
      <c r="R106" s="146"/>
      <c r="S106" s="146"/>
      <c r="T106" s="146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1</v>
      </c>
      <c r="U106" s="146">
        <f t="shared" ca="1" si="226"/>
        <v>0</v>
      </c>
      <c r="V106" s="146">
        <f t="shared" ca="1" si="227"/>
        <v>1</v>
      </c>
      <c r="W106" s="146"/>
      <c r="X106" s="146"/>
      <c r="Y106" s="146"/>
      <c r="Z106" s="146"/>
      <c r="AA106" s="146"/>
      <c r="AB106" s="146"/>
      <c r="AC106" s="146">
        <v>0.2</v>
      </c>
      <c r="AD106" s="117" t="s">
        <v>196</v>
      </c>
      <c r="AE106" s="148"/>
      <c r="AF106" s="146" t="str">
        <f t="shared" si="228"/>
        <v>AMC 2-S1</v>
      </c>
      <c r="AG106" s="146">
        <f t="shared" si="228"/>
        <v>1</v>
      </c>
      <c r="AH106" s="146">
        <f t="shared" si="229"/>
        <v>1</v>
      </c>
      <c r="AI106" s="146">
        <f t="shared" ca="1" si="230"/>
        <v>1</v>
      </c>
      <c r="AJ106" s="146">
        <f t="shared" ca="1" si="231"/>
        <v>0</v>
      </c>
      <c r="AK106" s="146" t="str">
        <f t="shared" si="228"/>
        <v>N/A</v>
      </c>
      <c r="AL106" s="146">
        <f t="shared" si="228"/>
        <v>0</v>
      </c>
      <c r="AM106" s="146">
        <f t="shared" si="232"/>
        <v>0</v>
      </c>
      <c r="AN106" s="146">
        <f t="shared" ca="1" si="233"/>
        <v>0</v>
      </c>
      <c r="AO106" s="146">
        <f t="shared" ca="1" si="234"/>
        <v>0</v>
      </c>
      <c r="AP106" s="146" t="str">
        <f t="shared" si="228"/>
        <v>N/A</v>
      </c>
      <c r="AQ106" s="146">
        <f t="shared" si="228"/>
        <v>0</v>
      </c>
      <c r="AR106" s="146">
        <f t="shared" si="235"/>
        <v>0</v>
      </c>
      <c r="AS106" s="146">
        <f t="shared" ca="1" si="236"/>
        <v>0</v>
      </c>
      <c r="AT106" s="146">
        <f t="shared" ca="1" si="237"/>
        <v>0</v>
      </c>
      <c r="AU106" s="146" t="str">
        <f t="shared" si="228"/>
        <v>N/A</v>
      </c>
      <c r="AV106" s="146">
        <f t="shared" si="228"/>
        <v>0</v>
      </c>
      <c r="AW106" s="146">
        <f t="shared" si="238"/>
        <v>0</v>
      </c>
      <c r="AX106" s="146">
        <f t="shared" ca="1" si="239"/>
        <v>0</v>
      </c>
      <c r="AY106" s="146">
        <f t="shared" ca="1" si="240"/>
        <v>0</v>
      </c>
      <c r="AZ106" s="147"/>
      <c r="BA106" s="144" t="s">
        <v>141</v>
      </c>
      <c r="BB106" s="144" t="s">
        <v>140</v>
      </c>
      <c r="BC106" s="144" t="s">
        <v>140</v>
      </c>
      <c r="BD106" s="144" t="s">
        <v>140</v>
      </c>
      <c r="BE106" s="146">
        <v>0.2</v>
      </c>
      <c r="BF106" s="148"/>
      <c r="BG106" s="146"/>
      <c r="BH106" s="117"/>
      <c r="BI106" s="117"/>
      <c r="BJ106" s="149"/>
      <c r="BK106" s="149"/>
      <c r="BL106" s="117">
        <v>0</v>
      </c>
      <c r="BM106" s="117">
        <v>0</v>
      </c>
      <c r="BN106" s="117">
        <v>0</v>
      </c>
      <c r="BO106" s="117">
        <v>0</v>
      </c>
      <c r="BP106" s="117">
        <v>0</v>
      </c>
      <c r="BQ106" s="117">
        <v>0</v>
      </c>
      <c r="BR106" s="117">
        <v>0</v>
      </c>
      <c r="BS106" s="117" t="s">
        <v>150</v>
      </c>
      <c r="BT106" s="158" t="s">
        <v>210</v>
      </c>
      <c r="BU106" s="117"/>
      <c r="BV106" s="117" t="s">
        <v>211</v>
      </c>
      <c r="BW106" s="144">
        <v>1</v>
      </c>
      <c r="BX106" s="149">
        <v>46201</v>
      </c>
      <c r="BY106" s="117"/>
      <c r="BZ106" s="117"/>
      <c r="CA106" s="117"/>
      <c r="CB106" s="117">
        <f t="shared" si="241"/>
        <v>0</v>
      </c>
    </row>
    <row r="107" spans="1:80" ht="16.5" hidden="1" customHeight="1">
      <c r="A107" s="117">
        <v>246</v>
      </c>
      <c r="B107" s="154" t="s">
        <v>349</v>
      </c>
      <c r="C107" s="154" t="s">
        <v>902</v>
      </c>
      <c r="D107" s="154" t="s">
        <v>13</v>
      </c>
      <c r="E107" s="154" t="s">
        <v>337</v>
      </c>
      <c r="F107" s="154" t="s">
        <v>353</v>
      </c>
      <c r="G107" s="154" t="s">
        <v>334</v>
      </c>
      <c r="H107" s="146">
        <v>1100</v>
      </c>
      <c r="I107" s="147" t="s">
        <v>147</v>
      </c>
      <c r="J107" s="144">
        <v>1</v>
      </c>
      <c r="K107" s="145">
        <f t="shared" si="223"/>
        <v>1</v>
      </c>
      <c r="L107" s="144">
        <f t="shared" si="224"/>
        <v>1</v>
      </c>
      <c r="M107" s="146">
        <v>5.2</v>
      </c>
      <c r="N107" s="146">
        <f t="shared" si="225"/>
        <v>5.2</v>
      </c>
      <c r="O107" s="146" t="s">
        <v>137</v>
      </c>
      <c r="P107" s="146" t="s">
        <v>13</v>
      </c>
      <c r="Q107" s="146" t="s">
        <v>148</v>
      </c>
      <c r="R107" s="146"/>
      <c r="S107" s="146"/>
      <c r="T107" s="146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46">
        <f t="shared" ca="1" si="226"/>
        <v>0</v>
      </c>
      <c r="V107" s="146">
        <f t="shared" ca="1" si="227"/>
        <v>1</v>
      </c>
      <c r="W107" s="146"/>
      <c r="X107" s="146"/>
      <c r="Y107" s="146"/>
      <c r="Z107" s="146"/>
      <c r="AA107" s="146"/>
      <c r="AB107" s="146"/>
      <c r="AC107" s="146">
        <v>0.2</v>
      </c>
      <c r="AD107" s="117" t="s">
        <v>196</v>
      </c>
      <c r="AE107" s="148"/>
      <c r="AF107" s="146" t="str">
        <f t="shared" si="228"/>
        <v>AMC 2-S1</v>
      </c>
      <c r="AG107" s="146">
        <f t="shared" si="228"/>
        <v>1</v>
      </c>
      <c r="AH107" s="146">
        <f t="shared" si="229"/>
        <v>1</v>
      </c>
      <c r="AI107" s="146">
        <f t="shared" ca="1" si="230"/>
        <v>1</v>
      </c>
      <c r="AJ107" s="146">
        <f t="shared" ca="1" si="231"/>
        <v>0</v>
      </c>
      <c r="AK107" s="146" t="str">
        <f t="shared" si="228"/>
        <v>N/A</v>
      </c>
      <c r="AL107" s="146">
        <f t="shared" si="228"/>
        <v>0</v>
      </c>
      <c r="AM107" s="146">
        <f t="shared" si="232"/>
        <v>0</v>
      </c>
      <c r="AN107" s="146">
        <f t="shared" ca="1" si="233"/>
        <v>0</v>
      </c>
      <c r="AO107" s="146">
        <f t="shared" ca="1" si="234"/>
        <v>0</v>
      </c>
      <c r="AP107" s="146" t="str">
        <f t="shared" si="228"/>
        <v>N/A</v>
      </c>
      <c r="AQ107" s="146">
        <f t="shared" si="228"/>
        <v>0</v>
      </c>
      <c r="AR107" s="146">
        <f t="shared" si="235"/>
        <v>0</v>
      </c>
      <c r="AS107" s="146">
        <f t="shared" ca="1" si="236"/>
        <v>0</v>
      </c>
      <c r="AT107" s="146">
        <f t="shared" ca="1" si="237"/>
        <v>0</v>
      </c>
      <c r="AU107" s="146" t="str">
        <f t="shared" si="228"/>
        <v>N/A</v>
      </c>
      <c r="AV107" s="146">
        <f t="shared" si="228"/>
        <v>0</v>
      </c>
      <c r="AW107" s="146">
        <f t="shared" si="238"/>
        <v>0</v>
      </c>
      <c r="AX107" s="146">
        <f t="shared" ca="1" si="239"/>
        <v>0</v>
      </c>
      <c r="AY107" s="146">
        <f t="shared" ca="1" si="240"/>
        <v>0</v>
      </c>
      <c r="AZ107" s="147"/>
      <c r="BA107" s="144" t="s">
        <v>141</v>
      </c>
      <c r="BB107" s="144" t="s">
        <v>140</v>
      </c>
      <c r="BC107" s="144" t="s">
        <v>140</v>
      </c>
      <c r="BD107" s="144" t="s">
        <v>140</v>
      </c>
      <c r="BE107" s="146">
        <v>0.2</v>
      </c>
      <c r="BF107" s="148"/>
      <c r="BG107" s="146"/>
      <c r="BH107" s="117"/>
      <c r="BI107" s="117"/>
      <c r="BJ107" s="149"/>
      <c r="BK107" s="149"/>
      <c r="BL107" s="117">
        <v>0</v>
      </c>
      <c r="BM107" s="117">
        <v>0</v>
      </c>
      <c r="BN107" s="117">
        <v>0</v>
      </c>
      <c r="BO107" s="117">
        <v>0</v>
      </c>
      <c r="BP107" s="117">
        <v>0</v>
      </c>
      <c r="BQ107" s="117">
        <v>0</v>
      </c>
      <c r="BR107" s="117">
        <v>0</v>
      </c>
      <c r="BS107" s="117" t="s">
        <v>150</v>
      </c>
      <c r="BT107" s="158" t="s">
        <v>210</v>
      </c>
      <c r="BU107" s="117"/>
      <c r="BV107" s="117" t="s">
        <v>211</v>
      </c>
      <c r="BW107" s="144">
        <v>1</v>
      </c>
      <c r="BX107" s="149">
        <v>46201</v>
      </c>
      <c r="BY107" s="117"/>
      <c r="BZ107" s="117"/>
      <c r="CA107" s="117"/>
      <c r="CB107" s="117">
        <f t="shared" si="241"/>
        <v>0</v>
      </c>
    </row>
    <row r="108" spans="1:80" ht="16.5" hidden="1" customHeight="1">
      <c r="A108" s="117">
        <v>247</v>
      </c>
      <c r="B108" s="154" t="s">
        <v>349</v>
      </c>
      <c r="C108" s="154" t="s">
        <v>902</v>
      </c>
      <c r="D108" s="154" t="s">
        <v>13</v>
      </c>
      <c r="E108" s="154" t="s">
        <v>339</v>
      </c>
      <c r="F108" s="154" t="s">
        <v>354</v>
      </c>
      <c r="G108" s="154" t="s">
        <v>334</v>
      </c>
      <c r="H108" s="146">
        <v>1979</v>
      </c>
      <c r="I108" s="147" t="s">
        <v>147</v>
      </c>
      <c r="J108" s="144">
        <v>1</v>
      </c>
      <c r="K108" s="145">
        <f t="shared" si="223"/>
        <v>1</v>
      </c>
      <c r="L108" s="144">
        <f t="shared" si="224"/>
        <v>1</v>
      </c>
      <c r="M108" s="146">
        <v>9.3000000000000007</v>
      </c>
      <c r="N108" s="146">
        <f t="shared" si="225"/>
        <v>9.3000000000000007</v>
      </c>
      <c r="O108" s="146" t="s">
        <v>137</v>
      </c>
      <c r="P108" s="146" t="s">
        <v>13</v>
      </c>
      <c r="Q108" s="146" t="s">
        <v>148</v>
      </c>
      <c r="R108" s="146"/>
      <c r="S108" s="146"/>
      <c r="T108" s="146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1</v>
      </c>
      <c r="U108" s="146">
        <f t="shared" ca="1" si="226"/>
        <v>0</v>
      </c>
      <c r="V108" s="146">
        <f t="shared" ca="1" si="227"/>
        <v>1</v>
      </c>
      <c r="W108" s="146"/>
      <c r="X108" s="146"/>
      <c r="Y108" s="146"/>
      <c r="Z108" s="146"/>
      <c r="AA108" s="146"/>
      <c r="AB108" s="146"/>
      <c r="AC108" s="146">
        <v>0.3</v>
      </c>
      <c r="AD108" s="117" t="s">
        <v>196</v>
      </c>
      <c r="AE108" s="148"/>
      <c r="AF108" s="146" t="str">
        <f t="shared" si="228"/>
        <v>AMC 2-S1</v>
      </c>
      <c r="AG108" s="146">
        <f t="shared" si="228"/>
        <v>1</v>
      </c>
      <c r="AH108" s="146">
        <f t="shared" si="229"/>
        <v>1</v>
      </c>
      <c r="AI108" s="146">
        <f t="shared" ca="1" si="230"/>
        <v>1</v>
      </c>
      <c r="AJ108" s="146">
        <f t="shared" ca="1" si="231"/>
        <v>0</v>
      </c>
      <c r="AK108" s="146" t="str">
        <f t="shared" si="228"/>
        <v>N/A</v>
      </c>
      <c r="AL108" s="146">
        <f t="shared" si="228"/>
        <v>0</v>
      </c>
      <c r="AM108" s="146">
        <f t="shared" si="232"/>
        <v>0</v>
      </c>
      <c r="AN108" s="146">
        <f t="shared" ca="1" si="233"/>
        <v>0</v>
      </c>
      <c r="AO108" s="146">
        <f t="shared" ca="1" si="234"/>
        <v>0</v>
      </c>
      <c r="AP108" s="146" t="str">
        <f t="shared" si="228"/>
        <v>N/A</v>
      </c>
      <c r="AQ108" s="146">
        <f t="shared" si="228"/>
        <v>0</v>
      </c>
      <c r="AR108" s="146">
        <f t="shared" si="235"/>
        <v>0</v>
      </c>
      <c r="AS108" s="146">
        <f t="shared" ca="1" si="236"/>
        <v>0</v>
      </c>
      <c r="AT108" s="146">
        <f t="shared" ca="1" si="237"/>
        <v>0</v>
      </c>
      <c r="AU108" s="146" t="str">
        <f t="shared" si="228"/>
        <v>N/A</v>
      </c>
      <c r="AV108" s="146">
        <f t="shared" si="228"/>
        <v>0</v>
      </c>
      <c r="AW108" s="146">
        <f t="shared" si="238"/>
        <v>0</v>
      </c>
      <c r="AX108" s="146">
        <f t="shared" ca="1" si="239"/>
        <v>0</v>
      </c>
      <c r="AY108" s="146">
        <f t="shared" ca="1" si="240"/>
        <v>0</v>
      </c>
      <c r="AZ108" s="147"/>
      <c r="BA108" s="144" t="s">
        <v>141</v>
      </c>
      <c r="BB108" s="144" t="s">
        <v>140</v>
      </c>
      <c r="BC108" s="144" t="s">
        <v>140</v>
      </c>
      <c r="BD108" s="144" t="s">
        <v>140</v>
      </c>
      <c r="BE108" s="146">
        <v>0.3</v>
      </c>
      <c r="BF108" s="148"/>
      <c r="BG108" s="146"/>
      <c r="BH108" s="117"/>
      <c r="BI108" s="117"/>
      <c r="BJ108" s="149"/>
      <c r="BK108" s="149"/>
      <c r="BL108" s="117">
        <v>0</v>
      </c>
      <c r="BM108" s="117">
        <v>0</v>
      </c>
      <c r="BN108" s="117">
        <v>0</v>
      </c>
      <c r="BO108" s="117">
        <v>0</v>
      </c>
      <c r="BP108" s="117">
        <v>0</v>
      </c>
      <c r="BQ108" s="117">
        <v>0</v>
      </c>
      <c r="BR108" s="117">
        <v>0</v>
      </c>
      <c r="BS108" s="117" t="s">
        <v>150</v>
      </c>
      <c r="BT108" s="158" t="s">
        <v>210</v>
      </c>
      <c r="BU108" s="117"/>
      <c r="BV108" s="117" t="s">
        <v>211</v>
      </c>
      <c r="BW108" s="144">
        <v>1</v>
      </c>
      <c r="BX108" s="149">
        <v>46201</v>
      </c>
      <c r="BY108" s="117"/>
      <c r="BZ108" s="117"/>
      <c r="CA108" s="117"/>
      <c r="CB108" s="117">
        <f t="shared" si="241"/>
        <v>0</v>
      </c>
    </row>
    <row r="109" spans="1:80" ht="16.5" hidden="1" customHeight="1">
      <c r="A109" s="117">
        <v>248</v>
      </c>
      <c r="B109" s="154" t="s">
        <v>349</v>
      </c>
      <c r="C109" s="154" t="s">
        <v>902</v>
      </c>
      <c r="D109" s="154" t="s">
        <v>13</v>
      </c>
      <c r="E109" s="154" t="s">
        <v>341</v>
      </c>
      <c r="F109" s="154" t="s">
        <v>355</v>
      </c>
      <c r="G109" s="154" t="s">
        <v>334</v>
      </c>
      <c r="H109" s="146">
        <v>5562</v>
      </c>
      <c r="I109" s="147" t="s">
        <v>147</v>
      </c>
      <c r="J109" s="144">
        <v>1</v>
      </c>
      <c r="K109" s="145">
        <f t="shared" si="223"/>
        <v>1</v>
      </c>
      <c r="L109" s="144">
        <f t="shared" si="224"/>
        <v>1</v>
      </c>
      <c r="M109" s="146">
        <v>26.2</v>
      </c>
      <c r="N109" s="146">
        <f t="shared" si="225"/>
        <v>26.2</v>
      </c>
      <c r="O109" s="146" t="s">
        <v>137</v>
      </c>
      <c r="P109" s="146" t="s">
        <v>13</v>
      </c>
      <c r="Q109" s="146" t="s">
        <v>148</v>
      </c>
      <c r="R109" s="146"/>
      <c r="S109" s="146"/>
      <c r="T109" s="146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1</v>
      </c>
      <c r="U109" s="146">
        <f t="shared" ca="1" si="226"/>
        <v>0</v>
      </c>
      <c r="V109" s="146">
        <f t="shared" ca="1" si="227"/>
        <v>1</v>
      </c>
      <c r="W109" s="146"/>
      <c r="X109" s="146"/>
      <c r="Y109" s="146"/>
      <c r="Z109" s="146"/>
      <c r="AA109" s="146"/>
      <c r="AB109" s="146"/>
      <c r="AC109" s="146">
        <v>0.8</v>
      </c>
      <c r="AD109" s="117" t="s">
        <v>196</v>
      </c>
      <c r="AE109" s="148"/>
      <c r="AF109" s="146" t="str">
        <f t="shared" si="228"/>
        <v>AMC 2-S1</v>
      </c>
      <c r="AG109" s="146">
        <f t="shared" si="228"/>
        <v>1</v>
      </c>
      <c r="AH109" s="146">
        <f t="shared" si="229"/>
        <v>1</v>
      </c>
      <c r="AI109" s="146">
        <f t="shared" ca="1" si="230"/>
        <v>1</v>
      </c>
      <c r="AJ109" s="146">
        <f t="shared" ca="1" si="231"/>
        <v>0</v>
      </c>
      <c r="AK109" s="146" t="str">
        <f t="shared" si="228"/>
        <v>N/A</v>
      </c>
      <c r="AL109" s="146">
        <f t="shared" si="228"/>
        <v>0</v>
      </c>
      <c r="AM109" s="146">
        <f t="shared" si="232"/>
        <v>0</v>
      </c>
      <c r="AN109" s="146">
        <f t="shared" ca="1" si="233"/>
        <v>0</v>
      </c>
      <c r="AO109" s="146">
        <f t="shared" ca="1" si="234"/>
        <v>0</v>
      </c>
      <c r="AP109" s="146" t="str">
        <f t="shared" si="228"/>
        <v>N/A</v>
      </c>
      <c r="AQ109" s="146">
        <f t="shared" si="228"/>
        <v>0</v>
      </c>
      <c r="AR109" s="146">
        <f t="shared" si="235"/>
        <v>0</v>
      </c>
      <c r="AS109" s="146">
        <f t="shared" ca="1" si="236"/>
        <v>0</v>
      </c>
      <c r="AT109" s="146">
        <f t="shared" ca="1" si="237"/>
        <v>0</v>
      </c>
      <c r="AU109" s="146" t="str">
        <f t="shared" si="228"/>
        <v>N/A</v>
      </c>
      <c r="AV109" s="146">
        <f t="shared" si="228"/>
        <v>0</v>
      </c>
      <c r="AW109" s="146">
        <f t="shared" si="238"/>
        <v>0</v>
      </c>
      <c r="AX109" s="146">
        <f t="shared" ca="1" si="239"/>
        <v>0</v>
      </c>
      <c r="AY109" s="146">
        <f t="shared" ca="1" si="240"/>
        <v>0</v>
      </c>
      <c r="AZ109" s="147"/>
      <c r="BA109" s="144" t="s">
        <v>141</v>
      </c>
      <c r="BB109" s="144" t="s">
        <v>140</v>
      </c>
      <c r="BC109" s="144" t="s">
        <v>140</v>
      </c>
      <c r="BD109" s="144" t="s">
        <v>140</v>
      </c>
      <c r="BE109" s="146">
        <v>0.8</v>
      </c>
      <c r="BF109" s="148"/>
      <c r="BG109" s="146"/>
      <c r="BH109" s="117"/>
      <c r="BI109" s="117"/>
      <c r="BJ109" s="149"/>
      <c r="BK109" s="149"/>
      <c r="BL109" s="117">
        <v>0</v>
      </c>
      <c r="BM109" s="117">
        <v>0</v>
      </c>
      <c r="BN109" s="117">
        <v>0</v>
      </c>
      <c r="BO109" s="117">
        <v>0</v>
      </c>
      <c r="BP109" s="117">
        <v>0</v>
      </c>
      <c r="BQ109" s="117">
        <v>0</v>
      </c>
      <c r="BR109" s="117">
        <v>0</v>
      </c>
      <c r="BS109" s="117" t="s">
        <v>150</v>
      </c>
      <c r="BT109" s="158" t="s">
        <v>210</v>
      </c>
      <c r="BU109" s="117"/>
      <c r="BV109" s="117" t="s">
        <v>211</v>
      </c>
      <c r="BW109" s="144">
        <v>1</v>
      </c>
      <c r="BX109" s="149">
        <v>46201</v>
      </c>
      <c r="BY109" s="117"/>
      <c r="BZ109" s="117"/>
      <c r="CA109" s="117"/>
      <c r="CB109" s="117">
        <f t="shared" si="241"/>
        <v>0</v>
      </c>
    </row>
    <row r="110" spans="1:80" ht="16.5" customHeight="1">
      <c r="A110" s="117">
        <v>249</v>
      </c>
      <c r="B110" s="154" t="s">
        <v>349</v>
      </c>
      <c r="C110" s="154" t="s">
        <v>902</v>
      </c>
      <c r="D110" s="154" t="s">
        <v>13</v>
      </c>
      <c r="E110" s="154" t="s">
        <v>356</v>
      </c>
      <c r="F110" s="154" t="s">
        <v>357</v>
      </c>
      <c r="G110" s="154" t="s">
        <v>331</v>
      </c>
      <c r="H110" s="146">
        <v>5868</v>
      </c>
      <c r="I110" s="147" t="s">
        <v>147</v>
      </c>
      <c r="J110" s="144">
        <v>1</v>
      </c>
      <c r="K110" s="145">
        <f t="shared" si="223"/>
        <v>1</v>
      </c>
      <c r="L110" s="144">
        <f t="shared" si="224"/>
        <v>1</v>
      </c>
      <c r="M110" s="146">
        <v>856.7</v>
      </c>
      <c r="N110" s="146">
        <f t="shared" si="225"/>
        <v>856.7</v>
      </c>
      <c r="O110" s="146" t="s">
        <v>137</v>
      </c>
      <c r="P110" s="146" t="s">
        <v>13</v>
      </c>
      <c r="Q110" s="146" t="s">
        <v>154</v>
      </c>
      <c r="R110" s="146"/>
      <c r="S110" s="146"/>
      <c r="T110" s="146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146">
        <f t="shared" ca="1" si="226"/>
        <v>1</v>
      </c>
      <c r="V110" s="146">
        <f t="shared" ca="1" si="227"/>
        <v>0</v>
      </c>
      <c r="W110" s="146"/>
      <c r="X110" s="146"/>
      <c r="Y110" s="146"/>
      <c r="Z110" s="146"/>
      <c r="AA110" s="146"/>
      <c r="AB110" s="146"/>
      <c r="AC110" s="146">
        <v>18.399999999999999</v>
      </c>
      <c r="AD110" s="117" t="s">
        <v>196</v>
      </c>
      <c r="AE110" s="148"/>
      <c r="AF110" s="146" t="str">
        <f t="shared" si="228"/>
        <v>AMC 2-S1</v>
      </c>
      <c r="AG110" s="146">
        <f t="shared" si="228"/>
        <v>1</v>
      </c>
      <c r="AH110" s="146">
        <f t="shared" si="229"/>
        <v>1</v>
      </c>
      <c r="AI110" s="146">
        <f t="shared" ca="1" si="230"/>
        <v>0</v>
      </c>
      <c r="AJ110" s="146">
        <f t="shared" ca="1" si="231"/>
        <v>1</v>
      </c>
      <c r="AK110" s="146" t="str">
        <f t="shared" si="228"/>
        <v>N/A</v>
      </c>
      <c r="AL110" s="146">
        <f t="shared" si="228"/>
        <v>0</v>
      </c>
      <c r="AM110" s="146">
        <f t="shared" si="232"/>
        <v>0</v>
      </c>
      <c r="AN110" s="146">
        <f t="shared" ca="1" si="233"/>
        <v>0</v>
      </c>
      <c r="AO110" s="146">
        <f t="shared" ca="1" si="234"/>
        <v>0</v>
      </c>
      <c r="AP110" s="146" t="str">
        <f t="shared" si="228"/>
        <v>N/A</v>
      </c>
      <c r="AQ110" s="146">
        <f t="shared" si="228"/>
        <v>0</v>
      </c>
      <c r="AR110" s="146">
        <f t="shared" si="235"/>
        <v>0</v>
      </c>
      <c r="AS110" s="146">
        <f t="shared" ca="1" si="236"/>
        <v>0</v>
      </c>
      <c r="AT110" s="146">
        <f t="shared" ca="1" si="237"/>
        <v>0</v>
      </c>
      <c r="AU110" s="146" t="str">
        <f t="shared" si="228"/>
        <v>N/A</v>
      </c>
      <c r="AV110" s="146">
        <f t="shared" si="228"/>
        <v>0</v>
      </c>
      <c r="AW110" s="146">
        <f t="shared" si="238"/>
        <v>0</v>
      </c>
      <c r="AX110" s="146">
        <f t="shared" ca="1" si="239"/>
        <v>0</v>
      </c>
      <c r="AY110" s="146">
        <f t="shared" ca="1" si="240"/>
        <v>0</v>
      </c>
      <c r="AZ110" s="147"/>
      <c r="BA110" s="144" t="s">
        <v>141</v>
      </c>
      <c r="BB110" s="144" t="s">
        <v>140</v>
      </c>
      <c r="BC110" s="144" t="s">
        <v>140</v>
      </c>
      <c r="BD110" s="144" t="s">
        <v>140</v>
      </c>
      <c r="BE110" s="146">
        <v>18.399999999999999</v>
      </c>
      <c r="BF110" s="148"/>
      <c r="BG110" s="146"/>
      <c r="BH110" s="117"/>
      <c r="BI110" s="117"/>
      <c r="BJ110" s="149" t="s">
        <v>294</v>
      </c>
      <c r="BK110" s="149"/>
      <c r="BL110" s="117">
        <v>0</v>
      </c>
      <c r="BM110" s="117">
        <v>1</v>
      </c>
      <c r="BN110" s="117">
        <v>0</v>
      </c>
      <c r="BO110" s="117">
        <v>1</v>
      </c>
      <c r="BP110" s="117">
        <v>0</v>
      </c>
      <c r="BQ110" s="117">
        <v>0</v>
      </c>
      <c r="BR110" s="117">
        <v>0</v>
      </c>
      <c r="BS110" s="117" t="s">
        <v>150</v>
      </c>
      <c r="BT110" s="117"/>
      <c r="BU110" s="155"/>
      <c r="BV110" s="117" t="s">
        <v>57</v>
      </c>
      <c r="BW110" s="117">
        <v>1</v>
      </c>
      <c r="BX110" s="149"/>
      <c r="BY110" s="117"/>
      <c r="BZ110" s="117"/>
      <c r="CA110" s="117"/>
      <c r="CB110" s="117">
        <f t="shared" si="241"/>
        <v>0</v>
      </c>
    </row>
    <row r="111" spans="1:80" ht="16.5" hidden="1" customHeight="1">
      <c r="A111" s="117">
        <v>250</v>
      </c>
      <c r="B111" s="154" t="s">
        <v>349</v>
      </c>
      <c r="C111" s="154" t="s">
        <v>902</v>
      </c>
      <c r="D111" s="154" t="s">
        <v>13</v>
      </c>
      <c r="E111" s="154" t="s">
        <v>343</v>
      </c>
      <c r="F111" s="154" t="s">
        <v>358</v>
      </c>
      <c r="G111" s="154" t="s">
        <v>204</v>
      </c>
      <c r="H111" s="146">
        <v>1679</v>
      </c>
      <c r="I111" s="147" t="s">
        <v>147</v>
      </c>
      <c r="J111" s="144">
        <v>1</v>
      </c>
      <c r="K111" s="145">
        <f t="shared" si="223"/>
        <v>1</v>
      </c>
      <c r="L111" s="144">
        <f t="shared" si="224"/>
        <v>1</v>
      </c>
      <c r="M111" s="146">
        <v>39.5</v>
      </c>
      <c r="N111" s="146">
        <f t="shared" si="225"/>
        <v>39.5</v>
      </c>
      <c r="O111" s="146" t="s">
        <v>137</v>
      </c>
      <c r="P111" s="146" t="s">
        <v>13</v>
      </c>
      <c r="Q111" s="146" t="s">
        <v>148</v>
      </c>
      <c r="R111" s="146"/>
      <c r="S111" s="146"/>
      <c r="T111" s="146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46">
        <f t="shared" ca="1" si="226"/>
        <v>0</v>
      </c>
      <c r="V111" s="146">
        <f t="shared" ca="1" si="227"/>
        <v>1</v>
      </c>
      <c r="W111" s="146"/>
      <c r="X111" s="146"/>
      <c r="Y111" s="146"/>
      <c r="Z111" s="146"/>
      <c r="AA111" s="146"/>
      <c r="AB111" s="146"/>
      <c r="AC111" s="146">
        <v>0.7</v>
      </c>
      <c r="AD111" s="117" t="s">
        <v>196</v>
      </c>
      <c r="AE111" s="148"/>
      <c r="AF111" s="146" t="str">
        <f t="shared" si="228"/>
        <v>AMC 2-S1</v>
      </c>
      <c r="AG111" s="146">
        <f t="shared" si="228"/>
        <v>1</v>
      </c>
      <c r="AH111" s="146">
        <f t="shared" si="229"/>
        <v>1</v>
      </c>
      <c r="AI111" s="146">
        <f t="shared" ca="1" si="230"/>
        <v>1</v>
      </c>
      <c r="AJ111" s="146">
        <f t="shared" ca="1" si="231"/>
        <v>0</v>
      </c>
      <c r="AK111" s="146" t="str">
        <f t="shared" si="228"/>
        <v>N/A</v>
      </c>
      <c r="AL111" s="146">
        <f t="shared" si="228"/>
        <v>0</v>
      </c>
      <c r="AM111" s="146">
        <f t="shared" si="232"/>
        <v>0</v>
      </c>
      <c r="AN111" s="146">
        <f t="shared" ca="1" si="233"/>
        <v>0</v>
      </c>
      <c r="AO111" s="146">
        <f t="shared" ca="1" si="234"/>
        <v>0</v>
      </c>
      <c r="AP111" s="146" t="str">
        <f t="shared" si="228"/>
        <v>N/A</v>
      </c>
      <c r="AQ111" s="146">
        <f t="shared" si="228"/>
        <v>0</v>
      </c>
      <c r="AR111" s="146">
        <f t="shared" si="235"/>
        <v>0</v>
      </c>
      <c r="AS111" s="146">
        <f t="shared" ca="1" si="236"/>
        <v>0</v>
      </c>
      <c r="AT111" s="146">
        <f t="shared" ca="1" si="237"/>
        <v>0</v>
      </c>
      <c r="AU111" s="146" t="str">
        <f t="shared" si="228"/>
        <v>N/A</v>
      </c>
      <c r="AV111" s="146">
        <f t="shared" si="228"/>
        <v>0</v>
      </c>
      <c r="AW111" s="146">
        <f t="shared" si="238"/>
        <v>0</v>
      </c>
      <c r="AX111" s="146">
        <f t="shared" ca="1" si="239"/>
        <v>0</v>
      </c>
      <c r="AY111" s="146">
        <f t="shared" ca="1" si="240"/>
        <v>0</v>
      </c>
      <c r="AZ111" s="147"/>
      <c r="BA111" s="144" t="s">
        <v>141</v>
      </c>
      <c r="BB111" s="144" t="s">
        <v>140</v>
      </c>
      <c r="BC111" s="144" t="s">
        <v>140</v>
      </c>
      <c r="BD111" s="144" t="s">
        <v>140</v>
      </c>
      <c r="BE111" s="146">
        <v>0.7</v>
      </c>
      <c r="BF111" s="148"/>
      <c r="BG111" s="146"/>
      <c r="BH111" s="117"/>
      <c r="BI111" s="117"/>
      <c r="BJ111" s="149"/>
      <c r="BK111" s="149"/>
      <c r="BL111" s="117">
        <v>0</v>
      </c>
      <c r="BM111" s="117">
        <v>0</v>
      </c>
      <c r="BN111" s="117">
        <v>0</v>
      </c>
      <c r="BO111" s="117">
        <v>1</v>
      </c>
      <c r="BP111" s="117">
        <v>0</v>
      </c>
      <c r="BQ111" s="117">
        <v>0</v>
      </c>
      <c r="BR111" s="117">
        <v>0</v>
      </c>
      <c r="BS111" s="117" t="s">
        <v>150</v>
      </c>
      <c r="BT111" s="158" t="s">
        <v>200</v>
      </c>
      <c r="BU111" s="117"/>
      <c r="BV111" s="117" t="s">
        <v>201</v>
      </c>
      <c r="BW111" s="117">
        <v>1</v>
      </c>
      <c r="BX111" s="149">
        <v>46201</v>
      </c>
      <c r="BY111" s="117"/>
      <c r="BZ111" s="117"/>
      <c r="CA111" s="117"/>
      <c r="CB111" s="117">
        <f t="shared" si="241"/>
        <v>0</v>
      </c>
    </row>
    <row r="112" spans="1:80" ht="16.5" hidden="1" customHeight="1">
      <c r="A112" s="117">
        <v>251</v>
      </c>
      <c r="B112" s="154" t="s">
        <v>349</v>
      </c>
      <c r="C112" s="154" t="s">
        <v>902</v>
      </c>
      <c r="D112" s="154" t="s">
        <v>13</v>
      </c>
      <c r="E112" s="154" t="s">
        <v>345</v>
      </c>
      <c r="F112" s="154" t="s">
        <v>359</v>
      </c>
      <c r="G112" s="154" t="s">
        <v>178</v>
      </c>
      <c r="H112" s="146">
        <v>1889</v>
      </c>
      <c r="I112" s="147" t="s">
        <v>147</v>
      </c>
      <c r="J112" s="144">
        <v>1</v>
      </c>
      <c r="K112" s="145">
        <f t="shared" si="223"/>
        <v>1</v>
      </c>
      <c r="L112" s="144">
        <f t="shared" si="224"/>
        <v>1</v>
      </c>
      <c r="M112" s="146">
        <v>59.2</v>
      </c>
      <c r="N112" s="146">
        <f t="shared" si="225"/>
        <v>59.2</v>
      </c>
      <c r="O112" s="146" t="s">
        <v>137</v>
      </c>
      <c r="P112" s="146" t="s">
        <v>13</v>
      </c>
      <c r="Q112" s="146" t="s">
        <v>148</v>
      </c>
      <c r="R112" s="146"/>
      <c r="S112" s="146"/>
      <c r="T112" s="146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1</v>
      </c>
      <c r="U112" s="146">
        <f t="shared" ca="1" si="226"/>
        <v>0</v>
      </c>
      <c r="V112" s="146">
        <f t="shared" ca="1" si="227"/>
        <v>1</v>
      </c>
      <c r="W112" s="146"/>
      <c r="X112" s="146"/>
      <c r="Y112" s="146"/>
      <c r="Z112" s="146"/>
      <c r="AA112" s="146"/>
      <c r="AB112" s="146"/>
      <c r="AC112" s="146">
        <v>0.8</v>
      </c>
      <c r="AD112" s="117" t="s">
        <v>196</v>
      </c>
      <c r="AE112" s="148"/>
      <c r="AF112" s="146" t="str">
        <f t="shared" si="228"/>
        <v>AMC 2-S1</v>
      </c>
      <c r="AG112" s="146">
        <f t="shared" si="228"/>
        <v>1</v>
      </c>
      <c r="AH112" s="146">
        <f t="shared" si="229"/>
        <v>1</v>
      </c>
      <c r="AI112" s="146">
        <f t="shared" ca="1" si="230"/>
        <v>1</v>
      </c>
      <c r="AJ112" s="146">
        <f t="shared" ca="1" si="231"/>
        <v>0</v>
      </c>
      <c r="AK112" s="146" t="str">
        <f t="shared" si="228"/>
        <v>N/A</v>
      </c>
      <c r="AL112" s="146">
        <f t="shared" si="228"/>
        <v>0</v>
      </c>
      <c r="AM112" s="146">
        <f t="shared" si="232"/>
        <v>0</v>
      </c>
      <c r="AN112" s="146">
        <f t="shared" ca="1" si="233"/>
        <v>0</v>
      </c>
      <c r="AO112" s="146">
        <f t="shared" ca="1" si="234"/>
        <v>0</v>
      </c>
      <c r="AP112" s="146" t="str">
        <f t="shared" si="228"/>
        <v>N/A</v>
      </c>
      <c r="AQ112" s="146">
        <f t="shared" si="228"/>
        <v>0</v>
      </c>
      <c r="AR112" s="146">
        <f t="shared" si="235"/>
        <v>0</v>
      </c>
      <c r="AS112" s="146">
        <f t="shared" ca="1" si="236"/>
        <v>0</v>
      </c>
      <c r="AT112" s="146">
        <f t="shared" ca="1" si="237"/>
        <v>0</v>
      </c>
      <c r="AU112" s="146" t="str">
        <f t="shared" si="228"/>
        <v>N/A</v>
      </c>
      <c r="AV112" s="146">
        <f t="shared" si="228"/>
        <v>0</v>
      </c>
      <c r="AW112" s="146">
        <f t="shared" si="238"/>
        <v>0</v>
      </c>
      <c r="AX112" s="146">
        <f t="shared" ca="1" si="239"/>
        <v>0</v>
      </c>
      <c r="AY112" s="146">
        <f t="shared" ca="1" si="240"/>
        <v>0</v>
      </c>
      <c r="AZ112" s="147"/>
      <c r="BA112" s="144" t="s">
        <v>141</v>
      </c>
      <c r="BB112" s="144" t="s">
        <v>140</v>
      </c>
      <c r="BC112" s="144" t="s">
        <v>140</v>
      </c>
      <c r="BD112" s="144" t="s">
        <v>140</v>
      </c>
      <c r="BE112" s="146">
        <v>0.8</v>
      </c>
      <c r="BF112" s="148"/>
      <c r="BG112" s="146"/>
      <c r="BH112" s="117"/>
      <c r="BI112" s="117"/>
      <c r="BJ112" s="149"/>
      <c r="BK112" s="149"/>
      <c r="BL112" s="117">
        <v>0</v>
      </c>
      <c r="BM112" s="117">
        <v>0</v>
      </c>
      <c r="BN112" s="117">
        <v>0</v>
      </c>
      <c r="BO112" s="117">
        <v>1</v>
      </c>
      <c r="BP112" s="117">
        <v>0</v>
      </c>
      <c r="BQ112" s="117">
        <v>0</v>
      </c>
      <c r="BR112" s="117">
        <v>0</v>
      </c>
      <c r="BS112" s="117" t="s">
        <v>150</v>
      </c>
      <c r="BT112" s="167" t="s">
        <v>319</v>
      </c>
      <c r="BU112" s="141"/>
      <c r="BV112" s="141" t="s">
        <v>320</v>
      </c>
      <c r="BW112" s="141">
        <v>1</v>
      </c>
      <c r="BX112" s="153">
        <v>46202</v>
      </c>
      <c r="BY112" s="117"/>
      <c r="BZ112" s="117"/>
      <c r="CA112" s="117"/>
      <c r="CB112" s="117">
        <f t="shared" si="241"/>
        <v>0</v>
      </c>
    </row>
    <row r="113" spans="1:80" ht="16.5" hidden="1" customHeight="1">
      <c r="A113" s="117">
        <v>252</v>
      </c>
      <c r="B113" s="154" t="s">
        <v>349</v>
      </c>
      <c r="C113" s="154" t="s">
        <v>902</v>
      </c>
      <c r="D113" s="154" t="s">
        <v>13</v>
      </c>
      <c r="E113" s="154" t="s">
        <v>347</v>
      </c>
      <c r="F113" s="154" t="s">
        <v>360</v>
      </c>
      <c r="G113" s="154" t="s">
        <v>178</v>
      </c>
      <c r="H113" s="146">
        <v>1941</v>
      </c>
      <c r="I113" s="147" t="s">
        <v>147</v>
      </c>
      <c r="J113" s="144">
        <v>1</v>
      </c>
      <c r="K113" s="145">
        <f t="shared" si="223"/>
        <v>1</v>
      </c>
      <c r="L113" s="144">
        <f t="shared" si="224"/>
        <v>1</v>
      </c>
      <c r="M113" s="146">
        <v>60.8</v>
      </c>
      <c r="N113" s="146">
        <f t="shared" si="225"/>
        <v>60.8</v>
      </c>
      <c r="O113" s="146" t="s">
        <v>137</v>
      </c>
      <c r="P113" s="146" t="s">
        <v>13</v>
      </c>
      <c r="Q113" s="146" t="s">
        <v>148</v>
      </c>
      <c r="R113" s="146"/>
      <c r="S113" s="146"/>
      <c r="T113" s="146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1</v>
      </c>
      <c r="U113" s="146">
        <f t="shared" ca="1" si="226"/>
        <v>0</v>
      </c>
      <c r="V113" s="146">
        <f t="shared" ca="1" si="227"/>
        <v>1</v>
      </c>
      <c r="W113" s="146"/>
      <c r="X113" s="146"/>
      <c r="Y113" s="146"/>
      <c r="Z113" s="146"/>
      <c r="AA113" s="146"/>
      <c r="AB113" s="146"/>
      <c r="AC113" s="146">
        <v>0.9</v>
      </c>
      <c r="AD113" s="117" t="s">
        <v>196</v>
      </c>
      <c r="AE113" s="148"/>
      <c r="AF113" s="146" t="str">
        <f t="shared" si="228"/>
        <v>AMC 2-S1</v>
      </c>
      <c r="AG113" s="146">
        <f t="shared" si="228"/>
        <v>1</v>
      </c>
      <c r="AH113" s="146">
        <f t="shared" si="229"/>
        <v>1</v>
      </c>
      <c r="AI113" s="146">
        <f t="shared" ca="1" si="230"/>
        <v>1</v>
      </c>
      <c r="AJ113" s="146">
        <f t="shared" ca="1" si="231"/>
        <v>0</v>
      </c>
      <c r="AK113" s="146" t="str">
        <f t="shared" si="228"/>
        <v>N/A</v>
      </c>
      <c r="AL113" s="146">
        <f t="shared" si="228"/>
        <v>0</v>
      </c>
      <c r="AM113" s="146">
        <f t="shared" si="232"/>
        <v>0</v>
      </c>
      <c r="AN113" s="146">
        <f t="shared" ca="1" si="233"/>
        <v>0</v>
      </c>
      <c r="AO113" s="146">
        <f t="shared" ca="1" si="234"/>
        <v>0</v>
      </c>
      <c r="AP113" s="146" t="str">
        <f t="shared" si="228"/>
        <v>N/A</v>
      </c>
      <c r="AQ113" s="146">
        <f t="shared" si="228"/>
        <v>0</v>
      </c>
      <c r="AR113" s="146">
        <f t="shared" si="235"/>
        <v>0</v>
      </c>
      <c r="AS113" s="146">
        <f t="shared" ca="1" si="236"/>
        <v>0</v>
      </c>
      <c r="AT113" s="146">
        <f t="shared" ca="1" si="237"/>
        <v>0</v>
      </c>
      <c r="AU113" s="146" t="str">
        <f t="shared" si="228"/>
        <v>N/A</v>
      </c>
      <c r="AV113" s="146">
        <f t="shared" si="228"/>
        <v>0</v>
      </c>
      <c r="AW113" s="146">
        <f t="shared" si="238"/>
        <v>0</v>
      </c>
      <c r="AX113" s="146">
        <f t="shared" ca="1" si="239"/>
        <v>0</v>
      </c>
      <c r="AY113" s="146">
        <f t="shared" ca="1" si="240"/>
        <v>0</v>
      </c>
      <c r="AZ113" s="147"/>
      <c r="BA113" s="144" t="s">
        <v>141</v>
      </c>
      <c r="BB113" s="144" t="s">
        <v>140</v>
      </c>
      <c r="BC113" s="144" t="s">
        <v>140</v>
      </c>
      <c r="BD113" s="144" t="s">
        <v>140</v>
      </c>
      <c r="BE113" s="146">
        <v>0.9</v>
      </c>
      <c r="BF113" s="148"/>
      <c r="BG113" s="146"/>
      <c r="BH113" s="117"/>
      <c r="BI113" s="117"/>
      <c r="BJ113" s="149"/>
      <c r="BK113" s="149"/>
      <c r="BL113" s="117">
        <v>0</v>
      </c>
      <c r="BM113" s="117">
        <v>0</v>
      </c>
      <c r="BN113" s="117">
        <v>0</v>
      </c>
      <c r="BO113" s="117">
        <v>1</v>
      </c>
      <c r="BP113" s="117">
        <v>0</v>
      </c>
      <c r="BQ113" s="117">
        <v>0</v>
      </c>
      <c r="BR113" s="117">
        <v>0</v>
      </c>
      <c r="BS113" s="117" t="s">
        <v>150</v>
      </c>
      <c r="BT113" s="167" t="s">
        <v>319</v>
      </c>
      <c r="BU113" s="141"/>
      <c r="BV113" s="141" t="s">
        <v>320</v>
      </c>
      <c r="BW113" s="141">
        <v>1</v>
      </c>
      <c r="BX113" s="153">
        <v>46202</v>
      </c>
      <c r="BY113" s="117"/>
      <c r="BZ113" s="117"/>
      <c r="CA113" s="117"/>
      <c r="CB113" s="117">
        <f t="shared" si="241"/>
        <v>0</v>
      </c>
    </row>
    <row r="114" spans="1:80" ht="16.5" hidden="1" customHeight="1">
      <c r="A114" s="133">
        <v>253</v>
      </c>
      <c r="B114" s="156" t="s">
        <v>361</v>
      </c>
      <c r="C114" s="156" t="s">
        <v>903</v>
      </c>
      <c r="D114" s="156"/>
      <c r="E114" s="156" t="s">
        <v>136</v>
      </c>
      <c r="F114" s="156"/>
      <c r="G114" s="156"/>
      <c r="H114" s="157"/>
      <c r="I114" s="159"/>
      <c r="J114" s="160" t="s">
        <v>136</v>
      </c>
      <c r="K114" s="138">
        <f>+AG114+AL114+AQ114+AV114</f>
        <v>1</v>
      </c>
      <c r="L114" s="160" t="s">
        <v>136</v>
      </c>
      <c r="M114" s="157"/>
      <c r="N114" s="157">
        <v>2507.6</v>
      </c>
      <c r="O114" s="157" t="s">
        <v>137</v>
      </c>
      <c r="P114" s="157"/>
      <c r="Q114" s="157"/>
      <c r="R114" s="157"/>
      <c r="S114" s="157"/>
      <c r="T114" s="157"/>
      <c r="U114" s="157"/>
      <c r="V114" s="157"/>
      <c r="W114" s="135">
        <f ca="1">_xlfn.MINIFS(V:V,C:C,C114,AE:AE,"",AB:AB,"")</f>
        <v>1</v>
      </c>
      <c r="X114" s="135">
        <f ca="1">SUMIFS(T:T,C:C,C114,AE:AE,"")/SUMIFS(L:L,C:C,C114,AE:AE,"",AB:AB,"")</f>
        <v>1</v>
      </c>
      <c r="Y114" s="157"/>
      <c r="Z114" s="157"/>
      <c r="AA114" s="157"/>
      <c r="AB114" s="157"/>
      <c r="AC114" s="157">
        <v>52.8</v>
      </c>
      <c r="AD114" s="161" t="s">
        <v>196</v>
      </c>
      <c r="AE114" s="162" t="s">
        <v>143</v>
      </c>
      <c r="AF114" s="157" t="s">
        <v>281</v>
      </c>
      <c r="AG114" s="157">
        <v>1</v>
      </c>
      <c r="AH114" s="157"/>
      <c r="AI114" s="157"/>
      <c r="AJ114" s="157"/>
      <c r="AK114" s="157" t="s">
        <v>138</v>
      </c>
      <c r="AL114" s="157">
        <v>0</v>
      </c>
      <c r="AM114" s="157"/>
      <c r="AN114" s="157"/>
      <c r="AO114" s="157"/>
      <c r="AP114" s="157" t="s">
        <v>138</v>
      </c>
      <c r="AQ114" s="157">
        <v>0</v>
      </c>
      <c r="AR114" s="157"/>
      <c r="AS114" s="157"/>
      <c r="AT114" s="157"/>
      <c r="AU114" s="157" t="s">
        <v>138</v>
      </c>
      <c r="AV114" s="157">
        <v>0</v>
      </c>
      <c r="AW114" s="157"/>
      <c r="AX114" s="157"/>
      <c r="AY114" s="157"/>
      <c r="AZ114" s="136"/>
      <c r="BA114" s="137" t="s">
        <v>141</v>
      </c>
      <c r="BB114" s="137" t="s">
        <v>140</v>
      </c>
      <c r="BC114" s="137" t="s">
        <v>140</v>
      </c>
      <c r="BD114" s="137" t="s">
        <v>140</v>
      </c>
      <c r="BE114" s="157">
        <v>52.8</v>
      </c>
      <c r="BF114" s="162"/>
      <c r="BG114" s="157"/>
      <c r="BH114" s="161"/>
      <c r="BI114" s="161"/>
      <c r="BJ114" s="163"/>
      <c r="BK114" s="163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4"/>
      <c r="BV114" s="161"/>
      <c r="BW114" s="161"/>
      <c r="BX114" s="163"/>
      <c r="BY114" s="161"/>
      <c r="BZ114" s="161"/>
      <c r="CA114" s="161"/>
      <c r="CB114" s="161"/>
    </row>
    <row r="115" spans="1:80" ht="16.5" hidden="1" customHeight="1">
      <c r="A115" s="117">
        <v>254</v>
      </c>
      <c r="B115" s="154" t="s">
        <v>361</v>
      </c>
      <c r="C115" s="154" t="s">
        <v>903</v>
      </c>
      <c r="D115" s="154" t="s">
        <v>13</v>
      </c>
      <c r="E115" s="154" t="s">
        <v>289</v>
      </c>
      <c r="F115" s="154" t="s">
        <v>362</v>
      </c>
      <c r="G115" s="154" t="s">
        <v>199</v>
      </c>
      <c r="H115" s="146">
        <v>5258</v>
      </c>
      <c r="I115" s="147" t="s">
        <v>147</v>
      </c>
      <c r="J115" s="144">
        <v>1</v>
      </c>
      <c r="K115" s="145">
        <f t="shared" ref="K115:K117" si="242">K114</f>
        <v>1</v>
      </c>
      <c r="L115" s="144">
        <f t="shared" ref="L115:L117" si="243">+K115*J115</f>
        <v>1</v>
      </c>
      <c r="M115" s="146">
        <v>136.1</v>
      </c>
      <c r="N115" s="146">
        <f t="shared" ref="N115:N117" si="244">+M115*L115</f>
        <v>136.1</v>
      </c>
      <c r="O115" s="146" t="s">
        <v>137</v>
      </c>
      <c r="P115" s="146" t="s">
        <v>13</v>
      </c>
      <c r="Q115" s="146" t="s">
        <v>148</v>
      </c>
      <c r="R115" s="146"/>
      <c r="S115" s="146"/>
      <c r="T115" s="146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46">
        <f t="shared" ref="U115:U117" ca="1" si="245">+L115-T115</f>
        <v>0</v>
      </c>
      <c r="V115" s="146">
        <f t="shared" ref="V115:V117" ca="1" si="246">ROUNDDOWN(T115/J115,0)</f>
        <v>1</v>
      </c>
      <c r="W115" s="146"/>
      <c r="X115" s="146"/>
      <c r="Y115" s="146"/>
      <c r="Z115" s="146"/>
      <c r="AA115" s="146"/>
      <c r="AB115" s="146"/>
      <c r="AC115" s="146">
        <v>2.5</v>
      </c>
      <c r="AD115" s="117" t="s">
        <v>196</v>
      </c>
      <c r="AE115" s="148"/>
      <c r="AF115" s="146" t="str">
        <f t="shared" ref="AF115:AV117" si="247">AF114</f>
        <v>AMC 2-S1</v>
      </c>
      <c r="AG115" s="146">
        <f t="shared" si="247"/>
        <v>1</v>
      </c>
      <c r="AH115" s="146">
        <f t="shared" ref="AH115:AH117" si="248">+AG115*J115</f>
        <v>1</v>
      </c>
      <c r="AI115" s="146">
        <f t="shared" ref="AI115:AI117" ca="1" si="249">MIN(T115,AH115)</f>
        <v>1</v>
      </c>
      <c r="AJ115" s="146">
        <f t="shared" ref="AJ115:AJ117" ca="1" si="250">+AH115-AI115</f>
        <v>0</v>
      </c>
      <c r="AK115" s="146" t="str">
        <f t="shared" si="247"/>
        <v>N/A</v>
      </c>
      <c r="AL115" s="146">
        <f t="shared" si="247"/>
        <v>0</v>
      </c>
      <c r="AM115" s="146">
        <f t="shared" ref="AM115:AM117" si="251">+AL115*J115</f>
        <v>0</v>
      </c>
      <c r="AN115" s="146">
        <f t="shared" ref="AN115:AN117" ca="1" si="252">MIN(T115-AI115,AL115)</f>
        <v>0</v>
      </c>
      <c r="AO115" s="146">
        <f t="shared" ref="AO115:AO117" ca="1" si="253">+AM115-AN115</f>
        <v>0</v>
      </c>
      <c r="AP115" s="146" t="str">
        <f t="shared" si="247"/>
        <v>N/A</v>
      </c>
      <c r="AQ115" s="146">
        <f t="shared" si="247"/>
        <v>0</v>
      </c>
      <c r="AR115" s="146">
        <f t="shared" ref="AR115:AR117" si="254">+AQ115*J115</f>
        <v>0</v>
      </c>
      <c r="AS115" s="146">
        <f t="shared" ref="AS115:AS117" ca="1" si="255">MIN(T115-AI115-AN115,AR115)</f>
        <v>0</v>
      </c>
      <c r="AT115" s="146">
        <f t="shared" ref="AT115:AT117" ca="1" si="256">+AR115-AS115</f>
        <v>0</v>
      </c>
      <c r="AU115" s="146" t="str">
        <f t="shared" si="247"/>
        <v>N/A</v>
      </c>
      <c r="AV115" s="146">
        <f t="shared" si="247"/>
        <v>0</v>
      </c>
      <c r="AW115" s="146">
        <f t="shared" ref="AW115:AW117" si="257">+AV115*J115</f>
        <v>0</v>
      </c>
      <c r="AX115" s="146">
        <f t="shared" ref="AX115:AX117" ca="1" si="258">MIN(T115-AI115-AN115-AS115,AW115)</f>
        <v>0</v>
      </c>
      <c r="AY115" s="146">
        <f t="shared" ref="AY115:AY117" ca="1" si="259">+AW115-AX115</f>
        <v>0</v>
      </c>
      <c r="AZ115" s="147"/>
      <c r="BA115" s="144" t="s">
        <v>141</v>
      </c>
      <c r="BB115" s="144" t="s">
        <v>140</v>
      </c>
      <c r="BC115" s="144" t="s">
        <v>140</v>
      </c>
      <c r="BD115" s="144" t="s">
        <v>140</v>
      </c>
      <c r="BE115" s="146">
        <v>2.5</v>
      </c>
      <c r="BF115" s="148"/>
      <c r="BG115" s="146"/>
      <c r="BH115" s="117"/>
      <c r="BI115" s="117"/>
      <c r="BJ115" s="149"/>
      <c r="BK115" s="149"/>
      <c r="BL115" s="117">
        <v>0</v>
      </c>
      <c r="BM115" s="117">
        <v>0</v>
      </c>
      <c r="BN115" s="117">
        <v>0</v>
      </c>
      <c r="BO115" s="117">
        <v>1</v>
      </c>
      <c r="BP115" s="117">
        <v>0</v>
      </c>
      <c r="BQ115" s="117">
        <v>0</v>
      </c>
      <c r="BR115" s="117">
        <v>0</v>
      </c>
      <c r="BS115" s="117" t="s">
        <v>150</v>
      </c>
      <c r="BT115" s="117"/>
      <c r="BU115" s="155"/>
      <c r="BV115" s="117" t="s">
        <v>57</v>
      </c>
      <c r="BW115" s="117">
        <v>1</v>
      </c>
      <c r="BX115" s="149"/>
      <c r="BY115" s="117"/>
      <c r="BZ115" s="117"/>
      <c r="CA115" s="117"/>
      <c r="CB115" s="117">
        <f>+L115-BW115</f>
        <v>0</v>
      </c>
    </row>
    <row r="116" spans="1:80" ht="16.5" customHeight="1">
      <c r="A116" s="117">
        <v>255</v>
      </c>
      <c r="B116" s="154" t="s">
        <v>361</v>
      </c>
      <c r="C116" s="154" t="s">
        <v>903</v>
      </c>
      <c r="D116" s="154" t="s">
        <v>13</v>
      </c>
      <c r="E116" s="154" t="s">
        <v>363</v>
      </c>
      <c r="F116" s="154" t="s">
        <v>364</v>
      </c>
      <c r="G116" s="154" t="s">
        <v>365</v>
      </c>
      <c r="H116" s="146">
        <v>6006</v>
      </c>
      <c r="I116" s="147" t="s">
        <v>147</v>
      </c>
      <c r="J116" s="144">
        <v>1</v>
      </c>
      <c r="K116" s="145">
        <f t="shared" si="242"/>
        <v>1</v>
      </c>
      <c r="L116" s="144">
        <f t="shared" si="243"/>
        <v>1</v>
      </c>
      <c r="M116" s="146">
        <v>2259.1</v>
      </c>
      <c r="N116" s="146">
        <f t="shared" si="244"/>
        <v>2259.1</v>
      </c>
      <c r="O116" s="146" t="s">
        <v>137</v>
      </c>
      <c r="P116" s="146" t="s">
        <v>13</v>
      </c>
      <c r="Q116" s="146" t="s">
        <v>154</v>
      </c>
      <c r="R116" s="146"/>
      <c r="S116" s="146"/>
      <c r="T116" s="146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46">
        <f t="shared" ca="1" si="245"/>
        <v>0</v>
      </c>
      <c r="V116" s="146">
        <f t="shared" ca="1" si="246"/>
        <v>1</v>
      </c>
      <c r="W116" s="146"/>
      <c r="X116" s="146"/>
      <c r="Y116" s="146"/>
      <c r="Z116" s="146"/>
      <c r="AA116" s="146"/>
      <c r="AB116" s="146"/>
      <c r="AC116" s="146">
        <v>48.2</v>
      </c>
      <c r="AD116" s="117" t="s">
        <v>196</v>
      </c>
      <c r="AE116" s="148"/>
      <c r="AF116" s="146" t="str">
        <f t="shared" si="247"/>
        <v>AMC 2-S1</v>
      </c>
      <c r="AG116" s="146">
        <f t="shared" si="247"/>
        <v>1</v>
      </c>
      <c r="AH116" s="146">
        <f t="shared" si="248"/>
        <v>1</v>
      </c>
      <c r="AI116" s="146">
        <f t="shared" ca="1" si="249"/>
        <v>1</v>
      </c>
      <c r="AJ116" s="146">
        <f t="shared" ca="1" si="250"/>
        <v>0</v>
      </c>
      <c r="AK116" s="146" t="str">
        <f t="shared" si="247"/>
        <v>N/A</v>
      </c>
      <c r="AL116" s="146">
        <f t="shared" si="247"/>
        <v>0</v>
      </c>
      <c r="AM116" s="146">
        <f t="shared" si="251"/>
        <v>0</v>
      </c>
      <c r="AN116" s="146">
        <f t="shared" ca="1" si="252"/>
        <v>0</v>
      </c>
      <c r="AO116" s="146">
        <f t="shared" ca="1" si="253"/>
        <v>0</v>
      </c>
      <c r="AP116" s="146" t="str">
        <f t="shared" si="247"/>
        <v>N/A</v>
      </c>
      <c r="AQ116" s="146">
        <f t="shared" si="247"/>
        <v>0</v>
      </c>
      <c r="AR116" s="146">
        <f t="shared" si="254"/>
        <v>0</v>
      </c>
      <c r="AS116" s="146">
        <f t="shared" ca="1" si="255"/>
        <v>0</v>
      </c>
      <c r="AT116" s="146">
        <f t="shared" ca="1" si="256"/>
        <v>0</v>
      </c>
      <c r="AU116" s="146" t="str">
        <f t="shared" si="247"/>
        <v>N/A</v>
      </c>
      <c r="AV116" s="146">
        <f t="shared" si="247"/>
        <v>0</v>
      </c>
      <c r="AW116" s="146">
        <f t="shared" si="257"/>
        <v>0</v>
      </c>
      <c r="AX116" s="146">
        <f t="shared" ca="1" si="258"/>
        <v>0</v>
      </c>
      <c r="AY116" s="146">
        <f t="shared" ca="1" si="259"/>
        <v>0</v>
      </c>
      <c r="AZ116" s="147"/>
      <c r="BA116" s="144" t="s">
        <v>141</v>
      </c>
      <c r="BB116" s="144" t="s">
        <v>140</v>
      </c>
      <c r="BC116" s="144" t="s">
        <v>140</v>
      </c>
      <c r="BD116" s="144" t="s">
        <v>140</v>
      </c>
      <c r="BE116" s="146">
        <v>48.2</v>
      </c>
      <c r="BF116" s="148"/>
      <c r="BG116" s="146"/>
      <c r="BH116" s="117"/>
      <c r="BI116" s="117"/>
      <c r="BJ116" s="149"/>
      <c r="BK116" s="149"/>
      <c r="BL116" s="117">
        <v>0</v>
      </c>
      <c r="BM116" s="117">
        <v>1</v>
      </c>
      <c r="BN116" s="117">
        <v>0</v>
      </c>
      <c r="BO116" s="117">
        <v>1</v>
      </c>
      <c r="BP116" s="117">
        <v>0</v>
      </c>
      <c r="BQ116" s="117">
        <v>0</v>
      </c>
      <c r="BR116" s="117">
        <v>0</v>
      </c>
      <c r="BS116" s="117" t="s">
        <v>150</v>
      </c>
      <c r="BT116" s="117"/>
      <c r="BU116" s="155"/>
      <c r="BV116" s="117" t="s">
        <v>57</v>
      </c>
      <c r="BW116" s="117">
        <v>1</v>
      </c>
      <c r="BX116" s="149"/>
      <c r="BY116" s="117"/>
      <c r="BZ116" s="117"/>
      <c r="CA116" s="117"/>
      <c r="CB116" s="117">
        <f>+L116-BW116</f>
        <v>0</v>
      </c>
    </row>
    <row r="117" spans="1:80" ht="16.5" hidden="1" customHeight="1">
      <c r="A117" s="117">
        <v>256</v>
      </c>
      <c r="B117" s="154" t="s">
        <v>361</v>
      </c>
      <c r="C117" s="154" t="s">
        <v>903</v>
      </c>
      <c r="D117" s="154" t="s">
        <v>13</v>
      </c>
      <c r="E117" s="154" t="s">
        <v>366</v>
      </c>
      <c r="F117" s="154" t="s">
        <v>367</v>
      </c>
      <c r="G117" s="154" t="s">
        <v>204</v>
      </c>
      <c r="H117" s="146">
        <v>4773</v>
      </c>
      <c r="I117" s="147" t="s">
        <v>147</v>
      </c>
      <c r="J117" s="144">
        <v>1</v>
      </c>
      <c r="K117" s="145">
        <f t="shared" si="242"/>
        <v>1</v>
      </c>
      <c r="L117" s="144">
        <f t="shared" si="243"/>
        <v>1</v>
      </c>
      <c r="M117" s="146">
        <v>112.3</v>
      </c>
      <c r="N117" s="146">
        <f t="shared" si="244"/>
        <v>112.3</v>
      </c>
      <c r="O117" s="146" t="s">
        <v>137</v>
      </c>
      <c r="P117" s="146" t="s">
        <v>13</v>
      </c>
      <c r="Q117" s="146" t="s">
        <v>148</v>
      </c>
      <c r="R117" s="146"/>
      <c r="S117" s="146"/>
      <c r="T117" s="146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46">
        <f t="shared" ca="1" si="245"/>
        <v>0</v>
      </c>
      <c r="V117" s="146">
        <f t="shared" ca="1" si="246"/>
        <v>1</v>
      </c>
      <c r="W117" s="146"/>
      <c r="X117" s="146"/>
      <c r="Y117" s="146"/>
      <c r="Z117" s="146"/>
      <c r="AA117" s="146"/>
      <c r="AB117" s="146"/>
      <c r="AC117" s="146">
        <v>2.1</v>
      </c>
      <c r="AD117" s="117" t="s">
        <v>196</v>
      </c>
      <c r="AE117" s="148"/>
      <c r="AF117" s="146" t="str">
        <f t="shared" si="247"/>
        <v>AMC 2-S1</v>
      </c>
      <c r="AG117" s="146">
        <f t="shared" si="247"/>
        <v>1</v>
      </c>
      <c r="AH117" s="146">
        <f t="shared" si="248"/>
        <v>1</v>
      </c>
      <c r="AI117" s="146">
        <f t="shared" ca="1" si="249"/>
        <v>1</v>
      </c>
      <c r="AJ117" s="146">
        <f t="shared" ca="1" si="250"/>
        <v>0</v>
      </c>
      <c r="AK117" s="146" t="str">
        <f t="shared" si="247"/>
        <v>N/A</v>
      </c>
      <c r="AL117" s="146">
        <f t="shared" si="247"/>
        <v>0</v>
      </c>
      <c r="AM117" s="146">
        <f t="shared" si="251"/>
        <v>0</v>
      </c>
      <c r="AN117" s="146">
        <f t="shared" ca="1" si="252"/>
        <v>0</v>
      </c>
      <c r="AO117" s="146">
        <f t="shared" ca="1" si="253"/>
        <v>0</v>
      </c>
      <c r="AP117" s="146" t="str">
        <f t="shared" si="247"/>
        <v>N/A</v>
      </c>
      <c r="AQ117" s="146">
        <f t="shared" si="247"/>
        <v>0</v>
      </c>
      <c r="AR117" s="146">
        <f t="shared" si="254"/>
        <v>0</v>
      </c>
      <c r="AS117" s="146">
        <f t="shared" ca="1" si="255"/>
        <v>0</v>
      </c>
      <c r="AT117" s="146">
        <f t="shared" ca="1" si="256"/>
        <v>0</v>
      </c>
      <c r="AU117" s="146" t="str">
        <f t="shared" si="247"/>
        <v>N/A</v>
      </c>
      <c r="AV117" s="146">
        <f t="shared" si="247"/>
        <v>0</v>
      </c>
      <c r="AW117" s="146">
        <f t="shared" si="257"/>
        <v>0</v>
      </c>
      <c r="AX117" s="146">
        <f t="shared" ca="1" si="258"/>
        <v>0</v>
      </c>
      <c r="AY117" s="146">
        <f t="shared" ca="1" si="259"/>
        <v>0</v>
      </c>
      <c r="AZ117" s="147"/>
      <c r="BA117" s="144" t="s">
        <v>141</v>
      </c>
      <c r="BB117" s="144" t="s">
        <v>140</v>
      </c>
      <c r="BC117" s="144" t="s">
        <v>140</v>
      </c>
      <c r="BD117" s="144" t="s">
        <v>140</v>
      </c>
      <c r="BE117" s="146">
        <v>2.1</v>
      </c>
      <c r="BF117" s="148"/>
      <c r="BG117" s="146"/>
      <c r="BH117" s="117"/>
      <c r="BI117" s="117"/>
      <c r="BJ117" s="149"/>
      <c r="BK117" s="149"/>
      <c r="BL117" s="117">
        <v>0</v>
      </c>
      <c r="BM117" s="117">
        <v>0</v>
      </c>
      <c r="BN117" s="117">
        <v>0</v>
      </c>
      <c r="BO117" s="117">
        <v>1</v>
      </c>
      <c r="BP117" s="117">
        <v>0</v>
      </c>
      <c r="BQ117" s="117">
        <v>0</v>
      </c>
      <c r="BR117" s="117">
        <v>0</v>
      </c>
      <c r="BS117" s="117" t="s">
        <v>150</v>
      </c>
      <c r="BT117" s="117"/>
      <c r="BU117" s="155"/>
      <c r="BV117" s="117" t="s">
        <v>57</v>
      </c>
      <c r="BW117" s="117">
        <v>1</v>
      </c>
      <c r="BX117" s="149"/>
      <c r="BY117" s="117"/>
      <c r="BZ117" s="117"/>
      <c r="CA117" s="117"/>
      <c r="CB117" s="117">
        <f>+L117-BW117</f>
        <v>0</v>
      </c>
    </row>
    <row r="118" spans="1:80" ht="16.5" hidden="1" customHeight="1">
      <c r="A118" s="133">
        <v>257</v>
      </c>
      <c r="B118" s="156" t="s">
        <v>368</v>
      </c>
      <c r="C118" s="156" t="s">
        <v>904</v>
      </c>
      <c r="D118" s="156"/>
      <c r="E118" s="156" t="s">
        <v>136</v>
      </c>
      <c r="F118" s="156"/>
      <c r="G118" s="156"/>
      <c r="H118" s="157"/>
      <c r="I118" s="159"/>
      <c r="J118" s="160" t="s">
        <v>136</v>
      </c>
      <c r="K118" s="138">
        <f>+AG118+AL118+AQ118+AV118</f>
        <v>1</v>
      </c>
      <c r="L118" s="160" t="s">
        <v>136</v>
      </c>
      <c r="M118" s="157"/>
      <c r="N118" s="157">
        <v>4152.2</v>
      </c>
      <c r="O118" s="157" t="s">
        <v>137</v>
      </c>
      <c r="P118" s="157"/>
      <c r="Q118" s="157"/>
      <c r="R118" s="157"/>
      <c r="S118" s="157"/>
      <c r="T118" s="157"/>
      <c r="U118" s="157"/>
      <c r="V118" s="157"/>
      <c r="W118" s="135">
        <f ca="1">_xlfn.MINIFS(V:V,C:C,C118,AE:AE,"",AB:AB,"")</f>
        <v>0</v>
      </c>
      <c r="X118" s="135">
        <f ca="1">SUMIFS(T:T,C:C,C118,AE:AE,"")/SUMIFS(L:L,C:C,C118,AE:AE,"",AB:AB,"")</f>
        <v>0</v>
      </c>
      <c r="Y118" s="157"/>
      <c r="Z118" s="157"/>
      <c r="AA118" s="157"/>
      <c r="AB118" s="157"/>
      <c r="AC118" s="157">
        <v>101.5</v>
      </c>
      <c r="AD118" s="161" t="s">
        <v>142</v>
      </c>
      <c r="AE118" s="162" t="s">
        <v>143</v>
      </c>
      <c r="AF118" s="157" t="s">
        <v>138</v>
      </c>
      <c r="AG118" s="157">
        <v>0</v>
      </c>
      <c r="AH118" s="157"/>
      <c r="AI118" s="157"/>
      <c r="AJ118" s="157"/>
      <c r="AK118" s="157" t="s">
        <v>138</v>
      </c>
      <c r="AL118" s="157">
        <v>0</v>
      </c>
      <c r="AM118" s="157"/>
      <c r="AN118" s="157"/>
      <c r="AO118" s="157"/>
      <c r="AP118" s="157" t="s">
        <v>139</v>
      </c>
      <c r="AQ118" s="157">
        <v>1</v>
      </c>
      <c r="AR118" s="157"/>
      <c r="AS118" s="157"/>
      <c r="AT118" s="157"/>
      <c r="AU118" s="157" t="s">
        <v>138</v>
      </c>
      <c r="AV118" s="157">
        <v>0</v>
      </c>
      <c r="AW118" s="157"/>
      <c r="AX118" s="157"/>
      <c r="AY118" s="157"/>
      <c r="AZ118" s="136"/>
      <c r="BA118" s="137" t="s">
        <v>140</v>
      </c>
      <c r="BB118" s="137" t="s">
        <v>140</v>
      </c>
      <c r="BC118" s="137" t="s">
        <v>141</v>
      </c>
      <c r="BD118" s="137" t="s">
        <v>140</v>
      </c>
      <c r="BE118" s="157">
        <v>101.5</v>
      </c>
      <c r="BF118" s="162"/>
      <c r="BG118" s="157"/>
      <c r="BH118" s="161"/>
      <c r="BI118" s="161"/>
      <c r="BJ118" s="163"/>
      <c r="BK118" s="163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4"/>
      <c r="BV118" s="161"/>
      <c r="BW118" s="161"/>
      <c r="BX118" s="163"/>
      <c r="BY118" s="161"/>
      <c r="BZ118" s="161"/>
      <c r="CA118" s="161"/>
      <c r="CB118" s="161"/>
    </row>
    <row r="119" spans="1:80" ht="16.5" hidden="1" customHeight="1">
      <c r="A119" s="117">
        <v>258</v>
      </c>
      <c r="B119" s="154" t="s">
        <v>368</v>
      </c>
      <c r="C119" s="154" t="s">
        <v>904</v>
      </c>
      <c r="D119" s="154" t="s">
        <v>13</v>
      </c>
      <c r="E119" s="154" t="s">
        <v>369</v>
      </c>
      <c r="F119" s="154" t="s">
        <v>370</v>
      </c>
      <c r="G119" s="154" t="s">
        <v>160</v>
      </c>
      <c r="H119" s="146">
        <v>4680</v>
      </c>
      <c r="I119" s="147" t="s">
        <v>147</v>
      </c>
      <c r="J119" s="144">
        <v>1</v>
      </c>
      <c r="K119" s="145">
        <f t="shared" ref="K119:K137" si="260">K118</f>
        <v>1</v>
      </c>
      <c r="L119" s="144">
        <f t="shared" ref="L119:L137" si="261">+K119*J119</f>
        <v>1</v>
      </c>
      <c r="M119" s="146">
        <v>92.5</v>
      </c>
      <c r="N119" s="146">
        <f t="shared" ref="N119:N137" si="262">+M119*L119</f>
        <v>92.5</v>
      </c>
      <c r="O119" s="146" t="s">
        <v>137</v>
      </c>
      <c r="P119" s="146" t="s">
        <v>13</v>
      </c>
      <c r="Q119" s="146" t="s">
        <v>148</v>
      </c>
      <c r="R119" s="146"/>
      <c r="S119" s="146"/>
      <c r="T119" s="146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0</v>
      </c>
      <c r="U119" s="146">
        <f t="shared" ref="U119:U137" ca="1" si="263">+L119-T119</f>
        <v>1</v>
      </c>
      <c r="V119" s="146">
        <f t="shared" ref="V119:V137" ca="1" si="264">ROUNDDOWN(T119/J119,0)</f>
        <v>0</v>
      </c>
      <c r="W119" s="146"/>
      <c r="X119" s="146"/>
      <c r="Y119" s="146"/>
      <c r="Z119" s="146"/>
      <c r="AA119" s="146"/>
      <c r="AB119" s="146"/>
      <c r="AC119" s="146">
        <v>1.7</v>
      </c>
      <c r="AD119" s="117" t="s">
        <v>142</v>
      </c>
      <c r="AE119" s="148"/>
      <c r="AF119" s="146" t="str">
        <f t="shared" ref="AF119:AV137" si="265">AF118</f>
        <v>N/A</v>
      </c>
      <c r="AG119" s="146">
        <f t="shared" si="265"/>
        <v>0</v>
      </c>
      <c r="AH119" s="146">
        <f t="shared" ref="AH119:AH137" si="266">+AG119*J119</f>
        <v>0</v>
      </c>
      <c r="AI119" s="146">
        <f t="shared" ref="AI119:AI137" ca="1" si="267">MIN(T119,AH119)</f>
        <v>0</v>
      </c>
      <c r="AJ119" s="146">
        <f t="shared" ref="AJ119:AJ137" ca="1" si="268">+AH119-AI119</f>
        <v>0</v>
      </c>
      <c r="AK119" s="146" t="str">
        <f t="shared" si="265"/>
        <v>N/A</v>
      </c>
      <c r="AL119" s="146">
        <f t="shared" si="265"/>
        <v>0</v>
      </c>
      <c r="AM119" s="146">
        <f t="shared" ref="AM119:AM137" si="269">+AL119*J119</f>
        <v>0</v>
      </c>
      <c r="AN119" s="146">
        <f t="shared" ref="AN119:AN137" ca="1" si="270">MIN(T119-AI119,AL119)</f>
        <v>0</v>
      </c>
      <c r="AO119" s="146">
        <f t="shared" ref="AO119:AO137" ca="1" si="271">+AM119-AN119</f>
        <v>0</v>
      </c>
      <c r="AP119" s="146" t="str">
        <f t="shared" si="265"/>
        <v>AMC 2-S3</v>
      </c>
      <c r="AQ119" s="146">
        <f t="shared" si="265"/>
        <v>1</v>
      </c>
      <c r="AR119" s="146">
        <f t="shared" ref="AR119:AR137" si="272">+AQ119*J119</f>
        <v>1</v>
      </c>
      <c r="AS119" s="146">
        <f t="shared" ref="AS119:AS137" ca="1" si="273">MIN(T119-AI119-AN119,AR119)</f>
        <v>0</v>
      </c>
      <c r="AT119" s="146">
        <f t="shared" ref="AT119:AT137" ca="1" si="274">+AR119-AS119</f>
        <v>1</v>
      </c>
      <c r="AU119" s="146" t="str">
        <f t="shared" si="265"/>
        <v>N/A</v>
      </c>
      <c r="AV119" s="146">
        <f t="shared" si="265"/>
        <v>0</v>
      </c>
      <c r="AW119" s="146">
        <f t="shared" ref="AW119:AW137" si="275">+AV119*J119</f>
        <v>0</v>
      </c>
      <c r="AX119" s="146">
        <f t="shared" ref="AX119:AX137" ca="1" si="276">MIN(T119-AI119-AN119-AS119,AW119)</f>
        <v>0</v>
      </c>
      <c r="AY119" s="146">
        <f t="shared" ref="AY119:AY137" ca="1" si="277">+AW119-AX119</f>
        <v>0</v>
      </c>
      <c r="AZ119" s="147"/>
      <c r="BA119" s="144" t="s">
        <v>140</v>
      </c>
      <c r="BB119" s="144" t="s">
        <v>140</v>
      </c>
      <c r="BC119" s="144" t="s">
        <v>141</v>
      </c>
      <c r="BD119" s="144" t="s">
        <v>140</v>
      </c>
      <c r="BE119" s="146">
        <v>1.7</v>
      </c>
      <c r="BF119" s="148"/>
      <c r="BG119" s="146"/>
      <c r="BH119" s="117"/>
      <c r="BI119" s="117"/>
      <c r="BJ119" s="149"/>
      <c r="BK119" s="150" t="s">
        <v>149</v>
      </c>
      <c r="BL119" s="151">
        <v>0</v>
      </c>
      <c r="BM119" s="151">
        <v>0</v>
      </c>
      <c r="BN119" s="151">
        <v>0</v>
      </c>
      <c r="BO119" s="151">
        <v>1</v>
      </c>
      <c r="BP119" s="151">
        <v>0</v>
      </c>
      <c r="BQ119" s="151">
        <v>0</v>
      </c>
      <c r="BR119" s="151">
        <v>0</v>
      </c>
      <c r="BS119" s="117" t="s">
        <v>150</v>
      </c>
      <c r="BT119" s="117"/>
      <c r="BU119" s="155"/>
      <c r="BV119" s="117"/>
      <c r="BW119" s="117"/>
      <c r="BX119" s="149"/>
      <c r="BY119" s="117"/>
      <c r="BZ119" s="117"/>
      <c r="CA119" s="117"/>
      <c r="CB119" s="117">
        <f t="shared" ref="CB119:CB137" si="278">+L119-BW119</f>
        <v>1</v>
      </c>
    </row>
    <row r="120" spans="1:80" ht="16.5" hidden="1" customHeight="1">
      <c r="A120" s="117">
        <v>259</v>
      </c>
      <c r="B120" s="154" t="s">
        <v>368</v>
      </c>
      <c r="C120" s="154" t="s">
        <v>904</v>
      </c>
      <c r="D120" s="154" t="s">
        <v>13</v>
      </c>
      <c r="E120" s="154" t="s">
        <v>371</v>
      </c>
      <c r="F120" s="154" t="s">
        <v>372</v>
      </c>
      <c r="G120" s="154" t="s">
        <v>373</v>
      </c>
      <c r="H120" s="146">
        <v>4383</v>
      </c>
      <c r="I120" s="147" t="s">
        <v>147</v>
      </c>
      <c r="J120" s="144">
        <v>1</v>
      </c>
      <c r="K120" s="145">
        <f t="shared" si="260"/>
        <v>1</v>
      </c>
      <c r="L120" s="144">
        <f t="shared" si="261"/>
        <v>1</v>
      </c>
      <c r="M120" s="146">
        <v>955.7</v>
      </c>
      <c r="N120" s="146">
        <f t="shared" si="262"/>
        <v>955.7</v>
      </c>
      <c r="O120" s="146" t="s">
        <v>137</v>
      </c>
      <c r="P120" s="146" t="s">
        <v>13</v>
      </c>
      <c r="Q120" s="146" t="s">
        <v>148</v>
      </c>
      <c r="R120" s="146"/>
      <c r="S120" s="146"/>
      <c r="T120" s="146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0</v>
      </c>
      <c r="U120" s="146">
        <f t="shared" ca="1" si="263"/>
        <v>1</v>
      </c>
      <c r="V120" s="146">
        <f t="shared" ca="1" si="264"/>
        <v>0</v>
      </c>
      <c r="W120" s="146"/>
      <c r="X120" s="146"/>
      <c r="Y120" s="146"/>
      <c r="Z120" s="146"/>
      <c r="AA120" s="146"/>
      <c r="AB120" s="146"/>
      <c r="AC120" s="146">
        <v>24.7</v>
      </c>
      <c r="AD120" s="117" t="s">
        <v>142</v>
      </c>
      <c r="AE120" s="148"/>
      <c r="AF120" s="146" t="str">
        <f t="shared" si="265"/>
        <v>N/A</v>
      </c>
      <c r="AG120" s="146">
        <f t="shared" si="265"/>
        <v>0</v>
      </c>
      <c r="AH120" s="146">
        <f t="shared" si="266"/>
        <v>0</v>
      </c>
      <c r="AI120" s="146">
        <f t="shared" ca="1" si="267"/>
        <v>0</v>
      </c>
      <c r="AJ120" s="146">
        <f t="shared" ca="1" si="268"/>
        <v>0</v>
      </c>
      <c r="AK120" s="146" t="str">
        <f t="shared" si="265"/>
        <v>N/A</v>
      </c>
      <c r="AL120" s="146">
        <f t="shared" si="265"/>
        <v>0</v>
      </c>
      <c r="AM120" s="146">
        <f t="shared" si="269"/>
        <v>0</v>
      </c>
      <c r="AN120" s="146">
        <f t="shared" ca="1" si="270"/>
        <v>0</v>
      </c>
      <c r="AO120" s="146">
        <f t="shared" ca="1" si="271"/>
        <v>0</v>
      </c>
      <c r="AP120" s="146" t="str">
        <f t="shared" si="265"/>
        <v>AMC 2-S3</v>
      </c>
      <c r="AQ120" s="146">
        <f t="shared" si="265"/>
        <v>1</v>
      </c>
      <c r="AR120" s="146">
        <f t="shared" si="272"/>
        <v>1</v>
      </c>
      <c r="AS120" s="146">
        <f t="shared" ca="1" si="273"/>
        <v>0</v>
      </c>
      <c r="AT120" s="146">
        <f t="shared" ca="1" si="274"/>
        <v>1</v>
      </c>
      <c r="AU120" s="146" t="str">
        <f t="shared" si="265"/>
        <v>N/A</v>
      </c>
      <c r="AV120" s="146">
        <f t="shared" si="265"/>
        <v>0</v>
      </c>
      <c r="AW120" s="146">
        <f t="shared" si="275"/>
        <v>0</v>
      </c>
      <c r="AX120" s="146">
        <f t="shared" ca="1" si="276"/>
        <v>0</v>
      </c>
      <c r="AY120" s="146">
        <f t="shared" ca="1" si="277"/>
        <v>0</v>
      </c>
      <c r="AZ120" s="147"/>
      <c r="BA120" s="144" t="s">
        <v>140</v>
      </c>
      <c r="BB120" s="144" t="s">
        <v>140</v>
      </c>
      <c r="BC120" s="144" t="s">
        <v>141</v>
      </c>
      <c r="BD120" s="144" t="s">
        <v>140</v>
      </c>
      <c r="BE120" s="146">
        <v>24.7</v>
      </c>
      <c r="BF120" s="148"/>
      <c r="BG120" s="146"/>
      <c r="BH120" s="117"/>
      <c r="BI120" s="117"/>
      <c r="BJ120" s="149"/>
      <c r="BK120" s="149"/>
      <c r="BL120" s="117"/>
      <c r="BM120" s="117"/>
      <c r="BN120" s="117"/>
      <c r="BO120" s="117"/>
      <c r="BP120" s="117"/>
      <c r="BQ120" s="117"/>
      <c r="BR120" s="117"/>
      <c r="BS120" s="117" t="s">
        <v>150</v>
      </c>
      <c r="BT120" s="117"/>
      <c r="BU120" s="155"/>
      <c r="BV120" s="117"/>
      <c r="BW120" s="117"/>
      <c r="BX120" s="149"/>
      <c r="BY120" s="117"/>
      <c r="BZ120" s="117"/>
      <c r="CA120" s="117"/>
      <c r="CB120" s="117">
        <f t="shared" si="278"/>
        <v>1</v>
      </c>
    </row>
    <row r="121" spans="1:80" ht="16.5" hidden="1" customHeight="1">
      <c r="A121" s="117">
        <v>260</v>
      </c>
      <c r="B121" s="154" t="s">
        <v>368</v>
      </c>
      <c r="C121" s="154" t="s">
        <v>904</v>
      </c>
      <c r="D121" s="154" t="s">
        <v>13</v>
      </c>
      <c r="E121" s="154" t="s">
        <v>374</v>
      </c>
      <c r="F121" s="154" t="s">
        <v>375</v>
      </c>
      <c r="G121" s="154" t="s">
        <v>376</v>
      </c>
      <c r="H121" s="146">
        <v>3640</v>
      </c>
      <c r="I121" s="147" t="s">
        <v>147</v>
      </c>
      <c r="J121" s="144">
        <v>1</v>
      </c>
      <c r="K121" s="145">
        <f t="shared" si="260"/>
        <v>1</v>
      </c>
      <c r="L121" s="144">
        <f t="shared" si="261"/>
        <v>1</v>
      </c>
      <c r="M121" s="146">
        <v>1964.7</v>
      </c>
      <c r="N121" s="146">
        <f t="shared" si="262"/>
        <v>1964.7</v>
      </c>
      <c r="O121" s="146" t="s">
        <v>137</v>
      </c>
      <c r="P121" s="146" t="s">
        <v>13</v>
      </c>
      <c r="Q121" s="146" t="s">
        <v>148</v>
      </c>
      <c r="R121" s="146"/>
      <c r="S121" s="146"/>
      <c r="T121" s="146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0</v>
      </c>
      <c r="U121" s="146">
        <f t="shared" ca="1" si="263"/>
        <v>1</v>
      </c>
      <c r="V121" s="146">
        <f t="shared" ca="1" si="264"/>
        <v>0</v>
      </c>
      <c r="W121" s="146"/>
      <c r="X121" s="146"/>
      <c r="Y121" s="146"/>
      <c r="Z121" s="146"/>
      <c r="AA121" s="146"/>
      <c r="AB121" s="146"/>
      <c r="AC121" s="146">
        <v>50.3</v>
      </c>
      <c r="AD121" s="117" t="s">
        <v>142</v>
      </c>
      <c r="AE121" s="148"/>
      <c r="AF121" s="146" t="str">
        <f t="shared" si="265"/>
        <v>N/A</v>
      </c>
      <c r="AG121" s="146">
        <f t="shared" si="265"/>
        <v>0</v>
      </c>
      <c r="AH121" s="146">
        <f t="shared" si="266"/>
        <v>0</v>
      </c>
      <c r="AI121" s="146">
        <f t="shared" ca="1" si="267"/>
        <v>0</v>
      </c>
      <c r="AJ121" s="146">
        <f t="shared" ca="1" si="268"/>
        <v>0</v>
      </c>
      <c r="AK121" s="146" t="str">
        <f t="shared" si="265"/>
        <v>N/A</v>
      </c>
      <c r="AL121" s="146">
        <f t="shared" si="265"/>
        <v>0</v>
      </c>
      <c r="AM121" s="146">
        <f t="shared" si="269"/>
        <v>0</v>
      </c>
      <c r="AN121" s="146">
        <f t="shared" ca="1" si="270"/>
        <v>0</v>
      </c>
      <c r="AO121" s="146">
        <f t="shared" ca="1" si="271"/>
        <v>0</v>
      </c>
      <c r="AP121" s="146" t="str">
        <f t="shared" si="265"/>
        <v>AMC 2-S3</v>
      </c>
      <c r="AQ121" s="146">
        <f t="shared" si="265"/>
        <v>1</v>
      </c>
      <c r="AR121" s="146">
        <f t="shared" si="272"/>
        <v>1</v>
      </c>
      <c r="AS121" s="146">
        <f t="shared" ca="1" si="273"/>
        <v>0</v>
      </c>
      <c r="AT121" s="146">
        <f t="shared" ca="1" si="274"/>
        <v>1</v>
      </c>
      <c r="AU121" s="146" t="str">
        <f t="shared" si="265"/>
        <v>N/A</v>
      </c>
      <c r="AV121" s="146">
        <f t="shared" si="265"/>
        <v>0</v>
      </c>
      <c r="AW121" s="146">
        <f t="shared" si="275"/>
        <v>0</v>
      </c>
      <c r="AX121" s="146">
        <f t="shared" ca="1" si="276"/>
        <v>0</v>
      </c>
      <c r="AY121" s="146">
        <f t="shared" ca="1" si="277"/>
        <v>0</v>
      </c>
      <c r="AZ121" s="147"/>
      <c r="BA121" s="144" t="s">
        <v>140</v>
      </c>
      <c r="BB121" s="144" t="s">
        <v>140</v>
      </c>
      <c r="BC121" s="144" t="s">
        <v>141</v>
      </c>
      <c r="BD121" s="144" t="s">
        <v>140</v>
      </c>
      <c r="BE121" s="146">
        <v>50.3</v>
      </c>
      <c r="BF121" s="148"/>
      <c r="BG121" s="146"/>
      <c r="BH121" s="117"/>
      <c r="BI121" s="117"/>
      <c r="BJ121" s="149"/>
      <c r="BK121" s="149"/>
      <c r="BL121" s="117"/>
      <c r="BM121" s="117"/>
      <c r="BN121" s="117"/>
      <c r="BO121" s="117"/>
      <c r="BP121" s="117"/>
      <c r="BQ121" s="117"/>
      <c r="BR121" s="117"/>
      <c r="BS121" s="117" t="s">
        <v>150</v>
      </c>
      <c r="BT121" s="117"/>
      <c r="BU121" s="155"/>
      <c r="BV121" s="117"/>
      <c r="BW121" s="117"/>
      <c r="BX121" s="149"/>
      <c r="BY121" s="117"/>
      <c r="BZ121" s="117"/>
      <c r="CA121" s="117"/>
      <c r="CB121" s="117">
        <f t="shared" si="278"/>
        <v>1</v>
      </c>
    </row>
    <row r="122" spans="1:80" ht="16.5" hidden="1" customHeight="1">
      <c r="A122" s="117">
        <v>261</v>
      </c>
      <c r="B122" s="154" t="s">
        <v>368</v>
      </c>
      <c r="C122" s="154" t="s">
        <v>904</v>
      </c>
      <c r="D122" s="154" t="s">
        <v>13</v>
      </c>
      <c r="E122" s="154" t="s">
        <v>377</v>
      </c>
      <c r="F122" s="154" t="s">
        <v>378</v>
      </c>
      <c r="G122" s="154" t="s">
        <v>173</v>
      </c>
      <c r="H122" s="146">
        <v>9174</v>
      </c>
      <c r="I122" s="147" t="s">
        <v>147</v>
      </c>
      <c r="J122" s="144">
        <v>1</v>
      </c>
      <c r="K122" s="145">
        <f t="shared" si="260"/>
        <v>1</v>
      </c>
      <c r="L122" s="144">
        <f t="shared" si="261"/>
        <v>1</v>
      </c>
      <c r="M122" s="146">
        <v>172.7</v>
      </c>
      <c r="N122" s="146">
        <f t="shared" si="262"/>
        <v>172.7</v>
      </c>
      <c r="O122" s="146" t="s">
        <v>137</v>
      </c>
      <c r="P122" s="146" t="s">
        <v>13</v>
      </c>
      <c r="Q122" s="146" t="s">
        <v>148</v>
      </c>
      <c r="R122" s="146"/>
      <c r="S122" s="146"/>
      <c r="T122" s="146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0</v>
      </c>
      <c r="U122" s="146">
        <f t="shared" ca="1" si="263"/>
        <v>1</v>
      </c>
      <c r="V122" s="146">
        <f t="shared" ca="1" si="264"/>
        <v>0</v>
      </c>
      <c r="W122" s="146"/>
      <c r="X122" s="146"/>
      <c r="Y122" s="146"/>
      <c r="Z122" s="146"/>
      <c r="AA122" s="146"/>
      <c r="AB122" s="146"/>
      <c r="AC122" s="146">
        <v>3.9</v>
      </c>
      <c r="AD122" s="117" t="s">
        <v>142</v>
      </c>
      <c r="AE122" s="148"/>
      <c r="AF122" s="146" t="str">
        <f t="shared" si="265"/>
        <v>N/A</v>
      </c>
      <c r="AG122" s="146">
        <f t="shared" si="265"/>
        <v>0</v>
      </c>
      <c r="AH122" s="146">
        <f t="shared" si="266"/>
        <v>0</v>
      </c>
      <c r="AI122" s="146">
        <f t="shared" ca="1" si="267"/>
        <v>0</v>
      </c>
      <c r="AJ122" s="146">
        <f t="shared" ca="1" si="268"/>
        <v>0</v>
      </c>
      <c r="AK122" s="146" t="str">
        <f t="shared" si="265"/>
        <v>N/A</v>
      </c>
      <c r="AL122" s="146">
        <f t="shared" si="265"/>
        <v>0</v>
      </c>
      <c r="AM122" s="146">
        <f t="shared" si="269"/>
        <v>0</v>
      </c>
      <c r="AN122" s="146">
        <f t="shared" ca="1" si="270"/>
        <v>0</v>
      </c>
      <c r="AO122" s="146">
        <f t="shared" ca="1" si="271"/>
        <v>0</v>
      </c>
      <c r="AP122" s="146" t="str">
        <f t="shared" si="265"/>
        <v>AMC 2-S3</v>
      </c>
      <c r="AQ122" s="146">
        <f t="shared" si="265"/>
        <v>1</v>
      </c>
      <c r="AR122" s="146">
        <f t="shared" si="272"/>
        <v>1</v>
      </c>
      <c r="AS122" s="146">
        <f t="shared" ca="1" si="273"/>
        <v>0</v>
      </c>
      <c r="AT122" s="146">
        <f t="shared" ca="1" si="274"/>
        <v>1</v>
      </c>
      <c r="AU122" s="146" t="str">
        <f t="shared" si="265"/>
        <v>N/A</v>
      </c>
      <c r="AV122" s="146">
        <f t="shared" si="265"/>
        <v>0</v>
      </c>
      <c r="AW122" s="146">
        <f t="shared" si="275"/>
        <v>0</v>
      </c>
      <c r="AX122" s="146">
        <f t="shared" ca="1" si="276"/>
        <v>0</v>
      </c>
      <c r="AY122" s="146">
        <f t="shared" ca="1" si="277"/>
        <v>0</v>
      </c>
      <c r="AZ122" s="147"/>
      <c r="BA122" s="144" t="s">
        <v>140</v>
      </c>
      <c r="BB122" s="144" t="s">
        <v>140</v>
      </c>
      <c r="BC122" s="144" t="s">
        <v>141</v>
      </c>
      <c r="BD122" s="144" t="s">
        <v>140</v>
      </c>
      <c r="BE122" s="146">
        <v>3.9</v>
      </c>
      <c r="BF122" s="148"/>
      <c r="BG122" s="146"/>
      <c r="BH122" s="117"/>
      <c r="BI122" s="117"/>
      <c r="BJ122" s="149"/>
      <c r="BK122" s="150" t="s">
        <v>149</v>
      </c>
      <c r="BL122" s="151">
        <v>1</v>
      </c>
      <c r="BM122" s="151">
        <v>0</v>
      </c>
      <c r="BN122" s="151">
        <v>0</v>
      </c>
      <c r="BO122" s="151">
        <v>0</v>
      </c>
      <c r="BP122" s="151">
        <v>0</v>
      </c>
      <c r="BQ122" s="151">
        <v>0</v>
      </c>
      <c r="BR122" s="151">
        <v>0</v>
      </c>
      <c r="BS122" s="117" t="s">
        <v>150</v>
      </c>
      <c r="BT122" s="117"/>
      <c r="BU122" s="155"/>
      <c r="BV122" s="117"/>
      <c r="BW122" s="117"/>
      <c r="BX122" s="149"/>
      <c r="BY122" s="117"/>
      <c r="BZ122" s="117"/>
      <c r="CA122" s="117"/>
      <c r="CB122" s="117">
        <f t="shared" si="278"/>
        <v>1</v>
      </c>
    </row>
    <row r="123" spans="1:80" ht="16.5" hidden="1" customHeight="1">
      <c r="A123" s="117">
        <v>262</v>
      </c>
      <c r="B123" s="154" t="s">
        <v>368</v>
      </c>
      <c r="C123" s="154" t="s">
        <v>904</v>
      </c>
      <c r="D123" s="154" t="s">
        <v>13</v>
      </c>
      <c r="E123" s="154" t="s">
        <v>379</v>
      </c>
      <c r="F123" s="154" t="s">
        <v>380</v>
      </c>
      <c r="G123" s="154" t="s">
        <v>381</v>
      </c>
      <c r="H123" s="146">
        <v>3555</v>
      </c>
      <c r="I123" s="147" t="s">
        <v>147</v>
      </c>
      <c r="J123" s="144">
        <v>1</v>
      </c>
      <c r="K123" s="145">
        <f t="shared" si="260"/>
        <v>1</v>
      </c>
      <c r="L123" s="144">
        <f t="shared" si="261"/>
        <v>1</v>
      </c>
      <c r="M123" s="146">
        <v>139.9</v>
      </c>
      <c r="N123" s="146">
        <f t="shared" si="262"/>
        <v>139.9</v>
      </c>
      <c r="O123" s="146" t="s">
        <v>137</v>
      </c>
      <c r="P123" s="146" t="s">
        <v>13</v>
      </c>
      <c r="Q123" s="146" t="s">
        <v>148</v>
      </c>
      <c r="R123" s="146"/>
      <c r="S123" s="146"/>
      <c r="T123" s="146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0</v>
      </c>
      <c r="U123" s="146">
        <f t="shared" ca="1" si="263"/>
        <v>1</v>
      </c>
      <c r="V123" s="146">
        <f t="shared" ca="1" si="264"/>
        <v>0</v>
      </c>
      <c r="W123" s="146"/>
      <c r="X123" s="146"/>
      <c r="Y123" s="146"/>
      <c r="Z123" s="146"/>
      <c r="AA123" s="146"/>
      <c r="AB123" s="146"/>
      <c r="AC123" s="146">
        <v>3.9</v>
      </c>
      <c r="AD123" s="117" t="s">
        <v>142</v>
      </c>
      <c r="AE123" s="148"/>
      <c r="AF123" s="146" t="str">
        <f t="shared" si="265"/>
        <v>N/A</v>
      </c>
      <c r="AG123" s="146">
        <f t="shared" si="265"/>
        <v>0</v>
      </c>
      <c r="AH123" s="146">
        <f t="shared" si="266"/>
        <v>0</v>
      </c>
      <c r="AI123" s="146">
        <f t="shared" ca="1" si="267"/>
        <v>0</v>
      </c>
      <c r="AJ123" s="146">
        <f t="shared" ca="1" si="268"/>
        <v>0</v>
      </c>
      <c r="AK123" s="146" t="str">
        <f t="shared" si="265"/>
        <v>N/A</v>
      </c>
      <c r="AL123" s="146">
        <f t="shared" si="265"/>
        <v>0</v>
      </c>
      <c r="AM123" s="146">
        <f t="shared" si="269"/>
        <v>0</v>
      </c>
      <c r="AN123" s="146">
        <f t="shared" ca="1" si="270"/>
        <v>0</v>
      </c>
      <c r="AO123" s="146">
        <f t="shared" ca="1" si="271"/>
        <v>0</v>
      </c>
      <c r="AP123" s="146" t="str">
        <f t="shared" si="265"/>
        <v>AMC 2-S3</v>
      </c>
      <c r="AQ123" s="146">
        <f t="shared" si="265"/>
        <v>1</v>
      </c>
      <c r="AR123" s="146">
        <f t="shared" si="272"/>
        <v>1</v>
      </c>
      <c r="AS123" s="146">
        <f t="shared" ca="1" si="273"/>
        <v>0</v>
      </c>
      <c r="AT123" s="146">
        <f t="shared" ca="1" si="274"/>
        <v>1</v>
      </c>
      <c r="AU123" s="146" t="str">
        <f t="shared" si="265"/>
        <v>N/A</v>
      </c>
      <c r="AV123" s="146">
        <f t="shared" si="265"/>
        <v>0</v>
      </c>
      <c r="AW123" s="146">
        <f t="shared" si="275"/>
        <v>0</v>
      </c>
      <c r="AX123" s="146">
        <f t="shared" ca="1" si="276"/>
        <v>0</v>
      </c>
      <c r="AY123" s="146">
        <f t="shared" ca="1" si="277"/>
        <v>0</v>
      </c>
      <c r="AZ123" s="147"/>
      <c r="BA123" s="144" t="s">
        <v>140</v>
      </c>
      <c r="BB123" s="144" t="s">
        <v>140</v>
      </c>
      <c r="BC123" s="144" t="s">
        <v>141</v>
      </c>
      <c r="BD123" s="144" t="s">
        <v>140</v>
      </c>
      <c r="BE123" s="146">
        <v>3.9</v>
      </c>
      <c r="BF123" s="148"/>
      <c r="BG123" s="146"/>
      <c r="BH123" s="117"/>
      <c r="BI123" s="117"/>
      <c r="BJ123" s="149"/>
      <c r="BK123" s="149"/>
      <c r="BL123" s="117"/>
      <c r="BM123" s="117"/>
      <c r="BN123" s="117"/>
      <c r="BO123" s="117"/>
      <c r="BP123" s="117"/>
      <c r="BQ123" s="117"/>
      <c r="BR123" s="117"/>
      <c r="BS123" s="117" t="s">
        <v>150</v>
      </c>
      <c r="BT123" s="117"/>
      <c r="BU123" s="155"/>
      <c r="BV123" s="117"/>
      <c r="BW123" s="117"/>
      <c r="BX123" s="149"/>
      <c r="BY123" s="117"/>
      <c r="BZ123" s="117"/>
      <c r="CA123" s="117"/>
      <c r="CB123" s="117">
        <f t="shared" si="278"/>
        <v>1</v>
      </c>
    </row>
    <row r="124" spans="1:80" ht="16.5" hidden="1" customHeight="1">
      <c r="A124" s="117">
        <v>263</v>
      </c>
      <c r="B124" s="154" t="s">
        <v>368</v>
      </c>
      <c r="C124" s="154" t="s">
        <v>904</v>
      </c>
      <c r="D124" s="154" t="s">
        <v>13</v>
      </c>
      <c r="E124" s="154" t="s">
        <v>382</v>
      </c>
      <c r="F124" s="154" t="s">
        <v>383</v>
      </c>
      <c r="G124" s="154" t="s">
        <v>303</v>
      </c>
      <c r="H124" s="146">
        <v>365</v>
      </c>
      <c r="I124" s="147" t="s">
        <v>147</v>
      </c>
      <c r="J124" s="144">
        <v>2</v>
      </c>
      <c r="K124" s="145">
        <f t="shared" si="260"/>
        <v>1</v>
      </c>
      <c r="L124" s="144">
        <f t="shared" si="261"/>
        <v>2</v>
      </c>
      <c r="M124" s="146">
        <v>7.2</v>
      </c>
      <c r="N124" s="146">
        <f t="shared" si="262"/>
        <v>14.4</v>
      </c>
      <c r="O124" s="146" t="s">
        <v>137</v>
      </c>
      <c r="P124" s="146" t="s">
        <v>13</v>
      </c>
      <c r="Q124" s="146" t="s">
        <v>148</v>
      </c>
      <c r="R124" s="146"/>
      <c r="S124" s="146"/>
      <c r="T124" s="146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0</v>
      </c>
      <c r="U124" s="146">
        <f t="shared" ca="1" si="263"/>
        <v>2</v>
      </c>
      <c r="V124" s="146">
        <f t="shared" ca="1" si="264"/>
        <v>0</v>
      </c>
      <c r="W124" s="146"/>
      <c r="X124" s="146"/>
      <c r="Y124" s="146"/>
      <c r="Z124" s="146"/>
      <c r="AA124" s="146"/>
      <c r="AB124" s="146"/>
      <c r="AC124" s="146">
        <v>0.3</v>
      </c>
      <c r="AD124" s="117" t="s">
        <v>142</v>
      </c>
      <c r="AE124" s="148"/>
      <c r="AF124" s="146" t="str">
        <f t="shared" si="265"/>
        <v>N/A</v>
      </c>
      <c r="AG124" s="146">
        <f t="shared" si="265"/>
        <v>0</v>
      </c>
      <c r="AH124" s="146">
        <f t="shared" si="266"/>
        <v>0</v>
      </c>
      <c r="AI124" s="146">
        <f t="shared" ca="1" si="267"/>
        <v>0</v>
      </c>
      <c r="AJ124" s="146">
        <f t="shared" ca="1" si="268"/>
        <v>0</v>
      </c>
      <c r="AK124" s="146" t="str">
        <f t="shared" si="265"/>
        <v>N/A</v>
      </c>
      <c r="AL124" s="146">
        <f t="shared" si="265"/>
        <v>0</v>
      </c>
      <c r="AM124" s="146">
        <f t="shared" si="269"/>
        <v>0</v>
      </c>
      <c r="AN124" s="146">
        <f t="shared" ca="1" si="270"/>
        <v>0</v>
      </c>
      <c r="AO124" s="146">
        <f t="shared" ca="1" si="271"/>
        <v>0</v>
      </c>
      <c r="AP124" s="146" t="str">
        <f t="shared" si="265"/>
        <v>AMC 2-S3</v>
      </c>
      <c r="AQ124" s="146">
        <f t="shared" si="265"/>
        <v>1</v>
      </c>
      <c r="AR124" s="146">
        <f t="shared" si="272"/>
        <v>2</v>
      </c>
      <c r="AS124" s="146">
        <f t="shared" ca="1" si="273"/>
        <v>0</v>
      </c>
      <c r="AT124" s="146">
        <f t="shared" ca="1" si="274"/>
        <v>2</v>
      </c>
      <c r="AU124" s="146" t="str">
        <f t="shared" si="265"/>
        <v>N/A</v>
      </c>
      <c r="AV124" s="146">
        <f t="shared" si="265"/>
        <v>0</v>
      </c>
      <c r="AW124" s="146">
        <f t="shared" si="275"/>
        <v>0</v>
      </c>
      <c r="AX124" s="146">
        <f t="shared" ca="1" si="276"/>
        <v>0</v>
      </c>
      <c r="AY124" s="146">
        <f t="shared" ca="1" si="277"/>
        <v>0</v>
      </c>
      <c r="AZ124" s="147"/>
      <c r="BA124" s="144" t="s">
        <v>140</v>
      </c>
      <c r="BB124" s="144" t="s">
        <v>140</v>
      </c>
      <c r="BC124" s="144" t="s">
        <v>141</v>
      </c>
      <c r="BD124" s="144" t="s">
        <v>140</v>
      </c>
      <c r="BE124" s="146">
        <v>0.2</v>
      </c>
      <c r="BF124" s="148"/>
      <c r="BG124" s="146"/>
      <c r="BH124" s="117"/>
      <c r="BI124" s="117"/>
      <c r="BJ124" s="149"/>
      <c r="BK124" s="150" t="s">
        <v>149</v>
      </c>
      <c r="BL124" s="151">
        <v>0</v>
      </c>
      <c r="BM124" s="151">
        <v>0</v>
      </c>
      <c r="BN124" s="151">
        <v>0</v>
      </c>
      <c r="BO124" s="151">
        <v>0</v>
      </c>
      <c r="BP124" s="151">
        <v>0</v>
      </c>
      <c r="BQ124" s="151">
        <v>0</v>
      </c>
      <c r="BR124" s="151">
        <v>0</v>
      </c>
      <c r="BS124" s="117" t="s">
        <v>150</v>
      </c>
      <c r="BT124" s="117"/>
      <c r="BU124" s="155"/>
      <c r="BV124" s="117"/>
      <c r="BW124" s="117"/>
      <c r="BX124" s="149"/>
      <c r="BY124" s="117"/>
      <c r="BZ124" s="117"/>
      <c r="CA124" s="117"/>
      <c r="CB124" s="117">
        <f t="shared" si="278"/>
        <v>2</v>
      </c>
    </row>
    <row r="125" spans="1:80" ht="16.5" hidden="1" customHeight="1">
      <c r="A125" s="117">
        <v>264</v>
      </c>
      <c r="B125" s="154" t="s">
        <v>368</v>
      </c>
      <c r="C125" s="154" t="s">
        <v>904</v>
      </c>
      <c r="D125" s="154" t="s">
        <v>13</v>
      </c>
      <c r="E125" s="154" t="s">
        <v>384</v>
      </c>
      <c r="F125" s="154" t="s">
        <v>385</v>
      </c>
      <c r="G125" s="154" t="s">
        <v>173</v>
      </c>
      <c r="H125" s="146">
        <v>3210</v>
      </c>
      <c r="I125" s="147" t="s">
        <v>147</v>
      </c>
      <c r="J125" s="144">
        <v>2</v>
      </c>
      <c r="K125" s="145">
        <f t="shared" si="260"/>
        <v>1</v>
      </c>
      <c r="L125" s="144">
        <f t="shared" si="261"/>
        <v>2</v>
      </c>
      <c r="M125" s="146">
        <v>60</v>
      </c>
      <c r="N125" s="146">
        <f t="shared" si="262"/>
        <v>120</v>
      </c>
      <c r="O125" s="146" t="s">
        <v>137</v>
      </c>
      <c r="P125" s="146" t="s">
        <v>13</v>
      </c>
      <c r="Q125" s="146" t="s">
        <v>148</v>
      </c>
      <c r="R125" s="146"/>
      <c r="S125" s="146"/>
      <c r="T125" s="146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0</v>
      </c>
      <c r="U125" s="146">
        <f t="shared" ca="1" si="263"/>
        <v>2</v>
      </c>
      <c r="V125" s="146">
        <f t="shared" ca="1" si="264"/>
        <v>0</v>
      </c>
      <c r="W125" s="146"/>
      <c r="X125" s="146"/>
      <c r="Y125" s="146"/>
      <c r="Z125" s="146"/>
      <c r="AA125" s="146"/>
      <c r="AB125" s="146"/>
      <c r="AC125" s="146">
        <v>2.7</v>
      </c>
      <c r="AD125" s="117" t="s">
        <v>142</v>
      </c>
      <c r="AE125" s="148"/>
      <c r="AF125" s="146" t="str">
        <f t="shared" si="265"/>
        <v>N/A</v>
      </c>
      <c r="AG125" s="146">
        <f t="shared" si="265"/>
        <v>0</v>
      </c>
      <c r="AH125" s="146">
        <f t="shared" si="266"/>
        <v>0</v>
      </c>
      <c r="AI125" s="146">
        <f t="shared" ca="1" si="267"/>
        <v>0</v>
      </c>
      <c r="AJ125" s="146">
        <f t="shared" ca="1" si="268"/>
        <v>0</v>
      </c>
      <c r="AK125" s="146" t="str">
        <f t="shared" si="265"/>
        <v>N/A</v>
      </c>
      <c r="AL125" s="146">
        <f t="shared" si="265"/>
        <v>0</v>
      </c>
      <c r="AM125" s="146">
        <f t="shared" si="269"/>
        <v>0</v>
      </c>
      <c r="AN125" s="146">
        <f t="shared" ca="1" si="270"/>
        <v>0</v>
      </c>
      <c r="AO125" s="146">
        <f t="shared" ca="1" si="271"/>
        <v>0</v>
      </c>
      <c r="AP125" s="146" t="str">
        <f t="shared" si="265"/>
        <v>AMC 2-S3</v>
      </c>
      <c r="AQ125" s="146">
        <f t="shared" si="265"/>
        <v>1</v>
      </c>
      <c r="AR125" s="146">
        <f t="shared" si="272"/>
        <v>2</v>
      </c>
      <c r="AS125" s="146">
        <f t="shared" ca="1" si="273"/>
        <v>0</v>
      </c>
      <c r="AT125" s="146">
        <f t="shared" ca="1" si="274"/>
        <v>2</v>
      </c>
      <c r="AU125" s="146" t="str">
        <f t="shared" si="265"/>
        <v>N/A</v>
      </c>
      <c r="AV125" s="146">
        <f t="shared" si="265"/>
        <v>0</v>
      </c>
      <c r="AW125" s="146">
        <f t="shared" si="275"/>
        <v>0</v>
      </c>
      <c r="AX125" s="146">
        <f t="shared" ca="1" si="276"/>
        <v>0</v>
      </c>
      <c r="AY125" s="146">
        <f t="shared" ca="1" si="277"/>
        <v>0</v>
      </c>
      <c r="AZ125" s="147"/>
      <c r="BA125" s="144" t="s">
        <v>140</v>
      </c>
      <c r="BB125" s="144" t="s">
        <v>140</v>
      </c>
      <c r="BC125" s="144" t="s">
        <v>141</v>
      </c>
      <c r="BD125" s="144" t="s">
        <v>140</v>
      </c>
      <c r="BE125" s="146">
        <v>1.4</v>
      </c>
      <c r="BF125" s="148"/>
      <c r="BG125" s="146"/>
      <c r="BH125" s="117"/>
      <c r="BI125" s="117"/>
      <c r="BJ125" s="149"/>
      <c r="BK125" s="150" t="s">
        <v>149</v>
      </c>
      <c r="BL125" s="151">
        <v>0</v>
      </c>
      <c r="BM125" s="151">
        <v>0</v>
      </c>
      <c r="BN125" s="151">
        <v>0</v>
      </c>
      <c r="BO125" s="151">
        <v>1</v>
      </c>
      <c r="BP125" s="151">
        <v>0</v>
      </c>
      <c r="BQ125" s="151">
        <v>0</v>
      </c>
      <c r="BR125" s="151">
        <v>0</v>
      </c>
      <c r="BS125" s="117" t="s">
        <v>150</v>
      </c>
      <c r="BT125" s="117"/>
      <c r="BU125" s="155"/>
      <c r="BV125" s="117"/>
      <c r="BW125" s="117"/>
      <c r="BX125" s="149"/>
      <c r="BY125" s="117"/>
      <c r="BZ125" s="117"/>
      <c r="CA125" s="117"/>
      <c r="CB125" s="117">
        <f t="shared" si="278"/>
        <v>2</v>
      </c>
    </row>
    <row r="126" spans="1:80" ht="16.5" hidden="1" customHeight="1">
      <c r="A126" s="117">
        <v>265</v>
      </c>
      <c r="B126" s="154" t="s">
        <v>368</v>
      </c>
      <c r="C126" s="154" t="s">
        <v>904</v>
      </c>
      <c r="D126" s="154" t="s">
        <v>13</v>
      </c>
      <c r="E126" s="154" t="s">
        <v>386</v>
      </c>
      <c r="F126" s="154" t="s">
        <v>387</v>
      </c>
      <c r="G126" s="154" t="s">
        <v>173</v>
      </c>
      <c r="H126" s="146">
        <v>1726</v>
      </c>
      <c r="I126" s="147" t="s">
        <v>147</v>
      </c>
      <c r="J126" s="144">
        <v>2</v>
      </c>
      <c r="K126" s="145">
        <f t="shared" si="260"/>
        <v>1</v>
      </c>
      <c r="L126" s="144">
        <f t="shared" si="261"/>
        <v>2</v>
      </c>
      <c r="M126" s="146">
        <v>32</v>
      </c>
      <c r="N126" s="146">
        <f t="shared" si="262"/>
        <v>64</v>
      </c>
      <c r="O126" s="146" t="s">
        <v>137</v>
      </c>
      <c r="P126" s="146" t="s">
        <v>13</v>
      </c>
      <c r="Q126" s="146" t="s">
        <v>148</v>
      </c>
      <c r="R126" s="146"/>
      <c r="S126" s="146"/>
      <c r="T126" s="146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0</v>
      </c>
      <c r="U126" s="146">
        <f t="shared" ca="1" si="263"/>
        <v>2</v>
      </c>
      <c r="V126" s="146">
        <f t="shared" ca="1" si="264"/>
        <v>0</v>
      </c>
      <c r="W126" s="146"/>
      <c r="X126" s="146"/>
      <c r="Y126" s="146"/>
      <c r="Z126" s="146"/>
      <c r="AA126" s="146"/>
      <c r="AB126" s="146"/>
      <c r="AC126" s="146">
        <v>1.4</v>
      </c>
      <c r="AD126" s="117" t="s">
        <v>142</v>
      </c>
      <c r="AE126" s="148"/>
      <c r="AF126" s="146" t="str">
        <f t="shared" si="265"/>
        <v>N/A</v>
      </c>
      <c r="AG126" s="146">
        <f t="shared" si="265"/>
        <v>0</v>
      </c>
      <c r="AH126" s="146">
        <f t="shared" si="266"/>
        <v>0</v>
      </c>
      <c r="AI126" s="146">
        <f t="shared" ca="1" si="267"/>
        <v>0</v>
      </c>
      <c r="AJ126" s="146">
        <f t="shared" ca="1" si="268"/>
        <v>0</v>
      </c>
      <c r="AK126" s="146" t="str">
        <f t="shared" si="265"/>
        <v>N/A</v>
      </c>
      <c r="AL126" s="146">
        <f t="shared" si="265"/>
        <v>0</v>
      </c>
      <c r="AM126" s="146">
        <f t="shared" si="269"/>
        <v>0</v>
      </c>
      <c r="AN126" s="146">
        <f t="shared" ca="1" si="270"/>
        <v>0</v>
      </c>
      <c r="AO126" s="146">
        <f t="shared" ca="1" si="271"/>
        <v>0</v>
      </c>
      <c r="AP126" s="146" t="str">
        <f t="shared" si="265"/>
        <v>AMC 2-S3</v>
      </c>
      <c r="AQ126" s="146">
        <f t="shared" si="265"/>
        <v>1</v>
      </c>
      <c r="AR126" s="146">
        <f t="shared" si="272"/>
        <v>2</v>
      </c>
      <c r="AS126" s="146">
        <f t="shared" ca="1" si="273"/>
        <v>0</v>
      </c>
      <c r="AT126" s="146">
        <f t="shared" ca="1" si="274"/>
        <v>2</v>
      </c>
      <c r="AU126" s="146" t="str">
        <f t="shared" si="265"/>
        <v>N/A</v>
      </c>
      <c r="AV126" s="146">
        <f t="shared" si="265"/>
        <v>0</v>
      </c>
      <c r="AW126" s="146">
        <f t="shared" si="275"/>
        <v>0</v>
      </c>
      <c r="AX126" s="146">
        <f t="shared" ca="1" si="276"/>
        <v>0</v>
      </c>
      <c r="AY126" s="146">
        <f t="shared" ca="1" si="277"/>
        <v>0</v>
      </c>
      <c r="AZ126" s="147"/>
      <c r="BA126" s="144" t="s">
        <v>140</v>
      </c>
      <c r="BB126" s="144" t="s">
        <v>140</v>
      </c>
      <c r="BC126" s="144" t="s">
        <v>141</v>
      </c>
      <c r="BD126" s="144" t="s">
        <v>140</v>
      </c>
      <c r="BE126" s="146">
        <v>0.7</v>
      </c>
      <c r="BF126" s="148"/>
      <c r="BG126" s="146"/>
      <c r="BH126" s="117"/>
      <c r="BI126" s="117"/>
      <c r="BJ126" s="149"/>
      <c r="BK126" s="150" t="s">
        <v>149</v>
      </c>
      <c r="BL126" s="151">
        <v>0</v>
      </c>
      <c r="BM126" s="151">
        <v>0</v>
      </c>
      <c r="BN126" s="151">
        <v>0</v>
      </c>
      <c r="BO126" s="151">
        <v>1</v>
      </c>
      <c r="BP126" s="151">
        <v>0</v>
      </c>
      <c r="BQ126" s="151">
        <v>0</v>
      </c>
      <c r="BR126" s="151">
        <v>0</v>
      </c>
      <c r="BS126" s="117" t="s">
        <v>150</v>
      </c>
      <c r="BT126" s="117"/>
      <c r="BU126" s="155"/>
      <c r="BV126" s="117"/>
      <c r="BW126" s="117"/>
      <c r="BX126" s="149"/>
      <c r="BY126" s="117"/>
      <c r="BZ126" s="117"/>
      <c r="CA126" s="117"/>
      <c r="CB126" s="117">
        <f t="shared" si="278"/>
        <v>2</v>
      </c>
    </row>
    <row r="127" spans="1:80" ht="16.5" hidden="1" customHeight="1">
      <c r="A127" s="117">
        <v>266</v>
      </c>
      <c r="B127" s="154" t="s">
        <v>368</v>
      </c>
      <c r="C127" s="154" t="s">
        <v>904</v>
      </c>
      <c r="D127" s="154" t="s">
        <v>13</v>
      </c>
      <c r="E127" s="154" t="s">
        <v>388</v>
      </c>
      <c r="F127" s="154" t="s">
        <v>389</v>
      </c>
      <c r="G127" s="154" t="s">
        <v>173</v>
      </c>
      <c r="H127" s="146">
        <v>3228</v>
      </c>
      <c r="I127" s="147" t="s">
        <v>147</v>
      </c>
      <c r="J127" s="144">
        <v>1</v>
      </c>
      <c r="K127" s="145">
        <f t="shared" si="260"/>
        <v>1</v>
      </c>
      <c r="L127" s="144">
        <f t="shared" si="261"/>
        <v>1</v>
      </c>
      <c r="M127" s="146">
        <v>60.7</v>
      </c>
      <c r="N127" s="146">
        <f t="shared" si="262"/>
        <v>60.7</v>
      </c>
      <c r="O127" s="146" t="s">
        <v>137</v>
      </c>
      <c r="P127" s="146" t="s">
        <v>13</v>
      </c>
      <c r="Q127" s="146" t="s">
        <v>148</v>
      </c>
      <c r="R127" s="146"/>
      <c r="S127" s="146"/>
      <c r="T127" s="146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146">
        <f t="shared" ca="1" si="263"/>
        <v>1</v>
      </c>
      <c r="V127" s="146">
        <f t="shared" ca="1" si="264"/>
        <v>0</v>
      </c>
      <c r="W127" s="146"/>
      <c r="X127" s="146"/>
      <c r="Y127" s="146"/>
      <c r="Z127" s="146"/>
      <c r="AA127" s="146"/>
      <c r="AB127" s="146"/>
      <c r="AC127" s="146">
        <v>1.4</v>
      </c>
      <c r="AD127" s="117" t="s">
        <v>142</v>
      </c>
      <c r="AE127" s="148"/>
      <c r="AF127" s="146" t="str">
        <f t="shared" si="265"/>
        <v>N/A</v>
      </c>
      <c r="AG127" s="146">
        <f t="shared" si="265"/>
        <v>0</v>
      </c>
      <c r="AH127" s="146">
        <f t="shared" si="266"/>
        <v>0</v>
      </c>
      <c r="AI127" s="146">
        <f t="shared" ca="1" si="267"/>
        <v>0</v>
      </c>
      <c r="AJ127" s="146">
        <f t="shared" ca="1" si="268"/>
        <v>0</v>
      </c>
      <c r="AK127" s="146" t="str">
        <f t="shared" si="265"/>
        <v>N/A</v>
      </c>
      <c r="AL127" s="146">
        <f t="shared" si="265"/>
        <v>0</v>
      </c>
      <c r="AM127" s="146">
        <f t="shared" si="269"/>
        <v>0</v>
      </c>
      <c r="AN127" s="146">
        <f t="shared" ca="1" si="270"/>
        <v>0</v>
      </c>
      <c r="AO127" s="146">
        <f t="shared" ca="1" si="271"/>
        <v>0</v>
      </c>
      <c r="AP127" s="146" t="str">
        <f t="shared" si="265"/>
        <v>AMC 2-S3</v>
      </c>
      <c r="AQ127" s="146">
        <f t="shared" si="265"/>
        <v>1</v>
      </c>
      <c r="AR127" s="146">
        <f t="shared" si="272"/>
        <v>1</v>
      </c>
      <c r="AS127" s="146">
        <f t="shared" ca="1" si="273"/>
        <v>0</v>
      </c>
      <c r="AT127" s="146">
        <f t="shared" ca="1" si="274"/>
        <v>1</v>
      </c>
      <c r="AU127" s="146" t="str">
        <f t="shared" si="265"/>
        <v>N/A</v>
      </c>
      <c r="AV127" s="146">
        <f t="shared" si="265"/>
        <v>0</v>
      </c>
      <c r="AW127" s="146">
        <f t="shared" si="275"/>
        <v>0</v>
      </c>
      <c r="AX127" s="146">
        <f t="shared" ca="1" si="276"/>
        <v>0</v>
      </c>
      <c r="AY127" s="146">
        <f t="shared" ca="1" si="277"/>
        <v>0</v>
      </c>
      <c r="AZ127" s="147"/>
      <c r="BA127" s="144" t="s">
        <v>140</v>
      </c>
      <c r="BB127" s="144" t="s">
        <v>140</v>
      </c>
      <c r="BC127" s="144" t="s">
        <v>141</v>
      </c>
      <c r="BD127" s="144" t="s">
        <v>140</v>
      </c>
      <c r="BE127" s="146">
        <v>1.4</v>
      </c>
      <c r="BF127" s="148"/>
      <c r="BG127" s="146"/>
      <c r="BH127" s="117"/>
      <c r="BI127" s="117"/>
      <c r="BJ127" s="149"/>
      <c r="BK127" s="150" t="s">
        <v>149</v>
      </c>
      <c r="BL127" s="151">
        <v>0</v>
      </c>
      <c r="BM127" s="151">
        <v>0</v>
      </c>
      <c r="BN127" s="151">
        <v>0</v>
      </c>
      <c r="BO127" s="151">
        <v>0</v>
      </c>
      <c r="BP127" s="151">
        <v>0</v>
      </c>
      <c r="BQ127" s="151">
        <v>0</v>
      </c>
      <c r="BR127" s="151">
        <v>0</v>
      </c>
      <c r="BS127" s="117" t="s">
        <v>150</v>
      </c>
      <c r="BT127" s="117"/>
      <c r="BU127" s="155"/>
      <c r="BV127" s="117"/>
      <c r="BW127" s="117"/>
      <c r="BX127" s="149"/>
      <c r="BY127" s="117"/>
      <c r="BZ127" s="117"/>
      <c r="CA127" s="117"/>
      <c r="CB127" s="117">
        <f t="shared" si="278"/>
        <v>1</v>
      </c>
    </row>
    <row r="128" spans="1:80" ht="16.5" hidden="1" customHeight="1">
      <c r="A128" s="117">
        <v>267</v>
      </c>
      <c r="B128" s="154" t="s">
        <v>368</v>
      </c>
      <c r="C128" s="154" t="s">
        <v>904</v>
      </c>
      <c r="D128" s="154" t="s">
        <v>13</v>
      </c>
      <c r="E128" s="154" t="s">
        <v>390</v>
      </c>
      <c r="F128" s="154" t="s">
        <v>391</v>
      </c>
      <c r="G128" s="154" t="s">
        <v>178</v>
      </c>
      <c r="H128" s="146">
        <v>3027</v>
      </c>
      <c r="I128" s="147" t="s">
        <v>147</v>
      </c>
      <c r="J128" s="144">
        <v>1</v>
      </c>
      <c r="K128" s="145">
        <f t="shared" si="260"/>
        <v>1</v>
      </c>
      <c r="L128" s="144">
        <f t="shared" si="261"/>
        <v>1</v>
      </c>
      <c r="M128" s="146">
        <v>94.8</v>
      </c>
      <c r="N128" s="146">
        <f t="shared" si="262"/>
        <v>94.8</v>
      </c>
      <c r="O128" s="146" t="s">
        <v>137</v>
      </c>
      <c r="P128" s="146" t="s">
        <v>13</v>
      </c>
      <c r="Q128" s="146" t="s">
        <v>148</v>
      </c>
      <c r="R128" s="146"/>
      <c r="S128" s="146"/>
      <c r="T128" s="146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146">
        <f t="shared" ca="1" si="263"/>
        <v>1</v>
      </c>
      <c r="V128" s="146">
        <f t="shared" ca="1" si="264"/>
        <v>0</v>
      </c>
      <c r="W128" s="146"/>
      <c r="X128" s="146"/>
      <c r="Y128" s="146"/>
      <c r="Z128" s="146"/>
      <c r="AA128" s="146"/>
      <c r="AB128" s="146"/>
      <c r="AC128" s="146">
        <v>1.3</v>
      </c>
      <c r="AD128" s="117" t="s">
        <v>142</v>
      </c>
      <c r="AE128" s="148"/>
      <c r="AF128" s="146" t="str">
        <f t="shared" si="265"/>
        <v>N/A</v>
      </c>
      <c r="AG128" s="146">
        <f t="shared" si="265"/>
        <v>0</v>
      </c>
      <c r="AH128" s="146">
        <f t="shared" si="266"/>
        <v>0</v>
      </c>
      <c r="AI128" s="146">
        <f t="shared" ca="1" si="267"/>
        <v>0</v>
      </c>
      <c r="AJ128" s="146">
        <f t="shared" ca="1" si="268"/>
        <v>0</v>
      </c>
      <c r="AK128" s="146" t="str">
        <f t="shared" si="265"/>
        <v>N/A</v>
      </c>
      <c r="AL128" s="146">
        <f t="shared" si="265"/>
        <v>0</v>
      </c>
      <c r="AM128" s="146">
        <f t="shared" si="269"/>
        <v>0</v>
      </c>
      <c r="AN128" s="146">
        <f t="shared" ca="1" si="270"/>
        <v>0</v>
      </c>
      <c r="AO128" s="146">
        <f t="shared" ca="1" si="271"/>
        <v>0</v>
      </c>
      <c r="AP128" s="146" t="str">
        <f t="shared" si="265"/>
        <v>AMC 2-S3</v>
      </c>
      <c r="AQ128" s="146">
        <f t="shared" si="265"/>
        <v>1</v>
      </c>
      <c r="AR128" s="146">
        <f t="shared" si="272"/>
        <v>1</v>
      </c>
      <c r="AS128" s="146">
        <f t="shared" ca="1" si="273"/>
        <v>0</v>
      </c>
      <c r="AT128" s="146">
        <f t="shared" ca="1" si="274"/>
        <v>1</v>
      </c>
      <c r="AU128" s="146" t="str">
        <f t="shared" si="265"/>
        <v>N/A</v>
      </c>
      <c r="AV128" s="146">
        <f t="shared" si="265"/>
        <v>0</v>
      </c>
      <c r="AW128" s="146">
        <f t="shared" si="275"/>
        <v>0</v>
      </c>
      <c r="AX128" s="146">
        <f t="shared" ca="1" si="276"/>
        <v>0</v>
      </c>
      <c r="AY128" s="146">
        <f t="shared" ca="1" si="277"/>
        <v>0</v>
      </c>
      <c r="AZ128" s="147"/>
      <c r="BA128" s="144" t="s">
        <v>140</v>
      </c>
      <c r="BB128" s="144" t="s">
        <v>140</v>
      </c>
      <c r="BC128" s="144" t="s">
        <v>141</v>
      </c>
      <c r="BD128" s="144" t="s">
        <v>140</v>
      </c>
      <c r="BE128" s="146">
        <v>1.3</v>
      </c>
      <c r="BF128" s="148"/>
      <c r="BG128" s="146"/>
      <c r="BH128" s="117"/>
      <c r="BI128" s="117"/>
      <c r="BJ128" s="149"/>
      <c r="BK128" s="150" t="s">
        <v>149</v>
      </c>
      <c r="BL128" s="151">
        <v>0</v>
      </c>
      <c r="BM128" s="151">
        <v>0</v>
      </c>
      <c r="BN128" s="151">
        <v>0</v>
      </c>
      <c r="BO128" s="151">
        <v>1</v>
      </c>
      <c r="BP128" s="151">
        <v>0</v>
      </c>
      <c r="BQ128" s="151">
        <v>0</v>
      </c>
      <c r="BR128" s="151">
        <v>0</v>
      </c>
      <c r="BS128" s="117" t="s">
        <v>150</v>
      </c>
      <c r="BT128" s="117"/>
      <c r="BU128" s="155"/>
      <c r="BV128" s="117"/>
      <c r="BW128" s="117"/>
      <c r="BX128" s="149"/>
      <c r="BY128" s="117"/>
      <c r="BZ128" s="117"/>
      <c r="CA128" s="117"/>
      <c r="CB128" s="117">
        <f t="shared" si="278"/>
        <v>1</v>
      </c>
    </row>
    <row r="129" spans="1:80" ht="16.5" hidden="1" customHeight="1">
      <c r="A129" s="117">
        <v>268</v>
      </c>
      <c r="B129" s="154" t="s">
        <v>368</v>
      </c>
      <c r="C129" s="154" t="s">
        <v>904</v>
      </c>
      <c r="D129" s="154" t="s">
        <v>13</v>
      </c>
      <c r="E129" s="154" t="s">
        <v>392</v>
      </c>
      <c r="F129" s="154" t="s">
        <v>393</v>
      </c>
      <c r="G129" s="154" t="s">
        <v>178</v>
      </c>
      <c r="H129" s="146">
        <v>3130</v>
      </c>
      <c r="I129" s="147" t="s">
        <v>147</v>
      </c>
      <c r="J129" s="144">
        <v>1</v>
      </c>
      <c r="K129" s="145">
        <f t="shared" si="260"/>
        <v>1</v>
      </c>
      <c r="L129" s="144">
        <f t="shared" si="261"/>
        <v>1</v>
      </c>
      <c r="M129" s="146">
        <v>98.1</v>
      </c>
      <c r="N129" s="146">
        <f t="shared" si="262"/>
        <v>98.1</v>
      </c>
      <c r="O129" s="146" t="s">
        <v>137</v>
      </c>
      <c r="P129" s="146" t="s">
        <v>13</v>
      </c>
      <c r="Q129" s="146" t="s">
        <v>148</v>
      </c>
      <c r="R129" s="146"/>
      <c r="S129" s="146"/>
      <c r="T129" s="146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146">
        <f t="shared" ca="1" si="263"/>
        <v>1</v>
      </c>
      <c r="V129" s="146">
        <f t="shared" ca="1" si="264"/>
        <v>0</v>
      </c>
      <c r="W129" s="146"/>
      <c r="X129" s="146"/>
      <c r="Y129" s="146"/>
      <c r="Z129" s="146"/>
      <c r="AA129" s="146"/>
      <c r="AB129" s="146"/>
      <c r="AC129" s="146">
        <v>1.4</v>
      </c>
      <c r="AD129" s="117" t="s">
        <v>142</v>
      </c>
      <c r="AE129" s="148"/>
      <c r="AF129" s="146" t="str">
        <f t="shared" si="265"/>
        <v>N/A</v>
      </c>
      <c r="AG129" s="146">
        <f t="shared" si="265"/>
        <v>0</v>
      </c>
      <c r="AH129" s="146">
        <f t="shared" si="266"/>
        <v>0</v>
      </c>
      <c r="AI129" s="146">
        <f t="shared" ca="1" si="267"/>
        <v>0</v>
      </c>
      <c r="AJ129" s="146">
        <f t="shared" ca="1" si="268"/>
        <v>0</v>
      </c>
      <c r="AK129" s="146" t="str">
        <f t="shared" si="265"/>
        <v>N/A</v>
      </c>
      <c r="AL129" s="146">
        <f t="shared" si="265"/>
        <v>0</v>
      </c>
      <c r="AM129" s="146">
        <f t="shared" si="269"/>
        <v>0</v>
      </c>
      <c r="AN129" s="146">
        <f t="shared" ca="1" si="270"/>
        <v>0</v>
      </c>
      <c r="AO129" s="146">
        <f t="shared" ca="1" si="271"/>
        <v>0</v>
      </c>
      <c r="AP129" s="146" t="str">
        <f t="shared" si="265"/>
        <v>AMC 2-S3</v>
      </c>
      <c r="AQ129" s="146">
        <f t="shared" si="265"/>
        <v>1</v>
      </c>
      <c r="AR129" s="146">
        <f t="shared" si="272"/>
        <v>1</v>
      </c>
      <c r="AS129" s="146">
        <f t="shared" ca="1" si="273"/>
        <v>0</v>
      </c>
      <c r="AT129" s="146">
        <f t="shared" ca="1" si="274"/>
        <v>1</v>
      </c>
      <c r="AU129" s="146" t="str">
        <f t="shared" si="265"/>
        <v>N/A</v>
      </c>
      <c r="AV129" s="146">
        <f t="shared" si="265"/>
        <v>0</v>
      </c>
      <c r="AW129" s="146">
        <f t="shared" si="275"/>
        <v>0</v>
      </c>
      <c r="AX129" s="146">
        <f t="shared" ca="1" si="276"/>
        <v>0</v>
      </c>
      <c r="AY129" s="146">
        <f t="shared" ca="1" si="277"/>
        <v>0</v>
      </c>
      <c r="AZ129" s="147"/>
      <c r="BA129" s="144" t="s">
        <v>140</v>
      </c>
      <c r="BB129" s="144" t="s">
        <v>140</v>
      </c>
      <c r="BC129" s="144" t="s">
        <v>141</v>
      </c>
      <c r="BD129" s="144" t="s">
        <v>140</v>
      </c>
      <c r="BE129" s="146">
        <v>1.4</v>
      </c>
      <c r="BF129" s="148"/>
      <c r="BG129" s="146"/>
      <c r="BH129" s="117"/>
      <c r="BI129" s="117"/>
      <c r="BJ129" s="149"/>
      <c r="BK129" s="150" t="s">
        <v>149</v>
      </c>
      <c r="BL129" s="151">
        <v>0</v>
      </c>
      <c r="BM129" s="151">
        <v>0</v>
      </c>
      <c r="BN129" s="151">
        <v>0</v>
      </c>
      <c r="BO129" s="151">
        <v>1</v>
      </c>
      <c r="BP129" s="151">
        <v>0</v>
      </c>
      <c r="BQ129" s="151">
        <v>0</v>
      </c>
      <c r="BR129" s="151">
        <v>0</v>
      </c>
      <c r="BS129" s="117" t="s">
        <v>150</v>
      </c>
      <c r="BT129" s="117"/>
      <c r="BU129" s="155"/>
      <c r="BV129" s="117"/>
      <c r="BW129" s="117"/>
      <c r="BX129" s="149"/>
      <c r="BY129" s="117"/>
      <c r="BZ129" s="117"/>
      <c r="CA129" s="117"/>
      <c r="CB129" s="117">
        <f t="shared" si="278"/>
        <v>1</v>
      </c>
    </row>
    <row r="130" spans="1:80" ht="16.5" hidden="1" customHeight="1">
      <c r="A130" s="117">
        <v>269</v>
      </c>
      <c r="B130" s="154" t="s">
        <v>368</v>
      </c>
      <c r="C130" s="154" t="s">
        <v>904</v>
      </c>
      <c r="D130" s="154" t="s">
        <v>13</v>
      </c>
      <c r="E130" s="154" t="s">
        <v>394</v>
      </c>
      <c r="F130" s="154" t="s">
        <v>395</v>
      </c>
      <c r="G130" s="154" t="s">
        <v>396</v>
      </c>
      <c r="H130" s="146">
        <v>1359</v>
      </c>
      <c r="I130" s="147" t="s">
        <v>147</v>
      </c>
      <c r="J130" s="144">
        <v>1</v>
      </c>
      <c r="K130" s="145">
        <f t="shared" si="260"/>
        <v>1</v>
      </c>
      <c r="L130" s="144">
        <f t="shared" si="261"/>
        <v>1</v>
      </c>
      <c r="M130" s="146">
        <v>46.4</v>
      </c>
      <c r="N130" s="146">
        <f t="shared" si="262"/>
        <v>46.4</v>
      </c>
      <c r="O130" s="146" t="s">
        <v>137</v>
      </c>
      <c r="P130" s="146" t="s">
        <v>13</v>
      </c>
      <c r="Q130" s="146" t="s">
        <v>148</v>
      </c>
      <c r="R130" s="146"/>
      <c r="S130" s="146"/>
      <c r="T130" s="146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146">
        <f t="shared" ca="1" si="263"/>
        <v>1</v>
      </c>
      <c r="V130" s="146">
        <f t="shared" ca="1" si="264"/>
        <v>0</v>
      </c>
      <c r="W130" s="146"/>
      <c r="X130" s="146"/>
      <c r="Y130" s="146"/>
      <c r="Z130" s="146"/>
      <c r="AA130" s="146"/>
      <c r="AB130" s="146"/>
      <c r="AC130" s="146">
        <v>1</v>
      </c>
      <c r="AD130" s="117" t="s">
        <v>142</v>
      </c>
      <c r="AE130" s="148"/>
      <c r="AF130" s="146" t="str">
        <f t="shared" si="265"/>
        <v>N/A</v>
      </c>
      <c r="AG130" s="146">
        <f t="shared" si="265"/>
        <v>0</v>
      </c>
      <c r="AH130" s="146">
        <f t="shared" si="266"/>
        <v>0</v>
      </c>
      <c r="AI130" s="146">
        <f t="shared" ca="1" si="267"/>
        <v>0</v>
      </c>
      <c r="AJ130" s="146">
        <f t="shared" ca="1" si="268"/>
        <v>0</v>
      </c>
      <c r="AK130" s="146" t="str">
        <f t="shared" si="265"/>
        <v>N/A</v>
      </c>
      <c r="AL130" s="146">
        <f t="shared" si="265"/>
        <v>0</v>
      </c>
      <c r="AM130" s="146">
        <f t="shared" si="269"/>
        <v>0</v>
      </c>
      <c r="AN130" s="146">
        <f t="shared" ca="1" si="270"/>
        <v>0</v>
      </c>
      <c r="AO130" s="146">
        <f t="shared" ca="1" si="271"/>
        <v>0</v>
      </c>
      <c r="AP130" s="146" t="str">
        <f t="shared" si="265"/>
        <v>AMC 2-S3</v>
      </c>
      <c r="AQ130" s="146">
        <f t="shared" si="265"/>
        <v>1</v>
      </c>
      <c r="AR130" s="146">
        <f t="shared" si="272"/>
        <v>1</v>
      </c>
      <c r="AS130" s="146">
        <f t="shared" ca="1" si="273"/>
        <v>0</v>
      </c>
      <c r="AT130" s="146">
        <f t="shared" ca="1" si="274"/>
        <v>1</v>
      </c>
      <c r="AU130" s="146" t="str">
        <f t="shared" si="265"/>
        <v>N/A</v>
      </c>
      <c r="AV130" s="146">
        <f t="shared" si="265"/>
        <v>0</v>
      </c>
      <c r="AW130" s="146">
        <f t="shared" si="275"/>
        <v>0</v>
      </c>
      <c r="AX130" s="146">
        <f t="shared" ca="1" si="276"/>
        <v>0</v>
      </c>
      <c r="AY130" s="146">
        <f t="shared" ca="1" si="277"/>
        <v>0</v>
      </c>
      <c r="AZ130" s="147"/>
      <c r="BA130" s="144" t="s">
        <v>140</v>
      </c>
      <c r="BB130" s="144" t="s">
        <v>140</v>
      </c>
      <c r="BC130" s="144" t="s">
        <v>141</v>
      </c>
      <c r="BD130" s="144" t="s">
        <v>140</v>
      </c>
      <c r="BE130" s="146">
        <v>1</v>
      </c>
      <c r="BF130" s="148"/>
      <c r="BG130" s="146"/>
      <c r="BH130" s="117"/>
      <c r="BI130" s="117"/>
      <c r="BJ130" s="149"/>
      <c r="BK130" s="150" t="s">
        <v>149</v>
      </c>
      <c r="BL130" s="151">
        <v>0</v>
      </c>
      <c r="BM130" s="151">
        <v>0</v>
      </c>
      <c r="BN130" s="151">
        <v>0</v>
      </c>
      <c r="BO130" s="151">
        <v>0</v>
      </c>
      <c r="BP130" s="151">
        <v>0</v>
      </c>
      <c r="BQ130" s="151">
        <v>0</v>
      </c>
      <c r="BR130" s="151">
        <v>0</v>
      </c>
      <c r="BS130" s="117" t="s">
        <v>150</v>
      </c>
      <c r="BT130" s="117"/>
      <c r="BU130" s="155"/>
      <c r="BV130" s="117"/>
      <c r="BW130" s="117"/>
      <c r="BX130" s="149"/>
      <c r="BY130" s="117"/>
      <c r="BZ130" s="117"/>
      <c r="CA130" s="117"/>
      <c r="CB130" s="117">
        <f t="shared" si="278"/>
        <v>1</v>
      </c>
    </row>
    <row r="131" spans="1:80" ht="16.5" hidden="1" customHeight="1">
      <c r="A131" s="117">
        <v>270</v>
      </c>
      <c r="B131" s="154" t="s">
        <v>368</v>
      </c>
      <c r="C131" s="154" t="s">
        <v>904</v>
      </c>
      <c r="D131" s="154" t="s">
        <v>13</v>
      </c>
      <c r="E131" s="154" t="s">
        <v>397</v>
      </c>
      <c r="F131" s="154" t="s">
        <v>398</v>
      </c>
      <c r="G131" s="154" t="s">
        <v>399</v>
      </c>
      <c r="H131" s="146">
        <v>983</v>
      </c>
      <c r="I131" s="147" t="s">
        <v>147</v>
      </c>
      <c r="J131" s="144">
        <v>1</v>
      </c>
      <c r="K131" s="145">
        <f t="shared" si="260"/>
        <v>1</v>
      </c>
      <c r="L131" s="144">
        <f t="shared" si="261"/>
        <v>1</v>
      </c>
      <c r="M131" s="146">
        <v>34.799999999999997</v>
      </c>
      <c r="N131" s="146">
        <f t="shared" si="262"/>
        <v>34.799999999999997</v>
      </c>
      <c r="O131" s="146" t="s">
        <v>137</v>
      </c>
      <c r="P131" s="146" t="s">
        <v>13</v>
      </c>
      <c r="Q131" s="146" t="s">
        <v>148</v>
      </c>
      <c r="R131" s="146"/>
      <c r="S131" s="146"/>
      <c r="T131" s="146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146">
        <f t="shared" ca="1" si="263"/>
        <v>1</v>
      </c>
      <c r="V131" s="146">
        <f t="shared" ca="1" si="264"/>
        <v>0</v>
      </c>
      <c r="W131" s="146"/>
      <c r="X131" s="146"/>
      <c r="Y131" s="146"/>
      <c r="Z131" s="146"/>
      <c r="AA131" s="146"/>
      <c r="AB131" s="146"/>
      <c r="AC131" s="146">
        <v>0.8</v>
      </c>
      <c r="AD131" s="117" t="s">
        <v>142</v>
      </c>
      <c r="AE131" s="148"/>
      <c r="AF131" s="146" t="str">
        <f t="shared" si="265"/>
        <v>N/A</v>
      </c>
      <c r="AG131" s="146">
        <f t="shared" si="265"/>
        <v>0</v>
      </c>
      <c r="AH131" s="146">
        <f t="shared" si="266"/>
        <v>0</v>
      </c>
      <c r="AI131" s="146">
        <f t="shared" ca="1" si="267"/>
        <v>0</v>
      </c>
      <c r="AJ131" s="146">
        <f t="shared" ca="1" si="268"/>
        <v>0</v>
      </c>
      <c r="AK131" s="146" t="str">
        <f t="shared" si="265"/>
        <v>N/A</v>
      </c>
      <c r="AL131" s="146">
        <f t="shared" si="265"/>
        <v>0</v>
      </c>
      <c r="AM131" s="146">
        <f t="shared" si="269"/>
        <v>0</v>
      </c>
      <c r="AN131" s="146">
        <f t="shared" ca="1" si="270"/>
        <v>0</v>
      </c>
      <c r="AO131" s="146">
        <f t="shared" ca="1" si="271"/>
        <v>0</v>
      </c>
      <c r="AP131" s="146" t="str">
        <f t="shared" si="265"/>
        <v>AMC 2-S3</v>
      </c>
      <c r="AQ131" s="146">
        <f t="shared" si="265"/>
        <v>1</v>
      </c>
      <c r="AR131" s="146">
        <f t="shared" si="272"/>
        <v>1</v>
      </c>
      <c r="AS131" s="146">
        <f t="shared" ca="1" si="273"/>
        <v>0</v>
      </c>
      <c r="AT131" s="146">
        <f t="shared" ca="1" si="274"/>
        <v>1</v>
      </c>
      <c r="AU131" s="146" t="str">
        <f t="shared" si="265"/>
        <v>N/A</v>
      </c>
      <c r="AV131" s="146">
        <f t="shared" si="265"/>
        <v>0</v>
      </c>
      <c r="AW131" s="146">
        <f t="shared" si="275"/>
        <v>0</v>
      </c>
      <c r="AX131" s="146">
        <f t="shared" ca="1" si="276"/>
        <v>0</v>
      </c>
      <c r="AY131" s="146">
        <f t="shared" ca="1" si="277"/>
        <v>0</v>
      </c>
      <c r="AZ131" s="147"/>
      <c r="BA131" s="144" t="s">
        <v>140</v>
      </c>
      <c r="BB131" s="144" t="s">
        <v>140</v>
      </c>
      <c r="BC131" s="144" t="s">
        <v>141</v>
      </c>
      <c r="BD131" s="144" t="s">
        <v>140</v>
      </c>
      <c r="BE131" s="146">
        <v>0.8</v>
      </c>
      <c r="BF131" s="148"/>
      <c r="BG131" s="146"/>
      <c r="BH131" s="117"/>
      <c r="BI131" s="117"/>
      <c r="BJ131" s="149"/>
      <c r="BK131" s="150" t="s">
        <v>149</v>
      </c>
      <c r="BL131" s="151">
        <v>0</v>
      </c>
      <c r="BM131" s="151">
        <v>0</v>
      </c>
      <c r="BN131" s="151">
        <v>0</v>
      </c>
      <c r="BO131" s="151">
        <v>0</v>
      </c>
      <c r="BP131" s="151">
        <v>0</v>
      </c>
      <c r="BQ131" s="151">
        <v>0</v>
      </c>
      <c r="BR131" s="151">
        <v>0</v>
      </c>
      <c r="BS131" s="117" t="s">
        <v>150</v>
      </c>
      <c r="BT131" s="117"/>
      <c r="BU131" s="155"/>
      <c r="BV131" s="117"/>
      <c r="BW131" s="117"/>
      <c r="BX131" s="149"/>
      <c r="BY131" s="117"/>
      <c r="BZ131" s="117"/>
      <c r="CA131" s="117"/>
      <c r="CB131" s="117">
        <f t="shared" si="278"/>
        <v>1</v>
      </c>
    </row>
    <row r="132" spans="1:80" ht="16.5" hidden="1" customHeight="1">
      <c r="A132" s="117">
        <v>271</v>
      </c>
      <c r="B132" s="154" t="s">
        <v>368</v>
      </c>
      <c r="C132" s="154" t="s">
        <v>904</v>
      </c>
      <c r="D132" s="154" t="s">
        <v>13</v>
      </c>
      <c r="E132" s="154" t="s">
        <v>400</v>
      </c>
      <c r="F132" s="154" t="s">
        <v>401</v>
      </c>
      <c r="G132" s="154" t="s">
        <v>402</v>
      </c>
      <c r="H132" s="146">
        <v>434</v>
      </c>
      <c r="I132" s="147" t="s">
        <v>147</v>
      </c>
      <c r="J132" s="144">
        <v>1</v>
      </c>
      <c r="K132" s="145">
        <f t="shared" si="260"/>
        <v>1</v>
      </c>
      <c r="L132" s="144">
        <f t="shared" si="261"/>
        <v>1</v>
      </c>
      <c r="M132" s="146">
        <v>11.1</v>
      </c>
      <c r="N132" s="146">
        <f t="shared" si="262"/>
        <v>11.1</v>
      </c>
      <c r="O132" s="146" t="s">
        <v>137</v>
      </c>
      <c r="P132" s="146" t="s">
        <v>13</v>
      </c>
      <c r="Q132" s="146" t="s">
        <v>148</v>
      </c>
      <c r="R132" s="146"/>
      <c r="S132" s="146"/>
      <c r="T132" s="146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146">
        <f t="shared" ca="1" si="263"/>
        <v>1</v>
      </c>
      <c r="V132" s="146">
        <f t="shared" ca="1" si="264"/>
        <v>0</v>
      </c>
      <c r="W132" s="146"/>
      <c r="X132" s="146"/>
      <c r="Y132" s="146"/>
      <c r="Z132" s="146"/>
      <c r="AA132" s="146"/>
      <c r="AB132" s="146"/>
      <c r="AC132" s="146">
        <v>0.3</v>
      </c>
      <c r="AD132" s="117" t="s">
        <v>142</v>
      </c>
      <c r="AE132" s="148"/>
      <c r="AF132" s="146" t="str">
        <f t="shared" si="265"/>
        <v>N/A</v>
      </c>
      <c r="AG132" s="146">
        <f t="shared" si="265"/>
        <v>0</v>
      </c>
      <c r="AH132" s="146">
        <f t="shared" si="266"/>
        <v>0</v>
      </c>
      <c r="AI132" s="146">
        <f t="shared" ca="1" si="267"/>
        <v>0</v>
      </c>
      <c r="AJ132" s="146">
        <f t="shared" ca="1" si="268"/>
        <v>0</v>
      </c>
      <c r="AK132" s="146" t="str">
        <f t="shared" si="265"/>
        <v>N/A</v>
      </c>
      <c r="AL132" s="146">
        <f t="shared" si="265"/>
        <v>0</v>
      </c>
      <c r="AM132" s="146">
        <f t="shared" si="269"/>
        <v>0</v>
      </c>
      <c r="AN132" s="146">
        <f t="shared" ca="1" si="270"/>
        <v>0</v>
      </c>
      <c r="AO132" s="146">
        <f t="shared" ca="1" si="271"/>
        <v>0</v>
      </c>
      <c r="AP132" s="146" t="str">
        <f t="shared" si="265"/>
        <v>AMC 2-S3</v>
      </c>
      <c r="AQ132" s="146">
        <f t="shared" si="265"/>
        <v>1</v>
      </c>
      <c r="AR132" s="146">
        <f t="shared" si="272"/>
        <v>1</v>
      </c>
      <c r="AS132" s="146">
        <f t="shared" ca="1" si="273"/>
        <v>0</v>
      </c>
      <c r="AT132" s="146">
        <f t="shared" ca="1" si="274"/>
        <v>1</v>
      </c>
      <c r="AU132" s="146" t="str">
        <f t="shared" si="265"/>
        <v>N/A</v>
      </c>
      <c r="AV132" s="146">
        <f t="shared" si="265"/>
        <v>0</v>
      </c>
      <c r="AW132" s="146">
        <f t="shared" si="275"/>
        <v>0</v>
      </c>
      <c r="AX132" s="146">
        <f t="shared" ca="1" si="276"/>
        <v>0</v>
      </c>
      <c r="AY132" s="146">
        <f t="shared" ca="1" si="277"/>
        <v>0</v>
      </c>
      <c r="AZ132" s="147"/>
      <c r="BA132" s="144" t="s">
        <v>140</v>
      </c>
      <c r="BB132" s="144" t="s">
        <v>140</v>
      </c>
      <c r="BC132" s="144" t="s">
        <v>141</v>
      </c>
      <c r="BD132" s="144" t="s">
        <v>140</v>
      </c>
      <c r="BE132" s="146">
        <v>0.3</v>
      </c>
      <c r="BF132" s="148"/>
      <c r="BG132" s="146"/>
      <c r="BH132" s="117"/>
      <c r="BI132" s="117"/>
      <c r="BJ132" s="149"/>
      <c r="BK132" s="150" t="s">
        <v>149</v>
      </c>
      <c r="BL132" s="151">
        <v>0</v>
      </c>
      <c r="BM132" s="151">
        <v>0</v>
      </c>
      <c r="BN132" s="151">
        <v>0</v>
      </c>
      <c r="BO132" s="151">
        <v>0</v>
      </c>
      <c r="BP132" s="151">
        <v>0</v>
      </c>
      <c r="BQ132" s="151">
        <v>0</v>
      </c>
      <c r="BR132" s="151">
        <v>0</v>
      </c>
      <c r="BS132" s="117" t="s">
        <v>150</v>
      </c>
      <c r="BT132" s="117"/>
      <c r="BU132" s="155"/>
      <c r="BV132" s="117"/>
      <c r="BW132" s="117"/>
      <c r="BX132" s="149"/>
      <c r="BY132" s="117"/>
      <c r="BZ132" s="117"/>
      <c r="CA132" s="117"/>
      <c r="CB132" s="117">
        <f t="shared" si="278"/>
        <v>1</v>
      </c>
    </row>
    <row r="133" spans="1:80" ht="16.5" hidden="1" customHeight="1">
      <c r="A133" s="117">
        <v>272</v>
      </c>
      <c r="B133" s="154" t="s">
        <v>368</v>
      </c>
      <c r="C133" s="154" t="s">
        <v>904</v>
      </c>
      <c r="D133" s="154" t="s">
        <v>13</v>
      </c>
      <c r="E133" s="154" t="s">
        <v>403</v>
      </c>
      <c r="F133" s="154" t="s">
        <v>404</v>
      </c>
      <c r="G133" s="154" t="s">
        <v>396</v>
      </c>
      <c r="H133" s="146">
        <v>1471</v>
      </c>
      <c r="I133" s="147" t="s">
        <v>147</v>
      </c>
      <c r="J133" s="144">
        <v>2</v>
      </c>
      <c r="K133" s="145">
        <f t="shared" si="260"/>
        <v>1</v>
      </c>
      <c r="L133" s="144">
        <f t="shared" si="261"/>
        <v>2</v>
      </c>
      <c r="M133" s="146">
        <v>50.2</v>
      </c>
      <c r="N133" s="146">
        <f t="shared" si="262"/>
        <v>100.4</v>
      </c>
      <c r="O133" s="146" t="s">
        <v>137</v>
      </c>
      <c r="P133" s="146" t="s">
        <v>13</v>
      </c>
      <c r="Q133" s="146" t="s">
        <v>148</v>
      </c>
      <c r="R133" s="146"/>
      <c r="S133" s="146"/>
      <c r="T133" s="146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146">
        <f t="shared" ca="1" si="263"/>
        <v>2</v>
      </c>
      <c r="V133" s="146">
        <f t="shared" ca="1" si="264"/>
        <v>0</v>
      </c>
      <c r="W133" s="146"/>
      <c r="X133" s="146"/>
      <c r="Y133" s="146"/>
      <c r="Z133" s="146"/>
      <c r="AA133" s="146"/>
      <c r="AB133" s="146"/>
      <c r="AC133" s="146">
        <v>2.2000000000000002</v>
      </c>
      <c r="AD133" s="117" t="s">
        <v>142</v>
      </c>
      <c r="AE133" s="148"/>
      <c r="AF133" s="146" t="str">
        <f t="shared" si="265"/>
        <v>N/A</v>
      </c>
      <c r="AG133" s="146">
        <f t="shared" si="265"/>
        <v>0</v>
      </c>
      <c r="AH133" s="146">
        <f t="shared" si="266"/>
        <v>0</v>
      </c>
      <c r="AI133" s="146">
        <f t="shared" ca="1" si="267"/>
        <v>0</v>
      </c>
      <c r="AJ133" s="146">
        <f t="shared" ca="1" si="268"/>
        <v>0</v>
      </c>
      <c r="AK133" s="146" t="str">
        <f t="shared" si="265"/>
        <v>N/A</v>
      </c>
      <c r="AL133" s="146">
        <f t="shared" si="265"/>
        <v>0</v>
      </c>
      <c r="AM133" s="146">
        <f t="shared" si="269"/>
        <v>0</v>
      </c>
      <c r="AN133" s="146">
        <f t="shared" ca="1" si="270"/>
        <v>0</v>
      </c>
      <c r="AO133" s="146">
        <f t="shared" ca="1" si="271"/>
        <v>0</v>
      </c>
      <c r="AP133" s="146" t="str">
        <f t="shared" si="265"/>
        <v>AMC 2-S3</v>
      </c>
      <c r="AQ133" s="146">
        <f t="shared" si="265"/>
        <v>1</v>
      </c>
      <c r="AR133" s="146">
        <f t="shared" si="272"/>
        <v>2</v>
      </c>
      <c r="AS133" s="146">
        <f t="shared" ca="1" si="273"/>
        <v>0</v>
      </c>
      <c r="AT133" s="146">
        <f t="shared" ca="1" si="274"/>
        <v>2</v>
      </c>
      <c r="AU133" s="146" t="str">
        <f t="shared" si="265"/>
        <v>N/A</v>
      </c>
      <c r="AV133" s="146">
        <f t="shared" si="265"/>
        <v>0</v>
      </c>
      <c r="AW133" s="146">
        <f t="shared" si="275"/>
        <v>0</v>
      </c>
      <c r="AX133" s="146">
        <f t="shared" ca="1" si="276"/>
        <v>0</v>
      </c>
      <c r="AY133" s="146">
        <f t="shared" ca="1" si="277"/>
        <v>0</v>
      </c>
      <c r="AZ133" s="147"/>
      <c r="BA133" s="144" t="s">
        <v>140</v>
      </c>
      <c r="BB133" s="144" t="s">
        <v>140</v>
      </c>
      <c r="BC133" s="144" t="s">
        <v>141</v>
      </c>
      <c r="BD133" s="144" t="s">
        <v>140</v>
      </c>
      <c r="BE133" s="146">
        <v>1.1000000000000001</v>
      </c>
      <c r="BF133" s="148"/>
      <c r="BG133" s="146"/>
      <c r="BH133" s="117"/>
      <c r="BI133" s="117"/>
      <c r="BJ133" s="149"/>
      <c r="BK133" s="150" t="s">
        <v>149</v>
      </c>
      <c r="BL133" s="151">
        <v>0</v>
      </c>
      <c r="BM133" s="151">
        <v>0</v>
      </c>
      <c r="BN133" s="151">
        <v>0</v>
      </c>
      <c r="BO133" s="151">
        <v>0</v>
      </c>
      <c r="BP133" s="151">
        <v>0</v>
      </c>
      <c r="BQ133" s="151">
        <v>0</v>
      </c>
      <c r="BR133" s="151">
        <v>0</v>
      </c>
      <c r="BS133" s="117" t="s">
        <v>150</v>
      </c>
      <c r="BT133" s="117"/>
      <c r="BU133" s="155"/>
      <c r="BV133" s="117"/>
      <c r="BW133" s="117"/>
      <c r="BX133" s="149"/>
      <c r="BY133" s="117"/>
      <c r="BZ133" s="117"/>
      <c r="CA133" s="117"/>
      <c r="CB133" s="117">
        <f t="shared" si="278"/>
        <v>2</v>
      </c>
    </row>
    <row r="134" spans="1:80" ht="16.5" hidden="1" customHeight="1">
      <c r="A134" s="117">
        <v>273</v>
      </c>
      <c r="B134" s="154" t="s">
        <v>368</v>
      </c>
      <c r="C134" s="154" t="s">
        <v>904</v>
      </c>
      <c r="D134" s="154" t="s">
        <v>13</v>
      </c>
      <c r="E134" s="154" t="s">
        <v>405</v>
      </c>
      <c r="F134" s="154" t="s">
        <v>406</v>
      </c>
      <c r="G134" s="154" t="s">
        <v>407</v>
      </c>
      <c r="H134" s="146">
        <v>1087</v>
      </c>
      <c r="I134" s="147" t="s">
        <v>147</v>
      </c>
      <c r="J134" s="144">
        <v>2</v>
      </c>
      <c r="K134" s="145">
        <f t="shared" si="260"/>
        <v>1</v>
      </c>
      <c r="L134" s="144">
        <f t="shared" si="261"/>
        <v>2</v>
      </c>
      <c r="M134" s="146">
        <v>41.9</v>
      </c>
      <c r="N134" s="146">
        <f t="shared" si="262"/>
        <v>83.8</v>
      </c>
      <c r="O134" s="146" t="s">
        <v>137</v>
      </c>
      <c r="P134" s="146" t="s">
        <v>13</v>
      </c>
      <c r="Q134" s="146" t="s">
        <v>148</v>
      </c>
      <c r="R134" s="146"/>
      <c r="S134" s="146"/>
      <c r="T134" s="146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46">
        <f t="shared" ca="1" si="263"/>
        <v>2</v>
      </c>
      <c r="V134" s="146">
        <f t="shared" ca="1" si="264"/>
        <v>0</v>
      </c>
      <c r="W134" s="146"/>
      <c r="X134" s="146"/>
      <c r="Y134" s="146"/>
      <c r="Z134" s="146"/>
      <c r="AA134" s="146"/>
      <c r="AB134" s="146"/>
      <c r="AC134" s="146">
        <v>1.9</v>
      </c>
      <c r="AD134" s="117" t="s">
        <v>142</v>
      </c>
      <c r="AE134" s="148"/>
      <c r="AF134" s="146" t="str">
        <f t="shared" si="265"/>
        <v>N/A</v>
      </c>
      <c r="AG134" s="146">
        <f t="shared" si="265"/>
        <v>0</v>
      </c>
      <c r="AH134" s="146">
        <f t="shared" si="266"/>
        <v>0</v>
      </c>
      <c r="AI134" s="146">
        <f t="shared" ca="1" si="267"/>
        <v>0</v>
      </c>
      <c r="AJ134" s="146">
        <f t="shared" ca="1" si="268"/>
        <v>0</v>
      </c>
      <c r="AK134" s="146" t="str">
        <f t="shared" si="265"/>
        <v>N/A</v>
      </c>
      <c r="AL134" s="146">
        <f t="shared" si="265"/>
        <v>0</v>
      </c>
      <c r="AM134" s="146">
        <f t="shared" si="269"/>
        <v>0</v>
      </c>
      <c r="AN134" s="146">
        <f t="shared" ca="1" si="270"/>
        <v>0</v>
      </c>
      <c r="AO134" s="146">
        <f t="shared" ca="1" si="271"/>
        <v>0</v>
      </c>
      <c r="AP134" s="146" t="str">
        <f t="shared" si="265"/>
        <v>AMC 2-S3</v>
      </c>
      <c r="AQ134" s="146">
        <f t="shared" si="265"/>
        <v>1</v>
      </c>
      <c r="AR134" s="146">
        <f t="shared" si="272"/>
        <v>2</v>
      </c>
      <c r="AS134" s="146">
        <f t="shared" ca="1" si="273"/>
        <v>0</v>
      </c>
      <c r="AT134" s="146">
        <f t="shared" ca="1" si="274"/>
        <v>2</v>
      </c>
      <c r="AU134" s="146" t="str">
        <f t="shared" si="265"/>
        <v>N/A</v>
      </c>
      <c r="AV134" s="146">
        <f t="shared" si="265"/>
        <v>0</v>
      </c>
      <c r="AW134" s="146">
        <f t="shared" si="275"/>
        <v>0</v>
      </c>
      <c r="AX134" s="146">
        <f t="shared" ca="1" si="276"/>
        <v>0</v>
      </c>
      <c r="AY134" s="146">
        <f t="shared" ca="1" si="277"/>
        <v>0</v>
      </c>
      <c r="AZ134" s="147"/>
      <c r="BA134" s="144" t="s">
        <v>140</v>
      </c>
      <c r="BB134" s="144" t="s">
        <v>140</v>
      </c>
      <c r="BC134" s="144" t="s">
        <v>141</v>
      </c>
      <c r="BD134" s="144" t="s">
        <v>140</v>
      </c>
      <c r="BE134" s="146">
        <v>0.9</v>
      </c>
      <c r="BF134" s="148"/>
      <c r="BG134" s="146"/>
      <c r="BH134" s="117"/>
      <c r="BI134" s="117"/>
      <c r="BJ134" s="149"/>
      <c r="BK134" s="150" t="s">
        <v>149</v>
      </c>
      <c r="BL134" s="151">
        <v>0</v>
      </c>
      <c r="BM134" s="151">
        <v>0</v>
      </c>
      <c r="BN134" s="151">
        <v>0</v>
      </c>
      <c r="BO134" s="151">
        <v>0</v>
      </c>
      <c r="BP134" s="151">
        <v>0</v>
      </c>
      <c r="BQ134" s="151">
        <v>0</v>
      </c>
      <c r="BR134" s="151">
        <v>0</v>
      </c>
      <c r="BS134" s="117" t="s">
        <v>150</v>
      </c>
      <c r="BT134" s="117"/>
      <c r="BU134" s="155"/>
      <c r="BV134" s="117"/>
      <c r="BW134" s="117"/>
      <c r="BX134" s="149"/>
      <c r="BY134" s="117"/>
      <c r="BZ134" s="117"/>
      <c r="CA134" s="117"/>
      <c r="CB134" s="117">
        <f t="shared" si="278"/>
        <v>2</v>
      </c>
    </row>
    <row r="135" spans="1:80" ht="16.5" hidden="1" customHeight="1">
      <c r="A135" s="117">
        <v>274</v>
      </c>
      <c r="B135" s="154" t="s">
        <v>368</v>
      </c>
      <c r="C135" s="154" t="s">
        <v>904</v>
      </c>
      <c r="D135" s="154" t="s">
        <v>13</v>
      </c>
      <c r="E135" s="154" t="s">
        <v>408</v>
      </c>
      <c r="F135" s="154" t="s">
        <v>409</v>
      </c>
      <c r="G135" s="154" t="s">
        <v>410</v>
      </c>
      <c r="H135" s="146">
        <v>547</v>
      </c>
      <c r="I135" s="147" t="s">
        <v>147</v>
      </c>
      <c r="J135" s="144">
        <v>2</v>
      </c>
      <c r="K135" s="145">
        <f t="shared" si="260"/>
        <v>1</v>
      </c>
      <c r="L135" s="144">
        <f t="shared" si="261"/>
        <v>2</v>
      </c>
      <c r="M135" s="146">
        <v>17.3</v>
      </c>
      <c r="N135" s="146">
        <f t="shared" si="262"/>
        <v>34.6</v>
      </c>
      <c r="O135" s="146" t="s">
        <v>137</v>
      </c>
      <c r="P135" s="146" t="s">
        <v>13</v>
      </c>
      <c r="Q135" s="146" t="s">
        <v>148</v>
      </c>
      <c r="R135" s="146"/>
      <c r="S135" s="146"/>
      <c r="T135" s="146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146">
        <f t="shared" ca="1" si="263"/>
        <v>2</v>
      </c>
      <c r="V135" s="146">
        <f t="shared" ca="1" si="264"/>
        <v>0</v>
      </c>
      <c r="W135" s="146"/>
      <c r="X135" s="146"/>
      <c r="Y135" s="146"/>
      <c r="Z135" s="146"/>
      <c r="AA135" s="146"/>
      <c r="AB135" s="146"/>
      <c r="AC135" s="146">
        <v>0.8</v>
      </c>
      <c r="AD135" s="117" t="s">
        <v>142</v>
      </c>
      <c r="AE135" s="148"/>
      <c r="AF135" s="146" t="str">
        <f t="shared" si="265"/>
        <v>N/A</v>
      </c>
      <c r="AG135" s="146">
        <f t="shared" si="265"/>
        <v>0</v>
      </c>
      <c r="AH135" s="146">
        <f t="shared" si="266"/>
        <v>0</v>
      </c>
      <c r="AI135" s="146">
        <f t="shared" ca="1" si="267"/>
        <v>0</v>
      </c>
      <c r="AJ135" s="146">
        <f t="shared" ca="1" si="268"/>
        <v>0</v>
      </c>
      <c r="AK135" s="146" t="str">
        <f t="shared" si="265"/>
        <v>N/A</v>
      </c>
      <c r="AL135" s="146">
        <f t="shared" si="265"/>
        <v>0</v>
      </c>
      <c r="AM135" s="146">
        <f t="shared" si="269"/>
        <v>0</v>
      </c>
      <c r="AN135" s="146">
        <f t="shared" ca="1" si="270"/>
        <v>0</v>
      </c>
      <c r="AO135" s="146">
        <f t="shared" ca="1" si="271"/>
        <v>0</v>
      </c>
      <c r="AP135" s="146" t="str">
        <f t="shared" si="265"/>
        <v>AMC 2-S3</v>
      </c>
      <c r="AQ135" s="146">
        <f t="shared" si="265"/>
        <v>1</v>
      </c>
      <c r="AR135" s="146">
        <f t="shared" si="272"/>
        <v>2</v>
      </c>
      <c r="AS135" s="146">
        <f t="shared" ca="1" si="273"/>
        <v>0</v>
      </c>
      <c r="AT135" s="146">
        <f t="shared" ca="1" si="274"/>
        <v>2</v>
      </c>
      <c r="AU135" s="146" t="str">
        <f t="shared" si="265"/>
        <v>N/A</v>
      </c>
      <c r="AV135" s="146">
        <f t="shared" si="265"/>
        <v>0</v>
      </c>
      <c r="AW135" s="146">
        <f t="shared" si="275"/>
        <v>0</v>
      </c>
      <c r="AX135" s="146">
        <f t="shared" ca="1" si="276"/>
        <v>0</v>
      </c>
      <c r="AY135" s="146">
        <f t="shared" ca="1" si="277"/>
        <v>0</v>
      </c>
      <c r="AZ135" s="147"/>
      <c r="BA135" s="144" t="s">
        <v>140</v>
      </c>
      <c r="BB135" s="144" t="s">
        <v>140</v>
      </c>
      <c r="BC135" s="144" t="s">
        <v>141</v>
      </c>
      <c r="BD135" s="144" t="s">
        <v>140</v>
      </c>
      <c r="BE135" s="146">
        <v>0.4</v>
      </c>
      <c r="BF135" s="148"/>
      <c r="BG135" s="146"/>
      <c r="BH135" s="117"/>
      <c r="BI135" s="117"/>
      <c r="BJ135" s="149"/>
      <c r="BK135" s="150" t="s">
        <v>149</v>
      </c>
      <c r="BL135" s="151">
        <v>0</v>
      </c>
      <c r="BM135" s="151">
        <v>0</v>
      </c>
      <c r="BN135" s="151">
        <v>0</v>
      </c>
      <c r="BO135" s="151">
        <v>0</v>
      </c>
      <c r="BP135" s="151">
        <v>0</v>
      </c>
      <c r="BQ135" s="151">
        <v>0</v>
      </c>
      <c r="BR135" s="151">
        <v>0</v>
      </c>
      <c r="BS135" s="117" t="s">
        <v>150</v>
      </c>
      <c r="BT135" s="117"/>
      <c r="BU135" s="155"/>
      <c r="BV135" s="117"/>
      <c r="BW135" s="117"/>
      <c r="BX135" s="149"/>
      <c r="BY135" s="117"/>
      <c r="BZ135" s="117"/>
      <c r="CA135" s="117"/>
      <c r="CB135" s="117">
        <f t="shared" si="278"/>
        <v>2</v>
      </c>
    </row>
    <row r="136" spans="1:80" ht="16.5" hidden="1" customHeight="1">
      <c r="A136" s="117">
        <v>275</v>
      </c>
      <c r="B136" s="154" t="s">
        <v>368</v>
      </c>
      <c r="C136" s="154" t="s">
        <v>904</v>
      </c>
      <c r="D136" s="154" t="s">
        <v>13</v>
      </c>
      <c r="E136" s="154" t="s">
        <v>411</v>
      </c>
      <c r="F136" s="154" t="s">
        <v>412</v>
      </c>
      <c r="G136" s="154" t="s">
        <v>323</v>
      </c>
      <c r="H136" s="146">
        <v>2220</v>
      </c>
      <c r="I136" s="147" t="s">
        <v>147</v>
      </c>
      <c r="J136" s="144">
        <v>1</v>
      </c>
      <c r="K136" s="145">
        <f t="shared" si="260"/>
        <v>1</v>
      </c>
      <c r="L136" s="144">
        <f t="shared" si="261"/>
        <v>1</v>
      </c>
      <c r="M136" s="146">
        <v>31.9</v>
      </c>
      <c r="N136" s="146">
        <f t="shared" si="262"/>
        <v>31.9</v>
      </c>
      <c r="O136" s="146" t="s">
        <v>137</v>
      </c>
      <c r="P136" s="146" t="s">
        <v>13</v>
      </c>
      <c r="Q136" s="146" t="s">
        <v>154</v>
      </c>
      <c r="R136" s="146"/>
      <c r="S136" s="146"/>
      <c r="T136" s="146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46">
        <f t="shared" ca="1" si="263"/>
        <v>1</v>
      </c>
      <c r="V136" s="146">
        <f t="shared" ca="1" si="264"/>
        <v>0</v>
      </c>
      <c r="W136" s="146"/>
      <c r="X136" s="146"/>
      <c r="Y136" s="146"/>
      <c r="Z136" s="146"/>
      <c r="AA136" s="146"/>
      <c r="AB136" s="146"/>
      <c r="AC136" s="146">
        <v>0.7</v>
      </c>
      <c r="AD136" s="117" t="s">
        <v>142</v>
      </c>
      <c r="AE136" s="148"/>
      <c r="AF136" s="146" t="str">
        <f t="shared" si="265"/>
        <v>N/A</v>
      </c>
      <c r="AG136" s="146">
        <f t="shared" si="265"/>
        <v>0</v>
      </c>
      <c r="AH136" s="146">
        <f t="shared" si="266"/>
        <v>0</v>
      </c>
      <c r="AI136" s="146">
        <f t="shared" ca="1" si="267"/>
        <v>0</v>
      </c>
      <c r="AJ136" s="146">
        <f t="shared" ca="1" si="268"/>
        <v>0</v>
      </c>
      <c r="AK136" s="146" t="str">
        <f t="shared" si="265"/>
        <v>N/A</v>
      </c>
      <c r="AL136" s="146">
        <f t="shared" si="265"/>
        <v>0</v>
      </c>
      <c r="AM136" s="146">
        <f t="shared" si="269"/>
        <v>0</v>
      </c>
      <c r="AN136" s="146">
        <f t="shared" ca="1" si="270"/>
        <v>0</v>
      </c>
      <c r="AO136" s="146">
        <f t="shared" ca="1" si="271"/>
        <v>0</v>
      </c>
      <c r="AP136" s="146" t="str">
        <f t="shared" si="265"/>
        <v>AMC 2-S3</v>
      </c>
      <c r="AQ136" s="146">
        <f t="shared" si="265"/>
        <v>1</v>
      </c>
      <c r="AR136" s="146">
        <f t="shared" si="272"/>
        <v>1</v>
      </c>
      <c r="AS136" s="146">
        <f t="shared" ca="1" si="273"/>
        <v>0</v>
      </c>
      <c r="AT136" s="146">
        <f t="shared" ca="1" si="274"/>
        <v>1</v>
      </c>
      <c r="AU136" s="146" t="str">
        <f t="shared" si="265"/>
        <v>N/A</v>
      </c>
      <c r="AV136" s="146">
        <f t="shared" si="265"/>
        <v>0</v>
      </c>
      <c r="AW136" s="146">
        <f t="shared" si="275"/>
        <v>0</v>
      </c>
      <c r="AX136" s="146">
        <f t="shared" ca="1" si="276"/>
        <v>0</v>
      </c>
      <c r="AY136" s="146">
        <f t="shared" ca="1" si="277"/>
        <v>0</v>
      </c>
      <c r="AZ136" s="147"/>
      <c r="BA136" s="144" t="s">
        <v>140</v>
      </c>
      <c r="BB136" s="144" t="s">
        <v>140</v>
      </c>
      <c r="BC136" s="144" t="s">
        <v>141</v>
      </c>
      <c r="BD136" s="144" t="s">
        <v>140</v>
      </c>
      <c r="BE136" s="146">
        <v>0.7</v>
      </c>
      <c r="BF136" s="148"/>
      <c r="BG136" s="146"/>
      <c r="BH136" s="117"/>
      <c r="BI136" s="117"/>
      <c r="BJ136" s="149"/>
      <c r="BK136" s="150" t="s">
        <v>149</v>
      </c>
      <c r="BL136" s="151">
        <v>0</v>
      </c>
      <c r="BM136" s="151">
        <v>0</v>
      </c>
      <c r="BN136" s="151">
        <v>1</v>
      </c>
      <c r="BO136" s="151">
        <v>0</v>
      </c>
      <c r="BP136" s="151">
        <v>0</v>
      </c>
      <c r="BQ136" s="151">
        <v>0</v>
      </c>
      <c r="BR136" s="151">
        <v>0</v>
      </c>
      <c r="BS136" s="117" t="s">
        <v>150</v>
      </c>
      <c r="BT136" s="117"/>
      <c r="BU136" s="155"/>
      <c r="BV136" s="117"/>
      <c r="BW136" s="117"/>
      <c r="BX136" s="149"/>
      <c r="BY136" s="117"/>
      <c r="BZ136" s="117"/>
      <c r="CA136" s="117"/>
      <c r="CB136" s="117">
        <f t="shared" si="278"/>
        <v>1</v>
      </c>
    </row>
    <row r="137" spans="1:80" ht="16.5" hidden="1" customHeight="1">
      <c r="A137" s="117">
        <v>276</v>
      </c>
      <c r="B137" s="154" t="s">
        <v>368</v>
      </c>
      <c r="C137" s="154" t="s">
        <v>904</v>
      </c>
      <c r="D137" s="154" t="s">
        <v>13</v>
      </c>
      <c r="E137" s="154" t="s">
        <v>413</v>
      </c>
      <c r="F137" s="154" t="s">
        <v>414</v>
      </c>
      <c r="G137" s="154" t="s">
        <v>323</v>
      </c>
      <c r="H137" s="146">
        <v>2220</v>
      </c>
      <c r="I137" s="147" t="s">
        <v>147</v>
      </c>
      <c r="J137" s="144">
        <v>1</v>
      </c>
      <c r="K137" s="145">
        <f t="shared" si="260"/>
        <v>1</v>
      </c>
      <c r="L137" s="144">
        <f t="shared" si="261"/>
        <v>1</v>
      </c>
      <c r="M137" s="146">
        <v>31.9</v>
      </c>
      <c r="N137" s="146">
        <f t="shared" si="262"/>
        <v>31.9</v>
      </c>
      <c r="O137" s="146" t="s">
        <v>137</v>
      </c>
      <c r="P137" s="146" t="s">
        <v>13</v>
      </c>
      <c r="Q137" s="146" t="s">
        <v>154</v>
      </c>
      <c r="R137" s="146"/>
      <c r="S137" s="146"/>
      <c r="T137" s="146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0</v>
      </c>
      <c r="U137" s="146">
        <f t="shared" ca="1" si="263"/>
        <v>1</v>
      </c>
      <c r="V137" s="146">
        <f t="shared" ca="1" si="264"/>
        <v>0</v>
      </c>
      <c r="W137" s="146"/>
      <c r="X137" s="146"/>
      <c r="Y137" s="146"/>
      <c r="Z137" s="146"/>
      <c r="AA137" s="146"/>
      <c r="AB137" s="146"/>
      <c r="AC137" s="146">
        <v>0.7</v>
      </c>
      <c r="AD137" s="117" t="s">
        <v>142</v>
      </c>
      <c r="AE137" s="148"/>
      <c r="AF137" s="146" t="str">
        <f t="shared" si="265"/>
        <v>N/A</v>
      </c>
      <c r="AG137" s="146">
        <f t="shared" si="265"/>
        <v>0</v>
      </c>
      <c r="AH137" s="146">
        <f t="shared" si="266"/>
        <v>0</v>
      </c>
      <c r="AI137" s="146">
        <f t="shared" ca="1" si="267"/>
        <v>0</v>
      </c>
      <c r="AJ137" s="146">
        <f t="shared" ca="1" si="268"/>
        <v>0</v>
      </c>
      <c r="AK137" s="146" t="str">
        <f t="shared" si="265"/>
        <v>N/A</v>
      </c>
      <c r="AL137" s="146">
        <f t="shared" si="265"/>
        <v>0</v>
      </c>
      <c r="AM137" s="146">
        <f t="shared" si="269"/>
        <v>0</v>
      </c>
      <c r="AN137" s="146">
        <f t="shared" ca="1" si="270"/>
        <v>0</v>
      </c>
      <c r="AO137" s="146">
        <f t="shared" ca="1" si="271"/>
        <v>0</v>
      </c>
      <c r="AP137" s="146" t="str">
        <f t="shared" si="265"/>
        <v>AMC 2-S3</v>
      </c>
      <c r="AQ137" s="146">
        <f t="shared" si="265"/>
        <v>1</v>
      </c>
      <c r="AR137" s="146">
        <f t="shared" si="272"/>
        <v>1</v>
      </c>
      <c r="AS137" s="146">
        <f t="shared" ca="1" si="273"/>
        <v>0</v>
      </c>
      <c r="AT137" s="146">
        <f t="shared" ca="1" si="274"/>
        <v>1</v>
      </c>
      <c r="AU137" s="146" t="str">
        <f t="shared" si="265"/>
        <v>N/A</v>
      </c>
      <c r="AV137" s="146">
        <f t="shared" si="265"/>
        <v>0</v>
      </c>
      <c r="AW137" s="146">
        <f t="shared" si="275"/>
        <v>0</v>
      </c>
      <c r="AX137" s="146">
        <f t="shared" ca="1" si="276"/>
        <v>0</v>
      </c>
      <c r="AY137" s="146">
        <f t="shared" ca="1" si="277"/>
        <v>0</v>
      </c>
      <c r="AZ137" s="147"/>
      <c r="BA137" s="144" t="s">
        <v>140</v>
      </c>
      <c r="BB137" s="144" t="s">
        <v>140</v>
      </c>
      <c r="BC137" s="144" t="s">
        <v>141</v>
      </c>
      <c r="BD137" s="144" t="s">
        <v>140</v>
      </c>
      <c r="BE137" s="146">
        <v>0.7</v>
      </c>
      <c r="BF137" s="148"/>
      <c r="BG137" s="146"/>
      <c r="BH137" s="117"/>
      <c r="BI137" s="117"/>
      <c r="BJ137" s="149"/>
      <c r="BK137" s="150" t="s">
        <v>149</v>
      </c>
      <c r="BL137" s="151">
        <v>0</v>
      </c>
      <c r="BM137" s="151">
        <v>0</v>
      </c>
      <c r="BN137" s="151">
        <v>1</v>
      </c>
      <c r="BO137" s="151">
        <v>0</v>
      </c>
      <c r="BP137" s="151">
        <v>0</v>
      </c>
      <c r="BQ137" s="151">
        <v>0</v>
      </c>
      <c r="BR137" s="151">
        <v>0</v>
      </c>
      <c r="BS137" s="117" t="s">
        <v>150</v>
      </c>
      <c r="BT137" s="117"/>
      <c r="BU137" s="155"/>
      <c r="BV137" s="117"/>
      <c r="BW137" s="117"/>
      <c r="BX137" s="149"/>
      <c r="BY137" s="117"/>
      <c r="BZ137" s="117"/>
      <c r="CA137" s="117"/>
      <c r="CB137" s="117">
        <f t="shared" si="278"/>
        <v>1</v>
      </c>
    </row>
    <row r="138" spans="1:80" ht="16.5" hidden="1" customHeight="1">
      <c r="A138" s="133">
        <v>321</v>
      </c>
      <c r="B138" s="156" t="s">
        <v>415</v>
      </c>
      <c r="C138" s="156" t="s">
        <v>905</v>
      </c>
      <c r="D138" s="156"/>
      <c r="E138" s="156" t="s">
        <v>136</v>
      </c>
      <c r="F138" s="156"/>
      <c r="G138" s="156"/>
      <c r="H138" s="157"/>
      <c r="I138" s="159"/>
      <c r="J138" s="160" t="s">
        <v>136</v>
      </c>
      <c r="K138" s="138">
        <f>+AG138+AL138+AQ138+AV138</f>
        <v>1</v>
      </c>
      <c r="L138" s="160" t="s">
        <v>136</v>
      </c>
      <c r="M138" s="157"/>
      <c r="N138" s="157">
        <v>6103.9</v>
      </c>
      <c r="O138" s="157" t="s">
        <v>137</v>
      </c>
      <c r="P138" s="157"/>
      <c r="Q138" s="157"/>
      <c r="R138" s="157"/>
      <c r="S138" s="157"/>
      <c r="T138" s="157"/>
      <c r="U138" s="157"/>
      <c r="V138" s="157"/>
      <c r="W138" s="135">
        <f ca="1">_xlfn.MINIFS(V:V,C:C,C138,AE:AE,"",AB:AB,"")</f>
        <v>1</v>
      </c>
      <c r="X138" s="135">
        <f ca="1">SUMIFS(T:T,C:C,C138,AE:AE,"")/SUMIFS(L:L,C:C,C138,AE:AE,"",AB:AB,"")</f>
        <v>1</v>
      </c>
      <c r="Y138" s="157"/>
      <c r="Z138" s="157"/>
      <c r="AA138" s="157"/>
      <c r="AB138" s="157"/>
      <c r="AC138" s="157">
        <v>151.1</v>
      </c>
      <c r="AD138" s="161" t="s">
        <v>196</v>
      </c>
      <c r="AE138" s="162" t="s">
        <v>143</v>
      </c>
      <c r="AF138" s="157" t="s">
        <v>139</v>
      </c>
      <c r="AG138" s="157">
        <v>1</v>
      </c>
      <c r="AH138" s="157"/>
      <c r="AI138" s="157"/>
      <c r="AJ138" s="157"/>
      <c r="AK138" s="157" t="s">
        <v>138</v>
      </c>
      <c r="AL138" s="157">
        <v>0</v>
      </c>
      <c r="AM138" s="157"/>
      <c r="AN138" s="157"/>
      <c r="AO138" s="157"/>
      <c r="AP138" s="157" t="s">
        <v>138</v>
      </c>
      <c r="AQ138" s="157">
        <v>0</v>
      </c>
      <c r="AR138" s="157"/>
      <c r="AS138" s="157"/>
      <c r="AT138" s="157"/>
      <c r="AU138" s="157" t="s">
        <v>138</v>
      </c>
      <c r="AV138" s="157">
        <v>0</v>
      </c>
      <c r="AW138" s="157"/>
      <c r="AX138" s="157"/>
      <c r="AY138" s="157"/>
      <c r="AZ138" s="136"/>
      <c r="BA138" s="137" t="s">
        <v>141</v>
      </c>
      <c r="BB138" s="137" t="s">
        <v>140</v>
      </c>
      <c r="BC138" s="137" t="s">
        <v>140</v>
      </c>
      <c r="BD138" s="137" t="s">
        <v>140</v>
      </c>
      <c r="BE138" s="157">
        <v>151.1</v>
      </c>
      <c r="BF138" s="162"/>
      <c r="BG138" s="157"/>
      <c r="BH138" s="161"/>
      <c r="BI138" s="161"/>
      <c r="BJ138" s="163"/>
      <c r="BK138" s="163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4"/>
      <c r="BV138" s="161"/>
      <c r="BW138" s="161"/>
      <c r="BX138" s="163"/>
      <c r="BY138" s="161"/>
      <c r="BZ138" s="161"/>
      <c r="CA138" s="161"/>
      <c r="CB138" s="161"/>
    </row>
    <row r="139" spans="1:80" ht="16.5" hidden="1" customHeight="1">
      <c r="A139" s="117">
        <v>322</v>
      </c>
      <c r="B139" s="154" t="s">
        <v>415</v>
      </c>
      <c r="C139" s="154" t="s">
        <v>905</v>
      </c>
      <c r="D139" s="154" t="s">
        <v>13</v>
      </c>
      <c r="E139" s="154" t="s">
        <v>416</v>
      </c>
      <c r="F139" s="154" t="s">
        <v>417</v>
      </c>
      <c r="G139" s="154" t="s">
        <v>418</v>
      </c>
      <c r="H139" s="146">
        <v>3430</v>
      </c>
      <c r="I139" s="147" t="s">
        <v>147</v>
      </c>
      <c r="J139" s="144">
        <v>1</v>
      </c>
      <c r="K139" s="145">
        <f t="shared" ref="K139:K166" si="279">K138</f>
        <v>1</v>
      </c>
      <c r="L139" s="144">
        <f t="shared" ref="L139:L166" si="280">+K139*J139</f>
        <v>1</v>
      </c>
      <c r="M139" s="146">
        <v>1424.4</v>
      </c>
      <c r="N139" s="146">
        <f t="shared" ref="N139:N166" si="281">+M139*L139</f>
        <v>1424.4</v>
      </c>
      <c r="O139" s="146" t="s">
        <v>137</v>
      </c>
      <c r="P139" s="146" t="s">
        <v>13</v>
      </c>
      <c r="Q139" s="146" t="s">
        <v>154</v>
      </c>
      <c r="R139" s="146"/>
      <c r="S139" s="146"/>
      <c r="T139" s="146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1</v>
      </c>
      <c r="U139" s="146">
        <f t="shared" ref="U139:U166" ca="1" si="282">+L139-T139</f>
        <v>0</v>
      </c>
      <c r="V139" s="146">
        <f t="shared" ref="V139:V166" ca="1" si="283">ROUNDDOWN(T139/J139,0)</f>
        <v>1</v>
      </c>
      <c r="W139" s="146"/>
      <c r="X139" s="146"/>
      <c r="Y139" s="146"/>
      <c r="Z139" s="146"/>
      <c r="AA139" s="146"/>
      <c r="AB139" s="146"/>
      <c r="AC139" s="146">
        <v>36.5</v>
      </c>
      <c r="AD139" s="117" t="s">
        <v>196</v>
      </c>
      <c r="AE139" s="148"/>
      <c r="AF139" s="146" t="str">
        <f t="shared" ref="AF139:AV166" si="284">AF138</f>
        <v>AMC 2-S3</v>
      </c>
      <c r="AG139" s="146">
        <f t="shared" si="284"/>
        <v>1</v>
      </c>
      <c r="AH139" s="146">
        <f t="shared" ref="AH139:AH166" si="285">+AG139*J139</f>
        <v>1</v>
      </c>
      <c r="AI139" s="146">
        <f t="shared" ref="AI139:AI166" ca="1" si="286">MIN(T139,AH139)</f>
        <v>1</v>
      </c>
      <c r="AJ139" s="146">
        <f t="shared" ref="AJ139:AJ166" ca="1" si="287">+AH139-AI139</f>
        <v>0</v>
      </c>
      <c r="AK139" s="146" t="str">
        <f t="shared" si="284"/>
        <v>N/A</v>
      </c>
      <c r="AL139" s="146">
        <f t="shared" si="284"/>
        <v>0</v>
      </c>
      <c r="AM139" s="146">
        <f t="shared" ref="AM139:AM166" si="288">+AL139*J139</f>
        <v>0</v>
      </c>
      <c r="AN139" s="146">
        <f t="shared" ref="AN139:AN166" ca="1" si="289">MIN(T139-AI139,AL139)</f>
        <v>0</v>
      </c>
      <c r="AO139" s="146">
        <f t="shared" ref="AO139:AO166" ca="1" si="290">+AM139-AN139</f>
        <v>0</v>
      </c>
      <c r="AP139" s="146" t="str">
        <f t="shared" si="284"/>
        <v>N/A</v>
      </c>
      <c r="AQ139" s="146">
        <f t="shared" si="284"/>
        <v>0</v>
      </c>
      <c r="AR139" s="146">
        <f t="shared" ref="AR139:AR166" si="291">+AQ139*J139</f>
        <v>0</v>
      </c>
      <c r="AS139" s="146">
        <f t="shared" ref="AS139:AS166" ca="1" si="292">MIN(T139-AI139-AN139,AR139)</f>
        <v>0</v>
      </c>
      <c r="AT139" s="146">
        <f t="shared" ref="AT139:AT166" ca="1" si="293">+AR139-AS139</f>
        <v>0</v>
      </c>
      <c r="AU139" s="146" t="str">
        <f t="shared" si="284"/>
        <v>N/A</v>
      </c>
      <c r="AV139" s="146">
        <f t="shared" si="284"/>
        <v>0</v>
      </c>
      <c r="AW139" s="146">
        <f t="shared" ref="AW139:AW166" si="294">+AV139*J139</f>
        <v>0</v>
      </c>
      <c r="AX139" s="146">
        <f t="shared" ref="AX139:AX166" ca="1" si="295">MIN(T139-AI139-AN139-AS139,AW139)</f>
        <v>0</v>
      </c>
      <c r="AY139" s="146">
        <f t="shared" ref="AY139:AY166" ca="1" si="296">+AW139-AX139</f>
        <v>0</v>
      </c>
      <c r="AZ139" s="147"/>
      <c r="BA139" s="144" t="s">
        <v>141</v>
      </c>
      <c r="BB139" s="144" t="s">
        <v>140</v>
      </c>
      <c r="BC139" s="144" t="s">
        <v>140</v>
      </c>
      <c r="BD139" s="144" t="s">
        <v>140</v>
      </c>
      <c r="BE139" s="146">
        <v>36.5</v>
      </c>
      <c r="BF139" s="148"/>
      <c r="BG139" s="146"/>
      <c r="BH139" s="117"/>
      <c r="BI139" s="117"/>
      <c r="BJ139" s="149"/>
      <c r="BK139" s="149"/>
      <c r="BL139" s="117">
        <v>0</v>
      </c>
      <c r="BM139" s="117">
        <v>1</v>
      </c>
      <c r="BN139" s="117">
        <v>0</v>
      </c>
      <c r="BO139" s="117">
        <v>1</v>
      </c>
      <c r="BP139" s="117">
        <v>0</v>
      </c>
      <c r="BQ139" s="117">
        <v>0</v>
      </c>
      <c r="BR139" s="117">
        <v>0</v>
      </c>
      <c r="BS139" s="117" t="s">
        <v>150</v>
      </c>
      <c r="BT139" s="117"/>
      <c r="BU139" s="155"/>
      <c r="BV139" s="117" t="s">
        <v>57</v>
      </c>
      <c r="BW139" s="117">
        <v>1</v>
      </c>
      <c r="BX139" s="149"/>
      <c r="BY139" s="117"/>
      <c r="BZ139" s="117"/>
      <c r="CA139" s="117"/>
      <c r="CB139" s="117">
        <f t="shared" ref="CB139:CB166" si="297">+L139-BW139</f>
        <v>0</v>
      </c>
    </row>
    <row r="140" spans="1:80" ht="16.5" customHeight="1">
      <c r="A140" s="117">
        <v>323</v>
      </c>
      <c r="B140" s="154" t="s">
        <v>415</v>
      </c>
      <c r="C140" s="154" t="s">
        <v>905</v>
      </c>
      <c r="D140" s="154" t="s">
        <v>13</v>
      </c>
      <c r="E140" s="154" t="s">
        <v>419</v>
      </c>
      <c r="F140" s="154" t="s">
        <v>420</v>
      </c>
      <c r="G140" s="154" t="s">
        <v>421</v>
      </c>
      <c r="H140" s="146">
        <v>11493</v>
      </c>
      <c r="I140" s="147" t="s">
        <v>147</v>
      </c>
      <c r="J140" s="144">
        <v>1</v>
      </c>
      <c r="K140" s="145">
        <f t="shared" si="279"/>
        <v>1</v>
      </c>
      <c r="L140" s="144">
        <f t="shared" si="280"/>
        <v>1</v>
      </c>
      <c r="M140" s="146">
        <v>611.29999999999995</v>
      </c>
      <c r="N140" s="146">
        <f t="shared" si="281"/>
        <v>611.29999999999995</v>
      </c>
      <c r="O140" s="146" t="s">
        <v>137</v>
      </c>
      <c r="P140" s="146" t="s">
        <v>13</v>
      </c>
      <c r="Q140" s="146" t="s">
        <v>154</v>
      </c>
      <c r="R140" s="146"/>
      <c r="S140" s="146"/>
      <c r="T140" s="146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1</v>
      </c>
      <c r="U140" s="146">
        <f t="shared" ca="1" si="282"/>
        <v>0</v>
      </c>
      <c r="V140" s="146">
        <f t="shared" ca="1" si="283"/>
        <v>1</v>
      </c>
      <c r="W140" s="146"/>
      <c r="X140" s="146"/>
      <c r="Y140" s="146"/>
      <c r="Z140" s="146"/>
      <c r="AA140" s="146"/>
      <c r="AB140" s="146"/>
      <c r="AC140" s="146">
        <v>15.8</v>
      </c>
      <c r="AD140" s="117" t="s">
        <v>196</v>
      </c>
      <c r="AE140" s="148"/>
      <c r="AF140" s="146" t="str">
        <f t="shared" si="284"/>
        <v>AMC 2-S3</v>
      </c>
      <c r="AG140" s="146">
        <f t="shared" si="284"/>
        <v>1</v>
      </c>
      <c r="AH140" s="146">
        <f t="shared" si="285"/>
        <v>1</v>
      </c>
      <c r="AI140" s="146">
        <f t="shared" ca="1" si="286"/>
        <v>1</v>
      </c>
      <c r="AJ140" s="146">
        <f t="shared" ca="1" si="287"/>
        <v>0</v>
      </c>
      <c r="AK140" s="146" t="str">
        <f t="shared" si="284"/>
        <v>N/A</v>
      </c>
      <c r="AL140" s="146">
        <f t="shared" si="284"/>
        <v>0</v>
      </c>
      <c r="AM140" s="146">
        <f t="shared" si="288"/>
        <v>0</v>
      </c>
      <c r="AN140" s="146">
        <f t="shared" ca="1" si="289"/>
        <v>0</v>
      </c>
      <c r="AO140" s="146">
        <f t="shared" ca="1" si="290"/>
        <v>0</v>
      </c>
      <c r="AP140" s="146" t="str">
        <f t="shared" si="284"/>
        <v>N/A</v>
      </c>
      <c r="AQ140" s="146">
        <f t="shared" si="284"/>
        <v>0</v>
      </c>
      <c r="AR140" s="146">
        <f t="shared" si="291"/>
        <v>0</v>
      </c>
      <c r="AS140" s="146">
        <f t="shared" ca="1" si="292"/>
        <v>0</v>
      </c>
      <c r="AT140" s="146">
        <f t="shared" ca="1" si="293"/>
        <v>0</v>
      </c>
      <c r="AU140" s="146" t="str">
        <f t="shared" si="284"/>
        <v>N/A</v>
      </c>
      <c r="AV140" s="146">
        <f t="shared" si="284"/>
        <v>0</v>
      </c>
      <c r="AW140" s="146">
        <f t="shared" si="294"/>
        <v>0</v>
      </c>
      <c r="AX140" s="146">
        <f t="shared" ca="1" si="295"/>
        <v>0</v>
      </c>
      <c r="AY140" s="146">
        <f t="shared" ca="1" si="296"/>
        <v>0</v>
      </c>
      <c r="AZ140" s="147"/>
      <c r="BA140" s="144" t="s">
        <v>141</v>
      </c>
      <c r="BB140" s="144" t="s">
        <v>140</v>
      </c>
      <c r="BC140" s="144" t="s">
        <v>140</v>
      </c>
      <c r="BD140" s="144" t="s">
        <v>140</v>
      </c>
      <c r="BE140" s="146">
        <v>15.8</v>
      </c>
      <c r="BF140" s="148"/>
      <c r="BG140" s="146"/>
      <c r="BH140" s="117"/>
      <c r="BI140" s="117"/>
      <c r="BJ140" s="149"/>
      <c r="BK140" s="149"/>
      <c r="BL140" s="117">
        <v>0</v>
      </c>
      <c r="BM140" s="117">
        <v>1</v>
      </c>
      <c r="BN140" s="117">
        <v>0</v>
      </c>
      <c r="BO140" s="117">
        <v>1</v>
      </c>
      <c r="BP140" s="117">
        <v>0</v>
      </c>
      <c r="BQ140" s="117">
        <v>0</v>
      </c>
      <c r="BR140" s="117">
        <v>0</v>
      </c>
      <c r="BS140" s="117" t="s">
        <v>150</v>
      </c>
      <c r="BT140" s="158" t="s">
        <v>210</v>
      </c>
      <c r="BU140" s="117"/>
      <c r="BV140" s="117" t="s">
        <v>211</v>
      </c>
      <c r="BW140" s="144">
        <v>1</v>
      </c>
      <c r="BX140" s="149">
        <v>46201</v>
      </c>
      <c r="BY140" s="117"/>
      <c r="BZ140" s="117"/>
      <c r="CA140" s="117"/>
      <c r="CB140" s="117">
        <f t="shared" si="297"/>
        <v>0</v>
      </c>
    </row>
    <row r="141" spans="1:80" ht="16.5" hidden="1" customHeight="1">
      <c r="A141" s="117">
        <v>324</v>
      </c>
      <c r="B141" s="154" t="s">
        <v>415</v>
      </c>
      <c r="C141" s="154" t="s">
        <v>905</v>
      </c>
      <c r="D141" s="154" t="s">
        <v>13</v>
      </c>
      <c r="E141" s="154" t="s">
        <v>422</v>
      </c>
      <c r="F141" s="154" t="s">
        <v>423</v>
      </c>
      <c r="G141" s="154" t="s">
        <v>146</v>
      </c>
      <c r="H141" s="146">
        <v>11567</v>
      </c>
      <c r="I141" s="147" t="s">
        <v>147</v>
      </c>
      <c r="J141" s="144">
        <v>2</v>
      </c>
      <c r="K141" s="145">
        <f t="shared" si="279"/>
        <v>1</v>
      </c>
      <c r="L141" s="144">
        <f t="shared" si="280"/>
        <v>2</v>
      </c>
      <c r="M141" s="146">
        <v>45.4</v>
      </c>
      <c r="N141" s="146">
        <f t="shared" si="281"/>
        <v>90.8</v>
      </c>
      <c r="O141" s="146" t="s">
        <v>137</v>
      </c>
      <c r="P141" s="146" t="s">
        <v>13</v>
      </c>
      <c r="Q141" s="146" t="s">
        <v>148</v>
      </c>
      <c r="R141" s="146"/>
      <c r="S141" s="146"/>
      <c r="T141" s="146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2</v>
      </c>
      <c r="U141" s="146">
        <f t="shared" ca="1" si="282"/>
        <v>0</v>
      </c>
      <c r="V141" s="146">
        <f t="shared" ca="1" si="283"/>
        <v>1</v>
      </c>
      <c r="W141" s="146"/>
      <c r="X141" s="146"/>
      <c r="Y141" s="146"/>
      <c r="Z141" s="146"/>
      <c r="AA141" s="146"/>
      <c r="AB141" s="146"/>
      <c r="AC141" s="146">
        <v>2.8</v>
      </c>
      <c r="AD141" s="117" t="s">
        <v>196</v>
      </c>
      <c r="AE141" s="148"/>
      <c r="AF141" s="146" t="str">
        <f t="shared" si="284"/>
        <v>AMC 2-S3</v>
      </c>
      <c r="AG141" s="146">
        <f t="shared" si="284"/>
        <v>1</v>
      </c>
      <c r="AH141" s="146">
        <f t="shared" si="285"/>
        <v>2</v>
      </c>
      <c r="AI141" s="146">
        <f t="shared" ca="1" si="286"/>
        <v>2</v>
      </c>
      <c r="AJ141" s="146">
        <f t="shared" ca="1" si="287"/>
        <v>0</v>
      </c>
      <c r="AK141" s="146" t="str">
        <f t="shared" si="284"/>
        <v>N/A</v>
      </c>
      <c r="AL141" s="146">
        <f t="shared" si="284"/>
        <v>0</v>
      </c>
      <c r="AM141" s="146">
        <f t="shared" si="288"/>
        <v>0</v>
      </c>
      <c r="AN141" s="146">
        <f t="shared" ca="1" si="289"/>
        <v>0</v>
      </c>
      <c r="AO141" s="146">
        <f t="shared" ca="1" si="290"/>
        <v>0</v>
      </c>
      <c r="AP141" s="146" t="str">
        <f t="shared" si="284"/>
        <v>N/A</v>
      </c>
      <c r="AQ141" s="146">
        <f t="shared" si="284"/>
        <v>0</v>
      </c>
      <c r="AR141" s="146">
        <f t="shared" si="291"/>
        <v>0</v>
      </c>
      <c r="AS141" s="146">
        <f t="shared" ca="1" si="292"/>
        <v>0</v>
      </c>
      <c r="AT141" s="146">
        <f t="shared" ca="1" si="293"/>
        <v>0</v>
      </c>
      <c r="AU141" s="146" t="str">
        <f t="shared" si="284"/>
        <v>N/A</v>
      </c>
      <c r="AV141" s="146">
        <f t="shared" si="284"/>
        <v>0</v>
      </c>
      <c r="AW141" s="146">
        <f t="shared" si="294"/>
        <v>0</v>
      </c>
      <c r="AX141" s="146">
        <f t="shared" ca="1" si="295"/>
        <v>0</v>
      </c>
      <c r="AY141" s="146">
        <f t="shared" ca="1" si="296"/>
        <v>0</v>
      </c>
      <c r="AZ141" s="147"/>
      <c r="BA141" s="144" t="s">
        <v>141</v>
      </c>
      <c r="BB141" s="144" t="s">
        <v>140</v>
      </c>
      <c r="BC141" s="144" t="s">
        <v>140</v>
      </c>
      <c r="BD141" s="144" t="s">
        <v>140</v>
      </c>
      <c r="BE141" s="146">
        <v>1.4</v>
      </c>
      <c r="BF141" s="148"/>
      <c r="BG141" s="146"/>
      <c r="BH141" s="117"/>
      <c r="BI141" s="117"/>
      <c r="BJ141" s="149"/>
      <c r="BK141" s="149"/>
      <c r="BL141" s="117">
        <v>0</v>
      </c>
      <c r="BM141" s="117">
        <v>0</v>
      </c>
      <c r="BN141" s="117">
        <v>0</v>
      </c>
      <c r="BO141" s="117">
        <v>0</v>
      </c>
      <c r="BP141" s="117">
        <v>0</v>
      </c>
      <c r="BQ141" s="117">
        <v>0</v>
      </c>
      <c r="BR141" s="117">
        <v>0</v>
      </c>
      <c r="BS141" s="117" t="s">
        <v>150</v>
      </c>
      <c r="BT141" s="117"/>
      <c r="BU141" s="155"/>
      <c r="BV141" s="117" t="s">
        <v>57</v>
      </c>
      <c r="BW141" s="117">
        <v>2</v>
      </c>
      <c r="BX141" s="149"/>
      <c r="BY141" s="117"/>
      <c r="BZ141" s="117"/>
      <c r="CA141" s="117"/>
      <c r="CB141" s="117">
        <f t="shared" si="297"/>
        <v>0</v>
      </c>
    </row>
    <row r="142" spans="1:80" ht="16.5" customHeight="1">
      <c r="A142" s="117">
        <v>325</v>
      </c>
      <c r="B142" s="154" t="s">
        <v>415</v>
      </c>
      <c r="C142" s="154" t="s">
        <v>905</v>
      </c>
      <c r="D142" s="154" t="s">
        <v>13</v>
      </c>
      <c r="E142" s="154" t="s">
        <v>424</v>
      </c>
      <c r="F142" s="154" t="s">
        <v>425</v>
      </c>
      <c r="G142" s="154" t="s">
        <v>426</v>
      </c>
      <c r="H142" s="146">
        <v>644</v>
      </c>
      <c r="I142" s="147" t="s">
        <v>147</v>
      </c>
      <c r="J142" s="144">
        <v>2</v>
      </c>
      <c r="K142" s="145">
        <f t="shared" si="279"/>
        <v>1</v>
      </c>
      <c r="L142" s="144">
        <f t="shared" si="280"/>
        <v>2</v>
      </c>
      <c r="M142" s="146">
        <v>32.299999999999997</v>
      </c>
      <c r="N142" s="146">
        <f t="shared" si="281"/>
        <v>64.599999999999994</v>
      </c>
      <c r="O142" s="146" t="s">
        <v>137</v>
      </c>
      <c r="P142" s="146" t="s">
        <v>13</v>
      </c>
      <c r="Q142" s="146" t="s">
        <v>154</v>
      </c>
      <c r="R142" s="146"/>
      <c r="S142" s="146"/>
      <c r="T142" s="146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2</v>
      </c>
      <c r="U142" s="146">
        <f t="shared" ca="1" si="282"/>
        <v>0</v>
      </c>
      <c r="V142" s="146">
        <f t="shared" ca="1" si="283"/>
        <v>1</v>
      </c>
      <c r="W142" s="146"/>
      <c r="X142" s="146"/>
      <c r="Y142" s="146"/>
      <c r="Z142" s="146"/>
      <c r="AA142" s="146"/>
      <c r="AB142" s="146"/>
      <c r="AC142" s="146">
        <v>1.7</v>
      </c>
      <c r="AD142" s="117" t="s">
        <v>196</v>
      </c>
      <c r="AE142" s="148"/>
      <c r="AF142" s="146" t="str">
        <f t="shared" si="284"/>
        <v>AMC 2-S3</v>
      </c>
      <c r="AG142" s="146">
        <f t="shared" si="284"/>
        <v>1</v>
      </c>
      <c r="AH142" s="146">
        <f t="shared" si="285"/>
        <v>2</v>
      </c>
      <c r="AI142" s="146">
        <f t="shared" ca="1" si="286"/>
        <v>2</v>
      </c>
      <c r="AJ142" s="146">
        <f t="shared" ca="1" si="287"/>
        <v>0</v>
      </c>
      <c r="AK142" s="146" t="str">
        <f t="shared" si="284"/>
        <v>N/A</v>
      </c>
      <c r="AL142" s="146">
        <f t="shared" si="284"/>
        <v>0</v>
      </c>
      <c r="AM142" s="146">
        <f t="shared" si="288"/>
        <v>0</v>
      </c>
      <c r="AN142" s="146">
        <f t="shared" ca="1" si="289"/>
        <v>0</v>
      </c>
      <c r="AO142" s="146">
        <f t="shared" ca="1" si="290"/>
        <v>0</v>
      </c>
      <c r="AP142" s="146" t="str">
        <f t="shared" si="284"/>
        <v>N/A</v>
      </c>
      <c r="AQ142" s="146">
        <f t="shared" si="284"/>
        <v>0</v>
      </c>
      <c r="AR142" s="146">
        <f t="shared" si="291"/>
        <v>0</v>
      </c>
      <c r="AS142" s="146">
        <f t="shared" ca="1" si="292"/>
        <v>0</v>
      </c>
      <c r="AT142" s="146">
        <f t="shared" ca="1" si="293"/>
        <v>0</v>
      </c>
      <c r="AU142" s="146" t="str">
        <f t="shared" si="284"/>
        <v>N/A</v>
      </c>
      <c r="AV142" s="146">
        <f t="shared" si="284"/>
        <v>0</v>
      </c>
      <c r="AW142" s="146">
        <f t="shared" si="294"/>
        <v>0</v>
      </c>
      <c r="AX142" s="146">
        <f t="shared" ca="1" si="295"/>
        <v>0</v>
      </c>
      <c r="AY142" s="146">
        <f t="shared" ca="1" si="296"/>
        <v>0</v>
      </c>
      <c r="AZ142" s="147"/>
      <c r="BA142" s="144" t="s">
        <v>141</v>
      </c>
      <c r="BB142" s="144" t="s">
        <v>140</v>
      </c>
      <c r="BC142" s="144" t="s">
        <v>140</v>
      </c>
      <c r="BD142" s="144" t="s">
        <v>140</v>
      </c>
      <c r="BE142" s="146">
        <v>0.9</v>
      </c>
      <c r="BF142" s="148"/>
      <c r="BG142" s="146"/>
      <c r="BH142" s="117"/>
      <c r="BI142" s="117"/>
      <c r="BJ142" s="149"/>
      <c r="BK142" s="149"/>
      <c r="BL142" s="117">
        <v>0</v>
      </c>
      <c r="BM142" s="117">
        <v>1</v>
      </c>
      <c r="BN142" s="117">
        <v>0</v>
      </c>
      <c r="BO142" s="117">
        <v>0</v>
      </c>
      <c r="BP142" s="117">
        <v>0</v>
      </c>
      <c r="BQ142" s="117">
        <v>0</v>
      </c>
      <c r="BR142" s="117">
        <v>0</v>
      </c>
      <c r="BS142" s="117" t="s">
        <v>150</v>
      </c>
      <c r="BT142" s="158" t="s">
        <v>210</v>
      </c>
      <c r="BU142" s="117"/>
      <c r="BV142" s="117" t="s">
        <v>211</v>
      </c>
      <c r="BW142" s="144">
        <v>2</v>
      </c>
      <c r="BX142" s="149">
        <v>46201</v>
      </c>
      <c r="BY142" s="117"/>
      <c r="BZ142" s="117"/>
      <c r="CA142" s="117"/>
      <c r="CB142" s="117">
        <f t="shared" si="297"/>
        <v>0</v>
      </c>
    </row>
    <row r="143" spans="1:80" ht="16.5" customHeight="1">
      <c r="A143" s="117">
        <v>326</v>
      </c>
      <c r="B143" s="154" t="s">
        <v>415</v>
      </c>
      <c r="C143" s="154" t="s">
        <v>905</v>
      </c>
      <c r="D143" s="154" t="s">
        <v>13</v>
      </c>
      <c r="E143" s="154" t="s">
        <v>427</v>
      </c>
      <c r="F143" s="154" t="s">
        <v>428</v>
      </c>
      <c r="G143" s="154" t="s">
        <v>426</v>
      </c>
      <c r="H143" s="146">
        <v>851</v>
      </c>
      <c r="I143" s="147" t="s">
        <v>147</v>
      </c>
      <c r="J143" s="144">
        <v>2</v>
      </c>
      <c r="K143" s="145">
        <f t="shared" si="279"/>
        <v>1</v>
      </c>
      <c r="L143" s="144">
        <f t="shared" si="280"/>
        <v>2</v>
      </c>
      <c r="M143" s="146">
        <v>46.9</v>
      </c>
      <c r="N143" s="146">
        <f t="shared" si="281"/>
        <v>93.8</v>
      </c>
      <c r="O143" s="146" t="s">
        <v>137</v>
      </c>
      <c r="P143" s="146" t="s">
        <v>13</v>
      </c>
      <c r="Q143" s="146" t="s">
        <v>154</v>
      </c>
      <c r="R143" s="146"/>
      <c r="S143" s="146"/>
      <c r="T143" s="146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2</v>
      </c>
      <c r="U143" s="146">
        <f t="shared" ca="1" si="282"/>
        <v>0</v>
      </c>
      <c r="V143" s="146">
        <f t="shared" ca="1" si="283"/>
        <v>1</v>
      </c>
      <c r="W143" s="146"/>
      <c r="X143" s="146"/>
      <c r="Y143" s="146"/>
      <c r="Z143" s="146"/>
      <c r="AA143" s="146"/>
      <c r="AB143" s="146"/>
      <c r="AC143" s="146">
        <v>2.5</v>
      </c>
      <c r="AD143" s="117" t="s">
        <v>196</v>
      </c>
      <c r="AE143" s="148"/>
      <c r="AF143" s="146" t="str">
        <f t="shared" si="284"/>
        <v>AMC 2-S3</v>
      </c>
      <c r="AG143" s="146">
        <f t="shared" si="284"/>
        <v>1</v>
      </c>
      <c r="AH143" s="146">
        <f t="shared" si="285"/>
        <v>2</v>
      </c>
      <c r="AI143" s="146">
        <f t="shared" ca="1" si="286"/>
        <v>2</v>
      </c>
      <c r="AJ143" s="146">
        <f t="shared" ca="1" si="287"/>
        <v>0</v>
      </c>
      <c r="AK143" s="146" t="str">
        <f t="shared" si="284"/>
        <v>N/A</v>
      </c>
      <c r="AL143" s="146">
        <f t="shared" si="284"/>
        <v>0</v>
      </c>
      <c r="AM143" s="146">
        <f t="shared" si="288"/>
        <v>0</v>
      </c>
      <c r="AN143" s="146">
        <f t="shared" ca="1" si="289"/>
        <v>0</v>
      </c>
      <c r="AO143" s="146">
        <f t="shared" ca="1" si="290"/>
        <v>0</v>
      </c>
      <c r="AP143" s="146" t="str">
        <f t="shared" si="284"/>
        <v>N/A</v>
      </c>
      <c r="AQ143" s="146">
        <f t="shared" si="284"/>
        <v>0</v>
      </c>
      <c r="AR143" s="146">
        <f t="shared" si="291"/>
        <v>0</v>
      </c>
      <c r="AS143" s="146">
        <f t="shared" ca="1" si="292"/>
        <v>0</v>
      </c>
      <c r="AT143" s="146">
        <f t="shared" ca="1" si="293"/>
        <v>0</v>
      </c>
      <c r="AU143" s="146" t="str">
        <f t="shared" si="284"/>
        <v>N/A</v>
      </c>
      <c r="AV143" s="146">
        <f t="shared" si="284"/>
        <v>0</v>
      </c>
      <c r="AW143" s="146">
        <f t="shared" si="294"/>
        <v>0</v>
      </c>
      <c r="AX143" s="146">
        <f t="shared" ca="1" si="295"/>
        <v>0</v>
      </c>
      <c r="AY143" s="146">
        <f t="shared" ca="1" si="296"/>
        <v>0</v>
      </c>
      <c r="AZ143" s="147"/>
      <c r="BA143" s="144" t="s">
        <v>141</v>
      </c>
      <c r="BB143" s="144" t="s">
        <v>140</v>
      </c>
      <c r="BC143" s="144" t="s">
        <v>140</v>
      </c>
      <c r="BD143" s="144" t="s">
        <v>140</v>
      </c>
      <c r="BE143" s="146">
        <v>1.2</v>
      </c>
      <c r="BF143" s="148"/>
      <c r="BG143" s="146"/>
      <c r="BH143" s="117"/>
      <c r="BI143" s="117"/>
      <c r="BJ143" s="149"/>
      <c r="BK143" s="149"/>
      <c r="BL143" s="117">
        <v>0</v>
      </c>
      <c r="BM143" s="117">
        <v>1</v>
      </c>
      <c r="BN143" s="117">
        <v>0</v>
      </c>
      <c r="BO143" s="117">
        <v>0</v>
      </c>
      <c r="BP143" s="117">
        <v>0</v>
      </c>
      <c r="BQ143" s="117">
        <v>0</v>
      </c>
      <c r="BR143" s="117">
        <v>0</v>
      </c>
      <c r="BS143" s="117" t="s">
        <v>150</v>
      </c>
      <c r="BT143" s="158" t="s">
        <v>210</v>
      </c>
      <c r="BU143" s="117"/>
      <c r="BV143" s="117" t="s">
        <v>211</v>
      </c>
      <c r="BW143" s="144">
        <v>2</v>
      </c>
      <c r="BX143" s="149">
        <v>46201</v>
      </c>
      <c r="BY143" s="117"/>
      <c r="BZ143" s="117"/>
      <c r="CA143" s="117"/>
      <c r="CB143" s="117">
        <f t="shared" si="297"/>
        <v>0</v>
      </c>
    </row>
    <row r="144" spans="1:80" ht="16.5" customHeight="1">
      <c r="A144" s="117">
        <v>327</v>
      </c>
      <c r="B144" s="154" t="s">
        <v>415</v>
      </c>
      <c r="C144" s="154" t="s">
        <v>905</v>
      </c>
      <c r="D144" s="154" t="s">
        <v>13</v>
      </c>
      <c r="E144" s="154" t="s">
        <v>429</v>
      </c>
      <c r="F144" s="154" t="s">
        <v>430</v>
      </c>
      <c r="G144" s="154" t="s">
        <v>426</v>
      </c>
      <c r="H144" s="146">
        <v>1096</v>
      </c>
      <c r="I144" s="147" t="s">
        <v>147</v>
      </c>
      <c r="J144" s="144">
        <v>2</v>
      </c>
      <c r="K144" s="145">
        <f t="shared" si="279"/>
        <v>1</v>
      </c>
      <c r="L144" s="144">
        <f t="shared" si="280"/>
        <v>2</v>
      </c>
      <c r="M144" s="146">
        <v>62.6</v>
      </c>
      <c r="N144" s="146">
        <f t="shared" si="281"/>
        <v>125.2</v>
      </c>
      <c r="O144" s="146" t="s">
        <v>137</v>
      </c>
      <c r="P144" s="146" t="s">
        <v>13</v>
      </c>
      <c r="Q144" s="146" t="s">
        <v>154</v>
      </c>
      <c r="R144" s="146"/>
      <c r="S144" s="146"/>
      <c r="T144" s="146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2</v>
      </c>
      <c r="U144" s="146">
        <f t="shared" ca="1" si="282"/>
        <v>0</v>
      </c>
      <c r="V144" s="146">
        <f t="shared" ca="1" si="283"/>
        <v>1</v>
      </c>
      <c r="W144" s="146"/>
      <c r="X144" s="146"/>
      <c r="Y144" s="146"/>
      <c r="Z144" s="146"/>
      <c r="AA144" s="146"/>
      <c r="AB144" s="146"/>
      <c r="AC144" s="146">
        <v>3.3</v>
      </c>
      <c r="AD144" s="117" t="s">
        <v>196</v>
      </c>
      <c r="AE144" s="148"/>
      <c r="AF144" s="146" t="str">
        <f t="shared" si="284"/>
        <v>AMC 2-S3</v>
      </c>
      <c r="AG144" s="146">
        <f t="shared" si="284"/>
        <v>1</v>
      </c>
      <c r="AH144" s="146">
        <f t="shared" si="285"/>
        <v>2</v>
      </c>
      <c r="AI144" s="146">
        <f t="shared" ca="1" si="286"/>
        <v>2</v>
      </c>
      <c r="AJ144" s="146">
        <f t="shared" ca="1" si="287"/>
        <v>0</v>
      </c>
      <c r="AK144" s="146" t="str">
        <f t="shared" si="284"/>
        <v>N/A</v>
      </c>
      <c r="AL144" s="146">
        <f t="shared" si="284"/>
        <v>0</v>
      </c>
      <c r="AM144" s="146">
        <f t="shared" si="288"/>
        <v>0</v>
      </c>
      <c r="AN144" s="146">
        <f t="shared" ca="1" si="289"/>
        <v>0</v>
      </c>
      <c r="AO144" s="146">
        <f t="shared" ca="1" si="290"/>
        <v>0</v>
      </c>
      <c r="AP144" s="146" t="str">
        <f t="shared" si="284"/>
        <v>N/A</v>
      </c>
      <c r="AQ144" s="146">
        <f t="shared" si="284"/>
        <v>0</v>
      </c>
      <c r="AR144" s="146">
        <f t="shared" si="291"/>
        <v>0</v>
      </c>
      <c r="AS144" s="146">
        <f t="shared" ca="1" si="292"/>
        <v>0</v>
      </c>
      <c r="AT144" s="146">
        <f t="shared" ca="1" si="293"/>
        <v>0</v>
      </c>
      <c r="AU144" s="146" t="str">
        <f t="shared" si="284"/>
        <v>N/A</v>
      </c>
      <c r="AV144" s="146">
        <f t="shared" si="284"/>
        <v>0</v>
      </c>
      <c r="AW144" s="146">
        <f t="shared" si="294"/>
        <v>0</v>
      </c>
      <c r="AX144" s="146">
        <f t="shared" ca="1" si="295"/>
        <v>0</v>
      </c>
      <c r="AY144" s="146">
        <f t="shared" ca="1" si="296"/>
        <v>0</v>
      </c>
      <c r="AZ144" s="147"/>
      <c r="BA144" s="144" t="s">
        <v>141</v>
      </c>
      <c r="BB144" s="144" t="s">
        <v>140</v>
      </c>
      <c r="BC144" s="144" t="s">
        <v>140</v>
      </c>
      <c r="BD144" s="144" t="s">
        <v>140</v>
      </c>
      <c r="BE144" s="146">
        <v>1.6</v>
      </c>
      <c r="BF144" s="148"/>
      <c r="BG144" s="146"/>
      <c r="BH144" s="117"/>
      <c r="BI144" s="117"/>
      <c r="BJ144" s="149"/>
      <c r="BK144" s="149"/>
      <c r="BL144" s="117">
        <v>0</v>
      </c>
      <c r="BM144" s="117">
        <v>1</v>
      </c>
      <c r="BN144" s="117">
        <v>0</v>
      </c>
      <c r="BO144" s="117">
        <v>0</v>
      </c>
      <c r="BP144" s="117">
        <v>0</v>
      </c>
      <c r="BQ144" s="117">
        <v>0</v>
      </c>
      <c r="BR144" s="117">
        <v>0</v>
      </c>
      <c r="BS144" s="117" t="s">
        <v>150</v>
      </c>
      <c r="BT144" s="158" t="s">
        <v>210</v>
      </c>
      <c r="BU144" s="117"/>
      <c r="BV144" s="117" t="s">
        <v>211</v>
      </c>
      <c r="BW144" s="144">
        <v>2</v>
      </c>
      <c r="BX144" s="149">
        <v>46201</v>
      </c>
      <c r="BY144" s="117"/>
      <c r="BZ144" s="117"/>
      <c r="CA144" s="117"/>
      <c r="CB144" s="117">
        <f t="shared" si="297"/>
        <v>0</v>
      </c>
    </row>
    <row r="145" spans="1:80" ht="16.5" customHeight="1">
      <c r="A145" s="117">
        <v>328</v>
      </c>
      <c r="B145" s="154" t="s">
        <v>415</v>
      </c>
      <c r="C145" s="154" t="s">
        <v>905</v>
      </c>
      <c r="D145" s="154" t="s">
        <v>13</v>
      </c>
      <c r="E145" s="154" t="s">
        <v>431</v>
      </c>
      <c r="F145" s="154" t="s">
        <v>432</v>
      </c>
      <c r="G145" s="154" t="s">
        <v>426</v>
      </c>
      <c r="H145" s="146">
        <v>1260</v>
      </c>
      <c r="I145" s="147" t="s">
        <v>147</v>
      </c>
      <c r="J145" s="144">
        <v>2</v>
      </c>
      <c r="K145" s="145">
        <f t="shared" si="279"/>
        <v>1</v>
      </c>
      <c r="L145" s="144">
        <f t="shared" si="280"/>
        <v>2</v>
      </c>
      <c r="M145" s="146">
        <v>73.099999999999994</v>
      </c>
      <c r="N145" s="146">
        <f t="shared" si="281"/>
        <v>146.19999999999999</v>
      </c>
      <c r="O145" s="146" t="s">
        <v>137</v>
      </c>
      <c r="P145" s="146" t="s">
        <v>13</v>
      </c>
      <c r="Q145" s="146" t="s">
        <v>154</v>
      </c>
      <c r="R145" s="146"/>
      <c r="S145" s="146"/>
      <c r="T145" s="146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2</v>
      </c>
      <c r="U145" s="146">
        <f t="shared" ca="1" si="282"/>
        <v>0</v>
      </c>
      <c r="V145" s="146">
        <f t="shared" ca="1" si="283"/>
        <v>1</v>
      </c>
      <c r="W145" s="146"/>
      <c r="X145" s="146"/>
      <c r="Y145" s="146"/>
      <c r="Z145" s="146"/>
      <c r="AA145" s="146"/>
      <c r="AB145" s="146"/>
      <c r="AC145" s="146">
        <v>3.8</v>
      </c>
      <c r="AD145" s="117" t="s">
        <v>196</v>
      </c>
      <c r="AE145" s="148"/>
      <c r="AF145" s="146" t="str">
        <f t="shared" si="284"/>
        <v>AMC 2-S3</v>
      </c>
      <c r="AG145" s="146">
        <f t="shared" si="284"/>
        <v>1</v>
      </c>
      <c r="AH145" s="146">
        <f t="shared" si="285"/>
        <v>2</v>
      </c>
      <c r="AI145" s="146">
        <f t="shared" ca="1" si="286"/>
        <v>2</v>
      </c>
      <c r="AJ145" s="146">
        <f t="shared" ca="1" si="287"/>
        <v>0</v>
      </c>
      <c r="AK145" s="146" t="str">
        <f t="shared" si="284"/>
        <v>N/A</v>
      </c>
      <c r="AL145" s="146">
        <f t="shared" si="284"/>
        <v>0</v>
      </c>
      <c r="AM145" s="146">
        <f t="shared" si="288"/>
        <v>0</v>
      </c>
      <c r="AN145" s="146">
        <f t="shared" ca="1" si="289"/>
        <v>0</v>
      </c>
      <c r="AO145" s="146">
        <f t="shared" ca="1" si="290"/>
        <v>0</v>
      </c>
      <c r="AP145" s="146" t="str">
        <f t="shared" si="284"/>
        <v>N/A</v>
      </c>
      <c r="AQ145" s="146">
        <f t="shared" si="284"/>
        <v>0</v>
      </c>
      <c r="AR145" s="146">
        <f t="shared" si="291"/>
        <v>0</v>
      </c>
      <c r="AS145" s="146">
        <f t="shared" ca="1" si="292"/>
        <v>0</v>
      </c>
      <c r="AT145" s="146">
        <f t="shared" ca="1" si="293"/>
        <v>0</v>
      </c>
      <c r="AU145" s="146" t="str">
        <f t="shared" si="284"/>
        <v>N/A</v>
      </c>
      <c r="AV145" s="146">
        <f t="shared" si="284"/>
        <v>0</v>
      </c>
      <c r="AW145" s="146">
        <f t="shared" si="294"/>
        <v>0</v>
      </c>
      <c r="AX145" s="146">
        <f t="shared" ca="1" si="295"/>
        <v>0</v>
      </c>
      <c r="AY145" s="146">
        <f t="shared" ca="1" si="296"/>
        <v>0</v>
      </c>
      <c r="AZ145" s="147"/>
      <c r="BA145" s="144" t="s">
        <v>141</v>
      </c>
      <c r="BB145" s="144" t="s">
        <v>140</v>
      </c>
      <c r="BC145" s="144" t="s">
        <v>140</v>
      </c>
      <c r="BD145" s="144" t="s">
        <v>140</v>
      </c>
      <c r="BE145" s="146">
        <v>1.9</v>
      </c>
      <c r="BF145" s="148"/>
      <c r="BG145" s="146"/>
      <c r="BH145" s="117"/>
      <c r="BI145" s="117"/>
      <c r="BJ145" s="149"/>
      <c r="BK145" s="149"/>
      <c r="BL145" s="117">
        <v>0</v>
      </c>
      <c r="BM145" s="117">
        <v>1</v>
      </c>
      <c r="BN145" s="117">
        <v>0</v>
      </c>
      <c r="BO145" s="117">
        <v>0</v>
      </c>
      <c r="BP145" s="117">
        <v>0</v>
      </c>
      <c r="BQ145" s="117">
        <v>0</v>
      </c>
      <c r="BR145" s="117">
        <v>0</v>
      </c>
      <c r="BS145" s="117" t="s">
        <v>150</v>
      </c>
      <c r="BT145" s="158" t="s">
        <v>210</v>
      </c>
      <c r="BU145" s="117"/>
      <c r="BV145" s="117" t="s">
        <v>211</v>
      </c>
      <c r="BW145" s="144">
        <v>2</v>
      </c>
      <c r="BX145" s="149">
        <v>46201</v>
      </c>
      <c r="BY145" s="117"/>
      <c r="BZ145" s="117"/>
      <c r="CA145" s="117"/>
      <c r="CB145" s="117">
        <f t="shared" si="297"/>
        <v>0</v>
      </c>
    </row>
    <row r="146" spans="1:80" ht="16.5" customHeight="1">
      <c r="A146" s="117">
        <v>329</v>
      </c>
      <c r="B146" s="154" t="s">
        <v>415</v>
      </c>
      <c r="C146" s="154" t="s">
        <v>905</v>
      </c>
      <c r="D146" s="154" t="s">
        <v>13</v>
      </c>
      <c r="E146" s="154" t="s">
        <v>433</v>
      </c>
      <c r="F146" s="154" t="s">
        <v>434</v>
      </c>
      <c r="G146" s="154" t="s">
        <v>426</v>
      </c>
      <c r="H146" s="146">
        <v>1372</v>
      </c>
      <c r="I146" s="147" t="s">
        <v>147</v>
      </c>
      <c r="J146" s="144">
        <v>2</v>
      </c>
      <c r="K146" s="145">
        <f t="shared" si="279"/>
        <v>1</v>
      </c>
      <c r="L146" s="144">
        <f t="shared" si="280"/>
        <v>2</v>
      </c>
      <c r="M146" s="146">
        <v>80.2</v>
      </c>
      <c r="N146" s="146">
        <f t="shared" si="281"/>
        <v>160.4</v>
      </c>
      <c r="O146" s="146" t="s">
        <v>137</v>
      </c>
      <c r="P146" s="146" t="s">
        <v>13</v>
      </c>
      <c r="Q146" s="146" t="s">
        <v>154</v>
      </c>
      <c r="R146" s="146"/>
      <c r="S146" s="146"/>
      <c r="T146" s="146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2</v>
      </c>
      <c r="U146" s="146">
        <f t="shared" ca="1" si="282"/>
        <v>0</v>
      </c>
      <c r="V146" s="146">
        <f t="shared" ca="1" si="283"/>
        <v>1</v>
      </c>
      <c r="W146" s="146"/>
      <c r="X146" s="146"/>
      <c r="Y146" s="146"/>
      <c r="Z146" s="146"/>
      <c r="AA146" s="146"/>
      <c r="AB146" s="146"/>
      <c r="AC146" s="146">
        <v>4.2</v>
      </c>
      <c r="AD146" s="117" t="s">
        <v>196</v>
      </c>
      <c r="AE146" s="148"/>
      <c r="AF146" s="146" t="str">
        <f t="shared" si="284"/>
        <v>AMC 2-S3</v>
      </c>
      <c r="AG146" s="146">
        <f t="shared" si="284"/>
        <v>1</v>
      </c>
      <c r="AH146" s="146">
        <f t="shared" si="285"/>
        <v>2</v>
      </c>
      <c r="AI146" s="146">
        <f t="shared" ca="1" si="286"/>
        <v>2</v>
      </c>
      <c r="AJ146" s="146">
        <f t="shared" ca="1" si="287"/>
        <v>0</v>
      </c>
      <c r="AK146" s="146" t="str">
        <f t="shared" si="284"/>
        <v>N/A</v>
      </c>
      <c r="AL146" s="146">
        <f t="shared" si="284"/>
        <v>0</v>
      </c>
      <c r="AM146" s="146">
        <f t="shared" si="288"/>
        <v>0</v>
      </c>
      <c r="AN146" s="146">
        <f t="shared" ca="1" si="289"/>
        <v>0</v>
      </c>
      <c r="AO146" s="146">
        <f t="shared" ca="1" si="290"/>
        <v>0</v>
      </c>
      <c r="AP146" s="146" t="str">
        <f t="shared" si="284"/>
        <v>N/A</v>
      </c>
      <c r="AQ146" s="146">
        <f t="shared" si="284"/>
        <v>0</v>
      </c>
      <c r="AR146" s="146">
        <f t="shared" si="291"/>
        <v>0</v>
      </c>
      <c r="AS146" s="146">
        <f t="shared" ca="1" si="292"/>
        <v>0</v>
      </c>
      <c r="AT146" s="146">
        <f t="shared" ca="1" si="293"/>
        <v>0</v>
      </c>
      <c r="AU146" s="146" t="str">
        <f t="shared" si="284"/>
        <v>N/A</v>
      </c>
      <c r="AV146" s="146">
        <f t="shared" si="284"/>
        <v>0</v>
      </c>
      <c r="AW146" s="146">
        <f t="shared" si="294"/>
        <v>0</v>
      </c>
      <c r="AX146" s="146">
        <f t="shared" ca="1" si="295"/>
        <v>0</v>
      </c>
      <c r="AY146" s="146">
        <f t="shared" ca="1" si="296"/>
        <v>0</v>
      </c>
      <c r="AZ146" s="147"/>
      <c r="BA146" s="144" t="s">
        <v>141</v>
      </c>
      <c r="BB146" s="144" t="s">
        <v>140</v>
      </c>
      <c r="BC146" s="144" t="s">
        <v>140</v>
      </c>
      <c r="BD146" s="144" t="s">
        <v>140</v>
      </c>
      <c r="BE146" s="146">
        <v>2.1</v>
      </c>
      <c r="BF146" s="148"/>
      <c r="BG146" s="146"/>
      <c r="BH146" s="117"/>
      <c r="BI146" s="117"/>
      <c r="BJ146" s="149"/>
      <c r="BK146" s="149"/>
      <c r="BL146" s="117">
        <v>0</v>
      </c>
      <c r="BM146" s="117">
        <v>1</v>
      </c>
      <c r="BN146" s="117">
        <v>0</v>
      </c>
      <c r="BO146" s="117">
        <v>0</v>
      </c>
      <c r="BP146" s="117">
        <v>0</v>
      </c>
      <c r="BQ146" s="117">
        <v>0</v>
      </c>
      <c r="BR146" s="117">
        <v>0</v>
      </c>
      <c r="BS146" s="117" t="s">
        <v>150</v>
      </c>
      <c r="BT146" s="158" t="s">
        <v>210</v>
      </c>
      <c r="BU146" s="117"/>
      <c r="BV146" s="117" t="s">
        <v>211</v>
      </c>
      <c r="BW146" s="144">
        <v>2</v>
      </c>
      <c r="BX146" s="149">
        <v>46201</v>
      </c>
      <c r="BY146" s="117"/>
      <c r="BZ146" s="117"/>
      <c r="CA146" s="117"/>
      <c r="CB146" s="117">
        <f t="shared" si="297"/>
        <v>0</v>
      </c>
    </row>
    <row r="147" spans="1:80" ht="16.5" customHeight="1">
      <c r="A147" s="117">
        <v>330</v>
      </c>
      <c r="B147" s="154" t="s">
        <v>415</v>
      </c>
      <c r="C147" s="154" t="s">
        <v>905</v>
      </c>
      <c r="D147" s="154" t="s">
        <v>13</v>
      </c>
      <c r="E147" s="154" t="s">
        <v>435</v>
      </c>
      <c r="F147" s="154" t="s">
        <v>436</v>
      </c>
      <c r="G147" s="154" t="s">
        <v>426</v>
      </c>
      <c r="H147" s="146">
        <v>1445</v>
      </c>
      <c r="I147" s="147" t="s">
        <v>147</v>
      </c>
      <c r="J147" s="144">
        <v>2</v>
      </c>
      <c r="K147" s="145">
        <f t="shared" si="279"/>
        <v>1</v>
      </c>
      <c r="L147" s="144">
        <f t="shared" si="280"/>
        <v>2</v>
      </c>
      <c r="M147" s="146">
        <v>84.9</v>
      </c>
      <c r="N147" s="146">
        <f t="shared" si="281"/>
        <v>169.8</v>
      </c>
      <c r="O147" s="146" t="s">
        <v>137</v>
      </c>
      <c r="P147" s="146" t="s">
        <v>13</v>
      </c>
      <c r="Q147" s="146" t="s">
        <v>154</v>
      </c>
      <c r="R147" s="146"/>
      <c r="S147" s="146"/>
      <c r="T147" s="146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2</v>
      </c>
      <c r="U147" s="146">
        <f t="shared" ca="1" si="282"/>
        <v>0</v>
      </c>
      <c r="V147" s="146">
        <f t="shared" ca="1" si="283"/>
        <v>1</v>
      </c>
      <c r="W147" s="146"/>
      <c r="X147" s="146"/>
      <c r="Y147" s="146"/>
      <c r="Z147" s="146"/>
      <c r="AA147" s="146"/>
      <c r="AB147" s="146"/>
      <c r="AC147" s="146">
        <v>4.4000000000000004</v>
      </c>
      <c r="AD147" s="117" t="s">
        <v>196</v>
      </c>
      <c r="AE147" s="148"/>
      <c r="AF147" s="146" t="str">
        <f t="shared" si="284"/>
        <v>AMC 2-S3</v>
      </c>
      <c r="AG147" s="146">
        <f t="shared" si="284"/>
        <v>1</v>
      </c>
      <c r="AH147" s="146">
        <f t="shared" si="285"/>
        <v>2</v>
      </c>
      <c r="AI147" s="146">
        <f t="shared" ca="1" si="286"/>
        <v>2</v>
      </c>
      <c r="AJ147" s="146">
        <f t="shared" ca="1" si="287"/>
        <v>0</v>
      </c>
      <c r="AK147" s="146" t="str">
        <f t="shared" si="284"/>
        <v>N/A</v>
      </c>
      <c r="AL147" s="146">
        <f t="shared" si="284"/>
        <v>0</v>
      </c>
      <c r="AM147" s="146">
        <f t="shared" si="288"/>
        <v>0</v>
      </c>
      <c r="AN147" s="146">
        <f t="shared" ca="1" si="289"/>
        <v>0</v>
      </c>
      <c r="AO147" s="146">
        <f t="shared" ca="1" si="290"/>
        <v>0</v>
      </c>
      <c r="AP147" s="146" t="str">
        <f t="shared" si="284"/>
        <v>N/A</v>
      </c>
      <c r="AQ147" s="146">
        <f t="shared" si="284"/>
        <v>0</v>
      </c>
      <c r="AR147" s="146">
        <f t="shared" si="291"/>
        <v>0</v>
      </c>
      <c r="AS147" s="146">
        <f t="shared" ca="1" si="292"/>
        <v>0</v>
      </c>
      <c r="AT147" s="146">
        <f t="shared" ca="1" si="293"/>
        <v>0</v>
      </c>
      <c r="AU147" s="146" t="str">
        <f t="shared" si="284"/>
        <v>N/A</v>
      </c>
      <c r="AV147" s="146">
        <f t="shared" si="284"/>
        <v>0</v>
      </c>
      <c r="AW147" s="146">
        <f t="shared" si="294"/>
        <v>0</v>
      </c>
      <c r="AX147" s="146">
        <f t="shared" ca="1" si="295"/>
        <v>0</v>
      </c>
      <c r="AY147" s="146">
        <f t="shared" ca="1" si="296"/>
        <v>0</v>
      </c>
      <c r="AZ147" s="147"/>
      <c r="BA147" s="144" t="s">
        <v>141</v>
      </c>
      <c r="BB147" s="144" t="s">
        <v>140</v>
      </c>
      <c r="BC147" s="144" t="s">
        <v>140</v>
      </c>
      <c r="BD147" s="144" t="s">
        <v>140</v>
      </c>
      <c r="BE147" s="146">
        <v>2.2000000000000002</v>
      </c>
      <c r="BF147" s="148"/>
      <c r="BG147" s="146"/>
      <c r="BH147" s="117"/>
      <c r="BI147" s="117"/>
      <c r="BJ147" s="149"/>
      <c r="BK147" s="149"/>
      <c r="BL147" s="117">
        <v>0</v>
      </c>
      <c r="BM147" s="117">
        <v>1</v>
      </c>
      <c r="BN147" s="117">
        <v>0</v>
      </c>
      <c r="BO147" s="117">
        <v>0</v>
      </c>
      <c r="BP147" s="117">
        <v>0</v>
      </c>
      <c r="BQ147" s="117">
        <v>0</v>
      </c>
      <c r="BR147" s="117">
        <v>0</v>
      </c>
      <c r="BS147" s="117" t="s">
        <v>150</v>
      </c>
      <c r="BT147" s="158" t="s">
        <v>210</v>
      </c>
      <c r="BU147" s="117"/>
      <c r="BV147" s="117" t="s">
        <v>211</v>
      </c>
      <c r="BW147" s="144">
        <v>2</v>
      </c>
      <c r="BX147" s="149">
        <v>46201</v>
      </c>
      <c r="BY147" s="117"/>
      <c r="BZ147" s="117"/>
      <c r="CA147" s="117"/>
      <c r="CB147" s="117">
        <f t="shared" si="297"/>
        <v>0</v>
      </c>
    </row>
    <row r="148" spans="1:80" ht="16.5" customHeight="1">
      <c r="A148" s="117">
        <v>331</v>
      </c>
      <c r="B148" s="154" t="s">
        <v>415</v>
      </c>
      <c r="C148" s="154" t="s">
        <v>905</v>
      </c>
      <c r="D148" s="154" t="s">
        <v>13</v>
      </c>
      <c r="E148" s="154" t="s">
        <v>437</v>
      </c>
      <c r="F148" s="154" t="s">
        <v>438</v>
      </c>
      <c r="G148" s="154" t="s">
        <v>426</v>
      </c>
      <c r="H148" s="146">
        <v>1484</v>
      </c>
      <c r="I148" s="147" t="s">
        <v>147</v>
      </c>
      <c r="J148" s="144">
        <v>2</v>
      </c>
      <c r="K148" s="145">
        <f t="shared" si="279"/>
        <v>1</v>
      </c>
      <c r="L148" s="144">
        <f t="shared" si="280"/>
        <v>2</v>
      </c>
      <c r="M148" s="146">
        <v>87.6</v>
      </c>
      <c r="N148" s="146">
        <f t="shared" si="281"/>
        <v>175.2</v>
      </c>
      <c r="O148" s="146" t="s">
        <v>137</v>
      </c>
      <c r="P148" s="146" t="s">
        <v>13</v>
      </c>
      <c r="Q148" s="146" t="s">
        <v>154</v>
      </c>
      <c r="R148" s="146"/>
      <c r="S148" s="146"/>
      <c r="T148" s="146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2</v>
      </c>
      <c r="U148" s="146">
        <f t="shared" ca="1" si="282"/>
        <v>0</v>
      </c>
      <c r="V148" s="146">
        <f t="shared" ca="1" si="283"/>
        <v>1</v>
      </c>
      <c r="W148" s="146"/>
      <c r="X148" s="146"/>
      <c r="Y148" s="146"/>
      <c r="Z148" s="146"/>
      <c r="AA148" s="146"/>
      <c r="AB148" s="146"/>
      <c r="AC148" s="146">
        <v>4.5999999999999996</v>
      </c>
      <c r="AD148" s="117" t="s">
        <v>196</v>
      </c>
      <c r="AE148" s="148"/>
      <c r="AF148" s="146" t="str">
        <f t="shared" si="284"/>
        <v>AMC 2-S3</v>
      </c>
      <c r="AG148" s="146">
        <f t="shared" si="284"/>
        <v>1</v>
      </c>
      <c r="AH148" s="146">
        <f t="shared" si="285"/>
        <v>2</v>
      </c>
      <c r="AI148" s="146">
        <f t="shared" ca="1" si="286"/>
        <v>2</v>
      </c>
      <c r="AJ148" s="146">
        <f t="shared" ca="1" si="287"/>
        <v>0</v>
      </c>
      <c r="AK148" s="146" t="str">
        <f t="shared" si="284"/>
        <v>N/A</v>
      </c>
      <c r="AL148" s="146">
        <f t="shared" si="284"/>
        <v>0</v>
      </c>
      <c r="AM148" s="146">
        <f t="shared" si="288"/>
        <v>0</v>
      </c>
      <c r="AN148" s="146">
        <f t="shared" ca="1" si="289"/>
        <v>0</v>
      </c>
      <c r="AO148" s="146">
        <f t="shared" ca="1" si="290"/>
        <v>0</v>
      </c>
      <c r="AP148" s="146" t="str">
        <f t="shared" si="284"/>
        <v>N/A</v>
      </c>
      <c r="AQ148" s="146">
        <f t="shared" si="284"/>
        <v>0</v>
      </c>
      <c r="AR148" s="146">
        <f t="shared" si="291"/>
        <v>0</v>
      </c>
      <c r="AS148" s="146">
        <f t="shared" ca="1" si="292"/>
        <v>0</v>
      </c>
      <c r="AT148" s="146">
        <f t="shared" ca="1" si="293"/>
        <v>0</v>
      </c>
      <c r="AU148" s="146" t="str">
        <f t="shared" si="284"/>
        <v>N/A</v>
      </c>
      <c r="AV148" s="146">
        <f t="shared" si="284"/>
        <v>0</v>
      </c>
      <c r="AW148" s="146">
        <f t="shared" si="294"/>
        <v>0</v>
      </c>
      <c r="AX148" s="146">
        <f t="shared" ca="1" si="295"/>
        <v>0</v>
      </c>
      <c r="AY148" s="146">
        <f t="shared" ca="1" si="296"/>
        <v>0</v>
      </c>
      <c r="AZ148" s="147"/>
      <c r="BA148" s="144" t="s">
        <v>141</v>
      </c>
      <c r="BB148" s="144" t="s">
        <v>140</v>
      </c>
      <c r="BC148" s="144" t="s">
        <v>140</v>
      </c>
      <c r="BD148" s="144" t="s">
        <v>140</v>
      </c>
      <c r="BE148" s="146">
        <v>2.2999999999999998</v>
      </c>
      <c r="BF148" s="148"/>
      <c r="BG148" s="146"/>
      <c r="BH148" s="117"/>
      <c r="BI148" s="117"/>
      <c r="BJ148" s="149"/>
      <c r="BK148" s="149"/>
      <c r="BL148" s="117">
        <v>0</v>
      </c>
      <c r="BM148" s="117">
        <v>1</v>
      </c>
      <c r="BN148" s="117">
        <v>0</v>
      </c>
      <c r="BO148" s="117">
        <v>0</v>
      </c>
      <c r="BP148" s="117">
        <v>0</v>
      </c>
      <c r="BQ148" s="117">
        <v>0</v>
      </c>
      <c r="BR148" s="117">
        <v>0</v>
      </c>
      <c r="BS148" s="117" t="s">
        <v>150</v>
      </c>
      <c r="BT148" s="158" t="s">
        <v>210</v>
      </c>
      <c r="BU148" s="117"/>
      <c r="BV148" s="117" t="s">
        <v>211</v>
      </c>
      <c r="BW148" s="144">
        <v>2</v>
      </c>
      <c r="BX148" s="149">
        <v>46201</v>
      </c>
      <c r="BY148" s="117"/>
      <c r="BZ148" s="117"/>
      <c r="CA148" s="117"/>
      <c r="CB148" s="117">
        <f t="shared" si="297"/>
        <v>0</v>
      </c>
    </row>
    <row r="149" spans="1:80" ht="16.5" customHeight="1">
      <c r="A149" s="117">
        <v>332</v>
      </c>
      <c r="B149" s="154" t="s">
        <v>415</v>
      </c>
      <c r="C149" s="154" t="s">
        <v>905</v>
      </c>
      <c r="D149" s="154" t="s">
        <v>13</v>
      </c>
      <c r="E149" s="154" t="s">
        <v>439</v>
      </c>
      <c r="F149" s="154" t="s">
        <v>440</v>
      </c>
      <c r="G149" s="154" t="s">
        <v>426</v>
      </c>
      <c r="H149" s="146">
        <v>1495</v>
      </c>
      <c r="I149" s="147" t="s">
        <v>147</v>
      </c>
      <c r="J149" s="144">
        <v>2</v>
      </c>
      <c r="K149" s="145">
        <f t="shared" si="279"/>
        <v>1</v>
      </c>
      <c r="L149" s="144">
        <f t="shared" si="280"/>
        <v>2</v>
      </c>
      <c r="M149" s="146">
        <v>88.5</v>
      </c>
      <c r="N149" s="146">
        <f t="shared" si="281"/>
        <v>177</v>
      </c>
      <c r="O149" s="146" t="s">
        <v>137</v>
      </c>
      <c r="P149" s="146" t="s">
        <v>13</v>
      </c>
      <c r="Q149" s="146" t="s">
        <v>154</v>
      </c>
      <c r="R149" s="146"/>
      <c r="S149" s="146"/>
      <c r="T149" s="146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2</v>
      </c>
      <c r="U149" s="146">
        <f t="shared" ca="1" si="282"/>
        <v>0</v>
      </c>
      <c r="V149" s="146">
        <f t="shared" ca="1" si="283"/>
        <v>1</v>
      </c>
      <c r="W149" s="146"/>
      <c r="X149" s="146"/>
      <c r="Y149" s="146"/>
      <c r="Z149" s="146"/>
      <c r="AA149" s="146"/>
      <c r="AB149" s="146"/>
      <c r="AC149" s="146">
        <v>4.5999999999999996</v>
      </c>
      <c r="AD149" s="117" t="s">
        <v>196</v>
      </c>
      <c r="AE149" s="148"/>
      <c r="AF149" s="146" t="str">
        <f t="shared" si="284"/>
        <v>AMC 2-S3</v>
      </c>
      <c r="AG149" s="146">
        <f t="shared" si="284"/>
        <v>1</v>
      </c>
      <c r="AH149" s="146">
        <f t="shared" si="285"/>
        <v>2</v>
      </c>
      <c r="AI149" s="146">
        <f t="shared" ca="1" si="286"/>
        <v>2</v>
      </c>
      <c r="AJ149" s="146">
        <f t="shared" ca="1" si="287"/>
        <v>0</v>
      </c>
      <c r="AK149" s="146" t="str">
        <f t="shared" si="284"/>
        <v>N/A</v>
      </c>
      <c r="AL149" s="146">
        <f t="shared" si="284"/>
        <v>0</v>
      </c>
      <c r="AM149" s="146">
        <f t="shared" si="288"/>
        <v>0</v>
      </c>
      <c r="AN149" s="146">
        <f t="shared" ca="1" si="289"/>
        <v>0</v>
      </c>
      <c r="AO149" s="146">
        <f t="shared" ca="1" si="290"/>
        <v>0</v>
      </c>
      <c r="AP149" s="146" t="str">
        <f t="shared" si="284"/>
        <v>N/A</v>
      </c>
      <c r="AQ149" s="146">
        <f t="shared" si="284"/>
        <v>0</v>
      </c>
      <c r="AR149" s="146">
        <f t="shared" si="291"/>
        <v>0</v>
      </c>
      <c r="AS149" s="146">
        <f t="shared" ca="1" si="292"/>
        <v>0</v>
      </c>
      <c r="AT149" s="146">
        <f t="shared" ca="1" si="293"/>
        <v>0</v>
      </c>
      <c r="AU149" s="146" t="str">
        <f t="shared" si="284"/>
        <v>N/A</v>
      </c>
      <c r="AV149" s="146">
        <f t="shared" si="284"/>
        <v>0</v>
      </c>
      <c r="AW149" s="146">
        <f t="shared" si="294"/>
        <v>0</v>
      </c>
      <c r="AX149" s="146">
        <f t="shared" ca="1" si="295"/>
        <v>0</v>
      </c>
      <c r="AY149" s="146">
        <f t="shared" ca="1" si="296"/>
        <v>0</v>
      </c>
      <c r="AZ149" s="147"/>
      <c r="BA149" s="144" t="s">
        <v>141</v>
      </c>
      <c r="BB149" s="144" t="s">
        <v>140</v>
      </c>
      <c r="BC149" s="144" t="s">
        <v>140</v>
      </c>
      <c r="BD149" s="144" t="s">
        <v>140</v>
      </c>
      <c r="BE149" s="146">
        <v>2.2999999999999998</v>
      </c>
      <c r="BF149" s="148"/>
      <c r="BG149" s="146"/>
      <c r="BH149" s="117"/>
      <c r="BI149" s="117"/>
      <c r="BJ149" s="149"/>
      <c r="BK149" s="149"/>
      <c r="BL149" s="117">
        <v>0</v>
      </c>
      <c r="BM149" s="117">
        <v>1</v>
      </c>
      <c r="BN149" s="117">
        <v>0</v>
      </c>
      <c r="BO149" s="117">
        <v>0</v>
      </c>
      <c r="BP149" s="117">
        <v>0</v>
      </c>
      <c r="BQ149" s="117">
        <v>0</v>
      </c>
      <c r="BR149" s="117">
        <v>0</v>
      </c>
      <c r="BS149" s="117" t="s">
        <v>150</v>
      </c>
      <c r="BT149" s="158" t="s">
        <v>210</v>
      </c>
      <c r="BU149" s="117"/>
      <c r="BV149" s="117" t="s">
        <v>211</v>
      </c>
      <c r="BW149" s="144">
        <v>2</v>
      </c>
      <c r="BX149" s="149">
        <v>46201</v>
      </c>
      <c r="BY149" s="117"/>
      <c r="BZ149" s="117"/>
      <c r="CA149" s="117"/>
      <c r="CB149" s="117">
        <f t="shared" si="297"/>
        <v>0</v>
      </c>
    </row>
    <row r="150" spans="1:80" ht="16.5" customHeight="1">
      <c r="A150" s="117">
        <v>333</v>
      </c>
      <c r="B150" s="154" t="s">
        <v>415</v>
      </c>
      <c r="C150" s="154" t="s">
        <v>905</v>
      </c>
      <c r="D150" s="154" t="s">
        <v>13</v>
      </c>
      <c r="E150" s="154" t="s">
        <v>441</v>
      </c>
      <c r="F150" s="154" t="s">
        <v>442</v>
      </c>
      <c r="G150" s="154" t="s">
        <v>426</v>
      </c>
      <c r="H150" s="146">
        <v>1451</v>
      </c>
      <c r="I150" s="147" t="s">
        <v>147</v>
      </c>
      <c r="J150" s="144">
        <v>2</v>
      </c>
      <c r="K150" s="145">
        <f t="shared" si="279"/>
        <v>1</v>
      </c>
      <c r="L150" s="144">
        <f t="shared" si="280"/>
        <v>2</v>
      </c>
      <c r="M150" s="146">
        <v>84.8</v>
      </c>
      <c r="N150" s="146">
        <f t="shared" si="281"/>
        <v>169.6</v>
      </c>
      <c r="O150" s="146" t="s">
        <v>137</v>
      </c>
      <c r="P150" s="146" t="s">
        <v>13</v>
      </c>
      <c r="Q150" s="146" t="s">
        <v>154</v>
      </c>
      <c r="R150" s="146"/>
      <c r="S150" s="146"/>
      <c r="T150" s="146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2</v>
      </c>
      <c r="U150" s="146">
        <f t="shared" ca="1" si="282"/>
        <v>0</v>
      </c>
      <c r="V150" s="146">
        <f t="shared" ca="1" si="283"/>
        <v>1</v>
      </c>
      <c r="W150" s="146"/>
      <c r="X150" s="146"/>
      <c r="Y150" s="146"/>
      <c r="Z150" s="146"/>
      <c r="AA150" s="146"/>
      <c r="AB150" s="146"/>
      <c r="AC150" s="146">
        <v>4.4000000000000004</v>
      </c>
      <c r="AD150" s="117" t="s">
        <v>196</v>
      </c>
      <c r="AE150" s="148"/>
      <c r="AF150" s="146" t="str">
        <f t="shared" si="284"/>
        <v>AMC 2-S3</v>
      </c>
      <c r="AG150" s="146">
        <f t="shared" si="284"/>
        <v>1</v>
      </c>
      <c r="AH150" s="146">
        <f t="shared" si="285"/>
        <v>2</v>
      </c>
      <c r="AI150" s="146">
        <f t="shared" ca="1" si="286"/>
        <v>2</v>
      </c>
      <c r="AJ150" s="146">
        <f t="shared" ca="1" si="287"/>
        <v>0</v>
      </c>
      <c r="AK150" s="146" t="str">
        <f t="shared" si="284"/>
        <v>N/A</v>
      </c>
      <c r="AL150" s="146">
        <f t="shared" si="284"/>
        <v>0</v>
      </c>
      <c r="AM150" s="146">
        <f t="shared" si="288"/>
        <v>0</v>
      </c>
      <c r="AN150" s="146">
        <f t="shared" ca="1" si="289"/>
        <v>0</v>
      </c>
      <c r="AO150" s="146">
        <f t="shared" ca="1" si="290"/>
        <v>0</v>
      </c>
      <c r="AP150" s="146" t="str">
        <f t="shared" si="284"/>
        <v>N/A</v>
      </c>
      <c r="AQ150" s="146">
        <f t="shared" si="284"/>
        <v>0</v>
      </c>
      <c r="AR150" s="146">
        <f t="shared" si="291"/>
        <v>0</v>
      </c>
      <c r="AS150" s="146">
        <f t="shared" ca="1" si="292"/>
        <v>0</v>
      </c>
      <c r="AT150" s="146">
        <f t="shared" ca="1" si="293"/>
        <v>0</v>
      </c>
      <c r="AU150" s="146" t="str">
        <f t="shared" si="284"/>
        <v>N/A</v>
      </c>
      <c r="AV150" s="146">
        <f t="shared" si="284"/>
        <v>0</v>
      </c>
      <c r="AW150" s="146">
        <f t="shared" si="294"/>
        <v>0</v>
      </c>
      <c r="AX150" s="146">
        <f t="shared" ca="1" si="295"/>
        <v>0</v>
      </c>
      <c r="AY150" s="146">
        <f t="shared" ca="1" si="296"/>
        <v>0</v>
      </c>
      <c r="AZ150" s="147"/>
      <c r="BA150" s="144" t="s">
        <v>141</v>
      </c>
      <c r="BB150" s="144" t="s">
        <v>140</v>
      </c>
      <c r="BC150" s="144" t="s">
        <v>140</v>
      </c>
      <c r="BD150" s="144" t="s">
        <v>140</v>
      </c>
      <c r="BE150" s="146">
        <v>2.2000000000000002</v>
      </c>
      <c r="BF150" s="148"/>
      <c r="BG150" s="146"/>
      <c r="BH150" s="117"/>
      <c r="BI150" s="117"/>
      <c r="BJ150" s="149"/>
      <c r="BK150" s="149"/>
      <c r="BL150" s="117">
        <v>0</v>
      </c>
      <c r="BM150" s="117">
        <v>1</v>
      </c>
      <c r="BN150" s="117">
        <v>0</v>
      </c>
      <c r="BO150" s="117">
        <v>0</v>
      </c>
      <c r="BP150" s="117">
        <v>0</v>
      </c>
      <c r="BQ150" s="117">
        <v>0</v>
      </c>
      <c r="BR150" s="117">
        <v>0</v>
      </c>
      <c r="BS150" s="117" t="s">
        <v>150</v>
      </c>
      <c r="BT150" s="158" t="s">
        <v>210</v>
      </c>
      <c r="BU150" s="117"/>
      <c r="BV150" s="117" t="s">
        <v>211</v>
      </c>
      <c r="BW150" s="144">
        <v>2</v>
      </c>
      <c r="BX150" s="149">
        <v>46201</v>
      </c>
      <c r="BY150" s="117"/>
      <c r="BZ150" s="117"/>
      <c r="CA150" s="117"/>
      <c r="CB150" s="117">
        <f t="shared" si="297"/>
        <v>0</v>
      </c>
    </row>
    <row r="151" spans="1:80" ht="16.5" customHeight="1">
      <c r="A151" s="117">
        <v>334</v>
      </c>
      <c r="B151" s="154" t="s">
        <v>415</v>
      </c>
      <c r="C151" s="154" t="s">
        <v>905</v>
      </c>
      <c r="D151" s="154" t="s">
        <v>13</v>
      </c>
      <c r="E151" s="154" t="s">
        <v>443</v>
      </c>
      <c r="F151" s="154" t="s">
        <v>444</v>
      </c>
      <c r="G151" s="154" t="s">
        <v>426</v>
      </c>
      <c r="H151" s="146">
        <v>1276</v>
      </c>
      <c r="I151" s="147" t="s">
        <v>147</v>
      </c>
      <c r="J151" s="144">
        <v>2</v>
      </c>
      <c r="K151" s="145">
        <f t="shared" si="279"/>
        <v>1</v>
      </c>
      <c r="L151" s="144">
        <f t="shared" si="280"/>
        <v>2</v>
      </c>
      <c r="M151" s="146">
        <v>72.8</v>
      </c>
      <c r="N151" s="146">
        <f t="shared" si="281"/>
        <v>145.6</v>
      </c>
      <c r="O151" s="146" t="s">
        <v>137</v>
      </c>
      <c r="P151" s="146" t="s">
        <v>13</v>
      </c>
      <c r="Q151" s="146" t="s">
        <v>154</v>
      </c>
      <c r="R151" s="146"/>
      <c r="S151" s="146"/>
      <c r="T151" s="146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2</v>
      </c>
      <c r="U151" s="146">
        <f t="shared" ca="1" si="282"/>
        <v>0</v>
      </c>
      <c r="V151" s="146">
        <f t="shared" ca="1" si="283"/>
        <v>1</v>
      </c>
      <c r="W151" s="146"/>
      <c r="X151" s="146"/>
      <c r="Y151" s="146"/>
      <c r="Z151" s="146"/>
      <c r="AA151" s="146"/>
      <c r="AB151" s="146"/>
      <c r="AC151" s="146">
        <v>3.8</v>
      </c>
      <c r="AD151" s="117" t="s">
        <v>196</v>
      </c>
      <c r="AE151" s="148"/>
      <c r="AF151" s="146" t="str">
        <f t="shared" si="284"/>
        <v>AMC 2-S3</v>
      </c>
      <c r="AG151" s="146">
        <f t="shared" si="284"/>
        <v>1</v>
      </c>
      <c r="AH151" s="146">
        <f t="shared" si="285"/>
        <v>2</v>
      </c>
      <c r="AI151" s="146">
        <f t="shared" ca="1" si="286"/>
        <v>2</v>
      </c>
      <c r="AJ151" s="146">
        <f t="shared" ca="1" si="287"/>
        <v>0</v>
      </c>
      <c r="AK151" s="146" t="str">
        <f t="shared" si="284"/>
        <v>N/A</v>
      </c>
      <c r="AL151" s="146">
        <f t="shared" si="284"/>
        <v>0</v>
      </c>
      <c r="AM151" s="146">
        <f t="shared" si="288"/>
        <v>0</v>
      </c>
      <c r="AN151" s="146">
        <f t="shared" ca="1" si="289"/>
        <v>0</v>
      </c>
      <c r="AO151" s="146">
        <f t="shared" ca="1" si="290"/>
        <v>0</v>
      </c>
      <c r="AP151" s="146" t="str">
        <f t="shared" si="284"/>
        <v>N/A</v>
      </c>
      <c r="AQ151" s="146">
        <f t="shared" si="284"/>
        <v>0</v>
      </c>
      <c r="AR151" s="146">
        <f t="shared" si="291"/>
        <v>0</v>
      </c>
      <c r="AS151" s="146">
        <f t="shared" ca="1" si="292"/>
        <v>0</v>
      </c>
      <c r="AT151" s="146">
        <f t="shared" ca="1" si="293"/>
        <v>0</v>
      </c>
      <c r="AU151" s="146" t="str">
        <f t="shared" si="284"/>
        <v>N/A</v>
      </c>
      <c r="AV151" s="146">
        <f t="shared" si="284"/>
        <v>0</v>
      </c>
      <c r="AW151" s="146">
        <f t="shared" si="294"/>
        <v>0</v>
      </c>
      <c r="AX151" s="146">
        <f t="shared" ca="1" si="295"/>
        <v>0</v>
      </c>
      <c r="AY151" s="146">
        <f t="shared" ca="1" si="296"/>
        <v>0</v>
      </c>
      <c r="AZ151" s="147"/>
      <c r="BA151" s="144" t="s">
        <v>141</v>
      </c>
      <c r="BB151" s="144" t="s">
        <v>140</v>
      </c>
      <c r="BC151" s="144" t="s">
        <v>140</v>
      </c>
      <c r="BD151" s="144" t="s">
        <v>140</v>
      </c>
      <c r="BE151" s="146">
        <v>1.9</v>
      </c>
      <c r="BF151" s="148"/>
      <c r="BG151" s="146"/>
      <c r="BH151" s="117"/>
      <c r="BI151" s="117"/>
      <c r="BJ151" s="149"/>
      <c r="BK151" s="149"/>
      <c r="BL151" s="117">
        <v>0</v>
      </c>
      <c r="BM151" s="117">
        <v>1</v>
      </c>
      <c r="BN151" s="117">
        <v>0</v>
      </c>
      <c r="BO151" s="117">
        <v>0</v>
      </c>
      <c r="BP151" s="117">
        <v>0</v>
      </c>
      <c r="BQ151" s="117">
        <v>0</v>
      </c>
      <c r="BR151" s="117">
        <v>0</v>
      </c>
      <c r="BS151" s="117" t="s">
        <v>150</v>
      </c>
      <c r="BT151" s="158" t="s">
        <v>210</v>
      </c>
      <c r="BU151" s="117"/>
      <c r="BV151" s="117" t="s">
        <v>211</v>
      </c>
      <c r="BW151" s="144">
        <v>2</v>
      </c>
      <c r="BX151" s="149">
        <v>46201</v>
      </c>
      <c r="BY151" s="117"/>
      <c r="BZ151" s="117"/>
      <c r="CA151" s="117"/>
      <c r="CB151" s="117">
        <f t="shared" si="297"/>
        <v>0</v>
      </c>
    </row>
    <row r="152" spans="1:80" ht="16.5" customHeight="1">
      <c r="A152" s="117">
        <v>335</v>
      </c>
      <c r="B152" s="154" t="s">
        <v>415</v>
      </c>
      <c r="C152" s="154" t="s">
        <v>905</v>
      </c>
      <c r="D152" s="154" t="s">
        <v>13</v>
      </c>
      <c r="E152" s="154" t="s">
        <v>445</v>
      </c>
      <c r="F152" s="154" t="s">
        <v>446</v>
      </c>
      <c r="G152" s="154" t="s">
        <v>426</v>
      </c>
      <c r="H152" s="146">
        <v>890</v>
      </c>
      <c r="I152" s="147" t="s">
        <v>147</v>
      </c>
      <c r="J152" s="144">
        <v>2</v>
      </c>
      <c r="K152" s="145">
        <f t="shared" si="279"/>
        <v>1</v>
      </c>
      <c r="L152" s="144">
        <f t="shared" si="280"/>
        <v>2</v>
      </c>
      <c r="M152" s="146">
        <v>46.4</v>
      </c>
      <c r="N152" s="146">
        <f t="shared" si="281"/>
        <v>92.8</v>
      </c>
      <c r="O152" s="146" t="s">
        <v>137</v>
      </c>
      <c r="P152" s="146" t="s">
        <v>13</v>
      </c>
      <c r="Q152" s="146" t="s">
        <v>154</v>
      </c>
      <c r="R152" s="146"/>
      <c r="S152" s="146"/>
      <c r="T152" s="146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2</v>
      </c>
      <c r="U152" s="146">
        <f t="shared" ca="1" si="282"/>
        <v>0</v>
      </c>
      <c r="V152" s="146">
        <f t="shared" ca="1" si="283"/>
        <v>1</v>
      </c>
      <c r="W152" s="146"/>
      <c r="X152" s="146"/>
      <c r="Y152" s="146"/>
      <c r="Z152" s="146"/>
      <c r="AA152" s="146"/>
      <c r="AB152" s="146"/>
      <c r="AC152" s="146">
        <v>2.4</v>
      </c>
      <c r="AD152" s="117" t="s">
        <v>196</v>
      </c>
      <c r="AE152" s="148"/>
      <c r="AF152" s="146" t="str">
        <f t="shared" si="284"/>
        <v>AMC 2-S3</v>
      </c>
      <c r="AG152" s="146">
        <f t="shared" si="284"/>
        <v>1</v>
      </c>
      <c r="AH152" s="146">
        <f t="shared" si="285"/>
        <v>2</v>
      </c>
      <c r="AI152" s="146">
        <f t="shared" ca="1" si="286"/>
        <v>2</v>
      </c>
      <c r="AJ152" s="146">
        <f t="shared" ca="1" si="287"/>
        <v>0</v>
      </c>
      <c r="AK152" s="146" t="str">
        <f t="shared" si="284"/>
        <v>N/A</v>
      </c>
      <c r="AL152" s="146">
        <f t="shared" si="284"/>
        <v>0</v>
      </c>
      <c r="AM152" s="146">
        <f t="shared" si="288"/>
        <v>0</v>
      </c>
      <c r="AN152" s="146">
        <f t="shared" ca="1" si="289"/>
        <v>0</v>
      </c>
      <c r="AO152" s="146">
        <f t="shared" ca="1" si="290"/>
        <v>0</v>
      </c>
      <c r="AP152" s="146" t="str">
        <f t="shared" si="284"/>
        <v>N/A</v>
      </c>
      <c r="AQ152" s="146">
        <f t="shared" si="284"/>
        <v>0</v>
      </c>
      <c r="AR152" s="146">
        <f t="shared" si="291"/>
        <v>0</v>
      </c>
      <c r="AS152" s="146">
        <f t="shared" ca="1" si="292"/>
        <v>0</v>
      </c>
      <c r="AT152" s="146">
        <f t="shared" ca="1" si="293"/>
        <v>0</v>
      </c>
      <c r="AU152" s="146" t="str">
        <f t="shared" si="284"/>
        <v>N/A</v>
      </c>
      <c r="AV152" s="146">
        <f t="shared" si="284"/>
        <v>0</v>
      </c>
      <c r="AW152" s="146">
        <f t="shared" si="294"/>
        <v>0</v>
      </c>
      <c r="AX152" s="146">
        <f t="shared" ca="1" si="295"/>
        <v>0</v>
      </c>
      <c r="AY152" s="146">
        <f t="shared" ca="1" si="296"/>
        <v>0</v>
      </c>
      <c r="AZ152" s="147"/>
      <c r="BA152" s="144" t="s">
        <v>141</v>
      </c>
      <c r="BB152" s="144" t="s">
        <v>140</v>
      </c>
      <c r="BC152" s="144" t="s">
        <v>140</v>
      </c>
      <c r="BD152" s="144" t="s">
        <v>140</v>
      </c>
      <c r="BE152" s="146">
        <v>1.2</v>
      </c>
      <c r="BF152" s="148"/>
      <c r="BG152" s="146"/>
      <c r="BH152" s="117"/>
      <c r="BI152" s="117"/>
      <c r="BJ152" s="149"/>
      <c r="BK152" s="149"/>
      <c r="BL152" s="117">
        <v>0</v>
      </c>
      <c r="BM152" s="117">
        <v>1</v>
      </c>
      <c r="BN152" s="117">
        <v>0</v>
      </c>
      <c r="BO152" s="117">
        <v>0</v>
      </c>
      <c r="BP152" s="117">
        <v>0</v>
      </c>
      <c r="BQ152" s="117">
        <v>0</v>
      </c>
      <c r="BR152" s="117">
        <v>0</v>
      </c>
      <c r="BS152" s="117" t="s">
        <v>150</v>
      </c>
      <c r="BT152" s="158" t="s">
        <v>210</v>
      </c>
      <c r="BU152" s="117"/>
      <c r="BV152" s="117" t="s">
        <v>211</v>
      </c>
      <c r="BW152" s="144">
        <v>2</v>
      </c>
      <c r="BX152" s="149">
        <v>46201</v>
      </c>
      <c r="BY152" s="117"/>
      <c r="BZ152" s="117"/>
      <c r="CA152" s="117"/>
      <c r="CB152" s="117">
        <f t="shared" si="297"/>
        <v>0</v>
      </c>
    </row>
    <row r="153" spans="1:80" ht="16.5" hidden="1" customHeight="1">
      <c r="A153" s="117">
        <v>336</v>
      </c>
      <c r="B153" s="154" t="s">
        <v>415</v>
      </c>
      <c r="C153" s="154" t="s">
        <v>905</v>
      </c>
      <c r="D153" s="154" t="s">
        <v>13</v>
      </c>
      <c r="E153" s="154" t="s">
        <v>447</v>
      </c>
      <c r="F153" s="154" t="s">
        <v>448</v>
      </c>
      <c r="G153" s="154" t="s">
        <v>418</v>
      </c>
      <c r="H153" s="146">
        <v>3530</v>
      </c>
      <c r="I153" s="147" t="s">
        <v>147</v>
      </c>
      <c r="J153" s="144">
        <v>1</v>
      </c>
      <c r="K153" s="145">
        <f t="shared" si="279"/>
        <v>1</v>
      </c>
      <c r="L153" s="144">
        <f t="shared" si="280"/>
        <v>1</v>
      </c>
      <c r="M153" s="146">
        <v>1424.4</v>
      </c>
      <c r="N153" s="146">
        <f t="shared" si="281"/>
        <v>1424.4</v>
      </c>
      <c r="O153" s="146" t="s">
        <v>137</v>
      </c>
      <c r="P153" s="146" t="s">
        <v>13</v>
      </c>
      <c r="Q153" s="146" t="s">
        <v>154</v>
      </c>
      <c r="R153" s="146"/>
      <c r="S153" s="146"/>
      <c r="T153" s="146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1</v>
      </c>
      <c r="U153" s="146">
        <f t="shared" ca="1" si="282"/>
        <v>0</v>
      </c>
      <c r="V153" s="146">
        <f t="shared" ca="1" si="283"/>
        <v>1</v>
      </c>
      <c r="W153" s="146"/>
      <c r="X153" s="146"/>
      <c r="Y153" s="146"/>
      <c r="Z153" s="146"/>
      <c r="AA153" s="146"/>
      <c r="AB153" s="146"/>
      <c r="AC153" s="146">
        <v>36.5</v>
      </c>
      <c r="AD153" s="117" t="s">
        <v>196</v>
      </c>
      <c r="AE153" s="148"/>
      <c r="AF153" s="146" t="str">
        <f t="shared" si="284"/>
        <v>AMC 2-S3</v>
      </c>
      <c r="AG153" s="146">
        <f t="shared" si="284"/>
        <v>1</v>
      </c>
      <c r="AH153" s="146">
        <f t="shared" si="285"/>
        <v>1</v>
      </c>
      <c r="AI153" s="146">
        <f t="shared" ca="1" si="286"/>
        <v>1</v>
      </c>
      <c r="AJ153" s="146">
        <f t="shared" ca="1" si="287"/>
        <v>0</v>
      </c>
      <c r="AK153" s="146" t="str">
        <f t="shared" si="284"/>
        <v>N/A</v>
      </c>
      <c r="AL153" s="146">
        <f t="shared" si="284"/>
        <v>0</v>
      </c>
      <c r="AM153" s="146">
        <f t="shared" si="288"/>
        <v>0</v>
      </c>
      <c r="AN153" s="146">
        <f t="shared" ca="1" si="289"/>
        <v>0</v>
      </c>
      <c r="AO153" s="146">
        <f t="shared" ca="1" si="290"/>
        <v>0</v>
      </c>
      <c r="AP153" s="146" t="str">
        <f t="shared" si="284"/>
        <v>N/A</v>
      </c>
      <c r="AQ153" s="146">
        <f t="shared" si="284"/>
        <v>0</v>
      </c>
      <c r="AR153" s="146">
        <f t="shared" si="291"/>
        <v>0</v>
      </c>
      <c r="AS153" s="146">
        <f t="shared" ca="1" si="292"/>
        <v>0</v>
      </c>
      <c r="AT153" s="146">
        <f t="shared" ca="1" si="293"/>
        <v>0</v>
      </c>
      <c r="AU153" s="146" t="str">
        <f t="shared" si="284"/>
        <v>N/A</v>
      </c>
      <c r="AV153" s="146">
        <f t="shared" si="284"/>
        <v>0</v>
      </c>
      <c r="AW153" s="146">
        <f t="shared" si="294"/>
        <v>0</v>
      </c>
      <c r="AX153" s="146">
        <f t="shared" ca="1" si="295"/>
        <v>0</v>
      </c>
      <c r="AY153" s="146">
        <f t="shared" ca="1" si="296"/>
        <v>0</v>
      </c>
      <c r="AZ153" s="147"/>
      <c r="BA153" s="144" t="s">
        <v>141</v>
      </c>
      <c r="BB153" s="144" t="s">
        <v>140</v>
      </c>
      <c r="BC153" s="144" t="s">
        <v>140</v>
      </c>
      <c r="BD153" s="144" t="s">
        <v>140</v>
      </c>
      <c r="BE153" s="146">
        <v>36.5</v>
      </c>
      <c r="BF153" s="148"/>
      <c r="BG153" s="146"/>
      <c r="BH153" s="117"/>
      <c r="BI153" s="117"/>
      <c r="BJ153" s="149"/>
      <c r="BK153" s="149"/>
      <c r="BL153" s="117">
        <v>0</v>
      </c>
      <c r="BM153" s="117">
        <v>1</v>
      </c>
      <c r="BN153" s="117">
        <v>0</v>
      </c>
      <c r="BO153" s="117">
        <v>1</v>
      </c>
      <c r="BP153" s="117">
        <v>0</v>
      </c>
      <c r="BQ153" s="117">
        <v>0</v>
      </c>
      <c r="BR153" s="117">
        <v>0</v>
      </c>
      <c r="BS153" s="117" t="s">
        <v>150</v>
      </c>
      <c r="BT153" s="117"/>
      <c r="BU153" s="155"/>
      <c r="BV153" s="117" t="s">
        <v>57</v>
      </c>
      <c r="BW153" s="117">
        <v>1</v>
      </c>
      <c r="BX153" s="149"/>
      <c r="BY153" s="117"/>
      <c r="BZ153" s="117"/>
      <c r="CA153" s="117"/>
      <c r="CB153" s="117">
        <f t="shared" si="297"/>
        <v>0</v>
      </c>
    </row>
    <row r="154" spans="1:80" ht="16.5" hidden="1" customHeight="1">
      <c r="A154" s="117">
        <v>337</v>
      </c>
      <c r="B154" s="154" t="s">
        <v>415</v>
      </c>
      <c r="C154" s="154" t="s">
        <v>905</v>
      </c>
      <c r="D154" s="154" t="s">
        <v>13</v>
      </c>
      <c r="E154" s="154" t="s">
        <v>449</v>
      </c>
      <c r="F154" s="154" t="s">
        <v>450</v>
      </c>
      <c r="G154" s="154" t="s">
        <v>421</v>
      </c>
      <c r="H154" s="146">
        <v>4243</v>
      </c>
      <c r="I154" s="147" t="s">
        <v>147</v>
      </c>
      <c r="J154" s="144">
        <v>1</v>
      </c>
      <c r="K154" s="145">
        <f t="shared" si="279"/>
        <v>1</v>
      </c>
      <c r="L154" s="144">
        <f t="shared" si="280"/>
        <v>1</v>
      </c>
      <c r="M154" s="146">
        <v>225.8</v>
      </c>
      <c r="N154" s="146">
        <f t="shared" si="281"/>
        <v>225.8</v>
      </c>
      <c r="O154" s="146" t="s">
        <v>137</v>
      </c>
      <c r="P154" s="146" t="s">
        <v>13</v>
      </c>
      <c r="Q154" s="146" t="s">
        <v>148</v>
      </c>
      <c r="R154" s="146"/>
      <c r="S154" s="146"/>
      <c r="T154" s="146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1</v>
      </c>
      <c r="U154" s="146">
        <f t="shared" ca="1" si="282"/>
        <v>0</v>
      </c>
      <c r="V154" s="146">
        <f t="shared" ca="1" si="283"/>
        <v>1</v>
      </c>
      <c r="W154" s="146"/>
      <c r="X154" s="146"/>
      <c r="Y154" s="146"/>
      <c r="Z154" s="146"/>
      <c r="AA154" s="146"/>
      <c r="AB154" s="146"/>
      <c r="AC154" s="146">
        <v>5.9</v>
      </c>
      <c r="AD154" s="117" t="s">
        <v>196</v>
      </c>
      <c r="AE154" s="148"/>
      <c r="AF154" s="146" t="str">
        <f t="shared" si="284"/>
        <v>AMC 2-S3</v>
      </c>
      <c r="AG154" s="146">
        <f t="shared" si="284"/>
        <v>1</v>
      </c>
      <c r="AH154" s="146">
        <f t="shared" si="285"/>
        <v>1</v>
      </c>
      <c r="AI154" s="146">
        <f t="shared" ca="1" si="286"/>
        <v>1</v>
      </c>
      <c r="AJ154" s="146">
        <f t="shared" ca="1" si="287"/>
        <v>0</v>
      </c>
      <c r="AK154" s="146" t="str">
        <f t="shared" si="284"/>
        <v>N/A</v>
      </c>
      <c r="AL154" s="146">
        <f t="shared" si="284"/>
        <v>0</v>
      </c>
      <c r="AM154" s="146">
        <f t="shared" si="288"/>
        <v>0</v>
      </c>
      <c r="AN154" s="146">
        <f t="shared" ca="1" si="289"/>
        <v>0</v>
      </c>
      <c r="AO154" s="146">
        <f t="shared" ca="1" si="290"/>
        <v>0</v>
      </c>
      <c r="AP154" s="146" t="str">
        <f t="shared" si="284"/>
        <v>N/A</v>
      </c>
      <c r="AQ154" s="146">
        <f t="shared" si="284"/>
        <v>0</v>
      </c>
      <c r="AR154" s="146">
        <f t="shared" si="291"/>
        <v>0</v>
      </c>
      <c r="AS154" s="146">
        <f t="shared" ca="1" si="292"/>
        <v>0</v>
      </c>
      <c r="AT154" s="146">
        <f t="shared" ca="1" si="293"/>
        <v>0</v>
      </c>
      <c r="AU154" s="146" t="str">
        <f t="shared" si="284"/>
        <v>N/A</v>
      </c>
      <c r="AV154" s="146">
        <f t="shared" si="284"/>
        <v>0</v>
      </c>
      <c r="AW154" s="146">
        <f t="shared" si="294"/>
        <v>0</v>
      </c>
      <c r="AX154" s="146">
        <f t="shared" ca="1" si="295"/>
        <v>0</v>
      </c>
      <c r="AY154" s="146">
        <f t="shared" ca="1" si="296"/>
        <v>0</v>
      </c>
      <c r="AZ154" s="147"/>
      <c r="BA154" s="144" t="s">
        <v>141</v>
      </c>
      <c r="BB154" s="144" t="s">
        <v>140</v>
      </c>
      <c r="BC154" s="144" t="s">
        <v>140</v>
      </c>
      <c r="BD154" s="144" t="s">
        <v>140</v>
      </c>
      <c r="BE154" s="146">
        <v>5.9</v>
      </c>
      <c r="BF154" s="148"/>
      <c r="BG154" s="146"/>
      <c r="BH154" s="117"/>
      <c r="BI154" s="117"/>
      <c r="BJ154" s="149"/>
      <c r="BK154" s="149"/>
      <c r="BL154" s="117">
        <v>0</v>
      </c>
      <c r="BM154" s="117">
        <v>0</v>
      </c>
      <c r="BN154" s="117">
        <v>0</v>
      </c>
      <c r="BO154" s="117">
        <v>0</v>
      </c>
      <c r="BP154" s="117">
        <v>0</v>
      </c>
      <c r="BQ154" s="117">
        <v>0</v>
      </c>
      <c r="BR154" s="117">
        <v>0</v>
      </c>
      <c r="BS154" s="117" t="s">
        <v>150</v>
      </c>
      <c r="BT154" s="158" t="s">
        <v>210</v>
      </c>
      <c r="BU154" s="117"/>
      <c r="BV154" s="117" t="s">
        <v>211</v>
      </c>
      <c r="BW154" s="144">
        <v>1</v>
      </c>
      <c r="BX154" s="149">
        <v>46201</v>
      </c>
      <c r="BY154" s="117"/>
      <c r="BZ154" s="117"/>
      <c r="CA154" s="117"/>
      <c r="CB154" s="117">
        <f t="shared" si="297"/>
        <v>0</v>
      </c>
    </row>
    <row r="155" spans="1:80" ht="16.5" hidden="1" customHeight="1">
      <c r="A155" s="117">
        <v>338</v>
      </c>
      <c r="B155" s="154" t="s">
        <v>415</v>
      </c>
      <c r="C155" s="154" t="s">
        <v>905</v>
      </c>
      <c r="D155" s="154" t="s">
        <v>13</v>
      </c>
      <c r="E155" s="154" t="s">
        <v>451</v>
      </c>
      <c r="F155" s="154" t="s">
        <v>452</v>
      </c>
      <c r="G155" s="154" t="s">
        <v>157</v>
      </c>
      <c r="H155" s="146">
        <v>4619</v>
      </c>
      <c r="I155" s="147" t="s">
        <v>147</v>
      </c>
      <c r="J155" s="144">
        <v>1</v>
      </c>
      <c r="K155" s="145">
        <f t="shared" si="279"/>
        <v>1</v>
      </c>
      <c r="L155" s="144">
        <f t="shared" si="280"/>
        <v>1</v>
      </c>
      <c r="M155" s="146">
        <v>80.900000000000006</v>
      </c>
      <c r="N155" s="146">
        <f t="shared" si="281"/>
        <v>80.900000000000006</v>
      </c>
      <c r="O155" s="146" t="s">
        <v>137</v>
      </c>
      <c r="P155" s="146" t="s">
        <v>13</v>
      </c>
      <c r="Q155" s="146" t="s">
        <v>148</v>
      </c>
      <c r="R155" s="146"/>
      <c r="S155" s="146"/>
      <c r="T155" s="146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1</v>
      </c>
      <c r="U155" s="146">
        <f t="shared" ca="1" si="282"/>
        <v>0</v>
      </c>
      <c r="V155" s="146">
        <f t="shared" ca="1" si="283"/>
        <v>1</v>
      </c>
      <c r="W155" s="146"/>
      <c r="X155" s="146"/>
      <c r="Y155" s="146"/>
      <c r="Z155" s="146"/>
      <c r="AA155" s="146"/>
      <c r="AB155" s="146"/>
      <c r="AC155" s="146">
        <v>1.5</v>
      </c>
      <c r="AD155" s="117" t="s">
        <v>196</v>
      </c>
      <c r="AE155" s="148"/>
      <c r="AF155" s="146" t="str">
        <f t="shared" si="284"/>
        <v>AMC 2-S3</v>
      </c>
      <c r="AG155" s="146">
        <f t="shared" si="284"/>
        <v>1</v>
      </c>
      <c r="AH155" s="146">
        <f t="shared" si="285"/>
        <v>1</v>
      </c>
      <c r="AI155" s="146">
        <f t="shared" ca="1" si="286"/>
        <v>1</v>
      </c>
      <c r="AJ155" s="146">
        <f t="shared" ca="1" si="287"/>
        <v>0</v>
      </c>
      <c r="AK155" s="146" t="str">
        <f t="shared" si="284"/>
        <v>N/A</v>
      </c>
      <c r="AL155" s="146">
        <f t="shared" si="284"/>
        <v>0</v>
      </c>
      <c r="AM155" s="146">
        <f t="shared" si="288"/>
        <v>0</v>
      </c>
      <c r="AN155" s="146">
        <f t="shared" ca="1" si="289"/>
        <v>0</v>
      </c>
      <c r="AO155" s="146">
        <f t="shared" ca="1" si="290"/>
        <v>0</v>
      </c>
      <c r="AP155" s="146" t="str">
        <f t="shared" si="284"/>
        <v>N/A</v>
      </c>
      <c r="AQ155" s="146">
        <f t="shared" si="284"/>
        <v>0</v>
      </c>
      <c r="AR155" s="146">
        <f t="shared" si="291"/>
        <v>0</v>
      </c>
      <c r="AS155" s="146">
        <f t="shared" ca="1" si="292"/>
        <v>0</v>
      </c>
      <c r="AT155" s="146">
        <f t="shared" ca="1" si="293"/>
        <v>0</v>
      </c>
      <c r="AU155" s="146" t="str">
        <f t="shared" si="284"/>
        <v>N/A</v>
      </c>
      <c r="AV155" s="146">
        <f t="shared" si="284"/>
        <v>0</v>
      </c>
      <c r="AW155" s="146">
        <f t="shared" si="294"/>
        <v>0</v>
      </c>
      <c r="AX155" s="146">
        <f t="shared" ca="1" si="295"/>
        <v>0</v>
      </c>
      <c r="AY155" s="146">
        <f t="shared" ca="1" si="296"/>
        <v>0</v>
      </c>
      <c r="AZ155" s="147"/>
      <c r="BA155" s="144" t="s">
        <v>141</v>
      </c>
      <c r="BB155" s="144" t="s">
        <v>140</v>
      </c>
      <c r="BC155" s="144" t="s">
        <v>140</v>
      </c>
      <c r="BD155" s="144" t="s">
        <v>140</v>
      </c>
      <c r="BE155" s="146">
        <v>1.5</v>
      </c>
      <c r="BF155" s="148"/>
      <c r="BG155" s="146"/>
      <c r="BH155" s="117"/>
      <c r="BI155" s="117"/>
      <c r="BJ155" s="149"/>
      <c r="BK155" s="149"/>
      <c r="BL155" s="117">
        <v>0</v>
      </c>
      <c r="BM155" s="117">
        <v>0</v>
      </c>
      <c r="BN155" s="117">
        <v>0</v>
      </c>
      <c r="BO155" s="117">
        <v>0</v>
      </c>
      <c r="BP155" s="117">
        <v>0</v>
      </c>
      <c r="BQ155" s="117">
        <v>0</v>
      </c>
      <c r="BR155" s="117">
        <v>0</v>
      </c>
      <c r="BS155" s="117" t="s">
        <v>150</v>
      </c>
      <c r="BT155" s="117"/>
      <c r="BU155" s="155"/>
      <c r="BV155" s="117" t="s">
        <v>57</v>
      </c>
      <c r="BW155" s="117">
        <v>1</v>
      </c>
      <c r="BX155" s="149"/>
      <c r="BY155" s="117"/>
      <c r="BZ155" s="117"/>
      <c r="CA155" s="117"/>
      <c r="CB155" s="117">
        <f t="shared" si="297"/>
        <v>0</v>
      </c>
    </row>
    <row r="156" spans="1:80" ht="16.5" hidden="1" customHeight="1">
      <c r="A156" s="117">
        <v>339</v>
      </c>
      <c r="B156" s="154" t="s">
        <v>415</v>
      </c>
      <c r="C156" s="154" t="s">
        <v>905</v>
      </c>
      <c r="D156" s="154" t="s">
        <v>13</v>
      </c>
      <c r="E156" s="154" t="s">
        <v>453</v>
      </c>
      <c r="F156" s="154" t="s">
        <v>454</v>
      </c>
      <c r="G156" s="154" t="s">
        <v>157</v>
      </c>
      <c r="H156" s="146">
        <v>5305</v>
      </c>
      <c r="I156" s="147" t="s">
        <v>147</v>
      </c>
      <c r="J156" s="144">
        <v>1</v>
      </c>
      <c r="K156" s="145">
        <f t="shared" si="279"/>
        <v>1</v>
      </c>
      <c r="L156" s="144">
        <f t="shared" si="280"/>
        <v>1</v>
      </c>
      <c r="M156" s="146">
        <v>93.5</v>
      </c>
      <c r="N156" s="146">
        <f t="shared" si="281"/>
        <v>93.5</v>
      </c>
      <c r="O156" s="146" t="s">
        <v>137</v>
      </c>
      <c r="P156" s="146" t="s">
        <v>13</v>
      </c>
      <c r="Q156" s="146" t="s">
        <v>148</v>
      </c>
      <c r="R156" s="146"/>
      <c r="S156" s="146"/>
      <c r="T156" s="146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1</v>
      </c>
      <c r="U156" s="146">
        <f t="shared" ca="1" si="282"/>
        <v>0</v>
      </c>
      <c r="V156" s="146">
        <f t="shared" ca="1" si="283"/>
        <v>1</v>
      </c>
      <c r="W156" s="146"/>
      <c r="X156" s="146"/>
      <c r="Y156" s="146"/>
      <c r="Z156" s="146"/>
      <c r="AA156" s="146"/>
      <c r="AB156" s="146"/>
      <c r="AC156" s="146">
        <v>1.8</v>
      </c>
      <c r="AD156" s="117" t="s">
        <v>196</v>
      </c>
      <c r="AE156" s="148"/>
      <c r="AF156" s="146" t="str">
        <f t="shared" si="284"/>
        <v>AMC 2-S3</v>
      </c>
      <c r="AG156" s="146">
        <f t="shared" si="284"/>
        <v>1</v>
      </c>
      <c r="AH156" s="146">
        <f t="shared" si="285"/>
        <v>1</v>
      </c>
      <c r="AI156" s="146">
        <f t="shared" ca="1" si="286"/>
        <v>1</v>
      </c>
      <c r="AJ156" s="146">
        <f t="shared" ca="1" si="287"/>
        <v>0</v>
      </c>
      <c r="AK156" s="146" t="str">
        <f t="shared" si="284"/>
        <v>N/A</v>
      </c>
      <c r="AL156" s="146">
        <f t="shared" si="284"/>
        <v>0</v>
      </c>
      <c r="AM156" s="146">
        <f t="shared" si="288"/>
        <v>0</v>
      </c>
      <c r="AN156" s="146">
        <f t="shared" ca="1" si="289"/>
        <v>0</v>
      </c>
      <c r="AO156" s="146">
        <f t="shared" ca="1" si="290"/>
        <v>0</v>
      </c>
      <c r="AP156" s="146" t="str">
        <f t="shared" si="284"/>
        <v>N/A</v>
      </c>
      <c r="AQ156" s="146">
        <f t="shared" si="284"/>
        <v>0</v>
      </c>
      <c r="AR156" s="146">
        <f t="shared" si="291"/>
        <v>0</v>
      </c>
      <c r="AS156" s="146">
        <f t="shared" ca="1" si="292"/>
        <v>0</v>
      </c>
      <c r="AT156" s="146">
        <f t="shared" ca="1" si="293"/>
        <v>0</v>
      </c>
      <c r="AU156" s="146" t="str">
        <f t="shared" si="284"/>
        <v>N/A</v>
      </c>
      <c r="AV156" s="146">
        <f t="shared" si="284"/>
        <v>0</v>
      </c>
      <c r="AW156" s="146">
        <f t="shared" si="294"/>
        <v>0</v>
      </c>
      <c r="AX156" s="146">
        <f t="shared" ca="1" si="295"/>
        <v>0</v>
      </c>
      <c r="AY156" s="146">
        <f t="shared" ca="1" si="296"/>
        <v>0</v>
      </c>
      <c r="AZ156" s="147"/>
      <c r="BA156" s="144" t="s">
        <v>141</v>
      </c>
      <c r="BB156" s="144" t="s">
        <v>140</v>
      </c>
      <c r="BC156" s="144" t="s">
        <v>140</v>
      </c>
      <c r="BD156" s="144" t="s">
        <v>140</v>
      </c>
      <c r="BE156" s="146">
        <v>1.8</v>
      </c>
      <c r="BF156" s="148"/>
      <c r="BG156" s="146"/>
      <c r="BH156" s="117"/>
      <c r="BI156" s="117"/>
      <c r="BJ156" s="149"/>
      <c r="BK156" s="149"/>
      <c r="BL156" s="117">
        <v>0</v>
      </c>
      <c r="BM156" s="117">
        <v>0</v>
      </c>
      <c r="BN156" s="117">
        <v>0</v>
      </c>
      <c r="BO156" s="117">
        <v>1</v>
      </c>
      <c r="BP156" s="117">
        <v>0</v>
      </c>
      <c r="BQ156" s="117">
        <v>0</v>
      </c>
      <c r="BR156" s="117">
        <v>0</v>
      </c>
      <c r="BS156" s="117" t="s">
        <v>150</v>
      </c>
      <c r="BT156" s="117"/>
      <c r="BU156" s="155"/>
      <c r="BV156" s="117" t="s">
        <v>57</v>
      </c>
      <c r="BW156" s="117">
        <v>1</v>
      </c>
      <c r="BX156" s="149"/>
      <c r="BY156" s="117"/>
      <c r="BZ156" s="117"/>
      <c r="CA156" s="117"/>
      <c r="CB156" s="117">
        <f t="shared" si="297"/>
        <v>0</v>
      </c>
    </row>
    <row r="157" spans="1:80" ht="16.5" hidden="1" customHeight="1">
      <c r="A157" s="117">
        <v>340</v>
      </c>
      <c r="B157" s="154" t="s">
        <v>415</v>
      </c>
      <c r="C157" s="154" t="s">
        <v>905</v>
      </c>
      <c r="D157" s="154" t="s">
        <v>13</v>
      </c>
      <c r="E157" s="154" t="s">
        <v>455</v>
      </c>
      <c r="F157" s="154" t="s">
        <v>456</v>
      </c>
      <c r="G157" s="154" t="s">
        <v>157</v>
      </c>
      <c r="H157" s="146">
        <v>985</v>
      </c>
      <c r="I157" s="147" t="s">
        <v>147</v>
      </c>
      <c r="J157" s="144">
        <v>2</v>
      </c>
      <c r="K157" s="145">
        <f t="shared" si="279"/>
        <v>1</v>
      </c>
      <c r="L157" s="144">
        <f t="shared" si="280"/>
        <v>2</v>
      </c>
      <c r="M157" s="146">
        <v>17</v>
      </c>
      <c r="N157" s="146">
        <f t="shared" si="281"/>
        <v>34</v>
      </c>
      <c r="O157" s="146" t="s">
        <v>137</v>
      </c>
      <c r="P157" s="146" t="s">
        <v>13</v>
      </c>
      <c r="Q157" s="146" t="s">
        <v>148</v>
      </c>
      <c r="R157" s="146"/>
      <c r="S157" s="146"/>
      <c r="T157" s="146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2</v>
      </c>
      <c r="U157" s="146">
        <f t="shared" ca="1" si="282"/>
        <v>0</v>
      </c>
      <c r="V157" s="146">
        <f t="shared" ca="1" si="283"/>
        <v>1</v>
      </c>
      <c r="W157" s="146"/>
      <c r="X157" s="146"/>
      <c r="Y157" s="146"/>
      <c r="Z157" s="146"/>
      <c r="AA157" s="146"/>
      <c r="AB157" s="146"/>
      <c r="AC157" s="146">
        <v>0.6</v>
      </c>
      <c r="AD157" s="117" t="s">
        <v>196</v>
      </c>
      <c r="AE157" s="148"/>
      <c r="AF157" s="146" t="str">
        <f t="shared" si="284"/>
        <v>AMC 2-S3</v>
      </c>
      <c r="AG157" s="146">
        <f t="shared" si="284"/>
        <v>1</v>
      </c>
      <c r="AH157" s="146">
        <f t="shared" si="285"/>
        <v>2</v>
      </c>
      <c r="AI157" s="146">
        <f t="shared" ca="1" si="286"/>
        <v>2</v>
      </c>
      <c r="AJ157" s="146">
        <f t="shared" ca="1" si="287"/>
        <v>0</v>
      </c>
      <c r="AK157" s="146" t="str">
        <f t="shared" si="284"/>
        <v>N/A</v>
      </c>
      <c r="AL157" s="146">
        <f t="shared" si="284"/>
        <v>0</v>
      </c>
      <c r="AM157" s="146">
        <f t="shared" si="288"/>
        <v>0</v>
      </c>
      <c r="AN157" s="146">
        <f t="shared" ca="1" si="289"/>
        <v>0</v>
      </c>
      <c r="AO157" s="146">
        <f t="shared" ca="1" si="290"/>
        <v>0</v>
      </c>
      <c r="AP157" s="146" t="str">
        <f t="shared" si="284"/>
        <v>N/A</v>
      </c>
      <c r="AQ157" s="146">
        <f t="shared" si="284"/>
        <v>0</v>
      </c>
      <c r="AR157" s="146">
        <f t="shared" si="291"/>
        <v>0</v>
      </c>
      <c r="AS157" s="146">
        <f t="shared" ca="1" si="292"/>
        <v>0</v>
      </c>
      <c r="AT157" s="146">
        <f t="shared" ca="1" si="293"/>
        <v>0</v>
      </c>
      <c r="AU157" s="146" t="str">
        <f t="shared" si="284"/>
        <v>N/A</v>
      </c>
      <c r="AV157" s="146">
        <f t="shared" si="284"/>
        <v>0</v>
      </c>
      <c r="AW157" s="146">
        <f t="shared" si="294"/>
        <v>0</v>
      </c>
      <c r="AX157" s="146">
        <f t="shared" ca="1" si="295"/>
        <v>0</v>
      </c>
      <c r="AY157" s="146">
        <f t="shared" ca="1" si="296"/>
        <v>0</v>
      </c>
      <c r="AZ157" s="147"/>
      <c r="BA157" s="144" t="s">
        <v>141</v>
      </c>
      <c r="BB157" s="144" t="s">
        <v>140</v>
      </c>
      <c r="BC157" s="144" t="s">
        <v>140</v>
      </c>
      <c r="BD157" s="144" t="s">
        <v>140</v>
      </c>
      <c r="BE157" s="146">
        <v>0.3</v>
      </c>
      <c r="BF157" s="148"/>
      <c r="BG157" s="146"/>
      <c r="BH157" s="117"/>
      <c r="BI157" s="117"/>
      <c r="BJ157" s="149"/>
      <c r="BK157" s="149"/>
      <c r="BL157" s="117">
        <v>0</v>
      </c>
      <c r="BM157" s="117">
        <v>0</v>
      </c>
      <c r="BN157" s="117">
        <v>0</v>
      </c>
      <c r="BO157" s="117">
        <v>1</v>
      </c>
      <c r="BP157" s="117">
        <v>0</v>
      </c>
      <c r="BQ157" s="117">
        <v>0</v>
      </c>
      <c r="BR157" s="117">
        <v>0</v>
      </c>
      <c r="BS157" s="117" t="s">
        <v>150</v>
      </c>
      <c r="BT157" s="158" t="s">
        <v>200</v>
      </c>
      <c r="BU157" s="117"/>
      <c r="BV157" s="117" t="s">
        <v>201</v>
      </c>
      <c r="BW157" s="117">
        <v>2</v>
      </c>
      <c r="BX157" s="149">
        <v>46201</v>
      </c>
      <c r="BY157" s="117"/>
      <c r="BZ157" s="117"/>
      <c r="CA157" s="117"/>
      <c r="CB157" s="117">
        <f t="shared" si="297"/>
        <v>0</v>
      </c>
    </row>
    <row r="158" spans="1:80" ht="16.5" hidden="1" customHeight="1">
      <c r="A158" s="117">
        <v>341</v>
      </c>
      <c r="B158" s="154" t="s">
        <v>415</v>
      </c>
      <c r="C158" s="154" t="s">
        <v>905</v>
      </c>
      <c r="D158" s="154" t="s">
        <v>13</v>
      </c>
      <c r="E158" s="154" t="s">
        <v>457</v>
      </c>
      <c r="F158" s="154" t="s">
        <v>458</v>
      </c>
      <c r="G158" s="154" t="s">
        <v>157</v>
      </c>
      <c r="H158" s="146">
        <v>1397</v>
      </c>
      <c r="I158" s="147" t="s">
        <v>147</v>
      </c>
      <c r="J158" s="144">
        <v>2</v>
      </c>
      <c r="K158" s="145">
        <f t="shared" si="279"/>
        <v>1</v>
      </c>
      <c r="L158" s="144">
        <f t="shared" si="280"/>
        <v>2</v>
      </c>
      <c r="M158" s="146">
        <v>22.8</v>
      </c>
      <c r="N158" s="146">
        <f t="shared" si="281"/>
        <v>45.6</v>
      </c>
      <c r="O158" s="146" t="s">
        <v>137</v>
      </c>
      <c r="P158" s="146" t="s">
        <v>13</v>
      </c>
      <c r="Q158" s="146" t="s">
        <v>148</v>
      </c>
      <c r="R158" s="146"/>
      <c r="S158" s="146"/>
      <c r="T158" s="146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2</v>
      </c>
      <c r="U158" s="146">
        <f t="shared" ca="1" si="282"/>
        <v>0</v>
      </c>
      <c r="V158" s="146">
        <f t="shared" ca="1" si="283"/>
        <v>1</v>
      </c>
      <c r="W158" s="146"/>
      <c r="X158" s="146"/>
      <c r="Y158" s="146"/>
      <c r="Z158" s="146"/>
      <c r="AA158" s="146"/>
      <c r="AB158" s="146"/>
      <c r="AC158" s="146">
        <v>0.9</v>
      </c>
      <c r="AD158" s="117" t="s">
        <v>196</v>
      </c>
      <c r="AE158" s="148"/>
      <c r="AF158" s="146" t="str">
        <f t="shared" si="284"/>
        <v>AMC 2-S3</v>
      </c>
      <c r="AG158" s="146">
        <f t="shared" si="284"/>
        <v>1</v>
      </c>
      <c r="AH158" s="146">
        <f t="shared" si="285"/>
        <v>2</v>
      </c>
      <c r="AI158" s="146">
        <f t="shared" ca="1" si="286"/>
        <v>2</v>
      </c>
      <c r="AJ158" s="146">
        <f t="shared" ca="1" si="287"/>
        <v>0</v>
      </c>
      <c r="AK158" s="146" t="str">
        <f t="shared" si="284"/>
        <v>N/A</v>
      </c>
      <c r="AL158" s="146">
        <f t="shared" si="284"/>
        <v>0</v>
      </c>
      <c r="AM158" s="146">
        <f t="shared" si="288"/>
        <v>0</v>
      </c>
      <c r="AN158" s="146">
        <f t="shared" ca="1" si="289"/>
        <v>0</v>
      </c>
      <c r="AO158" s="146">
        <f t="shared" ca="1" si="290"/>
        <v>0</v>
      </c>
      <c r="AP158" s="146" t="str">
        <f t="shared" si="284"/>
        <v>N/A</v>
      </c>
      <c r="AQ158" s="146">
        <f t="shared" si="284"/>
        <v>0</v>
      </c>
      <c r="AR158" s="146">
        <f t="shared" si="291"/>
        <v>0</v>
      </c>
      <c r="AS158" s="146">
        <f t="shared" ca="1" si="292"/>
        <v>0</v>
      </c>
      <c r="AT158" s="146">
        <f t="shared" ca="1" si="293"/>
        <v>0</v>
      </c>
      <c r="AU158" s="146" t="str">
        <f t="shared" si="284"/>
        <v>N/A</v>
      </c>
      <c r="AV158" s="146">
        <f t="shared" si="284"/>
        <v>0</v>
      </c>
      <c r="AW158" s="146">
        <f t="shared" si="294"/>
        <v>0</v>
      </c>
      <c r="AX158" s="146">
        <f t="shared" ca="1" si="295"/>
        <v>0</v>
      </c>
      <c r="AY158" s="146">
        <f t="shared" ca="1" si="296"/>
        <v>0</v>
      </c>
      <c r="AZ158" s="147"/>
      <c r="BA158" s="144" t="s">
        <v>141</v>
      </c>
      <c r="BB158" s="144" t="s">
        <v>140</v>
      </c>
      <c r="BC158" s="144" t="s">
        <v>140</v>
      </c>
      <c r="BD158" s="144" t="s">
        <v>140</v>
      </c>
      <c r="BE158" s="146">
        <v>0.4</v>
      </c>
      <c r="BF158" s="148"/>
      <c r="BG158" s="146"/>
      <c r="BH158" s="117"/>
      <c r="BI158" s="117"/>
      <c r="BJ158" s="149"/>
      <c r="BK158" s="149"/>
      <c r="BL158" s="117">
        <v>0</v>
      </c>
      <c r="BM158" s="117">
        <v>0</v>
      </c>
      <c r="BN158" s="117">
        <v>0</v>
      </c>
      <c r="BO158" s="117">
        <v>1</v>
      </c>
      <c r="BP158" s="117">
        <v>0</v>
      </c>
      <c r="BQ158" s="117">
        <v>0</v>
      </c>
      <c r="BR158" s="117">
        <v>0</v>
      </c>
      <c r="BS158" s="117" t="s">
        <v>150</v>
      </c>
      <c r="BT158" s="158" t="s">
        <v>200</v>
      </c>
      <c r="BU158" s="117"/>
      <c r="BV158" s="117" t="s">
        <v>201</v>
      </c>
      <c r="BW158" s="117">
        <v>2</v>
      </c>
      <c r="BX158" s="149">
        <v>46201</v>
      </c>
      <c r="BY158" s="117"/>
      <c r="BZ158" s="117"/>
      <c r="CA158" s="117"/>
      <c r="CB158" s="117">
        <f t="shared" si="297"/>
        <v>0</v>
      </c>
    </row>
    <row r="159" spans="1:80" ht="16.5" hidden="1" customHeight="1">
      <c r="A159" s="117">
        <v>342</v>
      </c>
      <c r="B159" s="154" t="s">
        <v>415</v>
      </c>
      <c r="C159" s="154" t="s">
        <v>905</v>
      </c>
      <c r="D159" s="154" t="s">
        <v>13</v>
      </c>
      <c r="E159" s="154" t="s">
        <v>459</v>
      </c>
      <c r="F159" s="154" t="s">
        <v>460</v>
      </c>
      <c r="G159" s="154" t="s">
        <v>157</v>
      </c>
      <c r="H159" s="146">
        <v>410</v>
      </c>
      <c r="I159" s="147" t="s">
        <v>147</v>
      </c>
      <c r="J159" s="144">
        <v>1</v>
      </c>
      <c r="K159" s="145">
        <f t="shared" si="279"/>
        <v>1</v>
      </c>
      <c r="L159" s="144">
        <f t="shared" si="280"/>
        <v>1</v>
      </c>
      <c r="M159" s="146">
        <v>7.2</v>
      </c>
      <c r="N159" s="146">
        <f t="shared" si="281"/>
        <v>7.2</v>
      </c>
      <c r="O159" s="146" t="s">
        <v>137</v>
      </c>
      <c r="P159" s="146" t="s">
        <v>13</v>
      </c>
      <c r="Q159" s="146" t="s">
        <v>148</v>
      </c>
      <c r="R159" s="146"/>
      <c r="S159" s="146"/>
      <c r="T159" s="146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1</v>
      </c>
      <c r="U159" s="146">
        <f t="shared" ca="1" si="282"/>
        <v>0</v>
      </c>
      <c r="V159" s="146">
        <f t="shared" ca="1" si="283"/>
        <v>1</v>
      </c>
      <c r="W159" s="146"/>
      <c r="X159" s="146"/>
      <c r="Y159" s="146"/>
      <c r="Z159" s="146"/>
      <c r="AA159" s="146"/>
      <c r="AB159" s="146"/>
      <c r="AC159" s="146">
        <v>0.1</v>
      </c>
      <c r="AD159" s="117" t="s">
        <v>196</v>
      </c>
      <c r="AE159" s="148"/>
      <c r="AF159" s="146" t="str">
        <f t="shared" si="284"/>
        <v>AMC 2-S3</v>
      </c>
      <c r="AG159" s="146">
        <f t="shared" si="284"/>
        <v>1</v>
      </c>
      <c r="AH159" s="146">
        <f t="shared" si="285"/>
        <v>1</v>
      </c>
      <c r="AI159" s="146">
        <f t="shared" ca="1" si="286"/>
        <v>1</v>
      </c>
      <c r="AJ159" s="146">
        <f t="shared" ca="1" si="287"/>
        <v>0</v>
      </c>
      <c r="AK159" s="146" t="str">
        <f t="shared" si="284"/>
        <v>N/A</v>
      </c>
      <c r="AL159" s="146">
        <f t="shared" si="284"/>
        <v>0</v>
      </c>
      <c r="AM159" s="146">
        <f t="shared" si="288"/>
        <v>0</v>
      </c>
      <c r="AN159" s="146">
        <f t="shared" ca="1" si="289"/>
        <v>0</v>
      </c>
      <c r="AO159" s="146">
        <f t="shared" ca="1" si="290"/>
        <v>0</v>
      </c>
      <c r="AP159" s="146" t="str">
        <f t="shared" si="284"/>
        <v>N/A</v>
      </c>
      <c r="AQ159" s="146">
        <f t="shared" si="284"/>
        <v>0</v>
      </c>
      <c r="AR159" s="146">
        <f t="shared" si="291"/>
        <v>0</v>
      </c>
      <c r="AS159" s="146">
        <f t="shared" ca="1" si="292"/>
        <v>0</v>
      </c>
      <c r="AT159" s="146">
        <f t="shared" ca="1" si="293"/>
        <v>0</v>
      </c>
      <c r="AU159" s="146" t="str">
        <f t="shared" si="284"/>
        <v>N/A</v>
      </c>
      <c r="AV159" s="146">
        <f t="shared" si="284"/>
        <v>0</v>
      </c>
      <c r="AW159" s="146">
        <f t="shared" si="294"/>
        <v>0</v>
      </c>
      <c r="AX159" s="146">
        <f t="shared" ca="1" si="295"/>
        <v>0</v>
      </c>
      <c r="AY159" s="146">
        <f t="shared" ca="1" si="296"/>
        <v>0</v>
      </c>
      <c r="AZ159" s="147"/>
      <c r="BA159" s="144" t="s">
        <v>141</v>
      </c>
      <c r="BB159" s="144" t="s">
        <v>140</v>
      </c>
      <c r="BC159" s="144" t="s">
        <v>140</v>
      </c>
      <c r="BD159" s="144" t="s">
        <v>140</v>
      </c>
      <c r="BE159" s="146">
        <v>0.1</v>
      </c>
      <c r="BF159" s="148"/>
      <c r="BG159" s="146"/>
      <c r="BH159" s="117"/>
      <c r="BI159" s="117"/>
      <c r="BJ159" s="149"/>
      <c r="BK159" s="149"/>
      <c r="BL159" s="117">
        <v>0</v>
      </c>
      <c r="BM159" s="117">
        <v>0</v>
      </c>
      <c r="BN159" s="117">
        <v>0</v>
      </c>
      <c r="BO159" s="117">
        <v>1</v>
      </c>
      <c r="BP159" s="117">
        <v>0</v>
      </c>
      <c r="BQ159" s="117">
        <v>0</v>
      </c>
      <c r="BR159" s="117">
        <v>0</v>
      </c>
      <c r="BS159" s="117" t="s">
        <v>150</v>
      </c>
      <c r="BT159" s="158" t="s">
        <v>200</v>
      </c>
      <c r="BU159" s="117"/>
      <c r="BV159" s="117" t="s">
        <v>201</v>
      </c>
      <c r="BW159" s="117">
        <v>1</v>
      </c>
      <c r="BX159" s="149">
        <v>46201</v>
      </c>
      <c r="BY159" s="117"/>
      <c r="BZ159" s="117"/>
      <c r="CA159" s="117"/>
      <c r="CB159" s="117">
        <f t="shared" si="297"/>
        <v>0</v>
      </c>
    </row>
    <row r="160" spans="1:80" ht="16.5" hidden="1" customHeight="1">
      <c r="A160" s="117">
        <v>343</v>
      </c>
      <c r="B160" s="154" t="s">
        <v>415</v>
      </c>
      <c r="C160" s="154" t="s">
        <v>905</v>
      </c>
      <c r="D160" s="154" t="s">
        <v>13</v>
      </c>
      <c r="E160" s="154" t="s">
        <v>461</v>
      </c>
      <c r="F160" s="154" t="s">
        <v>462</v>
      </c>
      <c r="G160" s="154" t="s">
        <v>157</v>
      </c>
      <c r="H160" s="146">
        <v>678</v>
      </c>
      <c r="I160" s="147" t="s">
        <v>147</v>
      </c>
      <c r="J160" s="144">
        <v>1</v>
      </c>
      <c r="K160" s="145">
        <f t="shared" si="279"/>
        <v>1</v>
      </c>
      <c r="L160" s="144">
        <f t="shared" si="280"/>
        <v>1</v>
      </c>
      <c r="M160" s="146">
        <v>10.3</v>
      </c>
      <c r="N160" s="146">
        <f t="shared" si="281"/>
        <v>10.3</v>
      </c>
      <c r="O160" s="146" t="s">
        <v>137</v>
      </c>
      <c r="P160" s="146" t="s">
        <v>13</v>
      </c>
      <c r="Q160" s="146" t="s">
        <v>148</v>
      </c>
      <c r="R160" s="146"/>
      <c r="S160" s="146"/>
      <c r="T160" s="146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1</v>
      </c>
      <c r="U160" s="146">
        <f t="shared" ca="1" si="282"/>
        <v>0</v>
      </c>
      <c r="V160" s="146">
        <f t="shared" ca="1" si="283"/>
        <v>1</v>
      </c>
      <c r="W160" s="146"/>
      <c r="X160" s="146"/>
      <c r="Y160" s="146"/>
      <c r="Z160" s="146"/>
      <c r="AA160" s="146"/>
      <c r="AB160" s="146"/>
      <c r="AC160" s="146">
        <v>0.2</v>
      </c>
      <c r="AD160" s="117" t="s">
        <v>196</v>
      </c>
      <c r="AE160" s="148"/>
      <c r="AF160" s="146" t="str">
        <f t="shared" si="284"/>
        <v>AMC 2-S3</v>
      </c>
      <c r="AG160" s="146">
        <f t="shared" si="284"/>
        <v>1</v>
      </c>
      <c r="AH160" s="146">
        <f t="shared" si="285"/>
        <v>1</v>
      </c>
      <c r="AI160" s="146">
        <f t="shared" ca="1" si="286"/>
        <v>1</v>
      </c>
      <c r="AJ160" s="146">
        <f t="shared" ca="1" si="287"/>
        <v>0</v>
      </c>
      <c r="AK160" s="146" t="str">
        <f t="shared" si="284"/>
        <v>N/A</v>
      </c>
      <c r="AL160" s="146">
        <f t="shared" si="284"/>
        <v>0</v>
      </c>
      <c r="AM160" s="146">
        <f t="shared" si="288"/>
        <v>0</v>
      </c>
      <c r="AN160" s="146">
        <f t="shared" ca="1" si="289"/>
        <v>0</v>
      </c>
      <c r="AO160" s="146">
        <f t="shared" ca="1" si="290"/>
        <v>0</v>
      </c>
      <c r="AP160" s="146" t="str">
        <f t="shared" si="284"/>
        <v>N/A</v>
      </c>
      <c r="AQ160" s="146">
        <f t="shared" si="284"/>
        <v>0</v>
      </c>
      <c r="AR160" s="146">
        <f t="shared" si="291"/>
        <v>0</v>
      </c>
      <c r="AS160" s="146">
        <f t="shared" ca="1" si="292"/>
        <v>0</v>
      </c>
      <c r="AT160" s="146">
        <f t="shared" ca="1" si="293"/>
        <v>0</v>
      </c>
      <c r="AU160" s="146" t="str">
        <f t="shared" si="284"/>
        <v>N/A</v>
      </c>
      <c r="AV160" s="146">
        <f t="shared" si="284"/>
        <v>0</v>
      </c>
      <c r="AW160" s="146">
        <f t="shared" si="294"/>
        <v>0</v>
      </c>
      <c r="AX160" s="146">
        <f t="shared" ca="1" si="295"/>
        <v>0</v>
      </c>
      <c r="AY160" s="146">
        <f t="shared" ca="1" si="296"/>
        <v>0</v>
      </c>
      <c r="AZ160" s="147"/>
      <c r="BA160" s="144" t="s">
        <v>141</v>
      </c>
      <c r="BB160" s="144" t="s">
        <v>140</v>
      </c>
      <c r="BC160" s="144" t="s">
        <v>140</v>
      </c>
      <c r="BD160" s="144" t="s">
        <v>140</v>
      </c>
      <c r="BE160" s="146">
        <v>0.2</v>
      </c>
      <c r="BF160" s="148"/>
      <c r="BG160" s="146"/>
      <c r="BH160" s="117"/>
      <c r="BI160" s="117"/>
      <c r="BJ160" s="149"/>
      <c r="BK160" s="149"/>
      <c r="BL160" s="117">
        <v>0</v>
      </c>
      <c r="BM160" s="117">
        <v>0</v>
      </c>
      <c r="BN160" s="117">
        <v>0</v>
      </c>
      <c r="BO160" s="117">
        <v>1</v>
      </c>
      <c r="BP160" s="117">
        <v>0</v>
      </c>
      <c r="BQ160" s="117">
        <v>0</v>
      </c>
      <c r="BR160" s="117">
        <v>0</v>
      </c>
      <c r="BS160" s="117" t="s">
        <v>150</v>
      </c>
      <c r="BT160" s="158" t="s">
        <v>200</v>
      </c>
      <c r="BU160" s="117"/>
      <c r="BV160" s="117" t="s">
        <v>201</v>
      </c>
      <c r="BW160" s="117">
        <v>1</v>
      </c>
      <c r="BX160" s="149">
        <v>46201</v>
      </c>
      <c r="BY160" s="117"/>
      <c r="BZ160" s="117"/>
      <c r="CA160" s="117"/>
      <c r="CB160" s="117">
        <f t="shared" si="297"/>
        <v>0</v>
      </c>
    </row>
    <row r="161" spans="1:80" ht="16.5" hidden="1" customHeight="1">
      <c r="A161" s="117">
        <v>344</v>
      </c>
      <c r="B161" s="154" t="s">
        <v>415</v>
      </c>
      <c r="C161" s="154" t="s">
        <v>905</v>
      </c>
      <c r="D161" s="154" t="s">
        <v>13</v>
      </c>
      <c r="E161" s="154" t="s">
        <v>463</v>
      </c>
      <c r="F161" s="154" t="s">
        <v>464</v>
      </c>
      <c r="G161" s="154" t="s">
        <v>157</v>
      </c>
      <c r="H161" s="146">
        <v>510</v>
      </c>
      <c r="I161" s="147" t="s">
        <v>147</v>
      </c>
      <c r="J161" s="144">
        <v>1</v>
      </c>
      <c r="K161" s="145">
        <f t="shared" si="279"/>
        <v>1</v>
      </c>
      <c r="L161" s="144">
        <f t="shared" si="280"/>
        <v>1</v>
      </c>
      <c r="M161" s="146">
        <v>7.2</v>
      </c>
      <c r="N161" s="146">
        <f t="shared" si="281"/>
        <v>7.2</v>
      </c>
      <c r="O161" s="146" t="s">
        <v>137</v>
      </c>
      <c r="P161" s="146" t="s">
        <v>13</v>
      </c>
      <c r="Q161" s="146" t="s">
        <v>148</v>
      </c>
      <c r="R161" s="146"/>
      <c r="S161" s="146"/>
      <c r="T161" s="146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1</v>
      </c>
      <c r="U161" s="146">
        <f t="shared" ca="1" si="282"/>
        <v>0</v>
      </c>
      <c r="V161" s="146">
        <f t="shared" ca="1" si="283"/>
        <v>1</v>
      </c>
      <c r="W161" s="146"/>
      <c r="X161" s="146"/>
      <c r="Y161" s="146"/>
      <c r="Z161" s="146"/>
      <c r="AA161" s="146"/>
      <c r="AB161" s="146"/>
      <c r="AC161" s="146">
        <v>0.1</v>
      </c>
      <c r="AD161" s="117" t="s">
        <v>196</v>
      </c>
      <c r="AE161" s="148"/>
      <c r="AF161" s="146" t="str">
        <f t="shared" si="284"/>
        <v>AMC 2-S3</v>
      </c>
      <c r="AG161" s="146">
        <f t="shared" si="284"/>
        <v>1</v>
      </c>
      <c r="AH161" s="146">
        <f t="shared" si="285"/>
        <v>1</v>
      </c>
      <c r="AI161" s="146">
        <f t="shared" ca="1" si="286"/>
        <v>1</v>
      </c>
      <c r="AJ161" s="146">
        <f t="shared" ca="1" si="287"/>
        <v>0</v>
      </c>
      <c r="AK161" s="146" t="str">
        <f t="shared" si="284"/>
        <v>N/A</v>
      </c>
      <c r="AL161" s="146">
        <f t="shared" si="284"/>
        <v>0</v>
      </c>
      <c r="AM161" s="146">
        <f t="shared" si="288"/>
        <v>0</v>
      </c>
      <c r="AN161" s="146">
        <f t="shared" ca="1" si="289"/>
        <v>0</v>
      </c>
      <c r="AO161" s="146">
        <f t="shared" ca="1" si="290"/>
        <v>0</v>
      </c>
      <c r="AP161" s="146" t="str">
        <f t="shared" si="284"/>
        <v>N/A</v>
      </c>
      <c r="AQ161" s="146">
        <f t="shared" si="284"/>
        <v>0</v>
      </c>
      <c r="AR161" s="146">
        <f t="shared" si="291"/>
        <v>0</v>
      </c>
      <c r="AS161" s="146">
        <f t="shared" ca="1" si="292"/>
        <v>0</v>
      </c>
      <c r="AT161" s="146">
        <f t="shared" ca="1" si="293"/>
        <v>0</v>
      </c>
      <c r="AU161" s="146" t="str">
        <f t="shared" si="284"/>
        <v>N/A</v>
      </c>
      <c r="AV161" s="146">
        <f t="shared" si="284"/>
        <v>0</v>
      </c>
      <c r="AW161" s="146">
        <f t="shared" si="294"/>
        <v>0</v>
      </c>
      <c r="AX161" s="146">
        <f t="shared" ca="1" si="295"/>
        <v>0</v>
      </c>
      <c r="AY161" s="146">
        <f t="shared" ca="1" si="296"/>
        <v>0</v>
      </c>
      <c r="AZ161" s="147"/>
      <c r="BA161" s="144" t="s">
        <v>141</v>
      </c>
      <c r="BB161" s="144" t="s">
        <v>140</v>
      </c>
      <c r="BC161" s="144" t="s">
        <v>140</v>
      </c>
      <c r="BD161" s="144" t="s">
        <v>140</v>
      </c>
      <c r="BE161" s="146">
        <v>0.1</v>
      </c>
      <c r="BF161" s="148"/>
      <c r="BG161" s="146"/>
      <c r="BH161" s="117"/>
      <c r="BI161" s="117"/>
      <c r="BJ161" s="149"/>
      <c r="BK161" s="149"/>
      <c r="BL161" s="117">
        <v>0</v>
      </c>
      <c r="BM161" s="117">
        <v>0</v>
      </c>
      <c r="BN161" s="117">
        <v>0</v>
      </c>
      <c r="BO161" s="117">
        <v>1</v>
      </c>
      <c r="BP161" s="117">
        <v>0</v>
      </c>
      <c r="BQ161" s="117">
        <v>0</v>
      </c>
      <c r="BR161" s="117">
        <v>0</v>
      </c>
      <c r="BS161" s="117" t="s">
        <v>150</v>
      </c>
      <c r="BT161" s="158" t="s">
        <v>200</v>
      </c>
      <c r="BU161" s="117"/>
      <c r="BV161" s="117" t="s">
        <v>201</v>
      </c>
      <c r="BW161" s="117">
        <v>1</v>
      </c>
      <c r="BX161" s="149">
        <v>46201</v>
      </c>
      <c r="BY161" s="117"/>
      <c r="BZ161" s="117"/>
      <c r="CA161" s="117"/>
      <c r="CB161" s="117">
        <f t="shared" si="297"/>
        <v>0</v>
      </c>
    </row>
    <row r="162" spans="1:80" ht="16.5" hidden="1" customHeight="1">
      <c r="A162" s="117">
        <v>345</v>
      </c>
      <c r="B162" s="154" t="s">
        <v>415</v>
      </c>
      <c r="C162" s="154" t="s">
        <v>905</v>
      </c>
      <c r="D162" s="154" t="s">
        <v>13</v>
      </c>
      <c r="E162" s="154" t="s">
        <v>465</v>
      </c>
      <c r="F162" s="154" t="s">
        <v>466</v>
      </c>
      <c r="G162" s="154" t="s">
        <v>157</v>
      </c>
      <c r="H162" s="146">
        <v>1761</v>
      </c>
      <c r="I162" s="147" t="s">
        <v>147</v>
      </c>
      <c r="J162" s="144">
        <v>1</v>
      </c>
      <c r="K162" s="145">
        <f t="shared" si="279"/>
        <v>1</v>
      </c>
      <c r="L162" s="144">
        <f t="shared" si="280"/>
        <v>1</v>
      </c>
      <c r="M162" s="146">
        <v>31.1</v>
      </c>
      <c r="N162" s="146">
        <f t="shared" si="281"/>
        <v>31.1</v>
      </c>
      <c r="O162" s="146" t="s">
        <v>137</v>
      </c>
      <c r="P162" s="146" t="s">
        <v>13</v>
      </c>
      <c r="Q162" s="146" t="s">
        <v>148</v>
      </c>
      <c r="R162" s="146"/>
      <c r="S162" s="146"/>
      <c r="T162" s="146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1</v>
      </c>
      <c r="U162" s="146">
        <f t="shared" ca="1" si="282"/>
        <v>0</v>
      </c>
      <c r="V162" s="146">
        <f t="shared" ca="1" si="283"/>
        <v>1</v>
      </c>
      <c r="W162" s="146"/>
      <c r="X162" s="146"/>
      <c r="Y162" s="146"/>
      <c r="Z162" s="146"/>
      <c r="AA162" s="146"/>
      <c r="AB162" s="146"/>
      <c r="AC162" s="146">
        <v>0.6</v>
      </c>
      <c r="AD162" s="117" t="s">
        <v>196</v>
      </c>
      <c r="AE162" s="148"/>
      <c r="AF162" s="146" t="str">
        <f t="shared" si="284"/>
        <v>AMC 2-S3</v>
      </c>
      <c r="AG162" s="146">
        <f t="shared" si="284"/>
        <v>1</v>
      </c>
      <c r="AH162" s="146">
        <f t="shared" si="285"/>
        <v>1</v>
      </c>
      <c r="AI162" s="146">
        <f t="shared" ca="1" si="286"/>
        <v>1</v>
      </c>
      <c r="AJ162" s="146">
        <f t="shared" ca="1" si="287"/>
        <v>0</v>
      </c>
      <c r="AK162" s="146" t="str">
        <f t="shared" si="284"/>
        <v>N/A</v>
      </c>
      <c r="AL162" s="146">
        <f t="shared" si="284"/>
        <v>0</v>
      </c>
      <c r="AM162" s="146">
        <f t="shared" si="288"/>
        <v>0</v>
      </c>
      <c r="AN162" s="146">
        <f t="shared" ca="1" si="289"/>
        <v>0</v>
      </c>
      <c r="AO162" s="146">
        <f t="shared" ca="1" si="290"/>
        <v>0</v>
      </c>
      <c r="AP162" s="146" t="str">
        <f t="shared" si="284"/>
        <v>N/A</v>
      </c>
      <c r="AQ162" s="146">
        <f t="shared" si="284"/>
        <v>0</v>
      </c>
      <c r="AR162" s="146">
        <f t="shared" si="291"/>
        <v>0</v>
      </c>
      <c r="AS162" s="146">
        <f t="shared" ca="1" si="292"/>
        <v>0</v>
      </c>
      <c r="AT162" s="146">
        <f t="shared" ca="1" si="293"/>
        <v>0</v>
      </c>
      <c r="AU162" s="146" t="str">
        <f t="shared" si="284"/>
        <v>N/A</v>
      </c>
      <c r="AV162" s="146">
        <f t="shared" si="284"/>
        <v>0</v>
      </c>
      <c r="AW162" s="146">
        <f t="shared" si="294"/>
        <v>0</v>
      </c>
      <c r="AX162" s="146">
        <f t="shared" ca="1" si="295"/>
        <v>0</v>
      </c>
      <c r="AY162" s="146">
        <f t="shared" ca="1" si="296"/>
        <v>0</v>
      </c>
      <c r="AZ162" s="147"/>
      <c r="BA162" s="144" t="s">
        <v>141</v>
      </c>
      <c r="BB162" s="144" t="s">
        <v>140</v>
      </c>
      <c r="BC162" s="144" t="s">
        <v>140</v>
      </c>
      <c r="BD162" s="144" t="s">
        <v>140</v>
      </c>
      <c r="BE162" s="146">
        <v>0.6</v>
      </c>
      <c r="BF162" s="148"/>
      <c r="BG162" s="146"/>
      <c r="BH162" s="117"/>
      <c r="BI162" s="117"/>
      <c r="BJ162" s="149"/>
      <c r="BK162" s="149"/>
      <c r="BL162" s="117">
        <v>0</v>
      </c>
      <c r="BM162" s="117">
        <v>0</v>
      </c>
      <c r="BN162" s="117">
        <v>0</v>
      </c>
      <c r="BO162" s="117">
        <v>0</v>
      </c>
      <c r="BP162" s="117">
        <v>0</v>
      </c>
      <c r="BQ162" s="117">
        <v>0</v>
      </c>
      <c r="BR162" s="117">
        <v>0</v>
      </c>
      <c r="BS162" s="117" t="s">
        <v>150</v>
      </c>
      <c r="BT162" s="158" t="s">
        <v>200</v>
      </c>
      <c r="BU162" s="117"/>
      <c r="BV162" s="117" t="s">
        <v>201</v>
      </c>
      <c r="BW162" s="117">
        <v>1</v>
      </c>
      <c r="BX162" s="149">
        <v>46201</v>
      </c>
      <c r="BY162" s="117"/>
      <c r="BZ162" s="117"/>
      <c r="CA162" s="117"/>
      <c r="CB162" s="117">
        <f t="shared" si="297"/>
        <v>0</v>
      </c>
    </row>
    <row r="163" spans="1:80" ht="16.5" hidden="1" customHeight="1">
      <c r="A163" s="117">
        <v>346</v>
      </c>
      <c r="B163" s="154" t="s">
        <v>415</v>
      </c>
      <c r="C163" s="154" t="s">
        <v>905</v>
      </c>
      <c r="D163" s="154" t="s">
        <v>13</v>
      </c>
      <c r="E163" s="154" t="s">
        <v>467</v>
      </c>
      <c r="F163" s="154" t="s">
        <v>468</v>
      </c>
      <c r="G163" s="154" t="s">
        <v>469</v>
      </c>
      <c r="H163" s="146">
        <v>383</v>
      </c>
      <c r="I163" s="147" t="s">
        <v>147</v>
      </c>
      <c r="J163" s="144">
        <v>1</v>
      </c>
      <c r="K163" s="145">
        <f t="shared" si="279"/>
        <v>1</v>
      </c>
      <c r="L163" s="144">
        <f t="shared" si="280"/>
        <v>1</v>
      </c>
      <c r="M163" s="146">
        <v>10.1</v>
      </c>
      <c r="N163" s="146">
        <f t="shared" si="281"/>
        <v>10.1</v>
      </c>
      <c r="O163" s="146" t="s">
        <v>137</v>
      </c>
      <c r="P163" s="146" t="s">
        <v>13</v>
      </c>
      <c r="Q163" s="146" t="s">
        <v>148</v>
      </c>
      <c r="R163" s="146"/>
      <c r="S163" s="146"/>
      <c r="T163" s="146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1</v>
      </c>
      <c r="U163" s="146">
        <f t="shared" ca="1" si="282"/>
        <v>0</v>
      </c>
      <c r="V163" s="146">
        <f t="shared" ca="1" si="283"/>
        <v>1</v>
      </c>
      <c r="W163" s="146"/>
      <c r="X163" s="146"/>
      <c r="Y163" s="146"/>
      <c r="Z163" s="146"/>
      <c r="AA163" s="146"/>
      <c r="AB163" s="146"/>
      <c r="AC163" s="146">
        <v>0.2</v>
      </c>
      <c r="AD163" s="117" t="s">
        <v>196</v>
      </c>
      <c r="AE163" s="148"/>
      <c r="AF163" s="146" t="str">
        <f t="shared" si="284"/>
        <v>AMC 2-S3</v>
      </c>
      <c r="AG163" s="146">
        <f t="shared" si="284"/>
        <v>1</v>
      </c>
      <c r="AH163" s="146">
        <f t="shared" si="285"/>
        <v>1</v>
      </c>
      <c r="AI163" s="146">
        <f t="shared" ca="1" si="286"/>
        <v>1</v>
      </c>
      <c r="AJ163" s="146">
        <f t="shared" ca="1" si="287"/>
        <v>0</v>
      </c>
      <c r="AK163" s="146" t="str">
        <f t="shared" si="284"/>
        <v>N/A</v>
      </c>
      <c r="AL163" s="146">
        <f t="shared" si="284"/>
        <v>0</v>
      </c>
      <c r="AM163" s="146">
        <f t="shared" si="288"/>
        <v>0</v>
      </c>
      <c r="AN163" s="146">
        <f t="shared" ca="1" si="289"/>
        <v>0</v>
      </c>
      <c r="AO163" s="146">
        <f t="shared" ca="1" si="290"/>
        <v>0</v>
      </c>
      <c r="AP163" s="146" t="str">
        <f t="shared" si="284"/>
        <v>N/A</v>
      </c>
      <c r="AQ163" s="146">
        <f t="shared" si="284"/>
        <v>0</v>
      </c>
      <c r="AR163" s="146">
        <f t="shared" si="291"/>
        <v>0</v>
      </c>
      <c r="AS163" s="146">
        <f t="shared" ca="1" si="292"/>
        <v>0</v>
      </c>
      <c r="AT163" s="146">
        <f t="shared" ca="1" si="293"/>
        <v>0</v>
      </c>
      <c r="AU163" s="146" t="str">
        <f t="shared" si="284"/>
        <v>N/A</v>
      </c>
      <c r="AV163" s="146">
        <f t="shared" si="284"/>
        <v>0</v>
      </c>
      <c r="AW163" s="146">
        <f t="shared" si="294"/>
        <v>0</v>
      </c>
      <c r="AX163" s="146">
        <f t="shared" ca="1" si="295"/>
        <v>0</v>
      </c>
      <c r="AY163" s="146">
        <f t="shared" ca="1" si="296"/>
        <v>0</v>
      </c>
      <c r="AZ163" s="147"/>
      <c r="BA163" s="144" t="s">
        <v>141</v>
      </c>
      <c r="BB163" s="144" t="s">
        <v>140</v>
      </c>
      <c r="BC163" s="144" t="s">
        <v>140</v>
      </c>
      <c r="BD163" s="144" t="s">
        <v>140</v>
      </c>
      <c r="BE163" s="146">
        <v>0.2</v>
      </c>
      <c r="BF163" s="148"/>
      <c r="BG163" s="146"/>
      <c r="BH163" s="117"/>
      <c r="BI163" s="117"/>
      <c r="BJ163" s="149"/>
      <c r="BK163" s="149"/>
      <c r="BL163" s="117">
        <v>0</v>
      </c>
      <c r="BM163" s="117">
        <v>0</v>
      </c>
      <c r="BN163" s="117">
        <v>0</v>
      </c>
      <c r="BO163" s="117">
        <v>0</v>
      </c>
      <c r="BP163" s="117">
        <v>0</v>
      </c>
      <c r="BQ163" s="117">
        <v>0</v>
      </c>
      <c r="BR163" s="117">
        <v>0</v>
      </c>
      <c r="BS163" s="117" t="s">
        <v>150</v>
      </c>
      <c r="BT163" s="158" t="s">
        <v>200</v>
      </c>
      <c r="BU163" s="117"/>
      <c r="BV163" s="117" t="s">
        <v>201</v>
      </c>
      <c r="BW163" s="117">
        <v>1</v>
      </c>
      <c r="BX163" s="149">
        <v>46201</v>
      </c>
      <c r="BY163" s="117"/>
      <c r="BZ163" s="117"/>
      <c r="CA163" s="117"/>
      <c r="CB163" s="117">
        <f t="shared" si="297"/>
        <v>0</v>
      </c>
    </row>
    <row r="164" spans="1:80" ht="16.5" hidden="1" customHeight="1">
      <c r="A164" s="117">
        <v>347</v>
      </c>
      <c r="B164" s="154" t="s">
        <v>415</v>
      </c>
      <c r="C164" s="154" t="s">
        <v>905</v>
      </c>
      <c r="D164" s="154" t="s">
        <v>13</v>
      </c>
      <c r="E164" s="154" t="s">
        <v>470</v>
      </c>
      <c r="F164" s="154" t="s">
        <v>471</v>
      </c>
      <c r="G164" s="154" t="s">
        <v>472</v>
      </c>
      <c r="H164" s="146">
        <v>3213</v>
      </c>
      <c r="I164" s="147" t="s">
        <v>147</v>
      </c>
      <c r="J164" s="144">
        <v>2</v>
      </c>
      <c r="K164" s="145">
        <f t="shared" si="279"/>
        <v>1</v>
      </c>
      <c r="L164" s="144">
        <f t="shared" si="280"/>
        <v>2</v>
      </c>
      <c r="M164" s="146">
        <v>72.7</v>
      </c>
      <c r="N164" s="146">
        <f t="shared" si="281"/>
        <v>145.4</v>
      </c>
      <c r="O164" s="146" t="s">
        <v>137</v>
      </c>
      <c r="P164" s="146" t="s">
        <v>13</v>
      </c>
      <c r="Q164" s="146" t="s">
        <v>148</v>
      </c>
      <c r="R164" s="146"/>
      <c r="S164" s="146"/>
      <c r="T164" s="146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2</v>
      </c>
      <c r="U164" s="146">
        <f t="shared" ca="1" si="282"/>
        <v>0</v>
      </c>
      <c r="V164" s="146">
        <f t="shared" ca="1" si="283"/>
        <v>1</v>
      </c>
      <c r="W164" s="146"/>
      <c r="X164" s="146"/>
      <c r="Y164" s="146"/>
      <c r="Z164" s="146"/>
      <c r="AA164" s="146"/>
      <c r="AB164" s="146"/>
      <c r="AC164" s="146">
        <v>2.1</v>
      </c>
      <c r="AD164" s="117" t="s">
        <v>196</v>
      </c>
      <c r="AE164" s="148"/>
      <c r="AF164" s="146" t="str">
        <f t="shared" si="284"/>
        <v>AMC 2-S3</v>
      </c>
      <c r="AG164" s="146">
        <f t="shared" si="284"/>
        <v>1</v>
      </c>
      <c r="AH164" s="146">
        <f t="shared" si="285"/>
        <v>2</v>
      </c>
      <c r="AI164" s="146">
        <f t="shared" ca="1" si="286"/>
        <v>2</v>
      </c>
      <c r="AJ164" s="146">
        <f t="shared" ca="1" si="287"/>
        <v>0</v>
      </c>
      <c r="AK164" s="146" t="str">
        <f t="shared" si="284"/>
        <v>N/A</v>
      </c>
      <c r="AL164" s="146">
        <f t="shared" si="284"/>
        <v>0</v>
      </c>
      <c r="AM164" s="146">
        <f t="shared" si="288"/>
        <v>0</v>
      </c>
      <c r="AN164" s="146">
        <f t="shared" ca="1" si="289"/>
        <v>0</v>
      </c>
      <c r="AO164" s="146">
        <f t="shared" ca="1" si="290"/>
        <v>0</v>
      </c>
      <c r="AP164" s="146" t="str">
        <f t="shared" si="284"/>
        <v>N/A</v>
      </c>
      <c r="AQ164" s="146">
        <f t="shared" si="284"/>
        <v>0</v>
      </c>
      <c r="AR164" s="146">
        <f t="shared" si="291"/>
        <v>0</v>
      </c>
      <c r="AS164" s="146">
        <f t="shared" ca="1" si="292"/>
        <v>0</v>
      </c>
      <c r="AT164" s="146">
        <f t="shared" ca="1" si="293"/>
        <v>0</v>
      </c>
      <c r="AU164" s="146" t="str">
        <f t="shared" si="284"/>
        <v>N/A</v>
      </c>
      <c r="AV164" s="146">
        <f t="shared" si="284"/>
        <v>0</v>
      </c>
      <c r="AW164" s="146">
        <f t="shared" si="294"/>
        <v>0</v>
      </c>
      <c r="AX164" s="146">
        <f t="shared" ca="1" si="295"/>
        <v>0</v>
      </c>
      <c r="AY164" s="146">
        <f t="shared" ca="1" si="296"/>
        <v>0</v>
      </c>
      <c r="AZ164" s="147"/>
      <c r="BA164" s="144" t="s">
        <v>141</v>
      </c>
      <c r="BB164" s="144" t="s">
        <v>140</v>
      </c>
      <c r="BC164" s="144" t="s">
        <v>140</v>
      </c>
      <c r="BD164" s="144" t="s">
        <v>140</v>
      </c>
      <c r="BE164" s="146">
        <v>1.1000000000000001</v>
      </c>
      <c r="BF164" s="148"/>
      <c r="BG164" s="146"/>
      <c r="BH164" s="117"/>
      <c r="BI164" s="117"/>
      <c r="BJ164" s="149"/>
      <c r="BK164" s="149"/>
      <c r="BL164" s="117">
        <v>0</v>
      </c>
      <c r="BM164" s="117">
        <v>0</v>
      </c>
      <c r="BN164" s="117">
        <v>0</v>
      </c>
      <c r="BO164" s="117">
        <v>0</v>
      </c>
      <c r="BP164" s="117">
        <v>0</v>
      </c>
      <c r="BQ164" s="117">
        <v>0</v>
      </c>
      <c r="BR164" s="117">
        <v>0</v>
      </c>
      <c r="BS164" s="117" t="s">
        <v>150</v>
      </c>
      <c r="BT164" s="167" t="s">
        <v>319</v>
      </c>
      <c r="BU164" s="141"/>
      <c r="BV164" s="141" t="s">
        <v>320</v>
      </c>
      <c r="BW164" s="141">
        <v>2</v>
      </c>
      <c r="BX164" s="153">
        <v>46202</v>
      </c>
      <c r="BY164" s="117"/>
      <c r="BZ164" s="117"/>
      <c r="CA164" s="117"/>
      <c r="CB164" s="117">
        <f t="shared" si="297"/>
        <v>0</v>
      </c>
    </row>
    <row r="165" spans="1:80" ht="16.5" hidden="1" customHeight="1">
      <c r="A165" s="117">
        <v>348</v>
      </c>
      <c r="B165" s="154" t="s">
        <v>415</v>
      </c>
      <c r="C165" s="154" t="s">
        <v>905</v>
      </c>
      <c r="D165" s="154" t="s">
        <v>13</v>
      </c>
      <c r="E165" s="154" t="s">
        <v>473</v>
      </c>
      <c r="F165" s="154" t="s">
        <v>474</v>
      </c>
      <c r="G165" s="154" t="s">
        <v>472</v>
      </c>
      <c r="H165" s="146">
        <v>3252</v>
      </c>
      <c r="I165" s="147" t="s">
        <v>147</v>
      </c>
      <c r="J165" s="144">
        <v>2</v>
      </c>
      <c r="K165" s="145">
        <f t="shared" si="279"/>
        <v>1</v>
      </c>
      <c r="L165" s="144">
        <f t="shared" si="280"/>
        <v>2</v>
      </c>
      <c r="M165" s="146">
        <v>73</v>
      </c>
      <c r="N165" s="146">
        <f t="shared" si="281"/>
        <v>146</v>
      </c>
      <c r="O165" s="146" t="s">
        <v>137</v>
      </c>
      <c r="P165" s="146" t="s">
        <v>13</v>
      </c>
      <c r="Q165" s="146" t="s">
        <v>148</v>
      </c>
      <c r="R165" s="146"/>
      <c r="S165" s="146"/>
      <c r="T165" s="146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2</v>
      </c>
      <c r="U165" s="146">
        <f t="shared" ca="1" si="282"/>
        <v>0</v>
      </c>
      <c r="V165" s="146">
        <f t="shared" ca="1" si="283"/>
        <v>1</v>
      </c>
      <c r="W165" s="146"/>
      <c r="X165" s="146"/>
      <c r="Y165" s="146"/>
      <c r="Z165" s="146"/>
      <c r="AA165" s="146"/>
      <c r="AB165" s="146"/>
      <c r="AC165" s="146">
        <v>2.1</v>
      </c>
      <c r="AD165" s="117" t="s">
        <v>196</v>
      </c>
      <c r="AE165" s="148"/>
      <c r="AF165" s="146" t="str">
        <f t="shared" si="284"/>
        <v>AMC 2-S3</v>
      </c>
      <c r="AG165" s="146">
        <f t="shared" si="284"/>
        <v>1</v>
      </c>
      <c r="AH165" s="146">
        <f t="shared" si="285"/>
        <v>2</v>
      </c>
      <c r="AI165" s="146">
        <f t="shared" ca="1" si="286"/>
        <v>2</v>
      </c>
      <c r="AJ165" s="146">
        <f t="shared" ca="1" si="287"/>
        <v>0</v>
      </c>
      <c r="AK165" s="146" t="str">
        <f t="shared" si="284"/>
        <v>N/A</v>
      </c>
      <c r="AL165" s="146">
        <f t="shared" si="284"/>
        <v>0</v>
      </c>
      <c r="AM165" s="146">
        <f t="shared" si="288"/>
        <v>0</v>
      </c>
      <c r="AN165" s="146">
        <f t="shared" ca="1" si="289"/>
        <v>0</v>
      </c>
      <c r="AO165" s="146">
        <f t="shared" ca="1" si="290"/>
        <v>0</v>
      </c>
      <c r="AP165" s="146" t="str">
        <f t="shared" si="284"/>
        <v>N/A</v>
      </c>
      <c r="AQ165" s="146">
        <f t="shared" si="284"/>
        <v>0</v>
      </c>
      <c r="AR165" s="146">
        <f t="shared" si="291"/>
        <v>0</v>
      </c>
      <c r="AS165" s="146">
        <f t="shared" ca="1" si="292"/>
        <v>0</v>
      </c>
      <c r="AT165" s="146">
        <f t="shared" ca="1" si="293"/>
        <v>0</v>
      </c>
      <c r="AU165" s="146" t="str">
        <f t="shared" si="284"/>
        <v>N/A</v>
      </c>
      <c r="AV165" s="146">
        <f t="shared" si="284"/>
        <v>0</v>
      </c>
      <c r="AW165" s="146">
        <f t="shared" si="294"/>
        <v>0</v>
      </c>
      <c r="AX165" s="146">
        <f t="shared" ca="1" si="295"/>
        <v>0</v>
      </c>
      <c r="AY165" s="146">
        <f t="shared" ca="1" si="296"/>
        <v>0</v>
      </c>
      <c r="AZ165" s="147"/>
      <c r="BA165" s="144" t="s">
        <v>141</v>
      </c>
      <c r="BB165" s="144" t="s">
        <v>140</v>
      </c>
      <c r="BC165" s="144" t="s">
        <v>140</v>
      </c>
      <c r="BD165" s="144" t="s">
        <v>140</v>
      </c>
      <c r="BE165" s="146">
        <v>1.1000000000000001</v>
      </c>
      <c r="BF165" s="148"/>
      <c r="BG165" s="146"/>
      <c r="BH165" s="117"/>
      <c r="BI165" s="117"/>
      <c r="BJ165" s="149"/>
      <c r="BK165" s="149"/>
      <c r="BL165" s="117">
        <v>0</v>
      </c>
      <c r="BM165" s="117">
        <v>0</v>
      </c>
      <c r="BN165" s="117">
        <v>0</v>
      </c>
      <c r="BO165" s="117">
        <v>0</v>
      </c>
      <c r="BP165" s="117">
        <v>0</v>
      </c>
      <c r="BQ165" s="117">
        <v>0</v>
      </c>
      <c r="BR165" s="117">
        <v>0</v>
      </c>
      <c r="BS165" s="117" t="s">
        <v>150</v>
      </c>
      <c r="BT165" s="167" t="s">
        <v>319</v>
      </c>
      <c r="BU165" s="141"/>
      <c r="BV165" s="141" t="s">
        <v>320</v>
      </c>
      <c r="BW165" s="141">
        <v>2</v>
      </c>
      <c r="BX165" s="153">
        <v>46202</v>
      </c>
      <c r="BY165" s="117"/>
      <c r="BZ165" s="117"/>
      <c r="CA165" s="117"/>
      <c r="CB165" s="117">
        <f t="shared" si="297"/>
        <v>0</v>
      </c>
    </row>
    <row r="166" spans="1:80" ht="16.5" hidden="1" customHeight="1">
      <c r="A166" s="117">
        <v>349</v>
      </c>
      <c r="B166" s="154" t="s">
        <v>415</v>
      </c>
      <c r="C166" s="154" t="s">
        <v>905</v>
      </c>
      <c r="D166" s="154" t="s">
        <v>13</v>
      </c>
      <c r="E166" s="154" t="s">
        <v>475</v>
      </c>
      <c r="F166" s="154" t="s">
        <v>476</v>
      </c>
      <c r="G166" s="154" t="s">
        <v>160</v>
      </c>
      <c r="H166" s="146">
        <v>9902</v>
      </c>
      <c r="I166" s="147" t="s">
        <v>147</v>
      </c>
      <c r="J166" s="144">
        <v>1</v>
      </c>
      <c r="K166" s="145">
        <f t="shared" si="279"/>
        <v>1</v>
      </c>
      <c r="L166" s="144">
        <f t="shared" si="280"/>
        <v>1</v>
      </c>
      <c r="M166" s="146">
        <v>195.7</v>
      </c>
      <c r="N166" s="146">
        <f t="shared" si="281"/>
        <v>195.7</v>
      </c>
      <c r="O166" s="146" t="s">
        <v>137</v>
      </c>
      <c r="P166" s="146" t="s">
        <v>13</v>
      </c>
      <c r="Q166" s="146" t="s">
        <v>148</v>
      </c>
      <c r="R166" s="146"/>
      <c r="S166" s="146"/>
      <c r="T166" s="146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1</v>
      </c>
      <c r="U166" s="146">
        <f t="shared" ca="1" si="282"/>
        <v>0</v>
      </c>
      <c r="V166" s="146">
        <f t="shared" ca="1" si="283"/>
        <v>1</v>
      </c>
      <c r="W166" s="146"/>
      <c r="X166" s="146"/>
      <c r="Y166" s="146"/>
      <c r="Z166" s="146"/>
      <c r="AA166" s="146"/>
      <c r="AB166" s="146"/>
      <c r="AC166" s="146">
        <v>3.6</v>
      </c>
      <c r="AD166" s="117" t="s">
        <v>196</v>
      </c>
      <c r="AE166" s="148"/>
      <c r="AF166" s="146" t="str">
        <f t="shared" si="284"/>
        <v>AMC 2-S3</v>
      </c>
      <c r="AG166" s="146">
        <f t="shared" si="284"/>
        <v>1</v>
      </c>
      <c r="AH166" s="146">
        <f t="shared" si="285"/>
        <v>1</v>
      </c>
      <c r="AI166" s="146">
        <f t="shared" ca="1" si="286"/>
        <v>1</v>
      </c>
      <c r="AJ166" s="146">
        <f t="shared" ca="1" si="287"/>
        <v>0</v>
      </c>
      <c r="AK166" s="146" t="str">
        <f t="shared" si="284"/>
        <v>N/A</v>
      </c>
      <c r="AL166" s="146">
        <f t="shared" si="284"/>
        <v>0</v>
      </c>
      <c r="AM166" s="146">
        <f t="shared" si="288"/>
        <v>0</v>
      </c>
      <c r="AN166" s="146">
        <f t="shared" ca="1" si="289"/>
        <v>0</v>
      </c>
      <c r="AO166" s="146">
        <f t="shared" ca="1" si="290"/>
        <v>0</v>
      </c>
      <c r="AP166" s="146" t="str">
        <f t="shared" si="284"/>
        <v>N/A</v>
      </c>
      <c r="AQ166" s="146">
        <f t="shared" si="284"/>
        <v>0</v>
      </c>
      <c r="AR166" s="146">
        <f t="shared" si="291"/>
        <v>0</v>
      </c>
      <c r="AS166" s="146">
        <f t="shared" ca="1" si="292"/>
        <v>0</v>
      </c>
      <c r="AT166" s="146">
        <f t="shared" ca="1" si="293"/>
        <v>0</v>
      </c>
      <c r="AU166" s="146" t="str">
        <f t="shared" si="284"/>
        <v>N/A</v>
      </c>
      <c r="AV166" s="146">
        <f t="shared" si="284"/>
        <v>0</v>
      </c>
      <c r="AW166" s="146">
        <f t="shared" si="294"/>
        <v>0</v>
      </c>
      <c r="AX166" s="146">
        <f t="shared" ca="1" si="295"/>
        <v>0</v>
      </c>
      <c r="AY166" s="146">
        <f t="shared" ca="1" si="296"/>
        <v>0</v>
      </c>
      <c r="AZ166" s="147"/>
      <c r="BA166" s="144" t="s">
        <v>141</v>
      </c>
      <c r="BB166" s="144" t="s">
        <v>140</v>
      </c>
      <c r="BC166" s="144" t="s">
        <v>140</v>
      </c>
      <c r="BD166" s="144" t="s">
        <v>140</v>
      </c>
      <c r="BE166" s="146">
        <v>3.6</v>
      </c>
      <c r="BF166" s="148"/>
      <c r="BG166" s="146"/>
      <c r="BH166" s="117"/>
      <c r="BI166" s="117"/>
      <c r="BJ166" s="149"/>
      <c r="BK166" s="149"/>
      <c r="BL166" s="117">
        <v>0</v>
      </c>
      <c r="BM166" s="117">
        <v>0</v>
      </c>
      <c r="BN166" s="117">
        <v>0</v>
      </c>
      <c r="BO166" s="117">
        <v>0</v>
      </c>
      <c r="BP166" s="117">
        <v>0</v>
      </c>
      <c r="BQ166" s="117">
        <v>0</v>
      </c>
      <c r="BR166" s="117">
        <v>0</v>
      </c>
      <c r="BS166" s="117" t="s">
        <v>150</v>
      </c>
      <c r="BT166" s="117"/>
      <c r="BU166" s="155"/>
      <c r="BV166" s="117" t="s">
        <v>57</v>
      </c>
      <c r="BW166" s="117">
        <v>1</v>
      </c>
      <c r="BX166" s="149"/>
      <c r="BY166" s="117"/>
      <c r="BZ166" s="117"/>
      <c r="CA166" s="117"/>
      <c r="CB166" s="117">
        <f t="shared" si="297"/>
        <v>0</v>
      </c>
    </row>
    <row r="167" spans="1:80" ht="16.5" hidden="1" customHeight="1">
      <c r="A167" s="133">
        <v>350</v>
      </c>
      <c r="B167" s="156" t="s">
        <v>477</v>
      </c>
      <c r="C167" s="156" t="s">
        <v>906</v>
      </c>
      <c r="D167" s="156"/>
      <c r="E167" s="156" t="s">
        <v>136</v>
      </c>
      <c r="F167" s="156"/>
      <c r="G167" s="156"/>
      <c r="H167" s="157"/>
      <c r="I167" s="159"/>
      <c r="J167" s="160" t="s">
        <v>136</v>
      </c>
      <c r="K167" s="138">
        <f>+AG167+AL167+AQ167+AV167</f>
        <v>2</v>
      </c>
      <c r="L167" s="160" t="s">
        <v>136</v>
      </c>
      <c r="M167" s="157"/>
      <c r="N167" s="157">
        <v>25685</v>
      </c>
      <c r="O167" s="157" t="s">
        <v>137</v>
      </c>
      <c r="P167" s="157"/>
      <c r="Q167" s="157"/>
      <c r="R167" s="157"/>
      <c r="S167" s="157"/>
      <c r="T167" s="157"/>
      <c r="U167" s="157"/>
      <c r="V167" s="157"/>
      <c r="W167" s="135">
        <f ca="1">_xlfn.MINIFS(V:V,C:C,C167,AE:AE,"",AB:AB,"")</f>
        <v>2</v>
      </c>
      <c r="X167" s="135">
        <f ca="1">SUMIFS(T:T,C:C,C167,AE:AE,"")/SUMIFS(L:L,C:C,C167,AE:AE,"",AB:AB,"")</f>
        <v>1</v>
      </c>
      <c r="Y167" s="157"/>
      <c r="Z167" s="157"/>
      <c r="AA167" s="157"/>
      <c r="AB167" s="157"/>
      <c r="AC167" s="157">
        <v>667</v>
      </c>
      <c r="AD167" s="161" t="s">
        <v>479</v>
      </c>
      <c r="AE167" s="162" t="s">
        <v>143</v>
      </c>
      <c r="AF167" s="157" t="s">
        <v>138</v>
      </c>
      <c r="AG167" s="157">
        <v>0</v>
      </c>
      <c r="AH167" s="157"/>
      <c r="AI167" s="157"/>
      <c r="AJ167" s="157"/>
      <c r="AK167" s="157" t="s">
        <v>250</v>
      </c>
      <c r="AL167" s="157">
        <v>2</v>
      </c>
      <c r="AM167" s="157"/>
      <c r="AN167" s="157"/>
      <c r="AO167" s="157"/>
      <c r="AP167" s="157" t="s">
        <v>138</v>
      </c>
      <c r="AQ167" s="157">
        <v>0</v>
      </c>
      <c r="AR167" s="157"/>
      <c r="AS167" s="157"/>
      <c r="AT167" s="157"/>
      <c r="AU167" s="157" t="s">
        <v>138</v>
      </c>
      <c r="AV167" s="157">
        <v>0</v>
      </c>
      <c r="AW167" s="157"/>
      <c r="AX167" s="157"/>
      <c r="AY167" s="157"/>
      <c r="AZ167" s="136"/>
      <c r="BA167" s="137" t="s">
        <v>811</v>
      </c>
      <c r="BB167" s="137" t="s">
        <v>141</v>
      </c>
      <c r="BC167" s="137" t="s">
        <v>478</v>
      </c>
      <c r="BD167" s="137" t="s">
        <v>140</v>
      </c>
      <c r="BE167" s="157">
        <v>111.2</v>
      </c>
      <c r="BF167" s="162"/>
      <c r="BG167" s="157"/>
      <c r="BH167" s="161"/>
      <c r="BI167" s="161"/>
      <c r="BJ167" s="163"/>
      <c r="BK167" s="163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4"/>
      <c r="BV167" s="161"/>
      <c r="BW167" s="161"/>
      <c r="BX167" s="163"/>
      <c r="BY167" s="161"/>
      <c r="BZ167" s="161"/>
      <c r="CA167" s="161"/>
      <c r="CB167" s="161"/>
    </row>
    <row r="168" spans="1:80" ht="16.5" hidden="1" customHeight="1">
      <c r="A168" s="117">
        <v>351</v>
      </c>
      <c r="B168" s="154" t="s">
        <v>477</v>
      </c>
      <c r="C168" s="154" t="s">
        <v>906</v>
      </c>
      <c r="D168" s="154" t="s">
        <v>13</v>
      </c>
      <c r="E168" s="154" t="s">
        <v>422</v>
      </c>
      <c r="F168" s="154" t="s">
        <v>480</v>
      </c>
      <c r="G168" s="154" t="s">
        <v>146</v>
      </c>
      <c r="H168" s="146">
        <v>11567</v>
      </c>
      <c r="I168" s="147" t="s">
        <v>147</v>
      </c>
      <c r="J168" s="144">
        <v>2</v>
      </c>
      <c r="K168" s="145">
        <f t="shared" ref="K168:K183" si="298">K167</f>
        <v>2</v>
      </c>
      <c r="L168" s="144">
        <f t="shared" ref="L168:L183" si="299">+K168*J168</f>
        <v>4</v>
      </c>
      <c r="M168" s="146">
        <v>45.4</v>
      </c>
      <c r="N168" s="146">
        <f t="shared" ref="N168:N183" si="300">+M168*L168</f>
        <v>181.6</v>
      </c>
      <c r="O168" s="146" t="s">
        <v>137</v>
      </c>
      <c r="P168" s="146" t="s">
        <v>13</v>
      </c>
      <c r="Q168" s="146" t="s">
        <v>148</v>
      </c>
      <c r="R168" s="146"/>
      <c r="S168" s="146"/>
      <c r="T168" s="146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4</v>
      </c>
      <c r="U168" s="146">
        <f t="shared" ref="U168:U183" ca="1" si="301">+L168-T168</f>
        <v>0</v>
      </c>
      <c r="V168" s="146">
        <f t="shared" ref="V168:V183" ca="1" si="302">ROUNDDOWN(T168/J168,0)</f>
        <v>2</v>
      </c>
      <c r="W168" s="146"/>
      <c r="X168" s="146"/>
      <c r="Y168" s="146"/>
      <c r="Z168" s="146"/>
      <c r="AA168" s="146"/>
      <c r="AB168" s="146"/>
      <c r="AC168" s="146">
        <v>2.8</v>
      </c>
      <c r="AD168" s="117" t="s">
        <v>268</v>
      </c>
      <c r="AE168" s="148"/>
      <c r="AF168" s="146" t="str">
        <f t="shared" ref="AF168:AV183" si="303">AF167</f>
        <v>N/A</v>
      </c>
      <c r="AG168" s="146">
        <f t="shared" si="303"/>
        <v>0</v>
      </c>
      <c r="AH168" s="146">
        <f t="shared" ref="AH168:AH183" si="304">+AG168*J168</f>
        <v>0</v>
      </c>
      <c r="AI168" s="146">
        <f t="shared" ref="AI168:AI183" ca="1" si="305">MIN(T168,AH168)</f>
        <v>0</v>
      </c>
      <c r="AJ168" s="146">
        <f t="shared" ref="AJ168:AJ183" ca="1" si="306">+AH168-AI168</f>
        <v>0</v>
      </c>
      <c r="AK168" s="146" t="str">
        <f t="shared" si="303"/>
        <v>AMC 2-S2</v>
      </c>
      <c r="AL168" s="146">
        <f t="shared" si="303"/>
        <v>2</v>
      </c>
      <c r="AM168" s="146">
        <f t="shared" ref="AM168:AM183" si="307">+AL168*J168</f>
        <v>4</v>
      </c>
      <c r="AN168" s="146">
        <f t="shared" ref="AN168:AN183" ca="1" si="308">MIN(T168-AI168,AL168)</f>
        <v>2</v>
      </c>
      <c r="AO168" s="146">
        <f t="shared" ref="AO168:AO183" ca="1" si="309">+AM168-AN168</f>
        <v>2</v>
      </c>
      <c r="AP168" s="146" t="str">
        <f t="shared" si="303"/>
        <v>N/A</v>
      </c>
      <c r="AQ168" s="146">
        <f t="shared" si="303"/>
        <v>0</v>
      </c>
      <c r="AR168" s="146">
        <f t="shared" ref="AR168:AR183" si="310">+AQ168*J168</f>
        <v>0</v>
      </c>
      <c r="AS168" s="146">
        <f t="shared" ref="AS168:AS183" ca="1" si="311">MIN(T168-AI168-AN168,AR168)</f>
        <v>0</v>
      </c>
      <c r="AT168" s="146">
        <f t="shared" ref="AT168:AT183" ca="1" si="312">+AR168-AS168</f>
        <v>0</v>
      </c>
      <c r="AU168" s="146" t="str">
        <f t="shared" si="303"/>
        <v>N/A</v>
      </c>
      <c r="AV168" s="146">
        <f t="shared" si="303"/>
        <v>0</v>
      </c>
      <c r="AW168" s="146">
        <f t="shared" ref="AW168:AW183" si="313">+AV168*J168</f>
        <v>0</v>
      </c>
      <c r="AX168" s="146">
        <f t="shared" ref="AX168:AX183" ca="1" si="314">MIN(T168-AI168-AN168-AS168,AW168)</f>
        <v>0</v>
      </c>
      <c r="AY168" s="146">
        <f t="shared" ref="AY168:AY183" ca="1" si="315">+AW168-AX168</f>
        <v>0</v>
      </c>
      <c r="AZ168" s="147"/>
      <c r="BA168" s="168" t="s">
        <v>811</v>
      </c>
      <c r="BB168" s="144" t="s">
        <v>141</v>
      </c>
      <c r="BC168" s="168" t="s">
        <v>478</v>
      </c>
      <c r="BD168" s="144" t="s">
        <v>140</v>
      </c>
      <c r="BE168" s="146">
        <v>1.4</v>
      </c>
      <c r="BF168" s="148"/>
      <c r="BG168" s="146"/>
      <c r="BH168" s="117"/>
      <c r="BI168" s="117"/>
      <c r="BJ168" s="149"/>
      <c r="BK168" s="149"/>
      <c r="BL168" s="117">
        <v>0</v>
      </c>
      <c r="BM168" s="117">
        <v>0</v>
      </c>
      <c r="BN168" s="117">
        <v>0</v>
      </c>
      <c r="BO168" s="117">
        <v>0</v>
      </c>
      <c r="BP168" s="117">
        <v>0</v>
      </c>
      <c r="BQ168" s="117">
        <v>0</v>
      </c>
      <c r="BR168" s="117">
        <v>0</v>
      </c>
      <c r="BS168" s="117" t="s">
        <v>150</v>
      </c>
      <c r="BT168" s="117"/>
      <c r="BU168" s="155"/>
      <c r="BV168" s="117" t="s">
        <v>57</v>
      </c>
      <c r="BW168" s="117">
        <v>12</v>
      </c>
      <c r="BX168" s="149"/>
      <c r="BY168" s="117"/>
      <c r="BZ168" s="117"/>
      <c r="CA168" s="117"/>
      <c r="CB168" s="117">
        <f t="shared" ref="CB168:CB183" si="316">+L168-BW168</f>
        <v>-8</v>
      </c>
    </row>
    <row r="169" spans="1:80" ht="16.5" hidden="1" customHeight="1">
      <c r="A169" s="117">
        <v>352</v>
      </c>
      <c r="B169" s="154" t="s">
        <v>477</v>
      </c>
      <c r="C169" s="154" t="s">
        <v>906</v>
      </c>
      <c r="D169" s="154" t="s">
        <v>13</v>
      </c>
      <c r="E169" s="154" t="s">
        <v>481</v>
      </c>
      <c r="F169" s="154" t="s">
        <v>482</v>
      </c>
      <c r="G169" s="154" t="s">
        <v>418</v>
      </c>
      <c r="H169" s="146">
        <v>3272</v>
      </c>
      <c r="I169" s="147" t="s">
        <v>147</v>
      </c>
      <c r="J169" s="144">
        <v>1</v>
      </c>
      <c r="K169" s="145">
        <f t="shared" si="298"/>
        <v>2</v>
      </c>
      <c r="L169" s="144">
        <f t="shared" si="299"/>
        <v>2</v>
      </c>
      <c r="M169" s="146">
        <v>1233.4000000000001</v>
      </c>
      <c r="N169" s="146">
        <f t="shared" si="300"/>
        <v>2466.8000000000002</v>
      </c>
      <c r="O169" s="146" t="s">
        <v>137</v>
      </c>
      <c r="P169" s="146" t="s">
        <v>13</v>
      </c>
      <c r="Q169" s="146" t="s">
        <v>154</v>
      </c>
      <c r="R169" s="146"/>
      <c r="S169" s="146"/>
      <c r="T169" s="146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2</v>
      </c>
      <c r="U169" s="146">
        <f t="shared" ca="1" si="301"/>
        <v>0</v>
      </c>
      <c r="V169" s="146">
        <f t="shared" ca="1" si="302"/>
        <v>2</v>
      </c>
      <c r="W169" s="146"/>
      <c r="X169" s="146"/>
      <c r="Y169" s="146"/>
      <c r="Z169" s="146"/>
      <c r="AA169" s="146"/>
      <c r="AB169" s="146"/>
      <c r="AC169" s="146">
        <v>31.7</v>
      </c>
      <c r="AD169" s="117" t="s">
        <v>268</v>
      </c>
      <c r="AE169" s="148"/>
      <c r="AF169" s="146" t="str">
        <f t="shared" si="303"/>
        <v>N/A</v>
      </c>
      <c r="AG169" s="146">
        <f t="shared" si="303"/>
        <v>0</v>
      </c>
      <c r="AH169" s="146">
        <f t="shared" si="304"/>
        <v>0</v>
      </c>
      <c r="AI169" s="146">
        <f t="shared" ca="1" si="305"/>
        <v>0</v>
      </c>
      <c r="AJ169" s="146">
        <f t="shared" ca="1" si="306"/>
        <v>0</v>
      </c>
      <c r="AK169" s="146" t="str">
        <f t="shared" si="303"/>
        <v>AMC 2-S2</v>
      </c>
      <c r="AL169" s="146">
        <f t="shared" si="303"/>
        <v>2</v>
      </c>
      <c r="AM169" s="146">
        <f t="shared" si="307"/>
        <v>2</v>
      </c>
      <c r="AN169" s="146">
        <f t="shared" ca="1" si="308"/>
        <v>2</v>
      </c>
      <c r="AO169" s="146">
        <f t="shared" ca="1" si="309"/>
        <v>0</v>
      </c>
      <c r="AP169" s="146" t="str">
        <f t="shared" si="303"/>
        <v>N/A</v>
      </c>
      <c r="AQ169" s="146">
        <f t="shared" si="303"/>
        <v>0</v>
      </c>
      <c r="AR169" s="146">
        <f t="shared" si="310"/>
        <v>0</v>
      </c>
      <c r="AS169" s="146">
        <f t="shared" ca="1" si="311"/>
        <v>0</v>
      </c>
      <c r="AT169" s="146">
        <f t="shared" ca="1" si="312"/>
        <v>0</v>
      </c>
      <c r="AU169" s="146" t="str">
        <f t="shared" si="303"/>
        <v>N/A</v>
      </c>
      <c r="AV169" s="146">
        <f t="shared" si="303"/>
        <v>0</v>
      </c>
      <c r="AW169" s="146">
        <f t="shared" si="313"/>
        <v>0</v>
      </c>
      <c r="AX169" s="146">
        <f t="shared" ca="1" si="314"/>
        <v>0</v>
      </c>
      <c r="AY169" s="146">
        <f t="shared" ca="1" si="315"/>
        <v>0</v>
      </c>
      <c r="AZ169" s="147"/>
      <c r="BA169" s="168" t="s">
        <v>811</v>
      </c>
      <c r="BB169" s="144" t="s">
        <v>141</v>
      </c>
      <c r="BC169" s="168" t="s">
        <v>478</v>
      </c>
      <c r="BD169" s="144" t="s">
        <v>140</v>
      </c>
      <c r="BE169" s="146">
        <v>31.7</v>
      </c>
      <c r="BF169" s="148"/>
      <c r="BG169" s="146"/>
      <c r="BH169" s="117"/>
      <c r="BI169" s="117"/>
      <c r="BJ169" s="149"/>
      <c r="BK169" s="149"/>
      <c r="BL169" s="117">
        <v>0</v>
      </c>
      <c r="BM169" s="117">
        <v>1</v>
      </c>
      <c r="BN169" s="117">
        <v>0</v>
      </c>
      <c r="BO169" s="117">
        <v>1</v>
      </c>
      <c r="BP169" s="117">
        <v>0</v>
      </c>
      <c r="BQ169" s="117">
        <v>0</v>
      </c>
      <c r="BR169" s="117">
        <v>0</v>
      </c>
      <c r="BS169" s="117" t="s">
        <v>150</v>
      </c>
      <c r="BT169" s="117"/>
      <c r="BU169" s="155"/>
      <c r="BV169" s="117" t="s">
        <v>57</v>
      </c>
      <c r="BW169" s="117">
        <v>6</v>
      </c>
      <c r="BX169" s="149"/>
      <c r="BY169" s="117"/>
      <c r="BZ169" s="117"/>
      <c r="CA169" s="117"/>
      <c r="CB169" s="117">
        <f t="shared" si="316"/>
        <v>-4</v>
      </c>
    </row>
    <row r="170" spans="1:80" ht="16.5" hidden="1" customHeight="1">
      <c r="A170" s="117">
        <v>353</v>
      </c>
      <c r="B170" s="154" t="s">
        <v>477</v>
      </c>
      <c r="C170" s="154" t="s">
        <v>906</v>
      </c>
      <c r="D170" s="154" t="s">
        <v>13</v>
      </c>
      <c r="E170" s="154" t="s">
        <v>483</v>
      </c>
      <c r="F170" s="154" t="s">
        <v>484</v>
      </c>
      <c r="G170" s="154" t="s">
        <v>485</v>
      </c>
      <c r="H170" s="146">
        <v>11493</v>
      </c>
      <c r="I170" s="147" t="s">
        <v>147</v>
      </c>
      <c r="J170" s="144">
        <v>1</v>
      </c>
      <c r="K170" s="145">
        <f t="shared" si="298"/>
        <v>2</v>
      </c>
      <c r="L170" s="144">
        <f t="shared" si="299"/>
        <v>2</v>
      </c>
      <c r="M170" s="146">
        <v>437.3</v>
      </c>
      <c r="N170" s="146">
        <f t="shared" si="300"/>
        <v>874.6</v>
      </c>
      <c r="O170" s="146" t="s">
        <v>137</v>
      </c>
      <c r="P170" s="146" t="s">
        <v>13</v>
      </c>
      <c r="Q170" s="146" t="s">
        <v>154</v>
      </c>
      <c r="R170" s="146"/>
      <c r="S170" s="146"/>
      <c r="T170" s="146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2</v>
      </c>
      <c r="U170" s="146">
        <f t="shared" ca="1" si="301"/>
        <v>0</v>
      </c>
      <c r="V170" s="146">
        <f t="shared" ca="1" si="302"/>
        <v>2</v>
      </c>
      <c r="W170" s="146"/>
      <c r="X170" s="146"/>
      <c r="Y170" s="146"/>
      <c r="Z170" s="146"/>
      <c r="AA170" s="146"/>
      <c r="AB170" s="146"/>
      <c r="AC170" s="146">
        <v>11.4</v>
      </c>
      <c r="AD170" s="117" t="s">
        <v>268</v>
      </c>
      <c r="AE170" s="148"/>
      <c r="AF170" s="146" t="str">
        <f t="shared" si="303"/>
        <v>N/A</v>
      </c>
      <c r="AG170" s="146">
        <f t="shared" si="303"/>
        <v>0</v>
      </c>
      <c r="AH170" s="146">
        <f t="shared" si="304"/>
        <v>0</v>
      </c>
      <c r="AI170" s="146">
        <f t="shared" ca="1" si="305"/>
        <v>0</v>
      </c>
      <c r="AJ170" s="146">
        <f t="shared" ca="1" si="306"/>
        <v>0</v>
      </c>
      <c r="AK170" s="146" t="str">
        <f t="shared" si="303"/>
        <v>AMC 2-S2</v>
      </c>
      <c r="AL170" s="146">
        <f t="shared" si="303"/>
        <v>2</v>
      </c>
      <c r="AM170" s="146">
        <f t="shared" si="307"/>
        <v>2</v>
      </c>
      <c r="AN170" s="146">
        <f t="shared" ca="1" si="308"/>
        <v>2</v>
      </c>
      <c r="AO170" s="146">
        <f t="shared" ca="1" si="309"/>
        <v>0</v>
      </c>
      <c r="AP170" s="146" t="str">
        <f t="shared" si="303"/>
        <v>N/A</v>
      </c>
      <c r="AQ170" s="146">
        <f t="shared" si="303"/>
        <v>0</v>
      </c>
      <c r="AR170" s="146">
        <f t="shared" si="310"/>
        <v>0</v>
      </c>
      <c r="AS170" s="146">
        <f t="shared" ca="1" si="311"/>
        <v>0</v>
      </c>
      <c r="AT170" s="146">
        <f t="shared" ca="1" si="312"/>
        <v>0</v>
      </c>
      <c r="AU170" s="146" t="str">
        <f t="shared" si="303"/>
        <v>N/A</v>
      </c>
      <c r="AV170" s="146">
        <f t="shared" si="303"/>
        <v>0</v>
      </c>
      <c r="AW170" s="146">
        <f t="shared" si="313"/>
        <v>0</v>
      </c>
      <c r="AX170" s="146">
        <f t="shared" ca="1" si="314"/>
        <v>0</v>
      </c>
      <c r="AY170" s="146">
        <f t="shared" ca="1" si="315"/>
        <v>0</v>
      </c>
      <c r="AZ170" s="147"/>
      <c r="BA170" s="168" t="s">
        <v>811</v>
      </c>
      <c r="BB170" s="144" t="s">
        <v>141</v>
      </c>
      <c r="BC170" s="168" t="s">
        <v>478</v>
      </c>
      <c r="BD170" s="144" t="s">
        <v>140</v>
      </c>
      <c r="BE170" s="146">
        <v>11.4</v>
      </c>
      <c r="BF170" s="148"/>
      <c r="BG170" s="146"/>
      <c r="BH170" s="117"/>
      <c r="BI170" s="117"/>
      <c r="BJ170" s="149"/>
      <c r="BK170" s="149"/>
      <c r="BL170" s="117">
        <v>0</v>
      </c>
      <c r="BM170" s="117">
        <v>1</v>
      </c>
      <c r="BN170" s="117">
        <v>0</v>
      </c>
      <c r="BO170" s="117">
        <v>1</v>
      </c>
      <c r="BP170" s="117">
        <v>0</v>
      </c>
      <c r="BQ170" s="117">
        <v>0</v>
      </c>
      <c r="BR170" s="117">
        <v>0</v>
      </c>
      <c r="BS170" s="117" t="s">
        <v>150</v>
      </c>
      <c r="BT170" s="158" t="s">
        <v>210</v>
      </c>
      <c r="BU170" s="117"/>
      <c r="BV170" s="117" t="s">
        <v>211</v>
      </c>
      <c r="BW170" s="117">
        <v>2</v>
      </c>
      <c r="BX170" s="149">
        <v>46201</v>
      </c>
      <c r="BY170" s="117"/>
      <c r="BZ170" s="117"/>
      <c r="CA170" s="117"/>
      <c r="CB170" s="117">
        <f t="shared" si="316"/>
        <v>0</v>
      </c>
    </row>
    <row r="171" spans="1:80" ht="16.5" hidden="1" customHeight="1">
      <c r="A171" s="117">
        <v>354</v>
      </c>
      <c r="B171" s="154" t="s">
        <v>477</v>
      </c>
      <c r="C171" s="154" t="s">
        <v>906</v>
      </c>
      <c r="D171" s="154" t="s">
        <v>13</v>
      </c>
      <c r="E171" s="154" t="s">
        <v>486</v>
      </c>
      <c r="F171" s="154" t="s">
        <v>487</v>
      </c>
      <c r="G171" s="154" t="s">
        <v>488</v>
      </c>
      <c r="H171" s="146">
        <v>509</v>
      </c>
      <c r="I171" s="147" t="s">
        <v>147</v>
      </c>
      <c r="J171" s="144">
        <v>2</v>
      </c>
      <c r="K171" s="145">
        <f t="shared" si="298"/>
        <v>2</v>
      </c>
      <c r="L171" s="144">
        <f t="shared" si="299"/>
        <v>4</v>
      </c>
      <c r="M171" s="146">
        <v>17.600000000000001</v>
      </c>
      <c r="N171" s="146">
        <f t="shared" si="300"/>
        <v>70.400000000000006</v>
      </c>
      <c r="O171" s="146" t="s">
        <v>137</v>
      </c>
      <c r="P171" s="146" t="s">
        <v>13</v>
      </c>
      <c r="Q171" s="146" t="s">
        <v>154</v>
      </c>
      <c r="R171" s="146"/>
      <c r="S171" s="146"/>
      <c r="T171" s="146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4</v>
      </c>
      <c r="U171" s="146">
        <f t="shared" ca="1" si="301"/>
        <v>0</v>
      </c>
      <c r="V171" s="146">
        <f t="shared" ca="1" si="302"/>
        <v>2</v>
      </c>
      <c r="W171" s="146"/>
      <c r="X171" s="146"/>
      <c r="Y171" s="146"/>
      <c r="Z171" s="146"/>
      <c r="AA171" s="146"/>
      <c r="AB171" s="146"/>
      <c r="AC171" s="146">
        <v>0.9</v>
      </c>
      <c r="AD171" s="117" t="s">
        <v>268</v>
      </c>
      <c r="AE171" s="148"/>
      <c r="AF171" s="146" t="str">
        <f t="shared" si="303"/>
        <v>N/A</v>
      </c>
      <c r="AG171" s="146">
        <f t="shared" si="303"/>
        <v>0</v>
      </c>
      <c r="AH171" s="146">
        <f t="shared" si="304"/>
        <v>0</v>
      </c>
      <c r="AI171" s="146">
        <f t="shared" ca="1" si="305"/>
        <v>0</v>
      </c>
      <c r="AJ171" s="146">
        <f t="shared" ca="1" si="306"/>
        <v>0</v>
      </c>
      <c r="AK171" s="146" t="str">
        <f t="shared" si="303"/>
        <v>AMC 2-S2</v>
      </c>
      <c r="AL171" s="146">
        <f t="shared" si="303"/>
        <v>2</v>
      </c>
      <c r="AM171" s="146">
        <f t="shared" si="307"/>
        <v>4</v>
      </c>
      <c r="AN171" s="146">
        <f t="shared" ca="1" si="308"/>
        <v>2</v>
      </c>
      <c r="AO171" s="146">
        <f t="shared" ca="1" si="309"/>
        <v>2</v>
      </c>
      <c r="AP171" s="146" t="str">
        <f t="shared" si="303"/>
        <v>N/A</v>
      </c>
      <c r="AQ171" s="146">
        <f t="shared" si="303"/>
        <v>0</v>
      </c>
      <c r="AR171" s="146">
        <f t="shared" si="310"/>
        <v>0</v>
      </c>
      <c r="AS171" s="146">
        <f t="shared" ca="1" si="311"/>
        <v>0</v>
      </c>
      <c r="AT171" s="146">
        <f t="shared" ca="1" si="312"/>
        <v>0</v>
      </c>
      <c r="AU171" s="146" t="str">
        <f t="shared" si="303"/>
        <v>N/A</v>
      </c>
      <c r="AV171" s="146">
        <f t="shared" si="303"/>
        <v>0</v>
      </c>
      <c r="AW171" s="146">
        <f t="shared" si="313"/>
        <v>0</v>
      </c>
      <c r="AX171" s="146">
        <f t="shared" ca="1" si="314"/>
        <v>0</v>
      </c>
      <c r="AY171" s="146">
        <f t="shared" ca="1" si="315"/>
        <v>0</v>
      </c>
      <c r="AZ171" s="147"/>
      <c r="BA171" s="168" t="s">
        <v>811</v>
      </c>
      <c r="BB171" s="144" t="s">
        <v>141</v>
      </c>
      <c r="BC171" s="168" t="s">
        <v>478</v>
      </c>
      <c r="BD171" s="144" t="s">
        <v>140</v>
      </c>
      <c r="BE171" s="146">
        <v>0.5</v>
      </c>
      <c r="BF171" s="148"/>
      <c r="BG171" s="146"/>
      <c r="BH171" s="117"/>
      <c r="BI171" s="117"/>
      <c r="BJ171" s="149"/>
      <c r="BK171" s="149"/>
      <c r="BL171" s="117">
        <v>0</v>
      </c>
      <c r="BM171" s="117">
        <v>1</v>
      </c>
      <c r="BN171" s="117">
        <v>0</v>
      </c>
      <c r="BO171" s="117">
        <v>0</v>
      </c>
      <c r="BP171" s="117">
        <v>0</v>
      </c>
      <c r="BQ171" s="117">
        <v>0</v>
      </c>
      <c r="BR171" s="117">
        <v>0</v>
      </c>
      <c r="BS171" s="117" t="s">
        <v>150</v>
      </c>
      <c r="BT171" s="158" t="s">
        <v>210</v>
      </c>
      <c r="BU171" s="117"/>
      <c r="BV171" s="117" t="s">
        <v>211</v>
      </c>
      <c r="BW171" s="117">
        <v>4</v>
      </c>
      <c r="BX171" s="149">
        <v>46201</v>
      </c>
      <c r="BY171" s="117"/>
      <c r="BZ171" s="117"/>
      <c r="CA171" s="117"/>
      <c r="CB171" s="117">
        <f t="shared" si="316"/>
        <v>0</v>
      </c>
    </row>
    <row r="172" spans="1:80" ht="16.5" hidden="1" customHeight="1">
      <c r="A172" s="117">
        <v>355</v>
      </c>
      <c r="B172" s="154" t="s">
        <v>477</v>
      </c>
      <c r="C172" s="154" t="s">
        <v>906</v>
      </c>
      <c r="D172" s="154" t="s">
        <v>13</v>
      </c>
      <c r="E172" s="154" t="s">
        <v>489</v>
      </c>
      <c r="F172" s="154" t="s">
        <v>490</v>
      </c>
      <c r="G172" s="154" t="s">
        <v>418</v>
      </c>
      <c r="H172" s="146">
        <v>3435</v>
      </c>
      <c r="I172" s="147" t="s">
        <v>147</v>
      </c>
      <c r="J172" s="144">
        <v>1</v>
      </c>
      <c r="K172" s="145">
        <f t="shared" si="298"/>
        <v>2</v>
      </c>
      <c r="L172" s="144">
        <f t="shared" si="299"/>
        <v>2</v>
      </c>
      <c r="M172" s="146">
        <v>1353.9</v>
      </c>
      <c r="N172" s="146">
        <f t="shared" si="300"/>
        <v>2707.8</v>
      </c>
      <c r="O172" s="146" t="s">
        <v>137</v>
      </c>
      <c r="P172" s="146" t="s">
        <v>13</v>
      </c>
      <c r="Q172" s="146" t="s">
        <v>154</v>
      </c>
      <c r="R172" s="146"/>
      <c r="S172" s="146"/>
      <c r="T172" s="146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2</v>
      </c>
      <c r="U172" s="146">
        <f t="shared" ca="1" si="301"/>
        <v>0</v>
      </c>
      <c r="V172" s="146">
        <f t="shared" ca="1" si="302"/>
        <v>2</v>
      </c>
      <c r="W172" s="146"/>
      <c r="X172" s="146"/>
      <c r="Y172" s="146"/>
      <c r="Z172" s="146"/>
      <c r="AA172" s="146"/>
      <c r="AB172" s="146"/>
      <c r="AC172" s="146">
        <v>34.700000000000003</v>
      </c>
      <c r="AD172" s="117" t="s">
        <v>268</v>
      </c>
      <c r="AE172" s="148"/>
      <c r="AF172" s="146" t="str">
        <f t="shared" si="303"/>
        <v>N/A</v>
      </c>
      <c r="AG172" s="146">
        <f t="shared" si="303"/>
        <v>0</v>
      </c>
      <c r="AH172" s="146">
        <f t="shared" si="304"/>
        <v>0</v>
      </c>
      <c r="AI172" s="146">
        <f t="shared" ca="1" si="305"/>
        <v>0</v>
      </c>
      <c r="AJ172" s="146">
        <f t="shared" ca="1" si="306"/>
        <v>0</v>
      </c>
      <c r="AK172" s="146" t="str">
        <f t="shared" si="303"/>
        <v>AMC 2-S2</v>
      </c>
      <c r="AL172" s="146">
        <f t="shared" si="303"/>
        <v>2</v>
      </c>
      <c r="AM172" s="146">
        <f t="shared" si="307"/>
        <v>2</v>
      </c>
      <c r="AN172" s="146">
        <f t="shared" ca="1" si="308"/>
        <v>2</v>
      </c>
      <c r="AO172" s="146">
        <f t="shared" ca="1" si="309"/>
        <v>0</v>
      </c>
      <c r="AP172" s="146" t="str">
        <f t="shared" si="303"/>
        <v>N/A</v>
      </c>
      <c r="AQ172" s="146">
        <f t="shared" si="303"/>
        <v>0</v>
      </c>
      <c r="AR172" s="146">
        <f t="shared" si="310"/>
        <v>0</v>
      </c>
      <c r="AS172" s="146">
        <f t="shared" ca="1" si="311"/>
        <v>0</v>
      </c>
      <c r="AT172" s="146">
        <f t="shared" ca="1" si="312"/>
        <v>0</v>
      </c>
      <c r="AU172" s="146" t="str">
        <f t="shared" si="303"/>
        <v>N/A</v>
      </c>
      <c r="AV172" s="146">
        <f t="shared" si="303"/>
        <v>0</v>
      </c>
      <c r="AW172" s="146">
        <f t="shared" si="313"/>
        <v>0</v>
      </c>
      <c r="AX172" s="146">
        <f t="shared" ca="1" si="314"/>
        <v>0</v>
      </c>
      <c r="AY172" s="146">
        <f t="shared" ca="1" si="315"/>
        <v>0</v>
      </c>
      <c r="AZ172" s="147"/>
      <c r="BA172" s="168" t="s">
        <v>811</v>
      </c>
      <c r="BB172" s="144" t="s">
        <v>141</v>
      </c>
      <c r="BC172" s="168" t="s">
        <v>478</v>
      </c>
      <c r="BD172" s="144" t="s">
        <v>140</v>
      </c>
      <c r="BE172" s="146">
        <v>34.700000000000003</v>
      </c>
      <c r="BF172" s="148"/>
      <c r="BG172" s="146"/>
      <c r="BH172" s="117"/>
      <c r="BI172" s="117"/>
      <c r="BJ172" s="149"/>
      <c r="BK172" s="149"/>
      <c r="BL172" s="117">
        <v>0</v>
      </c>
      <c r="BM172" s="117">
        <v>1</v>
      </c>
      <c r="BN172" s="117">
        <v>0</v>
      </c>
      <c r="BO172" s="117">
        <v>1</v>
      </c>
      <c r="BP172" s="117">
        <v>0</v>
      </c>
      <c r="BQ172" s="117">
        <v>0</v>
      </c>
      <c r="BR172" s="117">
        <v>0</v>
      </c>
      <c r="BS172" s="117" t="s">
        <v>150</v>
      </c>
      <c r="BT172" s="117"/>
      <c r="BU172" s="155"/>
      <c r="BV172" s="117" t="s">
        <v>57</v>
      </c>
      <c r="BW172" s="117">
        <v>6</v>
      </c>
      <c r="BX172" s="149"/>
      <c r="BY172" s="117"/>
      <c r="BZ172" s="117"/>
      <c r="CA172" s="117"/>
      <c r="CB172" s="117">
        <f t="shared" si="316"/>
        <v>-4</v>
      </c>
    </row>
    <row r="173" spans="1:80" ht="16.5" hidden="1" customHeight="1">
      <c r="A173" s="117">
        <v>356</v>
      </c>
      <c r="B173" s="154" t="s">
        <v>477</v>
      </c>
      <c r="C173" s="154" t="s">
        <v>906</v>
      </c>
      <c r="D173" s="154" t="s">
        <v>13</v>
      </c>
      <c r="E173" s="154" t="s">
        <v>491</v>
      </c>
      <c r="F173" s="154" t="s">
        <v>492</v>
      </c>
      <c r="G173" s="154" t="s">
        <v>485</v>
      </c>
      <c r="H173" s="146">
        <v>4243</v>
      </c>
      <c r="I173" s="147" t="s">
        <v>147</v>
      </c>
      <c r="J173" s="144">
        <v>1</v>
      </c>
      <c r="K173" s="145">
        <f t="shared" si="298"/>
        <v>2</v>
      </c>
      <c r="L173" s="144">
        <f t="shared" si="299"/>
        <v>2</v>
      </c>
      <c r="M173" s="146">
        <v>161.5</v>
      </c>
      <c r="N173" s="146">
        <f t="shared" si="300"/>
        <v>323</v>
      </c>
      <c r="O173" s="146" t="s">
        <v>137</v>
      </c>
      <c r="P173" s="146" t="s">
        <v>13</v>
      </c>
      <c r="Q173" s="146" t="s">
        <v>148</v>
      </c>
      <c r="R173" s="146"/>
      <c r="S173" s="146"/>
      <c r="T173" s="146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46">
        <f t="shared" ca="1" si="301"/>
        <v>0</v>
      </c>
      <c r="V173" s="146">
        <f t="shared" ca="1" si="302"/>
        <v>2</v>
      </c>
      <c r="W173" s="146"/>
      <c r="X173" s="146"/>
      <c r="Y173" s="146"/>
      <c r="Z173" s="146"/>
      <c r="AA173" s="146"/>
      <c r="AB173" s="146"/>
      <c r="AC173" s="146">
        <v>4.2</v>
      </c>
      <c r="AD173" s="117" t="s">
        <v>268</v>
      </c>
      <c r="AE173" s="148"/>
      <c r="AF173" s="146" t="str">
        <f t="shared" si="303"/>
        <v>N/A</v>
      </c>
      <c r="AG173" s="146">
        <f t="shared" si="303"/>
        <v>0</v>
      </c>
      <c r="AH173" s="146">
        <f t="shared" si="304"/>
        <v>0</v>
      </c>
      <c r="AI173" s="146">
        <f t="shared" ca="1" si="305"/>
        <v>0</v>
      </c>
      <c r="AJ173" s="146">
        <f t="shared" ca="1" si="306"/>
        <v>0</v>
      </c>
      <c r="AK173" s="146" t="str">
        <f t="shared" si="303"/>
        <v>AMC 2-S2</v>
      </c>
      <c r="AL173" s="146">
        <f t="shared" si="303"/>
        <v>2</v>
      </c>
      <c r="AM173" s="146">
        <f t="shared" si="307"/>
        <v>2</v>
      </c>
      <c r="AN173" s="146">
        <f t="shared" ca="1" si="308"/>
        <v>2</v>
      </c>
      <c r="AO173" s="146">
        <f t="shared" ca="1" si="309"/>
        <v>0</v>
      </c>
      <c r="AP173" s="146" t="str">
        <f t="shared" si="303"/>
        <v>N/A</v>
      </c>
      <c r="AQ173" s="146">
        <f t="shared" si="303"/>
        <v>0</v>
      </c>
      <c r="AR173" s="146">
        <f t="shared" si="310"/>
        <v>0</v>
      </c>
      <c r="AS173" s="146">
        <f t="shared" ca="1" si="311"/>
        <v>0</v>
      </c>
      <c r="AT173" s="146">
        <f t="shared" ca="1" si="312"/>
        <v>0</v>
      </c>
      <c r="AU173" s="146" t="str">
        <f t="shared" si="303"/>
        <v>N/A</v>
      </c>
      <c r="AV173" s="146">
        <f t="shared" si="303"/>
        <v>0</v>
      </c>
      <c r="AW173" s="146">
        <f t="shared" si="313"/>
        <v>0</v>
      </c>
      <c r="AX173" s="146">
        <f t="shared" ca="1" si="314"/>
        <v>0</v>
      </c>
      <c r="AY173" s="146">
        <f t="shared" ca="1" si="315"/>
        <v>0</v>
      </c>
      <c r="AZ173" s="147"/>
      <c r="BA173" s="168" t="s">
        <v>811</v>
      </c>
      <c r="BB173" s="144" t="s">
        <v>141</v>
      </c>
      <c r="BC173" s="168" t="s">
        <v>478</v>
      </c>
      <c r="BD173" s="144" t="s">
        <v>140</v>
      </c>
      <c r="BE173" s="146">
        <v>4.2</v>
      </c>
      <c r="BF173" s="148"/>
      <c r="BG173" s="146"/>
      <c r="BH173" s="117"/>
      <c r="BI173" s="117"/>
      <c r="BJ173" s="149"/>
      <c r="BK173" s="149"/>
      <c r="BL173" s="117">
        <v>0</v>
      </c>
      <c r="BM173" s="117">
        <v>0</v>
      </c>
      <c r="BN173" s="117">
        <v>0</v>
      </c>
      <c r="BO173" s="117">
        <v>0</v>
      </c>
      <c r="BP173" s="117">
        <v>0</v>
      </c>
      <c r="BQ173" s="117">
        <v>0</v>
      </c>
      <c r="BR173" s="117">
        <v>0</v>
      </c>
      <c r="BS173" s="117" t="s">
        <v>150</v>
      </c>
      <c r="BT173" s="158" t="s">
        <v>210</v>
      </c>
      <c r="BU173" s="117"/>
      <c r="BV173" s="117" t="s">
        <v>211</v>
      </c>
      <c r="BW173" s="117">
        <v>2</v>
      </c>
      <c r="BX173" s="149">
        <v>46201</v>
      </c>
      <c r="BY173" s="117"/>
      <c r="BZ173" s="117"/>
      <c r="CA173" s="117"/>
      <c r="CB173" s="117">
        <f t="shared" si="316"/>
        <v>0</v>
      </c>
    </row>
    <row r="174" spans="1:80" ht="16.5" hidden="1" customHeight="1">
      <c r="A174" s="117">
        <v>357</v>
      </c>
      <c r="B174" s="154" t="s">
        <v>477</v>
      </c>
      <c r="C174" s="154" t="s">
        <v>906</v>
      </c>
      <c r="D174" s="154" t="s">
        <v>13</v>
      </c>
      <c r="E174" s="154" t="s">
        <v>493</v>
      </c>
      <c r="F174" s="154" t="s">
        <v>494</v>
      </c>
      <c r="G174" s="154" t="s">
        <v>488</v>
      </c>
      <c r="H174" s="146">
        <v>768</v>
      </c>
      <c r="I174" s="147" t="s">
        <v>147</v>
      </c>
      <c r="J174" s="144">
        <v>2</v>
      </c>
      <c r="K174" s="145">
        <f t="shared" si="298"/>
        <v>2</v>
      </c>
      <c r="L174" s="144">
        <f t="shared" si="299"/>
        <v>4</v>
      </c>
      <c r="M174" s="146">
        <v>29.1</v>
      </c>
      <c r="N174" s="146">
        <f t="shared" si="300"/>
        <v>116.4</v>
      </c>
      <c r="O174" s="146" t="s">
        <v>137</v>
      </c>
      <c r="P174" s="146" t="s">
        <v>13</v>
      </c>
      <c r="Q174" s="146" t="s">
        <v>154</v>
      </c>
      <c r="R174" s="146"/>
      <c r="S174" s="146"/>
      <c r="T174" s="146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4</v>
      </c>
      <c r="U174" s="146">
        <f t="shared" ca="1" si="301"/>
        <v>0</v>
      </c>
      <c r="V174" s="146">
        <f t="shared" ca="1" si="302"/>
        <v>2</v>
      </c>
      <c r="W174" s="146"/>
      <c r="X174" s="146"/>
      <c r="Y174" s="146"/>
      <c r="Z174" s="146"/>
      <c r="AA174" s="146"/>
      <c r="AB174" s="146"/>
      <c r="AC174" s="146">
        <v>1.5</v>
      </c>
      <c r="AD174" s="117" t="s">
        <v>268</v>
      </c>
      <c r="AE174" s="148"/>
      <c r="AF174" s="146" t="str">
        <f t="shared" si="303"/>
        <v>N/A</v>
      </c>
      <c r="AG174" s="146">
        <f t="shared" si="303"/>
        <v>0</v>
      </c>
      <c r="AH174" s="146">
        <f t="shared" si="304"/>
        <v>0</v>
      </c>
      <c r="AI174" s="146">
        <f t="shared" ca="1" si="305"/>
        <v>0</v>
      </c>
      <c r="AJ174" s="146">
        <f t="shared" ca="1" si="306"/>
        <v>0</v>
      </c>
      <c r="AK174" s="146" t="str">
        <f t="shared" si="303"/>
        <v>AMC 2-S2</v>
      </c>
      <c r="AL174" s="146">
        <f t="shared" si="303"/>
        <v>2</v>
      </c>
      <c r="AM174" s="146">
        <f t="shared" si="307"/>
        <v>4</v>
      </c>
      <c r="AN174" s="146">
        <f t="shared" ca="1" si="308"/>
        <v>2</v>
      </c>
      <c r="AO174" s="146">
        <f t="shared" ca="1" si="309"/>
        <v>2</v>
      </c>
      <c r="AP174" s="146" t="str">
        <f t="shared" si="303"/>
        <v>N/A</v>
      </c>
      <c r="AQ174" s="146">
        <f t="shared" si="303"/>
        <v>0</v>
      </c>
      <c r="AR174" s="146">
        <f t="shared" si="310"/>
        <v>0</v>
      </c>
      <c r="AS174" s="146">
        <f t="shared" ca="1" si="311"/>
        <v>0</v>
      </c>
      <c r="AT174" s="146">
        <f t="shared" ca="1" si="312"/>
        <v>0</v>
      </c>
      <c r="AU174" s="146" t="str">
        <f t="shared" si="303"/>
        <v>N/A</v>
      </c>
      <c r="AV174" s="146">
        <f t="shared" si="303"/>
        <v>0</v>
      </c>
      <c r="AW174" s="146">
        <f t="shared" si="313"/>
        <v>0</v>
      </c>
      <c r="AX174" s="146">
        <f t="shared" ca="1" si="314"/>
        <v>0</v>
      </c>
      <c r="AY174" s="146">
        <f t="shared" ca="1" si="315"/>
        <v>0</v>
      </c>
      <c r="AZ174" s="147"/>
      <c r="BA174" s="168" t="s">
        <v>811</v>
      </c>
      <c r="BB174" s="144" t="s">
        <v>141</v>
      </c>
      <c r="BC174" s="168" t="s">
        <v>478</v>
      </c>
      <c r="BD174" s="144" t="s">
        <v>140</v>
      </c>
      <c r="BE174" s="146">
        <v>0.8</v>
      </c>
      <c r="BF174" s="148"/>
      <c r="BG174" s="146"/>
      <c r="BH174" s="117"/>
      <c r="BI174" s="117"/>
      <c r="BJ174" s="149"/>
      <c r="BK174" s="149"/>
      <c r="BL174" s="117">
        <v>0</v>
      </c>
      <c r="BM174" s="117">
        <v>1</v>
      </c>
      <c r="BN174" s="117">
        <v>0</v>
      </c>
      <c r="BO174" s="117">
        <v>0</v>
      </c>
      <c r="BP174" s="117">
        <v>0</v>
      </c>
      <c r="BQ174" s="117">
        <v>0</v>
      </c>
      <c r="BR174" s="117">
        <v>0</v>
      </c>
      <c r="BS174" s="117" t="s">
        <v>150</v>
      </c>
      <c r="BT174" s="158" t="s">
        <v>210</v>
      </c>
      <c r="BU174" s="117"/>
      <c r="BV174" s="117" t="s">
        <v>211</v>
      </c>
      <c r="BW174" s="117">
        <v>4</v>
      </c>
      <c r="BX174" s="149">
        <v>46201</v>
      </c>
      <c r="BY174" s="117"/>
      <c r="BZ174" s="117"/>
      <c r="CA174" s="117"/>
      <c r="CB174" s="117">
        <f t="shared" si="316"/>
        <v>0</v>
      </c>
    </row>
    <row r="175" spans="1:80" ht="16.5" hidden="1" customHeight="1">
      <c r="A175" s="117">
        <v>358</v>
      </c>
      <c r="B175" s="154" t="s">
        <v>477</v>
      </c>
      <c r="C175" s="154" t="s">
        <v>906</v>
      </c>
      <c r="D175" s="154" t="s">
        <v>13</v>
      </c>
      <c r="E175" s="154" t="s">
        <v>495</v>
      </c>
      <c r="F175" s="154" t="s">
        <v>496</v>
      </c>
      <c r="G175" s="154" t="s">
        <v>488</v>
      </c>
      <c r="H175" s="146">
        <v>1041</v>
      </c>
      <c r="I175" s="147" t="s">
        <v>147</v>
      </c>
      <c r="J175" s="144">
        <v>2</v>
      </c>
      <c r="K175" s="145">
        <f t="shared" si="298"/>
        <v>2</v>
      </c>
      <c r="L175" s="144">
        <f t="shared" si="299"/>
        <v>4</v>
      </c>
      <c r="M175" s="146">
        <v>40.4</v>
      </c>
      <c r="N175" s="146">
        <f t="shared" si="300"/>
        <v>161.6</v>
      </c>
      <c r="O175" s="146" t="s">
        <v>137</v>
      </c>
      <c r="P175" s="146" t="s">
        <v>13</v>
      </c>
      <c r="Q175" s="146" t="s">
        <v>154</v>
      </c>
      <c r="R175" s="146"/>
      <c r="S175" s="146"/>
      <c r="T175" s="146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4</v>
      </c>
      <c r="U175" s="146">
        <f t="shared" ca="1" si="301"/>
        <v>0</v>
      </c>
      <c r="V175" s="146">
        <f t="shared" ca="1" si="302"/>
        <v>2</v>
      </c>
      <c r="W175" s="146"/>
      <c r="X175" s="146"/>
      <c r="Y175" s="146"/>
      <c r="Z175" s="146"/>
      <c r="AA175" s="146"/>
      <c r="AB175" s="146"/>
      <c r="AC175" s="146">
        <v>2.1</v>
      </c>
      <c r="AD175" s="117" t="s">
        <v>268</v>
      </c>
      <c r="AE175" s="148"/>
      <c r="AF175" s="146" t="str">
        <f t="shared" si="303"/>
        <v>N/A</v>
      </c>
      <c r="AG175" s="146">
        <f t="shared" si="303"/>
        <v>0</v>
      </c>
      <c r="AH175" s="146">
        <f t="shared" si="304"/>
        <v>0</v>
      </c>
      <c r="AI175" s="146">
        <f t="shared" ca="1" si="305"/>
        <v>0</v>
      </c>
      <c r="AJ175" s="146">
        <f t="shared" ca="1" si="306"/>
        <v>0</v>
      </c>
      <c r="AK175" s="146" t="str">
        <f t="shared" si="303"/>
        <v>AMC 2-S2</v>
      </c>
      <c r="AL175" s="146">
        <f t="shared" si="303"/>
        <v>2</v>
      </c>
      <c r="AM175" s="146">
        <f t="shared" si="307"/>
        <v>4</v>
      </c>
      <c r="AN175" s="146">
        <f t="shared" ca="1" si="308"/>
        <v>2</v>
      </c>
      <c r="AO175" s="146">
        <f t="shared" ca="1" si="309"/>
        <v>2</v>
      </c>
      <c r="AP175" s="146" t="str">
        <f t="shared" si="303"/>
        <v>N/A</v>
      </c>
      <c r="AQ175" s="146">
        <f t="shared" si="303"/>
        <v>0</v>
      </c>
      <c r="AR175" s="146">
        <f t="shared" si="310"/>
        <v>0</v>
      </c>
      <c r="AS175" s="146">
        <f t="shared" ca="1" si="311"/>
        <v>0</v>
      </c>
      <c r="AT175" s="146">
        <f t="shared" ca="1" si="312"/>
        <v>0</v>
      </c>
      <c r="AU175" s="146" t="str">
        <f t="shared" si="303"/>
        <v>N/A</v>
      </c>
      <c r="AV175" s="146">
        <f t="shared" si="303"/>
        <v>0</v>
      </c>
      <c r="AW175" s="146">
        <f t="shared" si="313"/>
        <v>0</v>
      </c>
      <c r="AX175" s="146">
        <f t="shared" ca="1" si="314"/>
        <v>0</v>
      </c>
      <c r="AY175" s="146">
        <f t="shared" ca="1" si="315"/>
        <v>0</v>
      </c>
      <c r="AZ175" s="147"/>
      <c r="BA175" s="168" t="s">
        <v>811</v>
      </c>
      <c r="BB175" s="144" t="s">
        <v>141</v>
      </c>
      <c r="BC175" s="168" t="s">
        <v>478</v>
      </c>
      <c r="BD175" s="144" t="s">
        <v>140</v>
      </c>
      <c r="BE175" s="146">
        <v>1.1000000000000001</v>
      </c>
      <c r="BF175" s="148"/>
      <c r="BG175" s="146"/>
      <c r="BH175" s="117"/>
      <c r="BI175" s="117"/>
      <c r="BJ175" s="149"/>
      <c r="BK175" s="149"/>
      <c r="BL175" s="117">
        <v>0</v>
      </c>
      <c r="BM175" s="117">
        <v>1</v>
      </c>
      <c r="BN175" s="117">
        <v>0</v>
      </c>
      <c r="BO175" s="117">
        <v>0</v>
      </c>
      <c r="BP175" s="117">
        <v>0</v>
      </c>
      <c r="BQ175" s="117">
        <v>0</v>
      </c>
      <c r="BR175" s="117">
        <v>0</v>
      </c>
      <c r="BS175" s="117" t="s">
        <v>150</v>
      </c>
      <c r="BT175" s="158" t="s">
        <v>210</v>
      </c>
      <c r="BU175" s="117"/>
      <c r="BV175" s="117" t="s">
        <v>211</v>
      </c>
      <c r="BW175" s="117">
        <v>4</v>
      </c>
      <c r="BX175" s="149">
        <v>46201</v>
      </c>
      <c r="BY175" s="117"/>
      <c r="BZ175" s="117"/>
      <c r="CA175" s="117"/>
      <c r="CB175" s="117">
        <f t="shared" si="316"/>
        <v>0</v>
      </c>
    </row>
    <row r="176" spans="1:80" ht="16.5" hidden="1" customHeight="1">
      <c r="A176" s="117">
        <v>359</v>
      </c>
      <c r="B176" s="154" t="s">
        <v>477</v>
      </c>
      <c r="C176" s="154" t="s">
        <v>906</v>
      </c>
      <c r="D176" s="154" t="s">
        <v>13</v>
      </c>
      <c r="E176" s="154" t="s">
        <v>497</v>
      </c>
      <c r="F176" s="154" t="s">
        <v>498</v>
      </c>
      <c r="G176" s="154" t="s">
        <v>488</v>
      </c>
      <c r="H176" s="146">
        <v>1223</v>
      </c>
      <c r="I176" s="147" t="s">
        <v>147</v>
      </c>
      <c r="J176" s="144">
        <v>2</v>
      </c>
      <c r="K176" s="145">
        <f t="shared" si="298"/>
        <v>2</v>
      </c>
      <c r="L176" s="144">
        <f t="shared" si="299"/>
        <v>4</v>
      </c>
      <c r="M176" s="146">
        <v>47.9</v>
      </c>
      <c r="N176" s="146">
        <f t="shared" si="300"/>
        <v>191.6</v>
      </c>
      <c r="O176" s="146" t="s">
        <v>137</v>
      </c>
      <c r="P176" s="146" t="s">
        <v>13</v>
      </c>
      <c r="Q176" s="146" t="s">
        <v>154</v>
      </c>
      <c r="R176" s="146"/>
      <c r="S176" s="146"/>
      <c r="T176" s="146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4</v>
      </c>
      <c r="U176" s="146">
        <f t="shared" ca="1" si="301"/>
        <v>0</v>
      </c>
      <c r="V176" s="146">
        <f t="shared" ca="1" si="302"/>
        <v>2</v>
      </c>
      <c r="W176" s="146"/>
      <c r="X176" s="146"/>
      <c r="Y176" s="146"/>
      <c r="Z176" s="146"/>
      <c r="AA176" s="146"/>
      <c r="AB176" s="146"/>
      <c r="AC176" s="146">
        <v>2.5</v>
      </c>
      <c r="AD176" s="117" t="s">
        <v>268</v>
      </c>
      <c r="AE176" s="148"/>
      <c r="AF176" s="146" t="str">
        <f t="shared" si="303"/>
        <v>N/A</v>
      </c>
      <c r="AG176" s="146">
        <f t="shared" si="303"/>
        <v>0</v>
      </c>
      <c r="AH176" s="146">
        <f t="shared" si="304"/>
        <v>0</v>
      </c>
      <c r="AI176" s="146">
        <f t="shared" ca="1" si="305"/>
        <v>0</v>
      </c>
      <c r="AJ176" s="146">
        <f t="shared" ca="1" si="306"/>
        <v>0</v>
      </c>
      <c r="AK176" s="146" t="str">
        <f t="shared" si="303"/>
        <v>AMC 2-S2</v>
      </c>
      <c r="AL176" s="146">
        <f t="shared" si="303"/>
        <v>2</v>
      </c>
      <c r="AM176" s="146">
        <f t="shared" si="307"/>
        <v>4</v>
      </c>
      <c r="AN176" s="146">
        <f t="shared" ca="1" si="308"/>
        <v>2</v>
      </c>
      <c r="AO176" s="146">
        <f t="shared" ca="1" si="309"/>
        <v>2</v>
      </c>
      <c r="AP176" s="146" t="str">
        <f t="shared" si="303"/>
        <v>N/A</v>
      </c>
      <c r="AQ176" s="146">
        <f t="shared" si="303"/>
        <v>0</v>
      </c>
      <c r="AR176" s="146">
        <f t="shared" si="310"/>
        <v>0</v>
      </c>
      <c r="AS176" s="146">
        <f t="shared" ca="1" si="311"/>
        <v>0</v>
      </c>
      <c r="AT176" s="146">
        <f t="shared" ca="1" si="312"/>
        <v>0</v>
      </c>
      <c r="AU176" s="146" t="str">
        <f t="shared" si="303"/>
        <v>N/A</v>
      </c>
      <c r="AV176" s="146">
        <f t="shared" si="303"/>
        <v>0</v>
      </c>
      <c r="AW176" s="146">
        <f t="shared" si="313"/>
        <v>0</v>
      </c>
      <c r="AX176" s="146">
        <f t="shared" ca="1" si="314"/>
        <v>0</v>
      </c>
      <c r="AY176" s="146">
        <f t="shared" ca="1" si="315"/>
        <v>0</v>
      </c>
      <c r="AZ176" s="147"/>
      <c r="BA176" s="168" t="s">
        <v>811</v>
      </c>
      <c r="BB176" s="144" t="s">
        <v>141</v>
      </c>
      <c r="BC176" s="168" t="s">
        <v>478</v>
      </c>
      <c r="BD176" s="144" t="s">
        <v>140</v>
      </c>
      <c r="BE176" s="146">
        <v>1.3</v>
      </c>
      <c r="BF176" s="148"/>
      <c r="BG176" s="146"/>
      <c r="BH176" s="117"/>
      <c r="BI176" s="117"/>
      <c r="BJ176" s="149"/>
      <c r="BK176" s="149"/>
      <c r="BL176" s="117">
        <v>0</v>
      </c>
      <c r="BM176" s="117">
        <v>1</v>
      </c>
      <c r="BN176" s="117">
        <v>0</v>
      </c>
      <c r="BO176" s="117">
        <v>0</v>
      </c>
      <c r="BP176" s="117">
        <v>0</v>
      </c>
      <c r="BQ176" s="117">
        <v>0</v>
      </c>
      <c r="BR176" s="117">
        <v>0</v>
      </c>
      <c r="BS176" s="117" t="s">
        <v>150</v>
      </c>
      <c r="BT176" s="158" t="s">
        <v>210</v>
      </c>
      <c r="BU176" s="117"/>
      <c r="BV176" s="117" t="s">
        <v>211</v>
      </c>
      <c r="BW176" s="117">
        <v>4</v>
      </c>
      <c r="BX176" s="149">
        <v>46201</v>
      </c>
      <c r="BY176" s="117"/>
      <c r="BZ176" s="117"/>
      <c r="CA176" s="117"/>
      <c r="CB176" s="117">
        <f t="shared" si="316"/>
        <v>0</v>
      </c>
    </row>
    <row r="177" spans="1:80" ht="16.5" hidden="1" customHeight="1">
      <c r="A177" s="117">
        <v>360</v>
      </c>
      <c r="B177" s="154" t="s">
        <v>477</v>
      </c>
      <c r="C177" s="154" t="s">
        <v>906</v>
      </c>
      <c r="D177" s="154" t="s">
        <v>13</v>
      </c>
      <c r="E177" s="154" t="s">
        <v>499</v>
      </c>
      <c r="F177" s="154" t="s">
        <v>500</v>
      </c>
      <c r="G177" s="154" t="s">
        <v>488</v>
      </c>
      <c r="H177" s="146">
        <v>1345</v>
      </c>
      <c r="I177" s="147" t="s">
        <v>147</v>
      </c>
      <c r="J177" s="144">
        <v>2</v>
      </c>
      <c r="K177" s="145">
        <f t="shared" si="298"/>
        <v>2</v>
      </c>
      <c r="L177" s="144">
        <f t="shared" si="299"/>
        <v>4</v>
      </c>
      <c r="M177" s="146">
        <v>52.9</v>
      </c>
      <c r="N177" s="146">
        <f t="shared" si="300"/>
        <v>211.6</v>
      </c>
      <c r="O177" s="146" t="s">
        <v>137</v>
      </c>
      <c r="P177" s="146" t="s">
        <v>13</v>
      </c>
      <c r="Q177" s="146" t="s">
        <v>154</v>
      </c>
      <c r="R177" s="146"/>
      <c r="S177" s="146"/>
      <c r="T177" s="146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4</v>
      </c>
      <c r="U177" s="146">
        <f t="shared" ca="1" si="301"/>
        <v>0</v>
      </c>
      <c r="V177" s="146">
        <f t="shared" ca="1" si="302"/>
        <v>2</v>
      </c>
      <c r="W177" s="146"/>
      <c r="X177" s="146"/>
      <c r="Y177" s="146"/>
      <c r="Z177" s="146"/>
      <c r="AA177" s="146"/>
      <c r="AB177" s="146"/>
      <c r="AC177" s="146">
        <v>2.8</v>
      </c>
      <c r="AD177" s="117" t="s">
        <v>268</v>
      </c>
      <c r="AE177" s="148"/>
      <c r="AF177" s="146" t="str">
        <f t="shared" si="303"/>
        <v>N/A</v>
      </c>
      <c r="AG177" s="146">
        <f t="shared" si="303"/>
        <v>0</v>
      </c>
      <c r="AH177" s="146">
        <f t="shared" si="304"/>
        <v>0</v>
      </c>
      <c r="AI177" s="146">
        <f t="shared" ca="1" si="305"/>
        <v>0</v>
      </c>
      <c r="AJ177" s="146">
        <f t="shared" ca="1" si="306"/>
        <v>0</v>
      </c>
      <c r="AK177" s="146" t="str">
        <f t="shared" si="303"/>
        <v>AMC 2-S2</v>
      </c>
      <c r="AL177" s="146">
        <f t="shared" si="303"/>
        <v>2</v>
      </c>
      <c r="AM177" s="146">
        <f t="shared" si="307"/>
        <v>4</v>
      </c>
      <c r="AN177" s="146">
        <f t="shared" ca="1" si="308"/>
        <v>2</v>
      </c>
      <c r="AO177" s="146">
        <f t="shared" ca="1" si="309"/>
        <v>2</v>
      </c>
      <c r="AP177" s="146" t="str">
        <f t="shared" si="303"/>
        <v>N/A</v>
      </c>
      <c r="AQ177" s="146">
        <f t="shared" si="303"/>
        <v>0</v>
      </c>
      <c r="AR177" s="146">
        <f t="shared" si="310"/>
        <v>0</v>
      </c>
      <c r="AS177" s="146">
        <f t="shared" ca="1" si="311"/>
        <v>0</v>
      </c>
      <c r="AT177" s="146">
        <f t="shared" ca="1" si="312"/>
        <v>0</v>
      </c>
      <c r="AU177" s="146" t="str">
        <f t="shared" si="303"/>
        <v>N/A</v>
      </c>
      <c r="AV177" s="146">
        <f t="shared" si="303"/>
        <v>0</v>
      </c>
      <c r="AW177" s="146">
        <f t="shared" si="313"/>
        <v>0</v>
      </c>
      <c r="AX177" s="146">
        <f t="shared" ca="1" si="314"/>
        <v>0</v>
      </c>
      <c r="AY177" s="146">
        <f t="shared" ca="1" si="315"/>
        <v>0</v>
      </c>
      <c r="AZ177" s="147"/>
      <c r="BA177" s="168" t="s">
        <v>811</v>
      </c>
      <c r="BB177" s="144" t="s">
        <v>141</v>
      </c>
      <c r="BC177" s="168" t="s">
        <v>478</v>
      </c>
      <c r="BD177" s="144" t="s">
        <v>140</v>
      </c>
      <c r="BE177" s="146">
        <v>1.4</v>
      </c>
      <c r="BF177" s="148"/>
      <c r="BG177" s="146"/>
      <c r="BH177" s="117"/>
      <c r="BI177" s="117"/>
      <c r="BJ177" s="149"/>
      <c r="BK177" s="149"/>
      <c r="BL177" s="117">
        <v>0</v>
      </c>
      <c r="BM177" s="117">
        <v>1</v>
      </c>
      <c r="BN177" s="117">
        <v>0</v>
      </c>
      <c r="BO177" s="117">
        <v>0</v>
      </c>
      <c r="BP177" s="117">
        <v>0</v>
      </c>
      <c r="BQ177" s="117">
        <v>0</v>
      </c>
      <c r="BR177" s="117">
        <v>0</v>
      </c>
      <c r="BS177" s="117" t="s">
        <v>150</v>
      </c>
      <c r="BT177" s="158" t="s">
        <v>210</v>
      </c>
      <c r="BU177" s="117"/>
      <c r="BV177" s="117" t="s">
        <v>211</v>
      </c>
      <c r="BW177" s="117">
        <v>4</v>
      </c>
      <c r="BX177" s="149">
        <v>46201</v>
      </c>
      <c r="BY177" s="117"/>
      <c r="BZ177" s="117"/>
      <c r="CA177" s="117"/>
      <c r="CB177" s="117">
        <f t="shared" si="316"/>
        <v>0</v>
      </c>
    </row>
    <row r="178" spans="1:80" ht="16.5" hidden="1" customHeight="1">
      <c r="A178" s="117">
        <v>361</v>
      </c>
      <c r="B178" s="154" t="s">
        <v>477</v>
      </c>
      <c r="C178" s="154" t="s">
        <v>906</v>
      </c>
      <c r="D178" s="154" t="s">
        <v>13</v>
      </c>
      <c r="E178" s="154" t="s">
        <v>501</v>
      </c>
      <c r="F178" s="154" t="s">
        <v>502</v>
      </c>
      <c r="G178" s="154" t="s">
        <v>488</v>
      </c>
      <c r="H178" s="146">
        <v>1429</v>
      </c>
      <c r="I178" s="147" t="s">
        <v>147</v>
      </c>
      <c r="J178" s="144">
        <v>2</v>
      </c>
      <c r="K178" s="145">
        <f t="shared" si="298"/>
        <v>2</v>
      </c>
      <c r="L178" s="144">
        <f t="shared" si="299"/>
        <v>4</v>
      </c>
      <c r="M178" s="146">
        <v>56.4</v>
      </c>
      <c r="N178" s="146">
        <f t="shared" si="300"/>
        <v>225.6</v>
      </c>
      <c r="O178" s="146" t="s">
        <v>137</v>
      </c>
      <c r="P178" s="146" t="s">
        <v>13</v>
      </c>
      <c r="Q178" s="146" t="s">
        <v>154</v>
      </c>
      <c r="R178" s="146"/>
      <c r="S178" s="146"/>
      <c r="T178" s="146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4</v>
      </c>
      <c r="U178" s="146">
        <f t="shared" ca="1" si="301"/>
        <v>0</v>
      </c>
      <c r="V178" s="146">
        <f t="shared" ca="1" si="302"/>
        <v>2</v>
      </c>
      <c r="W178" s="146"/>
      <c r="X178" s="146"/>
      <c r="Y178" s="146"/>
      <c r="Z178" s="146"/>
      <c r="AA178" s="146"/>
      <c r="AB178" s="146"/>
      <c r="AC178" s="146">
        <v>3</v>
      </c>
      <c r="AD178" s="117" t="s">
        <v>268</v>
      </c>
      <c r="AE178" s="148"/>
      <c r="AF178" s="146" t="str">
        <f t="shared" si="303"/>
        <v>N/A</v>
      </c>
      <c r="AG178" s="146">
        <f t="shared" si="303"/>
        <v>0</v>
      </c>
      <c r="AH178" s="146">
        <f t="shared" si="304"/>
        <v>0</v>
      </c>
      <c r="AI178" s="146">
        <f t="shared" ca="1" si="305"/>
        <v>0</v>
      </c>
      <c r="AJ178" s="146">
        <f t="shared" ca="1" si="306"/>
        <v>0</v>
      </c>
      <c r="AK178" s="146" t="str">
        <f t="shared" si="303"/>
        <v>AMC 2-S2</v>
      </c>
      <c r="AL178" s="146">
        <f t="shared" si="303"/>
        <v>2</v>
      </c>
      <c r="AM178" s="146">
        <f t="shared" si="307"/>
        <v>4</v>
      </c>
      <c r="AN178" s="146">
        <f t="shared" ca="1" si="308"/>
        <v>2</v>
      </c>
      <c r="AO178" s="146">
        <f t="shared" ca="1" si="309"/>
        <v>2</v>
      </c>
      <c r="AP178" s="146" t="str">
        <f t="shared" si="303"/>
        <v>N/A</v>
      </c>
      <c r="AQ178" s="146">
        <f t="shared" si="303"/>
        <v>0</v>
      </c>
      <c r="AR178" s="146">
        <f t="shared" si="310"/>
        <v>0</v>
      </c>
      <c r="AS178" s="146">
        <f t="shared" ca="1" si="311"/>
        <v>0</v>
      </c>
      <c r="AT178" s="146">
        <f t="shared" ca="1" si="312"/>
        <v>0</v>
      </c>
      <c r="AU178" s="146" t="str">
        <f t="shared" si="303"/>
        <v>N/A</v>
      </c>
      <c r="AV178" s="146">
        <f t="shared" si="303"/>
        <v>0</v>
      </c>
      <c r="AW178" s="146">
        <f t="shared" si="313"/>
        <v>0</v>
      </c>
      <c r="AX178" s="146">
        <f t="shared" ca="1" si="314"/>
        <v>0</v>
      </c>
      <c r="AY178" s="146">
        <f t="shared" ca="1" si="315"/>
        <v>0</v>
      </c>
      <c r="AZ178" s="147"/>
      <c r="BA178" s="168" t="s">
        <v>811</v>
      </c>
      <c r="BB178" s="144" t="s">
        <v>141</v>
      </c>
      <c r="BC178" s="168" t="s">
        <v>478</v>
      </c>
      <c r="BD178" s="144" t="s">
        <v>140</v>
      </c>
      <c r="BE178" s="146">
        <v>1.5</v>
      </c>
      <c r="BF178" s="148"/>
      <c r="BG178" s="146"/>
      <c r="BH178" s="117"/>
      <c r="BI178" s="117"/>
      <c r="BJ178" s="149"/>
      <c r="BK178" s="149"/>
      <c r="BL178" s="117">
        <v>0</v>
      </c>
      <c r="BM178" s="117">
        <v>1</v>
      </c>
      <c r="BN178" s="117">
        <v>0</v>
      </c>
      <c r="BO178" s="117">
        <v>0</v>
      </c>
      <c r="BP178" s="117">
        <v>0</v>
      </c>
      <c r="BQ178" s="117">
        <v>0</v>
      </c>
      <c r="BR178" s="117">
        <v>0</v>
      </c>
      <c r="BS178" s="117" t="s">
        <v>150</v>
      </c>
      <c r="BT178" s="158" t="s">
        <v>210</v>
      </c>
      <c r="BU178" s="117"/>
      <c r="BV178" s="117" t="s">
        <v>211</v>
      </c>
      <c r="BW178" s="117">
        <v>4</v>
      </c>
      <c r="BX178" s="149">
        <v>46201</v>
      </c>
      <c r="BY178" s="117"/>
      <c r="BZ178" s="117"/>
      <c r="CA178" s="117"/>
      <c r="CB178" s="117">
        <f t="shared" si="316"/>
        <v>0</v>
      </c>
    </row>
    <row r="179" spans="1:80" ht="16.5" hidden="1" customHeight="1">
      <c r="A179" s="117">
        <v>362</v>
      </c>
      <c r="B179" s="154" t="s">
        <v>477</v>
      </c>
      <c r="C179" s="154" t="s">
        <v>906</v>
      </c>
      <c r="D179" s="154" t="s">
        <v>13</v>
      </c>
      <c r="E179" s="154" t="s">
        <v>503</v>
      </c>
      <c r="F179" s="154" t="s">
        <v>504</v>
      </c>
      <c r="G179" s="154" t="s">
        <v>488</v>
      </c>
      <c r="H179" s="146">
        <v>1477</v>
      </c>
      <c r="I179" s="147" t="s">
        <v>147</v>
      </c>
      <c r="J179" s="144">
        <v>2</v>
      </c>
      <c r="K179" s="145">
        <f t="shared" si="298"/>
        <v>2</v>
      </c>
      <c r="L179" s="144">
        <f t="shared" si="299"/>
        <v>4</v>
      </c>
      <c r="M179" s="146">
        <v>58.4</v>
      </c>
      <c r="N179" s="146">
        <f t="shared" si="300"/>
        <v>233.6</v>
      </c>
      <c r="O179" s="146" t="s">
        <v>137</v>
      </c>
      <c r="P179" s="146" t="s">
        <v>13</v>
      </c>
      <c r="Q179" s="146" t="s">
        <v>154</v>
      </c>
      <c r="R179" s="146"/>
      <c r="S179" s="146"/>
      <c r="T179" s="146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4</v>
      </c>
      <c r="U179" s="146">
        <f t="shared" ca="1" si="301"/>
        <v>0</v>
      </c>
      <c r="V179" s="146">
        <f t="shared" ca="1" si="302"/>
        <v>2</v>
      </c>
      <c r="W179" s="146"/>
      <c r="X179" s="146"/>
      <c r="Y179" s="146"/>
      <c r="Z179" s="146"/>
      <c r="AA179" s="146"/>
      <c r="AB179" s="146"/>
      <c r="AC179" s="146">
        <v>3.1</v>
      </c>
      <c r="AD179" s="117" t="s">
        <v>268</v>
      </c>
      <c r="AE179" s="148"/>
      <c r="AF179" s="146" t="str">
        <f t="shared" si="303"/>
        <v>N/A</v>
      </c>
      <c r="AG179" s="146">
        <f t="shared" si="303"/>
        <v>0</v>
      </c>
      <c r="AH179" s="146">
        <f t="shared" si="304"/>
        <v>0</v>
      </c>
      <c r="AI179" s="146">
        <f t="shared" ca="1" si="305"/>
        <v>0</v>
      </c>
      <c r="AJ179" s="146">
        <f t="shared" ca="1" si="306"/>
        <v>0</v>
      </c>
      <c r="AK179" s="146" t="str">
        <f t="shared" si="303"/>
        <v>AMC 2-S2</v>
      </c>
      <c r="AL179" s="146">
        <f t="shared" si="303"/>
        <v>2</v>
      </c>
      <c r="AM179" s="146">
        <f t="shared" si="307"/>
        <v>4</v>
      </c>
      <c r="AN179" s="146">
        <f t="shared" ca="1" si="308"/>
        <v>2</v>
      </c>
      <c r="AO179" s="146">
        <f t="shared" ca="1" si="309"/>
        <v>2</v>
      </c>
      <c r="AP179" s="146" t="str">
        <f t="shared" si="303"/>
        <v>N/A</v>
      </c>
      <c r="AQ179" s="146">
        <f t="shared" si="303"/>
        <v>0</v>
      </c>
      <c r="AR179" s="146">
        <f t="shared" si="310"/>
        <v>0</v>
      </c>
      <c r="AS179" s="146">
        <f t="shared" ca="1" si="311"/>
        <v>0</v>
      </c>
      <c r="AT179" s="146">
        <f t="shared" ca="1" si="312"/>
        <v>0</v>
      </c>
      <c r="AU179" s="146" t="str">
        <f t="shared" si="303"/>
        <v>N/A</v>
      </c>
      <c r="AV179" s="146">
        <f t="shared" si="303"/>
        <v>0</v>
      </c>
      <c r="AW179" s="146">
        <f t="shared" si="313"/>
        <v>0</v>
      </c>
      <c r="AX179" s="146">
        <f t="shared" ca="1" si="314"/>
        <v>0</v>
      </c>
      <c r="AY179" s="146">
        <f t="shared" ca="1" si="315"/>
        <v>0</v>
      </c>
      <c r="AZ179" s="147"/>
      <c r="BA179" s="168" t="s">
        <v>811</v>
      </c>
      <c r="BB179" s="144" t="s">
        <v>141</v>
      </c>
      <c r="BC179" s="168" t="s">
        <v>478</v>
      </c>
      <c r="BD179" s="144" t="s">
        <v>140</v>
      </c>
      <c r="BE179" s="146">
        <v>1.5</v>
      </c>
      <c r="BF179" s="148"/>
      <c r="BG179" s="146"/>
      <c r="BH179" s="117"/>
      <c r="BI179" s="117"/>
      <c r="BJ179" s="149"/>
      <c r="BK179" s="149"/>
      <c r="BL179" s="117">
        <v>0</v>
      </c>
      <c r="BM179" s="117">
        <v>1</v>
      </c>
      <c r="BN179" s="117">
        <v>0</v>
      </c>
      <c r="BO179" s="117">
        <v>0</v>
      </c>
      <c r="BP179" s="117">
        <v>0</v>
      </c>
      <c r="BQ179" s="117">
        <v>0</v>
      </c>
      <c r="BR179" s="117">
        <v>0</v>
      </c>
      <c r="BS179" s="117" t="s">
        <v>150</v>
      </c>
      <c r="BT179" s="158" t="s">
        <v>210</v>
      </c>
      <c r="BU179" s="117"/>
      <c r="BV179" s="117" t="s">
        <v>211</v>
      </c>
      <c r="BW179" s="117">
        <v>4</v>
      </c>
      <c r="BX179" s="149">
        <v>46201</v>
      </c>
      <c r="BY179" s="117"/>
      <c r="BZ179" s="117"/>
      <c r="CA179" s="117"/>
      <c r="CB179" s="117">
        <f t="shared" si="316"/>
        <v>0</v>
      </c>
    </row>
    <row r="180" spans="1:80" ht="16.5" hidden="1" customHeight="1">
      <c r="A180" s="117">
        <v>363</v>
      </c>
      <c r="B180" s="154" t="s">
        <v>477</v>
      </c>
      <c r="C180" s="154" t="s">
        <v>906</v>
      </c>
      <c r="D180" s="154" t="s">
        <v>13</v>
      </c>
      <c r="E180" s="154" t="s">
        <v>505</v>
      </c>
      <c r="F180" s="154" t="s">
        <v>506</v>
      </c>
      <c r="G180" s="154" t="s">
        <v>488</v>
      </c>
      <c r="H180" s="146">
        <v>1494</v>
      </c>
      <c r="I180" s="147" t="s">
        <v>147</v>
      </c>
      <c r="J180" s="144">
        <v>2</v>
      </c>
      <c r="K180" s="145">
        <f t="shared" si="298"/>
        <v>2</v>
      </c>
      <c r="L180" s="144">
        <f t="shared" si="299"/>
        <v>4</v>
      </c>
      <c r="M180" s="146">
        <v>59.2</v>
      </c>
      <c r="N180" s="146">
        <f t="shared" si="300"/>
        <v>236.8</v>
      </c>
      <c r="O180" s="146" t="s">
        <v>137</v>
      </c>
      <c r="P180" s="146" t="s">
        <v>13</v>
      </c>
      <c r="Q180" s="146" t="s">
        <v>154</v>
      </c>
      <c r="R180" s="146"/>
      <c r="S180" s="146"/>
      <c r="T180" s="146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4</v>
      </c>
      <c r="U180" s="146">
        <f t="shared" ca="1" si="301"/>
        <v>0</v>
      </c>
      <c r="V180" s="146">
        <f t="shared" ca="1" si="302"/>
        <v>2</v>
      </c>
      <c r="W180" s="146"/>
      <c r="X180" s="146"/>
      <c r="Y180" s="146"/>
      <c r="Z180" s="146"/>
      <c r="AA180" s="146"/>
      <c r="AB180" s="146"/>
      <c r="AC180" s="146">
        <v>3.1</v>
      </c>
      <c r="AD180" s="117" t="s">
        <v>268</v>
      </c>
      <c r="AE180" s="148"/>
      <c r="AF180" s="146" t="str">
        <f t="shared" si="303"/>
        <v>N/A</v>
      </c>
      <c r="AG180" s="146">
        <f t="shared" si="303"/>
        <v>0</v>
      </c>
      <c r="AH180" s="146">
        <f t="shared" si="304"/>
        <v>0</v>
      </c>
      <c r="AI180" s="146">
        <f t="shared" ca="1" si="305"/>
        <v>0</v>
      </c>
      <c r="AJ180" s="146">
        <f t="shared" ca="1" si="306"/>
        <v>0</v>
      </c>
      <c r="AK180" s="146" t="str">
        <f t="shared" si="303"/>
        <v>AMC 2-S2</v>
      </c>
      <c r="AL180" s="146">
        <f t="shared" si="303"/>
        <v>2</v>
      </c>
      <c r="AM180" s="146">
        <f t="shared" si="307"/>
        <v>4</v>
      </c>
      <c r="AN180" s="146">
        <f t="shared" ca="1" si="308"/>
        <v>2</v>
      </c>
      <c r="AO180" s="146">
        <f t="shared" ca="1" si="309"/>
        <v>2</v>
      </c>
      <c r="AP180" s="146" t="str">
        <f t="shared" si="303"/>
        <v>N/A</v>
      </c>
      <c r="AQ180" s="146">
        <f t="shared" si="303"/>
        <v>0</v>
      </c>
      <c r="AR180" s="146">
        <f t="shared" si="310"/>
        <v>0</v>
      </c>
      <c r="AS180" s="146">
        <f t="shared" ca="1" si="311"/>
        <v>0</v>
      </c>
      <c r="AT180" s="146">
        <f t="shared" ca="1" si="312"/>
        <v>0</v>
      </c>
      <c r="AU180" s="146" t="str">
        <f t="shared" si="303"/>
        <v>N/A</v>
      </c>
      <c r="AV180" s="146">
        <f t="shared" si="303"/>
        <v>0</v>
      </c>
      <c r="AW180" s="146">
        <f t="shared" si="313"/>
        <v>0</v>
      </c>
      <c r="AX180" s="146">
        <f t="shared" ca="1" si="314"/>
        <v>0</v>
      </c>
      <c r="AY180" s="146">
        <f t="shared" ca="1" si="315"/>
        <v>0</v>
      </c>
      <c r="AZ180" s="147"/>
      <c r="BA180" s="168" t="s">
        <v>811</v>
      </c>
      <c r="BB180" s="144" t="s">
        <v>141</v>
      </c>
      <c r="BC180" s="168" t="s">
        <v>478</v>
      </c>
      <c r="BD180" s="144" t="s">
        <v>140</v>
      </c>
      <c r="BE180" s="146">
        <v>1.6</v>
      </c>
      <c r="BF180" s="148"/>
      <c r="BG180" s="146"/>
      <c r="BH180" s="117"/>
      <c r="BI180" s="117"/>
      <c r="BJ180" s="149"/>
      <c r="BK180" s="149"/>
      <c r="BL180" s="117">
        <v>0</v>
      </c>
      <c r="BM180" s="117">
        <v>1</v>
      </c>
      <c r="BN180" s="117">
        <v>0</v>
      </c>
      <c r="BO180" s="117">
        <v>0</v>
      </c>
      <c r="BP180" s="117">
        <v>0</v>
      </c>
      <c r="BQ180" s="117">
        <v>0</v>
      </c>
      <c r="BR180" s="117">
        <v>0</v>
      </c>
      <c r="BS180" s="117" t="s">
        <v>150</v>
      </c>
      <c r="BT180" s="158" t="s">
        <v>210</v>
      </c>
      <c r="BU180" s="117"/>
      <c r="BV180" s="117" t="s">
        <v>211</v>
      </c>
      <c r="BW180" s="117">
        <v>4</v>
      </c>
      <c r="BX180" s="149">
        <v>46201</v>
      </c>
      <c r="BY180" s="117"/>
      <c r="BZ180" s="117"/>
      <c r="CA180" s="117"/>
      <c r="CB180" s="117">
        <f t="shared" si="316"/>
        <v>0</v>
      </c>
    </row>
    <row r="181" spans="1:80" ht="16.5" hidden="1" customHeight="1">
      <c r="A181" s="117">
        <v>364</v>
      </c>
      <c r="B181" s="154" t="s">
        <v>477</v>
      </c>
      <c r="C181" s="154" t="s">
        <v>906</v>
      </c>
      <c r="D181" s="154" t="s">
        <v>13</v>
      </c>
      <c r="E181" s="154" t="s">
        <v>507</v>
      </c>
      <c r="F181" s="154" t="s">
        <v>508</v>
      </c>
      <c r="G181" s="154" t="s">
        <v>488</v>
      </c>
      <c r="H181" s="146">
        <v>1451</v>
      </c>
      <c r="I181" s="147" t="s">
        <v>147</v>
      </c>
      <c r="J181" s="144">
        <v>2</v>
      </c>
      <c r="K181" s="145">
        <f t="shared" si="298"/>
        <v>2</v>
      </c>
      <c r="L181" s="144">
        <f t="shared" si="299"/>
        <v>4</v>
      </c>
      <c r="M181" s="146">
        <v>57.1</v>
      </c>
      <c r="N181" s="146">
        <f t="shared" si="300"/>
        <v>228.4</v>
      </c>
      <c r="O181" s="146" t="s">
        <v>137</v>
      </c>
      <c r="P181" s="146" t="s">
        <v>13</v>
      </c>
      <c r="Q181" s="146" t="s">
        <v>154</v>
      </c>
      <c r="R181" s="146"/>
      <c r="S181" s="146"/>
      <c r="T181" s="146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4</v>
      </c>
      <c r="U181" s="146">
        <f t="shared" ca="1" si="301"/>
        <v>0</v>
      </c>
      <c r="V181" s="146">
        <f t="shared" ca="1" si="302"/>
        <v>2</v>
      </c>
      <c r="W181" s="146"/>
      <c r="X181" s="146"/>
      <c r="Y181" s="146"/>
      <c r="Z181" s="146"/>
      <c r="AA181" s="146"/>
      <c r="AB181" s="146"/>
      <c r="AC181" s="146">
        <v>3</v>
      </c>
      <c r="AD181" s="117" t="s">
        <v>268</v>
      </c>
      <c r="AE181" s="148"/>
      <c r="AF181" s="146" t="str">
        <f t="shared" si="303"/>
        <v>N/A</v>
      </c>
      <c r="AG181" s="146">
        <f t="shared" si="303"/>
        <v>0</v>
      </c>
      <c r="AH181" s="146">
        <f t="shared" si="304"/>
        <v>0</v>
      </c>
      <c r="AI181" s="146">
        <f t="shared" ca="1" si="305"/>
        <v>0</v>
      </c>
      <c r="AJ181" s="146">
        <f t="shared" ca="1" si="306"/>
        <v>0</v>
      </c>
      <c r="AK181" s="146" t="str">
        <f t="shared" si="303"/>
        <v>AMC 2-S2</v>
      </c>
      <c r="AL181" s="146">
        <f t="shared" si="303"/>
        <v>2</v>
      </c>
      <c r="AM181" s="146">
        <f t="shared" si="307"/>
        <v>4</v>
      </c>
      <c r="AN181" s="146">
        <f t="shared" ca="1" si="308"/>
        <v>2</v>
      </c>
      <c r="AO181" s="146">
        <f t="shared" ca="1" si="309"/>
        <v>2</v>
      </c>
      <c r="AP181" s="146" t="str">
        <f t="shared" si="303"/>
        <v>N/A</v>
      </c>
      <c r="AQ181" s="146">
        <f t="shared" si="303"/>
        <v>0</v>
      </c>
      <c r="AR181" s="146">
        <f t="shared" si="310"/>
        <v>0</v>
      </c>
      <c r="AS181" s="146">
        <f t="shared" ca="1" si="311"/>
        <v>0</v>
      </c>
      <c r="AT181" s="146">
        <f t="shared" ca="1" si="312"/>
        <v>0</v>
      </c>
      <c r="AU181" s="146" t="str">
        <f t="shared" si="303"/>
        <v>N/A</v>
      </c>
      <c r="AV181" s="146">
        <f t="shared" si="303"/>
        <v>0</v>
      </c>
      <c r="AW181" s="146">
        <f t="shared" si="313"/>
        <v>0</v>
      </c>
      <c r="AX181" s="146">
        <f t="shared" ca="1" si="314"/>
        <v>0</v>
      </c>
      <c r="AY181" s="146">
        <f t="shared" ca="1" si="315"/>
        <v>0</v>
      </c>
      <c r="AZ181" s="147"/>
      <c r="BA181" s="168" t="s">
        <v>811</v>
      </c>
      <c r="BB181" s="144" t="s">
        <v>141</v>
      </c>
      <c r="BC181" s="168" t="s">
        <v>478</v>
      </c>
      <c r="BD181" s="144" t="s">
        <v>140</v>
      </c>
      <c r="BE181" s="146">
        <v>1.5</v>
      </c>
      <c r="BF181" s="148"/>
      <c r="BG181" s="146"/>
      <c r="BH181" s="117"/>
      <c r="BI181" s="117"/>
      <c r="BJ181" s="149"/>
      <c r="BK181" s="149"/>
      <c r="BL181" s="117">
        <v>0</v>
      </c>
      <c r="BM181" s="117">
        <v>1</v>
      </c>
      <c r="BN181" s="117">
        <v>0</v>
      </c>
      <c r="BO181" s="117">
        <v>0</v>
      </c>
      <c r="BP181" s="117">
        <v>0</v>
      </c>
      <c r="BQ181" s="117">
        <v>0</v>
      </c>
      <c r="BR181" s="117">
        <v>0</v>
      </c>
      <c r="BS181" s="117" t="s">
        <v>150</v>
      </c>
      <c r="BT181" s="158" t="s">
        <v>210</v>
      </c>
      <c r="BU181" s="117"/>
      <c r="BV181" s="117" t="s">
        <v>211</v>
      </c>
      <c r="BW181" s="117">
        <v>4</v>
      </c>
      <c r="BX181" s="149">
        <v>46201</v>
      </c>
      <c r="BY181" s="117"/>
      <c r="BZ181" s="117"/>
      <c r="CA181" s="117"/>
      <c r="CB181" s="117">
        <f t="shared" si="316"/>
        <v>0</v>
      </c>
    </row>
    <row r="182" spans="1:80" ht="16.5" hidden="1" customHeight="1">
      <c r="A182" s="117">
        <v>365</v>
      </c>
      <c r="B182" s="154" t="s">
        <v>477</v>
      </c>
      <c r="C182" s="154" t="s">
        <v>906</v>
      </c>
      <c r="D182" s="154" t="s">
        <v>13</v>
      </c>
      <c r="E182" s="154" t="s">
        <v>509</v>
      </c>
      <c r="F182" s="154" t="s">
        <v>510</v>
      </c>
      <c r="G182" s="154" t="s">
        <v>488</v>
      </c>
      <c r="H182" s="146">
        <v>1276</v>
      </c>
      <c r="I182" s="147" t="s">
        <v>147</v>
      </c>
      <c r="J182" s="144">
        <v>2</v>
      </c>
      <c r="K182" s="145">
        <f t="shared" si="298"/>
        <v>2</v>
      </c>
      <c r="L182" s="144">
        <f t="shared" si="299"/>
        <v>4</v>
      </c>
      <c r="M182" s="146">
        <v>49.7</v>
      </c>
      <c r="N182" s="146">
        <f t="shared" si="300"/>
        <v>198.8</v>
      </c>
      <c r="O182" s="146" t="s">
        <v>137</v>
      </c>
      <c r="P182" s="146" t="s">
        <v>13</v>
      </c>
      <c r="Q182" s="146" t="s">
        <v>154</v>
      </c>
      <c r="R182" s="146"/>
      <c r="S182" s="146"/>
      <c r="T182" s="146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4</v>
      </c>
      <c r="U182" s="146">
        <f t="shared" ca="1" si="301"/>
        <v>0</v>
      </c>
      <c r="V182" s="146">
        <f t="shared" ca="1" si="302"/>
        <v>2</v>
      </c>
      <c r="W182" s="146"/>
      <c r="X182" s="146"/>
      <c r="Y182" s="146"/>
      <c r="Z182" s="146"/>
      <c r="AA182" s="146"/>
      <c r="AB182" s="146"/>
      <c r="AC182" s="146">
        <v>2.6</v>
      </c>
      <c r="AD182" s="117" t="s">
        <v>268</v>
      </c>
      <c r="AE182" s="148"/>
      <c r="AF182" s="146" t="str">
        <f t="shared" si="303"/>
        <v>N/A</v>
      </c>
      <c r="AG182" s="146">
        <f t="shared" si="303"/>
        <v>0</v>
      </c>
      <c r="AH182" s="146">
        <f t="shared" si="304"/>
        <v>0</v>
      </c>
      <c r="AI182" s="146">
        <f t="shared" ca="1" si="305"/>
        <v>0</v>
      </c>
      <c r="AJ182" s="146">
        <f t="shared" ca="1" si="306"/>
        <v>0</v>
      </c>
      <c r="AK182" s="146" t="str">
        <f t="shared" si="303"/>
        <v>AMC 2-S2</v>
      </c>
      <c r="AL182" s="146">
        <f t="shared" si="303"/>
        <v>2</v>
      </c>
      <c r="AM182" s="146">
        <f t="shared" si="307"/>
        <v>4</v>
      </c>
      <c r="AN182" s="146">
        <f t="shared" ca="1" si="308"/>
        <v>2</v>
      </c>
      <c r="AO182" s="146">
        <f t="shared" ca="1" si="309"/>
        <v>2</v>
      </c>
      <c r="AP182" s="146" t="str">
        <f t="shared" si="303"/>
        <v>N/A</v>
      </c>
      <c r="AQ182" s="146">
        <f t="shared" si="303"/>
        <v>0</v>
      </c>
      <c r="AR182" s="146">
        <f t="shared" si="310"/>
        <v>0</v>
      </c>
      <c r="AS182" s="146">
        <f t="shared" ca="1" si="311"/>
        <v>0</v>
      </c>
      <c r="AT182" s="146">
        <f t="shared" ca="1" si="312"/>
        <v>0</v>
      </c>
      <c r="AU182" s="146" t="str">
        <f t="shared" si="303"/>
        <v>N/A</v>
      </c>
      <c r="AV182" s="146">
        <f t="shared" si="303"/>
        <v>0</v>
      </c>
      <c r="AW182" s="146">
        <f t="shared" si="313"/>
        <v>0</v>
      </c>
      <c r="AX182" s="146">
        <f t="shared" ca="1" si="314"/>
        <v>0</v>
      </c>
      <c r="AY182" s="146">
        <f t="shared" ca="1" si="315"/>
        <v>0</v>
      </c>
      <c r="AZ182" s="147"/>
      <c r="BA182" s="168" t="s">
        <v>811</v>
      </c>
      <c r="BB182" s="144" t="s">
        <v>141</v>
      </c>
      <c r="BC182" s="168" t="s">
        <v>478</v>
      </c>
      <c r="BD182" s="144" t="s">
        <v>140</v>
      </c>
      <c r="BE182" s="146">
        <v>1.3</v>
      </c>
      <c r="BF182" s="148"/>
      <c r="BG182" s="146"/>
      <c r="BH182" s="117"/>
      <c r="BI182" s="117"/>
      <c r="BJ182" s="149"/>
      <c r="BK182" s="149"/>
      <c r="BL182" s="117">
        <v>0</v>
      </c>
      <c r="BM182" s="117">
        <v>1</v>
      </c>
      <c r="BN182" s="117">
        <v>0</v>
      </c>
      <c r="BO182" s="117">
        <v>0</v>
      </c>
      <c r="BP182" s="117">
        <v>0</v>
      </c>
      <c r="BQ182" s="117">
        <v>0</v>
      </c>
      <c r="BR182" s="117">
        <v>0</v>
      </c>
      <c r="BS182" s="117" t="s">
        <v>150</v>
      </c>
      <c r="BT182" s="158" t="s">
        <v>210</v>
      </c>
      <c r="BU182" s="117"/>
      <c r="BV182" s="117" t="s">
        <v>211</v>
      </c>
      <c r="BW182" s="117">
        <v>4</v>
      </c>
      <c r="BX182" s="149">
        <v>46201</v>
      </c>
      <c r="BY182" s="117"/>
      <c r="BZ182" s="117"/>
      <c r="CA182" s="117"/>
      <c r="CB182" s="117">
        <f t="shared" si="316"/>
        <v>0</v>
      </c>
    </row>
    <row r="183" spans="1:80" ht="16.5" hidden="1" customHeight="1">
      <c r="A183" s="117">
        <v>366</v>
      </c>
      <c r="B183" s="154" t="s">
        <v>477</v>
      </c>
      <c r="C183" s="154" t="s">
        <v>906</v>
      </c>
      <c r="D183" s="154" t="s">
        <v>13</v>
      </c>
      <c r="E183" s="154" t="s">
        <v>511</v>
      </c>
      <c r="F183" s="154" t="s">
        <v>512</v>
      </c>
      <c r="G183" s="154" t="s">
        <v>488</v>
      </c>
      <c r="H183" s="146">
        <v>890</v>
      </c>
      <c r="I183" s="147" t="s">
        <v>147</v>
      </c>
      <c r="J183" s="144">
        <v>2</v>
      </c>
      <c r="K183" s="145">
        <f t="shared" si="298"/>
        <v>2</v>
      </c>
      <c r="L183" s="144">
        <f t="shared" si="299"/>
        <v>4</v>
      </c>
      <c r="M183" s="146">
        <v>33.299999999999997</v>
      </c>
      <c r="N183" s="146">
        <f t="shared" si="300"/>
        <v>133.19999999999999</v>
      </c>
      <c r="O183" s="146" t="s">
        <v>137</v>
      </c>
      <c r="P183" s="146" t="s">
        <v>13</v>
      </c>
      <c r="Q183" s="146" t="s">
        <v>154</v>
      </c>
      <c r="R183" s="146"/>
      <c r="S183" s="146"/>
      <c r="T183" s="146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4</v>
      </c>
      <c r="U183" s="146">
        <f t="shared" ca="1" si="301"/>
        <v>0</v>
      </c>
      <c r="V183" s="146">
        <f t="shared" ca="1" si="302"/>
        <v>2</v>
      </c>
      <c r="W183" s="146"/>
      <c r="X183" s="146"/>
      <c r="Y183" s="146"/>
      <c r="Z183" s="146"/>
      <c r="AA183" s="146"/>
      <c r="AB183" s="146"/>
      <c r="AC183" s="146">
        <v>1.8</v>
      </c>
      <c r="AD183" s="117" t="s">
        <v>268</v>
      </c>
      <c r="AE183" s="148"/>
      <c r="AF183" s="146" t="str">
        <f t="shared" si="303"/>
        <v>N/A</v>
      </c>
      <c r="AG183" s="146">
        <f t="shared" si="303"/>
        <v>0</v>
      </c>
      <c r="AH183" s="146">
        <f t="shared" si="304"/>
        <v>0</v>
      </c>
      <c r="AI183" s="146">
        <f t="shared" ca="1" si="305"/>
        <v>0</v>
      </c>
      <c r="AJ183" s="146">
        <f t="shared" ca="1" si="306"/>
        <v>0</v>
      </c>
      <c r="AK183" s="146" t="str">
        <f t="shared" si="303"/>
        <v>AMC 2-S2</v>
      </c>
      <c r="AL183" s="146">
        <f t="shared" si="303"/>
        <v>2</v>
      </c>
      <c r="AM183" s="146">
        <f t="shared" si="307"/>
        <v>4</v>
      </c>
      <c r="AN183" s="146">
        <f t="shared" ca="1" si="308"/>
        <v>2</v>
      </c>
      <c r="AO183" s="146">
        <f t="shared" ca="1" si="309"/>
        <v>2</v>
      </c>
      <c r="AP183" s="146" t="str">
        <f t="shared" si="303"/>
        <v>N/A</v>
      </c>
      <c r="AQ183" s="146">
        <f t="shared" si="303"/>
        <v>0</v>
      </c>
      <c r="AR183" s="146">
        <f t="shared" si="310"/>
        <v>0</v>
      </c>
      <c r="AS183" s="146">
        <f t="shared" ca="1" si="311"/>
        <v>0</v>
      </c>
      <c r="AT183" s="146">
        <f t="shared" ca="1" si="312"/>
        <v>0</v>
      </c>
      <c r="AU183" s="146" t="str">
        <f t="shared" si="303"/>
        <v>N/A</v>
      </c>
      <c r="AV183" s="146">
        <f t="shared" si="303"/>
        <v>0</v>
      </c>
      <c r="AW183" s="146">
        <f t="shared" si="313"/>
        <v>0</v>
      </c>
      <c r="AX183" s="146">
        <f t="shared" ca="1" si="314"/>
        <v>0</v>
      </c>
      <c r="AY183" s="146">
        <f t="shared" ca="1" si="315"/>
        <v>0</v>
      </c>
      <c r="AZ183" s="147"/>
      <c r="BA183" s="168" t="s">
        <v>811</v>
      </c>
      <c r="BB183" s="144" t="s">
        <v>141</v>
      </c>
      <c r="BC183" s="168" t="s">
        <v>478</v>
      </c>
      <c r="BD183" s="144" t="s">
        <v>140</v>
      </c>
      <c r="BE183" s="146">
        <v>0.9</v>
      </c>
      <c r="BF183" s="148"/>
      <c r="BG183" s="146"/>
      <c r="BH183" s="117"/>
      <c r="BI183" s="117"/>
      <c r="BJ183" s="149"/>
      <c r="BK183" s="149"/>
      <c r="BL183" s="117">
        <v>0</v>
      </c>
      <c r="BM183" s="117">
        <v>1</v>
      </c>
      <c r="BN183" s="117">
        <v>0</v>
      </c>
      <c r="BO183" s="117">
        <v>0</v>
      </c>
      <c r="BP183" s="117">
        <v>0</v>
      </c>
      <c r="BQ183" s="117">
        <v>0</v>
      </c>
      <c r="BR183" s="117">
        <v>0</v>
      </c>
      <c r="BS183" s="117" t="s">
        <v>150</v>
      </c>
      <c r="BT183" s="158" t="s">
        <v>210</v>
      </c>
      <c r="BU183" s="117"/>
      <c r="BV183" s="117" t="s">
        <v>211</v>
      </c>
      <c r="BW183" s="117">
        <v>4</v>
      </c>
      <c r="BX183" s="149">
        <v>46201</v>
      </c>
      <c r="BY183" s="117"/>
      <c r="BZ183" s="117"/>
      <c r="CA183" s="117"/>
      <c r="CB183" s="117">
        <f t="shared" si="316"/>
        <v>0</v>
      </c>
    </row>
    <row r="184" spans="1:80" ht="16.5" hidden="1" customHeight="1">
      <c r="A184" s="133">
        <v>573</v>
      </c>
      <c r="B184" s="156" t="s">
        <v>513</v>
      </c>
      <c r="C184" s="156" t="s">
        <v>907</v>
      </c>
      <c r="D184" s="156"/>
      <c r="E184" s="156" t="s">
        <v>136</v>
      </c>
      <c r="F184" s="156"/>
      <c r="G184" s="156"/>
      <c r="H184" s="157"/>
      <c r="I184" s="159"/>
      <c r="J184" s="160" t="s">
        <v>136</v>
      </c>
      <c r="K184" s="138">
        <f>+AG184+AL184+AQ184+AV184</f>
        <v>1</v>
      </c>
      <c r="L184" s="160" t="s">
        <v>136</v>
      </c>
      <c r="M184" s="157"/>
      <c r="N184" s="157">
        <v>1822.2</v>
      </c>
      <c r="O184" s="157" t="s">
        <v>137</v>
      </c>
      <c r="P184" s="157"/>
      <c r="Q184" s="157"/>
      <c r="R184" s="157"/>
      <c r="S184" s="157"/>
      <c r="T184" s="157"/>
      <c r="U184" s="157"/>
      <c r="V184" s="157"/>
      <c r="W184" s="135">
        <f ca="1">_xlfn.MINIFS(V:V,C:C,C184,AE:AE,"",AB:AB,"")</f>
        <v>1</v>
      </c>
      <c r="X184" s="135">
        <f ca="1">SUMIFS(T:T,C:C,C184,AE:AE,"")/SUMIFS(L:L,C:C,C184,AE:AE,"",AB:AB,"")</f>
        <v>1</v>
      </c>
      <c r="Y184" s="157"/>
      <c r="Z184" s="157"/>
      <c r="AA184" s="157"/>
      <c r="AB184" s="157"/>
      <c r="AC184" s="157">
        <v>27</v>
      </c>
      <c r="AD184" s="161" t="s">
        <v>196</v>
      </c>
      <c r="AE184" s="162" t="s">
        <v>143</v>
      </c>
      <c r="AF184" s="157" t="s">
        <v>281</v>
      </c>
      <c r="AG184" s="157">
        <v>1</v>
      </c>
      <c r="AH184" s="157"/>
      <c r="AI184" s="157"/>
      <c r="AJ184" s="157"/>
      <c r="AK184" s="157" t="s">
        <v>138</v>
      </c>
      <c r="AL184" s="157">
        <v>0</v>
      </c>
      <c r="AM184" s="157"/>
      <c r="AN184" s="157"/>
      <c r="AO184" s="157"/>
      <c r="AP184" s="157" t="s">
        <v>138</v>
      </c>
      <c r="AQ184" s="157">
        <v>0</v>
      </c>
      <c r="AR184" s="157"/>
      <c r="AS184" s="157"/>
      <c r="AT184" s="157"/>
      <c r="AU184" s="157" t="s">
        <v>138</v>
      </c>
      <c r="AV184" s="157">
        <v>0</v>
      </c>
      <c r="AW184" s="157"/>
      <c r="AX184" s="157"/>
      <c r="AY184" s="157"/>
      <c r="AZ184" s="136"/>
      <c r="BA184" s="137" t="s">
        <v>141</v>
      </c>
      <c r="BB184" s="137" t="s">
        <v>140</v>
      </c>
      <c r="BC184" s="137" t="s">
        <v>140</v>
      </c>
      <c r="BD184" s="137" t="s">
        <v>140</v>
      </c>
      <c r="BE184" s="157">
        <v>27</v>
      </c>
      <c r="BF184" s="162"/>
      <c r="BG184" s="157"/>
      <c r="BH184" s="161"/>
      <c r="BI184" s="161"/>
      <c r="BJ184" s="163"/>
      <c r="BK184" s="163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4"/>
      <c r="BV184" s="161"/>
      <c r="BW184" s="161"/>
      <c r="BX184" s="163"/>
      <c r="BY184" s="161"/>
      <c r="BZ184" s="161"/>
      <c r="CA184" s="161"/>
      <c r="CB184" s="161"/>
    </row>
    <row r="185" spans="1:80" ht="16.5" hidden="1" customHeight="1">
      <c r="A185" s="117">
        <v>574</v>
      </c>
      <c r="B185" s="154" t="s">
        <v>513</v>
      </c>
      <c r="C185" s="154" t="s">
        <v>907</v>
      </c>
      <c r="D185" s="154" t="s">
        <v>13</v>
      </c>
      <c r="E185" s="154" t="s">
        <v>514</v>
      </c>
      <c r="F185" s="154" t="s">
        <v>515</v>
      </c>
      <c r="G185" s="154" t="s">
        <v>516</v>
      </c>
      <c r="H185" s="146">
        <v>6766</v>
      </c>
      <c r="I185" s="147" t="s">
        <v>147</v>
      </c>
      <c r="J185" s="144">
        <v>1</v>
      </c>
      <c r="K185" s="145">
        <f t="shared" ref="K185:K189" si="317">K184</f>
        <v>1</v>
      </c>
      <c r="L185" s="144">
        <f t="shared" ref="L185:L189" si="318">+K185*J185</f>
        <v>1</v>
      </c>
      <c r="M185" s="146">
        <v>23.7</v>
      </c>
      <c r="N185" s="146">
        <f t="shared" ref="N185:N189" si="319">+M185*L185</f>
        <v>23.7</v>
      </c>
      <c r="O185" s="146" t="s">
        <v>137</v>
      </c>
      <c r="P185" s="146" t="s">
        <v>13</v>
      </c>
      <c r="Q185" s="146" t="s">
        <v>148</v>
      </c>
      <c r="R185" s="146"/>
      <c r="S185" s="146"/>
      <c r="T185" s="146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</v>
      </c>
      <c r="U185" s="146">
        <f t="shared" ref="U185:U189" ca="1" si="320">+L185-T185</f>
        <v>0</v>
      </c>
      <c r="V185" s="146">
        <f t="shared" ref="V185:V189" ca="1" si="321">ROUNDDOWN(T185/J185,0)</f>
        <v>1</v>
      </c>
      <c r="W185" s="146"/>
      <c r="X185" s="146"/>
      <c r="Y185" s="146"/>
      <c r="Z185" s="146"/>
      <c r="AA185" s="146"/>
      <c r="AB185" s="146"/>
      <c r="AC185" s="146">
        <v>0.7</v>
      </c>
      <c r="AD185" s="117" t="s">
        <v>196</v>
      </c>
      <c r="AE185" s="148"/>
      <c r="AF185" s="146" t="str">
        <f t="shared" ref="AF185:AV189" si="322">AF184</f>
        <v>AMC 2-S1</v>
      </c>
      <c r="AG185" s="146">
        <f t="shared" si="322"/>
        <v>1</v>
      </c>
      <c r="AH185" s="146">
        <f t="shared" ref="AH185:AH189" si="323">+AG185*J185</f>
        <v>1</v>
      </c>
      <c r="AI185" s="146">
        <f t="shared" ref="AI185:AI189" ca="1" si="324">MIN(T185,AH185)</f>
        <v>1</v>
      </c>
      <c r="AJ185" s="146">
        <f t="shared" ref="AJ185:AJ189" ca="1" si="325">+AH185-AI185</f>
        <v>0</v>
      </c>
      <c r="AK185" s="146" t="str">
        <f t="shared" si="322"/>
        <v>N/A</v>
      </c>
      <c r="AL185" s="146">
        <f t="shared" si="322"/>
        <v>0</v>
      </c>
      <c r="AM185" s="146">
        <f t="shared" ref="AM185:AM189" si="326">+AL185*J185</f>
        <v>0</v>
      </c>
      <c r="AN185" s="146">
        <f t="shared" ref="AN185:AN189" ca="1" si="327">MIN(T185-AI185,AL185)</f>
        <v>0</v>
      </c>
      <c r="AO185" s="146">
        <f t="shared" ref="AO185:AO189" ca="1" si="328">+AM185-AN185</f>
        <v>0</v>
      </c>
      <c r="AP185" s="146" t="str">
        <f t="shared" si="322"/>
        <v>N/A</v>
      </c>
      <c r="AQ185" s="146">
        <f t="shared" si="322"/>
        <v>0</v>
      </c>
      <c r="AR185" s="146">
        <f t="shared" ref="AR185:AR189" si="329">+AQ185*J185</f>
        <v>0</v>
      </c>
      <c r="AS185" s="146">
        <f t="shared" ref="AS185:AS189" ca="1" si="330">MIN(T185-AI185-AN185,AR185)</f>
        <v>0</v>
      </c>
      <c r="AT185" s="146">
        <f t="shared" ref="AT185:AT189" ca="1" si="331">+AR185-AS185</f>
        <v>0</v>
      </c>
      <c r="AU185" s="146" t="str">
        <f t="shared" si="322"/>
        <v>N/A</v>
      </c>
      <c r="AV185" s="146">
        <f t="shared" si="322"/>
        <v>0</v>
      </c>
      <c r="AW185" s="146">
        <f t="shared" ref="AW185:AW189" si="332">+AV185*J185</f>
        <v>0</v>
      </c>
      <c r="AX185" s="146">
        <f t="shared" ref="AX185:AX189" ca="1" si="333">MIN(T185-AI185-AN185-AS185,AW185)</f>
        <v>0</v>
      </c>
      <c r="AY185" s="146">
        <f t="shared" ref="AY185:AY189" ca="1" si="334">+AW185-AX185</f>
        <v>0</v>
      </c>
      <c r="AZ185" s="147"/>
      <c r="BA185" s="144" t="s">
        <v>141</v>
      </c>
      <c r="BB185" s="144" t="s">
        <v>140</v>
      </c>
      <c r="BC185" s="144" t="s">
        <v>140</v>
      </c>
      <c r="BD185" s="144" t="s">
        <v>140</v>
      </c>
      <c r="BE185" s="146">
        <v>0.7</v>
      </c>
      <c r="BF185" s="148"/>
      <c r="BG185" s="146"/>
      <c r="BH185" s="117"/>
      <c r="BI185" s="117"/>
      <c r="BJ185" s="149"/>
      <c r="BK185" s="149"/>
      <c r="BL185" s="117">
        <v>0</v>
      </c>
      <c r="BM185" s="117">
        <v>0</v>
      </c>
      <c r="BN185" s="117">
        <v>0</v>
      </c>
      <c r="BO185" s="117">
        <v>0</v>
      </c>
      <c r="BP185" s="117">
        <v>0</v>
      </c>
      <c r="BQ185" s="117">
        <v>0</v>
      </c>
      <c r="BR185" s="117">
        <v>0</v>
      </c>
      <c r="BS185" s="117" t="s">
        <v>150</v>
      </c>
      <c r="BT185" s="158" t="s">
        <v>210</v>
      </c>
      <c r="BU185" s="117"/>
      <c r="BV185" s="117" t="s">
        <v>211</v>
      </c>
      <c r="BW185" s="117">
        <v>1</v>
      </c>
      <c r="BX185" s="149">
        <v>46201</v>
      </c>
      <c r="BY185" s="117"/>
      <c r="BZ185" s="117"/>
      <c r="CA185" s="117"/>
      <c r="CB185" s="117">
        <f>+L185-BW185</f>
        <v>0</v>
      </c>
    </row>
    <row r="186" spans="1:80" ht="16.5" hidden="1" customHeight="1">
      <c r="A186" s="117">
        <v>575</v>
      </c>
      <c r="B186" s="154" t="s">
        <v>513</v>
      </c>
      <c r="C186" s="154" t="s">
        <v>907</v>
      </c>
      <c r="D186" s="154" t="s">
        <v>13</v>
      </c>
      <c r="E186" s="154" t="s">
        <v>517</v>
      </c>
      <c r="F186" s="154" t="s">
        <v>518</v>
      </c>
      <c r="G186" s="154" t="s">
        <v>519</v>
      </c>
      <c r="H186" s="146">
        <v>2153</v>
      </c>
      <c r="I186" s="147" t="s">
        <v>147</v>
      </c>
      <c r="J186" s="144">
        <v>1</v>
      </c>
      <c r="K186" s="145">
        <f t="shared" si="317"/>
        <v>1</v>
      </c>
      <c r="L186" s="144">
        <f t="shared" si="318"/>
        <v>1</v>
      </c>
      <c r="M186" s="146">
        <v>70</v>
      </c>
      <c r="N186" s="146">
        <f t="shared" si="319"/>
        <v>70</v>
      </c>
      <c r="O186" s="146" t="s">
        <v>137</v>
      </c>
      <c r="P186" s="146" t="s">
        <v>13</v>
      </c>
      <c r="Q186" s="146" t="s">
        <v>148</v>
      </c>
      <c r="R186" s="146"/>
      <c r="S186" s="146"/>
      <c r="T186" s="146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1</v>
      </c>
      <c r="U186" s="146">
        <f t="shared" ca="1" si="320"/>
        <v>0</v>
      </c>
      <c r="V186" s="146">
        <f t="shared" ca="1" si="321"/>
        <v>1</v>
      </c>
      <c r="W186" s="146"/>
      <c r="X186" s="146"/>
      <c r="Y186" s="146"/>
      <c r="Z186" s="146"/>
      <c r="AA186" s="146"/>
      <c r="AB186" s="146"/>
      <c r="AC186" s="146">
        <v>1.3</v>
      </c>
      <c r="AD186" s="117" t="s">
        <v>196</v>
      </c>
      <c r="AE186" s="148"/>
      <c r="AF186" s="146" t="str">
        <f t="shared" si="322"/>
        <v>AMC 2-S1</v>
      </c>
      <c r="AG186" s="146">
        <f t="shared" si="322"/>
        <v>1</v>
      </c>
      <c r="AH186" s="146">
        <f t="shared" si="323"/>
        <v>1</v>
      </c>
      <c r="AI186" s="146">
        <f t="shared" ca="1" si="324"/>
        <v>1</v>
      </c>
      <c r="AJ186" s="146">
        <f t="shared" ca="1" si="325"/>
        <v>0</v>
      </c>
      <c r="AK186" s="146" t="str">
        <f t="shared" si="322"/>
        <v>N/A</v>
      </c>
      <c r="AL186" s="146">
        <f t="shared" si="322"/>
        <v>0</v>
      </c>
      <c r="AM186" s="146">
        <f t="shared" si="326"/>
        <v>0</v>
      </c>
      <c r="AN186" s="146">
        <f t="shared" ca="1" si="327"/>
        <v>0</v>
      </c>
      <c r="AO186" s="146">
        <f t="shared" ca="1" si="328"/>
        <v>0</v>
      </c>
      <c r="AP186" s="146" t="str">
        <f t="shared" si="322"/>
        <v>N/A</v>
      </c>
      <c r="AQ186" s="146">
        <f t="shared" si="322"/>
        <v>0</v>
      </c>
      <c r="AR186" s="146">
        <f t="shared" si="329"/>
        <v>0</v>
      </c>
      <c r="AS186" s="146">
        <f t="shared" ca="1" si="330"/>
        <v>0</v>
      </c>
      <c r="AT186" s="146">
        <f t="shared" ca="1" si="331"/>
        <v>0</v>
      </c>
      <c r="AU186" s="146" t="str">
        <f t="shared" si="322"/>
        <v>N/A</v>
      </c>
      <c r="AV186" s="146">
        <f t="shared" si="322"/>
        <v>0</v>
      </c>
      <c r="AW186" s="146">
        <f t="shared" si="332"/>
        <v>0</v>
      </c>
      <c r="AX186" s="146">
        <f t="shared" ca="1" si="333"/>
        <v>0</v>
      </c>
      <c r="AY186" s="146">
        <f t="shared" ca="1" si="334"/>
        <v>0</v>
      </c>
      <c r="AZ186" s="147"/>
      <c r="BA186" s="144" t="s">
        <v>141</v>
      </c>
      <c r="BB186" s="144" t="s">
        <v>140</v>
      </c>
      <c r="BC186" s="144" t="s">
        <v>140</v>
      </c>
      <c r="BD186" s="144" t="s">
        <v>140</v>
      </c>
      <c r="BE186" s="146">
        <v>1.3</v>
      </c>
      <c r="BF186" s="148"/>
      <c r="BG186" s="146"/>
      <c r="BH186" s="117"/>
      <c r="BI186" s="117"/>
      <c r="BJ186" s="149"/>
      <c r="BK186" s="149"/>
      <c r="BL186" s="117">
        <v>0</v>
      </c>
      <c r="BM186" s="117">
        <v>0</v>
      </c>
      <c r="BN186" s="117">
        <v>0</v>
      </c>
      <c r="BO186" s="117">
        <v>1</v>
      </c>
      <c r="BP186" s="117">
        <v>0</v>
      </c>
      <c r="BQ186" s="117">
        <v>0</v>
      </c>
      <c r="BR186" s="117">
        <v>0</v>
      </c>
      <c r="BS186" s="117" t="s">
        <v>150</v>
      </c>
      <c r="BT186" s="158" t="s">
        <v>200</v>
      </c>
      <c r="BU186" s="117"/>
      <c r="BV186" s="117" t="s">
        <v>201</v>
      </c>
      <c r="BW186" s="117">
        <v>1</v>
      </c>
      <c r="BX186" s="149">
        <v>46201</v>
      </c>
      <c r="BY186" s="117"/>
      <c r="BZ186" s="117"/>
      <c r="CA186" s="117"/>
      <c r="CB186" s="117">
        <f>+L186-BW186</f>
        <v>0</v>
      </c>
    </row>
    <row r="187" spans="1:80" ht="16.5" hidden="1" customHeight="1">
      <c r="A187" s="117">
        <v>576</v>
      </c>
      <c r="B187" s="154" t="s">
        <v>513</v>
      </c>
      <c r="C187" s="154" t="s">
        <v>907</v>
      </c>
      <c r="D187" s="154" t="s">
        <v>13</v>
      </c>
      <c r="E187" s="154" t="s">
        <v>520</v>
      </c>
      <c r="F187" s="154" t="s">
        <v>521</v>
      </c>
      <c r="G187" s="154" t="s">
        <v>522</v>
      </c>
      <c r="H187" s="146">
        <v>1377</v>
      </c>
      <c r="I187" s="147" t="s">
        <v>147</v>
      </c>
      <c r="J187" s="144">
        <v>1</v>
      </c>
      <c r="K187" s="145">
        <f t="shared" si="317"/>
        <v>1</v>
      </c>
      <c r="L187" s="144">
        <f t="shared" si="318"/>
        <v>1</v>
      </c>
      <c r="M187" s="146">
        <v>59.6</v>
      </c>
      <c r="N187" s="146">
        <f t="shared" si="319"/>
        <v>59.6</v>
      </c>
      <c r="O187" s="146" t="s">
        <v>137</v>
      </c>
      <c r="P187" s="146" t="s">
        <v>13</v>
      </c>
      <c r="Q187" s="146" t="s">
        <v>148</v>
      </c>
      <c r="R187" s="146"/>
      <c r="S187" s="146"/>
      <c r="T187" s="146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1</v>
      </c>
      <c r="U187" s="146">
        <f t="shared" ca="1" si="320"/>
        <v>0</v>
      </c>
      <c r="V187" s="146">
        <f t="shared" ca="1" si="321"/>
        <v>1</v>
      </c>
      <c r="W187" s="146"/>
      <c r="X187" s="146"/>
      <c r="Y187" s="146"/>
      <c r="Z187" s="146"/>
      <c r="AA187" s="146"/>
      <c r="AB187" s="146"/>
      <c r="AC187" s="146">
        <v>0.8</v>
      </c>
      <c r="AD187" s="117" t="s">
        <v>196</v>
      </c>
      <c r="AE187" s="148"/>
      <c r="AF187" s="146" t="str">
        <f t="shared" si="322"/>
        <v>AMC 2-S1</v>
      </c>
      <c r="AG187" s="146">
        <f t="shared" si="322"/>
        <v>1</v>
      </c>
      <c r="AH187" s="146">
        <f t="shared" si="323"/>
        <v>1</v>
      </c>
      <c r="AI187" s="146">
        <f t="shared" ca="1" si="324"/>
        <v>1</v>
      </c>
      <c r="AJ187" s="146">
        <f t="shared" ca="1" si="325"/>
        <v>0</v>
      </c>
      <c r="AK187" s="146" t="str">
        <f t="shared" si="322"/>
        <v>N/A</v>
      </c>
      <c r="AL187" s="146">
        <f t="shared" si="322"/>
        <v>0</v>
      </c>
      <c r="AM187" s="146">
        <f t="shared" si="326"/>
        <v>0</v>
      </c>
      <c r="AN187" s="146">
        <f t="shared" ca="1" si="327"/>
        <v>0</v>
      </c>
      <c r="AO187" s="146">
        <f t="shared" ca="1" si="328"/>
        <v>0</v>
      </c>
      <c r="AP187" s="146" t="str">
        <f t="shared" si="322"/>
        <v>N/A</v>
      </c>
      <c r="AQ187" s="146">
        <f t="shared" si="322"/>
        <v>0</v>
      </c>
      <c r="AR187" s="146">
        <f t="shared" si="329"/>
        <v>0</v>
      </c>
      <c r="AS187" s="146">
        <f t="shared" ca="1" si="330"/>
        <v>0</v>
      </c>
      <c r="AT187" s="146">
        <f t="shared" ca="1" si="331"/>
        <v>0</v>
      </c>
      <c r="AU187" s="146" t="str">
        <f t="shared" si="322"/>
        <v>N/A</v>
      </c>
      <c r="AV187" s="146">
        <f t="shared" si="322"/>
        <v>0</v>
      </c>
      <c r="AW187" s="146">
        <f t="shared" si="332"/>
        <v>0</v>
      </c>
      <c r="AX187" s="146">
        <f t="shared" ca="1" si="333"/>
        <v>0</v>
      </c>
      <c r="AY187" s="146">
        <f t="shared" ca="1" si="334"/>
        <v>0</v>
      </c>
      <c r="AZ187" s="147"/>
      <c r="BA187" s="144" t="s">
        <v>141</v>
      </c>
      <c r="BB187" s="144" t="s">
        <v>140</v>
      </c>
      <c r="BC187" s="144" t="s">
        <v>140</v>
      </c>
      <c r="BD187" s="144" t="s">
        <v>140</v>
      </c>
      <c r="BE187" s="146">
        <v>0.8</v>
      </c>
      <c r="BF187" s="148"/>
      <c r="BG187" s="146"/>
      <c r="BH187" s="117"/>
      <c r="BI187" s="117"/>
      <c r="BJ187" s="149"/>
      <c r="BK187" s="149"/>
      <c r="BL187" s="117">
        <v>0</v>
      </c>
      <c r="BM187" s="117">
        <v>0</v>
      </c>
      <c r="BN187" s="117">
        <v>0</v>
      </c>
      <c r="BO187" s="117">
        <v>1</v>
      </c>
      <c r="BP187" s="117">
        <v>0</v>
      </c>
      <c r="BQ187" s="117">
        <v>0</v>
      </c>
      <c r="BR187" s="117">
        <v>0</v>
      </c>
      <c r="BS187" s="117" t="s">
        <v>150</v>
      </c>
      <c r="BT187" s="167" t="s">
        <v>319</v>
      </c>
      <c r="BU187" s="141"/>
      <c r="BV187" s="141" t="s">
        <v>320</v>
      </c>
      <c r="BW187" s="141">
        <v>1</v>
      </c>
      <c r="BX187" s="153">
        <v>46202</v>
      </c>
      <c r="BY187" s="117"/>
      <c r="BZ187" s="117"/>
      <c r="CA187" s="117"/>
      <c r="CB187" s="117">
        <f>+L187-BW187</f>
        <v>0</v>
      </c>
    </row>
    <row r="188" spans="1:80" ht="16.5" hidden="1" customHeight="1">
      <c r="A188" s="117">
        <v>577</v>
      </c>
      <c r="B188" s="154" t="s">
        <v>513</v>
      </c>
      <c r="C188" s="154" t="s">
        <v>907</v>
      </c>
      <c r="D188" s="154" t="s">
        <v>13</v>
      </c>
      <c r="E188" s="154" t="s">
        <v>523</v>
      </c>
      <c r="F188" s="154" t="s">
        <v>524</v>
      </c>
      <c r="G188" s="154" t="s">
        <v>525</v>
      </c>
      <c r="H188" s="146">
        <v>1851</v>
      </c>
      <c r="I188" s="147" t="s">
        <v>147</v>
      </c>
      <c r="J188" s="144">
        <v>1</v>
      </c>
      <c r="K188" s="145">
        <f t="shared" si="317"/>
        <v>1</v>
      </c>
      <c r="L188" s="144">
        <f t="shared" si="318"/>
        <v>1</v>
      </c>
      <c r="M188" s="146">
        <v>54.4</v>
      </c>
      <c r="N188" s="146">
        <f t="shared" si="319"/>
        <v>54.4</v>
      </c>
      <c r="O188" s="146" t="s">
        <v>137</v>
      </c>
      <c r="P188" s="146" t="s">
        <v>13</v>
      </c>
      <c r="Q188" s="146" t="s">
        <v>148</v>
      </c>
      <c r="R188" s="146"/>
      <c r="S188" s="146"/>
      <c r="T188" s="146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1</v>
      </c>
      <c r="U188" s="146">
        <f t="shared" ca="1" si="320"/>
        <v>0</v>
      </c>
      <c r="V188" s="146">
        <f t="shared" ca="1" si="321"/>
        <v>1</v>
      </c>
      <c r="W188" s="146"/>
      <c r="X188" s="146"/>
      <c r="Y188" s="146"/>
      <c r="Z188" s="146"/>
      <c r="AA188" s="146"/>
      <c r="AB188" s="146"/>
      <c r="AC188" s="146">
        <v>1</v>
      </c>
      <c r="AD188" s="117" t="s">
        <v>196</v>
      </c>
      <c r="AE188" s="148"/>
      <c r="AF188" s="146" t="str">
        <f t="shared" si="322"/>
        <v>AMC 2-S1</v>
      </c>
      <c r="AG188" s="146">
        <f t="shared" si="322"/>
        <v>1</v>
      </c>
      <c r="AH188" s="146">
        <f t="shared" si="323"/>
        <v>1</v>
      </c>
      <c r="AI188" s="146">
        <f t="shared" ca="1" si="324"/>
        <v>1</v>
      </c>
      <c r="AJ188" s="146">
        <f t="shared" ca="1" si="325"/>
        <v>0</v>
      </c>
      <c r="AK188" s="146" t="str">
        <f t="shared" si="322"/>
        <v>N/A</v>
      </c>
      <c r="AL188" s="146">
        <f t="shared" si="322"/>
        <v>0</v>
      </c>
      <c r="AM188" s="146">
        <f t="shared" si="326"/>
        <v>0</v>
      </c>
      <c r="AN188" s="146">
        <f t="shared" ca="1" si="327"/>
        <v>0</v>
      </c>
      <c r="AO188" s="146">
        <f t="shared" ca="1" si="328"/>
        <v>0</v>
      </c>
      <c r="AP188" s="146" t="str">
        <f t="shared" si="322"/>
        <v>N/A</v>
      </c>
      <c r="AQ188" s="146">
        <f t="shared" si="322"/>
        <v>0</v>
      </c>
      <c r="AR188" s="146">
        <f t="shared" si="329"/>
        <v>0</v>
      </c>
      <c r="AS188" s="146">
        <f t="shared" ca="1" si="330"/>
        <v>0</v>
      </c>
      <c r="AT188" s="146">
        <f t="shared" ca="1" si="331"/>
        <v>0</v>
      </c>
      <c r="AU188" s="146" t="str">
        <f t="shared" si="322"/>
        <v>N/A</v>
      </c>
      <c r="AV188" s="146">
        <f t="shared" si="322"/>
        <v>0</v>
      </c>
      <c r="AW188" s="146">
        <f t="shared" si="332"/>
        <v>0</v>
      </c>
      <c r="AX188" s="146">
        <f t="shared" ca="1" si="333"/>
        <v>0</v>
      </c>
      <c r="AY188" s="146">
        <f t="shared" ca="1" si="334"/>
        <v>0</v>
      </c>
      <c r="AZ188" s="147"/>
      <c r="BA188" s="144" t="s">
        <v>141</v>
      </c>
      <c r="BB188" s="144" t="s">
        <v>140</v>
      </c>
      <c r="BC188" s="144" t="s">
        <v>140</v>
      </c>
      <c r="BD188" s="144" t="s">
        <v>140</v>
      </c>
      <c r="BE188" s="146">
        <v>1</v>
      </c>
      <c r="BF188" s="148"/>
      <c r="BG188" s="146"/>
      <c r="BH188" s="117"/>
      <c r="BI188" s="117"/>
      <c r="BJ188" s="149"/>
      <c r="BK188" s="149"/>
      <c r="BL188" s="117">
        <v>0</v>
      </c>
      <c r="BM188" s="117">
        <v>0</v>
      </c>
      <c r="BN188" s="117">
        <v>0</v>
      </c>
      <c r="BO188" s="117">
        <v>1</v>
      </c>
      <c r="BP188" s="117">
        <v>0</v>
      </c>
      <c r="BQ188" s="117">
        <v>0</v>
      </c>
      <c r="BR188" s="117">
        <v>0</v>
      </c>
      <c r="BS188" s="117" t="s">
        <v>150</v>
      </c>
      <c r="BT188" s="158" t="s">
        <v>200</v>
      </c>
      <c r="BU188" s="117"/>
      <c r="BV188" s="117" t="s">
        <v>201</v>
      </c>
      <c r="BW188" s="117">
        <v>1</v>
      </c>
      <c r="BX188" s="149">
        <v>46201</v>
      </c>
      <c r="BY188" s="117"/>
      <c r="BZ188" s="117"/>
      <c r="CA188" s="117"/>
      <c r="CB188" s="117">
        <f>+L188-BW188</f>
        <v>0</v>
      </c>
    </row>
    <row r="189" spans="1:80" ht="16.5" customHeight="1">
      <c r="A189" s="117">
        <v>578</v>
      </c>
      <c r="B189" s="154" t="s">
        <v>513</v>
      </c>
      <c r="C189" s="154" t="s">
        <v>907</v>
      </c>
      <c r="D189" s="154" t="s">
        <v>13</v>
      </c>
      <c r="E189" s="154" t="s">
        <v>526</v>
      </c>
      <c r="F189" s="154" t="s">
        <v>527</v>
      </c>
      <c r="G189" s="154" t="s">
        <v>528</v>
      </c>
      <c r="H189" s="146">
        <v>6991</v>
      </c>
      <c r="I189" s="147" t="s">
        <v>147</v>
      </c>
      <c r="J189" s="144">
        <v>1</v>
      </c>
      <c r="K189" s="145">
        <f t="shared" si="317"/>
        <v>1</v>
      </c>
      <c r="L189" s="144">
        <f t="shared" si="318"/>
        <v>1</v>
      </c>
      <c r="M189" s="146">
        <v>1614.4</v>
      </c>
      <c r="N189" s="146">
        <f t="shared" si="319"/>
        <v>1614.4</v>
      </c>
      <c r="O189" s="146" t="s">
        <v>137</v>
      </c>
      <c r="P189" s="146" t="s">
        <v>13</v>
      </c>
      <c r="Q189" s="146" t="s">
        <v>154</v>
      </c>
      <c r="R189" s="146"/>
      <c r="S189" s="146"/>
      <c r="T189" s="146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1</v>
      </c>
      <c r="U189" s="146">
        <f t="shared" ca="1" si="320"/>
        <v>0</v>
      </c>
      <c r="V189" s="146">
        <f t="shared" ca="1" si="321"/>
        <v>1</v>
      </c>
      <c r="W189" s="146"/>
      <c r="X189" s="146"/>
      <c r="Y189" s="146"/>
      <c r="Z189" s="146"/>
      <c r="AA189" s="146"/>
      <c r="AB189" s="146"/>
      <c r="AC189" s="142">
        <v>23.2</v>
      </c>
      <c r="AD189" s="141" t="s">
        <v>196</v>
      </c>
      <c r="AE189" s="166"/>
      <c r="AF189" s="146" t="str">
        <f t="shared" si="322"/>
        <v>AMC 2-S1</v>
      </c>
      <c r="AG189" s="146">
        <f t="shared" si="322"/>
        <v>1</v>
      </c>
      <c r="AH189" s="146">
        <f t="shared" si="323"/>
        <v>1</v>
      </c>
      <c r="AI189" s="146">
        <f t="shared" ca="1" si="324"/>
        <v>1</v>
      </c>
      <c r="AJ189" s="146">
        <f t="shared" ca="1" si="325"/>
        <v>0</v>
      </c>
      <c r="AK189" s="146" t="str">
        <f t="shared" si="322"/>
        <v>N/A</v>
      </c>
      <c r="AL189" s="146">
        <f t="shared" si="322"/>
        <v>0</v>
      </c>
      <c r="AM189" s="146">
        <f t="shared" si="326"/>
        <v>0</v>
      </c>
      <c r="AN189" s="146">
        <f t="shared" ca="1" si="327"/>
        <v>0</v>
      </c>
      <c r="AO189" s="146">
        <f t="shared" ca="1" si="328"/>
        <v>0</v>
      </c>
      <c r="AP189" s="146" t="str">
        <f t="shared" si="322"/>
        <v>N/A</v>
      </c>
      <c r="AQ189" s="146">
        <f t="shared" si="322"/>
        <v>0</v>
      </c>
      <c r="AR189" s="146">
        <f t="shared" si="329"/>
        <v>0</v>
      </c>
      <c r="AS189" s="146">
        <f t="shared" ca="1" si="330"/>
        <v>0</v>
      </c>
      <c r="AT189" s="146">
        <f t="shared" ca="1" si="331"/>
        <v>0</v>
      </c>
      <c r="AU189" s="146" t="str">
        <f t="shared" si="322"/>
        <v>N/A</v>
      </c>
      <c r="AV189" s="146">
        <f t="shared" si="322"/>
        <v>0</v>
      </c>
      <c r="AW189" s="146">
        <f t="shared" si="332"/>
        <v>0</v>
      </c>
      <c r="AX189" s="146">
        <f t="shared" ca="1" si="333"/>
        <v>0</v>
      </c>
      <c r="AY189" s="146">
        <f t="shared" ca="1" si="334"/>
        <v>0</v>
      </c>
      <c r="AZ189" s="143"/>
      <c r="BA189" s="165" t="s">
        <v>141</v>
      </c>
      <c r="BB189" s="165" t="s">
        <v>140</v>
      </c>
      <c r="BC189" s="165" t="s">
        <v>140</v>
      </c>
      <c r="BD189" s="165" t="s">
        <v>140</v>
      </c>
      <c r="BE189" s="142">
        <v>23.2</v>
      </c>
      <c r="BF189" s="166"/>
      <c r="BG189" s="142"/>
      <c r="BH189" s="117"/>
      <c r="BI189" s="117"/>
      <c r="BJ189" s="149" t="s">
        <v>294</v>
      </c>
      <c r="BK189" s="149"/>
      <c r="BL189" s="117">
        <v>0</v>
      </c>
      <c r="BM189" s="117">
        <v>1</v>
      </c>
      <c r="BN189" s="117">
        <v>0</v>
      </c>
      <c r="BO189" s="117">
        <v>1</v>
      </c>
      <c r="BP189" s="117">
        <v>0</v>
      </c>
      <c r="BQ189" s="117">
        <v>0</v>
      </c>
      <c r="BR189" s="117">
        <v>0</v>
      </c>
      <c r="BS189" s="117" t="s">
        <v>150</v>
      </c>
      <c r="BT189" s="117"/>
      <c r="BU189" s="155"/>
      <c r="BV189" s="117" t="s">
        <v>57</v>
      </c>
      <c r="BW189" s="144">
        <v>1</v>
      </c>
      <c r="BX189" s="149"/>
      <c r="BY189" s="117"/>
      <c r="BZ189" s="117"/>
      <c r="CA189" s="117"/>
      <c r="CB189" s="117">
        <f>+L189-BW189</f>
        <v>0</v>
      </c>
    </row>
    <row r="190" spans="1:80" ht="16.5" hidden="1" customHeight="1">
      <c r="A190" s="133">
        <v>585</v>
      </c>
      <c r="B190" s="156" t="s">
        <v>529</v>
      </c>
      <c r="C190" s="156" t="s">
        <v>908</v>
      </c>
      <c r="D190" s="156"/>
      <c r="E190" s="156" t="s">
        <v>136</v>
      </c>
      <c r="F190" s="156"/>
      <c r="G190" s="156"/>
      <c r="H190" s="157"/>
      <c r="I190" s="159"/>
      <c r="J190" s="160" t="s">
        <v>136</v>
      </c>
      <c r="K190" s="138">
        <f>+AG190+AL190+AQ190+AV190</f>
        <v>1</v>
      </c>
      <c r="L190" s="160" t="s">
        <v>136</v>
      </c>
      <c r="M190" s="157"/>
      <c r="N190" s="157">
        <v>1828.4</v>
      </c>
      <c r="O190" s="157" t="s">
        <v>137</v>
      </c>
      <c r="P190" s="157"/>
      <c r="Q190" s="157"/>
      <c r="R190" s="157"/>
      <c r="S190" s="157"/>
      <c r="T190" s="157"/>
      <c r="U190" s="157"/>
      <c r="V190" s="157"/>
      <c r="W190" s="135">
        <f ca="1">_xlfn.MINIFS(V:V,C:C,C190,AE:AE,"",AB:AB,"")</f>
        <v>0</v>
      </c>
      <c r="X190" s="135">
        <f ca="1">SUMIFS(T:T,C:C,C190,AE:AE,"")/SUMIFS(L:L,C:C,C190,AE:AE,"",AB:AB,"")</f>
        <v>0.8</v>
      </c>
      <c r="Y190" s="157"/>
      <c r="Z190" s="157"/>
      <c r="AA190" s="157"/>
      <c r="AB190" s="157"/>
      <c r="AC190" s="157">
        <v>27.1</v>
      </c>
      <c r="AD190" s="161" t="s">
        <v>196</v>
      </c>
      <c r="AE190" s="162" t="s">
        <v>143</v>
      </c>
      <c r="AF190" s="157" t="s">
        <v>281</v>
      </c>
      <c r="AG190" s="157">
        <v>1</v>
      </c>
      <c r="AH190" s="157"/>
      <c r="AI190" s="157"/>
      <c r="AJ190" s="157"/>
      <c r="AK190" s="157" t="s">
        <v>138</v>
      </c>
      <c r="AL190" s="157">
        <v>0</v>
      </c>
      <c r="AM190" s="157"/>
      <c r="AN190" s="157"/>
      <c r="AO190" s="157"/>
      <c r="AP190" s="157" t="s">
        <v>138</v>
      </c>
      <c r="AQ190" s="157">
        <v>0</v>
      </c>
      <c r="AR190" s="157"/>
      <c r="AS190" s="157"/>
      <c r="AT190" s="157"/>
      <c r="AU190" s="157" t="s">
        <v>138</v>
      </c>
      <c r="AV190" s="157">
        <v>0</v>
      </c>
      <c r="AW190" s="157"/>
      <c r="AX190" s="157"/>
      <c r="AY190" s="157"/>
      <c r="AZ190" s="136"/>
      <c r="BA190" s="137" t="s">
        <v>141</v>
      </c>
      <c r="BB190" s="137" t="s">
        <v>140</v>
      </c>
      <c r="BC190" s="137" t="s">
        <v>140</v>
      </c>
      <c r="BD190" s="137" t="s">
        <v>140</v>
      </c>
      <c r="BE190" s="157">
        <v>27.1</v>
      </c>
      <c r="BF190" s="162"/>
      <c r="BG190" s="157"/>
      <c r="BH190" s="161"/>
      <c r="BI190" s="161"/>
      <c r="BJ190" s="163"/>
      <c r="BK190" s="163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4"/>
      <c r="BV190" s="161"/>
      <c r="BW190" s="161"/>
      <c r="BX190" s="163"/>
      <c r="BY190" s="161"/>
      <c r="BZ190" s="161"/>
      <c r="CA190" s="161"/>
      <c r="CB190" s="161"/>
    </row>
    <row r="191" spans="1:80" ht="16.5" hidden="1" customHeight="1">
      <c r="A191" s="117">
        <v>586</v>
      </c>
      <c r="B191" s="154" t="s">
        <v>529</v>
      </c>
      <c r="C191" s="154" t="s">
        <v>908</v>
      </c>
      <c r="D191" s="154" t="s">
        <v>13</v>
      </c>
      <c r="E191" s="154" t="s">
        <v>517</v>
      </c>
      <c r="F191" s="154" t="s">
        <v>530</v>
      </c>
      <c r="G191" s="154" t="s">
        <v>519</v>
      </c>
      <c r="H191" s="146">
        <v>2153</v>
      </c>
      <c r="I191" s="147" t="s">
        <v>147</v>
      </c>
      <c r="J191" s="144">
        <v>1</v>
      </c>
      <c r="K191" s="145">
        <f t="shared" ref="K191:K195" si="335">K190</f>
        <v>1</v>
      </c>
      <c r="L191" s="144">
        <f t="shared" ref="L191:L195" si="336">+K191*J191</f>
        <v>1</v>
      </c>
      <c r="M191" s="146">
        <v>70</v>
      </c>
      <c r="N191" s="146">
        <f t="shared" ref="N191:N195" si="337">+M191*L191</f>
        <v>70</v>
      </c>
      <c r="O191" s="146" t="s">
        <v>137</v>
      </c>
      <c r="P191" s="146" t="s">
        <v>13</v>
      </c>
      <c r="Q191" s="146" t="s">
        <v>148</v>
      </c>
      <c r="R191" s="146"/>
      <c r="S191" s="146"/>
      <c r="T191" s="146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1</v>
      </c>
      <c r="U191" s="146">
        <f t="shared" ref="U191:U195" ca="1" si="338">+L191-T191</f>
        <v>0</v>
      </c>
      <c r="V191" s="146">
        <f t="shared" ref="V191:V195" ca="1" si="339">ROUNDDOWN(T191/J191,0)</f>
        <v>1</v>
      </c>
      <c r="W191" s="146"/>
      <c r="X191" s="146"/>
      <c r="Y191" s="146"/>
      <c r="Z191" s="146"/>
      <c r="AA191" s="146"/>
      <c r="AB191" s="146"/>
      <c r="AC191" s="146">
        <v>1.3</v>
      </c>
      <c r="AD191" s="117" t="s">
        <v>196</v>
      </c>
      <c r="AE191" s="148"/>
      <c r="AF191" s="146" t="str">
        <f t="shared" ref="AF191:AV195" si="340">AF190</f>
        <v>AMC 2-S1</v>
      </c>
      <c r="AG191" s="146">
        <f t="shared" si="340"/>
        <v>1</v>
      </c>
      <c r="AH191" s="146">
        <f t="shared" ref="AH191:AH195" si="341">+AG191*J191</f>
        <v>1</v>
      </c>
      <c r="AI191" s="146">
        <f t="shared" ref="AI191:AI195" ca="1" si="342">MIN(T191,AH191)</f>
        <v>1</v>
      </c>
      <c r="AJ191" s="146">
        <f t="shared" ref="AJ191:AJ195" ca="1" si="343">+AH191-AI191</f>
        <v>0</v>
      </c>
      <c r="AK191" s="146" t="str">
        <f t="shared" si="340"/>
        <v>N/A</v>
      </c>
      <c r="AL191" s="146">
        <f t="shared" si="340"/>
        <v>0</v>
      </c>
      <c r="AM191" s="146">
        <f t="shared" ref="AM191:AM195" si="344">+AL191*J191</f>
        <v>0</v>
      </c>
      <c r="AN191" s="146">
        <f t="shared" ref="AN191:AN195" ca="1" si="345">MIN(T191-AI191,AL191)</f>
        <v>0</v>
      </c>
      <c r="AO191" s="146">
        <f t="shared" ref="AO191:AO195" ca="1" si="346">+AM191-AN191</f>
        <v>0</v>
      </c>
      <c r="AP191" s="146" t="str">
        <f t="shared" si="340"/>
        <v>N/A</v>
      </c>
      <c r="AQ191" s="146">
        <f t="shared" si="340"/>
        <v>0</v>
      </c>
      <c r="AR191" s="146">
        <f t="shared" ref="AR191:AR195" si="347">+AQ191*J191</f>
        <v>0</v>
      </c>
      <c r="AS191" s="146">
        <f t="shared" ref="AS191:AS195" ca="1" si="348">MIN(T191-AI191-AN191,AR191)</f>
        <v>0</v>
      </c>
      <c r="AT191" s="146">
        <f t="shared" ref="AT191:AT195" ca="1" si="349">+AR191-AS191</f>
        <v>0</v>
      </c>
      <c r="AU191" s="146" t="str">
        <f t="shared" si="340"/>
        <v>N/A</v>
      </c>
      <c r="AV191" s="146">
        <f t="shared" si="340"/>
        <v>0</v>
      </c>
      <c r="AW191" s="146">
        <f t="shared" ref="AW191:AW195" si="350">+AV191*J191</f>
        <v>0</v>
      </c>
      <c r="AX191" s="146">
        <f t="shared" ref="AX191:AX195" ca="1" si="351">MIN(T191-AI191-AN191-AS191,AW191)</f>
        <v>0</v>
      </c>
      <c r="AY191" s="146">
        <f t="shared" ref="AY191:AY195" ca="1" si="352">+AW191-AX191</f>
        <v>0</v>
      </c>
      <c r="AZ191" s="147"/>
      <c r="BA191" s="144" t="s">
        <v>141</v>
      </c>
      <c r="BB191" s="144" t="s">
        <v>140</v>
      </c>
      <c r="BC191" s="144" t="s">
        <v>140</v>
      </c>
      <c r="BD191" s="144" t="s">
        <v>140</v>
      </c>
      <c r="BE191" s="146">
        <v>1.3</v>
      </c>
      <c r="BF191" s="148"/>
      <c r="BG191" s="146"/>
      <c r="BH191" s="117"/>
      <c r="BI191" s="117"/>
      <c r="BJ191" s="149"/>
      <c r="BK191" s="149"/>
      <c r="BL191" s="117">
        <v>0</v>
      </c>
      <c r="BM191" s="117">
        <v>0</v>
      </c>
      <c r="BN191" s="117">
        <v>0</v>
      </c>
      <c r="BO191" s="117">
        <v>1</v>
      </c>
      <c r="BP191" s="117">
        <v>0</v>
      </c>
      <c r="BQ191" s="117">
        <v>0</v>
      </c>
      <c r="BR191" s="117">
        <v>0</v>
      </c>
      <c r="BS191" s="117" t="s">
        <v>150</v>
      </c>
      <c r="BT191" s="158" t="s">
        <v>200</v>
      </c>
      <c r="BU191" s="117"/>
      <c r="BV191" s="117" t="s">
        <v>201</v>
      </c>
      <c r="BW191" s="117">
        <v>1</v>
      </c>
      <c r="BX191" s="149">
        <v>46201</v>
      </c>
      <c r="BY191" s="117"/>
      <c r="BZ191" s="117"/>
      <c r="CA191" s="117"/>
      <c r="CB191" s="117">
        <f>+L191-BW191</f>
        <v>0</v>
      </c>
    </row>
    <row r="192" spans="1:80" ht="16.5" hidden="1" customHeight="1">
      <c r="A192" s="117">
        <v>587</v>
      </c>
      <c r="B192" s="154" t="s">
        <v>529</v>
      </c>
      <c r="C192" s="154" t="s">
        <v>908</v>
      </c>
      <c r="D192" s="154" t="s">
        <v>13</v>
      </c>
      <c r="E192" s="154" t="s">
        <v>520</v>
      </c>
      <c r="F192" s="154" t="s">
        <v>531</v>
      </c>
      <c r="G192" s="154" t="s">
        <v>522</v>
      </c>
      <c r="H192" s="146">
        <v>1377</v>
      </c>
      <c r="I192" s="147" t="s">
        <v>147</v>
      </c>
      <c r="J192" s="144">
        <v>1</v>
      </c>
      <c r="K192" s="145">
        <f t="shared" si="335"/>
        <v>1</v>
      </c>
      <c r="L192" s="144">
        <f t="shared" si="336"/>
        <v>1</v>
      </c>
      <c r="M192" s="146">
        <v>59.6</v>
      </c>
      <c r="N192" s="146">
        <f t="shared" si="337"/>
        <v>59.6</v>
      </c>
      <c r="O192" s="146" t="s">
        <v>137</v>
      </c>
      <c r="P192" s="146" t="s">
        <v>13</v>
      </c>
      <c r="Q192" s="146" t="s">
        <v>148</v>
      </c>
      <c r="R192" s="146"/>
      <c r="S192" s="146"/>
      <c r="T192" s="146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1</v>
      </c>
      <c r="U192" s="146">
        <f t="shared" ca="1" si="338"/>
        <v>0</v>
      </c>
      <c r="V192" s="146">
        <f t="shared" ca="1" si="339"/>
        <v>1</v>
      </c>
      <c r="W192" s="146"/>
      <c r="X192" s="146"/>
      <c r="Y192" s="146"/>
      <c r="Z192" s="146"/>
      <c r="AA192" s="146"/>
      <c r="AB192" s="146"/>
      <c r="AC192" s="146">
        <v>0.8</v>
      </c>
      <c r="AD192" s="117" t="s">
        <v>196</v>
      </c>
      <c r="AE192" s="148"/>
      <c r="AF192" s="146" t="str">
        <f t="shared" si="340"/>
        <v>AMC 2-S1</v>
      </c>
      <c r="AG192" s="146">
        <f t="shared" si="340"/>
        <v>1</v>
      </c>
      <c r="AH192" s="146">
        <f t="shared" si="341"/>
        <v>1</v>
      </c>
      <c r="AI192" s="146">
        <f t="shared" ca="1" si="342"/>
        <v>1</v>
      </c>
      <c r="AJ192" s="146">
        <f t="shared" ca="1" si="343"/>
        <v>0</v>
      </c>
      <c r="AK192" s="146" t="str">
        <f t="shared" si="340"/>
        <v>N/A</v>
      </c>
      <c r="AL192" s="146">
        <f t="shared" si="340"/>
        <v>0</v>
      </c>
      <c r="AM192" s="146">
        <f t="shared" si="344"/>
        <v>0</v>
      </c>
      <c r="AN192" s="146">
        <f t="shared" ca="1" si="345"/>
        <v>0</v>
      </c>
      <c r="AO192" s="146">
        <f t="shared" ca="1" si="346"/>
        <v>0</v>
      </c>
      <c r="AP192" s="146" t="str">
        <f t="shared" si="340"/>
        <v>N/A</v>
      </c>
      <c r="AQ192" s="146">
        <f t="shared" si="340"/>
        <v>0</v>
      </c>
      <c r="AR192" s="146">
        <f t="shared" si="347"/>
        <v>0</v>
      </c>
      <c r="AS192" s="146">
        <f t="shared" ca="1" si="348"/>
        <v>0</v>
      </c>
      <c r="AT192" s="146">
        <f t="shared" ca="1" si="349"/>
        <v>0</v>
      </c>
      <c r="AU192" s="146" t="str">
        <f t="shared" si="340"/>
        <v>N/A</v>
      </c>
      <c r="AV192" s="146">
        <f t="shared" si="340"/>
        <v>0</v>
      </c>
      <c r="AW192" s="146">
        <f t="shared" si="350"/>
        <v>0</v>
      </c>
      <c r="AX192" s="146">
        <f t="shared" ca="1" si="351"/>
        <v>0</v>
      </c>
      <c r="AY192" s="146">
        <f t="shared" ca="1" si="352"/>
        <v>0</v>
      </c>
      <c r="AZ192" s="147"/>
      <c r="BA192" s="144" t="s">
        <v>141</v>
      </c>
      <c r="BB192" s="144" t="s">
        <v>140</v>
      </c>
      <c r="BC192" s="144" t="s">
        <v>140</v>
      </c>
      <c r="BD192" s="144" t="s">
        <v>140</v>
      </c>
      <c r="BE192" s="146">
        <v>0.8</v>
      </c>
      <c r="BF192" s="148"/>
      <c r="BG192" s="146"/>
      <c r="BH192" s="117"/>
      <c r="BI192" s="117"/>
      <c r="BJ192" s="149"/>
      <c r="BK192" s="149"/>
      <c r="BL192" s="117">
        <v>0</v>
      </c>
      <c r="BM192" s="117">
        <v>0</v>
      </c>
      <c r="BN192" s="117">
        <v>0</v>
      </c>
      <c r="BO192" s="117">
        <v>1</v>
      </c>
      <c r="BP192" s="117">
        <v>0</v>
      </c>
      <c r="BQ192" s="117">
        <v>0</v>
      </c>
      <c r="BR192" s="117">
        <v>0</v>
      </c>
      <c r="BS192" s="117" t="s">
        <v>150</v>
      </c>
      <c r="BT192" s="167" t="s">
        <v>319</v>
      </c>
      <c r="BU192" s="141"/>
      <c r="BV192" s="141" t="s">
        <v>320</v>
      </c>
      <c r="BW192" s="141">
        <v>1</v>
      </c>
      <c r="BX192" s="153">
        <v>46202</v>
      </c>
      <c r="BY192" s="117"/>
      <c r="BZ192" s="117"/>
      <c r="CA192" s="117"/>
      <c r="CB192" s="117">
        <f>+L192-BW192</f>
        <v>0</v>
      </c>
    </row>
    <row r="193" spans="1:80" ht="16.5" customHeight="1">
      <c r="A193" s="117">
        <v>588</v>
      </c>
      <c r="B193" s="154" t="s">
        <v>529</v>
      </c>
      <c r="C193" s="154" t="s">
        <v>908</v>
      </c>
      <c r="D193" s="154" t="s">
        <v>13</v>
      </c>
      <c r="E193" s="154" t="s">
        <v>532</v>
      </c>
      <c r="F193" s="154" t="s">
        <v>533</v>
      </c>
      <c r="G193" s="154" t="s">
        <v>534</v>
      </c>
      <c r="H193" s="146">
        <v>6833</v>
      </c>
      <c r="I193" s="147" t="s">
        <v>147</v>
      </c>
      <c r="J193" s="144">
        <v>1</v>
      </c>
      <c r="K193" s="145">
        <f t="shared" si="335"/>
        <v>1</v>
      </c>
      <c r="L193" s="144">
        <f t="shared" si="336"/>
        <v>1</v>
      </c>
      <c r="M193" s="146">
        <v>23.4</v>
      </c>
      <c r="N193" s="146">
        <f t="shared" si="337"/>
        <v>23.4</v>
      </c>
      <c r="O193" s="146" t="s">
        <v>137</v>
      </c>
      <c r="P193" s="146" t="s">
        <v>13</v>
      </c>
      <c r="Q193" s="146" t="s">
        <v>148</v>
      </c>
      <c r="R193" s="146"/>
      <c r="S193" s="146"/>
      <c r="T193" s="146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0</v>
      </c>
      <c r="U193" s="146">
        <f t="shared" ca="1" si="338"/>
        <v>1</v>
      </c>
      <c r="V193" s="146">
        <f t="shared" ca="1" si="339"/>
        <v>0</v>
      </c>
      <c r="W193" s="146"/>
      <c r="X193" s="146"/>
      <c r="Y193" s="146"/>
      <c r="Z193" s="146"/>
      <c r="AA193" s="146"/>
      <c r="AB193" s="146"/>
      <c r="AC193" s="146">
        <v>0.7</v>
      </c>
      <c r="AD193" s="117" t="s">
        <v>196</v>
      </c>
      <c r="AE193" s="148"/>
      <c r="AF193" s="146" t="str">
        <f t="shared" si="340"/>
        <v>AMC 2-S1</v>
      </c>
      <c r="AG193" s="146">
        <f t="shared" si="340"/>
        <v>1</v>
      </c>
      <c r="AH193" s="146">
        <f t="shared" si="341"/>
        <v>1</v>
      </c>
      <c r="AI193" s="146">
        <f t="shared" ca="1" si="342"/>
        <v>0</v>
      </c>
      <c r="AJ193" s="146">
        <f t="shared" ca="1" si="343"/>
        <v>1</v>
      </c>
      <c r="AK193" s="146" t="str">
        <f t="shared" si="340"/>
        <v>N/A</v>
      </c>
      <c r="AL193" s="146">
        <f t="shared" si="340"/>
        <v>0</v>
      </c>
      <c r="AM193" s="146">
        <f t="shared" si="344"/>
        <v>0</v>
      </c>
      <c r="AN193" s="146">
        <f t="shared" ca="1" si="345"/>
        <v>0</v>
      </c>
      <c r="AO193" s="146">
        <f t="shared" ca="1" si="346"/>
        <v>0</v>
      </c>
      <c r="AP193" s="146" t="str">
        <f t="shared" si="340"/>
        <v>N/A</v>
      </c>
      <c r="AQ193" s="146">
        <f t="shared" si="340"/>
        <v>0</v>
      </c>
      <c r="AR193" s="146">
        <f t="shared" si="347"/>
        <v>0</v>
      </c>
      <c r="AS193" s="146">
        <f t="shared" ca="1" si="348"/>
        <v>0</v>
      </c>
      <c r="AT193" s="146">
        <f t="shared" ca="1" si="349"/>
        <v>0</v>
      </c>
      <c r="AU193" s="146" t="str">
        <f t="shared" si="340"/>
        <v>N/A</v>
      </c>
      <c r="AV193" s="146">
        <f t="shared" si="340"/>
        <v>0</v>
      </c>
      <c r="AW193" s="146">
        <f t="shared" si="350"/>
        <v>0</v>
      </c>
      <c r="AX193" s="146">
        <f t="shared" ca="1" si="351"/>
        <v>0</v>
      </c>
      <c r="AY193" s="146">
        <f t="shared" ca="1" si="352"/>
        <v>0</v>
      </c>
      <c r="AZ193" s="147"/>
      <c r="BA193" s="144" t="s">
        <v>141</v>
      </c>
      <c r="BB193" s="144" t="s">
        <v>140</v>
      </c>
      <c r="BC193" s="144" t="s">
        <v>140</v>
      </c>
      <c r="BD193" s="144" t="s">
        <v>140</v>
      </c>
      <c r="BE193" s="146">
        <v>0.7</v>
      </c>
      <c r="BF193" s="148"/>
      <c r="BG193" s="146"/>
      <c r="BH193" s="117"/>
      <c r="BI193" s="117"/>
      <c r="BJ193" s="149"/>
      <c r="BK193" s="149"/>
      <c r="BL193" s="117">
        <v>0</v>
      </c>
      <c r="BM193" s="117">
        <v>0</v>
      </c>
      <c r="BN193" s="117">
        <v>0</v>
      </c>
      <c r="BO193" s="117">
        <v>0</v>
      </c>
      <c r="BP193" s="117">
        <v>0</v>
      </c>
      <c r="BQ193" s="117">
        <v>0</v>
      </c>
      <c r="BR193" s="117">
        <v>0</v>
      </c>
      <c r="BS193" s="117" t="s">
        <v>150</v>
      </c>
      <c r="BT193" s="158" t="s">
        <v>210</v>
      </c>
      <c r="BU193" s="117"/>
      <c r="BV193" s="117" t="s">
        <v>211</v>
      </c>
      <c r="BW193" s="117">
        <v>1</v>
      </c>
      <c r="BX193" s="149">
        <v>46201</v>
      </c>
      <c r="BY193" s="117"/>
      <c r="BZ193" s="117"/>
      <c r="CA193" s="117"/>
      <c r="CB193" s="117">
        <f>+L193-BW193</f>
        <v>0</v>
      </c>
    </row>
    <row r="194" spans="1:80" ht="16.5" hidden="1" customHeight="1">
      <c r="A194" s="117">
        <v>589</v>
      </c>
      <c r="B194" s="154" t="s">
        <v>529</v>
      </c>
      <c r="C194" s="154" t="s">
        <v>908</v>
      </c>
      <c r="D194" s="154" t="s">
        <v>13</v>
      </c>
      <c r="E194" s="154" t="s">
        <v>535</v>
      </c>
      <c r="F194" s="154" t="s">
        <v>536</v>
      </c>
      <c r="G194" s="154" t="s">
        <v>525</v>
      </c>
      <c r="H194" s="146">
        <v>1851</v>
      </c>
      <c r="I194" s="147" t="s">
        <v>147</v>
      </c>
      <c r="J194" s="144">
        <v>1</v>
      </c>
      <c r="K194" s="145">
        <f t="shared" si="335"/>
        <v>1</v>
      </c>
      <c r="L194" s="144">
        <f t="shared" si="336"/>
        <v>1</v>
      </c>
      <c r="M194" s="146">
        <v>54.4</v>
      </c>
      <c r="N194" s="146">
        <f t="shared" si="337"/>
        <v>54.4</v>
      </c>
      <c r="O194" s="146" t="s">
        <v>137</v>
      </c>
      <c r="P194" s="146" t="s">
        <v>13</v>
      </c>
      <c r="Q194" s="146" t="s">
        <v>148</v>
      </c>
      <c r="R194" s="146"/>
      <c r="S194" s="146"/>
      <c r="T194" s="146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1</v>
      </c>
      <c r="U194" s="146">
        <f t="shared" ca="1" si="338"/>
        <v>0</v>
      </c>
      <c r="V194" s="146">
        <f t="shared" ca="1" si="339"/>
        <v>1</v>
      </c>
      <c r="W194" s="146"/>
      <c r="X194" s="146"/>
      <c r="Y194" s="146"/>
      <c r="Z194" s="146"/>
      <c r="AA194" s="146"/>
      <c r="AB194" s="146"/>
      <c r="AC194" s="146">
        <v>1</v>
      </c>
      <c r="AD194" s="117" t="s">
        <v>196</v>
      </c>
      <c r="AE194" s="148"/>
      <c r="AF194" s="146" t="str">
        <f t="shared" si="340"/>
        <v>AMC 2-S1</v>
      </c>
      <c r="AG194" s="146">
        <f t="shared" si="340"/>
        <v>1</v>
      </c>
      <c r="AH194" s="146">
        <f t="shared" si="341"/>
        <v>1</v>
      </c>
      <c r="AI194" s="146">
        <f t="shared" ca="1" si="342"/>
        <v>1</v>
      </c>
      <c r="AJ194" s="146">
        <f t="shared" ca="1" si="343"/>
        <v>0</v>
      </c>
      <c r="AK194" s="146" t="str">
        <f t="shared" si="340"/>
        <v>N/A</v>
      </c>
      <c r="AL194" s="146">
        <f t="shared" si="340"/>
        <v>0</v>
      </c>
      <c r="AM194" s="146">
        <f t="shared" si="344"/>
        <v>0</v>
      </c>
      <c r="AN194" s="146">
        <f t="shared" ca="1" si="345"/>
        <v>0</v>
      </c>
      <c r="AO194" s="146">
        <f t="shared" ca="1" si="346"/>
        <v>0</v>
      </c>
      <c r="AP194" s="146" t="str">
        <f t="shared" si="340"/>
        <v>N/A</v>
      </c>
      <c r="AQ194" s="146">
        <f t="shared" si="340"/>
        <v>0</v>
      </c>
      <c r="AR194" s="146">
        <f t="shared" si="347"/>
        <v>0</v>
      </c>
      <c r="AS194" s="146">
        <f t="shared" ca="1" si="348"/>
        <v>0</v>
      </c>
      <c r="AT194" s="146">
        <f t="shared" ca="1" si="349"/>
        <v>0</v>
      </c>
      <c r="AU194" s="146" t="str">
        <f t="shared" si="340"/>
        <v>N/A</v>
      </c>
      <c r="AV194" s="146">
        <f t="shared" si="340"/>
        <v>0</v>
      </c>
      <c r="AW194" s="146">
        <f t="shared" si="350"/>
        <v>0</v>
      </c>
      <c r="AX194" s="146">
        <f t="shared" ca="1" si="351"/>
        <v>0</v>
      </c>
      <c r="AY194" s="146">
        <f t="shared" ca="1" si="352"/>
        <v>0</v>
      </c>
      <c r="AZ194" s="147"/>
      <c r="BA194" s="144" t="s">
        <v>141</v>
      </c>
      <c r="BB194" s="144" t="s">
        <v>140</v>
      </c>
      <c r="BC194" s="144" t="s">
        <v>140</v>
      </c>
      <c r="BD194" s="144" t="s">
        <v>140</v>
      </c>
      <c r="BE194" s="146">
        <v>1</v>
      </c>
      <c r="BF194" s="148"/>
      <c r="BG194" s="146"/>
      <c r="BH194" s="117"/>
      <c r="BI194" s="117"/>
      <c r="BJ194" s="149"/>
      <c r="BK194" s="149"/>
      <c r="BL194" s="117">
        <v>0</v>
      </c>
      <c r="BM194" s="117">
        <v>0</v>
      </c>
      <c r="BN194" s="117">
        <v>0</v>
      </c>
      <c r="BO194" s="117">
        <v>1</v>
      </c>
      <c r="BP194" s="117">
        <v>0</v>
      </c>
      <c r="BQ194" s="117">
        <v>0</v>
      </c>
      <c r="BR194" s="117">
        <v>0</v>
      </c>
      <c r="BS194" s="117" t="s">
        <v>150</v>
      </c>
      <c r="BT194" s="158" t="s">
        <v>200</v>
      </c>
      <c r="BU194" s="117"/>
      <c r="BV194" s="117" t="s">
        <v>201</v>
      </c>
      <c r="BW194" s="117">
        <v>1</v>
      </c>
      <c r="BX194" s="149">
        <v>46201</v>
      </c>
      <c r="BY194" s="117"/>
      <c r="BZ194" s="117"/>
      <c r="CA194" s="117"/>
      <c r="CB194" s="117">
        <f>+L194-BW194</f>
        <v>0</v>
      </c>
    </row>
    <row r="195" spans="1:80" ht="16.5" customHeight="1">
      <c r="A195" s="117">
        <v>590</v>
      </c>
      <c r="B195" s="154" t="s">
        <v>529</v>
      </c>
      <c r="C195" s="154" t="s">
        <v>908</v>
      </c>
      <c r="D195" s="154" t="s">
        <v>13</v>
      </c>
      <c r="E195" s="154" t="s">
        <v>537</v>
      </c>
      <c r="F195" s="154" t="s">
        <v>538</v>
      </c>
      <c r="G195" s="154" t="s">
        <v>539</v>
      </c>
      <c r="H195" s="146">
        <v>6834</v>
      </c>
      <c r="I195" s="147" t="s">
        <v>147</v>
      </c>
      <c r="J195" s="144">
        <v>1</v>
      </c>
      <c r="K195" s="145">
        <f t="shared" si="335"/>
        <v>1</v>
      </c>
      <c r="L195" s="144">
        <f t="shared" si="336"/>
        <v>1</v>
      </c>
      <c r="M195" s="146">
        <v>1620.9</v>
      </c>
      <c r="N195" s="146">
        <f t="shared" si="337"/>
        <v>1620.9</v>
      </c>
      <c r="O195" s="146" t="s">
        <v>137</v>
      </c>
      <c r="P195" s="146" t="s">
        <v>13</v>
      </c>
      <c r="Q195" s="146" t="s">
        <v>154</v>
      </c>
      <c r="R195" s="146"/>
      <c r="S195" s="146"/>
      <c r="T195" s="146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1</v>
      </c>
      <c r="U195" s="146">
        <f t="shared" ca="1" si="338"/>
        <v>0</v>
      </c>
      <c r="V195" s="146">
        <f t="shared" ca="1" si="339"/>
        <v>1</v>
      </c>
      <c r="W195" s="146"/>
      <c r="X195" s="146"/>
      <c r="Y195" s="146"/>
      <c r="Z195" s="146"/>
      <c r="AA195" s="146"/>
      <c r="AB195" s="146"/>
      <c r="AC195" s="142">
        <v>23.3</v>
      </c>
      <c r="AD195" s="141" t="s">
        <v>196</v>
      </c>
      <c r="AE195" s="166"/>
      <c r="AF195" s="146" t="str">
        <f t="shared" si="340"/>
        <v>AMC 2-S1</v>
      </c>
      <c r="AG195" s="146">
        <f t="shared" si="340"/>
        <v>1</v>
      </c>
      <c r="AH195" s="146">
        <f t="shared" si="341"/>
        <v>1</v>
      </c>
      <c r="AI195" s="146">
        <f t="shared" ca="1" si="342"/>
        <v>1</v>
      </c>
      <c r="AJ195" s="146">
        <f t="shared" ca="1" si="343"/>
        <v>0</v>
      </c>
      <c r="AK195" s="146" t="str">
        <f t="shared" si="340"/>
        <v>N/A</v>
      </c>
      <c r="AL195" s="146">
        <f t="shared" si="340"/>
        <v>0</v>
      </c>
      <c r="AM195" s="146">
        <f t="shared" si="344"/>
        <v>0</v>
      </c>
      <c r="AN195" s="146">
        <f t="shared" ca="1" si="345"/>
        <v>0</v>
      </c>
      <c r="AO195" s="146">
        <f t="shared" ca="1" si="346"/>
        <v>0</v>
      </c>
      <c r="AP195" s="146" t="str">
        <f t="shared" si="340"/>
        <v>N/A</v>
      </c>
      <c r="AQ195" s="146">
        <f t="shared" si="340"/>
        <v>0</v>
      </c>
      <c r="AR195" s="146">
        <f t="shared" si="347"/>
        <v>0</v>
      </c>
      <c r="AS195" s="146">
        <f t="shared" ca="1" si="348"/>
        <v>0</v>
      </c>
      <c r="AT195" s="146">
        <f t="shared" ca="1" si="349"/>
        <v>0</v>
      </c>
      <c r="AU195" s="146" t="str">
        <f t="shared" si="340"/>
        <v>N/A</v>
      </c>
      <c r="AV195" s="146">
        <f t="shared" si="340"/>
        <v>0</v>
      </c>
      <c r="AW195" s="146">
        <f t="shared" si="350"/>
        <v>0</v>
      </c>
      <c r="AX195" s="146">
        <f t="shared" ca="1" si="351"/>
        <v>0</v>
      </c>
      <c r="AY195" s="146">
        <f t="shared" ca="1" si="352"/>
        <v>0</v>
      </c>
      <c r="AZ195" s="143"/>
      <c r="BA195" s="165" t="s">
        <v>141</v>
      </c>
      <c r="BB195" s="165" t="s">
        <v>140</v>
      </c>
      <c r="BC195" s="165" t="s">
        <v>140</v>
      </c>
      <c r="BD195" s="165" t="s">
        <v>140</v>
      </c>
      <c r="BE195" s="142">
        <v>23.3</v>
      </c>
      <c r="BF195" s="166"/>
      <c r="BG195" s="142"/>
      <c r="BH195" s="117"/>
      <c r="BI195" s="117"/>
      <c r="BJ195" s="149" t="s">
        <v>294</v>
      </c>
      <c r="BK195" s="149"/>
      <c r="BL195" s="117">
        <v>0</v>
      </c>
      <c r="BM195" s="117">
        <v>1</v>
      </c>
      <c r="BN195" s="117">
        <v>0</v>
      </c>
      <c r="BO195" s="117">
        <v>1</v>
      </c>
      <c r="BP195" s="117">
        <v>0</v>
      </c>
      <c r="BQ195" s="117">
        <v>0</v>
      </c>
      <c r="BR195" s="117">
        <v>0</v>
      </c>
      <c r="BS195" s="117" t="s">
        <v>150</v>
      </c>
      <c r="BT195" s="117"/>
      <c r="BU195" s="155"/>
      <c r="BV195" s="117" t="s">
        <v>57</v>
      </c>
      <c r="BW195" s="144">
        <v>1</v>
      </c>
      <c r="BX195" s="149"/>
      <c r="BY195" s="117"/>
      <c r="BZ195" s="117"/>
      <c r="CA195" s="117"/>
      <c r="CB195" s="117">
        <f>+L195-BW195</f>
        <v>0</v>
      </c>
    </row>
    <row r="196" spans="1:80" ht="16.5" hidden="1" customHeight="1">
      <c r="A196" s="133">
        <v>597</v>
      </c>
      <c r="B196" s="156" t="s">
        <v>540</v>
      </c>
      <c r="C196" s="156" t="s">
        <v>909</v>
      </c>
      <c r="D196" s="156"/>
      <c r="E196" s="156" t="s">
        <v>136</v>
      </c>
      <c r="F196" s="156"/>
      <c r="G196" s="156"/>
      <c r="H196" s="157"/>
      <c r="I196" s="159"/>
      <c r="J196" s="160" t="s">
        <v>136</v>
      </c>
      <c r="K196" s="138">
        <f>+AG196+AL196+AQ196+AV196</f>
        <v>1</v>
      </c>
      <c r="L196" s="160" t="s">
        <v>136</v>
      </c>
      <c r="M196" s="157"/>
      <c r="N196" s="157">
        <v>1660.3</v>
      </c>
      <c r="O196" s="157" t="s">
        <v>137</v>
      </c>
      <c r="P196" s="157"/>
      <c r="Q196" s="157"/>
      <c r="R196" s="157"/>
      <c r="S196" s="157"/>
      <c r="T196" s="157"/>
      <c r="U196" s="157"/>
      <c r="V196" s="157"/>
      <c r="W196" s="135">
        <f ca="1">_xlfn.MINIFS(V:V,C:C,C196,AE:AE,"",AB:AB,"")</f>
        <v>1</v>
      </c>
      <c r="X196" s="135">
        <f ca="1">SUMIFS(T:T,C:C,C196,AE:AE,"")/SUMIFS(L:L,C:C,C196,AE:AE,"",AB:AB,"")</f>
        <v>1</v>
      </c>
      <c r="Y196" s="157"/>
      <c r="Z196" s="157"/>
      <c r="AA196" s="157"/>
      <c r="AB196" s="157"/>
      <c r="AC196" s="157">
        <v>24.7</v>
      </c>
      <c r="AD196" s="161" t="s">
        <v>196</v>
      </c>
      <c r="AE196" s="162" t="s">
        <v>143</v>
      </c>
      <c r="AF196" s="157" t="s">
        <v>281</v>
      </c>
      <c r="AG196" s="157">
        <v>1</v>
      </c>
      <c r="AH196" s="157"/>
      <c r="AI196" s="157"/>
      <c r="AJ196" s="157"/>
      <c r="AK196" s="157" t="s">
        <v>138</v>
      </c>
      <c r="AL196" s="157">
        <v>0</v>
      </c>
      <c r="AM196" s="157"/>
      <c r="AN196" s="157"/>
      <c r="AO196" s="157"/>
      <c r="AP196" s="157" t="s">
        <v>138</v>
      </c>
      <c r="AQ196" s="157">
        <v>0</v>
      </c>
      <c r="AR196" s="157"/>
      <c r="AS196" s="157"/>
      <c r="AT196" s="157"/>
      <c r="AU196" s="157" t="s">
        <v>138</v>
      </c>
      <c r="AV196" s="157">
        <v>0</v>
      </c>
      <c r="AW196" s="157"/>
      <c r="AX196" s="157"/>
      <c r="AY196" s="157"/>
      <c r="AZ196" s="136"/>
      <c r="BA196" s="137" t="s">
        <v>141</v>
      </c>
      <c r="BB196" s="137" t="s">
        <v>140</v>
      </c>
      <c r="BC196" s="137" t="s">
        <v>140</v>
      </c>
      <c r="BD196" s="137" t="s">
        <v>140</v>
      </c>
      <c r="BE196" s="157">
        <v>24.7</v>
      </c>
      <c r="BF196" s="162"/>
      <c r="BG196" s="157"/>
      <c r="BH196" s="161"/>
      <c r="BI196" s="161"/>
      <c r="BJ196" s="163"/>
      <c r="BK196" s="163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4"/>
      <c r="BV196" s="161"/>
      <c r="BW196" s="161"/>
      <c r="BX196" s="163"/>
      <c r="BY196" s="161"/>
      <c r="BZ196" s="161"/>
      <c r="CA196" s="161"/>
      <c r="CB196" s="161"/>
    </row>
    <row r="197" spans="1:80" ht="16.5" hidden="1" customHeight="1">
      <c r="A197" s="117">
        <v>598</v>
      </c>
      <c r="B197" s="154" t="s">
        <v>540</v>
      </c>
      <c r="C197" s="154" t="s">
        <v>909</v>
      </c>
      <c r="D197" s="154" t="s">
        <v>13</v>
      </c>
      <c r="E197" s="154" t="s">
        <v>517</v>
      </c>
      <c r="F197" s="154" t="s">
        <v>541</v>
      </c>
      <c r="G197" s="154" t="s">
        <v>519</v>
      </c>
      <c r="H197" s="146">
        <v>2153</v>
      </c>
      <c r="I197" s="147" t="s">
        <v>147</v>
      </c>
      <c r="J197" s="144">
        <v>1</v>
      </c>
      <c r="K197" s="145">
        <f t="shared" ref="K197:K201" si="353">K196</f>
        <v>1</v>
      </c>
      <c r="L197" s="144">
        <f t="shared" ref="L197:L201" si="354">+K197*J197</f>
        <v>1</v>
      </c>
      <c r="M197" s="146">
        <v>70</v>
      </c>
      <c r="N197" s="146">
        <f t="shared" ref="N197:N201" si="355">+M197*L197</f>
        <v>70</v>
      </c>
      <c r="O197" s="146" t="s">
        <v>137</v>
      </c>
      <c r="P197" s="146" t="s">
        <v>13</v>
      </c>
      <c r="Q197" s="146" t="s">
        <v>148</v>
      </c>
      <c r="R197" s="146"/>
      <c r="S197" s="146"/>
      <c r="T197" s="146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1</v>
      </c>
      <c r="U197" s="146">
        <f t="shared" ref="U197:U201" ca="1" si="356">+L197-T197</f>
        <v>0</v>
      </c>
      <c r="V197" s="146">
        <f t="shared" ref="V197:V201" ca="1" si="357">ROUNDDOWN(T197/J197,0)</f>
        <v>1</v>
      </c>
      <c r="W197" s="146"/>
      <c r="X197" s="146"/>
      <c r="Y197" s="146"/>
      <c r="Z197" s="146"/>
      <c r="AA197" s="146"/>
      <c r="AB197" s="146"/>
      <c r="AC197" s="146">
        <v>1.3</v>
      </c>
      <c r="AD197" s="117" t="s">
        <v>196</v>
      </c>
      <c r="AE197" s="148"/>
      <c r="AF197" s="146" t="str">
        <f t="shared" ref="AF197:AV201" si="358">AF196</f>
        <v>AMC 2-S1</v>
      </c>
      <c r="AG197" s="146">
        <f t="shared" si="358"/>
        <v>1</v>
      </c>
      <c r="AH197" s="146">
        <f t="shared" ref="AH197:AH201" si="359">+AG197*J197</f>
        <v>1</v>
      </c>
      <c r="AI197" s="146">
        <f t="shared" ref="AI197:AI201" ca="1" si="360">MIN(T197,AH197)</f>
        <v>1</v>
      </c>
      <c r="AJ197" s="146">
        <f t="shared" ref="AJ197:AJ201" ca="1" si="361">+AH197-AI197</f>
        <v>0</v>
      </c>
      <c r="AK197" s="146" t="str">
        <f t="shared" si="358"/>
        <v>N/A</v>
      </c>
      <c r="AL197" s="146">
        <f t="shared" si="358"/>
        <v>0</v>
      </c>
      <c r="AM197" s="146">
        <f t="shared" ref="AM197:AM201" si="362">+AL197*J197</f>
        <v>0</v>
      </c>
      <c r="AN197" s="146">
        <f t="shared" ref="AN197:AN201" ca="1" si="363">MIN(T197-AI197,AL197)</f>
        <v>0</v>
      </c>
      <c r="AO197" s="146">
        <f t="shared" ref="AO197:AO201" ca="1" si="364">+AM197-AN197</f>
        <v>0</v>
      </c>
      <c r="AP197" s="146" t="str">
        <f t="shared" si="358"/>
        <v>N/A</v>
      </c>
      <c r="AQ197" s="146">
        <f t="shared" si="358"/>
        <v>0</v>
      </c>
      <c r="AR197" s="146">
        <f t="shared" ref="AR197:AR201" si="365">+AQ197*J197</f>
        <v>0</v>
      </c>
      <c r="AS197" s="146">
        <f t="shared" ref="AS197:AS201" ca="1" si="366">MIN(T197-AI197-AN197,AR197)</f>
        <v>0</v>
      </c>
      <c r="AT197" s="146">
        <f t="shared" ref="AT197:AT201" ca="1" si="367">+AR197-AS197</f>
        <v>0</v>
      </c>
      <c r="AU197" s="146" t="str">
        <f t="shared" si="358"/>
        <v>N/A</v>
      </c>
      <c r="AV197" s="146">
        <f t="shared" si="358"/>
        <v>0</v>
      </c>
      <c r="AW197" s="146">
        <f t="shared" ref="AW197:AW201" si="368">+AV197*J197</f>
        <v>0</v>
      </c>
      <c r="AX197" s="146">
        <f t="shared" ref="AX197:AX201" ca="1" si="369">MIN(T197-AI197-AN197-AS197,AW197)</f>
        <v>0</v>
      </c>
      <c r="AY197" s="146">
        <f t="shared" ref="AY197:AY201" ca="1" si="370">+AW197-AX197</f>
        <v>0</v>
      </c>
      <c r="AZ197" s="147"/>
      <c r="BA197" s="144" t="s">
        <v>141</v>
      </c>
      <c r="BB197" s="144" t="s">
        <v>140</v>
      </c>
      <c r="BC197" s="144" t="s">
        <v>140</v>
      </c>
      <c r="BD197" s="144" t="s">
        <v>140</v>
      </c>
      <c r="BE197" s="146">
        <v>1.3</v>
      </c>
      <c r="BF197" s="148"/>
      <c r="BG197" s="146"/>
      <c r="BH197" s="117"/>
      <c r="BI197" s="117"/>
      <c r="BJ197" s="149"/>
      <c r="BK197" s="149"/>
      <c r="BL197" s="117">
        <v>0</v>
      </c>
      <c r="BM197" s="117">
        <v>0</v>
      </c>
      <c r="BN197" s="117">
        <v>0</v>
      </c>
      <c r="BO197" s="117">
        <v>1</v>
      </c>
      <c r="BP197" s="117">
        <v>0</v>
      </c>
      <c r="BQ197" s="117">
        <v>0</v>
      </c>
      <c r="BR197" s="117">
        <v>0</v>
      </c>
      <c r="BS197" s="117" t="s">
        <v>150</v>
      </c>
      <c r="BT197" s="158" t="s">
        <v>200</v>
      </c>
      <c r="BU197" s="117"/>
      <c r="BV197" s="117" t="s">
        <v>201</v>
      </c>
      <c r="BW197" s="117">
        <v>1</v>
      </c>
      <c r="BX197" s="149">
        <v>46201</v>
      </c>
      <c r="BY197" s="117"/>
      <c r="BZ197" s="117"/>
      <c r="CA197" s="117"/>
      <c r="CB197" s="117">
        <f>+L197-BW197</f>
        <v>0</v>
      </c>
    </row>
    <row r="198" spans="1:80" ht="16.5" hidden="1" customHeight="1">
      <c r="A198" s="117">
        <v>599</v>
      </c>
      <c r="B198" s="154" t="s">
        <v>540</v>
      </c>
      <c r="C198" s="154" t="s">
        <v>909</v>
      </c>
      <c r="D198" s="154" t="s">
        <v>13</v>
      </c>
      <c r="E198" s="154" t="s">
        <v>520</v>
      </c>
      <c r="F198" s="154" t="s">
        <v>542</v>
      </c>
      <c r="G198" s="154" t="s">
        <v>522</v>
      </c>
      <c r="H198" s="146">
        <v>1377</v>
      </c>
      <c r="I198" s="147" t="s">
        <v>147</v>
      </c>
      <c r="J198" s="144">
        <v>1</v>
      </c>
      <c r="K198" s="145">
        <f t="shared" si="353"/>
        <v>1</v>
      </c>
      <c r="L198" s="144">
        <f t="shared" si="354"/>
        <v>1</v>
      </c>
      <c r="M198" s="146">
        <v>59.6</v>
      </c>
      <c r="N198" s="146">
        <f t="shared" si="355"/>
        <v>59.6</v>
      </c>
      <c r="O198" s="146" t="s">
        <v>137</v>
      </c>
      <c r="P198" s="146" t="s">
        <v>13</v>
      </c>
      <c r="Q198" s="146" t="s">
        <v>148</v>
      </c>
      <c r="R198" s="146"/>
      <c r="S198" s="146"/>
      <c r="T198" s="146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1</v>
      </c>
      <c r="U198" s="146">
        <f t="shared" ca="1" si="356"/>
        <v>0</v>
      </c>
      <c r="V198" s="146">
        <f t="shared" ca="1" si="357"/>
        <v>1</v>
      </c>
      <c r="W198" s="146"/>
      <c r="X198" s="146"/>
      <c r="Y198" s="146"/>
      <c r="Z198" s="146"/>
      <c r="AA198" s="146"/>
      <c r="AB198" s="146"/>
      <c r="AC198" s="146">
        <v>0.8</v>
      </c>
      <c r="AD198" s="117" t="s">
        <v>196</v>
      </c>
      <c r="AE198" s="148"/>
      <c r="AF198" s="146" t="str">
        <f t="shared" si="358"/>
        <v>AMC 2-S1</v>
      </c>
      <c r="AG198" s="146">
        <f t="shared" si="358"/>
        <v>1</v>
      </c>
      <c r="AH198" s="146">
        <f t="shared" si="359"/>
        <v>1</v>
      </c>
      <c r="AI198" s="146">
        <f t="shared" ca="1" si="360"/>
        <v>1</v>
      </c>
      <c r="AJ198" s="146">
        <f t="shared" ca="1" si="361"/>
        <v>0</v>
      </c>
      <c r="AK198" s="146" t="str">
        <f t="shared" si="358"/>
        <v>N/A</v>
      </c>
      <c r="AL198" s="146">
        <f t="shared" si="358"/>
        <v>0</v>
      </c>
      <c r="AM198" s="146">
        <f t="shared" si="362"/>
        <v>0</v>
      </c>
      <c r="AN198" s="146">
        <f t="shared" ca="1" si="363"/>
        <v>0</v>
      </c>
      <c r="AO198" s="146">
        <f t="shared" ca="1" si="364"/>
        <v>0</v>
      </c>
      <c r="AP198" s="146" t="str">
        <f t="shared" si="358"/>
        <v>N/A</v>
      </c>
      <c r="AQ198" s="146">
        <f t="shared" si="358"/>
        <v>0</v>
      </c>
      <c r="AR198" s="146">
        <f t="shared" si="365"/>
        <v>0</v>
      </c>
      <c r="AS198" s="146">
        <f t="shared" ca="1" si="366"/>
        <v>0</v>
      </c>
      <c r="AT198" s="146">
        <f t="shared" ca="1" si="367"/>
        <v>0</v>
      </c>
      <c r="AU198" s="146" t="str">
        <f t="shared" si="358"/>
        <v>N/A</v>
      </c>
      <c r="AV198" s="146">
        <f t="shared" si="358"/>
        <v>0</v>
      </c>
      <c r="AW198" s="146">
        <f t="shared" si="368"/>
        <v>0</v>
      </c>
      <c r="AX198" s="146">
        <f t="shared" ca="1" si="369"/>
        <v>0</v>
      </c>
      <c r="AY198" s="146">
        <f t="shared" ca="1" si="370"/>
        <v>0</v>
      </c>
      <c r="AZ198" s="147"/>
      <c r="BA198" s="144" t="s">
        <v>141</v>
      </c>
      <c r="BB198" s="144" t="s">
        <v>140</v>
      </c>
      <c r="BC198" s="144" t="s">
        <v>140</v>
      </c>
      <c r="BD198" s="144" t="s">
        <v>140</v>
      </c>
      <c r="BE198" s="146">
        <v>0.8</v>
      </c>
      <c r="BF198" s="148"/>
      <c r="BG198" s="146"/>
      <c r="BH198" s="117"/>
      <c r="BI198" s="117"/>
      <c r="BJ198" s="149"/>
      <c r="BK198" s="149"/>
      <c r="BL198" s="117">
        <v>0</v>
      </c>
      <c r="BM198" s="117">
        <v>0</v>
      </c>
      <c r="BN198" s="117">
        <v>0</v>
      </c>
      <c r="BO198" s="117">
        <v>1</v>
      </c>
      <c r="BP198" s="117">
        <v>0</v>
      </c>
      <c r="BQ198" s="117">
        <v>0</v>
      </c>
      <c r="BR198" s="117">
        <v>0</v>
      </c>
      <c r="BS198" s="117" t="s">
        <v>150</v>
      </c>
      <c r="BT198" s="167" t="s">
        <v>319</v>
      </c>
      <c r="BU198" s="141"/>
      <c r="BV198" s="141" t="s">
        <v>320</v>
      </c>
      <c r="BW198" s="141">
        <v>1</v>
      </c>
      <c r="BX198" s="153">
        <v>46202</v>
      </c>
      <c r="BY198" s="117"/>
      <c r="BZ198" s="117"/>
      <c r="CA198" s="117"/>
      <c r="CB198" s="117">
        <f>+L198-BW198</f>
        <v>0</v>
      </c>
    </row>
    <row r="199" spans="1:80" ht="16.5" hidden="1" customHeight="1">
      <c r="A199" s="117">
        <v>600</v>
      </c>
      <c r="B199" s="154" t="s">
        <v>540</v>
      </c>
      <c r="C199" s="154" t="s">
        <v>909</v>
      </c>
      <c r="D199" s="154" t="s">
        <v>13</v>
      </c>
      <c r="E199" s="154" t="s">
        <v>543</v>
      </c>
      <c r="F199" s="154" t="s">
        <v>544</v>
      </c>
      <c r="G199" s="154" t="s">
        <v>545</v>
      </c>
      <c r="H199" s="146">
        <v>6445</v>
      </c>
      <c r="I199" s="147" t="s">
        <v>147</v>
      </c>
      <c r="J199" s="144">
        <v>1</v>
      </c>
      <c r="K199" s="145">
        <f t="shared" si="353"/>
        <v>1</v>
      </c>
      <c r="L199" s="144">
        <f t="shared" si="354"/>
        <v>1</v>
      </c>
      <c r="M199" s="146">
        <v>24.5</v>
      </c>
      <c r="N199" s="146">
        <f t="shared" si="355"/>
        <v>24.5</v>
      </c>
      <c r="O199" s="146" t="s">
        <v>137</v>
      </c>
      <c r="P199" s="146" t="s">
        <v>13</v>
      </c>
      <c r="Q199" s="146" t="s">
        <v>148</v>
      </c>
      <c r="R199" s="146"/>
      <c r="S199" s="146"/>
      <c r="T199" s="146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1</v>
      </c>
      <c r="U199" s="146">
        <f t="shared" ca="1" si="356"/>
        <v>0</v>
      </c>
      <c r="V199" s="146">
        <f t="shared" ca="1" si="357"/>
        <v>1</v>
      </c>
      <c r="W199" s="146"/>
      <c r="X199" s="146"/>
      <c r="Y199" s="146"/>
      <c r="Z199" s="146"/>
      <c r="AA199" s="146"/>
      <c r="AB199" s="146"/>
      <c r="AC199" s="146">
        <v>0.8</v>
      </c>
      <c r="AD199" s="117" t="s">
        <v>196</v>
      </c>
      <c r="AE199" s="148"/>
      <c r="AF199" s="146" t="str">
        <f t="shared" si="358"/>
        <v>AMC 2-S1</v>
      </c>
      <c r="AG199" s="146">
        <f t="shared" si="358"/>
        <v>1</v>
      </c>
      <c r="AH199" s="146">
        <f t="shared" si="359"/>
        <v>1</v>
      </c>
      <c r="AI199" s="146">
        <f t="shared" ca="1" si="360"/>
        <v>1</v>
      </c>
      <c r="AJ199" s="146">
        <f t="shared" ca="1" si="361"/>
        <v>0</v>
      </c>
      <c r="AK199" s="146" t="str">
        <f t="shared" si="358"/>
        <v>N/A</v>
      </c>
      <c r="AL199" s="146">
        <f t="shared" si="358"/>
        <v>0</v>
      </c>
      <c r="AM199" s="146">
        <f t="shared" si="362"/>
        <v>0</v>
      </c>
      <c r="AN199" s="146">
        <f t="shared" ca="1" si="363"/>
        <v>0</v>
      </c>
      <c r="AO199" s="146">
        <f t="shared" ca="1" si="364"/>
        <v>0</v>
      </c>
      <c r="AP199" s="146" t="str">
        <f t="shared" si="358"/>
        <v>N/A</v>
      </c>
      <c r="AQ199" s="146">
        <f t="shared" si="358"/>
        <v>0</v>
      </c>
      <c r="AR199" s="146">
        <f t="shared" si="365"/>
        <v>0</v>
      </c>
      <c r="AS199" s="146">
        <f t="shared" ca="1" si="366"/>
        <v>0</v>
      </c>
      <c r="AT199" s="146">
        <f t="shared" ca="1" si="367"/>
        <v>0</v>
      </c>
      <c r="AU199" s="146" t="str">
        <f t="shared" si="358"/>
        <v>N/A</v>
      </c>
      <c r="AV199" s="146">
        <f t="shared" si="358"/>
        <v>0</v>
      </c>
      <c r="AW199" s="146">
        <f t="shared" si="368"/>
        <v>0</v>
      </c>
      <c r="AX199" s="146">
        <f t="shared" ca="1" si="369"/>
        <v>0</v>
      </c>
      <c r="AY199" s="146">
        <f t="shared" ca="1" si="370"/>
        <v>0</v>
      </c>
      <c r="AZ199" s="147"/>
      <c r="BA199" s="144" t="s">
        <v>141</v>
      </c>
      <c r="BB199" s="144" t="s">
        <v>140</v>
      </c>
      <c r="BC199" s="144" t="s">
        <v>140</v>
      </c>
      <c r="BD199" s="144" t="s">
        <v>140</v>
      </c>
      <c r="BE199" s="146">
        <v>0.8</v>
      </c>
      <c r="BF199" s="148"/>
      <c r="BG199" s="146"/>
      <c r="BH199" s="117"/>
      <c r="BI199" s="117"/>
      <c r="BJ199" s="149"/>
      <c r="BK199" s="149"/>
      <c r="BL199" s="117">
        <v>0</v>
      </c>
      <c r="BM199" s="117">
        <v>0</v>
      </c>
      <c r="BN199" s="117">
        <v>0</v>
      </c>
      <c r="BO199" s="117">
        <v>0</v>
      </c>
      <c r="BP199" s="117">
        <v>0</v>
      </c>
      <c r="BQ199" s="117">
        <v>0</v>
      </c>
      <c r="BR199" s="117">
        <v>0</v>
      </c>
      <c r="BS199" s="117" t="s">
        <v>150</v>
      </c>
      <c r="BT199" s="158" t="s">
        <v>210</v>
      </c>
      <c r="BU199" s="117"/>
      <c r="BV199" s="117" t="s">
        <v>211</v>
      </c>
      <c r="BW199" s="117">
        <v>1</v>
      </c>
      <c r="BX199" s="149">
        <v>46201</v>
      </c>
      <c r="BY199" s="117"/>
      <c r="BZ199" s="117"/>
      <c r="CA199" s="117"/>
      <c r="CB199" s="117">
        <f>+L199-BW199</f>
        <v>0</v>
      </c>
    </row>
    <row r="200" spans="1:80" ht="16.5" hidden="1" customHeight="1">
      <c r="A200" s="117">
        <v>601</v>
      </c>
      <c r="B200" s="154" t="s">
        <v>540</v>
      </c>
      <c r="C200" s="154" t="s">
        <v>909</v>
      </c>
      <c r="D200" s="154" t="s">
        <v>13</v>
      </c>
      <c r="E200" s="154" t="s">
        <v>546</v>
      </c>
      <c r="F200" s="154" t="s">
        <v>547</v>
      </c>
      <c r="G200" s="154" t="s">
        <v>525</v>
      </c>
      <c r="H200" s="146">
        <v>1848</v>
      </c>
      <c r="I200" s="147" t="s">
        <v>147</v>
      </c>
      <c r="J200" s="144">
        <v>1</v>
      </c>
      <c r="K200" s="145">
        <f t="shared" si="353"/>
        <v>1</v>
      </c>
      <c r="L200" s="144">
        <f t="shared" si="354"/>
        <v>1</v>
      </c>
      <c r="M200" s="146">
        <v>54.3</v>
      </c>
      <c r="N200" s="146">
        <f t="shared" si="355"/>
        <v>54.3</v>
      </c>
      <c r="O200" s="146" t="s">
        <v>137</v>
      </c>
      <c r="P200" s="146" t="s">
        <v>13</v>
      </c>
      <c r="Q200" s="146" t="s">
        <v>148</v>
      </c>
      <c r="R200" s="146"/>
      <c r="S200" s="146"/>
      <c r="T200" s="146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46">
        <f t="shared" ca="1" si="356"/>
        <v>0</v>
      </c>
      <c r="V200" s="146">
        <f t="shared" ca="1" si="357"/>
        <v>1</v>
      </c>
      <c r="W200" s="146"/>
      <c r="X200" s="146"/>
      <c r="Y200" s="146"/>
      <c r="Z200" s="146"/>
      <c r="AA200" s="146"/>
      <c r="AB200" s="146"/>
      <c r="AC200" s="146">
        <v>1</v>
      </c>
      <c r="AD200" s="117" t="s">
        <v>196</v>
      </c>
      <c r="AE200" s="148"/>
      <c r="AF200" s="146" t="str">
        <f t="shared" si="358"/>
        <v>AMC 2-S1</v>
      </c>
      <c r="AG200" s="146">
        <f t="shared" si="358"/>
        <v>1</v>
      </c>
      <c r="AH200" s="146">
        <f t="shared" si="359"/>
        <v>1</v>
      </c>
      <c r="AI200" s="146">
        <f t="shared" ca="1" si="360"/>
        <v>1</v>
      </c>
      <c r="AJ200" s="146">
        <f t="shared" ca="1" si="361"/>
        <v>0</v>
      </c>
      <c r="AK200" s="146" t="str">
        <f t="shared" si="358"/>
        <v>N/A</v>
      </c>
      <c r="AL200" s="146">
        <f t="shared" si="358"/>
        <v>0</v>
      </c>
      <c r="AM200" s="146">
        <f t="shared" si="362"/>
        <v>0</v>
      </c>
      <c r="AN200" s="146">
        <f t="shared" ca="1" si="363"/>
        <v>0</v>
      </c>
      <c r="AO200" s="146">
        <f t="shared" ca="1" si="364"/>
        <v>0</v>
      </c>
      <c r="AP200" s="146" t="str">
        <f t="shared" si="358"/>
        <v>N/A</v>
      </c>
      <c r="AQ200" s="146">
        <f t="shared" si="358"/>
        <v>0</v>
      </c>
      <c r="AR200" s="146">
        <f t="shared" si="365"/>
        <v>0</v>
      </c>
      <c r="AS200" s="146">
        <f t="shared" ca="1" si="366"/>
        <v>0</v>
      </c>
      <c r="AT200" s="146">
        <f t="shared" ca="1" si="367"/>
        <v>0</v>
      </c>
      <c r="AU200" s="146" t="str">
        <f t="shared" si="358"/>
        <v>N/A</v>
      </c>
      <c r="AV200" s="146">
        <f t="shared" si="358"/>
        <v>0</v>
      </c>
      <c r="AW200" s="146">
        <f t="shared" si="368"/>
        <v>0</v>
      </c>
      <c r="AX200" s="146">
        <f t="shared" ca="1" si="369"/>
        <v>0</v>
      </c>
      <c r="AY200" s="146">
        <f t="shared" ca="1" si="370"/>
        <v>0</v>
      </c>
      <c r="AZ200" s="147"/>
      <c r="BA200" s="144" t="s">
        <v>141</v>
      </c>
      <c r="BB200" s="144" t="s">
        <v>140</v>
      </c>
      <c r="BC200" s="144" t="s">
        <v>140</v>
      </c>
      <c r="BD200" s="144" t="s">
        <v>140</v>
      </c>
      <c r="BE200" s="146">
        <v>1</v>
      </c>
      <c r="BF200" s="148"/>
      <c r="BG200" s="146"/>
      <c r="BH200" s="117"/>
      <c r="BI200" s="117"/>
      <c r="BJ200" s="149"/>
      <c r="BK200" s="149"/>
      <c r="BL200" s="117">
        <v>0</v>
      </c>
      <c r="BM200" s="117">
        <v>0</v>
      </c>
      <c r="BN200" s="117">
        <v>0</v>
      </c>
      <c r="BO200" s="117">
        <v>1</v>
      </c>
      <c r="BP200" s="117">
        <v>0</v>
      </c>
      <c r="BQ200" s="117">
        <v>0</v>
      </c>
      <c r="BR200" s="117">
        <v>0</v>
      </c>
      <c r="BS200" s="117" t="s">
        <v>150</v>
      </c>
      <c r="BT200" s="158" t="s">
        <v>200</v>
      </c>
      <c r="BU200" s="117"/>
      <c r="BV200" s="117" t="s">
        <v>201</v>
      </c>
      <c r="BW200" s="117">
        <v>1</v>
      </c>
      <c r="BX200" s="149">
        <v>46201</v>
      </c>
      <c r="BY200" s="117"/>
      <c r="BZ200" s="117"/>
      <c r="CA200" s="117"/>
      <c r="CB200" s="117">
        <f>+L200-BW200</f>
        <v>0</v>
      </c>
    </row>
    <row r="201" spans="1:80" ht="16.5" customHeight="1">
      <c r="A201" s="117">
        <v>602</v>
      </c>
      <c r="B201" s="154" t="s">
        <v>540</v>
      </c>
      <c r="C201" s="154" t="s">
        <v>909</v>
      </c>
      <c r="D201" s="154" t="s">
        <v>13</v>
      </c>
      <c r="E201" s="154" t="s">
        <v>548</v>
      </c>
      <c r="F201" s="154" t="s">
        <v>549</v>
      </c>
      <c r="G201" s="154" t="s">
        <v>550</v>
      </c>
      <c r="H201" s="146">
        <v>6673</v>
      </c>
      <c r="I201" s="147" t="s">
        <v>147</v>
      </c>
      <c r="J201" s="144">
        <v>1</v>
      </c>
      <c r="K201" s="145">
        <f t="shared" si="353"/>
        <v>1</v>
      </c>
      <c r="L201" s="144">
        <f t="shared" si="354"/>
        <v>1</v>
      </c>
      <c r="M201" s="146">
        <v>1451.9</v>
      </c>
      <c r="N201" s="146">
        <f t="shared" si="355"/>
        <v>1451.9</v>
      </c>
      <c r="O201" s="146" t="s">
        <v>137</v>
      </c>
      <c r="P201" s="146" t="s">
        <v>13</v>
      </c>
      <c r="Q201" s="146" t="s">
        <v>154</v>
      </c>
      <c r="R201" s="146"/>
      <c r="S201" s="146"/>
      <c r="T201" s="146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1</v>
      </c>
      <c r="U201" s="146">
        <f t="shared" ca="1" si="356"/>
        <v>0</v>
      </c>
      <c r="V201" s="146">
        <f t="shared" ca="1" si="357"/>
        <v>1</v>
      </c>
      <c r="W201" s="146"/>
      <c r="X201" s="146"/>
      <c r="Y201" s="146"/>
      <c r="Z201" s="146"/>
      <c r="AA201" s="146"/>
      <c r="AB201" s="146"/>
      <c r="AC201" s="142">
        <v>20.8</v>
      </c>
      <c r="AD201" s="141" t="s">
        <v>196</v>
      </c>
      <c r="AE201" s="166"/>
      <c r="AF201" s="146" t="str">
        <f t="shared" si="358"/>
        <v>AMC 2-S1</v>
      </c>
      <c r="AG201" s="146">
        <f t="shared" si="358"/>
        <v>1</v>
      </c>
      <c r="AH201" s="146">
        <f t="shared" si="359"/>
        <v>1</v>
      </c>
      <c r="AI201" s="146">
        <f t="shared" ca="1" si="360"/>
        <v>1</v>
      </c>
      <c r="AJ201" s="146">
        <f t="shared" ca="1" si="361"/>
        <v>0</v>
      </c>
      <c r="AK201" s="146" t="str">
        <f t="shared" si="358"/>
        <v>N/A</v>
      </c>
      <c r="AL201" s="146">
        <f t="shared" si="358"/>
        <v>0</v>
      </c>
      <c r="AM201" s="146">
        <f t="shared" si="362"/>
        <v>0</v>
      </c>
      <c r="AN201" s="146">
        <f t="shared" ca="1" si="363"/>
        <v>0</v>
      </c>
      <c r="AO201" s="146">
        <f t="shared" ca="1" si="364"/>
        <v>0</v>
      </c>
      <c r="AP201" s="146" t="str">
        <f t="shared" si="358"/>
        <v>N/A</v>
      </c>
      <c r="AQ201" s="146">
        <f t="shared" si="358"/>
        <v>0</v>
      </c>
      <c r="AR201" s="146">
        <f t="shared" si="365"/>
        <v>0</v>
      </c>
      <c r="AS201" s="146">
        <f t="shared" ca="1" si="366"/>
        <v>0</v>
      </c>
      <c r="AT201" s="146">
        <f t="shared" ca="1" si="367"/>
        <v>0</v>
      </c>
      <c r="AU201" s="146" t="str">
        <f t="shared" si="358"/>
        <v>N/A</v>
      </c>
      <c r="AV201" s="146">
        <f t="shared" si="358"/>
        <v>0</v>
      </c>
      <c r="AW201" s="146">
        <f t="shared" si="368"/>
        <v>0</v>
      </c>
      <c r="AX201" s="146">
        <f t="shared" ca="1" si="369"/>
        <v>0</v>
      </c>
      <c r="AY201" s="146">
        <f t="shared" ca="1" si="370"/>
        <v>0</v>
      </c>
      <c r="AZ201" s="143"/>
      <c r="BA201" s="165" t="s">
        <v>141</v>
      </c>
      <c r="BB201" s="165" t="s">
        <v>140</v>
      </c>
      <c r="BC201" s="165" t="s">
        <v>140</v>
      </c>
      <c r="BD201" s="165" t="s">
        <v>140</v>
      </c>
      <c r="BE201" s="142">
        <v>20.8</v>
      </c>
      <c r="BF201" s="166"/>
      <c r="BG201" s="142"/>
      <c r="BH201" s="117"/>
      <c r="BI201" s="117"/>
      <c r="BJ201" s="149" t="s">
        <v>294</v>
      </c>
      <c r="BK201" s="149"/>
      <c r="BL201" s="117">
        <v>0</v>
      </c>
      <c r="BM201" s="117">
        <v>1</v>
      </c>
      <c r="BN201" s="117">
        <v>0</v>
      </c>
      <c r="BO201" s="117">
        <v>1</v>
      </c>
      <c r="BP201" s="117">
        <v>0</v>
      </c>
      <c r="BQ201" s="117">
        <v>0</v>
      </c>
      <c r="BR201" s="117">
        <v>0</v>
      </c>
      <c r="BS201" s="117" t="s">
        <v>150</v>
      </c>
      <c r="BT201" s="117"/>
      <c r="BU201" s="155"/>
      <c r="BV201" s="117" t="s">
        <v>57</v>
      </c>
      <c r="BW201" s="144">
        <v>1</v>
      </c>
      <c r="BX201" s="149"/>
      <c r="BY201" s="117"/>
      <c r="BZ201" s="117"/>
      <c r="CA201" s="117"/>
      <c r="CB201" s="117">
        <f>+L201-BW201</f>
        <v>0</v>
      </c>
    </row>
    <row r="202" spans="1:80" ht="16.5" hidden="1" customHeight="1">
      <c r="A202" s="133">
        <v>609</v>
      </c>
      <c r="B202" s="156" t="s">
        <v>551</v>
      </c>
      <c r="C202" s="156" t="s">
        <v>910</v>
      </c>
      <c r="D202" s="156"/>
      <c r="E202" s="156" t="s">
        <v>136</v>
      </c>
      <c r="F202" s="156"/>
      <c r="G202" s="156"/>
      <c r="H202" s="157"/>
      <c r="I202" s="159"/>
      <c r="J202" s="160" t="s">
        <v>136</v>
      </c>
      <c r="K202" s="138">
        <f>+AG202+AL202+AQ202+AV202</f>
        <v>1</v>
      </c>
      <c r="L202" s="160" t="s">
        <v>136</v>
      </c>
      <c r="M202" s="157"/>
      <c r="N202" s="157">
        <v>1636.1</v>
      </c>
      <c r="O202" s="157" t="s">
        <v>137</v>
      </c>
      <c r="P202" s="157"/>
      <c r="Q202" s="157"/>
      <c r="R202" s="157"/>
      <c r="S202" s="157"/>
      <c r="T202" s="157"/>
      <c r="U202" s="157"/>
      <c r="V202" s="157"/>
      <c r="W202" s="135">
        <f ca="1">_xlfn.MINIFS(V:V,C:C,C202,AE:AE,"",AB:AB,"")</f>
        <v>1</v>
      </c>
      <c r="X202" s="135">
        <f ca="1">SUMIFS(T:T,C:C,C202,AE:AE,"")/SUMIFS(L:L,C:C,C202,AE:AE,"",AB:AB,"")</f>
        <v>1</v>
      </c>
      <c r="Y202" s="157"/>
      <c r="Z202" s="157"/>
      <c r="AA202" s="157"/>
      <c r="AB202" s="157"/>
      <c r="AC202" s="157">
        <v>24.3</v>
      </c>
      <c r="AD202" s="161" t="s">
        <v>196</v>
      </c>
      <c r="AE202" s="162" t="s">
        <v>143</v>
      </c>
      <c r="AF202" s="157" t="s">
        <v>281</v>
      </c>
      <c r="AG202" s="157">
        <v>1</v>
      </c>
      <c r="AH202" s="157"/>
      <c r="AI202" s="157"/>
      <c r="AJ202" s="157"/>
      <c r="AK202" s="157" t="s">
        <v>138</v>
      </c>
      <c r="AL202" s="157">
        <v>0</v>
      </c>
      <c r="AM202" s="157"/>
      <c r="AN202" s="157"/>
      <c r="AO202" s="157"/>
      <c r="AP202" s="157" t="s">
        <v>138</v>
      </c>
      <c r="AQ202" s="157">
        <v>0</v>
      </c>
      <c r="AR202" s="157"/>
      <c r="AS202" s="157"/>
      <c r="AT202" s="157"/>
      <c r="AU202" s="157" t="s">
        <v>138</v>
      </c>
      <c r="AV202" s="157">
        <v>0</v>
      </c>
      <c r="AW202" s="157"/>
      <c r="AX202" s="157"/>
      <c r="AY202" s="157"/>
      <c r="AZ202" s="136"/>
      <c r="BA202" s="137" t="s">
        <v>141</v>
      </c>
      <c r="BB202" s="137" t="s">
        <v>140</v>
      </c>
      <c r="BC202" s="137" t="s">
        <v>140</v>
      </c>
      <c r="BD202" s="137" t="s">
        <v>140</v>
      </c>
      <c r="BE202" s="157">
        <v>24.3</v>
      </c>
      <c r="BF202" s="162"/>
      <c r="BG202" s="157"/>
      <c r="BH202" s="161"/>
      <c r="BI202" s="161"/>
      <c r="BJ202" s="163"/>
      <c r="BK202" s="163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4"/>
      <c r="BV202" s="161"/>
      <c r="BW202" s="161"/>
      <c r="BX202" s="163"/>
      <c r="BY202" s="161"/>
      <c r="BZ202" s="161"/>
      <c r="CA202" s="161"/>
      <c r="CB202" s="161"/>
    </row>
    <row r="203" spans="1:80" ht="16.5" hidden="1" customHeight="1">
      <c r="A203" s="117">
        <v>610</v>
      </c>
      <c r="B203" s="154" t="s">
        <v>551</v>
      </c>
      <c r="C203" s="154" t="s">
        <v>910</v>
      </c>
      <c r="D203" s="154" t="s">
        <v>13</v>
      </c>
      <c r="E203" s="154" t="s">
        <v>517</v>
      </c>
      <c r="F203" s="154" t="s">
        <v>552</v>
      </c>
      <c r="G203" s="154" t="s">
        <v>519</v>
      </c>
      <c r="H203" s="146">
        <v>2153</v>
      </c>
      <c r="I203" s="147" t="s">
        <v>147</v>
      </c>
      <c r="J203" s="144">
        <v>1</v>
      </c>
      <c r="K203" s="145">
        <f t="shared" ref="K203:K207" si="371">K202</f>
        <v>1</v>
      </c>
      <c r="L203" s="144">
        <f t="shared" ref="L203:L207" si="372">+K203*J203</f>
        <v>1</v>
      </c>
      <c r="M203" s="146">
        <v>70</v>
      </c>
      <c r="N203" s="146">
        <f t="shared" ref="N203:N207" si="373">+M203*L203</f>
        <v>70</v>
      </c>
      <c r="O203" s="146" t="s">
        <v>137</v>
      </c>
      <c r="P203" s="146" t="s">
        <v>13</v>
      </c>
      <c r="Q203" s="146" t="s">
        <v>148</v>
      </c>
      <c r="R203" s="146"/>
      <c r="S203" s="146"/>
      <c r="T203" s="146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46">
        <f t="shared" ref="U203:U207" ca="1" si="374">+L203-T203</f>
        <v>0</v>
      </c>
      <c r="V203" s="146">
        <f t="shared" ref="V203:V207" ca="1" si="375">ROUNDDOWN(T203/J203,0)</f>
        <v>1</v>
      </c>
      <c r="W203" s="146"/>
      <c r="X203" s="146"/>
      <c r="Y203" s="146"/>
      <c r="Z203" s="146"/>
      <c r="AA203" s="146"/>
      <c r="AB203" s="146"/>
      <c r="AC203" s="146">
        <v>1.3</v>
      </c>
      <c r="AD203" s="117" t="s">
        <v>196</v>
      </c>
      <c r="AE203" s="148"/>
      <c r="AF203" s="146" t="str">
        <f t="shared" ref="AF203:AV207" si="376">AF202</f>
        <v>AMC 2-S1</v>
      </c>
      <c r="AG203" s="146">
        <f t="shared" si="376"/>
        <v>1</v>
      </c>
      <c r="AH203" s="146">
        <f t="shared" ref="AH203:AH207" si="377">+AG203*J203</f>
        <v>1</v>
      </c>
      <c r="AI203" s="146">
        <f t="shared" ref="AI203:AI207" ca="1" si="378">MIN(T203,AH203)</f>
        <v>1</v>
      </c>
      <c r="AJ203" s="146">
        <f t="shared" ref="AJ203:AJ207" ca="1" si="379">+AH203-AI203</f>
        <v>0</v>
      </c>
      <c r="AK203" s="146" t="str">
        <f t="shared" si="376"/>
        <v>N/A</v>
      </c>
      <c r="AL203" s="146">
        <f t="shared" si="376"/>
        <v>0</v>
      </c>
      <c r="AM203" s="146">
        <f t="shared" ref="AM203:AM207" si="380">+AL203*J203</f>
        <v>0</v>
      </c>
      <c r="AN203" s="146">
        <f t="shared" ref="AN203:AN207" ca="1" si="381">MIN(T203-AI203,AL203)</f>
        <v>0</v>
      </c>
      <c r="AO203" s="146">
        <f t="shared" ref="AO203:AO207" ca="1" si="382">+AM203-AN203</f>
        <v>0</v>
      </c>
      <c r="AP203" s="146" t="str">
        <f t="shared" si="376"/>
        <v>N/A</v>
      </c>
      <c r="AQ203" s="146">
        <f t="shared" si="376"/>
        <v>0</v>
      </c>
      <c r="AR203" s="146">
        <f t="shared" ref="AR203:AR207" si="383">+AQ203*J203</f>
        <v>0</v>
      </c>
      <c r="AS203" s="146">
        <f t="shared" ref="AS203:AS207" ca="1" si="384">MIN(T203-AI203-AN203,AR203)</f>
        <v>0</v>
      </c>
      <c r="AT203" s="146">
        <f t="shared" ref="AT203:AT207" ca="1" si="385">+AR203-AS203</f>
        <v>0</v>
      </c>
      <c r="AU203" s="146" t="str">
        <f t="shared" si="376"/>
        <v>N/A</v>
      </c>
      <c r="AV203" s="146">
        <f t="shared" si="376"/>
        <v>0</v>
      </c>
      <c r="AW203" s="146">
        <f t="shared" ref="AW203:AW207" si="386">+AV203*J203</f>
        <v>0</v>
      </c>
      <c r="AX203" s="146">
        <f t="shared" ref="AX203:AX207" ca="1" si="387">MIN(T203-AI203-AN203-AS203,AW203)</f>
        <v>0</v>
      </c>
      <c r="AY203" s="146">
        <f t="shared" ref="AY203:AY207" ca="1" si="388">+AW203-AX203</f>
        <v>0</v>
      </c>
      <c r="AZ203" s="147"/>
      <c r="BA203" s="144" t="s">
        <v>141</v>
      </c>
      <c r="BB203" s="144" t="s">
        <v>140</v>
      </c>
      <c r="BC203" s="144" t="s">
        <v>140</v>
      </c>
      <c r="BD203" s="144" t="s">
        <v>140</v>
      </c>
      <c r="BE203" s="146">
        <v>1.3</v>
      </c>
      <c r="BF203" s="148"/>
      <c r="BG203" s="146"/>
      <c r="BH203" s="117"/>
      <c r="BI203" s="117"/>
      <c r="BJ203" s="149"/>
      <c r="BK203" s="149"/>
      <c r="BL203" s="117">
        <v>0</v>
      </c>
      <c r="BM203" s="117">
        <v>0</v>
      </c>
      <c r="BN203" s="117">
        <v>0</v>
      </c>
      <c r="BO203" s="117">
        <v>1</v>
      </c>
      <c r="BP203" s="117">
        <v>0</v>
      </c>
      <c r="BQ203" s="117">
        <v>0</v>
      </c>
      <c r="BR203" s="117">
        <v>0</v>
      </c>
      <c r="BS203" s="117" t="s">
        <v>150</v>
      </c>
      <c r="BT203" s="158" t="s">
        <v>200</v>
      </c>
      <c r="BU203" s="117"/>
      <c r="BV203" s="117" t="s">
        <v>201</v>
      </c>
      <c r="BW203" s="117">
        <v>1</v>
      </c>
      <c r="BX203" s="149">
        <v>46201</v>
      </c>
      <c r="BY203" s="117"/>
      <c r="BZ203" s="117"/>
      <c r="CA203" s="117"/>
      <c r="CB203" s="117">
        <f>+L203-BW203</f>
        <v>0</v>
      </c>
    </row>
    <row r="204" spans="1:80" ht="16.5" hidden="1" customHeight="1">
      <c r="A204" s="117">
        <v>611</v>
      </c>
      <c r="B204" s="154" t="s">
        <v>551</v>
      </c>
      <c r="C204" s="154" t="s">
        <v>910</v>
      </c>
      <c r="D204" s="154" t="s">
        <v>13</v>
      </c>
      <c r="E204" s="154" t="s">
        <v>520</v>
      </c>
      <c r="F204" s="154" t="s">
        <v>553</v>
      </c>
      <c r="G204" s="154" t="s">
        <v>522</v>
      </c>
      <c r="H204" s="146">
        <v>1377</v>
      </c>
      <c r="I204" s="147" t="s">
        <v>147</v>
      </c>
      <c r="J204" s="144">
        <v>1</v>
      </c>
      <c r="K204" s="145">
        <f t="shared" si="371"/>
        <v>1</v>
      </c>
      <c r="L204" s="144">
        <f t="shared" si="372"/>
        <v>1</v>
      </c>
      <c r="M204" s="146">
        <v>59.6</v>
      </c>
      <c r="N204" s="146">
        <f t="shared" si="373"/>
        <v>59.6</v>
      </c>
      <c r="O204" s="146" t="s">
        <v>137</v>
      </c>
      <c r="P204" s="146" t="s">
        <v>13</v>
      </c>
      <c r="Q204" s="146" t="s">
        <v>148</v>
      </c>
      <c r="R204" s="146"/>
      <c r="S204" s="146"/>
      <c r="T204" s="146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1</v>
      </c>
      <c r="U204" s="146">
        <f t="shared" ca="1" si="374"/>
        <v>0</v>
      </c>
      <c r="V204" s="146">
        <f t="shared" ca="1" si="375"/>
        <v>1</v>
      </c>
      <c r="W204" s="146"/>
      <c r="X204" s="146"/>
      <c r="Y204" s="146"/>
      <c r="Z204" s="146"/>
      <c r="AA204" s="146"/>
      <c r="AB204" s="146"/>
      <c r="AC204" s="146">
        <v>0.8</v>
      </c>
      <c r="AD204" s="117" t="s">
        <v>196</v>
      </c>
      <c r="AE204" s="148"/>
      <c r="AF204" s="146" t="str">
        <f t="shared" si="376"/>
        <v>AMC 2-S1</v>
      </c>
      <c r="AG204" s="146">
        <f t="shared" si="376"/>
        <v>1</v>
      </c>
      <c r="AH204" s="146">
        <f t="shared" si="377"/>
        <v>1</v>
      </c>
      <c r="AI204" s="146">
        <f t="shared" ca="1" si="378"/>
        <v>1</v>
      </c>
      <c r="AJ204" s="146">
        <f t="shared" ca="1" si="379"/>
        <v>0</v>
      </c>
      <c r="AK204" s="146" t="str">
        <f t="shared" si="376"/>
        <v>N/A</v>
      </c>
      <c r="AL204" s="146">
        <f t="shared" si="376"/>
        <v>0</v>
      </c>
      <c r="AM204" s="146">
        <f t="shared" si="380"/>
        <v>0</v>
      </c>
      <c r="AN204" s="146">
        <f t="shared" ca="1" si="381"/>
        <v>0</v>
      </c>
      <c r="AO204" s="146">
        <f t="shared" ca="1" si="382"/>
        <v>0</v>
      </c>
      <c r="AP204" s="146" t="str">
        <f t="shared" si="376"/>
        <v>N/A</v>
      </c>
      <c r="AQ204" s="146">
        <f t="shared" si="376"/>
        <v>0</v>
      </c>
      <c r="AR204" s="146">
        <f t="shared" si="383"/>
        <v>0</v>
      </c>
      <c r="AS204" s="146">
        <f t="shared" ca="1" si="384"/>
        <v>0</v>
      </c>
      <c r="AT204" s="146">
        <f t="shared" ca="1" si="385"/>
        <v>0</v>
      </c>
      <c r="AU204" s="146" t="str">
        <f t="shared" si="376"/>
        <v>N/A</v>
      </c>
      <c r="AV204" s="146">
        <f t="shared" si="376"/>
        <v>0</v>
      </c>
      <c r="AW204" s="146">
        <f t="shared" si="386"/>
        <v>0</v>
      </c>
      <c r="AX204" s="146">
        <f t="shared" ca="1" si="387"/>
        <v>0</v>
      </c>
      <c r="AY204" s="146">
        <f t="shared" ca="1" si="388"/>
        <v>0</v>
      </c>
      <c r="AZ204" s="147"/>
      <c r="BA204" s="144" t="s">
        <v>141</v>
      </c>
      <c r="BB204" s="144" t="s">
        <v>140</v>
      </c>
      <c r="BC204" s="144" t="s">
        <v>140</v>
      </c>
      <c r="BD204" s="144" t="s">
        <v>140</v>
      </c>
      <c r="BE204" s="146">
        <v>0.8</v>
      </c>
      <c r="BF204" s="148"/>
      <c r="BG204" s="146"/>
      <c r="BH204" s="117"/>
      <c r="BI204" s="117"/>
      <c r="BJ204" s="149"/>
      <c r="BK204" s="149"/>
      <c r="BL204" s="117">
        <v>0</v>
      </c>
      <c r="BM204" s="117">
        <v>0</v>
      </c>
      <c r="BN204" s="117">
        <v>0</v>
      </c>
      <c r="BO204" s="117">
        <v>1</v>
      </c>
      <c r="BP204" s="117">
        <v>0</v>
      </c>
      <c r="BQ204" s="117">
        <v>0</v>
      </c>
      <c r="BR204" s="117">
        <v>0</v>
      </c>
      <c r="BS204" s="117" t="s">
        <v>150</v>
      </c>
      <c r="BT204" s="167" t="s">
        <v>319</v>
      </c>
      <c r="BU204" s="141"/>
      <c r="BV204" s="141" t="s">
        <v>320</v>
      </c>
      <c r="BW204" s="141">
        <v>1</v>
      </c>
      <c r="BX204" s="153">
        <v>46202</v>
      </c>
      <c r="BY204" s="117"/>
      <c r="BZ204" s="117"/>
      <c r="CA204" s="117"/>
      <c r="CB204" s="117">
        <f>+L204-BW204</f>
        <v>0</v>
      </c>
    </row>
    <row r="205" spans="1:80" ht="16.5" customHeight="1">
      <c r="A205" s="117">
        <v>612</v>
      </c>
      <c r="B205" s="154" t="s">
        <v>551</v>
      </c>
      <c r="C205" s="154" t="s">
        <v>910</v>
      </c>
      <c r="D205" s="154" t="s">
        <v>13</v>
      </c>
      <c r="E205" s="154" t="s">
        <v>554</v>
      </c>
      <c r="F205" s="154" t="s">
        <v>555</v>
      </c>
      <c r="G205" s="154" t="s">
        <v>556</v>
      </c>
      <c r="H205" s="146">
        <v>6223</v>
      </c>
      <c r="I205" s="147" t="s">
        <v>147</v>
      </c>
      <c r="J205" s="144">
        <v>1</v>
      </c>
      <c r="K205" s="145">
        <f t="shared" si="371"/>
        <v>1</v>
      </c>
      <c r="L205" s="144">
        <f t="shared" si="372"/>
        <v>1</v>
      </c>
      <c r="M205" s="146">
        <v>24.3</v>
      </c>
      <c r="N205" s="146">
        <f t="shared" si="373"/>
        <v>24.3</v>
      </c>
      <c r="O205" s="146" t="s">
        <v>137</v>
      </c>
      <c r="P205" s="146" t="s">
        <v>13</v>
      </c>
      <c r="Q205" s="146" t="s">
        <v>148</v>
      </c>
      <c r="R205" s="146"/>
      <c r="S205" s="146"/>
      <c r="T205" s="146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146">
        <f t="shared" ca="1" si="374"/>
        <v>0</v>
      </c>
      <c r="V205" s="146">
        <f t="shared" ca="1" si="375"/>
        <v>1</v>
      </c>
      <c r="W205" s="146"/>
      <c r="X205" s="146"/>
      <c r="Y205" s="146"/>
      <c r="Z205" s="146"/>
      <c r="AA205" s="146"/>
      <c r="AB205" s="146"/>
      <c r="AC205" s="146">
        <v>0.7</v>
      </c>
      <c r="AD205" s="117" t="s">
        <v>196</v>
      </c>
      <c r="AE205" s="148"/>
      <c r="AF205" s="146" t="str">
        <f t="shared" si="376"/>
        <v>AMC 2-S1</v>
      </c>
      <c r="AG205" s="146">
        <f t="shared" si="376"/>
        <v>1</v>
      </c>
      <c r="AH205" s="146">
        <f t="shared" si="377"/>
        <v>1</v>
      </c>
      <c r="AI205" s="146">
        <f t="shared" ca="1" si="378"/>
        <v>1</v>
      </c>
      <c r="AJ205" s="146">
        <f t="shared" ca="1" si="379"/>
        <v>0</v>
      </c>
      <c r="AK205" s="146" t="str">
        <f t="shared" si="376"/>
        <v>N/A</v>
      </c>
      <c r="AL205" s="146">
        <f t="shared" si="376"/>
        <v>0</v>
      </c>
      <c r="AM205" s="146">
        <f t="shared" si="380"/>
        <v>0</v>
      </c>
      <c r="AN205" s="146">
        <f t="shared" ca="1" si="381"/>
        <v>0</v>
      </c>
      <c r="AO205" s="146">
        <f t="shared" ca="1" si="382"/>
        <v>0</v>
      </c>
      <c r="AP205" s="146" t="str">
        <f t="shared" si="376"/>
        <v>N/A</v>
      </c>
      <c r="AQ205" s="146">
        <f t="shared" si="376"/>
        <v>0</v>
      </c>
      <c r="AR205" s="146">
        <f t="shared" si="383"/>
        <v>0</v>
      </c>
      <c r="AS205" s="146">
        <f t="shared" ca="1" si="384"/>
        <v>0</v>
      </c>
      <c r="AT205" s="146">
        <f t="shared" ca="1" si="385"/>
        <v>0</v>
      </c>
      <c r="AU205" s="146" t="str">
        <f t="shared" si="376"/>
        <v>N/A</v>
      </c>
      <c r="AV205" s="146">
        <f t="shared" si="376"/>
        <v>0</v>
      </c>
      <c r="AW205" s="146">
        <f t="shared" si="386"/>
        <v>0</v>
      </c>
      <c r="AX205" s="146">
        <f t="shared" ca="1" si="387"/>
        <v>0</v>
      </c>
      <c r="AY205" s="146">
        <f t="shared" ca="1" si="388"/>
        <v>0</v>
      </c>
      <c r="AZ205" s="147"/>
      <c r="BA205" s="144" t="s">
        <v>141</v>
      </c>
      <c r="BB205" s="144" t="s">
        <v>140</v>
      </c>
      <c r="BC205" s="144" t="s">
        <v>140</v>
      </c>
      <c r="BD205" s="144" t="s">
        <v>140</v>
      </c>
      <c r="BE205" s="146">
        <v>0.7</v>
      </c>
      <c r="BF205" s="148"/>
      <c r="BG205" s="146"/>
      <c r="BH205" s="117"/>
      <c r="BI205" s="117"/>
      <c r="BJ205" s="149"/>
      <c r="BK205" s="149"/>
      <c r="BL205" s="117">
        <v>0</v>
      </c>
      <c r="BM205" s="117">
        <v>0</v>
      </c>
      <c r="BN205" s="117">
        <v>0</v>
      </c>
      <c r="BO205" s="117">
        <v>0</v>
      </c>
      <c r="BP205" s="117">
        <v>0</v>
      </c>
      <c r="BQ205" s="117">
        <v>0</v>
      </c>
      <c r="BR205" s="117">
        <v>0</v>
      </c>
      <c r="BS205" s="117" t="s">
        <v>150</v>
      </c>
      <c r="BT205" s="117"/>
      <c r="BU205" s="117"/>
      <c r="BV205" s="117"/>
      <c r="BW205" s="117"/>
      <c r="BX205" s="149"/>
      <c r="BY205" s="117"/>
      <c r="BZ205" s="117"/>
      <c r="CA205" s="117"/>
      <c r="CB205" s="117">
        <f>+L205-BW205</f>
        <v>1</v>
      </c>
    </row>
    <row r="206" spans="1:80" ht="16.5" hidden="1" customHeight="1">
      <c r="A206" s="117">
        <v>613</v>
      </c>
      <c r="B206" s="154" t="s">
        <v>551</v>
      </c>
      <c r="C206" s="154" t="s">
        <v>910</v>
      </c>
      <c r="D206" s="154" t="s">
        <v>13</v>
      </c>
      <c r="E206" s="154" t="s">
        <v>546</v>
      </c>
      <c r="F206" s="154" t="s">
        <v>557</v>
      </c>
      <c r="G206" s="154" t="s">
        <v>525</v>
      </c>
      <c r="H206" s="146">
        <v>1848</v>
      </c>
      <c r="I206" s="147" t="s">
        <v>147</v>
      </c>
      <c r="J206" s="144">
        <v>1</v>
      </c>
      <c r="K206" s="145">
        <f t="shared" si="371"/>
        <v>1</v>
      </c>
      <c r="L206" s="144">
        <f t="shared" si="372"/>
        <v>1</v>
      </c>
      <c r="M206" s="146">
        <v>54.3</v>
      </c>
      <c r="N206" s="146">
        <f t="shared" si="373"/>
        <v>54.3</v>
      </c>
      <c r="O206" s="146" t="s">
        <v>137</v>
      </c>
      <c r="P206" s="146" t="s">
        <v>13</v>
      </c>
      <c r="Q206" s="146" t="s">
        <v>148</v>
      </c>
      <c r="R206" s="146"/>
      <c r="S206" s="146"/>
      <c r="T206" s="146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46">
        <f t="shared" ca="1" si="374"/>
        <v>0</v>
      </c>
      <c r="V206" s="146">
        <f t="shared" ca="1" si="375"/>
        <v>1</v>
      </c>
      <c r="W206" s="146"/>
      <c r="X206" s="146"/>
      <c r="Y206" s="146"/>
      <c r="Z206" s="146"/>
      <c r="AA206" s="146"/>
      <c r="AB206" s="146"/>
      <c r="AC206" s="146">
        <v>1</v>
      </c>
      <c r="AD206" s="117" t="s">
        <v>196</v>
      </c>
      <c r="AE206" s="148"/>
      <c r="AF206" s="146" t="str">
        <f t="shared" si="376"/>
        <v>AMC 2-S1</v>
      </c>
      <c r="AG206" s="146">
        <f t="shared" si="376"/>
        <v>1</v>
      </c>
      <c r="AH206" s="146">
        <f t="shared" si="377"/>
        <v>1</v>
      </c>
      <c r="AI206" s="146">
        <f t="shared" ca="1" si="378"/>
        <v>1</v>
      </c>
      <c r="AJ206" s="146">
        <f t="shared" ca="1" si="379"/>
        <v>0</v>
      </c>
      <c r="AK206" s="146" t="str">
        <f t="shared" si="376"/>
        <v>N/A</v>
      </c>
      <c r="AL206" s="146">
        <f t="shared" si="376"/>
        <v>0</v>
      </c>
      <c r="AM206" s="146">
        <f t="shared" si="380"/>
        <v>0</v>
      </c>
      <c r="AN206" s="146">
        <f t="shared" ca="1" si="381"/>
        <v>0</v>
      </c>
      <c r="AO206" s="146">
        <f t="shared" ca="1" si="382"/>
        <v>0</v>
      </c>
      <c r="AP206" s="146" t="str">
        <f t="shared" si="376"/>
        <v>N/A</v>
      </c>
      <c r="AQ206" s="146">
        <f t="shared" si="376"/>
        <v>0</v>
      </c>
      <c r="AR206" s="146">
        <f t="shared" si="383"/>
        <v>0</v>
      </c>
      <c r="AS206" s="146">
        <f t="shared" ca="1" si="384"/>
        <v>0</v>
      </c>
      <c r="AT206" s="146">
        <f t="shared" ca="1" si="385"/>
        <v>0</v>
      </c>
      <c r="AU206" s="146" t="str">
        <f t="shared" si="376"/>
        <v>N/A</v>
      </c>
      <c r="AV206" s="146">
        <f t="shared" si="376"/>
        <v>0</v>
      </c>
      <c r="AW206" s="146">
        <f t="shared" si="386"/>
        <v>0</v>
      </c>
      <c r="AX206" s="146">
        <f t="shared" ca="1" si="387"/>
        <v>0</v>
      </c>
      <c r="AY206" s="146">
        <f t="shared" ca="1" si="388"/>
        <v>0</v>
      </c>
      <c r="AZ206" s="147"/>
      <c r="BA206" s="144" t="s">
        <v>141</v>
      </c>
      <c r="BB206" s="144" t="s">
        <v>140</v>
      </c>
      <c r="BC206" s="144" t="s">
        <v>140</v>
      </c>
      <c r="BD206" s="144" t="s">
        <v>140</v>
      </c>
      <c r="BE206" s="146">
        <v>1</v>
      </c>
      <c r="BF206" s="148"/>
      <c r="BG206" s="146"/>
      <c r="BH206" s="117"/>
      <c r="BI206" s="117"/>
      <c r="BJ206" s="149"/>
      <c r="BK206" s="149"/>
      <c r="BL206" s="117">
        <v>0</v>
      </c>
      <c r="BM206" s="117">
        <v>0</v>
      </c>
      <c r="BN206" s="117">
        <v>0</v>
      </c>
      <c r="BO206" s="117">
        <v>1</v>
      </c>
      <c r="BP206" s="117">
        <v>0</v>
      </c>
      <c r="BQ206" s="117">
        <v>0</v>
      </c>
      <c r="BR206" s="117">
        <v>0</v>
      </c>
      <c r="BS206" s="117" t="s">
        <v>150</v>
      </c>
      <c r="BT206" s="158" t="s">
        <v>200</v>
      </c>
      <c r="BU206" s="117"/>
      <c r="BV206" s="117" t="s">
        <v>201</v>
      </c>
      <c r="BW206" s="117">
        <v>1</v>
      </c>
      <c r="BX206" s="149">
        <v>46201</v>
      </c>
      <c r="BY206" s="117"/>
      <c r="BZ206" s="117"/>
      <c r="CA206" s="117"/>
      <c r="CB206" s="117">
        <f>+L206-BW206</f>
        <v>0</v>
      </c>
    </row>
    <row r="207" spans="1:80" ht="16.5" customHeight="1">
      <c r="A207" s="117">
        <v>614</v>
      </c>
      <c r="B207" s="154" t="s">
        <v>551</v>
      </c>
      <c r="C207" s="154" t="s">
        <v>910</v>
      </c>
      <c r="D207" s="154" t="s">
        <v>13</v>
      </c>
      <c r="E207" s="154" t="s">
        <v>558</v>
      </c>
      <c r="F207" s="154" t="s">
        <v>559</v>
      </c>
      <c r="G207" s="154" t="s">
        <v>560</v>
      </c>
      <c r="H207" s="146">
        <v>6375</v>
      </c>
      <c r="I207" s="147" t="s">
        <v>147</v>
      </c>
      <c r="J207" s="144">
        <v>1</v>
      </c>
      <c r="K207" s="145">
        <f t="shared" si="371"/>
        <v>1</v>
      </c>
      <c r="L207" s="144">
        <f t="shared" si="372"/>
        <v>1</v>
      </c>
      <c r="M207" s="146">
        <v>1428</v>
      </c>
      <c r="N207" s="146">
        <f t="shared" si="373"/>
        <v>1428</v>
      </c>
      <c r="O207" s="146" t="s">
        <v>137</v>
      </c>
      <c r="P207" s="146" t="s">
        <v>13</v>
      </c>
      <c r="Q207" s="146" t="s">
        <v>154</v>
      </c>
      <c r="R207" s="146"/>
      <c r="S207" s="146"/>
      <c r="T207" s="146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1</v>
      </c>
      <c r="U207" s="146">
        <f t="shared" ca="1" si="374"/>
        <v>0</v>
      </c>
      <c r="V207" s="146">
        <f t="shared" ca="1" si="375"/>
        <v>1</v>
      </c>
      <c r="W207" s="146"/>
      <c r="X207" s="146"/>
      <c r="Y207" s="146"/>
      <c r="Z207" s="146"/>
      <c r="AA207" s="146"/>
      <c r="AB207" s="146"/>
      <c r="AC207" s="142">
        <v>20.5</v>
      </c>
      <c r="AD207" s="141" t="s">
        <v>196</v>
      </c>
      <c r="AE207" s="166"/>
      <c r="AF207" s="146" t="str">
        <f t="shared" si="376"/>
        <v>AMC 2-S1</v>
      </c>
      <c r="AG207" s="146">
        <f t="shared" si="376"/>
        <v>1</v>
      </c>
      <c r="AH207" s="146">
        <f t="shared" si="377"/>
        <v>1</v>
      </c>
      <c r="AI207" s="146">
        <f t="shared" ca="1" si="378"/>
        <v>1</v>
      </c>
      <c r="AJ207" s="146">
        <f t="shared" ca="1" si="379"/>
        <v>0</v>
      </c>
      <c r="AK207" s="146" t="str">
        <f t="shared" si="376"/>
        <v>N/A</v>
      </c>
      <c r="AL207" s="146">
        <f t="shared" si="376"/>
        <v>0</v>
      </c>
      <c r="AM207" s="146">
        <f t="shared" si="380"/>
        <v>0</v>
      </c>
      <c r="AN207" s="146">
        <f t="shared" ca="1" si="381"/>
        <v>0</v>
      </c>
      <c r="AO207" s="146">
        <f t="shared" ca="1" si="382"/>
        <v>0</v>
      </c>
      <c r="AP207" s="146" t="str">
        <f t="shared" si="376"/>
        <v>N/A</v>
      </c>
      <c r="AQ207" s="146">
        <f t="shared" si="376"/>
        <v>0</v>
      </c>
      <c r="AR207" s="146">
        <f t="shared" si="383"/>
        <v>0</v>
      </c>
      <c r="AS207" s="146">
        <f t="shared" ca="1" si="384"/>
        <v>0</v>
      </c>
      <c r="AT207" s="146">
        <f t="shared" ca="1" si="385"/>
        <v>0</v>
      </c>
      <c r="AU207" s="146" t="str">
        <f t="shared" si="376"/>
        <v>N/A</v>
      </c>
      <c r="AV207" s="146">
        <f t="shared" si="376"/>
        <v>0</v>
      </c>
      <c r="AW207" s="146">
        <f t="shared" si="386"/>
        <v>0</v>
      </c>
      <c r="AX207" s="146">
        <f t="shared" ca="1" si="387"/>
        <v>0</v>
      </c>
      <c r="AY207" s="146">
        <f t="shared" ca="1" si="388"/>
        <v>0</v>
      </c>
      <c r="AZ207" s="143"/>
      <c r="BA207" s="165" t="s">
        <v>141</v>
      </c>
      <c r="BB207" s="165" t="s">
        <v>140</v>
      </c>
      <c r="BC207" s="165" t="s">
        <v>140</v>
      </c>
      <c r="BD207" s="165" t="s">
        <v>140</v>
      </c>
      <c r="BE207" s="142">
        <v>20.5</v>
      </c>
      <c r="BF207" s="166"/>
      <c r="BG207" s="142"/>
      <c r="BH207" s="117"/>
      <c r="BI207" s="117"/>
      <c r="BJ207" s="149" t="s">
        <v>294</v>
      </c>
      <c r="BK207" s="149"/>
      <c r="BL207" s="117">
        <v>0</v>
      </c>
      <c r="BM207" s="117">
        <v>1</v>
      </c>
      <c r="BN207" s="117">
        <v>0</v>
      </c>
      <c r="BO207" s="117">
        <v>1</v>
      </c>
      <c r="BP207" s="117">
        <v>0</v>
      </c>
      <c r="BQ207" s="117">
        <v>0</v>
      </c>
      <c r="BR207" s="117">
        <v>0</v>
      </c>
      <c r="BS207" s="117" t="s">
        <v>150</v>
      </c>
      <c r="BT207" s="117"/>
      <c r="BU207" s="155"/>
      <c r="BV207" s="117" t="s">
        <v>57</v>
      </c>
      <c r="BW207" s="144">
        <v>1</v>
      </c>
      <c r="BX207" s="149"/>
      <c r="BY207" s="117"/>
      <c r="BZ207" s="117"/>
      <c r="CA207" s="117"/>
      <c r="CB207" s="117">
        <f>+L207-BW207</f>
        <v>0</v>
      </c>
    </row>
    <row r="208" spans="1:80" ht="16.5" hidden="1" customHeight="1">
      <c r="A208" s="133">
        <v>621</v>
      </c>
      <c r="B208" s="156" t="s">
        <v>561</v>
      </c>
      <c r="C208" s="156" t="s">
        <v>911</v>
      </c>
      <c r="D208" s="156"/>
      <c r="E208" s="156" t="s">
        <v>136</v>
      </c>
      <c r="F208" s="156"/>
      <c r="G208" s="156"/>
      <c r="H208" s="157"/>
      <c r="I208" s="159"/>
      <c r="J208" s="160" t="s">
        <v>136</v>
      </c>
      <c r="K208" s="138">
        <f>+AG208+AL208+AQ208+AV208</f>
        <v>1</v>
      </c>
      <c r="L208" s="160" t="s">
        <v>136</v>
      </c>
      <c r="M208" s="157"/>
      <c r="N208" s="157">
        <v>1634</v>
      </c>
      <c r="O208" s="157" t="s">
        <v>137</v>
      </c>
      <c r="P208" s="157"/>
      <c r="Q208" s="157"/>
      <c r="R208" s="157"/>
      <c r="S208" s="157"/>
      <c r="T208" s="157"/>
      <c r="U208" s="157"/>
      <c r="V208" s="157"/>
      <c r="W208" s="135">
        <f ca="1">_xlfn.MINIFS(V:V,C:C,C208,AE:AE,"",AB:AB,"")</f>
        <v>1</v>
      </c>
      <c r="X208" s="135">
        <f ca="1">SUMIFS(T:T,C:C,C208,AE:AE,"")/SUMIFS(L:L,C:C,C208,AE:AE,"",AB:AB,"")</f>
        <v>1</v>
      </c>
      <c r="Y208" s="157"/>
      <c r="Z208" s="157"/>
      <c r="AA208" s="157"/>
      <c r="AB208" s="157"/>
      <c r="AC208" s="157">
        <v>24.3</v>
      </c>
      <c r="AD208" s="161" t="s">
        <v>196</v>
      </c>
      <c r="AE208" s="162" t="s">
        <v>143</v>
      </c>
      <c r="AF208" s="157" t="s">
        <v>281</v>
      </c>
      <c r="AG208" s="157">
        <v>1</v>
      </c>
      <c r="AH208" s="157"/>
      <c r="AI208" s="157"/>
      <c r="AJ208" s="157"/>
      <c r="AK208" s="157" t="s">
        <v>138</v>
      </c>
      <c r="AL208" s="157">
        <v>0</v>
      </c>
      <c r="AM208" s="157"/>
      <c r="AN208" s="157"/>
      <c r="AO208" s="157"/>
      <c r="AP208" s="157" t="s">
        <v>138</v>
      </c>
      <c r="AQ208" s="157">
        <v>0</v>
      </c>
      <c r="AR208" s="157"/>
      <c r="AS208" s="157"/>
      <c r="AT208" s="157"/>
      <c r="AU208" s="157" t="s">
        <v>138</v>
      </c>
      <c r="AV208" s="157">
        <v>0</v>
      </c>
      <c r="AW208" s="157"/>
      <c r="AX208" s="157"/>
      <c r="AY208" s="157"/>
      <c r="AZ208" s="136"/>
      <c r="BA208" s="137" t="s">
        <v>141</v>
      </c>
      <c r="BB208" s="137" t="s">
        <v>140</v>
      </c>
      <c r="BC208" s="137" t="s">
        <v>140</v>
      </c>
      <c r="BD208" s="137" t="s">
        <v>140</v>
      </c>
      <c r="BE208" s="157">
        <v>24.3</v>
      </c>
      <c r="BF208" s="162"/>
      <c r="BG208" s="157"/>
      <c r="BH208" s="161"/>
      <c r="BI208" s="161"/>
      <c r="BJ208" s="163"/>
      <c r="BK208" s="163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4"/>
      <c r="BV208" s="161"/>
      <c r="BW208" s="161"/>
      <c r="BX208" s="163"/>
      <c r="BY208" s="161"/>
      <c r="BZ208" s="161"/>
      <c r="CA208" s="161"/>
      <c r="CB208" s="161"/>
    </row>
    <row r="209" spans="1:80" ht="16.5" hidden="1" customHeight="1">
      <c r="A209" s="117">
        <v>622</v>
      </c>
      <c r="B209" s="154" t="s">
        <v>561</v>
      </c>
      <c r="C209" s="154" t="s">
        <v>911</v>
      </c>
      <c r="D209" s="154" t="s">
        <v>13</v>
      </c>
      <c r="E209" s="154" t="s">
        <v>517</v>
      </c>
      <c r="F209" s="154" t="s">
        <v>562</v>
      </c>
      <c r="G209" s="154" t="s">
        <v>519</v>
      </c>
      <c r="H209" s="146">
        <v>2153</v>
      </c>
      <c r="I209" s="147" t="s">
        <v>147</v>
      </c>
      <c r="J209" s="144">
        <v>1</v>
      </c>
      <c r="K209" s="145">
        <f t="shared" ref="K209:K213" si="389">K208</f>
        <v>1</v>
      </c>
      <c r="L209" s="144">
        <f t="shared" ref="L209:L213" si="390">+K209*J209</f>
        <v>1</v>
      </c>
      <c r="M209" s="146">
        <v>70</v>
      </c>
      <c r="N209" s="146">
        <f t="shared" ref="N209:N213" si="391">+M209*L209</f>
        <v>70</v>
      </c>
      <c r="O209" s="146" t="s">
        <v>137</v>
      </c>
      <c r="P209" s="146" t="s">
        <v>13</v>
      </c>
      <c r="Q209" s="146" t="s">
        <v>148</v>
      </c>
      <c r="R209" s="146"/>
      <c r="S209" s="146"/>
      <c r="T209" s="146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1</v>
      </c>
      <c r="U209" s="146">
        <f t="shared" ref="U209:U213" ca="1" si="392">+L209-T209</f>
        <v>0</v>
      </c>
      <c r="V209" s="146">
        <f t="shared" ref="V209:V213" ca="1" si="393">ROUNDDOWN(T209/J209,0)</f>
        <v>1</v>
      </c>
      <c r="W209" s="146"/>
      <c r="X209" s="146"/>
      <c r="Y209" s="146"/>
      <c r="Z209" s="146"/>
      <c r="AA209" s="146"/>
      <c r="AB209" s="146"/>
      <c r="AC209" s="146">
        <v>1.3</v>
      </c>
      <c r="AD209" s="117" t="s">
        <v>196</v>
      </c>
      <c r="AE209" s="148"/>
      <c r="AF209" s="146" t="str">
        <f t="shared" ref="AF209:AV213" si="394">AF208</f>
        <v>AMC 2-S1</v>
      </c>
      <c r="AG209" s="146">
        <f t="shared" si="394"/>
        <v>1</v>
      </c>
      <c r="AH209" s="146">
        <f t="shared" ref="AH209:AH213" si="395">+AG209*J209</f>
        <v>1</v>
      </c>
      <c r="AI209" s="146">
        <f t="shared" ref="AI209:AI213" ca="1" si="396">MIN(T209,AH209)</f>
        <v>1</v>
      </c>
      <c r="AJ209" s="146">
        <f t="shared" ref="AJ209:AJ213" ca="1" si="397">+AH209-AI209</f>
        <v>0</v>
      </c>
      <c r="AK209" s="146" t="str">
        <f t="shared" si="394"/>
        <v>N/A</v>
      </c>
      <c r="AL209" s="146">
        <f t="shared" si="394"/>
        <v>0</v>
      </c>
      <c r="AM209" s="146">
        <f t="shared" ref="AM209:AM213" si="398">+AL209*J209</f>
        <v>0</v>
      </c>
      <c r="AN209" s="146">
        <f t="shared" ref="AN209:AN213" ca="1" si="399">MIN(T209-AI209,AL209)</f>
        <v>0</v>
      </c>
      <c r="AO209" s="146">
        <f t="shared" ref="AO209:AO213" ca="1" si="400">+AM209-AN209</f>
        <v>0</v>
      </c>
      <c r="AP209" s="146" t="str">
        <f t="shared" si="394"/>
        <v>N/A</v>
      </c>
      <c r="AQ209" s="146">
        <f t="shared" si="394"/>
        <v>0</v>
      </c>
      <c r="AR209" s="146">
        <f t="shared" ref="AR209:AR213" si="401">+AQ209*J209</f>
        <v>0</v>
      </c>
      <c r="AS209" s="146">
        <f t="shared" ref="AS209:AS213" ca="1" si="402">MIN(T209-AI209-AN209,AR209)</f>
        <v>0</v>
      </c>
      <c r="AT209" s="146">
        <f t="shared" ref="AT209:AT213" ca="1" si="403">+AR209-AS209</f>
        <v>0</v>
      </c>
      <c r="AU209" s="146" t="str">
        <f t="shared" si="394"/>
        <v>N/A</v>
      </c>
      <c r="AV209" s="146">
        <f t="shared" si="394"/>
        <v>0</v>
      </c>
      <c r="AW209" s="146">
        <f t="shared" ref="AW209:AW213" si="404">+AV209*J209</f>
        <v>0</v>
      </c>
      <c r="AX209" s="146">
        <f t="shared" ref="AX209:AX213" ca="1" si="405">MIN(T209-AI209-AN209-AS209,AW209)</f>
        <v>0</v>
      </c>
      <c r="AY209" s="146">
        <f t="shared" ref="AY209:AY213" ca="1" si="406">+AW209-AX209</f>
        <v>0</v>
      </c>
      <c r="AZ209" s="147"/>
      <c r="BA209" s="144" t="s">
        <v>141</v>
      </c>
      <c r="BB209" s="144" t="s">
        <v>140</v>
      </c>
      <c r="BC209" s="144" t="s">
        <v>140</v>
      </c>
      <c r="BD209" s="144" t="s">
        <v>140</v>
      </c>
      <c r="BE209" s="146">
        <v>1.3</v>
      </c>
      <c r="BF209" s="148"/>
      <c r="BG209" s="146"/>
      <c r="BH209" s="117"/>
      <c r="BI209" s="117"/>
      <c r="BJ209" s="149"/>
      <c r="BK209" s="149"/>
      <c r="BL209" s="117">
        <v>0</v>
      </c>
      <c r="BM209" s="117">
        <v>0</v>
      </c>
      <c r="BN209" s="117">
        <v>0</v>
      </c>
      <c r="BO209" s="117">
        <v>1</v>
      </c>
      <c r="BP209" s="117">
        <v>0</v>
      </c>
      <c r="BQ209" s="117">
        <v>0</v>
      </c>
      <c r="BR209" s="117">
        <v>0</v>
      </c>
      <c r="BS209" s="117" t="s">
        <v>150</v>
      </c>
      <c r="BT209" s="158" t="s">
        <v>200</v>
      </c>
      <c r="BU209" s="117"/>
      <c r="BV209" s="117" t="s">
        <v>201</v>
      </c>
      <c r="BW209" s="117">
        <v>1</v>
      </c>
      <c r="BX209" s="149">
        <v>46201</v>
      </c>
      <c r="BY209" s="117"/>
      <c r="BZ209" s="117"/>
      <c r="CA209" s="117"/>
      <c r="CB209" s="117">
        <f>+L209-BW209</f>
        <v>0</v>
      </c>
    </row>
    <row r="210" spans="1:80" ht="16.5" hidden="1" customHeight="1">
      <c r="A210" s="117">
        <v>623</v>
      </c>
      <c r="B210" s="154" t="s">
        <v>561</v>
      </c>
      <c r="C210" s="154" t="s">
        <v>911</v>
      </c>
      <c r="D210" s="154" t="s">
        <v>13</v>
      </c>
      <c r="E210" s="154" t="s">
        <v>520</v>
      </c>
      <c r="F210" s="154" t="s">
        <v>563</v>
      </c>
      <c r="G210" s="154" t="s">
        <v>522</v>
      </c>
      <c r="H210" s="146">
        <v>1377</v>
      </c>
      <c r="I210" s="147" t="s">
        <v>147</v>
      </c>
      <c r="J210" s="144">
        <v>1</v>
      </c>
      <c r="K210" s="145">
        <f t="shared" si="389"/>
        <v>1</v>
      </c>
      <c r="L210" s="144">
        <f t="shared" si="390"/>
        <v>1</v>
      </c>
      <c r="M210" s="146">
        <v>59.6</v>
      </c>
      <c r="N210" s="146">
        <f t="shared" si="391"/>
        <v>59.6</v>
      </c>
      <c r="O210" s="146" t="s">
        <v>137</v>
      </c>
      <c r="P210" s="146" t="s">
        <v>13</v>
      </c>
      <c r="Q210" s="146" t="s">
        <v>148</v>
      </c>
      <c r="R210" s="146"/>
      <c r="S210" s="146"/>
      <c r="T210" s="146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1</v>
      </c>
      <c r="U210" s="146">
        <f t="shared" ca="1" si="392"/>
        <v>0</v>
      </c>
      <c r="V210" s="146">
        <f t="shared" ca="1" si="393"/>
        <v>1</v>
      </c>
      <c r="W210" s="146"/>
      <c r="X210" s="146"/>
      <c r="Y210" s="146"/>
      <c r="Z210" s="146"/>
      <c r="AA210" s="146"/>
      <c r="AB210" s="146"/>
      <c r="AC210" s="146">
        <v>0.8</v>
      </c>
      <c r="AD210" s="117" t="s">
        <v>196</v>
      </c>
      <c r="AE210" s="148"/>
      <c r="AF210" s="146" t="str">
        <f t="shared" si="394"/>
        <v>AMC 2-S1</v>
      </c>
      <c r="AG210" s="146">
        <f t="shared" si="394"/>
        <v>1</v>
      </c>
      <c r="AH210" s="146">
        <f t="shared" si="395"/>
        <v>1</v>
      </c>
      <c r="AI210" s="146">
        <f t="shared" ca="1" si="396"/>
        <v>1</v>
      </c>
      <c r="AJ210" s="146">
        <f t="shared" ca="1" si="397"/>
        <v>0</v>
      </c>
      <c r="AK210" s="146" t="str">
        <f t="shared" si="394"/>
        <v>N/A</v>
      </c>
      <c r="AL210" s="146">
        <f t="shared" si="394"/>
        <v>0</v>
      </c>
      <c r="AM210" s="146">
        <f t="shared" si="398"/>
        <v>0</v>
      </c>
      <c r="AN210" s="146">
        <f t="shared" ca="1" si="399"/>
        <v>0</v>
      </c>
      <c r="AO210" s="146">
        <f t="shared" ca="1" si="400"/>
        <v>0</v>
      </c>
      <c r="AP210" s="146" t="str">
        <f t="shared" si="394"/>
        <v>N/A</v>
      </c>
      <c r="AQ210" s="146">
        <f t="shared" si="394"/>
        <v>0</v>
      </c>
      <c r="AR210" s="146">
        <f t="shared" si="401"/>
        <v>0</v>
      </c>
      <c r="AS210" s="146">
        <f t="shared" ca="1" si="402"/>
        <v>0</v>
      </c>
      <c r="AT210" s="146">
        <f t="shared" ca="1" si="403"/>
        <v>0</v>
      </c>
      <c r="AU210" s="146" t="str">
        <f t="shared" si="394"/>
        <v>N/A</v>
      </c>
      <c r="AV210" s="146">
        <f t="shared" si="394"/>
        <v>0</v>
      </c>
      <c r="AW210" s="146">
        <f t="shared" si="404"/>
        <v>0</v>
      </c>
      <c r="AX210" s="146">
        <f t="shared" ca="1" si="405"/>
        <v>0</v>
      </c>
      <c r="AY210" s="146">
        <f t="shared" ca="1" si="406"/>
        <v>0</v>
      </c>
      <c r="AZ210" s="147"/>
      <c r="BA210" s="144" t="s">
        <v>141</v>
      </c>
      <c r="BB210" s="144" t="s">
        <v>140</v>
      </c>
      <c r="BC210" s="144" t="s">
        <v>140</v>
      </c>
      <c r="BD210" s="144" t="s">
        <v>140</v>
      </c>
      <c r="BE210" s="146">
        <v>0.8</v>
      </c>
      <c r="BF210" s="148"/>
      <c r="BG210" s="146"/>
      <c r="BH210" s="117"/>
      <c r="BI210" s="117"/>
      <c r="BJ210" s="149"/>
      <c r="BK210" s="149"/>
      <c r="BL210" s="117">
        <v>0</v>
      </c>
      <c r="BM210" s="117">
        <v>0</v>
      </c>
      <c r="BN210" s="117">
        <v>0</v>
      </c>
      <c r="BO210" s="117">
        <v>1</v>
      </c>
      <c r="BP210" s="117">
        <v>0</v>
      </c>
      <c r="BQ210" s="117">
        <v>0</v>
      </c>
      <c r="BR210" s="117">
        <v>0</v>
      </c>
      <c r="BS210" s="117" t="s">
        <v>150</v>
      </c>
      <c r="BT210" s="167" t="s">
        <v>319</v>
      </c>
      <c r="BU210" s="141"/>
      <c r="BV210" s="141" t="s">
        <v>320</v>
      </c>
      <c r="BW210" s="141">
        <v>1</v>
      </c>
      <c r="BX210" s="153">
        <v>46202</v>
      </c>
      <c r="BY210" s="117"/>
      <c r="BZ210" s="117"/>
      <c r="CA210" s="117"/>
      <c r="CB210" s="117">
        <f>+L210-BW210</f>
        <v>0</v>
      </c>
    </row>
    <row r="211" spans="1:80" ht="16.5" hidden="1" customHeight="1">
      <c r="A211" s="117">
        <v>624</v>
      </c>
      <c r="B211" s="154" t="s">
        <v>561</v>
      </c>
      <c r="C211" s="154" t="s">
        <v>911</v>
      </c>
      <c r="D211" s="154" t="s">
        <v>13</v>
      </c>
      <c r="E211" s="154" t="s">
        <v>564</v>
      </c>
      <c r="F211" s="154" t="s">
        <v>565</v>
      </c>
      <c r="G211" s="154" t="s">
        <v>146</v>
      </c>
      <c r="H211" s="146">
        <v>6048</v>
      </c>
      <c r="I211" s="147" t="s">
        <v>147</v>
      </c>
      <c r="J211" s="144">
        <v>1</v>
      </c>
      <c r="K211" s="145">
        <f t="shared" si="389"/>
        <v>1</v>
      </c>
      <c r="L211" s="144">
        <f t="shared" si="390"/>
        <v>1</v>
      </c>
      <c r="M211" s="146">
        <v>23.7</v>
      </c>
      <c r="N211" s="146">
        <f t="shared" si="391"/>
        <v>23.7</v>
      </c>
      <c r="O211" s="146" t="s">
        <v>137</v>
      </c>
      <c r="P211" s="146" t="s">
        <v>13</v>
      </c>
      <c r="Q211" s="146" t="s">
        <v>148</v>
      </c>
      <c r="R211" s="146"/>
      <c r="S211" s="146"/>
      <c r="T211" s="146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1</v>
      </c>
      <c r="U211" s="146">
        <f t="shared" ca="1" si="392"/>
        <v>0</v>
      </c>
      <c r="V211" s="146">
        <f t="shared" ca="1" si="393"/>
        <v>1</v>
      </c>
      <c r="W211" s="146"/>
      <c r="X211" s="146"/>
      <c r="Y211" s="146"/>
      <c r="Z211" s="146"/>
      <c r="AA211" s="146"/>
      <c r="AB211" s="146"/>
      <c r="AC211" s="146">
        <v>0.7</v>
      </c>
      <c r="AD211" s="117" t="s">
        <v>196</v>
      </c>
      <c r="AE211" s="148"/>
      <c r="AF211" s="146" t="str">
        <f t="shared" si="394"/>
        <v>AMC 2-S1</v>
      </c>
      <c r="AG211" s="146">
        <f t="shared" si="394"/>
        <v>1</v>
      </c>
      <c r="AH211" s="146">
        <f t="shared" si="395"/>
        <v>1</v>
      </c>
      <c r="AI211" s="146">
        <f t="shared" ca="1" si="396"/>
        <v>1</v>
      </c>
      <c r="AJ211" s="146">
        <f t="shared" ca="1" si="397"/>
        <v>0</v>
      </c>
      <c r="AK211" s="146" t="str">
        <f t="shared" si="394"/>
        <v>N/A</v>
      </c>
      <c r="AL211" s="146">
        <f t="shared" si="394"/>
        <v>0</v>
      </c>
      <c r="AM211" s="146">
        <f t="shared" si="398"/>
        <v>0</v>
      </c>
      <c r="AN211" s="146">
        <f t="shared" ca="1" si="399"/>
        <v>0</v>
      </c>
      <c r="AO211" s="146">
        <f t="shared" ca="1" si="400"/>
        <v>0</v>
      </c>
      <c r="AP211" s="146" t="str">
        <f t="shared" si="394"/>
        <v>N/A</v>
      </c>
      <c r="AQ211" s="146">
        <f t="shared" si="394"/>
        <v>0</v>
      </c>
      <c r="AR211" s="146">
        <f t="shared" si="401"/>
        <v>0</v>
      </c>
      <c r="AS211" s="146">
        <f t="shared" ca="1" si="402"/>
        <v>0</v>
      </c>
      <c r="AT211" s="146">
        <f t="shared" ca="1" si="403"/>
        <v>0</v>
      </c>
      <c r="AU211" s="146" t="str">
        <f t="shared" si="394"/>
        <v>N/A</v>
      </c>
      <c r="AV211" s="146">
        <f t="shared" si="394"/>
        <v>0</v>
      </c>
      <c r="AW211" s="146">
        <f t="shared" si="404"/>
        <v>0</v>
      </c>
      <c r="AX211" s="146">
        <f t="shared" ca="1" si="405"/>
        <v>0</v>
      </c>
      <c r="AY211" s="146">
        <f t="shared" ca="1" si="406"/>
        <v>0</v>
      </c>
      <c r="AZ211" s="147"/>
      <c r="BA211" s="144" t="s">
        <v>141</v>
      </c>
      <c r="BB211" s="144" t="s">
        <v>140</v>
      </c>
      <c r="BC211" s="144" t="s">
        <v>140</v>
      </c>
      <c r="BD211" s="144" t="s">
        <v>140</v>
      </c>
      <c r="BE211" s="146">
        <v>0.7</v>
      </c>
      <c r="BF211" s="148"/>
      <c r="BG211" s="146"/>
      <c r="BH211" s="117"/>
      <c r="BI211" s="117"/>
      <c r="BJ211" s="149"/>
      <c r="BK211" s="149"/>
      <c r="BL211" s="117">
        <v>0</v>
      </c>
      <c r="BM211" s="117">
        <v>0</v>
      </c>
      <c r="BN211" s="117">
        <v>0</v>
      </c>
      <c r="BO211" s="117">
        <v>0</v>
      </c>
      <c r="BP211" s="117">
        <v>0</v>
      </c>
      <c r="BQ211" s="117">
        <v>0</v>
      </c>
      <c r="BR211" s="117">
        <v>0</v>
      </c>
      <c r="BS211" s="117" t="s">
        <v>150</v>
      </c>
      <c r="BT211" s="158" t="s">
        <v>210</v>
      </c>
      <c r="BU211" s="117"/>
      <c r="BV211" s="117" t="s">
        <v>211</v>
      </c>
      <c r="BW211" s="117">
        <v>1</v>
      </c>
      <c r="BX211" s="149">
        <v>46201</v>
      </c>
      <c r="BY211" s="117"/>
      <c r="BZ211" s="117"/>
      <c r="CA211" s="117"/>
      <c r="CB211" s="117">
        <f>+L211-BW211</f>
        <v>0</v>
      </c>
    </row>
    <row r="212" spans="1:80" ht="16.5" hidden="1" customHeight="1">
      <c r="A212" s="117">
        <v>625</v>
      </c>
      <c r="B212" s="154" t="s">
        <v>561</v>
      </c>
      <c r="C212" s="154" t="s">
        <v>911</v>
      </c>
      <c r="D212" s="154" t="s">
        <v>13</v>
      </c>
      <c r="E212" s="154" t="s">
        <v>546</v>
      </c>
      <c r="F212" s="154" t="s">
        <v>566</v>
      </c>
      <c r="G212" s="154" t="s">
        <v>525</v>
      </c>
      <c r="H212" s="146">
        <v>1847</v>
      </c>
      <c r="I212" s="147" t="s">
        <v>147</v>
      </c>
      <c r="J212" s="144">
        <v>1</v>
      </c>
      <c r="K212" s="145">
        <f t="shared" si="389"/>
        <v>1</v>
      </c>
      <c r="L212" s="144">
        <f t="shared" si="390"/>
        <v>1</v>
      </c>
      <c r="M212" s="146">
        <v>54.3</v>
      </c>
      <c r="N212" s="146">
        <f t="shared" si="391"/>
        <v>54.3</v>
      </c>
      <c r="O212" s="146" t="s">
        <v>137</v>
      </c>
      <c r="P212" s="146" t="s">
        <v>13</v>
      </c>
      <c r="Q212" s="146" t="s">
        <v>148</v>
      </c>
      <c r="R212" s="146"/>
      <c r="S212" s="146"/>
      <c r="T212" s="146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</v>
      </c>
      <c r="U212" s="146">
        <f t="shared" ca="1" si="392"/>
        <v>0</v>
      </c>
      <c r="V212" s="146">
        <f t="shared" ca="1" si="393"/>
        <v>1</v>
      </c>
      <c r="W212" s="146"/>
      <c r="X212" s="146"/>
      <c r="Y212" s="146"/>
      <c r="Z212" s="146"/>
      <c r="AA212" s="146"/>
      <c r="AB212" s="146"/>
      <c r="AC212" s="146">
        <v>1</v>
      </c>
      <c r="AD212" s="117" t="s">
        <v>196</v>
      </c>
      <c r="AE212" s="148"/>
      <c r="AF212" s="146" t="str">
        <f t="shared" si="394"/>
        <v>AMC 2-S1</v>
      </c>
      <c r="AG212" s="146">
        <f t="shared" si="394"/>
        <v>1</v>
      </c>
      <c r="AH212" s="146">
        <f t="shared" si="395"/>
        <v>1</v>
      </c>
      <c r="AI212" s="146">
        <f t="shared" ca="1" si="396"/>
        <v>1</v>
      </c>
      <c r="AJ212" s="146">
        <f t="shared" ca="1" si="397"/>
        <v>0</v>
      </c>
      <c r="AK212" s="146" t="str">
        <f t="shared" si="394"/>
        <v>N/A</v>
      </c>
      <c r="AL212" s="146">
        <f t="shared" si="394"/>
        <v>0</v>
      </c>
      <c r="AM212" s="146">
        <f t="shared" si="398"/>
        <v>0</v>
      </c>
      <c r="AN212" s="146">
        <f t="shared" ca="1" si="399"/>
        <v>0</v>
      </c>
      <c r="AO212" s="146">
        <f t="shared" ca="1" si="400"/>
        <v>0</v>
      </c>
      <c r="AP212" s="146" t="str">
        <f t="shared" si="394"/>
        <v>N/A</v>
      </c>
      <c r="AQ212" s="146">
        <f t="shared" si="394"/>
        <v>0</v>
      </c>
      <c r="AR212" s="146">
        <f t="shared" si="401"/>
        <v>0</v>
      </c>
      <c r="AS212" s="146">
        <f t="shared" ca="1" si="402"/>
        <v>0</v>
      </c>
      <c r="AT212" s="146">
        <f t="shared" ca="1" si="403"/>
        <v>0</v>
      </c>
      <c r="AU212" s="146" t="str">
        <f t="shared" si="394"/>
        <v>N/A</v>
      </c>
      <c r="AV212" s="146">
        <f t="shared" si="394"/>
        <v>0</v>
      </c>
      <c r="AW212" s="146">
        <f t="shared" si="404"/>
        <v>0</v>
      </c>
      <c r="AX212" s="146">
        <f t="shared" ca="1" si="405"/>
        <v>0</v>
      </c>
      <c r="AY212" s="146">
        <f t="shared" ca="1" si="406"/>
        <v>0</v>
      </c>
      <c r="AZ212" s="147"/>
      <c r="BA212" s="144" t="s">
        <v>141</v>
      </c>
      <c r="BB212" s="144" t="s">
        <v>140</v>
      </c>
      <c r="BC212" s="144" t="s">
        <v>140</v>
      </c>
      <c r="BD212" s="144" t="s">
        <v>140</v>
      </c>
      <c r="BE212" s="146">
        <v>1</v>
      </c>
      <c r="BF212" s="148"/>
      <c r="BG212" s="146"/>
      <c r="BH212" s="117"/>
      <c r="BI212" s="117"/>
      <c r="BJ212" s="149"/>
      <c r="BK212" s="149"/>
      <c r="BL212" s="117">
        <v>0</v>
      </c>
      <c r="BM212" s="117">
        <v>0</v>
      </c>
      <c r="BN212" s="117">
        <v>0</v>
      </c>
      <c r="BO212" s="117">
        <v>1</v>
      </c>
      <c r="BP212" s="117">
        <v>0</v>
      </c>
      <c r="BQ212" s="117">
        <v>0</v>
      </c>
      <c r="BR212" s="117">
        <v>0</v>
      </c>
      <c r="BS212" s="117" t="s">
        <v>150</v>
      </c>
      <c r="BT212" s="158" t="s">
        <v>200</v>
      </c>
      <c r="BU212" s="117"/>
      <c r="BV212" s="117" t="s">
        <v>201</v>
      </c>
      <c r="BW212" s="117">
        <v>1</v>
      </c>
      <c r="BX212" s="149">
        <v>46201</v>
      </c>
      <c r="BY212" s="117"/>
      <c r="BZ212" s="117"/>
      <c r="CA212" s="117"/>
      <c r="CB212" s="117">
        <f>+L212-BW212</f>
        <v>0</v>
      </c>
    </row>
    <row r="213" spans="1:80" ht="16.5" customHeight="1">
      <c r="A213" s="117">
        <v>626</v>
      </c>
      <c r="B213" s="154" t="s">
        <v>561</v>
      </c>
      <c r="C213" s="154" t="s">
        <v>911</v>
      </c>
      <c r="D213" s="154" t="s">
        <v>13</v>
      </c>
      <c r="E213" s="154" t="s">
        <v>567</v>
      </c>
      <c r="F213" s="154" t="s">
        <v>568</v>
      </c>
      <c r="G213" s="154" t="s">
        <v>569</v>
      </c>
      <c r="H213" s="146">
        <v>6038</v>
      </c>
      <c r="I213" s="147" t="s">
        <v>147</v>
      </c>
      <c r="J213" s="144">
        <v>1</v>
      </c>
      <c r="K213" s="145">
        <f t="shared" si="389"/>
        <v>1</v>
      </c>
      <c r="L213" s="144">
        <f t="shared" si="390"/>
        <v>1</v>
      </c>
      <c r="M213" s="146">
        <v>1426.3</v>
      </c>
      <c r="N213" s="146">
        <f t="shared" si="391"/>
        <v>1426.3</v>
      </c>
      <c r="O213" s="146" t="s">
        <v>137</v>
      </c>
      <c r="P213" s="146" t="s">
        <v>13</v>
      </c>
      <c r="Q213" s="146" t="s">
        <v>154</v>
      </c>
      <c r="R213" s="146"/>
      <c r="S213" s="146"/>
      <c r="T213" s="146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1</v>
      </c>
      <c r="U213" s="146">
        <f t="shared" ca="1" si="392"/>
        <v>0</v>
      </c>
      <c r="V213" s="146">
        <f t="shared" ca="1" si="393"/>
        <v>1</v>
      </c>
      <c r="W213" s="146"/>
      <c r="X213" s="146"/>
      <c r="Y213" s="146"/>
      <c r="Z213" s="146"/>
      <c r="AA213" s="146"/>
      <c r="AB213" s="146"/>
      <c r="AC213" s="142">
        <v>20.5</v>
      </c>
      <c r="AD213" s="141" t="s">
        <v>196</v>
      </c>
      <c r="AE213" s="166"/>
      <c r="AF213" s="146" t="str">
        <f t="shared" si="394"/>
        <v>AMC 2-S1</v>
      </c>
      <c r="AG213" s="146">
        <f t="shared" si="394"/>
        <v>1</v>
      </c>
      <c r="AH213" s="146">
        <f t="shared" si="395"/>
        <v>1</v>
      </c>
      <c r="AI213" s="146">
        <f t="shared" ca="1" si="396"/>
        <v>1</v>
      </c>
      <c r="AJ213" s="146">
        <f t="shared" ca="1" si="397"/>
        <v>0</v>
      </c>
      <c r="AK213" s="146" t="str">
        <f t="shared" si="394"/>
        <v>N/A</v>
      </c>
      <c r="AL213" s="146">
        <f t="shared" si="394"/>
        <v>0</v>
      </c>
      <c r="AM213" s="146">
        <f t="shared" si="398"/>
        <v>0</v>
      </c>
      <c r="AN213" s="146">
        <f t="shared" ca="1" si="399"/>
        <v>0</v>
      </c>
      <c r="AO213" s="146">
        <f t="shared" ca="1" si="400"/>
        <v>0</v>
      </c>
      <c r="AP213" s="146" t="str">
        <f t="shared" si="394"/>
        <v>N/A</v>
      </c>
      <c r="AQ213" s="146">
        <f t="shared" si="394"/>
        <v>0</v>
      </c>
      <c r="AR213" s="146">
        <f t="shared" si="401"/>
        <v>0</v>
      </c>
      <c r="AS213" s="146">
        <f t="shared" ca="1" si="402"/>
        <v>0</v>
      </c>
      <c r="AT213" s="146">
        <f t="shared" ca="1" si="403"/>
        <v>0</v>
      </c>
      <c r="AU213" s="146" t="str">
        <f t="shared" si="394"/>
        <v>N/A</v>
      </c>
      <c r="AV213" s="146">
        <f t="shared" si="394"/>
        <v>0</v>
      </c>
      <c r="AW213" s="146">
        <f t="shared" si="404"/>
        <v>0</v>
      </c>
      <c r="AX213" s="146">
        <f t="shared" ca="1" si="405"/>
        <v>0</v>
      </c>
      <c r="AY213" s="146">
        <f t="shared" ca="1" si="406"/>
        <v>0</v>
      </c>
      <c r="AZ213" s="143"/>
      <c r="BA213" s="165" t="s">
        <v>141</v>
      </c>
      <c r="BB213" s="165" t="s">
        <v>140</v>
      </c>
      <c r="BC213" s="165" t="s">
        <v>140</v>
      </c>
      <c r="BD213" s="165" t="s">
        <v>140</v>
      </c>
      <c r="BE213" s="142">
        <v>20.5</v>
      </c>
      <c r="BF213" s="166"/>
      <c r="BG213" s="142"/>
      <c r="BH213" s="117"/>
      <c r="BI213" s="117"/>
      <c r="BJ213" s="149" t="s">
        <v>294</v>
      </c>
      <c r="BK213" s="149"/>
      <c r="BL213" s="117">
        <v>0</v>
      </c>
      <c r="BM213" s="117">
        <v>1</v>
      </c>
      <c r="BN213" s="117">
        <v>0</v>
      </c>
      <c r="BO213" s="117">
        <v>1</v>
      </c>
      <c r="BP213" s="117">
        <v>0</v>
      </c>
      <c r="BQ213" s="117">
        <v>0</v>
      </c>
      <c r="BR213" s="117">
        <v>0</v>
      </c>
      <c r="BS213" s="117" t="s">
        <v>150</v>
      </c>
      <c r="BT213" s="117"/>
      <c r="BU213" s="155"/>
      <c r="BV213" s="117" t="s">
        <v>57</v>
      </c>
      <c r="BW213" s="144">
        <v>1</v>
      </c>
      <c r="BX213" s="149"/>
      <c r="BY213" s="117"/>
      <c r="BZ213" s="117"/>
      <c r="CA213" s="117"/>
      <c r="CB213" s="117">
        <f>+L213-BW213</f>
        <v>0</v>
      </c>
    </row>
    <row r="214" spans="1:80" ht="16.5" hidden="1" customHeight="1">
      <c r="A214" s="133">
        <v>633</v>
      </c>
      <c r="B214" s="156" t="s">
        <v>570</v>
      </c>
      <c r="C214" s="156" t="s">
        <v>912</v>
      </c>
      <c r="D214" s="156"/>
      <c r="E214" s="156" t="s">
        <v>136</v>
      </c>
      <c r="F214" s="156"/>
      <c r="G214" s="156"/>
      <c r="H214" s="157"/>
      <c r="I214" s="159"/>
      <c r="J214" s="160" t="s">
        <v>136</v>
      </c>
      <c r="K214" s="138">
        <f>+AG214+AL214+AQ214+AV214</f>
        <v>1</v>
      </c>
      <c r="L214" s="160" t="s">
        <v>136</v>
      </c>
      <c r="M214" s="157"/>
      <c r="N214" s="157">
        <v>1634.1</v>
      </c>
      <c r="O214" s="157" t="s">
        <v>137</v>
      </c>
      <c r="P214" s="157"/>
      <c r="Q214" s="157"/>
      <c r="R214" s="157"/>
      <c r="S214" s="157"/>
      <c r="T214" s="157"/>
      <c r="U214" s="157"/>
      <c r="V214" s="157"/>
      <c r="W214" s="135">
        <f ca="1">_xlfn.MINIFS(V:V,C:C,C214,AE:AE,"",AB:AB,"")</f>
        <v>1</v>
      </c>
      <c r="X214" s="135">
        <f ca="1">SUMIFS(T:T,C:C,C214,AE:AE,"")/SUMIFS(L:L,C:C,C214,AE:AE,"",AB:AB,"")</f>
        <v>1</v>
      </c>
      <c r="Y214" s="157"/>
      <c r="Z214" s="157"/>
      <c r="AA214" s="157"/>
      <c r="AB214" s="157"/>
      <c r="AC214" s="157">
        <v>24.3</v>
      </c>
      <c r="AD214" s="161" t="s">
        <v>196</v>
      </c>
      <c r="AE214" s="162" t="s">
        <v>143</v>
      </c>
      <c r="AF214" s="157" t="s">
        <v>281</v>
      </c>
      <c r="AG214" s="157">
        <v>1</v>
      </c>
      <c r="AH214" s="157"/>
      <c r="AI214" s="157"/>
      <c r="AJ214" s="157"/>
      <c r="AK214" s="157" t="s">
        <v>138</v>
      </c>
      <c r="AL214" s="157">
        <v>0</v>
      </c>
      <c r="AM214" s="157"/>
      <c r="AN214" s="157"/>
      <c r="AO214" s="157"/>
      <c r="AP214" s="157" t="s">
        <v>138</v>
      </c>
      <c r="AQ214" s="157">
        <v>0</v>
      </c>
      <c r="AR214" s="157"/>
      <c r="AS214" s="157"/>
      <c r="AT214" s="157"/>
      <c r="AU214" s="157" t="s">
        <v>138</v>
      </c>
      <c r="AV214" s="157">
        <v>0</v>
      </c>
      <c r="AW214" s="157"/>
      <c r="AX214" s="157"/>
      <c r="AY214" s="157"/>
      <c r="AZ214" s="136"/>
      <c r="BA214" s="137" t="s">
        <v>141</v>
      </c>
      <c r="BB214" s="137" t="s">
        <v>140</v>
      </c>
      <c r="BC214" s="137" t="s">
        <v>140</v>
      </c>
      <c r="BD214" s="137" t="s">
        <v>140</v>
      </c>
      <c r="BE214" s="157">
        <v>24.3</v>
      </c>
      <c r="BF214" s="162"/>
      <c r="BG214" s="157"/>
      <c r="BH214" s="161"/>
      <c r="BI214" s="161"/>
      <c r="BJ214" s="163"/>
      <c r="BK214" s="163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4"/>
      <c r="BV214" s="161"/>
      <c r="BW214" s="161"/>
      <c r="BX214" s="163"/>
      <c r="BY214" s="161"/>
      <c r="BZ214" s="161"/>
      <c r="CA214" s="161"/>
      <c r="CB214" s="161"/>
    </row>
    <row r="215" spans="1:80" ht="16.5" hidden="1" customHeight="1">
      <c r="A215" s="117">
        <v>634</v>
      </c>
      <c r="B215" s="154" t="s">
        <v>570</v>
      </c>
      <c r="C215" s="154" t="s">
        <v>912</v>
      </c>
      <c r="D215" s="154" t="s">
        <v>13</v>
      </c>
      <c r="E215" s="154" t="s">
        <v>517</v>
      </c>
      <c r="F215" s="154" t="s">
        <v>571</v>
      </c>
      <c r="G215" s="154" t="s">
        <v>519</v>
      </c>
      <c r="H215" s="146">
        <v>2153</v>
      </c>
      <c r="I215" s="147" t="s">
        <v>147</v>
      </c>
      <c r="J215" s="144">
        <v>1</v>
      </c>
      <c r="K215" s="145">
        <f t="shared" ref="K215:K219" si="407">K214</f>
        <v>1</v>
      </c>
      <c r="L215" s="144">
        <f t="shared" ref="L215:L219" si="408">+K215*J215</f>
        <v>1</v>
      </c>
      <c r="M215" s="146">
        <v>70</v>
      </c>
      <c r="N215" s="146">
        <f t="shared" ref="N215:N219" si="409">+M215*L215</f>
        <v>70</v>
      </c>
      <c r="O215" s="146" t="s">
        <v>137</v>
      </c>
      <c r="P215" s="146" t="s">
        <v>13</v>
      </c>
      <c r="Q215" s="146" t="s">
        <v>148</v>
      </c>
      <c r="R215" s="146"/>
      <c r="S215" s="146"/>
      <c r="T215" s="146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46">
        <f t="shared" ref="U215:U219" ca="1" si="410">+L215-T215</f>
        <v>0</v>
      </c>
      <c r="V215" s="146">
        <f t="shared" ref="V215:V219" ca="1" si="411">ROUNDDOWN(T215/J215,0)</f>
        <v>1</v>
      </c>
      <c r="W215" s="146"/>
      <c r="X215" s="146"/>
      <c r="Y215" s="146"/>
      <c r="Z215" s="146"/>
      <c r="AA215" s="146"/>
      <c r="AB215" s="146"/>
      <c r="AC215" s="146">
        <v>1.3</v>
      </c>
      <c r="AD215" s="117" t="s">
        <v>196</v>
      </c>
      <c r="AE215" s="148"/>
      <c r="AF215" s="146" t="str">
        <f t="shared" ref="AF215:AV219" si="412">AF214</f>
        <v>AMC 2-S1</v>
      </c>
      <c r="AG215" s="146">
        <f t="shared" si="412"/>
        <v>1</v>
      </c>
      <c r="AH215" s="146">
        <f t="shared" ref="AH215:AH219" si="413">+AG215*J215</f>
        <v>1</v>
      </c>
      <c r="AI215" s="146">
        <f t="shared" ref="AI215:AI219" ca="1" si="414">MIN(T215,AH215)</f>
        <v>1</v>
      </c>
      <c r="AJ215" s="146">
        <f t="shared" ref="AJ215:AJ219" ca="1" si="415">+AH215-AI215</f>
        <v>0</v>
      </c>
      <c r="AK215" s="146" t="str">
        <f t="shared" si="412"/>
        <v>N/A</v>
      </c>
      <c r="AL215" s="146">
        <f t="shared" si="412"/>
        <v>0</v>
      </c>
      <c r="AM215" s="146">
        <f t="shared" ref="AM215:AM219" si="416">+AL215*J215</f>
        <v>0</v>
      </c>
      <c r="AN215" s="146">
        <f t="shared" ref="AN215:AN219" ca="1" si="417">MIN(T215-AI215,AL215)</f>
        <v>0</v>
      </c>
      <c r="AO215" s="146">
        <f t="shared" ref="AO215:AO219" ca="1" si="418">+AM215-AN215</f>
        <v>0</v>
      </c>
      <c r="AP215" s="146" t="str">
        <f t="shared" si="412"/>
        <v>N/A</v>
      </c>
      <c r="AQ215" s="146">
        <f t="shared" si="412"/>
        <v>0</v>
      </c>
      <c r="AR215" s="146">
        <f t="shared" ref="AR215:AR219" si="419">+AQ215*J215</f>
        <v>0</v>
      </c>
      <c r="AS215" s="146">
        <f t="shared" ref="AS215:AS219" ca="1" si="420">MIN(T215-AI215-AN215,AR215)</f>
        <v>0</v>
      </c>
      <c r="AT215" s="146">
        <f t="shared" ref="AT215:AT219" ca="1" si="421">+AR215-AS215</f>
        <v>0</v>
      </c>
      <c r="AU215" s="146" t="str">
        <f t="shared" si="412"/>
        <v>N/A</v>
      </c>
      <c r="AV215" s="146">
        <f t="shared" si="412"/>
        <v>0</v>
      </c>
      <c r="AW215" s="146">
        <f t="shared" ref="AW215:AW219" si="422">+AV215*J215</f>
        <v>0</v>
      </c>
      <c r="AX215" s="146">
        <f t="shared" ref="AX215:AX219" ca="1" si="423">MIN(T215-AI215-AN215-AS215,AW215)</f>
        <v>0</v>
      </c>
      <c r="AY215" s="146">
        <f t="shared" ref="AY215:AY219" ca="1" si="424">+AW215-AX215</f>
        <v>0</v>
      </c>
      <c r="AZ215" s="147"/>
      <c r="BA215" s="144" t="s">
        <v>141</v>
      </c>
      <c r="BB215" s="144" t="s">
        <v>140</v>
      </c>
      <c r="BC215" s="144" t="s">
        <v>140</v>
      </c>
      <c r="BD215" s="144" t="s">
        <v>140</v>
      </c>
      <c r="BE215" s="146">
        <v>1.3</v>
      </c>
      <c r="BF215" s="148"/>
      <c r="BG215" s="146"/>
      <c r="BH215" s="117"/>
      <c r="BI215" s="117"/>
      <c r="BJ215" s="149"/>
      <c r="BK215" s="149"/>
      <c r="BL215" s="117">
        <v>0</v>
      </c>
      <c r="BM215" s="117">
        <v>0</v>
      </c>
      <c r="BN215" s="117">
        <v>0</v>
      </c>
      <c r="BO215" s="117">
        <v>1</v>
      </c>
      <c r="BP215" s="117">
        <v>0</v>
      </c>
      <c r="BQ215" s="117">
        <v>0</v>
      </c>
      <c r="BR215" s="117">
        <v>0</v>
      </c>
      <c r="BS215" s="117" t="s">
        <v>150</v>
      </c>
      <c r="BT215" s="158" t="s">
        <v>200</v>
      </c>
      <c r="BU215" s="117"/>
      <c r="BV215" s="117" t="s">
        <v>201</v>
      </c>
      <c r="BW215" s="117">
        <v>1</v>
      </c>
      <c r="BX215" s="149">
        <v>46201</v>
      </c>
      <c r="BY215" s="117"/>
      <c r="BZ215" s="117"/>
      <c r="CA215" s="117"/>
      <c r="CB215" s="117">
        <f>+L215-BW215</f>
        <v>0</v>
      </c>
    </row>
    <row r="216" spans="1:80" ht="16.5" hidden="1" customHeight="1">
      <c r="A216" s="117">
        <v>635</v>
      </c>
      <c r="B216" s="154" t="s">
        <v>570</v>
      </c>
      <c r="C216" s="154" t="s">
        <v>912</v>
      </c>
      <c r="D216" s="154" t="s">
        <v>13</v>
      </c>
      <c r="E216" s="154" t="s">
        <v>520</v>
      </c>
      <c r="F216" s="154" t="s">
        <v>572</v>
      </c>
      <c r="G216" s="154" t="s">
        <v>522</v>
      </c>
      <c r="H216" s="146">
        <v>1377</v>
      </c>
      <c r="I216" s="147" t="s">
        <v>147</v>
      </c>
      <c r="J216" s="144">
        <v>1</v>
      </c>
      <c r="K216" s="145">
        <f t="shared" si="407"/>
        <v>1</v>
      </c>
      <c r="L216" s="144">
        <f t="shared" si="408"/>
        <v>1</v>
      </c>
      <c r="M216" s="146">
        <v>59.6</v>
      </c>
      <c r="N216" s="146">
        <f t="shared" si="409"/>
        <v>59.6</v>
      </c>
      <c r="O216" s="146" t="s">
        <v>137</v>
      </c>
      <c r="P216" s="146" t="s">
        <v>13</v>
      </c>
      <c r="Q216" s="146" t="s">
        <v>148</v>
      </c>
      <c r="R216" s="146"/>
      <c r="S216" s="146"/>
      <c r="T216" s="146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1</v>
      </c>
      <c r="U216" s="146">
        <f t="shared" ca="1" si="410"/>
        <v>0</v>
      </c>
      <c r="V216" s="146">
        <f t="shared" ca="1" si="411"/>
        <v>1</v>
      </c>
      <c r="W216" s="146"/>
      <c r="X216" s="146"/>
      <c r="Y216" s="146"/>
      <c r="Z216" s="146"/>
      <c r="AA216" s="146"/>
      <c r="AB216" s="146"/>
      <c r="AC216" s="146">
        <v>0.8</v>
      </c>
      <c r="AD216" s="117" t="s">
        <v>196</v>
      </c>
      <c r="AE216" s="148"/>
      <c r="AF216" s="146" t="str">
        <f t="shared" si="412"/>
        <v>AMC 2-S1</v>
      </c>
      <c r="AG216" s="146">
        <f t="shared" si="412"/>
        <v>1</v>
      </c>
      <c r="AH216" s="146">
        <f t="shared" si="413"/>
        <v>1</v>
      </c>
      <c r="AI216" s="146">
        <f t="shared" ca="1" si="414"/>
        <v>1</v>
      </c>
      <c r="AJ216" s="146">
        <f t="shared" ca="1" si="415"/>
        <v>0</v>
      </c>
      <c r="AK216" s="146" t="str">
        <f t="shared" si="412"/>
        <v>N/A</v>
      </c>
      <c r="AL216" s="146">
        <f t="shared" si="412"/>
        <v>0</v>
      </c>
      <c r="AM216" s="146">
        <f t="shared" si="416"/>
        <v>0</v>
      </c>
      <c r="AN216" s="146">
        <f t="shared" ca="1" si="417"/>
        <v>0</v>
      </c>
      <c r="AO216" s="146">
        <f t="shared" ca="1" si="418"/>
        <v>0</v>
      </c>
      <c r="AP216" s="146" t="str">
        <f t="shared" si="412"/>
        <v>N/A</v>
      </c>
      <c r="AQ216" s="146">
        <f t="shared" si="412"/>
        <v>0</v>
      </c>
      <c r="AR216" s="146">
        <f t="shared" si="419"/>
        <v>0</v>
      </c>
      <c r="AS216" s="146">
        <f t="shared" ca="1" si="420"/>
        <v>0</v>
      </c>
      <c r="AT216" s="146">
        <f t="shared" ca="1" si="421"/>
        <v>0</v>
      </c>
      <c r="AU216" s="146" t="str">
        <f t="shared" si="412"/>
        <v>N/A</v>
      </c>
      <c r="AV216" s="146">
        <f t="shared" si="412"/>
        <v>0</v>
      </c>
      <c r="AW216" s="146">
        <f t="shared" si="422"/>
        <v>0</v>
      </c>
      <c r="AX216" s="146">
        <f t="shared" ca="1" si="423"/>
        <v>0</v>
      </c>
      <c r="AY216" s="146">
        <f t="shared" ca="1" si="424"/>
        <v>0</v>
      </c>
      <c r="AZ216" s="147"/>
      <c r="BA216" s="144" t="s">
        <v>141</v>
      </c>
      <c r="BB216" s="144" t="s">
        <v>140</v>
      </c>
      <c r="BC216" s="144" t="s">
        <v>140</v>
      </c>
      <c r="BD216" s="144" t="s">
        <v>140</v>
      </c>
      <c r="BE216" s="146">
        <v>0.8</v>
      </c>
      <c r="BF216" s="148"/>
      <c r="BG216" s="146"/>
      <c r="BH216" s="117"/>
      <c r="BI216" s="117"/>
      <c r="BJ216" s="149"/>
      <c r="BK216" s="149"/>
      <c r="BL216" s="117">
        <v>0</v>
      </c>
      <c r="BM216" s="117">
        <v>0</v>
      </c>
      <c r="BN216" s="117">
        <v>0</v>
      </c>
      <c r="BO216" s="117">
        <v>1</v>
      </c>
      <c r="BP216" s="117">
        <v>0</v>
      </c>
      <c r="BQ216" s="117">
        <v>0</v>
      </c>
      <c r="BR216" s="117">
        <v>0</v>
      </c>
      <c r="BS216" s="117" t="s">
        <v>150</v>
      </c>
      <c r="BT216" s="167" t="s">
        <v>319</v>
      </c>
      <c r="BU216" s="141"/>
      <c r="BV216" s="141" t="s">
        <v>320</v>
      </c>
      <c r="BW216" s="141">
        <v>1</v>
      </c>
      <c r="BX216" s="153">
        <v>46202</v>
      </c>
      <c r="BY216" s="117"/>
      <c r="BZ216" s="117"/>
      <c r="CA216" s="117"/>
      <c r="CB216" s="117">
        <f>+L216-BW216</f>
        <v>0</v>
      </c>
    </row>
    <row r="217" spans="1:80" ht="16.5" hidden="1" customHeight="1">
      <c r="A217" s="117">
        <v>636</v>
      </c>
      <c r="B217" s="154" t="s">
        <v>570</v>
      </c>
      <c r="C217" s="154" t="s">
        <v>912</v>
      </c>
      <c r="D217" s="154" t="s">
        <v>13</v>
      </c>
      <c r="E217" s="154" t="s">
        <v>573</v>
      </c>
      <c r="F217" s="154" t="s">
        <v>574</v>
      </c>
      <c r="G217" s="154" t="s">
        <v>575</v>
      </c>
      <c r="H217" s="146">
        <v>5977</v>
      </c>
      <c r="I217" s="147" t="s">
        <v>147</v>
      </c>
      <c r="J217" s="144">
        <v>1</v>
      </c>
      <c r="K217" s="145">
        <f t="shared" si="407"/>
        <v>1</v>
      </c>
      <c r="L217" s="144">
        <f t="shared" si="408"/>
        <v>1</v>
      </c>
      <c r="M217" s="146">
        <v>23.4</v>
      </c>
      <c r="N217" s="146">
        <f t="shared" si="409"/>
        <v>23.4</v>
      </c>
      <c r="O217" s="146" t="s">
        <v>137</v>
      </c>
      <c r="P217" s="146" t="s">
        <v>13</v>
      </c>
      <c r="Q217" s="146" t="s">
        <v>148</v>
      </c>
      <c r="R217" s="146"/>
      <c r="S217" s="146"/>
      <c r="T217" s="146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</v>
      </c>
      <c r="U217" s="146">
        <f t="shared" ca="1" si="410"/>
        <v>0</v>
      </c>
      <c r="V217" s="146">
        <f t="shared" ca="1" si="411"/>
        <v>1</v>
      </c>
      <c r="W217" s="146"/>
      <c r="X217" s="146"/>
      <c r="Y217" s="146"/>
      <c r="Z217" s="146"/>
      <c r="AA217" s="146"/>
      <c r="AB217" s="146"/>
      <c r="AC217" s="146">
        <v>0.7</v>
      </c>
      <c r="AD217" s="117" t="s">
        <v>196</v>
      </c>
      <c r="AE217" s="148"/>
      <c r="AF217" s="146" t="str">
        <f t="shared" si="412"/>
        <v>AMC 2-S1</v>
      </c>
      <c r="AG217" s="146">
        <f t="shared" si="412"/>
        <v>1</v>
      </c>
      <c r="AH217" s="146">
        <f t="shared" si="413"/>
        <v>1</v>
      </c>
      <c r="AI217" s="146">
        <f t="shared" ca="1" si="414"/>
        <v>1</v>
      </c>
      <c r="AJ217" s="146">
        <f t="shared" ca="1" si="415"/>
        <v>0</v>
      </c>
      <c r="AK217" s="146" t="str">
        <f t="shared" si="412"/>
        <v>N/A</v>
      </c>
      <c r="AL217" s="146">
        <f t="shared" si="412"/>
        <v>0</v>
      </c>
      <c r="AM217" s="146">
        <f t="shared" si="416"/>
        <v>0</v>
      </c>
      <c r="AN217" s="146">
        <f t="shared" ca="1" si="417"/>
        <v>0</v>
      </c>
      <c r="AO217" s="146">
        <f t="shared" ca="1" si="418"/>
        <v>0</v>
      </c>
      <c r="AP217" s="146" t="str">
        <f t="shared" si="412"/>
        <v>N/A</v>
      </c>
      <c r="AQ217" s="146">
        <f t="shared" si="412"/>
        <v>0</v>
      </c>
      <c r="AR217" s="146">
        <f t="shared" si="419"/>
        <v>0</v>
      </c>
      <c r="AS217" s="146">
        <f t="shared" ca="1" si="420"/>
        <v>0</v>
      </c>
      <c r="AT217" s="146">
        <f t="shared" ca="1" si="421"/>
        <v>0</v>
      </c>
      <c r="AU217" s="146" t="str">
        <f t="shared" si="412"/>
        <v>N/A</v>
      </c>
      <c r="AV217" s="146">
        <f t="shared" si="412"/>
        <v>0</v>
      </c>
      <c r="AW217" s="146">
        <f t="shared" si="422"/>
        <v>0</v>
      </c>
      <c r="AX217" s="146">
        <f t="shared" ca="1" si="423"/>
        <v>0</v>
      </c>
      <c r="AY217" s="146">
        <f t="shared" ca="1" si="424"/>
        <v>0</v>
      </c>
      <c r="AZ217" s="147"/>
      <c r="BA217" s="144" t="s">
        <v>141</v>
      </c>
      <c r="BB217" s="144" t="s">
        <v>140</v>
      </c>
      <c r="BC217" s="144" t="s">
        <v>140</v>
      </c>
      <c r="BD217" s="144" t="s">
        <v>140</v>
      </c>
      <c r="BE217" s="146">
        <v>0.7</v>
      </c>
      <c r="BF217" s="148"/>
      <c r="BG217" s="146"/>
      <c r="BH217" s="117"/>
      <c r="BI217" s="117"/>
      <c r="BJ217" s="149"/>
      <c r="BK217" s="149"/>
      <c r="BL217" s="117">
        <v>0</v>
      </c>
      <c r="BM217" s="117">
        <v>0</v>
      </c>
      <c r="BN217" s="117">
        <v>0</v>
      </c>
      <c r="BO217" s="117">
        <v>0</v>
      </c>
      <c r="BP217" s="117">
        <v>0</v>
      </c>
      <c r="BQ217" s="117">
        <v>0</v>
      </c>
      <c r="BR217" s="117">
        <v>0</v>
      </c>
      <c r="BS217" s="117" t="s">
        <v>150</v>
      </c>
      <c r="BT217" s="158" t="s">
        <v>210</v>
      </c>
      <c r="BU217" s="117"/>
      <c r="BV217" s="117" t="s">
        <v>211</v>
      </c>
      <c r="BW217" s="117">
        <v>1</v>
      </c>
      <c r="BX217" s="149">
        <v>46201</v>
      </c>
      <c r="BY217" s="117"/>
      <c r="BZ217" s="117"/>
      <c r="CA217" s="117"/>
      <c r="CB217" s="117">
        <f>+L217-BW217</f>
        <v>0</v>
      </c>
    </row>
    <row r="218" spans="1:80" ht="16.5" hidden="1" customHeight="1">
      <c r="A218" s="117">
        <v>637</v>
      </c>
      <c r="B218" s="154" t="s">
        <v>570</v>
      </c>
      <c r="C218" s="154" t="s">
        <v>912</v>
      </c>
      <c r="D218" s="154" t="s">
        <v>13</v>
      </c>
      <c r="E218" s="154" t="s">
        <v>546</v>
      </c>
      <c r="F218" s="154" t="s">
        <v>576</v>
      </c>
      <c r="G218" s="154" t="s">
        <v>525</v>
      </c>
      <c r="H218" s="146">
        <v>1848</v>
      </c>
      <c r="I218" s="147" t="s">
        <v>147</v>
      </c>
      <c r="J218" s="144">
        <v>1</v>
      </c>
      <c r="K218" s="145">
        <f t="shared" si="407"/>
        <v>1</v>
      </c>
      <c r="L218" s="144">
        <f t="shared" si="408"/>
        <v>1</v>
      </c>
      <c r="M218" s="146">
        <v>54.3</v>
      </c>
      <c r="N218" s="146">
        <f t="shared" si="409"/>
        <v>54.3</v>
      </c>
      <c r="O218" s="146" t="s">
        <v>137</v>
      </c>
      <c r="P218" s="146" t="s">
        <v>13</v>
      </c>
      <c r="Q218" s="146" t="s">
        <v>148</v>
      </c>
      <c r="R218" s="146"/>
      <c r="S218" s="146"/>
      <c r="T218" s="146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</v>
      </c>
      <c r="U218" s="146">
        <f t="shared" ca="1" si="410"/>
        <v>0</v>
      </c>
      <c r="V218" s="146">
        <f t="shared" ca="1" si="411"/>
        <v>1</v>
      </c>
      <c r="W218" s="146"/>
      <c r="X218" s="146"/>
      <c r="Y218" s="146"/>
      <c r="Z218" s="146"/>
      <c r="AA218" s="146"/>
      <c r="AB218" s="146"/>
      <c r="AC218" s="146">
        <v>1</v>
      </c>
      <c r="AD218" s="117" t="s">
        <v>196</v>
      </c>
      <c r="AE218" s="148"/>
      <c r="AF218" s="146" t="str">
        <f t="shared" si="412"/>
        <v>AMC 2-S1</v>
      </c>
      <c r="AG218" s="146">
        <f t="shared" si="412"/>
        <v>1</v>
      </c>
      <c r="AH218" s="146">
        <f t="shared" si="413"/>
        <v>1</v>
      </c>
      <c r="AI218" s="146">
        <f t="shared" ca="1" si="414"/>
        <v>1</v>
      </c>
      <c r="AJ218" s="146">
        <f t="shared" ca="1" si="415"/>
        <v>0</v>
      </c>
      <c r="AK218" s="146" t="str">
        <f t="shared" si="412"/>
        <v>N/A</v>
      </c>
      <c r="AL218" s="146">
        <f t="shared" si="412"/>
        <v>0</v>
      </c>
      <c r="AM218" s="146">
        <f t="shared" si="416"/>
        <v>0</v>
      </c>
      <c r="AN218" s="146">
        <f t="shared" ca="1" si="417"/>
        <v>0</v>
      </c>
      <c r="AO218" s="146">
        <f t="shared" ca="1" si="418"/>
        <v>0</v>
      </c>
      <c r="AP218" s="146" t="str">
        <f t="shared" si="412"/>
        <v>N/A</v>
      </c>
      <c r="AQ218" s="146">
        <f t="shared" si="412"/>
        <v>0</v>
      </c>
      <c r="AR218" s="146">
        <f t="shared" si="419"/>
        <v>0</v>
      </c>
      <c r="AS218" s="146">
        <f t="shared" ca="1" si="420"/>
        <v>0</v>
      </c>
      <c r="AT218" s="146">
        <f t="shared" ca="1" si="421"/>
        <v>0</v>
      </c>
      <c r="AU218" s="146" t="str">
        <f t="shared" si="412"/>
        <v>N/A</v>
      </c>
      <c r="AV218" s="146">
        <f t="shared" si="412"/>
        <v>0</v>
      </c>
      <c r="AW218" s="146">
        <f t="shared" si="422"/>
        <v>0</v>
      </c>
      <c r="AX218" s="146">
        <f t="shared" ca="1" si="423"/>
        <v>0</v>
      </c>
      <c r="AY218" s="146">
        <f t="shared" ca="1" si="424"/>
        <v>0</v>
      </c>
      <c r="AZ218" s="147"/>
      <c r="BA218" s="144" t="s">
        <v>141</v>
      </c>
      <c r="BB218" s="144" t="s">
        <v>140</v>
      </c>
      <c r="BC218" s="144" t="s">
        <v>140</v>
      </c>
      <c r="BD218" s="144" t="s">
        <v>140</v>
      </c>
      <c r="BE218" s="146">
        <v>1</v>
      </c>
      <c r="BF218" s="148"/>
      <c r="BG218" s="146"/>
      <c r="BH218" s="117"/>
      <c r="BI218" s="117"/>
      <c r="BJ218" s="149"/>
      <c r="BK218" s="149"/>
      <c r="BL218" s="117">
        <v>0</v>
      </c>
      <c r="BM218" s="117">
        <v>0</v>
      </c>
      <c r="BN218" s="117">
        <v>0</v>
      </c>
      <c r="BO218" s="117">
        <v>1</v>
      </c>
      <c r="BP218" s="117">
        <v>0</v>
      </c>
      <c r="BQ218" s="117">
        <v>0</v>
      </c>
      <c r="BR218" s="117">
        <v>0</v>
      </c>
      <c r="BS218" s="117" t="s">
        <v>150</v>
      </c>
      <c r="BT218" s="158" t="s">
        <v>200</v>
      </c>
      <c r="BU218" s="117"/>
      <c r="BV218" s="117" t="s">
        <v>201</v>
      </c>
      <c r="BW218" s="117">
        <v>1</v>
      </c>
      <c r="BX218" s="149">
        <v>46201</v>
      </c>
      <c r="BY218" s="117"/>
      <c r="BZ218" s="117"/>
      <c r="CA218" s="117"/>
      <c r="CB218" s="117">
        <f>+L218-BW218</f>
        <v>0</v>
      </c>
    </row>
    <row r="219" spans="1:80" ht="16.5" customHeight="1">
      <c r="A219" s="117">
        <v>638</v>
      </c>
      <c r="B219" s="154" t="s">
        <v>570</v>
      </c>
      <c r="C219" s="154" t="s">
        <v>912</v>
      </c>
      <c r="D219" s="154" t="s">
        <v>13</v>
      </c>
      <c r="E219" s="154" t="s">
        <v>577</v>
      </c>
      <c r="F219" s="154" t="s">
        <v>578</v>
      </c>
      <c r="G219" s="154" t="s">
        <v>579</v>
      </c>
      <c r="H219" s="146">
        <v>6180</v>
      </c>
      <c r="I219" s="147" t="s">
        <v>147</v>
      </c>
      <c r="J219" s="144">
        <v>1</v>
      </c>
      <c r="K219" s="145">
        <f t="shared" si="407"/>
        <v>1</v>
      </c>
      <c r="L219" s="144">
        <f t="shared" si="408"/>
        <v>1</v>
      </c>
      <c r="M219" s="146">
        <v>1426.8</v>
      </c>
      <c r="N219" s="146">
        <f t="shared" si="409"/>
        <v>1426.8</v>
      </c>
      <c r="O219" s="146" t="s">
        <v>137</v>
      </c>
      <c r="P219" s="146" t="s">
        <v>13</v>
      </c>
      <c r="Q219" s="146" t="s">
        <v>154</v>
      </c>
      <c r="R219" s="146"/>
      <c r="S219" s="146"/>
      <c r="T219" s="146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1</v>
      </c>
      <c r="U219" s="146">
        <f t="shared" ca="1" si="410"/>
        <v>0</v>
      </c>
      <c r="V219" s="146">
        <f t="shared" ca="1" si="411"/>
        <v>1</v>
      </c>
      <c r="W219" s="146"/>
      <c r="X219" s="146"/>
      <c r="Y219" s="146"/>
      <c r="Z219" s="146"/>
      <c r="AA219" s="146"/>
      <c r="AB219" s="146"/>
      <c r="AC219" s="142">
        <v>20.5</v>
      </c>
      <c r="AD219" s="141" t="s">
        <v>196</v>
      </c>
      <c r="AE219" s="166"/>
      <c r="AF219" s="146" t="str">
        <f t="shared" si="412"/>
        <v>AMC 2-S1</v>
      </c>
      <c r="AG219" s="146">
        <f t="shared" si="412"/>
        <v>1</v>
      </c>
      <c r="AH219" s="146">
        <f t="shared" si="413"/>
        <v>1</v>
      </c>
      <c r="AI219" s="146">
        <f t="shared" ca="1" si="414"/>
        <v>1</v>
      </c>
      <c r="AJ219" s="146">
        <f t="shared" ca="1" si="415"/>
        <v>0</v>
      </c>
      <c r="AK219" s="146" t="str">
        <f t="shared" si="412"/>
        <v>N/A</v>
      </c>
      <c r="AL219" s="146">
        <f t="shared" si="412"/>
        <v>0</v>
      </c>
      <c r="AM219" s="146">
        <f t="shared" si="416"/>
        <v>0</v>
      </c>
      <c r="AN219" s="146">
        <f t="shared" ca="1" si="417"/>
        <v>0</v>
      </c>
      <c r="AO219" s="146">
        <f t="shared" ca="1" si="418"/>
        <v>0</v>
      </c>
      <c r="AP219" s="146" t="str">
        <f t="shared" si="412"/>
        <v>N/A</v>
      </c>
      <c r="AQ219" s="146">
        <f t="shared" si="412"/>
        <v>0</v>
      </c>
      <c r="AR219" s="146">
        <f t="shared" si="419"/>
        <v>0</v>
      </c>
      <c r="AS219" s="146">
        <f t="shared" ca="1" si="420"/>
        <v>0</v>
      </c>
      <c r="AT219" s="146">
        <f t="shared" ca="1" si="421"/>
        <v>0</v>
      </c>
      <c r="AU219" s="146" t="str">
        <f t="shared" si="412"/>
        <v>N/A</v>
      </c>
      <c r="AV219" s="146">
        <f t="shared" si="412"/>
        <v>0</v>
      </c>
      <c r="AW219" s="146">
        <f t="shared" si="422"/>
        <v>0</v>
      </c>
      <c r="AX219" s="146">
        <f t="shared" ca="1" si="423"/>
        <v>0</v>
      </c>
      <c r="AY219" s="146">
        <f t="shared" ca="1" si="424"/>
        <v>0</v>
      </c>
      <c r="AZ219" s="143"/>
      <c r="BA219" s="165" t="s">
        <v>141</v>
      </c>
      <c r="BB219" s="165" t="s">
        <v>140</v>
      </c>
      <c r="BC219" s="165" t="s">
        <v>140</v>
      </c>
      <c r="BD219" s="165" t="s">
        <v>140</v>
      </c>
      <c r="BE219" s="142">
        <v>20.5</v>
      </c>
      <c r="BF219" s="166"/>
      <c r="BG219" s="142"/>
      <c r="BH219" s="117"/>
      <c r="BI219" s="117"/>
      <c r="BJ219" s="149" t="s">
        <v>294</v>
      </c>
      <c r="BK219" s="149"/>
      <c r="BL219" s="117">
        <v>0</v>
      </c>
      <c r="BM219" s="117">
        <v>1</v>
      </c>
      <c r="BN219" s="117">
        <v>0</v>
      </c>
      <c r="BO219" s="117">
        <v>1</v>
      </c>
      <c r="BP219" s="117">
        <v>0</v>
      </c>
      <c r="BQ219" s="117">
        <v>0</v>
      </c>
      <c r="BR219" s="117">
        <v>0</v>
      </c>
      <c r="BS219" s="117" t="s">
        <v>150</v>
      </c>
      <c r="BT219" s="117"/>
      <c r="BU219" s="155"/>
      <c r="BV219" s="117" t="s">
        <v>57</v>
      </c>
      <c r="BW219" s="144">
        <v>1</v>
      </c>
      <c r="BX219" s="149"/>
      <c r="BY219" s="117"/>
      <c r="BZ219" s="117"/>
      <c r="CA219" s="117"/>
      <c r="CB219" s="117">
        <f>+L219-BW219</f>
        <v>0</v>
      </c>
    </row>
    <row r="220" spans="1:80" ht="16.5" hidden="1" customHeight="1">
      <c r="A220" s="133">
        <v>645</v>
      </c>
      <c r="B220" s="156" t="s">
        <v>580</v>
      </c>
      <c r="C220" s="156" t="s">
        <v>913</v>
      </c>
      <c r="D220" s="156"/>
      <c r="E220" s="156" t="s">
        <v>136</v>
      </c>
      <c r="F220" s="156"/>
      <c r="G220" s="156"/>
      <c r="H220" s="157"/>
      <c r="I220" s="159"/>
      <c r="J220" s="160" t="s">
        <v>136</v>
      </c>
      <c r="K220" s="138">
        <f>+AG220+AL220+AQ220+AV220</f>
        <v>1</v>
      </c>
      <c r="L220" s="160" t="s">
        <v>136</v>
      </c>
      <c r="M220" s="157"/>
      <c r="N220" s="157">
        <v>1700.8</v>
      </c>
      <c r="O220" s="157" t="s">
        <v>137</v>
      </c>
      <c r="P220" s="157"/>
      <c r="Q220" s="157"/>
      <c r="R220" s="157"/>
      <c r="S220" s="157"/>
      <c r="T220" s="157"/>
      <c r="U220" s="157"/>
      <c r="V220" s="157"/>
      <c r="W220" s="135">
        <f ca="1">_xlfn.MINIFS(V:V,C:C,C220,AE:AE,"",AB:AB,"")</f>
        <v>1</v>
      </c>
      <c r="X220" s="135">
        <f ca="1">SUMIFS(T:T,C:C,C220,AE:AE,"")/SUMIFS(L:L,C:C,C220,AE:AE,"",AB:AB,"")</f>
        <v>1</v>
      </c>
      <c r="Y220" s="157"/>
      <c r="Z220" s="157"/>
      <c r="AA220" s="157"/>
      <c r="AB220" s="157"/>
      <c r="AC220" s="157">
        <v>25.2</v>
      </c>
      <c r="AD220" s="161" t="s">
        <v>196</v>
      </c>
      <c r="AE220" s="162" t="s">
        <v>143</v>
      </c>
      <c r="AF220" s="157" t="s">
        <v>281</v>
      </c>
      <c r="AG220" s="157">
        <v>1</v>
      </c>
      <c r="AH220" s="157"/>
      <c r="AI220" s="157"/>
      <c r="AJ220" s="157"/>
      <c r="AK220" s="157" t="s">
        <v>138</v>
      </c>
      <c r="AL220" s="157">
        <v>0</v>
      </c>
      <c r="AM220" s="157"/>
      <c r="AN220" s="157"/>
      <c r="AO220" s="157"/>
      <c r="AP220" s="157" t="s">
        <v>138</v>
      </c>
      <c r="AQ220" s="157">
        <v>0</v>
      </c>
      <c r="AR220" s="157"/>
      <c r="AS220" s="157"/>
      <c r="AT220" s="157"/>
      <c r="AU220" s="157" t="s">
        <v>138</v>
      </c>
      <c r="AV220" s="157">
        <v>0</v>
      </c>
      <c r="AW220" s="157"/>
      <c r="AX220" s="157"/>
      <c r="AY220" s="157"/>
      <c r="AZ220" s="136"/>
      <c r="BA220" s="137" t="s">
        <v>141</v>
      </c>
      <c r="BB220" s="137" t="s">
        <v>140</v>
      </c>
      <c r="BC220" s="137" t="s">
        <v>140</v>
      </c>
      <c r="BD220" s="137" t="s">
        <v>140</v>
      </c>
      <c r="BE220" s="157">
        <v>25.2</v>
      </c>
      <c r="BF220" s="162"/>
      <c r="BG220" s="157"/>
      <c r="BH220" s="161"/>
      <c r="BI220" s="161"/>
      <c r="BJ220" s="163"/>
      <c r="BK220" s="163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4"/>
      <c r="BV220" s="161"/>
      <c r="BW220" s="161"/>
      <c r="BX220" s="163"/>
      <c r="BY220" s="161"/>
      <c r="BZ220" s="161"/>
      <c r="CA220" s="161"/>
      <c r="CB220" s="161"/>
    </row>
    <row r="221" spans="1:80" ht="16.5" hidden="1" customHeight="1">
      <c r="A221" s="117">
        <v>646</v>
      </c>
      <c r="B221" s="154" t="s">
        <v>580</v>
      </c>
      <c r="C221" s="154" t="s">
        <v>913</v>
      </c>
      <c r="D221" s="154" t="s">
        <v>13</v>
      </c>
      <c r="E221" s="154" t="s">
        <v>517</v>
      </c>
      <c r="F221" s="154" t="s">
        <v>581</v>
      </c>
      <c r="G221" s="154" t="s">
        <v>519</v>
      </c>
      <c r="H221" s="146">
        <v>2153</v>
      </c>
      <c r="I221" s="147" t="s">
        <v>147</v>
      </c>
      <c r="J221" s="144">
        <v>1</v>
      </c>
      <c r="K221" s="145">
        <f t="shared" ref="K221:K225" si="425">K220</f>
        <v>1</v>
      </c>
      <c r="L221" s="144">
        <f t="shared" ref="L221:L225" si="426">+K221*J221</f>
        <v>1</v>
      </c>
      <c r="M221" s="146">
        <v>70</v>
      </c>
      <c r="N221" s="146">
        <f t="shared" ref="N221:N225" si="427">+M221*L221</f>
        <v>70</v>
      </c>
      <c r="O221" s="146" t="s">
        <v>137</v>
      </c>
      <c r="P221" s="146" t="s">
        <v>13</v>
      </c>
      <c r="Q221" s="146" t="s">
        <v>148</v>
      </c>
      <c r="R221" s="146"/>
      <c r="S221" s="146"/>
      <c r="T221" s="146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</v>
      </c>
      <c r="U221" s="146">
        <f t="shared" ref="U221:U225" ca="1" si="428">+L221-T221</f>
        <v>0</v>
      </c>
      <c r="V221" s="146">
        <f t="shared" ref="V221:V225" ca="1" si="429">ROUNDDOWN(T221/J221,0)</f>
        <v>1</v>
      </c>
      <c r="W221" s="146"/>
      <c r="X221" s="146"/>
      <c r="Y221" s="146"/>
      <c r="Z221" s="146"/>
      <c r="AA221" s="146"/>
      <c r="AB221" s="146"/>
      <c r="AC221" s="146">
        <v>1.3</v>
      </c>
      <c r="AD221" s="117" t="s">
        <v>196</v>
      </c>
      <c r="AE221" s="148"/>
      <c r="AF221" s="146" t="str">
        <f t="shared" ref="AF221:AV225" si="430">AF220</f>
        <v>AMC 2-S1</v>
      </c>
      <c r="AG221" s="146">
        <f t="shared" si="430"/>
        <v>1</v>
      </c>
      <c r="AH221" s="146">
        <f t="shared" ref="AH221:AH225" si="431">+AG221*J221</f>
        <v>1</v>
      </c>
      <c r="AI221" s="146">
        <f t="shared" ref="AI221:AI225" ca="1" si="432">MIN(T221,AH221)</f>
        <v>1</v>
      </c>
      <c r="AJ221" s="146">
        <f t="shared" ref="AJ221:AJ225" ca="1" si="433">+AH221-AI221</f>
        <v>0</v>
      </c>
      <c r="AK221" s="146" t="str">
        <f t="shared" si="430"/>
        <v>N/A</v>
      </c>
      <c r="AL221" s="146">
        <f t="shared" si="430"/>
        <v>0</v>
      </c>
      <c r="AM221" s="146">
        <f t="shared" ref="AM221:AM225" si="434">+AL221*J221</f>
        <v>0</v>
      </c>
      <c r="AN221" s="146">
        <f t="shared" ref="AN221:AN225" ca="1" si="435">MIN(T221-AI221,AL221)</f>
        <v>0</v>
      </c>
      <c r="AO221" s="146">
        <f t="shared" ref="AO221:AO225" ca="1" si="436">+AM221-AN221</f>
        <v>0</v>
      </c>
      <c r="AP221" s="146" t="str">
        <f t="shared" si="430"/>
        <v>N/A</v>
      </c>
      <c r="AQ221" s="146">
        <f t="shared" si="430"/>
        <v>0</v>
      </c>
      <c r="AR221" s="146">
        <f t="shared" ref="AR221:AR225" si="437">+AQ221*J221</f>
        <v>0</v>
      </c>
      <c r="AS221" s="146">
        <f t="shared" ref="AS221:AS225" ca="1" si="438">MIN(T221-AI221-AN221,AR221)</f>
        <v>0</v>
      </c>
      <c r="AT221" s="146">
        <f t="shared" ref="AT221:AT225" ca="1" si="439">+AR221-AS221</f>
        <v>0</v>
      </c>
      <c r="AU221" s="146" t="str">
        <f t="shared" si="430"/>
        <v>N/A</v>
      </c>
      <c r="AV221" s="146">
        <f t="shared" si="430"/>
        <v>0</v>
      </c>
      <c r="AW221" s="146">
        <f t="shared" ref="AW221:AW225" si="440">+AV221*J221</f>
        <v>0</v>
      </c>
      <c r="AX221" s="146">
        <f t="shared" ref="AX221:AX225" ca="1" si="441">MIN(T221-AI221-AN221-AS221,AW221)</f>
        <v>0</v>
      </c>
      <c r="AY221" s="146">
        <f t="shared" ref="AY221:AY225" ca="1" si="442">+AW221-AX221</f>
        <v>0</v>
      </c>
      <c r="AZ221" s="147"/>
      <c r="BA221" s="144" t="s">
        <v>141</v>
      </c>
      <c r="BB221" s="144" t="s">
        <v>140</v>
      </c>
      <c r="BC221" s="144" t="s">
        <v>140</v>
      </c>
      <c r="BD221" s="144" t="s">
        <v>140</v>
      </c>
      <c r="BE221" s="146">
        <v>1.3</v>
      </c>
      <c r="BF221" s="148"/>
      <c r="BG221" s="146"/>
      <c r="BH221" s="117"/>
      <c r="BI221" s="117"/>
      <c r="BJ221" s="149"/>
      <c r="BK221" s="149"/>
      <c r="BL221" s="117">
        <v>0</v>
      </c>
      <c r="BM221" s="117">
        <v>0</v>
      </c>
      <c r="BN221" s="117">
        <v>0</v>
      </c>
      <c r="BO221" s="117">
        <v>1</v>
      </c>
      <c r="BP221" s="117">
        <v>0</v>
      </c>
      <c r="BQ221" s="117">
        <v>0</v>
      </c>
      <c r="BR221" s="117">
        <v>0</v>
      </c>
      <c r="BS221" s="117" t="s">
        <v>150</v>
      </c>
      <c r="BT221" s="158" t="s">
        <v>200</v>
      </c>
      <c r="BU221" s="117"/>
      <c r="BV221" s="117" t="s">
        <v>201</v>
      </c>
      <c r="BW221" s="117">
        <v>1</v>
      </c>
      <c r="BX221" s="149">
        <v>46201</v>
      </c>
      <c r="BY221" s="117"/>
      <c r="BZ221" s="117"/>
      <c r="CA221" s="117"/>
      <c r="CB221" s="117">
        <f>+L221-BW221</f>
        <v>0</v>
      </c>
    </row>
    <row r="222" spans="1:80" ht="16.5" hidden="1" customHeight="1">
      <c r="A222" s="117">
        <v>647</v>
      </c>
      <c r="B222" s="154" t="s">
        <v>580</v>
      </c>
      <c r="C222" s="154" t="s">
        <v>913</v>
      </c>
      <c r="D222" s="154" t="s">
        <v>13</v>
      </c>
      <c r="E222" s="154" t="s">
        <v>520</v>
      </c>
      <c r="F222" s="154" t="s">
        <v>582</v>
      </c>
      <c r="G222" s="154" t="s">
        <v>522</v>
      </c>
      <c r="H222" s="146">
        <v>1377</v>
      </c>
      <c r="I222" s="147" t="s">
        <v>147</v>
      </c>
      <c r="J222" s="144">
        <v>1</v>
      </c>
      <c r="K222" s="145">
        <f t="shared" si="425"/>
        <v>1</v>
      </c>
      <c r="L222" s="144">
        <f t="shared" si="426"/>
        <v>1</v>
      </c>
      <c r="M222" s="146">
        <v>59.6</v>
      </c>
      <c r="N222" s="146">
        <f t="shared" si="427"/>
        <v>59.6</v>
      </c>
      <c r="O222" s="146" t="s">
        <v>137</v>
      </c>
      <c r="P222" s="146" t="s">
        <v>13</v>
      </c>
      <c r="Q222" s="146" t="s">
        <v>148</v>
      </c>
      <c r="R222" s="146"/>
      <c r="S222" s="146"/>
      <c r="T222" s="146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1</v>
      </c>
      <c r="U222" s="146">
        <f t="shared" ca="1" si="428"/>
        <v>0</v>
      </c>
      <c r="V222" s="146">
        <f t="shared" ca="1" si="429"/>
        <v>1</v>
      </c>
      <c r="W222" s="146"/>
      <c r="X222" s="146"/>
      <c r="Y222" s="146"/>
      <c r="Z222" s="146"/>
      <c r="AA222" s="146"/>
      <c r="AB222" s="146"/>
      <c r="AC222" s="146">
        <v>0.8</v>
      </c>
      <c r="AD222" s="117" t="s">
        <v>196</v>
      </c>
      <c r="AE222" s="148"/>
      <c r="AF222" s="146" t="str">
        <f t="shared" si="430"/>
        <v>AMC 2-S1</v>
      </c>
      <c r="AG222" s="146">
        <f t="shared" si="430"/>
        <v>1</v>
      </c>
      <c r="AH222" s="146">
        <f t="shared" si="431"/>
        <v>1</v>
      </c>
      <c r="AI222" s="146">
        <f t="shared" ca="1" si="432"/>
        <v>1</v>
      </c>
      <c r="AJ222" s="146">
        <f t="shared" ca="1" si="433"/>
        <v>0</v>
      </c>
      <c r="AK222" s="146" t="str">
        <f t="shared" si="430"/>
        <v>N/A</v>
      </c>
      <c r="AL222" s="146">
        <f t="shared" si="430"/>
        <v>0</v>
      </c>
      <c r="AM222" s="146">
        <f t="shared" si="434"/>
        <v>0</v>
      </c>
      <c r="AN222" s="146">
        <f t="shared" ca="1" si="435"/>
        <v>0</v>
      </c>
      <c r="AO222" s="146">
        <f t="shared" ca="1" si="436"/>
        <v>0</v>
      </c>
      <c r="AP222" s="146" t="str">
        <f t="shared" si="430"/>
        <v>N/A</v>
      </c>
      <c r="AQ222" s="146">
        <f t="shared" si="430"/>
        <v>0</v>
      </c>
      <c r="AR222" s="146">
        <f t="shared" si="437"/>
        <v>0</v>
      </c>
      <c r="AS222" s="146">
        <f t="shared" ca="1" si="438"/>
        <v>0</v>
      </c>
      <c r="AT222" s="146">
        <f t="shared" ca="1" si="439"/>
        <v>0</v>
      </c>
      <c r="AU222" s="146" t="str">
        <f t="shared" si="430"/>
        <v>N/A</v>
      </c>
      <c r="AV222" s="146">
        <f t="shared" si="430"/>
        <v>0</v>
      </c>
      <c r="AW222" s="146">
        <f t="shared" si="440"/>
        <v>0</v>
      </c>
      <c r="AX222" s="146">
        <f t="shared" ca="1" si="441"/>
        <v>0</v>
      </c>
      <c r="AY222" s="146">
        <f t="shared" ca="1" si="442"/>
        <v>0</v>
      </c>
      <c r="AZ222" s="147"/>
      <c r="BA222" s="144" t="s">
        <v>141</v>
      </c>
      <c r="BB222" s="144" t="s">
        <v>140</v>
      </c>
      <c r="BC222" s="144" t="s">
        <v>140</v>
      </c>
      <c r="BD222" s="144" t="s">
        <v>140</v>
      </c>
      <c r="BE222" s="146">
        <v>0.8</v>
      </c>
      <c r="BF222" s="148"/>
      <c r="BG222" s="146"/>
      <c r="BH222" s="117"/>
      <c r="BI222" s="117"/>
      <c r="BJ222" s="149"/>
      <c r="BK222" s="149"/>
      <c r="BL222" s="117">
        <v>0</v>
      </c>
      <c r="BM222" s="117">
        <v>0</v>
      </c>
      <c r="BN222" s="117">
        <v>0</v>
      </c>
      <c r="BO222" s="117">
        <v>1</v>
      </c>
      <c r="BP222" s="117">
        <v>0</v>
      </c>
      <c r="BQ222" s="117">
        <v>0</v>
      </c>
      <c r="BR222" s="117">
        <v>0</v>
      </c>
      <c r="BS222" s="117" t="s">
        <v>150</v>
      </c>
      <c r="BT222" s="167" t="s">
        <v>319</v>
      </c>
      <c r="BU222" s="141"/>
      <c r="BV222" s="141" t="s">
        <v>320</v>
      </c>
      <c r="BW222" s="141">
        <v>1</v>
      </c>
      <c r="BX222" s="153">
        <v>46202</v>
      </c>
      <c r="BY222" s="117"/>
      <c r="BZ222" s="117"/>
      <c r="CA222" s="117"/>
      <c r="CB222" s="117">
        <f>+L222-BW222</f>
        <v>0</v>
      </c>
    </row>
    <row r="223" spans="1:80" ht="16.5" customHeight="1">
      <c r="A223" s="117">
        <v>648</v>
      </c>
      <c r="B223" s="154" t="s">
        <v>580</v>
      </c>
      <c r="C223" s="154" t="s">
        <v>913</v>
      </c>
      <c r="D223" s="154" t="s">
        <v>13</v>
      </c>
      <c r="E223" s="154" t="s">
        <v>583</v>
      </c>
      <c r="F223" s="154" t="s">
        <v>584</v>
      </c>
      <c r="G223" s="154" t="s">
        <v>585</v>
      </c>
      <c r="H223" s="146">
        <v>6389</v>
      </c>
      <c r="I223" s="147" t="s">
        <v>147</v>
      </c>
      <c r="J223" s="144">
        <v>1</v>
      </c>
      <c r="K223" s="145">
        <f t="shared" si="425"/>
        <v>1</v>
      </c>
      <c r="L223" s="144">
        <f t="shared" si="426"/>
        <v>1</v>
      </c>
      <c r="M223" s="146">
        <v>24.5</v>
      </c>
      <c r="N223" s="146">
        <f t="shared" si="427"/>
        <v>24.5</v>
      </c>
      <c r="O223" s="146" t="s">
        <v>137</v>
      </c>
      <c r="P223" s="146" t="s">
        <v>13</v>
      </c>
      <c r="Q223" s="146" t="s">
        <v>148</v>
      </c>
      <c r="R223" s="146"/>
      <c r="S223" s="146"/>
      <c r="T223" s="146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1</v>
      </c>
      <c r="U223" s="146">
        <f t="shared" ca="1" si="428"/>
        <v>0</v>
      </c>
      <c r="V223" s="146">
        <f t="shared" ca="1" si="429"/>
        <v>1</v>
      </c>
      <c r="W223" s="146"/>
      <c r="X223" s="146"/>
      <c r="Y223" s="146"/>
      <c r="Z223" s="146"/>
      <c r="AA223" s="146"/>
      <c r="AB223" s="146"/>
      <c r="AC223" s="146">
        <v>0.8</v>
      </c>
      <c r="AD223" s="117" t="s">
        <v>196</v>
      </c>
      <c r="AE223" s="148"/>
      <c r="AF223" s="146" t="str">
        <f t="shared" si="430"/>
        <v>AMC 2-S1</v>
      </c>
      <c r="AG223" s="146">
        <f t="shared" si="430"/>
        <v>1</v>
      </c>
      <c r="AH223" s="146">
        <f t="shared" si="431"/>
        <v>1</v>
      </c>
      <c r="AI223" s="146">
        <f t="shared" ca="1" si="432"/>
        <v>1</v>
      </c>
      <c r="AJ223" s="146">
        <f t="shared" ca="1" si="433"/>
        <v>0</v>
      </c>
      <c r="AK223" s="146" t="str">
        <f t="shared" si="430"/>
        <v>N/A</v>
      </c>
      <c r="AL223" s="146">
        <f t="shared" si="430"/>
        <v>0</v>
      </c>
      <c r="AM223" s="146">
        <f t="shared" si="434"/>
        <v>0</v>
      </c>
      <c r="AN223" s="146">
        <f t="shared" ca="1" si="435"/>
        <v>0</v>
      </c>
      <c r="AO223" s="146">
        <f t="shared" ca="1" si="436"/>
        <v>0</v>
      </c>
      <c r="AP223" s="146" t="str">
        <f t="shared" si="430"/>
        <v>N/A</v>
      </c>
      <c r="AQ223" s="146">
        <f t="shared" si="430"/>
        <v>0</v>
      </c>
      <c r="AR223" s="146">
        <f t="shared" si="437"/>
        <v>0</v>
      </c>
      <c r="AS223" s="146">
        <f t="shared" ca="1" si="438"/>
        <v>0</v>
      </c>
      <c r="AT223" s="146">
        <f t="shared" ca="1" si="439"/>
        <v>0</v>
      </c>
      <c r="AU223" s="146" t="str">
        <f t="shared" si="430"/>
        <v>N/A</v>
      </c>
      <c r="AV223" s="146">
        <f t="shared" si="430"/>
        <v>0</v>
      </c>
      <c r="AW223" s="146">
        <f t="shared" si="440"/>
        <v>0</v>
      </c>
      <c r="AX223" s="146">
        <f t="shared" ca="1" si="441"/>
        <v>0</v>
      </c>
      <c r="AY223" s="146">
        <f t="shared" ca="1" si="442"/>
        <v>0</v>
      </c>
      <c r="AZ223" s="147"/>
      <c r="BA223" s="144" t="s">
        <v>141</v>
      </c>
      <c r="BB223" s="144" t="s">
        <v>140</v>
      </c>
      <c r="BC223" s="144" t="s">
        <v>140</v>
      </c>
      <c r="BD223" s="144" t="s">
        <v>140</v>
      </c>
      <c r="BE223" s="146">
        <v>0.8</v>
      </c>
      <c r="BF223" s="148"/>
      <c r="BG223" s="146"/>
      <c r="BH223" s="117"/>
      <c r="BI223" s="117"/>
      <c r="BJ223" s="149"/>
      <c r="BK223" s="149"/>
      <c r="BL223" s="117">
        <v>0</v>
      </c>
      <c r="BM223" s="117">
        <v>0</v>
      </c>
      <c r="BN223" s="117">
        <v>0</v>
      </c>
      <c r="BO223" s="117">
        <v>0</v>
      </c>
      <c r="BP223" s="117">
        <v>0</v>
      </c>
      <c r="BQ223" s="117">
        <v>0</v>
      </c>
      <c r="BR223" s="117">
        <v>0</v>
      </c>
      <c r="BS223" s="117" t="s">
        <v>150</v>
      </c>
      <c r="BT223" s="117"/>
      <c r="BU223" s="117"/>
      <c r="BV223" s="117"/>
      <c r="BW223" s="117"/>
      <c r="BX223" s="149"/>
      <c r="BY223" s="117"/>
      <c r="BZ223" s="117"/>
      <c r="CA223" s="117"/>
      <c r="CB223" s="117">
        <f>+L223-BW223</f>
        <v>1</v>
      </c>
    </row>
    <row r="224" spans="1:80" ht="16.5" hidden="1" customHeight="1">
      <c r="A224" s="117">
        <v>649</v>
      </c>
      <c r="B224" s="154" t="s">
        <v>580</v>
      </c>
      <c r="C224" s="154" t="s">
        <v>913</v>
      </c>
      <c r="D224" s="154" t="s">
        <v>13</v>
      </c>
      <c r="E224" s="154" t="s">
        <v>586</v>
      </c>
      <c r="F224" s="154" t="s">
        <v>587</v>
      </c>
      <c r="G224" s="154" t="s">
        <v>525</v>
      </c>
      <c r="H224" s="146">
        <v>1849</v>
      </c>
      <c r="I224" s="147" t="s">
        <v>147</v>
      </c>
      <c r="J224" s="144">
        <v>1</v>
      </c>
      <c r="K224" s="145">
        <f t="shared" si="425"/>
        <v>1</v>
      </c>
      <c r="L224" s="144">
        <f t="shared" si="426"/>
        <v>1</v>
      </c>
      <c r="M224" s="146">
        <v>54.4</v>
      </c>
      <c r="N224" s="146">
        <f t="shared" si="427"/>
        <v>54.4</v>
      </c>
      <c r="O224" s="146" t="s">
        <v>137</v>
      </c>
      <c r="P224" s="146" t="s">
        <v>13</v>
      </c>
      <c r="Q224" s="146" t="s">
        <v>148</v>
      </c>
      <c r="R224" s="146"/>
      <c r="S224" s="146"/>
      <c r="T224" s="146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1</v>
      </c>
      <c r="U224" s="146">
        <f t="shared" ca="1" si="428"/>
        <v>0</v>
      </c>
      <c r="V224" s="146">
        <f t="shared" ca="1" si="429"/>
        <v>1</v>
      </c>
      <c r="W224" s="146"/>
      <c r="X224" s="146"/>
      <c r="Y224" s="146"/>
      <c r="Z224" s="146"/>
      <c r="AA224" s="146"/>
      <c r="AB224" s="146"/>
      <c r="AC224" s="146">
        <v>1</v>
      </c>
      <c r="AD224" s="117" t="s">
        <v>196</v>
      </c>
      <c r="AE224" s="148"/>
      <c r="AF224" s="146" t="str">
        <f t="shared" si="430"/>
        <v>AMC 2-S1</v>
      </c>
      <c r="AG224" s="146">
        <f t="shared" si="430"/>
        <v>1</v>
      </c>
      <c r="AH224" s="146">
        <f t="shared" si="431"/>
        <v>1</v>
      </c>
      <c r="AI224" s="146">
        <f t="shared" ca="1" si="432"/>
        <v>1</v>
      </c>
      <c r="AJ224" s="146">
        <f t="shared" ca="1" si="433"/>
        <v>0</v>
      </c>
      <c r="AK224" s="146" t="str">
        <f t="shared" si="430"/>
        <v>N/A</v>
      </c>
      <c r="AL224" s="146">
        <f t="shared" si="430"/>
        <v>0</v>
      </c>
      <c r="AM224" s="146">
        <f t="shared" si="434"/>
        <v>0</v>
      </c>
      <c r="AN224" s="146">
        <f t="shared" ca="1" si="435"/>
        <v>0</v>
      </c>
      <c r="AO224" s="146">
        <f t="shared" ca="1" si="436"/>
        <v>0</v>
      </c>
      <c r="AP224" s="146" t="str">
        <f t="shared" si="430"/>
        <v>N/A</v>
      </c>
      <c r="AQ224" s="146">
        <f t="shared" si="430"/>
        <v>0</v>
      </c>
      <c r="AR224" s="146">
        <f t="shared" si="437"/>
        <v>0</v>
      </c>
      <c r="AS224" s="146">
        <f t="shared" ca="1" si="438"/>
        <v>0</v>
      </c>
      <c r="AT224" s="146">
        <f t="shared" ca="1" si="439"/>
        <v>0</v>
      </c>
      <c r="AU224" s="146" t="str">
        <f t="shared" si="430"/>
        <v>N/A</v>
      </c>
      <c r="AV224" s="146">
        <f t="shared" si="430"/>
        <v>0</v>
      </c>
      <c r="AW224" s="146">
        <f t="shared" si="440"/>
        <v>0</v>
      </c>
      <c r="AX224" s="146">
        <f t="shared" ca="1" si="441"/>
        <v>0</v>
      </c>
      <c r="AY224" s="146">
        <f t="shared" ca="1" si="442"/>
        <v>0</v>
      </c>
      <c r="AZ224" s="147"/>
      <c r="BA224" s="144" t="s">
        <v>141</v>
      </c>
      <c r="BB224" s="144" t="s">
        <v>140</v>
      </c>
      <c r="BC224" s="144" t="s">
        <v>140</v>
      </c>
      <c r="BD224" s="144" t="s">
        <v>140</v>
      </c>
      <c r="BE224" s="146">
        <v>1</v>
      </c>
      <c r="BF224" s="148"/>
      <c r="BG224" s="146"/>
      <c r="BH224" s="117"/>
      <c r="BI224" s="117"/>
      <c r="BJ224" s="149"/>
      <c r="BK224" s="149"/>
      <c r="BL224" s="117">
        <v>0</v>
      </c>
      <c r="BM224" s="117">
        <v>0</v>
      </c>
      <c r="BN224" s="117">
        <v>0</v>
      </c>
      <c r="BO224" s="117">
        <v>1</v>
      </c>
      <c r="BP224" s="117">
        <v>0</v>
      </c>
      <c r="BQ224" s="117">
        <v>0</v>
      </c>
      <c r="BR224" s="117">
        <v>0</v>
      </c>
      <c r="BS224" s="117" t="s">
        <v>150</v>
      </c>
      <c r="BT224" s="158" t="s">
        <v>200</v>
      </c>
      <c r="BU224" s="117"/>
      <c r="BV224" s="117" t="s">
        <v>201</v>
      </c>
      <c r="BW224" s="117">
        <v>1</v>
      </c>
      <c r="BX224" s="149">
        <v>46201</v>
      </c>
      <c r="BY224" s="117"/>
      <c r="BZ224" s="117"/>
      <c r="CA224" s="117"/>
      <c r="CB224" s="117">
        <f>+L224-BW224</f>
        <v>0</v>
      </c>
    </row>
    <row r="225" spans="1:80" ht="16.5" customHeight="1">
      <c r="A225" s="117">
        <v>650</v>
      </c>
      <c r="B225" s="154" t="s">
        <v>580</v>
      </c>
      <c r="C225" s="154" t="s">
        <v>913</v>
      </c>
      <c r="D225" s="154" t="s">
        <v>13</v>
      </c>
      <c r="E225" s="154" t="s">
        <v>588</v>
      </c>
      <c r="F225" s="154" t="s">
        <v>589</v>
      </c>
      <c r="G225" s="154" t="s">
        <v>590</v>
      </c>
      <c r="H225" s="146">
        <v>7009</v>
      </c>
      <c r="I225" s="147" t="s">
        <v>147</v>
      </c>
      <c r="J225" s="144">
        <v>1</v>
      </c>
      <c r="K225" s="145">
        <f t="shared" si="425"/>
        <v>1</v>
      </c>
      <c r="L225" s="144">
        <f t="shared" si="426"/>
        <v>1</v>
      </c>
      <c r="M225" s="146">
        <v>1492.4</v>
      </c>
      <c r="N225" s="146">
        <f t="shared" si="427"/>
        <v>1492.4</v>
      </c>
      <c r="O225" s="146" t="s">
        <v>137</v>
      </c>
      <c r="P225" s="146" t="s">
        <v>13</v>
      </c>
      <c r="Q225" s="146" t="s">
        <v>154</v>
      </c>
      <c r="R225" s="146"/>
      <c r="S225" s="146"/>
      <c r="T225" s="146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1</v>
      </c>
      <c r="U225" s="146">
        <f t="shared" ca="1" si="428"/>
        <v>0</v>
      </c>
      <c r="V225" s="146">
        <f t="shared" ca="1" si="429"/>
        <v>1</v>
      </c>
      <c r="W225" s="146"/>
      <c r="X225" s="146"/>
      <c r="Y225" s="146"/>
      <c r="Z225" s="146"/>
      <c r="AA225" s="146"/>
      <c r="AB225" s="146"/>
      <c r="AC225" s="142">
        <v>21.4</v>
      </c>
      <c r="AD225" s="141" t="s">
        <v>196</v>
      </c>
      <c r="AE225" s="166"/>
      <c r="AF225" s="146" t="str">
        <f t="shared" si="430"/>
        <v>AMC 2-S1</v>
      </c>
      <c r="AG225" s="146">
        <f t="shared" si="430"/>
        <v>1</v>
      </c>
      <c r="AH225" s="146">
        <f t="shared" si="431"/>
        <v>1</v>
      </c>
      <c r="AI225" s="146">
        <f t="shared" ca="1" si="432"/>
        <v>1</v>
      </c>
      <c r="AJ225" s="146">
        <f t="shared" ca="1" si="433"/>
        <v>0</v>
      </c>
      <c r="AK225" s="146" t="str">
        <f t="shared" si="430"/>
        <v>N/A</v>
      </c>
      <c r="AL225" s="146">
        <f t="shared" si="430"/>
        <v>0</v>
      </c>
      <c r="AM225" s="146">
        <f t="shared" si="434"/>
        <v>0</v>
      </c>
      <c r="AN225" s="146">
        <f t="shared" ca="1" si="435"/>
        <v>0</v>
      </c>
      <c r="AO225" s="146">
        <f t="shared" ca="1" si="436"/>
        <v>0</v>
      </c>
      <c r="AP225" s="146" t="str">
        <f t="shared" si="430"/>
        <v>N/A</v>
      </c>
      <c r="AQ225" s="146">
        <f t="shared" si="430"/>
        <v>0</v>
      </c>
      <c r="AR225" s="146">
        <f t="shared" si="437"/>
        <v>0</v>
      </c>
      <c r="AS225" s="146">
        <f t="shared" ca="1" si="438"/>
        <v>0</v>
      </c>
      <c r="AT225" s="146">
        <f t="shared" ca="1" si="439"/>
        <v>0</v>
      </c>
      <c r="AU225" s="146" t="str">
        <f t="shared" si="430"/>
        <v>N/A</v>
      </c>
      <c r="AV225" s="146">
        <f t="shared" si="430"/>
        <v>0</v>
      </c>
      <c r="AW225" s="146">
        <f t="shared" si="440"/>
        <v>0</v>
      </c>
      <c r="AX225" s="146">
        <f t="shared" ca="1" si="441"/>
        <v>0</v>
      </c>
      <c r="AY225" s="146">
        <f t="shared" ca="1" si="442"/>
        <v>0</v>
      </c>
      <c r="AZ225" s="143"/>
      <c r="BA225" s="165" t="s">
        <v>141</v>
      </c>
      <c r="BB225" s="165" t="s">
        <v>140</v>
      </c>
      <c r="BC225" s="165" t="s">
        <v>140</v>
      </c>
      <c r="BD225" s="165" t="s">
        <v>140</v>
      </c>
      <c r="BE225" s="142">
        <v>21.4</v>
      </c>
      <c r="BF225" s="166"/>
      <c r="BG225" s="142"/>
      <c r="BH225" s="117"/>
      <c r="BI225" s="117"/>
      <c r="BJ225" s="149" t="s">
        <v>294</v>
      </c>
      <c r="BK225" s="149"/>
      <c r="BL225" s="117">
        <v>0</v>
      </c>
      <c r="BM225" s="117">
        <v>1</v>
      </c>
      <c r="BN225" s="117">
        <v>0</v>
      </c>
      <c r="BO225" s="117">
        <v>1</v>
      </c>
      <c r="BP225" s="117">
        <v>0</v>
      </c>
      <c r="BQ225" s="117">
        <v>0</v>
      </c>
      <c r="BR225" s="117">
        <v>0</v>
      </c>
      <c r="BS225" s="117" t="s">
        <v>150</v>
      </c>
      <c r="BT225" s="117"/>
      <c r="BU225" s="155"/>
      <c r="BV225" s="117" t="s">
        <v>57</v>
      </c>
      <c r="BW225" s="144">
        <v>1</v>
      </c>
      <c r="BX225" s="149"/>
      <c r="BY225" s="117"/>
      <c r="BZ225" s="117"/>
      <c r="CA225" s="117"/>
      <c r="CB225" s="117">
        <f>+L225-BW225</f>
        <v>0</v>
      </c>
    </row>
    <row r="226" spans="1:80" ht="16.5" hidden="1" customHeight="1">
      <c r="A226" s="133">
        <v>657</v>
      </c>
      <c r="B226" s="156" t="s">
        <v>591</v>
      </c>
      <c r="C226" s="156" t="s">
        <v>914</v>
      </c>
      <c r="D226" s="156"/>
      <c r="E226" s="156" t="s">
        <v>136</v>
      </c>
      <c r="F226" s="156"/>
      <c r="G226" s="156"/>
      <c r="H226" s="157"/>
      <c r="I226" s="159"/>
      <c r="J226" s="160" t="s">
        <v>136</v>
      </c>
      <c r="K226" s="138">
        <f>+AG226+AL226+AQ226+AV226</f>
        <v>1</v>
      </c>
      <c r="L226" s="160" t="s">
        <v>136</v>
      </c>
      <c r="M226" s="157"/>
      <c r="N226" s="157">
        <v>1769.6</v>
      </c>
      <c r="O226" s="157" t="s">
        <v>137</v>
      </c>
      <c r="P226" s="157"/>
      <c r="Q226" s="157"/>
      <c r="R226" s="157"/>
      <c r="S226" s="157"/>
      <c r="T226" s="157"/>
      <c r="U226" s="157"/>
      <c r="V226" s="157"/>
      <c r="W226" s="135">
        <f ca="1">_xlfn.MINIFS(V:V,C:C,C226,AE:AE,"",AB:AB,"")</f>
        <v>0</v>
      </c>
      <c r="X226" s="135">
        <f ca="1">SUMIFS(T:T,C:C,C226,AE:AE,"")/SUMIFS(L:L,C:C,C226,AE:AE,"",AB:AB,"")</f>
        <v>0.8</v>
      </c>
      <c r="Y226" s="157"/>
      <c r="Z226" s="157"/>
      <c r="AA226" s="157"/>
      <c r="AB226" s="157"/>
      <c r="AC226" s="157">
        <v>26.2</v>
      </c>
      <c r="AD226" s="161" t="s">
        <v>196</v>
      </c>
      <c r="AE226" s="162" t="s">
        <v>143</v>
      </c>
      <c r="AF226" s="157" t="s">
        <v>281</v>
      </c>
      <c r="AG226" s="157">
        <v>1</v>
      </c>
      <c r="AH226" s="157"/>
      <c r="AI226" s="157"/>
      <c r="AJ226" s="157"/>
      <c r="AK226" s="157" t="s">
        <v>138</v>
      </c>
      <c r="AL226" s="157">
        <v>0</v>
      </c>
      <c r="AM226" s="157"/>
      <c r="AN226" s="157"/>
      <c r="AO226" s="157"/>
      <c r="AP226" s="157" t="s">
        <v>138</v>
      </c>
      <c r="AQ226" s="157">
        <v>0</v>
      </c>
      <c r="AR226" s="157"/>
      <c r="AS226" s="157"/>
      <c r="AT226" s="157"/>
      <c r="AU226" s="157" t="s">
        <v>138</v>
      </c>
      <c r="AV226" s="157">
        <v>0</v>
      </c>
      <c r="AW226" s="157"/>
      <c r="AX226" s="157"/>
      <c r="AY226" s="157"/>
      <c r="AZ226" s="136"/>
      <c r="BA226" s="137" t="s">
        <v>141</v>
      </c>
      <c r="BB226" s="137" t="s">
        <v>140</v>
      </c>
      <c r="BC226" s="137" t="s">
        <v>140</v>
      </c>
      <c r="BD226" s="137" t="s">
        <v>140</v>
      </c>
      <c r="BE226" s="157">
        <v>26.2</v>
      </c>
      <c r="BF226" s="162"/>
      <c r="BG226" s="157"/>
      <c r="BH226" s="161"/>
      <c r="BI226" s="161"/>
      <c r="BJ226" s="163"/>
      <c r="BK226" s="163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4"/>
      <c r="BV226" s="161"/>
      <c r="BW226" s="161"/>
      <c r="BX226" s="163"/>
      <c r="BY226" s="161"/>
      <c r="BZ226" s="161"/>
      <c r="CA226" s="161"/>
      <c r="CB226" s="161"/>
    </row>
    <row r="227" spans="1:80" ht="16.5" hidden="1" customHeight="1">
      <c r="A227" s="117">
        <v>658</v>
      </c>
      <c r="B227" s="154" t="s">
        <v>591</v>
      </c>
      <c r="C227" s="154" t="s">
        <v>914</v>
      </c>
      <c r="D227" s="154" t="s">
        <v>13</v>
      </c>
      <c r="E227" s="154" t="s">
        <v>517</v>
      </c>
      <c r="F227" s="154" t="s">
        <v>592</v>
      </c>
      <c r="G227" s="154" t="s">
        <v>519</v>
      </c>
      <c r="H227" s="146">
        <v>2153</v>
      </c>
      <c r="I227" s="147" t="s">
        <v>147</v>
      </c>
      <c r="J227" s="144">
        <v>1</v>
      </c>
      <c r="K227" s="145">
        <f t="shared" ref="K227:K231" si="443">K226</f>
        <v>1</v>
      </c>
      <c r="L227" s="144">
        <f t="shared" ref="L227:L231" si="444">+K227*J227</f>
        <v>1</v>
      </c>
      <c r="M227" s="146">
        <v>70</v>
      </c>
      <c r="N227" s="146">
        <f t="shared" ref="N227:N231" si="445">+M227*L227</f>
        <v>70</v>
      </c>
      <c r="O227" s="146" t="s">
        <v>137</v>
      </c>
      <c r="P227" s="146" t="s">
        <v>13</v>
      </c>
      <c r="Q227" s="146" t="s">
        <v>148</v>
      </c>
      <c r="R227" s="146"/>
      <c r="S227" s="146"/>
      <c r="T227" s="146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1</v>
      </c>
      <c r="U227" s="146">
        <f t="shared" ref="U227:U231" ca="1" si="446">+L227-T227</f>
        <v>0</v>
      </c>
      <c r="V227" s="146">
        <f t="shared" ref="V227:V231" ca="1" si="447">ROUNDDOWN(T227/J227,0)</f>
        <v>1</v>
      </c>
      <c r="W227" s="146"/>
      <c r="X227" s="146"/>
      <c r="Y227" s="146"/>
      <c r="Z227" s="146"/>
      <c r="AA227" s="146"/>
      <c r="AB227" s="146"/>
      <c r="AC227" s="146">
        <v>1.3</v>
      </c>
      <c r="AD227" s="117" t="s">
        <v>196</v>
      </c>
      <c r="AE227" s="148"/>
      <c r="AF227" s="146" t="str">
        <f t="shared" ref="AF227:AV231" si="448">AF226</f>
        <v>AMC 2-S1</v>
      </c>
      <c r="AG227" s="146">
        <f t="shared" si="448"/>
        <v>1</v>
      </c>
      <c r="AH227" s="146">
        <f t="shared" ref="AH227:AH231" si="449">+AG227*J227</f>
        <v>1</v>
      </c>
      <c r="AI227" s="146">
        <f t="shared" ref="AI227:AI231" ca="1" si="450">MIN(T227,AH227)</f>
        <v>1</v>
      </c>
      <c r="AJ227" s="146">
        <f t="shared" ref="AJ227:AJ231" ca="1" si="451">+AH227-AI227</f>
        <v>0</v>
      </c>
      <c r="AK227" s="146" t="str">
        <f t="shared" si="448"/>
        <v>N/A</v>
      </c>
      <c r="AL227" s="146">
        <f t="shared" si="448"/>
        <v>0</v>
      </c>
      <c r="AM227" s="146">
        <f t="shared" ref="AM227:AM231" si="452">+AL227*J227</f>
        <v>0</v>
      </c>
      <c r="AN227" s="146">
        <f t="shared" ref="AN227:AN231" ca="1" si="453">MIN(T227-AI227,AL227)</f>
        <v>0</v>
      </c>
      <c r="AO227" s="146">
        <f t="shared" ref="AO227:AO231" ca="1" si="454">+AM227-AN227</f>
        <v>0</v>
      </c>
      <c r="AP227" s="146" t="str">
        <f t="shared" si="448"/>
        <v>N/A</v>
      </c>
      <c r="AQ227" s="146">
        <f t="shared" si="448"/>
        <v>0</v>
      </c>
      <c r="AR227" s="146">
        <f t="shared" ref="AR227:AR231" si="455">+AQ227*J227</f>
        <v>0</v>
      </c>
      <c r="AS227" s="146">
        <f t="shared" ref="AS227:AS231" ca="1" si="456">MIN(T227-AI227-AN227,AR227)</f>
        <v>0</v>
      </c>
      <c r="AT227" s="146">
        <f t="shared" ref="AT227:AT231" ca="1" si="457">+AR227-AS227</f>
        <v>0</v>
      </c>
      <c r="AU227" s="146" t="str">
        <f t="shared" si="448"/>
        <v>N/A</v>
      </c>
      <c r="AV227" s="146">
        <f t="shared" si="448"/>
        <v>0</v>
      </c>
      <c r="AW227" s="146">
        <f t="shared" ref="AW227:AW231" si="458">+AV227*J227</f>
        <v>0</v>
      </c>
      <c r="AX227" s="146">
        <f t="shared" ref="AX227:AX231" ca="1" si="459">MIN(T227-AI227-AN227-AS227,AW227)</f>
        <v>0</v>
      </c>
      <c r="AY227" s="146">
        <f t="shared" ref="AY227:AY231" ca="1" si="460">+AW227-AX227</f>
        <v>0</v>
      </c>
      <c r="AZ227" s="147"/>
      <c r="BA227" s="144" t="s">
        <v>141</v>
      </c>
      <c r="BB227" s="144" t="s">
        <v>140</v>
      </c>
      <c r="BC227" s="144" t="s">
        <v>140</v>
      </c>
      <c r="BD227" s="144" t="s">
        <v>140</v>
      </c>
      <c r="BE227" s="146">
        <v>1.3</v>
      </c>
      <c r="BF227" s="148"/>
      <c r="BG227" s="146"/>
      <c r="BH227" s="117"/>
      <c r="BI227" s="117"/>
      <c r="BJ227" s="149"/>
      <c r="BK227" s="149"/>
      <c r="BL227" s="117">
        <v>0</v>
      </c>
      <c r="BM227" s="117">
        <v>0</v>
      </c>
      <c r="BN227" s="117">
        <v>0</v>
      </c>
      <c r="BO227" s="117">
        <v>1</v>
      </c>
      <c r="BP227" s="117">
        <v>0</v>
      </c>
      <c r="BQ227" s="117">
        <v>0</v>
      </c>
      <c r="BR227" s="117">
        <v>0</v>
      </c>
      <c r="BS227" s="117" t="s">
        <v>150</v>
      </c>
      <c r="BT227" s="158" t="s">
        <v>200</v>
      </c>
      <c r="BU227" s="117"/>
      <c r="BV227" s="117" t="s">
        <v>201</v>
      </c>
      <c r="BW227" s="117">
        <v>1</v>
      </c>
      <c r="BX227" s="149">
        <v>46201</v>
      </c>
      <c r="BY227" s="117"/>
      <c r="BZ227" s="117"/>
      <c r="CA227" s="117"/>
      <c r="CB227" s="117">
        <f>+L227-BW227</f>
        <v>0</v>
      </c>
    </row>
    <row r="228" spans="1:80" ht="16.5" hidden="1" customHeight="1">
      <c r="A228" s="117">
        <v>659</v>
      </c>
      <c r="B228" s="154" t="s">
        <v>591</v>
      </c>
      <c r="C228" s="154" t="s">
        <v>914</v>
      </c>
      <c r="D228" s="154" t="s">
        <v>13</v>
      </c>
      <c r="E228" s="154" t="s">
        <v>520</v>
      </c>
      <c r="F228" s="154" t="s">
        <v>593</v>
      </c>
      <c r="G228" s="154" t="s">
        <v>522</v>
      </c>
      <c r="H228" s="146">
        <v>1377</v>
      </c>
      <c r="I228" s="147" t="s">
        <v>147</v>
      </c>
      <c r="J228" s="144">
        <v>1</v>
      </c>
      <c r="K228" s="145">
        <f t="shared" si="443"/>
        <v>1</v>
      </c>
      <c r="L228" s="144">
        <f t="shared" si="444"/>
        <v>1</v>
      </c>
      <c r="M228" s="146">
        <v>59.6</v>
      </c>
      <c r="N228" s="146">
        <f t="shared" si="445"/>
        <v>59.6</v>
      </c>
      <c r="O228" s="146" t="s">
        <v>137</v>
      </c>
      <c r="P228" s="146" t="s">
        <v>13</v>
      </c>
      <c r="Q228" s="146" t="s">
        <v>148</v>
      </c>
      <c r="R228" s="146"/>
      <c r="S228" s="146"/>
      <c r="T228" s="146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1</v>
      </c>
      <c r="U228" s="146">
        <f t="shared" ca="1" si="446"/>
        <v>0</v>
      </c>
      <c r="V228" s="146">
        <f t="shared" ca="1" si="447"/>
        <v>1</v>
      </c>
      <c r="W228" s="146"/>
      <c r="X228" s="146"/>
      <c r="Y228" s="146"/>
      <c r="Z228" s="146"/>
      <c r="AA228" s="146"/>
      <c r="AB228" s="146"/>
      <c r="AC228" s="146">
        <v>0.8</v>
      </c>
      <c r="AD228" s="117" t="s">
        <v>196</v>
      </c>
      <c r="AE228" s="148"/>
      <c r="AF228" s="146" t="str">
        <f t="shared" si="448"/>
        <v>AMC 2-S1</v>
      </c>
      <c r="AG228" s="146">
        <f t="shared" si="448"/>
        <v>1</v>
      </c>
      <c r="AH228" s="146">
        <f t="shared" si="449"/>
        <v>1</v>
      </c>
      <c r="AI228" s="146">
        <f t="shared" ca="1" si="450"/>
        <v>1</v>
      </c>
      <c r="AJ228" s="146">
        <f t="shared" ca="1" si="451"/>
        <v>0</v>
      </c>
      <c r="AK228" s="146" t="str">
        <f t="shared" si="448"/>
        <v>N/A</v>
      </c>
      <c r="AL228" s="146">
        <f t="shared" si="448"/>
        <v>0</v>
      </c>
      <c r="AM228" s="146">
        <f t="shared" si="452"/>
        <v>0</v>
      </c>
      <c r="AN228" s="146">
        <f t="shared" ca="1" si="453"/>
        <v>0</v>
      </c>
      <c r="AO228" s="146">
        <f t="shared" ca="1" si="454"/>
        <v>0</v>
      </c>
      <c r="AP228" s="146" t="str">
        <f t="shared" si="448"/>
        <v>N/A</v>
      </c>
      <c r="AQ228" s="146">
        <f t="shared" si="448"/>
        <v>0</v>
      </c>
      <c r="AR228" s="146">
        <f t="shared" si="455"/>
        <v>0</v>
      </c>
      <c r="AS228" s="146">
        <f t="shared" ca="1" si="456"/>
        <v>0</v>
      </c>
      <c r="AT228" s="146">
        <f t="shared" ca="1" si="457"/>
        <v>0</v>
      </c>
      <c r="AU228" s="146" t="str">
        <f t="shared" si="448"/>
        <v>N/A</v>
      </c>
      <c r="AV228" s="146">
        <f t="shared" si="448"/>
        <v>0</v>
      </c>
      <c r="AW228" s="146">
        <f t="shared" si="458"/>
        <v>0</v>
      </c>
      <c r="AX228" s="146">
        <f t="shared" ca="1" si="459"/>
        <v>0</v>
      </c>
      <c r="AY228" s="146">
        <f t="shared" ca="1" si="460"/>
        <v>0</v>
      </c>
      <c r="AZ228" s="147"/>
      <c r="BA228" s="144" t="s">
        <v>141</v>
      </c>
      <c r="BB228" s="144" t="s">
        <v>140</v>
      </c>
      <c r="BC228" s="144" t="s">
        <v>140</v>
      </c>
      <c r="BD228" s="144" t="s">
        <v>140</v>
      </c>
      <c r="BE228" s="146">
        <v>0.8</v>
      </c>
      <c r="BF228" s="148"/>
      <c r="BG228" s="146"/>
      <c r="BH228" s="117"/>
      <c r="BI228" s="117"/>
      <c r="BJ228" s="149"/>
      <c r="BK228" s="149"/>
      <c r="BL228" s="117">
        <v>0</v>
      </c>
      <c r="BM228" s="117">
        <v>0</v>
      </c>
      <c r="BN228" s="117">
        <v>0</v>
      </c>
      <c r="BO228" s="117">
        <v>1</v>
      </c>
      <c r="BP228" s="117">
        <v>0</v>
      </c>
      <c r="BQ228" s="117">
        <v>0</v>
      </c>
      <c r="BR228" s="117">
        <v>0</v>
      </c>
      <c r="BS228" s="117" t="s">
        <v>150</v>
      </c>
      <c r="BT228" s="167" t="s">
        <v>319</v>
      </c>
      <c r="BU228" s="141"/>
      <c r="BV228" s="141" t="s">
        <v>320</v>
      </c>
      <c r="BW228" s="141">
        <v>1</v>
      </c>
      <c r="BX228" s="153">
        <v>46202</v>
      </c>
      <c r="BY228" s="117"/>
      <c r="BZ228" s="117"/>
      <c r="CA228" s="117"/>
      <c r="CB228" s="117">
        <f>+L228-BW228</f>
        <v>0</v>
      </c>
    </row>
    <row r="229" spans="1:80" ht="16.5" customHeight="1">
      <c r="A229" s="117">
        <v>660</v>
      </c>
      <c r="B229" s="154" t="s">
        <v>591</v>
      </c>
      <c r="C229" s="154" t="s">
        <v>914</v>
      </c>
      <c r="D229" s="154" t="s">
        <v>13</v>
      </c>
      <c r="E229" s="154" t="s">
        <v>594</v>
      </c>
      <c r="F229" s="154" t="s">
        <v>595</v>
      </c>
      <c r="G229" s="154" t="s">
        <v>596</v>
      </c>
      <c r="H229" s="146">
        <v>6605</v>
      </c>
      <c r="I229" s="147" t="s">
        <v>147</v>
      </c>
      <c r="J229" s="144">
        <v>1</v>
      </c>
      <c r="K229" s="145">
        <f t="shared" si="443"/>
        <v>1</v>
      </c>
      <c r="L229" s="144">
        <f t="shared" si="444"/>
        <v>1</v>
      </c>
      <c r="M229" s="146">
        <v>24.3</v>
      </c>
      <c r="N229" s="146">
        <f t="shared" si="445"/>
        <v>24.3</v>
      </c>
      <c r="O229" s="146" t="s">
        <v>137</v>
      </c>
      <c r="P229" s="146" t="s">
        <v>13</v>
      </c>
      <c r="Q229" s="146" t="s">
        <v>148</v>
      </c>
      <c r="R229" s="146"/>
      <c r="S229" s="146"/>
      <c r="T229" s="146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146">
        <f t="shared" ca="1" si="446"/>
        <v>1</v>
      </c>
      <c r="V229" s="146">
        <f t="shared" ca="1" si="447"/>
        <v>0</v>
      </c>
      <c r="W229" s="146"/>
      <c r="X229" s="146"/>
      <c r="Y229" s="146"/>
      <c r="Z229" s="146"/>
      <c r="AA229" s="146"/>
      <c r="AB229" s="146"/>
      <c r="AC229" s="146">
        <v>0.8</v>
      </c>
      <c r="AD229" s="117" t="s">
        <v>196</v>
      </c>
      <c r="AE229" s="148"/>
      <c r="AF229" s="146" t="str">
        <f t="shared" si="448"/>
        <v>AMC 2-S1</v>
      </c>
      <c r="AG229" s="146">
        <f t="shared" si="448"/>
        <v>1</v>
      </c>
      <c r="AH229" s="146">
        <f t="shared" si="449"/>
        <v>1</v>
      </c>
      <c r="AI229" s="146">
        <f t="shared" ca="1" si="450"/>
        <v>0</v>
      </c>
      <c r="AJ229" s="146">
        <f t="shared" ca="1" si="451"/>
        <v>1</v>
      </c>
      <c r="AK229" s="146" t="str">
        <f t="shared" si="448"/>
        <v>N/A</v>
      </c>
      <c r="AL229" s="146">
        <f t="shared" si="448"/>
        <v>0</v>
      </c>
      <c r="AM229" s="146">
        <f t="shared" si="452"/>
        <v>0</v>
      </c>
      <c r="AN229" s="146">
        <f t="shared" ca="1" si="453"/>
        <v>0</v>
      </c>
      <c r="AO229" s="146">
        <f t="shared" ca="1" si="454"/>
        <v>0</v>
      </c>
      <c r="AP229" s="146" t="str">
        <f t="shared" si="448"/>
        <v>N/A</v>
      </c>
      <c r="AQ229" s="146">
        <f t="shared" si="448"/>
        <v>0</v>
      </c>
      <c r="AR229" s="146">
        <f t="shared" si="455"/>
        <v>0</v>
      </c>
      <c r="AS229" s="146">
        <f t="shared" ca="1" si="456"/>
        <v>0</v>
      </c>
      <c r="AT229" s="146">
        <f t="shared" ca="1" si="457"/>
        <v>0</v>
      </c>
      <c r="AU229" s="146" t="str">
        <f t="shared" si="448"/>
        <v>N/A</v>
      </c>
      <c r="AV229" s="146">
        <f t="shared" si="448"/>
        <v>0</v>
      </c>
      <c r="AW229" s="146">
        <f t="shared" si="458"/>
        <v>0</v>
      </c>
      <c r="AX229" s="146">
        <f t="shared" ca="1" si="459"/>
        <v>0</v>
      </c>
      <c r="AY229" s="146">
        <f t="shared" ca="1" si="460"/>
        <v>0</v>
      </c>
      <c r="AZ229" s="147"/>
      <c r="BA229" s="144" t="s">
        <v>141</v>
      </c>
      <c r="BB229" s="144" t="s">
        <v>140</v>
      </c>
      <c r="BC229" s="144" t="s">
        <v>140</v>
      </c>
      <c r="BD229" s="144" t="s">
        <v>140</v>
      </c>
      <c r="BE229" s="146">
        <v>0.8</v>
      </c>
      <c r="BF229" s="148"/>
      <c r="BG229" s="146"/>
      <c r="BH229" s="117"/>
      <c r="BI229" s="117"/>
      <c r="BJ229" s="149"/>
      <c r="BK229" s="149"/>
      <c r="BL229" s="117">
        <v>0</v>
      </c>
      <c r="BM229" s="117">
        <v>0</v>
      </c>
      <c r="BN229" s="117">
        <v>0</v>
      </c>
      <c r="BO229" s="117">
        <v>0</v>
      </c>
      <c r="BP229" s="117">
        <v>0</v>
      </c>
      <c r="BQ229" s="117">
        <v>0</v>
      </c>
      <c r="BR229" s="117">
        <v>0</v>
      </c>
      <c r="BS229" s="117" t="s">
        <v>150</v>
      </c>
      <c r="BT229" s="158" t="s">
        <v>210</v>
      </c>
      <c r="BU229" s="117"/>
      <c r="BV229" s="117" t="s">
        <v>211</v>
      </c>
      <c r="BW229" s="117">
        <v>1</v>
      </c>
      <c r="BX229" s="149">
        <v>46201</v>
      </c>
      <c r="BY229" s="117"/>
      <c r="BZ229" s="117"/>
      <c r="CA229" s="117"/>
      <c r="CB229" s="117">
        <f>+L229-BW229</f>
        <v>0</v>
      </c>
    </row>
    <row r="230" spans="1:80" ht="16.5" hidden="1" customHeight="1">
      <c r="A230" s="117">
        <v>661</v>
      </c>
      <c r="B230" s="154" t="s">
        <v>591</v>
      </c>
      <c r="C230" s="154" t="s">
        <v>914</v>
      </c>
      <c r="D230" s="154" t="s">
        <v>13</v>
      </c>
      <c r="E230" s="154" t="s">
        <v>523</v>
      </c>
      <c r="F230" s="154" t="s">
        <v>597</v>
      </c>
      <c r="G230" s="154" t="s">
        <v>525</v>
      </c>
      <c r="H230" s="146">
        <v>1851</v>
      </c>
      <c r="I230" s="147" t="s">
        <v>147</v>
      </c>
      <c r="J230" s="144">
        <v>1</v>
      </c>
      <c r="K230" s="145">
        <f t="shared" si="443"/>
        <v>1</v>
      </c>
      <c r="L230" s="144">
        <f t="shared" si="444"/>
        <v>1</v>
      </c>
      <c r="M230" s="146">
        <v>54.4</v>
      </c>
      <c r="N230" s="146">
        <f t="shared" si="445"/>
        <v>54.4</v>
      </c>
      <c r="O230" s="146" t="s">
        <v>137</v>
      </c>
      <c r="P230" s="146" t="s">
        <v>13</v>
      </c>
      <c r="Q230" s="146" t="s">
        <v>148</v>
      </c>
      <c r="R230" s="146"/>
      <c r="S230" s="146"/>
      <c r="T230" s="146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1</v>
      </c>
      <c r="U230" s="146">
        <f t="shared" ca="1" si="446"/>
        <v>0</v>
      </c>
      <c r="V230" s="146">
        <f t="shared" ca="1" si="447"/>
        <v>1</v>
      </c>
      <c r="W230" s="146"/>
      <c r="X230" s="146"/>
      <c r="Y230" s="146"/>
      <c r="Z230" s="146"/>
      <c r="AA230" s="146"/>
      <c r="AB230" s="146"/>
      <c r="AC230" s="146">
        <v>1</v>
      </c>
      <c r="AD230" s="117" t="s">
        <v>196</v>
      </c>
      <c r="AE230" s="148"/>
      <c r="AF230" s="146" t="str">
        <f t="shared" si="448"/>
        <v>AMC 2-S1</v>
      </c>
      <c r="AG230" s="146">
        <f t="shared" si="448"/>
        <v>1</v>
      </c>
      <c r="AH230" s="146">
        <f t="shared" si="449"/>
        <v>1</v>
      </c>
      <c r="AI230" s="146">
        <f t="shared" ca="1" si="450"/>
        <v>1</v>
      </c>
      <c r="AJ230" s="146">
        <f t="shared" ca="1" si="451"/>
        <v>0</v>
      </c>
      <c r="AK230" s="146" t="str">
        <f t="shared" si="448"/>
        <v>N/A</v>
      </c>
      <c r="AL230" s="146">
        <f t="shared" si="448"/>
        <v>0</v>
      </c>
      <c r="AM230" s="146">
        <f t="shared" si="452"/>
        <v>0</v>
      </c>
      <c r="AN230" s="146">
        <f t="shared" ca="1" si="453"/>
        <v>0</v>
      </c>
      <c r="AO230" s="146">
        <f t="shared" ca="1" si="454"/>
        <v>0</v>
      </c>
      <c r="AP230" s="146" t="str">
        <f t="shared" si="448"/>
        <v>N/A</v>
      </c>
      <c r="AQ230" s="146">
        <f t="shared" si="448"/>
        <v>0</v>
      </c>
      <c r="AR230" s="146">
        <f t="shared" si="455"/>
        <v>0</v>
      </c>
      <c r="AS230" s="146">
        <f t="shared" ca="1" si="456"/>
        <v>0</v>
      </c>
      <c r="AT230" s="146">
        <f t="shared" ca="1" si="457"/>
        <v>0</v>
      </c>
      <c r="AU230" s="146" t="str">
        <f t="shared" si="448"/>
        <v>N/A</v>
      </c>
      <c r="AV230" s="146">
        <f t="shared" si="448"/>
        <v>0</v>
      </c>
      <c r="AW230" s="146">
        <f t="shared" si="458"/>
        <v>0</v>
      </c>
      <c r="AX230" s="146">
        <f t="shared" ca="1" si="459"/>
        <v>0</v>
      </c>
      <c r="AY230" s="146">
        <f t="shared" ca="1" si="460"/>
        <v>0</v>
      </c>
      <c r="AZ230" s="147"/>
      <c r="BA230" s="144" t="s">
        <v>141</v>
      </c>
      <c r="BB230" s="144" t="s">
        <v>140</v>
      </c>
      <c r="BC230" s="144" t="s">
        <v>140</v>
      </c>
      <c r="BD230" s="144" t="s">
        <v>140</v>
      </c>
      <c r="BE230" s="146">
        <v>1</v>
      </c>
      <c r="BF230" s="148"/>
      <c r="BG230" s="146"/>
      <c r="BH230" s="117"/>
      <c r="BI230" s="117"/>
      <c r="BJ230" s="149"/>
      <c r="BK230" s="149"/>
      <c r="BL230" s="117">
        <v>0</v>
      </c>
      <c r="BM230" s="117">
        <v>0</v>
      </c>
      <c r="BN230" s="117">
        <v>0</v>
      </c>
      <c r="BO230" s="117">
        <v>1</v>
      </c>
      <c r="BP230" s="117">
        <v>0</v>
      </c>
      <c r="BQ230" s="117">
        <v>0</v>
      </c>
      <c r="BR230" s="117">
        <v>0</v>
      </c>
      <c r="BS230" s="117" t="s">
        <v>150</v>
      </c>
      <c r="BT230" s="158" t="s">
        <v>200</v>
      </c>
      <c r="BU230" s="117"/>
      <c r="BV230" s="117" t="s">
        <v>201</v>
      </c>
      <c r="BW230" s="117">
        <v>1</v>
      </c>
      <c r="BX230" s="149">
        <v>46201</v>
      </c>
      <c r="BY230" s="117"/>
      <c r="BZ230" s="117"/>
      <c r="CA230" s="117"/>
      <c r="CB230" s="117">
        <f>+L230-BW230</f>
        <v>0</v>
      </c>
    </row>
    <row r="231" spans="1:80" ht="16.5" customHeight="1">
      <c r="A231" s="117">
        <v>662</v>
      </c>
      <c r="B231" s="154" t="s">
        <v>591</v>
      </c>
      <c r="C231" s="154" t="s">
        <v>914</v>
      </c>
      <c r="D231" s="154" t="s">
        <v>13</v>
      </c>
      <c r="E231" s="154" t="s">
        <v>598</v>
      </c>
      <c r="F231" s="154" t="s">
        <v>599</v>
      </c>
      <c r="G231" s="154" t="s">
        <v>600</v>
      </c>
      <c r="H231" s="146">
        <v>7076</v>
      </c>
      <c r="I231" s="147" t="s">
        <v>147</v>
      </c>
      <c r="J231" s="144">
        <v>1</v>
      </c>
      <c r="K231" s="145">
        <f t="shared" si="443"/>
        <v>1</v>
      </c>
      <c r="L231" s="144">
        <f t="shared" si="444"/>
        <v>1</v>
      </c>
      <c r="M231" s="146">
        <v>1561.3</v>
      </c>
      <c r="N231" s="146">
        <f t="shared" si="445"/>
        <v>1561.3</v>
      </c>
      <c r="O231" s="146" t="s">
        <v>137</v>
      </c>
      <c r="P231" s="146" t="s">
        <v>13</v>
      </c>
      <c r="Q231" s="146" t="s">
        <v>154</v>
      </c>
      <c r="R231" s="146"/>
      <c r="S231" s="146"/>
      <c r="T231" s="146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1</v>
      </c>
      <c r="U231" s="146">
        <f t="shared" ca="1" si="446"/>
        <v>0</v>
      </c>
      <c r="V231" s="146">
        <f t="shared" ca="1" si="447"/>
        <v>1</v>
      </c>
      <c r="W231" s="146"/>
      <c r="X231" s="146"/>
      <c r="Y231" s="146"/>
      <c r="Z231" s="146"/>
      <c r="AA231" s="146"/>
      <c r="AB231" s="146"/>
      <c r="AC231" s="142">
        <v>22.4</v>
      </c>
      <c r="AD231" s="141" t="s">
        <v>196</v>
      </c>
      <c r="AE231" s="166"/>
      <c r="AF231" s="146" t="str">
        <f t="shared" si="448"/>
        <v>AMC 2-S1</v>
      </c>
      <c r="AG231" s="146">
        <f t="shared" si="448"/>
        <v>1</v>
      </c>
      <c r="AH231" s="146">
        <f t="shared" si="449"/>
        <v>1</v>
      </c>
      <c r="AI231" s="146">
        <f t="shared" ca="1" si="450"/>
        <v>1</v>
      </c>
      <c r="AJ231" s="146">
        <f t="shared" ca="1" si="451"/>
        <v>0</v>
      </c>
      <c r="AK231" s="146" t="str">
        <f t="shared" si="448"/>
        <v>N/A</v>
      </c>
      <c r="AL231" s="146">
        <f t="shared" si="448"/>
        <v>0</v>
      </c>
      <c r="AM231" s="146">
        <f t="shared" si="452"/>
        <v>0</v>
      </c>
      <c r="AN231" s="146">
        <f t="shared" ca="1" si="453"/>
        <v>0</v>
      </c>
      <c r="AO231" s="146">
        <f t="shared" ca="1" si="454"/>
        <v>0</v>
      </c>
      <c r="AP231" s="146" t="str">
        <f t="shared" si="448"/>
        <v>N/A</v>
      </c>
      <c r="AQ231" s="146">
        <f t="shared" si="448"/>
        <v>0</v>
      </c>
      <c r="AR231" s="146">
        <f t="shared" si="455"/>
        <v>0</v>
      </c>
      <c r="AS231" s="146">
        <f t="shared" ca="1" si="456"/>
        <v>0</v>
      </c>
      <c r="AT231" s="146">
        <f t="shared" ca="1" si="457"/>
        <v>0</v>
      </c>
      <c r="AU231" s="146" t="str">
        <f t="shared" si="448"/>
        <v>N/A</v>
      </c>
      <c r="AV231" s="146">
        <f t="shared" si="448"/>
        <v>0</v>
      </c>
      <c r="AW231" s="146">
        <f t="shared" si="458"/>
        <v>0</v>
      </c>
      <c r="AX231" s="146">
        <f t="shared" ca="1" si="459"/>
        <v>0</v>
      </c>
      <c r="AY231" s="146">
        <f t="shared" ca="1" si="460"/>
        <v>0</v>
      </c>
      <c r="AZ231" s="143"/>
      <c r="BA231" s="165" t="s">
        <v>141</v>
      </c>
      <c r="BB231" s="165" t="s">
        <v>140</v>
      </c>
      <c r="BC231" s="165" t="s">
        <v>140</v>
      </c>
      <c r="BD231" s="165" t="s">
        <v>140</v>
      </c>
      <c r="BE231" s="142">
        <v>22.4</v>
      </c>
      <c r="BF231" s="166"/>
      <c r="BG231" s="142"/>
      <c r="BH231" s="117"/>
      <c r="BI231" s="117"/>
      <c r="BJ231" s="149" t="s">
        <v>294</v>
      </c>
      <c r="BK231" s="149"/>
      <c r="BL231" s="117">
        <v>0</v>
      </c>
      <c r="BM231" s="117">
        <v>1</v>
      </c>
      <c r="BN231" s="117">
        <v>0</v>
      </c>
      <c r="BO231" s="117">
        <v>1</v>
      </c>
      <c r="BP231" s="117">
        <v>0</v>
      </c>
      <c r="BQ231" s="117">
        <v>0</v>
      </c>
      <c r="BR231" s="117">
        <v>0</v>
      </c>
      <c r="BS231" s="117" t="s">
        <v>150</v>
      </c>
      <c r="BT231" s="117"/>
      <c r="BU231" s="155"/>
      <c r="BV231" s="117" t="s">
        <v>57</v>
      </c>
      <c r="BW231" s="144">
        <v>1</v>
      </c>
      <c r="BX231" s="149"/>
      <c r="BY231" s="117"/>
      <c r="BZ231" s="117"/>
      <c r="CA231" s="117"/>
      <c r="CB231" s="117">
        <f>+L231-BW231</f>
        <v>0</v>
      </c>
    </row>
    <row r="232" spans="1:80" ht="16.5" hidden="1" customHeight="1">
      <c r="A232" s="133">
        <v>669</v>
      </c>
      <c r="B232" s="156" t="s">
        <v>601</v>
      </c>
      <c r="C232" s="156" t="s">
        <v>915</v>
      </c>
      <c r="D232" s="156"/>
      <c r="E232" s="156" t="s">
        <v>136</v>
      </c>
      <c r="F232" s="156"/>
      <c r="G232" s="156"/>
      <c r="H232" s="157"/>
      <c r="I232" s="159"/>
      <c r="J232" s="160" t="s">
        <v>136</v>
      </c>
      <c r="K232" s="138">
        <f>+AG232+AL232+AQ232+AV232</f>
        <v>1</v>
      </c>
      <c r="L232" s="160" t="s">
        <v>136</v>
      </c>
      <c r="M232" s="157"/>
      <c r="N232" s="157">
        <v>1789.3</v>
      </c>
      <c r="O232" s="157" t="s">
        <v>137</v>
      </c>
      <c r="P232" s="157"/>
      <c r="Q232" s="157"/>
      <c r="R232" s="157"/>
      <c r="S232" s="157"/>
      <c r="T232" s="157"/>
      <c r="U232" s="157"/>
      <c r="V232" s="157"/>
      <c r="W232" s="135">
        <f ca="1">_xlfn.MINIFS(V:V,C:C,C232,AE:AE,"",AB:AB,"")</f>
        <v>1</v>
      </c>
      <c r="X232" s="135">
        <f ca="1">SUMIFS(T:T,C:C,C232,AE:AE,"")/SUMIFS(L:L,C:C,C232,AE:AE,"",AB:AB,"")</f>
        <v>1</v>
      </c>
      <c r="Y232" s="157"/>
      <c r="Z232" s="157"/>
      <c r="AA232" s="157"/>
      <c r="AB232" s="157"/>
      <c r="AC232" s="157">
        <v>26.5</v>
      </c>
      <c r="AD232" s="161" t="s">
        <v>196</v>
      </c>
      <c r="AE232" s="162" t="s">
        <v>143</v>
      </c>
      <c r="AF232" s="157" t="s">
        <v>281</v>
      </c>
      <c r="AG232" s="157">
        <v>1</v>
      </c>
      <c r="AH232" s="157"/>
      <c r="AI232" s="157"/>
      <c r="AJ232" s="157"/>
      <c r="AK232" s="157" t="s">
        <v>138</v>
      </c>
      <c r="AL232" s="157">
        <v>0</v>
      </c>
      <c r="AM232" s="157"/>
      <c r="AN232" s="157"/>
      <c r="AO232" s="157"/>
      <c r="AP232" s="157" t="s">
        <v>138</v>
      </c>
      <c r="AQ232" s="157">
        <v>0</v>
      </c>
      <c r="AR232" s="157"/>
      <c r="AS232" s="157"/>
      <c r="AT232" s="157"/>
      <c r="AU232" s="157" t="s">
        <v>138</v>
      </c>
      <c r="AV232" s="157">
        <v>0</v>
      </c>
      <c r="AW232" s="157"/>
      <c r="AX232" s="157"/>
      <c r="AY232" s="157"/>
      <c r="AZ232" s="136"/>
      <c r="BA232" s="137" t="s">
        <v>141</v>
      </c>
      <c r="BB232" s="137" t="s">
        <v>140</v>
      </c>
      <c r="BC232" s="137" t="s">
        <v>140</v>
      </c>
      <c r="BD232" s="137" t="s">
        <v>140</v>
      </c>
      <c r="BE232" s="157">
        <v>26.5</v>
      </c>
      <c r="BF232" s="162"/>
      <c r="BG232" s="157"/>
      <c r="BH232" s="161"/>
      <c r="BI232" s="161"/>
      <c r="BJ232" s="163"/>
      <c r="BK232" s="163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4"/>
      <c r="BV232" s="161"/>
      <c r="BW232" s="161"/>
      <c r="BX232" s="163"/>
      <c r="BY232" s="161"/>
      <c r="BZ232" s="161"/>
      <c r="CA232" s="161"/>
      <c r="CB232" s="161"/>
    </row>
    <row r="233" spans="1:80" ht="16.5" hidden="1" customHeight="1">
      <c r="A233" s="117">
        <v>670</v>
      </c>
      <c r="B233" s="154" t="s">
        <v>601</v>
      </c>
      <c r="C233" s="154" t="s">
        <v>915</v>
      </c>
      <c r="D233" s="154" t="s">
        <v>13</v>
      </c>
      <c r="E233" s="154" t="s">
        <v>520</v>
      </c>
      <c r="F233" s="154" t="s">
        <v>602</v>
      </c>
      <c r="G233" s="154" t="s">
        <v>522</v>
      </c>
      <c r="H233" s="146">
        <v>1377</v>
      </c>
      <c r="I233" s="147" t="s">
        <v>147</v>
      </c>
      <c r="J233" s="144">
        <v>1</v>
      </c>
      <c r="K233" s="145">
        <f t="shared" ref="K233:K237" si="461">K232</f>
        <v>1</v>
      </c>
      <c r="L233" s="144">
        <f t="shared" ref="L233:L237" si="462">+K233*J233</f>
        <v>1</v>
      </c>
      <c r="M233" s="146">
        <v>59.6</v>
      </c>
      <c r="N233" s="146">
        <f t="shared" ref="N233:N237" si="463">+M233*L233</f>
        <v>59.6</v>
      </c>
      <c r="O233" s="146" t="s">
        <v>137</v>
      </c>
      <c r="P233" s="146" t="s">
        <v>13</v>
      </c>
      <c r="Q233" s="146" t="s">
        <v>148</v>
      </c>
      <c r="R233" s="146"/>
      <c r="S233" s="146"/>
      <c r="T233" s="146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</v>
      </c>
      <c r="U233" s="146">
        <f t="shared" ref="U233:U237" ca="1" si="464">+L233-T233</f>
        <v>0</v>
      </c>
      <c r="V233" s="146">
        <f t="shared" ref="V233:V237" ca="1" si="465">ROUNDDOWN(T233/J233,0)</f>
        <v>1</v>
      </c>
      <c r="W233" s="146"/>
      <c r="X233" s="146"/>
      <c r="Y233" s="146"/>
      <c r="Z233" s="146"/>
      <c r="AA233" s="146"/>
      <c r="AB233" s="146"/>
      <c r="AC233" s="146">
        <v>0.8</v>
      </c>
      <c r="AD233" s="117" t="s">
        <v>196</v>
      </c>
      <c r="AE233" s="148"/>
      <c r="AF233" s="146" t="str">
        <f t="shared" ref="AF233:AV237" si="466">AF232</f>
        <v>AMC 2-S1</v>
      </c>
      <c r="AG233" s="146">
        <f t="shared" si="466"/>
        <v>1</v>
      </c>
      <c r="AH233" s="146">
        <f t="shared" ref="AH233:AH237" si="467">+AG233*J233</f>
        <v>1</v>
      </c>
      <c r="AI233" s="146">
        <f t="shared" ref="AI233:AI237" ca="1" si="468">MIN(T233,AH233)</f>
        <v>1</v>
      </c>
      <c r="AJ233" s="146">
        <f t="shared" ref="AJ233:AJ237" ca="1" si="469">+AH233-AI233</f>
        <v>0</v>
      </c>
      <c r="AK233" s="146" t="str">
        <f t="shared" si="466"/>
        <v>N/A</v>
      </c>
      <c r="AL233" s="146">
        <f t="shared" si="466"/>
        <v>0</v>
      </c>
      <c r="AM233" s="146">
        <f t="shared" ref="AM233:AM237" si="470">+AL233*J233</f>
        <v>0</v>
      </c>
      <c r="AN233" s="146">
        <f t="shared" ref="AN233:AN237" ca="1" si="471">MIN(T233-AI233,AL233)</f>
        <v>0</v>
      </c>
      <c r="AO233" s="146">
        <f t="shared" ref="AO233:AO237" ca="1" si="472">+AM233-AN233</f>
        <v>0</v>
      </c>
      <c r="AP233" s="146" t="str">
        <f t="shared" si="466"/>
        <v>N/A</v>
      </c>
      <c r="AQ233" s="146">
        <f t="shared" si="466"/>
        <v>0</v>
      </c>
      <c r="AR233" s="146">
        <f t="shared" ref="AR233:AR237" si="473">+AQ233*J233</f>
        <v>0</v>
      </c>
      <c r="AS233" s="146">
        <f t="shared" ref="AS233:AS237" ca="1" si="474">MIN(T233-AI233-AN233,AR233)</f>
        <v>0</v>
      </c>
      <c r="AT233" s="146">
        <f t="shared" ref="AT233:AT237" ca="1" si="475">+AR233-AS233</f>
        <v>0</v>
      </c>
      <c r="AU233" s="146" t="str">
        <f t="shared" si="466"/>
        <v>N/A</v>
      </c>
      <c r="AV233" s="146">
        <f t="shared" si="466"/>
        <v>0</v>
      </c>
      <c r="AW233" s="146">
        <f t="shared" ref="AW233:AW237" si="476">+AV233*J233</f>
        <v>0</v>
      </c>
      <c r="AX233" s="146">
        <f t="shared" ref="AX233:AX237" ca="1" si="477">MIN(T233-AI233-AN233-AS233,AW233)</f>
        <v>0</v>
      </c>
      <c r="AY233" s="146">
        <f t="shared" ref="AY233:AY237" ca="1" si="478">+AW233-AX233</f>
        <v>0</v>
      </c>
      <c r="AZ233" s="147"/>
      <c r="BA233" s="144" t="s">
        <v>141</v>
      </c>
      <c r="BB233" s="144" t="s">
        <v>140</v>
      </c>
      <c r="BC233" s="144" t="s">
        <v>140</v>
      </c>
      <c r="BD233" s="144" t="s">
        <v>140</v>
      </c>
      <c r="BE233" s="146">
        <v>0.8</v>
      </c>
      <c r="BF233" s="148"/>
      <c r="BG233" s="146"/>
      <c r="BH233" s="117"/>
      <c r="BI233" s="117"/>
      <c r="BJ233" s="149"/>
      <c r="BK233" s="149"/>
      <c r="BL233" s="117">
        <v>0</v>
      </c>
      <c r="BM233" s="117">
        <v>0</v>
      </c>
      <c r="BN233" s="117">
        <v>0</v>
      </c>
      <c r="BO233" s="117">
        <v>1</v>
      </c>
      <c r="BP233" s="117">
        <v>0</v>
      </c>
      <c r="BQ233" s="117">
        <v>0</v>
      </c>
      <c r="BR233" s="117">
        <v>0</v>
      </c>
      <c r="BS233" s="117" t="s">
        <v>150</v>
      </c>
      <c r="BT233" s="167" t="s">
        <v>319</v>
      </c>
      <c r="BU233" s="141"/>
      <c r="BV233" s="141" t="s">
        <v>320</v>
      </c>
      <c r="BW233" s="141">
        <v>1</v>
      </c>
      <c r="BX233" s="153">
        <v>46202</v>
      </c>
      <c r="BY233" s="117"/>
      <c r="BZ233" s="117"/>
      <c r="CA233" s="117"/>
      <c r="CB233" s="117">
        <f>+L233-BW233</f>
        <v>0</v>
      </c>
    </row>
    <row r="234" spans="1:80" ht="16.5" hidden="1" customHeight="1">
      <c r="A234" s="117">
        <v>671</v>
      </c>
      <c r="B234" s="154" t="s">
        <v>601</v>
      </c>
      <c r="C234" s="154" t="s">
        <v>915</v>
      </c>
      <c r="D234" s="154" t="s">
        <v>13</v>
      </c>
      <c r="E234" s="154" t="s">
        <v>603</v>
      </c>
      <c r="F234" s="154" t="s">
        <v>604</v>
      </c>
      <c r="G234" s="154" t="s">
        <v>605</v>
      </c>
      <c r="H234" s="146">
        <v>6792</v>
      </c>
      <c r="I234" s="147" t="s">
        <v>147</v>
      </c>
      <c r="J234" s="144">
        <v>1</v>
      </c>
      <c r="K234" s="145">
        <f t="shared" si="461"/>
        <v>1</v>
      </c>
      <c r="L234" s="144">
        <f t="shared" si="462"/>
        <v>1</v>
      </c>
      <c r="M234" s="146">
        <v>23.6</v>
      </c>
      <c r="N234" s="146">
        <f t="shared" si="463"/>
        <v>23.6</v>
      </c>
      <c r="O234" s="146" t="s">
        <v>137</v>
      </c>
      <c r="P234" s="146" t="s">
        <v>13</v>
      </c>
      <c r="Q234" s="146" t="s">
        <v>148</v>
      </c>
      <c r="R234" s="146"/>
      <c r="S234" s="146"/>
      <c r="T234" s="146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1</v>
      </c>
      <c r="U234" s="146">
        <f t="shared" ca="1" si="464"/>
        <v>0</v>
      </c>
      <c r="V234" s="146">
        <f t="shared" ca="1" si="465"/>
        <v>1</v>
      </c>
      <c r="W234" s="146"/>
      <c r="X234" s="146"/>
      <c r="Y234" s="146"/>
      <c r="Z234" s="146"/>
      <c r="AA234" s="146"/>
      <c r="AB234" s="146"/>
      <c r="AC234" s="146">
        <v>0.7</v>
      </c>
      <c r="AD234" s="117" t="s">
        <v>196</v>
      </c>
      <c r="AE234" s="148"/>
      <c r="AF234" s="146" t="str">
        <f t="shared" si="466"/>
        <v>AMC 2-S1</v>
      </c>
      <c r="AG234" s="146">
        <f t="shared" si="466"/>
        <v>1</v>
      </c>
      <c r="AH234" s="146">
        <f t="shared" si="467"/>
        <v>1</v>
      </c>
      <c r="AI234" s="146">
        <f t="shared" ca="1" si="468"/>
        <v>1</v>
      </c>
      <c r="AJ234" s="146">
        <f t="shared" ca="1" si="469"/>
        <v>0</v>
      </c>
      <c r="AK234" s="146" t="str">
        <f t="shared" si="466"/>
        <v>N/A</v>
      </c>
      <c r="AL234" s="146">
        <f t="shared" si="466"/>
        <v>0</v>
      </c>
      <c r="AM234" s="146">
        <f t="shared" si="470"/>
        <v>0</v>
      </c>
      <c r="AN234" s="146">
        <f t="shared" ca="1" si="471"/>
        <v>0</v>
      </c>
      <c r="AO234" s="146">
        <f t="shared" ca="1" si="472"/>
        <v>0</v>
      </c>
      <c r="AP234" s="146" t="str">
        <f t="shared" si="466"/>
        <v>N/A</v>
      </c>
      <c r="AQ234" s="146">
        <f t="shared" si="466"/>
        <v>0</v>
      </c>
      <c r="AR234" s="146">
        <f t="shared" si="473"/>
        <v>0</v>
      </c>
      <c r="AS234" s="146">
        <f t="shared" ca="1" si="474"/>
        <v>0</v>
      </c>
      <c r="AT234" s="146">
        <f t="shared" ca="1" si="475"/>
        <v>0</v>
      </c>
      <c r="AU234" s="146" t="str">
        <f t="shared" si="466"/>
        <v>N/A</v>
      </c>
      <c r="AV234" s="146">
        <f t="shared" si="466"/>
        <v>0</v>
      </c>
      <c r="AW234" s="146">
        <f t="shared" si="476"/>
        <v>0</v>
      </c>
      <c r="AX234" s="146">
        <f t="shared" ca="1" si="477"/>
        <v>0</v>
      </c>
      <c r="AY234" s="146">
        <f t="shared" ca="1" si="478"/>
        <v>0</v>
      </c>
      <c r="AZ234" s="147"/>
      <c r="BA234" s="144" t="s">
        <v>141</v>
      </c>
      <c r="BB234" s="144" t="s">
        <v>140</v>
      </c>
      <c r="BC234" s="144" t="s">
        <v>140</v>
      </c>
      <c r="BD234" s="144" t="s">
        <v>140</v>
      </c>
      <c r="BE234" s="146">
        <v>0.7</v>
      </c>
      <c r="BF234" s="148"/>
      <c r="BG234" s="146"/>
      <c r="BH234" s="117"/>
      <c r="BI234" s="117"/>
      <c r="BJ234" s="149"/>
      <c r="BK234" s="149"/>
      <c r="BL234" s="117">
        <v>0</v>
      </c>
      <c r="BM234" s="117">
        <v>0</v>
      </c>
      <c r="BN234" s="117">
        <v>0</v>
      </c>
      <c r="BO234" s="117">
        <v>0</v>
      </c>
      <c r="BP234" s="117">
        <v>0</v>
      </c>
      <c r="BQ234" s="117">
        <v>0</v>
      </c>
      <c r="BR234" s="117">
        <v>0</v>
      </c>
      <c r="BS234" s="117" t="s">
        <v>150</v>
      </c>
      <c r="BT234" s="158" t="s">
        <v>210</v>
      </c>
      <c r="BU234" s="117"/>
      <c r="BV234" s="117" t="s">
        <v>211</v>
      </c>
      <c r="BW234" s="117">
        <v>1</v>
      </c>
      <c r="BX234" s="149">
        <v>46201</v>
      </c>
      <c r="BY234" s="117"/>
      <c r="BZ234" s="117"/>
      <c r="CA234" s="117"/>
      <c r="CB234" s="117">
        <f>+L234-BW234</f>
        <v>0</v>
      </c>
    </row>
    <row r="235" spans="1:80" ht="16.5" hidden="1" customHeight="1">
      <c r="A235" s="117">
        <v>672</v>
      </c>
      <c r="B235" s="154" t="s">
        <v>601</v>
      </c>
      <c r="C235" s="154" t="s">
        <v>915</v>
      </c>
      <c r="D235" s="154" t="s">
        <v>13</v>
      </c>
      <c r="E235" s="154" t="s">
        <v>606</v>
      </c>
      <c r="F235" s="154" t="s">
        <v>607</v>
      </c>
      <c r="G235" s="154" t="s">
        <v>519</v>
      </c>
      <c r="H235" s="146">
        <v>2297</v>
      </c>
      <c r="I235" s="147" t="s">
        <v>147</v>
      </c>
      <c r="J235" s="144">
        <v>1</v>
      </c>
      <c r="K235" s="145">
        <f t="shared" si="461"/>
        <v>1</v>
      </c>
      <c r="L235" s="144">
        <f t="shared" si="462"/>
        <v>1</v>
      </c>
      <c r="M235" s="146">
        <v>74.599999999999994</v>
      </c>
      <c r="N235" s="146">
        <f t="shared" si="463"/>
        <v>74.599999999999994</v>
      </c>
      <c r="O235" s="146" t="s">
        <v>137</v>
      </c>
      <c r="P235" s="146" t="s">
        <v>13</v>
      </c>
      <c r="Q235" s="146" t="s">
        <v>148</v>
      </c>
      <c r="R235" s="146"/>
      <c r="S235" s="146"/>
      <c r="T235" s="146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</v>
      </c>
      <c r="U235" s="146">
        <f t="shared" ca="1" si="464"/>
        <v>0</v>
      </c>
      <c r="V235" s="146">
        <f t="shared" ca="1" si="465"/>
        <v>1</v>
      </c>
      <c r="W235" s="146"/>
      <c r="X235" s="146"/>
      <c r="Y235" s="146"/>
      <c r="Z235" s="146"/>
      <c r="AA235" s="146"/>
      <c r="AB235" s="146"/>
      <c r="AC235" s="146">
        <v>1.3</v>
      </c>
      <c r="AD235" s="117" t="s">
        <v>196</v>
      </c>
      <c r="AE235" s="148"/>
      <c r="AF235" s="146" t="str">
        <f t="shared" si="466"/>
        <v>AMC 2-S1</v>
      </c>
      <c r="AG235" s="146">
        <f t="shared" si="466"/>
        <v>1</v>
      </c>
      <c r="AH235" s="146">
        <f t="shared" si="467"/>
        <v>1</v>
      </c>
      <c r="AI235" s="146">
        <f t="shared" ca="1" si="468"/>
        <v>1</v>
      </c>
      <c r="AJ235" s="146">
        <f t="shared" ca="1" si="469"/>
        <v>0</v>
      </c>
      <c r="AK235" s="146" t="str">
        <f t="shared" si="466"/>
        <v>N/A</v>
      </c>
      <c r="AL235" s="146">
        <f t="shared" si="466"/>
        <v>0</v>
      </c>
      <c r="AM235" s="146">
        <f t="shared" si="470"/>
        <v>0</v>
      </c>
      <c r="AN235" s="146">
        <f t="shared" ca="1" si="471"/>
        <v>0</v>
      </c>
      <c r="AO235" s="146">
        <f t="shared" ca="1" si="472"/>
        <v>0</v>
      </c>
      <c r="AP235" s="146" t="str">
        <f t="shared" si="466"/>
        <v>N/A</v>
      </c>
      <c r="AQ235" s="146">
        <f t="shared" si="466"/>
        <v>0</v>
      </c>
      <c r="AR235" s="146">
        <f t="shared" si="473"/>
        <v>0</v>
      </c>
      <c r="AS235" s="146">
        <f t="shared" ca="1" si="474"/>
        <v>0</v>
      </c>
      <c r="AT235" s="146">
        <f t="shared" ca="1" si="475"/>
        <v>0</v>
      </c>
      <c r="AU235" s="146" t="str">
        <f t="shared" si="466"/>
        <v>N/A</v>
      </c>
      <c r="AV235" s="146">
        <f t="shared" si="466"/>
        <v>0</v>
      </c>
      <c r="AW235" s="146">
        <f t="shared" si="476"/>
        <v>0</v>
      </c>
      <c r="AX235" s="146">
        <f t="shared" ca="1" si="477"/>
        <v>0</v>
      </c>
      <c r="AY235" s="146">
        <f t="shared" ca="1" si="478"/>
        <v>0</v>
      </c>
      <c r="AZ235" s="147"/>
      <c r="BA235" s="144" t="s">
        <v>141</v>
      </c>
      <c r="BB235" s="144" t="s">
        <v>140</v>
      </c>
      <c r="BC235" s="144" t="s">
        <v>140</v>
      </c>
      <c r="BD235" s="144" t="s">
        <v>140</v>
      </c>
      <c r="BE235" s="146">
        <v>1.3</v>
      </c>
      <c r="BF235" s="148"/>
      <c r="BG235" s="146"/>
      <c r="BH235" s="117"/>
      <c r="BI235" s="117"/>
      <c r="BJ235" s="149"/>
      <c r="BK235" s="149"/>
      <c r="BL235" s="117">
        <v>0</v>
      </c>
      <c r="BM235" s="117">
        <v>0</v>
      </c>
      <c r="BN235" s="117">
        <v>0</v>
      </c>
      <c r="BO235" s="117">
        <v>1</v>
      </c>
      <c r="BP235" s="117">
        <v>0</v>
      </c>
      <c r="BQ235" s="117">
        <v>0</v>
      </c>
      <c r="BR235" s="117">
        <v>0</v>
      </c>
      <c r="BS235" s="117" t="s">
        <v>150</v>
      </c>
      <c r="BT235" s="158" t="s">
        <v>200</v>
      </c>
      <c r="BU235" s="117"/>
      <c r="BV235" s="117" t="s">
        <v>201</v>
      </c>
      <c r="BW235" s="117">
        <v>1</v>
      </c>
      <c r="BX235" s="149">
        <v>46201</v>
      </c>
      <c r="BY235" s="117"/>
      <c r="BZ235" s="117"/>
      <c r="CA235" s="117"/>
      <c r="CB235" s="117">
        <f>+L235-BW235</f>
        <v>0</v>
      </c>
    </row>
    <row r="236" spans="1:80" ht="16.5" hidden="1" customHeight="1">
      <c r="A236" s="117">
        <v>673</v>
      </c>
      <c r="B236" s="154" t="s">
        <v>601</v>
      </c>
      <c r="C236" s="154" t="s">
        <v>915</v>
      </c>
      <c r="D236" s="154" t="s">
        <v>13</v>
      </c>
      <c r="E236" s="154" t="s">
        <v>535</v>
      </c>
      <c r="F236" s="154" t="s">
        <v>608</v>
      </c>
      <c r="G236" s="154" t="s">
        <v>525</v>
      </c>
      <c r="H236" s="146">
        <v>1851</v>
      </c>
      <c r="I236" s="147" t="s">
        <v>147</v>
      </c>
      <c r="J236" s="144">
        <v>1</v>
      </c>
      <c r="K236" s="145">
        <f t="shared" si="461"/>
        <v>1</v>
      </c>
      <c r="L236" s="144">
        <f t="shared" si="462"/>
        <v>1</v>
      </c>
      <c r="M236" s="146">
        <v>54.4</v>
      </c>
      <c r="N236" s="146">
        <f t="shared" si="463"/>
        <v>54.4</v>
      </c>
      <c r="O236" s="146" t="s">
        <v>137</v>
      </c>
      <c r="P236" s="146" t="s">
        <v>13</v>
      </c>
      <c r="Q236" s="146" t="s">
        <v>148</v>
      </c>
      <c r="R236" s="146"/>
      <c r="S236" s="146"/>
      <c r="T236" s="146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1</v>
      </c>
      <c r="U236" s="146">
        <f t="shared" ca="1" si="464"/>
        <v>0</v>
      </c>
      <c r="V236" s="146">
        <f t="shared" ca="1" si="465"/>
        <v>1</v>
      </c>
      <c r="W236" s="146"/>
      <c r="X236" s="146"/>
      <c r="Y236" s="146"/>
      <c r="Z236" s="146"/>
      <c r="AA236" s="146"/>
      <c r="AB236" s="146"/>
      <c r="AC236" s="146">
        <v>1</v>
      </c>
      <c r="AD236" s="117" t="s">
        <v>196</v>
      </c>
      <c r="AE236" s="148"/>
      <c r="AF236" s="146" t="str">
        <f t="shared" si="466"/>
        <v>AMC 2-S1</v>
      </c>
      <c r="AG236" s="146">
        <f t="shared" si="466"/>
        <v>1</v>
      </c>
      <c r="AH236" s="146">
        <f t="shared" si="467"/>
        <v>1</v>
      </c>
      <c r="AI236" s="146">
        <f t="shared" ca="1" si="468"/>
        <v>1</v>
      </c>
      <c r="AJ236" s="146">
        <f t="shared" ca="1" si="469"/>
        <v>0</v>
      </c>
      <c r="AK236" s="146" t="str">
        <f t="shared" si="466"/>
        <v>N/A</v>
      </c>
      <c r="AL236" s="146">
        <f t="shared" si="466"/>
        <v>0</v>
      </c>
      <c r="AM236" s="146">
        <f t="shared" si="470"/>
        <v>0</v>
      </c>
      <c r="AN236" s="146">
        <f t="shared" ca="1" si="471"/>
        <v>0</v>
      </c>
      <c r="AO236" s="146">
        <f t="shared" ca="1" si="472"/>
        <v>0</v>
      </c>
      <c r="AP236" s="146" t="str">
        <f t="shared" si="466"/>
        <v>N/A</v>
      </c>
      <c r="AQ236" s="146">
        <f t="shared" si="466"/>
        <v>0</v>
      </c>
      <c r="AR236" s="146">
        <f t="shared" si="473"/>
        <v>0</v>
      </c>
      <c r="AS236" s="146">
        <f t="shared" ca="1" si="474"/>
        <v>0</v>
      </c>
      <c r="AT236" s="146">
        <f t="shared" ca="1" si="475"/>
        <v>0</v>
      </c>
      <c r="AU236" s="146" t="str">
        <f t="shared" si="466"/>
        <v>N/A</v>
      </c>
      <c r="AV236" s="146">
        <f t="shared" si="466"/>
        <v>0</v>
      </c>
      <c r="AW236" s="146">
        <f t="shared" si="476"/>
        <v>0</v>
      </c>
      <c r="AX236" s="146">
        <f t="shared" ca="1" si="477"/>
        <v>0</v>
      </c>
      <c r="AY236" s="146">
        <f t="shared" ca="1" si="478"/>
        <v>0</v>
      </c>
      <c r="AZ236" s="147"/>
      <c r="BA236" s="144" t="s">
        <v>141</v>
      </c>
      <c r="BB236" s="144" t="s">
        <v>140</v>
      </c>
      <c r="BC236" s="144" t="s">
        <v>140</v>
      </c>
      <c r="BD236" s="144" t="s">
        <v>140</v>
      </c>
      <c r="BE236" s="146">
        <v>1</v>
      </c>
      <c r="BF236" s="148"/>
      <c r="BG236" s="146"/>
      <c r="BH236" s="117"/>
      <c r="BI236" s="117"/>
      <c r="BJ236" s="149"/>
      <c r="BK236" s="149"/>
      <c r="BL236" s="117">
        <v>0</v>
      </c>
      <c r="BM236" s="117">
        <v>0</v>
      </c>
      <c r="BN236" s="117">
        <v>0</v>
      </c>
      <c r="BO236" s="117">
        <v>1</v>
      </c>
      <c r="BP236" s="117">
        <v>0</v>
      </c>
      <c r="BQ236" s="117">
        <v>0</v>
      </c>
      <c r="BR236" s="117">
        <v>0</v>
      </c>
      <c r="BS236" s="117" t="s">
        <v>150</v>
      </c>
      <c r="BT236" s="158" t="s">
        <v>200</v>
      </c>
      <c r="BU236" s="117"/>
      <c r="BV236" s="117" t="s">
        <v>201</v>
      </c>
      <c r="BW236" s="117">
        <v>1</v>
      </c>
      <c r="BX236" s="149">
        <v>46201</v>
      </c>
      <c r="BY236" s="117"/>
      <c r="BZ236" s="117"/>
      <c r="CA236" s="117"/>
      <c r="CB236" s="117">
        <f>+L236-BW236</f>
        <v>0</v>
      </c>
    </row>
    <row r="237" spans="1:80" ht="16.5" customHeight="1">
      <c r="A237" s="117">
        <v>674</v>
      </c>
      <c r="B237" s="154" t="s">
        <v>601</v>
      </c>
      <c r="C237" s="154" t="s">
        <v>915</v>
      </c>
      <c r="D237" s="154" t="s">
        <v>13</v>
      </c>
      <c r="E237" s="154" t="s">
        <v>609</v>
      </c>
      <c r="F237" s="154" t="s">
        <v>610</v>
      </c>
      <c r="G237" s="154" t="s">
        <v>611</v>
      </c>
      <c r="H237" s="146">
        <v>6882</v>
      </c>
      <c r="I237" s="147" t="s">
        <v>147</v>
      </c>
      <c r="J237" s="144">
        <v>1</v>
      </c>
      <c r="K237" s="145">
        <f t="shared" si="461"/>
        <v>1</v>
      </c>
      <c r="L237" s="144">
        <f t="shared" si="462"/>
        <v>1</v>
      </c>
      <c r="M237" s="146">
        <v>1577</v>
      </c>
      <c r="N237" s="146">
        <f t="shared" si="463"/>
        <v>1577</v>
      </c>
      <c r="O237" s="146" t="s">
        <v>137</v>
      </c>
      <c r="P237" s="146" t="s">
        <v>13</v>
      </c>
      <c r="Q237" s="146" t="s">
        <v>154</v>
      </c>
      <c r="R237" s="146"/>
      <c r="S237" s="146"/>
      <c r="T237" s="146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1</v>
      </c>
      <c r="U237" s="146">
        <f t="shared" ca="1" si="464"/>
        <v>0</v>
      </c>
      <c r="V237" s="146">
        <f t="shared" ca="1" si="465"/>
        <v>1</v>
      </c>
      <c r="W237" s="146"/>
      <c r="X237" s="146"/>
      <c r="Y237" s="146"/>
      <c r="Z237" s="146"/>
      <c r="AA237" s="146"/>
      <c r="AB237" s="146"/>
      <c r="AC237" s="142">
        <v>22.6</v>
      </c>
      <c r="AD237" s="141" t="s">
        <v>196</v>
      </c>
      <c r="AE237" s="166"/>
      <c r="AF237" s="146" t="str">
        <f t="shared" si="466"/>
        <v>AMC 2-S1</v>
      </c>
      <c r="AG237" s="146">
        <f t="shared" si="466"/>
        <v>1</v>
      </c>
      <c r="AH237" s="146">
        <f t="shared" si="467"/>
        <v>1</v>
      </c>
      <c r="AI237" s="146">
        <f t="shared" ca="1" si="468"/>
        <v>1</v>
      </c>
      <c r="AJ237" s="146">
        <f t="shared" ca="1" si="469"/>
        <v>0</v>
      </c>
      <c r="AK237" s="146" t="str">
        <f t="shared" si="466"/>
        <v>N/A</v>
      </c>
      <c r="AL237" s="146">
        <f t="shared" si="466"/>
        <v>0</v>
      </c>
      <c r="AM237" s="146">
        <f t="shared" si="470"/>
        <v>0</v>
      </c>
      <c r="AN237" s="146">
        <f t="shared" ca="1" si="471"/>
        <v>0</v>
      </c>
      <c r="AO237" s="146">
        <f t="shared" ca="1" si="472"/>
        <v>0</v>
      </c>
      <c r="AP237" s="146" t="str">
        <f t="shared" si="466"/>
        <v>N/A</v>
      </c>
      <c r="AQ237" s="146">
        <f t="shared" si="466"/>
        <v>0</v>
      </c>
      <c r="AR237" s="146">
        <f t="shared" si="473"/>
        <v>0</v>
      </c>
      <c r="AS237" s="146">
        <f t="shared" ca="1" si="474"/>
        <v>0</v>
      </c>
      <c r="AT237" s="146">
        <f t="shared" ca="1" si="475"/>
        <v>0</v>
      </c>
      <c r="AU237" s="146" t="str">
        <f t="shared" si="466"/>
        <v>N/A</v>
      </c>
      <c r="AV237" s="146">
        <f t="shared" si="466"/>
        <v>0</v>
      </c>
      <c r="AW237" s="146">
        <f t="shared" si="476"/>
        <v>0</v>
      </c>
      <c r="AX237" s="146">
        <f t="shared" ca="1" si="477"/>
        <v>0</v>
      </c>
      <c r="AY237" s="146">
        <f t="shared" ca="1" si="478"/>
        <v>0</v>
      </c>
      <c r="AZ237" s="143"/>
      <c r="BA237" s="165" t="s">
        <v>141</v>
      </c>
      <c r="BB237" s="165" t="s">
        <v>140</v>
      </c>
      <c r="BC237" s="165" t="s">
        <v>140</v>
      </c>
      <c r="BD237" s="165" t="s">
        <v>140</v>
      </c>
      <c r="BE237" s="142">
        <v>22.6</v>
      </c>
      <c r="BF237" s="166"/>
      <c r="BG237" s="142"/>
      <c r="BH237" s="117"/>
      <c r="BI237" s="117"/>
      <c r="BJ237" s="149" t="s">
        <v>294</v>
      </c>
      <c r="BK237" s="149"/>
      <c r="BL237" s="117">
        <v>0</v>
      </c>
      <c r="BM237" s="117">
        <v>1</v>
      </c>
      <c r="BN237" s="117">
        <v>0</v>
      </c>
      <c r="BO237" s="117">
        <v>1</v>
      </c>
      <c r="BP237" s="117">
        <v>0</v>
      </c>
      <c r="BQ237" s="117">
        <v>0</v>
      </c>
      <c r="BR237" s="117">
        <v>0</v>
      </c>
      <c r="BS237" s="117" t="s">
        <v>150</v>
      </c>
      <c r="BT237" s="117"/>
      <c r="BU237" s="117"/>
      <c r="BV237" s="117" t="s">
        <v>57</v>
      </c>
      <c r="BW237" s="117">
        <v>1</v>
      </c>
      <c r="BX237" s="149"/>
      <c r="BY237" s="117"/>
      <c r="BZ237" s="117"/>
      <c r="CA237" s="117"/>
      <c r="CB237" s="117">
        <f>+L237-BW237</f>
        <v>0</v>
      </c>
    </row>
    <row r="238" spans="1:80" ht="16.5" hidden="1" customHeight="1">
      <c r="A238" s="133">
        <v>681</v>
      </c>
      <c r="B238" s="156" t="s">
        <v>612</v>
      </c>
      <c r="C238" s="156" t="s">
        <v>916</v>
      </c>
      <c r="D238" s="156"/>
      <c r="E238" s="156" t="s">
        <v>136</v>
      </c>
      <c r="F238" s="156"/>
      <c r="G238" s="156"/>
      <c r="H238" s="157"/>
      <c r="I238" s="159"/>
      <c r="J238" s="160" t="s">
        <v>136</v>
      </c>
      <c r="K238" s="138">
        <f>+AG238+AL238+AQ238+AV238</f>
        <v>1</v>
      </c>
      <c r="L238" s="160" t="s">
        <v>136</v>
      </c>
      <c r="M238" s="157"/>
      <c r="N238" s="157">
        <v>1638.6</v>
      </c>
      <c r="O238" s="157" t="s">
        <v>137</v>
      </c>
      <c r="P238" s="157"/>
      <c r="Q238" s="157"/>
      <c r="R238" s="157"/>
      <c r="S238" s="157"/>
      <c r="T238" s="157"/>
      <c r="U238" s="157"/>
      <c r="V238" s="157"/>
      <c r="W238" s="135">
        <f ca="1">_xlfn.MINIFS(V:V,C:C,C238,AE:AE,"",AB:AB,"")</f>
        <v>1</v>
      </c>
      <c r="X238" s="135">
        <f ca="1">SUMIFS(T:T,C:C,C238,AE:AE,"")/SUMIFS(L:L,C:C,C238,AE:AE,"",AB:AB,"")</f>
        <v>1</v>
      </c>
      <c r="Y238" s="157"/>
      <c r="Z238" s="157"/>
      <c r="AA238" s="157"/>
      <c r="AB238" s="157"/>
      <c r="AC238" s="157">
        <v>24.4</v>
      </c>
      <c r="AD238" s="161" t="s">
        <v>196</v>
      </c>
      <c r="AE238" s="162" t="s">
        <v>143</v>
      </c>
      <c r="AF238" s="157" t="s">
        <v>281</v>
      </c>
      <c r="AG238" s="157">
        <v>1</v>
      </c>
      <c r="AH238" s="157"/>
      <c r="AI238" s="157"/>
      <c r="AJ238" s="157"/>
      <c r="AK238" s="157" t="s">
        <v>138</v>
      </c>
      <c r="AL238" s="157">
        <v>0</v>
      </c>
      <c r="AM238" s="157"/>
      <c r="AN238" s="157"/>
      <c r="AO238" s="157"/>
      <c r="AP238" s="157" t="s">
        <v>138</v>
      </c>
      <c r="AQ238" s="157">
        <v>0</v>
      </c>
      <c r="AR238" s="157"/>
      <c r="AS238" s="157"/>
      <c r="AT238" s="157"/>
      <c r="AU238" s="157" t="s">
        <v>138</v>
      </c>
      <c r="AV238" s="157">
        <v>0</v>
      </c>
      <c r="AW238" s="157"/>
      <c r="AX238" s="157"/>
      <c r="AY238" s="157"/>
      <c r="AZ238" s="136"/>
      <c r="BA238" s="137" t="s">
        <v>141</v>
      </c>
      <c r="BB238" s="137" t="s">
        <v>140</v>
      </c>
      <c r="BC238" s="137" t="s">
        <v>140</v>
      </c>
      <c r="BD238" s="137" t="s">
        <v>140</v>
      </c>
      <c r="BE238" s="157">
        <v>24.4</v>
      </c>
      <c r="BF238" s="162"/>
      <c r="BG238" s="157"/>
      <c r="BH238" s="161"/>
      <c r="BI238" s="161"/>
      <c r="BJ238" s="163"/>
      <c r="BK238" s="163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4"/>
      <c r="BV238" s="161"/>
      <c r="BW238" s="161"/>
      <c r="BX238" s="163"/>
      <c r="BY238" s="161"/>
      <c r="BZ238" s="161"/>
      <c r="CA238" s="161"/>
      <c r="CB238" s="161"/>
    </row>
    <row r="239" spans="1:80" ht="16.5" hidden="1" customHeight="1">
      <c r="A239" s="117">
        <v>682</v>
      </c>
      <c r="B239" s="154" t="s">
        <v>612</v>
      </c>
      <c r="C239" s="154" t="s">
        <v>916</v>
      </c>
      <c r="D239" s="154" t="s">
        <v>13</v>
      </c>
      <c r="E239" s="154" t="s">
        <v>520</v>
      </c>
      <c r="F239" s="154" t="s">
        <v>613</v>
      </c>
      <c r="G239" s="154" t="s">
        <v>522</v>
      </c>
      <c r="H239" s="146">
        <v>1377</v>
      </c>
      <c r="I239" s="147" t="s">
        <v>147</v>
      </c>
      <c r="J239" s="144">
        <v>1</v>
      </c>
      <c r="K239" s="145">
        <f t="shared" ref="K239:K243" si="479">K238</f>
        <v>1</v>
      </c>
      <c r="L239" s="144">
        <f t="shared" ref="L239:L243" si="480">+K239*J239</f>
        <v>1</v>
      </c>
      <c r="M239" s="146">
        <v>59.6</v>
      </c>
      <c r="N239" s="146">
        <f t="shared" ref="N239:N243" si="481">+M239*L239</f>
        <v>59.6</v>
      </c>
      <c r="O239" s="146" t="s">
        <v>137</v>
      </c>
      <c r="P239" s="146" t="s">
        <v>13</v>
      </c>
      <c r="Q239" s="146" t="s">
        <v>148</v>
      </c>
      <c r="R239" s="146"/>
      <c r="S239" s="146"/>
      <c r="T239" s="146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1</v>
      </c>
      <c r="U239" s="146">
        <f t="shared" ref="U239:U243" ca="1" si="482">+L239-T239</f>
        <v>0</v>
      </c>
      <c r="V239" s="146">
        <f t="shared" ref="V239:V243" ca="1" si="483">ROUNDDOWN(T239/J239,0)</f>
        <v>1</v>
      </c>
      <c r="W239" s="146"/>
      <c r="X239" s="146"/>
      <c r="Y239" s="146"/>
      <c r="Z239" s="146"/>
      <c r="AA239" s="146"/>
      <c r="AB239" s="146"/>
      <c r="AC239" s="146">
        <v>0.8</v>
      </c>
      <c r="AD239" s="117" t="s">
        <v>196</v>
      </c>
      <c r="AE239" s="148"/>
      <c r="AF239" s="146" t="str">
        <f t="shared" ref="AF239:AV243" si="484">AF238</f>
        <v>AMC 2-S1</v>
      </c>
      <c r="AG239" s="146">
        <f t="shared" si="484"/>
        <v>1</v>
      </c>
      <c r="AH239" s="146">
        <f t="shared" ref="AH239:AH243" si="485">+AG239*J239</f>
        <v>1</v>
      </c>
      <c r="AI239" s="146">
        <f t="shared" ref="AI239:AI243" ca="1" si="486">MIN(T239,AH239)</f>
        <v>1</v>
      </c>
      <c r="AJ239" s="146">
        <f t="shared" ref="AJ239:AJ243" ca="1" si="487">+AH239-AI239</f>
        <v>0</v>
      </c>
      <c r="AK239" s="146" t="str">
        <f t="shared" si="484"/>
        <v>N/A</v>
      </c>
      <c r="AL239" s="146">
        <f t="shared" si="484"/>
        <v>0</v>
      </c>
      <c r="AM239" s="146">
        <f t="shared" ref="AM239:AM243" si="488">+AL239*J239</f>
        <v>0</v>
      </c>
      <c r="AN239" s="146">
        <f t="shared" ref="AN239:AN243" ca="1" si="489">MIN(T239-AI239,AL239)</f>
        <v>0</v>
      </c>
      <c r="AO239" s="146">
        <f t="shared" ref="AO239:AO243" ca="1" si="490">+AM239-AN239</f>
        <v>0</v>
      </c>
      <c r="AP239" s="146" t="str">
        <f t="shared" si="484"/>
        <v>N/A</v>
      </c>
      <c r="AQ239" s="146">
        <f t="shared" si="484"/>
        <v>0</v>
      </c>
      <c r="AR239" s="146">
        <f t="shared" ref="AR239:AR243" si="491">+AQ239*J239</f>
        <v>0</v>
      </c>
      <c r="AS239" s="146">
        <f t="shared" ref="AS239:AS243" ca="1" si="492">MIN(T239-AI239-AN239,AR239)</f>
        <v>0</v>
      </c>
      <c r="AT239" s="146">
        <f t="shared" ref="AT239:AT243" ca="1" si="493">+AR239-AS239</f>
        <v>0</v>
      </c>
      <c r="AU239" s="146" t="str">
        <f t="shared" si="484"/>
        <v>N/A</v>
      </c>
      <c r="AV239" s="146">
        <f t="shared" si="484"/>
        <v>0</v>
      </c>
      <c r="AW239" s="146">
        <f t="shared" ref="AW239:AW243" si="494">+AV239*J239</f>
        <v>0</v>
      </c>
      <c r="AX239" s="146">
        <f t="shared" ref="AX239:AX243" ca="1" si="495">MIN(T239-AI239-AN239-AS239,AW239)</f>
        <v>0</v>
      </c>
      <c r="AY239" s="146">
        <f t="shared" ref="AY239:AY243" ca="1" si="496">+AW239-AX239</f>
        <v>0</v>
      </c>
      <c r="AZ239" s="147"/>
      <c r="BA239" s="144" t="s">
        <v>141</v>
      </c>
      <c r="BB239" s="144" t="s">
        <v>140</v>
      </c>
      <c r="BC239" s="144" t="s">
        <v>140</v>
      </c>
      <c r="BD239" s="144" t="s">
        <v>140</v>
      </c>
      <c r="BE239" s="146">
        <v>0.8</v>
      </c>
      <c r="BF239" s="148"/>
      <c r="BG239" s="146"/>
      <c r="BH239" s="117"/>
      <c r="BI239" s="117"/>
      <c r="BJ239" s="149"/>
      <c r="BK239" s="149"/>
      <c r="BL239" s="117">
        <v>0</v>
      </c>
      <c r="BM239" s="117">
        <v>0</v>
      </c>
      <c r="BN239" s="117">
        <v>0</v>
      </c>
      <c r="BO239" s="117">
        <v>1</v>
      </c>
      <c r="BP239" s="117">
        <v>0</v>
      </c>
      <c r="BQ239" s="117">
        <v>0</v>
      </c>
      <c r="BR239" s="117">
        <v>0</v>
      </c>
      <c r="BS239" s="117" t="s">
        <v>150</v>
      </c>
      <c r="BT239" s="167" t="s">
        <v>319</v>
      </c>
      <c r="BU239" s="141"/>
      <c r="BV239" s="141" t="s">
        <v>320</v>
      </c>
      <c r="BW239" s="141">
        <v>1</v>
      </c>
      <c r="BX239" s="153">
        <v>46202</v>
      </c>
      <c r="BY239" s="117"/>
      <c r="BZ239" s="117"/>
      <c r="CA239" s="117"/>
      <c r="CB239" s="117">
        <f>+L239-BW239</f>
        <v>0</v>
      </c>
    </row>
    <row r="240" spans="1:80" ht="16.5" hidden="1" customHeight="1">
      <c r="A240" s="117">
        <v>683</v>
      </c>
      <c r="B240" s="154" t="s">
        <v>612</v>
      </c>
      <c r="C240" s="154" t="s">
        <v>916</v>
      </c>
      <c r="D240" s="154" t="s">
        <v>13</v>
      </c>
      <c r="E240" s="154" t="s">
        <v>606</v>
      </c>
      <c r="F240" s="154" t="s">
        <v>614</v>
      </c>
      <c r="G240" s="154" t="s">
        <v>519</v>
      </c>
      <c r="H240" s="146">
        <v>2297</v>
      </c>
      <c r="I240" s="147" t="s">
        <v>147</v>
      </c>
      <c r="J240" s="144">
        <v>1</v>
      </c>
      <c r="K240" s="145">
        <f t="shared" si="479"/>
        <v>1</v>
      </c>
      <c r="L240" s="144">
        <f t="shared" si="480"/>
        <v>1</v>
      </c>
      <c r="M240" s="146">
        <v>74.599999999999994</v>
      </c>
      <c r="N240" s="146">
        <f t="shared" si="481"/>
        <v>74.599999999999994</v>
      </c>
      <c r="O240" s="146" t="s">
        <v>137</v>
      </c>
      <c r="P240" s="146" t="s">
        <v>13</v>
      </c>
      <c r="Q240" s="146" t="s">
        <v>148</v>
      </c>
      <c r="R240" s="146"/>
      <c r="S240" s="146"/>
      <c r="T240" s="146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</v>
      </c>
      <c r="U240" s="146">
        <f t="shared" ca="1" si="482"/>
        <v>0</v>
      </c>
      <c r="V240" s="146">
        <f t="shared" ca="1" si="483"/>
        <v>1</v>
      </c>
      <c r="W240" s="146"/>
      <c r="X240" s="146"/>
      <c r="Y240" s="146"/>
      <c r="Z240" s="146"/>
      <c r="AA240" s="146"/>
      <c r="AB240" s="146"/>
      <c r="AC240" s="146">
        <v>1.3</v>
      </c>
      <c r="AD240" s="117" t="s">
        <v>196</v>
      </c>
      <c r="AE240" s="148"/>
      <c r="AF240" s="146" t="str">
        <f t="shared" si="484"/>
        <v>AMC 2-S1</v>
      </c>
      <c r="AG240" s="146">
        <f t="shared" si="484"/>
        <v>1</v>
      </c>
      <c r="AH240" s="146">
        <f t="shared" si="485"/>
        <v>1</v>
      </c>
      <c r="AI240" s="146">
        <f t="shared" ca="1" si="486"/>
        <v>1</v>
      </c>
      <c r="AJ240" s="146">
        <f t="shared" ca="1" si="487"/>
        <v>0</v>
      </c>
      <c r="AK240" s="146" t="str">
        <f t="shared" si="484"/>
        <v>N/A</v>
      </c>
      <c r="AL240" s="146">
        <f t="shared" si="484"/>
        <v>0</v>
      </c>
      <c r="AM240" s="146">
        <f t="shared" si="488"/>
        <v>0</v>
      </c>
      <c r="AN240" s="146">
        <f t="shared" ca="1" si="489"/>
        <v>0</v>
      </c>
      <c r="AO240" s="146">
        <f t="shared" ca="1" si="490"/>
        <v>0</v>
      </c>
      <c r="AP240" s="146" t="str">
        <f t="shared" si="484"/>
        <v>N/A</v>
      </c>
      <c r="AQ240" s="146">
        <f t="shared" si="484"/>
        <v>0</v>
      </c>
      <c r="AR240" s="146">
        <f t="shared" si="491"/>
        <v>0</v>
      </c>
      <c r="AS240" s="146">
        <f t="shared" ca="1" si="492"/>
        <v>0</v>
      </c>
      <c r="AT240" s="146">
        <f t="shared" ca="1" si="493"/>
        <v>0</v>
      </c>
      <c r="AU240" s="146" t="str">
        <f t="shared" si="484"/>
        <v>N/A</v>
      </c>
      <c r="AV240" s="146">
        <f t="shared" si="484"/>
        <v>0</v>
      </c>
      <c r="AW240" s="146">
        <f t="shared" si="494"/>
        <v>0</v>
      </c>
      <c r="AX240" s="146">
        <f t="shared" ca="1" si="495"/>
        <v>0</v>
      </c>
      <c r="AY240" s="146">
        <f t="shared" ca="1" si="496"/>
        <v>0</v>
      </c>
      <c r="AZ240" s="147"/>
      <c r="BA240" s="144" t="s">
        <v>141</v>
      </c>
      <c r="BB240" s="144" t="s">
        <v>140</v>
      </c>
      <c r="BC240" s="144" t="s">
        <v>140</v>
      </c>
      <c r="BD240" s="144" t="s">
        <v>140</v>
      </c>
      <c r="BE240" s="146">
        <v>1.3</v>
      </c>
      <c r="BF240" s="148"/>
      <c r="BG240" s="146"/>
      <c r="BH240" s="117"/>
      <c r="BI240" s="117"/>
      <c r="BJ240" s="149"/>
      <c r="BK240" s="149"/>
      <c r="BL240" s="117">
        <v>0</v>
      </c>
      <c r="BM240" s="117">
        <v>0</v>
      </c>
      <c r="BN240" s="117">
        <v>0</v>
      </c>
      <c r="BO240" s="117">
        <v>1</v>
      </c>
      <c r="BP240" s="117">
        <v>0</v>
      </c>
      <c r="BQ240" s="117">
        <v>0</v>
      </c>
      <c r="BR240" s="117">
        <v>0</v>
      </c>
      <c r="BS240" s="117" t="s">
        <v>150</v>
      </c>
      <c r="BT240" s="158" t="s">
        <v>200</v>
      </c>
      <c r="BU240" s="117"/>
      <c r="BV240" s="117" t="s">
        <v>201</v>
      </c>
      <c r="BW240" s="117">
        <v>1</v>
      </c>
      <c r="BX240" s="149">
        <v>46201</v>
      </c>
      <c r="BY240" s="117"/>
      <c r="BZ240" s="117"/>
      <c r="CA240" s="117"/>
      <c r="CB240" s="117">
        <f>+L240-BW240</f>
        <v>0</v>
      </c>
    </row>
    <row r="241" spans="1:80" ht="16.5" hidden="1" customHeight="1">
      <c r="A241" s="117">
        <v>684</v>
      </c>
      <c r="B241" s="154" t="s">
        <v>612</v>
      </c>
      <c r="C241" s="154" t="s">
        <v>916</v>
      </c>
      <c r="D241" s="154" t="s">
        <v>13</v>
      </c>
      <c r="E241" s="154" t="s">
        <v>615</v>
      </c>
      <c r="F241" s="154" t="s">
        <v>616</v>
      </c>
      <c r="G241" s="154" t="s">
        <v>146</v>
      </c>
      <c r="H241" s="146">
        <v>6021</v>
      </c>
      <c r="I241" s="147" t="s">
        <v>147</v>
      </c>
      <c r="J241" s="144">
        <v>1</v>
      </c>
      <c r="K241" s="145">
        <f t="shared" si="479"/>
        <v>1</v>
      </c>
      <c r="L241" s="144">
        <f t="shared" si="480"/>
        <v>1</v>
      </c>
      <c r="M241" s="146">
        <v>23.6</v>
      </c>
      <c r="N241" s="146">
        <f t="shared" si="481"/>
        <v>23.6</v>
      </c>
      <c r="O241" s="146" t="s">
        <v>137</v>
      </c>
      <c r="P241" s="146" t="s">
        <v>13</v>
      </c>
      <c r="Q241" s="146" t="s">
        <v>148</v>
      </c>
      <c r="R241" s="146"/>
      <c r="S241" s="146"/>
      <c r="T241" s="146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1</v>
      </c>
      <c r="U241" s="146">
        <f t="shared" ca="1" si="482"/>
        <v>0</v>
      </c>
      <c r="V241" s="146">
        <f t="shared" ca="1" si="483"/>
        <v>1</v>
      </c>
      <c r="W241" s="146"/>
      <c r="X241" s="146"/>
      <c r="Y241" s="146"/>
      <c r="Z241" s="146"/>
      <c r="AA241" s="146"/>
      <c r="AB241" s="146"/>
      <c r="AC241" s="146">
        <v>0.7</v>
      </c>
      <c r="AD241" s="117" t="s">
        <v>196</v>
      </c>
      <c r="AE241" s="148"/>
      <c r="AF241" s="146" t="str">
        <f t="shared" si="484"/>
        <v>AMC 2-S1</v>
      </c>
      <c r="AG241" s="146">
        <f t="shared" si="484"/>
        <v>1</v>
      </c>
      <c r="AH241" s="146">
        <f t="shared" si="485"/>
        <v>1</v>
      </c>
      <c r="AI241" s="146">
        <f t="shared" ca="1" si="486"/>
        <v>1</v>
      </c>
      <c r="AJ241" s="146">
        <f t="shared" ca="1" si="487"/>
        <v>0</v>
      </c>
      <c r="AK241" s="146" t="str">
        <f t="shared" si="484"/>
        <v>N/A</v>
      </c>
      <c r="AL241" s="146">
        <f t="shared" si="484"/>
        <v>0</v>
      </c>
      <c r="AM241" s="146">
        <f t="shared" si="488"/>
        <v>0</v>
      </c>
      <c r="AN241" s="146">
        <f t="shared" ca="1" si="489"/>
        <v>0</v>
      </c>
      <c r="AO241" s="146">
        <f t="shared" ca="1" si="490"/>
        <v>0</v>
      </c>
      <c r="AP241" s="146" t="str">
        <f t="shared" si="484"/>
        <v>N/A</v>
      </c>
      <c r="AQ241" s="146">
        <f t="shared" si="484"/>
        <v>0</v>
      </c>
      <c r="AR241" s="146">
        <f t="shared" si="491"/>
        <v>0</v>
      </c>
      <c r="AS241" s="146">
        <f t="shared" ca="1" si="492"/>
        <v>0</v>
      </c>
      <c r="AT241" s="146">
        <f t="shared" ca="1" si="493"/>
        <v>0</v>
      </c>
      <c r="AU241" s="146" t="str">
        <f t="shared" si="484"/>
        <v>N/A</v>
      </c>
      <c r="AV241" s="146">
        <f t="shared" si="484"/>
        <v>0</v>
      </c>
      <c r="AW241" s="146">
        <f t="shared" si="494"/>
        <v>0</v>
      </c>
      <c r="AX241" s="146">
        <f t="shared" ca="1" si="495"/>
        <v>0</v>
      </c>
      <c r="AY241" s="146">
        <f t="shared" ca="1" si="496"/>
        <v>0</v>
      </c>
      <c r="AZ241" s="147"/>
      <c r="BA241" s="144" t="s">
        <v>141</v>
      </c>
      <c r="BB241" s="144" t="s">
        <v>140</v>
      </c>
      <c r="BC241" s="144" t="s">
        <v>140</v>
      </c>
      <c r="BD241" s="144" t="s">
        <v>140</v>
      </c>
      <c r="BE241" s="146">
        <v>0.7</v>
      </c>
      <c r="BF241" s="148"/>
      <c r="BG241" s="146"/>
      <c r="BH241" s="117"/>
      <c r="BI241" s="117"/>
      <c r="BJ241" s="149"/>
      <c r="BK241" s="149"/>
      <c r="BL241" s="117">
        <v>0</v>
      </c>
      <c r="BM241" s="117">
        <v>0</v>
      </c>
      <c r="BN241" s="117">
        <v>0</v>
      </c>
      <c r="BO241" s="117">
        <v>0</v>
      </c>
      <c r="BP241" s="117">
        <v>0</v>
      </c>
      <c r="BQ241" s="117">
        <v>0</v>
      </c>
      <c r="BR241" s="117">
        <v>0</v>
      </c>
      <c r="BS241" s="117" t="s">
        <v>150</v>
      </c>
      <c r="BT241" s="158" t="s">
        <v>210</v>
      </c>
      <c r="BU241" s="117"/>
      <c r="BV241" s="117" t="s">
        <v>211</v>
      </c>
      <c r="BW241" s="117">
        <v>1</v>
      </c>
      <c r="BX241" s="149">
        <v>46201</v>
      </c>
      <c r="BY241" s="117"/>
      <c r="BZ241" s="117"/>
      <c r="CA241" s="117"/>
      <c r="CB241" s="117">
        <f>+L241-BW241</f>
        <v>0</v>
      </c>
    </row>
    <row r="242" spans="1:80" ht="16.5" hidden="1" customHeight="1">
      <c r="A242" s="117">
        <v>685</v>
      </c>
      <c r="B242" s="154" t="s">
        <v>612</v>
      </c>
      <c r="C242" s="154" t="s">
        <v>916</v>
      </c>
      <c r="D242" s="154" t="s">
        <v>13</v>
      </c>
      <c r="E242" s="154" t="s">
        <v>546</v>
      </c>
      <c r="F242" s="154" t="s">
        <v>617</v>
      </c>
      <c r="G242" s="154" t="s">
        <v>525</v>
      </c>
      <c r="H242" s="146">
        <v>1848</v>
      </c>
      <c r="I242" s="147" t="s">
        <v>147</v>
      </c>
      <c r="J242" s="144">
        <v>1</v>
      </c>
      <c r="K242" s="145">
        <f t="shared" si="479"/>
        <v>1</v>
      </c>
      <c r="L242" s="144">
        <f t="shared" si="480"/>
        <v>1</v>
      </c>
      <c r="M242" s="146">
        <v>54.3</v>
      </c>
      <c r="N242" s="146">
        <f t="shared" si="481"/>
        <v>54.3</v>
      </c>
      <c r="O242" s="146" t="s">
        <v>137</v>
      </c>
      <c r="P242" s="146" t="s">
        <v>13</v>
      </c>
      <c r="Q242" s="146" t="s">
        <v>148</v>
      </c>
      <c r="R242" s="146"/>
      <c r="S242" s="146"/>
      <c r="T242" s="146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46">
        <f t="shared" ca="1" si="482"/>
        <v>0</v>
      </c>
      <c r="V242" s="146">
        <f t="shared" ca="1" si="483"/>
        <v>1</v>
      </c>
      <c r="W242" s="146"/>
      <c r="X242" s="146"/>
      <c r="Y242" s="146"/>
      <c r="Z242" s="146"/>
      <c r="AA242" s="146"/>
      <c r="AB242" s="146"/>
      <c r="AC242" s="146">
        <v>1</v>
      </c>
      <c r="AD242" s="117" t="s">
        <v>196</v>
      </c>
      <c r="AE242" s="148"/>
      <c r="AF242" s="146" t="str">
        <f t="shared" si="484"/>
        <v>AMC 2-S1</v>
      </c>
      <c r="AG242" s="146">
        <f t="shared" si="484"/>
        <v>1</v>
      </c>
      <c r="AH242" s="146">
        <f t="shared" si="485"/>
        <v>1</v>
      </c>
      <c r="AI242" s="146">
        <f t="shared" ca="1" si="486"/>
        <v>1</v>
      </c>
      <c r="AJ242" s="146">
        <f t="shared" ca="1" si="487"/>
        <v>0</v>
      </c>
      <c r="AK242" s="146" t="str">
        <f t="shared" si="484"/>
        <v>N/A</v>
      </c>
      <c r="AL242" s="146">
        <f t="shared" si="484"/>
        <v>0</v>
      </c>
      <c r="AM242" s="146">
        <f t="shared" si="488"/>
        <v>0</v>
      </c>
      <c r="AN242" s="146">
        <f t="shared" ca="1" si="489"/>
        <v>0</v>
      </c>
      <c r="AO242" s="146">
        <f t="shared" ca="1" si="490"/>
        <v>0</v>
      </c>
      <c r="AP242" s="146" t="str">
        <f t="shared" si="484"/>
        <v>N/A</v>
      </c>
      <c r="AQ242" s="146">
        <f t="shared" si="484"/>
        <v>0</v>
      </c>
      <c r="AR242" s="146">
        <f t="shared" si="491"/>
        <v>0</v>
      </c>
      <c r="AS242" s="146">
        <f t="shared" ca="1" si="492"/>
        <v>0</v>
      </c>
      <c r="AT242" s="146">
        <f t="shared" ca="1" si="493"/>
        <v>0</v>
      </c>
      <c r="AU242" s="146" t="str">
        <f t="shared" si="484"/>
        <v>N/A</v>
      </c>
      <c r="AV242" s="146">
        <f t="shared" si="484"/>
        <v>0</v>
      </c>
      <c r="AW242" s="146">
        <f t="shared" si="494"/>
        <v>0</v>
      </c>
      <c r="AX242" s="146">
        <f t="shared" ca="1" si="495"/>
        <v>0</v>
      </c>
      <c r="AY242" s="146">
        <f t="shared" ca="1" si="496"/>
        <v>0</v>
      </c>
      <c r="AZ242" s="147"/>
      <c r="BA242" s="144" t="s">
        <v>141</v>
      </c>
      <c r="BB242" s="144" t="s">
        <v>140</v>
      </c>
      <c r="BC242" s="144" t="s">
        <v>140</v>
      </c>
      <c r="BD242" s="144" t="s">
        <v>140</v>
      </c>
      <c r="BE242" s="146">
        <v>1</v>
      </c>
      <c r="BF242" s="148"/>
      <c r="BG242" s="146"/>
      <c r="BH242" s="117"/>
      <c r="BI242" s="117"/>
      <c r="BJ242" s="149"/>
      <c r="BK242" s="149"/>
      <c r="BL242" s="117">
        <v>0</v>
      </c>
      <c r="BM242" s="117">
        <v>0</v>
      </c>
      <c r="BN242" s="117">
        <v>0</v>
      </c>
      <c r="BO242" s="117">
        <v>1</v>
      </c>
      <c r="BP242" s="117">
        <v>0</v>
      </c>
      <c r="BQ242" s="117">
        <v>0</v>
      </c>
      <c r="BR242" s="117">
        <v>0</v>
      </c>
      <c r="BS242" s="117" t="s">
        <v>150</v>
      </c>
      <c r="BT242" s="158" t="s">
        <v>200</v>
      </c>
      <c r="BU242" s="117"/>
      <c r="BV242" s="117" t="s">
        <v>201</v>
      </c>
      <c r="BW242" s="117">
        <v>1</v>
      </c>
      <c r="BX242" s="149">
        <v>46201</v>
      </c>
      <c r="BY242" s="117"/>
      <c r="BZ242" s="117"/>
      <c r="CA242" s="117"/>
      <c r="CB242" s="117">
        <f>+L242-BW242</f>
        <v>0</v>
      </c>
    </row>
    <row r="243" spans="1:80" ht="16.5" hidden="1" customHeight="1">
      <c r="A243" s="117">
        <v>686</v>
      </c>
      <c r="B243" s="154" t="s">
        <v>612</v>
      </c>
      <c r="C243" s="154" t="s">
        <v>916</v>
      </c>
      <c r="D243" s="154" t="s">
        <v>13</v>
      </c>
      <c r="E243" s="154" t="s">
        <v>618</v>
      </c>
      <c r="F243" s="154" t="s">
        <v>619</v>
      </c>
      <c r="G243" s="154" t="s">
        <v>620</v>
      </c>
      <c r="H243" s="146">
        <v>6500</v>
      </c>
      <c r="I243" s="147" t="s">
        <v>147</v>
      </c>
      <c r="J243" s="144">
        <v>1</v>
      </c>
      <c r="K243" s="145">
        <f t="shared" si="479"/>
        <v>1</v>
      </c>
      <c r="L243" s="144">
        <f t="shared" si="480"/>
        <v>1</v>
      </c>
      <c r="M243" s="146">
        <v>1426.3</v>
      </c>
      <c r="N243" s="146">
        <f t="shared" si="481"/>
        <v>1426.3</v>
      </c>
      <c r="O243" s="146" t="s">
        <v>137</v>
      </c>
      <c r="P243" s="146" t="s">
        <v>13</v>
      </c>
      <c r="Q243" s="146" t="s">
        <v>154</v>
      </c>
      <c r="R243" s="146"/>
      <c r="S243" s="146"/>
      <c r="T243" s="146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1</v>
      </c>
      <c r="U243" s="146">
        <f t="shared" ca="1" si="482"/>
        <v>0</v>
      </c>
      <c r="V243" s="146">
        <f t="shared" ca="1" si="483"/>
        <v>1</v>
      </c>
      <c r="W243" s="146"/>
      <c r="X243" s="146"/>
      <c r="Y243" s="146"/>
      <c r="Z243" s="146"/>
      <c r="AA243" s="146"/>
      <c r="AB243" s="146"/>
      <c r="AC243" s="142">
        <v>20.5</v>
      </c>
      <c r="AD243" s="141" t="s">
        <v>196</v>
      </c>
      <c r="AE243" s="166"/>
      <c r="AF243" s="146" t="str">
        <f t="shared" si="484"/>
        <v>AMC 2-S1</v>
      </c>
      <c r="AG243" s="146">
        <f t="shared" si="484"/>
        <v>1</v>
      </c>
      <c r="AH243" s="146">
        <f t="shared" si="485"/>
        <v>1</v>
      </c>
      <c r="AI243" s="146">
        <f t="shared" ca="1" si="486"/>
        <v>1</v>
      </c>
      <c r="AJ243" s="146">
        <f t="shared" ca="1" si="487"/>
        <v>0</v>
      </c>
      <c r="AK243" s="146" t="str">
        <f t="shared" si="484"/>
        <v>N/A</v>
      </c>
      <c r="AL243" s="146">
        <f t="shared" si="484"/>
        <v>0</v>
      </c>
      <c r="AM243" s="146">
        <f t="shared" si="488"/>
        <v>0</v>
      </c>
      <c r="AN243" s="146">
        <f t="shared" ca="1" si="489"/>
        <v>0</v>
      </c>
      <c r="AO243" s="146">
        <f t="shared" ca="1" si="490"/>
        <v>0</v>
      </c>
      <c r="AP243" s="146" t="str">
        <f t="shared" si="484"/>
        <v>N/A</v>
      </c>
      <c r="AQ243" s="146">
        <f t="shared" si="484"/>
        <v>0</v>
      </c>
      <c r="AR243" s="146">
        <f t="shared" si="491"/>
        <v>0</v>
      </c>
      <c r="AS243" s="146">
        <f t="shared" ca="1" si="492"/>
        <v>0</v>
      </c>
      <c r="AT243" s="146">
        <f t="shared" ca="1" si="493"/>
        <v>0</v>
      </c>
      <c r="AU243" s="146" t="str">
        <f t="shared" si="484"/>
        <v>N/A</v>
      </c>
      <c r="AV243" s="146">
        <f t="shared" si="484"/>
        <v>0</v>
      </c>
      <c r="AW243" s="146">
        <f t="shared" si="494"/>
        <v>0</v>
      </c>
      <c r="AX243" s="146">
        <f t="shared" ca="1" si="495"/>
        <v>0</v>
      </c>
      <c r="AY243" s="146">
        <f t="shared" ca="1" si="496"/>
        <v>0</v>
      </c>
      <c r="AZ243" s="143"/>
      <c r="BA243" s="165" t="s">
        <v>141</v>
      </c>
      <c r="BB243" s="165" t="s">
        <v>140</v>
      </c>
      <c r="BC243" s="165" t="s">
        <v>140</v>
      </c>
      <c r="BD243" s="165" t="s">
        <v>140</v>
      </c>
      <c r="BE243" s="142">
        <v>20.5</v>
      </c>
      <c r="BF243" s="166"/>
      <c r="BG243" s="142"/>
      <c r="BH243" s="117"/>
      <c r="BI243" s="117"/>
      <c r="BJ243" s="149" t="s">
        <v>294</v>
      </c>
      <c r="BK243" s="149"/>
      <c r="BL243" s="117">
        <v>0</v>
      </c>
      <c r="BM243" s="117">
        <v>1</v>
      </c>
      <c r="BN243" s="117">
        <v>0</v>
      </c>
      <c r="BO243" s="117">
        <v>1</v>
      </c>
      <c r="BP243" s="117">
        <v>0</v>
      </c>
      <c r="BQ243" s="117">
        <v>0</v>
      </c>
      <c r="BR243" s="117">
        <v>0</v>
      </c>
      <c r="BS243" s="117" t="s">
        <v>150</v>
      </c>
      <c r="BT243" s="117"/>
      <c r="BU243" s="155"/>
      <c r="BV243" s="117" t="s">
        <v>57</v>
      </c>
      <c r="BW243" s="144">
        <v>1</v>
      </c>
      <c r="BX243" s="149"/>
      <c r="BY243" s="117"/>
      <c r="BZ243" s="117"/>
      <c r="CA243" s="117"/>
      <c r="CB243" s="117">
        <f>+L243-BW243</f>
        <v>0</v>
      </c>
    </row>
    <row r="244" spans="1:80" ht="16.5" hidden="1" customHeight="1">
      <c r="A244" s="133">
        <v>693</v>
      </c>
      <c r="B244" s="156" t="s">
        <v>621</v>
      </c>
      <c r="C244" s="156" t="s">
        <v>917</v>
      </c>
      <c r="D244" s="156"/>
      <c r="E244" s="156" t="s">
        <v>136</v>
      </c>
      <c r="F244" s="156"/>
      <c r="G244" s="156"/>
      <c r="H244" s="157"/>
      <c r="I244" s="159"/>
      <c r="J244" s="160" t="s">
        <v>136</v>
      </c>
      <c r="K244" s="138">
        <f>+AG244+AL244+AQ244+AV244</f>
        <v>1</v>
      </c>
      <c r="L244" s="160" t="s">
        <v>136</v>
      </c>
      <c r="M244" s="157"/>
      <c r="N244" s="157">
        <v>1711.8</v>
      </c>
      <c r="O244" s="157" t="s">
        <v>137</v>
      </c>
      <c r="P244" s="157"/>
      <c r="Q244" s="157"/>
      <c r="R244" s="157"/>
      <c r="S244" s="157"/>
      <c r="T244" s="157"/>
      <c r="U244" s="157"/>
      <c r="V244" s="157"/>
      <c r="W244" s="135">
        <f ca="1">_xlfn.MINIFS(V:V,C:C,C244,AE:AE,"",AB:AB,"")</f>
        <v>1</v>
      </c>
      <c r="X244" s="135">
        <f ca="1">SUMIFS(T:T,C:C,C244,AE:AE,"")/SUMIFS(L:L,C:C,C244,AE:AE,"",AB:AB,"")</f>
        <v>1</v>
      </c>
      <c r="Y244" s="157"/>
      <c r="Z244" s="157"/>
      <c r="AA244" s="157"/>
      <c r="AB244" s="157"/>
      <c r="AC244" s="157">
        <v>25.4</v>
      </c>
      <c r="AD244" s="161" t="s">
        <v>196</v>
      </c>
      <c r="AE244" s="162" t="s">
        <v>143</v>
      </c>
      <c r="AF244" s="157" t="s">
        <v>281</v>
      </c>
      <c r="AG244" s="157">
        <v>1</v>
      </c>
      <c r="AH244" s="157"/>
      <c r="AI244" s="157"/>
      <c r="AJ244" s="157"/>
      <c r="AK244" s="157" t="s">
        <v>138</v>
      </c>
      <c r="AL244" s="157">
        <v>0</v>
      </c>
      <c r="AM244" s="157"/>
      <c r="AN244" s="157"/>
      <c r="AO244" s="157"/>
      <c r="AP244" s="157" t="s">
        <v>138</v>
      </c>
      <c r="AQ244" s="157">
        <v>0</v>
      </c>
      <c r="AR244" s="157"/>
      <c r="AS244" s="157"/>
      <c r="AT244" s="157"/>
      <c r="AU244" s="157" t="s">
        <v>138</v>
      </c>
      <c r="AV244" s="157">
        <v>0</v>
      </c>
      <c r="AW244" s="157"/>
      <c r="AX244" s="157"/>
      <c r="AY244" s="157"/>
      <c r="AZ244" s="136"/>
      <c r="BA244" s="137" t="s">
        <v>141</v>
      </c>
      <c r="BB244" s="137" t="s">
        <v>140</v>
      </c>
      <c r="BC244" s="137" t="s">
        <v>140</v>
      </c>
      <c r="BD244" s="137" t="s">
        <v>140</v>
      </c>
      <c r="BE244" s="157">
        <v>25.4</v>
      </c>
      <c r="BF244" s="162"/>
      <c r="BG244" s="157"/>
      <c r="BH244" s="161"/>
      <c r="BI244" s="161"/>
      <c r="BJ244" s="163"/>
      <c r="BK244" s="163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4"/>
      <c r="BV244" s="161"/>
      <c r="BW244" s="161"/>
      <c r="BX244" s="163"/>
      <c r="BY244" s="161"/>
      <c r="BZ244" s="161"/>
      <c r="CA244" s="161"/>
      <c r="CB244" s="161"/>
    </row>
    <row r="245" spans="1:80" ht="16.5" hidden="1" customHeight="1">
      <c r="A245" s="117">
        <v>694</v>
      </c>
      <c r="B245" s="154" t="s">
        <v>621</v>
      </c>
      <c r="C245" s="154" t="s">
        <v>917</v>
      </c>
      <c r="D245" s="154" t="s">
        <v>13</v>
      </c>
      <c r="E245" s="154" t="s">
        <v>520</v>
      </c>
      <c r="F245" s="154" t="s">
        <v>622</v>
      </c>
      <c r="G245" s="154" t="s">
        <v>522</v>
      </c>
      <c r="H245" s="146">
        <v>1377</v>
      </c>
      <c r="I245" s="147" t="s">
        <v>147</v>
      </c>
      <c r="J245" s="144">
        <v>1</v>
      </c>
      <c r="K245" s="145">
        <f t="shared" ref="K245:K249" si="497">K244</f>
        <v>1</v>
      </c>
      <c r="L245" s="144">
        <f t="shared" ref="L245:L249" si="498">+K245*J245</f>
        <v>1</v>
      </c>
      <c r="M245" s="146">
        <v>59.6</v>
      </c>
      <c r="N245" s="146">
        <f t="shared" ref="N245:N249" si="499">+M245*L245</f>
        <v>59.6</v>
      </c>
      <c r="O245" s="146" t="s">
        <v>137</v>
      </c>
      <c r="P245" s="146" t="s">
        <v>13</v>
      </c>
      <c r="Q245" s="146" t="s">
        <v>148</v>
      </c>
      <c r="R245" s="146"/>
      <c r="S245" s="146"/>
      <c r="T245" s="146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1</v>
      </c>
      <c r="U245" s="146">
        <f t="shared" ref="U245:U249" ca="1" si="500">+L245-T245</f>
        <v>0</v>
      </c>
      <c r="V245" s="146">
        <f t="shared" ref="V245:V249" ca="1" si="501">ROUNDDOWN(T245/J245,0)</f>
        <v>1</v>
      </c>
      <c r="W245" s="146"/>
      <c r="X245" s="146"/>
      <c r="Y245" s="146"/>
      <c r="Z245" s="146"/>
      <c r="AA245" s="146"/>
      <c r="AB245" s="146"/>
      <c r="AC245" s="146">
        <v>0.8</v>
      </c>
      <c r="AD245" s="117" t="s">
        <v>196</v>
      </c>
      <c r="AE245" s="148"/>
      <c r="AF245" s="146" t="str">
        <f t="shared" ref="AF245:AV249" si="502">AF244</f>
        <v>AMC 2-S1</v>
      </c>
      <c r="AG245" s="146">
        <f t="shared" si="502"/>
        <v>1</v>
      </c>
      <c r="AH245" s="146">
        <f t="shared" ref="AH245:AH249" si="503">+AG245*J245</f>
        <v>1</v>
      </c>
      <c r="AI245" s="146">
        <f t="shared" ref="AI245:AI249" ca="1" si="504">MIN(T245,AH245)</f>
        <v>1</v>
      </c>
      <c r="AJ245" s="146">
        <f t="shared" ref="AJ245:AJ249" ca="1" si="505">+AH245-AI245</f>
        <v>0</v>
      </c>
      <c r="AK245" s="146" t="str">
        <f t="shared" si="502"/>
        <v>N/A</v>
      </c>
      <c r="AL245" s="146">
        <f t="shared" si="502"/>
        <v>0</v>
      </c>
      <c r="AM245" s="146">
        <f t="shared" ref="AM245:AM249" si="506">+AL245*J245</f>
        <v>0</v>
      </c>
      <c r="AN245" s="146">
        <f t="shared" ref="AN245:AN249" ca="1" si="507">MIN(T245-AI245,AL245)</f>
        <v>0</v>
      </c>
      <c r="AO245" s="146">
        <f t="shared" ref="AO245:AO249" ca="1" si="508">+AM245-AN245</f>
        <v>0</v>
      </c>
      <c r="AP245" s="146" t="str">
        <f t="shared" si="502"/>
        <v>N/A</v>
      </c>
      <c r="AQ245" s="146">
        <f t="shared" si="502"/>
        <v>0</v>
      </c>
      <c r="AR245" s="146">
        <f t="shared" ref="AR245:AR249" si="509">+AQ245*J245</f>
        <v>0</v>
      </c>
      <c r="AS245" s="146">
        <f t="shared" ref="AS245:AS249" ca="1" si="510">MIN(T245-AI245-AN245,AR245)</f>
        <v>0</v>
      </c>
      <c r="AT245" s="146">
        <f t="shared" ref="AT245:AT249" ca="1" si="511">+AR245-AS245</f>
        <v>0</v>
      </c>
      <c r="AU245" s="146" t="str">
        <f t="shared" si="502"/>
        <v>N/A</v>
      </c>
      <c r="AV245" s="146">
        <f t="shared" si="502"/>
        <v>0</v>
      </c>
      <c r="AW245" s="146">
        <f t="shared" ref="AW245:AW249" si="512">+AV245*J245</f>
        <v>0</v>
      </c>
      <c r="AX245" s="146">
        <f t="shared" ref="AX245:AX249" ca="1" si="513">MIN(T245-AI245-AN245-AS245,AW245)</f>
        <v>0</v>
      </c>
      <c r="AY245" s="146">
        <f t="shared" ref="AY245:AY249" ca="1" si="514">+AW245-AX245</f>
        <v>0</v>
      </c>
      <c r="AZ245" s="147"/>
      <c r="BA245" s="144" t="s">
        <v>141</v>
      </c>
      <c r="BB245" s="144" t="s">
        <v>140</v>
      </c>
      <c r="BC245" s="144" t="s">
        <v>140</v>
      </c>
      <c r="BD245" s="144" t="s">
        <v>140</v>
      </c>
      <c r="BE245" s="146">
        <v>0.8</v>
      </c>
      <c r="BF245" s="148"/>
      <c r="BG245" s="146"/>
      <c r="BH245" s="117"/>
      <c r="BI245" s="117"/>
      <c r="BJ245" s="149"/>
      <c r="BK245" s="149"/>
      <c r="BL245" s="117">
        <v>0</v>
      </c>
      <c r="BM245" s="117">
        <v>0</v>
      </c>
      <c r="BN245" s="117">
        <v>0</v>
      </c>
      <c r="BO245" s="117">
        <v>1</v>
      </c>
      <c r="BP245" s="117">
        <v>0</v>
      </c>
      <c r="BQ245" s="117">
        <v>0</v>
      </c>
      <c r="BR245" s="117">
        <v>0</v>
      </c>
      <c r="BS245" s="117" t="s">
        <v>150</v>
      </c>
      <c r="BT245" s="167" t="s">
        <v>319</v>
      </c>
      <c r="BU245" s="141"/>
      <c r="BV245" s="141" t="s">
        <v>320</v>
      </c>
      <c r="BW245" s="141">
        <v>1</v>
      </c>
      <c r="BX245" s="153">
        <v>46202</v>
      </c>
      <c r="BY245" s="117"/>
      <c r="BZ245" s="117"/>
      <c r="CA245" s="117"/>
      <c r="CB245" s="117">
        <f>+L245-BW245</f>
        <v>0</v>
      </c>
    </row>
    <row r="246" spans="1:80" ht="16.5" hidden="1" customHeight="1">
      <c r="A246" s="117">
        <v>695</v>
      </c>
      <c r="B246" s="154" t="s">
        <v>621</v>
      </c>
      <c r="C246" s="154" t="s">
        <v>917</v>
      </c>
      <c r="D246" s="154" t="s">
        <v>13</v>
      </c>
      <c r="E246" s="154" t="s">
        <v>623</v>
      </c>
      <c r="F246" s="154" t="s">
        <v>624</v>
      </c>
      <c r="G246" s="154" t="s">
        <v>625</v>
      </c>
      <c r="H246" s="146">
        <v>6651</v>
      </c>
      <c r="I246" s="147" t="s">
        <v>147</v>
      </c>
      <c r="J246" s="144">
        <v>1</v>
      </c>
      <c r="K246" s="145">
        <f t="shared" si="497"/>
        <v>1</v>
      </c>
      <c r="L246" s="144">
        <f t="shared" si="498"/>
        <v>1</v>
      </c>
      <c r="M246" s="146">
        <v>24.1</v>
      </c>
      <c r="N246" s="146">
        <f t="shared" si="499"/>
        <v>24.1</v>
      </c>
      <c r="O246" s="146" t="s">
        <v>137</v>
      </c>
      <c r="P246" s="146" t="s">
        <v>13</v>
      </c>
      <c r="Q246" s="146" t="s">
        <v>148</v>
      </c>
      <c r="R246" s="146"/>
      <c r="S246" s="146"/>
      <c r="T246" s="146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1</v>
      </c>
      <c r="U246" s="146">
        <f t="shared" ca="1" si="500"/>
        <v>0</v>
      </c>
      <c r="V246" s="146">
        <f t="shared" ca="1" si="501"/>
        <v>1</v>
      </c>
      <c r="W246" s="146"/>
      <c r="X246" s="146"/>
      <c r="Y246" s="146"/>
      <c r="Z246" s="146"/>
      <c r="AA246" s="146"/>
      <c r="AB246" s="146"/>
      <c r="AC246" s="146">
        <v>0.7</v>
      </c>
      <c r="AD246" s="117" t="s">
        <v>196</v>
      </c>
      <c r="AE246" s="148"/>
      <c r="AF246" s="146" t="str">
        <f t="shared" si="502"/>
        <v>AMC 2-S1</v>
      </c>
      <c r="AG246" s="146">
        <f t="shared" si="502"/>
        <v>1</v>
      </c>
      <c r="AH246" s="146">
        <f t="shared" si="503"/>
        <v>1</v>
      </c>
      <c r="AI246" s="146">
        <f t="shared" ca="1" si="504"/>
        <v>1</v>
      </c>
      <c r="AJ246" s="146">
        <f t="shared" ca="1" si="505"/>
        <v>0</v>
      </c>
      <c r="AK246" s="146" t="str">
        <f t="shared" si="502"/>
        <v>N/A</v>
      </c>
      <c r="AL246" s="146">
        <f t="shared" si="502"/>
        <v>0</v>
      </c>
      <c r="AM246" s="146">
        <f t="shared" si="506"/>
        <v>0</v>
      </c>
      <c r="AN246" s="146">
        <f t="shared" ca="1" si="507"/>
        <v>0</v>
      </c>
      <c r="AO246" s="146">
        <f t="shared" ca="1" si="508"/>
        <v>0</v>
      </c>
      <c r="AP246" s="146" t="str">
        <f t="shared" si="502"/>
        <v>N/A</v>
      </c>
      <c r="AQ246" s="146">
        <f t="shared" si="502"/>
        <v>0</v>
      </c>
      <c r="AR246" s="146">
        <f t="shared" si="509"/>
        <v>0</v>
      </c>
      <c r="AS246" s="146">
        <f t="shared" ca="1" si="510"/>
        <v>0</v>
      </c>
      <c r="AT246" s="146">
        <f t="shared" ca="1" si="511"/>
        <v>0</v>
      </c>
      <c r="AU246" s="146" t="str">
        <f t="shared" si="502"/>
        <v>N/A</v>
      </c>
      <c r="AV246" s="146">
        <f t="shared" si="502"/>
        <v>0</v>
      </c>
      <c r="AW246" s="146">
        <f t="shared" si="512"/>
        <v>0</v>
      </c>
      <c r="AX246" s="146">
        <f t="shared" ca="1" si="513"/>
        <v>0</v>
      </c>
      <c r="AY246" s="146">
        <f t="shared" ca="1" si="514"/>
        <v>0</v>
      </c>
      <c r="AZ246" s="147"/>
      <c r="BA246" s="144" t="s">
        <v>141</v>
      </c>
      <c r="BB246" s="144" t="s">
        <v>140</v>
      </c>
      <c r="BC246" s="144" t="s">
        <v>140</v>
      </c>
      <c r="BD246" s="144" t="s">
        <v>140</v>
      </c>
      <c r="BE246" s="146">
        <v>0.7</v>
      </c>
      <c r="BF246" s="148"/>
      <c r="BG246" s="146"/>
      <c r="BH246" s="117"/>
      <c r="BI246" s="117"/>
      <c r="BJ246" s="149"/>
      <c r="BK246" s="149"/>
      <c r="BL246" s="117">
        <v>0</v>
      </c>
      <c r="BM246" s="117">
        <v>0</v>
      </c>
      <c r="BN246" s="117">
        <v>0</v>
      </c>
      <c r="BO246" s="117">
        <v>0</v>
      </c>
      <c r="BP246" s="117">
        <v>0</v>
      </c>
      <c r="BQ246" s="117">
        <v>0</v>
      </c>
      <c r="BR246" s="117">
        <v>0</v>
      </c>
      <c r="BS246" s="117" t="s">
        <v>150</v>
      </c>
      <c r="BT246" s="158" t="s">
        <v>210</v>
      </c>
      <c r="BU246" s="117"/>
      <c r="BV246" s="117" t="s">
        <v>211</v>
      </c>
      <c r="BW246" s="117">
        <v>1</v>
      </c>
      <c r="BX246" s="149">
        <v>46201</v>
      </c>
      <c r="BY246" s="117"/>
      <c r="BZ246" s="117"/>
      <c r="CA246" s="117"/>
      <c r="CB246" s="117">
        <f>+L246-BW246</f>
        <v>0</v>
      </c>
    </row>
    <row r="247" spans="1:80" ht="16.5" hidden="1" customHeight="1">
      <c r="A247" s="117">
        <v>696</v>
      </c>
      <c r="B247" s="154" t="s">
        <v>621</v>
      </c>
      <c r="C247" s="154" t="s">
        <v>917</v>
      </c>
      <c r="D247" s="154" t="s">
        <v>13</v>
      </c>
      <c r="E247" s="154" t="s">
        <v>626</v>
      </c>
      <c r="F247" s="154" t="s">
        <v>627</v>
      </c>
      <c r="G247" s="154" t="s">
        <v>519</v>
      </c>
      <c r="H247" s="146">
        <v>2009</v>
      </c>
      <c r="I247" s="147" t="s">
        <v>147</v>
      </c>
      <c r="J247" s="144">
        <v>1</v>
      </c>
      <c r="K247" s="145">
        <f t="shared" si="497"/>
        <v>1</v>
      </c>
      <c r="L247" s="144">
        <f t="shared" si="498"/>
        <v>1</v>
      </c>
      <c r="M247" s="146">
        <v>65.3</v>
      </c>
      <c r="N247" s="146">
        <f t="shared" si="499"/>
        <v>65.3</v>
      </c>
      <c r="O247" s="146" t="s">
        <v>137</v>
      </c>
      <c r="P247" s="146" t="s">
        <v>13</v>
      </c>
      <c r="Q247" s="146" t="s">
        <v>148</v>
      </c>
      <c r="R247" s="146"/>
      <c r="S247" s="146"/>
      <c r="T247" s="146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1</v>
      </c>
      <c r="U247" s="146">
        <f t="shared" ca="1" si="500"/>
        <v>0</v>
      </c>
      <c r="V247" s="146">
        <f t="shared" ca="1" si="501"/>
        <v>1</v>
      </c>
      <c r="W247" s="146"/>
      <c r="X247" s="146"/>
      <c r="Y247" s="146"/>
      <c r="Z247" s="146"/>
      <c r="AA247" s="146"/>
      <c r="AB247" s="146"/>
      <c r="AC247" s="146">
        <v>1.2</v>
      </c>
      <c r="AD247" s="117" t="s">
        <v>196</v>
      </c>
      <c r="AE247" s="148"/>
      <c r="AF247" s="146" t="str">
        <f t="shared" si="502"/>
        <v>AMC 2-S1</v>
      </c>
      <c r="AG247" s="146">
        <f t="shared" si="502"/>
        <v>1</v>
      </c>
      <c r="AH247" s="146">
        <f t="shared" si="503"/>
        <v>1</v>
      </c>
      <c r="AI247" s="146">
        <f t="shared" ca="1" si="504"/>
        <v>1</v>
      </c>
      <c r="AJ247" s="146">
        <f t="shared" ca="1" si="505"/>
        <v>0</v>
      </c>
      <c r="AK247" s="146" t="str">
        <f t="shared" si="502"/>
        <v>N/A</v>
      </c>
      <c r="AL247" s="146">
        <f t="shared" si="502"/>
        <v>0</v>
      </c>
      <c r="AM247" s="146">
        <f t="shared" si="506"/>
        <v>0</v>
      </c>
      <c r="AN247" s="146">
        <f t="shared" ca="1" si="507"/>
        <v>0</v>
      </c>
      <c r="AO247" s="146">
        <f t="shared" ca="1" si="508"/>
        <v>0</v>
      </c>
      <c r="AP247" s="146" t="str">
        <f t="shared" si="502"/>
        <v>N/A</v>
      </c>
      <c r="AQ247" s="146">
        <f t="shared" si="502"/>
        <v>0</v>
      </c>
      <c r="AR247" s="146">
        <f t="shared" si="509"/>
        <v>0</v>
      </c>
      <c r="AS247" s="146">
        <f t="shared" ca="1" si="510"/>
        <v>0</v>
      </c>
      <c r="AT247" s="146">
        <f t="shared" ca="1" si="511"/>
        <v>0</v>
      </c>
      <c r="AU247" s="146" t="str">
        <f t="shared" si="502"/>
        <v>N/A</v>
      </c>
      <c r="AV247" s="146">
        <f t="shared" si="502"/>
        <v>0</v>
      </c>
      <c r="AW247" s="146">
        <f t="shared" si="512"/>
        <v>0</v>
      </c>
      <c r="AX247" s="146">
        <f t="shared" ca="1" si="513"/>
        <v>0</v>
      </c>
      <c r="AY247" s="146">
        <f t="shared" ca="1" si="514"/>
        <v>0</v>
      </c>
      <c r="AZ247" s="147"/>
      <c r="BA247" s="144" t="s">
        <v>141</v>
      </c>
      <c r="BB247" s="144" t="s">
        <v>140</v>
      </c>
      <c r="BC247" s="144" t="s">
        <v>140</v>
      </c>
      <c r="BD247" s="144" t="s">
        <v>140</v>
      </c>
      <c r="BE247" s="146">
        <v>1.2</v>
      </c>
      <c r="BF247" s="148"/>
      <c r="BG247" s="146"/>
      <c r="BH247" s="117"/>
      <c r="BI247" s="117"/>
      <c r="BJ247" s="149"/>
      <c r="BK247" s="149"/>
      <c r="BL247" s="117">
        <v>0</v>
      </c>
      <c r="BM247" s="117">
        <v>0</v>
      </c>
      <c r="BN247" s="117">
        <v>0</v>
      </c>
      <c r="BO247" s="117">
        <v>1</v>
      </c>
      <c r="BP247" s="117">
        <v>0</v>
      </c>
      <c r="BQ247" s="117">
        <v>0</v>
      </c>
      <c r="BR247" s="117">
        <v>0</v>
      </c>
      <c r="BS247" s="117" t="s">
        <v>150</v>
      </c>
      <c r="BT247" s="158" t="s">
        <v>200</v>
      </c>
      <c r="BU247" s="117"/>
      <c r="BV247" s="117" t="s">
        <v>201</v>
      </c>
      <c r="BW247" s="117">
        <v>1</v>
      </c>
      <c r="BX247" s="149">
        <v>46201</v>
      </c>
      <c r="BY247" s="117"/>
      <c r="BZ247" s="117"/>
      <c r="CA247" s="117"/>
      <c r="CB247" s="117">
        <f>+L247-BW247</f>
        <v>0</v>
      </c>
    </row>
    <row r="248" spans="1:80" ht="16.5" hidden="1" customHeight="1">
      <c r="A248" s="117">
        <v>697</v>
      </c>
      <c r="B248" s="154" t="s">
        <v>621</v>
      </c>
      <c r="C248" s="154" t="s">
        <v>917</v>
      </c>
      <c r="D248" s="154" t="s">
        <v>13</v>
      </c>
      <c r="E248" s="154" t="s">
        <v>535</v>
      </c>
      <c r="F248" s="154" t="s">
        <v>628</v>
      </c>
      <c r="G248" s="154" t="s">
        <v>525</v>
      </c>
      <c r="H248" s="146">
        <v>1851</v>
      </c>
      <c r="I248" s="147" t="s">
        <v>147</v>
      </c>
      <c r="J248" s="144">
        <v>1</v>
      </c>
      <c r="K248" s="145">
        <f t="shared" si="497"/>
        <v>1</v>
      </c>
      <c r="L248" s="144">
        <f t="shared" si="498"/>
        <v>1</v>
      </c>
      <c r="M248" s="146">
        <v>54.4</v>
      </c>
      <c r="N248" s="146">
        <f t="shared" si="499"/>
        <v>54.4</v>
      </c>
      <c r="O248" s="146" t="s">
        <v>137</v>
      </c>
      <c r="P248" s="146" t="s">
        <v>13</v>
      </c>
      <c r="Q248" s="146" t="s">
        <v>148</v>
      </c>
      <c r="R248" s="146"/>
      <c r="S248" s="146"/>
      <c r="T248" s="146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1</v>
      </c>
      <c r="U248" s="146">
        <f t="shared" ca="1" si="500"/>
        <v>0</v>
      </c>
      <c r="V248" s="146">
        <f t="shared" ca="1" si="501"/>
        <v>1</v>
      </c>
      <c r="W248" s="146"/>
      <c r="X248" s="146"/>
      <c r="Y248" s="146"/>
      <c r="Z248" s="146"/>
      <c r="AA248" s="146"/>
      <c r="AB248" s="146"/>
      <c r="AC248" s="146">
        <v>1</v>
      </c>
      <c r="AD248" s="117" t="s">
        <v>196</v>
      </c>
      <c r="AE248" s="148"/>
      <c r="AF248" s="146" t="str">
        <f t="shared" si="502"/>
        <v>AMC 2-S1</v>
      </c>
      <c r="AG248" s="146">
        <f t="shared" si="502"/>
        <v>1</v>
      </c>
      <c r="AH248" s="146">
        <f t="shared" si="503"/>
        <v>1</v>
      </c>
      <c r="AI248" s="146">
        <f t="shared" ca="1" si="504"/>
        <v>1</v>
      </c>
      <c r="AJ248" s="146">
        <f t="shared" ca="1" si="505"/>
        <v>0</v>
      </c>
      <c r="AK248" s="146" t="str">
        <f t="shared" si="502"/>
        <v>N/A</v>
      </c>
      <c r="AL248" s="146">
        <f t="shared" si="502"/>
        <v>0</v>
      </c>
      <c r="AM248" s="146">
        <f t="shared" si="506"/>
        <v>0</v>
      </c>
      <c r="AN248" s="146">
        <f t="shared" ca="1" si="507"/>
        <v>0</v>
      </c>
      <c r="AO248" s="146">
        <f t="shared" ca="1" si="508"/>
        <v>0</v>
      </c>
      <c r="AP248" s="146" t="str">
        <f t="shared" si="502"/>
        <v>N/A</v>
      </c>
      <c r="AQ248" s="146">
        <f t="shared" si="502"/>
        <v>0</v>
      </c>
      <c r="AR248" s="146">
        <f t="shared" si="509"/>
        <v>0</v>
      </c>
      <c r="AS248" s="146">
        <f t="shared" ca="1" si="510"/>
        <v>0</v>
      </c>
      <c r="AT248" s="146">
        <f t="shared" ca="1" si="511"/>
        <v>0</v>
      </c>
      <c r="AU248" s="146" t="str">
        <f t="shared" si="502"/>
        <v>N/A</v>
      </c>
      <c r="AV248" s="146">
        <f t="shared" si="502"/>
        <v>0</v>
      </c>
      <c r="AW248" s="146">
        <f t="shared" si="512"/>
        <v>0</v>
      </c>
      <c r="AX248" s="146">
        <f t="shared" ca="1" si="513"/>
        <v>0</v>
      </c>
      <c r="AY248" s="146">
        <f t="shared" ca="1" si="514"/>
        <v>0</v>
      </c>
      <c r="AZ248" s="147"/>
      <c r="BA248" s="144" t="s">
        <v>141</v>
      </c>
      <c r="BB248" s="144" t="s">
        <v>140</v>
      </c>
      <c r="BC248" s="144" t="s">
        <v>140</v>
      </c>
      <c r="BD248" s="144" t="s">
        <v>140</v>
      </c>
      <c r="BE248" s="146">
        <v>1</v>
      </c>
      <c r="BF248" s="148"/>
      <c r="BG248" s="146"/>
      <c r="BH248" s="117"/>
      <c r="BI248" s="117"/>
      <c r="BJ248" s="149"/>
      <c r="BK248" s="149"/>
      <c r="BL248" s="117">
        <v>0</v>
      </c>
      <c r="BM248" s="117">
        <v>0</v>
      </c>
      <c r="BN248" s="117">
        <v>0</v>
      </c>
      <c r="BO248" s="117">
        <v>1</v>
      </c>
      <c r="BP248" s="117">
        <v>0</v>
      </c>
      <c r="BQ248" s="117">
        <v>0</v>
      </c>
      <c r="BR248" s="117">
        <v>0</v>
      </c>
      <c r="BS248" s="117" t="s">
        <v>150</v>
      </c>
      <c r="BT248" s="158" t="s">
        <v>200</v>
      </c>
      <c r="BU248" s="117"/>
      <c r="BV248" s="117" t="s">
        <v>201</v>
      </c>
      <c r="BW248" s="117">
        <v>1</v>
      </c>
      <c r="BX248" s="149">
        <v>46201</v>
      </c>
      <c r="BY248" s="117"/>
      <c r="BZ248" s="117"/>
      <c r="CA248" s="117"/>
      <c r="CB248" s="117">
        <f>+L248-BW248</f>
        <v>0</v>
      </c>
    </row>
    <row r="249" spans="1:80" ht="16.5" customHeight="1">
      <c r="A249" s="117">
        <v>698</v>
      </c>
      <c r="B249" s="154" t="s">
        <v>621</v>
      </c>
      <c r="C249" s="154" t="s">
        <v>917</v>
      </c>
      <c r="D249" s="154" t="s">
        <v>13</v>
      </c>
      <c r="E249" s="154" t="s">
        <v>629</v>
      </c>
      <c r="F249" s="154" t="s">
        <v>630</v>
      </c>
      <c r="G249" s="154" t="s">
        <v>631</v>
      </c>
      <c r="H249" s="146">
        <v>6854</v>
      </c>
      <c r="I249" s="147" t="s">
        <v>147</v>
      </c>
      <c r="J249" s="144">
        <v>1</v>
      </c>
      <c r="K249" s="145">
        <f t="shared" si="497"/>
        <v>1</v>
      </c>
      <c r="L249" s="144">
        <f t="shared" si="498"/>
        <v>1</v>
      </c>
      <c r="M249" s="146">
        <v>1508.3</v>
      </c>
      <c r="N249" s="146">
        <f t="shared" si="499"/>
        <v>1508.3</v>
      </c>
      <c r="O249" s="146" t="s">
        <v>137</v>
      </c>
      <c r="P249" s="146" t="s">
        <v>13</v>
      </c>
      <c r="Q249" s="146" t="s">
        <v>154</v>
      </c>
      <c r="R249" s="146"/>
      <c r="S249" s="146"/>
      <c r="T249" s="146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1</v>
      </c>
      <c r="U249" s="146">
        <f t="shared" ca="1" si="500"/>
        <v>0</v>
      </c>
      <c r="V249" s="146">
        <f t="shared" ca="1" si="501"/>
        <v>1</v>
      </c>
      <c r="W249" s="146"/>
      <c r="X249" s="146"/>
      <c r="Y249" s="146"/>
      <c r="Z249" s="146"/>
      <c r="AA249" s="146"/>
      <c r="AB249" s="146"/>
      <c r="AC249" s="142">
        <v>21.7</v>
      </c>
      <c r="AD249" s="141" t="s">
        <v>196</v>
      </c>
      <c r="AE249" s="166"/>
      <c r="AF249" s="146" t="str">
        <f t="shared" si="502"/>
        <v>AMC 2-S1</v>
      </c>
      <c r="AG249" s="146">
        <f t="shared" si="502"/>
        <v>1</v>
      </c>
      <c r="AH249" s="146">
        <f t="shared" si="503"/>
        <v>1</v>
      </c>
      <c r="AI249" s="146">
        <f t="shared" ca="1" si="504"/>
        <v>1</v>
      </c>
      <c r="AJ249" s="146">
        <f t="shared" ca="1" si="505"/>
        <v>0</v>
      </c>
      <c r="AK249" s="146" t="str">
        <f t="shared" si="502"/>
        <v>N/A</v>
      </c>
      <c r="AL249" s="146">
        <f t="shared" si="502"/>
        <v>0</v>
      </c>
      <c r="AM249" s="146">
        <f t="shared" si="506"/>
        <v>0</v>
      </c>
      <c r="AN249" s="146">
        <f t="shared" ca="1" si="507"/>
        <v>0</v>
      </c>
      <c r="AO249" s="146">
        <f t="shared" ca="1" si="508"/>
        <v>0</v>
      </c>
      <c r="AP249" s="146" t="str">
        <f t="shared" si="502"/>
        <v>N/A</v>
      </c>
      <c r="AQ249" s="146">
        <f t="shared" si="502"/>
        <v>0</v>
      </c>
      <c r="AR249" s="146">
        <f t="shared" si="509"/>
        <v>0</v>
      </c>
      <c r="AS249" s="146">
        <f t="shared" ca="1" si="510"/>
        <v>0</v>
      </c>
      <c r="AT249" s="146">
        <f t="shared" ca="1" si="511"/>
        <v>0</v>
      </c>
      <c r="AU249" s="146" t="str">
        <f t="shared" si="502"/>
        <v>N/A</v>
      </c>
      <c r="AV249" s="146">
        <f t="shared" si="502"/>
        <v>0</v>
      </c>
      <c r="AW249" s="146">
        <f t="shared" si="512"/>
        <v>0</v>
      </c>
      <c r="AX249" s="146">
        <f t="shared" ca="1" si="513"/>
        <v>0</v>
      </c>
      <c r="AY249" s="146">
        <f t="shared" ca="1" si="514"/>
        <v>0</v>
      </c>
      <c r="AZ249" s="143"/>
      <c r="BA249" s="165" t="s">
        <v>141</v>
      </c>
      <c r="BB249" s="165" t="s">
        <v>140</v>
      </c>
      <c r="BC249" s="165" t="s">
        <v>140</v>
      </c>
      <c r="BD249" s="165" t="s">
        <v>140</v>
      </c>
      <c r="BE249" s="142">
        <v>21.7</v>
      </c>
      <c r="BF249" s="166"/>
      <c r="BG249" s="142"/>
      <c r="BH249" s="117"/>
      <c r="BI249" s="117"/>
      <c r="BJ249" s="149" t="s">
        <v>294</v>
      </c>
      <c r="BK249" s="149"/>
      <c r="BL249" s="117">
        <v>0</v>
      </c>
      <c r="BM249" s="117">
        <v>1</v>
      </c>
      <c r="BN249" s="117">
        <v>0</v>
      </c>
      <c r="BO249" s="117">
        <v>1</v>
      </c>
      <c r="BP249" s="117">
        <v>0</v>
      </c>
      <c r="BQ249" s="117">
        <v>0</v>
      </c>
      <c r="BR249" s="117">
        <v>0</v>
      </c>
      <c r="BS249" s="117" t="s">
        <v>150</v>
      </c>
      <c r="BT249" s="117"/>
      <c r="BU249" s="155"/>
      <c r="BV249" s="117" t="s">
        <v>57</v>
      </c>
      <c r="BW249" s="144">
        <v>1</v>
      </c>
      <c r="BX249" s="149"/>
      <c r="BY249" s="117"/>
      <c r="BZ249" s="117"/>
      <c r="CA249" s="117"/>
      <c r="CB249" s="117">
        <f>+L249-BW249</f>
        <v>0</v>
      </c>
    </row>
    <row r="250" spans="1:80" ht="16.5" hidden="1" customHeight="1">
      <c r="A250" s="133">
        <v>705</v>
      </c>
      <c r="B250" s="156" t="s">
        <v>632</v>
      </c>
      <c r="C250" s="156" t="s">
        <v>918</v>
      </c>
      <c r="D250" s="156"/>
      <c r="E250" s="156" t="s">
        <v>136</v>
      </c>
      <c r="F250" s="156"/>
      <c r="G250" s="156"/>
      <c r="H250" s="157"/>
      <c r="I250" s="159"/>
      <c r="J250" s="160" t="s">
        <v>136</v>
      </c>
      <c r="K250" s="138">
        <f>+AG250+AL250+AQ250+AV250</f>
        <v>1</v>
      </c>
      <c r="L250" s="160" t="s">
        <v>136</v>
      </c>
      <c r="M250" s="157"/>
      <c r="N250" s="157">
        <v>1646.6</v>
      </c>
      <c r="O250" s="157" t="s">
        <v>137</v>
      </c>
      <c r="P250" s="157"/>
      <c r="Q250" s="157"/>
      <c r="R250" s="157"/>
      <c r="S250" s="157"/>
      <c r="T250" s="157"/>
      <c r="U250" s="157"/>
      <c r="V250" s="157"/>
      <c r="W250" s="135">
        <f ca="1">_xlfn.MINIFS(V:V,C:C,C250,AE:AE,"",AB:AB,"")</f>
        <v>1</v>
      </c>
      <c r="X250" s="135">
        <f ca="1">SUMIFS(T:T,C:C,C250,AE:AE,"")/SUMIFS(L:L,C:C,C250,AE:AE,"",AB:AB,"")</f>
        <v>1</v>
      </c>
      <c r="Y250" s="157"/>
      <c r="Z250" s="157"/>
      <c r="AA250" s="157"/>
      <c r="AB250" s="157"/>
      <c r="AC250" s="157">
        <v>24.4</v>
      </c>
      <c r="AD250" s="161" t="s">
        <v>196</v>
      </c>
      <c r="AE250" s="162" t="s">
        <v>143</v>
      </c>
      <c r="AF250" s="157" t="s">
        <v>281</v>
      </c>
      <c r="AG250" s="157">
        <v>1</v>
      </c>
      <c r="AH250" s="157"/>
      <c r="AI250" s="157"/>
      <c r="AJ250" s="157"/>
      <c r="AK250" s="157" t="s">
        <v>138</v>
      </c>
      <c r="AL250" s="157">
        <v>0</v>
      </c>
      <c r="AM250" s="157"/>
      <c r="AN250" s="157"/>
      <c r="AO250" s="157"/>
      <c r="AP250" s="157" t="s">
        <v>138</v>
      </c>
      <c r="AQ250" s="157">
        <v>0</v>
      </c>
      <c r="AR250" s="157"/>
      <c r="AS250" s="157"/>
      <c r="AT250" s="157"/>
      <c r="AU250" s="157" t="s">
        <v>138</v>
      </c>
      <c r="AV250" s="157">
        <v>0</v>
      </c>
      <c r="AW250" s="157"/>
      <c r="AX250" s="157"/>
      <c r="AY250" s="157"/>
      <c r="AZ250" s="136"/>
      <c r="BA250" s="137" t="s">
        <v>141</v>
      </c>
      <c r="BB250" s="137" t="s">
        <v>140</v>
      </c>
      <c r="BC250" s="137" t="s">
        <v>140</v>
      </c>
      <c r="BD250" s="137" t="s">
        <v>140</v>
      </c>
      <c r="BE250" s="157">
        <v>24.4</v>
      </c>
      <c r="BF250" s="162"/>
      <c r="BG250" s="157"/>
      <c r="BH250" s="161"/>
      <c r="BI250" s="161"/>
      <c r="BJ250" s="163"/>
      <c r="BK250" s="163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4"/>
      <c r="BV250" s="161"/>
      <c r="BW250" s="161"/>
      <c r="BX250" s="163"/>
      <c r="BY250" s="161"/>
      <c r="BZ250" s="161"/>
      <c r="CA250" s="161"/>
      <c r="CB250" s="161"/>
    </row>
    <row r="251" spans="1:80" ht="16.5" hidden="1" customHeight="1">
      <c r="A251" s="117">
        <v>706</v>
      </c>
      <c r="B251" s="154" t="s">
        <v>632</v>
      </c>
      <c r="C251" s="154" t="s">
        <v>918</v>
      </c>
      <c r="D251" s="154" t="s">
        <v>13</v>
      </c>
      <c r="E251" s="154" t="s">
        <v>520</v>
      </c>
      <c r="F251" s="154" t="s">
        <v>633</v>
      </c>
      <c r="G251" s="154" t="s">
        <v>522</v>
      </c>
      <c r="H251" s="146">
        <v>1377</v>
      </c>
      <c r="I251" s="147" t="s">
        <v>147</v>
      </c>
      <c r="J251" s="144">
        <v>1</v>
      </c>
      <c r="K251" s="145">
        <f t="shared" ref="K251:K255" si="515">K250</f>
        <v>1</v>
      </c>
      <c r="L251" s="144">
        <f t="shared" ref="L251:L255" si="516">+K251*J251</f>
        <v>1</v>
      </c>
      <c r="M251" s="146">
        <v>59.6</v>
      </c>
      <c r="N251" s="146">
        <f t="shared" ref="N251:N255" si="517">+M251*L251</f>
        <v>59.6</v>
      </c>
      <c r="O251" s="146" t="s">
        <v>137</v>
      </c>
      <c r="P251" s="146" t="s">
        <v>13</v>
      </c>
      <c r="Q251" s="146" t="s">
        <v>148</v>
      </c>
      <c r="R251" s="146"/>
      <c r="S251" s="146"/>
      <c r="T251" s="146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1</v>
      </c>
      <c r="U251" s="146">
        <f t="shared" ref="U251:U255" ca="1" si="518">+L251-T251</f>
        <v>0</v>
      </c>
      <c r="V251" s="146">
        <f t="shared" ref="V251:V255" ca="1" si="519">ROUNDDOWN(T251/J251,0)</f>
        <v>1</v>
      </c>
      <c r="W251" s="146"/>
      <c r="X251" s="146"/>
      <c r="Y251" s="146"/>
      <c r="Z251" s="146"/>
      <c r="AA251" s="146"/>
      <c r="AB251" s="146"/>
      <c r="AC251" s="146">
        <v>0.8</v>
      </c>
      <c r="AD251" s="117" t="s">
        <v>196</v>
      </c>
      <c r="AE251" s="148"/>
      <c r="AF251" s="146" t="str">
        <f t="shared" ref="AF251:AV255" si="520">AF250</f>
        <v>AMC 2-S1</v>
      </c>
      <c r="AG251" s="146">
        <f t="shared" si="520"/>
        <v>1</v>
      </c>
      <c r="AH251" s="146">
        <f t="shared" ref="AH251:AH255" si="521">+AG251*J251</f>
        <v>1</v>
      </c>
      <c r="AI251" s="146">
        <f t="shared" ref="AI251:AI255" ca="1" si="522">MIN(T251,AH251)</f>
        <v>1</v>
      </c>
      <c r="AJ251" s="146">
        <f t="shared" ref="AJ251:AJ255" ca="1" si="523">+AH251-AI251</f>
        <v>0</v>
      </c>
      <c r="AK251" s="146" t="str">
        <f t="shared" si="520"/>
        <v>N/A</v>
      </c>
      <c r="AL251" s="146">
        <f t="shared" si="520"/>
        <v>0</v>
      </c>
      <c r="AM251" s="146">
        <f t="shared" ref="AM251:AM255" si="524">+AL251*J251</f>
        <v>0</v>
      </c>
      <c r="AN251" s="146">
        <f t="shared" ref="AN251:AN255" ca="1" si="525">MIN(T251-AI251,AL251)</f>
        <v>0</v>
      </c>
      <c r="AO251" s="146">
        <f t="shared" ref="AO251:AO255" ca="1" si="526">+AM251-AN251</f>
        <v>0</v>
      </c>
      <c r="AP251" s="146" t="str">
        <f t="shared" si="520"/>
        <v>N/A</v>
      </c>
      <c r="AQ251" s="146">
        <f t="shared" si="520"/>
        <v>0</v>
      </c>
      <c r="AR251" s="146">
        <f t="shared" ref="AR251:AR255" si="527">+AQ251*J251</f>
        <v>0</v>
      </c>
      <c r="AS251" s="146">
        <f t="shared" ref="AS251:AS255" ca="1" si="528">MIN(T251-AI251-AN251,AR251)</f>
        <v>0</v>
      </c>
      <c r="AT251" s="146">
        <f t="shared" ref="AT251:AT255" ca="1" si="529">+AR251-AS251</f>
        <v>0</v>
      </c>
      <c r="AU251" s="146" t="str">
        <f t="shared" si="520"/>
        <v>N/A</v>
      </c>
      <c r="AV251" s="146">
        <f t="shared" si="520"/>
        <v>0</v>
      </c>
      <c r="AW251" s="146">
        <f t="shared" ref="AW251:AW255" si="530">+AV251*J251</f>
        <v>0</v>
      </c>
      <c r="AX251" s="146">
        <f t="shared" ref="AX251:AX255" ca="1" si="531">MIN(T251-AI251-AN251-AS251,AW251)</f>
        <v>0</v>
      </c>
      <c r="AY251" s="146">
        <f t="shared" ref="AY251:AY255" ca="1" si="532">+AW251-AX251</f>
        <v>0</v>
      </c>
      <c r="AZ251" s="147"/>
      <c r="BA251" s="144" t="s">
        <v>141</v>
      </c>
      <c r="BB251" s="144" t="s">
        <v>140</v>
      </c>
      <c r="BC251" s="144" t="s">
        <v>140</v>
      </c>
      <c r="BD251" s="144" t="s">
        <v>140</v>
      </c>
      <c r="BE251" s="146">
        <v>0.8</v>
      </c>
      <c r="BF251" s="148"/>
      <c r="BG251" s="146"/>
      <c r="BH251" s="117"/>
      <c r="BI251" s="117"/>
      <c r="BJ251" s="149"/>
      <c r="BK251" s="149"/>
      <c r="BL251" s="117">
        <v>0</v>
      </c>
      <c r="BM251" s="117">
        <v>0</v>
      </c>
      <c r="BN251" s="117">
        <v>0</v>
      </c>
      <c r="BO251" s="117">
        <v>1</v>
      </c>
      <c r="BP251" s="117">
        <v>0</v>
      </c>
      <c r="BQ251" s="117">
        <v>0</v>
      </c>
      <c r="BR251" s="117">
        <v>0</v>
      </c>
      <c r="BS251" s="117" t="s">
        <v>150</v>
      </c>
      <c r="BT251" s="167" t="s">
        <v>319</v>
      </c>
      <c r="BU251" s="141"/>
      <c r="BV251" s="141" t="s">
        <v>320</v>
      </c>
      <c r="BW251" s="141">
        <v>1</v>
      </c>
      <c r="BX251" s="153">
        <v>46202</v>
      </c>
      <c r="BY251" s="117"/>
      <c r="BZ251" s="117"/>
      <c r="CA251" s="117"/>
      <c r="CB251" s="117">
        <f>+L251-BW251</f>
        <v>0</v>
      </c>
    </row>
    <row r="252" spans="1:80" ht="16.5" hidden="1" customHeight="1">
      <c r="A252" s="117">
        <v>707</v>
      </c>
      <c r="B252" s="154" t="s">
        <v>632</v>
      </c>
      <c r="C252" s="154" t="s">
        <v>918</v>
      </c>
      <c r="D252" s="154" t="s">
        <v>13</v>
      </c>
      <c r="E252" s="154" t="s">
        <v>626</v>
      </c>
      <c r="F252" s="154" t="s">
        <v>634</v>
      </c>
      <c r="G252" s="154" t="s">
        <v>519</v>
      </c>
      <c r="H252" s="146">
        <v>2010</v>
      </c>
      <c r="I252" s="147" t="s">
        <v>147</v>
      </c>
      <c r="J252" s="144">
        <v>1</v>
      </c>
      <c r="K252" s="145">
        <f t="shared" si="515"/>
        <v>1</v>
      </c>
      <c r="L252" s="144">
        <f t="shared" si="516"/>
        <v>1</v>
      </c>
      <c r="M252" s="146">
        <v>65.3</v>
      </c>
      <c r="N252" s="146">
        <f t="shared" si="517"/>
        <v>65.3</v>
      </c>
      <c r="O252" s="146" t="s">
        <v>137</v>
      </c>
      <c r="P252" s="146" t="s">
        <v>13</v>
      </c>
      <c r="Q252" s="146" t="s">
        <v>148</v>
      </c>
      <c r="R252" s="146"/>
      <c r="S252" s="146"/>
      <c r="T252" s="146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146">
        <f t="shared" ca="1" si="518"/>
        <v>0</v>
      </c>
      <c r="V252" s="146">
        <f t="shared" ca="1" si="519"/>
        <v>1</v>
      </c>
      <c r="W252" s="146"/>
      <c r="X252" s="146"/>
      <c r="Y252" s="146"/>
      <c r="Z252" s="146"/>
      <c r="AA252" s="146"/>
      <c r="AB252" s="146"/>
      <c r="AC252" s="146">
        <v>1.2</v>
      </c>
      <c r="AD252" s="117" t="s">
        <v>196</v>
      </c>
      <c r="AE252" s="148"/>
      <c r="AF252" s="146" t="str">
        <f t="shared" si="520"/>
        <v>AMC 2-S1</v>
      </c>
      <c r="AG252" s="146">
        <f t="shared" si="520"/>
        <v>1</v>
      </c>
      <c r="AH252" s="146">
        <f t="shared" si="521"/>
        <v>1</v>
      </c>
      <c r="AI252" s="146">
        <f t="shared" ca="1" si="522"/>
        <v>1</v>
      </c>
      <c r="AJ252" s="146">
        <f t="shared" ca="1" si="523"/>
        <v>0</v>
      </c>
      <c r="AK252" s="146" t="str">
        <f t="shared" si="520"/>
        <v>N/A</v>
      </c>
      <c r="AL252" s="146">
        <f t="shared" si="520"/>
        <v>0</v>
      </c>
      <c r="AM252" s="146">
        <f t="shared" si="524"/>
        <v>0</v>
      </c>
      <c r="AN252" s="146">
        <f t="shared" ca="1" si="525"/>
        <v>0</v>
      </c>
      <c r="AO252" s="146">
        <f t="shared" ca="1" si="526"/>
        <v>0</v>
      </c>
      <c r="AP252" s="146" t="str">
        <f t="shared" si="520"/>
        <v>N/A</v>
      </c>
      <c r="AQ252" s="146">
        <f t="shared" si="520"/>
        <v>0</v>
      </c>
      <c r="AR252" s="146">
        <f t="shared" si="527"/>
        <v>0</v>
      </c>
      <c r="AS252" s="146">
        <f t="shared" ca="1" si="528"/>
        <v>0</v>
      </c>
      <c r="AT252" s="146">
        <f t="shared" ca="1" si="529"/>
        <v>0</v>
      </c>
      <c r="AU252" s="146" t="str">
        <f t="shared" si="520"/>
        <v>N/A</v>
      </c>
      <c r="AV252" s="146">
        <f t="shared" si="520"/>
        <v>0</v>
      </c>
      <c r="AW252" s="146">
        <f t="shared" si="530"/>
        <v>0</v>
      </c>
      <c r="AX252" s="146">
        <f t="shared" ca="1" si="531"/>
        <v>0</v>
      </c>
      <c r="AY252" s="146">
        <f t="shared" ca="1" si="532"/>
        <v>0</v>
      </c>
      <c r="AZ252" s="147"/>
      <c r="BA252" s="144" t="s">
        <v>141</v>
      </c>
      <c r="BB252" s="144" t="s">
        <v>140</v>
      </c>
      <c r="BC252" s="144" t="s">
        <v>140</v>
      </c>
      <c r="BD252" s="144" t="s">
        <v>140</v>
      </c>
      <c r="BE252" s="146">
        <v>1.2</v>
      </c>
      <c r="BF252" s="148"/>
      <c r="BG252" s="146"/>
      <c r="BH252" s="117"/>
      <c r="BI252" s="117"/>
      <c r="BJ252" s="149"/>
      <c r="BK252" s="149"/>
      <c r="BL252" s="117">
        <v>0</v>
      </c>
      <c r="BM252" s="117">
        <v>0</v>
      </c>
      <c r="BN252" s="117">
        <v>0</v>
      </c>
      <c r="BO252" s="117">
        <v>1</v>
      </c>
      <c r="BP252" s="117">
        <v>0</v>
      </c>
      <c r="BQ252" s="117">
        <v>0</v>
      </c>
      <c r="BR252" s="117">
        <v>0</v>
      </c>
      <c r="BS252" s="117" t="s">
        <v>150</v>
      </c>
      <c r="BT252" s="158" t="s">
        <v>200</v>
      </c>
      <c r="BU252" s="117"/>
      <c r="BV252" s="117" t="s">
        <v>201</v>
      </c>
      <c r="BW252" s="117">
        <v>1</v>
      </c>
      <c r="BX252" s="149">
        <v>46201</v>
      </c>
      <c r="BY252" s="117"/>
      <c r="BZ252" s="117"/>
      <c r="CA252" s="117"/>
      <c r="CB252" s="117">
        <f>+L252-BW252</f>
        <v>0</v>
      </c>
    </row>
    <row r="253" spans="1:80" ht="16.5" hidden="1" customHeight="1">
      <c r="A253" s="117">
        <v>708</v>
      </c>
      <c r="B253" s="154" t="s">
        <v>632</v>
      </c>
      <c r="C253" s="154" t="s">
        <v>918</v>
      </c>
      <c r="D253" s="154" t="s">
        <v>13</v>
      </c>
      <c r="E253" s="154" t="s">
        <v>635</v>
      </c>
      <c r="F253" s="154" t="s">
        <v>636</v>
      </c>
      <c r="G253" s="154" t="s">
        <v>637</v>
      </c>
      <c r="H253" s="146">
        <v>6173</v>
      </c>
      <c r="I253" s="147" t="s">
        <v>147</v>
      </c>
      <c r="J253" s="144">
        <v>1</v>
      </c>
      <c r="K253" s="145">
        <f t="shared" si="515"/>
        <v>1</v>
      </c>
      <c r="L253" s="144">
        <f t="shared" si="516"/>
        <v>1</v>
      </c>
      <c r="M253" s="146">
        <v>24.1</v>
      </c>
      <c r="N253" s="146">
        <f t="shared" si="517"/>
        <v>24.1</v>
      </c>
      <c r="O253" s="146" t="s">
        <v>137</v>
      </c>
      <c r="P253" s="146" t="s">
        <v>13</v>
      </c>
      <c r="Q253" s="146" t="s">
        <v>148</v>
      </c>
      <c r="R253" s="146"/>
      <c r="S253" s="146"/>
      <c r="T253" s="146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146">
        <f t="shared" ca="1" si="518"/>
        <v>0</v>
      </c>
      <c r="V253" s="146">
        <f t="shared" ca="1" si="519"/>
        <v>1</v>
      </c>
      <c r="W253" s="146"/>
      <c r="X253" s="146"/>
      <c r="Y253" s="146"/>
      <c r="Z253" s="146"/>
      <c r="AA253" s="146"/>
      <c r="AB253" s="146"/>
      <c r="AC253" s="146">
        <v>0.7</v>
      </c>
      <c r="AD253" s="117" t="s">
        <v>196</v>
      </c>
      <c r="AE253" s="148"/>
      <c r="AF253" s="146" t="str">
        <f t="shared" si="520"/>
        <v>AMC 2-S1</v>
      </c>
      <c r="AG253" s="146">
        <f t="shared" si="520"/>
        <v>1</v>
      </c>
      <c r="AH253" s="146">
        <f t="shared" si="521"/>
        <v>1</v>
      </c>
      <c r="AI253" s="146">
        <f t="shared" ca="1" si="522"/>
        <v>1</v>
      </c>
      <c r="AJ253" s="146">
        <f t="shared" ca="1" si="523"/>
        <v>0</v>
      </c>
      <c r="AK253" s="146" t="str">
        <f t="shared" si="520"/>
        <v>N/A</v>
      </c>
      <c r="AL253" s="146">
        <f t="shared" si="520"/>
        <v>0</v>
      </c>
      <c r="AM253" s="146">
        <f t="shared" si="524"/>
        <v>0</v>
      </c>
      <c r="AN253" s="146">
        <f t="shared" ca="1" si="525"/>
        <v>0</v>
      </c>
      <c r="AO253" s="146">
        <f t="shared" ca="1" si="526"/>
        <v>0</v>
      </c>
      <c r="AP253" s="146" t="str">
        <f t="shared" si="520"/>
        <v>N/A</v>
      </c>
      <c r="AQ253" s="146">
        <f t="shared" si="520"/>
        <v>0</v>
      </c>
      <c r="AR253" s="146">
        <f t="shared" si="527"/>
        <v>0</v>
      </c>
      <c r="AS253" s="146">
        <f t="shared" ca="1" si="528"/>
        <v>0</v>
      </c>
      <c r="AT253" s="146">
        <f t="shared" ca="1" si="529"/>
        <v>0</v>
      </c>
      <c r="AU253" s="146" t="str">
        <f t="shared" si="520"/>
        <v>N/A</v>
      </c>
      <c r="AV253" s="146">
        <f t="shared" si="520"/>
        <v>0</v>
      </c>
      <c r="AW253" s="146">
        <f t="shared" si="530"/>
        <v>0</v>
      </c>
      <c r="AX253" s="146">
        <f t="shared" ca="1" si="531"/>
        <v>0</v>
      </c>
      <c r="AY253" s="146">
        <f t="shared" ca="1" si="532"/>
        <v>0</v>
      </c>
      <c r="AZ253" s="147"/>
      <c r="BA253" s="144" t="s">
        <v>141</v>
      </c>
      <c r="BB253" s="144" t="s">
        <v>140</v>
      </c>
      <c r="BC253" s="144" t="s">
        <v>140</v>
      </c>
      <c r="BD253" s="144" t="s">
        <v>140</v>
      </c>
      <c r="BE253" s="146">
        <v>0.7</v>
      </c>
      <c r="BF253" s="148"/>
      <c r="BG253" s="146"/>
      <c r="BH253" s="117"/>
      <c r="BI253" s="117"/>
      <c r="BJ253" s="149"/>
      <c r="BK253" s="149"/>
      <c r="BL253" s="117">
        <v>0</v>
      </c>
      <c r="BM253" s="117">
        <v>0</v>
      </c>
      <c r="BN253" s="117">
        <v>0</v>
      </c>
      <c r="BO253" s="117">
        <v>0</v>
      </c>
      <c r="BP253" s="117">
        <v>0</v>
      </c>
      <c r="BQ253" s="117">
        <v>0</v>
      </c>
      <c r="BR253" s="117">
        <v>0</v>
      </c>
      <c r="BS253" s="117" t="s">
        <v>150</v>
      </c>
      <c r="BT253" s="158" t="s">
        <v>210</v>
      </c>
      <c r="BU253" s="117"/>
      <c r="BV253" s="117" t="s">
        <v>211</v>
      </c>
      <c r="BW253" s="117">
        <v>1</v>
      </c>
      <c r="BX253" s="149">
        <v>46201</v>
      </c>
      <c r="BY253" s="117"/>
      <c r="BZ253" s="117"/>
      <c r="CA253" s="117"/>
      <c r="CB253" s="117">
        <f>+L253-BW253</f>
        <v>0</v>
      </c>
    </row>
    <row r="254" spans="1:80" ht="16.5" hidden="1" customHeight="1">
      <c r="A254" s="117">
        <v>709</v>
      </c>
      <c r="B254" s="154" t="s">
        <v>632</v>
      </c>
      <c r="C254" s="154" t="s">
        <v>918</v>
      </c>
      <c r="D254" s="154" t="s">
        <v>13</v>
      </c>
      <c r="E254" s="154" t="s">
        <v>586</v>
      </c>
      <c r="F254" s="154" t="s">
        <v>638</v>
      </c>
      <c r="G254" s="154" t="s">
        <v>525</v>
      </c>
      <c r="H254" s="146">
        <v>1849</v>
      </c>
      <c r="I254" s="147" t="s">
        <v>147</v>
      </c>
      <c r="J254" s="144">
        <v>1</v>
      </c>
      <c r="K254" s="145">
        <f t="shared" si="515"/>
        <v>1</v>
      </c>
      <c r="L254" s="144">
        <f t="shared" si="516"/>
        <v>1</v>
      </c>
      <c r="M254" s="146">
        <v>54.4</v>
      </c>
      <c r="N254" s="146">
        <f t="shared" si="517"/>
        <v>54.4</v>
      </c>
      <c r="O254" s="146" t="s">
        <v>137</v>
      </c>
      <c r="P254" s="146" t="s">
        <v>13</v>
      </c>
      <c r="Q254" s="146" t="s">
        <v>148</v>
      </c>
      <c r="R254" s="146"/>
      <c r="S254" s="146"/>
      <c r="T254" s="146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1</v>
      </c>
      <c r="U254" s="146">
        <f t="shared" ca="1" si="518"/>
        <v>0</v>
      </c>
      <c r="V254" s="146">
        <f t="shared" ca="1" si="519"/>
        <v>1</v>
      </c>
      <c r="W254" s="146"/>
      <c r="X254" s="146"/>
      <c r="Y254" s="146"/>
      <c r="Z254" s="146"/>
      <c r="AA254" s="146"/>
      <c r="AB254" s="146"/>
      <c r="AC254" s="146">
        <v>1</v>
      </c>
      <c r="AD254" s="117" t="s">
        <v>196</v>
      </c>
      <c r="AE254" s="148"/>
      <c r="AF254" s="146" t="str">
        <f t="shared" si="520"/>
        <v>AMC 2-S1</v>
      </c>
      <c r="AG254" s="146">
        <f t="shared" si="520"/>
        <v>1</v>
      </c>
      <c r="AH254" s="146">
        <f t="shared" si="521"/>
        <v>1</v>
      </c>
      <c r="AI254" s="146">
        <f t="shared" ca="1" si="522"/>
        <v>1</v>
      </c>
      <c r="AJ254" s="146">
        <f t="shared" ca="1" si="523"/>
        <v>0</v>
      </c>
      <c r="AK254" s="146" t="str">
        <f t="shared" si="520"/>
        <v>N/A</v>
      </c>
      <c r="AL254" s="146">
        <f t="shared" si="520"/>
        <v>0</v>
      </c>
      <c r="AM254" s="146">
        <f t="shared" si="524"/>
        <v>0</v>
      </c>
      <c r="AN254" s="146">
        <f t="shared" ca="1" si="525"/>
        <v>0</v>
      </c>
      <c r="AO254" s="146">
        <f t="shared" ca="1" si="526"/>
        <v>0</v>
      </c>
      <c r="AP254" s="146" t="str">
        <f t="shared" si="520"/>
        <v>N/A</v>
      </c>
      <c r="AQ254" s="146">
        <f t="shared" si="520"/>
        <v>0</v>
      </c>
      <c r="AR254" s="146">
        <f t="shared" si="527"/>
        <v>0</v>
      </c>
      <c r="AS254" s="146">
        <f t="shared" ca="1" si="528"/>
        <v>0</v>
      </c>
      <c r="AT254" s="146">
        <f t="shared" ca="1" si="529"/>
        <v>0</v>
      </c>
      <c r="AU254" s="146" t="str">
        <f t="shared" si="520"/>
        <v>N/A</v>
      </c>
      <c r="AV254" s="146">
        <f t="shared" si="520"/>
        <v>0</v>
      </c>
      <c r="AW254" s="146">
        <f t="shared" si="530"/>
        <v>0</v>
      </c>
      <c r="AX254" s="146">
        <f t="shared" ca="1" si="531"/>
        <v>0</v>
      </c>
      <c r="AY254" s="146">
        <f t="shared" ca="1" si="532"/>
        <v>0</v>
      </c>
      <c r="AZ254" s="147"/>
      <c r="BA254" s="144" t="s">
        <v>141</v>
      </c>
      <c r="BB254" s="144" t="s">
        <v>140</v>
      </c>
      <c r="BC254" s="144" t="s">
        <v>140</v>
      </c>
      <c r="BD254" s="144" t="s">
        <v>140</v>
      </c>
      <c r="BE254" s="146">
        <v>1</v>
      </c>
      <c r="BF254" s="148"/>
      <c r="BG254" s="146"/>
      <c r="BH254" s="117"/>
      <c r="BI254" s="117"/>
      <c r="BJ254" s="149"/>
      <c r="BK254" s="149"/>
      <c r="BL254" s="117">
        <v>0</v>
      </c>
      <c r="BM254" s="117">
        <v>0</v>
      </c>
      <c r="BN254" s="117">
        <v>0</v>
      </c>
      <c r="BO254" s="117">
        <v>1</v>
      </c>
      <c r="BP254" s="117">
        <v>0</v>
      </c>
      <c r="BQ254" s="117">
        <v>0</v>
      </c>
      <c r="BR254" s="117">
        <v>0</v>
      </c>
      <c r="BS254" s="117" t="s">
        <v>150</v>
      </c>
      <c r="BT254" s="158" t="s">
        <v>200</v>
      </c>
      <c r="BU254" s="117"/>
      <c r="BV254" s="117" t="s">
        <v>201</v>
      </c>
      <c r="BW254" s="117">
        <v>1</v>
      </c>
      <c r="BX254" s="149">
        <v>46201</v>
      </c>
      <c r="BY254" s="117"/>
      <c r="BZ254" s="117"/>
      <c r="CA254" s="117"/>
      <c r="CB254" s="117">
        <f>+L254-BW254</f>
        <v>0</v>
      </c>
    </row>
    <row r="255" spans="1:80" ht="16.5" customHeight="1">
      <c r="A255" s="117">
        <v>710</v>
      </c>
      <c r="B255" s="154" t="s">
        <v>632</v>
      </c>
      <c r="C255" s="154" t="s">
        <v>918</v>
      </c>
      <c r="D255" s="154" t="s">
        <v>13</v>
      </c>
      <c r="E255" s="154" t="s">
        <v>639</v>
      </c>
      <c r="F255" s="154" t="s">
        <v>640</v>
      </c>
      <c r="G255" s="154" t="s">
        <v>641</v>
      </c>
      <c r="H255" s="146">
        <v>6802</v>
      </c>
      <c r="I255" s="147" t="s">
        <v>147</v>
      </c>
      <c r="J255" s="144">
        <v>1</v>
      </c>
      <c r="K255" s="145">
        <f t="shared" si="515"/>
        <v>1</v>
      </c>
      <c r="L255" s="144">
        <f t="shared" si="516"/>
        <v>1</v>
      </c>
      <c r="M255" s="146">
        <v>1443.1</v>
      </c>
      <c r="N255" s="146">
        <f t="shared" si="517"/>
        <v>1443.1</v>
      </c>
      <c r="O255" s="146" t="s">
        <v>137</v>
      </c>
      <c r="P255" s="146" t="s">
        <v>13</v>
      </c>
      <c r="Q255" s="146" t="s">
        <v>154</v>
      </c>
      <c r="R255" s="146"/>
      <c r="S255" s="146"/>
      <c r="T255" s="146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1</v>
      </c>
      <c r="U255" s="146">
        <f t="shared" ca="1" si="518"/>
        <v>0</v>
      </c>
      <c r="V255" s="146">
        <f t="shared" ca="1" si="519"/>
        <v>1</v>
      </c>
      <c r="W255" s="146"/>
      <c r="X255" s="146"/>
      <c r="Y255" s="146"/>
      <c r="Z255" s="146"/>
      <c r="AA255" s="146"/>
      <c r="AB255" s="146"/>
      <c r="AC255" s="142">
        <v>20.7</v>
      </c>
      <c r="AD255" s="141" t="s">
        <v>196</v>
      </c>
      <c r="AE255" s="166"/>
      <c r="AF255" s="146" t="str">
        <f t="shared" si="520"/>
        <v>AMC 2-S1</v>
      </c>
      <c r="AG255" s="146">
        <f t="shared" si="520"/>
        <v>1</v>
      </c>
      <c r="AH255" s="146">
        <f t="shared" si="521"/>
        <v>1</v>
      </c>
      <c r="AI255" s="146">
        <f t="shared" ca="1" si="522"/>
        <v>1</v>
      </c>
      <c r="AJ255" s="146">
        <f t="shared" ca="1" si="523"/>
        <v>0</v>
      </c>
      <c r="AK255" s="146" t="str">
        <f t="shared" si="520"/>
        <v>N/A</v>
      </c>
      <c r="AL255" s="146">
        <f t="shared" si="520"/>
        <v>0</v>
      </c>
      <c r="AM255" s="146">
        <f t="shared" si="524"/>
        <v>0</v>
      </c>
      <c r="AN255" s="146">
        <f t="shared" ca="1" si="525"/>
        <v>0</v>
      </c>
      <c r="AO255" s="146">
        <f t="shared" ca="1" si="526"/>
        <v>0</v>
      </c>
      <c r="AP255" s="146" t="str">
        <f t="shared" si="520"/>
        <v>N/A</v>
      </c>
      <c r="AQ255" s="146">
        <f t="shared" si="520"/>
        <v>0</v>
      </c>
      <c r="AR255" s="146">
        <f t="shared" si="527"/>
        <v>0</v>
      </c>
      <c r="AS255" s="146">
        <f t="shared" ca="1" si="528"/>
        <v>0</v>
      </c>
      <c r="AT255" s="146">
        <f t="shared" ca="1" si="529"/>
        <v>0</v>
      </c>
      <c r="AU255" s="146" t="str">
        <f t="shared" si="520"/>
        <v>N/A</v>
      </c>
      <c r="AV255" s="146">
        <f t="shared" si="520"/>
        <v>0</v>
      </c>
      <c r="AW255" s="146">
        <f t="shared" si="530"/>
        <v>0</v>
      </c>
      <c r="AX255" s="146">
        <f t="shared" ca="1" si="531"/>
        <v>0</v>
      </c>
      <c r="AY255" s="146">
        <f t="shared" ca="1" si="532"/>
        <v>0</v>
      </c>
      <c r="AZ255" s="143"/>
      <c r="BA255" s="165" t="s">
        <v>141</v>
      </c>
      <c r="BB255" s="165" t="s">
        <v>140</v>
      </c>
      <c r="BC255" s="165" t="s">
        <v>140</v>
      </c>
      <c r="BD255" s="165" t="s">
        <v>140</v>
      </c>
      <c r="BE255" s="142">
        <v>20.7</v>
      </c>
      <c r="BF255" s="166"/>
      <c r="BG255" s="142"/>
      <c r="BH255" s="117"/>
      <c r="BI255" s="117"/>
      <c r="BJ255" s="149" t="s">
        <v>294</v>
      </c>
      <c r="BK255" s="149"/>
      <c r="BL255" s="117">
        <v>0</v>
      </c>
      <c r="BM255" s="117">
        <v>1</v>
      </c>
      <c r="BN255" s="117">
        <v>0</v>
      </c>
      <c r="BO255" s="117">
        <v>1</v>
      </c>
      <c r="BP255" s="117">
        <v>0</v>
      </c>
      <c r="BQ255" s="117">
        <v>0</v>
      </c>
      <c r="BR255" s="117">
        <v>0</v>
      </c>
      <c r="BS255" s="117" t="s">
        <v>150</v>
      </c>
      <c r="BT255" s="117"/>
      <c r="BU255" s="155"/>
      <c r="BV255" s="117" t="s">
        <v>57</v>
      </c>
      <c r="BW255" s="144">
        <v>1</v>
      </c>
      <c r="BX255" s="149"/>
      <c r="BY255" s="117"/>
      <c r="BZ255" s="117"/>
      <c r="CA255" s="117"/>
      <c r="CB255" s="117">
        <f>+L255-BW255</f>
        <v>0</v>
      </c>
    </row>
    <row r="256" spans="1:80" ht="16.5" hidden="1" customHeight="1">
      <c r="A256" s="133">
        <v>903</v>
      </c>
      <c r="B256" s="156" t="s">
        <v>642</v>
      </c>
      <c r="C256" s="156" t="s">
        <v>919</v>
      </c>
      <c r="D256" s="156"/>
      <c r="E256" s="156" t="s">
        <v>136</v>
      </c>
      <c r="F256" s="156"/>
      <c r="G256" s="156"/>
      <c r="H256" s="157"/>
      <c r="I256" s="159"/>
      <c r="J256" s="160" t="s">
        <v>136</v>
      </c>
      <c r="K256" s="138">
        <f>+AG256+AL256+AQ256+AV256</f>
        <v>1</v>
      </c>
      <c r="L256" s="160" t="s">
        <v>136</v>
      </c>
      <c r="M256" s="157"/>
      <c r="N256" s="157">
        <v>1461.3</v>
      </c>
      <c r="O256" s="157" t="s">
        <v>137</v>
      </c>
      <c r="P256" s="157"/>
      <c r="Q256" s="157"/>
      <c r="R256" s="157"/>
      <c r="S256" s="157"/>
      <c r="T256" s="157"/>
      <c r="U256" s="157"/>
      <c r="V256" s="157"/>
      <c r="W256" s="135">
        <f ca="1">_xlfn.MINIFS(V:V,C:C,C256,AE:AE,"",AB:AB,"")</f>
        <v>0</v>
      </c>
      <c r="X256" s="135">
        <f ca="1">SUMIFS(T:T,C:C,C256,AE:AE,"")/SUMIFS(L:L,C:C,C256,AE:AE,"",AB:AB,"")</f>
        <v>3.3333333333333333E-2</v>
      </c>
      <c r="Y256" s="157"/>
      <c r="Z256" s="157"/>
      <c r="AA256" s="157"/>
      <c r="AB256" s="157"/>
      <c r="AC256" s="157">
        <v>19</v>
      </c>
      <c r="AD256" s="161" t="s">
        <v>142</v>
      </c>
      <c r="AE256" s="162" t="s">
        <v>143</v>
      </c>
      <c r="AF256" s="157" t="s">
        <v>138</v>
      </c>
      <c r="AG256" s="157">
        <v>0</v>
      </c>
      <c r="AH256" s="157"/>
      <c r="AI256" s="157"/>
      <c r="AJ256" s="157"/>
      <c r="AK256" s="157" t="s">
        <v>138</v>
      </c>
      <c r="AL256" s="157">
        <v>0</v>
      </c>
      <c r="AM256" s="157"/>
      <c r="AN256" s="157"/>
      <c r="AO256" s="157"/>
      <c r="AP256" s="157" t="s">
        <v>139</v>
      </c>
      <c r="AQ256" s="157">
        <v>1</v>
      </c>
      <c r="AR256" s="157"/>
      <c r="AS256" s="157"/>
      <c r="AT256" s="157"/>
      <c r="AU256" s="157" t="s">
        <v>138</v>
      </c>
      <c r="AV256" s="157">
        <v>0</v>
      </c>
      <c r="AW256" s="157"/>
      <c r="AX256" s="157"/>
      <c r="AY256" s="157"/>
      <c r="AZ256" s="136"/>
      <c r="BA256" s="137" t="s">
        <v>140</v>
      </c>
      <c r="BB256" s="137" t="s">
        <v>140</v>
      </c>
      <c r="BC256" s="137" t="s">
        <v>141</v>
      </c>
      <c r="BD256" s="137" t="s">
        <v>140</v>
      </c>
      <c r="BE256" s="157">
        <v>19</v>
      </c>
      <c r="BF256" s="162"/>
      <c r="BG256" s="157"/>
      <c r="BH256" s="161"/>
      <c r="BI256" s="161"/>
      <c r="BJ256" s="163"/>
      <c r="BK256" s="163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4"/>
      <c r="BV256" s="161"/>
      <c r="BW256" s="161"/>
      <c r="BX256" s="163"/>
      <c r="BY256" s="161"/>
      <c r="BZ256" s="161"/>
      <c r="CA256" s="161"/>
      <c r="CB256" s="161"/>
    </row>
    <row r="257" spans="1:80" ht="16.5" hidden="1" customHeight="1">
      <c r="A257" s="117">
        <v>904</v>
      </c>
      <c r="B257" s="154" t="s">
        <v>642</v>
      </c>
      <c r="C257" s="154" t="s">
        <v>919</v>
      </c>
      <c r="D257" s="154" t="s">
        <v>13</v>
      </c>
      <c r="E257" s="154" t="s">
        <v>643</v>
      </c>
      <c r="F257" s="154" t="s">
        <v>644</v>
      </c>
      <c r="G257" s="154" t="s">
        <v>645</v>
      </c>
      <c r="H257" s="146">
        <v>2150</v>
      </c>
      <c r="I257" s="147" t="s">
        <v>147</v>
      </c>
      <c r="J257" s="144">
        <v>1</v>
      </c>
      <c r="K257" s="145">
        <f t="shared" ref="K257:K270" si="533">K256</f>
        <v>1</v>
      </c>
      <c r="L257" s="144">
        <f t="shared" ref="L257:L270" si="534">+K257*J257</f>
        <v>1</v>
      </c>
      <c r="M257" s="146">
        <v>516.5</v>
      </c>
      <c r="N257" s="146">
        <f t="shared" ref="N257:N270" si="535">+M257*L257</f>
        <v>516.5</v>
      </c>
      <c r="O257" s="146" t="s">
        <v>137</v>
      </c>
      <c r="P257" s="146" t="s">
        <v>13</v>
      </c>
      <c r="Q257" s="146" t="s">
        <v>148</v>
      </c>
      <c r="R257" s="146"/>
      <c r="S257" s="146"/>
      <c r="T257" s="146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0</v>
      </c>
      <c r="U257" s="146">
        <f t="shared" ref="U257:U270" ca="1" si="536">+L257-T257</f>
        <v>1</v>
      </c>
      <c r="V257" s="146">
        <f t="shared" ref="V257:V270" ca="1" si="537">ROUNDDOWN(T257/J257,0)</f>
        <v>0</v>
      </c>
      <c r="W257" s="146"/>
      <c r="X257" s="146"/>
      <c r="Y257" s="146"/>
      <c r="Z257" s="146"/>
      <c r="AA257" s="146"/>
      <c r="AB257" s="146"/>
      <c r="AC257" s="146">
        <v>4.5999999999999996</v>
      </c>
      <c r="AD257" s="117" t="s">
        <v>142</v>
      </c>
      <c r="AE257" s="148"/>
      <c r="AF257" s="146" t="str">
        <f t="shared" ref="AF257:AV270" si="538">AF256</f>
        <v>N/A</v>
      </c>
      <c r="AG257" s="146">
        <f t="shared" si="538"/>
        <v>0</v>
      </c>
      <c r="AH257" s="146">
        <f t="shared" ref="AH257:AH270" si="539">+AG257*J257</f>
        <v>0</v>
      </c>
      <c r="AI257" s="146">
        <f t="shared" ref="AI257:AI270" ca="1" si="540">MIN(T257,AH257)</f>
        <v>0</v>
      </c>
      <c r="AJ257" s="146">
        <f t="shared" ref="AJ257:AJ270" ca="1" si="541">+AH257-AI257</f>
        <v>0</v>
      </c>
      <c r="AK257" s="146" t="str">
        <f t="shared" si="538"/>
        <v>N/A</v>
      </c>
      <c r="AL257" s="146">
        <f t="shared" si="538"/>
        <v>0</v>
      </c>
      <c r="AM257" s="146">
        <f t="shared" ref="AM257:AM270" si="542">+AL257*J257</f>
        <v>0</v>
      </c>
      <c r="AN257" s="146">
        <f t="shared" ref="AN257:AN270" ca="1" si="543">MIN(T257-AI257,AL257)</f>
        <v>0</v>
      </c>
      <c r="AO257" s="146">
        <f t="shared" ref="AO257:AO270" ca="1" si="544">+AM257-AN257</f>
        <v>0</v>
      </c>
      <c r="AP257" s="146" t="str">
        <f t="shared" si="538"/>
        <v>AMC 2-S3</v>
      </c>
      <c r="AQ257" s="146">
        <f t="shared" si="538"/>
        <v>1</v>
      </c>
      <c r="AR257" s="146">
        <f t="shared" ref="AR257:AR270" si="545">+AQ257*J257</f>
        <v>1</v>
      </c>
      <c r="AS257" s="146">
        <f t="shared" ref="AS257:AS270" ca="1" si="546">MIN(T257-AI257-AN257,AR257)</f>
        <v>0</v>
      </c>
      <c r="AT257" s="146">
        <f t="shared" ref="AT257:AT270" ca="1" si="547">+AR257-AS257</f>
        <v>1</v>
      </c>
      <c r="AU257" s="146" t="str">
        <f t="shared" si="538"/>
        <v>N/A</v>
      </c>
      <c r="AV257" s="146">
        <f t="shared" si="538"/>
        <v>0</v>
      </c>
      <c r="AW257" s="146">
        <f t="shared" ref="AW257:AW270" si="548">+AV257*J257</f>
        <v>0</v>
      </c>
      <c r="AX257" s="146">
        <f t="shared" ref="AX257:AX270" ca="1" si="549">MIN(T257-AI257-AN257-AS257,AW257)</f>
        <v>0</v>
      </c>
      <c r="AY257" s="146">
        <f t="shared" ref="AY257:AY270" ca="1" si="550">+AW257-AX257</f>
        <v>0</v>
      </c>
      <c r="AZ257" s="147"/>
      <c r="BA257" s="144" t="s">
        <v>140</v>
      </c>
      <c r="BB257" s="144" t="s">
        <v>140</v>
      </c>
      <c r="BC257" s="144" t="s">
        <v>141</v>
      </c>
      <c r="BD257" s="144" t="s">
        <v>140</v>
      </c>
      <c r="BE257" s="146">
        <v>4.5999999999999996</v>
      </c>
      <c r="BF257" s="148"/>
      <c r="BG257" s="146"/>
      <c r="BH257" s="117"/>
      <c r="BI257" s="117"/>
      <c r="BJ257" s="149"/>
      <c r="BK257" s="150" t="s">
        <v>149</v>
      </c>
      <c r="BL257" s="151">
        <v>1</v>
      </c>
      <c r="BM257" s="151">
        <v>0</v>
      </c>
      <c r="BN257" s="151">
        <v>0</v>
      </c>
      <c r="BO257" s="151">
        <v>0</v>
      </c>
      <c r="BP257" s="151">
        <v>0</v>
      </c>
      <c r="BQ257" s="151">
        <v>0</v>
      </c>
      <c r="BR257" s="151">
        <v>0</v>
      </c>
      <c r="BS257" s="117" t="s">
        <v>150</v>
      </c>
      <c r="BT257" s="117"/>
      <c r="BU257" s="155"/>
      <c r="BV257" s="117"/>
      <c r="BW257" s="117"/>
      <c r="BX257" s="149"/>
      <c r="BY257" s="117"/>
      <c r="BZ257" s="117"/>
      <c r="CA257" s="117"/>
      <c r="CB257" s="117">
        <f t="shared" ref="CB257:CB270" si="551">+L257-BW257</f>
        <v>1</v>
      </c>
    </row>
    <row r="258" spans="1:80" ht="16.5" hidden="1" customHeight="1">
      <c r="A258" s="117">
        <v>905</v>
      </c>
      <c r="B258" s="154" t="s">
        <v>642</v>
      </c>
      <c r="C258" s="154" t="s">
        <v>919</v>
      </c>
      <c r="D258" s="154" t="s">
        <v>13</v>
      </c>
      <c r="E258" s="154" t="s">
        <v>646</v>
      </c>
      <c r="F258" s="154" t="s">
        <v>647</v>
      </c>
      <c r="G258" s="154" t="s">
        <v>648</v>
      </c>
      <c r="H258" s="146">
        <v>400</v>
      </c>
      <c r="I258" s="147" t="s">
        <v>147</v>
      </c>
      <c r="J258" s="144">
        <v>2</v>
      </c>
      <c r="K258" s="145">
        <f t="shared" si="533"/>
        <v>1</v>
      </c>
      <c r="L258" s="144">
        <f t="shared" si="534"/>
        <v>2</v>
      </c>
      <c r="M258" s="146">
        <v>25.1</v>
      </c>
      <c r="N258" s="146">
        <f t="shared" si="535"/>
        <v>50.2</v>
      </c>
      <c r="O258" s="146" t="s">
        <v>137</v>
      </c>
      <c r="P258" s="146" t="s">
        <v>13</v>
      </c>
      <c r="Q258" s="146" t="s">
        <v>148</v>
      </c>
      <c r="R258" s="146"/>
      <c r="S258" s="146"/>
      <c r="T258" s="146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146">
        <f t="shared" ca="1" si="536"/>
        <v>2</v>
      </c>
      <c r="V258" s="146">
        <f t="shared" ca="1" si="537"/>
        <v>0</v>
      </c>
      <c r="W258" s="146"/>
      <c r="X258" s="146"/>
      <c r="Y258" s="146"/>
      <c r="Z258" s="146"/>
      <c r="AA258" s="146"/>
      <c r="AB258" s="146"/>
      <c r="AC258" s="146">
        <v>0.7</v>
      </c>
      <c r="AD258" s="117" t="s">
        <v>142</v>
      </c>
      <c r="AE258" s="148"/>
      <c r="AF258" s="146" t="str">
        <f t="shared" si="538"/>
        <v>N/A</v>
      </c>
      <c r="AG258" s="146">
        <f t="shared" si="538"/>
        <v>0</v>
      </c>
      <c r="AH258" s="146">
        <f t="shared" si="539"/>
        <v>0</v>
      </c>
      <c r="AI258" s="146">
        <f t="shared" ca="1" si="540"/>
        <v>0</v>
      </c>
      <c r="AJ258" s="146">
        <f t="shared" ca="1" si="541"/>
        <v>0</v>
      </c>
      <c r="AK258" s="146" t="str">
        <f t="shared" si="538"/>
        <v>N/A</v>
      </c>
      <c r="AL258" s="146">
        <f t="shared" si="538"/>
        <v>0</v>
      </c>
      <c r="AM258" s="146">
        <f t="shared" si="542"/>
        <v>0</v>
      </c>
      <c r="AN258" s="146">
        <f t="shared" ca="1" si="543"/>
        <v>0</v>
      </c>
      <c r="AO258" s="146">
        <f t="shared" ca="1" si="544"/>
        <v>0</v>
      </c>
      <c r="AP258" s="146" t="str">
        <f t="shared" si="538"/>
        <v>AMC 2-S3</v>
      </c>
      <c r="AQ258" s="146">
        <f t="shared" si="538"/>
        <v>1</v>
      </c>
      <c r="AR258" s="146">
        <f t="shared" si="545"/>
        <v>2</v>
      </c>
      <c r="AS258" s="146">
        <f t="shared" ca="1" si="546"/>
        <v>0</v>
      </c>
      <c r="AT258" s="146">
        <f t="shared" ca="1" si="547"/>
        <v>2</v>
      </c>
      <c r="AU258" s="146" t="str">
        <f t="shared" si="538"/>
        <v>N/A</v>
      </c>
      <c r="AV258" s="146">
        <f t="shared" si="538"/>
        <v>0</v>
      </c>
      <c r="AW258" s="146">
        <f t="shared" si="548"/>
        <v>0</v>
      </c>
      <c r="AX258" s="146">
        <f t="shared" ca="1" si="549"/>
        <v>0</v>
      </c>
      <c r="AY258" s="146">
        <f t="shared" ca="1" si="550"/>
        <v>0</v>
      </c>
      <c r="AZ258" s="147"/>
      <c r="BA258" s="144" t="s">
        <v>140</v>
      </c>
      <c r="BB258" s="144" t="s">
        <v>140</v>
      </c>
      <c r="BC258" s="144" t="s">
        <v>141</v>
      </c>
      <c r="BD258" s="144" t="s">
        <v>140</v>
      </c>
      <c r="BE258" s="146">
        <v>0.4</v>
      </c>
      <c r="BF258" s="148"/>
      <c r="BG258" s="146"/>
      <c r="BH258" s="117"/>
      <c r="BI258" s="117"/>
      <c r="BJ258" s="149"/>
      <c r="BK258" s="149"/>
      <c r="BL258" s="117">
        <v>0</v>
      </c>
      <c r="BM258" s="117">
        <v>0</v>
      </c>
      <c r="BN258" s="117">
        <v>0</v>
      </c>
      <c r="BO258" s="117">
        <v>0</v>
      </c>
      <c r="BP258" s="117">
        <v>0</v>
      </c>
      <c r="BQ258" s="117">
        <v>0</v>
      </c>
      <c r="BR258" s="117">
        <v>0</v>
      </c>
      <c r="BS258" s="117" t="s">
        <v>150</v>
      </c>
      <c r="BT258" s="117"/>
      <c r="BU258" s="155"/>
      <c r="BV258" s="117"/>
      <c r="BW258" s="117"/>
      <c r="BX258" s="149"/>
      <c r="BY258" s="117"/>
      <c r="BZ258" s="117"/>
      <c r="CA258" s="117"/>
      <c r="CB258" s="117">
        <f t="shared" si="551"/>
        <v>2</v>
      </c>
    </row>
    <row r="259" spans="1:80" ht="16.5" hidden="1" customHeight="1">
      <c r="A259" s="117">
        <v>906</v>
      </c>
      <c r="B259" s="154" t="s">
        <v>642</v>
      </c>
      <c r="C259" s="154" t="s">
        <v>919</v>
      </c>
      <c r="D259" s="154" t="s">
        <v>13</v>
      </c>
      <c r="E259" s="154" t="s">
        <v>649</v>
      </c>
      <c r="F259" s="154" t="s">
        <v>650</v>
      </c>
      <c r="G259" s="154" t="s">
        <v>651</v>
      </c>
      <c r="H259" s="146">
        <v>800</v>
      </c>
      <c r="I259" s="147" t="s">
        <v>652</v>
      </c>
      <c r="J259" s="144">
        <v>4</v>
      </c>
      <c r="K259" s="145">
        <f t="shared" si="533"/>
        <v>1</v>
      </c>
      <c r="L259" s="144">
        <f t="shared" si="534"/>
        <v>4</v>
      </c>
      <c r="M259" s="146">
        <v>4.7</v>
      </c>
      <c r="N259" s="146">
        <f t="shared" si="535"/>
        <v>18.8</v>
      </c>
      <c r="O259" s="146" t="s">
        <v>137</v>
      </c>
      <c r="P259" s="146" t="s">
        <v>13</v>
      </c>
      <c r="Q259" s="146" t="s">
        <v>148</v>
      </c>
      <c r="R259" s="146"/>
      <c r="S259" s="146"/>
      <c r="T259" s="146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46">
        <f t="shared" ca="1" si="536"/>
        <v>4</v>
      </c>
      <c r="V259" s="146">
        <f t="shared" ca="1" si="537"/>
        <v>0</v>
      </c>
      <c r="W259" s="146"/>
      <c r="X259" s="146"/>
      <c r="Y259" s="146"/>
      <c r="Z259" s="146"/>
      <c r="AA259" s="146"/>
      <c r="AB259" s="146"/>
      <c r="AC259" s="146">
        <v>1.6</v>
      </c>
      <c r="AD259" s="117" t="s">
        <v>142</v>
      </c>
      <c r="AE259" s="148"/>
      <c r="AF259" s="146" t="str">
        <f t="shared" si="538"/>
        <v>N/A</v>
      </c>
      <c r="AG259" s="146">
        <f t="shared" si="538"/>
        <v>0</v>
      </c>
      <c r="AH259" s="146">
        <f t="shared" si="539"/>
        <v>0</v>
      </c>
      <c r="AI259" s="146">
        <f t="shared" ca="1" si="540"/>
        <v>0</v>
      </c>
      <c r="AJ259" s="146">
        <f t="shared" ca="1" si="541"/>
        <v>0</v>
      </c>
      <c r="AK259" s="146" t="str">
        <f t="shared" si="538"/>
        <v>N/A</v>
      </c>
      <c r="AL259" s="146">
        <f t="shared" si="538"/>
        <v>0</v>
      </c>
      <c r="AM259" s="146">
        <f t="shared" si="542"/>
        <v>0</v>
      </c>
      <c r="AN259" s="146">
        <f t="shared" ca="1" si="543"/>
        <v>0</v>
      </c>
      <c r="AO259" s="146">
        <f t="shared" ca="1" si="544"/>
        <v>0</v>
      </c>
      <c r="AP259" s="146" t="str">
        <f t="shared" si="538"/>
        <v>AMC 2-S3</v>
      </c>
      <c r="AQ259" s="146">
        <f t="shared" si="538"/>
        <v>1</v>
      </c>
      <c r="AR259" s="146">
        <f t="shared" si="545"/>
        <v>4</v>
      </c>
      <c r="AS259" s="146">
        <f t="shared" ca="1" si="546"/>
        <v>0</v>
      </c>
      <c r="AT259" s="146">
        <f t="shared" ca="1" si="547"/>
        <v>4</v>
      </c>
      <c r="AU259" s="146" t="str">
        <f t="shared" si="538"/>
        <v>N/A</v>
      </c>
      <c r="AV259" s="146">
        <f t="shared" si="538"/>
        <v>0</v>
      </c>
      <c r="AW259" s="146">
        <f t="shared" si="548"/>
        <v>0</v>
      </c>
      <c r="AX259" s="146">
        <f t="shared" ca="1" si="549"/>
        <v>0</v>
      </c>
      <c r="AY259" s="146">
        <f t="shared" ca="1" si="550"/>
        <v>0</v>
      </c>
      <c r="AZ259" s="147"/>
      <c r="BA259" s="144" t="s">
        <v>140</v>
      </c>
      <c r="BB259" s="144" t="s">
        <v>140</v>
      </c>
      <c r="BC259" s="144" t="s">
        <v>141</v>
      </c>
      <c r="BD259" s="144" t="s">
        <v>140</v>
      </c>
      <c r="BE259" s="146">
        <v>0.4</v>
      </c>
      <c r="BF259" s="148"/>
      <c r="BG259" s="146"/>
      <c r="BH259" s="117"/>
      <c r="BI259" s="117"/>
      <c r="BJ259" s="149"/>
      <c r="BK259" s="149"/>
      <c r="BL259" s="117">
        <v>0</v>
      </c>
      <c r="BM259" s="117">
        <v>0</v>
      </c>
      <c r="BN259" s="117">
        <v>0</v>
      </c>
      <c r="BO259" s="117">
        <v>0</v>
      </c>
      <c r="BP259" s="117">
        <v>0</v>
      </c>
      <c r="BQ259" s="117">
        <v>0</v>
      </c>
      <c r="BR259" s="117">
        <v>0</v>
      </c>
      <c r="BS259" s="117" t="s">
        <v>150</v>
      </c>
      <c r="BT259" s="117"/>
      <c r="BU259" s="155"/>
      <c r="BV259" s="117"/>
      <c r="BW259" s="117"/>
      <c r="BX259" s="149"/>
      <c r="BY259" s="117"/>
      <c r="BZ259" s="117"/>
      <c r="CA259" s="117"/>
      <c r="CB259" s="117">
        <f t="shared" si="551"/>
        <v>4</v>
      </c>
    </row>
    <row r="260" spans="1:80" ht="16.5" hidden="1" customHeight="1">
      <c r="A260" s="117">
        <v>907</v>
      </c>
      <c r="B260" s="154" t="s">
        <v>642</v>
      </c>
      <c r="C260" s="154" t="s">
        <v>919</v>
      </c>
      <c r="D260" s="154" t="s">
        <v>13</v>
      </c>
      <c r="E260" s="154" t="s">
        <v>653</v>
      </c>
      <c r="F260" s="154" t="s">
        <v>654</v>
      </c>
      <c r="G260" s="154" t="s">
        <v>648</v>
      </c>
      <c r="H260" s="146">
        <v>970</v>
      </c>
      <c r="I260" s="147" t="s">
        <v>147</v>
      </c>
      <c r="J260" s="144">
        <v>2</v>
      </c>
      <c r="K260" s="145">
        <f t="shared" si="533"/>
        <v>1</v>
      </c>
      <c r="L260" s="144">
        <f t="shared" si="534"/>
        <v>2</v>
      </c>
      <c r="M260" s="146">
        <v>60.9</v>
      </c>
      <c r="N260" s="146">
        <f t="shared" si="535"/>
        <v>121.8</v>
      </c>
      <c r="O260" s="146" t="s">
        <v>137</v>
      </c>
      <c r="P260" s="146" t="s">
        <v>13</v>
      </c>
      <c r="Q260" s="146" t="s">
        <v>148</v>
      </c>
      <c r="R260" s="146"/>
      <c r="S260" s="146"/>
      <c r="T260" s="146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46">
        <f t="shared" ca="1" si="536"/>
        <v>2</v>
      </c>
      <c r="V260" s="146">
        <f t="shared" ca="1" si="537"/>
        <v>0</v>
      </c>
      <c r="W260" s="146"/>
      <c r="X260" s="146"/>
      <c r="Y260" s="146"/>
      <c r="Z260" s="146"/>
      <c r="AA260" s="146"/>
      <c r="AB260" s="146"/>
      <c r="AC260" s="146">
        <v>1.7</v>
      </c>
      <c r="AD260" s="117" t="s">
        <v>142</v>
      </c>
      <c r="AE260" s="148"/>
      <c r="AF260" s="146" t="str">
        <f t="shared" si="538"/>
        <v>N/A</v>
      </c>
      <c r="AG260" s="146">
        <f t="shared" si="538"/>
        <v>0</v>
      </c>
      <c r="AH260" s="146">
        <f t="shared" si="539"/>
        <v>0</v>
      </c>
      <c r="AI260" s="146">
        <f t="shared" ca="1" si="540"/>
        <v>0</v>
      </c>
      <c r="AJ260" s="146">
        <f t="shared" ca="1" si="541"/>
        <v>0</v>
      </c>
      <c r="AK260" s="146" t="str">
        <f t="shared" si="538"/>
        <v>N/A</v>
      </c>
      <c r="AL260" s="146">
        <f t="shared" si="538"/>
        <v>0</v>
      </c>
      <c r="AM260" s="146">
        <f t="shared" si="542"/>
        <v>0</v>
      </c>
      <c r="AN260" s="146">
        <f t="shared" ca="1" si="543"/>
        <v>0</v>
      </c>
      <c r="AO260" s="146">
        <f t="shared" ca="1" si="544"/>
        <v>0</v>
      </c>
      <c r="AP260" s="146" t="str">
        <f t="shared" si="538"/>
        <v>AMC 2-S3</v>
      </c>
      <c r="AQ260" s="146">
        <f t="shared" si="538"/>
        <v>1</v>
      </c>
      <c r="AR260" s="146">
        <f t="shared" si="545"/>
        <v>2</v>
      </c>
      <c r="AS260" s="146">
        <f t="shared" ca="1" si="546"/>
        <v>0</v>
      </c>
      <c r="AT260" s="146">
        <f t="shared" ca="1" si="547"/>
        <v>2</v>
      </c>
      <c r="AU260" s="146" t="str">
        <f t="shared" si="538"/>
        <v>N/A</v>
      </c>
      <c r="AV260" s="146">
        <f t="shared" si="538"/>
        <v>0</v>
      </c>
      <c r="AW260" s="146">
        <f t="shared" si="548"/>
        <v>0</v>
      </c>
      <c r="AX260" s="146">
        <f t="shared" ca="1" si="549"/>
        <v>0</v>
      </c>
      <c r="AY260" s="146">
        <f t="shared" ca="1" si="550"/>
        <v>0</v>
      </c>
      <c r="AZ260" s="147"/>
      <c r="BA260" s="144" t="s">
        <v>140</v>
      </c>
      <c r="BB260" s="144" t="s">
        <v>140</v>
      </c>
      <c r="BC260" s="144" t="s">
        <v>141</v>
      </c>
      <c r="BD260" s="144" t="s">
        <v>140</v>
      </c>
      <c r="BE260" s="146">
        <v>0.8</v>
      </c>
      <c r="BF260" s="148"/>
      <c r="BG260" s="146"/>
      <c r="BH260" s="117"/>
      <c r="BI260" s="117"/>
      <c r="BJ260" s="149"/>
      <c r="BK260" s="149"/>
      <c r="BL260" s="117">
        <v>0</v>
      </c>
      <c r="BM260" s="117">
        <v>0</v>
      </c>
      <c r="BN260" s="117">
        <v>0</v>
      </c>
      <c r="BO260" s="117">
        <v>0</v>
      </c>
      <c r="BP260" s="117">
        <v>0</v>
      </c>
      <c r="BQ260" s="117">
        <v>0</v>
      </c>
      <c r="BR260" s="117">
        <v>0</v>
      </c>
      <c r="BS260" s="117" t="s">
        <v>150</v>
      </c>
      <c r="BT260" s="117"/>
      <c r="BU260" s="155"/>
      <c r="BV260" s="117"/>
      <c r="BW260" s="117"/>
      <c r="BX260" s="149"/>
      <c r="BY260" s="117"/>
      <c r="BZ260" s="117"/>
      <c r="CA260" s="117"/>
      <c r="CB260" s="117">
        <f t="shared" si="551"/>
        <v>2</v>
      </c>
    </row>
    <row r="261" spans="1:80" ht="16.5" hidden="1" customHeight="1">
      <c r="A261" s="117">
        <v>908</v>
      </c>
      <c r="B261" s="154" t="s">
        <v>642</v>
      </c>
      <c r="C261" s="154" t="s">
        <v>919</v>
      </c>
      <c r="D261" s="154" t="s">
        <v>13</v>
      </c>
      <c r="E261" s="154" t="s">
        <v>655</v>
      </c>
      <c r="F261" s="154" t="s">
        <v>656</v>
      </c>
      <c r="G261" s="154" t="s">
        <v>657</v>
      </c>
      <c r="H261" s="146">
        <v>400</v>
      </c>
      <c r="I261" s="147" t="s">
        <v>147</v>
      </c>
      <c r="J261" s="144">
        <v>4</v>
      </c>
      <c r="K261" s="145">
        <f t="shared" si="533"/>
        <v>1</v>
      </c>
      <c r="L261" s="144">
        <f t="shared" si="534"/>
        <v>4</v>
      </c>
      <c r="M261" s="146">
        <v>16.600000000000001</v>
      </c>
      <c r="N261" s="146">
        <f t="shared" si="535"/>
        <v>66.400000000000006</v>
      </c>
      <c r="O261" s="146" t="s">
        <v>137</v>
      </c>
      <c r="P261" s="146" t="s">
        <v>13</v>
      </c>
      <c r="Q261" s="146" t="s">
        <v>148</v>
      </c>
      <c r="R261" s="146"/>
      <c r="S261" s="146"/>
      <c r="T261" s="146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46">
        <f t="shared" ca="1" si="536"/>
        <v>4</v>
      </c>
      <c r="V261" s="146">
        <f t="shared" ca="1" si="537"/>
        <v>0</v>
      </c>
      <c r="W261" s="146"/>
      <c r="X261" s="146"/>
      <c r="Y261" s="146"/>
      <c r="Z261" s="146"/>
      <c r="AA261" s="146"/>
      <c r="AB261" s="146"/>
      <c r="AC261" s="146">
        <v>1</v>
      </c>
      <c r="AD261" s="117" t="s">
        <v>142</v>
      </c>
      <c r="AE261" s="148"/>
      <c r="AF261" s="146" t="str">
        <f t="shared" si="538"/>
        <v>N/A</v>
      </c>
      <c r="AG261" s="146">
        <f t="shared" si="538"/>
        <v>0</v>
      </c>
      <c r="AH261" s="146">
        <f t="shared" si="539"/>
        <v>0</v>
      </c>
      <c r="AI261" s="146">
        <f t="shared" ca="1" si="540"/>
        <v>0</v>
      </c>
      <c r="AJ261" s="146">
        <f t="shared" ca="1" si="541"/>
        <v>0</v>
      </c>
      <c r="AK261" s="146" t="str">
        <f t="shared" si="538"/>
        <v>N/A</v>
      </c>
      <c r="AL261" s="146">
        <f t="shared" si="538"/>
        <v>0</v>
      </c>
      <c r="AM261" s="146">
        <f t="shared" si="542"/>
        <v>0</v>
      </c>
      <c r="AN261" s="146">
        <f t="shared" ca="1" si="543"/>
        <v>0</v>
      </c>
      <c r="AO261" s="146">
        <f t="shared" ca="1" si="544"/>
        <v>0</v>
      </c>
      <c r="AP261" s="146" t="str">
        <f t="shared" si="538"/>
        <v>AMC 2-S3</v>
      </c>
      <c r="AQ261" s="146">
        <f t="shared" si="538"/>
        <v>1</v>
      </c>
      <c r="AR261" s="146">
        <f t="shared" si="545"/>
        <v>4</v>
      </c>
      <c r="AS261" s="146">
        <f t="shared" ca="1" si="546"/>
        <v>0</v>
      </c>
      <c r="AT261" s="146">
        <f t="shared" ca="1" si="547"/>
        <v>4</v>
      </c>
      <c r="AU261" s="146" t="str">
        <f t="shared" si="538"/>
        <v>N/A</v>
      </c>
      <c r="AV261" s="146">
        <f t="shared" si="538"/>
        <v>0</v>
      </c>
      <c r="AW261" s="146">
        <f t="shared" si="548"/>
        <v>0</v>
      </c>
      <c r="AX261" s="146">
        <f t="shared" ca="1" si="549"/>
        <v>0</v>
      </c>
      <c r="AY261" s="146">
        <f t="shared" ca="1" si="550"/>
        <v>0</v>
      </c>
      <c r="AZ261" s="147"/>
      <c r="BA261" s="144" t="s">
        <v>140</v>
      </c>
      <c r="BB261" s="144" t="s">
        <v>140</v>
      </c>
      <c r="BC261" s="144" t="s">
        <v>141</v>
      </c>
      <c r="BD261" s="144" t="s">
        <v>140</v>
      </c>
      <c r="BE261" s="146">
        <v>0.2</v>
      </c>
      <c r="BF261" s="148"/>
      <c r="BG261" s="146"/>
      <c r="BH261" s="117"/>
      <c r="BI261" s="117"/>
      <c r="BJ261" s="149"/>
      <c r="BK261" s="149"/>
      <c r="BL261" s="117">
        <v>0</v>
      </c>
      <c r="BM261" s="117">
        <v>0</v>
      </c>
      <c r="BN261" s="117">
        <v>0</v>
      </c>
      <c r="BO261" s="117">
        <v>0</v>
      </c>
      <c r="BP261" s="117">
        <v>0</v>
      </c>
      <c r="BQ261" s="117">
        <v>0</v>
      </c>
      <c r="BR261" s="117">
        <v>0</v>
      </c>
      <c r="BS261" s="117" t="s">
        <v>150</v>
      </c>
      <c r="BT261" s="117"/>
      <c r="BU261" s="155"/>
      <c r="BV261" s="117"/>
      <c r="BW261" s="117"/>
      <c r="BX261" s="149"/>
      <c r="BY261" s="117"/>
      <c r="BZ261" s="117"/>
      <c r="CA261" s="117"/>
      <c r="CB261" s="117">
        <f t="shared" si="551"/>
        <v>4</v>
      </c>
    </row>
    <row r="262" spans="1:80" ht="16.5" hidden="1" customHeight="1">
      <c r="A262" s="117">
        <v>909</v>
      </c>
      <c r="B262" s="154" t="s">
        <v>642</v>
      </c>
      <c r="C262" s="154" t="s">
        <v>919</v>
      </c>
      <c r="D262" s="154" t="s">
        <v>13</v>
      </c>
      <c r="E262" s="154" t="s">
        <v>658</v>
      </c>
      <c r="F262" s="154" t="s">
        <v>659</v>
      </c>
      <c r="G262" s="154" t="s">
        <v>648</v>
      </c>
      <c r="H262" s="146">
        <v>753</v>
      </c>
      <c r="I262" s="147" t="s">
        <v>147</v>
      </c>
      <c r="J262" s="144">
        <v>2</v>
      </c>
      <c r="K262" s="145">
        <f t="shared" si="533"/>
        <v>1</v>
      </c>
      <c r="L262" s="144">
        <f t="shared" si="534"/>
        <v>2</v>
      </c>
      <c r="M262" s="146">
        <v>46.8</v>
      </c>
      <c r="N262" s="146">
        <f t="shared" si="535"/>
        <v>93.6</v>
      </c>
      <c r="O262" s="146" t="s">
        <v>137</v>
      </c>
      <c r="P262" s="146" t="s">
        <v>13</v>
      </c>
      <c r="Q262" s="146" t="s">
        <v>148</v>
      </c>
      <c r="R262" s="146"/>
      <c r="S262" s="146"/>
      <c r="T262" s="146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146">
        <f t="shared" ca="1" si="536"/>
        <v>2</v>
      </c>
      <c r="V262" s="146">
        <f t="shared" ca="1" si="537"/>
        <v>0</v>
      </c>
      <c r="W262" s="146"/>
      <c r="X262" s="146"/>
      <c r="Y262" s="146"/>
      <c r="Z262" s="146"/>
      <c r="AA262" s="146"/>
      <c r="AB262" s="146"/>
      <c r="AC262" s="146">
        <v>1.3</v>
      </c>
      <c r="AD262" s="117" t="s">
        <v>142</v>
      </c>
      <c r="AE262" s="148"/>
      <c r="AF262" s="146" t="str">
        <f t="shared" si="538"/>
        <v>N/A</v>
      </c>
      <c r="AG262" s="146">
        <f t="shared" si="538"/>
        <v>0</v>
      </c>
      <c r="AH262" s="146">
        <f t="shared" si="539"/>
        <v>0</v>
      </c>
      <c r="AI262" s="146">
        <f t="shared" ca="1" si="540"/>
        <v>0</v>
      </c>
      <c r="AJ262" s="146">
        <f t="shared" ca="1" si="541"/>
        <v>0</v>
      </c>
      <c r="AK262" s="146" t="str">
        <f t="shared" si="538"/>
        <v>N/A</v>
      </c>
      <c r="AL262" s="146">
        <f t="shared" si="538"/>
        <v>0</v>
      </c>
      <c r="AM262" s="146">
        <f t="shared" si="542"/>
        <v>0</v>
      </c>
      <c r="AN262" s="146">
        <f t="shared" ca="1" si="543"/>
        <v>0</v>
      </c>
      <c r="AO262" s="146">
        <f t="shared" ca="1" si="544"/>
        <v>0</v>
      </c>
      <c r="AP262" s="146" t="str">
        <f t="shared" si="538"/>
        <v>AMC 2-S3</v>
      </c>
      <c r="AQ262" s="146">
        <f t="shared" si="538"/>
        <v>1</v>
      </c>
      <c r="AR262" s="146">
        <f t="shared" si="545"/>
        <v>2</v>
      </c>
      <c r="AS262" s="146">
        <f t="shared" ca="1" si="546"/>
        <v>0</v>
      </c>
      <c r="AT262" s="146">
        <f t="shared" ca="1" si="547"/>
        <v>2</v>
      </c>
      <c r="AU262" s="146" t="str">
        <f t="shared" si="538"/>
        <v>N/A</v>
      </c>
      <c r="AV262" s="146">
        <f t="shared" si="538"/>
        <v>0</v>
      </c>
      <c r="AW262" s="146">
        <f t="shared" si="548"/>
        <v>0</v>
      </c>
      <c r="AX262" s="146">
        <f t="shared" ca="1" si="549"/>
        <v>0</v>
      </c>
      <c r="AY262" s="146">
        <f t="shared" ca="1" si="550"/>
        <v>0</v>
      </c>
      <c r="AZ262" s="147"/>
      <c r="BA262" s="144" t="s">
        <v>140</v>
      </c>
      <c r="BB262" s="144" t="s">
        <v>140</v>
      </c>
      <c r="BC262" s="144" t="s">
        <v>141</v>
      </c>
      <c r="BD262" s="144" t="s">
        <v>140</v>
      </c>
      <c r="BE262" s="146">
        <v>0.6</v>
      </c>
      <c r="BF262" s="148"/>
      <c r="BG262" s="146"/>
      <c r="BH262" s="117"/>
      <c r="BI262" s="117"/>
      <c r="BJ262" s="149"/>
      <c r="BK262" s="150" t="s">
        <v>149</v>
      </c>
      <c r="BL262" s="151">
        <v>0</v>
      </c>
      <c r="BM262" s="151">
        <v>0</v>
      </c>
      <c r="BN262" s="151">
        <v>0</v>
      </c>
      <c r="BO262" s="151">
        <v>0</v>
      </c>
      <c r="BP262" s="151">
        <v>0</v>
      </c>
      <c r="BQ262" s="151">
        <v>0</v>
      </c>
      <c r="BR262" s="151">
        <v>0</v>
      </c>
      <c r="BS262" s="117" t="s">
        <v>150</v>
      </c>
      <c r="BT262" s="117"/>
      <c r="BU262" s="155"/>
      <c r="BV262" s="117"/>
      <c r="BW262" s="117"/>
      <c r="BX262" s="149"/>
      <c r="BY262" s="117"/>
      <c r="BZ262" s="117"/>
      <c r="CA262" s="117"/>
      <c r="CB262" s="117">
        <f t="shared" si="551"/>
        <v>2</v>
      </c>
    </row>
    <row r="263" spans="1:80" ht="16.5" hidden="1" customHeight="1">
      <c r="A263" s="117">
        <v>910</v>
      </c>
      <c r="B263" s="154" t="s">
        <v>642</v>
      </c>
      <c r="C263" s="154" t="s">
        <v>919</v>
      </c>
      <c r="D263" s="154" t="s">
        <v>13</v>
      </c>
      <c r="E263" s="154" t="s">
        <v>660</v>
      </c>
      <c r="F263" s="154" t="s">
        <v>661</v>
      </c>
      <c r="G263" s="154" t="s">
        <v>648</v>
      </c>
      <c r="H263" s="146">
        <v>509</v>
      </c>
      <c r="I263" s="147" t="s">
        <v>147</v>
      </c>
      <c r="J263" s="144">
        <v>2</v>
      </c>
      <c r="K263" s="145">
        <f t="shared" si="533"/>
        <v>1</v>
      </c>
      <c r="L263" s="144">
        <f t="shared" si="534"/>
        <v>2</v>
      </c>
      <c r="M263" s="146">
        <v>31.9</v>
      </c>
      <c r="N263" s="146">
        <f t="shared" si="535"/>
        <v>63.8</v>
      </c>
      <c r="O263" s="146" t="s">
        <v>137</v>
      </c>
      <c r="P263" s="146" t="s">
        <v>13</v>
      </c>
      <c r="Q263" s="146" t="s">
        <v>148</v>
      </c>
      <c r="R263" s="146"/>
      <c r="S263" s="146"/>
      <c r="T263" s="146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46">
        <f t="shared" ca="1" si="536"/>
        <v>2</v>
      </c>
      <c r="V263" s="146">
        <f t="shared" ca="1" si="537"/>
        <v>0</v>
      </c>
      <c r="W263" s="146"/>
      <c r="X263" s="146"/>
      <c r="Y263" s="146"/>
      <c r="Z263" s="146"/>
      <c r="AA263" s="146"/>
      <c r="AB263" s="146"/>
      <c r="AC263" s="146">
        <v>0.9</v>
      </c>
      <c r="AD263" s="117" t="s">
        <v>142</v>
      </c>
      <c r="AE263" s="148"/>
      <c r="AF263" s="146" t="str">
        <f t="shared" si="538"/>
        <v>N/A</v>
      </c>
      <c r="AG263" s="146">
        <f t="shared" si="538"/>
        <v>0</v>
      </c>
      <c r="AH263" s="146">
        <f t="shared" si="539"/>
        <v>0</v>
      </c>
      <c r="AI263" s="146">
        <f t="shared" ca="1" si="540"/>
        <v>0</v>
      </c>
      <c r="AJ263" s="146">
        <f t="shared" ca="1" si="541"/>
        <v>0</v>
      </c>
      <c r="AK263" s="146" t="str">
        <f t="shared" si="538"/>
        <v>N/A</v>
      </c>
      <c r="AL263" s="146">
        <f t="shared" si="538"/>
        <v>0</v>
      </c>
      <c r="AM263" s="146">
        <f t="shared" si="542"/>
        <v>0</v>
      </c>
      <c r="AN263" s="146">
        <f t="shared" ca="1" si="543"/>
        <v>0</v>
      </c>
      <c r="AO263" s="146">
        <f t="shared" ca="1" si="544"/>
        <v>0</v>
      </c>
      <c r="AP263" s="146" t="str">
        <f t="shared" si="538"/>
        <v>AMC 2-S3</v>
      </c>
      <c r="AQ263" s="146">
        <f t="shared" si="538"/>
        <v>1</v>
      </c>
      <c r="AR263" s="146">
        <f t="shared" si="545"/>
        <v>2</v>
      </c>
      <c r="AS263" s="146">
        <f t="shared" ca="1" si="546"/>
        <v>0</v>
      </c>
      <c r="AT263" s="146">
        <f t="shared" ca="1" si="547"/>
        <v>2</v>
      </c>
      <c r="AU263" s="146" t="str">
        <f t="shared" si="538"/>
        <v>N/A</v>
      </c>
      <c r="AV263" s="146">
        <f t="shared" si="538"/>
        <v>0</v>
      </c>
      <c r="AW263" s="146">
        <f t="shared" si="548"/>
        <v>0</v>
      </c>
      <c r="AX263" s="146">
        <f t="shared" ca="1" si="549"/>
        <v>0</v>
      </c>
      <c r="AY263" s="146">
        <f t="shared" ca="1" si="550"/>
        <v>0</v>
      </c>
      <c r="AZ263" s="147"/>
      <c r="BA263" s="144" t="s">
        <v>140</v>
      </c>
      <c r="BB263" s="144" t="s">
        <v>140</v>
      </c>
      <c r="BC263" s="144" t="s">
        <v>141</v>
      </c>
      <c r="BD263" s="144" t="s">
        <v>140</v>
      </c>
      <c r="BE263" s="146">
        <v>0.4</v>
      </c>
      <c r="BF263" s="148"/>
      <c r="BG263" s="146"/>
      <c r="BH263" s="117"/>
      <c r="BI263" s="117"/>
      <c r="BJ263" s="149"/>
      <c r="BK263" s="150" t="s">
        <v>149</v>
      </c>
      <c r="BL263" s="151">
        <v>0</v>
      </c>
      <c r="BM263" s="151">
        <v>0</v>
      </c>
      <c r="BN263" s="151">
        <v>0</v>
      </c>
      <c r="BO263" s="151">
        <v>0</v>
      </c>
      <c r="BP263" s="151">
        <v>0</v>
      </c>
      <c r="BQ263" s="151">
        <v>0</v>
      </c>
      <c r="BR263" s="151">
        <v>0</v>
      </c>
      <c r="BS263" s="117" t="s">
        <v>150</v>
      </c>
      <c r="BT263" s="117"/>
      <c r="BU263" s="155"/>
      <c r="BV263" s="117"/>
      <c r="BW263" s="117"/>
      <c r="BX263" s="149"/>
      <c r="BY263" s="117"/>
      <c r="BZ263" s="117"/>
      <c r="CA263" s="117"/>
      <c r="CB263" s="117">
        <f t="shared" si="551"/>
        <v>2</v>
      </c>
    </row>
    <row r="264" spans="1:80" ht="16.5" hidden="1" customHeight="1">
      <c r="A264" s="117">
        <v>911</v>
      </c>
      <c r="B264" s="154" t="s">
        <v>642</v>
      </c>
      <c r="C264" s="154" t="s">
        <v>919</v>
      </c>
      <c r="D264" s="154" t="s">
        <v>13</v>
      </c>
      <c r="E264" s="154" t="s">
        <v>662</v>
      </c>
      <c r="F264" s="154" t="s">
        <v>663</v>
      </c>
      <c r="G264" s="154" t="s">
        <v>657</v>
      </c>
      <c r="H264" s="146">
        <v>506</v>
      </c>
      <c r="I264" s="147" t="s">
        <v>147</v>
      </c>
      <c r="J264" s="144">
        <v>2</v>
      </c>
      <c r="K264" s="145">
        <f t="shared" si="533"/>
        <v>1</v>
      </c>
      <c r="L264" s="144">
        <f t="shared" si="534"/>
        <v>2</v>
      </c>
      <c r="M264" s="146">
        <v>21</v>
      </c>
      <c r="N264" s="146">
        <f t="shared" si="535"/>
        <v>42</v>
      </c>
      <c r="O264" s="146" t="s">
        <v>137</v>
      </c>
      <c r="P264" s="146" t="s">
        <v>13</v>
      </c>
      <c r="Q264" s="146" t="s">
        <v>148</v>
      </c>
      <c r="R264" s="146"/>
      <c r="S264" s="146"/>
      <c r="T264" s="146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146">
        <f t="shared" ca="1" si="536"/>
        <v>2</v>
      </c>
      <c r="V264" s="146">
        <f t="shared" ca="1" si="537"/>
        <v>0</v>
      </c>
      <c r="W264" s="146"/>
      <c r="X264" s="146"/>
      <c r="Y264" s="146"/>
      <c r="Z264" s="146"/>
      <c r="AA264" s="146"/>
      <c r="AB264" s="146"/>
      <c r="AC264" s="146">
        <v>0.6</v>
      </c>
      <c r="AD264" s="117" t="s">
        <v>142</v>
      </c>
      <c r="AE264" s="148"/>
      <c r="AF264" s="146" t="str">
        <f t="shared" si="538"/>
        <v>N/A</v>
      </c>
      <c r="AG264" s="146">
        <f t="shared" si="538"/>
        <v>0</v>
      </c>
      <c r="AH264" s="146">
        <f t="shared" si="539"/>
        <v>0</v>
      </c>
      <c r="AI264" s="146">
        <f t="shared" ca="1" si="540"/>
        <v>0</v>
      </c>
      <c r="AJ264" s="146">
        <f t="shared" ca="1" si="541"/>
        <v>0</v>
      </c>
      <c r="AK264" s="146" t="str">
        <f t="shared" si="538"/>
        <v>N/A</v>
      </c>
      <c r="AL264" s="146">
        <f t="shared" si="538"/>
        <v>0</v>
      </c>
      <c r="AM264" s="146">
        <f t="shared" si="542"/>
        <v>0</v>
      </c>
      <c r="AN264" s="146">
        <f t="shared" ca="1" si="543"/>
        <v>0</v>
      </c>
      <c r="AO264" s="146">
        <f t="shared" ca="1" si="544"/>
        <v>0</v>
      </c>
      <c r="AP264" s="146" t="str">
        <f t="shared" si="538"/>
        <v>AMC 2-S3</v>
      </c>
      <c r="AQ264" s="146">
        <f t="shared" si="538"/>
        <v>1</v>
      </c>
      <c r="AR264" s="146">
        <f t="shared" si="545"/>
        <v>2</v>
      </c>
      <c r="AS264" s="146">
        <f t="shared" ca="1" si="546"/>
        <v>0</v>
      </c>
      <c r="AT264" s="146">
        <f t="shared" ca="1" si="547"/>
        <v>2</v>
      </c>
      <c r="AU264" s="146" t="str">
        <f t="shared" si="538"/>
        <v>N/A</v>
      </c>
      <c r="AV264" s="146">
        <f t="shared" si="538"/>
        <v>0</v>
      </c>
      <c r="AW264" s="146">
        <f t="shared" si="548"/>
        <v>0</v>
      </c>
      <c r="AX264" s="146">
        <f t="shared" ca="1" si="549"/>
        <v>0</v>
      </c>
      <c r="AY264" s="146">
        <f t="shared" ca="1" si="550"/>
        <v>0</v>
      </c>
      <c r="AZ264" s="147"/>
      <c r="BA264" s="144" t="s">
        <v>140</v>
      </c>
      <c r="BB264" s="144" t="s">
        <v>140</v>
      </c>
      <c r="BC264" s="144" t="s">
        <v>141</v>
      </c>
      <c r="BD264" s="144" t="s">
        <v>140</v>
      </c>
      <c r="BE264" s="146">
        <v>0.3</v>
      </c>
      <c r="BF264" s="148"/>
      <c r="BG264" s="146"/>
      <c r="BH264" s="117"/>
      <c r="BI264" s="117"/>
      <c r="BJ264" s="149"/>
      <c r="BK264" s="150" t="s">
        <v>149</v>
      </c>
      <c r="BL264" s="151">
        <v>0</v>
      </c>
      <c r="BM264" s="151">
        <v>0</v>
      </c>
      <c r="BN264" s="151">
        <v>0</v>
      </c>
      <c r="BO264" s="151">
        <v>0</v>
      </c>
      <c r="BP264" s="151">
        <v>0</v>
      </c>
      <c r="BQ264" s="151">
        <v>0</v>
      </c>
      <c r="BR264" s="151">
        <v>0</v>
      </c>
      <c r="BS264" s="117" t="s">
        <v>150</v>
      </c>
      <c r="BT264" s="117"/>
      <c r="BU264" s="155"/>
      <c r="BV264" s="117"/>
      <c r="BW264" s="117"/>
      <c r="BX264" s="149"/>
      <c r="BY264" s="117"/>
      <c r="BZ264" s="117"/>
      <c r="CA264" s="117"/>
      <c r="CB264" s="117">
        <f t="shared" si="551"/>
        <v>2</v>
      </c>
    </row>
    <row r="265" spans="1:80" ht="16.5" hidden="1" customHeight="1">
      <c r="A265" s="117">
        <v>912</v>
      </c>
      <c r="B265" s="154" t="s">
        <v>642</v>
      </c>
      <c r="C265" s="154" t="s">
        <v>919</v>
      </c>
      <c r="D265" s="154" t="s">
        <v>13</v>
      </c>
      <c r="E265" s="154" t="s">
        <v>664</v>
      </c>
      <c r="F265" s="154" t="s">
        <v>665</v>
      </c>
      <c r="G265" s="154" t="s">
        <v>657</v>
      </c>
      <c r="H265" s="146">
        <v>736</v>
      </c>
      <c r="I265" s="147" t="s">
        <v>147</v>
      </c>
      <c r="J265" s="144">
        <v>2</v>
      </c>
      <c r="K265" s="145">
        <f t="shared" si="533"/>
        <v>1</v>
      </c>
      <c r="L265" s="144">
        <f t="shared" si="534"/>
        <v>2</v>
      </c>
      <c r="M265" s="146">
        <v>30.4</v>
      </c>
      <c r="N265" s="146">
        <f t="shared" si="535"/>
        <v>60.8</v>
      </c>
      <c r="O265" s="146" t="s">
        <v>137</v>
      </c>
      <c r="P265" s="146" t="s">
        <v>13</v>
      </c>
      <c r="Q265" s="146" t="s">
        <v>148</v>
      </c>
      <c r="R265" s="146"/>
      <c r="S265" s="146"/>
      <c r="T265" s="146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146">
        <f t="shared" ca="1" si="536"/>
        <v>2</v>
      </c>
      <c r="V265" s="146">
        <f t="shared" ca="1" si="537"/>
        <v>0</v>
      </c>
      <c r="W265" s="146"/>
      <c r="X265" s="146"/>
      <c r="Y265" s="146"/>
      <c r="Z265" s="146"/>
      <c r="AA265" s="146"/>
      <c r="AB265" s="146"/>
      <c r="AC265" s="146">
        <v>0.9</v>
      </c>
      <c r="AD265" s="117" t="s">
        <v>142</v>
      </c>
      <c r="AE265" s="148"/>
      <c r="AF265" s="146" t="str">
        <f t="shared" si="538"/>
        <v>N/A</v>
      </c>
      <c r="AG265" s="146">
        <f t="shared" si="538"/>
        <v>0</v>
      </c>
      <c r="AH265" s="146">
        <f t="shared" si="539"/>
        <v>0</v>
      </c>
      <c r="AI265" s="146">
        <f t="shared" ca="1" si="540"/>
        <v>0</v>
      </c>
      <c r="AJ265" s="146">
        <f t="shared" ca="1" si="541"/>
        <v>0</v>
      </c>
      <c r="AK265" s="146" t="str">
        <f t="shared" si="538"/>
        <v>N/A</v>
      </c>
      <c r="AL265" s="146">
        <f t="shared" si="538"/>
        <v>0</v>
      </c>
      <c r="AM265" s="146">
        <f t="shared" si="542"/>
        <v>0</v>
      </c>
      <c r="AN265" s="146">
        <f t="shared" ca="1" si="543"/>
        <v>0</v>
      </c>
      <c r="AO265" s="146">
        <f t="shared" ca="1" si="544"/>
        <v>0</v>
      </c>
      <c r="AP265" s="146" t="str">
        <f t="shared" si="538"/>
        <v>AMC 2-S3</v>
      </c>
      <c r="AQ265" s="146">
        <f t="shared" si="538"/>
        <v>1</v>
      </c>
      <c r="AR265" s="146">
        <f t="shared" si="545"/>
        <v>2</v>
      </c>
      <c r="AS265" s="146">
        <f t="shared" ca="1" si="546"/>
        <v>0</v>
      </c>
      <c r="AT265" s="146">
        <f t="shared" ca="1" si="547"/>
        <v>2</v>
      </c>
      <c r="AU265" s="146" t="str">
        <f t="shared" si="538"/>
        <v>N/A</v>
      </c>
      <c r="AV265" s="146">
        <f t="shared" si="538"/>
        <v>0</v>
      </c>
      <c r="AW265" s="146">
        <f t="shared" si="548"/>
        <v>0</v>
      </c>
      <c r="AX265" s="146">
        <f t="shared" ca="1" si="549"/>
        <v>0</v>
      </c>
      <c r="AY265" s="146">
        <f t="shared" ca="1" si="550"/>
        <v>0</v>
      </c>
      <c r="AZ265" s="147"/>
      <c r="BA265" s="144" t="s">
        <v>140</v>
      </c>
      <c r="BB265" s="144" t="s">
        <v>140</v>
      </c>
      <c r="BC265" s="144" t="s">
        <v>141</v>
      </c>
      <c r="BD265" s="144" t="s">
        <v>140</v>
      </c>
      <c r="BE265" s="146">
        <v>0.4</v>
      </c>
      <c r="BF265" s="148"/>
      <c r="BG265" s="146"/>
      <c r="BH265" s="117"/>
      <c r="BI265" s="117"/>
      <c r="BJ265" s="149"/>
      <c r="BK265" s="150" t="s">
        <v>149</v>
      </c>
      <c r="BL265" s="151">
        <v>0</v>
      </c>
      <c r="BM265" s="151">
        <v>0</v>
      </c>
      <c r="BN265" s="151">
        <v>0</v>
      </c>
      <c r="BO265" s="151">
        <v>0</v>
      </c>
      <c r="BP265" s="151">
        <v>0</v>
      </c>
      <c r="BQ265" s="151">
        <v>0</v>
      </c>
      <c r="BR265" s="151">
        <v>0</v>
      </c>
      <c r="BS265" s="117" t="s">
        <v>150</v>
      </c>
      <c r="BT265" s="117"/>
      <c r="BU265" s="155"/>
      <c r="BV265" s="117"/>
      <c r="BW265" s="117"/>
      <c r="BX265" s="149"/>
      <c r="BY265" s="117"/>
      <c r="BZ265" s="117"/>
      <c r="CA265" s="117"/>
      <c r="CB265" s="117">
        <f t="shared" si="551"/>
        <v>2</v>
      </c>
    </row>
    <row r="266" spans="1:80" ht="16.5" hidden="1" customHeight="1">
      <c r="A266" s="117">
        <v>913</v>
      </c>
      <c r="B266" s="154" t="s">
        <v>642</v>
      </c>
      <c r="C266" s="154" t="s">
        <v>919</v>
      </c>
      <c r="D266" s="154" t="s">
        <v>13</v>
      </c>
      <c r="E266" s="154" t="s">
        <v>666</v>
      </c>
      <c r="F266" s="154" t="s">
        <v>667</v>
      </c>
      <c r="G266" s="154" t="s">
        <v>657</v>
      </c>
      <c r="H266" s="146">
        <v>512</v>
      </c>
      <c r="I266" s="147" t="s">
        <v>147</v>
      </c>
      <c r="J266" s="144">
        <v>2</v>
      </c>
      <c r="K266" s="145">
        <f t="shared" si="533"/>
        <v>1</v>
      </c>
      <c r="L266" s="144">
        <f t="shared" si="534"/>
        <v>2</v>
      </c>
      <c r="M266" s="146">
        <v>21.2</v>
      </c>
      <c r="N266" s="146">
        <f t="shared" si="535"/>
        <v>42.4</v>
      </c>
      <c r="O266" s="146" t="s">
        <v>137</v>
      </c>
      <c r="P266" s="146" t="s">
        <v>13</v>
      </c>
      <c r="Q266" s="146" t="s">
        <v>148</v>
      </c>
      <c r="R266" s="146"/>
      <c r="S266" s="146"/>
      <c r="T266" s="146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</v>
      </c>
      <c r="U266" s="146">
        <f t="shared" ca="1" si="536"/>
        <v>1</v>
      </c>
      <c r="V266" s="146">
        <f t="shared" ca="1" si="537"/>
        <v>0</v>
      </c>
      <c r="W266" s="146"/>
      <c r="X266" s="146"/>
      <c r="Y266" s="146"/>
      <c r="Z266" s="146"/>
      <c r="AA266" s="146"/>
      <c r="AB266" s="146"/>
      <c r="AC266" s="146">
        <v>0.6</v>
      </c>
      <c r="AD266" s="117" t="s">
        <v>142</v>
      </c>
      <c r="AE266" s="148"/>
      <c r="AF266" s="146" t="str">
        <f t="shared" si="538"/>
        <v>N/A</v>
      </c>
      <c r="AG266" s="146">
        <f t="shared" si="538"/>
        <v>0</v>
      </c>
      <c r="AH266" s="146">
        <f t="shared" si="539"/>
        <v>0</v>
      </c>
      <c r="AI266" s="146">
        <f t="shared" ca="1" si="540"/>
        <v>0</v>
      </c>
      <c r="AJ266" s="146">
        <f t="shared" ca="1" si="541"/>
        <v>0</v>
      </c>
      <c r="AK266" s="146" t="str">
        <f t="shared" si="538"/>
        <v>N/A</v>
      </c>
      <c r="AL266" s="146">
        <f t="shared" si="538"/>
        <v>0</v>
      </c>
      <c r="AM266" s="146">
        <f t="shared" si="542"/>
        <v>0</v>
      </c>
      <c r="AN266" s="146">
        <f t="shared" ca="1" si="543"/>
        <v>0</v>
      </c>
      <c r="AO266" s="146">
        <f t="shared" ca="1" si="544"/>
        <v>0</v>
      </c>
      <c r="AP266" s="146" t="str">
        <f t="shared" si="538"/>
        <v>AMC 2-S3</v>
      </c>
      <c r="AQ266" s="146">
        <f t="shared" si="538"/>
        <v>1</v>
      </c>
      <c r="AR266" s="146">
        <f t="shared" si="545"/>
        <v>2</v>
      </c>
      <c r="AS266" s="146">
        <f t="shared" ca="1" si="546"/>
        <v>1</v>
      </c>
      <c r="AT266" s="146">
        <f t="shared" ca="1" si="547"/>
        <v>1</v>
      </c>
      <c r="AU266" s="146" t="str">
        <f t="shared" si="538"/>
        <v>N/A</v>
      </c>
      <c r="AV266" s="146">
        <f t="shared" si="538"/>
        <v>0</v>
      </c>
      <c r="AW266" s="146">
        <f t="shared" si="548"/>
        <v>0</v>
      </c>
      <c r="AX266" s="146">
        <f t="shared" ca="1" si="549"/>
        <v>0</v>
      </c>
      <c r="AY266" s="146">
        <f t="shared" ca="1" si="550"/>
        <v>0</v>
      </c>
      <c r="AZ266" s="147"/>
      <c r="BA266" s="144" t="s">
        <v>140</v>
      </c>
      <c r="BB266" s="144" t="s">
        <v>140</v>
      </c>
      <c r="BC266" s="144" t="s">
        <v>141</v>
      </c>
      <c r="BD266" s="144" t="s">
        <v>140</v>
      </c>
      <c r="BE266" s="146">
        <v>0.3</v>
      </c>
      <c r="BF266" s="148"/>
      <c r="BG266" s="146"/>
      <c r="BH266" s="117"/>
      <c r="BI266" s="117"/>
      <c r="BJ266" s="149"/>
      <c r="BK266" s="150" t="s">
        <v>149</v>
      </c>
      <c r="BL266" s="151">
        <v>0</v>
      </c>
      <c r="BM266" s="151">
        <v>0</v>
      </c>
      <c r="BN266" s="151">
        <v>0</v>
      </c>
      <c r="BO266" s="151">
        <v>0</v>
      </c>
      <c r="BP266" s="151">
        <v>0</v>
      </c>
      <c r="BQ266" s="151">
        <v>0</v>
      </c>
      <c r="BR266" s="151">
        <v>0</v>
      </c>
      <c r="BS266" s="117" t="s">
        <v>150</v>
      </c>
      <c r="BT266" s="117"/>
      <c r="BU266" s="155"/>
      <c r="BV266" s="117"/>
      <c r="BW266" s="117"/>
      <c r="BX266" s="149"/>
      <c r="BY266" s="117"/>
      <c r="BZ266" s="117"/>
      <c r="CA266" s="117"/>
      <c r="CB266" s="117">
        <f t="shared" si="551"/>
        <v>2</v>
      </c>
    </row>
    <row r="267" spans="1:80" ht="16.5" hidden="1" customHeight="1">
      <c r="A267" s="117">
        <v>914</v>
      </c>
      <c r="B267" s="154" t="s">
        <v>642</v>
      </c>
      <c r="C267" s="154" t="s">
        <v>919</v>
      </c>
      <c r="D267" s="154" t="s">
        <v>13</v>
      </c>
      <c r="E267" s="154" t="s">
        <v>668</v>
      </c>
      <c r="F267" s="154" t="s">
        <v>669</v>
      </c>
      <c r="G267" s="154" t="s">
        <v>657</v>
      </c>
      <c r="H267" s="146">
        <v>766</v>
      </c>
      <c r="I267" s="147" t="s">
        <v>147</v>
      </c>
      <c r="J267" s="144">
        <v>2</v>
      </c>
      <c r="K267" s="145">
        <f t="shared" si="533"/>
        <v>1</v>
      </c>
      <c r="L267" s="144">
        <f t="shared" si="534"/>
        <v>2</v>
      </c>
      <c r="M267" s="146">
        <v>31.6</v>
      </c>
      <c r="N267" s="146">
        <f t="shared" si="535"/>
        <v>63.2</v>
      </c>
      <c r="O267" s="146" t="s">
        <v>137</v>
      </c>
      <c r="P267" s="146" t="s">
        <v>13</v>
      </c>
      <c r="Q267" s="146" t="s">
        <v>148</v>
      </c>
      <c r="R267" s="146"/>
      <c r="S267" s="146"/>
      <c r="T267" s="146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0</v>
      </c>
      <c r="U267" s="146">
        <f t="shared" ca="1" si="536"/>
        <v>2</v>
      </c>
      <c r="V267" s="146">
        <f t="shared" ca="1" si="537"/>
        <v>0</v>
      </c>
      <c r="W267" s="146"/>
      <c r="X267" s="146"/>
      <c r="Y267" s="146"/>
      <c r="Z267" s="146"/>
      <c r="AA267" s="146"/>
      <c r="AB267" s="146"/>
      <c r="AC267" s="146">
        <v>0.9</v>
      </c>
      <c r="AD267" s="117" t="s">
        <v>142</v>
      </c>
      <c r="AE267" s="148"/>
      <c r="AF267" s="146" t="str">
        <f t="shared" si="538"/>
        <v>N/A</v>
      </c>
      <c r="AG267" s="146">
        <f t="shared" si="538"/>
        <v>0</v>
      </c>
      <c r="AH267" s="146">
        <f t="shared" si="539"/>
        <v>0</v>
      </c>
      <c r="AI267" s="146">
        <f t="shared" ca="1" si="540"/>
        <v>0</v>
      </c>
      <c r="AJ267" s="146">
        <f t="shared" ca="1" si="541"/>
        <v>0</v>
      </c>
      <c r="AK267" s="146" t="str">
        <f t="shared" si="538"/>
        <v>N/A</v>
      </c>
      <c r="AL267" s="146">
        <f t="shared" si="538"/>
        <v>0</v>
      </c>
      <c r="AM267" s="146">
        <f t="shared" si="542"/>
        <v>0</v>
      </c>
      <c r="AN267" s="146">
        <f t="shared" ca="1" si="543"/>
        <v>0</v>
      </c>
      <c r="AO267" s="146">
        <f t="shared" ca="1" si="544"/>
        <v>0</v>
      </c>
      <c r="AP267" s="146" t="str">
        <f t="shared" si="538"/>
        <v>AMC 2-S3</v>
      </c>
      <c r="AQ267" s="146">
        <f t="shared" si="538"/>
        <v>1</v>
      </c>
      <c r="AR267" s="146">
        <f t="shared" si="545"/>
        <v>2</v>
      </c>
      <c r="AS267" s="146">
        <f t="shared" ca="1" si="546"/>
        <v>0</v>
      </c>
      <c r="AT267" s="146">
        <f t="shared" ca="1" si="547"/>
        <v>2</v>
      </c>
      <c r="AU267" s="146" t="str">
        <f t="shared" si="538"/>
        <v>N/A</v>
      </c>
      <c r="AV267" s="146">
        <f t="shared" si="538"/>
        <v>0</v>
      </c>
      <c r="AW267" s="146">
        <f t="shared" si="548"/>
        <v>0</v>
      </c>
      <c r="AX267" s="146">
        <f t="shared" ca="1" si="549"/>
        <v>0</v>
      </c>
      <c r="AY267" s="146">
        <f t="shared" ca="1" si="550"/>
        <v>0</v>
      </c>
      <c r="AZ267" s="147"/>
      <c r="BA267" s="144" t="s">
        <v>140</v>
      </c>
      <c r="BB267" s="144" t="s">
        <v>140</v>
      </c>
      <c r="BC267" s="144" t="s">
        <v>141</v>
      </c>
      <c r="BD267" s="144" t="s">
        <v>140</v>
      </c>
      <c r="BE267" s="146">
        <v>0.4</v>
      </c>
      <c r="BF267" s="148"/>
      <c r="BG267" s="146"/>
      <c r="BH267" s="117"/>
      <c r="BI267" s="117"/>
      <c r="BJ267" s="149"/>
      <c r="BK267" s="150" t="s">
        <v>149</v>
      </c>
      <c r="BL267" s="151">
        <v>0</v>
      </c>
      <c r="BM267" s="151">
        <v>0</v>
      </c>
      <c r="BN267" s="151">
        <v>0</v>
      </c>
      <c r="BO267" s="151">
        <v>0</v>
      </c>
      <c r="BP267" s="151">
        <v>0</v>
      </c>
      <c r="BQ267" s="151">
        <v>0</v>
      </c>
      <c r="BR267" s="151">
        <v>0</v>
      </c>
      <c r="BS267" s="117" t="s">
        <v>150</v>
      </c>
      <c r="BT267" s="117"/>
      <c r="BU267" s="155"/>
      <c r="BV267" s="117"/>
      <c r="BW267" s="117"/>
      <c r="BX267" s="149"/>
      <c r="BY267" s="117"/>
      <c r="BZ267" s="117"/>
      <c r="CA267" s="117"/>
      <c r="CB267" s="117">
        <f t="shared" si="551"/>
        <v>2</v>
      </c>
    </row>
    <row r="268" spans="1:80" ht="16.5" hidden="1" customHeight="1">
      <c r="A268" s="117">
        <v>915</v>
      </c>
      <c r="B268" s="154" t="s">
        <v>642</v>
      </c>
      <c r="C268" s="154" t="s">
        <v>919</v>
      </c>
      <c r="D268" s="154" t="s">
        <v>13</v>
      </c>
      <c r="E268" s="154" t="s">
        <v>670</v>
      </c>
      <c r="F268" s="154" t="s">
        <v>671</v>
      </c>
      <c r="G268" s="154" t="s">
        <v>672</v>
      </c>
      <c r="H268" s="146">
        <v>1068</v>
      </c>
      <c r="I268" s="147" t="s">
        <v>147</v>
      </c>
      <c r="J268" s="144">
        <v>2</v>
      </c>
      <c r="K268" s="145">
        <f t="shared" si="533"/>
        <v>1</v>
      </c>
      <c r="L268" s="144">
        <f t="shared" si="534"/>
        <v>2</v>
      </c>
      <c r="M268" s="146">
        <v>80.8</v>
      </c>
      <c r="N268" s="146">
        <f t="shared" si="535"/>
        <v>161.6</v>
      </c>
      <c r="O268" s="146" t="s">
        <v>137</v>
      </c>
      <c r="P268" s="146" t="s">
        <v>13</v>
      </c>
      <c r="Q268" s="146" t="s">
        <v>148</v>
      </c>
      <c r="R268" s="146"/>
      <c r="S268" s="146"/>
      <c r="T268" s="146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146">
        <f t="shared" ca="1" si="536"/>
        <v>2</v>
      </c>
      <c r="V268" s="146">
        <f t="shared" ca="1" si="537"/>
        <v>0</v>
      </c>
      <c r="W268" s="146"/>
      <c r="X268" s="146"/>
      <c r="Y268" s="146"/>
      <c r="Z268" s="146"/>
      <c r="AA268" s="146"/>
      <c r="AB268" s="146"/>
      <c r="AC268" s="146">
        <v>2.2000000000000002</v>
      </c>
      <c r="AD268" s="117" t="s">
        <v>142</v>
      </c>
      <c r="AE268" s="148"/>
      <c r="AF268" s="146" t="str">
        <f t="shared" si="538"/>
        <v>N/A</v>
      </c>
      <c r="AG268" s="146">
        <f t="shared" si="538"/>
        <v>0</v>
      </c>
      <c r="AH268" s="146">
        <f t="shared" si="539"/>
        <v>0</v>
      </c>
      <c r="AI268" s="146">
        <f t="shared" ca="1" si="540"/>
        <v>0</v>
      </c>
      <c r="AJ268" s="146">
        <f t="shared" ca="1" si="541"/>
        <v>0</v>
      </c>
      <c r="AK268" s="146" t="str">
        <f t="shared" si="538"/>
        <v>N/A</v>
      </c>
      <c r="AL268" s="146">
        <f t="shared" si="538"/>
        <v>0</v>
      </c>
      <c r="AM268" s="146">
        <f t="shared" si="542"/>
        <v>0</v>
      </c>
      <c r="AN268" s="146">
        <f t="shared" ca="1" si="543"/>
        <v>0</v>
      </c>
      <c r="AO268" s="146">
        <f t="shared" ca="1" si="544"/>
        <v>0</v>
      </c>
      <c r="AP268" s="146" t="str">
        <f t="shared" si="538"/>
        <v>AMC 2-S3</v>
      </c>
      <c r="AQ268" s="146">
        <f t="shared" si="538"/>
        <v>1</v>
      </c>
      <c r="AR268" s="146">
        <f t="shared" si="545"/>
        <v>2</v>
      </c>
      <c r="AS268" s="146">
        <f t="shared" ca="1" si="546"/>
        <v>0</v>
      </c>
      <c r="AT268" s="146">
        <f t="shared" ca="1" si="547"/>
        <v>2</v>
      </c>
      <c r="AU268" s="146" t="str">
        <f t="shared" si="538"/>
        <v>N/A</v>
      </c>
      <c r="AV268" s="146">
        <f t="shared" si="538"/>
        <v>0</v>
      </c>
      <c r="AW268" s="146">
        <f t="shared" si="548"/>
        <v>0</v>
      </c>
      <c r="AX268" s="146">
        <f t="shared" ca="1" si="549"/>
        <v>0</v>
      </c>
      <c r="AY268" s="146">
        <f t="shared" ca="1" si="550"/>
        <v>0</v>
      </c>
      <c r="AZ268" s="147"/>
      <c r="BA268" s="144" t="s">
        <v>140</v>
      </c>
      <c r="BB268" s="144" t="s">
        <v>140</v>
      </c>
      <c r="BC268" s="144" t="s">
        <v>141</v>
      </c>
      <c r="BD268" s="144" t="s">
        <v>140</v>
      </c>
      <c r="BE268" s="146">
        <v>1.1000000000000001</v>
      </c>
      <c r="BF268" s="148"/>
      <c r="BG268" s="146"/>
      <c r="BH268" s="117"/>
      <c r="BI268" s="117"/>
      <c r="BJ268" s="149"/>
      <c r="BK268" s="150" t="s">
        <v>149</v>
      </c>
      <c r="BL268" s="151">
        <v>0</v>
      </c>
      <c r="BM268" s="151">
        <v>0</v>
      </c>
      <c r="BN268" s="151">
        <v>0</v>
      </c>
      <c r="BO268" s="151">
        <v>0</v>
      </c>
      <c r="BP268" s="151">
        <v>0</v>
      </c>
      <c r="BQ268" s="151">
        <v>0</v>
      </c>
      <c r="BR268" s="151">
        <v>0</v>
      </c>
      <c r="BS268" s="117" t="s">
        <v>150</v>
      </c>
      <c r="BT268" s="117"/>
      <c r="BU268" s="155"/>
      <c r="BV268" s="117"/>
      <c r="BW268" s="117"/>
      <c r="BX268" s="149"/>
      <c r="BY268" s="117"/>
      <c r="BZ268" s="117"/>
      <c r="CA268" s="117"/>
      <c r="CB268" s="117">
        <f t="shared" si="551"/>
        <v>2</v>
      </c>
    </row>
    <row r="269" spans="1:80" ht="16.5" hidden="1" customHeight="1">
      <c r="A269" s="117">
        <v>916</v>
      </c>
      <c r="B269" s="154" t="s">
        <v>642</v>
      </c>
      <c r="C269" s="154" t="s">
        <v>919</v>
      </c>
      <c r="D269" s="154" t="s">
        <v>13</v>
      </c>
      <c r="E269" s="154" t="s">
        <v>673</v>
      </c>
      <c r="F269" s="154" t="s">
        <v>674</v>
      </c>
      <c r="G269" s="154" t="s">
        <v>675</v>
      </c>
      <c r="H269" s="146">
        <v>1055</v>
      </c>
      <c r="I269" s="147" t="s">
        <v>147</v>
      </c>
      <c r="J269" s="144">
        <v>2</v>
      </c>
      <c r="K269" s="145">
        <f t="shared" si="533"/>
        <v>1</v>
      </c>
      <c r="L269" s="144">
        <f t="shared" si="534"/>
        <v>2</v>
      </c>
      <c r="M269" s="146">
        <v>79.900000000000006</v>
      </c>
      <c r="N269" s="146">
        <f t="shared" si="535"/>
        <v>159.80000000000001</v>
      </c>
      <c r="O269" s="146" t="s">
        <v>137</v>
      </c>
      <c r="P269" s="146" t="s">
        <v>13</v>
      </c>
      <c r="Q269" s="146" t="s">
        <v>148</v>
      </c>
      <c r="R269" s="146"/>
      <c r="S269" s="146"/>
      <c r="T269" s="146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0</v>
      </c>
      <c r="U269" s="146">
        <f t="shared" ca="1" si="536"/>
        <v>2</v>
      </c>
      <c r="V269" s="146">
        <f t="shared" ca="1" si="537"/>
        <v>0</v>
      </c>
      <c r="W269" s="146"/>
      <c r="X269" s="146"/>
      <c r="Y269" s="146"/>
      <c r="Z269" s="146"/>
      <c r="AA269" s="146"/>
      <c r="AB269" s="146"/>
      <c r="AC269" s="146">
        <v>2.2000000000000002</v>
      </c>
      <c r="AD269" s="117" t="s">
        <v>142</v>
      </c>
      <c r="AE269" s="148"/>
      <c r="AF269" s="146" t="str">
        <f t="shared" si="538"/>
        <v>N/A</v>
      </c>
      <c r="AG269" s="146">
        <f t="shared" si="538"/>
        <v>0</v>
      </c>
      <c r="AH269" s="146">
        <f t="shared" si="539"/>
        <v>0</v>
      </c>
      <c r="AI269" s="146">
        <f t="shared" ca="1" si="540"/>
        <v>0</v>
      </c>
      <c r="AJ269" s="146">
        <f t="shared" ca="1" si="541"/>
        <v>0</v>
      </c>
      <c r="AK269" s="146" t="str">
        <f t="shared" si="538"/>
        <v>N/A</v>
      </c>
      <c r="AL269" s="146">
        <f t="shared" si="538"/>
        <v>0</v>
      </c>
      <c r="AM269" s="146">
        <f t="shared" si="542"/>
        <v>0</v>
      </c>
      <c r="AN269" s="146">
        <f t="shared" ca="1" si="543"/>
        <v>0</v>
      </c>
      <c r="AO269" s="146">
        <f t="shared" ca="1" si="544"/>
        <v>0</v>
      </c>
      <c r="AP269" s="146" t="str">
        <f t="shared" si="538"/>
        <v>AMC 2-S3</v>
      </c>
      <c r="AQ269" s="146">
        <f t="shared" si="538"/>
        <v>1</v>
      </c>
      <c r="AR269" s="146">
        <f t="shared" si="545"/>
        <v>2</v>
      </c>
      <c r="AS269" s="146">
        <f t="shared" ca="1" si="546"/>
        <v>0</v>
      </c>
      <c r="AT269" s="146">
        <f t="shared" ca="1" si="547"/>
        <v>2</v>
      </c>
      <c r="AU269" s="146" t="str">
        <f t="shared" si="538"/>
        <v>N/A</v>
      </c>
      <c r="AV269" s="146">
        <f t="shared" si="538"/>
        <v>0</v>
      </c>
      <c r="AW269" s="146">
        <f t="shared" si="548"/>
        <v>0</v>
      </c>
      <c r="AX269" s="146">
        <f t="shared" ca="1" si="549"/>
        <v>0</v>
      </c>
      <c r="AY269" s="146">
        <f t="shared" ca="1" si="550"/>
        <v>0</v>
      </c>
      <c r="AZ269" s="147"/>
      <c r="BA269" s="144" t="s">
        <v>140</v>
      </c>
      <c r="BB269" s="144" t="s">
        <v>140</v>
      </c>
      <c r="BC269" s="144" t="s">
        <v>141</v>
      </c>
      <c r="BD269" s="144" t="s">
        <v>140</v>
      </c>
      <c r="BE269" s="146">
        <v>1.1000000000000001</v>
      </c>
      <c r="BF269" s="148"/>
      <c r="BG269" s="146"/>
      <c r="BH269" s="117"/>
      <c r="BI269" s="117"/>
      <c r="BJ269" s="149"/>
      <c r="BK269" s="150" t="s">
        <v>149</v>
      </c>
      <c r="BL269" s="151">
        <v>0</v>
      </c>
      <c r="BM269" s="151">
        <v>0</v>
      </c>
      <c r="BN269" s="151">
        <v>0</v>
      </c>
      <c r="BO269" s="151">
        <v>0</v>
      </c>
      <c r="BP269" s="151">
        <v>0</v>
      </c>
      <c r="BQ269" s="151">
        <v>0</v>
      </c>
      <c r="BR269" s="151">
        <v>0</v>
      </c>
      <c r="BS269" s="117" t="s">
        <v>150</v>
      </c>
      <c r="BT269" s="117"/>
      <c r="BU269" s="155"/>
      <c r="BV269" s="117"/>
      <c r="BW269" s="117"/>
      <c r="BX269" s="149"/>
      <c r="BY269" s="117"/>
      <c r="BZ269" s="117"/>
      <c r="CA269" s="117"/>
      <c r="CB269" s="117">
        <f t="shared" si="551"/>
        <v>2</v>
      </c>
    </row>
    <row r="270" spans="1:80" ht="16.5" hidden="1" customHeight="1">
      <c r="A270" s="117">
        <v>917</v>
      </c>
      <c r="B270" s="154" t="s">
        <v>642</v>
      </c>
      <c r="C270" s="154" t="s">
        <v>919</v>
      </c>
      <c r="D270" s="154" t="s">
        <v>13</v>
      </c>
      <c r="E270" s="154" t="s">
        <v>676</v>
      </c>
      <c r="F270" s="154" t="s">
        <v>677</v>
      </c>
      <c r="G270" s="154" t="s">
        <v>678</v>
      </c>
      <c r="H270" s="146">
        <v>100</v>
      </c>
      <c r="I270" s="147" t="s">
        <v>652</v>
      </c>
      <c r="J270" s="144">
        <v>1</v>
      </c>
      <c r="K270" s="145">
        <f t="shared" si="533"/>
        <v>1</v>
      </c>
      <c r="L270" s="144">
        <f t="shared" si="534"/>
        <v>1</v>
      </c>
      <c r="M270" s="146">
        <v>0.2</v>
      </c>
      <c r="N270" s="146">
        <f t="shared" si="535"/>
        <v>0.2</v>
      </c>
      <c r="O270" s="146" t="s">
        <v>137</v>
      </c>
      <c r="P270" s="146" t="s">
        <v>13</v>
      </c>
      <c r="Q270" s="146" t="s">
        <v>148</v>
      </c>
      <c r="R270" s="146"/>
      <c r="S270" s="146"/>
      <c r="T270" s="146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146">
        <f t="shared" ca="1" si="536"/>
        <v>1</v>
      </c>
      <c r="V270" s="146">
        <f t="shared" ca="1" si="537"/>
        <v>0</v>
      </c>
      <c r="W270" s="146"/>
      <c r="X270" s="146"/>
      <c r="Y270" s="146"/>
      <c r="Z270" s="146"/>
      <c r="AA270" s="146"/>
      <c r="AB270" s="146"/>
      <c r="AC270" s="146">
        <v>0</v>
      </c>
      <c r="AD270" s="117" t="s">
        <v>142</v>
      </c>
      <c r="AE270" s="148"/>
      <c r="AF270" s="146" t="str">
        <f t="shared" si="538"/>
        <v>N/A</v>
      </c>
      <c r="AG270" s="146">
        <f t="shared" si="538"/>
        <v>0</v>
      </c>
      <c r="AH270" s="146">
        <f t="shared" si="539"/>
        <v>0</v>
      </c>
      <c r="AI270" s="146">
        <f t="shared" ca="1" si="540"/>
        <v>0</v>
      </c>
      <c r="AJ270" s="146">
        <f t="shared" ca="1" si="541"/>
        <v>0</v>
      </c>
      <c r="AK270" s="146" t="str">
        <f t="shared" si="538"/>
        <v>N/A</v>
      </c>
      <c r="AL270" s="146">
        <f t="shared" si="538"/>
        <v>0</v>
      </c>
      <c r="AM270" s="146">
        <f t="shared" si="542"/>
        <v>0</v>
      </c>
      <c r="AN270" s="146">
        <f t="shared" ca="1" si="543"/>
        <v>0</v>
      </c>
      <c r="AO270" s="146">
        <f t="shared" ca="1" si="544"/>
        <v>0</v>
      </c>
      <c r="AP270" s="146" t="str">
        <f t="shared" si="538"/>
        <v>AMC 2-S3</v>
      </c>
      <c r="AQ270" s="146">
        <f t="shared" si="538"/>
        <v>1</v>
      </c>
      <c r="AR270" s="146">
        <f t="shared" si="545"/>
        <v>1</v>
      </c>
      <c r="AS270" s="146">
        <f t="shared" ca="1" si="546"/>
        <v>0</v>
      </c>
      <c r="AT270" s="146">
        <f t="shared" ca="1" si="547"/>
        <v>1</v>
      </c>
      <c r="AU270" s="146" t="str">
        <f t="shared" si="538"/>
        <v>N/A</v>
      </c>
      <c r="AV270" s="146">
        <f t="shared" si="538"/>
        <v>0</v>
      </c>
      <c r="AW270" s="146">
        <f t="shared" si="548"/>
        <v>0</v>
      </c>
      <c r="AX270" s="146">
        <f t="shared" ca="1" si="549"/>
        <v>0</v>
      </c>
      <c r="AY270" s="146">
        <f t="shared" ca="1" si="550"/>
        <v>0</v>
      </c>
      <c r="AZ270" s="147"/>
      <c r="BA270" s="144" t="s">
        <v>140</v>
      </c>
      <c r="BB270" s="144" t="s">
        <v>140</v>
      </c>
      <c r="BC270" s="144" t="s">
        <v>141</v>
      </c>
      <c r="BD270" s="144" t="s">
        <v>140</v>
      </c>
      <c r="BE270" s="146">
        <v>0</v>
      </c>
      <c r="BF270" s="148"/>
      <c r="BG270" s="146"/>
      <c r="BH270" s="117"/>
      <c r="BI270" s="117"/>
      <c r="BJ270" s="149"/>
      <c r="BK270" s="149"/>
      <c r="BL270" s="117">
        <v>1</v>
      </c>
      <c r="BM270" s="117">
        <v>0</v>
      </c>
      <c r="BN270" s="117">
        <v>0</v>
      </c>
      <c r="BO270" s="117">
        <v>0</v>
      </c>
      <c r="BP270" s="117">
        <v>0</v>
      </c>
      <c r="BQ270" s="117">
        <v>0</v>
      </c>
      <c r="BR270" s="117">
        <v>0</v>
      </c>
      <c r="BS270" s="117" t="s">
        <v>150</v>
      </c>
      <c r="BT270" s="117"/>
      <c r="BU270" s="155"/>
      <c r="BV270" s="117"/>
      <c r="BW270" s="117"/>
      <c r="BX270" s="149"/>
      <c r="BY270" s="117"/>
      <c r="BZ270" s="117"/>
      <c r="CA270" s="117"/>
      <c r="CB270" s="117">
        <f t="shared" si="551"/>
        <v>1</v>
      </c>
    </row>
    <row r="271" spans="1:80" ht="16.5" hidden="1" customHeight="1">
      <c r="A271" s="133">
        <v>918</v>
      </c>
      <c r="B271" s="156" t="s">
        <v>679</v>
      </c>
      <c r="C271" s="156" t="s">
        <v>920</v>
      </c>
      <c r="D271" s="156"/>
      <c r="E271" s="156" t="s">
        <v>136</v>
      </c>
      <c r="F271" s="156"/>
      <c r="G271" s="156"/>
      <c r="H271" s="157"/>
      <c r="I271" s="159"/>
      <c r="J271" s="160" t="s">
        <v>136</v>
      </c>
      <c r="K271" s="138">
        <f>+AG271+AL271+AQ271+AV271</f>
        <v>1</v>
      </c>
      <c r="L271" s="160" t="s">
        <v>136</v>
      </c>
      <c r="M271" s="157"/>
      <c r="N271" s="157">
        <v>1951.5</v>
      </c>
      <c r="O271" s="157" t="s">
        <v>137</v>
      </c>
      <c r="P271" s="157"/>
      <c r="Q271" s="157"/>
      <c r="R271" s="157"/>
      <c r="S271" s="157"/>
      <c r="T271" s="157"/>
      <c r="U271" s="157"/>
      <c r="V271" s="157"/>
      <c r="W271" s="135">
        <f ca="1">_xlfn.MINIFS(V:V,C:C,C271,AE:AE,"",AB:AB,"")</f>
        <v>1</v>
      </c>
      <c r="X271" s="135">
        <f ca="1">SUMIFS(T:T,C:C,C271,AE:AE,"")/SUMIFS(L:L,C:C,C271,AE:AE,"",AB:AB,"")</f>
        <v>1</v>
      </c>
      <c r="Y271" s="157"/>
      <c r="Z271" s="157"/>
      <c r="AA271" s="157"/>
      <c r="AB271" s="157"/>
      <c r="AC271" s="157">
        <v>24.5</v>
      </c>
      <c r="AD271" s="161" t="s">
        <v>196</v>
      </c>
      <c r="AE271" s="162" t="s">
        <v>143</v>
      </c>
      <c r="AF271" s="157" t="s">
        <v>139</v>
      </c>
      <c r="AG271" s="157">
        <v>1</v>
      </c>
      <c r="AH271" s="157"/>
      <c r="AI271" s="157"/>
      <c r="AJ271" s="157"/>
      <c r="AK271" s="157" t="s">
        <v>138</v>
      </c>
      <c r="AL271" s="157">
        <v>0</v>
      </c>
      <c r="AM271" s="157"/>
      <c r="AN271" s="157"/>
      <c r="AO271" s="157"/>
      <c r="AP271" s="157" t="s">
        <v>138</v>
      </c>
      <c r="AQ271" s="157">
        <v>0</v>
      </c>
      <c r="AR271" s="157"/>
      <c r="AS271" s="157"/>
      <c r="AT271" s="157"/>
      <c r="AU271" s="157" t="s">
        <v>138</v>
      </c>
      <c r="AV271" s="157">
        <v>0</v>
      </c>
      <c r="AW271" s="157"/>
      <c r="AX271" s="157"/>
      <c r="AY271" s="157"/>
      <c r="AZ271" s="136"/>
      <c r="BA271" s="137" t="s">
        <v>141</v>
      </c>
      <c r="BB271" s="137" t="s">
        <v>140</v>
      </c>
      <c r="BC271" s="137" t="s">
        <v>140</v>
      </c>
      <c r="BD271" s="137" t="s">
        <v>140</v>
      </c>
      <c r="BE271" s="157">
        <v>24.5</v>
      </c>
      <c r="BF271" s="162"/>
      <c r="BG271" s="157"/>
      <c r="BH271" s="161"/>
      <c r="BI271" s="161"/>
      <c r="BJ271" s="163"/>
      <c r="BK271" s="163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4"/>
      <c r="BV271" s="161"/>
      <c r="BW271" s="161"/>
      <c r="BX271" s="163"/>
      <c r="BY271" s="161"/>
      <c r="BZ271" s="161"/>
      <c r="CA271" s="161"/>
      <c r="CB271" s="161"/>
    </row>
    <row r="272" spans="1:80" ht="16.5" hidden="1" customHeight="1">
      <c r="A272" s="117">
        <v>919</v>
      </c>
      <c r="B272" s="154" t="s">
        <v>679</v>
      </c>
      <c r="C272" s="154" t="s">
        <v>920</v>
      </c>
      <c r="D272" s="154" t="s">
        <v>13</v>
      </c>
      <c r="E272" s="154" t="s">
        <v>646</v>
      </c>
      <c r="F272" s="154" t="s">
        <v>680</v>
      </c>
      <c r="G272" s="154" t="s">
        <v>648</v>
      </c>
      <c r="H272" s="146">
        <v>400</v>
      </c>
      <c r="I272" s="147" t="s">
        <v>147</v>
      </c>
      <c r="J272" s="144">
        <v>2</v>
      </c>
      <c r="K272" s="145">
        <f t="shared" ref="K272:K283" si="552">K271</f>
        <v>1</v>
      </c>
      <c r="L272" s="144">
        <f t="shared" ref="L272:L283" si="553">+K272*J272</f>
        <v>2</v>
      </c>
      <c r="M272" s="146">
        <v>25.1</v>
      </c>
      <c r="N272" s="146">
        <f t="shared" ref="N272:N283" si="554">+M272*L272</f>
        <v>50.2</v>
      </c>
      <c r="O272" s="146" t="s">
        <v>137</v>
      </c>
      <c r="P272" s="146" t="s">
        <v>13</v>
      </c>
      <c r="Q272" s="146" t="s">
        <v>148</v>
      </c>
      <c r="R272" s="146"/>
      <c r="S272" s="146"/>
      <c r="T272" s="146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2</v>
      </c>
      <c r="U272" s="146">
        <f t="shared" ref="U272:U283" ca="1" si="555">+L272-T272</f>
        <v>0</v>
      </c>
      <c r="V272" s="146">
        <f t="shared" ref="V272:V283" ca="1" si="556">ROUNDDOWN(T272/J272,0)</f>
        <v>1</v>
      </c>
      <c r="W272" s="146"/>
      <c r="X272" s="146"/>
      <c r="Y272" s="146"/>
      <c r="Z272" s="146"/>
      <c r="AA272" s="146"/>
      <c r="AB272" s="146"/>
      <c r="AC272" s="146">
        <v>0.7</v>
      </c>
      <c r="AD272" s="117" t="s">
        <v>196</v>
      </c>
      <c r="AE272" s="148"/>
      <c r="AF272" s="146" t="str">
        <f t="shared" ref="AF272:AV283" si="557">AF271</f>
        <v>AMC 2-S3</v>
      </c>
      <c r="AG272" s="146">
        <f t="shared" si="557"/>
        <v>1</v>
      </c>
      <c r="AH272" s="146">
        <f t="shared" ref="AH272:AH283" si="558">+AG272*J272</f>
        <v>2</v>
      </c>
      <c r="AI272" s="146">
        <f t="shared" ref="AI272:AI283" ca="1" si="559">MIN(T272,AH272)</f>
        <v>2</v>
      </c>
      <c r="AJ272" s="146">
        <f t="shared" ref="AJ272:AJ283" ca="1" si="560">+AH272-AI272</f>
        <v>0</v>
      </c>
      <c r="AK272" s="146" t="str">
        <f t="shared" si="557"/>
        <v>N/A</v>
      </c>
      <c r="AL272" s="146">
        <f t="shared" si="557"/>
        <v>0</v>
      </c>
      <c r="AM272" s="146">
        <f t="shared" ref="AM272:AM283" si="561">+AL272*J272</f>
        <v>0</v>
      </c>
      <c r="AN272" s="146">
        <f t="shared" ref="AN272:AN283" ca="1" si="562">MIN(T272-AI272,AL272)</f>
        <v>0</v>
      </c>
      <c r="AO272" s="146">
        <f t="shared" ref="AO272:AO283" ca="1" si="563">+AM272-AN272</f>
        <v>0</v>
      </c>
      <c r="AP272" s="146" t="str">
        <f t="shared" si="557"/>
        <v>N/A</v>
      </c>
      <c r="AQ272" s="146">
        <f t="shared" si="557"/>
        <v>0</v>
      </c>
      <c r="AR272" s="146">
        <f t="shared" ref="AR272:AR283" si="564">+AQ272*J272</f>
        <v>0</v>
      </c>
      <c r="AS272" s="146">
        <f t="shared" ref="AS272:AS283" ca="1" si="565">MIN(T272-AI272-AN272,AR272)</f>
        <v>0</v>
      </c>
      <c r="AT272" s="146">
        <f t="shared" ref="AT272:AT283" ca="1" si="566">+AR272-AS272</f>
        <v>0</v>
      </c>
      <c r="AU272" s="146" t="str">
        <f t="shared" si="557"/>
        <v>N/A</v>
      </c>
      <c r="AV272" s="146">
        <f t="shared" si="557"/>
        <v>0</v>
      </c>
      <c r="AW272" s="146">
        <f t="shared" ref="AW272:AW283" si="567">+AV272*J272</f>
        <v>0</v>
      </c>
      <c r="AX272" s="146">
        <f t="shared" ref="AX272:AX283" ca="1" si="568">MIN(T272-AI272-AN272-AS272,AW272)</f>
        <v>0</v>
      </c>
      <c r="AY272" s="146">
        <f t="shared" ref="AY272:AY283" ca="1" si="569">+AW272-AX272</f>
        <v>0</v>
      </c>
      <c r="AZ272" s="147"/>
      <c r="BA272" s="144" t="s">
        <v>141</v>
      </c>
      <c r="BB272" s="144" t="s">
        <v>140</v>
      </c>
      <c r="BC272" s="144" t="s">
        <v>140</v>
      </c>
      <c r="BD272" s="144" t="s">
        <v>140</v>
      </c>
      <c r="BE272" s="146">
        <v>0.4</v>
      </c>
      <c r="BF272" s="148"/>
      <c r="BG272" s="146"/>
      <c r="BH272" s="117"/>
      <c r="BI272" s="117"/>
      <c r="BJ272" s="149"/>
      <c r="BK272" s="149"/>
      <c r="BL272" s="117">
        <v>0</v>
      </c>
      <c r="BM272" s="117">
        <v>0</v>
      </c>
      <c r="BN272" s="117">
        <v>0</v>
      </c>
      <c r="BO272" s="117">
        <v>0</v>
      </c>
      <c r="BP272" s="117">
        <v>0</v>
      </c>
      <c r="BQ272" s="117">
        <v>0</v>
      </c>
      <c r="BR272" s="117">
        <v>0</v>
      </c>
      <c r="BS272" s="117" t="s">
        <v>150</v>
      </c>
      <c r="BT272" s="167" t="s">
        <v>319</v>
      </c>
      <c r="BU272" s="141"/>
      <c r="BV272" s="141" t="s">
        <v>320</v>
      </c>
      <c r="BW272" s="141">
        <v>2</v>
      </c>
      <c r="BX272" s="153">
        <v>46202</v>
      </c>
      <c r="BY272" s="117"/>
      <c r="BZ272" s="117"/>
      <c r="CA272" s="117"/>
      <c r="CB272" s="117">
        <f t="shared" ref="CB272:CB283" si="570">+L272-BW272</f>
        <v>0</v>
      </c>
    </row>
    <row r="273" spans="1:80" ht="16.5" hidden="1" customHeight="1">
      <c r="A273" s="117">
        <v>920</v>
      </c>
      <c r="B273" s="154" t="s">
        <v>679</v>
      </c>
      <c r="C273" s="154" t="s">
        <v>920</v>
      </c>
      <c r="D273" s="154" t="s">
        <v>13</v>
      </c>
      <c r="E273" s="154" t="s">
        <v>649</v>
      </c>
      <c r="F273" s="154" t="s">
        <v>681</v>
      </c>
      <c r="G273" s="154" t="s">
        <v>651</v>
      </c>
      <c r="H273" s="146">
        <v>800</v>
      </c>
      <c r="I273" s="147" t="s">
        <v>652</v>
      </c>
      <c r="J273" s="144">
        <v>4</v>
      </c>
      <c r="K273" s="145">
        <f t="shared" si="552"/>
        <v>1</v>
      </c>
      <c r="L273" s="144">
        <f t="shared" si="553"/>
        <v>4</v>
      </c>
      <c r="M273" s="146">
        <v>4.7</v>
      </c>
      <c r="N273" s="146">
        <f t="shared" si="554"/>
        <v>18.8</v>
      </c>
      <c r="O273" s="146" t="s">
        <v>137</v>
      </c>
      <c r="P273" s="146" t="s">
        <v>13</v>
      </c>
      <c r="Q273" s="146" t="s">
        <v>148</v>
      </c>
      <c r="R273" s="146"/>
      <c r="S273" s="146"/>
      <c r="T273" s="146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4</v>
      </c>
      <c r="U273" s="146">
        <f t="shared" ca="1" si="555"/>
        <v>0</v>
      </c>
      <c r="V273" s="146">
        <f t="shared" ca="1" si="556"/>
        <v>1</v>
      </c>
      <c r="W273" s="146"/>
      <c r="X273" s="146"/>
      <c r="Y273" s="146"/>
      <c r="Z273" s="146"/>
      <c r="AA273" s="146"/>
      <c r="AB273" s="146"/>
      <c r="AC273" s="146">
        <v>1.6</v>
      </c>
      <c r="AD273" s="117" t="s">
        <v>196</v>
      </c>
      <c r="AE273" s="148"/>
      <c r="AF273" s="146" t="str">
        <f t="shared" si="557"/>
        <v>AMC 2-S3</v>
      </c>
      <c r="AG273" s="146">
        <f t="shared" si="557"/>
        <v>1</v>
      </c>
      <c r="AH273" s="146">
        <f t="shared" si="558"/>
        <v>4</v>
      </c>
      <c r="AI273" s="146">
        <f t="shared" ca="1" si="559"/>
        <v>4</v>
      </c>
      <c r="AJ273" s="146">
        <f t="shared" ca="1" si="560"/>
        <v>0</v>
      </c>
      <c r="AK273" s="146" t="str">
        <f t="shared" si="557"/>
        <v>N/A</v>
      </c>
      <c r="AL273" s="146">
        <f t="shared" si="557"/>
        <v>0</v>
      </c>
      <c r="AM273" s="146">
        <f t="shared" si="561"/>
        <v>0</v>
      </c>
      <c r="AN273" s="146">
        <f t="shared" ca="1" si="562"/>
        <v>0</v>
      </c>
      <c r="AO273" s="146">
        <f t="shared" ca="1" si="563"/>
        <v>0</v>
      </c>
      <c r="AP273" s="146" t="str">
        <f t="shared" si="557"/>
        <v>N/A</v>
      </c>
      <c r="AQ273" s="146">
        <f t="shared" si="557"/>
        <v>0</v>
      </c>
      <c r="AR273" s="146">
        <f t="shared" si="564"/>
        <v>0</v>
      </c>
      <c r="AS273" s="146">
        <f t="shared" ca="1" si="565"/>
        <v>0</v>
      </c>
      <c r="AT273" s="146">
        <f t="shared" ca="1" si="566"/>
        <v>0</v>
      </c>
      <c r="AU273" s="146" t="str">
        <f t="shared" si="557"/>
        <v>N/A</v>
      </c>
      <c r="AV273" s="146">
        <f t="shared" si="557"/>
        <v>0</v>
      </c>
      <c r="AW273" s="146">
        <f t="shared" si="567"/>
        <v>0</v>
      </c>
      <c r="AX273" s="146">
        <f t="shared" ca="1" si="568"/>
        <v>0</v>
      </c>
      <c r="AY273" s="146">
        <f t="shared" ca="1" si="569"/>
        <v>0</v>
      </c>
      <c r="AZ273" s="147"/>
      <c r="BA273" s="144" t="s">
        <v>141</v>
      </c>
      <c r="BB273" s="144" t="s">
        <v>140</v>
      </c>
      <c r="BC273" s="144" t="s">
        <v>140</v>
      </c>
      <c r="BD273" s="144" t="s">
        <v>140</v>
      </c>
      <c r="BE273" s="146">
        <v>0.4</v>
      </c>
      <c r="BF273" s="148"/>
      <c r="BG273" s="146"/>
      <c r="BH273" s="117"/>
      <c r="BI273" s="117"/>
      <c r="BJ273" s="149"/>
      <c r="BK273" s="149"/>
      <c r="BL273" s="117">
        <v>0</v>
      </c>
      <c r="BM273" s="117">
        <v>0</v>
      </c>
      <c r="BN273" s="117">
        <v>0</v>
      </c>
      <c r="BO273" s="117">
        <v>0</v>
      </c>
      <c r="BP273" s="117">
        <v>0</v>
      </c>
      <c r="BQ273" s="117">
        <v>0</v>
      </c>
      <c r="BR273" s="117">
        <v>0</v>
      </c>
      <c r="BS273" s="117" t="s">
        <v>150</v>
      </c>
      <c r="BT273" s="158" t="s">
        <v>682</v>
      </c>
      <c r="BU273" s="155"/>
      <c r="BV273" s="117" t="s">
        <v>683</v>
      </c>
      <c r="BW273" s="144">
        <v>4</v>
      </c>
      <c r="BX273" s="149">
        <v>46196</v>
      </c>
      <c r="BY273" s="117"/>
      <c r="BZ273" s="117"/>
      <c r="CA273" s="117"/>
      <c r="CB273" s="117">
        <f t="shared" si="570"/>
        <v>0</v>
      </c>
    </row>
    <row r="274" spans="1:80" ht="16.5" hidden="1" customHeight="1">
      <c r="A274" s="117">
        <v>921</v>
      </c>
      <c r="B274" s="154" t="s">
        <v>679</v>
      </c>
      <c r="C274" s="154" t="s">
        <v>920</v>
      </c>
      <c r="D274" s="154" t="s">
        <v>13</v>
      </c>
      <c r="E274" s="154" t="s">
        <v>653</v>
      </c>
      <c r="F274" s="154" t="s">
        <v>684</v>
      </c>
      <c r="G274" s="154" t="s">
        <v>648</v>
      </c>
      <c r="H274" s="146">
        <v>970</v>
      </c>
      <c r="I274" s="147" t="s">
        <v>147</v>
      </c>
      <c r="J274" s="144">
        <v>2</v>
      </c>
      <c r="K274" s="145">
        <f t="shared" si="552"/>
        <v>1</v>
      </c>
      <c r="L274" s="144">
        <f t="shared" si="553"/>
        <v>2</v>
      </c>
      <c r="M274" s="146">
        <v>60.9</v>
      </c>
      <c r="N274" s="146">
        <f t="shared" si="554"/>
        <v>121.8</v>
      </c>
      <c r="O274" s="146" t="s">
        <v>137</v>
      </c>
      <c r="P274" s="146" t="s">
        <v>13</v>
      </c>
      <c r="Q274" s="146" t="s">
        <v>148</v>
      </c>
      <c r="R274" s="146"/>
      <c r="S274" s="146"/>
      <c r="T274" s="146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2</v>
      </c>
      <c r="U274" s="146">
        <f t="shared" ca="1" si="555"/>
        <v>0</v>
      </c>
      <c r="V274" s="146">
        <f t="shared" ca="1" si="556"/>
        <v>1</v>
      </c>
      <c r="W274" s="146"/>
      <c r="X274" s="146"/>
      <c r="Y274" s="146"/>
      <c r="Z274" s="146"/>
      <c r="AA274" s="146"/>
      <c r="AB274" s="146"/>
      <c r="AC274" s="146">
        <v>1.7</v>
      </c>
      <c r="AD274" s="117" t="s">
        <v>196</v>
      </c>
      <c r="AE274" s="148"/>
      <c r="AF274" s="146" t="str">
        <f t="shared" si="557"/>
        <v>AMC 2-S3</v>
      </c>
      <c r="AG274" s="146">
        <f t="shared" si="557"/>
        <v>1</v>
      </c>
      <c r="AH274" s="146">
        <f t="shared" si="558"/>
        <v>2</v>
      </c>
      <c r="AI274" s="146">
        <f t="shared" ca="1" si="559"/>
        <v>2</v>
      </c>
      <c r="AJ274" s="146">
        <f t="shared" ca="1" si="560"/>
        <v>0</v>
      </c>
      <c r="AK274" s="146" t="str">
        <f t="shared" si="557"/>
        <v>N/A</v>
      </c>
      <c r="AL274" s="146">
        <f t="shared" si="557"/>
        <v>0</v>
      </c>
      <c r="AM274" s="146">
        <f t="shared" si="561"/>
        <v>0</v>
      </c>
      <c r="AN274" s="146">
        <f t="shared" ca="1" si="562"/>
        <v>0</v>
      </c>
      <c r="AO274" s="146">
        <f t="shared" ca="1" si="563"/>
        <v>0</v>
      </c>
      <c r="AP274" s="146" t="str">
        <f t="shared" si="557"/>
        <v>N/A</v>
      </c>
      <c r="AQ274" s="146">
        <f t="shared" si="557"/>
        <v>0</v>
      </c>
      <c r="AR274" s="146">
        <f t="shared" si="564"/>
        <v>0</v>
      </c>
      <c r="AS274" s="146">
        <f t="shared" ca="1" si="565"/>
        <v>0</v>
      </c>
      <c r="AT274" s="146">
        <f t="shared" ca="1" si="566"/>
        <v>0</v>
      </c>
      <c r="AU274" s="146" t="str">
        <f t="shared" si="557"/>
        <v>N/A</v>
      </c>
      <c r="AV274" s="146">
        <f t="shared" si="557"/>
        <v>0</v>
      </c>
      <c r="AW274" s="146">
        <f t="shared" si="567"/>
        <v>0</v>
      </c>
      <c r="AX274" s="146">
        <f t="shared" ca="1" si="568"/>
        <v>0</v>
      </c>
      <c r="AY274" s="146">
        <f t="shared" ca="1" si="569"/>
        <v>0</v>
      </c>
      <c r="AZ274" s="147"/>
      <c r="BA274" s="144" t="s">
        <v>141</v>
      </c>
      <c r="BB274" s="144" t="s">
        <v>140</v>
      </c>
      <c r="BC274" s="144" t="s">
        <v>140</v>
      </c>
      <c r="BD274" s="144" t="s">
        <v>140</v>
      </c>
      <c r="BE274" s="146">
        <v>0.8</v>
      </c>
      <c r="BF274" s="148"/>
      <c r="BG274" s="146"/>
      <c r="BH274" s="117"/>
      <c r="BI274" s="117"/>
      <c r="BJ274" s="149"/>
      <c r="BK274" s="149"/>
      <c r="BL274" s="117">
        <v>0</v>
      </c>
      <c r="BM274" s="117">
        <v>0</v>
      </c>
      <c r="BN274" s="117">
        <v>0</v>
      </c>
      <c r="BO274" s="117">
        <v>0</v>
      </c>
      <c r="BP274" s="117">
        <v>0</v>
      </c>
      <c r="BQ274" s="117">
        <v>0</v>
      </c>
      <c r="BR274" s="117">
        <v>0</v>
      </c>
      <c r="BS274" s="117" t="s">
        <v>150</v>
      </c>
      <c r="BT274" s="167" t="s">
        <v>319</v>
      </c>
      <c r="BU274" s="141"/>
      <c r="BV274" s="141" t="s">
        <v>320</v>
      </c>
      <c r="BW274" s="141">
        <v>2</v>
      </c>
      <c r="BX274" s="153">
        <v>46202</v>
      </c>
      <c r="BY274" s="117"/>
      <c r="BZ274" s="117"/>
      <c r="CA274" s="117"/>
      <c r="CB274" s="117">
        <f t="shared" si="570"/>
        <v>0</v>
      </c>
    </row>
    <row r="275" spans="1:80" ht="16.5" hidden="1" customHeight="1">
      <c r="A275" s="117">
        <v>922</v>
      </c>
      <c r="B275" s="154" t="s">
        <v>679</v>
      </c>
      <c r="C275" s="154" t="s">
        <v>920</v>
      </c>
      <c r="D275" s="154" t="s">
        <v>13</v>
      </c>
      <c r="E275" s="154" t="s">
        <v>655</v>
      </c>
      <c r="F275" s="154" t="s">
        <v>685</v>
      </c>
      <c r="G275" s="154" t="s">
        <v>657</v>
      </c>
      <c r="H275" s="146">
        <v>400</v>
      </c>
      <c r="I275" s="147" t="s">
        <v>147</v>
      </c>
      <c r="J275" s="144">
        <v>4</v>
      </c>
      <c r="K275" s="145">
        <f t="shared" si="552"/>
        <v>1</v>
      </c>
      <c r="L275" s="144">
        <f t="shared" si="553"/>
        <v>4</v>
      </c>
      <c r="M275" s="146">
        <v>16.600000000000001</v>
      </c>
      <c r="N275" s="146">
        <f t="shared" si="554"/>
        <v>66.400000000000006</v>
      </c>
      <c r="O275" s="146" t="s">
        <v>137</v>
      </c>
      <c r="P275" s="146" t="s">
        <v>13</v>
      </c>
      <c r="Q275" s="146" t="s">
        <v>148</v>
      </c>
      <c r="R275" s="146"/>
      <c r="S275" s="146"/>
      <c r="T275" s="146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4</v>
      </c>
      <c r="U275" s="146">
        <f t="shared" ca="1" si="555"/>
        <v>0</v>
      </c>
      <c r="V275" s="146">
        <f t="shared" ca="1" si="556"/>
        <v>1</v>
      </c>
      <c r="W275" s="146"/>
      <c r="X275" s="146"/>
      <c r="Y275" s="146"/>
      <c r="Z275" s="146"/>
      <c r="AA275" s="146"/>
      <c r="AB275" s="146"/>
      <c r="AC275" s="146">
        <v>1</v>
      </c>
      <c r="AD275" s="117" t="s">
        <v>196</v>
      </c>
      <c r="AE275" s="148"/>
      <c r="AF275" s="146" t="str">
        <f t="shared" si="557"/>
        <v>AMC 2-S3</v>
      </c>
      <c r="AG275" s="146">
        <f t="shared" si="557"/>
        <v>1</v>
      </c>
      <c r="AH275" s="146">
        <f t="shared" si="558"/>
        <v>4</v>
      </c>
      <c r="AI275" s="146">
        <f t="shared" ca="1" si="559"/>
        <v>4</v>
      </c>
      <c r="AJ275" s="146">
        <f t="shared" ca="1" si="560"/>
        <v>0</v>
      </c>
      <c r="AK275" s="146" t="str">
        <f t="shared" si="557"/>
        <v>N/A</v>
      </c>
      <c r="AL275" s="146">
        <f t="shared" si="557"/>
        <v>0</v>
      </c>
      <c r="AM275" s="146">
        <f t="shared" si="561"/>
        <v>0</v>
      </c>
      <c r="AN275" s="146">
        <f t="shared" ca="1" si="562"/>
        <v>0</v>
      </c>
      <c r="AO275" s="146">
        <f t="shared" ca="1" si="563"/>
        <v>0</v>
      </c>
      <c r="AP275" s="146" t="str">
        <f t="shared" si="557"/>
        <v>N/A</v>
      </c>
      <c r="AQ275" s="146">
        <f t="shared" si="557"/>
        <v>0</v>
      </c>
      <c r="AR275" s="146">
        <f t="shared" si="564"/>
        <v>0</v>
      </c>
      <c r="AS275" s="146">
        <f t="shared" ca="1" si="565"/>
        <v>0</v>
      </c>
      <c r="AT275" s="146">
        <f t="shared" ca="1" si="566"/>
        <v>0</v>
      </c>
      <c r="AU275" s="146" t="str">
        <f t="shared" si="557"/>
        <v>N/A</v>
      </c>
      <c r="AV275" s="146">
        <f t="shared" si="557"/>
        <v>0</v>
      </c>
      <c r="AW275" s="146">
        <f t="shared" si="567"/>
        <v>0</v>
      </c>
      <c r="AX275" s="146">
        <f t="shared" ca="1" si="568"/>
        <v>0</v>
      </c>
      <c r="AY275" s="146">
        <f t="shared" ca="1" si="569"/>
        <v>0</v>
      </c>
      <c r="AZ275" s="147"/>
      <c r="BA275" s="144" t="s">
        <v>141</v>
      </c>
      <c r="BB275" s="144" t="s">
        <v>140</v>
      </c>
      <c r="BC275" s="144" t="s">
        <v>140</v>
      </c>
      <c r="BD275" s="144" t="s">
        <v>140</v>
      </c>
      <c r="BE275" s="146">
        <v>0.2</v>
      </c>
      <c r="BF275" s="148"/>
      <c r="BG275" s="146"/>
      <c r="BH275" s="117"/>
      <c r="BI275" s="117"/>
      <c r="BJ275" s="149"/>
      <c r="BK275" s="149"/>
      <c r="BL275" s="117">
        <v>0</v>
      </c>
      <c r="BM275" s="117">
        <v>0</v>
      </c>
      <c r="BN275" s="117">
        <v>0</v>
      </c>
      <c r="BO275" s="117">
        <v>0</v>
      </c>
      <c r="BP275" s="117">
        <v>0</v>
      </c>
      <c r="BQ275" s="117">
        <v>0</v>
      </c>
      <c r="BR275" s="117">
        <v>0</v>
      </c>
      <c r="BS275" s="117" t="s">
        <v>150</v>
      </c>
      <c r="BT275" s="167" t="s">
        <v>319</v>
      </c>
      <c r="BU275" s="141"/>
      <c r="BV275" s="141" t="s">
        <v>320</v>
      </c>
      <c r="BW275" s="141">
        <v>4</v>
      </c>
      <c r="BX275" s="153">
        <v>46202</v>
      </c>
      <c r="BY275" s="117"/>
      <c r="BZ275" s="117"/>
      <c r="CA275" s="117"/>
      <c r="CB275" s="117">
        <f t="shared" si="570"/>
        <v>0</v>
      </c>
    </row>
    <row r="276" spans="1:80" ht="16.5" hidden="1" customHeight="1">
      <c r="A276" s="117">
        <v>923</v>
      </c>
      <c r="B276" s="154" t="s">
        <v>679</v>
      </c>
      <c r="C276" s="154" t="s">
        <v>920</v>
      </c>
      <c r="D276" s="154" t="s">
        <v>13</v>
      </c>
      <c r="E276" s="154" t="s">
        <v>686</v>
      </c>
      <c r="F276" s="154" t="s">
        <v>687</v>
      </c>
      <c r="G276" s="154" t="s">
        <v>645</v>
      </c>
      <c r="H276" s="146">
        <v>3080</v>
      </c>
      <c r="I276" s="147" t="s">
        <v>147</v>
      </c>
      <c r="J276" s="144">
        <v>1</v>
      </c>
      <c r="K276" s="145">
        <f t="shared" si="552"/>
        <v>1</v>
      </c>
      <c r="L276" s="144">
        <f t="shared" si="553"/>
        <v>1</v>
      </c>
      <c r="M276" s="146">
        <v>739.8</v>
      </c>
      <c r="N276" s="146">
        <f t="shared" si="554"/>
        <v>739.8</v>
      </c>
      <c r="O276" s="146" t="s">
        <v>137</v>
      </c>
      <c r="P276" s="146" t="s">
        <v>13</v>
      </c>
      <c r="Q276" s="146" t="s">
        <v>148</v>
      </c>
      <c r="R276" s="146"/>
      <c r="S276" s="146"/>
      <c r="T276" s="146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1</v>
      </c>
      <c r="U276" s="146">
        <f t="shared" ca="1" si="555"/>
        <v>0</v>
      </c>
      <c r="V276" s="146">
        <f t="shared" ca="1" si="556"/>
        <v>1</v>
      </c>
      <c r="W276" s="146"/>
      <c r="X276" s="146"/>
      <c r="Y276" s="146"/>
      <c r="Z276" s="146"/>
      <c r="AA276" s="146"/>
      <c r="AB276" s="146"/>
      <c r="AC276" s="146">
        <v>6.5</v>
      </c>
      <c r="AD276" s="117" t="s">
        <v>196</v>
      </c>
      <c r="AE276" s="148"/>
      <c r="AF276" s="146" t="str">
        <f t="shared" si="557"/>
        <v>AMC 2-S3</v>
      </c>
      <c r="AG276" s="146">
        <f t="shared" si="557"/>
        <v>1</v>
      </c>
      <c r="AH276" s="146">
        <f t="shared" si="558"/>
        <v>1</v>
      </c>
      <c r="AI276" s="146">
        <f t="shared" ca="1" si="559"/>
        <v>1</v>
      </c>
      <c r="AJ276" s="146">
        <f t="shared" ca="1" si="560"/>
        <v>0</v>
      </c>
      <c r="AK276" s="146" t="str">
        <f t="shared" si="557"/>
        <v>N/A</v>
      </c>
      <c r="AL276" s="146">
        <f t="shared" si="557"/>
        <v>0</v>
      </c>
      <c r="AM276" s="146">
        <f t="shared" si="561"/>
        <v>0</v>
      </c>
      <c r="AN276" s="146">
        <f t="shared" ca="1" si="562"/>
        <v>0</v>
      </c>
      <c r="AO276" s="146">
        <f t="shared" ca="1" si="563"/>
        <v>0</v>
      </c>
      <c r="AP276" s="146" t="str">
        <f t="shared" si="557"/>
        <v>N/A</v>
      </c>
      <c r="AQ276" s="146">
        <f t="shared" si="557"/>
        <v>0</v>
      </c>
      <c r="AR276" s="146">
        <f t="shared" si="564"/>
        <v>0</v>
      </c>
      <c r="AS276" s="146">
        <f t="shared" ca="1" si="565"/>
        <v>0</v>
      </c>
      <c r="AT276" s="146">
        <f t="shared" ca="1" si="566"/>
        <v>0</v>
      </c>
      <c r="AU276" s="146" t="str">
        <f t="shared" si="557"/>
        <v>N/A</v>
      </c>
      <c r="AV276" s="146">
        <f t="shared" si="557"/>
        <v>0</v>
      </c>
      <c r="AW276" s="146">
        <f t="shared" si="567"/>
        <v>0</v>
      </c>
      <c r="AX276" s="146">
        <f t="shared" ca="1" si="568"/>
        <v>0</v>
      </c>
      <c r="AY276" s="146">
        <f t="shared" ca="1" si="569"/>
        <v>0</v>
      </c>
      <c r="AZ276" s="147"/>
      <c r="BA276" s="144" t="s">
        <v>141</v>
      </c>
      <c r="BB276" s="144" t="s">
        <v>140</v>
      </c>
      <c r="BC276" s="144" t="s">
        <v>140</v>
      </c>
      <c r="BD276" s="144" t="s">
        <v>140</v>
      </c>
      <c r="BE276" s="146">
        <v>6.5</v>
      </c>
      <c r="BF276" s="148"/>
      <c r="BG276" s="146"/>
      <c r="BH276" s="117"/>
      <c r="BI276" s="117"/>
      <c r="BJ276" s="149"/>
      <c r="BK276" s="149"/>
      <c r="BL276" s="117">
        <v>1</v>
      </c>
      <c r="BM276" s="117">
        <v>0</v>
      </c>
      <c r="BN276" s="117">
        <v>0</v>
      </c>
      <c r="BO276" s="117">
        <v>0</v>
      </c>
      <c r="BP276" s="117">
        <v>0</v>
      </c>
      <c r="BQ276" s="117">
        <v>0</v>
      </c>
      <c r="BR276" s="117">
        <v>0</v>
      </c>
      <c r="BS276" s="117" t="s">
        <v>150</v>
      </c>
      <c r="BT276" s="158" t="s">
        <v>688</v>
      </c>
      <c r="BU276" s="117"/>
      <c r="BV276" s="117" t="s">
        <v>689</v>
      </c>
      <c r="BW276" s="144">
        <v>1</v>
      </c>
      <c r="BX276" s="149">
        <v>46196</v>
      </c>
      <c r="BY276" s="117"/>
      <c r="BZ276" s="117"/>
      <c r="CA276" s="117"/>
      <c r="CB276" s="117">
        <f t="shared" si="570"/>
        <v>0</v>
      </c>
    </row>
    <row r="277" spans="1:80" ht="16.5" hidden="1" customHeight="1">
      <c r="A277" s="117">
        <v>924</v>
      </c>
      <c r="B277" s="154" t="s">
        <v>679</v>
      </c>
      <c r="C277" s="154" t="s">
        <v>920</v>
      </c>
      <c r="D277" s="154" t="s">
        <v>13</v>
      </c>
      <c r="E277" s="154" t="s">
        <v>690</v>
      </c>
      <c r="F277" s="154" t="s">
        <v>691</v>
      </c>
      <c r="G277" s="154" t="s">
        <v>648</v>
      </c>
      <c r="H277" s="146">
        <v>1119</v>
      </c>
      <c r="I277" s="147" t="s">
        <v>147</v>
      </c>
      <c r="J277" s="144">
        <v>2</v>
      </c>
      <c r="K277" s="145">
        <f t="shared" si="552"/>
        <v>1</v>
      </c>
      <c r="L277" s="144">
        <f t="shared" si="553"/>
        <v>2</v>
      </c>
      <c r="M277" s="146">
        <v>70.3</v>
      </c>
      <c r="N277" s="146">
        <f t="shared" si="554"/>
        <v>140.6</v>
      </c>
      <c r="O277" s="146" t="s">
        <v>137</v>
      </c>
      <c r="P277" s="146" t="s">
        <v>13</v>
      </c>
      <c r="Q277" s="146" t="s">
        <v>148</v>
      </c>
      <c r="R277" s="146"/>
      <c r="S277" s="146"/>
      <c r="T277" s="146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2</v>
      </c>
      <c r="U277" s="146">
        <f t="shared" ca="1" si="555"/>
        <v>0</v>
      </c>
      <c r="V277" s="146">
        <f t="shared" ca="1" si="556"/>
        <v>1</v>
      </c>
      <c r="W277" s="146"/>
      <c r="X277" s="146"/>
      <c r="Y277" s="146"/>
      <c r="Z277" s="146"/>
      <c r="AA277" s="146"/>
      <c r="AB277" s="146"/>
      <c r="AC277" s="146">
        <v>1.9</v>
      </c>
      <c r="AD277" s="117" t="s">
        <v>196</v>
      </c>
      <c r="AE277" s="148"/>
      <c r="AF277" s="146" t="str">
        <f t="shared" si="557"/>
        <v>AMC 2-S3</v>
      </c>
      <c r="AG277" s="146">
        <f t="shared" si="557"/>
        <v>1</v>
      </c>
      <c r="AH277" s="146">
        <f t="shared" si="558"/>
        <v>2</v>
      </c>
      <c r="AI277" s="146">
        <f t="shared" ca="1" si="559"/>
        <v>2</v>
      </c>
      <c r="AJ277" s="146">
        <f t="shared" ca="1" si="560"/>
        <v>0</v>
      </c>
      <c r="AK277" s="146" t="str">
        <f t="shared" si="557"/>
        <v>N/A</v>
      </c>
      <c r="AL277" s="146">
        <f t="shared" si="557"/>
        <v>0</v>
      </c>
      <c r="AM277" s="146">
        <f t="shared" si="561"/>
        <v>0</v>
      </c>
      <c r="AN277" s="146">
        <f t="shared" ca="1" si="562"/>
        <v>0</v>
      </c>
      <c r="AO277" s="146">
        <f t="shared" ca="1" si="563"/>
        <v>0</v>
      </c>
      <c r="AP277" s="146" t="str">
        <f t="shared" si="557"/>
        <v>N/A</v>
      </c>
      <c r="AQ277" s="146">
        <f t="shared" si="557"/>
        <v>0</v>
      </c>
      <c r="AR277" s="146">
        <f t="shared" si="564"/>
        <v>0</v>
      </c>
      <c r="AS277" s="146">
        <f t="shared" ca="1" si="565"/>
        <v>0</v>
      </c>
      <c r="AT277" s="146">
        <f t="shared" ca="1" si="566"/>
        <v>0</v>
      </c>
      <c r="AU277" s="146" t="str">
        <f t="shared" si="557"/>
        <v>N/A</v>
      </c>
      <c r="AV277" s="146">
        <f t="shared" si="557"/>
        <v>0</v>
      </c>
      <c r="AW277" s="146">
        <f t="shared" si="567"/>
        <v>0</v>
      </c>
      <c r="AX277" s="146">
        <f t="shared" ca="1" si="568"/>
        <v>0</v>
      </c>
      <c r="AY277" s="146">
        <f t="shared" ca="1" si="569"/>
        <v>0</v>
      </c>
      <c r="AZ277" s="147"/>
      <c r="BA277" s="144" t="s">
        <v>141</v>
      </c>
      <c r="BB277" s="144" t="s">
        <v>140</v>
      </c>
      <c r="BC277" s="144" t="s">
        <v>140</v>
      </c>
      <c r="BD277" s="144" t="s">
        <v>140</v>
      </c>
      <c r="BE277" s="146">
        <v>1</v>
      </c>
      <c r="BF277" s="148"/>
      <c r="BG277" s="146"/>
      <c r="BH277" s="117"/>
      <c r="BI277" s="117"/>
      <c r="BJ277" s="149"/>
      <c r="BK277" s="149"/>
      <c r="BL277" s="117">
        <v>0</v>
      </c>
      <c r="BM277" s="117">
        <v>0</v>
      </c>
      <c r="BN277" s="117">
        <v>0</v>
      </c>
      <c r="BO277" s="117">
        <v>1</v>
      </c>
      <c r="BP277" s="117">
        <v>0</v>
      </c>
      <c r="BQ277" s="117">
        <v>0</v>
      </c>
      <c r="BR277" s="117">
        <v>0</v>
      </c>
      <c r="BS277" s="117" t="s">
        <v>150</v>
      </c>
      <c r="BT277" s="167" t="s">
        <v>319</v>
      </c>
      <c r="BU277" s="141"/>
      <c r="BV277" s="141" t="s">
        <v>320</v>
      </c>
      <c r="BW277" s="141">
        <v>2</v>
      </c>
      <c r="BX277" s="153">
        <v>46202</v>
      </c>
      <c r="BY277" s="117"/>
      <c r="BZ277" s="117"/>
      <c r="CA277" s="117"/>
      <c r="CB277" s="117">
        <f t="shared" si="570"/>
        <v>0</v>
      </c>
    </row>
    <row r="278" spans="1:80" ht="16.5" hidden="1" customHeight="1">
      <c r="A278" s="117">
        <v>925</v>
      </c>
      <c r="B278" s="154" t="s">
        <v>679</v>
      </c>
      <c r="C278" s="154" t="s">
        <v>920</v>
      </c>
      <c r="D278" s="154" t="s">
        <v>13</v>
      </c>
      <c r="E278" s="154" t="s">
        <v>692</v>
      </c>
      <c r="F278" s="154" t="s">
        <v>693</v>
      </c>
      <c r="G278" s="154" t="s">
        <v>648</v>
      </c>
      <c r="H278" s="146">
        <v>730</v>
      </c>
      <c r="I278" s="147" t="s">
        <v>147</v>
      </c>
      <c r="J278" s="144">
        <v>2</v>
      </c>
      <c r="K278" s="145">
        <f t="shared" si="552"/>
        <v>1</v>
      </c>
      <c r="L278" s="144">
        <f t="shared" si="553"/>
        <v>2</v>
      </c>
      <c r="M278" s="146">
        <v>45.8</v>
      </c>
      <c r="N278" s="146">
        <f t="shared" si="554"/>
        <v>91.6</v>
      </c>
      <c r="O278" s="146" t="s">
        <v>137</v>
      </c>
      <c r="P278" s="146" t="s">
        <v>13</v>
      </c>
      <c r="Q278" s="146" t="s">
        <v>148</v>
      </c>
      <c r="R278" s="146"/>
      <c r="S278" s="146"/>
      <c r="T278" s="146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2</v>
      </c>
      <c r="U278" s="146">
        <f t="shared" ca="1" si="555"/>
        <v>0</v>
      </c>
      <c r="V278" s="146">
        <f t="shared" ca="1" si="556"/>
        <v>1</v>
      </c>
      <c r="W278" s="146"/>
      <c r="X278" s="146"/>
      <c r="Y278" s="146"/>
      <c r="Z278" s="146"/>
      <c r="AA278" s="146"/>
      <c r="AB278" s="146"/>
      <c r="AC278" s="146">
        <v>1.3</v>
      </c>
      <c r="AD278" s="117" t="s">
        <v>196</v>
      </c>
      <c r="AE278" s="148"/>
      <c r="AF278" s="146" t="str">
        <f t="shared" si="557"/>
        <v>AMC 2-S3</v>
      </c>
      <c r="AG278" s="146">
        <f t="shared" si="557"/>
        <v>1</v>
      </c>
      <c r="AH278" s="146">
        <f t="shared" si="558"/>
        <v>2</v>
      </c>
      <c r="AI278" s="146">
        <f t="shared" ca="1" si="559"/>
        <v>2</v>
      </c>
      <c r="AJ278" s="146">
        <f t="shared" ca="1" si="560"/>
        <v>0</v>
      </c>
      <c r="AK278" s="146" t="str">
        <f t="shared" si="557"/>
        <v>N/A</v>
      </c>
      <c r="AL278" s="146">
        <f t="shared" si="557"/>
        <v>0</v>
      </c>
      <c r="AM278" s="146">
        <f t="shared" si="561"/>
        <v>0</v>
      </c>
      <c r="AN278" s="146">
        <f t="shared" ca="1" si="562"/>
        <v>0</v>
      </c>
      <c r="AO278" s="146">
        <f t="shared" ca="1" si="563"/>
        <v>0</v>
      </c>
      <c r="AP278" s="146" t="str">
        <f t="shared" si="557"/>
        <v>N/A</v>
      </c>
      <c r="AQ278" s="146">
        <f t="shared" si="557"/>
        <v>0</v>
      </c>
      <c r="AR278" s="146">
        <f t="shared" si="564"/>
        <v>0</v>
      </c>
      <c r="AS278" s="146">
        <f t="shared" ca="1" si="565"/>
        <v>0</v>
      </c>
      <c r="AT278" s="146">
        <f t="shared" ca="1" si="566"/>
        <v>0</v>
      </c>
      <c r="AU278" s="146" t="str">
        <f t="shared" si="557"/>
        <v>N/A</v>
      </c>
      <c r="AV278" s="146">
        <f t="shared" si="557"/>
        <v>0</v>
      </c>
      <c r="AW278" s="146">
        <f t="shared" si="567"/>
        <v>0</v>
      </c>
      <c r="AX278" s="146">
        <f t="shared" ca="1" si="568"/>
        <v>0</v>
      </c>
      <c r="AY278" s="146">
        <f t="shared" ca="1" si="569"/>
        <v>0</v>
      </c>
      <c r="AZ278" s="147"/>
      <c r="BA278" s="144" t="s">
        <v>141</v>
      </c>
      <c r="BB278" s="144" t="s">
        <v>140</v>
      </c>
      <c r="BC278" s="144" t="s">
        <v>140</v>
      </c>
      <c r="BD278" s="144" t="s">
        <v>140</v>
      </c>
      <c r="BE278" s="146">
        <v>0.6</v>
      </c>
      <c r="BF278" s="148"/>
      <c r="BG278" s="146"/>
      <c r="BH278" s="117"/>
      <c r="BI278" s="117"/>
      <c r="BJ278" s="149"/>
      <c r="BK278" s="149"/>
      <c r="BL278" s="117">
        <v>0</v>
      </c>
      <c r="BM278" s="117">
        <v>0</v>
      </c>
      <c r="BN278" s="117">
        <v>0</v>
      </c>
      <c r="BO278" s="117">
        <v>0</v>
      </c>
      <c r="BP278" s="117">
        <v>0</v>
      </c>
      <c r="BQ278" s="117">
        <v>0</v>
      </c>
      <c r="BR278" s="117">
        <v>0</v>
      </c>
      <c r="BS278" s="117" t="s">
        <v>150</v>
      </c>
      <c r="BT278" s="167" t="s">
        <v>319</v>
      </c>
      <c r="BU278" s="141"/>
      <c r="BV278" s="141" t="s">
        <v>320</v>
      </c>
      <c r="BW278" s="141">
        <v>2</v>
      </c>
      <c r="BX278" s="153">
        <v>46202</v>
      </c>
      <c r="BY278" s="117"/>
      <c r="BZ278" s="117"/>
      <c r="CA278" s="117"/>
      <c r="CB278" s="117">
        <f t="shared" si="570"/>
        <v>0</v>
      </c>
    </row>
    <row r="279" spans="1:80" ht="16.5" hidden="1" customHeight="1">
      <c r="A279" s="117">
        <v>926</v>
      </c>
      <c r="B279" s="154" t="s">
        <v>679</v>
      </c>
      <c r="C279" s="154" t="s">
        <v>920</v>
      </c>
      <c r="D279" s="154" t="s">
        <v>13</v>
      </c>
      <c r="E279" s="154" t="s">
        <v>694</v>
      </c>
      <c r="F279" s="154" t="s">
        <v>695</v>
      </c>
      <c r="G279" s="154" t="s">
        <v>657</v>
      </c>
      <c r="H279" s="146">
        <v>730</v>
      </c>
      <c r="I279" s="147" t="s">
        <v>147</v>
      </c>
      <c r="J279" s="144">
        <v>4</v>
      </c>
      <c r="K279" s="145">
        <f t="shared" si="552"/>
        <v>1</v>
      </c>
      <c r="L279" s="144">
        <f t="shared" si="553"/>
        <v>4</v>
      </c>
      <c r="M279" s="146">
        <v>30.4</v>
      </c>
      <c r="N279" s="146">
        <f t="shared" si="554"/>
        <v>121.6</v>
      </c>
      <c r="O279" s="146" t="s">
        <v>137</v>
      </c>
      <c r="P279" s="146" t="s">
        <v>13</v>
      </c>
      <c r="Q279" s="146" t="s">
        <v>148</v>
      </c>
      <c r="R279" s="146"/>
      <c r="S279" s="146"/>
      <c r="T279" s="146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4</v>
      </c>
      <c r="U279" s="146">
        <f t="shared" ca="1" si="555"/>
        <v>0</v>
      </c>
      <c r="V279" s="146">
        <f t="shared" ca="1" si="556"/>
        <v>1</v>
      </c>
      <c r="W279" s="146"/>
      <c r="X279" s="146"/>
      <c r="Y279" s="146"/>
      <c r="Z279" s="146"/>
      <c r="AA279" s="146"/>
      <c r="AB279" s="146"/>
      <c r="AC279" s="146">
        <v>1.7</v>
      </c>
      <c r="AD279" s="117" t="s">
        <v>196</v>
      </c>
      <c r="AE279" s="148"/>
      <c r="AF279" s="146" t="str">
        <f t="shared" si="557"/>
        <v>AMC 2-S3</v>
      </c>
      <c r="AG279" s="146">
        <f t="shared" si="557"/>
        <v>1</v>
      </c>
      <c r="AH279" s="146">
        <f t="shared" si="558"/>
        <v>4</v>
      </c>
      <c r="AI279" s="146">
        <f t="shared" ca="1" si="559"/>
        <v>4</v>
      </c>
      <c r="AJ279" s="146">
        <f t="shared" ca="1" si="560"/>
        <v>0</v>
      </c>
      <c r="AK279" s="146" t="str">
        <f t="shared" si="557"/>
        <v>N/A</v>
      </c>
      <c r="AL279" s="146">
        <f t="shared" si="557"/>
        <v>0</v>
      </c>
      <c r="AM279" s="146">
        <f t="shared" si="561"/>
        <v>0</v>
      </c>
      <c r="AN279" s="146">
        <f t="shared" ca="1" si="562"/>
        <v>0</v>
      </c>
      <c r="AO279" s="146">
        <f t="shared" ca="1" si="563"/>
        <v>0</v>
      </c>
      <c r="AP279" s="146" t="str">
        <f t="shared" si="557"/>
        <v>N/A</v>
      </c>
      <c r="AQ279" s="146">
        <f t="shared" si="557"/>
        <v>0</v>
      </c>
      <c r="AR279" s="146">
        <f t="shared" si="564"/>
        <v>0</v>
      </c>
      <c r="AS279" s="146">
        <f t="shared" ca="1" si="565"/>
        <v>0</v>
      </c>
      <c r="AT279" s="146">
        <f t="shared" ca="1" si="566"/>
        <v>0</v>
      </c>
      <c r="AU279" s="146" t="str">
        <f t="shared" si="557"/>
        <v>N/A</v>
      </c>
      <c r="AV279" s="146">
        <f t="shared" si="557"/>
        <v>0</v>
      </c>
      <c r="AW279" s="146">
        <f t="shared" si="567"/>
        <v>0</v>
      </c>
      <c r="AX279" s="146">
        <f t="shared" ca="1" si="568"/>
        <v>0</v>
      </c>
      <c r="AY279" s="146">
        <f t="shared" ca="1" si="569"/>
        <v>0</v>
      </c>
      <c r="AZ279" s="147"/>
      <c r="BA279" s="144" t="s">
        <v>141</v>
      </c>
      <c r="BB279" s="144" t="s">
        <v>140</v>
      </c>
      <c r="BC279" s="144" t="s">
        <v>140</v>
      </c>
      <c r="BD279" s="144" t="s">
        <v>140</v>
      </c>
      <c r="BE279" s="146">
        <v>0.4</v>
      </c>
      <c r="BF279" s="148"/>
      <c r="BG279" s="146"/>
      <c r="BH279" s="117"/>
      <c r="BI279" s="117"/>
      <c r="BJ279" s="149"/>
      <c r="BK279" s="149"/>
      <c r="BL279" s="117">
        <v>0</v>
      </c>
      <c r="BM279" s="117">
        <v>0</v>
      </c>
      <c r="BN279" s="117">
        <v>0</v>
      </c>
      <c r="BO279" s="117">
        <v>0</v>
      </c>
      <c r="BP279" s="117">
        <v>0</v>
      </c>
      <c r="BQ279" s="117">
        <v>0</v>
      </c>
      <c r="BR279" s="117">
        <v>0</v>
      </c>
      <c r="BS279" s="117" t="s">
        <v>150</v>
      </c>
      <c r="BT279" s="167" t="s">
        <v>319</v>
      </c>
      <c r="BU279" s="141"/>
      <c r="BV279" s="141" t="s">
        <v>320</v>
      </c>
      <c r="BW279" s="141">
        <v>4</v>
      </c>
      <c r="BX279" s="153">
        <v>46202</v>
      </c>
      <c r="BY279" s="117"/>
      <c r="BZ279" s="117"/>
      <c r="CA279" s="117"/>
      <c r="CB279" s="117">
        <f t="shared" si="570"/>
        <v>0</v>
      </c>
    </row>
    <row r="280" spans="1:80" ht="16.5" hidden="1" customHeight="1">
      <c r="A280" s="117">
        <v>927</v>
      </c>
      <c r="B280" s="154" t="s">
        <v>679</v>
      </c>
      <c r="C280" s="154" t="s">
        <v>920</v>
      </c>
      <c r="D280" s="154" t="s">
        <v>13</v>
      </c>
      <c r="E280" s="154" t="s">
        <v>696</v>
      </c>
      <c r="F280" s="154" t="s">
        <v>697</v>
      </c>
      <c r="G280" s="154" t="s">
        <v>657</v>
      </c>
      <c r="H280" s="146">
        <v>1119</v>
      </c>
      <c r="I280" s="147" t="s">
        <v>147</v>
      </c>
      <c r="J280" s="144">
        <v>2</v>
      </c>
      <c r="K280" s="145">
        <f t="shared" si="552"/>
        <v>1</v>
      </c>
      <c r="L280" s="144">
        <f t="shared" si="553"/>
        <v>2</v>
      </c>
      <c r="M280" s="146">
        <v>46.6</v>
      </c>
      <c r="N280" s="146">
        <f t="shared" si="554"/>
        <v>93.2</v>
      </c>
      <c r="O280" s="146" t="s">
        <v>137</v>
      </c>
      <c r="P280" s="146" t="s">
        <v>13</v>
      </c>
      <c r="Q280" s="146" t="s">
        <v>148</v>
      </c>
      <c r="R280" s="146"/>
      <c r="S280" s="146"/>
      <c r="T280" s="146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2</v>
      </c>
      <c r="U280" s="146">
        <f t="shared" ca="1" si="555"/>
        <v>0</v>
      </c>
      <c r="V280" s="146">
        <f t="shared" ca="1" si="556"/>
        <v>1</v>
      </c>
      <c r="W280" s="146"/>
      <c r="X280" s="146"/>
      <c r="Y280" s="146"/>
      <c r="Z280" s="146"/>
      <c r="AA280" s="146"/>
      <c r="AB280" s="146"/>
      <c r="AC280" s="146">
        <v>1.3</v>
      </c>
      <c r="AD280" s="117" t="s">
        <v>196</v>
      </c>
      <c r="AE280" s="148"/>
      <c r="AF280" s="146" t="str">
        <f t="shared" si="557"/>
        <v>AMC 2-S3</v>
      </c>
      <c r="AG280" s="146">
        <f t="shared" si="557"/>
        <v>1</v>
      </c>
      <c r="AH280" s="146">
        <f t="shared" si="558"/>
        <v>2</v>
      </c>
      <c r="AI280" s="146">
        <f t="shared" ca="1" si="559"/>
        <v>2</v>
      </c>
      <c r="AJ280" s="146">
        <f t="shared" ca="1" si="560"/>
        <v>0</v>
      </c>
      <c r="AK280" s="146" t="str">
        <f t="shared" si="557"/>
        <v>N/A</v>
      </c>
      <c r="AL280" s="146">
        <f t="shared" si="557"/>
        <v>0</v>
      </c>
      <c r="AM280" s="146">
        <f t="shared" si="561"/>
        <v>0</v>
      </c>
      <c r="AN280" s="146">
        <f t="shared" ca="1" si="562"/>
        <v>0</v>
      </c>
      <c r="AO280" s="146">
        <f t="shared" ca="1" si="563"/>
        <v>0</v>
      </c>
      <c r="AP280" s="146" t="str">
        <f t="shared" si="557"/>
        <v>N/A</v>
      </c>
      <c r="AQ280" s="146">
        <f t="shared" si="557"/>
        <v>0</v>
      </c>
      <c r="AR280" s="146">
        <f t="shared" si="564"/>
        <v>0</v>
      </c>
      <c r="AS280" s="146">
        <f t="shared" ca="1" si="565"/>
        <v>0</v>
      </c>
      <c r="AT280" s="146">
        <f t="shared" ca="1" si="566"/>
        <v>0</v>
      </c>
      <c r="AU280" s="146" t="str">
        <f t="shared" si="557"/>
        <v>N/A</v>
      </c>
      <c r="AV280" s="146">
        <f t="shared" si="557"/>
        <v>0</v>
      </c>
      <c r="AW280" s="146">
        <f t="shared" si="567"/>
        <v>0</v>
      </c>
      <c r="AX280" s="146">
        <f t="shared" ca="1" si="568"/>
        <v>0</v>
      </c>
      <c r="AY280" s="146">
        <f t="shared" ca="1" si="569"/>
        <v>0</v>
      </c>
      <c r="AZ280" s="147"/>
      <c r="BA280" s="144" t="s">
        <v>141</v>
      </c>
      <c r="BB280" s="144" t="s">
        <v>140</v>
      </c>
      <c r="BC280" s="144" t="s">
        <v>140</v>
      </c>
      <c r="BD280" s="144" t="s">
        <v>140</v>
      </c>
      <c r="BE280" s="146">
        <v>0.6</v>
      </c>
      <c r="BF280" s="148"/>
      <c r="BG280" s="146"/>
      <c r="BH280" s="117"/>
      <c r="BI280" s="117"/>
      <c r="BJ280" s="149"/>
      <c r="BK280" s="149"/>
      <c r="BL280" s="117">
        <v>0</v>
      </c>
      <c r="BM280" s="117">
        <v>0</v>
      </c>
      <c r="BN280" s="117">
        <v>0</v>
      </c>
      <c r="BO280" s="117">
        <v>0</v>
      </c>
      <c r="BP280" s="117">
        <v>0</v>
      </c>
      <c r="BQ280" s="117">
        <v>0</v>
      </c>
      <c r="BR280" s="117">
        <v>0</v>
      </c>
      <c r="BS280" s="117" t="s">
        <v>150</v>
      </c>
      <c r="BT280" s="167" t="s">
        <v>319</v>
      </c>
      <c r="BU280" s="141"/>
      <c r="BV280" s="141" t="s">
        <v>320</v>
      </c>
      <c r="BW280" s="141">
        <v>2</v>
      </c>
      <c r="BX280" s="153">
        <v>46202</v>
      </c>
      <c r="BY280" s="117"/>
      <c r="BZ280" s="117"/>
      <c r="CA280" s="117"/>
      <c r="CB280" s="117">
        <f t="shared" si="570"/>
        <v>0</v>
      </c>
    </row>
    <row r="281" spans="1:80" ht="16.5" hidden="1" customHeight="1">
      <c r="A281" s="117">
        <v>928</v>
      </c>
      <c r="B281" s="154" t="s">
        <v>679</v>
      </c>
      <c r="C281" s="154" t="s">
        <v>920</v>
      </c>
      <c r="D281" s="154" t="s">
        <v>13</v>
      </c>
      <c r="E281" s="154" t="s">
        <v>698</v>
      </c>
      <c r="F281" s="154" t="s">
        <v>699</v>
      </c>
      <c r="G281" s="154" t="s">
        <v>657</v>
      </c>
      <c r="H281" s="146">
        <v>1119</v>
      </c>
      <c r="I281" s="147" t="s">
        <v>147</v>
      </c>
      <c r="J281" s="144">
        <v>2</v>
      </c>
      <c r="K281" s="145">
        <f t="shared" si="552"/>
        <v>1</v>
      </c>
      <c r="L281" s="144">
        <f t="shared" si="553"/>
        <v>2</v>
      </c>
      <c r="M281" s="146">
        <v>45</v>
      </c>
      <c r="N281" s="146">
        <f t="shared" si="554"/>
        <v>90</v>
      </c>
      <c r="O281" s="146" t="s">
        <v>137</v>
      </c>
      <c r="P281" s="146" t="s">
        <v>13</v>
      </c>
      <c r="Q281" s="146" t="s">
        <v>148</v>
      </c>
      <c r="R281" s="146"/>
      <c r="S281" s="146"/>
      <c r="T281" s="146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2</v>
      </c>
      <c r="U281" s="146">
        <f t="shared" ca="1" si="555"/>
        <v>0</v>
      </c>
      <c r="V281" s="146">
        <f t="shared" ca="1" si="556"/>
        <v>1</v>
      </c>
      <c r="W281" s="146"/>
      <c r="X281" s="146"/>
      <c r="Y281" s="146"/>
      <c r="Z281" s="146"/>
      <c r="AA281" s="146"/>
      <c r="AB281" s="146"/>
      <c r="AC281" s="146">
        <v>1.3</v>
      </c>
      <c r="AD281" s="117" t="s">
        <v>196</v>
      </c>
      <c r="AE281" s="148"/>
      <c r="AF281" s="146" t="str">
        <f t="shared" si="557"/>
        <v>AMC 2-S3</v>
      </c>
      <c r="AG281" s="146">
        <f t="shared" si="557"/>
        <v>1</v>
      </c>
      <c r="AH281" s="146">
        <f t="shared" si="558"/>
        <v>2</v>
      </c>
      <c r="AI281" s="146">
        <f t="shared" ca="1" si="559"/>
        <v>2</v>
      </c>
      <c r="AJ281" s="146">
        <f t="shared" ca="1" si="560"/>
        <v>0</v>
      </c>
      <c r="AK281" s="146" t="str">
        <f t="shared" si="557"/>
        <v>N/A</v>
      </c>
      <c r="AL281" s="146">
        <f t="shared" si="557"/>
        <v>0</v>
      </c>
      <c r="AM281" s="146">
        <f t="shared" si="561"/>
        <v>0</v>
      </c>
      <c r="AN281" s="146">
        <f t="shared" ca="1" si="562"/>
        <v>0</v>
      </c>
      <c r="AO281" s="146">
        <f t="shared" ca="1" si="563"/>
        <v>0</v>
      </c>
      <c r="AP281" s="146" t="str">
        <f t="shared" si="557"/>
        <v>N/A</v>
      </c>
      <c r="AQ281" s="146">
        <f t="shared" si="557"/>
        <v>0</v>
      </c>
      <c r="AR281" s="146">
        <f t="shared" si="564"/>
        <v>0</v>
      </c>
      <c r="AS281" s="146">
        <f t="shared" ca="1" si="565"/>
        <v>0</v>
      </c>
      <c r="AT281" s="146">
        <f t="shared" ca="1" si="566"/>
        <v>0</v>
      </c>
      <c r="AU281" s="146" t="str">
        <f t="shared" si="557"/>
        <v>N/A</v>
      </c>
      <c r="AV281" s="146">
        <f t="shared" si="557"/>
        <v>0</v>
      </c>
      <c r="AW281" s="146">
        <f t="shared" si="567"/>
        <v>0</v>
      </c>
      <c r="AX281" s="146">
        <f t="shared" ca="1" si="568"/>
        <v>0</v>
      </c>
      <c r="AY281" s="146">
        <f t="shared" ca="1" si="569"/>
        <v>0</v>
      </c>
      <c r="AZ281" s="147"/>
      <c r="BA281" s="144" t="s">
        <v>141</v>
      </c>
      <c r="BB281" s="144" t="s">
        <v>140</v>
      </c>
      <c r="BC281" s="144" t="s">
        <v>140</v>
      </c>
      <c r="BD281" s="144" t="s">
        <v>140</v>
      </c>
      <c r="BE281" s="146">
        <v>0.6</v>
      </c>
      <c r="BF281" s="148"/>
      <c r="BG281" s="146"/>
      <c r="BH281" s="117"/>
      <c r="BI281" s="117"/>
      <c r="BJ281" s="149"/>
      <c r="BK281" s="149"/>
      <c r="BL281" s="117">
        <v>0</v>
      </c>
      <c r="BM281" s="117">
        <v>0</v>
      </c>
      <c r="BN281" s="117">
        <v>0</v>
      </c>
      <c r="BO281" s="117">
        <v>0</v>
      </c>
      <c r="BP281" s="117">
        <v>0</v>
      </c>
      <c r="BQ281" s="117">
        <v>0</v>
      </c>
      <c r="BR281" s="117">
        <v>0</v>
      </c>
      <c r="BS281" s="117" t="s">
        <v>150</v>
      </c>
      <c r="BT281" s="167" t="s">
        <v>319</v>
      </c>
      <c r="BU281" s="141"/>
      <c r="BV281" s="141" t="s">
        <v>320</v>
      </c>
      <c r="BW281" s="141">
        <v>2</v>
      </c>
      <c r="BX281" s="153">
        <v>46202</v>
      </c>
      <c r="BY281" s="117"/>
      <c r="BZ281" s="117"/>
      <c r="CA281" s="117"/>
      <c r="CB281" s="117">
        <f t="shared" si="570"/>
        <v>0</v>
      </c>
    </row>
    <row r="282" spans="1:80" ht="16.5" hidden="1" customHeight="1">
      <c r="A282" s="117">
        <v>929</v>
      </c>
      <c r="B282" s="154" t="s">
        <v>679</v>
      </c>
      <c r="C282" s="154" t="s">
        <v>920</v>
      </c>
      <c r="D282" s="154" t="s">
        <v>13</v>
      </c>
      <c r="E282" s="154" t="s">
        <v>700</v>
      </c>
      <c r="F282" s="154" t="s">
        <v>701</v>
      </c>
      <c r="G282" s="154" t="s">
        <v>702</v>
      </c>
      <c r="H282" s="146">
        <v>1241</v>
      </c>
      <c r="I282" s="147" t="s">
        <v>147</v>
      </c>
      <c r="J282" s="144">
        <v>4</v>
      </c>
      <c r="K282" s="145">
        <f t="shared" si="552"/>
        <v>1</v>
      </c>
      <c r="L282" s="144">
        <f t="shared" si="553"/>
        <v>4</v>
      </c>
      <c r="M282" s="146">
        <v>104.3</v>
      </c>
      <c r="N282" s="146">
        <f t="shared" si="554"/>
        <v>417.2</v>
      </c>
      <c r="O282" s="146" t="s">
        <v>137</v>
      </c>
      <c r="P282" s="146" t="s">
        <v>13</v>
      </c>
      <c r="Q282" s="146" t="s">
        <v>148</v>
      </c>
      <c r="R282" s="146"/>
      <c r="S282" s="146"/>
      <c r="T282" s="146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4</v>
      </c>
      <c r="U282" s="146">
        <f t="shared" ca="1" si="555"/>
        <v>0</v>
      </c>
      <c r="V282" s="146">
        <f t="shared" ca="1" si="556"/>
        <v>1</v>
      </c>
      <c r="W282" s="146"/>
      <c r="X282" s="146"/>
      <c r="Y282" s="146"/>
      <c r="Z282" s="146"/>
      <c r="AA282" s="146"/>
      <c r="AB282" s="146"/>
      <c r="AC282" s="146">
        <v>5.6</v>
      </c>
      <c r="AD282" s="117" t="s">
        <v>196</v>
      </c>
      <c r="AE282" s="148"/>
      <c r="AF282" s="146" t="str">
        <f t="shared" si="557"/>
        <v>AMC 2-S3</v>
      </c>
      <c r="AG282" s="146">
        <f t="shared" si="557"/>
        <v>1</v>
      </c>
      <c r="AH282" s="146">
        <f t="shared" si="558"/>
        <v>4</v>
      </c>
      <c r="AI282" s="146">
        <f t="shared" ca="1" si="559"/>
        <v>4</v>
      </c>
      <c r="AJ282" s="146">
        <f t="shared" ca="1" si="560"/>
        <v>0</v>
      </c>
      <c r="AK282" s="146" t="str">
        <f t="shared" si="557"/>
        <v>N/A</v>
      </c>
      <c r="AL282" s="146">
        <f t="shared" si="557"/>
        <v>0</v>
      </c>
      <c r="AM282" s="146">
        <f t="shared" si="561"/>
        <v>0</v>
      </c>
      <c r="AN282" s="146">
        <f t="shared" ca="1" si="562"/>
        <v>0</v>
      </c>
      <c r="AO282" s="146">
        <f t="shared" ca="1" si="563"/>
        <v>0</v>
      </c>
      <c r="AP282" s="146" t="str">
        <f t="shared" si="557"/>
        <v>N/A</v>
      </c>
      <c r="AQ282" s="146">
        <f t="shared" si="557"/>
        <v>0</v>
      </c>
      <c r="AR282" s="146">
        <f t="shared" si="564"/>
        <v>0</v>
      </c>
      <c r="AS282" s="146">
        <f t="shared" ca="1" si="565"/>
        <v>0</v>
      </c>
      <c r="AT282" s="146">
        <f t="shared" ca="1" si="566"/>
        <v>0</v>
      </c>
      <c r="AU282" s="146" t="str">
        <f t="shared" si="557"/>
        <v>N/A</v>
      </c>
      <c r="AV282" s="146">
        <f t="shared" si="557"/>
        <v>0</v>
      </c>
      <c r="AW282" s="146">
        <f t="shared" si="567"/>
        <v>0</v>
      </c>
      <c r="AX282" s="146">
        <f t="shared" ca="1" si="568"/>
        <v>0</v>
      </c>
      <c r="AY282" s="146">
        <f t="shared" ca="1" si="569"/>
        <v>0</v>
      </c>
      <c r="AZ282" s="147"/>
      <c r="BA282" s="144" t="s">
        <v>141</v>
      </c>
      <c r="BB282" s="144" t="s">
        <v>140</v>
      </c>
      <c r="BC282" s="144" t="s">
        <v>140</v>
      </c>
      <c r="BD282" s="144" t="s">
        <v>140</v>
      </c>
      <c r="BE282" s="146">
        <v>1.4</v>
      </c>
      <c r="BF282" s="148"/>
      <c r="BG282" s="146"/>
      <c r="BH282" s="117"/>
      <c r="BI282" s="117"/>
      <c r="BJ282" s="149"/>
      <c r="BK282" s="149"/>
      <c r="BL282" s="117">
        <v>0</v>
      </c>
      <c r="BM282" s="117">
        <v>0</v>
      </c>
      <c r="BN282" s="117">
        <v>0</v>
      </c>
      <c r="BO282" s="117">
        <v>1</v>
      </c>
      <c r="BP282" s="117">
        <v>0</v>
      </c>
      <c r="BQ282" s="117">
        <v>0</v>
      </c>
      <c r="BR282" s="117">
        <v>0</v>
      </c>
      <c r="BS282" s="117" t="s">
        <v>150</v>
      </c>
      <c r="BT282" s="167" t="s">
        <v>319</v>
      </c>
      <c r="BU282" s="141"/>
      <c r="BV282" s="141" t="s">
        <v>320</v>
      </c>
      <c r="BW282" s="141">
        <v>4</v>
      </c>
      <c r="BX282" s="153">
        <v>46202</v>
      </c>
      <c r="BY282" s="117"/>
      <c r="BZ282" s="117"/>
      <c r="CA282" s="117"/>
      <c r="CB282" s="117">
        <f t="shared" si="570"/>
        <v>0</v>
      </c>
    </row>
    <row r="283" spans="1:80" ht="16.5" hidden="1" customHeight="1">
      <c r="A283" s="117">
        <v>930</v>
      </c>
      <c r="B283" s="154" t="s">
        <v>679</v>
      </c>
      <c r="C283" s="154" t="s">
        <v>920</v>
      </c>
      <c r="D283" s="154" t="s">
        <v>13</v>
      </c>
      <c r="E283" s="154" t="s">
        <v>676</v>
      </c>
      <c r="F283" s="154" t="s">
        <v>703</v>
      </c>
      <c r="G283" s="154" t="s">
        <v>678</v>
      </c>
      <c r="H283" s="146">
        <v>100</v>
      </c>
      <c r="I283" s="147" t="s">
        <v>652</v>
      </c>
      <c r="J283" s="144">
        <v>1</v>
      </c>
      <c r="K283" s="145">
        <f t="shared" si="552"/>
        <v>1</v>
      </c>
      <c r="L283" s="144">
        <f t="shared" si="553"/>
        <v>1</v>
      </c>
      <c r="M283" s="146">
        <v>0.2</v>
      </c>
      <c r="N283" s="146">
        <f t="shared" si="554"/>
        <v>0.2</v>
      </c>
      <c r="O283" s="146" t="s">
        <v>137</v>
      </c>
      <c r="P283" s="146" t="s">
        <v>13</v>
      </c>
      <c r="Q283" s="146" t="s">
        <v>148</v>
      </c>
      <c r="R283" s="146"/>
      <c r="S283" s="146"/>
      <c r="T283" s="146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1</v>
      </c>
      <c r="U283" s="146">
        <f t="shared" ca="1" si="555"/>
        <v>0</v>
      </c>
      <c r="V283" s="146">
        <f t="shared" ca="1" si="556"/>
        <v>1</v>
      </c>
      <c r="W283" s="146"/>
      <c r="X283" s="146"/>
      <c r="Y283" s="146"/>
      <c r="Z283" s="146"/>
      <c r="AA283" s="146"/>
      <c r="AB283" s="146"/>
      <c r="AC283" s="146">
        <v>0</v>
      </c>
      <c r="AD283" s="117" t="s">
        <v>196</v>
      </c>
      <c r="AE283" s="148"/>
      <c r="AF283" s="146" t="str">
        <f t="shared" si="557"/>
        <v>AMC 2-S3</v>
      </c>
      <c r="AG283" s="146">
        <f t="shared" si="557"/>
        <v>1</v>
      </c>
      <c r="AH283" s="146">
        <f t="shared" si="558"/>
        <v>1</v>
      </c>
      <c r="AI283" s="146">
        <f t="shared" ca="1" si="559"/>
        <v>1</v>
      </c>
      <c r="AJ283" s="146">
        <f t="shared" ca="1" si="560"/>
        <v>0</v>
      </c>
      <c r="AK283" s="146" t="str">
        <f t="shared" si="557"/>
        <v>N/A</v>
      </c>
      <c r="AL283" s="146">
        <f t="shared" si="557"/>
        <v>0</v>
      </c>
      <c r="AM283" s="146">
        <f t="shared" si="561"/>
        <v>0</v>
      </c>
      <c r="AN283" s="146">
        <f t="shared" ca="1" si="562"/>
        <v>0</v>
      </c>
      <c r="AO283" s="146">
        <f t="shared" ca="1" si="563"/>
        <v>0</v>
      </c>
      <c r="AP283" s="146" t="str">
        <f t="shared" si="557"/>
        <v>N/A</v>
      </c>
      <c r="AQ283" s="146">
        <f t="shared" si="557"/>
        <v>0</v>
      </c>
      <c r="AR283" s="146">
        <f t="shared" si="564"/>
        <v>0</v>
      </c>
      <c r="AS283" s="146">
        <f t="shared" ca="1" si="565"/>
        <v>0</v>
      </c>
      <c r="AT283" s="146">
        <f t="shared" ca="1" si="566"/>
        <v>0</v>
      </c>
      <c r="AU283" s="146" t="str">
        <f t="shared" si="557"/>
        <v>N/A</v>
      </c>
      <c r="AV283" s="146">
        <f t="shared" si="557"/>
        <v>0</v>
      </c>
      <c r="AW283" s="146">
        <f t="shared" si="567"/>
        <v>0</v>
      </c>
      <c r="AX283" s="146">
        <f t="shared" ca="1" si="568"/>
        <v>0</v>
      </c>
      <c r="AY283" s="146">
        <f t="shared" ca="1" si="569"/>
        <v>0</v>
      </c>
      <c r="AZ283" s="147"/>
      <c r="BA283" s="144" t="s">
        <v>141</v>
      </c>
      <c r="BB283" s="144" t="s">
        <v>140</v>
      </c>
      <c r="BC283" s="144" t="s">
        <v>140</v>
      </c>
      <c r="BD283" s="144" t="s">
        <v>140</v>
      </c>
      <c r="BE283" s="146">
        <v>0</v>
      </c>
      <c r="BF283" s="148"/>
      <c r="BG283" s="146"/>
      <c r="BH283" s="117"/>
      <c r="BI283" s="117"/>
      <c r="BJ283" s="149"/>
      <c r="BK283" s="149"/>
      <c r="BL283" s="117">
        <v>1</v>
      </c>
      <c r="BM283" s="117">
        <v>0</v>
      </c>
      <c r="BN283" s="117">
        <v>0</v>
      </c>
      <c r="BO283" s="117">
        <v>0</v>
      </c>
      <c r="BP283" s="117">
        <v>0</v>
      </c>
      <c r="BQ283" s="117">
        <v>0</v>
      </c>
      <c r="BR283" s="117">
        <v>0</v>
      </c>
      <c r="BS283" s="117" t="s">
        <v>150</v>
      </c>
      <c r="BT283" s="117" t="s">
        <v>704</v>
      </c>
      <c r="BU283" s="155"/>
      <c r="BV283" s="117" t="s">
        <v>705</v>
      </c>
      <c r="BW283" s="144">
        <v>1</v>
      </c>
      <c r="BX283" s="149">
        <v>46196</v>
      </c>
      <c r="BY283" s="117"/>
      <c r="BZ283" s="117"/>
      <c r="CA283" s="117"/>
      <c r="CB283" s="117">
        <f t="shared" si="570"/>
        <v>0</v>
      </c>
    </row>
    <row r="284" spans="1:80" ht="16.5" hidden="1" customHeight="1">
      <c r="A284" s="133">
        <v>931</v>
      </c>
      <c r="B284" s="156" t="s">
        <v>706</v>
      </c>
      <c r="C284" s="156" t="s">
        <v>921</v>
      </c>
      <c r="D284" s="156"/>
      <c r="E284" s="156" t="s">
        <v>136</v>
      </c>
      <c r="F284" s="156"/>
      <c r="G284" s="156"/>
      <c r="H284" s="157"/>
      <c r="I284" s="159"/>
      <c r="J284" s="160" t="s">
        <v>136</v>
      </c>
      <c r="K284" s="138">
        <f>+AG284+AL284+AQ284+AV284</f>
        <v>1</v>
      </c>
      <c r="L284" s="160" t="s">
        <v>136</v>
      </c>
      <c r="M284" s="157"/>
      <c r="N284" s="157">
        <v>1962.9</v>
      </c>
      <c r="O284" s="157" t="s">
        <v>137</v>
      </c>
      <c r="P284" s="157"/>
      <c r="Q284" s="157"/>
      <c r="R284" s="157"/>
      <c r="S284" s="157"/>
      <c r="T284" s="157"/>
      <c r="U284" s="157"/>
      <c r="V284" s="157"/>
      <c r="W284" s="135">
        <f ca="1">_xlfn.MINIFS(V:V,C:C,C284,AE:AE,"",AB:AB,"")</f>
        <v>1</v>
      </c>
      <c r="X284" s="135">
        <f ca="1">SUMIFS(T:T,C:C,C284,AE:AE,"")/SUMIFS(L:L,C:C,C284,AE:AE,"",AB:AB,"")</f>
        <v>1</v>
      </c>
      <c r="Y284" s="157"/>
      <c r="Z284" s="157"/>
      <c r="AA284" s="157"/>
      <c r="AB284" s="157"/>
      <c r="AC284" s="157">
        <v>24.7</v>
      </c>
      <c r="AD284" s="161" t="s">
        <v>196</v>
      </c>
      <c r="AE284" s="162" t="s">
        <v>143</v>
      </c>
      <c r="AF284" s="157" t="s">
        <v>281</v>
      </c>
      <c r="AG284" s="157">
        <v>1</v>
      </c>
      <c r="AH284" s="157"/>
      <c r="AI284" s="157"/>
      <c r="AJ284" s="157"/>
      <c r="AK284" s="157" t="s">
        <v>138</v>
      </c>
      <c r="AL284" s="157">
        <v>0</v>
      </c>
      <c r="AM284" s="157"/>
      <c r="AN284" s="157"/>
      <c r="AO284" s="157"/>
      <c r="AP284" s="157" t="s">
        <v>138</v>
      </c>
      <c r="AQ284" s="157">
        <v>0</v>
      </c>
      <c r="AR284" s="157"/>
      <c r="AS284" s="157"/>
      <c r="AT284" s="157"/>
      <c r="AU284" s="157" t="s">
        <v>138</v>
      </c>
      <c r="AV284" s="157">
        <v>0</v>
      </c>
      <c r="AW284" s="157"/>
      <c r="AX284" s="157"/>
      <c r="AY284" s="157"/>
      <c r="AZ284" s="136"/>
      <c r="BA284" s="137" t="s">
        <v>141</v>
      </c>
      <c r="BB284" s="137" t="s">
        <v>140</v>
      </c>
      <c r="BC284" s="137" t="s">
        <v>140</v>
      </c>
      <c r="BD284" s="137" t="s">
        <v>140</v>
      </c>
      <c r="BE284" s="157">
        <v>24.7</v>
      </c>
      <c r="BF284" s="162"/>
      <c r="BG284" s="157"/>
      <c r="BH284" s="161"/>
      <c r="BI284" s="161"/>
      <c r="BJ284" s="163"/>
      <c r="BK284" s="163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4"/>
      <c r="BV284" s="161"/>
      <c r="BW284" s="161"/>
      <c r="BX284" s="163"/>
      <c r="BY284" s="161"/>
      <c r="BZ284" s="161"/>
      <c r="CA284" s="161"/>
      <c r="CB284" s="161"/>
    </row>
    <row r="285" spans="1:80" ht="16.5" hidden="1" customHeight="1">
      <c r="A285" s="117">
        <v>932</v>
      </c>
      <c r="B285" s="154" t="s">
        <v>706</v>
      </c>
      <c r="C285" s="154" t="s">
        <v>921</v>
      </c>
      <c r="D285" s="154" t="s">
        <v>13</v>
      </c>
      <c r="E285" s="154" t="s">
        <v>646</v>
      </c>
      <c r="F285" s="154" t="s">
        <v>707</v>
      </c>
      <c r="G285" s="154" t="s">
        <v>648</v>
      </c>
      <c r="H285" s="146">
        <v>400</v>
      </c>
      <c r="I285" s="147" t="s">
        <v>147</v>
      </c>
      <c r="J285" s="144">
        <v>2</v>
      </c>
      <c r="K285" s="145">
        <f t="shared" ref="K285:K298" si="571">K284</f>
        <v>1</v>
      </c>
      <c r="L285" s="144">
        <f t="shared" ref="L285:L298" si="572">+K285*J285</f>
        <v>2</v>
      </c>
      <c r="M285" s="146">
        <v>25.1</v>
      </c>
      <c r="N285" s="146">
        <f t="shared" ref="N285:N298" si="573">+M285*L285</f>
        <v>50.2</v>
      </c>
      <c r="O285" s="146" t="s">
        <v>137</v>
      </c>
      <c r="P285" s="146" t="s">
        <v>13</v>
      </c>
      <c r="Q285" s="146" t="s">
        <v>148</v>
      </c>
      <c r="R285" s="146"/>
      <c r="S285" s="146"/>
      <c r="T285" s="146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2</v>
      </c>
      <c r="U285" s="146">
        <f t="shared" ref="U285:U298" ca="1" si="574">+L285-T285</f>
        <v>0</v>
      </c>
      <c r="V285" s="146">
        <f t="shared" ref="V285:V298" ca="1" si="575">ROUNDDOWN(T285/J285,0)</f>
        <v>1</v>
      </c>
      <c r="W285" s="146"/>
      <c r="X285" s="146"/>
      <c r="Y285" s="146"/>
      <c r="Z285" s="146"/>
      <c r="AA285" s="146"/>
      <c r="AB285" s="146"/>
      <c r="AC285" s="146">
        <v>0.7</v>
      </c>
      <c r="AD285" s="117" t="s">
        <v>196</v>
      </c>
      <c r="AE285" s="148"/>
      <c r="AF285" s="146" t="str">
        <f t="shared" ref="AF285:AV298" si="576">AF284</f>
        <v>AMC 2-S1</v>
      </c>
      <c r="AG285" s="146">
        <f t="shared" si="576"/>
        <v>1</v>
      </c>
      <c r="AH285" s="146">
        <f t="shared" ref="AH285:AH298" si="577">+AG285*J285</f>
        <v>2</v>
      </c>
      <c r="AI285" s="146">
        <f t="shared" ref="AI285:AI298" ca="1" si="578">MIN(T285,AH285)</f>
        <v>2</v>
      </c>
      <c r="AJ285" s="146">
        <f t="shared" ref="AJ285:AJ298" ca="1" si="579">+AH285-AI285</f>
        <v>0</v>
      </c>
      <c r="AK285" s="146" t="str">
        <f t="shared" si="576"/>
        <v>N/A</v>
      </c>
      <c r="AL285" s="146">
        <f t="shared" si="576"/>
        <v>0</v>
      </c>
      <c r="AM285" s="146">
        <f t="shared" ref="AM285:AM298" si="580">+AL285*J285</f>
        <v>0</v>
      </c>
      <c r="AN285" s="146">
        <f t="shared" ref="AN285:AN298" ca="1" si="581">MIN(T285-AI285,AL285)</f>
        <v>0</v>
      </c>
      <c r="AO285" s="146">
        <f t="shared" ref="AO285:AO298" ca="1" si="582">+AM285-AN285</f>
        <v>0</v>
      </c>
      <c r="AP285" s="146" t="str">
        <f t="shared" si="576"/>
        <v>N/A</v>
      </c>
      <c r="AQ285" s="146">
        <f t="shared" si="576"/>
        <v>0</v>
      </c>
      <c r="AR285" s="146">
        <f t="shared" ref="AR285:AR298" si="583">+AQ285*J285</f>
        <v>0</v>
      </c>
      <c r="AS285" s="146">
        <f t="shared" ref="AS285:AS298" ca="1" si="584">MIN(T285-AI285-AN285,AR285)</f>
        <v>0</v>
      </c>
      <c r="AT285" s="146">
        <f t="shared" ref="AT285:AT298" ca="1" si="585">+AR285-AS285</f>
        <v>0</v>
      </c>
      <c r="AU285" s="146" t="str">
        <f t="shared" si="576"/>
        <v>N/A</v>
      </c>
      <c r="AV285" s="146">
        <f t="shared" si="576"/>
        <v>0</v>
      </c>
      <c r="AW285" s="146">
        <f t="shared" ref="AW285:AW298" si="586">+AV285*J285</f>
        <v>0</v>
      </c>
      <c r="AX285" s="146">
        <f t="shared" ref="AX285:AX298" ca="1" si="587">MIN(T285-AI285-AN285-AS285,AW285)</f>
        <v>0</v>
      </c>
      <c r="AY285" s="146">
        <f t="shared" ref="AY285:AY298" ca="1" si="588">+AW285-AX285</f>
        <v>0</v>
      </c>
      <c r="AZ285" s="147"/>
      <c r="BA285" s="144" t="s">
        <v>141</v>
      </c>
      <c r="BB285" s="144" t="s">
        <v>140</v>
      </c>
      <c r="BC285" s="144" t="s">
        <v>140</v>
      </c>
      <c r="BD285" s="144" t="s">
        <v>140</v>
      </c>
      <c r="BE285" s="146">
        <v>0.4</v>
      </c>
      <c r="BF285" s="148"/>
      <c r="BG285" s="146"/>
      <c r="BH285" s="117"/>
      <c r="BI285" s="117"/>
      <c r="BJ285" s="149"/>
      <c r="BK285" s="149"/>
      <c r="BL285" s="117">
        <v>0</v>
      </c>
      <c r="BM285" s="117">
        <v>0</v>
      </c>
      <c r="BN285" s="117">
        <v>0</v>
      </c>
      <c r="BO285" s="117">
        <v>0</v>
      </c>
      <c r="BP285" s="117">
        <v>0</v>
      </c>
      <c r="BQ285" s="117">
        <v>0</v>
      </c>
      <c r="BR285" s="117">
        <v>0</v>
      </c>
      <c r="BS285" s="117" t="s">
        <v>150</v>
      </c>
      <c r="BT285" s="167" t="s">
        <v>319</v>
      </c>
      <c r="BU285" s="141"/>
      <c r="BV285" s="141" t="s">
        <v>320</v>
      </c>
      <c r="BW285" s="141">
        <v>2</v>
      </c>
      <c r="BX285" s="153">
        <v>46202</v>
      </c>
      <c r="BY285" s="117"/>
      <c r="BZ285" s="117"/>
      <c r="CA285" s="117"/>
      <c r="CB285" s="117">
        <f t="shared" ref="CB285:CB298" si="589">+L285-BW285</f>
        <v>0</v>
      </c>
    </row>
    <row r="286" spans="1:80" ht="16.5" hidden="1" customHeight="1">
      <c r="A286" s="117">
        <v>933</v>
      </c>
      <c r="B286" s="154" t="s">
        <v>706</v>
      </c>
      <c r="C286" s="154" t="s">
        <v>921</v>
      </c>
      <c r="D286" s="154" t="s">
        <v>13</v>
      </c>
      <c r="E286" s="154" t="s">
        <v>649</v>
      </c>
      <c r="F286" s="154" t="s">
        <v>708</v>
      </c>
      <c r="G286" s="154" t="s">
        <v>651</v>
      </c>
      <c r="H286" s="146">
        <v>800</v>
      </c>
      <c r="I286" s="147" t="s">
        <v>652</v>
      </c>
      <c r="J286" s="144">
        <v>4</v>
      </c>
      <c r="K286" s="145">
        <f t="shared" si="571"/>
        <v>1</v>
      </c>
      <c r="L286" s="144">
        <f t="shared" si="572"/>
        <v>4</v>
      </c>
      <c r="M286" s="146">
        <v>4.7</v>
      </c>
      <c r="N286" s="146">
        <f t="shared" si="573"/>
        <v>18.8</v>
      </c>
      <c r="O286" s="146" t="s">
        <v>137</v>
      </c>
      <c r="P286" s="146" t="s">
        <v>13</v>
      </c>
      <c r="Q286" s="146" t="s">
        <v>148</v>
      </c>
      <c r="R286" s="146"/>
      <c r="S286" s="146"/>
      <c r="T286" s="146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4</v>
      </c>
      <c r="U286" s="146">
        <f t="shared" ca="1" si="574"/>
        <v>0</v>
      </c>
      <c r="V286" s="146">
        <f t="shared" ca="1" si="575"/>
        <v>1</v>
      </c>
      <c r="W286" s="146"/>
      <c r="X286" s="146"/>
      <c r="Y286" s="146"/>
      <c r="Z286" s="146"/>
      <c r="AA286" s="146"/>
      <c r="AB286" s="146"/>
      <c r="AC286" s="146">
        <v>1.6</v>
      </c>
      <c r="AD286" s="117" t="s">
        <v>196</v>
      </c>
      <c r="AE286" s="148"/>
      <c r="AF286" s="146" t="str">
        <f t="shared" si="576"/>
        <v>AMC 2-S1</v>
      </c>
      <c r="AG286" s="146">
        <f t="shared" si="576"/>
        <v>1</v>
      </c>
      <c r="AH286" s="146">
        <f t="shared" si="577"/>
        <v>4</v>
      </c>
      <c r="AI286" s="146">
        <f t="shared" ca="1" si="578"/>
        <v>4</v>
      </c>
      <c r="AJ286" s="146">
        <f t="shared" ca="1" si="579"/>
        <v>0</v>
      </c>
      <c r="AK286" s="146" t="str">
        <f t="shared" si="576"/>
        <v>N/A</v>
      </c>
      <c r="AL286" s="146">
        <f t="shared" si="576"/>
        <v>0</v>
      </c>
      <c r="AM286" s="146">
        <f t="shared" si="580"/>
        <v>0</v>
      </c>
      <c r="AN286" s="146">
        <f t="shared" ca="1" si="581"/>
        <v>0</v>
      </c>
      <c r="AO286" s="146">
        <f t="shared" ca="1" si="582"/>
        <v>0</v>
      </c>
      <c r="AP286" s="146" t="str">
        <f t="shared" si="576"/>
        <v>N/A</v>
      </c>
      <c r="AQ286" s="146">
        <f t="shared" si="576"/>
        <v>0</v>
      </c>
      <c r="AR286" s="146">
        <f t="shared" si="583"/>
        <v>0</v>
      </c>
      <c r="AS286" s="146">
        <f t="shared" ca="1" si="584"/>
        <v>0</v>
      </c>
      <c r="AT286" s="146">
        <f t="shared" ca="1" si="585"/>
        <v>0</v>
      </c>
      <c r="AU286" s="146" t="str">
        <f t="shared" si="576"/>
        <v>N/A</v>
      </c>
      <c r="AV286" s="146">
        <f t="shared" si="576"/>
        <v>0</v>
      </c>
      <c r="AW286" s="146">
        <f t="shared" si="586"/>
        <v>0</v>
      </c>
      <c r="AX286" s="146">
        <f t="shared" ca="1" si="587"/>
        <v>0</v>
      </c>
      <c r="AY286" s="146">
        <f t="shared" ca="1" si="588"/>
        <v>0</v>
      </c>
      <c r="AZ286" s="147"/>
      <c r="BA286" s="144" t="s">
        <v>141</v>
      </c>
      <c r="BB286" s="144" t="s">
        <v>140</v>
      </c>
      <c r="BC286" s="144" t="s">
        <v>140</v>
      </c>
      <c r="BD286" s="144" t="s">
        <v>140</v>
      </c>
      <c r="BE286" s="146">
        <v>0.4</v>
      </c>
      <c r="BF286" s="148"/>
      <c r="BG286" s="146"/>
      <c r="BH286" s="117"/>
      <c r="BI286" s="117"/>
      <c r="BJ286" s="149"/>
      <c r="BK286" s="149"/>
      <c r="BL286" s="117">
        <v>0</v>
      </c>
      <c r="BM286" s="117">
        <v>0</v>
      </c>
      <c r="BN286" s="117">
        <v>0</v>
      </c>
      <c r="BO286" s="117">
        <v>0</v>
      </c>
      <c r="BP286" s="117">
        <v>0</v>
      </c>
      <c r="BQ286" s="117">
        <v>0</v>
      </c>
      <c r="BR286" s="117">
        <v>0</v>
      </c>
      <c r="BS286" s="117" t="s">
        <v>150</v>
      </c>
      <c r="BT286" s="158" t="s">
        <v>682</v>
      </c>
      <c r="BU286" s="155"/>
      <c r="BV286" s="117" t="s">
        <v>683</v>
      </c>
      <c r="BW286" s="144">
        <v>4</v>
      </c>
      <c r="BX286" s="149">
        <v>46196</v>
      </c>
      <c r="BY286" s="117"/>
      <c r="BZ286" s="117"/>
      <c r="CA286" s="117"/>
      <c r="CB286" s="117">
        <f t="shared" si="589"/>
        <v>0</v>
      </c>
    </row>
    <row r="287" spans="1:80" ht="16.5" hidden="1" customHeight="1">
      <c r="A287" s="117">
        <v>934</v>
      </c>
      <c r="B287" s="154" t="s">
        <v>706</v>
      </c>
      <c r="C287" s="154" t="s">
        <v>921</v>
      </c>
      <c r="D287" s="154" t="s">
        <v>13</v>
      </c>
      <c r="E287" s="154" t="s">
        <v>653</v>
      </c>
      <c r="F287" s="154" t="s">
        <v>709</v>
      </c>
      <c r="G287" s="154" t="s">
        <v>648</v>
      </c>
      <c r="H287" s="146">
        <v>970</v>
      </c>
      <c r="I287" s="147" t="s">
        <v>147</v>
      </c>
      <c r="J287" s="144">
        <v>2</v>
      </c>
      <c r="K287" s="145">
        <f t="shared" si="571"/>
        <v>1</v>
      </c>
      <c r="L287" s="144">
        <f t="shared" si="572"/>
        <v>2</v>
      </c>
      <c r="M287" s="146">
        <v>60.9</v>
      </c>
      <c r="N287" s="146">
        <f t="shared" si="573"/>
        <v>121.8</v>
      </c>
      <c r="O287" s="146" t="s">
        <v>137</v>
      </c>
      <c r="P287" s="146" t="s">
        <v>13</v>
      </c>
      <c r="Q287" s="146" t="s">
        <v>148</v>
      </c>
      <c r="R287" s="146"/>
      <c r="S287" s="146"/>
      <c r="T287" s="146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2</v>
      </c>
      <c r="U287" s="146">
        <f t="shared" ca="1" si="574"/>
        <v>0</v>
      </c>
      <c r="V287" s="146">
        <f t="shared" ca="1" si="575"/>
        <v>1</v>
      </c>
      <c r="W287" s="146"/>
      <c r="X287" s="146"/>
      <c r="Y287" s="146"/>
      <c r="Z287" s="146"/>
      <c r="AA287" s="146"/>
      <c r="AB287" s="146"/>
      <c r="AC287" s="146">
        <v>1.7</v>
      </c>
      <c r="AD287" s="117" t="s">
        <v>196</v>
      </c>
      <c r="AE287" s="148"/>
      <c r="AF287" s="146" t="str">
        <f t="shared" si="576"/>
        <v>AMC 2-S1</v>
      </c>
      <c r="AG287" s="146">
        <f t="shared" si="576"/>
        <v>1</v>
      </c>
      <c r="AH287" s="146">
        <f t="shared" si="577"/>
        <v>2</v>
      </c>
      <c r="AI287" s="146">
        <f t="shared" ca="1" si="578"/>
        <v>2</v>
      </c>
      <c r="AJ287" s="146">
        <f t="shared" ca="1" si="579"/>
        <v>0</v>
      </c>
      <c r="AK287" s="146" t="str">
        <f t="shared" si="576"/>
        <v>N/A</v>
      </c>
      <c r="AL287" s="146">
        <f t="shared" si="576"/>
        <v>0</v>
      </c>
      <c r="AM287" s="146">
        <f t="shared" si="580"/>
        <v>0</v>
      </c>
      <c r="AN287" s="146">
        <f t="shared" ca="1" si="581"/>
        <v>0</v>
      </c>
      <c r="AO287" s="146">
        <f t="shared" ca="1" si="582"/>
        <v>0</v>
      </c>
      <c r="AP287" s="146" t="str">
        <f t="shared" si="576"/>
        <v>N/A</v>
      </c>
      <c r="AQ287" s="146">
        <f t="shared" si="576"/>
        <v>0</v>
      </c>
      <c r="AR287" s="146">
        <f t="shared" si="583"/>
        <v>0</v>
      </c>
      <c r="AS287" s="146">
        <f t="shared" ca="1" si="584"/>
        <v>0</v>
      </c>
      <c r="AT287" s="146">
        <f t="shared" ca="1" si="585"/>
        <v>0</v>
      </c>
      <c r="AU287" s="146" t="str">
        <f t="shared" si="576"/>
        <v>N/A</v>
      </c>
      <c r="AV287" s="146">
        <f t="shared" si="576"/>
        <v>0</v>
      </c>
      <c r="AW287" s="146">
        <f t="shared" si="586"/>
        <v>0</v>
      </c>
      <c r="AX287" s="146">
        <f t="shared" ca="1" si="587"/>
        <v>0</v>
      </c>
      <c r="AY287" s="146">
        <f t="shared" ca="1" si="588"/>
        <v>0</v>
      </c>
      <c r="AZ287" s="147"/>
      <c r="BA287" s="144" t="s">
        <v>141</v>
      </c>
      <c r="BB287" s="144" t="s">
        <v>140</v>
      </c>
      <c r="BC287" s="144" t="s">
        <v>140</v>
      </c>
      <c r="BD287" s="144" t="s">
        <v>140</v>
      </c>
      <c r="BE287" s="146">
        <v>0.8</v>
      </c>
      <c r="BF287" s="148"/>
      <c r="BG287" s="146"/>
      <c r="BH287" s="117"/>
      <c r="BI287" s="117"/>
      <c r="BJ287" s="149"/>
      <c r="BK287" s="149"/>
      <c r="BL287" s="117">
        <v>0</v>
      </c>
      <c r="BM287" s="117">
        <v>0</v>
      </c>
      <c r="BN287" s="117">
        <v>0</v>
      </c>
      <c r="BO287" s="117">
        <v>0</v>
      </c>
      <c r="BP287" s="117">
        <v>0</v>
      </c>
      <c r="BQ287" s="117">
        <v>0</v>
      </c>
      <c r="BR287" s="117">
        <v>0</v>
      </c>
      <c r="BS287" s="117" t="s">
        <v>150</v>
      </c>
      <c r="BT287" s="167" t="s">
        <v>319</v>
      </c>
      <c r="BU287" s="141"/>
      <c r="BV287" s="141" t="s">
        <v>320</v>
      </c>
      <c r="BW287" s="141">
        <v>2</v>
      </c>
      <c r="BX287" s="153">
        <v>46202</v>
      </c>
      <c r="BY287" s="117"/>
      <c r="BZ287" s="117"/>
      <c r="CA287" s="117"/>
      <c r="CB287" s="117">
        <f t="shared" si="589"/>
        <v>0</v>
      </c>
    </row>
    <row r="288" spans="1:80" ht="16.5" hidden="1" customHeight="1">
      <c r="A288" s="117">
        <v>935</v>
      </c>
      <c r="B288" s="154" t="s">
        <v>706</v>
      </c>
      <c r="C288" s="154" t="s">
        <v>921</v>
      </c>
      <c r="D288" s="154" t="s">
        <v>13</v>
      </c>
      <c r="E288" s="154" t="s">
        <v>655</v>
      </c>
      <c r="F288" s="154" t="s">
        <v>710</v>
      </c>
      <c r="G288" s="154" t="s">
        <v>657</v>
      </c>
      <c r="H288" s="146">
        <v>400</v>
      </c>
      <c r="I288" s="147" t="s">
        <v>147</v>
      </c>
      <c r="J288" s="144">
        <v>4</v>
      </c>
      <c r="K288" s="145">
        <f t="shared" si="571"/>
        <v>1</v>
      </c>
      <c r="L288" s="144">
        <f t="shared" si="572"/>
        <v>4</v>
      </c>
      <c r="M288" s="146">
        <v>16.600000000000001</v>
      </c>
      <c r="N288" s="146">
        <f t="shared" si="573"/>
        <v>66.400000000000006</v>
      </c>
      <c r="O288" s="146" t="s">
        <v>137</v>
      </c>
      <c r="P288" s="146" t="s">
        <v>13</v>
      </c>
      <c r="Q288" s="146" t="s">
        <v>148</v>
      </c>
      <c r="R288" s="146"/>
      <c r="S288" s="146"/>
      <c r="T288" s="146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4</v>
      </c>
      <c r="U288" s="146">
        <f t="shared" ca="1" si="574"/>
        <v>0</v>
      </c>
      <c r="V288" s="146">
        <f t="shared" ca="1" si="575"/>
        <v>1</v>
      </c>
      <c r="W288" s="146"/>
      <c r="X288" s="146"/>
      <c r="Y288" s="146"/>
      <c r="Z288" s="146"/>
      <c r="AA288" s="146"/>
      <c r="AB288" s="146"/>
      <c r="AC288" s="146">
        <v>1</v>
      </c>
      <c r="AD288" s="117" t="s">
        <v>196</v>
      </c>
      <c r="AE288" s="148"/>
      <c r="AF288" s="146" t="str">
        <f t="shared" si="576"/>
        <v>AMC 2-S1</v>
      </c>
      <c r="AG288" s="146">
        <f t="shared" si="576"/>
        <v>1</v>
      </c>
      <c r="AH288" s="146">
        <f t="shared" si="577"/>
        <v>4</v>
      </c>
      <c r="AI288" s="146">
        <f t="shared" ca="1" si="578"/>
        <v>4</v>
      </c>
      <c r="AJ288" s="146">
        <f t="shared" ca="1" si="579"/>
        <v>0</v>
      </c>
      <c r="AK288" s="146" t="str">
        <f t="shared" si="576"/>
        <v>N/A</v>
      </c>
      <c r="AL288" s="146">
        <f t="shared" si="576"/>
        <v>0</v>
      </c>
      <c r="AM288" s="146">
        <f t="shared" si="580"/>
        <v>0</v>
      </c>
      <c r="AN288" s="146">
        <f t="shared" ca="1" si="581"/>
        <v>0</v>
      </c>
      <c r="AO288" s="146">
        <f t="shared" ca="1" si="582"/>
        <v>0</v>
      </c>
      <c r="AP288" s="146" t="str">
        <f t="shared" si="576"/>
        <v>N/A</v>
      </c>
      <c r="AQ288" s="146">
        <f t="shared" si="576"/>
        <v>0</v>
      </c>
      <c r="AR288" s="146">
        <f t="shared" si="583"/>
        <v>0</v>
      </c>
      <c r="AS288" s="146">
        <f t="shared" ca="1" si="584"/>
        <v>0</v>
      </c>
      <c r="AT288" s="146">
        <f t="shared" ca="1" si="585"/>
        <v>0</v>
      </c>
      <c r="AU288" s="146" t="str">
        <f t="shared" si="576"/>
        <v>N/A</v>
      </c>
      <c r="AV288" s="146">
        <f t="shared" si="576"/>
        <v>0</v>
      </c>
      <c r="AW288" s="146">
        <f t="shared" si="586"/>
        <v>0</v>
      </c>
      <c r="AX288" s="146">
        <f t="shared" ca="1" si="587"/>
        <v>0</v>
      </c>
      <c r="AY288" s="146">
        <f t="shared" ca="1" si="588"/>
        <v>0</v>
      </c>
      <c r="AZ288" s="147"/>
      <c r="BA288" s="144" t="s">
        <v>141</v>
      </c>
      <c r="BB288" s="144" t="s">
        <v>140</v>
      </c>
      <c r="BC288" s="144" t="s">
        <v>140</v>
      </c>
      <c r="BD288" s="144" t="s">
        <v>140</v>
      </c>
      <c r="BE288" s="146">
        <v>0.2</v>
      </c>
      <c r="BF288" s="148"/>
      <c r="BG288" s="146"/>
      <c r="BH288" s="117"/>
      <c r="BI288" s="117"/>
      <c r="BJ288" s="149"/>
      <c r="BK288" s="149"/>
      <c r="BL288" s="117">
        <v>0</v>
      </c>
      <c r="BM288" s="117">
        <v>0</v>
      </c>
      <c r="BN288" s="117">
        <v>0</v>
      </c>
      <c r="BO288" s="117">
        <v>0</v>
      </c>
      <c r="BP288" s="117">
        <v>0</v>
      </c>
      <c r="BQ288" s="117">
        <v>0</v>
      </c>
      <c r="BR288" s="117">
        <v>0</v>
      </c>
      <c r="BS288" s="117" t="s">
        <v>150</v>
      </c>
      <c r="BT288" s="167" t="s">
        <v>319</v>
      </c>
      <c r="BU288" s="141"/>
      <c r="BV288" s="141" t="s">
        <v>320</v>
      </c>
      <c r="BW288" s="141">
        <v>4</v>
      </c>
      <c r="BX288" s="153">
        <v>46202</v>
      </c>
      <c r="BY288" s="117"/>
      <c r="BZ288" s="117"/>
      <c r="CA288" s="117"/>
      <c r="CB288" s="117">
        <f t="shared" si="589"/>
        <v>0</v>
      </c>
    </row>
    <row r="289" spans="1:80" ht="16.5" hidden="1" customHeight="1">
      <c r="A289" s="117">
        <v>936</v>
      </c>
      <c r="B289" s="154" t="s">
        <v>706</v>
      </c>
      <c r="C289" s="154" t="s">
        <v>921</v>
      </c>
      <c r="D289" s="154" t="s">
        <v>13</v>
      </c>
      <c r="E289" s="154" t="s">
        <v>686</v>
      </c>
      <c r="F289" s="154" t="s">
        <v>711</v>
      </c>
      <c r="G289" s="154" t="s">
        <v>645</v>
      </c>
      <c r="H289" s="146">
        <v>3080</v>
      </c>
      <c r="I289" s="147" t="s">
        <v>147</v>
      </c>
      <c r="J289" s="144">
        <v>1</v>
      </c>
      <c r="K289" s="145">
        <f t="shared" si="571"/>
        <v>1</v>
      </c>
      <c r="L289" s="144">
        <f t="shared" si="572"/>
        <v>1</v>
      </c>
      <c r="M289" s="146">
        <v>739.8</v>
      </c>
      <c r="N289" s="146">
        <f t="shared" si="573"/>
        <v>739.8</v>
      </c>
      <c r="O289" s="146" t="s">
        <v>137</v>
      </c>
      <c r="P289" s="146" t="s">
        <v>13</v>
      </c>
      <c r="Q289" s="146" t="s">
        <v>148</v>
      </c>
      <c r="R289" s="146"/>
      <c r="S289" s="146"/>
      <c r="T289" s="146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1</v>
      </c>
      <c r="U289" s="146">
        <f t="shared" ca="1" si="574"/>
        <v>0</v>
      </c>
      <c r="V289" s="146">
        <f t="shared" ca="1" si="575"/>
        <v>1</v>
      </c>
      <c r="W289" s="146"/>
      <c r="X289" s="146"/>
      <c r="Y289" s="146"/>
      <c r="Z289" s="146"/>
      <c r="AA289" s="146"/>
      <c r="AB289" s="146"/>
      <c r="AC289" s="146">
        <v>6.5</v>
      </c>
      <c r="AD289" s="117" t="s">
        <v>196</v>
      </c>
      <c r="AE289" s="148"/>
      <c r="AF289" s="146" t="str">
        <f t="shared" si="576"/>
        <v>AMC 2-S1</v>
      </c>
      <c r="AG289" s="146">
        <f t="shared" si="576"/>
        <v>1</v>
      </c>
      <c r="AH289" s="146">
        <f t="shared" si="577"/>
        <v>1</v>
      </c>
      <c r="AI289" s="146">
        <f t="shared" ca="1" si="578"/>
        <v>1</v>
      </c>
      <c r="AJ289" s="146">
        <f t="shared" ca="1" si="579"/>
        <v>0</v>
      </c>
      <c r="AK289" s="146" t="str">
        <f t="shared" si="576"/>
        <v>N/A</v>
      </c>
      <c r="AL289" s="146">
        <f t="shared" si="576"/>
        <v>0</v>
      </c>
      <c r="AM289" s="146">
        <f t="shared" si="580"/>
        <v>0</v>
      </c>
      <c r="AN289" s="146">
        <f t="shared" ca="1" si="581"/>
        <v>0</v>
      </c>
      <c r="AO289" s="146">
        <f t="shared" ca="1" si="582"/>
        <v>0</v>
      </c>
      <c r="AP289" s="146" t="str">
        <f t="shared" si="576"/>
        <v>N/A</v>
      </c>
      <c r="AQ289" s="146">
        <f t="shared" si="576"/>
        <v>0</v>
      </c>
      <c r="AR289" s="146">
        <f t="shared" si="583"/>
        <v>0</v>
      </c>
      <c r="AS289" s="146">
        <f t="shared" ca="1" si="584"/>
        <v>0</v>
      </c>
      <c r="AT289" s="146">
        <f t="shared" ca="1" si="585"/>
        <v>0</v>
      </c>
      <c r="AU289" s="146" t="str">
        <f t="shared" si="576"/>
        <v>N/A</v>
      </c>
      <c r="AV289" s="146">
        <f t="shared" si="576"/>
        <v>0</v>
      </c>
      <c r="AW289" s="146">
        <f t="shared" si="586"/>
        <v>0</v>
      </c>
      <c r="AX289" s="146">
        <f t="shared" ca="1" si="587"/>
        <v>0</v>
      </c>
      <c r="AY289" s="146">
        <f t="shared" ca="1" si="588"/>
        <v>0</v>
      </c>
      <c r="AZ289" s="147"/>
      <c r="BA289" s="144" t="s">
        <v>141</v>
      </c>
      <c r="BB289" s="144" t="s">
        <v>140</v>
      </c>
      <c r="BC289" s="144" t="s">
        <v>140</v>
      </c>
      <c r="BD289" s="144" t="s">
        <v>140</v>
      </c>
      <c r="BE289" s="146">
        <v>6.5</v>
      </c>
      <c r="BF289" s="148"/>
      <c r="BG289" s="146"/>
      <c r="BH289" s="117"/>
      <c r="BI289" s="117"/>
      <c r="BJ289" s="149"/>
      <c r="BK289" s="149"/>
      <c r="BL289" s="117">
        <v>1</v>
      </c>
      <c r="BM289" s="117">
        <v>0</v>
      </c>
      <c r="BN289" s="117">
        <v>0</v>
      </c>
      <c r="BO289" s="117">
        <v>0</v>
      </c>
      <c r="BP289" s="117">
        <v>0</v>
      </c>
      <c r="BQ289" s="117">
        <v>0</v>
      </c>
      <c r="BR289" s="117">
        <v>0</v>
      </c>
      <c r="BS289" s="117" t="s">
        <v>150</v>
      </c>
      <c r="BT289" s="158" t="s">
        <v>688</v>
      </c>
      <c r="BU289" s="117"/>
      <c r="BV289" s="117" t="s">
        <v>689</v>
      </c>
      <c r="BW289" s="144">
        <v>1</v>
      </c>
      <c r="BX289" s="149">
        <v>46196</v>
      </c>
      <c r="BY289" s="117"/>
      <c r="BZ289" s="117"/>
      <c r="CA289" s="117"/>
      <c r="CB289" s="117">
        <f t="shared" si="589"/>
        <v>0</v>
      </c>
    </row>
    <row r="290" spans="1:80" ht="16.5" hidden="1" customHeight="1">
      <c r="A290" s="117">
        <v>937</v>
      </c>
      <c r="B290" s="154" t="s">
        <v>706</v>
      </c>
      <c r="C290" s="154" t="s">
        <v>921</v>
      </c>
      <c r="D290" s="154" t="s">
        <v>13</v>
      </c>
      <c r="E290" s="154" t="s">
        <v>712</v>
      </c>
      <c r="F290" s="154" t="s">
        <v>713</v>
      </c>
      <c r="G290" s="154" t="s">
        <v>714</v>
      </c>
      <c r="H290" s="146">
        <v>1505</v>
      </c>
      <c r="I290" s="147" t="s">
        <v>147</v>
      </c>
      <c r="J290" s="144">
        <v>2</v>
      </c>
      <c r="K290" s="145">
        <f t="shared" si="571"/>
        <v>1</v>
      </c>
      <c r="L290" s="144">
        <f t="shared" si="572"/>
        <v>2</v>
      </c>
      <c r="M290" s="146">
        <v>116.6</v>
      </c>
      <c r="N290" s="146">
        <f t="shared" si="573"/>
        <v>233.2</v>
      </c>
      <c r="O290" s="146" t="s">
        <v>137</v>
      </c>
      <c r="P290" s="146" t="s">
        <v>13</v>
      </c>
      <c r="Q290" s="146" t="s">
        <v>148</v>
      </c>
      <c r="R290" s="146"/>
      <c r="S290" s="146"/>
      <c r="T290" s="146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46">
        <f t="shared" ca="1" si="574"/>
        <v>0</v>
      </c>
      <c r="V290" s="146">
        <f t="shared" ca="1" si="575"/>
        <v>1</v>
      </c>
      <c r="W290" s="146"/>
      <c r="X290" s="146"/>
      <c r="Y290" s="146"/>
      <c r="Z290" s="146"/>
      <c r="AA290" s="146"/>
      <c r="AB290" s="146"/>
      <c r="AC290" s="146">
        <v>3.1</v>
      </c>
      <c r="AD290" s="117" t="s">
        <v>196</v>
      </c>
      <c r="AE290" s="148"/>
      <c r="AF290" s="146" t="str">
        <f t="shared" si="576"/>
        <v>AMC 2-S1</v>
      </c>
      <c r="AG290" s="146">
        <f t="shared" si="576"/>
        <v>1</v>
      </c>
      <c r="AH290" s="146">
        <f t="shared" si="577"/>
        <v>2</v>
      </c>
      <c r="AI290" s="146">
        <f t="shared" ca="1" si="578"/>
        <v>2</v>
      </c>
      <c r="AJ290" s="146">
        <f t="shared" ca="1" si="579"/>
        <v>0</v>
      </c>
      <c r="AK290" s="146" t="str">
        <f t="shared" si="576"/>
        <v>N/A</v>
      </c>
      <c r="AL290" s="146">
        <f t="shared" si="576"/>
        <v>0</v>
      </c>
      <c r="AM290" s="146">
        <f t="shared" si="580"/>
        <v>0</v>
      </c>
      <c r="AN290" s="146">
        <f t="shared" ca="1" si="581"/>
        <v>0</v>
      </c>
      <c r="AO290" s="146">
        <f t="shared" ca="1" si="582"/>
        <v>0</v>
      </c>
      <c r="AP290" s="146" t="str">
        <f t="shared" si="576"/>
        <v>N/A</v>
      </c>
      <c r="AQ290" s="146">
        <f t="shared" si="576"/>
        <v>0</v>
      </c>
      <c r="AR290" s="146">
        <f t="shared" si="583"/>
        <v>0</v>
      </c>
      <c r="AS290" s="146">
        <f t="shared" ca="1" si="584"/>
        <v>0</v>
      </c>
      <c r="AT290" s="146">
        <f t="shared" ca="1" si="585"/>
        <v>0</v>
      </c>
      <c r="AU290" s="146" t="str">
        <f t="shared" si="576"/>
        <v>N/A</v>
      </c>
      <c r="AV290" s="146">
        <f t="shared" si="576"/>
        <v>0</v>
      </c>
      <c r="AW290" s="146">
        <f t="shared" si="586"/>
        <v>0</v>
      </c>
      <c r="AX290" s="146">
        <f t="shared" ca="1" si="587"/>
        <v>0</v>
      </c>
      <c r="AY290" s="146">
        <f t="shared" ca="1" si="588"/>
        <v>0</v>
      </c>
      <c r="AZ290" s="147"/>
      <c r="BA290" s="144" t="s">
        <v>141</v>
      </c>
      <c r="BB290" s="144" t="s">
        <v>140</v>
      </c>
      <c r="BC290" s="144" t="s">
        <v>140</v>
      </c>
      <c r="BD290" s="144" t="s">
        <v>140</v>
      </c>
      <c r="BE290" s="146">
        <v>1.6</v>
      </c>
      <c r="BF290" s="148"/>
      <c r="BG290" s="146"/>
      <c r="BH290" s="117"/>
      <c r="BI290" s="117"/>
      <c r="BJ290" s="149"/>
      <c r="BK290" s="149"/>
      <c r="BL290" s="117">
        <v>0</v>
      </c>
      <c r="BM290" s="117">
        <v>0</v>
      </c>
      <c r="BN290" s="117">
        <v>0</v>
      </c>
      <c r="BO290" s="117">
        <v>1</v>
      </c>
      <c r="BP290" s="117">
        <v>0</v>
      </c>
      <c r="BQ290" s="117">
        <v>0</v>
      </c>
      <c r="BR290" s="117">
        <v>0</v>
      </c>
      <c r="BS290" s="117" t="s">
        <v>150</v>
      </c>
      <c r="BT290" s="167" t="s">
        <v>319</v>
      </c>
      <c r="BU290" s="141"/>
      <c r="BV290" s="141" t="s">
        <v>320</v>
      </c>
      <c r="BW290" s="141">
        <v>2</v>
      </c>
      <c r="BX290" s="153">
        <v>46202</v>
      </c>
      <c r="BY290" s="117"/>
      <c r="BZ290" s="117"/>
      <c r="CA290" s="117"/>
      <c r="CB290" s="117">
        <f t="shared" si="589"/>
        <v>0</v>
      </c>
    </row>
    <row r="291" spans="1:80" ht="16.5" hidden="1" customHeight="1">
      <c r="A291" s="117">
        <v>938</v>
      </c>
      <c r="B291" s="154" t="s">
        <v>706</v>
      </c>
      <c r="C291" s="154" t="s">
        <v>921</v>
      </c>
      <c r="D291" s="154" t="s">
        <v>13</v>
      </c>
      <c r="E291" s="154" t="s">
        <v>715</v>
      </c>
      <c r="F291" s="154" t="s">
        <v>716</v>
      </c>
      <c r="G291" s="154" t="s">
        <v>648</v>
      </c>
      <c r="H291" s="146">
        <v>1028</v>
      </c>
      <c r="I291" s="147" t="s">
        <v>147</v>
      </c>
      <c r="J291" s="144">
        <v>2</v>
      </c>
      <c r="K291" s="145">
        <f t="shared" si="571"/>
        <v>1</v>
      </c>
      <c r="L291" s="144">
        <f t="shared" si="572"/>
        <v>2</v>
      </c>
      <c r="M291" s="146">
        <v>63.9</v>
      </c>
      <c r="N291" s="146">
        <f t="shared" si="573"/>
        <v>127.8</v>
      </c>
      <c r="O291" s="146" t="s">
        <v>137</v>
      </c>
      <c r="P291" s="146" t="s">
        <v>13</v>
      </c>
      <c r="Q291" s="146" t="s">
        <v>148</v>
      </c>
      <c r="R291" s="146"/>
      <c r="S291" s="146"/>
      <c r="T291" s="146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2</v>
      </c>
      <c r="U291" s="146">
        <f t="shared" ca="1" si="574"/>
        <v>0</v>
      </c>
      <c r="V291" s="146">
        <f t="shared" ca="1" si="575"/>
        <v>1</v>
      </c>
      <c r="W291" s="146"/>
      <c r="X291" s="146"/>
      <c r="Y291" s="146"/>
      <c r="Z291" s="146"/>
      <c r="AA291" s="146"/>
      <c r="AB291" s="146"/>
      <c r="AC291" s="146">
        <v>1.7</v>
      </c>
      <c r="AD291" s="117" t="s">
        <v>196</v>
      </c>
      <c r="AE291" s="148"/>
      <c r="AF291" s="146" t="str">
        <f t="shared" si="576"/>
        <v>AMC 2-S1</v>
      </c>
      <c r="AG291" s="146">
        <f t="shared" si="576"/>
        <v>1</v>
      </c>
      <c r="AH291" s="146">
        <f t="shared" si="577"/>
        <v>2</v>
      </c>
      <c r="AI291" s="146">
        <f t="shared" ca="1" si="578"/>
        <v>2</v>
      </c>
      <c r="AJ291" s="146">
        <f t="shared" ca="1" si="579"/>
        <v>0</v>
      </c>
      <c r="AK291" s="146" t="str">
        <f t="shared" si="576"/>
        <v>N/A</v>
      </c>
      <c r="AL291" s="146">
        <f t="shared" si="576"/>
        <v>0</v>
      </c>
      <c r="AM291" s="146">
        <f t="shared" si="580"/>
        <v>0</v>
      </c>
      <c r="AN291" s="146">
        <f t="shared" ca="1" si="581"/>
        <v>0</v>
      </c>
      <c r="AO291" s="146">
        <f t="shared" ca="1" si="582"/>
        <v>0</v>
      </c>
      <c r="AP291" s="146" t="str">
        <f t="shared" si="576"/>
        <v>N/A</v>
      </c>
      <c r="AQ291" s="146">
        <f t="shared" si="576"/>
        <v>0</v>
      </c>
      <c r="AR291" s="146">
        <f t="shared" si="583"/>
        <v>0</v>
      </c>
      <c r="AS291" s="146">
        <f t="shared" ca="1" si="584"/>
        <v>0</v>
      </c>
      <c r="AT291" s="146">
        <f t="shared" ca="1" si="585"/>
        <v>0</v>
      </c>
      <c r="AU291" s="146" t="str">
        <f t="shared" si="576"/>
        <v>N/A</v>
      </c>
      <c r="AV291" s="146">
        <f t="shared" si="576"/>
        <v>0</v>
      </c>
      <c r="AW291" s="146">
        <f t="shared" si="586"/>
        <v>0</v>
      </c>
      <c r="AX291" s="146">
        <f t="shared" ca="1" si="587"/>
        <v>0</v>
      </c>
      <c r="AY291" s="146">
        <f t="shared" ca="1" si="588"/>
        <v>0</v>
      </c>
      <c r="AZ291" s="147"/>
      <c r="BA291" s="144" t="s">
        <v>141</v>
      </c>
      <c r="BB291" s="144" t="s">
        <v>140</v>
      </c>
      <c r="BC291" s="144" t="s">
        <v>140</v>
      </c>
      <c r="BD291" s="144" t="s">
        <v>140</v>
      </c>
      <c r="BE291" s="146">
        <v>0.9</v>
      </c>
      <c r="BF291" s="148"/>
      <c r="BG291" s="146"/>
      <c r="BH291" s="117"/>
      <c r="BI291" s="117"/>
      <c r="BJ291" s="149"/>
      <c r="BK291" s="149"/>
      <c r="BL291" s="117">
        <v>0</v>
      </c>
      <c r="BM291" s="117">
        <v>0</v>
      </c>
      <c r="BN291" s="117">
        <v>0</v>
      </c>
      <c r="BO291" s="117">
        <v>0</v>
      </c>
      <c r="BP291" s="117">
        <v>0</v>
      </c>
      <c r="BQ291" s="117">
        <v>0</v>
      </c>
      <c r="BR291" s="117">
        <v>0</v>
      </c>
      <c r="BS291" s="117" t="s">
        <v>150</v>
      </c>
      <c r="BT291" s="167" t="s">
        <v>319</v>
      </c>
      <c r="BU291" s="141"/>
      <c r="BV291" s="141" t="s">
        <v>320</v>
      </c>
      <c r="BW291" s="141">
        <v>2</v>
      </c>
      <c r="BX291" s="153">
        <v>46202</v>
      </c>
      <c r="BY291" s="117"/>
      <c r="BZ291" s="117"/>
      <c r="CA291" s="117"/>
      <c r="CB291" s="117">
        <f t="shared" si="589"/>
        <v>0</v>
      </c>
    </row>
    <row r="292" spans="1:80" ht="16.5" hidden="1" customHeight="1">
      <c r="A292" s="117">
        <v>939</v>
      </c>
      <c r="B292" s="154" t="s">
        <v>706</v>
      </c>
      <c r="C292" s="154" t="s">
        <v>921</v>
      </c>
      <c r="D292" s="154" t="s">
        <v>13</v>
      </c>
      <c r="E292" s="154" t="s">
        <v>717</v>
      </c>
      <c r="F292" s="154" t="s">
        <v>718</v>
      </c>
      <c r="G292" s="154" t="s">
        <v>648</v>
      </c>
      <c r="H292" s="146">
        <v>699</v>
      </c>
      <c r="I292" s="147" t="s">
        <v>147</v>
      </c>
      <c r="J292" s="144">
        <v>2</v>
      </c>
      <c r="K292" s="145">
        <f t="shared" si="571"/>
        <v>1</v>
      </c>
      <c r="L292" s="144">
        <f t="shared" si="572"/>
        <v>2</v>
      </c>
      <c r="M292" s="146">
        <v>43.7</v>
      </c>
      <c r="N292" s="146">
        <f t="shared" si="573"/>
        <v>87.4</v>
      </c>
      <c r="O292" s="146" t="s">
        <v>137</v>
      </c>
      <c r="P292" s="146" t="s">
        <v>13</v>
      </c>
      <c r="Q292" s="146" t="s">
        <v>148</v>
      </c>
      <c r="R292" s="146"/>
      <c r="S292" s="146"/>
      <c r="T292" s="146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2</v>
      </c>
      <c r="U292" s="146">
        <f t="shared" ca="1" si="574"/>
        <v>0</v>
      </c>
      <c r="V292" s="146">
        <f t="shared" ca="1" si="575"/>
        <v>1</v>
      </c>
      <c r="W292" s="146"/>
      <c r="X292" s="146"/>
      <c r="Y292" s="146"/>
      <c r="Z292" s="146"/>
      <c r="AA292" s="146"/>
      <c r="AB292" s="146"/>
      <c r="AC292" s="146">
        <v>1.2</v>
      </c>
      <c r="AD292" s="117" t="s">
        <v>196</v>
      </c>
      <c r="AE292" s="148"/>
      <c r="AF292" s="146" t="str">
        <f t="shared" si="576"/>
        <v>AMC 2-S1</v>
      </c>
      <c r="AG292" s="146">
        <f t="shared" si="576"/>
        <v>1</v>
      </c>
      <c r="AH292" s="146">
        <f t="shared" si="577"/>
        <v>2</v>
      </c>
      <c r="AI292" s="146">
        <f t="shared" ca="1" si="578"/>
        <v>2</v>
      </c>
      <c r="AJ292" s="146">
        <f t="shared" ca="1" si="579"/>
        <v>0</v>
      </c>
      <c r="AK292" s="146" t="str">
        <f t="shared" si="576"/>
        <v>N/A</v>
      </c>
      <c r="AL292" s="146">
        <f t="shared" si="576"/>
        <v>0</v>
      </c>
      <c r="AM292" s="146">
        <f t="shared" si="580"/>
        <v>0</v>
      </c>
      <c r="AN292" s="146">
        <f t="shared" ca="1" si="581"/>
        <v>0</v>
      </c>
      <c r="AO292" s="146">
        <f t="shared" ca="1" si="582"/>
        <v>0</v>
      </c>
      <c r="AP292" s="146" t="str">
        <f t="shared" si="576"/>
        <v>N/A</v>
      </c>
      <c r="AQ292" s="146">
        <f t="shared" si="576"/>
        <v>0</v>
      </c>
      <c r="AR292" s="146">
        <f t="shared" si="583"/>
        <v>0</v>
      </c>
      <c r="AS292" s="146">
        <f t="shared" ca="1" si="584"/>
        <v>0</v>
      </c>
      <c r="AT292" s="146">
        <f t="shared" ca="1" si="585"/>
        <v>0</v>
      </c>
      <c r="AU292" s="146" t="str">
        <f t="shared" si="576"/>
        <v>N/A</v>
      </c>
      <c r="AV292" s="146">
        <f t="shared" si="576"/>
        <v>0</v>
      </c>
      <c r="AW292" s="146">
        <f t="shared" si="586"/>
        <v>0</v>
      </c>
      <c r="AX292" s="146">
        <f t="shared" ca="1" si="587"/>
        <v>0</v>
      </c>
      <c r="AY292" s="146">
        <f t="shared" ca="1" si="588"/>
        <v>0</v>
      </c>
      <c r="AZ292" s="147"/>
      <c r="BA292" s="144" t="s">
        <v>141</v>
      </c>
      <c r="BB292" s="144" t="s">
        <v>140</v>
      </c>
      <c r="BC292" s="144" t="s">
        <v>140</v>
      </c>
      <c r="BD292" s="144" t="s">
        <v>140</v>
      </c>
      <c r="BE292" s="146">
        <v>0.6</v>
      </c>
      <c r="BF292" s="148"/>
      <c r="BG292" s="146"/>
      <c r="BH292" s="117"/>
      <c r="BI292" s="117"/>
      <c r="BJ292" s="149"/>
      <c r="BK292" s="149"/>
      <c r="BL292" s="117">
        <v>0</v>
      </c>
      <c r="BM292" s="117">
        <v>0</v>
      </c>
      <c r="BN292" s="117">
        <v>0</v>
      </c>
      <c r="BO292" s="117">
        <v>0</v>
      </c>
      <c r="BP292" s="117">
        <v>0</v>
      </c>
      <c r="BQ292" s="117">
        <v>0</v>
      </c>
      <c r="BR292" s="117">
        <v>0</v>
      </c>
      <c r="BS292" s="117" t="s">
        <v>150</v>
      </c>
      <c r="BT292" s="167" t="s">
        <v>319</v>
      </c>
      <c r="BU292" s="141"/>
      <c r="BV292" s="141" t="s">
        <v>320</v>
      </c>
      <c r="BW292" s="141">
        <v>2</v>
      </c>
      <c r="BX292" s="153">
        <v>46202</v>
      </c>
      <c r="BY292" s="117"/>
      <c r="BZ292" s="117"/>
      <c r="CA292" s="117"/>
      <c r="CB292" s="117">
        <f t="shared" si="589"/>
        <v>0</v>
      </c>
    </row>
    <row r="293" spans="1:80" ht="16.5" hidden="1" customHeight="1">
      <c r="A293" s="117">
        <v>940</v>
      </c>
      <c r="B293" s="154" t="s">
        <v>706</v>
      </c>
      <c r="C293" s="154" t="s">
        <v>921</v>
      </c>
      <c r="D293" s="154" t="s">
        <v>13</v>
      </c>
      <c r="E293" s="154" t="s">
        <v>719</v>
      </c>
      <c r="F293" s="154" t="s">
        <v>720</v>
      </c>
      <c r="G293" s="154" t="s">
        <v>657</v>
      </c>
      <c r="H293" s="146">
        <v>690</v>
      </c>
      <c r="I293" s="147" t="s">
        <v>147</v>
      </c>
      <c r="J293" s="144">
        <v>2</v>
      </c>
      <c r="K293" s="145">
        <f t="shared" si="571"/>
        <v>1</v>
      </c>
      <c r="L293" s="144">
        <f t="shared" si="572"/>
        <v>2</v>
      </c>
      <c r="M293" s="146">
        <v>28.6</v>
      </c>
      <c r="N293" s="146">
        <f t="shared" si="573"/>
        <v>57.2</v>
      </c>
      <c r="O293" s="146" t="s">
        <v>137</v>
      </c>
      <c r="P293" s="146" t="s">
        <v>13</v>
      </c>
      <c r="Q293" s="146" t="s">
        <v>148</v>
      </c>
      <c r="R293" s="146"/>
      <c r="S293" s="146"/>
      <c r="T293" s="146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2</v>
      </c>
      <c r="U293" s="146">
        <f t="shared" ca="1" si="574"/>
        <v>0</v>
      </c>
      <c r="V293" s="146">
        <f t="shared" ca="1" si="575"/>
        <v>1</v>
      </c>
      <c r="W293" s="146"/>
      <c r="X293" s="146"/>
      <c r="Y293" s="146"/>
      <c r="Z293" s="146"/>
      <c r="AA293" s="146"/>
      <c r="AB293" s="146"/>
      <c r="AC293" s="146">
        <v>0.8</v>
      </c>
      <c r="AD293" s="117" t="s">
        <v>196</v>
      </c>
      <c r="AE293" s="148"/>
      <c r="AF293" s="146" t="str">
        <f t="shared" si="576"/>
        <v>AMC 2-S1</v>
      </c>
      <c r="AG293" s="146">
        <f t="shared" si="576"/>
        <v>1</v>
      </c>
      <c r="AH293" s="146">
        <f t="shared" si="577"/>
        <v>2</v>
      </c>
      <c r="AI293" s="146">
        <f t="shared" ca="1" si="578"/>
        <v>2</v>
      </c>
      <c r="AJ293" s="146">
        <f t="shared" ca="1" si="579"/>
        <v>0</v>
      </c>
      <c r="AK293" s="146" t="str">
        <f t="shared" si="576"/>
        <v>N/A</v>
      </c>
      <c r="AL293" s="146">
        <f t="shared" si="576"/>
        <v>0</v>
      </c>
      <c r="AM293" s="146">
        <f t="shared" si="580"/>
        <v>0</v>
      </c>
      <c r="AN293" s="146">
        <f t="shared" ca="1" si="581"/>
        <v>0</v>
      </c>
      <c r="AO293" s="146">
        <f t="shared" ca="1" si="582"/>
        <v>0</v>
      </c>
      <c r="AP293" s="146" t="str">
        <f t="shared" si="576"/>
        <v>N/A</v>
      </c>
      <c r="AQ293" s="146">
        <f t="shared" si="576"/>
        <v>0</v>
      </c>
      <c r="AR293" s="146">
        <f t="shared" si="583"/>
        <v>0</v>
      </c>
      <c r="AS293" s="146">
        <f t="shared" ca="1" si="584"/>
        <v>0</v>
      </c>
      <c r="AT293" s="146">
        <f t="shared" ca="1" si="585"/>
        <v>0</v>
      </c>
      <c r="AU293" s="146" t="str">
        <f t="shared" si="576"/>
        <v>N/A</v>
      </c>
      <c r="AV293" s="146">
        <f t="shared" si="576"/>
        <v>0</v>
      </c>
      <c r="AW293" s="146">
        <f t="shared" si="586"/>
        <v>0</v>
      </c>
      <c r="AX293" s="146">
        <f t="shared" ca="1" si="587"/>
        <v>0</v>
      </c>
      <c r="AY293" s="146">
        <f t="shared" ca="1" si="588"/>
        <v>0</v>
      </c>
      <c r="AZ293" s="147"/>
      <c r="BA293" s="144" t="s">
        <v>141</v>
      </c>
      <c r="BB293" s="144" t="s">
        <v>140</v>
      </c>
      <c r="BC293" s="144" t="s">
        <v>140</v>
      </c>
      <c r="BD293" s="144" t="s">
        <v>140</v>
      </c>
      <c r="BE293" s="146">
        <v>0.4</v>
      </c>
      <c r="BF293" s="148"/>
      <c r="BG293" s="146"/>
      <c r="BH293" s="117"/>
      <c r="BI293" s="117"/>
      <c r="BJ293" s="149"/>
      <c r="BK293" s="149"/>
      <c r="BL293" s="117">
        <v>0</v>
      </c>
      <c r="BM293" s="117">
        <v>0</v>
      </c>
      <c r="BN293" s="117">
        <v>0</v>
      </c>
      <c r="BO293" s="117">
        <v>0</v>
      </c>
      <c r="BP293" s="117">
        <v>0</v>
      </c>
      <c r="BQ293" s="117">
        <v>0</v>
      </c>
      <c r="BR293" s="117">
        <v>0</v>
      </c>
      <c r="BS293" s="117" t="s">
        <v>150</v>
      </c>
      <c r="BT293" s="167" t="s">
        <v>319</v>
      </c>
      <c r="BU293" s="141"/>
      <c r="BV293" s="141" t="s">
        <v>320</v>
      </c>
      <c r="BW293" s="141">
        <v>2</v>
      </c>
      <c r="BX293" s="153">
        <v>46202</v>
      </c>
      <c r="BY293" s="117"/>
      <c r="BZ293" s="117"/>
      <c r="CA293" s="117"/>
      <c r="CB293" s="117">
        <f t="shared" si="589"/>
        <v>0</v>
      </c>
    </row>
    <row r="294" spans="1:80" ht="16.5" hidden="1" customHeight="1">
      <c r="A294" s="117">
        <v>941</v>
      </c>
      <c r="B294" s="154" t="s">
        <v>706</v>
      </c>
      <c r="C294" s="154" t="s">
        <v>921</v>
      </c>
      <c r="D294" s="154" t="s">
        <v>13</v>
      </c>
      <c r="E294" s="154" t="s">
        <v>721</v>
      </c>
      <c r="F294" s="154" t="s">
        <v>722</v>
      </c>
      <c r="G294" s="154" t="s">
        <v>657</v>
      </c>
      <c r="H294" s="146">
        <v>1004</v>
      </c>
      <c r="I294" s="147" t="s">
        <v>147</v>
      </c>
      <c r="J294" s="144">
        <v>2</v>
      </c>
      <c r="K294" s="145">
        <f t="shared" si="571"/>
        <v>1</v>
      </c>
      <c r="L294" s="144">
        <f t="shared" si="572"/>
        <v>2</v>
      </c>
      <c r="M294" s="146">
        <v>41.5</v>
      </c>
      <c r="N294" s="146">
        <f t="shared" si="573"/>
        <v>83</v>
      </c>
      <c r="O294" s="146" t="s">
        <v>137</v>
      </c>
      <c r="P294" s="146" t="s">
        <v>13</v>
      </c>
      <c r="Q294" s="146" t="s">
        <v>148</v>
      </c>
      <c r="R294" s="146"/>
      <c r="S294" s="146"/>
      <c r="T294" s="146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2</v>
      </c>
      <c r="U294" s="146">
        <f t="shared" ca="1" si="574"/>
        <v>0</v>
      </c>
      <c r="V294" s="146">
        <f t="shared" ca="1" si="575"/>
        <v>1</v>
      </c>
      <c r="W294" s="146"/>
      <c r="X294" s="146"/>
      <c r="Y294" s="146"/>
      <c r="Z294" s="146"/>
      <c r="AA294" s="146"/>
      <c r="AB294" s="146"/>
      <c r="AC294" s="146">
        <v>1.2</v>
      </c>
      <c r="AD294" s="117" t="s">
        <v>196</v>
      </c>
      <c r="AE294" s="148"/>
      <c r="AF294" s="146" t="str">
        <f t="shared" si="576"/>
        <v>AMC 2-S1</v>
      </c>
      <c r="AG294" s="146">
        <f t="shared" si="576"/>
        <v>1</v>
      </c>
      <c r="AH294" s="146">
        <f t="shared" si="577"/>
        <v>2</v>
      </c>
      <c r="AI294" s="146">
        <f t="shared" ca="1" si="578"/>
        <v>2</v>
      </c>
      <c r="AJ294" s="146">
        <f t="shared" ca="1" si="579"/>
        <v>0</v>
      </c>
      <c r="AK294" s="146" t="str">
        <f t="shared" si="576"/>
        <v>N/A</v>
      </c>
      <c r="AL294" s="146">
        <f t="shared" si="576"/>
        <v>0</v>
      </c>
      <c r="AM294" s="146">
        <f t="shared" si="580"/>
        <v>0</v>
      </c>
      <c r="AN294" s="146">
        <f t="shared" ca="1" si="581"/>
        <v>0</v>
      </c>
      <c r="AO294" s="146">
        <f t="shared" ca="1" si="582"/>
        <v>0</v>
      </c>
      <c r="AP294" s="146" t="str">
        <f t="shared" si="576"/>
        <v>N/A</v>
      </c>
      <c r="AQ294" s="146">
        <f t="shared" si="576"/>
        <v>0</v>
      </c>
      <c r="AR294" s="146">
        <f t="shared" si="583"/>
        <v>0</v>
      </c>
      <c r="AS294" s="146">
        <f t="shared" ca="1" si="584"/>
        <v>0</v>
      </c>
      <c r="AT294" s="146">
        <f t="shared" ca="1" si="585"/>
        <v>0</v>
      </c>
      <c r="AU294" s="146" t="str">
        <f t="shared" si="576"/>
        <v>N/A</v>
      </c>
      <c r="AV294" s="146">
        <f t="shared" si="576"/>
        <v>0</v>
      </c>
      <c r="AW294" s="146">
        <f t="shared" si="586"/>
        <v>0</v>
      </c>
      <c r="AX294" s="146">
        <f t="shared" ca="1" si="587"/>
        <v>0</v>
      </c>
      <c r="AY294" s="146">
        <f t="shared" ca="1" si="588"/>
        <v>0</v>
      </c>
      <c r="AZ294" s="147"/>
      <c r="BA294" s="144" t="s">
        <v>141</v>
      </c>
      <c r="BB294" s="144" t="s">
        <v>140</v>
      </c>
      <c r="BC294" s="144" t="s">
        <v>140</v>
      </c>
      <c r="BD294" s="144" t="s">
        <v>140</v>
      </c>
      <c r="BE294" s="146">
        <v>0.6</v>
      </c>
      <c r="BF294" s="148"/>
      <c r="BG294" s="146"/>
      <c r="BH294" s="117"/>
      <c r="BI294" s="117"/>
      <c r="BJ294" s="149"/>
      <c r="BK294" s="149"/>
      <c r="BL294" s="117">
        <v>0</v>
      </c>
      <c r="BM294" s="117">
        <v>0</v>
      </c>
      <c r="BN294" s="117">
        <v>0</v>
      </c>
      <c r="BO294" s="117">
        <v>0</v>
      </c>
      <c r="BP294" s="117">
        <v>0</v>
      </c>
      <c r="BQ294" s="117">
        <v>0</v>
      </c>
      <c r="BR294" s="117">
        <v>0</v>
      </c>
      <c r="BS294" s="117" t="s">
        <v>150</v>
      </c>
      <c r="BT294" s="167" t="s">
        <v>319</v>
      </c>
      <c r="BU294" s="141"/>
      <c r="BV294" s="141" t="s">
        <v>320</v>
      </c>
      <c r="BW294" s="141">
        <v>2</v>
      </c>
      <c r="BX294" s="153">
        <v>46202</v>
      </c>
      <c r="BY294" s="117"/>
      <c r="BZ294" s="117"/>
      <c r="CA294" s="117"/>
      <c r="CB294" s="117">
        <f t="shared" si="589"/>
        <v>0</v>
      </c>
    </row>
    <row r="295" spans="1:80" ht="16.5" hidden="1" customHeight="1">
      <c r="A295" s="117">
        <v>942</v>
      </c>
      <c r="B295" s="154" t="s">
        <v>706</v>
      </c>
      <c r="C295" s="154" t="s">
        <v>921</v>
      </c>
      <c r="D295" s="154" t="s">
        <v>13</v>
      </c>
      <c r="E295" s="154" t="s">
        <v>723</v>
      </c>
      <c r="F295" s="154" t="s">
        <v>724</v>
      </c>
      <c r="G295" s="154" t="s">
        <v>657</v>
      </c>
      <c r="H295" s="146">
        <v>706</v>
      </c>
      <c r="I295" s="147" t="s">
        <v>147</v>
      </c>
      <c r="J295" s="144">
        <v>2</v>
      </c>
      <c r="K295" s="145">
        <f t="shared" si="571"/>
        <v>1</v>
      </c>
      <c r="L295" s="144">
        <f t="shared" si="572"/>
        <v>2</v>
      </c>
      <c r="M295" s="146">
        <v>29.2</v>
      </c>
      <c r="N295" s="146">
        <f t="shared" si="573"/>
        <v>58.4</v>
      </c>
      <c r="O295" s="146" t="s">
        <v>137</v>
      </c>
      <c r="P295" s="146" t="s">
        <v>13</v>
      </c>
      <c r="Q295" s="146" t="s">
        <v>148</v>
      </c>
      <c r="R295" s="146"/>
      <c r="S295" s="146"/>
      <c r="T295" s="146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2</v>
      </c>
      <c r="U295" s="146">
        <f t="shared" ca="1" si="574"/>
        <v>0</v>
      </c>
      <c r="V295" s="146">
        <f t="shared" ca="1" si="575"/>
        <v>1</v>
      </c>
      <c r="W295" s="146"/>
      <c r="X295" s="146"/>
      <c r="Y295" s="146"/>
      <c r="Z295" s="146"/>
      <c r="AA295" s="146"/>
      <c r="AB295" s="146"/>
      <c r="AC295" s="146">
        <v>0.8</v>
      </c>
      <c r="AD295" s="117" t="s">
        <v>196</v>
      </c>
      <c r="AE295" s="148"/>
      <c r="AF295" s="146" t="str">
        <f t="shared" si="576"/>
        <v>AMC 2-S1</v>
      </c>
      <c r="AG295" s="146">
        <f t="shared" si="576"/>
        <v>1</v>
      </c>
      <c r="AH295" s="146">
        <f t="shared" si="577"/>
        <v>2</v>
      </c>
      <c r="AI295" s="146">
        <f t="shared" ca="1" si="578"/>
        <v>2</v>
      </c>
      <c r="AJ295" s="146">
        <f t="shared" ca="1" si="579"/>
        <v>0</v>
      </c>
      <c r="AK295" s="146" t="str">
        <f t="shared" si="576"/>
        <v>N/A</v>
      </c>
      <c r="AL295" s="146">
        <f t="shared" si="576"/>
        <v>0</v>
      </c>
      <c r="AM295" s="146">
        <f t="shared" si="580"/>
        <v>0</v>
      </c>
      <c r="AN295" s="146">
        <f t="shared" ca="1" si="581"/>
        <v>0</v>
      </c>
      <c r="AO295" s="146">
        <f t="shared" ca="1" si="582"/>
        <v>0</v>
      </c>
      <c r="AP295" s="146" t="str">
        <f t="shared" si="576"/>
        <v>N/A</v>
      </c>
      <c r="AQ295" s="146">
        <f t="shared" si="576"/>
        <v>0</v>
      </c>
      <c r="AR295" s="146">
        <f t="shared" si="583"/>
        <v>0</v>
      </c>
      <c r="AS295" s="146">
        <f t="shared" ca="1" si="584"/>
        <v>0</v>
      </c>
      <c r="AT295" s="146">
        <f t="shared" ca="1" si="585"/>
        <v>0</v>
      </c>
      <c r="AU295" s="146" t="str">
        <f t="shared" si="576"/>
        <v>N/A</v>
      </c>
      <c r="AV295" s="146">
        <f t="shared" si="576"/>
        <v>0</v>
      </c>
      <c r="AW295" s="146">
        <f t="shared" si="586"/>
        <v>0</v>
      </c>
      <c r="AX295" s="146">
        <f t="shared" ca="1" si="587"/>
        <v>0</v>
      </c>
      <c r="AY295" s="146">
        <f t="shared" ca="1" si="588"/>
        <v>0</v>
      </c>
      <c r="AZ295" s="147"/>
      <c r="BA295" s="144" t="s">
        <v>141</v>
      </c>
      <c r="BB295" s="144" t="s">
        <v>140</v>
      </c>
      <c r="BC295" s="144" t="s">
        <v>140</v>
      </c>
      <c r="BD295" s="144" t="s">
        <v>140</v>
      </c>
      <c r="BE295" s="146">
        <v>0.4</v>
      </c>
      <c r="BF295" s="148"/>
      <c r="BG295" s="146"/>
      <c r="BH295" s="117"/>
      <c r="BI295" s="117"/>
      <c r="BJ295" s="149"/>
      <c r="BK295" s="149"/>
      <c r="BL295" s="117">
        <v>0</v>
      </c>
      <c r="BM295" s="117">
        <v>0</v>
      </c>
      <c r="BN295" s="117">
        <v>0</v>
      </c>
      <c r="BO295" s="117">
        <v>0</v>
      </c>
      <c r="BP295" s="117">
        <v>0</v>
      </c>
      <c r="BQ295" s="117">
        <v>0</v>
      </c>
      <c r="BR295" s="117">
        <v>0</v>
      </c>
      <c r="BS295" s="117" t="s">
        <v>150</v>
      </c>
      <c r="BT295" s="167" t="s">
        <v>319</v>
      </c>
      <c r="BU295" s="141"/>
      <c r="BV295" s="141" t="s">
        <v>320</v>
      </c>
      <c r="BW295" s="141">
        <v>2</v>
      </c>
      <c r="BX295" s="153">
        <v>46202</v>
      </c>
      <c r="BY295" s="117"/>
      <c r="BZ295" s="117"/>
      <c r="CA295" s="117"/>
      <c r="CB295" s="117">
        <f t="shared" si="589"/>
        <v>0</v>
      </c>
    </row>
    <row r="296" spans="1:80" ht="16.5" hidden="1" customHeight="1">
      <c r="A296" s="117">
        <v>943</v>
      </c>
      <c r="B296" s="154" t="s">
        <v>706</v>
      </c>
      <c r="C296" s="154" t="s">
        <v>921</v>
      </c>
      <c r="D296" s="154" t="s">
        <v>13</v>
      </c>
      <c r="E296" s="154" t="s">
        <v>725</v>
      </c>
      <c r="F296" s="154" t="s">
        <v>726</v>
      </c>
      <c r="G296" s="154" t="s">
        <v>657</v>
      </c>
      <c r="H296" s="146">
        <v>1046</v>
      </c>
      <c r="I296" s="147" t="s">
        <v>147</v>
      </c>
      <c r="J296" s="144">
        <v>2</v>
      </c>
      <c r="K296" s="145">
        <f t="shared" si="571"/>
        <v>1</v>
      </c>
      <c r="L296" s="144">
        <f t="shared" si="572"/>
        <v>2</v>
      </c>
      <c r="M296" s="146">
        <v>43.2</v>
      </c>
      <c r="N296" s="146">
        <f t="shared" si="573"/>
        <v>86.4</v>
      </c>
      <c r="O296" s="146" t="s">
        <v>137</v>
      </c>
      <c r="P296" s="146" t="s">
        <v>13</v>
      </c>
      <c r="Q296" s="146" t="s">
        <v>148</v>
      </c>
      <c r="R296" s="146"/>
      <c r="S296" s="146"/>
      <c r="T296" s="146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2</v>
      </c>
      <c r="U296" s="146">
        <f t="shared" ca="1" si="574"/>
        <v>0</v>
      </c>
      <c r="V296" s="146">
        <f t="shared" ca="1" si="575"/>
        <v>1</v>
      </c>
      <c r="W296" s="146"/>
      <c r="X296" s="146"/>
      <c r="Y296" s="146"/>
      <c r="Z296" s="146"/>
      <c r="AA296" s="146"/>
      <c r="AB296" s="146"/>
      <c r="AC296" s="146">
        <v>1.2</v>
      </c>
      <c r="AD296" s="117" t="s">
        <v>196</v>
      </c>
      <c r="AE296" s="148"/>
      <c r="AF296" s="146" t="str">
        <f t="shared" si="576"/>
        <v>AMC 2-S1</v>
      </c>
      <c r="AG296" s="146">
        <f t="shared" si="576"/>
        <v>1</v>
      </c>
      <c r="AH296" s="146">
        <f t="shared" si="577"/>
        <v>2</v>
      </c>
      <c r="AI296" s="146">
        <f t="shared" ca="1" si="578"/>
        <v>2</v>
      </c>
      <c r="AJ296" s="146">
        <f t="shared" ca="1" si="579"/>
        <v>0</v>
      </c>
      <c r="AK296" s="146" t="str">
        <f t="shared" si="576"/>
        <v>N/A</v>
      </c>
      <c r="AL296" s="146">
        <f t="shared" si="576"/>
        <v>0</v>
      </c>
      <c r="AM296" s="146">
        <f t="shared" si="580"/>
        <v>0</v>
      </c>
      <c r="AN296" s="146">
        <f t="shared" ca="1" si="581"/>
        <v>0</v>
      </c>
      <c r="AO296" s="146">
        <f t="shared" ca="1" si="582"/>
        <v>0</v>
      </c>
      <c r="AP296" s="146" t="str">
        <f t="shared" si="576"/>
        <v>N/A</v>
      </c>
      <c r="AQ296" s="146">
        <f t="shared" si="576"/>
        <v>0</v>
      </c>
      <c r="AR296" s="146">
        <f t="shared" si="583"/>
        <v>0</v>
      </c>
      <c r="AS296" s="146">
        <f t="shared" ca="1" si="584"/>
        <v>0</v>
      </c>
      <c r="AT296" s="146">
        <f t="shared" ca="1" si="585"/>
        <v>0</v>
      </c>
      <c r="AU296" s="146" t="str">
        <f t="shared" si="576"/>
        <v>N/A</v>
      </c>
      <c r="AV296" s="146">
        <f t="shared" si="576"/>
        <v>0</v>
      </c>
      <c r="AW296" s="146">
        <f t="shared" si="586"/>
        <v>0</v>
      </c>
      <c r="AX296" s="146">
        <f t="shared" ca="1" si="587"/>
        <v>0</v>
      </c>
      <c r="AY296" s="146">
        <f t="shared" ca="1" si="588"/>
        <v>0</v>
      </c>
      <c r="AZ296" s="147"/>
      <c r="BA296" s="144" t="s">
        <v>141</v>
      </c>
      <c r="BB296" s="144" t="s">
        <v>140</v>
      </c>
      <c r="BC296" s="144" t="s">
        <v>140</v>
      </c>
      <c r="BD296" s="144" t="s">
        <v>140</v>
      </c>
      <c r="BE296" s="146">
        <v>0.6</v>
      </c>
      <c r="BF296" s="148"/>
      <c r="BG296" s="146"/>
      <c r="BH296" s="117"/>
      <c r="BI296" s="117"/>
      <c r="BJ296" s="149"/>
      <c r="BK296" s="149"/>
      <c r="BL296" s="117">
        <v>0</v>
      </c>
      <c r="BM296" s="117">
        <v>0</v>
      </c>
      <c r="BN296" s="117">
        <v>0</v>
      </c>
      <c r="BO296" s="117">
        <v>0</v>
      </c>
      <c r="BP296" s="117">
        <v>0</v>
      </c>
      <c r="BQ296" s="117">
        <v>0</v>
      </c>
      <c r="BR296" s="117">
        <v>0</v>
      </c>
      <c r="BS296" s="117" t="s">
        <v>150</v>
      </c>
      <c r="BT296" s="167" t="s">
        <v>319</v>
      </c>
      <c r="BU296" s="141"/>
      <c r="BV296" s="141" t="s">
        <v>320</v>
      </c>
      <c r="BW296" s="141">
        <v>2</v>
      </c>
      <c r="BX296" s="153">
        <v>46202</v>
      </c>
      <c r="BY296" s="117"/>
      <c r="BZ296" s="117"/>
      <c r="CA296" s="117"/>
      <c r="CB296" s="117">
        <f t="shared" si="589"/>
        <v>0</v>
      </c>
    </row>
    <row r="297" spans="1:80" ht="16.5" hidden="1" customHeight="1">
      <c r="A297" s="117">
        <v>944</v>
      </c>
      <c r="B297" s="154" t="s">
        <v>706</v>
      </c>
      <c r="C297" s="154" t="s">
        <v>921</v>
      </c>
      <c r="D297" s="154" t="s">
        <v>13</v>
      </c>
      <c r="E297" s="154" t="s">
        <v>727</v>
      </c>
      <c r="F297" s="154" t="s">
        <v>728</v>
      </c>
      <c r="G297" s="154" t="s">
        <v>729</v>
      </c>
      <c r="H297" s="146">
        <v>1477</v>
      </c>
      <c r="I297" s="147" t="s">
        <v>147</v>
      </c>
      <c r="J297" s="144">
        <v>2</v>
      </c>
      <c r="K297" s="145">
        <f t="shared" si="571"/>
        <v>1</v>
      </c>
      <c r="L297" s="144">
        <f t="shared" si="572"/>
        <v>2</v>
      </c>
      <c r="M297" s="146">
        <v>116</v>
      </c>
      <c r="N297" s="146">
        <f t="shared" si="573"/>
        <v>232</v>
      </c>
      <c r="O297" s="146" t="s">
        <v>137</v>
      </c>
      <c r="P297" s="146" t="s">
        <v>13</v>
      </c>
      <c r="Q297" s="146" t="s">
        <v>148</v>
      </c>
      <c r="R297" s="146"/>
      <c r="S297" s="146"/>
      <c r="T297" s="146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2</v>
      </c>
      <c r="U297" s="146">
        <f t="shared" ca="1" si="574"/>
        <v>0</v>
      </c>
      <c r="V297" s="146">
        <f t="shared" ca="1" si="575"/>
        <v>1</v>
      </c>
      <c r="W297" s="146"/>
      <c r="X297" s="146"/>
      <c r="Y297" s="146"/>
      <c r="Z297" s="146"/>
      <c r="AA297" s="146"/>
      <c r="AB297" s="146"/>
      <c r="AC297" s="146">
        <v>3.1</v>
      </c>
      <c r="AD297" s="117" t="s">
        <v>196</v>
      </c>
      <c r="AE297" s="148"/>
      <c r="AF297" s="146" t="str">
        <f t="shared" si="576"/>
        <v>AMC 2-S1</v>
      </c>
      <c r="AG297" s="146">
        <f t="shared" si="576"/>
        <v>1</v>
      </c>
      <c r="AH297" s="146">
        <f t="shared" si="577"/>
        <v>2</v>
      </c>
      <c r="AI297" s="146">
        <f t="shared" ca="1" si="578"/>
        <v>2</v>
      </c>
      <c r="AJ297" s="146">
        <f t="shared" ca="1" si="579"/>
        <v>0</v>
      </c>
      <c r="AK297" s="146" t="str">
        <f t="shared" si="576"/>
        <v>N/A</v>
      </c>
      <c r="AL297" s="146">
        <f t="shared" si="576"/>
        <v>0</v>
      </c>
      <c r="AM297" s="146">
        <f t="shared" si="580"/>
        <v>0</v>
      </c>
      <c r="AN297" s="146">
        <f t="shared" ca="1" si="581"/>
        <v>0</v>
      </c>
      <c r="AO297" s="146">
        <f t="shared" ca="1" si="582"/>
        <v>0</v>
      </c>
      <c r="AP297" s="146" t="str">
        <f t="shared" si="576"/>
        <v>N/A</v>
      </c>
      <c r="AQ297" s="146">
        <f t="shared" si="576"/>
        <v>0</v>
      </c>
      <c r="AR297" s="146">
        <f t="shared" si="583"/>
        <v>0</v>
      </c>
      <c r="AS297" s="146">
        <f t="shared" ca="1" si="584"/>
        <v>0</v>
      </c>
      <c r="AT297" s="146">
        <f t="shared" ca="1" si="585"/>
        <v>0</v>
      </c>
      <c r="AU297" s="146" t="str">
        <f t="shared" si="576"/>
        <v>N/A</v>
      </c>
      <c r="AV297" s="146">
        <f t="shared" si="576"/>
        <v>0</v>
      </c>
      <c r="AW297" s="146">
        <f t="shared" si="586"/>
        <v>0</v>
      </c>
      <c r="AX297" s="146">
        <f t="shared" ca="1" si="587"/>
        <v>0</v>
      </c>
      <c r="AY297" s="146">
        <f t="shared" ca="1" si="588"/>
        <v>0</v>
      </c>
      <c r="AZ297" s="147"/>
      <c r="BA297" s="144" t="s">
        <v>141</v>
      </c>
      <c r="BB297" s="144" t="s">
        <v>140</v>
      </c>
      <c r="BC297" s="144" t="s">
        <v>140</v>
      </c>
      <c r="BD297" s="144" t="s">
        <v>140</v>
      </c>
      <c r="BE297" s="146">
        <v>1.6</v>
      </c>
      <c r="BF297" s="148"/>
      <c r="BG297" s="146"/>
      <c r="BH297" s="117"/>
      <c r="BI297" s="117"/>
      <c r="BJ297" s="149"/>
      <c r="BK297" s="149"/>
      <c r="BL297" s="117">
        <v>0</v>
      </c>
      <c r="BM297" s="117">
        <v>0</v>
      </c>
      <c r="BN297" s="117">
        <v>0</v>
      </c>
      <c r="BO297" s="117">
        <v>1</v>
      </c>
      <c r="BP297" s="117">
        <v>0</v>
      </c>
      <c r="BQ297" s="117">
        <v>0</v>
      </c>
      <c r="BR297" s="117">
        <v>0</v>
      </c>
      <c r="BS297" s="117" t="s">
        <v>150</v>
      </c>
      <c r="BT297" s="167" t="s">
        <v>319</v>
      </c>
      <c r="BU297" s="141"/>
      <c r="BV297" s="141" t="s">
        <v>320</v>
      </c>
      <c r="BW297" s="141">
        <v>2</v>
      </c>
      <c r="BX297" s="153">
        <v>46202</v>
      </c>
      <c r="BY297" s="117"/>
      <c r="BZ297" s="117"/>
      <c r="CA297" s="117"/>
      <c r="CB297" s="117">
        <f t="shared" si="589"/>
        <v>0</v>
      </c>
    </row>
    <row r="298" spans="1:80" ht="16.5" hidden="1" customHeight="1">
      <c r="A298" s="117">
        <v>945</v>
      </c>
      <c r="B298" s="154" t="s">
        <v>706</v>
      </c>
      <c r="C298" s="154" t="s">
        <v>921</v>
      </c>
      <c r="D298" s="154" t="s">
        <v>13</v>
      </c>
      <c r="E298" s="154" t="s">
        <v>676</v>
      </c>
      <c r="F298" s="154" t="s">
        <v>730</v>
      </c>
      <c r="G298" s="154" t="s">
        <v>678</v>
      </c>
      <c r="H298" s="146">
        <v>100</v>
      </c>
      <c r="I298" s="147" t="s">
        <v>652</v>
      </c>
      <c r="J298" s="144">
        <v>1</v>
      </c>
      <c r="K298" s="145">
        <f t="shared" si="571"/>
        <v>1</v>
      </c>
      <c r="L298" s="144">
        <f t="shared" si="572"/>
        <v>1</v>
      </c>
      <c r="M298" s="146">
        <v>0.2</v>
      </c>
      <c r="N298" s="146">
        <f t="shared" si="573"/>
        <v>0.2</v>
      </c>
      <c r="O298" s="146" t="s">
        <v>137</v>
      </c>
      <c r="P298" s="146" t="s">
        <v>13</v>
      </c>
      <c r="Q298" s="146" t="s">
        <v>148</v>
      </c>
      <c r="R298" s="146"/>
      <c r="S298" s="146"/>
      <c r="T298" s="146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1</v>
      </c>
      <c r="U298" s="146">
        <f t="shared" ca="1" si="574"/>
        <v>0</v>
      </c>
      <c r="V298" s="146">
        <f t="shared" ca="1" si="575"/>
        <v>1</v>
      </c>
      <c r="W298" s="146"/>
      <c r="X298" s="146"/>
      <c r="Y298" s="146"/>
      <c r="Z298" s="146"/>
      <c r="AA298" s="146"/>
      <c r="AB298" s="146"/>
      <c r="AC298" s="146">
        <v>0</v>
      </c>
      <c r="AD298" s="117" t="s">
        <v>196</v>
      </c>
      <c r="AE298" s="148"/>
      <c r="AF298" s="146" t="str">
        <f t="shared" si="576"/>
        <v>AMC 2-S1</v>
      </c>
      <c r="AG298" s="146">
        <f t="shared" si="576"/>
        <v>1</v>
      </c>
      <c r="AH298" s="146">
        <f t="shared" si="577"/>
        <v>1</v>
      </c>
      <c r="AI298" s="146">
        <f t="shared" ca="1" si="578"/>
        <v>1</v>
      </c>
      <c r="AJ298" s="146">
        <f t="shared" ca="1" si="579"/>
        <v>0</v>
      </c>
      <c r="AK298" s="146" t="str">
        <f t="shared" si="576"/>
        <v>N/A</v>
      </c>
      <c r="AL298" s="146">
        <f t="shared" si="576"/>
        <v>0</v>
      </c>
      <c r="AM298" s="146">
        <f t="shared" si="580"/>
        <v>0</v>
      </c>
      <c r="AN298" s="146">
        <f t="shared" ca="1" si="581"/>
        <v>0</v>
      </c>
      <c r="AO298" s="146">
        <f t="shared" ca="1" si="582"/>
        <v>0</v>
      </c>
      <c r="AP298" s="146" t="str">
        <f t="shared" si="576"/>
        <v>N/A</v>
      </c>
      <c r="AQ298" s="146">
        <f t="shared" si="576"/>
        <v>0</v>
      </c>
      <c r="AR298" s="146">
        <f t="shared" si="583"/>
        <v>0</v>
      </c>
      <c r="AS298" s="146">
        <f t="shared" ca="1" si="584"/>
        <v>0</v>
      </c>
      <c r="AT298" s="146">
        <f t="shared" ca="1" si="585"/>
        <v>0</v>
      </c>
      <c r="AU298" s="146" t="str">
        <f t="shared" si="576"/>
        <v>N/A</v>
      </c>
      <c r="AV298" s="146">
        <f t="shared" si="576"/>
        <v>0</v>
      </c>
      <c r="AW298" s="146">
        <f t="shared" si="586"/>
        <v>0</v>
      </c>
      <c r="AX298" s="146">
        <f t="shared" ca="1" si="587"/>
        <v>0</v>
      </c>
      <c r="AY298" s="146">
        <f t="shared" ca="1" si="588"/>
        <v>0</v>
      </c>
      <c r="AZ298" s="147"/>
      <c r="BA298" s="144" t="s">
        <v>141</v>
      </c>
      <c r="BB298" s="144" t="s">
        <v>140</v>
      </c>
      <c r="BC298" s="144" t="s">
        <v>140</v>
      </c>
      <c r="BD298" s="144" t="s">
        <v>140</v>
      </c>
      <c r="BE298" s="146">
        <v>0</v>
      </c>
      <c r="BF298" s="148"/>
      <c r="BG298" s="146"/>
      <c r="BH298" s="117"/>
      <c r="BI298" s="117"/>
      <c r="BJ298" s="149"/>
      <c r="BK298" s="149"/>
      <c r="BL298" s="117">
        <v>1</v>
      </c>
      <c r="BM298" s="117">
        <v>0</v>
      </c>
      <c r="BN298" s="117">
        <v>0</v>
      </c>
      <c r="BO298" s="117">
        <v>0</v>
      </c>
      <c r="BP298" s="117">
        <v>0</v>
      </c>
      <c r="BQ298" s="117">
        <v>0</v>
      </c>
      <c r="BR298" s="117">
        <v>0</v>
      </c>
      <c r="BS298" s="117" t="s">
        <v>150</v>
      </c>
      <c r="BT298" s="117" t="s">
        <v>704</v>
      </c>
      <c r="BU298" s="155"/>
      <c r="BV298" s="117" t="s">
        <v>705</v>
      </c>
      <c r="BW298" s="144">
        <v>1</v>
      </c>
      <c r="BX298" s="149">
        <v>46196</v>
      </c>
      <c r="BY298" s="117"/>
      <c r="BZ298" s="117"/>
      <c r="CA298" s="117"/>
      <c r="CB298" s="117">
        <f t="shared" si="589"/>
        <v>0</v>
      </c>
    </row>
    <row r="299" spans="1:80" ht="16.5" hidden="1" customHeight="1">
      <c r="A299" s="133">
        <v>972</v>
      </c>
      <c r="B299" s="156" t="s">
        <v>731</v>
      </c>
      <c r="C299" s="156" t="s">
        <v>922</v>
      </c>
      <c r="D299" s="156"/>
      <c r="E299" s="156" t="s">
        <v>136</v>
      </c>
      <c r="F299" s="156"/>
      <c r="G299" s="156"/>
      <c r="H299" s="157"/>
      <c r="I299" s="159"/>
      <c r="J299" s="160" t="s">
        <v>136</v>
      </c>
      <c r="K299" s="138">
        <f>+AG299+AL299+AQ299+AV299</f>
        <v>1</v>
      </c>
      <c r="L299" s="160" t="s">
        <v>136</v>
      </c>
      <c r="M299" s="157"/>
      <c r="N299" s="157">
        <v>204.9</v>
      </c>
      <c r="O299" s="157" t="s">
        <v>137</v>
      </c>
      <c r="P299" s="157"/>
      <c r="Q299" s="157"/>
      <c r="R299" s="157"/>
      <c r="S299" s="157"/>
      <c r="T299" s="157"/>
      <c r="U299" s="157"/>
      <c r="V299" s="157"/>
      <c r="W299" s="135">
        <f ca="1">_xlfn.MINIFS(V:V,C:C,C299,AE:AE,"",AB:AB,"")</f>
        <v>1</v>
      </c>
      <c r="X299" s="135">
        <f ca="1">SUMIFS(T:T,C:C,C299,AE:AE,"")/SUMIFS(L:L,C:C,C299,AE:AE,"",AB:AB,"")</f>
        <v>1</v>
      </c>
      <c r="Y299" s="157"/>
      <c r="Z299" s="157"/>
      <c r="AA299" s="157"/>
      <c r="AB299" s="157"/>
      <c r="AC299" s="157">
        <v>2.8</v>
      </c>
      <c r="AD299" s="161" t="s">
        <v>196</v>
      </c>
      <c r="AE299" s="162" t="s">
        <v>143</v>
      </c>
      <c r="AF299" s="157" t="s">
        <v>139</v>
      </c>
      <c r="AG299" s="157">
        <v>1</v>
      </c>
      <c r="AH299" s="157"/>
      <c r="AI299" s="157"/>
      <c r="AJ299" s="157"/>
      <c r="AK299" s="157" t="s">
        <v>138</v>
      </c>
      <c r="AL299" s="157">
        <v>0</v>
      </c>
      <c r="AM299" s="157"/>
      <c r="AN299" s="157"/>
      <c r="AO299" s="157"/>
      <c r="AP299" s="157" t="s">
        <v>138</v>
      </c>
      <c r="AQ299" s="157">
        <v>0</v>
      </c>
      <c r="AR299" s="157"/>
      <c r="AS299" s="157"/>
      <c r="AT299" s="157"/>
      <c r="AU299" s="157" t="s">
        <v>138</v>
      </c>
      <c r="AV299" s="157">
        <v>0</v>
      </c>
      <c r="AW299" s="157"/>
      <c r="AX299" s="157"/>
      <c r="AY299" s="157"/>
      <c r="AZ299" s="136"/>
      <c r="BA299" s="137" t="s">
        <v>141</v>
      </c>
      <c r="BB299" s="137" t="s">
        <v>140</v>
      </c>
      <c r="BC299" s="137" t="s">
        <v>140</v>
      </c>
      <c r="BD299" s="137" t="s">
        <v>140</v>
      </c>
      <c r="BE299" s="157">
        <v>2.8</v>
      </c>
      <c r="BF299" s="162"/>
      <c r="BG299" s="157"/>
      <c r="BH299" s="161"/>
      <c r="BI299" s="161"/>
      <c r="BJ299" s="163"/>
      <c r="BK299" s="163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4"/>
      <c r="BV299" s="161"/>
      <c r="BW299" s="161"/>
      <c r="BX299" s="163"/>
      <c r="BY299" s="161"/>
      <c r="BZ299" s="161"/>
      <c r="CA299" s="161"/>
      <c r="CB299" s="161"/>
    </row>
    <row r="300" spans="1:80" ht="16.5" hidden="1" customHeight="1">
      <c r="A300" s="117">
        <v>973</v>
      </c>
      <c r="B300" s="154" t="s">
        <v>731</v>
      </c>
      <c r="C300" s="154" t="s">
        <v>922</v>
      </c>
      <c r="D300" s="154" t="s">
        <v>13</v>
      </c>
      <c r="E300" s="154" t="s">
        <v>732</v>
      </c>
      <c r="F300" s="154" t="s">
        <v>733</v>
      </c>
      <c r="G300" s="154" t="s">
        <v>734</v>
      </c>
      <c r="H300" s="146">
        <v>420</v>
      </c>
      <c r="I300" s="147" t="s">
        <v>147</v>
      </c>
      <c r="J300" s="144">
        <v>1</v>
      </c>
      <c r="K300" s="145">
        <f t="shared" ref="K300:K302" si="590">K299</f>
        <v>1</v>
      </c>
      <c r="L300" s="144">
        <f t="shared" ref="L300:L302" si="591">+K300*J300</f>
        <v>1</v>
      </c>
      <c r="M300" s="146">
        <v>27</v>
      </c>
      <c r="N300" s="146">
        <f t="shared" ref="N300:N302" si="592">+M300*L300</f>
        <v>27</v>
      </c>
      <c r="O300" s="146" t="s">
        <v>137</v>
      </c>
      <c r="P300" s="146" t="s">
        <v>13</v>
      </c>
      <c r="Q300" s="146" t="s">
        <v>148</v>
      </c>
      <c r="R300" s="146"/>
      <c r="S300" s="146"/>
      <c r="T300" s="146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1</v>
      </c>
      <c r="U300" s="146">
        <f t="shared" ref="U300:U302" ca="1" si="593">+L300-T300</f>
        <v>0</v>
      </c>
      <c r="V300" s="146">
        <f t="shared" ref="V300:V302" ca="1" si="594">ROUNDDOWN(T300/J300,0)</f>
        <v>1</v>
      </c>
      <c r="W300" s="146"/>
      <c r="X300" s="146"/>
      <c r="Y300" s="146"/>
      <c r="Z300" s="146"/>
      <c r="AA300" s="146"/>
      <c r="AB300" s="146"/>
      <c r="AC300" s="146">
        <v>0.4</v>
      </c>
      <c r="AD300" s="117" t="s">
        <v>196</v>
      </c>
      <c r="AE300" s="148"/>
      <c r="AF300" s="146" t="str">
        <f t="shared" ref="AF300:AV302" si="595">AF299</f>
        <v>AMC 2-S3</v>
      </c>
      <c r="AG300" s="146">
        <f t="shared" si="595"/>
        <v>1</v>
      </c>
      <c r="AH300" s="146">
        <f t="shared" ref="AH300:AH302" si="596">+AG300*J300</f>
        <v>1</v>
      </c>
      <c r="AI300" s="146">
        <f t="shared" ref="AI300:AI302" ca="1" si="597">MIN(T300,AH300)</f>
        <v>1</v>
      </c>
      <c r="AJ300" s="146">
        <f t="shared" ref="AJ300:AJ302" ca="1" si="598">+AH300-AI300</f>
        <v>0</v>
      </c>
      <c r="AK300" s="146" t="str">
        <f t="shared" si="595"/>
        <v>N/A</v>
      </c>
      <c r="AL300" s="146">
        <f t="shared" si="595"/>
        <v>0</v>
      </c>
      <c r="AM300" s="146">
        <f t="shared" ref="AM300:AM302" si="599">+AL300*J300</f>
        <v>0</v>
      </c>
      <c r="AN300" s="146">
        <f t="shared" ref="AN300:AN302" ca="1" si="600">MIN(T300-AI300,AL300)</f>
        <v>0</v>
      </c>
      <c r="AO300" s="146">
        <f t="shared" ref="AO300:AO302" ca="1" si="601">+AM300-AN300</f>
        <v>0</v>
      </c>
      <c r="AP300" s="146" t="str">
        <f t="shared" si="595"/>
        <v>N/A</v>
      </c>
      <c r="AQ300" s="146">
        <f t="shared" si="595"/>
        <v>0</v>
      </c>
      <c r="AR300" s="146">
        <f t="shared" ref="AR300:AR302" si="602">+AQ300*J300</f>
        <v>0</v>
      </c>
      <c r="AS300" s="146">
        <f t="shared" ref="AS300:AS302" ca="1" si="603">MIN(T300-AI300-AN300,AR300)</f>
        <v>0</v>
      </c>
      <c r="AT300" s="146">
        <f t="shared" ref="AT300:AT302" ca="1" si="604">+AR300-AS300</f>
        <v>0</v>
      </c>
      <c r="AU300" s="146" t="str">
        <f t="shared" si="595"/>
        <v>N/A</v>
      </c>
      <c r="AV300" s="146">
        <f t="shared" si="595"/>
        <v>0</v>
      </c>
      <c r="AW300" s="146">
        <f t="shared" ref="AW300:AW302" si="605">+AV300*J300</f>
        <v>0</v>
      </c>
      <c r="AX300" s="146">
        <f t="shared" ref="AX300:AX302" ca="1" si="606">MIN(T300-AI300-AN300-AS300,AW300)</f>
        <v>0</v>
      </c>
      <c r="AY300" s="146">
        <f t="shared" ref="AY300:AY302" ca="1" si="607">+AW300-AX300</f>
        <v>0</v>
      </c>
      <c r="AZ300" s="147"/>
      <c r="BA300" s="144" t="s">
        <v>141</v>
      </c>
      <c r="BB300" s="144" t="s">
        <v>140</v>
      </c>
      <c r="BC300" s="144" t="s">
        <v>140</v>
      </c>
      <c r="BD300" s="144" t="s">
        <v>140</v>
      </c>
      <c r="BE300" s="146">
        <v>0.4</v>
      </c>
      <c r="BF300" s="148"/>
      <c r="BG300" s="146"/>
      <c r="BH300" s="117"/>
      <c r="BI300" s="117"/>
      <c r="BJ300" s="149"/>
      <c r="BK300" s="149"/>
      <c r="BL300" s="117">
        <v>0</v>
      </c>
      <c r="BM300" s="117">
        <v>0</v>
      </c>
      <c r="BN300" s="117">
        <v>0</v>
      </c>
      <c r="BO300" s="117">
        <v>0</v>
      </c>
      <c r="BP300" s="117">
        <v>0</v>
      </c>
      <c r="BQ300" s="117">
        <v>0</v>
      </c>
      <c r="BR300" s="117">
        <v>0</v>
      </c>
      <c r="BS300" s="117" t="s">
        <v>150</v>
      </c>
      <c r="BT300" s="167" t="s">
        <v>319</v>
      </c>
      <c r="BU300" s="141"/>
      <c r="BV300" s="141" t="s">
        <v>320</v>
      </c>
      <c r="BW300" s="141">
        <v>1</v>
      </c>
      <c r="BX300" s="153">
        <v>46202</v>
      </c>
      <c r="BY300" s="117"/>
      <c r="BZ300" s="117"/>
      <c r="CA300" s="117"/>
      <c r="CB300" s="117">
        <f>+L300-BW300</f>
        <v>0</v>
      </c>
    </row>
    <row r="301" spans="1:80" ht="16.5" hidden="1" customHeight="1">
      <c r="A301" s="117">
        <v>974</v>
      </c>
      <c r="B301" s="154" t="s">
        <v>731</v>
      </c>
      <c r="C301" s="154" t="s">
        <v>922</v>
      </c>
      <c r="D301" s="154" t="s">
        <v>13</v>
      </c>
      <c r="E301" s="154" t="s">
        <v>735</v>
      </c>
      <c r="F301" s="154" t="s">
        <v>736</v>
      </c>
      <c r="G301" s="154" t="s">
        <v>737</v>
      </c>
      <c r="H301" s="146">
        <v>1550</v>
      </c>
      <c r="I301" s="147" t="s">
        <v>147</v>
      </c>
      <c r="J301" s="144">
        <v>1</v>
      </c>
      <c r="K301" s="145">
        <f t="shared" si="590"/>
        <v>1</v>
      </c>
      <c r="L301" s="144">
        <f t="shared" si="591"/>
        <v>1</v>
      </c>
      <c r="M301" s="146">
        <v>117.1</v>
      </c>
      <c r="N301" s="146">
        <f t="shared" si="592"/>
        <v>117.1</v>
      </c>
      <c r="O301" s="146" t="s">
        <v>137</v>
      </c>
      <c r="P301" s="146" t="s">
        <v>13</v>
      </c>
      <c r="Q301" s="146" t="s">
        <v>148</v>
      </c>
      <c r="R301" s="146"/>
      <c r="S301" s="146"/>
      <c r="T301" s="146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1</v>
      </c>
      <c r="U301" s="146">
        <f t="shared" ca="1" si="593"/>
        <v>0</v>
      </c>
      <c r="V301" s="146">
        <f t="shared" ca="1" si="594"/>
        <v>1</v>
      </c>
      <c r="W301" s="146"/>
      <c r="X301" s="146"/>
      <c r="Y301" s="146"/>
      <c r="Z301" s="146"/>
      <c r="AA301" s="146"/>
      <c r="AB301" s="146"/>
      <c r="AC301" s="146">
        <v>1.6</v>
      </c>
      <c r="AD301" s="117" t="s">
        <v>196</v>
      </c>
      <c r="AE301" s="148"/>
      <c r="AF301" s="146" t="str">
        <f t="shared" si="595"/>
        <v>AMC 2-S3</v>
      </c>
      <c r="AG301" s="146">
        <f t="shared" si="595"/>
        <v>1</v>
      </c>
      <c r="AH301" s="146">
        <f t="shared" si="596"/>
        <v>1</v>
      </c>
      <c r="AI301" s="146">
        <f t="shared" ca="1" si="597"/>
        <v>1</v>
      </c>
      <c r="AJ301" s="146">
        <f t="shared" ca="1" si="598"/>
        <v>0</v>
      </c>
      <c r="AK301" s="146" t="str">
        <f t="shared" si="595"/>
        <v>N/A</v>
      </c>
      <c r="AL301" s="146">
        <f t="shared" si="595"/>
        <v>0</v>
      </c>
      <c r="AM301" s="146">
        <f t="shared" si="599"/>
        <v>0</v>
      </c>
      <c r="AN301" s="146">
        <f t="shared" ca="1" si="600"/>
        <v>0</v>
      </c>
      <c r="AO301" s="146">
        <f t="shared" ca="1" si="601"/>
        <v>0</v>
      </c>
      <c r="AP301" s="146" t="str">
        <f t="shared" si="595"/>
        <v>N/A</v>
      </c>
      <c r="AQ301" s="146">
        <f t="shared" si="595"/>
        <v>0</v>
      </c>
      <c r="AR301" s="146">
        <f t="shared" si="602"/>
        <v>0</v>
      </c>
      <c r="AS301" s="146">
        <f t="shared" ca="1" si="603"/>
        <v>0</v>
      </c>
      <c r="AT301" s="146">
        <f t="shared" ca="1" si="604"/>
        <v>0</v>
      </c>
      <c r="AU301" s="146" t="str">
        <f t="shared" si="595"/>
        <v>N/A</v>
      </c>
      <c r="AV301" s="146">
        <f t="shared" si="595"/>
        <v>0</v>
      </c>
      <c r="AW301" s="146">
        <f t="shared" si="605"/>
        <v>0</v>
      </c>
      <c r="AX301" s="146">
        <f t="shared" ca="1" si="606"/>
        <v>0</v>
      </c>
      <c r="AY301" s="146">
        <f t="shared" ca="1" si="607"/>
        <v>0</v>
      </c>
      <c r="AZ301" s="147"/>
      <c r="BA301" s="144" t="s">
        <v>141</v>
      </c>
      <c r="BB301" s="144" t="s">
        <v>140</v>
      </c>
      <c r="BC301" s="144" t="s">
        <v>140</v>
      </c>
      <c r="BD301" s="144" t="s">
        <v>140</v>
      </c>
      <c r="BE301" s="146">
        <v>1.6</v>
      </c>
      <c r="BF301" s="148"/>
      <c r="BG301" s="146"/>
      <c r="BH301" s="117"/>
      <c r="BI301" s="117"/>
      <c r="BJ301" s="149"/>
      <c r="BK301" s="149"/>
      <c r="BL301" s="117">
        <v>0</v>
      </c>
      <c r="BM301" s="117">
        <v>0</v>
      </c>
      <c r="BN301" s="117">
        <v>0</v>
      </c>
      <c r="BO301" s="117">
        <v>0</v>
      </c>
      <c r="BP301" s="117">
        <v>0</v>
      </c>
      <c r="BQ301" s="117">
        <v>0</v>
      </c>
      <c r="BR301" s="117">
        <v>0</v>
      </c>
      <c r="BS301" s="117" t="s">
        <v>150</v>
      </c>
      <c r="BT301" s="167" t="s">
        <v>319</v>
      </c>
      <c r="BU301" s="141"/>
      <c r="BV301" s="141" t="s">
        <v>320</v>
      </c>
      <c r="BW301" s="141">
        <v>1</v>
      </c>
      <c r="BX301" s="153">
        <v>46202</v>
      </c>
      <c r="BY301" s="117"/>
      <c r="BZ301" s="117"/>
      <c r="CA301" s="117"/>
      <c r="CB301" s="117">
        <f>+L301-BW301</f>
        <v>0</v>
      </c>
    </row>
    <row r="302" spans="1:80" ht="16.5" hidden="1" customHeight="1">
      <c r="A302" s="117">
        <v>975</v>
      </c>
      <c r="B302" s="154" t="s">
        <v>731</v>
      </c>
      <c r="C302" s="154" t="s">
        <v>922</v>
      </c>
      <c r="D302" s="154" t="s">
        <v>13</v>
      </c>
      <c r="E302" s="154" t="s">
        <v>738</v>
      </c>
      <c r="F302" s="154" t="s">
        <v>739</v>
      </c>
      <c r="G302" s="154" t="s">
        <v>740</v>
      </c>
      <c r="H302" s="146">
        <v>461</v>
      </c>
      <c r="I302" s="147" t="s">
        <v>147</v>
      </c>
      <c r="J302" s="144">
        <v>2</v>
      </c>
      <c r="K302" s="145">
        <f t="shared" si="590"/>
        <v>1</v>
      </c>
      <c r="L302" s="144">
        <f t="shared" si="591"/>
        <v>2</v>
      </c>
      <c r="M302" s="146">
        <v>30.4</v>
      </c>
      <c r="N302" s="146">
        <f t="shared" si="592"/>
        <v>60.8</v>
      </c>
      <c r="O302" s="146" t="s">
        <v>137</v>
      </c>
      <c r="P302" s="146" t="s">
        <v>13</v>
      </c>
      <c r="Q302" s="146" t="s">
        <v>148</v>
      </c>
      <c r="R302" s="146"/>
      <c r="S302" s="146"/>
      <c r="T302" s="146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2</v>
      </c>
      <c r="U302" s="146">
        <f t="shared" ca="1" si="593"/>
        <v>0</v>
      </c>
      <c r="V302" s="146">
        <f t="shared" ca="1" si="594"/>
        <v>1</v>
      </c>
      <c r="W302" s="146"/>
      <c r="X302" s="146"/>
      <c r="Y302" s="146"/>
      <c r="Z302" s="146"/>
      <c r="AA302" s="146"/>
      <c r="AB302" s="146"/>
      <c r="AC302" s="146">
        <v>0.8</v>
      </c>
      <c r="AD302" s="117" t="s">
        <v>196</v>
      </c>
      <c r="AE302" s="148"/>
      <c r="AF302" s="146" t="str">
        <f t="shared" si="595"/>
        <v>AMC 2-S3</v>
      </c>
      <c r="AG302" s="146">
        <f t="shared" si="595"/>
        <v>1</v>
      </c>
      <c r="AH302" s="146">
        <f t="shared" si="596"/>
        <v>2</v>
      </c>
      <c r="AI302" s="146">
        <f t="shared" ca="1" si="597"/>
        <v>2</v>
      </c>
      <c r="AJ302" s="146">
        <f t="shared" ca="1" si="598"/>
        <v>0</v>
      </c>
      <c r="AK302" s="146" t="str">
        <f t="shared" si="595"/>
        <v>N/A</v>
      </c>
      <c r="AL302" s="146">
        <f t="shared" si="595"/>
        <v>0</v>
      </c>
      <c r="AM302" s="146">
        <f t="shared" si="599"/>
        <v>0</v>
      </c>
      <c r="AN302" s="146">
        <f t="shared" ca="1" si="600"/>
        <v>0</v>
      </c>
      <c r="AO302" s="146">
        <f t="shared" ca="1" si="601"/>
        <v>0</v>
      </c>
      <c r="AP302" s="146" t="str">
        <f t="shared" si="595"/>
        <v>N/A</v>
      </c>
      <c r="AQ302" s="146">
        <f t="shared" si="595"/>
        <v>0</v>
      </c>
      <c r="AR302" s="146">
        <f t="shared" si="602"/>
        <v>0</v>
      </c>
      <c r="AS302" s="146">
        <f t="shared" ca="1" si="603"/>
        <v>0</v>
      </c>
      <c r="AT302" s="146">
        <f t="shared" ca="1" si="604"/>
        <v>0</v>
      </c>
      <c r="AU302" s="146" t="str">
        <f t="shared" si="595"/>
        <v>N/A</v>
      </c>
      <c r="AV302" s="146">
        <f t="shared" si="595"/>
        <v>0</v>
      </c>
      <c r="AW302" s="146">
        <f t="shared" si="605"/>
        <v>0</v>
      </c>
      <c r="AX302" s="146">
        <f t="shared" ca="1" si="606"/>
        <v>0</v>
      </c>
      <c r="AY302" s="146">
        <f t="shared" ca="1" si="607"/>
        <v>0</v>
      </c>
      <c r="AZ302" s="147"/>
      <c r="BA302" s="144" t="s">
        <v>141</v>
      </c>
      <c r="BB302" s="144" t="s">
        <v>140</v>
      </c>
      <c r="BC302" s="144" t="s">
        <v>140</v>
      </c>
      <c r="BD302" s="144" t="s">
        <v>140</v>
      </c>
      <c r="BE302" s="146">
        <v>0.4</v>
      </c>
      <c r="BF302" s="148"/>
      <c r="BG302" s="146"/>
      <c r="BH302" s="117"/>
      <c r="BI302" s="117"/>
      <c r="BJ302" s="149"/>
      <c r="BK302" s="149"/>
      <c r="BL302" s="117">
        <v>0</v>
      </c>
      <c r="BM302" s="117">
        <v>0</v>
      </c>
      <c r="BN302" s="117">
        <v>0</v>
      </c>
      <c r="BO302" s="117">
        <v>0</v>
      </c>
      <c r="BP302" s="117">
        <v>0</v>
      </c>
      <c r="BQ302" s="117">
        <v>0</v>
      </c>
      <c r="BR302" s="117">
        <v>0</v>
      </c>
      <c r="BS302" s="117" t="s">
        <v>150</v>
      </c>
      <c r="BT302" s="167" t="s">
        <v>319</v>
      </c>
      <c r="BU302" s="141"/>
      <c r="BV302" s="141" t="s">
        <v>320</v>
      </c>
      <c r="BW302" s="141">
        <v>2</v>
      </c>
      <c r="BX302" s="153">
        <v>46202</v>
      </c>
      <c r="BY302" s="117"/>
      <c r="BZ302" s="117"/>
      <c r="CA302" s="117"/>
      <c r="CB302" s="117">
        <f>+L302-BW302</f>
        <v>0</v>
      </c>
    </row>
    <row r="303" spans="1:80" ht="16.5" hidden="1" customHeight="1">
      <c r="A303" s="133">
        <v>976</v>
      </c>
      <c r="B303" s="156" t="s">
        <v>731</v>
      </c>
      <c r="C303" s="156" t="s">
        <v>923</v>
      </c>
      <c r="D303" s="156"/>
      <c r="E303" s="156" t="s">
        <v>136</v>
      </c>
      <c r="F303" s="156"/>
      <c r="G303" s="156"/>
      <c r="H303" s="157"/>
      <c r="I303" s="159"/>
      <c r="J303" s="160" t="s">
        <v>136</v>
      </c>
      <c r="K303" s="138">
        <f>+AG303+AL303+AQ303+AV303</f>
        <v>2</v>
      </c>
      <c r="L303" s="160" t="s">
        <v>136</v>
      </c>
      <c r="M303" s="157"/>
      <c r="N303" s="157">
        <v>51.1</v>
      </c>
      <c r="O303" s="157" t="s">
        <v>137</v>
      </c>
      <c r="P303" s="157"/>
      <c r="Q303" s="157"/>
      <c r="R303" s="157"/>
      <c r="S303" s="157"/>
      <c r="T303" s="157"/>
      <c r="U303" s="157"/>
      <c r="V303" s="157"/>
      <c r="W303" s="135">
        <f ca="1">_xlfn.MINIFS(V:V,C:C,C303,AE:AE,"",AB:AB,"")</f>
        <v>2</v>
      </c>
      <c r="X303" s="135">
        <f ca="1">SUMIFS(T:T,C:C,C303,AE:AE,"")/SUMIFS(L:L,C:C,C303,AE:AE,"",AB:AB,"")</f>
        <v>1</v>
      </c>
      <c r="Y303" s="157"/>
      <c r="Z303" s="157"/>
      <c r="AA303" s="157"/>
      <c r="AB303" s="157"/>
      <c r="AC303" s="157">
        <v>0.7</v>
      </c>
      <c r="AD303" s="161" t="s">
        <v>196</v>
      </c>
      <c r="AE303" s="162" t="s">
        <v>143</v>
      </c>
      <c r="AF303" s="157" t="s">
        <v>139</v>
      </c>
      <c r="AG303" s="157">
        <v>2</v>
      </c>
      <c r="AH303" s="157"/>
      <c r="AI303" s="157"/>
      <c r="AJ303" s="157"/>
      <c r="AK303" s="157" t="s">
        <v>138</v>
      </c>
      <c r="AL303" s="157">
        <v>0</v>
      </c>
      <c r="AM303" s="157"/>
      <c r="AN303" s="157"/>
      <c r="AO303" s="157"/>
      <c r="AP303" s="157" t="s">
        <v>138</v>
      </c>
      <c r="AQ303" s="157">
        <v>0</v>
      </c>
      <c r="AR303" s="157"/>
      <c r="AS303" s="157"/>
      <c r="AT303" s="157"/>
      <c r="AU303" s="157" t="s">
        <v>138</v>
      </c>
      <c r="AV303" s="157">
        <v>0</v>
      </c>
      <c r="AW303" s="157"/>
      <c r="AX303" s="157"/>
      <c r="AY303" s="157"/>
      <c r="AZ303" s="136" t="s">
        <v>741</v>
      </c>
      <c r="BA303" s="137" t="s">
        <v>141</v>
      </c>
      <c r="BB303" s="137" t="s">
        <v>140</v>
      </c>
      <c r="BC303" s="137" t="s">
        <v>140</v>
      </c>
      <c r="BD303" s="137" t="s">
        <v>140</v>
      </c>
      <c r="BE303" s="157">
        <v>0.4</v>
      </c>
      <c r="BF303" s="162"/>
      <c r="BG303" s="157"/>
      <c r="BH303" s="161"/>
      <c r="BI303" s="161"/>
      <c r="BJ303" s="163"/>
      <c r="BK303" s="163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4"/>
      <c r="BV303" s="161"/>
      <c r="BW303" s="161"/>
      <c r="BX303" s="163"/>
      <c r="BY303" s="161"/>
      <c r="BZ303" s="161"/>
      <c r="CA303" s="161"/>
      <c r="CB303" s="161"/>
    </row>
    <row r="304" spans="1:80" ht="16.5" hidden="1" customHeight="1">
      <c r="A304" s="117">
        <v>977</v>
      </c>
      <c r="B304" s="154" t="s">
        <v>731</v>
      </c>
      <c r="C304" s="154" t="s">
        <v>923</v>
      </c>
      <c r="D304" s="154" t="s">
        <v>13</v>
      </c>
      <c r="E304" s="154" t="s">
        <v>742</v>
      </c>
      <c r="F304" s="154" t="s">
        <v>743</v>
      </c>
      <c r="G304" s="154" t="s">
        <v>744</v>
      </c>
      <c r="H304" s="146">
        <v>461</v>
      </c>
      <c r="I304" s="147" t="s">
        <v>147</v>
      </c>
      <c r="J304" s="144">
        <v>1</v>
      </c>
      <c r="K304" s="145">
        <f>K303</f>
        <v>2</v>
      </c>
      <c r="L304" s="144">
        <f>+K304*J304</f>
        <v>2</v>
      </c>
      <c r="M304" s="146">
        <v>25.5</v>
      </c>
      <c r="N304" s="146">
        <f>+M304*L304</f>
        <v>51</v>
      </c>
      <c r="O304" s="146" t="s">
        <v>137</v>
      </c>
      <c r="P304" s="146" t="s">
        <v>13</v>
      </c>
      <c r="Q304" s="146" t="s">
        <v>148</v>
      </c>
      <c r="R304" s="146"/>
      <c r="S304" s="146"/>
      <c r="T304" s="146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2</v>
      </c>
      <c r="U304" s="146">
        <f ca="1">+L304-T304</f>
        <v>0</v>
      </c>
      <c r="V304" s="146">
        <f ca="1">ROUNDDOWN(T304/J304,0)</f>
        <v>2</v>
      </c>
      <c r="W304" s="146"/>
      <c r="X304" s="146"/>
      <c r="Y304" s="146"/>
      <c r="Z304" s="146"/>
      <c r="AA304" s="146"/>
      <c r="AB304" s="146"/>
      <c r="AC304" s="146">
        <v>0.4</v>
      </c>
      <c r="AD304" s="117" t="s">
        <v>196</v>
      </c>
      <c r="AE304" s="148"/>
      <c r="AF304" s="146" t="str">
        <f t="shared" ref="AF304:AV304" si="608">AF303</f>
        <v>AMC 2-S3</v>
      </c>
      <c r="AG304" s="146">
        <f t="shared" si="608"/>
        <v>2</v>
      </c>
      <c r="AH304" s="146">
        <f>+AG304*J304</f>
        <v>2</v>
      </c>
      <c r="AI304" s="146">
        <f ca="1">MIN(T304,AH304)</f>
        <v>2</v>
      </c>
      <c r="AJ304" s="146">
        <f ca="1">+AH304-AI304</f>
        <v>0</v>
      </c>
      <c r="AK304" s="146" t="str">
        <f t="shared" si="608"/>
        <v>N/A</v>
      </c>
      <c r="AL304" s="146">
        <f t="shared" si="608"/>
        <v>0</v>
      </c>
      <c r="AM304" s="146">
        <f>+AL304*J304</f>
        <v>0</v>
      </c>
      <c r="AN304" s="146">
        <f ca="1">MIN(T304-AI304,AL304)</f>
        <v>0</v>
      </c>
      <c r="AO304" s="146">
        <f ca="1">+AM304-AN304</f>
        <v>0</v>
      </c>
      <c r="AP304" s="146" t="str">
        <f t="shared" si="608"/>
        <v>N/A</v>
      </c>
      <c r="AQ304" s="146">
        <f t="shared" si="608"/>
        <v>0</v>
      </c>
      <c r="AR304" s="146">
        <f>+AQ304*J304</f>
        <v>0</v>
      </c>
      <c r="AS304" s="146">
        <f ca="1">MIN(T304-AI304-AN304,AR304)</f>
        <v>0</v>
      </c>
      <c r="AT304" s="146">
        <f ca="1">+AR304-AS304</f>
        <v>0</v>
      </c>
      <c r="AU304" s="146" t="str">
        <f t="shared" si="608"/>
        <v>N/A</v>
      </c>
      <c r="AV304" s="146">
        <f t="shared" si="608"/>
        <v>0</v>
      </c>
      <c r="AW304" s="146">
        <f>+AV304*J304</f>
        <v>0</v>
      </c>
      <c r="AX304" s="146">
        <f ca="1">MIN(T304-AI304-AN304-AS304,AW304)</f>
        <v>0</v>
      </c>
      <c r="AY304" s="146">
        <f ca="1">+AW304-AX304</f>
        <v>0</v>
      </c>
      <c r="AZ304" s="147"/>
      <c r="BA304" s="144" t="s">
        <v>141</v>
      </c>
      <c r="BB304" s="144" t="s">
        <v>140</v>
      </c>
      <c r="BC304" s="144" t="s">
        <v>140</v>
      </c>
      <c r="BD304" s="144" t="s">
        <v>140</v>
      </c>
      <c r="BE304" s="146">
        <v>0.4</v>
      </c>
      <c r="BF304" s="148"/>
      <c r="BG304" s="146"/>
      <c r="BH304" s="117"/>
      <c r="BI304" s="117"/>
      <c r="BJ304" s="149"/>
      <c r="BK304" s="149"/>
      <c r="BL304" s="117">
        <v>0</v>
      </c>
      <c r="BM304" s="117">
        <v>0</v>
      </c>
      <c r="BN304" s="117">
        <v>0</v>
      </c>
      <c r="BO304" s="117">
        <v>1</v>
      </c>
      <c r="BP304" s="117">
        <v>0</v>
      </c>
      <c r="BQ304" s="117">
        <v>0</v>
      </c>
      <c r="BR304" s="117">
        <v>0</v>
      </c>
      <c r="BS304" s="117" t="s">
        <v>150</v>
      </c>
      <c r="BT304" s="167" t="s">
        <v>319</v>
      </c>
      <c r="BU304" s="141"/>
      <c r="BV304" s="141" t="s">
        <v>320</v>
      </c>
      <c r="BW304" s="141">
        <v>2</v>
      </c>
      <c r="BX304" s="153">
        <v>46202</v>
      </c>
      <c r="BY304" s="117"/>
      <c r="BZ304" s="117"/>
      <c r="CA304" s="117"/>
      <c r="CB304" s="117">
        <f>+L304-BW304</f>
        <v>0</v>
      </c>
    </row>
    <row r="305" spans="1:80" ht="16.5" hidden="1" customHeight="1">
      <c r="A305" s="133">
        <v>978</v>
      </c>
      <c r="B305" s="156" t="s">
        <v>731</v>
      </c>
      <c r="C305" s="156" t="s">
        <v>924</v>
      </c>
      <c r="D305" s="156"/>
      <c r="E305" s="156" t="s">
        <v>136</v>
      </c>
      <c r="F305" s="156"/>
      <c r="G305" s="156"/>
      <c r="H305" s="157"/>
      <c r="I305" s="159"/>
      <c r="J305" s="160" t="s">
        <v>136</v>
      </c>
      <c r="K305" s="138">
        <f>+AG305+AL305+AQ305+AV305</f>
        <v>2</v>
      </c>
      <c r="L305" s="160" t="s">
        <v>136</v>
      </c>
      <c r="M305" s="157"/>
      <c r="N305" s="157">
        <v>190.1</v>
      </c>
      <c r="O305" s="157" t="s">
        <v>137</v>
      </c>
      <c r="P305" s="157"/>
      <c r="Q305" s="157"/>
      <c r="R305" s="157"/>
      <c r="S305" s="157"/>
      <c r="T305" s="157"/>
      <c r="U305" s="157"/>
      <c r="V305" s="157"/>
      <c r="W305" s="135">
        <f ca="1">_xlfn.MINIFS(V:V,C:C,C305,AE:AE,"",AB:AB,"")</f>
        <v>2</v>
      </c>
      <c r="X305" s="135">
        <f ca="1">SUMIFS(T:T,C:C,C305,AE:AE,"")/SUMIFS(L:L,C:C,C305,AE:AE,"",AB:AB,"")</f>
        <v>1</v>
      </c>
      <c r="Y305" s="157"/>
      <c r="Z305" s="157"/>
      <c r="AA305" s="157"/>
      <c r="AB305" s="157"/>
      <c r="AC305" s="157">
        <v>2.5</v>
      </c>
      <c r="AD305" s="161" t="s">
        <v>196</v>
      </c>
      <c r="AE305" s="162" t="s">
        <v>143</v>
      </c>
      <c r="AF305" s="157" t="s">
        <v>139</v>
      </c>
      <c r="AG305" s="157">
        <v>2</v>
      </c>
      <c r="AH305" s="157"/>
      <c r="AI305" s="157"/>
      <c r="AJ305" s="157"/>
      <c r="AK305" s="157" t="s">
        <v>138</v>
      </c>
      <c r="AL305" s="157">
        <v>0</v>
      </c>
      <c r="AM305" s="157"/>
      <c r="AN305" s="157"/>
      <c r="AO305" s="157"/>
      <c r="AP305" s="157" t="s">
        <v>138</v>
      </c>
      <c r="AQ305" s="157">
        <v>0</v>
      </c>
      <c r="AR305" s="157"/>
      <c r="AS305" s="157"/>
      <c r="AT305" s="157"/>
      <c r="AU305" s="157" t="s">
        <v>138</v>
      </c>
      <c r="AV305" s="157">
        <v>0</v>
      </c>
      <c r="AW305" s="157"/>
      <c r="AX305" s="157"/>
      <c r="AY305" s="157"/>
      <c r="AZ305" s="136" t="s">
        <v>741</v>
      </c>
      <c r="BA305" s="137" t="s">
        <v>141</v>
      </c>
      <c r="BB305" s="137" t="s">
        <v>140</v>
      </c>
      <c r="BC305" s="137" t="s">
        <v>140</v>
      </c>
      <c r="BD305" s="137" t="s">
        <v>140</v>
      </c>
      <c r="BE305" s="157">
        <v>1.3</v>
      </c>
      <c r="BF305" s="162"/>
      <c r="BG305" s="157"/>
      <c r="BH305" s="161"/>
      <c r="BI305" s="161"/>
      <c r="BJ305" s="163"/>
      <c r="BK305" s="163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4"/>
      <c r="BV305" s="161"/>
      <c r="BW305" s="161"/>
      <c r="BX305" s="163"/>
      <c r="BY305" s="161"/>
      <c r="BZ305" s="161"/>
      <c r="CA305" s="161"/>
      <c r="CB305" s="161"/>
    </row>
    <row r="306" spans="1:80" ht="16.5" hidden="1" customHeight="1">
      <c r="A306" s="117">
        <v>979</v>
      </c>
      <c r="B306" s="154" t="s">
        <v>731</v>
      </c>
      <c r="C306" s="154" t="s">
        <v>924</v>
      </c>
      <c r="D306" s="154" t="s">
        <v>13</v>
      </c>
      <c r="E306" s="154" t="s">
        <v>745</v>
      </c>
      <c r="F306" s="154" t="s">
        <v>746</v>
      </c>
      <c r="G306" s="154" t="s">
        <v>747</v>
      </c>
      <c r="H306" s="146">
        <v>970</v>
      </c>
      <c r="I306" s="147" t="s">
        <v>147</v>
      </c>
      <c r="J306" s="144">
        <v>1</v>
      </c>
      <c r="K306" s="145">
        <f>K305</f>
        <v>2</v>
      </c>
      <c r="L306" s="144">
        <f>+K306*J306</f>
        <v>2</v>
      </c>
      <c r="M306" s="146">
        <v>95</v>
      </c>
      <c r="N306" s="146">
        <f>+M306*L306</f>
        <v>190</v>
      </c>
      <c r="O306" s="146" t="s">
        <v>137</v>
      </c>
      <c r="P306" s="146" t="s">
        <v>13</v>
      </c>
      <c r="Q306" s="146" t="s">
        <v>148</v>
      </c>
      <c r="R306" s="146"/>
      <c r="S306" s="146"/>
      <c r="T306" s="146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2</v>
      </c>
      <c r="U306" s="146">
        <f ca="1">+L306-T306</f>
        <v>0</v>
      </c>
      <c r="V306" s="146">
        <f ca="1">ROUNDDOWN(T306/J306,0)</f>
        <v>2</v>
      </c>
      <c r="W306" s="146"/>
      <c r="X306" s="146"/>
      <c r="Y306" s="146"/>
      <c r="Z306" s="146"/>
      <c r="AA306" s="146"/>
      <c r="AB306" s="146"/>
      <c r="AC306" s="146">
        <v>1.3</v>
      </c>
      <c r="AD306" s="117" t="s">
        <v>196</v>
      </c>
      <c r="AE306" s="148"/>
      <c r="AF306" s="146" t="str">
        <f t="shared" ref="AF306:AV306" si="609">AF305</f>
        <v>AMC 2-S3</v>
      </c>
      <c r="AG306" s="146">
        <f t="shared" si="609"/>
        <v>2</v>
      </c>
      <c r="AH306" s="146">
        <f>+AG306*J306</f>
        <v>2</v>
      </c>
      <c r="AI306" s="146">
        <f ca="1">MIN(T306,AH306)</f>
        <v>2</v>
      </c>
      <c r="AJ306" s="146">
        <f ca="1">+AH306-AI306</f>
        <v>0</v>
      </c>
      <c r="AK306" s="146" t="str">
        <f t="shared" si="609"/>
        <v>N/A</v>
      </c>
      <c r="AL306" s="146">
        <f t="shared" si="609"/>
        <v>0</v>
      </c>
      <c r="AM306" s="146">
        <f>+AL306*J306</f>
        <v>0</v>
      </c>
      <c r="AN306" s="146">
        <f ca="1">MIN(T306-AI306,AL306)</f>
        <v>0</v>
      </c>
      <c r="AO306" s="146">
        <f ca="1">+AM306-AN306</f>
        <v>0</v>
      </c>
      <c r="AP306" s="146" t="str">
        <f t="shared" si="609"/>
        <v>N/A</v>
      </c>
      <c r="AQ306" s="146">
        <f t="shared" si="609"/>
        <v>0</v>
      </c>
      <c r="AR306" s="146">
        <f>+AQ306*J306</f>
        <v>0</v>
      </c>
      <c r="AS306" s="146">
        <f ca="1">MIN(T306-AI306-AN306,AR306)</f>
        <v>0</v>
      </c>
      <c r="AT306" s="146">
        <f ca="1">+AR306-AS306</f>
        <v>0</v>
      </c>
      <c r="AU306" s="146" t="str">
        <f t="shared" si="609"/>
        <v>N/A</v>
      </c>
      <c r="AV306" s="146">
        <f t="shared" si="609"/>
        <v>0</v>
      </c>
      <c r="AW306" s="146">
        <f>+AV306*J306</f>
        <v>0</v>
      </c>
      <c r="AX306" s="146">
        <f ca="1">MIN(T306-AI306-AN306-AS306,AW306)</f>
        <v>0</v>
      </c>
      <c r="AY306" s="146">
        <f ca="1">+AW306-AX306</f>
        <v>0</v>
      </c>
      <c r="AZ306" s="147"/>
      <c r="BA306" s="144" t="s">
        <v>141</v>
      </c>
      <c r="BB306" s="144" t="s">
        <v>140</v>
      </c>
      <c r="BC306" s="144" t="s">
        <v>140</v>
      </c>
      <c r="BD306" s="144" t="s">
        <v>140</v>
      </c>
      <c r="BE306" s="146">
        <v>1.3</v>
      </c>
      <c r="BF306" s="148"/>
      <c r="BG306" s="146"/>
      <c r="BH306" s="117"/>
      <c r="BI306" s="117"/>
      <c r="BJ306" s="149"/>
      <c r="BK306" s="149"/>
      <c r="BL306" s="117">
        <v>0</v>
      </c>
      <c r="BM306" s="117">
        <v>0</v>
      </c>
      <c r="BN306" s="117">
        <v>0</v>
      </c>
      <c r="BO306" s="117">
        <v>0</v>
      </c>
      <c r="BP306" s="117">
        <v>0</v>
      </c>
      <c r="BQ306" s="117">
        <v>0</v>
      </c>
      <c r="BR306" s="117">
        <v>0</v>
      </c>
      <c r="BS306" s="117" t="s">
        <v>150</v>
      </c>
      <c r="BT306" s="167" t="s">
        <v>319</v>
      </c>
      <c r="BU306" s="141"/>
      <c r="BV306" s="141" t="s">
        <v>320</v>
      </c>
      <c r="BW306" s="141">
        <v>2</v>
      </c>
      <c r="BX306" s="153">
        <v>46202</v>
      </c>
      <c r="BY306" s="117"/>
      <c r="BZ306" s="117"/>
      <c r="CA306" s="117"/>
      <c r="CB306" s="117">
        <f>+L306-BW306</f>
        <v>0</v>
      </c>
    </row>
    <row r="307" spans="1:80" ht="16.5" hidden="1" customHeight="1">
      <c r="A307" s="133">
        <v>980</v>
      </c>
      <c r="B307" s="156" t="s">
        <v>731</v>
      </c>
      <c r="C307" s="156" t="s">
        <v>925</v>
      </c>
      <c r="D307" s="156"/>
      <c r="E307" s="156" t="s">
        <v>136</v>
      </c>
      <c r="F307" s="156"/>
      <c r="G307" s="156"/>
      <c r="H307" s="157"/>
      <c r="I307" s="159"/>
      <c r="J307" s="160" t="s">
        <v>136</v>
      </c>
      <c r="K307" s="138">
        <f>+AG307+AL307+AQ307+AV307</f>
        <v>2</v>
      </c>
      <c r="L307" s="160" t="s">
        <v>136</v>
      </c>
      <c r="M307" s="157"/>
      <c r="N307" s="157">
        <v>61.5</v>
      </c>
      <c r="O307" s="157" t="s">
        <v>137</v>
      </c>
      <c r="P307" s="157"/>
      <c r="Q307" s="157"/>
      <c r="R307" s="157"/>
      <c r="S307" s="157"/>
      <c r="T307" s="157"/>
      <c r="U307" s="157"/>
      <c r="V307" s="157"/>
      <c r="W307" s="135">
        <f ca="1">_xlfn.MINIFS(V:V,C:C,C307,AE:AE,"",AB:AB,"")</f>
        <v>2</v>
      </c>
      <c r="X307" s="135">
        <f ca="1">SUMIFS(T:T,C:C,C307,AE:AE,"")/SUMIFS(L:L,C:C,C307,AE:AE,"",AB:AB,"")</f>
        <v>1</v>
      </c>
      <c r="Y307" s="157"/>
      <c r="Z307" s="157"/>
      <c r="AA307" s="157"/>
      <c r="AB307" s="157"/>
      <c r="AC307" s="157">
        <v>0.9</v>
      </c>
      <c r="AD307" s="161" t="s">
        <v>196</v>
      </c>
      <c r="AE307" s="162" t="s">
        <v>143</v>
      </c>
      <c r="AF307" s="157" t="s">
        <v>139</v>
      </c>
      <c r="AG307" s="157">
        <v>2</v>
      </c>
      <c r="AH307" s="157"/>
      <c r="AI307" s="157"/>
      <c r="AJ307" s="157"/>
      <c r="AK307" s="157" t="s">
        <v>138</v>
      </c>
      <c r="AL307" s="157">
        <v>0</v>
      </c>
      <c r="AM307" s="157"/>
      <c r="AN307" s="157"/>
      <c r="AO307" s="157"/>
      <c r="AP307" s="157" t="s">
        <v>138</v>
      </c>
      <c r="AQ307" s="157">
        <v>0</v>
      </c>
      <c r="AR307" s="157"/>
      <c r="AS307" s="157"/>
      <c r="AT307" s="157"/>
      <c r="AU307" s="157" t="s">
        <v>138</v>
      </c>
      <c r="AV307" s="157">
        <v>0</v>
      </c>
      <c r="AW307" s="157"/>
      <c r="AX307" s="157"/>
      <c r="AY307" s="157"/>
      <c r="AZ307" s="136" t="s">
        <v>741</v>
      </c>
      <c r="BA307" s="137" t="s">
        <v>141</v>
      </c>
      <c r="BB307" s="137" t="s">
        <v>140</v>
      </c>
      <c r="BC307" s="137" t="s">
        <v>140</v>
      </c>
      <c r="BD307" s="137" t="s">
        <v>140</v>
      </c>
      <c r="BE307" s="157">
        <v>0.4</v>
      </c>
      <c r="BF307" s="162"/>
      <c r="BG307" s="157"/>
      <c r="BH307" s="161"/>
      <c r="BI307" s="161"/>
      <c r="BJ307" s="163"/>
      <c r="BK307" s="163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4"/>
      <c r="BV307" s="161"/>
      <c r="BW307" s="161"/>
      <c r="BX307" s="163"/>
      <c r="BY307" s="161"/>
      <c r="BZ307" s="161"/>
      <c r="CA307" s="161"/>
      <c r="CB307" s="161"/>
    </row>
    <row r="308" spans="1:80" ht="16.5" hidden="1" customHeight="1">
      <c r="A308" s="117">
        <v>981</v>
      </c>
      <c r="B308" s="154" t="s">
        <v>731</v>
      </c>
      <c r="C308" s="154" t="s">
        <v>925</v>
      </c>
      <c r="D308" s="154" t="s">
        <v>13</v>
      </c>
      <c r="E308" s="154" t="s">
        <v>748</v>
      </c>
      <c r="F308" s="154" t="s">
        <v>749</v>
      </c>
      <c r="G308" s="154" t="s">
        <v>750</v>
      </c>
      <c r="H308" s="146">
        <v>624</v>
      </c>
      <c r="I308" s="147" t="s">
        <v>147</v>
      </c>
      <c r="J308" s="144">
        <v>1</v>
      </c>
      <c r="K308" s="145">
        <f>K307</f>
        <v>2</v>
      </c>
      <c r="L308" s="144">
        <f>+K308*J308</f>
        <v>2</v>
      </c>
      <c r="M308" s="146">
        <v>30.7</v>
      </c>
      <c r="N308" s="146">
        <f>+M308*L308</f>
        <v>61.4</v>
      </c>
      <c r="O308" s="146" t="s">
        <v>137</v>
      </c>
      <c r="P308" s="146" t="s">
        <v>13</v>
      </c>
      <c r="Q308" s="146" t="s">
        <v>148</v>
      </c>
      <c r="R308" s="146"/>
      <c r="S308" s="146"/>
      <c r="T308" s="146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2</v>
      </c>
      <c r="U308" s="146">
        <f ca="1">+L308-T308</f>
        <v>0</v>
      </c>
      <c r="V308" s="146">
        <f ca="1">ROUNDDOWN(T308/J308,0)</f>
        <v>2</v>
      </c>
      <c r="W308" s="146"/>
      <c r="X308" s="146"/>
      <c r="Y308" s="146"/>
      <c r="Z308" s="146"/>
      <c r="AA308" s="146"/>
      <c r="AB308" s="146"/>
      <c r="AC308" s="146">
        <v>0.4</v>
      </c>
      <c r="AD308" s="117" t="s">
        <v>196</v>
      </c>
      <c r="AE308" s="148"/>
      <c r="AF308" s="146" t="str">
        <f t="shared" ref="AF308:AV308" si="610">AF307</f>
        <v>AMC 2-S3</v>
      </c>
      <c r="AG308" s="146">
        <f t="shared" si="610"/>
        <v>2</v>
      </c>
      <c r="AH308" s="146">
        <f>+AG308*J308</f>
        <v>2</v>
      </c>
      <c r="AI308" s="146">
        <f ca="1">MIN(T308,AH308)</f>
        <v>2</v>
      </c>
      <c r="AJ308" s="146">
        <f ca="1">+AH308-AI308</f>
        <v>0</v>
      </c>
      <c r="AK308" s="146" t="str">
        <f t="shared" si="610"/>
        <v>N/A</v>
      </c>
      <c r="AL308" s="146">
        <f t="shared" si="610"/>
        <v>0</v>
      </c>
      <c r="AM308" s="146">
        <f>+AL308*J308</f>
        <v>0</v>
      </c>
      <c r="AN308" s="146">
        <f ca="1">MIN(T308-AI308,AL308)</f>
        <v>0</v>
      </c>
      <c r="AO308" s="146">
        <f ca="1">+AM308-AN308</f>
        <v>0</v>
      </c>
      <c r="AP308" s="146" t="str">
        <f t="shared" si="610"/>
        <v>N/A</v>
      </c>
      <c r="AQ308" s="146">
        <f t="shared" si="610"/>
        <v>0</v>
      </c>
      <c r="AR308" s="146">
        <f>+AQ308*J308</f>
        <v>0</v>
      </c>
      <c r="AS308" s="146">
        <f ca="1">MIN(T308-AI308-AN308,AR308)</f>
        <v>0</v>
      </c>
      <c r="AT308" s="146">
        <f ca="1">+AR308-AS308</f>
        <v>0</v>
      </c>
      <c r="AU308" s="146" t="str">
        <f t="shared" si="610"/>
        <v>N/A</v>
      </c>
      <c r="AV308" s="146">
        <f t="shared" si="610"/>
        <v>0</v>
      </c>
      <c r="AW308" s="146">
        <f>+AV308*J308</f>
        <v>0</v>
      </c>
      <c r="AX308" s="146">
        <f ca="1">MIN(T308-AI308-AN308-AS308,AW308)</f>
        <v>0</v>
      </c>
      <c r="AY308" s="146">
        <f ca="1">+AW308-AX308</f>
        <v>0</v>
      </c>
      <c r="AZ308" s="147"/>
      <c r="BA308" s="144" t="s">
        <v>141</v>
      </c>
      <c r="BB308" s="144" t="s">
        <v>140</v>
      </c>
      <c r="BC308" s="144" t="s">
        <v>140</v>
      </c>
      <c r="BD308" s="144" t="s">
        <v>140</v>
      </c>
      <c r="BE308" s="146">
        <v>0.4</v>
      </c>
      <c r="BF308" s="148"/>
      <c r="BG308" s="146"/>
      <c r="BH308" s="117"/>
      <c r="BI308" s="117"/>
      <c r="BJ308" s="149"/>
      <c r="BK308" s="149"/>
      <c r="BL308" s="117">
        <v>0</v>
      </c>
      <c r="BM308" s="117">
        <v>0</v>
      </c>
      <c r="BN308" s="117">
        <v>0</v>
      </c>
      <c r="BO308" s="117">
        <v>1</v>
      </c>
      <c r="BP308" s="117">
        <v>0</v>
      </c>
      <c r="BQ308" s="117">
        <v>0</v>
      </c>
      <c r="BR308" s="117">
        <v>0</v>
      </c>
      <c r="BS308" s="117" t="s">
        <v>150</v>
      </c>
      <c r="BT308" s="167" t="s">
        <v>319</v>
      </c>
      <c r="BU308" s="141"/>
      <c r="BV308" s="141" t="s">
        <v>320</v>
      </c>
      <c r="BW308" s="141">
        <v>2</v>
      </c>
      <c r="BX308" s="153">
        <v>46202</v>
      </c>
      <c r="BY308" s="117"/>
      <c r="BZ308" s="117"/>
      <c r="CA308" s="117"/>
      <c r="CB308" s="117">
        <f>+L308-BW308</f>
        <v>0</v>
      </c>
    </row>
    <row r="309" spans="1:80" ht="16.5" hidden="1" customHeight="1">
      <c r="A309" s="133">
        <v>982</v>
      </c>
      <c r="B309" s="156" t="s">
        <v>731</v>
      </c>
      <c r="C309" s="156" t="s">
        <v>926</v>
      </c>
      <c r="D309" s="156"/>
      <c r="E309" s="156" t="s">
        <v>136</v>
      </c>
      <c r="F309" s="156"/>
      <c r="G309" s="156"/>
      <c r="H309" s="157"/>
      <c r="I309" s="159"/>
      <c r="J309" s="160" t="s">
        <v>136</v>
      </c>
      <c r="K309" s="138">
        <f>+AG309+AL309+AQ309+AV309</f>
        <v>1</v>
      </c>
      <c r="L309" s="160" t="s">
        <v>136</v>
      </c>
      <c r="M309" s="157"/>
      <c r="N309" s="157">
        <v>68.3</v>
      </c>
      <c r="O309" s="157" t="s">
        <v>137</v>
      </c>
      <c r="P309" s="157"/>
      <c r="Q309" s="157"/>
      <c r="R309" s="157"/>
      <c r="S309" s="157"/>
      <c r="T309" s="157"/>
      <c r="U309" s="157"/>
      <c r="V309" s="157"/>
      <c r="W309" s="135">
        <f ca="1">_xlfn.MINIFS(V:V,C:C,C309,AE:AE,"",AB:AB,"")</f>
        <v>0</v>
      </c>
      <c r="X309" s="135">
        <f ca="1">SUMIFS(T:T,C:C,C309,AE:AE,"")/SUMIFS(L:L,C:C,C309,AE:AE,"",AB:AB,"")</f>
        <v>0</v>
      </c>
      <c r="Y309" s="157"/>
      <c r="Z309" s="157"/>
      <c r="AA309" s="157"/>
      <c r="AB309" s="157"/>
      <c r="AC309" s="157">
        <v>0.9</v>
      </c>
      <c r="AD309" s="161" t="s">
        <v>142</v>
      </c>
      <c r="AE309" s="162" t="s">
        <v>143</v>
      </c>
      <c r="AF309" s="157" t="s">
        <v>138</v>
      </c>
      <c r="AG309" s="157">
        <v>0</v>
      </c>
      <c r="AH309" s="157"/>
      <c r="AI309" s="157"/>
      <c r="AJ309" s="157"/>
      <c r="AK309" s="157" t="s">
        <v>138</v>
      </c>
      <c r="AL309" s="157">
        <v>0</v>
      </c>
      <c r="AM309" s="157"/>
      <c r="AN309" s="157"/>
      <c r="AO309" s="157"/>
      <c r="AP309" s="157" t="s">
        <v>139</v>
      </c>
      <c r="AQ309" s="157">
        <v>1</v>
      </c>
      <c r="AR309" s="157"/>
      <c r="AS309" s="157"/>
      <c r="AT309" s="157"/>
      <c r="AU309" s="157" t="s">
        <v>138</v>
      </c>
      <c r="AV309" s="157">
        <v>0</v>
      </c>
      <c r="AW309" s="157"/>
      <c r="AX309" s="157"/>
      <c r="AY309" s="157"/>
      <c r="AZ309" s="136"/>
      <c r="BA309" s="137" t="s">
        <v>140</v>
      </c>
      <c r="BB309" s="137" t="s">
        <v>140</v>
      </c>
      <c r="BC309" s="137" t="s">
        <v>141</v>
      </c>
      <c r="BD309" s="137" t="s">
        <v>140</v>
      </c>
      <c r="BE309" s="157">
        <v>0.9</v>
      </c>
      <c r="BF309" s="162"/>
      <c r="BG309" s="157"/>
      <c r="BH309" s="161"/>
      <c r="BI309" s="161"/>
      <c r="BJ309" s="163"/>
      <c r="BK309" s="163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4"/>
      <c r="BV309" s="161"/>
      <c r="BW309" s="161"/>
      <c r="BX309" s="163"/>
      <c r="BY309" s="161"/>
      <c r="BZ309" s="161"/>
      <c r="CA309" s="161"/>
      <c r="CB309" s="161"/>
    </row>
    <row r="310" spans="1:80" ht="16.5" hidden="1" customHeight="1">
      <c r="A310" s="117">
        <v>983</v>
      </c>
      <c r="B310" s="154" t="s">
        <v>731</v>
      </c>
      <c r="C310" s="154" t="s">
        <v>926</v>
      </c>
      <c r="D310" s="154" t="s">
        <v>13</v>
      </c>
      <c r="E310" s="154" t="s">
        <v>751</v>
      </c>
      <c r="F310" s="154" t="s">
        <v>752</v>
      </c>
      <c r="G310" s="154" t="s">
        <v>753</v>
      </c>
      <c r="H310" s="146">
        <v>420</v>
      </c>
      <c r="I310" s="147" t="s">
        <v>147</v>
      </c>
      <c r="J310" s="144">
        <v>1</v>
      </c>
      <c r="K310" s="145">
        <f t="shared" ref="K310:K311" si="611">K309</f>
        <v>1</v>
      </c>
      <c r="L310" s="144">
        <f t="shared" ref="L310:L311" si="612">+K310*J310</f>
        <v>1</v>
      </c>
      <c r="M310" s="146">
        <v>26.8</v>
      </c>
      <c r="N310" s="146">
        <f t="shared" ref="N310:N311" si="613">+M310*L310</f>
        <v>26.8</v>
      </c>
      <c r="O310" s="146" t="s">
        <v>137</v>
      </c>
      <c r="P310" s="146" t="s">
        <v>13</v>
      </c>
      <c r="Q310" s="146" t="s">
        <v>148</v>
      </c>
      <c r="R310" s="146"/>
      <c r="S310" s="146"/>
      <c r="T310" s="146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0</v>
      </c>
      <c r="U310" s="146">
        <f t="shared" ref="U310:U311" ca="1" si="614">+L310-T310</f>
        <v>1</v>
      </c>
      <c r="V310" s="146">
        <f t="shared" ref="V310:V311" ca="1" si="615">ROUNDDOWN(T310/J310,0)</f>
        <v>0</v>
      </c>
      <c r="W310" s="146"/>
      <c r="X310" s="146"/>
      <c r="Y310" s="146"/>
      <c r="Z310" s="146"/>
      <c r="AA310" s="146"/>
      <c r="AB310" s="146"/>
      <c r="AC310" s="146">
        <v>0.4</v>
      </c>
      <c r="AD310" s="117" t="s">
        <v>142</v>
      </c>
      <c r="AE310" s="148"/>
      <c r="AF310" s="146" t="str">
        <f t="shared" ref="AF310:AV311" si="616">AF309</f>
        <v>N/A</v>
      </c>
      <c r="AG310" s="146">
        <f t="shared" si="616"/>
        <v>0</v>
      </c>
      <c r="AH310" s="146">
        <f t="shared" ref="AH310:AH311" si="617">+AG310*J310</f>
        <v>0</v>
      </c>
      <c r="AI310" s="146">
        <f t="shared" ref="AI310:AI311" ca="1" si="618">MIN(T310,AH310)</f>
        <v>0</v>
      </c>
      <c r="AJ310" s="146">
        <f t="shared" ref="AJ310:AJ311" ca="1" si="619">+AH310-AI310</f>
        <v>0</v>
      </c>
      <c r="AK310" s="146" t="str">
        <f t="shared" si="616"/>
        <v>N/A</v>
      </c>
      <c r="AL310" s="146">
        <f t="shared" si="616"/>
        <v>0</v>
      </c>
      <c r="AM310" s="146">
        <f t="shared" ref="AM310:AM311" si="620">+AL310*J310</f>
        <v>0</v>
      </c>
      <c r="AN310" s="146">
        <f t="shared" ref="AN310:AN311" ca="1" si="621">MIN(T310-AI310,AL310)</f>
        <v>0</v>
      </c>
      <c r="AO310" s="146">
        <f t="shared" ref="AO310:AO311" ca="1" si="622">+AM310-AN310</f>
        <v>0</v>
      </c>
      <c r="AP310" s="146" t="str">
        <f t="shared" si="616"/>
        <v>AMC 2-S3</v>
      </c>
      <c r="AQ310" s="146">
        <f t="shared" si="616"/>
        <v>1</v>
      </c>
      <c r="AR310" s="146">
        <f t="shared" ref="AR310:AR311" si="623">+AQ310*J310</f>
        <v>1</v>
      </c>
      <c r="AS310" s="146">
        <f t="shared" ref="AS310:AS311" ca="1" si="624">MIN(T310-AI310-AN310,AR310)</f>
        <v>0</v>
      </c>
      <c r="AT310" s="146">
        <f t="shared" ref="AT310:AT311" ca="1" si="625">+AR310-AS310</f>
        <v>1</v>
      </c>
      <c r="AU310" s="146" t="str">
        <f t="shared" si="616"/>
        <v>N/A</v>
      </c>
      <c r="AV310" s="146">
        <f t="shared" si="616"/>
        <v>0</v>
      </c>
      <c r="AW310" s="146">
        <f t="shared" ref="AW310:AW311" si="626">+AV310*J310</f>
        <v>0</v>
      </c>
      <c r="AX310" s="146">
        <f t="shared" ref="AX310:AX311" ca="1" si="627">MIN(T310-AI310-AN310-AS310,AW310)</f>
        <v>0</v>
      </c>
      <c r="AY310" s="146">
        <f t="shared" ref="AY310:AY311" ca="1" si="628">+AW310-AX310</f>
        <v>0</v>
      </c>
      <c r="AZ310" s="147"/>
      <c r="BA310" s="144" t="s">
        <v>140</v>
      </c>
      <c r="BB310" s="144" t="s">
        <v>140</v>
      </c>
      <c r="BC310" s="144" t="s">
        <v>141</v>
      </c>
      <c r="BD310" s="144" t="s">
        <v>140</v>
      </c>
      <c r="BE310" s="146">
        <v>0.4</v>
      </c>
      <c r="BF310" s="148"/>
      <c r="BG310" s="146"/>
      <c r="BH310" s="117"/>
      <c r="BI310" s="117"/>
      <c r="BJ310" s="149"/>
      <c r="BK310" s="150" t="s">
        <v>149</v>
      </c>
      <c r="BL310" s="151">
        <v>0</v>
      </c>
      <c r="BM310" s="151">
        <v>0</v>
      </c>
      <c r="BN310" s="151">
        <v>0</v>
      </c>
      <c r="BO310" s="151">
        <v>0</v>
      </c>
      <c r="BP310" s="151">
        <v>0</v>
      </c>
      <c r="BQ310" s="151">
        <v>0</v>
      </c>
      <c r="BR310" s="151">
        <v>0</v>
      </c>
      <c r="BS310" s="117" t="s">
        <v>150</v>
      </c>
      <c r="BT310" s="117"/>
      <c r="BU310" s="155"/>
      <c r="BV310" s="117"/>
      <c r="BW310" s="117"/>
      <c r="BX310" s="149"/>
      <c r="BY310" s="117"/>
      <c r="BZ310" s="117"/>
      <c r="CA310" s="117"/>
      <c r="CB310" s="117">
        <f>+L310-BW310</f>
        <v>1</v>
      </c>
    </row>
    <row r="311" spans="1:80" ht="16.5" hidden="1" customHeight="1">
      <c r="A311" s="117">
        <v>984</v>
      </c>
      <c r="B311" s="154" t="s">
        <v>731</v>
      </c>
      <c r="C311" s="154" t="s">
        <v>926</v>
      </c>
      <c r="D311" s="154" t="s">
        <v>13</v>
      </c>
      <c r="E311" s="154" t="s">
        <v>754</v>
      </c>
      <c r="F311" s="154" t="s">
        <v>755</v>
      </c>
      <c r="G311" s="154" t="s">
        <v>756</v>
      </c>
      <c r="H311" s="146">
        <v>620</v>
      </c>
      <c r="I311" s="147" t="s">
        <v>147</v>
      </c>
      <c r="J311" s="144">
        <v>1</v>
      </c>
      <c r="K311" s="145">
        <f t="shared" si="611"/>
        <v>1</v>
      </c>
      <c r="L311" s="144">
        <f t="shared" si="612"/>
        <v>1</v>
      </c>
      <c r="M311" s="146">
        <v>41.5</v>
      </c>
      <c r="N311" s="146">
        <f t="shared" si="613"/>
        <v>41.5</v>
      </c>
      <c r="O311" s="146" t="s">
        <v>137</v>
      </c>
      <c r="P311" s="146" t="s">
        <v>13</v>
      </c>
      <c r="Q311" s="146" t="s">
        <v>148</v>
      </c>
      <c r="R311" s="146"/>
      <c r="S311" s="146"/>
      <c r="T311" s="146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0</v>
      </c>
      <c r="U311" s="146">
        <f t="shared" ca="1" si="614"/>
        <v>1</v>
      </c>
      <c r="V311" s="146">
        <f t="shared" ca="1" si="615"/>
        <v>0</v>
      </c>
      <c r="W311" s="146"/>
      <c r="X311" s="146"/>
      <c r="Y311" s="146"/>
      <c r="Z311" s="146"/>
      <c r="AA311" s="146"/>
      <c r="AB311" s="146"/>
      <c r="AC311" s="146">
        <v>0.6</v>
      </c>
      <c r="AD311" s="117" t="s">
        <v>142</v>
      </c>
      <c r="AE311" s="148"/>
      <c r="AF311" s="146" t="str">
        <f t="shared" si="616"/>
        <v>N/A</v>
      </c>
      <c r="AG311" s="146">
        <f t="shared" si="616"/>
        <v>0</v>
      </c>
      <c r="AH311" s="146">
        <f t="shared" si="617"/>
        <v>0</v>
      </c>
      <c r="AI311" s="146">
        <f t="shared" ca="1" si="618"/>
        <v>0</v>
      </c>
      <c r="AJ311" s="146">
        <f t="shared" ca="1" si="619"/>
        <v>0</v>
      </c>
      <c r="AK311" s="146" t="str">
        <f t="shared" si="616"/>
        <v>N/A</v>
      </c>
      <c r="AL311" s="146">
        <f t="shared" si="616"/>
        <v>0</v>
      </c>
      <c r="AM311" s="146">
        <f t="shared" si="620"/>
        <v>0</v>
      </c>
      <c r="AN311" s="146">
        <f t="shared" ca="1" si="621"/>
        <v>0</v>
      </c>
      <c r="AO311" s="146">
        <f t="shared" ca="1" si="622"/>
        <v>0</v>
      </c>
      <c r="AP311" s="146" t="str">
        <f t="shared" si="616"/>
        <v>AMC 2-S3</v>
      </c>
      <c r="AQ311" s="146">
        <f t="shared" si="616"/>
        <v>1</v>
      </c>
      <c r="AR311" s="146">
        <f t="shared" si="623"/>
        <v>1</v>
      </c>
      <c r="AS311" s="146">
        <f t="shared" ca="1" si="624"/>
        <v>0</v>
      </c>
      <c r="AT311" s="146">
        <f t="shared" ca="1" si="625"/>
        <v>1</v>
      </c>
      <c r="AU311" s="146" t="str">
        <f t="shared" si="616"/>
        <v>N/A</v>
      </c>
      <c r="AV311" s="146">
        <f t="shared" si="616"/>
        <v>0</v>
      </c>
      <c r="AW311" s="146">
        <f t="shared" si="626"/>
        <v>0</v>
      </c>
      <c r="AX311" s="146">
        <f t="shared" ca="1" si="627"/>
        <v>0</v>
      </c>
      <c r="AY311" s="146">
        <f t="shared" ca="1" si="628"/>
        <v>0</v>
      </c>
      <c r="AZ311" s="147"/>
      <c r="BA311" s="144" t="s">
        <v>140</v>
      </c>
      <c r="BB311" s="144" t="s">
        <v>140</v>
      </c>
      <c r="BC311" s="144" t="s">
        <v>141</v>
      </c>
      <c r="BD311" s="144" t="s">
        <v>140</v>
      </c>
      <c r="BE311" s="146">
        <v>0.6</v>
      </c>
      <c r="BF311" s="148"/>
      <c r="BG311" s="146"/>
      <c r="BH311" s="117"/>
      <c r="BI311" s="117"/>
      <c r="BJ311" s="149"/>
      <c r="BK311" s="150" t="s">
        <v>149</v>
      </c>
      <c r="BL311" s="151">
        <v>0</v>
      </c>
      <c r="BM311" s="151">
        <v>0</v>
      </c>
      <c r="BN311" s="151">
        <v>0</v>
      </c>
      <c r="BO311" s="151">
        <v>0</v>
      </c>
      <c r="BP311" s="151">
        <v>0</v>
      </c>
      <c r="BQ311" s="151">
        <v>0</v>
      </c>
      <c r="BR311" s="151">
        <v>0</v>
      </c>
      <c r="BS311" s="117" t="s">
        <v>150</v>
      </c>
      <c r="BT311" s="117"/>
      <c r="BU311" s="155"/>
      <c r="BV311" s="117"/>
      <c r="BW311" s="117"/>
      <c r="BX311" s="149"/>
      <c r="BY311" s="117"/>
      <c r="BZ311" s="117"/>
      <c r="CA311" s="117"/>
      <c r="CB311" s="117">
        <f>+L311-BW311</f>
        <v>1</v>
      </c>
    </row>
    <row r="312" spans="1:80" ht="16.5" hidden="1" customHeight="1">
      <c r="A312" s="133">
        <v>985</v>
      </c>
      <c r="B312" s="156" t="s">
        <v>731</v>
      </c>
      <c r="C312" s="156" t="s">
        <v>927</v>
      </c>
      <c r="D312" s="156"/>
      <c r="E312" s="156" t="s">
        <v>136</v>
      </c>
      <c r="F312" s="156"/>
      <c r="G312" s="156"/>
      <c r="H312" s="157"/>
      <c r="I312" s="159"/>
      <c r="J312" s="160" t="s">
        <v>136</v>
      </c>
      <c r="K312" s="138">
        <f>+AG312+AL312+AQ312+AV312</f>
        <v>2</v>
      </c>
      <c r="L312" s="160" t="s">
        <v>136</v>
      </c>
      <c r="M312" s="157"/>
      <c r="N312" s="157">
        <v>137.80000000000001</v>
      </c>
      <c r="O312" s="157" t="s">
        <v>137</v>
      </c>
      <c r="P312" s="157"/>
      <c r="Q312" s="157"/>
      <c r="R312" s="157"/>
      <c r="S312" s="157"/>
      <c r="T312" s="157"/>
      <c r="U312" s="157"/>
      <c r="V312" s="157"/>
      <c r="W312" s="135">
        <f ca="1">_xlfn.MINIFS(V:V,C:C,C312,AE:AE,"",AB:AB,"")</f>
        <v>0</v>
      </c>
      <c r="X312" s="135">
        <f ca="1">SUMIFS(T:T,C:C,C312,AE:AE,"")/SUMIFS(L:L,C:C,C312,AE:AE,"",AB:AB,"")</f>
        <v>0</v>
      </c>
      <c r="Y312" s="157"/>
      <c r="Z312" s="157"/>
      <c r="AA312" s="157"/>
      <c r="AB312" s="157"/>
      <c r="AC312" s="157">
        <v>1.9</v>
      </c>
      <c r="AD312" s="161" t="s">
        <v>142</v>
      </c>
      <c r="AE312" s="162" t="s">
        <v>143</v>
      </c>
      <c r="AF312" s="157" t="s">
        <v>138</v>
      </c>
      <c r="AG312" s="157">
        <v>0</v>
      </c>
      <c r="AH312" s="157"/>
      <c r="AI312" s="157"/>
      <c r="AJ312" s="157"/>
      <c r="AK312" s="157" t="s">
        <v>138</v>
      </c>
      <c r="AL312" s="157">
        <v>0</v>
      </c>
      <c r="AM312" s="157"/>
      <c r="AN312" s="157"/>
      <c r="AO312" s="157"/>
      <c r="AP312" s="157" t="s">
        <v>139</v>
      </c>
      <c r="AQ312" s="157">
        <v>2</v>
      </c>
      <c r="AR312" s="157"/>
      <c r="AS312" s="157"/>
      <c r="AT312" s="157"/>
      <c r="AU312" s="157" t="s">
        <v>138</v>
      </c>
      <c r="AV312" s="157">
        <v>0</v>
      </c>
      <c r="AW312" s="157"/>
      <c r="AX312" s="157"/>
      <c r="AY312" s="157"/>
      <c r="AZ312" s="136" t="s">
        <v>741</v>
      </c>
      <c r="BA312" s="137" t="s">
        <v>140</v>
      </c>
      <c r="BB312" s="137" t="s">
        <v>140</v>
      </c>
      <c r="BC312" s="137" t="s">
        <v>141</v>
      </c>
      <c r="BD312" s="137" t="s">
        <v>140</v>
      </c>
      <c r="BE312" s="157">
        <v>0.9</v>
      </c>
      <c r="BF312" s="162"/>
      <c r="BG312" s="157"/>
      <c r="BH312" s="161"/>
      <c r="BI312" s="161"/>
      <c r="BJ312" s="163"/>
      <c r="BK312" s="163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4"/>
      <c r="BV312" s="161"/>
      <c r="BW312" s="161"/>
      <c r="BX312" s="163"/>
      <c r="BY312" s="161"/>
      <c r="BZ312" s="161"/>
      <c r="CA312" s="161"/>
      <c r="CB312" s="161"/>
    </row>
    <row r="313" spans="1:80" ht="16.5" hidden="1" customHeight="1">
      <c r="A313" s="117">
        <v>986</v>
      </c>
      <c r="B313" s="154" t="s">
        <v>731</v>
      </c>
      <c r="C313" s="154" t="s">
        <v>927</v>
      </c>
      <c r="D313" s="154" t="s">
        <v>13</v>
      </c>
      <c r="E313" s="154" t="s">
        <v>757</v>
      </c>
      <c r="F313" s="154" t="s">
        <v>758</v>
      </c>
      <c r="G313" s="154" t="s">
        <v>759</v>
      </c>
      <c r="H313" s="146">
        <v>970</v>
      </c>
      <c r="I313" s="147" t="s">
        <v>147</v>
      </c>
      <c r="J313" s="144">
        <v>1</v>
      </c>
      <c r="K313" s="145">
        <f>K312</f>
        <v>2</v>
      </c>
      <c r="L313" s="144">
        <f>+K313*J313</f>
        <v>2</v>
      </c>
      <c r="M313" s="146">
        <v>68.900000000000006</v>
      </c>
      <c r="N313" s="146">
        <f>+M313*L313</f>
        <v>137.80000000000001</v>
      </c>
      <c r="O313" s="146" t="s">
        <v>137</v>
      </c>
      <c r="P313" s="146" t="s">
        <v>13</v>
      </c>
      <c r="Q313" s="146" t="s">
        <v>148</v>
      </c>
      <c r="R313" s="146"/>
      <c r="S313" s="146"/>
      <c r="T313" s="146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146">
        <f ca="1">+L313-T313</f>
        <v>2</v>
      </c>
      <c r="V313" s="146">
        <f ca="1">ROUNDDOWN(T313/J313,0)</f>
        <v>0</v>
      </c>
      <c r="W313" s="146"/>
      <c r="X313" s="146"/>
      <c r="Y313" s="146"/>
      <c r="Z313" s="146"/>
      <c r="AA313" s="146"/>
      <c r="AB313" s="146"/>
      <c r="AC313" s="146">
        <v>0.9</v>
      </c>
      <c r="AD313" s="117" t="s">
        <v>142</v>
      </c>
      <c r="AE313" s="148"/>
      <c r="AF313" s="146" t="str">
        <f t="shared" ref="AF313:AV313" si="629">AF312</f>
        <v>N/A</v>
      </c>
      <c r="AG313" s="146">
        <f t="shared" si="629"/>
        <v>0</v>
      </c>
      <c r="AH313" s="146">
        <f>+AG313*J313</f>
        <v>0</v>
      </c>
      <c r="AI313" s="146">
        <f ca="1">MIN(T313,AH313)</f>
        <v>0</v>
      </c>
      <c r="AJ313" s="146">
        <f ca="1">+AH313-AI313</f>
        <v>0</v>
      </c>
      <c r="AK313" s="146" t="str">
        <f t="shared" si="629"/>
        <v>N/A</v>
      </c>
      <c r="AL313" s="146">
        <f t="shared" si="629"/>
        <v>0</v>
      </c>
      <c r="AM313" s="146">
        <f>+AL313*J313</f>
        <v>0</v>
      </c>
      <c r="AN313" s="146">
        <f ca="1">MIN(T313-AI313,AL313)</f>
        <v>0</v>
      </c>
      <c r="AO313" s="146">
        <f ca="1">+AM313-AN313</f>
        <v>0</v>
      </c>
      <c r="AP313" s="146" t="str">
        <f t="shared" si="629"/>
        <v>AMC 2-S3</v>
      </c>
      <c r="AQ313" s="146">
        <f t="shared" si="629"/>
        <v>2</v>
      </c>
      <c r="AR313" s="146">
        <f>+AQ313*J313</f>
        <v>2</v>
      </c>
      <c r="AS313" s="146">
        <f ca="1">MIN(T313-AI313-AN313,AR313)</f>
        <v>0</v>
      </c>
      <c r="AT313" s="146">
        <f ca="1">+AR313-AS313</f>
        <v>2</v>
      </c>
      <c r="AU313" s="146" t="str">
        <f t="shared" si="629"/>
        <v>N/A</v>
      </c>
      <c r="AV313" s="146">
        <f t="shared" si="629"/>
        <v>0</v>
      </c>
      <c r="AW313" s="146">
        <f>+AV313*J313</f>
        <v>0</v>
      </c>
      <c r="AX313" s="146">
        <f ca="1">MIN(T313-AI313-AN313-AS313,AW313)</f>
        <v>0</v>
      </c>
      <c r="AY313" s="146">
        <f ca="1">+AW313-AX313</f>
        <v>0</v>
      </c>
      <c r="AZ313" s="147"/>
      <c r="BA313" s="144" t="s">
        <v>140</v>
      </c>
      <c r="BB313" s="144" t="s">
        <v>140</v>
      </c>
      <c r="BC313" s="144" t="s">
        <v>141</v>
      </c>
      <c r="BD313" s="144" t="s">
        <v>140</v>
      </c>
      <c r="BE313" s="146">
        <v>0.9</v>
      </c>
      <c r="BF313" s="148"/>
      <c r="BG313" s="146"/>
      <c r="BH313" s="117"/>
      <c r="BI313" s="117"/>
      <c r="BJ313" s="149"/>
      <c r="BK313" s="150" t="s">
        <v>149</v>
      </c>
      <c r="BL313" s="151">
        <v>0</v>
      </c>
      <c r="BM313" s="151">
        <v>0</v>
      </c>
      <c r="BN313" s="151">
        <v>0</v>
      </c>
      <c r="BO313" s="151">
        <v>0</v>
      </c>
      <c r="BP313" s="151">
        <v>0</v>
      </c>
      <c r="BQ313" s="151">
        <v>0</v>
      </c>
      <c r="BR313" s="151">
        <v>0</v>
      </c>
      <c r="BS313" s="117" t="s">
        <v>150</v>
      </c>
      <c r="BT313" s="117"/>
      <c r="BU313" s="155"/>
      <c r="BV313" s="117"/>
      <c r="BW313" s="117"/>
      <c r="BX313" s="149"/>
      <c r="BY313" s="117"/>
      <c r="BZ313" s="117"/>
      <c r="CA313" s="117"/>
      <c r="CB313" s="117">
        <f>+L313-BW313</f>
        <v>2</v>
      </c>
    </row>
    <row r="314" spans="1:80" ht="16.5" hidden="1" customHeight="1">
      <c r="A314" s="133">
        <v>987</v>
      </c>
      <c r="B314" s="156" t="s">
        <v>731</v>
      </c>
      <c r="C314" s="156" t="s">
        <v>928</v>
      </c>
      <c r="D314" s="156"/>
      <c r="E314" s="156" t="s">
        <v>136</v>
      </c>
      <c r="F314" s="156"/>
      <c r="G314" s="156"/>
      <c r="H314" s="157"/>
      <c r="I314" s="159"/>
      <c r="J314" s="160" t="s">
        <v>136</v>
      </c>
      <c r="K314" s="138">
        <f>+AG314+AL314+AQ314+AV314</f>
        <v>1</v>
      </c>
      <c r="L314" s="160" t="s">
        <v>136</v>
      </c>
      <c r="M314" s="157"/>
      <c r="N314" s="157">
        <v>202.1</v>
      </c>
      <c r="O314" s="157" t="s">
        <v>137</v>
      </c>
      <c r="P314" s="157"/>
      <c r="Q314" s="157"/>
      <c r="R314" s="157"/>
      <c r="S314" s="157"/>
      <c r="T314" s="157"/>
      <c r="U314" s="157"/>
      <c r="V314" s="157"/>
      <c r="W314" s="135">
        <f ca="1">_xlfn.MINIFS(V:V,C:C,C314,AE:AE,"",AB:AB,"")</f>
        <v>1</v>
      </c>
      <c r="X314" s="135">
        <f ca="1">SUMIFS(T:T,C:C,C314,AE:AE,"")/SUMIFS(L:L,C:C,C314,AE:AE,"",AB:AB,"")</f>
        <v>1</v>
      </c>
      <c r="Y314" s="157"/>
      <c r="Z314" s="157"/>
      <c r="AA314" s="157"/>
      <c r="AB314" s="157"/>
      <c r="AC314" s="157">
        <v>2.8</v>
      </c>
      <c r="AD314" s="161" t="s">
        <v>196</v>
      </c>
      <c r="AE314" s="162" t="s">
        <v>143</v>
      </c>
      <c r="AF314" s="157" t="s">
        <v>281</v>
      </c>
      <c r="AG314" s="157">
        <v>1</v>
      </c>
      <c r="AH314" s="157"/>
      <c r="AI314" s="157"/>
      <c r="AJ314" s="157"/>
      <c r="AK314" s="157" t="s">
        <v>138</v>
      </c>
      <c r="AL314" s="157">
        <v>0</v>
      </c>
      <c r="AM314" s="157"/>
      <c r="AN314" s="157"/>
      <c r="AO314" s="157"/>
      <c r="AP314" s="157" t="s">
        <v>138</v>
      </c>
      <c r="AQ314" s="157">
        <v>0</v>
      </c>
      <c r="AR314" s="157"/>
      <c r="AS314" s="157"/>
      <c r="AT314" s="157"/>
      <c r="AU314" s="157" t="s">
        <v>138</v>
      </c>
      <c r="AV314" s="157">
        <v>0</v>
      </c>
      <c r="AW314" s="157"/>
      <c r="AX314" s="157"/>
      <c r="AY314" s="157"/>
      <c r="AZ314" s="136"/>
      <c r="BA314" s="137" t="s">
        <v>141</v>
      </c>
      <c r="BB314" s="137" t="s">
        <v>140</v>
      </c>
      <c r="BC314" s="137" t="s">
        <v>140</v>
      </c>
      <c r="BD314" s="137" t="s">
        <v>140</v>
      </c>
      <c r="BE314" s="157">
        <v>2.8</v>
      </c>
      <c r="BF314" s="162"/>
      <c r="BG314" s="157"/>
      <c r="BH314" s="161"/>
      <c r="BI314" s="161"/>
      <c r="BJ314" s="163"/>
      <c r="BK314" s="163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4"/>
      <c r="BV314" s="161"/>
      <c r="BW314" s="161"/>
      <c r="BX314" s="163"/>
      <c r="BY314" s="161"/>
      <c r="BZ314" s="161"/>
      <c r="CA314" s="161"/>
      <c r="CB314" s="161"/>
    </row>
    <row r="315" spans="1:80" ht="16.5" hidden="1" customHeight="1">
      <c r="A315" s="117">
        <v>988</v>
      </c>
      <c r="B315" s="154" t="s">
        <v>731</v>
      </c>
      <c r="C315" s="154" t="s">
        <v>928</v>
      </c>
      <c r="D315" s="154" t="s">
        <v>13</v>
      </c>
      <c r="E315" s="154" t="s">
        <v>760</v>
      </c>
      <c r="F315" s="154" t="s">
        <v>761</v>
      </c>
      <c r="G315" s="154" t="s">
        <v>762</v>
      </c>
      <c r="H315" s="146">
        <v>420</v>
      </c>
      <c r="I315" s="147" t="s">
        <v>147</v>
      </c>
      <c r="J315" s="144">
        <v>1</v>
      </c>
      <c r="K315" s="145">
        <f t="shared" ref="K315:K317" si="630">K314</f>
        <v>1</v>
      </c>
      <c r="L315" s="144">
        <f t="shared" ref="L315:L317" si="631">+K315*J315</f>
        <v>1</v>
      </c>
      <c r="M315" s="146">
        <v>27</v>
      </c>
      <c r="N315" s="146">
        <f t="shared" ref="N315:N317" si="632">+M315*L315</f>
        <v>27</v>
      </c>
      <c r="O315" s="146" t="s">
        <v>137</v>
      </c>
      <c r="P315" s="146" t="s">
        <v>13</v>
      </c>
      <c r="Q315" s="146" t="s">
        <v>148</v>
      </c>
      <c r="R315" s="146"/>
      <c r="S315" s="146"/>
      <c r="T315" s="146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46">
        <f t="shared" ref="U315:U317" ca="1" si="633">+L315-T315</f>
        <v>0</v>
      </c>
      <c r="V315" s="146">
        <f t="shared" ref="V315:V317" ca="1" si="634">ROUNDDOWN(T315/J315,0)</f>
        <v>1</v>
      </c>
      <c r="W315" s="146"/>
      <c r="X315" s="146"/>
      <c r="Y315" s="146"/>
      <c r="Z315" s="146"/>
      <c r="AA315" s="146"/>
      <c r="AB315" s="146"/>
      <c r="AC315" s="146">
        <v>0.4</v>
      </c>
      <c r="AD315" s="117" t="s">
        <v>196</v>
      </c>
      <c r="AE315" s="148"/>
      <c r="AF315" s="146" t="str">
        <f t="shared" ref="AF315:AV317" si="635">AF314</f>
        <v>AMC 2-S1</v>
      </c>
      <c r="AG315" s="146">
        <f t="shared" si="635"/>
        <v>1</v>
      </c>
      <c r="AH315" s="146">
        <f t="shared" ref="AH315:AH317" si="636">+AG315*J315</f>
        <v>1</v>
      </c>
      <c r="AI315" s="146">
        <f t="shared" ref="AI315:AI317" ca="1" si="637">MIN(T315,AH315)</f>
        <v>1</v>
      </c>
      <c r="AJ315" s="146">
        <f t="shared" ref="AJ315:AJ317" ca="1" si="638">+AH315-AI315</f>
        <v>0</v>
      </c>
      <c r="AK315" s="146" t="str">
        <f t="shared" si="635"/>
        <v>N/A</v>
      </c>
      <c r="AL315" s="146">
        <f t="shared" si="635"/>
        <v>0</v>
      </c>
      <c r="AM315" s="146">
        <f t="shared" ref="AM315:AM317" si="639">+AL315*J315</f>
        <v>0</v>
      </c>
      <c r="AN315" s="146">
        <f t="shared" ref="AN315:AN317" ca="1" si="640">MIN(T315-AI315,AL315)</f>
        <v>0</v>
      </c>
      <c r="AO315" s="146">
        <f t="shared" ref="AO315:AO317" ca="1" si="641">+AM315-AN315</f>
        <v>0</v>
      </c>
      <c r="AP315" s="146" t="str">
        <f t="shared" si="635"/>
        <v>N/A</v>
      </c>
      <c r="AQ315" s="146">
        <f t="shared" si="635"/>
        <v>0</v>
      </c>
      <c r="AR315" s="146">
        <f t="shared" ref="AR315:AR317" si="642">+AQ315*J315</f>
        <v>0</v>
      </c>
      <c r="AS315" s="146">
        <f t="shared" ref="AS315:AS317" ca="1" si="643">MIN(T315-AI315-AN315,AR315)</f>
        <v>0</v>
      </c>
      <c r="AT315" s="146">
        <f t="shared" ref="AT315:AT317" ca="1" si="644">+AR315-AS315</f>
        <v>0</v>
      </c>
      <c r="AU315" s="146" t="str">
        <f t="shared" si="635"/>
        <v>N/A</v>
      </c>
      <c r="AV315" s="146">
        <f t="shared" si="635"/>
        <v>0</v>
      </c>
      <c r="AW315" s="146">
        <f t="shared" ref="AW315:AW317" si="645">+AV315*J315</f>
        <v>0</v>
      </c>
      <c r="AX315" s="146">
        <f t="shared" ref="AX315:AX317" ca="1" si="646">MIN(T315-AI315-AN315-AS315,AW315)</f>
        <v>0</v>
      </c>
      <c r="AY315" s="146">
        <f t="shared" ref="AY315:AY317" ca="1" si="647">+AW315-AX315</f>
        <v>0</v>
      </c>
      <c r="AZ315" s="147"/>
      <c r="BA315" s="144" t="s">
        <v>141</v>
      </c>
      <c r="BB315" s="144" t="s">
        <v>140</v>
      </c>
      <c r="BC315" s="144" t="s">
        <v>140</v>
      </c>
      <c r="BD315" s="144" t="s">
        <v>140</v>
      </c>
      <c r="BE315" s="146">
        <v>0.4</v>
      </c>
      <c r="BF315" s="148"/>
      <c r="BG315" s="146"/>
      <c r="BH315" s="117"/>
      <c r="BI315" s="117"/>
      <c r="BJ315" s="149"/>
      <c r="BK315" s="149"/>
      <c r="BL315" s="117">
        <v>0</v>
      </c>
      <c r="BM315" s="117">
        <v>0</v>
      </c>
      <c r="BN315" s="117">
        <v>0</v>
      </c>
      <c r="BO315" s="117">
        <v>0</v>
      </c>
      <c r="BP315" s="117">
        <v>0</v>
      </c>
      <c r="BQ315" s="117">
        <v>0</v>
      </c>
      <c r="BR315" s="117">
        <v>0</v>
      </c>
      <c r="BS315" s="117" t="s">
        <v>150</v>
      </c>
      <c r="BT315" s="167" t="s">
        <v>319</v>
      </c>
      <c r="BU315" s="141"/>
      <c r="BV315" s="141" t="s">
        <v>320</v>
      </c>
      <c r="BW315" s="141">
        <v>1</v>
      </c>
      <c r="BX315" s="153">
        <v>46202</v>
      </c>
      <c r="BY315" s="117"/>
      <c r="BZ315" s="117"/>
      <c r="CA315" s="117"/>
      <c r="CB315" s="117">
        <f>+L315-BW315</f>
        <v>0</v>
      </c>
    </row>
    <row r="316" spans="1:80" ht="16.5" hidden="1" customHeight="1">
      <c r="A316" s="117">
        <v>989</v>
      </c>
      <c r="B316" s="154" t="s">
        <v>731</v>
      </c>
      <c r="C316" s="154" t="s">
        <v>928</v>
      </c>
      <c r="D316" s="154" t="s">
        <v>13</v>
      </c>
      <c r="E316" s="154" t="s">
        <v>763</v>
      </c>
      <c r="F316" s="154" t="s">
        <v>764</v>
      </c>
      <c r="G316" s="154" t="s">
        <v>765</v>
      </c>
      <c r="H316" s="146">
        <v>1550</v>
      </c>
      <c r="I316" s="147" t="s">
        <v>147</v>
      </c>
      <c r="J316" s="144">
        <v>1</v>
      </c>
      <c r="K316" s="145">
        <f t="shared" si="630"/>
        <v>1</v>
      </c>
      <c r="L316" s="144">
        <f t="shared" si="631"/>
        <v>1</v>
      </c>
      <c r="M316" s="146">
        <v>115.2</v>
      </c>
      <c r="N316" s="146">
        <f t="shared" si="632"/>
        <v>115.2</v>
      </c>
      <c r="O316" s="146" t="s">
        <v>137</v>
      </c>
      <c r="P316" s="146" t="s">
        <v>13</v>
      </c>
      <c r="Q316" s="146" t="s">
        <v>148</v>
      </c>
      <c r="R316" s="146"/>
      <c r="S316" s="146"/>
      <c r="T316" s="146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46">
        <f t="shared" ca="1" si="633"/>
        <v>0</v>
      </c>
      <c r="V316" s="146">
        <f t="shared" ca="1" si="634"/>
        <v>1</v>
      </c>
      <c r="W316" s="146"/>
      <c r="X316" s="146"/>
      <c r="Y316" s="146"/>
      <c r="Z316" s="146"/>
      <c r="AA316" s="146"/>
      <c r="AB316" s="146"/>
      <c r="AC316" s="146">
        <v>1.6</v>
      </c>
      <c r="AD316" s="117" t="s">
        <v>196</v>
      </c>
      <c r="AE316" s="148"/>
      <c r="AF316" s="146" t="str">
        <f t="shared" si="635"/>
        <v>AMC 2-S1</v>
      </c>
      <c r="AG316" s="146">
        <f t="shared" si="635"/>
        <v>1</v>
      </c>
      <c r="AH316" s="146">
        <f t="shared" si="636"/>
        <v>1</v>
      </c>
      <c r="AI316" s="146">
        <f t="shared" ca="1" si="637"/>
        <v>1</v>
      </c>
      <c r="AJ316" s="146">
        <f t="shared" ca="1" si="638"/>
        <v>0</v>
      </c>
      <c r="AK316" s="146" t="str">
        <f t="shared" si="635"/>
        <v>N/A</v>
      </c>
      <c r="AL316" s="146">
        <f t="shared" si="635"/>
        <v>0</v>
      </c>
      <c r="AM316" s="146">
        <f t="shared" si="639"/>
        <v>0</v>
      </c>
      <c r="AN316" s="146">
        <f t="shared" ca="1" si="640"/>
        <v>0</v>
      </c>
      <c r="AO316" s="146">
        <f t="shared" ca="1" si="641"/>
        <v>0</v>
      </c>
      <c r="AP316" s="146" t="str">
        <f t="shared" si="635"/>
        <v>N/A</v>
      </c>
      <c r="AQ316" s="146">
        <f t="shared" si="635"/>
        <v>0</v>
      </c>
      <c r="AR316" s="146">
        <f t="shared" si="642"/>
        <v>0</v>
      </c>
      <c r="AS316" s="146">
        <f t="shared" ca="1" si="643"/>
        <v>0</v>
      </c>
      <c r="AT316" s="146">
        <f t="shared" ca="1" si="644"/>
        <v>0</v>
      </c>
      <c r="AU316" s="146" t="str">
        <f t="shared" si="635"/>
        <v>N/A</v>
      </c>
      <c r="AV316" s="146">
        <f t="shared" si="635"/>
        <v>0</v>
      </c>
      <c r="AW316" s="146">
        <f t="shared" si="645"/>
        <v>0</v>
      </c>
      <c r="AX316" s="146">
        <f t="shared" ca="1" si="646"/>
        <v>0</v>
      </c>
      <c r="AY316" s="146">
        <f t="shared" ca="1" si="647"/>
        <v>0</v>
      </c>
      <c r="AZ316" s="147"/>
      <c r="BA316" s="144" t="s">
        <v>141</v>
      </c>
      <c r="BB316" s="144" t="s">
        <v>140</v>
      </c>
      <c r="BC316" s="144" t="s">
        <v>140</v>
      </c>
      <c r="BD316" s="144" t="s">
        <v>140</v>
      </c>
      <c r="BE316" s="146">
        <v>1.6</v>
      </c>
      <c r="BF316" s="148"/>
      <c r="BG316" s="146"/>
      <c r="BH316" s="117"/>
      <c r="BI316" s="117"/>
      <c r="BJ316" s="149"/>
      <c r="BK316" s="149"/>
      <c r="BL316" s="117">
        <v>0</v>
      </c>
      <c r="BM316" s="117">
        <v>0</v>
      </c>
      <c r="BN316" s="117">
        <v>0</v>
      </c>
      <c r="BO316" s="117">
        <v>0</v>
      </c>
      <c r="BP316" s="117">
        <v>0</v>
      </c>
      <c r="BQ316" s="117">
        <v>0</v>
      </c>
      <c r="BR316" s="117">
        <v>0</v>
      </c>
      <c r="BS316" s="117" t="s">
        <v>150</v>
      </c>
      <c r="BT316" s="167" t="s">
        <v>319</v>
      </c>
      <c r="BU316" s="141"/>
      <c r="BV316" s="141" t="s">
        <v>320</v>
      </c>
      <c r="BW316" s="141">
        <v>1</v>
      </c>
      <c r="BX316" s="153">
        <v>46202</v>
      </c>
      <c r="BY316" s="117"/>
      <c r="BZ316" s="117"/>
      <c r="CA316" s="117"/>
      <c r="CB316" s="117">
        <f>+L316-BW316</f>
        <v>0</v>
      </c>
    </row>
    <row r="317" spans="1:80" ht="16.5" hidden="1" customHeight="1">
      <c r="A317" s="117">
        <v>990</v>
      </c>
      <c r="B317" s="154" t="s">
        <v>731</v>
      </c>
      <c r="C317" s="154" t="s">
        <v>928</v>
      </c>
      <c r="D317" s="154" t="s">
        <v>13</v>
      </c>
      <c r="E317" s="154" t="s">
        <v>766</v>
      </c>
      <c r="F317" s="154" t="s">
        <v>767</v>
      </c>
      <c r="G317" s="154" t="s">
        <v>740</v>
      </c>
      <c r="H317" s="146">
        <v>455</v>
      </c>
      <c r="I317" s="147" t="s">
        <v>147</v>
      </c>
      <c r="J317" s="144">
        <v>2</v>
      </c>
      <c r="K317" s="145">
        <f t="shared" si="630"/>
        <v>1</v>
      </c>
      <c r="L317" s="144">
        <f t="shared" si="631"/>
        <v>2</v>
      </c>
      <c r="M317" s="146">
        <v>30</v>
      </c>
      <c r="N317" s="146">
        <f t="shared" si="632"/>
        <v>60</v>
      </c>
      <c r="O317" s="146" t="s">
        <v>137</v>
      </c>
      <c r="P317" s="146" t="s">
        <v>13</v>
      </c>
      <c r="Q317" s="146" t="s">
        <v>148</v>
      </c>
      <c r="R317" s="146"/>
      <c r="S317" s="146"/>
      <c r="T317" s="146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2</v>
      </c>
      <c r="U317" s="146">
        <f t="shared" ca="1" si="633"/>
        <v>0</v>
      </c>
      <c r="V317" s="146">
        <f t="shared" ca="1" si="634"/>
        <v>1</v>
      </c>
      <c r="W317" s="146"/>
      <c r="X317" s="146"/>
      <c r="Y317" s="146"/>
      <c r="Z317" s="146"/>
      <c r="AA317" s="146"/>
      <c r="AB317" s="146"/>
      <c r="AC317" s="146">
        <v>0.8</v>
      </c>
      <c r="AD317" s="117" t="s">
        <v>196</v>
      </c>
      <c r="AE317" s="148"/>
      <c r="AF317" s="146" t="str">
        <f t="shared" si="635"/>
        <v>AMC 2-S1</v>
      </c>
      <c r="AG317" s="146">
        <f t="shared" si="635"/>
        <v>1</v>
      </c>
      <c r="AH317" s="146">
        <f t="shared" si="636"/>
        <v>2</v>
      </c>
      <c r="AI317" s="146">
        <f t="shared" ca="1" si="637"/>
        <v>2</v>
      </c>
      <c r="AJ317" s="146">
        <f t="shared" ca="1" si="638"/>
        <v>0</v>
      </c>
      <c r="AK317" s="146" t="str">
        <f t="shared" si="635"/>
        <v>N/A</v>
      </c>
      <c r="AL317" s="146">
        <f t="shared" si="635"/>
        <v>0</v>
      </c>
      <c r="AM317" s="146">
        <f t="shared" si="639"/>
        <v>0</v>
      </c>
      <c r="AN317" s="146">
        <f t="shared" ca="1" si="640"/>
        <v>0</v>
      </c>
      <c r="AO317" s="146">
        <f t="shared" ca="1" si="641"/>
        <v>0</v>
      </c>
      <c r="AP317" s="146" t="str">
        <f t="shared" si="635"/>
        <v>N/A</v>
      </c>
      <c r="AQ317" s="146">
        <f t="shared" si="635"/>
        <v>0</v>
      </c>
      <c r="AR317" s="146">
        <f t="shared" si="642"/>
        <v>0</v>
      </c>
      <c r="AS317" s="146">
        <f t="shared" ca="1" si="643"/>
        <v>0</v>
      </c>
      <c r="AT317" s="146">
        <f t="shared" ca="1" si="644"/>
        <v>0</v>
      </c>
      <c r="AU317" s="146" t="str">
        <f t="shared" si="635"/>
        <v>N/A</v>
      </c>
      <c r="AV317" s="146">
        <f t="shared" si="635"/>
        <v>0</v>
      </c>
      <c r="AW317" s="146">
        <f t="shared" si="645"/>
        <v>0</v>
      </c>
      <c r="AX317" s="146">
        <f t="shared" ca="1" si="646"/>
        <v>0</v>
      </c>
      <c r="AY317" s="146">
        <f t="shared" ca="1" si="647"/>
        <v>0</v>
      </c>
      <c r="AZ317" s="147"/>
      <c r="BA317" s="144" t="s">
        <v>141</v>
      </c>
      <c r="BB317" s="144" t="s">
        <v>140</v>
      </c>
      <c r="BC317" s="144" t="s">
        <v>140</v>
      </c>
      <c r="BD317" s="144" t="s">
        <v>140</v>
      </c>
      <c r="BE317" s="146">
        <v>0.4</v>
      </c>
      <c r="BF317" s="148"/>
      <c r="BG317" s="146"/>
      <c r="BH317" s="117"/>
      <c r="BI317" s="117"/>
      <c r="BJ317" s="149"/>
      <c r="BK317" s="149"/>
      <c r="BL317" s="117">
        <v>0</v>
      </c>
      <c r="BM317" s="117">
        <v>0</v>
      </c>
      <c r="BN317" s="117">
        <v>0</v>
      </c>
      <c r="BO317" s="117">
        <v>0</v>
      </c>
      <c r="BP317" s="117">
        <v>0</v>
      </c>
      <c r="BQ317" s="117">
        <v>0</v>
      </c>
      <c r="BR317" s="117">
        <v>0</v>
      </c>
      <c r="BS317" s="117" t="s">
        <v>150</v>
      </c>
      <c r="BT317" s="167" t="s">
        <v>319</v>
      </c>
      <c r="BU317" s="141"/>
      <c r="BV317" s="141" t="s">
        <v>320</v>
      </c>
      <c r="BW317" s="141">
        <v>2</v>
      </c>
      <c r="BX317" s="153">
        <v>46202</v>
      </c>
      <c r="BY317" s="117"/>
      <c r="BZ317" s="117"/>
      <c r="CA317" s="117"/>
      <c r="CB317" s="117">
        <f>+L317-BW317</f>
        <v>0</v>
      </c>
    </row>
    <row r="318" spans="1:80" ht="16.5" hidden="1" customHeight="1">
      <c r="A318" s="133">
        <v>991</v>
      </c>
      <c r="B318" s="156" t="s">
        <v>731</v>
      </c>
      <c r="C318" s="156" t="s">
        <v>929</v>
      </c>
      <c r="D318" s="156"/>
      <c r="E318" s="156" t="s">
        <v>136</v>
      </c>
      <c r="F318" s="156"/>
      <c r="G318" s="156"/>
      <c r="H318" s="157"/>
      <c r="I318" s="159"/>
      <c r="J318" s="160" t="s">
        <v>136</v>
      </c>
      <c r="K318" s="138">
        <f>+AG318+AL318+AQ318+AV318</f>
        <v>2</v>
      </c>
      <c r="L318" s="160" t="s">
        <v>136</v>
      </c>
      <c r="M318" s="157"/>
      <c r="N318" s="157">
        <v>50.6</v>
      </c>
      <c r="O318" s="157" t="s">
        <v>137</v>
      </c>
      <c r="P318" s="157"/>
      <c r="Q318" s="157"/>
      <c r="R318" s="157"/>
      <c r="S318" s="157"/>
      <c r="T318" s="157"/>
      <c r="U318" s="157"/>
      <c r="V318" s="157"/>
      <c r="W318" s="135">
        <f ca="1">_xlfn.MINIFS(V:V,C:C,C318,AE:AE,"",AB:AB,"")</f>
        <v>2</v>
      </c>
      <c r="X318" s="135">
        <f ca="1">SUMIFS(T:T,C:C,C318,AE:AE,"")/SUMIFS(L:L,C:C,C318,AE:AE,"",AB:AB,"")</f>
        <v>1</v>
      </c>
      <c r="Y318" s="157"/>
      <c r="Z318" s="157"/>
      <c r="AA318" s="157"/>
      <c r="AB318" s="157"/>
      <c r="AC318" s="157">
        <v>0.7</v>
      </c>
      <c r="AD318" s="161" t="s">
        <v>196</v>
      </c>
      <c r="AE318" s="162" t="s">
        <v>143</v>
      </c>
      <c r="AF318" s="157" t="s">
        <v>281</v>
      </c>
      <c r="AG318" s="157">
        <v>2</v>
      </c>
      <c r="AH318" s="157"/>
      <c r="AI318" s="157"/>
      <c r="AJ318" s="157"/>
      <c r="AK318" s="157" t="s">
        <v>138</v>
      </c>
      <c r="AL318" s="157">
        <v>0</v>
      </c>
      <c r="AM318" s="157"/>
      <c r="AN318" s="157"/>
      <c r="AO318" s="157"/>
      <c r="AP318" s="157" t="s">
        <v>138</v>
      </c>
      <c r="AQ318" s="157">
        <v>0</v>
      </c>
      <c r="AR318" s="157"/>
      <c r="AS318" s="157"/>
      <c r="AT318" s="157"/>
      <c r="AU318" s="157" t="s">
        <v>138</v>
      </c>
      <c r="AV318" s="157">
        <v>0</v>
      </c>
      <c r="AW318" s="157"/>
      <c r="AX318" s="157"/>
      <c r="AY318" s="157"/>
      <c r="AZ318" s="136" t="s">
        <v>741</v>
      </c>
      <c r="BA318" s="137" t="s">
        <v>141</v>
      </c>
      <c r="BB318" s="137" t="s">
        <v>140</v>
      </c>
      <c r="BC318" s="137" t="s">
        <v>140</v>
      </c>
      <c r="BD318" s="137" t="s">
        <v>140</v>
      </c>
      <c r="BE318" s="157">
        <v>0.4</v>
      </c>
      <c r="BF318" s="162"/>
      <c r="BG318" s="157"/>
      <c r="BH318" s="161"/>
      <c r="BI318" s="161"/>
      <c r="BJ318" s="163"/>
      <c r="BK318" s="163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4"/>
      <c r="BV318" s="161"/>
      <c r="BW318" s="161"/>
      <c r="BX318" s="163"/>
      <c r="BY318" s="161"/>
      <c r="BZ318" s="161"/>
      <c r="CA318" s="161"/>
      <c r="CB318" s="161"/>
    </row>
    <row r="319" spans="1:80" ht="16.5" hidden="1" customHeight="1">
      <c r="A319" s="117">
        <v>992</v>
      </c>
      <c r="B319" s="154" t="s">
        <v>731</v>
      </c>
      <c r="C319" s="154" t="s">
        <v>929</v>
      </c>
      <c r="D319" s="154" t="s">
        <v>13</v>
      </c>
      <c r="E319" s="154" t="s">
        <v>768</v>
      </c>
      <c r="F319" s="154" t="s">
        <v>769</v>
      </c>
      <c r="G319" s="154" t="s">
        <v>744</v>
      </c>
      <c r="H319" s="146">
        <v>454</v>
      </c>
      <c r="I319" s="147" t="s">
        <v>147</v>
      </c>
      <c r="J319" s="144">
        <v>1</v>
      </c>
      <c r="K319" s="145">
        <f>K318</f>
        <v>2</v>
      </c>
      <c r="L319" s="144">
        <f>+K319*J319</f>
        <v>2</v>
      </c>
      <c r="M319" s="146">
        <v>25.3</v>
      </c>
      <c r="N319" s="146">
        <f>+M319*L319</f>
        <v>50.6</v>
      </c>
      <c r="O319" s="146" t="s">
        <v>137</v>
      </c>
      <c r="P319" s="146" t="s">
        <v>13</v>
      </c>
      <c r="Q319" s="146" t="s">
        <v>148</v>
      </c>
      <c r="R319" s="146"/>
      <c r="S319" s="146"/>
      <c r="T319" s="146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2</v>
      </c>
      <c r="U319" s="146">
        <f ca="1">+L319-T319</f>
        <v>0</v>
      </c>
      <c r="V319" s="146">
        <f ca="1">ROUNDDOWN(T319/J319,0)</f>
        <v>2</v>
      </c>
      <c r="W319" s="146"/>
      <c r="X319" s="146"/>
      <c r="Y319" s="146"/>
      <c r="Z319" s="146"/>
      <c r="AA319" s="146"/>
      <c r="AB319" s="146"/>
      <c r="AC319" s="146">
        <v>0.4</v>
      </c>
      <c r="AD319" s="117" t="s">
        <v>196</v>
      </c>
      <c r="AE319" s="148"/>
      <c r="AF319" s="146" t="str">
        <f t="shared" ref="AF319:AV319" si="648">AF318</f>
        <v>AMC 2-S1</v>
      </c>
      <c r="AG319" s="146">
        <f t="shared" si="648"/>
        <v>2</v>
      </c>
      <c r="AH319" s="146">
        <f>+AG319*J319</f>
        <v>2</v>
      </c>
      <c r="AI319" s="146">
        <f ca="1">MIN(T319,AH319)</f>
        <v>2</v>
      </c>
      <c r="AJ319" s="146">
        <f ca="1">+AH319-AI319</f>
        <v>0</v>
      </c>
      <c r="AK319" s="146" t="str">
        <f t="shared" si="648"/>
        <v>N/A</v>
      </c>
      <c r="AL319" s="146">
        <f t="shared" si="648"/>
        <v>0</v>
      </c>
      <c r="AM319" s="146">
        <f>+AL319*J319</f>
        <v>0</v>
      </c>
      <c r="AN319" s="146">
        <f ca="1">MIN(T319-AI319,AL319)</f>
        <v>0</v>
      </c>
      <c r="AO319" s="146">
        <f ca="1">+AM319-AN319</f>
        <v>0</v>
      </c>
      <c r="AP319" s="146" t="str">
        <f t="shared" si="648"/>
        <v>N/A</v>
      </c>
      <c r="AQ319" s="146">
        <f t="shared" si="648"/>
        <v>0</v>
      </c>
      <c r="AR319" s="146">
        <f>+AQ319*J319</f>
        <v>0</v>
      </c>
      <c r="AS319" s="146">
        <f ca="1">MIN(T319-AI319-AN319,AR319)</f>
        <v>0</v>
      </c>
      <c r="AT319" s="146">
        <f ca="1">+AR319-AS319</f>
        <v>0</v>
      </c>
      <c r="AU319" s="146" t="str">
        <f t="shared" si="648"/>
        <v>N/A</v>
      </c>
      <c r="AV319" s="146">
        <f t="shared" si="648"/>
        <v>0</v>
      </c>
      <c r="AW319" s="146">
        <f>+AV319*J319</f>
        <v>0</v>
      </c>
      <c r="AX319" s="146">
        <f ca="1">MIN(T319-AI319-AN319-AS319,AW319)</f>
        <v>0</v>
      </c>
      <c r="AY319" s="146">
        <f ca="1">+AW319-AX319</f>
        <v>0</v>
      </c>
      <c r="AZ319" s="147"/>
      <c r="BA319" s="144" t="s">
        <v>141</v>
      </c>
      <c r="BB319" s="144" t="s">
        <v>140</v>
      </c>
      <c r="BC319" s="144" t="s">
        <v>140</v>
      </c>
      <c r="BD319" s="144" t="s">
        <v>140</v>
      </c>
      <c r="BE319" s="146">
        <v>0.4</v>
      </c>
      <c r="BF319" s="148"/>
      <c r="BG319" s="146"/>
      <c r="BH319" s="117"/>
      <c r="BI319" s="117"/>
      <c r="BJ319" s="149"/>
      <c r="BK319" s="149"/>
      <c r="BL319" s="117">
        <v>0</v>
      </c>
      <c r="BM319" s="117">
        <v>0</v>
      </c>
      <c r="BN319" s="117">
        <v>0</v>
      </c>
      <c r="BO319" s="117">
        <v>1</v>
      </c>
      <c r="BP319" s="117">
        <v>0</v>
      </c>
      <c r="BQ319" s="117">
        <v>0</v>
      </c>
      <c r="BR319" s="117">
        <v>0</v>
      </c>
      <c r="BS319" s="117" t="s">
        <v>150</v>
      </c>
      <c r="BT319" s="167" t="s">
        <v>319</v>
      </c>
      <c r="BU319" s="141"/>
      <c r="BV319" s="141" t="s">
        <v>320</v>
      </c>
      <c r="BW319" s="141">
        <v>2</v>
      </c>
      <c r="BX319" s="153">
        <v>46202</v>
      </c>
      <c r="BY319" s="117"/>
      <c r="BZ319" s="117"/>
      <c r="CA319" s="117"/>
      <c r="CB319" s="117">
        <f>+L319-BW319</f>
        <v>0</v>
      </c>
    </row>
    <row r="320" spans="1:80" ht="16.5" hidden="1" customHeight="1">
      <c r="A320" s="133">
        <v>993</v>
      </c>
      <c r="B320" s="156" t="s">
        <v>731</v>
      </c>
      <c r="C320" s="156" t="s">
        <v>930</v>
      </c>
      <c r="D320" s="156"/>
      <c r="E320" s="156" t="s">
        <v>136</v>
      </c>
      <c r="F320" s="156"/>
      <c r="G320" s="156"/>
      <c r="H320" s="157"/>
      <c r="I320" s="159"/>
      <c r="J320" s="160" t="s">
        <v>136</v>
      </c>
      <c r="K320" s="138">
        <f>+AG320+AL320+AQ320+AV320</f>
        <v>2</v>
      </c>
      <c r="L320" s="160" t="s">
        <v>136</v>
      </c>
      <c r="M320" s="157"/>
      <c r="N320" s="157">
        <v>183.3</v>
      </c>
      <c r="O320" s="157" t="s">
        <v>137</v>
      </c>
      <c r="P320" s="157"/>
      <c r="Q320" s="157"/>
      <c r="R320" s="157"/>
      <c r="S320" s="157"/>
      <c r="T320" s="157"/>
      <c r="U320" s="157"/>
      <c r="V320" s="157"/>
      <c r="W320" s="135">
        <f ca="1">_xlfn.MINIFS(V:V,C:C,C320,AE:AE,"",AB:AB,"")</f>
        <v>2</v>
      </c>
      <c r="X320" s="135">
        <f ca="1">SUMIFS(T:T,C:C,C320,AE:AE,"")/SUMIFS(L:L,C:C,C320,AE:AE,"",AB:AB,"")</f>
        <v>1</v>
      </c>
      <c r="Y320" s="157"/>
      <c r="Z320" s="157"/>
      <c r="AA320" s="157"/>
      <c r="AB320" s="157"/>
      <c r="AC320" s="157">
        <v>2.5</v>
      </c>
      <c r="AD320" s="161" t="s">
        <v>196</v>
      </c>
      <c r="AE320" s="162" t="s">
        <v>143</v>
      </c>
      <c r="AF320" s="157" t="s">
        <v>281</v>
      </c>
      <c r="AG320" s="157">
        <v>2</v>
      </c>
      <c r="AH320" s="157"/>
      <c r="AI320" s="157"/>
      <c r="AJ320" s="157"/>
      <c r="AK320" s="157" t="s">
        <v>138</v>
      </c>
      <c r="AL320" s="157">
        <v>0</v>
      </c>
      <c r="AM320" s="157"/>
      <c r="AN320" s="157"/>
      <c r="AO320" s="157"/>
      <c r="AP320" s="157" t="s">
        <v>138</v>
      </c>
      <c r="AQ320" s="157">
        <v>0</v>
      </c>
      <c r="AR320" s="157"/>
      <c r="AS320" s="157"/>
      <c r="AT320" s="157"/>
      <c r="AU320" s="157" t="s">
        <v>138</v>
      </c>
      <c r="AV320" s="157">
        <v>0</v>
      </c>
      <c r="AW320" s="157"/>
      <c r="AX320" s="157"/>
      <c r="AY320" s="157"/>
      <c r="AZ320" s="136" t="s">
        <v>741</v>
      </c>
      <c r="BA320" s="137" t="s">
        <v>141</v>
      </c>
      <c r="BB320" s="137" t="s">
        <v>140</v>
      </c>
      <c r="BC320" s="137" t="s">
        <v>140</v>
      </c>
      <c r="BD320" s="137" t="s">
        <v>140</v>
      </c>
      <c r="BE320" s="157">
        <v>1.2</v>
      </c>
      <c r="BF320" s="162"/>
      <c r="BG320" s="157"/>
      <c r="BH320" s="161"/>
      <c r="BI320" s="161"/>
      <c r="BJ320" s="163"/>
      <c r="BK320" s="163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4"/>
      <c r="BV320" s="161"/>
      <c r="BW320" s="161"/>
      <c r="BX320" s="163"/>
      <c r="BY320" s="161"/>
      <c r="BZ320" s="161"/>
      <c r="CA320" s="161"/>
      <c r="CB320" s="161"/>
    </row>
    <row r="321" spans="1:80" ht="16.5" hidden="1" customHeight="1">
      <c r="A321" s="117">
        <v>994</v>
      </c>
      <c r="B321" s="154" t="s">
        <v>731</v>
      </c>
      <c r="C321" s="154" t="s">
        <v>930</v>
      </c>
      <c r="D321" s="154" t="s">
        <v>13</v>
      </c>
      <c r="E321" s="154" t="s">
        <v>770</v>
      </c>
      <c r="F321" s="154" t="s">
        <v>771</v>
      </c>
      <c r="G321" s="154" t="s">
        <v>772</v>
      </c>
      <c r="H321" s="146">
        <v>970</v>
      </c>
      <c r="I321" s="147" t="s">
        <v>147</v>
      </c>
      <c r="J321" s="144">
        <v>1</v>
      </c>
      <c r="K321" s="145">
        <f>K320</f>
        <v>2</v>
      </c>
      <c r="L321" s="144">
        <f>+K321*J321</f>
        <v>2</v>
      </c>
      <c r="M321" s="146">
        <v>91.7</v>
      </c>
      <c r="N321" s="146">
        <f>+M321*L321</f>
        <v>183.4</v>
      </c>
      <c r="O321" s="146" t="s">
        <v>137</v>
      </c>
      <c r="P321" s="146" t="s">
        <v>13</v>
      </c>
      <c r="Q321" s="146" t="s">
        <v>148</v>
      </c>
      <c r="R321" s="146"/>
      <c r="S321" s="146"/>
      <c r="T321" s="146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2</v>
      </c>
      <c r="U321" s="146">
        <f ca="1">+L321-T321</f>
        <v>0</v>
      </c>
      <c r="V321" s="146">
        <f ca="1">ROUNDDOWN(T321/J321,0)</f>
        <v>2</v>
      </c>
      <c r="W321" s="146"/>
      <c r="X321" s="146"/>
      <c r="Y321" s="146"/>
      <c r="Z321" s="146"/>
      <c r="AA321" s="146"/>
      <c r="AB321" s="146"/>
      <c r="AC321" s="146">
        <v>1.2</v>
      </c>
      <c r="AD321" s="117" t="s">
        <v>196</v>
      </c>
      <c r="AE321" s="148"/>
      <c r="AF321" s="146" t="str">
        <f t="shared" ref="AF321:AV321" si="649">AF320</f>
        <v>AMC 2-S1</v>
      </c>
      <c r="AG321" s="146">
        <f t="shared" si="649"/>
        <v>2</v>
      </c>
      <c r="AH321" s="146">
        <f>+AG321*J321</f>
        <v>2</v>
      </c>
      <c r="AI321" s="146">
        <f ca="1">MIN(T321,AH321)</f>
        <v>2</v>
      </c>
      <c r="AJ321" s="146">
        <f ca="1">+AH321-AI321</f>
        <v>0</v>
      </c>
      <c r="AK321" s="146" t="str">
        <f t="shared" si="649"/>
        <v>N/A</v>
      </c>
      <c r="AL321" s="146">
        <f t="shared" si="649"/>
        <v>0</v>
      </c>
      <c r="AM321" s="146">
        <f>+AL321*J321</f>
        <v>0</v>
      </c>
      <c r="AN321" s="146">
        <f ca="1">MIN(T321-AI321,AL321)</f>
        <v>0</v>
      </c>
      <c r="AO321" s="146">
        <f ca="1">+AM321-AN321</f>
        <v>0</v>
      </c>
      <c r="AP321" s="146" t="str">
        <f t="shared" si="649"/>
        <v>N/A</v>
      </c>
      <c r="AQ321" s="146">
        <f t="shared" si="649"/>
        <v>0</v>
      </c>
      <c r="AR321" s="146">
        <f>+AQ321*J321</f>
        <v>0</v>
      </c>
      <c r="AS321" s="146">
        <f ca="1">MIN(T321-AI321-AN321,AR321)</f>
        <v>0</v>
      </c>
      <c r="AT321" s="146">
        <f ca="1">+AR321-AS321</f>
        <v>0</v>
      </c>
      <c r="AU321" s="146" t="str">
        <f t="shared" si="649"/>
        <v>N/A</v>
      </c>
      <c r="AV321" s="146">
        <f t="shared" si="649"/>
        <v>0</v>
      </c>
      <c r="AW321" s="146">
        <f>+AV321*J321</f>
        <v>0</v>
      </c>
      <c r="AX321" s="146">
        <f ca="1">MIN(T321-AI321-AN321-AS321,AW321)</f>
        <v>0</v>
      </c>
      <c r="AY321" s="146">
        <f ca="1">+AW321-AX321</f>
        <v>0</v>
      </c>
      <c r="AZ321" s="147"/>
      <c r="BA321" s="144" t="s">
        <v>141</v>
      </c>
      <c r="BB321" s="144" t="s">
        <v>140</v>
      </c>
      <c r="BC321" s="144" t="s">
        <v>140</v>
      </c>
      <c r="BD321" s="144" t="s">
        <v>140</v>
      </c>
      <c r="BE321" s="146">
        <v>1.2</v>
      </c>
      <c r="BF321" s="148"/>
      <c r="BG321" s="146"/>
      <c r="BH321" s="117"/>
      <c r="BI321" s="117"/>
      <c r="BJ321" s="149"/>
      <c r="BK321" s="149"/>
      <c r="BL321" s="117">
        <v>0</v>
      </c>
      <c r="BM321" s="117">
        <v>0</v>
      </c>
      <c r="BN321" s="117">
        <v>0</v>
      </c>
      <c r="BO321" s="117">
        <v>0</v>
      </c>
      <c r="BP321" s="117">
        <v>0</v>
      </c>
      <c r="BQ321" s="117">
        <v>0</v>
      </c>
      <c r="BR321" s="117">
        <v>0</v>
      </c>
      <c r="BS321" s="117" t="s">
        <v>150</v>
      </c>
      <c r="BT321" s="167" t="s">
        <v>319</v>
      </c>
      <c r="BU321" s="141"/>
      <c r="BV321" s="141" t="s">
        <v>320</v>
      </c>
      <c r="BW321" s="141">
        <v>2</v>
      </c>
      <c r="BX321" s="153">
        <v>46202</v>
      </c>
      <c r="BY321" s="117"/>
      <c r="BZ321" s="117"/>
      <c r="CA321" s="117"/>
      <c r="CB321" s="117">
        <f>+L321-BW321</f>
        <v>0</v>
      </c>
    </row>
    <row r="322" spans="1:80" ht="16.5" hidden="1" customHeight="1">
      <c r="A322" s="133">
        <v>1006</v>
      </c>
      <c r="B322" s="156" t="s">
        <v>773</v>
      </c>
      <c r="C322" s="156" t="s">
        <v>931</v>
      </c>
      <c r="D322" s="156"/>
      <c r="E322" s="156" t="s">
        <v>136</v>
      </c>
      <c r="F322" s="156"/>
      <c r="G322" s="156"/>
      <c r="H322" s="157"/>
      <c r="I322" s="159"/>
      <c r="J322" s="160" t="s">
        <v>136</v>
      </c>
      <c r="K322" s="138">
        <f>+AG322+AL322+AQ322+AV322</f>
        <v>2</v>
      </c>
      <c r="L322" s="160" t="s">
        <v>136</v>
      </c>
      <c r="M322" s="157"/>
      <c r="N322" s="157">
        <v>59.7</v>
      </c>
      <c r="O322" s="157" t="s">
        <v>137</v>
      </c>
      <c r="P322" s="157"/>
      <c r="Q322" s="157"/>
      <c r="R322" s="157"/>
      <c r="S322" s="157"/>
      <c r="T322" s="157"/>
      <c r="U322" s="157"/>
      <c r="V322" s="157"/>
      <c r="W322" s="135">
        <f ca="1">_xlfn.MINIFS(V:V,C:C,C322,AE:AE,"",AB:AB,"")</f>
        <v>2</v>
      </c>
      <c r="X322" s="135">
        <f ca="1">SUMIFS(T:T,C:C,C322,AE:AE,"")/SUMIFS(L:L,C:C,C322,AE:AE,"",AB:AB,"")</f>
        <v>1</v>
      </c>
      <c r="Y322" s="157"/>
      <c r="Z322" s="157"/>
      <c r="AA322" s="157"/>
      <c r="AB322" s="157"/>
      <c r="AC322" s="157">
        <v>0.8</v>
      </c>
      <c r="AD322" s="161" t="s">
        <v>196</v>
      </c>
      <c r="AE322" s="162" t="s">
        <v>143</v>
      </c>
      <c r="AF322" s="157" t="s">
        <v>281</v>
      </c>
      <c r="AG322" s="157">
        <v>2</v>
      </c>
      <c r="AH322" s="157"/>
      <c r="AI322" s="157"/>
      <c r="AJ322" s="157"/>
      <c r="AK322" s="157" t="s">
        <v>138</v>
      </c>
      <c r="AL322" s="157">
        <v>0</v>
      </c>
      <c r="AM322" s="157"/>
      <c r="AN322" s="157"/>
      <c r="AO322" s="157"/>
      <c r="AP322" s="157" t="s">
        <v>138</v>
      </c>
      <c r="AQ322" s="157">
        <v>0</v>
      </c>
      <c r="AR322" s="157"/>
      <c r="AS322" s="157"/>
      <c r="AT322" s="157"/>
      <c r="AU322" s="157" t="s">
        <v>138</v>
      </c>
      <c r="AV322" s="157">
        <v>0</v>
      </c>
      <c r="AW322" s="157"/>
      <c r="AX322" s="157"/>
      <c r="AY322" s="157"/>
      <c r="AZ322" s="136" t="s">
        <v>741</v>
      </c>
      <c r="BA322" s="137" t="s">
        <v>141</v>
      </c>
      <c r="BB322" s="137" t="s">
        <v>140</v>
      </c>
      <c r="BC322" s="137" t="s">
        <v>140</v>
      </c>
      <c r="BD322" s="137" t="s">
        <v>140</v>
      </c>
      <c r="BE322" s="157">
        <v>0.4</v>
      </c>
      <c r="BF322" s="162"/>
      <c r="BG322" s="157"/>
      <c r="BH322" s="161"/>
      <c r="BI322" s="161"/>
      <c r="BJ322" s="163"/>
      <c r="BK322" s="163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4"/>
      <c r="BV322" s="161"/>
      <c r="BW322" s="161"/>
      <c r="BX322" s="163"/>
      <c r="BY322" s="161"/>
      <c r="BZ322" s="161"/>
      <c r="CA322" s="161"/>
      <c r="CB322" s="161"/>
    </row>
    <row r="323" spans="1:80" ht="16.5" hidden="1" customHeight="1">
      <c r="A323" s="117">
        <v>1007</v>
      </c>
      <c r="B323" s="154" t="s">
        <v>773</v>
      </c>
      <c r="C323" s="154" t="s">
        <v>931</v>
      </c>
      <c r="D323" s="154" t="s">
        <v>13</v>
      </c>
      <c r="E323" s="154" t="s">
        <v>774</v>
      </c>
      <c r="F323" s="154" t="s">
        <v>775</v>
      </c>
      <c r="G323" s="154" t="s">
        <v>750</v>
      </c>
      <c r="H323" s="146">
        <v>598</v>
      </c>
      <c r="I323" s="147" t="s">
        <v>147</v>
      </c>
      <c r="J323" s="144">
        <v>1</v>
      </c>
      <c r="K323" s="145">
        <f>K322</f>
        <v>2</v>
      </c>
      <c r="L323" s="144">
        <f>+K323*J323</f>
        <v>2</v>
      </c>
      <c r="M323" s="146">
        <v>29.8</v>
      </c>
      <c r="N323" s="146">
        <f>+M323*L323</f>
        <v>59.6</v>
      </c>
      <c r="O323" s="146" t="s">
        <v>137</v>
      </c>
      <c r="P323" s="146" t="s">
        <v>13</v>
      </c>
      <c r="Q323" s="146" t="s">
        <v>148</v>
      </c>
      <c r="R323" s="146"/>
      <c r="S323" s="146"/>
      <c r="T323" s="146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2</v>
      </c>
      <c r="U323" s="146">
        <f ca="1">+L323-T323</f>
        <v>0</v>
      </c>
      <c r="V323" s="146">
        <f ca="1">ROUNDDOWN(T323/J323,0)</f>
        <v>2</v>
      </c>
      <c r="W323" s="146"/>
      <c r="X323" s="146"/>
      <c r="Y323" s="146"/>
      <c r="Z323" s="146"/>
      <c r="AA323" s="146"/>
      <c r="AB323" s="146"/>
      <c r="AC323" s="146">
        <v>0.4</v>
      </c>
      <c r="AD323" s="117" t="s">
        <v>196</v>
      </c>
      <c r="AE323" s="148"/>
      <c r="AF323" s="146" t="str">
        <f t="shared" ref="AF323:AV323" si="650">AF322</f>
        <v>AMC 2-S1</v>
      </c>
      <c r="AG323" s="146">
        <f t="shared" si="650"/>
        <v>2</v>
      </c>
      <c r="AH323" s="146">
        <f>+AG323*J323</f>
        <v>2</v>
      </c>
      <c r="AI323" s="146">
        <f ca="1">MIN(T323,AH323)</f>
        <v>2</v>
      </c>
      <c r="AJ323" s="146">
        <f ca="1">+AH323-AI323</f>
        <v>0</v>
      </c>
      <c r="AK323" s="146" t="str">
        <f t="shared" si="650"/>
        <v>N/A</v>
      </c>
      <c r="AL323" s="146">
        <f t="shared" si="650"/>
        <v>0</v>
      </c>
      <c r="AM323" s="146">
        <f>+AL323*J323</f>
        <v>0</v>
      </c>
      <c r="AN323" s="146">
        <f ca="1">MIN(T323-AI323,AL323)</f>
        <v>0</v>
      </c>
      <c r="AO323" s="146">
        <f ca="1">+AM323-AN323</f>
        <v>0</v>
      </c>
      <c r="AP323" s="146" t="str">
        <f t="shared" si="650"/>
        <v>N/A</v>
      </c>
      <c r="AQ323" s="146">
        <f t="shared" si="650"/>
        <v>0</v>
      </c>
      <c r="AR323" s="146">
        <f>+AQ323*J323</f>
        <v>0</v>
      </c>
      <c r="AS323" s="146">
        <f ca="1">MIN(T323-AI323-AN323,AR323)</f>
        <v>0</v>
      </c>
      <c r="AT323" s="146">
        <f ca="1">+AR323-AS323</f>
        <v>0</v>
      </c>
      <c r="AU323" s="146" t="str">
        <f t="shared" si="650"/>
        <v>N/A</v>
      </c>
      <c r="AV323" s="146">
        <f t="shared" si="650"/>
        <v>0</v>
      </c>
      <c r="AW323" s="146">
        <f>+AV323*J323</f>
        <v>0</v>
      </c>
      <c r="AX323" s="146">
        <f ca="1">MIN(T323-AI323-AN323-AS323,AW323)</f>
        <v>0</v>
      </c>
      <c r="AY323" s="146">
        <f ca="1">+AW323-AX323</f>
        <v>0</v>
      </c>
      <c r="AZ323" s="147"/>
      <c r="BA323" s="144" t="s">
        <v>141</v>
      </c>
      <c r="BB323" s="144" t="s">
        <v>140</v>
      </c>
      <c r="BC323" s="144" t="s">
        <v>140</v>
      </c>
      <c r="BD323" s="144" t="s">
        <v>140</v>
      </c>
      <c r="BE323" s="146">
        <v>0.4</v>
      </c>
      <c r="BF323" s="148"/>
      <c r="BG323" s="146"/>
      <c r="BH323" s="117"/>
      <c r="BI323" s="117"/>
      <c r="BJ323" s="149"/>
      <c r="BK323" s="149"/>
      <c r="BL323" s="117">
        <v>0</v>
      </c>
      <c r="BM323" s="117">
        <v>0</v>
      </c>
      <c r="BN323" s="117">
        <v>0</v>
      </c>
      <c r="BO323" s="117">
        <v>1</v>
      </c>
      <c r="BP323" s="117">
        <v>0</v>
      </c>
      <c r="BQ323" s="117">
        <v>0</v>
      </c>
      <c r="BR323" s="117">
        <v>0</v>
      </c>
      <c r="BS323" s="117" t="s">
        <v>150</v>
      </c>
      <c r="BT323" s="167" t="s">
        <v>319</v>
      </c>
      <c r="BU323" s="141"/>
      <c r="BV323" s="141" t="s">
        <v>320</v>
      </c>
      <c r="BW323" s="141">
        <v>2</v>
      </c>
      <c r="BX323" s="153">
        <v>46202</v>
      </c>
      <c r="BY323" s="117"/>
      <c r="BZ323" s="117"/>
      <c r="CA323" s="117"/>
      <c r="CB323" s="117">
        <f>+L323-BW323</f>
        <v>0</v>
      </c>
    </row>
    <row r="324" spans="1:80" ht="16.5" hidden="1" customHeight="1">
      <c r="A324" s="133">
        <v>1100</v>
      </c>
      <c r="B324" s="156" t="s">
        <v>776</v>
      </c>
      <c r="C324" s="156" t="s">
        <v>932</v>
      </c>
      <c r="D324" s="156"/>
      <c r="E324" s="156" t="s">
        <v>136</v>
      </c>
      <c r="F324" s="156"/>
      <c r="G324" s="156"/>
      <c r="H324" s="157"/>
      <c r="I324" s="159"/>
      <c r="J324" s="160" t="s">
        <v>136</v>
      </c>
      <c r="K324" s="138">
        <f>+AG324+AL324+AQ324+AV324</f>
        <v>2</v>
      </c>
      <c r="L324" s="160" t="s">
        <v>136</v>
      </c>
      <c r="M324" s="157"/>
      <c r="N324" s="157">
        <v>40</v>
      </c>
      <c r="O324" s="157" t="s">
        <v>137</v>
      </c>
      <c r="P324" s="157"/>
      <c r="Q324" s="157"/>
      <c r="R324" s="157"/>
      <c r="S324" s="157"/>
      <c r="T324" s="157"/>
      <c r="U324" s="157"/>
      <c r="V324" s="157"/>
      <c r="W324" s="135">
        <f ca="1">_xlfn.MINIFS(V:V,C:C,C324,AE:AE,"",AB:AB,"")</f>
        <v>2</v>
      </c>
      <c r="X324" s="135">
        <f ca="1">SUMIFS(T:T,C:C,C324,AE:AE,"")/SUMIFS(L:L,C:C,C324,AE:AE,"",AB:AB,"")</f>
        <v>1</v>
      </c>
      <c r="Y324" s="157"/>
      <c r="Z324" s="157"/>
      <c r="AA324" s="157"/>
      <c r="AB324" s="157"/>
      <c r="AC324" s="157">
        <v>0.6</v>
      </c>
      <c r="AD324" s="161" t="s">
        <v>142</v>
      </c>
      <c r="AE324" s="162" t="s">
        <v>143</v>
      </c>
      <c r="AF324" s="157" t="s">
        <v>138</v>
      </c>
      <c r="AG324" s="157">
        <v>0</v>
      </c>
      <c r="AH324" s="157"/>
      <c r="AI324" s="157"/>
      <c r="AJ324" s="157"/>
      <c r="AK324" s="157" t="s">
        <v>138</v>
      </c>
      <c r="AL324" s="157">
        <v>0</v>
      </c>
      <c r="AM324" s="157"/>
      <c r="AN324" s="157"/>
      <c r="AO324" s="157"/>
      <c r="AP324" s="157" t="s">
        <v>139</v>
      </c>
      <c r="AQ324" s="157">
        <v>2</v>
      </c>
      <c r="AR324" s="157"/>
      <c r="AS324" s="157"/>
      <c r="AT324" s="157"/>
      <c r="AU324" s="157" t="s">
        <v>138</v>
      </c>
      <c r="AV324" s="157">
        <v>0</v>
      </c>
      <c r="AW324" s="157"/>
      <c r="AX324" s="157"/>
      <c r="AY324" s="157"/>
      <c r="AZ324" s="136" t="s">
        <v>741</v>
      </c>
      <c r="BA324" s="137" t="s">
        <v>140</v>
      </c>
      <c r="BB324" s="137" t="s">
        <v>140</v>
      </c>
      <c r="BC324" s="137" t="s">
        <v>141</v>
      </c>
      <c r="BD324" s="137" t="s">
        <v>140</v>
      </c>
      <c r="BE324" s="157">
        <v>0.3</v>
      </c>
      <c r="BF324" s="162"/>
      <c r="BG324" s="157"/>
      <c r="BH324" s="161"/>
      <c r="BI324" s="161"/>
      <c r="BJ324" s="163"/>
      <c r="BK324" s="163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4"/>
      <c r="BV324" s="161"/>
      <c r="BW324" s="161"/>
      <c r="BX324" s="163"/>
      <c r="BY324" s="161"/>
      <c r="BZ324" s="161"/>
      <c r="CA324" s="161"/>
      <c r="CB324" s="161"/>
    </row>
    <row r="325" spans="1:80" ht="16.5" hidden="1" customHeight="1">
      <c r="A325" s="117">
        <v>1101</v>
      </c>
      <c r="B325" s="154" t="s">
        <v>776</v>
      </c>
      <c r="C325" s="154" t="s">
        <v>932</v>
      </c>
      <c r="D325" s="154" t="s">
        <v>13</v>
      </c>
      <c r="E325" s="154" t="s">
        <v>777</v>
      </c>
      <c r="F325" s="154" t="s">
        <v>778</v>
      </c>
      <c r="G325" s="154" t="s">
        <v>779</v>
      </c>
      <c r="H325" s="146">
        <v>451</v>
      </c>
      <c r="I325" s="147" t="s">
        <v>147</v>
      </c>
      <c r="J325" s="144">
        <v>1</v>
      </c>
      <c r="K325" s="145">
        <f>K324</f>
        <v>2</v>
      </c>
      <c r="L325" s="144">
        <f>+K325*J325</f>
        <v>2</v>
      </c>
      <c r="M325" s="146">
        <v>20</v>
      </c>
      <c r="N325" s="146">
        <f>+M325*L325</f>
        <v>40</v>
      </c>
      <c r="O325" s="146" t="s">
        <v>137</v>
      </c>
      <c r="P325" s="146" t="s">
        <v>13</v>
      </c>
      <c r="Q325" s="146" t="s">
        <v>148</v>
      </c>
      <c r="R325" s="146"/>
      <c r="S325" s="146"/>
      <c r="T325" s="146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2</v>
      </c>
      <c r="U325" s="146">
        <f ca="1">+L325-T325</f>
        <v>0</v>
      </c>
      <c r="V325" s="146">
        <f ca="1">ROUNDDOWN(T325/J325,0)</f>
        <v>2</v>
      </c>
      <c r="W325" s="146"/>
      <c r="X325" s="146"/>
      <c r="Y325" s="146"/>
      <c r="Z325" s="146"/>
      <c r="AA325" s="146"/>
      <c r="AB325" s="146"/>
      <c r="AC325" s="146">
        <v>0.3</v>
      </c>
      <c r="AD325" s="117" t="s">
        <v>142</v>
      </c>
      <c r="AE325" s="148"/>
      <c r="AF325" s="146" t="str">
        <f t="shared" ref="AF325:AV325" si="651">AF324</f>
        <v>N/A</v>
      </c>
      <c r="AG325" s="146">
        <f t="shared" si="651"/>
        <v>0</v>
      </c>
      <c r="AH325" s="146">
        <f>+AG325*J325</f>
        <v>0</v>
      </c>
      <c r="AI325" s="146">
        <f ca="1">MIN(T325,AH325)</f>
        <v>0</v>
      </c>
      <c r="AJ325" s="146">
        <f ca="1">+AH325-AI325</f>
        <v>0</v>
      </c>
      <c r="AK325" s="146" t="str">
        <f t="shared" si="651"/>
        <v>N/A</v>
      </c>
      <c r="AL325" s="146">
        <f t="shared" si="651"/>
        <v>0</v>
      </c>
      <c r="AM325" s="146">
        <f>+AL325*J325</f>
        <v>0</v>
      </c>
      <c r="AN325" s="146">
        <f ca="1">MIN(T325-AI325,AL325)</f>
        <v>0</v>
      </c>
      <c r="AO325" s="146">
        <f ca="1">+AM325-AN325</f>
        <v>0</v>
      </c>
      <c r="AP325" s="146" t="str">
        <f t="shared" si="651"/>
        <v>AMC 2-S3</v>
      </c>
      <c r="AQ325" s="146">
        <f t="shared" si="651"/>
        <v>2</v>
      </c>
      <c r="AR325" s="146">
        <f>+AQ325*J325</f>
        <v>2</v>
      </c>
      <c r="AS325" s="146">
        <f ca="1">MIN(T325-AI325-AN325,AR325)</f>
        <v>2</v>
      </c>
      <c r="AT325" s="146">
        <f ca="1">+AR325-AS325</f>
        <v>0</v>
      </c>
      <c r="AU325" s="146" t="str">
        <f t="shared" si="651"/>
        <v>N/A</v>
      </c>
      <c r="AV325" s="146">
        <f t="shared" si="651"/>
        <v>0</v>
      </c>
      <c r="AW325" s="146">
        <f>+AV325*J325</f>
        <v>0</v>
      </c>
      <c r="AX325" s="146">
        <f ca="1">MIN(T325-AI325-AN325-AS325,AW325)</f>
        <v>0</v>
      </c>
      <c r="AY325" s="146">
        <f ca="1">+AW325-AX325</f>
        <v>0</v>
      </c>
      <c r="AZ325" s="147"/>
      <c r="BA325" s="144" t="s">
        <v>140</v>
      </c>
      <c r="BB325" s="144" t="s">
        <v>140</v>
      </c>
      <c r="BC325" s="144" t="s">
        <v>141</v>
      </c>
      <c r="BD325" s="144" t="s">
        <v>140</v>
      </c>
      <c r="BE325" s="146">
        <v>0.3</v>
      </c>
      <c r="BF325" s="148"/>
      <c r="BG325" s="146"/>
      <c r="BH325" s="117"/>
      <c r="BI325" s="117"/>
      <c r="BJ325" s="149"/>
      <c r="BK325" s="150" t="s">
        <v>149</v>
      </c>
      <c r="BL325" s="151">
        <v>0</v>
      </c>
      <c r="BM325" s="151">
        <v>0</v>
      </c>
      <c r="BN325" s="151">
        <v>0</v>
      </c>
      <c r="BO325" s="151">
        <v>0</v>
      </c>
      <c r="BP325" s="151">
        <v>0</v>
      </c>
      <c r="BQ325" s="151">
        <v>0</v>
      </c>
      <c r="BR325" s="151">
        <v>0</v>
      </c>
      <c r="BS325" s="117" t="s">
        <v>150</v>
      </c>
      <c r="BT325" s="117"/>
      <c r="BU325" s="155"/>
      <c r="BV325" s="117"/>
      <c r="BW325" s="117"/>
      <c r="BX325" s="149"/>
      <c r="BY325" s="117"/>
      <c r="BZ325" s="117"/>
      <c r="CA325" s="117"/>
      <c r="CB325" s="117">
        <f>+L325-BW325</f>
        <v>2</v>
      </c>
    </row>
    <row r="326" spans="1:80" ht="16.5" hidden="1" customHeight="1">
      <c r="A326" s="133">
        <v>1102</v>
      </c>
      <c r="B326" s="156" t="s">
        <v>776</v>
      </c>
      <c r="C326" s="156" t="s">
        <v>933</v>
      </c>
      <c r="D326" s="156"/>
      <c r="E326" s="156" t="s">
        <v>136</v>
      </c>
      <c r="F326" s="156"/>
      <c r="G326" s="156"/>
      <c r="H326" s="157"/>
      <c r="I326" s="159"/>
      <c r="J326" s="160" t="s">
        <v>136</v>
      </c>
      <c r="K326" s="138">
        <f>+AG326+AL326+AQ326+AV326</f>
        <v>1</v>
      </c>
      <c r="L326" s="160" t="s">
        <v>136</v>
      </c>
      <c r="M326" s="157"/>
      <c r="N326" s="157">
        <v>215.7</v>
      </c>
      <c r="O326" s="157" t="s">
        <v>137</v>
      </c>
      <c r="P326" s="157"/>
      <c r="Q326" s="157"/>
      <c r="R326" s="157"/>
      <c r="S326" s="157"/>
      <c r="T326" s="157"/>
      <c r="U326" s="157"/>
      <c r="V326" s="157"/>
      <c r="W326" s="135">
        <f ca="1">_xlfn.MINIFS(V:V,C:C,C326,AE:AE,"",AB:AB,"")</f>
        <v>1</v>
      </c>
      <c r="X326" s="135">
        <f ca="1">SUMIFS(T:T,C:C,C326,AE:AE,"")/SUMIFS(L:L,C:C,C326,AE:AE,"",AB:AB,"")</f>
        <v>1</v>
      </c>
      <c r="Y326" s="157"/>
      <c r="Z326" s="157"/>
      <c r="AA326" s="157"/>
      <c r="AB326" s="157"/>
      <c r="AC326" s="157">
        <v>2.9</v>
      </c>
      <c r="AD326" s="161" t="s">
        <v>196</v>
      </c>
      <c r="AE326" s="162" t="s">
        <v>143</v>
      </c>
      <c r="AF326" s="157" t="s">
        <v>139</v>
      </c>
      <c r="AG326" s="157">
        <v>1</v>
      </c>
      <c r="AH326" s="157"/>
      <c r="AI326" s="157"/>
      <c r="AJ326" s="157"/>
      <c r="AK326" s="157" t="s">
        <v>138</v>
      </c>
      <c r="AL326" s="157">
        <v>0</v>
      </c>
      <c r="AM326" s="157"/>
      <c r="AN326" s="157"/>
      <c r="AO326" s="157"/>
      <c r="AP326" s="157" t="s">
        <v>138</v>
      </c>
      <c r="AQ326" s="157">
        <v>0</v>
      </c>
      <c r="AR326" s="157"/>
      <c r="AS326" s="157"/>
      <c r="AT326" s="157"/>
      <c r="AU326" s="157" t="s">
        <v>138</v>
      </c>
      <c r="AV326" s="157">
        <v>0</v>
      </c>
      <c r="AW326" s="157"/>
      <c r="AX326" s="157"/>
      <c r="AY326" s="157"/>
      <c r="AZ326" s="136" t="s">
        <v>741</v>
      </c>
      <c r="BA326" s="137" t="s">
        <v>141</v>
      </c>
      <c r="BB326" s="137" t="s">
        <v>140</v>
      </c>
      <c r="BC326" s="137" t="s">
        <v>140</v>
      </c>
      <c r="BD326" s="137" t="s">
        <v>140</v>
      </c>
      <c r="BE326" s="157">
        <v>2.9</v>
      </c>
      <c r="BF326" s="162"/>
      <c r="BG326" s="157"/>
      <c r="BH326" s="161"/>
      <c r="BI326" s="161"/>
      <c r="BJ326" s="163"/>
      <c r="BK326" s="163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4"/>
      <c r="BV326" s="161"/>
      <c r="BW326" s="161"/>
      <c r="BX326" s="163"/>
      <c r="BY326" s="161"/>
      <c r="BZ326" s="161"/>
      <c r="CA326" s="161"/>
      <c r="CB326" s="161"/>
    </row>
    <row r="327" spans="1:80" ht="16.5" hidden="1" customHeight="1">
      <c r="A327" s="117">
        <v>1103</v>
      </c>
      <c r="B327" s="154" t="s">
        <v>776</v>
      </c>
      <c r="C327" s="154" t="s">
        <v>933</v>
      </c>
      <c r="D327" s="154" t="s">
        <v>13</v>
      </c>
      <c r="E327" s="154" t="s">
        <v>780</v>
      </c>
      <c r="F327" s="154" t="s">
        <v>781</v>
      </c>
      <c r="G327" s="154" t="s">
        <v>782</v>
      </c>
      <c r="H327" s="146">
        <v>1983</v>
      </c>
      <c r="I327" s="147" t="s">
        <v>147</v>
      </c>
      <c r="J327" s="144">
        <v>1</v>
      </c>
      <c r="K327" s="145">
        <f>K326</f>
        <v>1</v>
      </c>
      <c r="L327" s="144">
        <f>+K327*J327</f>
        <v>1</v>
      </c>
      <c r="M327" s="146">
        <v>215.7</v>
      </c>
      <c r="N327" s="146">
        <f>+M327*L327</f>
        <v>215.7</v>
      </c>
      <c r="O327" s="146" t="s">
        <v>137</v>
      </c>
      <c r="P327" s="146" t="s">
        <v>13</v>
      </c>
      <c r="Q327" s="146" t="s">
        <v>148</v>
      </c>
      <c r="R327" s="146"/>
      <c r="S327" s="146"/>
      <c r="T327" s="146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1</v>
      </c>
      <c r="U327" s="146">
        <f ca="1">+L327-T327</f>
        <v>0</v>
      </c>
      <c r="V327" s="146">
        <f ca="1">ROUNDDOWN(T327/J327,0)</f>
        <v>1</v>
      </c>
      <c r="W327" s="146"/>
      <c r="X327" s="146"/>
      <c r="Y327" s="146"/>
      <c r="Z327" s="146"/>
      <c r="AA327" s="146"/>
      <c r="AB327" s="146"/>
      <c r="AC327" s="146">
        <v>2.9</v>
      </c>
      <c r="AD327" s="117" t="s">
        <v>196</v>
      </c>
      <c r="AE327" s="148"/>
      <c r="AF327" s="146" t="str">
        <f t="shared" ref="AF327:AV327" si="652">AF326</f>
        <v>AMC 2-S3</v>
      </c>
      <c r="AG327" s="146">
        <f t="shared" si="652"/>
        <v>1</v>
      </c>
      <c r="AH327" s="146">
        <f>+AG327*J327</f>
        <v>1</v>
      </c>
      <c r="AI327" s="146">
        <f ca="1">MIN(T327,AH327)</f>
        <v>1</v>
      </c>
      <c r="AJ327" s="146">
        <f ca="1">+AH327-AI327</f>
        <v>0</v>
      </c>
      <c r="AK327" s="146" t="str">
        <f t="shared" si="652"/>
        <v>N/A</v>
      </c>
      <c r="AL327" s="146">
        <f t="shared" si="652"/>
        <v>0</v>
      </c>
      <c r="AM327" s="146">
        <f>+AL327*J327</f>
        <v>0</v>
      </c>
      <c r="AN327" s="146">
        <f ca="1">MIN(T327-AI327,AL327)</f>
        <v>0</v>
      </c>
      <c r="AO327" s="146">
        <f ca="1">+AM327-AN327</f>
        <v>0</v>
      </c>
      <c r="AP327" s="146" t="str">
        <f t="shared" si="652"/>
        <v>N/A</v>
      </c>
      <c r="AQ327" s="146">
        <f t="shared" si="652"/>
        <v>0</v>
      </c>
      <c r="AR327" s="146">
        <f>+AQ327*J327</f>
        <v>0</v>
      </c>
      <c r="AS327" s="146">
        <f ca="1">MIN(T327-AI327-AN327,AR327)</f>
        <v>0</v>
      </c>
      <c r="AT327" s="146">
        <f ca="1">+AR327-AS327</f>
        <v>0</v>
      </c>
      <c r="AU327" s="146" t="str">
        <f t="shared" si="652"/>
        <v>N/A</v>
      </c>
      <c r="AV327" s="146">
        <f t="shared" si="652"/>
        <v>0</v>
      </c>
      <c r="AW327" s="146">
        <f>+AV327*J327</f>
        <v>0</v>
      </c>
      <c r="AX327" s="146">
        <f ca="1">MIN(T327-AI327-AN327-AS327,AW327)</f>
        <v>0</v>
      </c>
      <c r="AY327" s="146">
        <f ca="1">+AW327-AX327</f>
        <v>0</v>
      </c>
      <c r="AZ327" s="147"/>
      <c r="BA327" s="144" t="s">
        <v>141</v>
      </c>
      <c r="BB327" s="144" t="s">
        <v>140</v>
      </c>
      <c r="BC327" s="144" t="s">
        <v>140</v>
      </c>
      <c r="BD327" s="144" t="s">
        <v>140</v>
      </c>
      <c r="BE327" s="146">
        <v>2.9</v>
      </c>
      <c r="BF327" s="148"/>
      <c r="BG327" s="146"/>
      <c r="BH327" s="117"/>
      <c r="BI327" s="117"/>
      <c r="BJ327" s="149"/>
      <c r="BK327" s="149"/>
      <c r="BL327" s="117">
        <v>0</v>
      </c>
      <c r="BM327" s="117">
        <v>0</v>
      </c>
      <c r="BN327" s="117">
        <v>0</v>
      </c>
      <c r="BO327" s="117">
        <v>0</v>
      </c>
      <c r="BP327" s="117">
        <v>0</v>
      </c>
      <c r="BQ327" s="117">
        <v>0</v>
      </c>
      <c r="BR327" s="117">
        <v>0</v>
      </c>
      <c r="BS327" s="117" t="s">
        <v>150</v>
      </c>
      <c r="BT327" s="167" t="s">
        <v>319</v>
      </c>
      <c r="BU327" s="141"/>
      <c r="BV327" s="141" t="s">
        <v>320</v>
      </c>
      <c r="BW327" s="141">
        <v>1</v>
      </c>
      <c r="BX327" s="153">
        <v>46202</v>
      </c>
      <c r="BY327" s="117"/>
      <c r="BZ327" s="117"/>
      <c r="CA327" s="117"/>
      <c r="CB327" s="117">
        <f>+L327-BW327</f>
        <v>0</v>
      </c>
    </row>
    <row r="328" spans="1:80" ht="16.5" hidden="1" customHeight="1">
      <c r="A328" s="133">
        <v>1118</v>
      </c>
      <c r="B328" s="156" t="s">
        <v>783</v>
      </c>
      <c r="C328" s="156" t="s">
        <v>934</v>
      </c>
      <c r="D328" s="156"/>
      <c r="E328" s="156" t="s">
        <v>136</v>
      </c>
      <c r="F328" s="156"/>
      <c r="G328" s="156"/>
      <c r="H328" s="157"/>
      <c r="I328" s="159"/>
      <c r="J328" s="160" t="s">
        <v>136</v>
      </c>
      <c r="K328" s="138">
        <f>+AG328+AL328+AQ328+AV328</f>
        <v>1</v>
      </c>
      <c r="L328" s="160" t="s">
        <v>136</v>
      </c>
      <c r="M328" s="157"/>
      <c r="N328" s="157">
        <v>451.8</v>
      </c>
      <c r="O328" s="157" t="s">
        <v>137</v>
      </c>
      <c r="P328" s="157"/>
      <c r="Q328" s="157"/>
      <c r="R328" s="157"/>
      <c r="S328" s="157"/>
      <c r="T328" s="157"/>
      <c r="U328" s="157"/>
      <c r="V328" s="157"/>
      <c r="W328" s="135">
        <f ca="1">_xlfn.MINIFS(V:V,C:C,C328,AE:AE,"",AB:AB,"")</f>
        <v>1</v>
      </c>
      <c r="X328" s="135">
        <f ca="1">SUMIFS(T:T,C:C,C328,AE:AE,"")/SUMIFS(L:L,C:C,C328,AE:AE,"",AB:AB,"")</f>
        <v>1</v>
      </c>
      <c r="Y328" s="157"/>
      <c r="Z328" s="157"/>
      <c r="AA328" s="157"/>
      <c r="AB328" s="157"/>
      <c r="AC328" s="157">
        <v>6.2</v>
      </c>
      <c r="AD328" s="161" t="s">
        <v>784</v>
      </c>
      <c r="AE328" s="162" t="s">
        <v>143</v>
      </c>
      <c r="AF328" s="157" t="s">
        <v>139</v>
      </c>
      <c r="AG328" s="157">
        <v>1</v>
      </c>
      <c r="AH328" s="157"/>
      <c r="AI328" s="157"/>
      <c r="AJ328" s="157"/>
      <c r="AK328" s="157" t="s">
        <v>138</v>
      </c>
      <c r="AL328" s="157">
        <v>0</v>
      </c>
      <c r="AM328" s="157"/>
      <c r="AN328" s="157"/>
      <c r="AO328" s="157"/>
      <c r="AP328" s="157" t="s">
        <v>138</v>
      </c>
      <c r="AQ328" s="157">
        <v>0</v>
      </c>
      <c r="AR328" s="157"/>
      <c r="AS328" s="157"/>
      <c r="AT328" s="157"/>
      <c r="AU328" s="157" t="s">
        <v>138</v>
      </c>
      <c r="AV328" s="157">
        <v>0</v>
      </c>
      <c r="AW328" s="157"/>
      <c r="AX328" s="157"/>
      <c r="AY328" s="157"/>
      <c r="AZ328" s="136"/>
      <c r="BA328" s="137" t="s">
        <v>141</v>
      </c>
      <c r="BB328" s="137" t="s">
        <v>140</v>
      </c>
      <c r="BC328" s="137" t="s">
        <v>140</v>
      </c>
      <c r="BD328" s="137" t="s">
        <v>140</v>
      </c>
      <c r="BE328" s="157">
        <v>6.2</v>
      </c>
      <c r="BF328" s="162"/>
      <c r="BG328" s="157"/>
      <c r="BH328" s="161"/>
      <c r="BI328" s="161"/>
      <c r="BJ328" s="163"/>
      <c r="BK328" s="163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4"/>
      <c r="BV328" s="161"/>
      <c r="BW328" s="161"/>
      <c r="BX328" s="163"/>
      <c r="BY328" s="161"/>
      <c r="BZ328" s="161"/>
      <c r="CA328" s="161"/>
      <c r="CB328" s="161"/>
    </row>
    <row r="329" spans="1:80" ht="16.5" hidden="1" customHeight="1">
      <c r="A329" s="117">
        <v>1119</v>
      </c>
      <c r="B329" s="154" t="s">
        <v>783</v>
      </c>
      <c r="C329" s="154" t="s">
        <v>934</v>
      </c>
      <c r="D329" s="154" t="s">
        <v>13</v>
      </c>
      <c r="E329" s="154" t="s">
        <v>785</v>
      </c>
      <c r="F329" s="154" t="s">
        <v>786</v>
      </c>
      <c r="G329" s="154" t="s">
        <v>787</v>
      </c>
      <c r="H329" s="146">
        <v>3981</v>
      </c>
      <c r="I329" s="147" t="s">
        <v>147</v>
      </c>
      <c r="J329" s="144">
        <v>1</v>
      </c>
      <c r="K329" s="145">
        <f t="shared" ref="K329:K331" si="653">K328</f>
        <v>1</v>
      </c>
      <c r="L329" s="144">
        <f t="shared" ref="L329:L331" si="654">+K329*J329</f>
        <v>1</v>
      </c>
      <c r="M329" s="146">
        <v>205.8</v>
      </c>
      <c r="N329" s="146">
        <f t="shared" ref="N329:N331" si="655">+M329*L329</f>
        <v>205.8</v>
      </c>
      <c r="O329" s="146" t="s">
        <v>137</v>
      </c>
      <c r="P329" s="146" t="s">
        <v>13</v>
      </c>
      <c r="Q329" s="146" t="s">
        <v>148</v>
      </c>
      <c r="R329" s="146"/>
      <c r="S329" s="146"/>
      <c r="T329" s="146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46">
        <f t="shared" ref="U329:U331" ca="1" si="656">+L329-T329</f>
        <v>0</v>
      </c>
      <c r="V329" s="146">
        <f t="shared" ref="V329:V331" ca="1" si="657">ROUNDDOWN(T329/J329,0)</f>
        <v>1</v>
      </c>
      <c r="W329" s="146"/>
      <c r="X329" s="146"/>
      <c r="Y329" s="146"/>
      <c r="Z329" s="146"/>
      <c r="AA329" s="146"/>
      <c r="AB329" s="146"/>
      <c r="AC329" s="146">
        <v>2.8</v>
      </c>
      <c r="AD329" s="117" t="s">
        <v>784</v>
      </c>
      <c r="AE329" s="148"/>
      <c r="AF329" s="146" t="str">
        <f t="shared" ref="AF329:AV331" si="658">AF328</f>
        <v>AMC 2-S3</v>
      </c>
      <c r="AG329" s="146">
        <f t="shared" si="658"/>
        <v>1</v>
      </c>
      <c r="AH329" s="146">
        <f t="shared" ref="AH329:AH331" si="659">+AG329*J329</f>
        <v>1</v>
      </c>
      <c r="AI329" s="146">
        <f t="shared" ref="AI329:AI331" ca="1" si="660">MIN(T329,AH329)</f>
        <v>1</v>
      </c>
      <c r="AJ329" s="146">
        <f t="shared" ref="AJ329:AJ331" ca="1" si="661">+AH329-AI329</f>
        <v>0</v>
      </c>
      <c r="AK329" s="146" t="str">
        <f t="shared" si="658"/>
        <v>N/A</v>
      </c>
      <c r="AL329" s="146">
        <f t="shared" si="658"/>
        <v>0</v>
      </c>
      <c r="AM329" s="146">
        <f t="shared" ref="AM329:AM331" si="662">+AL329*J329</f>
        <v>0</v>
      </c>
      <c r="AN329" s="146">
        <f t="shared" ref="AN329:AN331" ca="1" si="663">MIN(T329-AI329,AL329)</f>
        <v>0</v>
      </c>
      <c r="AO329" s="146">
        <f t="shared" ref="AO329:AO331" ca="1" si="664">+AM329-AN329</f>
        <v>0</v>
      </c>
      <c r="AP329" s="146" t="str">
        <f t="shared" si="658"/>
        <v>N/A</v>
      </c>
      <c r="AQ329" s="146">
        <f t="shared" si="658"/>
        <v>0</v>
      </c>
      <c r="AR329" s="146">
        <f t="shared" ref="AR329:AR331" si="665">+AQ329*J329</f>
        <v>0</v>
      </c>
      <c r="AS329" s="146">
        <f t="shared" ref="AS329:AS331" ca="1" si="666">MIN(T329-AI329-AN329,AR329)</f>
        <v>0</v>
      </c>
      <c r="AT329" s="146">
        <f t="shared" ref="AT329:AT331" ca="1" si="667">+AR329-AS329</f>
        <v>0</v>
      </c>
      <c r="AU329" s="146" t="str">
        <f t="shared" si="658"/>
        <v>N/A</v>
      </c>
      <c r="AV329" s="146">
        <f t="shared" si="658"/>
        <v>0</v>
      </c>
      <c r="AW329" s="146">
        <f t="shared" ref="AW329:AW331" si="668">+AV329*J329</f>
        <v>0</v>
      </c>
      <c r="AX329" s="146">
        <f t="shared" ref="AX329:AX331" ca="1" si="669">MIN(T329-AI329-AN329-AS329,AW329)</f>
        <v>0</v>
      </c>
      <c r="AY329" s="146">
        <f t="shared" ref="AY329:AY331" ca="1" si="670">+AW329-AX329</f>
        <v>0</v>
      </c>
      <c r="AZ329" s="147"/>
      <c r="BA329" s="144" t="s">
        <v>141</v>
      </c>
      <c r="BB329" s="144" t="s">
        <v>140</v>
      </c>
      <c r="BC329" s="144" t="s">
        <v>140</v>
      </c>
      <c r="BD329" s="144" t="s">
        <v>140</v>
      </c>
      <c r="BE329" s="146">
        <v>2.8</v>
      </c>
      <c r="BF329" s="148"/>
      <c r="BG329" s="146"/>
      <c r="BH329" s="117"/>
      <c r="BI329" s="117"/>
      <c r="BJ329" s="149"/>
      <c r="BK329" s="149"/>
      <c r="BL329" s="117">
        <v>0</v>
      </c>
      <c r="BM329" s="117">
        <v>0</v>
      </c>
      <c r="BN329" s="117">
        <v>0</v>
      </c>
      <c r="BO329" s="117">
        <v>0</v>
      </c>
      <c r="BP329" s="117">
        <v>0</v>
      </c>
      <c r="BQ329" s="117">
        <v>0</v>
      </c>
      <c r="BR329" s="117">
        <v>0</v>
      </c>
      <c r="BS329" s="117" t="s">
        <v>150</v>
      </c>
      <c r="BT329" s="167" t="s">
        <v>319</v>
      </c>
      <c r="BU329" s="141"/>
      <c r="BV329" s="141" t="s">
        <v>320</v>
      </c>
      <c r="BW329" s="141">
        <v>1</v>
      </c>
      <c r="BX329" s="153">
        <v>46202</v>
      </c>
      <c r="BY329" s="117"/>
      <c r="BZ329" s="117"/>
      <c r="CA329" s="117"/>
      <c r="CB329" s="117">
        <f>+L329-BW329</f>
        <v>0</v>
      </c>
    </row>
    <row r="330" spans="1:80" ht="16.5" hidden="1" customHeight="1">
      <c r="A330" s="117">
        <v>1120</v>
      </c>
      <c r="B330" s="154" t="s">
        <v>783</v>
      </c>
      <c r="C330" s="154" t="s">
        <v>934</v>
      </c>
      <c r="D330" s="154" t="s">
        <v>13</v>
      </c>
      <c r="E330" s="154" t="s">
        <v>788</v>
      </c>
      <c r="F330" s="154" t="s">
        <v>789</v>
      </c>
      <c r="G330" s="154" t="s">
        <v>790</v>
      </c>
      <c r="H330" s="146">
        <v>450</v>
      </c>
      <c r="I330" s="147" t="s">
        <v>147</v>
      </c>
      <c r="J330" s="144">
        <v>2</v>
      </c>
      <c r="K330" s="145">
        <f t="shared" si="653"/>
        <v>1</v>
      </c>
      <c r="L330" s="144">
        <f t="shared" si="654"/>
        <v>2</v>
      </c>
      <c r="M330" s="146">
        <v>8.3000000000000007</v>
      </c>
      <c r="N330" s="146">
        <f t="shared" si="655"/>
        <v>16.600000000000001</v>
      </c>
      <c r="O330" s="146" t="s">
        <v>137</v>
      </c>
      <c r="P330" s="146" t="s">
        <v>13</v>
      </c>
      <c r="Q330" s="146" t="s">
        <v>148</v>
      </c>
      <c r="R330" s="146"/>
      <c r="S330" s="146"/>
      <c r="T330" s="146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2</v>
      </c>
      <c r="U330" s="146">
        <f t="shared" ca="1" si="656"/>
        <v>0</v>
      </c>
      <c r="V330" s="146">
        <f t="shared" ca="1" si="657"/>
        <v>1</v>
      </c>
      <c r="W330" s="146"/>
      <c r="X330" s="146"/>
      <c r="Y330" s="146"/>
      <c r="Z330" s="146"/>
      <c r="AA330" s="146"/>
      <c r="AB330" s="146"/>
      <c r="AC330" s="146">
        <v>0.3</v>
      </c>
      <c r="AD330" s="117" t="s">
        <v>784</v>
      </c>
      <c r="AE330" s="148"/>
      <c r="AF330" s="146" t="str">
        <f t="shared" si="658"/>
        <v>AMC 2-S3</v>
      </c>
      <c r="AG330" s="146">
        <f t="shared" si="658"/>
        <v>1</v>
      </c>
      <c r="AH330" s="146">
        <f t="shared" si="659"/>
        <v>2</v>
      </c>
      <c r="AI330" s="146">
        <f t="shared" ca="1" si="660"/>
        <v>2</v>
      </c>
      <c r="AJ330" s="146">
        <f t="shared" ca="1" si="661"/>
        <v>0</v>
      </c>
      <c r="AK330" s="146" t="str">
        <f t="shared" si="658"/>
        <v>N/A</v>
      </c>
      <c r="AL330" s="146">
        <f t="shared" si="658"/>
        <v>0</v>
      </c>
      <c r="AM330" s="146">
        <f t="shared" si="662"/>
        <v>0</v>
      </c>
      <c r="AN330" s="146">
        <f t="shared" ca="1" si="663"/>
        <v>0</v>
      </c>
      <c r="AO330" s="146">
        <f t="shared" ca="1" si="664"/>
        <v>0</v>
      </c>
      <c r="AP330" s="146" t="str">
        <f t="shared" si="658"/>
        <v>N/A</v>
      </c>
      <c r="AQ330" s="146">
        <f t="shared" si="658"/>
        <v>0</v>
      </c>
      <c r="AR330" s="146">
        <f t="shared" si="665"/>
        <v>0</v>
      </c>
      <c r="AS330" s="146">
        <f t="shared" ca="1" si="666"/>
        <v>0</v>
      </c>
      <c r="AT330" s="146">
        <f t="shared" ca="1" si="667"/>
        <v>0</v>
      </c>
      <c r="AU330" s="146" t="str">
        <f t="shared" si="658"/>
        <v>N/A</v>
      </c>
      <c r="AV330" s="146">
        <f t="shared" si="658"/>
        <v>0</v>
      </c>
      <c r="AW330" s="146">
        <f t="shared" si="668"/>
        <v>0</v>
      </c>
      <c r="AX330" s="146">
        <f t="shared" ca="1" si="669"/>
        <v>0</v>
      </c>
      <c r="AY330" s="146">
        <f t="shared" ca="1" si="670"/>
        <v>0</v>
      </c>
      <c r="AZ330" s="147"/>
      <c r="BA330" s="144" t="s">
        <v>141</v>
      </c>
      <c r="BB330" s="144" t="s">
        <v>140</v>
      </c>
      <c r="BC330" s="144" t="s">
        <v>140</v>
      </c>
      <c r="BD330" s="144" t="s">
        <v>140</v>
      </c>
      <c r="BE330" s="146">
        <v>0.1</v>
      </c>
      <c r="BF330" s="148"/>
      <c r="BG330" s="146"/>
      <c r="BH330" s="117"/>
      <c r="BI330" s="117"/>
      <c r="BJ330" s="149"/>
      <c r="BK330" s="149"/>
      <c r="BL330" s="117">
        <v>0</v>
      </c>
      <c r="BM330" s="117">
        <v>0</v>
      </c>
      <c r="BN330" s="117">
        <v>0</v>
      </c>
      <c r="BO330" s="117">
        <v>0</v>
      </c>
      <c r="BP330" s="117">
        <v>0</v>
      </c>
      <c r="BQ330" s="117">
        <v>0</v>
      </c>
      <c r="BR330" s="117">
        <v>0</v>
      </c>
      <c r="BS330" s="117" t="s">
        <v>150</v>
      </c>
      <c r="BT330" s="167" t="s">
        <v>319</v>
      </c>
      <c r="BU330" s="141"/>
      <c r="BV330" s="141" t="s">
        <v>320</v>
      </c>
      <c r="BW330" s="141">
        <v>2</v>
      </c>
      <c r="BX330" s="153">
        <v>46202</v>
      </c>
      <c r="BY330" s="117"/>
      <c r="BZ330" s="117"/>
      <c r="CA330" s="117"/>
      <c r="CB330" s="117">
        <f>+L330-BW330</f>
        <v>0</v>
      </c>
    </row>
    <row r="331" spans="1:80" ht="16.5" hidden="1" customHeight="1">
      <c r="A331" s="117">
        <v>1121</v>
      </c>
      <c r="B331" s="154" t="s">
        <v>783</v>
      </c>
      <c r="C331" s="154" t="s">
        <v>934</v>
      </c>
      <c r="D331" s="154" t="s">
        <v>13</v>
      </c>
      <c r="E331" s="154" t="s">
        <v>791</v>
      </c>
      <c r="F331" s="154" t="s">
        <v>792</v>
      </c>
      <c r="G331" s="154" t="s">
        <v>793</v>
      </c>
      <c r="H331" s="146">
        <v>3981</v>
      </c>
      <c r="I331" s="147" t="s">
        <v>147</v>
      </c>
      <c r="J331" s="144">
        <v>1</v>
      </c>
      <c r="K331" s="145">
        <f t="shared" si="653"/>
        <v>1</v>
      </c>
      <c r="L331" s="144">
        <f t="shared" si="654"/>
        <v>1</v>
      </c>
      <c r="M331" s="146">
        <v>229.3</v>
      </c>
      <c r="N331" s="146">
        <f t="shared" si="655"/>
        <v>229.3</v>
      </c>
      <c r="O331" s="146" t="s">
        <v>137</v>
      </c>
      <c r="P331" s="146" t="s">
        <v>13</v>
      </c>
      <c r="Q331" s="146" t="s">
        <v>148</v>
      </c>
      <c r="R331" s="146"/>
      <c r="S331" s="146"/>
      <c r="T331" s="146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1</v>
      </c>
      <c r="U331" s="146">
        <f t="shared" ca="1" si="656"/>
        <v>0</v>
      </c>
      <c r="V331" s="146">
        <f t="shared" ca="1" si="657"/>
        <v>1</v>
      </c>
      <c r="W331" s="146"/>
      <c r="X331" s="146"/>
      <c r="Y331" s="146"/>
      <c r="Z331" s="146"/>
      <c r="AA331" s="146"/>
      <c r="AB331" s="146"/>
      <c r="AC331" s="146">
        <v>3.1</v>
      </c>
      <c r="AD331" s="117" t="s">
        <v>784</v>
      </c>
      <c r="AE331" s="148"/>
      <c r="AF331" s="146" t="str">
        <f t="shared" si="658"/>
        <v>AMC 2-S3</v>
      </c>
      <c r="AG331" s="146">
        <f t="shared" si="658"/>
        <v>1</v>
      </c>
      <c r="AH331" s="146">
        <f t="shared" si="659"/>
        <v>1</v>
      </c>
      <c r="AI331" s="146">
        <f t="shared" ca="1" si="660"/>
        <v>1</v>
      </c>
      <c r="AJ331" s="146">
        <f t="shared" ca="1" si="661"/>
        <v>0</v>
      </c>
      <c r="AK331" s="146" t="str">
        <f t="shared" si="658"/>
        <v>N/A</v>
      </c>
      <c r="AL331" s="146">
        <f t="shared" si="658"/>
        <v>0</v>
      </c>
      <c r="AM331" s="146">
        <f t="shared" si="662"/>
        <v>0</v>
      </c>
      <c r="AN331" s="146">
        <f t="shared" ca="1" si="663"/>
        <v>0</v>
      </c>
      <c r="AO331" s="146">
        <f t="shared" ca="1" si="664"/>
        <v>0</v>
      </c>
      <c r="AP331" s="146" t="str">
        <f t="shared" si="658"/>
        <v>N/A</v>
      </c>
      <c r="AQ331" s="146">
        <f t="shared" si="658"/>
        <v>0</v>
      </c>
      <c r="AR331" s="146">
        <f t="shared" si="665"/>
        <v>0</v>
      </c>
      <c r="AS331" s="146">
        <f t="shared" ca="1" si="666"/>
        <v>0</v>
      </c>
      <c r="AT331" s="146">
        <f t="shared" ca="1" si="667"/>
        <v>0</v>
      </c>
      <c r="AU331" s="146" t="str">
        <f t="shared" si="658"/>
        <v>N/A</v>
      </c>
      <c r="AV331" s="146">
        <f t="shared" si="658"/>
        <v>0</v>
      </c>
      <c r="AW331" s="146">
        <f t="shared" si="668"/>
        <v>0</v>
      </c>
      <c r="AX331" s="146">
        <f t="shared" ca="1" si="669"/>
        <v>0</v>
      </c>
      <c r="AY331" s="146">
        <f t="shared" ca="1" si="670"/>
        <v>0</v>
      </c>
      <c r="AZ331" s="147"/>
      <c r="BA331" s="144" t="s">
        <v>141</v>
      </c>
      <c r="BB331" s="144" t="s">
        <v>140</v>
      </c>
      <c r="BC331" s="144" t="s">
        <v>140</v>
      </c>
      <c r="BD331" s="144" t="s">
        <v>140</v>
      </c>
      <c r="BE331" s="146">
        <v>3.1</v>
      </c>
      <c r="BF331" s="148"/>
      <c r="BG331" s="146"/>
      <c r="BH331" s="117"/>
      <c r="BI331" s="117"/>
      <c r="BJ331" s="149"/>
      <c r="BK331" s="149"/>
      <c r="BL331" s="117">
        <v>0</v>
      </c>
      <c r="BM331" s="117">
        <v>0</v>
      </c>
      <c r="BN331" s="117">
        <v>0</v>
      </c>
      <c r="BO331" s="117">
        <v>0</v>
      </c>
      <c r="BP331" s="117">
        <v>0</v>
      </c>
      <c r="BQ331" s="117">
        <v>0</v>
      </c>
      <c r="BR331" s="117">
        <v>0</v>
      </c>
      <c r="BS331" s="117" t="s">
        <v>150</v>
      </c>
      <c r="BT331" s="167" t="s">
        <v>319</v>
      </c>
      <c r="BU331" s="141"/>
      <c r="BV331" s="141" t="s">
        <v>320</v>
      </c>
      <c r="BW331" s="141">
        <v>1</v>
      </c>
      <c r="BX331" s="153">
        <v>46202</v>
      </c>
      <c r="BY331" s="117"/>
      <c r="BZ331" s="117"/>
      <c r="CA331" s="117"/>
      <c r="CB331" s="117">
        <f>+L331-BW331</f>
        <v>0</v>
      </c>
    </row>
    <row r="332" spans="1:80" ht="16.5" hidden="1" customHeight="1">
      <c r="A332" s="133">
        <v>1122</v>
      </c>
      <c r="B332" s="156" t="s">
        <v>794</v>
      </c>
      <c r="C332" s="156" t="s">
        <v>935</v>
      </c>
      <c r="D332" s="156"/>
      <c r="E332" s="156" t="s">
        <v>136</v>
      </c>
      <c r="F332" s="156"/>
      <c r="G332" s="156"/>
      <c r="H332" s="157"/>
      <c r="I332" s="159"/>
      <c r="J332" s="160" t="s">
        <v>136</v>
      </c>
      <c r="K332" s="138">
        <f>+AG332+AL332+AQ332+AV332</f>
        <v>2</v>
      </c>
      <c r="L332" s="160" t="s">
        <v>136</v>
      </c>
      <c r="M332" s="157"/>
      <c r="N332" s="157">
        <v>459</v>
      </c>
      <c r="O332" s="157" t="s">
        <v>137</v>
      </c>
      <c r="P332" s="157"/>
      <c r="Q332" s="157"/>
      <c r="R332" s="157"/>
      <c r="S332" s="157"/>
      <c r="T332" s="157"/>
      <c r="U332" s="157"/>
      <c r="V332" s="157"/>
      <c r="W332" s="135">
        <f ca="1">_xlfn.MINIFS(V:V,C:C,C332,AE:AE,"",AB:AB,"")</f>
        <v>2</v>
      </c>
      <c r="X332" s="135">
        <f ca="1">SUMIFS(T:T,C:C,C332,AE:AE,"")/SUMIFS(L:L,C:C,C332,AE:AE,"",AB:AB,"")</f>
        <v>1</v>
      </c>
      <c r="Y332" s="157"/>
      <c r="Z332" s="157"/>
      <c r="AA332" s="157"/>
      <c r="AB332" s="157"/>
      <c r="AC332" s="157">
        <v>6.1</v>
      </c>
      <c r="AD332" s="161" t="s">
        <v>196</v>
      </c>
      <c r="AE332" s="162" t="s">
        <v>143</v>
      </c>
      <c r="AF332" s="157" t="s">
        <v>139</v>
      </c>
      <c r="AG332" s="157">
        <v>2</v>
      </c>
      <c r="AH332" s="157"/>
      <c r="AI332" s="157"/>
      <c r="AJ332" s="157"/>
      <c r="AK332" s="157" t="s">
        <v>138</v>
      </c>
      <c r="AL332" s="157">
        <v>0</v>
      </c>
      <c r="AM332" s="157"/>
      <c r="AN332" s="157"/>
      <c r="AO332" s="157"/>
      <c r="AP332" s="157" t="s">
        <v>138</v>
      </c>
      <c r="AQ332" s="157">
        <v>0</v>
      </c>
      <c r="AR332" s="157"/>
      <c r="AS332" s="157"/>
      <c r="AT332" s="157"/>
      <c r="AU332" s="157" t="s">
        <v>138</v>
      </c>
      <c r="AV332" s="157">
        <v>0</v>
      </c>
      <c r="AW332" s="157"/>
      <c r="AX332" s="157"/>
      <c r="AY332" s="157"/>
      <c r="AZ332" s="136" t="s">
        <v>741</v>
      </c>
      <c r="BA332" s="137" t="s">
        <v>141</v>
      </c>
      <c r="BB332" s="137" t="s">
        <v>140</v>
      </c>
      <c r="BC332" s="137" t="s">
        <v>140</v>
      </c>
      <c r="BD332" s="137" t="s">
        <v>140</v>
      </c>
      <c r="BE332" s="157">
        <v>3</v>
      </c>
      <c r="BF332" s="162"/>
      <c r="BG332" s="157"/>
      <c r="BH332" s="161"/>
      <c r="BI332" s="161"/>
      <c r="BJ332" s="163"/>
      <c r="BK332" s="163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4"/>
      <c r="BV332" s="161"/>
      <c r="BW332" s="161"/>
      <c r="BX332" s="163"/>
      <c r="BY332" s="161"/>
      <c r="BZ332" s="161"/>
      <c r="CA332" s="161"/>
      <c r="CB332" s="161"/>
    </row>
    <row r="333" spans="1:80" ht="16.5" hidden="1" customHeight="1">
      <c r="A333" s="117">
        <v>1123</v>
      </c>
      <c r="B333" s="154" t="s">
        <v>794</v>
      </c>
      <c r="C333" s="154" t="s">
        <v>935</v>
      </c>
      <c r="D333" s="154" t="s">
        <v>13</v>
      </c>
      <c r="E333" s="154" t="s">
        <v>795</v>
      </c>
      <c r="F333" s="154" t="s">
        <v>796</v>
      </c>
      <c r="G333" s="154" t="s">
        <v>797</v>
      </c>
      <c r="H333" s="146">
        <v>2024</v>
      </c>
      <c r="I333" s="147" t="s">
        <v>147</v>
      </c>
      <c r="J333" s="144">
        <v>1</v>
      </c>
      <c r="K333" s="145">
        <f>K332</f>
        <v>2</v>
      </c>
      <c r="L333" s="144">
        <f>+K333*J333</f>
        <v>2</v>
      </c>
      <c r="M333" s="146">
        <v>229.5</v>
      </c>
      <c r="N333" s="146">
        <f>+M333*L333</f>
        <v>459</v>
      </c>
      <c r="O333" s="146" t="s">
        <v>137</v>
      </c>
      <c r="P333" s="146" t="s">
        <v>13</v>
      </c>
      <c r="Q333" s="146" t="s">
        <v>148</v>
      </c>
      <c r="R333" s="146"/>
      <c r="S333" s="146"/>
      <c r="T333" s="146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2</v>
      </c>
      <c r="U333" s="146">
        <f ca="1">+L333-T333</f>
        <v>0</v>
      </c>
      <c r="V333" s="146">
        <f ca="1">ROUNDDOWN(T333/J333,0)</f>
        <v>2</v>
      </c>
      <c r="W333" s="146"/>
      <c r="X333" s="146"/>
      <c r="Y333" s="146"/>
      <c r="Z333" s="146"/>
      <c r="AA333" s="146"/>
      <c r="AB333" s="146"/>
      <c r="AC333" s="146">
        <v>3</v>
      </c>
      <c r="AD333" s="117" t="s">
        <v>196</v>
      </c>
      <c r="AE333" s="148"/>
      <c r="AF333" s="146" t="str">
        <f t="shared" ref="AF333:AV333" si="671">AF332</f>
        <v>AMC 2-S3</v>
      </c>
      <c r="AG333" s="146">
        <f t="shared" si="671"/>
        <v>2</v>
      </c>
      <c r="AH333" s="146">
        <f>+AG333*J333</f>
        <v>2</v>
      </c>
      <c r="AI333" s="146">
        <f ca="1">MIN(T333,AH333)</f>
        <v>2</v>
      </c>
      <c r="AJ333" s="146">
        <f ca="1">+AH333-AI333</f>
        <v>0</v>
      </c>
      <c r="AK333" s="146" t="str">
        <f t="shared" si="671"/>
        <v>N/A</v>
      </c>
      <c r="AL333" s="146">
        <f t="shared" si="671"/>
        <v>0</v>
      </c>
      <c r="AM333" s="146">
        <f>+AL333*J333</f>
        <v>0</v>
      </c>
      <c r="AN333" s="146">
        <f ca="1">MIN(T333-AI333,AL333)</f>
        <v>0</v>
      </c>
      <c r="AO333" s="146">
        <f ca="1">+AM333-AN333</f>
        <v>0</v>
      </c>
      <c r="AP333" s="146" t="str">
        <f t="shared" si="671"/>
        <v>N/A</v>
      </c>
      <c r="AQ333" s="146">
        <f t="shared" si="671"/>
        <v>0</v>
      </c>
      <c r="AR333" s="146">
        <f>+AQ333*J333</f>
        <v>0</v>
      </c>
      <c r="AS333" s="146">
        <f ca="1">MIN(T333-AI333-AN333,AR333)</f>
        <v>0</v>
      </c>
      <c r="AT333" s="146">
        <f ca="1">+AR333-AS333</f>
        <v>0</v>
      </c>
      <c r="AU333" s="146" t="str">
        <f t="shared" si="671"/>
        <v>N/A</v>
      </c>
      <c r="AV333" s="146">
        <f t="shared" si="671"/>
        <v>0</v>
      </c>
      <c r="AW333" s="146">
        <f>+AV333*J333</f>
        <v>0</v>
      </c>
      <c r="AX333" s="146">
        <f ca="1">MIN(T333-AI333-AN333-AS333,AW333)</f>
        <v>0</v>
      </c>
      <c r="AY333" s="146">
        <f ca="1">+AW333-AX333</f>
        <v>0</v>
      </c>
      <c r="AZ333" s="147"/>
      <c r="BA333" s="144" t="s">
        <v>141</v>
      </c>
      <c r="BB333" s="144" t="s">
        <v>140</v>
      </c>
      <c r="BC333" s="144" t="s">
        <v>140</v>
      </c>
      <c r="BD333" s="144" t="s">
        <v>140</v>
      </c>
      <c r="BE333" s="146">
        <v>3</v>
      </c>
      <c r="BF333" s="148"/>
      <c r="BG333" s="146"/>
      <c r="BH333" s="117"/>
      <c r="BI333" s="117"/>
      <c r="BJ333" s="149"/>
      <c r="BK333" s="149"/>
      <c r="BL333" s="117">
        <v>0</v>
      </c>
      <c r="BM333" s="117">
        <v>0</v>
      </c>
      <c r="BN333" s="117">
        <v>0</v>
      </c>
      <c r="BO333" s="117">
        <v>0</v>
      </c>
      <c r="BP333" s="117">
        <v>0</v>
      </c>
      <c r="BQ333" s="117">
        <v>0</v>
      </c>
      <c r="BR333" s="117">
        <v>0</v>
      </c>
      <c r="BS333" s="117" t="s">
        <v>150</v>
      </c>
      <c r="BT333" s="167" t="s">
        <v>319</v>
      </c>
      <c r="BU333" s="141"/>
      <c r="BV333" s="141" t="s">
        <v>320</v>
      </c>
      <c r="BW333" s="141">
        <v>2</v>
      </c>
      <c r="BX333" s="153">
        <v>46202</v>
      </c>
      <c r="BY333" s="117"/>
      <c r="BZ333" s="117"/>
      <c r="CA333" s="117"/>
      <c r="CB333" s="117">
        <f>+L333-BW333</f>
        <v>0</v>
      </c>
    </row>
    <row r="334" spans="1:80" ht="16.5" hidden="1" customHeight="1">
      <c r="A334" s="133">
        <v>1124</v>
      </c>
      <c r="B334" s="156" t="s">
        <v>794</v>
      </c>
      <c r="C334" s="156" t="s">
        <v>936</v>
      </c>
      <c r="D334" s="156"/>
      <c r="E334" s="156" t="s">
        <v>136</v>
      </c>
      <c r="F334" s="156"/>
      <c r="G334" s="156"/>
      <c r="H334" s="157"/>
      <c r="I334" s="159"/>
      <c r="J334" s="160" t="s">
        <v>136</v>
      </c>
      <c r="K334" s="138">
        <f>+AG334+AL334+AQ334+AV334</f>
        <v>4</v>
      </c>
      <c r="L334" s="160" t="s">
        <v>136</v>
      </c>
      <c r="M334" s="157"/>
      <c r="N334" s="157">
        <v>1546.4</v>
      </c>
      <c r="O334" s="157" t="s">
        <v>137</v>
      </c>
      <c r="P334" s="157"/>
      <c r="Q334" s="157"/>
      <c r="R334" s="157"/>
      <c r="S334" s="157"/>
      <c r="T334" s="157"/>
      <c r="U334" s="157"/>
      <c r="V334" s="157"/>
      <c r="W334" s="135">
        <f ca="1">_xlfn.MINIFS(V:V,C:C,C334,AE:AE,"",AB:AB,"")</f>
        <v>2</v>
      </c>
      <c r="X334" s="135">
        <f ca="1">SUMIFS(T:T,C:C,C334,AE:AE,"")/SUMIFS(L:L,C:C,C334,AE:AE,"",AB:AB,"")</f>
        <v>0.5</v>
      </c>
      <c r="Y334" s="157"/>
      <c r="Z334" s="157"/>
      <c r="AA334" s="157"/>
      <c r="AB334" s="157"/>
      <c r="AC334" s="157">
        <v>16.5</v>
      </c>
      <c r="AD334" s="161" t="s">
        <v>798</v>
      </c>
      <c r="AE334" s="162" t="s">
        <v>143</v>
      </c>
      <c r="AF334" s="157" t="s">
        <v>139</v>
      </c>
      <c r="AG334" s="157">
        <v>2</v>
      </c>
      <c r="AH334" s="157"/>
      <c r="AI334" s="157"/>
      <c r="AJ334" s="157"/>
      <c r="AK334" s="157" t="s">
        <v>138</v>
      </c>
      <c r="AL334" s="157">
        <v>0</v>
      </c>
      <c r="AM334" s="157"/>
      <c r="AN334" s="157"/>
      <c r="AO334" s="157"/>
      <c r="AP334" s="157" t="s">
        <v>139</v>
      </c>
      <c r="AQ334" s="157">
        <v>2</v>
      </c>
      <c r="AR334" s="157"/>
      <c r="AS334" s="157"/>
      <c r="AT334" s="157"/>
      <c r="AU334" s="157" t="s">
        <v>138</v>
      </c>
      <c r="AV334" s="157">
        <v>0</v>
      </c>
      <c r="AW334" s="157"/>
      <c r="AX334" s="157"/>
      <c r="AY334" s="157"/>
      <c r="AZ334" s="136" t="s">
        <v>741</v>
      </c>
      <c r="BA334" s="137" t="s">
        <v>141</v>
      </c>
      <c r="BB334" s="137" t="s">
        <v>140</v>
      </c>
      <c r="BC334" s="137" t="s">
        <v>141</v>
      </c>
      <c r="BD334" s="137" t="s">
        <v>140</v>
      </c>
      <c r="BE334" s="157">
        <v>4.0999999999999996</v>
      </c>
      <c r="BF334" s="162"/>
      <c r="BG334" s="157"/>
      <c r="BH334" s="161"/>
      <c r="BI334" s="161"/>
      <c r="BJ334" s="163"/>
      <c r="BK334" s="163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4"/>
      <c r="BV334" s="161"/>
      <c r="BW334" s="161"/>
      <c r="BX334" s="163"/>
      <c r="BY334" s="161"/>
      <c r="BZ334" s="161"/>
      <c r="CA334" s="161"/>
      <c r="CB334" s="161"/>
    </row>
    <row r="335" spans="1:80" ht="16.5" hidden="1" customHeight="1">
      <c r="A335" s="117">
        <v>1125</v>
      </c>
      <c r="B335" s="154" t="s">
        <v>794</v>
      </c>
      <c r="C335" s="154" t="s">
        <v>936</v>
      </c>
      <c r="D335" s="154" t="s">
        <v>13</v>
      </c>
      <c r="E335" s="154" t="s">
        <v>799</v>
      </c>
      <c r="F335" s="154" t="s">
        <v>800</v>
      </c>
      <c r="G335" s="154" t="s">
        <v>801</v>
      </c>
      <c r="H335" s="146">
        <v>2567</v>
      </c>
      <c r="I335" s="147" t="s">
        <v>147</v>
      </c>
      <c r="J335" s="144">
        <v>1</v>
      </c>
      <c r="K335" s="145">
        <f>K334</f>
        <v>4</v>
      </c>
      <c r="L335" s="144">
        <f>+K335*J335</f>
        <v>4</v>
      </c>
      <c r="M335" s="146">
        <v>386.6</v>
      </c>
      <c r="N335" s="146">
        <f>+M335*L335</f>
        <v>1546.4</v>
      </c>
      <c r="O335" s="146" t="s">
        <v>137</v>
      </c>
      <c r="P335" s="146" t="s">
        <v>13</v>
      </c>
      <c r="Q335" s="146" t="s">
        <v>148</v>
      </c>
      <c r="R335" s="146"/>
      <c r="S335" s="146"/>
      <c r="T335" s="146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2</v>
      </c>
      <c r="U335" s="146">
        <f ca="1">+L335-T335</f>
        <v>2</v>
      </c>
      <c r="V335" s="146">
        <f ca="1">ROUNDDOWN(T335/J335,0)</f>
        <v>2</v>
      </c>
      <c r="W335" s="146"/>
      <c r="X335" s="146"/>
      <c r="Y335" s="146"/>
      <c r="Z335" s="146"/>
      <c r="AA335" s="146"/>
      <c r="AB335" s="146"/>
      <c r="AC335" s="146">
        <v>4.0999999999999996</v>
      </c>
      <c r="AD335" s="117" t="s">
        <v>802</v>
      </c>
      <c r="AE335" s="148"/>
      <c r="AF335" s="146" t="str">
        <f t="shared" ref="AF335:AV335" si="672">AF334</f>
        <v>AMC 2-S3</v>
      </c>
      <c r="AG335" s="146">
        <f t="shared" si="672"/>
        <v>2</v>
      </c>
      <c r="AH335" s="146">
        <f>+AG335*J335</f>
        <v>2</v>
      </c>
      <c r="AI335" s="146">
        <f ca="1">MIN(T335,AH335)</f>
        <v>2</v>
      </c>
      <c r="AJ335" s="146">
        <f ca="1">+AH335-AI335</f>
        <v>0</v>
      </c>
      <c r="AK335" s="146" t="str">
        <f t="shared" si="672"/>
        <v>N/A</v>
      </c>
      <c r="AL335" s="146">
        <f t="shared" si="672"/>
        <v>0</v>
      </c>
      <c r="AM335" s="146">
        <f>+AL335*J335</f>
        <v>0</v>
      </c>
      <c r="AN335" s="146">
        <f ca="1">MIN(T335-AI335,AL335)</f>
        <v>0</v>
      </c>
      <c r="AO335" s="146">
        <f ca="1">+AM335-AN335</f>
        <v>0</v>
      </c>
      <c r="AP335" s="146" t="str">
        <f t="shared" si="672"/>
        <v>AMC 2-S3</v>
      </c>
      <c r="AQ335" s="146">
        <f t="shared" si="672"/>
        <v>2</v>
      </c>
      <c r="AR335" s="146">
        <f>+AQ335*J335</f>
        <v>2</v>
      </c>
      <c r="AS335" s="146">
        <f ca="1">MIN(T335-AI335-AN335,AR335)</f>
        <v>0</v>
      </c>
      <c r="AT335" s="146">
        <f ca="1">+AR335-AS335</f>
        <v>2</v>
      </c>
      <c r="AU335" s="146" t="str">
        <f t="shared" si="672"/>
        <v>N/A</v>
      </c>
      <c r="AV335" s="146">
        <f t="shared" si="672"/>
        <v>0</v>
      </c>
      <c r="AW335" s="146">
        <f>+AV335*J335</f>
        <v>0</v>
      </c>
      <c r="AX335" s="146">
        <f ca="1">MIN(T335-AI335-AN335-AS335,AW335)</f>
        <v>0</v>
      </c>
      <c r="AY335" s="146">
        <f ca="1">+AW335-AX335</f>
        <v>0</v>
      </c>
      <c r="AZ335" s="147"/>
      <c r="BA335" s="144" t="s">
        <v>141</v>
      </c>
      <c r="BB335" s="144" t="s">
        <v>140</v>
      </c>
      <c r="BC335" s="144" t="s">
        <v>141</v>
      </c>
      <c r="BD335" s="144" t="s">
        <v>140</v>
      </c>
      <c r="BE335" s="146">
        <v>4.0999999999999996</v>
      </c>
      <c r="BF335" s="148"/>
      <c r="BG335" s="146"/>
      <c r="BH335" s="117"/>
      <c r="BI335" s="117"/>
      <c r="BJ335" s="149"/>
      <c r="BK335" s="149"/>
      <c r="BL335" s="117">
        <v>0</v>
      </c>
      <c r="BM335" s="117">
        <v>0</v>
      </c>
      <c r="BN335" s="117">
        <v>0</v>
      </c>
      <c r="BO335" s="117">
        <v>1</v>
      </c>
      <c r="BP335" s="117">
        <v>0</v>
      </c>
      <c r="BQ335" s="117">
        <v>0</v>
      </c>
      <c r="BR335" s="117">
        <v>0</v>
      </c>
      <c r="BS335" s="117" t="s">
        <v>150</v>
      </c>
      <c r="BT335" s="117" t="s">
        <v>803</v>
      </c>
      <c r="BU335" s="117"/>
      <c r="BV335" s="117" t="s">
        <v>804</v>
      </c>
      <c r="BW335" s="117">
        <v>2</v>
      </c>
      <c r="BX335" s="149">
        <v>46196</v>
      </c>
      <c r="BY335" s="117"/>
      <c r="BZ335" s="117"/>
      <c r="CA335" s="117"/>
      <c r="CB335" s="117">
        <f>+L335-BW335</f>
        <v>2</v>
      </c>
    </row>
    <row r="336" spans="1:80" ht="16.5" hidden="1" customHeight="1">
      <c r="A336" s="133">
        <v>1126</v>
      </c>
      <c r="B336" s="156" t="s">
        <v>794</v>
      </c>
      <c r="C336" s="156" t="s">
        <v>937</v>
      </c>
      <c r="D336" s="156"/>
      <c r="E336" s="156" t="s">
        <v>136</v>
      </c>
      <c r="F336" s="156"/>
      <c r="G336" s="156"/>
      <c r="H336" s="157"/>
      <c r="I336" s="159"/>
      <c r="J336" s="160" t="s">
        <v>136</v>
      </c>
      <c r="K336" s="138">
        <f>+AG336+AL336+AQ336+AV336</f>
        <v>24</v>
      </c>
      <c r="L336" s="160" t="s">
        <v>136</v>
      </c>
      <c r="M336" s="157"/>
      <c r="N336" s="157">
        <v>1381.7</v>
      </c>
      <c r="O336" s="157" t="s">
        <v>137</v>
      </c>
      <c r="P336" s="157"/>
      <c r="Q336" s="157"/>
      <c r="R336" s="157"/>
      <c r="S336" s="157"/>
      <c r="T336" s="157"/>
      <c r="U336" s="157"/>
      <c r="V336" s="157"/>
      <c r="W336" s="135">
        <f ca="1">_xlfn.MINIFS(V:V,C:C,C336,AE:AE,"",AB:AB,"")</f>
        <v>16</v>
      </c>
      <c r="X336" s="135">
        <f ca="1">SUMIFS(T:T,C:C,C336,AE:AE,"")/SUMIFS(L:L,C:C,C336,AE:AE,"",AB:AB,"")</f>
        <v>0.66666666666666663</v>
      </c>
      <c r="Y336" s="157"/>
      <c r="Z336" s="157"/>
      <c r="AA336" s="157"/>
      <c r="AB336" s="157"/>
      <c r="AC336" s="157">
        <v>26.4</v>
      </c>
      <c r="AD336" s="161" t="s">
        <v>805</v>
      </c>
      <c r="AE336" s="162" t="s">
        <v>143</v>
      </c>
      <c r="AF336" s="157" t="s">
        <v>250</v>
      </c>
      <c r="AG336" s="157">
        <v>8</v>
      </c>
      <c r="AH336" s="157"/>
      <c r="AI336" s="157"/>
      <c r="AJ336" s="157"/>
      <c r="AK336" s="157" t="s">
        <v>250</v>
      </c>
      <c r="AL336" s="157">
        <v>8</v>
      </c>
      <c r="AM336" s="157"/>
      <c r="AN336" s="157"/>
      <c r="AO336" s="157"/>
      <c r="AP336" s="157" t="s">
        <v>250</v>
      </c>
      <c r="AQ336" s="157">
        <v>8</v>
      </c>
      <c r="AR336" s="157"/>
      <c r="AS336" s="157"/>
      <c r="AT336" s="157"/>
      <c r="AU336" s="157" t="s">
        <v>138</v>
      </c>
      <c r="AV336" s="157">
        <v>0</v>
      </c>
      <c r="AW336" s="157"/>
      <c r="AX336" s="157"/>
      <c r="AY336" s="157"/>
      <c r="AZ336" s="136"/>
      <c r="BA336" s="137" t="s">
        <v>141</v>
      </c>
      <c r="BB336" s="137" t="s">
        <v>141</v>
      </c>
      <c r="BC336" s="137" t="s">
        <v>141</v>
      </c>
      <c r="BD336" s="137" t="s">
        <v>140</v>
      </c>
      <c r="BE336" s="157">
        <v>1.1000000000000001</v>
      </c>
      <c r="BF336" s="162"/>
      <c r="BG336" s="157"/>
      <c r="BH336" s="161"/>
      <c r="BI336" s="161"/>
      <c r="BJ336" s="163"/>
      <c r="BK336" s="163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4"/>
      <c r="BV336" s="161"/>
      <c r="BW336" s="161"/>
      <c r="BX336" s="163"/>
      <c r="BY336" s="161"/>
      <c r="BZ336" s="161"/>
      <c r="CA336" s="161"/>
      <c r="CB336" s="161"/>
    </row>
    <row r="337" spans="1:80" ht="16.5" hidden="1" customHeight="1">
      <c r="A337" s="117">
        <v>1127</v>
      </c>
      <c r="B337" s="154" t="s">
        <v>794</v>
      </c>
      <c r="C337" s="154" t="s">
        <v>937</v>
      </c>
      <c r="D337" s="154" t="s">
        <v>13</v>
      </c>
      <c r="E337" s="154" t="s">
        <v>806</v>
      </c>
      <c r="F337" s="154" t="s">
        <v>807</v>
      </c>
      <c r="G337" s="154" t="s">
        <v>204</v>
      </c>
      <c r="H337" s="146">
        <v>722</v>
      </c>
      <c r="I337" s="147" t="s">
        <v>147</v>
      </c>
      <c r="J337" s="144">
        <v>2</v>
      </c>
      <c r="K337" s="145">
        <f t="shared" ref="K337:K338" si="673">K336</f>
        <v>24</v>
      </c>
      <c r="L337" s="144">
        <f t="shared" ref="L337:L338" si="674">+K337*J337</f>
        <v>48</v>
      </c>
      <c r="M337" s="146">
        <v>17</v>
      </c>
      <c r="N337" s="146">
        <f t="shared" ref="N337:N338" si="675">+M337*L337</f>
        <v>816</v>
      </c>
      <c r="O337" s="146" t="s">
        <v>137</v>
      </c>
      <c r="P337" s="146" t="s">
        <v>13</v>
      </c>
      <c r="Q337" s="146" t="s">
        <v>148</v>
      </c>
      <c r="R337" s="146"/>
      <c r="S337" s="146"/>
      <c r="T337" s="146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32</v>
      </c>
      <c r="U337" s="146">
        <f t="shared" ref="U337:U338" ca="1" si="676">+L337-T337</f>
        <v>16</v>
      </c>
      <c r="V337" s="146">
        <f t="shared" ref="V337:V338" ca="1" si="677">ROUNDDOWN(T337/J337,0)</f>
        <v>16</v>
      </c>
      <c r="W337" s="146"/>
      <c r="X337" s="146"/>
      <c r="Y337" s="146"/>
      <c r="Z337" s="146"/>
      <c r="AA337" s="146"/>
      <c r="AB337" s="146"/>
      <c r="AC337" s="146">
        <v>0.6</v>
      </c>
      <c r="AD337" s="117" t="s">
        <v>268</v>
      </c>
      <c r="AE337" s="148"/>
      <c r="AF337" s="146" t="str">
        <f t="shared" ref="AF337:AV338" si="678">AF336</f>
        <v>AMC 2-S2</v>
      </c>
      <c r="AG337" s="146">
        <f t="shared" si="678"/>
        <v>8</v>
      </c>
      <c r="AH337" s="146">
        <f t="shared" ref="AH337:AH338" si="679">+AG337*J337</f>
        <v>16</v>
      </c>
      <c r="AI337" s="146">
        <f t="shared" ref="AI337:AI338" ca="1" si="680">MIN(T337,AH337)</f>
        <v>16</v>
      </c>
      <c r="AJ337" s="146">
        <f t="shared" ref="AJ337:AJ338" ca="1" si="681">+AH337-AI337</f>
        <v>0</v>
      </c>
      <c r="AK337" s="146" t="str">
        <f t="shared" si="678"/>
        <v>AMC 2-S2</v>
      </c>
      <c r="AL337" s="146">
        <f t="shared" si="678"/>
        <v>8</v>
      </c>
      <c r="AM337" s="146">
        <f t="shared" ref="AM337:AM338" si="682">+AL337*J337</f>
        <v>16</v>
      </c>
      <c r="AN337" s="146">
        <f t="shared" ref="AN337:AN338" ca="1" si="683">MIN(T337-AI337,AL337)</f>
        <v>8</v>
      </c>
      <c r="AO337" s="146">
        <f t="shared" ref="AO337:AO338" ca="1" si="684">+AM337-AN337</f>
        <v>8</v>
      </c>
      <c r="AP337" s="146" t="str">
        <f t="shared" si="678"/>
        <v>AMC 2-S2</v>
      </c>
      <c r="AQ337" s="146">
        <f t="shared" si="678"/>
        <v>8</v>
      </c>
      <c r="AR337" s="146">
        <f t="shared" ref="AR337:AR338" si="685">+AQ337*J337</f>
        <v>16</v>
      </c>
      <c r="AS337" s="146">
        <f t="shared" ref="AS337:AS338" ca="1" si="686">MIN(T337-AI337-AN337,AR337)</f>
        <v>8</v>
      </c>
      <c r="AT337" s="146">
        <f t="shared" ref="AT337:AT338" ca="1" si="687">+AR337-AS337</f>
        <v>8</v>
      </c>
      <c r="AU337" s="146" t="str">
        <f t="shared" si="678"/>
        <v>N/A</v>
      </c>
      <c r="AV337" s="146">
        <f t="shared" si="678"/>
        <v>0</v>
      </c>
      <c r="AW337" s="146">
        <f t="shared" ref="AW337:AW338" si="688">+AV337*J337</f>
        <v>0</v>
      </c>
      <c r="AX337" s="146">
        <f t="shared" ref="AX337:AX338" ca="1" si="689">MIN(T337-AI337-AN337-AS337,AW337)</f>
        <v>0</v>
      </c>
      <c r="AY337" s="146">
        <f t="shared" ref="AY337:AY338" ca="1" si="690">+AW337-AX337</f>
        <v>0</v>
      </c>
      <c r="AZ337" s="147"/>
      <c r="BA337" s="144" t="s">
        <v>141</v>
      </c>
      <c r="BB337" s="144" t="s">
        <v>141</v>
      </c>
      <c r="BC337" s="144" t="s">
        <v>141</v>
      </c>
      <c r="BD337" s="144" t="s">
        <v>140</v>
      </c>
      <c r="BE337" s="146">
        <v>0.3</v>
      </c>
      <c r="BF337" s="148"/>
      <c r="BG337" s="146"/>
      <c r="BH337" s="117"/>
      <c r="BI337" s="117"/>
      <c r="BJ337" s="149"/>
      <c r="BK337" s="149"/>
      <c r="BL337" s="117">
        <v>0</v>
      </c>
      <c r="BM337" s="117">
        <v>0</v>
      </c>
      <c r="BN337" s="117">
        <v>0</v>
      </c>
      <c r="BO337" s="117">
        <v>0</v>
      </c>
      <c r="BP337" s="117">
        <v>0</v>
      </c>
      <c r="BQ337" s="117">
        <v>0</v>
      </c>
      <c r="BR337" s="117">
        <v>0</v>
      </c>
      <c r="BS337" s="117" t="s">
        <v>150</v>
      </c>
      <c r="BT337" s="158" t="s">
        <v>200</v>
      </c>
      <c r="BU337" s="117"/>
      <c r="BV337" s="117" t="s">
        <v>201</v>
      </c>
      <c r="BW337" s="117">
        <v>16</v>
      </c>
      <c r="BX337" s="149">
        <v>46201</v>
      </c>
      <c r="BY337" s="117"/>
      <c r="BZ337" s="117"/>
      <c r="CA337" s="117"/>
      <c r="CB337" s="117">
        <f>+L337-BW337</f>
        <v>32</v>
      </c>
    </row>
    <row r="338" spans="1:80" ht="16.5" hidden="1" customHeight="1">
      <c r="A338" s="117">
        <v>1128</v>
      </c>
      <c r="B338" s="154" t="s">
        <v>794</v>
      </c>
      <c r="C338" s="154" t="s">
        <v>937</v>
      </c>
      <c r="D338" s="154" t="s">
        <v>13</v>
      </c>
      <c r="E338" s="154" t="s">
        <v>808</v>
      </c>
      <c r="F338" s="154" t="s">
        <v>809</v>
      </c>
      <c r="G338" s="154" t="s">
        <v>810</v>
      </c>
      <c r="H338" s="146">
        <v>722</v>
      </c>
      <c r="I338" s="147" t="s">
        <v>147</v>
      </c>
      <c r="J338" s="144">
        <v>2</v>
      </c>
      <c r="K338" s="145">
        <f t="shared" si="673"/>
        <v>24</v>
      </c>
      <c r="L338" s="144">
        <f t="shared" si="674"/>
        <v>48</v>
      </c>
      <c r="M338" s="146">
        <v>13.1</v>
      </c>
      <c r="N338" s="146">
        <f t="shared" si="675"/>
        <v>628.79999999999995</v>
      </c>
      <c r="O338" s="146" t="s">
        <v>137</v>
      </c>
      <c r="P338" s="146" t="s">
        <v>13</v>
      </c>
      <c r="Q338" s="146" t="s">
        <v>148</v>
      </c>
      <c r="R338" s="146"/>
      <c r="S338" s="146"/>
      <c r="T338" s="146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32</v>
      </c>
      <c r="U338" s="146">
        <f t="shared" ca="1" si="676"/>
        <v>16</v>
      </c>
      <c r="V338" s="146">
        <f t="shared" ca="1" si="677"/>
        <v>16</v>
      </c>
      <c r="W338" s="146"/>
      <c r="X338" s="146"/>
      <c r="Y338" s="146"/>
      <c r="Z338" s="146"/>
      <c r="AA338" s="146"/>
      <c r="AB338" s="146"/>
      <c r="AC338" s="146">
        <v>0.5</v>
      </c>
      <c r="AD338" s="117" t="s">
        <v>268</v>
      </c>
      <c r="AE338" s="148"/>
      <c r="AF338" s="146" t="str">
        <f t="shared" si="678"/>
        <v>AMC 2-S2</v>
      </c>
      <c r="AG338" s="146">
        <f t="shared" si="678"/>
        <v>8</v>
      </c>
      <c r="AH338" s="146">
        <f t="shared" si="679"/>
        <v>16</v>
      </c>
      <c r="AI338" s="146">
        <f t="shared" ca="1" si="680"/>
        <v>16</v>
      </c>
      <c r="AJ338" s="146">
        <f t="shared" ca="1" si="681"/>
        <v>0</v>
      </c>
      <c r="AK338" s="146" t="str">
        <f t="shared" si="678"/>
        <v>AMC 2-S2</v>
      </c>
      <c r="AL338" s="146">
        <f t="shared" si="678"/>
        <v>8</v>
      </c>
      <c r="AM338" s="146">
        <f t="shared" si="682"/>
        <v>16</v>
      </c>
      <c r="AN338" s="146">
        <f t="shared" ca="1" si="683"/>
        <v>8</v>
      </c>
      <c r="AO338" s="146">
        <f t="shared" ca="1" si="684"/>
        <v>8</v>
      </c>
      <c r="AP338" s="146" t="str">
        <f t="shared" si="678"/>
        <v>AMC 2-S2</v>
      </c>
      <c r="AQ338" s="146">
        <f t="shared" si="678"/>
        <v>8</v>
      </c>
      <c r="AR338" s="146">
        <f t="shared" si="685"/>
        <v>16</v>
      </c>
      <c r="AS338" s="146">
        <f t="shared" ca="1" si="686"/>
        <v>8</v>
      </c>
      <c r="AT338" s="146">
        <f t="shared" ca="1" si="687"/>
        <v>8</v>
      </c>
      <c r="AU338" s="146" t="str">
        <f t="shared" si="678"/>
        <v>N/A</v>
      </c>
      <c r="AV338" s="146">
        <f t="shared" si="678"/>
        <v>0</v>
      </c>
      <c r="AW338" s="146">
        <f t="shared" si="688"/>
        <v>0</v>
      </c>
      <c r="AX338" s="146">
        <f t="shared" ca="1" si="689"/>
        <v>0</v>
      </c>
      <c r="AY338" s="146">
        <f t="shared" ca="1" si="690"/>
        <v>0</v>
      </c>
      <c r="AZ338" s="147"/>
      <c r="BA338" s="144" t="s">
        <v>141</v>
      </c>
      <c r="BB338" s="144" t="s">
        <v>141</v>
      </c>
      <c r="BC338" s="144" t="s">
        <v>141</v>
      </c>
      <c r="BD338" s="144" t="s">
        <v>140</v>
      </c>
      <c r="BE338" s="146">
        <v>0.3</v>
      </c>
      <c r="BF338" s="148"/>
      <c r="BG338" s="146"/>
      <c r="BH338" s="117"/>
      <c r="BI338" s="117"/>
      <c r="BJ338" s="149"/>
      <c r="BK338" s="149"/>
      <c r="BL338" s="117">
        <v>0</v>
      </c>
      <c r="BM338" s="117">
        <v>0</v>
      </c>
      <c r="BN338" s="117">
        <v>0</v>
      </c>
      <c r="BO338" s="117">
        <v>1</v>
      </c>
      <c r="BP338" s="117">
        <v>0</v>
      </c>
      <c r="BQ338" s="117">
        <v>0</v>
      </c>
      <c r="BR338" s="117">
        <v>0</v>
      </c>
      <c r="BS338" s="117" t="s">
        <v>150</v>
      </c>
      <c r="BT338" s="158" t="s">
        <v>200</v>
      </c>
      <c r="BU338" s="117"/>
      <c r="BV338" s="117" t="s">
        <v>201</v>
      </c>
      <c r="BW338" s="117">
        <v>16</v>
      </c>
      <c r="BX338" s="149">
        <v>46201</v>
      </c>
      <c r="BY338" s="117"/>
      <c r="BZ338" s="117"/>
      <c r="CA338" s="117"/>
      <c r="CB338" s="117">
        <f>+L338-BW338</f>
        <v>32</v>
      </c>
    </row>
    <row r="339" spans="1:80" ht="16.5" hidden="1" customHeight="1">
      <c r="A339" s="133">
        <v>1139</v>
      </c>
      <c r="B339" s="156" t="s">
        <v>794</v>
      </c>
      <c r="C339" s="156" t="s">
        <v>938</v>
      </c>
      <c r="D339" s="156"/>
      <c r="E339" s="156" t="s">
        <v>136</v>
      </c>
      <c r="F339" s="156"/>
      <c r="G339" s="156"/>
      <c r="H339" s="157"/>
      <c r="I339" s="159"/>
      <c r="J339" s="160" t="s">
        <v>136</v>
      </c>
      <c r="K339" s="138">
        <f>+AG339+AL339+AQ339+AV339</f>
        <v>8</v>
      </c>
      <c r="L339" s="160" t="s">
        <v>136</v>
      </c>
      <c r="M339" s="157"/>
      <c r="N339" s="157">
        <v>581.29999999999995</v>
      </c>
      <c r="O339" s="157" t="s">
        <v>137</v>
      </c>
      <c r="P339" s="157"/>
      <c r="Q339" s="157"/>
      <c r="R339" s="157"/>
      <c r="S339" s="157"/>
      <c r="T339" s="157"/>
      <c r="U339" s="157"/>
      <c r="V339" s="157"/>
      <c r="W339" s="135">
        <f ca="1">_xlfn.MINIFS(V:V,C:C,C339,AE:AE,"",AB:AB,"")</f>
        <v>7</v>
      </c>
      <c r="X339" s="135">
        <f ca="1">SUMIFS(T:T,C:C,C339,AE:AE,"")/SUMIFS(L:L,C:C,C339,AE:AE,"",AB:AB,"")</f>
        <v>0.96875</v>
      </c>
      <c r="Y339" s="157"/>
      <c r="Z339" s="157"/>
      <c r="AA339" s="157"/>
      <c r="AB339" s="157"/>
      <c r="AC339" s="157">
        <v>11.1</v>
      </c>
      <c r="AD339" s="161" t="s">
        <v>196</v>
      </c>
      <c r="AE339" s="162" t="s">
        <v>143</v>
      </c>
      <c r="AF339" s="157" t="s">
        <v>139</v>
      </c>
      <c r="AG339" s="157">
        <v>8</v>
      </c>
      <c r="AH339" s="157"/>
      <c r="AI339" s="157"/>
      <c r="AJ339" s="157"/>
      <c r="AK339" s="157" t="s">
        <v>138</v>
      </c>
      <c r="AL339" s="157">
        <v>0</v>
      </c>
      <c r="AM339" s="157"/>
      <c r="AN339" s="157"/>
      <c r="AO339" s="157"/>
      <c r="AP339" s="157" t="s">
        <v>138</v>
      </c>
      <c r="AQ339" s="157">
        <v>0</v>
      </c>
      <c r="AR339" s="157"/>
      <c r="AS339" s="157"/>
      <c r="AT339" s="157"/>
      <c r="AU339" s="157" t="s">
        <v>138</v>
      </c>
      <c r="AV339" s="157">
        <v>0</v>
      </c>
      <c r="AW339" s="157"/>
      <c r="AX339" s="157"/>
      <c r="AY339" s="157"/>
      <c r="AZ339" s="136"/>
      <c r="BA339" s="137" t="s">
        <v>141</v>
      </c>
      <c r="BB339" s="137" t="s">
        <v>140</v>
      </c>
      <c r="BC339" s="137" t="s">
        <v>140</v>
      </c>
      <c r="BD339" s="137" t="s">
        <v>140</v>
      </c>
      <c r="BE339" s="157">
        <v>1.4</v>
      </c>
      <c r="BF339" s="162"/>
      <c r="BG339" s="157"/>
      <c r="BH339" s="161"/>
      <c r="BI339" s="161"/>
      <c r="BJ339" s="163"/>
      <c r="BK339" s="163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4"/>
      <c r="BV339" s="161"/>
      <c r="BW339" s="161"/>
      <c r="BX339" s="163"/>
      <c r="BY339" s="161"/>
      <c r="BZ339" s="161"/>
      <c r="CA339" s="161"/>
      <c r="CB339" s="161"/>
    </row>
    <row r="340" spans="1:80" ht="16.5" hidden="1" customHeight="1">
      <c r="A340" s="117">
        <v>1140</v>
      </c>
      <c r="B340" s="154" t="s">
        <v>794</v>
      </c>
      <c r="C340" s="154" t="s">
        <v>938</v>
      </c>
      <c r="D340" s="154" t="s">
        <v>13</v>
      </c>
      <c r="E340" s="154" t="s">
        <v>851</v>
      </c>
      <c r="F340" s="154" t="s">
        <v>852</v>
      </c>
      <c r="G340" s="154" t="s">
        <v>204</v>
      </c>
      <c r="H340" s="146">
        <v>873</v>
      </c>
      <c r="I340" s="147" t="s">
        <v>147</v>
      </c>
      <c r="J340" s="144">
        <v>2</v>
      </c>
      <c r="K340" s="145">
        <f t="shared" ref="K340:K341" si="691">K339</f>
        <v>8</v>
      </c>
      <c r="L340" s="144">
        <f t="shared" ref="L340:L341" si="692">+K340*J340</f>
        <v>16</v>
      </c>
      <c r="M340" s="146">
        <v>20.5</v>
      </c>
      <c r="N340" s="146">
        <f t="shared" ref="N340:N341" si="693">+M340*L340</f>
        <v>328</v>
      </c>
      <c r="O340" s="146" t="s">
        <v>137</v>
      </c>
      <c r="P340" s="146" t="s">
        <v>13</v>
      </c>
      <c r="Q340" s="146" t="s">
        <v>148</v>
      </c>
      <c r="R340" s="146"/>
      <c r="S340" s="146"/>
      <c r="T340" s="146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16</v>
      </c>
      <c r="U340" s="146">
        <f t="shared" ref="U340:U341" ca="1" si="694">+L340-T340</f>
        <v>0</v>
      </c>
      <c r="V340" s="146">
        <f t="shared" ref="V340:V341" ca="1" si="695">ROUNDDOWN(T340/J340,0)</f>
        <v>8</v>
      </c>
      <c r="W340" s="146"/>
      <c r="X340" s="146"/>
      <c r="Y340" s="146"/>
      <c r="Z340" s="146"/>
      <c r="AA340" s="146"/>
      <c r="AB340" s="146"/>
      <c r="AC340" s="146">
        <v>0.8</v>
      </c>
      <c r="AD340" s="117" t="s">
        <v>196</v>
      </c>
      <c r="AE340" s="148"/>
      <c r="AF340" s="146" t="str">
        <f t="shared" ref="AF340:AV341" si="696">AF339</f>
        <v>AMC 2-S3</v>
      </c>
      <c r="AG340" s="146">
        <f t="shared" si="696"/>
        <v>8</v>
      </c>
      <c r="AH340" s="146">
        <f t="shared" ref="AH340:AH341" si="697">+AG340*J340</f>
        <v>16</v>
      </c>
      <c r="AI340" s="146">
        <f t="shared" ref="AI340:AI341" ca="1" si="698">MIN(T340,AH340)</f>
        <v>16</v>
      </c>
      <c r="AJ340" s="146">
        <f t="shared" ref="AJ340:AJ341" ca="1" si="699">+AH340-AI340</f>
        <v>0</v>
      </c>
      <c r="AK340" s="146" t="str">
        <f t="shared" si="696"/>
        <v>N/A</v>
      </c>
      <c r="AL340" s="146">
        <f t="shared" si="696"/>
        <v>0</v>
      </c>
      <c r="AM340" s="146">
        <f t="shared" ref="AM340:AM341" si="700">+AL340*J340</f>
        <v>0</v>
      </c>
      <c r="AN340" s="146">
        <f t="shared" ref="AN340:AN341" ca="1" si="701">MIN(T340-AI340,AL340)</f>
        <v>0</v>
      </c>
      <c r="AO340" s="146">
        <f t="shared" ref="AO340:AO341" ca="1" si="702">+AM340-AN340</f>
        <v>0</v>
      </c>
      <c r="AP340" s="146" t="str">
        <f t="shared" si="696"/>
        <v>N/A</v>
      </c>
      <c r="AQ340" s="146">
        <f t="shared" si="696"/>
        <v>0</v>
      </c>
      <c r="AR340" s="146">
        <f t="shared" ref="AR340:AR341" si="703">+AQ340*J340</f>
        <v>0</v>
      </c>
      <c r="AS340" s="146">
        <f t="shared" ref="AS340:AS341" ca="1" si="704">MIN(T340-AI340-AN340,AR340)</f>
        <v>0</v>
      </c>
      <c r="AT340" s="146">
        <f t="shared" ref="AT340:AT341" ca="1" si="705">+AR340-AS340</f>
        <v>0</v>
      </c>
      <c r="AU340" s="146" t="str">
        <f t="shared" si="696"/>
        <v>N/A</v>
      </c>
      <c r="AV340" s="146">
        <f t="shared" si="696"/>
        <v>0</v>
      </c>
      <c r="AW340" s="146">
        <f t="shared" ref="AW340:AW341" si="706">+AV340*J340</f>
        <v>0</v>
      </c>
      <c r="AX340" s="146">
        <f t="shared" ref="AX340:AX341" ca="1" si="707">MIN(T340-AI340-AN340-AS340,AW340)</f>
        <v>0</v>
      </c>
      <c r="AY340" s="146">
        <f t="shared" ref="AY340:AY341" ca="1" si="708">+AW340-AX340</f>
        <v>0</v>
      </c>
      <c r="AZ340" s="147"/>
      <c r="BA340" s="168" t="s">
        <v>141</v>
      </c>
      <c r="BB340" s="144" t="s">
        <v>140</v>
      </c>
      <c r="BC340" s="144" t="s">
        <v>140</v>
      </c>
      <c r="BD340" s="144" t="s">
        <v>140</v>
      </c>
      <c r="BE340" s="146">
        <v>0.4</v>
      </c>
      <c r="BF340" s="148"/>
      <c r="BG340" s="146"/>
      <c r="BH340" s="117"/>
      <c r="BI340" s="117"/>
      <c r="BJ340" s="149"/>
      <c r="BK340" s="149"/>
      <c r="BL340" s="117">
        <v>0</v>
      </c>
      <c r="BM340" s="117">
        <v>0</v>
      </c>
      <c r="BN340" s="117">
        <v>0</v>
      </c>
      <c r="BO340" s="117">
        <v>0</v>
      </c>
      <c r="BP340" s="117">
        <v>0</v>
      </c>
      <c r="BQ340" s="117">
        <v>0</v>
      </c>
      <c r="BR340" s="117">
        <v>0</v>
      </c>
      <c r="BS340" s="117" t="s">
        <v>150</v>
      </c>
      <c r="BT340" s="158" t="s">
        <v>200</v>
      </c>
      <c r="BU340" s="117"/>
      <c r="BV340" s="117" t="s">
        <v>201</v>
      </c>
      <c r="BW340" s="117">
        <v>16</v>
      </c>
      <c r="BX340" s="149">
        <v>46201</v>
      </c>
      <c r="BY340" s="117"/>
      <c r="BZ340" s="117"/>
      <c r="CA340" s="117"/>
      <c r="CB340" s="117">
        <f>+L340-BW340</f>
        <v>0</v>
      </c>
    </row>
    <row r="341" spans="1:80" ht="16.5" customHeight="1">
      <c r="A341" s="117">
        <v>1141</v>
      </c>
      <c r="B341" s="154" t="s">
        <v>794</v>
      </c>
      <c r="C341" s="154" t="s">
        <v>938</v>
      </c>
      <c r="D341" s="154" t="s">
        <v>13</v>
      </c>
      <c r="E341" s="154" t="s">
        <v>853</v>
      </c>
      <c r="F341" s="154" t="s">
        <v>854</v>
      </c>
      <c r="G341" s="154" t="s">
        <v>810</v>
      </c>
      <c r="H341" s="146">
        <v>873</v>
      </c>
      <c r="I341" s="147" t="s">
        <v>147</v>
      </c>
      <c r="J341" s="144">
        <v>2</v>
      </c>
      <c r="K341" s="145">
        <f t="shared" si="691"/>
        <v>8</v>
      </c>
      <c r="L341" s="144">
        <f t="shared" si="692"/>
        <v>16</v>
      </c>
      <c r="M341" s="146">
        <v>15.8</v>
      </c>
      <c r="N341" s="146">
        <f t="shared" si="693"/>
        <v>252.8</v>
      </c>
      <c r="O341" s="146" t="s">
        <v>137</v>
      </c>
      <c r="P341" s="146" t="s">
        <v>13</v>
      </c>
      <c r="Q341" s="146" t="s">
        <v>148</v>
      </c>
      <c r="R341" s="146"/>
      <c r="S341" s="146"/>
      <c r="T341" s="146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15</v>
      </c>
      <c r="U341" s="146">
        <f t="shared" ca="1" si="694"/>
        <v>1</v>
      </c>
      <c r="V341" s="146">
        <f t="shared" ca="1" si="695"/>
        <v>7</v>
      </c>
      <c r="W341" s="146"/>
      <c r="X341" s="146"/>
      <c r="Y341" s="146"/>
      <c r="Z341" s="146"/>
      <c r="AA341" s="146"/>
      <c r="AB341" s="146"/>
      <c r="AC341" s="146">
        <v>0.6</v>
      </c>
      <c r="AD341" s="117" t="s">
        <v>196</v>
      </c>
      <c r="AE341" s="148"/>
      <c r="AF341" s="146" t="str">
        <f t="shared" si="696"/>
        <v>AMC 2-S3</v>
      </c>
      <c r="AG341" s="146">
        <f t="shared" si="696"/>
        <v>8</v>
      </c>
      <c r="AH341" s="146">
        <f t="shared" si="697"/>
        <v>16</v>
      </c>
      <c r="AI341" s="146">
        <f t="shared" ca="1" si="698"/>
        <v>15</v>
      </c>
      <c r="AJ341" s="146">
        <f t="shared" ca="1" si="699"/>
        <v>1</v>
      </c>
      <c r="AK341" s="146" t="str">
        <f t="shared" si="696"/>
        <v>N/A</v>
      </c>
      <c r="AL341" s="146">
        <f t="shared" si="696"/>
        <v>0</v>
      </c>
      <c r="AM341" s="146">
        <f t="shared" si="700"/>
        <v>0</v>
      </c>
      <c r="AN341" s="146">
        <f t="shared" ca="1" si="701"/>
        <v>0</v>
      </c>
      <c r="AO341" s="146">
        <f t="shared" ca="1" si="702"/>
        <v>0</v>
      </c>
      <c r="AP341" s="146" t="str">
        <f t="shared" si="696"/>
        <v>N/A</v>
      </c>
      <c r="AQ341" s="146">
        <f t="shared" si="696"/>
        <v>0</v>
      </c>
      <c r="AR341" s="146">
        <f t="shared" si="703"/>
        <v>0</v>
      </c>
      <c r="AS341" s="146">
        <f t="shared" ca="1" si="704"/>
        <v>0</v>
      </c>
      <c r="AT341" s="146">
        <f t="shared" ca="1" si="705"/>
        <v>0</v>
      </c>
      <c r="AU341" s="146" t="str">
        <f t="shared" si="696"/>
        <v>N/A</v>
      </c>
      <c r="AV341" s="146">
        <f t="shared" si="696"/>
        <v>0</v>
      </c>
      <c r="AW341" s="146">
        <f t="shared" si="706"/>
        <v>0</v>
      </c>
      <c r="AX341" s="146">
        <f t="shared" ca="1" si="707"/>
        <v>0</v>
      </c>
      <c r="AY341" s="146">
        <f t="shared" ca="1" si="708"/>
        <v>0</v>
      </c>
      <c r="AZ341" s="147"/>
      <c r="BA341" s="168" t="s">
        <v>141</v>
      </c>
      <c r="BB341" s="144" t="s">
        <v>140</v>
      </c>
      <c r="BC341" s="144" t="s">
        <v>140</v>
      </c>
      <c r="BD341" s="144" t="s">
        <v>140</v>
      </c>
      <c r="BE341" s="146">
        <v>0.3</v>
      </c>
      <c r="BF341" s="148"/>
      <c r="BG341" s="146"/>
      <c r="BH341" s="117"/>
      <c r="BI341" s="117"/>
      <c r="BJ341" s="149"/>
      <c r="BK341" s="149"/>
      <c r="BL341" s="117">
        <v>0</v>
      </c>
      <c r="BM341" s="117">
        <v>0</v>
      </c>
      <c r="BN341" s="117">
        <v>0</v>
      </c>
      <c r="BO341" s="117">
        <v>1</v>
      </c>
      <c r="BP341" s="117">
        <v>0</v>
      </c>
      <c r="BQ341" s="117">
        <v>0</v>
      </c>
      <c r="BR341" s="117">
        <v>0</v>
      </c>
      <c r="BS341" s="117" t="s">
        <v>150</v>
      </c>
      <c r="BT341" s="158" t="s">
        <v>200</v>
      </c>
      <c r="BU341" s="117"/>
      <c r="BV341" s="117" t="s">
        <v>201</v>
      </c>
      <c r="BW341" s="117">
        <v>16</v>
      </c>
      <c r="BX341" s="149">
        <v>46201</v>
      </c>
      <c r="BY341" s="117"/>
      <c r="BZ341" s="117"/>
      <c r="CA341" s="117"/>
      <c r="CB341" s="117">
        <f>+L341-BW341</f>
        <v>0</v>
      </c>
    </row>
    <row r="342" spans="1:80" ht="16.5" hidden="1" customHeight="1">
      <c r="A342" s="133">
        <v>1147</v>
      </c>
      <c r="B342" s="156" t="s">
        <v>794</v>
      </c>
      <c r="C342" s="156" t="s">
        <v>939</v>
      </c>
      <c r="D342" s="156"/>
      <c r="E342" s="156" t="s">
        <v>136</v>
      </c>
      <c r="F342" s="156"/>
      <c r="G342" s="156"/>
      <c r="H342" s="157"/>
      <c r="I342" s="159"/>
      <c r="J342" s="160" t="s">
        <v>136</v>
      </c>
      <c r="K342" s="138">
        <f>+AG342+AL342+AQ342+AV342</f>
        <v>2</v>
      </c>
      <c r="L342" s="160" t="s">
        <v>136</v>
      </c>
      <c r="M342" s="157"/>
      <c r="N342" s="157">
        <v>301.60000000000002</v>
      </c>
      <c r="O342" s="157" t="s">
        <v>137</v>
      </c>
      <c r="P342" s="157"/>
      <c r="Q342" s="157"/>
      <c r="R342" s="157"/>
      <c r="S342" s="157"/>
      <c r="T342" s="157"/>
      <c r="U342" s="157"/>
      <c r="V342" s="157"/>
      <c r="W342" s="135">
        <f ca="1">_xlfn.MINIFS(V:V,C:C,C342,AE:AE,"",AB:AB,"")</f>
        <v>0</v>
      </c>
      <c r="X342" s="135">
        <f ca="1">SUMIFS(T:T,C:C,C342,AE:AE,"")/SUMIFS(L:L,C:C,C342,AE:AE,"",AB:AB,"")</f>
        <v>0</v>
      </c>
      <c r="Y342" s="157"/>
      <c r="Z342" s="157"/>
      <c r="AA342" s="157"/>
      <c r="AB342" s="157"/>
      <c r="AC342" s="157">
        <v>5.9</v>
      </c>
      <c r="AD342" s="161" t="s">
        <v>812</v>
      </c>
      <c r="AE342" s="162" t="s">
        <v>143</v>
      </c>
      <c r="AF342" s="157" t="s">
        <v>138</v>
      </c>
      <c r="AG342" s="157">
        <v>0</v>
      </c>
      <c r="AH342" s="157"/>
      <c r="AI342" s="157"/>
      <c r="AJ342" s="157"/>
      <c r="AK342" s="157" t="s">
        <v>138</v>
      </c>
      <c r="AL342" s="157">
        <v>0</v>
      </c>
      <c r="AM342" s="157"/>
      <c r="AN342" s="157"/>
      <c r="AO342" s="157"/>
      <c r="AP342" s="157" t="s">
        <v>139</v>
      </c>
      <c r="AQ342" s="157">
        <v>2</v>
      </c>
      <c r="AR342" s="157"/>
      <c r="AS342" s="157"/>
      <c r="AT342" s="157"/>
      <c r="AU342" s="157" t="s">
        <v>138</v>
      </c>
      <c r="AV342" s="157">
        <v>0</v>
      </c>
      <c r="AW342" s="157"/>
      <c r="AX342" s="157"/>
      <c r="AY342" s="157"/>
      <c r="AZ342" s="136"/>
      <c r="BA342" s="137" t="s">
        <v>140</v>
      </c>
      <c r="BB342" s="137" t="s">
        <v>811</v>
      </c>
      <c r="BC342" s="137" t="s">
        <v>141</v>
      </c>
      <c r="BD342" s="137" t="s">
        <v>140</v>
      </c>
      <c r="BE342" s="157">
        <v>1.5</v>
      </c>
      <c r="BF342" s="162"/>
      <c r="BG342" s="157"/>
      <c r="BH342" s="161"/>
      <c r="BI342" s="161"/>
      <c r="BJ342" s="163"/>
      <c r="BK342" s="163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4"/>
      <c r="BV342" s="161"/>
      <c r="BW342" s="161"/>
      <c r="BX342" s="163"/>
      <c r="BY342" s="161"/>
      <c r="BZ342" s="161"/>
      <c r="CA342" s="161"/>
      <c r="CB342" s="161"/>
    </row>
    <row r="343" spans="1:80" ht="16.5" hidden="1" customHeight="1">
      <c r="A343" s="117">
        <v>1148</v>
      </c>
      <c r="B343" s="154" t="s">
        <v>794</v>
      </c>
      <c r="C343" s="154" t="s">
        <v>939</v>
      </c>
      <c r="D343" s="154" t="s">
        <v>13</v>
      </c>
      <c r="E343" s="154" t="s">
        <v>813</v>
      </c>
      <c r="F343" s="154" t="s">
        <v>814</v>
      </c>
      <c r="G343" s="154" t="s">
        <v>469</v>
      </c>
      <c r="H343" s="146">
        <v>578</v>
      </c>
      <c r="I343" s="147" t="s">
        <v>147</v>
      </c>
      <c r="J343" s="144">
        <v>2</v>
      </c>
      <c r="K343" s="145">
        <f t="shared" ref="K343:K344" si="709">K342</f>
        <v>2</v>
      </c>
      <c r="L343" s="144">
        <f t="shared" ref="L343:L344" si="710">+K343*J343</f>
        <v>4</v>
      </c>
      <c r="M343" s="146">
        <v>20.399999999999999</v>
      </c>
      <c r="N343" s="146">
        <f t="shared" ref="N343:N344" si="711">+M343*L343</f>
        <v>81.599999999999994</v>
      </c>
      <c r="O343" s="146" t="s">
        <v>137</v>
      </c>
      <c r="P343" s="146" t="s">
        <v>13</v>
      </c>
      <c r="Q343" s="146" t="s">
        <v>148</v>
      </c>
      <c r="R343" s="146"/>
      <c r="S343" s="146"/>
      <c r="T343" s="146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0</v>
      </c>
      <c r="U343" s="146">
        <f t="shared" ref="U343:U344" ca="1" si="712">+L343-T343</f>
        <v>4</v>
      </c>
      <c r="V343" s="146">
        <f t="shared" ref="V343:V344" ca="1" si="713">ROUNDDOWN(T343/J343,0)</f>
        <v>0</v>
      </c>
      <c r="W343" s="146"/>
      <c r="X343" s="146"/>
      <c r="Y343" s="146"/>
      <c r="Z343" s="146"/>
      <c r="AA343" s="146"/>
      <c r="AB343" s="146"/>
      <c r="AC343" s="146">
        <v>0.7</v>
      </c>
      <c r="AD343" s="117" t="s">
        <v>256</v>
      </c>
      <c r="AE343" s="148"/>
      <c r="AF343" s="146" t="str">
        <f t="shared" ref="AF343:AV344" si="714">AF342</f>
        <v>N/A</v>
      </c>
      <c r="AG343" s="146">
        <f t="shared" si="714"/>
        <v>0</v>
      </c>
      <c r="AH343" s="146">
        <f t="shared" ref="AH343:AH344" si="715">+AG343*J343</f>
        <v>0</v>
      </c>
      <c r="AI343" s="146">
        <f t="shared" ref="AI343:AI344" ca="1" si="716">MIN(T343,AH343)</f>
        <v>0</v>
      </c>
      <c r="AJ343" s="146">
        <f t="shared" ref="AJ343:AJ344" ca="1" si="717">+AH343-AI343</f>
        <v>0</v>
      </c>
      <c r="AK343" s="146" t="str">
        <f t="shared" si="714"/>
        <v>N/A</v>
      </c>
      <c r="AL343" s="146">
        <f t="shared" si="714"/>
        <v>0</v>
      </c>
      <c r="AM343" s="146">
        <f t="shared" ref="AM343:AM344" si="718">+AL343*J343</f>
        <v>0</v>
      </c>
      <c r="AN343" s="146">
        <f t="shared" ref="AN343:AN344" ca="1" si="719">MIN(T343-AI343,AL343)</f>
        <v>0</v>
      </c>
      <c r="AO343" s="146">
        <f t="shared" ref="AO343:AO344" ca="1" si="720">+AM343-AN343</f>
        <v>0</v>
      </c>
      <c r="AP343" s="146" t="str">
        <f t="shared" si="714"/>
        <v>AMC 2-S3</v>
      </c>
      <c r="AQ343" s="146">
        <f t="shared" si="714"/>
        <v>2</v>
      </c>
      <c r="AR343" s="146">
        <f t="shared" ref="AR343:AR344" si="721">+AQ343*J343</f>
        <v>4</v>
      </c>
      <c r="AS343" s="146">
        <f t="shared" ref="AS343:AS344" ca="1" si="722">MIN(T343-AI343-AN343,AR343)</f>
        <v>0</v>
      </c>
      <c r="AT343" s="146">
        <f t="shared" ref="AT343:AT344" ca="1" si="723">+AR343-AS343</f>
        <v>4</v>
      </c>
      <c r="AU343" s="146" t="str">
        <f t="shared" si="714"/>
        <v>N/A</v>
      </c>
      <c r="AV343" s="146">
        <f t="shared" si="714"/>
        <v>0</v>
      </c>
      <c r="AW343" s="146">
        <f t="shared" ref="AW343:AW344" si="724">+AV343*J343</f>
        <v>0</v>
      </c>
      <c r="AX343" s="146">
        <f t="shared" ref="AX343:AX344" ca="1" si="725">MIN(T343-AI343-AN343-AS343,AW343)</f>
        <v>0</v>
      </c>
      <c r="AY343" s="146">
        <f t="shared" ref="AY343:AY344" ca="1" si="726">+AW343-AX343</f>
        <v>0</v>
      </c>
      <c r="AZ343" s="147"/>
      <c r="BA343" s="144" t="s">
        <v>140</v>
      </c>
      <c r="BB343" s="144" t="s">
        <v>811</v>
      </c>
      <c r="BC343" s="144" t="s">
        <v>141</v>
      </c>
      <c r="BD343" s="144" t="s">
        <v>140</v>
      </c>
      <c r="BE343" s="146">
        <v>0.4</v>
      </c>
      <c r="BF343" s="148"/>
      <c r="BG343" s="146"/>
      <c r="BH343" s="117"/>
      <c r="BI343" s="141" t="s">
        <v>257</v>
      </c>
      <c r="BJ343" s="153"/>
      <c r="BK343" s="153"/>
      <c r="BL343" s="141">
        <v>0</v>
      </c>
      <c r="BM343" s="141">
        <v>0</v>
      </c>
      <c r="BN343" s="141">
        <v>0</v>
      </c>
      <c r="BO343" s="141">
        <v>0</v>
      </c>
      <c r="BP343" s="141">
        <v>0</v>
      </c>
      <c r="BQ343" s="141">
        <v>0</v>
      </c>
      <c r="BR343" s="141">
        <v>0</v>
      </c>
      <c r="BS343" s="117" t="s">
        <v>150</v>
      </c>
      <c r="BT343" s="117"/>
      <c r="BU343" s="155"/>
      <c r="BV343" s="117"/>
      <c r="BW343" s="117"/>
      <c r="BX343" s="149"/>
      <c r="BY343" s="117"/>
      <c r="BZ343" s="117"/>
      <c r="CA343" s="117"/>
      <c r="CB343" s="117">
        <f>+L343-BW343</f>
        <v>4</v>
      </c>
    </row>
    <row r="344" spans="1:80" ht="16.5" hidden="1" customHeight="1">
      <c r="A344" s="117">
        <v>1149</v>
      </c>
      <c r="B344" s="154" t="s">
        <v>794</v>
      </c>
      <c r="C344" s="154" t="s">
        <v>939</v>
      </c>
      <c r="D344" s="154" t="s">
        <v>13</v>
      </c>
      <c r="E344" s="154" t="s">
        <v>815</v>
      </c>
      <c r="F344" s="154" t="s">
        <v>816</v>
      </c>
      <c r="G344" s="154" t="s">
        <v>817</v>
      </c>
      <c r="H344" s="146">
        <v>578</v>
      </c>
      <c r="I344" s="147" t="s">
        <v>147</v>
      </c>
      <c r="J344" s="144">
        <v>2</v>
      </c>
      <c r="K344" s="145">
        <f t="shared" si="709"/>
        <v>2</v>
      </c>
      <c r="L344" s="144">
        <f t="shared" si="710"/>
        <v>4</v>
      </c>
      <c r="M344" s="146">
        <v>17.3</v>
      </c>
      <c r="N344" s="146">
        <f t="shared" si="711"/>
        <v>69.2</v>
      </c>
      <c r="O344" s="146" t="s">
        <v>137</v>
      </c>
      <c r="P344" s="146" t="s">
        <v>13</v>
      </c>
      <c r="Q344" s="146" t="s">
        <v>148</v>
      </c>
      <c r="R344" s="146"/>
      <c r="S344" s="146"/>
      <c r="T344" s="146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0</v>
      </c>
      <c r="U344" s="146">
        <f t="shared" ca="1" si="712"/>
        <v>4</v>
      </c>
      <c r="V344" s="146">
        <f t="shared" ca="1" si="713"/>
        <v>0</v>
      </c>
      <c r="W344" s="146"/>
      <c r="X344" s="146"/>
      <c r="Y344" s="146"/>
      <c r="Z344" s="146"/>
      <c r="AA344" s="146"/>
      <c r="AB344" s="146"/>
      <c r="AC344" s="146">
        <v>0.6</v>
      </c>
      <c r="AD344" s="117" t="s">
        <v>256</v>
      </c>
      <c r="AE344" s="148"/>
      <c r="AF344" s="146" t="str">
        <f t="shared" si="714"/>
        <v>N/A</v>
      </c>
      <c r="AG344" s="146">
        <f t="shared" si="714"/>
        <v>0</v>
      </c>
      <c r="AH344" s="146">
        <f t="shared" si="715"/>
        <v>0</v>
      </c>
      <c r="AI344" s="146">
        <f t="shared" ca="1" si="716"/>
        <v>0</v>
      </c>
      <c r="AJ344" s="146">
        <f t="shared" ca="1" si="717"/>
        <v>0</v>
      </c>
      <c r="AK344" s="146" t="str">
        <f t="shared" si="714"/>
        <v>N/A</v>
      </c>
      <c r="AL344" s="146">
        <f t="shared" si="714"/>
        <v>0</v>
      </c>
      <c r="AM344" s="146">
        <f t="shared" si="718"/>
        <v>0</v>
      </c>
      <c r="AN344" s="146">
        <f t="shared" ca="1" si="719"/>
        <v>0</v>
      </c>
      <c r="AO344" s="146">
        <f t="shared" ca="1" si="720"/>
        <v>0</v>
      </c>
      <c r="AP344" s="146" t="str">
        <f t="shared" si="714"/>
        <v>AMC 2-S3</v>
      </c>
      <c r="AQ344" s="146">
        <f t="shared" si="714"/>
        <v>2</v>
      </c>
      <c r="AR344" s="146">
        <f t="shared" si="721"/>
        <v>4</v>
      </c>
      <c r="AS344" s="146">
        <f t="shared" ca="1" si="722"/>
        <v>0</v>
      </c>
      <c r="AT344" s="146">
        <f t="shared" ca="1" si="723"/>
        <v>4</v>
      </c>
      <c r="AU344" s="146" t="str">
        <f t="shared" si="714"/>
        <v>N/A</v>
      </c>
      <c r="AV344" s="146">
        <f t="shared" si="714"/>
        <v>0</v>
      </c>
      <c r="AW344" s="146">
        <f t="shared" si="724"/>
        <v>0</v>
      </c>
      <c r="AX344" s="146">
        <f t="shared" ca="1" si="725"/>
        <v>0</v>
      </c>
      <c r="AY344" s="146">
        <f t="shared" ca="1" si="726"/>
        <v>0</v>
      </c>
      <c r="AZ344" s="147"/>
      <c r="BA344" s="144" t="s">
        <v>140</v>
      </c>
      <c r="BB344" s="144" t="s">
        <v>811</v>
      </c>
      <c r="BC344" s="144" t="s">
        <v>141</v>
      </c>
      <c r="BD344" s="144" t="s">
        <v>140</v>
      </c>
      <c r="BE344" s="146">
        <v>0.3</v>
      </c>
      <c r="BF344" s="148"/>
      <c r="BG344" s="146"/>
      <c r="BH344" s="117"/>
      <c r="BI344" s="141" t="s">
        <v>257</v>
      </c>
      <c r="BJ344" s="153"/>
      <c r="BK344" s="153"/>
      <c r="BL344" s="141">
        <v>0</v>
      </c>
      <c r="BM344" s="141">
        <v>0</v>
      </c>
      <c r="BN344" s="141">
        <v>0</v>
      </c>
      <c r="BO344" s="141">
        <v>1</v>
      </c>
      <c r="BP344" s="141">
        <v>0</v>
      </c>
      <c r="BQ344" s="141">
        <v>0</v>
      </c>
      <c r="BR344" s="141">
        <v>0</v>
      </c>
      <c r="BS344" s="117" t="s">
        <v>150</v>
      </c>
      <c r="BT344" s="117"/>
      <c r="BU344" s="155"/>
      <c r="BV344" s="117"/>
      <c r="BW344" s="117"/>
      <c r="BX344" s="149"/>
      <c r="BY344" s="117"/>
      <c r="BZ344" s="117"/>
      <c r="CA344" s="117"/>
      <c r="CB344" s="117">
        <f>+L344-BW344</f>
        <v>4</v>
      </c>
    </row>
    <row r="345" spans="1:80" ht="16.5" hidden="1" customHeight="1">
      <c r="A345" s="133">
        <v>1154</v>
      </c>
      <c r="B345" s="156" t="s">
        <v>794</v>
      </c>
      <c r="C345" s="156" t="s">
        <v>940</v>
      </c>
      <c r="D345" s="156"/>
      <c r="E345" s="156" t="s">
        <v>136</v>
      </c>
      <c r="F345" s="156"/>
      <c r="G345" s="156"/>
      <c r="H345" s="157"/>
      <c r="I345" s="159"/>
      <c r="J345" s="160" t="s">
        <v>136</v>
      </c>
      <c r="K345" s="138">
        <f>+AG345+AL345+AQ345+AV345</f>
        <v>2</v>
      </c>
      <c r="L345" s="160" t="s">
        <v>136</v>
      </c>
      <c r="M345" s="157"/>
      <c r="N345" s="157">
        <v>562.6</v>
      </c>
      <c r="O345" s="157" t="s">
        <v>137</v>
      </c>
      <c r="P345" s="157"/>
      <c r="Q345" s="157"/>
      <c r="R345" s="157"/>
      <c r="S345" s="157"/>
      <c r="T345" s="157"/>
      <c r="U345" s="157"/>
      <c r="V345" s="157"/>
      <c r="W345" s="135">
        <f ca="1">_xlfn.MINIFS(V:V,C:C,C345,AE:AE,"",AB:AB,"")</f>
        <v>0</v>
      </c>
      <c r="X345" s="135">
        <f ca="1">SUMIFS(T:T,C:C,C345,AE:AE,"")/SUMIFS(L:L,C:C,C345,AE:AE,"",AB:AB,"")</f>
        <v>0</v>
      </c>
      <c r="Y345" s="157"/>
      <c r="Z345" s="157"/>
      <c r="AA345" s="157"/>
      <c r="AB345" s="157"/>
      <c r="AC345" s="157">
        <v>6</v>
      </c>
      <c r="AD345" s="161" t="s">
        <v>855</v>
      </c>
      <c r="AE345" s="162" t="s">
        <v>143</v>
      </c>
      <c r="AF345" s="157" t="s">
        <v>139</v>
      </c>
      <c r="AG345" s="157">
        <v>1</v>
      </c>
      <c r="AH345" s="157"/>
      <c r="AI345" s="157"/>
      <c r="AJ345" s="157"/>
      <c r="AK345" s="157" t="s">
        <v>138</v>
      </c>
      <c r="AL345" s="157">
        <v>0</v>
      </c>
      <c r="AM345" s="157"/>
      <c r="AN345" s="157"/>
      <c r="AO345" s="157"/>
      <c r="AP345" s="157" t="s">
        <v>139</v>
      </c>
      <c r="AQ345" s="157">
        <v>1</v>
      </c>
      <c r="AR345" s="157"/>
      <c r="AS345" s="157"/>
      <c r="AT345" s="157"/>
      <c r="AU345" s="157" t="s">
        <v>138</v>
      </c>
      <c r="AV345" s="157">
        <v>0</v>
      </c>
      <c r="AW345" s="157"/>
      <c r="AX345" s="157"/>
      <c r="AY345" s="157"/>
      <c r="AZ345" s="136" t="s">
        <v>741</v>
      </c>
      <c r="BA345" s="137" t="s">
        <v>141</v>
      </c>
      <c r="BB345" s="137" t="s">
        <v>140</v>
      </c>
      <c r="BC345" s="137" t="s">
        <v>141</v>
      </c>
      <c r="BD345" s="137" t="s">
        <v>140</v>
      </c>
      <c r="BE345" s="157">
        <v>3</v>
      </c>
      <c r="BF345" s="162"/>
      <c r="BG345" s="157"/>
      <c r="BH345" s="161"/>
      <c r="BI345" s="161"/>
      <c r="BJ345" s="163"/>
      <c r="BK345" s="163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4"/>
      <c r="BV345" s="161"/>
      <c r="BW345" s="161"/>
      <c r="BX345" s="163"/>
      <c r="BY345" s="161"/>
      <c r="BZ345" s="161"/>
      <c r="CA345" s="161"/>
      <c r="CB345" s="161"/>
    </row>
    <row r="346" spans="1:80" ht="16.5" customHeight="1">
      <c r="A346" s="117">
        <v>1155</v>
      </c>
      <c r="B346" s="154" t="s">
        <v>794</v>
      </c>
      <c r="C346" s="154" t="s">
        <v>940</v>
      </c>
      <c r="D346" s="154" t="s">
        <v>13</v>
      </c>
      <c r="E346" s="154" t="s">
        <v>856</v>
      </c>
      <c r="F346" s="154" t="s">
        <v>857</v>
      </c>
      <c r="G346" s="154" t="s">
        <v>858</v>
      </c>
      <c r="H346" s="146">
        <v>2041</v>
      </c>
      <c r="I346" s="147" t="s">
        <v>147</v>
      </c>
      <c r="J346" s="144">
        <v>1</v>
      </c>
      <c r="K346" s="145">
        <f>K345</f>
        <v>2</v>
      </c>
      <c r="L346" s="144">
        <f>+K346*J346</f>
        <v>2</v>
      </c>
      <c r="M346" s="146">
        <v>281.3</v>
      </c>
      <c r="N346" s="146">
        <f>+M346*L346</f>
        <v>562.6</v>
      </c>
      <c r="O346" s="146" t="s">
        <v>137</v>
      </c>
      <c r="P346" s="146" t="s">
        <v>13</v>
      </c>
      <c r="Q346" s="146" t="s">
        <v>148</v>
      </c>
      <c r="R346" s="146"/>
      <c r="S346" s="146"/>
      <c r="T346" s="146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0</v>
      </c>
      <c r="U346" s="146">
        <f ca="1">+L346-T346</f>
        <v>2</v>
      </c>
      <c r="V346" s="146">
        <f ca="1">ROUNDDOWN(T346/J346,0)</f>
        <v>0</v>
      </c>
      <c r="W346" s="146"/>
      <c r="X346" s="146"/>
      <c r="Y346" s="146"/>
      <c r="Z346" s="146"/>
      <c r="AA346" s="146"/>
      <c r="AB346" s="146"/>
      <c r="AC346" s="146">
        <v>3</v>
      </c>
      <c r="AD346" s="117" t="s">
        <v>802</v>
      </c>
      <c r="AE346" s="148"/>
      <c r="AF346" s="146" t="str">
        <f t="shared" ref="AF346:AV346" si="727">AF345</f>
        <v>AMC 2-S3</v>
      </c>
      <c r="AG346" s="146">
        <f t="shared" si="727"/>
        <v>1</v>
      </c>
      <c r="AH346" s="146">
        <f>+AG346*J346</f>
        <v>1</v>
      </c>
      <c r="AI346" s="146">
        <f ca="1">MIN(T346,AH346)</f>
        <v>0</v>
      </c>
      <c r="AJ346" s="146">
        <f ca="1">+AH346-AI346</f>
        <v>1</v>
      </c>
      <c r="AK346" s="146" t="str">
        <f t="shared" si="727"/>
        <v>N/A</v>
      </c>
      <c r="AL346" s="146">
        <f t="shared" si="727"/>
        <v>0</v>
      </c>
      <c r="AM346" s="146">
        <f>+AL346*J346</f>
        <v>0</v>
      </c>
      <c r="AN346" s="146">
        <f ca="1">MIN(T346-AI346,AL346)</f>
        <v>0</v>
      </c>
      <c r="AO346" s="146">
        <f ca="1">+AM346-AN346</f>
        <v>0</v>
      </c>
      <c r="AP346" s="146" t="str">
        <f t="shared" si="727"/>
        <v>AMC 2-S3</v>
      </c>
      <c r="AQ346" s="146">
        <f t="shared" si="727"/>
        <v>1</v>
      </c>
      <c r="AR346" s="146">
        <f>+AQ346*J346</f>
        <v>1</v>
      </c>
      <c r="AS346" s="146">
        <f ca="1">MIN(T346-AI346-AN346,AR346)</f>
        <v>0</v>
      </c>
      <c r="AT346" s="146">
        <f ca="1">+AR346-AS346</f>
        <v>1</v>
      </c>
      <c r="AU346" s="146" t="str">
        <f t="shared" si="727"/>
        <v>N/A</v>
      </c>
      <c r="AV346" s="146">
        <f t="shared" si="727"/>
        <v>0</v>
      </c>
      <c r="AW346" s="146">
        <f>+AV346*J346</f>
        <v>0</v>
      </c>
      <c r="AX346" s="146">
        <f ca="1">MIN(T346-AI346-AN346-AS346,AW346)</f>
        <v>0</v>
      </c>
      <c r="AY346" s="146">
        <f ca="1">+AW346-AX346</f>
        <v>0</v>
      </c>
      <c r="AZ346" s="147"/>
      <c r="BA346" s="168" t="s">
        <v>141</v>
      </c>
      <c r="BB346" s="144" t="s">
        <v>140</v>
      </c>
      <c r="BC346" s="168" t="s">
        <v>141</v>
      </c>
      <c r="BD346" s="144" t="s">
        <v>140</v>
      </c>
      <c r="BE346" s="146">
        <v>3</v>
      </c>
      <c r="BF346" s="148"/>
      <c r="BG346" s="146"/>
      <c r="BH346" s="117"/>
      <c r="BI346" s="117"/>
      <c r="BJ346" s="149"/>
      <c r="BK346" s="149"/>
      <c r="BL346" s="117">
        <v>0</v>
      </c>
      <c r="BM346" s="117">
        <v>0</v>
      </c>
      <c r="BN346" s="117">
        <v>0</v>
      </c>
      <c r="BO346" s="117">
        <v>0</v>
      </c>
      <c r="BP346" s="117">
        <v>0</v>
      </c>
      <c r="BQ346" s="117">
        <v>0</v>
      </c>
      <c r="BR346" s="117">
        <v>0</v>
      </c>
      <c r="BS346" s="117" t="s">
        <v>150</v>
      </c>
      <c r="BT346" s="117" t="s">
        <v>803</v>
      </c>
      <c r="BU346" s="117"/>
      <c r="BV346" s="117" t="s">
        <v>804</v>
      </c>
      <c r="BW346" s="117">
        <v>1</v>
      </c>
      <c r="BX346" s="149">
        <v>46196</v>
      </c>
      <c r="BY346" s="117"/>
      <c r="BZ346" s="117"/>
      <c r="CA346" s="117"/>
      <c r="CB346" s="117">
        <f>+L346-BW346</f>
        <v>1</v>
      </c>
    </row>
    <row r="347" spans="1:80" ht="16.5" hidden="1" customHeight="1">
      <c r="A347" s="133">
        <v>1156</v>
      </c>
      <c r="B347" s="156" t="s">
        <v>794</v>
      </c>
      <c r="C347" s="156" t="s">
        <v>941</v>
      </c>
      <c r="D347" s="156"/>
      <c r="E347" s="156" t="s">
        <v>136</v>
      </c>
      <c r="F347" s="156"/>
      <c r="G347" s="156"/>
      <c r="H347" s="157"/>
      <c r="I347" s="159"/>
      <c r="J347" s="160" t="s">
        <v>136</v>
      </c>
      <c r="K347" s="138">
        <f>+AG347+AL347+AQ347+AV347</f>
        <v>4</v>
      </c>
      <c r="L347" s="160" t="s">
        <v>136</v>
      </c>
      <c r="M347" s="157"/>
      <c r="N347" s="157">
        <v>997.1</v>
      </c>
      <c r="O347" s="157" t="s">
        <v>137</v>
      </c>
      <c r="P347" s="157"/>
      <c r="Q347" s="157"/>
      <c r="R347" s="157"/>
      <c r="S347" s="157"/>
      <c r="T347" s="157"/>
      <c r="U347" s="157"/>
      <c r="V347" s="157"/>
      <c r="W347" s="135">
        <f ca="1">_xlfn.MINIFS(V:V,C:C,C347,AE:AE,"",AB:AB,"")</f>
        <v>0</v>
      </c>
      <c r="X347" s="135">
        <f ca="1">SUMIFS(T:T,C:C,C347,AE:AE,"")/SUMIFS(L:L,C:C,C347,AE:AE,"",AB:AB,"")</f>
        <v>0</v>
      </c>
      <c r="Y347" s="157"/>
      <c r="Z347" s="157"/>
      <c r="AA347" s="157"/>
      <c r="AB347" s="157"/>
      <c r="AC347" s="157">
        <v>10.7</v>
      </c>
      <c r="AD347" s="161" t="s">
        <v>798</v>
      </c>
      <c r="AE347" s="162" t="s">
        <v>143</v>
      </c>
      <c r="AF347" s="157" t="s">
        <v>139</v>
      </c>
      <c r="AG347" s="157">
        <v>2</v>
      </c>
      <c r="AH347" s="157"/>
      <c r="AI347" s="157"/>
      <c r="AJ347" s="157"/>
      <c r="AK347" s="157" t="s">
        <v>138</v>
      </c>
      <c r="AL347" s="157">
        <v>0</v>
      </c>
      <c r="AM347" s="157"/>
      <c r="AN347" s="157"/>
      <c r="AO347" s="157"/>
      <c r="AP347" s="157" t="s">
        <v>139</v>
      </c>
      <c r="AQ347" s="157">
        <v>2</v>
      </c>
      <c r="AR347" s="157"/>
      <c r="AS347" s="157"/>
      <c r="AT347" s="157"/>
      <c r="AU347" s="157" t="s">
        <v>138</v>
      </c>
      <c r="AV347" s="157">
        <v>0</v>
      </c>
      <c r="AW347" s="157"/>
      <c r="AX347" s="157"/>
      <c r="AY347" s="157"/>
      <c r="AZ347" s="136" t="s">
        <v>741</v>
      </c>
      <c r="BA347" s="137" t="s">
        <v>141</v>
      </c>
      <c r="BB347" s="137" t="s">
        <v>140</v>
      </c>
      <c r="BC347" s="137" t="s">
        <v>141</v>
      </c>
      <c r="BD347" s="137" t="s">
        <v>140</v>
      </c>
      <c r="BE347" s="157">
        <v>2.7</v>
      </c>
      <c r="BF347" s="162"/>
      <c r="BG347" s="157"/>
      <c r="BH347" s="161"/>
      <c r="BI347" s="161"/>
      <c r="BJ347" s="163"/>
      <c r="BK347" s="163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4"/>
      <c r="BV347" s="161"/>
      <c r="BW347" s="161"/>
      <c r="BX347" s="163"/>
      <c r="BY347" s="161"/>
      <c r="BZ347" s="161"/>
      <c r="CA347" s="161"/>
      <c r="CB347" s="161"/>
    </row>
    <row r="348" spans="1:80" ht="16.5" customHeight="1">
      <c r="A348" s="117">
        <v>1157</v>
      </c>
      <c r="B348" s="154" t="s">
        <v>794</v>
      </c>
      <c r="C348" s="154" t="s">
        <v>941</v>
      </c>
      <c r="D348" s="154" t="s">
        <v>13</v>
      </c>
      <c r="E348" s="154" t="s">
        <v>859</v>
      </c>
      <c r="F348" s="154" t="s">
        <v>860</v>
      </c>
      <c r="G348" s="154" t="s">
        <v>861</v>
      </c>
      <c r="H348" s="146">
        <v>1984</v>
      </c>
      <c r="I348" s="147" t="s">
        <v>147</v>
      </c>
      <c r="J348" s="144">
        <v>1</v>
      </c>
      <c r="K348" s="145">
        <f>K347</f>
        <v>4</v>
      </c>
      <c r="L348" s="144">
        <f>+K348*J348</f>
        <v>4</v>
      </c>
      <c r="M348" s="146">
        <v>249.3</v>
      </c>
      <c r="N348" s="146">
        <f>+M348*L348</f>
        <v>997.2</v>
      </c>
      <c r="O348" s="146" t="s">
        <v>137</v>
      </c>
      <c r="P348" s="146" t="s">
        <v>13</v>
      </c>
      <c r="Q348" s="146" t="s">
        <v>148</v>
      </c>
      <c r="R348" s="146"/>
      <c r="S348" s="146"/>
      <c r="T348" s="146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0</v>
      </c>
      <c r="U348" s="146">
        <f ca="1">+L348-T348</f>
        <v>4</v>
      </c>
      <c r="V348" s="146">
        <f ca="1">ROUNDDOWN(T348/J348,0)</f>
        <v>0</v>
      </c>
      <c r="W348" s="146"/>
      <c r="X348" s="146"/>
      <c r="Y348" s="146"/>
      <c r="Z348" s="146"/>
      <c r="AA348" s="146"/>
      <c r="AB348" s="146"/>
      <c r="AC348" s="146">
        <v>2.7</v>
      </c>
      <c r="AD348" s="117" t="s">
        <v>802</v>
      </c>
      <c r="AE348" s="148"/>
      <c r="AF348" s="146" t="str">
        <f t="shared" ref="AF348:AV348" si="728">AF347</f>
        <v>AMC 2-S3</v>
      </c>
      <c r="AG348" s="146">
        <f t="shared" si="728"/>
        <v>2</v>
      </c>
      <c r="AH348" s="146">
        <f>+AG348*J348</f>
        <v>2</v>
      </c>
      <c r="AI348" s="146">
        <f ca="1">MIN(T348,AH348)</f>
        <v>0</v>
      </c>
      <c r="AJ348" s="146">
        <f ca="1">+AH348-AI348</f>
        <v>2</v>
      </c>
      <c r="AK348" s="146" t="str">
        <f t="shared" si="728"/>
        <v>N/A</v>
      </c>
      <c r="AL348" s="146">
        <f t="shared" si="728"/>
        <v>0</v>
      </c>
      <c r="AM348" s="146">
        <f>+AL348*J348</f>
        <v>0</v>
      </c>
      <c r="AN348" s="146">
        <f ca="1">MIN(T348-AI348,AL348)</f>
        <v>0</v>
      </c>
      <c r="AO348" s="146">
        <f ca="1">+AM348-AN348</f>
        <v>0</v>
      </c>
      <c r="AP348" s="146" t="str">
        <f t="shared" si="728"/>
        <v>AMC 2-S3</v>
      </c>
      <c r="AQ348" s="146">
        <f t="shared" si="728"/>
        <v>2</v>
      </c>
      <c r="AR348" s="146">
        <f>+AQ348*J348</f>
        <v>2</v>
      </c>
      <c r="AS348" s="146">
        <f ca="1">MIN(T348-AI348-AN348,AR348)</f>
        <v>0</v>
      </c>
      <c r="AT348" s="146">
        <f ca="1">+AR348-AS348</f>
        <v>2</v>
      </c>
      <c r="AU348" s="146" t="str">
        <f t="shared" si="728"/>
        <v>N/A</v>
      </c>
      <c r="AV348" s="146">
        <f t="shared" si="728"/>
        <v>0</v>
      </c>
      <c r="AW348" s="146">
        <f>+AV348*J348</f>
        <v>0</v>
      </c>
      <c r="AX348" s="146">
        <f ca="1">MIN(T348-AI348-AN348-AS348,AW348)</f>
        <v>0</v>
      </c>
      <c r="AY348" s="146">
        <f ca="1">+AW348-AX348</f>
        <v>0</v>
      </c>
      <c r="AZ348" s="147"/>
      <c r="BA348" s="168" t="s">
        <v>141</v>
      </c>
      <c r="BB348" s="144" t="s">
        <v>140</v>
      </c>
      <c r="BC348" s="168" t="s">
        <v>141</v>
      </c>
      <c r="BD348" s="144" t="s">
        <v>140</v>
      </c>
      <c r="BE348" s="146">
        <v>2.7</v>
      </c>
      <c r="BF348" s="148"/>
      <c r="BG348" s="146"/>
      <c r="BH348" s="117"/>
      <c r="BI348" s="117"/>
      <c r="BJ348" s="149"/>
      <c r="BK348" s="149"/>
      <c r="BL348" s="117">
        <v>0</v>
      </c>
      <c r="BM348" s="117">
        <v>0</v>
      </c>
      <c r="BN348" s="117">
        <v>0</v>
      </c>
      <c r="BO348" s="117">
        <v>0</v>
      </c>
      <c r="BP348" s="117">
        <v>0</v>
      </c>
      <c r="BQ348" s="117">
        <v>0</v>
      </c>
      <c r="BR348" s="117">
        <v>0</v>
      </c>
      <c r="BS348" s="117" t="s">
        <v>150</v>
      </c>
      <c r="BT348" s="117" t="s">
        <v>803</v>
      </c>
      <c r="BU348" s="117"/>
      <c r="BV348" s="117" t="s">
        <v>804</v>
      </c>
      <c r="BW348" s="117">
        <v>2</v>
      </c>
      <c r="BX348" s="149">
        <v>46196</v>
      </c>
      <c r="BY348" s="117"/>
      <c r="BZ348" s="117"/>
      <c r="CA348" s="117"/>
      <c r="CB348" s="117">
        <f>+L348-BW348</f>
        <v>2</v>
      </c>
    </row>
    <row r="349" spans="1:80" ht="16.5" hidden="1" customHeight="1">
      <c r="A349" s="133">
        <v>1158</v>
      </c>
      <c r="B349" s="156" t="s">
        <v>862</v>
      </c>
      <c r="C349" s="156" t="s">
        <v>942</v>
      </c>
      <c r="D349" s="156"/>
      <c r="E349" s="156" t="s">
        <v>136</v>
      </c>
      <c r="F349" s="156"/>
      <c r="G349" s="156"/>
      <c r="H349" s="157"/>
      <c r="I349" s="159"/>
      <c r="J349" s="160" t="s">
        <v>136</v>
      </c>
      <c r="K349" s="138">
        <f>+AG349+AL349+AQ349+AV349</f>
        <v>1</v>
      </c>
      <c r="L349" s="160" t="s">
        <v>136</v>
      </c>
      <c r="M349" s="157"/>
      <c r="N349" s="157">
        <v>263.2</v>
      </c>
      <c r="O349" s="157" t="s">
        <v>137</v>
      </c>
      <c r="P349" s="157"/>
      <c r="Q349" s="157"/>
      <c r="R349" s="157"/>
      <c r="S349" s="157"/>
      <c r="T349" s="157"/>
      <c r="U349" s="157"/>
      <c r="V349" s="157"/>
      <c r="W349" s="135">
        <f ca="1">_xlfn.MINIFS(V:V,C:C,C349,AE:AE,"",AB:AB,"")</f>
        <v>0</v>
      </c>
      <c r="X349" s="135">
        <f ca="1">SUMIFS(T:T,C:C,C349,AE:AE,"")/SUMIFS(L:L,C:C,C349,AE:AE,"",AB:AB,"")</f>
        <v>0</v>
      </c>
      <c r="Y349" s="157"/>
      <c r="Z349" s="157"/>
      <c r="AA349" s="157"/>
      <c r="AB349" s="157"/>
      <c r="AC349" s="157">
        <v>3.5</v>
      </c>
      <c r="AD349" s="161" t="s">
        <v>196</v>
      </c>
      <c r="AE349" s="162" t="s">
        <v>143</v>
      </c>
      <c r="AF349" s="157" t="s">
        <v>139</v>
      </c>
      <c r="AG349" s="157">
        <v>1</v>
      </c>
      <c r="AH349" s="157"/>
      <c r="AI349" s="157"/>
      <c r="AJ349" s="157"/>
      <c r="AK349" s="157" t="s">
        <v>138</v>
      </c>
      <c r="AL349" s="157">
        <v>0</v>
      </c>
      <c r="AM349" s="157"/>
      <c r="AN349" s="157"/>
      <c r="AO349" s="157"/>
      <c r="AP349" s="157" t="s">
        <v>138</v>
      </c>
      <c r="AQ349" s="157">
        <v>0</v>
      </c>
      <c r="AR349" s="157"/>
      <c r="AS349" s="157"/>
      <c r="AT349" s="157"/>
      <c r="AU349" s="157" t="s">
        <v>138</v>
      </c>
      <c r="AV349" s="157">
        <v>0</v>
      </c>
      <c r="AW349" s="157"/>
      <c r="AX349" s="157"/>
      <c r="AY349" s="157"/>
      <c r="AZ349" s="136" t="s">
        <v>741</v>
      </c>
      <c r="BA349" s="137" t="s">
        <v>141</v>
      </c>
      <c r="BB349" s="137" t="s">
        <v>140</v>
      </c>
      <c r="BC349" s="137" t="s">
        <v>140</v>
      </c>
      <c r="BD349" s="137" t="s">
        <v>140</v>
      </c>
      <c r="BE349" s="157">
        <v>3.5</v>
      </c>
      <c r="BF349" s="162"/>
      <c r="BG349" s="157"/>
      <c r="BH349" s="161"/>
      <c r="BI349" s="161"/>
      <c r="BJ349" s="163"/>
      <c r="BK349" s="163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4"/>
      <c r="BV349" s="161"/>
      <c r="BW349" s="161"/>
      <c r="BX349" s="163"/>
      <c r="BY349" s="161"/>
      <c r="BZ349" s="161"/>
      <c r="CA349" s="161"/>
      <c r="CB349" s="161"/>
    </row>
    <row r="350" spans="1:80" ht="16.5" customHeight="1">
      <c r="A350" s="117">
        <v>1159</v>
      </c>
      <c r="B350" s="154" t="s">
        <v>862</v>
      </c>
      <c r="C350" s="154" t="s">
        <v>942</v>
      </c>
      <c r="D350" s="154" t="s">
        <v>13</v>
      </c>
      <c r="E350" s="154" t="s">
        <v>863</v>
      </c>
      <c r="F350" s="154" t="s">
        <v>864</v>
      </c>
      <c r="G350" s="154" t="s">
        <v>865</v>
      </c>
      <c r="H350" s="146">
        <v>2311</v>
      </c>
      <c r="I350" s="147" t="s">
        <v>147</v>
      </c>
      <c r="J350" s="144">
        <v>1</v>
      </c>
      <c r="K350" s="145">
        <f>K349</f>
        <v>1</v>
      </c>
      <c r="L350" s="144">
        <f>+K350*J350</f>
        <v>1</v>
      </c>
      <c r="M350" s="146">
        <v>263.2</v>
      </c>
      <c r="N350" s="146">
        <f>+M350*L350</f>
        <v>263.2</v>
      </c>
      <c r="O350" s="146" t="s">
        <v>137</v>
      </c>
      <c r="P350" s="146" t="s">
        <v>13</v>
      </c>
      <c r="Q350" s="146" t="s">
        <v>148</v>
      </c>
      <c r="R350" s="146"/>
      <c r="S350" s="146"/>
      <c r="T350" s="146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0</v>
      </c>
      <c r="U350" s="146">
        <f ca="1">+L350-T350</f>
        <v>1</v>
      </c>
      <c r="V350" s="146">
        <f ca="1">ROUNDDOWN(T350/J350,0)</f>
        <v>0</v>
      </c>
      <c r="W350" s="146"/>
      <c r="X350" s="146"/>
      <c r="Y350" s="146"/>
      <c r="Z350" s="146"/>
      <c r="AA350" s="146"/>
      <c r="AB350" s="146"/>
      <c r="AC350" s="146">
        <v>3.5</v>
      </c>
      <c r="AD350" s="117" t="s">
        <v>196</v>
      </c>
      <c r="AE350" s="148"/>
      <c r="AF350" s="146" t="str">
        <f t="shared" ref="AF350:AV350" si="729">AF349</f>
        <v>AMC 2-S3</v>
      </c>
      <c r="AG350" s="146">
        <f t="shared" si="729"/>
        <v>1</v>
      </c>
      <c r="AH350" s="146">
        <f>+AG350*J350</f>
        <v>1</v>
      </c>
      <c r="AI350" s="146">
        <f ca="1">MIN(T350,AH350)</f>
        <v>0</v>
      </c>
      <c r="AJ350" s="146">
        <f ca="1">+AH350-AI350</f>
        <v>1</v>
      </c>
      <c r="AK350" s="146" t="str">
        <f t="shared" si="729"/>
        <v>N/A</v>
      </c>
      <c r="AL350" s="146">
        <f t="shared" si="729"/>
        <v>0</v>
      </c>
      <c r="AM350" s="146">
        <f>+AL350*J350</f>
        <v>0</v>
      </c>
      <c r="AN350" s="146">
        <f ca="1">MIN(T350-AI350,AL350)</f>
        <v>0</v>
      </c>
      <c r="AO350" s="146">
        <f ca="1">+AM350-AN350</f>
        <v>0</v>
      </c>
      <c r="AP350" s="146" t="str">
        <f t="shared" si="729"/>
        <v>N/A</v>
      </c>
      <c r="AQ350" s="146">
        <f t="shared" si="729"/>
        <v>0</v>
      </c>
      <c r="AR350" s="146">
        <f>+AQ350*J350</f>
        <v>0</v>
      </c>
      <c r="AS350" s="146">
        <f ca="1">MIN(T350-AI350-AN350,AR350)</f>
        <v>0</v>
      </c>
      <c r="AT350" s="146">
        <f ca="1">+AR350-AS350</f>
        <v>0</v>
      </c>
      <c r="AU350" s="146" t="str">
        <f t="shared" si="729"/>
        <v>N/A</v>
      </c>
      <c r="AV350" s="146">
        <f t="shared" si="729"/>
        <v>0</v>
      </c>
      <c r="AW350" s="146">
        <f>+AV350*J350</f>
        <v>0</v>
      </c>
      <c r="AX350" s="146">
        <f ca="1">MIN(T350-AI350-AN350-AS350,AW350)</f>
        <v>0</v>
      </c>
      <c r="AY350" s="146">
        <f ca="1">+AW350-AX350</f>
        <v>0</v>
      </c>
      <c r="AZ350" s="147"/>
      <c r="BA350" s="144" t="s">
        <v>141</v>
      </c>
      <c r="BB350" s="144" t="s">
        <v>140</v>
      </c>
      <c r="BC350" s="144" t="s">
        <v>140</v>
      </c>
      <c r="BD350" s="144" t="s">
        <v>140</v>
      </c>
      <c r="BE350" s="146">
        <v>3.5</v>
      </c>
      <c r="BF350" s="148"/>
      <c r="BG350" s="146"/>
      <c r="BH350" s="117"/>
      <c r="BI350" s="117"/>
      <c r="BJ350" s="149"/>
      <c r="BK350" s="149"/>
      <c r="BL350" s="117">
        <v>0</v>
      </c>
      <c r="BM350" s="117">
        <v>0</v>
      </c>
      <c r="BN350" s="117">
        <v>0</v>
      </c>
      <c r="BO350" s="117">
        <v>0</v>
      </c>
      <c r="BP350" s="117">
        <v>0</v>
      </c>
      <c r="BQ350" s="117">
        <v>0</v>
      </c>
      <c r="BR350" s="117">
        <v>0</v>
      </c>
      <c r="BS350" s="117" t="s">
        <v>150</v>
      </c>
      <c r="BT350" s="167" t="s">
        <v>319</v>
      </c>
      <c r="BU350" s="141"/>
      <c r="BV350" s="141" t="s">
        <v>320</v>
      </c>
      <c r="BW350" s="141">
        <v>1</v>
      </c>
      <c r="BX350" s="153">
        <v>46202</v>
      </c>
      <c r="BY350" s="117"/>
      <c r="BZ350" s="117"/>
      <c r="CA350" s="117"/>
      <c r="CB350" s="117">
        <f>+L350-BW350</f>
        <v>0</v>
      </c>
    </row>
    <row r="351" spans="1:80" ht="16.5" hidden="1" customHeight="1">
      <c r="A351" s="133">
        <v>1160</v>
      </c>
      <c r="B351" s="156" t="s">
        <v>862</v>
      </c>
      <c r="C351" s="156" t="s">
        <v>943</v>
      </c>
      <c r="D351" s="156"/>
      <c r="E351" s="156" t="s">
        <v>136</v>
      </c>
      <c r="F351" s="156"/>
      <c r="G351" s="156"/>
      <c r="H351" s="157"/>
      <c r="I351" s="159"/>
      <c r="J351" s="160" t="s">
        <v>136</v>
      </c>
      <c r="K351" s="138">
        <f>+AG351+AL351+AQ351+AV351</f>
        <v>2</v>
      </c>
      <c r="L351" s="160" t="s">
        <v>136</v>
      </c>
      <c r="M351" s="157"/>
      <c r="N351" s="157">
        <v>558.6</v>
      </c>
      <c r="O351" s="157" t="s">
        <v>137</v>
      </c>
      <c r="P351" s="157"/>
      <c r="Q351" s="157"/>
      <c r="R351" s="157"/>
      <c r="S351" s="157"/>
      <c r="T351" s="157"/>
      <c r="U351" s="157"/>
      <c r="V351" s="157"/>
      <c r="W351" s="135">
        <f ca="1">_xlfn.MINIFS(V:V,C:C,C351,AE:AE,"",AB:AB,"")</f>
        <v>0</v>
      </c>
      <c r="X351" s="135">
        <f ca="1">SUMIFS(T:T,C:C,C351,AE:AE,"")/SUMIFS(L:L,C:C,C351,AE:AE,"",AB:AB,"")</f>
        <v>0</v>
      </c>
      <c r="Y351" s="157"/>
      <c r="Z351" s="157"/>
      <c r="AA351" s="157"/>
      <c r="AB351" s="157"/>
      <c r="AC351" s="157">
        <v>7.4</v>
      </c>
      <c r="AD351" s="161" t="s">
        <v>196</v>
      </c>
      <c r="AE351" s="162" t="s">
        <v>143</v>
      </c>
      <c r="AF351" s="157" t="s">
        <v>139</v>
      </c>
      <c r="AG351" s="157">
        <v>2</v>
      </c>
      <c r="AH351" s="157"/>
      <c r="AI351" s="157"/>
      <c r="AJ351" s="157"/>
      <c r="AK351" s="157" t="s">
        <v>138</v>
      </c>
      <c r="AL351" s="157">
        <v>0</v>
      </c>
      <c r="AM351" s="157"/>
      <c r="AN351" s="157"/>
      <c r="AO351" s="157"/>
      <c r="AP351" s="157" t="s">
        <v>138</v>
      </c>
      <c r="AQ351" s="157">
        <v>0</v>
      </c>
      <c r="AR351" s="157"/>
      <c r="AS351" s="157"/>
      <c r="AT351" s="157"/>
      <c r="AU351" s="157" t="s">
        <v>138</v>
      </c>
      <c r="AV351" s="157">
        <v>0</v>
      </c>
      <c r="AW351" s="157"/>
      <c r="AX351" s="157"/>
      <c r="AY351" s="157"/>
      <c r="AZ351" s="136" t="s">
        <v>741</v>
      </c>
      <c r="BA351" s="137" t="s">
        <v>141</v>
      </c>
      <c r="BB351" s="137" t="s">
        <v>140</v>
      </c>
      <c r="BC351" s="137" t="s">
        <v>140</v>
      </c>
      <c r="BD351" s="137" t="s">
        <v>140</v>
      </c>
      <c r="BE351" s="157">
        <v>3.7</v>
      </c>
      <c r="BF351" s="162"/>
      <c r="BG351" s="157"/>
      <c r="BH351" s="161"/>
      <c r="BI351" s="161"/>
      <c r="BJ351" s="163"/>
      <c r="BK351" s="163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4"/>
      <c r="BV351" s="161"/>
      <c r="BW351" s="161"/>
      <c r="BX351" s="163"/>
      <c r="BY351" s="161"/>
      <c r="BZ351" s="161"/>
      <c r="CA351" s="161"/>
      <c r="CB351" s="161"/>
    </row>
    <row r="352" spans="1:80" ht="16.5" customHeight="1">
      <c r="A352" s="117">
        <v>1161</v>
      </c>
      <c r="B352" s="154" t="s">
        <v>862</v>
      </c>
      <c r="C352" s="154" t="s">
        <v>943</v>
      </c>
      <c r="D352" s="154" t="s">
        <v>13</v>
      </c>
      <c r="E352" s="154" t="s">
        <v>866</v>
      </c>
      <c r="F352" s="154" t="s">
        <v>867</v>
      </c>
      <c r="G352" s="154" t="s">
        <v>868</v>
      </c>
      <c r="H352" s="146">
        <v>2354</v>
      </c>
      <c r="I352" s="147" t="s">
        <v>147</v>
      </c>
      <c r="J352" s="144">
        <v>1</v>
      </c>
      <c r="K352" s="145">
        <f>K351</f>
        <v>2</v>
      </c>
      <c r="L352" s="144">
        <f>+K352*J352</f>
        <v>2</v>
      </c>
      <c r="M352" s="146">
        <v>279.3</v>
      </c>
      <c r="N352" s="146">
        <f>+M352*L352</f>
        <v>558.6</v>
      </c>
      <c r="O352" s="146" t="s">
        <v>137</v>
      </c>
      <c r="P352" s="146" t="s">
        <v>13</v>
      </c>
      <c r="Q352" s="146" t="s">
        <v>148</v>
      </c>
      <c r="R352" s="146"/>
      <c r="S352" s="146"/>
      <c r="T352" s="146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146">
        <f ca="1">+L352-T352</f>
        <v>2</v>
      </c>
      <c r="V352" s="146">
        <f ca="1">ROUNDDOWN(T352/J352,0)</f>
        <v>0</v>
      </c>
      <c r="W352" s="146"/>
      <c r="X352" s="146"/>
      <c r="Y352" s="146"/>
      <c r="Z352" s="146"/>
      <c r="AA352" s="146"/>
      <c r="AB352" s="146"/>
      <c r="AC352" s="146">
        <v>3.7</v>
      </c>
      <c r="AD352" s="117" t="s">
        <v>196</v>
      </c>
      <c r="AE352" s="148"/>
      <c r="AF352" s="146" t="str">
        <f t="shared" ref="AF352:AV352" si="730">AF351</f>
        <v>AMC 2-S3</v>
      </c>
      <c r="AG352" s="146">
        <f t="shared" si="730"/>
        <v>2</v>
      </c>
      <c r="AH352" s="146">
        <f>+AG352*J352</f>
        <v>2</v>
      </c>
      <c r="AI352" s="146">
        <f ca="1">MIN(T352,AH352)</f>
        <v>0</v>
      </c>
      <c r="AJ352" s="146">
        <f ca="1">+AH352-AI352</f>
        <v>2</v>
      </c>
      <c r="AK352" s="146" t="str">
        <f t="shared" si="730"/>
        <v>N/A</v>
      </c>
      <c r="AL352" s="146">
        <f t="shared" si="730"/>
        <v>0</v>
      </c>
      <c r="AM352" s="146">
        <f>+AL352*J352</f>
        <v>0</v>
      </c>
      <c r="AN352" s="146">
        <f ca="1">MIN(T352-AI352,AL352)</f>
        <v>0</v>
      </c>
      <c r="AO352" s="146">
        <f ca="1">+AM352-AN352</f>
        <v>0</v>
      </c>
      <c r="AP352" s="146" t="str">
        <f t="shared" si="730"/>
        <v>N/A</v>
      </c>
      <c r="AQ352" s="146">
        <f t="shared" si="730"/>
        <v>0</v>
      </c>
      <c r="AR352" s="146">
        <f>+AQ352*J352</f>
        <v>0</v>
      </c>
      <c r="AS352" s="146">
        <f ca="1">MIN(T352-AI352-AN352,AR352)</f>
        <v>0</v>
      </c>
      <c r="AT352" s="146">
        <f ca="1">+AR352-AS352</f>
        <v>0</v>
      </c>
      <c r="AU352" s="146" t="str">
        <f t="shared" si="730"/>
        <v>N/A</v>
      </c>
      <c r="AV352" s="146">
        <f t="shared" si="730"/>
        <v>0</v>
      </c>
      <c r="AW352" s="146">
        <f>+AV352*J352</f>
        <v>0</v>
      </c>
      <c r="AX352" s="146">
        <f ca="1">MIN(T352-AI352-AN352-AS352,AW352)</f>
        <v>0</v>
      </c>
      <c r="AY352" s="146">
        <f ca="1">+AW352-AX352</f>
        <v>0</v>
      </c>
      <c r="AZ352" s="147"/>
      <c r="BA352" s="168" t="s">
        <v>141</v>
      </c>
      <c r="BB352" s="144" t="s">
        <v>140</v>
      </c>
      <c r="BC352" s="144" t="s">
        <v>140</v>
      </c>
      <c r="BD352" s="144" t="s">
        <v>140</v>
      </c>
      <c r="BE352" s="146">
        <v>3.7</v>
      </c>
      <c r="BF352" s="148"/>
      <c r="BG352" s="146"/>
      <c r="BH352" s="117"/>
      <c r="BI352" s="117"/>
      <c r="BJ352" s="149"/>
      <c r="BK352" s="149"/>
      <c r="BL352" s="117">
        <v>0</v>
      </c>
      <c r="BM352" s="117">
        <v>0</v>
      </c>
      <c r="BN352" s="117">
        <v>0</v>
      </c>
      <c r="BO352" s="117">
        <v>0</v>
      </c>
      <c r="BP352" s="117">
        <v>0</v>
      </c>
      <c r="BQ352" s="117">
        <v>0</v>
      </c>
      <c r="BR352" s="117">
        <v>0</v>
      </c>
      <c r="BS352" s="117" t="s">
        <v>150</v>
      </c>
      <c r="BT352" s="167" t="s">
        <v>319</v>
      </c>
      <c r="BU352" s="141"/>
      <c r="BV352" s="141" t="s">
        <v>320</v>
      </c>
      <c r="BW352" s="141">
        <v>2</v>
      </c>
      <c r="BX352" s="153">
        <v>46202</v>
      </c>
      <c r="BY352" s="117"/>
      <c r="BZ352" s="117"/>
      <c r="CA352" s="117"/>
      <c r="CB352" s="117">
        <f>+L352-BW352</f>
        <v>0</v>
      </c>
    </row>
    <row r="353" spans="1:80" ht="16.5" hidden="1" customHeight="1">
      <c r="A353" s="133">
        <v>1173</v>
      </c>
      <c r="B353" s="156" t="s">
        <v>862</v>
      </c>
      <c r="C353" s="156" t="s">
        <v>944</v>
      </c>
      <c r="D353" s="156"/>
      <c r="E353" s="156" t="s">
        <v>136</v>
      </c>
      <c r="F353" s="156"/>
      <c r="G353" s="156"/>
      <c r="H353" s="157"/>
      <c r="I353" s="159"/>
      <c r="J353" s="160" t="s">
        <v>136</v>
      </c>
      <c r="K353" s="138">
        <f>+AG353+AL353+AQ353+AV353</f>
        <v>2</v>
      </c>
      <c r="L353" s="160" t="s">
        <v>136</v>
      </c>
      <c r="M353" s="157"/>
      <c r="N353" s="157">
        <v>1215.9000000000001</v>
      </c>
      <c r="O353" s="157" t="s">
        <v>137</v>
      </c>
      <c r="P353" s="157"/>
      <c r="Q353" s="157"/>
      <c r="R353" s="157"/>
      <c r="S353" s="157"/>
      <c r="T353" s="157"/>
      <c r="U353" s="157"/>
      <c r="V353" s="157"/>
      <c r="W353" s="135">
        <f ca="1">_xlfn.MINIFS(V:V,C:C,C353,AE:AE,"",AB:AB,"")</f>
        <v>0</v>
      </c>
      <c r="X353" s="135">
        <f ca="1">SUMIFS(T:T,C:C,C353,AE:AE,"")/SUMIFS(L:L,C:C,C353,AE:AE,"",AB:AB,"")</f>
        <v>0</v>
      </c>
      <c r="Y353" s="157"/>
      <c r="Z353" s="157"/>
      <c r="AA353" s="157"/>
      <c r="AB353" s="157"/>
      <c r="AC353" s="157">
        <v>16</v>
      </c>
      <c r="AD353" s="161" t="s">
        <v>196</v>
      </c>
      <c r="AE353" s="162" t="s">
        <v>143</v>
      </c>
      <c r="AF353" s="157" t="s">
        <v>139</v>
      </c>
      <c r="AG353" s="157">
        <v>2</v>
      </c>
      <c r="AH353" s="157"/>
      <c r="AI353" s="157"/>
      <c r="AJ353" s="157"/>
      <c r="AK353" s="157" t="s">
        <v>138</v>
      </c>
      <c r="AL353" s="157">
        <v>0</v>
      </c>
      <c r="AM353" s="157"/>
      <c r="AN353" s="157"/>
      <c r="AO353" s="157"/>
      <c r="AP353" s="157" t="s">
        <v>138</v>
      </c>
      <c r="AQ353" s="157">
        <v>0</v>
      </c>
      <c r="AR353" s="157"/>
      <c r="AS353" s="157"/>
      <c r="AT353" s="157"/>
      <c r="AU353" s="157" t="s">
        <v>138</v>
      </c>
      <c r="AV353" s="157">
        <v>0</v>
      </c>
      <c r="AW353" s="157"/>
      <c r="AX353" s="157"/>
      <c r="AY353" s="157"/>
      <c r="AZ353" s="136" t="s">
        <v>741</v>
      </c>
      <c r="BA353" s="137" t="s">
        <v>141</v>
      </c>
      <c r="BB353" s="137" t="s">
        <v>140</v>
      </c>
      <c r="BC353" s="137" t="s">
        <v>140</v>
      </c>
      <c r="BD353" s="137" t="s">
        <v>140</v>
      </c>
      <c r="BE353" s="157">
        <v>8</v>
      </c>
      <c r="BF353" s="162"/>
      <c r="BG353" s="157"/>
      <c r="BH353" s="161"/>
      <c r="BI353" s="161"/>
      <c r="BJ353" s="163"/>
      <c r="BK353" s="163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4"/>
      <c r="BV353" s="161"/>
      <c r="BW353" s="161"/>
      <c r="BX353" s="163"/>
      <c r="BY353" s="161"/>
      <c r="BZ353" s="161"/>
      <c r="CA353" s="161"/>
      <c r="CB353" s="161"/>
    </row>
    <row r="354" spans="1:80" ht="16.5" customHeight="1">
      <c r="A354" s="117">
        <v>1174</v>
      </c>
      <c r="B354" s="154" t="s">
        <v>862</v>
      </c>
      <c r="C354" s="154" t="s">
        <v>944</v>
      </c>
      <c r="D354" s="154" t="s">
        <v>13</v>
      </c>
      <c r="E354" s="154" t="s">
        <v>869</v>
      </c>
      <c r="F354" s="154" t="s">
        <v>870</v>
      </c>
      <c r="G354" s="154" t="s">
        <v>871</v>
      </c>
      <c r="H354" s="146">
        <v>4923</v>
      </c>
      <c r="I354" s="147" t="s">
        <v>147</v>
      </c>
      <c r="J354" s="144">
        <v>1</v>
      </c>
      <c r="K354" s="145">
        <f>K353</f>
        <v>2</v>
      </c>
      <c r="L354" s="144">
        <f>+K354*J354</f>
        <v>2</v>
      </c>
      <c r="M354" s="146">
        <v>607.9</v>
      </c>
      <c r="N354" s="146">
        <f>+M354*L354</f>
        <v>1215.8</v>
      </c>
      <c r="O354" s="146" t="s">
        <v>137</v>
      </c>
      <c r="P354" s="146" t="s">
        <v>13</v>
      </c>
      <c r="Q354" s="146" t="s">
        <v>148</v>
      </c>
      <c r="R354" s="146"/>
      <c r="S354" s="146"/>
      <c r="T354" s="146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146">
        <f ca="1">+L354-T354</f>
        <v>2</v>
      </c>
      <c r="V354" s="146">
        <f ca="1">ROUNDDOWN(T354/J354,0)</f>
        <v>0</v>
      </c>
      <c r="W354" s="146"/>
      <c r="X354" s="146"/>
      <c r="Y354" s="146"/>
      <c r="Z354" s="146"/>
      <c r="AA354" s="146"/>
      <c r="AB354" s="146"/>
      <c r="AC354" s="146">
        <v>8</v>
      </c>
      <c r="AD354" s="117" t="s">
        <v>196</v>
      </c>
      <c r="AE354" s="148"/>
      <c r="AF354" s="146" t="str">
        <f t="shared" ref="AF354:AV354" si="731">AF353</f>
        <v>AMC 2-S3</v>
      </c>
      <c r="AG354" s="146">
        <f t="shared" si="731"/>
        <v>2</v>
      </c>
      <c r="AH354" s="146">
        <f>+AG354*J354</f>
        <v>2</v>
      </c>
      <c r="AI354" s="146">
        <f ca="1">MIN(T354,AH354)</f>
        <v>0</v>
      </c>
      <c r="AJ354" s="146">
        <f ca="1">+AH354-AI354</f>
        <v>2</v>
      </c>
      <c r="AK354" s="146" t="str">
        <f t="shared" si="731"/>
        <v>N/A</v>
      </c>
      <c r="AL354" s="146">
        <f t="shared" si="731"/>
        <v>0</v>
      </c>
      <c r="AM354" s="146">
        <f>+AL354*J354</f>
        <v>0</v>
      </c>
      <c r="AN354" s="146">
        <f ca="1">MIN(T354-AI354,AL354)</f>
        <v>0</v>
      </c>
      <c r="AO354" s="146">
        <f ca="1">+AM354-AN354</f>
        <v>0</v>
      </c>
      <c r="AP354" s="146" t="str">
        <f t="shared" si="731"/>
        <v>N/A</v>
      </c>
      <c r="AQ354" s="146">
        <f t="shared" si="731"/>
        <v>0</v>
      </c>
      <c r="AR354" s="146">
        <f>+AQ354*J354</f>
        <v>0</v>
      </c>
      <c r="AS354" s="146">
        <f ca="1">MIN(T354-AI354-AN354,AR354)</f>
        <v>0</v>
      </c>
      <c r="AT354" s="146">
        <f ca="1">+AR354-AS354</f>
        <v>0</v>
      </c>
      <c r="AU354" s="146" t="str">
        <f t="shared" si="731"/>
        <v>N/A</v>
      </c>
      <c r="AV354" s="146">
        <f t="shared" si="731"/>
        <v>0</v>
      </c>
      <c r="AW354" s="146">
        <f>+AV354*J354</f>
        <v>0</v>
      </c>
      <c r="AX354" s="146">
        <f ca="1">MIN(T354-AI354-AN354-AS354,AW354)</f>
        <v>0</v>
      </c>
      <c r="AY354" s="146">
        <f ca="1">+AW354-AX354</f>
        <v>0</v>
      </c>
      <c r="AZ354" s="147"/>
      <c r="BA354" s="168" t="s">
        <v>141</v>
      </c>
      <c r="BB354" s="144" t="s">
        <v>140</v>
      </c>
      <c r="BC354" s="144" t="s">
        <v>140</v>
      </c>
      <c r="BD354" s="144" t="s">
        <v>140</v>
      </c>
      <c r="BE354" s="146">
        <v>8</v>
      </c>
      <c r="BF354" s="148"/>
      <c r="BG354" s="146"/>
      <c r="BH354" s="117"/>
      <c r="BI354" s="117"/>
      <c r="BJ354" s="149"/>
      <c r="BK354" s="149"/>
      <c r="BL354" s="117">
        <v>0</v>
      </c>
      <c r="BM354" s="117">
        <v>0</v>
      </c>
      <c r="BN354" s="117">
        <v>0</v>
      </c>
      <c r="BO354" s="117">
        <v>0</v>
      </c>
      <c r="BP354" s="117">
        <v>0</v>
      </c>
      <c r="BQ354" s="117">
        <v>0</v>
      </c>
      <c r="BR354" s="117">
        <v>0</v>
      </c>
      <c r="BS354" s="117" t="s">
        <v>150</v>
      </c>
      <c r="BT354" s="117"/>
      <c r="BU354" s="155"/>
      <c r="BV354" s="117" t="s">
        <v>57</v>
      </c>
      <c r="BW354" s="117">
        <v>2</v>
      </c>
      <c r="BX354" s="149"/>
      <c r="BY354" s="117"/>
      <c r="BZ354" s="117"/>
      <c r="CA354" s="117"/>
      <c r="CB354" s="117">
        <f>+L354-BW354</f>
        <v>0</v>
      </c>
    </row>
    <row r="355" spans="1:80" ht="16.5" hidden="1" customHeight="1">
      <c r="A355" s="133">
        <v>1175</v>
      </c>
      <c r="B355" s="156" t="s">
        <v>862</v>
      </c>
      <c r="C355" s="156" t="s">
        <v>945</v>
      </c>
      <c r="D355" s="156"/>
      <c r="E355" s="156" t="s">
        <v>136</v>
      </c>
      <c r="F355" s="156"/>
      <c r="G355" s="156"/>
      <c r="H355" s="157"/>
      <c r="I355" s="159"/>
      <c r="J355" s="160" t="s">
        <v>136</v>
      </c>
      <c r="K355" s="138">
        <f>+AG355+AL355+AQ355+AV355</f>
        <v>2</v>
      </c>
      <c r="L355" s="160" t="s">
        <v>136</v>
      </c>
      <c r="M355" s="157"/>
      <c r="N355" s="157">
        <v>77.400000000000006</v>
      </c>
      <c r="O355" s="157" t="s">
        <v>137</v>
      </c>
      <c r="P355" s="157"/>
      <c r="Q355" s="157"/>
      <c r="R355" s="157"/>
      <c r="S355" s="157"/>
      <c r="T355" s="157"/>
      <c r="U355" s="157"/>
      <c r="V355" s="157"/>
      <c r="W355" s="135">
        <f ca="1">_xlfn.MINIFS(V:V,C:C,C355,AE:AE,"",AB:AB,"")</f>
        <v>0</v>
      </c>
      <c r="X355" s="135">
        <f ca="1">SUMIFS(T:T,C:C,C355,AE:AE,"")/SUMIFS(L:L,C:C,C355,AE:AE,"",AB:AB,"")</f>
        <v>0</v>
      </c>
      <c r="Y355" s="157"/>
      <c r="Z355" s="157"/>
      <c r="AA355" s="157"/>
      <c r="AB355" s="157"/>
      <c r="AC355" s="157">
        <v>1.1000000000000001</v>
      </c>
      <c r="AD355" s="161" t="s">
        <v>196</v>
      </c>
      <c r="AE355" s="162" t="s">
        <v>143</v>
      </c>
      <c r="AF355" s="157" t="s">
        <v>139</v>
      </c>
      <c r="AG355" s="157">
        <v>2</v>
      </c>
      <c r="AH355" s="157"/>
      <c r="AI355" s="157"/>
      <c r="AJ355" s="157"/>
      <c r="AK355" s="157" t="s">
        <v>138</v>
      </c>
      <c r="AL355" s="157">
        <v>0</v>
      </c>
      <c r="AM355" s="157"/>
      <c r="AN355" s="157"/>
      <c r="AO355" s="157"/>
      <c r="AP355" s="157" t="s">
        <v>138</v>
      </c>
      <c r="AQ355" s="157">
        <v>0</v>
      </c>
      <c r="AR355" s="157"/>
      <c r="AS355" s="157"/>
      <c r="AT355" s="157"/>
      <c r="AU355" s="157" t="s">
        <v>138</v>
      </c>
      <c r="AV355" s="157">
        <v>0</v>
      </c>
      <c r="AW355" s="157"/>
      <c r="AX355" s="157"/>
      <c r="AY355" s="157"/>
      <c r="AZ355" s="136" t="s">
        <v>741</v>
      </c>
      <c r="BA355" s="137" t="s">
        <v>141</v>
      </c>
      <c r="BB355" s="137" t="s">
        <v>140</v>
      </c>
      <c r="BC355" s="137" t="s">
        <v>140</v>
      </c>
      <c r="BD355" s="137" t="s">
        <v>140</v>
      </c>
      <c r="BE355" s="157">
        <v>0.6</v>
      </c>
      <c r="BF355" s="162"/>
      <c r="BG355" s="157"/>
      <c r="BH355" s="161"/>
      <c r="BI355" s="161"/>
      <c r="BJ355" s="163"/>
      <c r="BK355" s="163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4"/>
      <c r="BV355" s="161"/>
      <c r="BW355" s="161"/>
      <c r="BX355" s="163"/>
      <c r="BY355" s="161"/>
      <c r="BZ355" s="161"/>
      <c r="CA355" s="161"/>
      <c r="CB355" s="161"/>
    </row>
    <row r="356" spans="1:80" ht="16.5" customHeight="1">
      <c r="A356" s="117">
        <v>1176</v>
      </c>
      <c r="B356" s="154" t="s">
        <v>862</v>
      </c>
      <c r="C356" s="154" t="s">
        <v>945</v>
      </c>
      <c r="D356" s="154" t="s">
        <v>13</v>
      </c>
      <c r="E356" s="154" t="s">
        <v>872</v>
      </c>
      <c r="F356" s="154" t="s">
        <v>873</v>
      </c>
      <c r="G356" s="154" t="s">
        <v>874</v>
      </c>
      <c r="H356" s="146">
        <v>1250</v>
      </c>
      <c r="I356" s="147" t="s">
        <v>147</v>
      </c>
      <c r="J356" s="144">
        <v>1</v>
      </c>
      <c r="K356" s="145">
        <f>K355</f>
        <v>2</v>
      </c>
      <c r="L356" s="144">
        <f>+K356*J356</f>
        <v>2</v>
      </c>
      <c r="M356" s="146">
        <v>38.700000000000003</v>
      </c>
      <c r="N356" s="146">
        <f>+M356*L356</f>
        <v>77.400000000000006</v>
      </c>
      <c r="O356" s="146" t="s">
        <v>137</v>
      </c>
      <c r="P356" s="146" t="s">
        <v>13</v>
      </c>
      <c r="Q356" s="146" t="s">
        <v>148</v>
      </c>
      <c r="R356" s="146"/>
      <c r="S356" s="146"/>
      <c r="T356" s="146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0</v>
      </c>
      <c r="U356" s="146">
        <f ca="1">+L356-T356</f>
        <v>2</v>
      </c>
      <c r="V356" s="146">
        <f ca="1">ROUNDDOWN(T356/J356,0)</f>
        <v>0</v>
      </c>
      <c r="W356" s="146"/>
      <c r="X356" s="146"/>
      <c r="Y356" s="146"/>
      <c r="Z356" s="146"/>
      <c r="AA356" s="146"/>
      <c r="AB356" s="146"/>
      <c r="AC356" s="146">
        <v>0.6</v>
      </c>
      <c r="AD356" s="117" t="s">
        <v>196</v>
      </c>
      <c r="AE356" s="148"/>
      <c r="AF356" s="146" t="str">
        <f t="shared" ref="AF356:AV356" si="732">AF355</f>
        <v>AMC 2-S3</v>
      </c>
      <c r="AG356" s="146">
        <f t="shared" si="732"/>
        <v>2</v>
      </c>
      <c r="AH356" s="146">
        <f>+AG356*J356</f>
        <v>2</v>
      </c>
      <c r="AI356" s="146">
        <f ca="1">MIN(T356,AH356)</f>
        <v>0</v>
      </c>
      <c r="AJ356" s="146">
        <f ca="1">+AH356-AI356</f>
        <v>2</v>
      </c>
      <c r="AK356" s="146" t="str">
        <f t="shared" si="732"/>
        <v>N/A</v>
      </c>
      <c r="AL356" s="146">
        <f t="shared" si="732"/>
        <v>0</v>
      </c>
      <c r="AM356" s="146">
        <f>+AL356*J356</f>
        <v>0</v>
      </c>
      <c r="AN356" s="146">
        <f ca="1">MIN(T356-AI356,AL356)</f>
        <v>0</v>
      </c>
      <c r="AO356" s="146">
        <f ca="1">+AM356-AN356</f>
        <v>0</v>
      </c>
      <c r="AP356" s="146" t="str">
        <f t="shared" si="732"/>
        <v>N/A</v>
      </c>
      <c r="AQ356" s="146">
        <f t="shared" si="732"/>
        <v>0</v>
      </c>
      <c r="AR356" s="146">
        <f>+AQ356*J356</f>
        <v>0</v>
      </c>
      <c r="AS356" s="146">
        <f ca="1">MIN(T356-AI356-AN356,AR356)</f>
        <v>0</v>
      </c>
      <c r="AT356" s="146">
        <f ca="1">+AR356-AS356</f>
        <v>0</v>
      </c>
      <c r="AU356" s="146" t="str">
        <f t="shared" si="732"/>
        <v>N/A</v>
      </c>
      <c r="AV356" s="146">
        <f t="shared" si="732"/>
        <v>0</v>
      </c>
      <c r="AW356" s="146">
        <f>+AV356*J356</f>
        <v>0</v>
      </c>
      <c r="AX356" s="146">
        <f ca="1">MIN(T356-AI356-AN356-AS356,AW356)</f>
        <v>0</v>
      </c>
      <c r="AY356" s="146">
        <f ca="1">+AW356-AX356</f>
        <v>0</v>
      </c>
      <c r="AZ356" s="147"/>
      <c r="BA356" s="168" t="s">
        <v>141</v>
      </c>
      <c r="BB356" s="144" t="s">
        <v>140</v>
      </c>
      <c r="BC356" s="144" t="s">
        <v>140</v>
      </c>
      <c r="BD356" s="144" t="s">
        <v>140</v>
      </c>
      <c r="BE356" s="146">
        <v>0.6</v>
      </c>
      <c r="BF356" s="148"/>
      <c r="BG356" s="146"/>
      <c r="BH356" s="117"/>
      <c r="BI356" s="117"/>
      <c r="BJ356" s="149"/>
      <c r="BK356" s="149"/>
      <c r="BL356" s="117">
        <v>0</v>
      </c>
      <c r="BM356" s="117">
        <v>0</v>
      </c>
      <c r="BN356" s="117">
        <v>0</v>
      </c>
      <c r="BO356" s="117">
        <v>0</v>
      </c>
      <c r="BP356" s="117">
        <v>0</v>
      </c>
      <c r="BQ356" s="117">
        <v>0</v>
      </c>
      <c r="BR356" s="117">
        <v>0</v>
      </c>
      <c r="BS356" s="117" t="s">
        <v>150</v>
      </c>
      <c r="BT356" s="167" t="s">
        <v>319</v>
      </c>
      <c r="BU356" s="141"/>
      <c r="BV356" s="141" t="s">
        <v>320</v>
      </c>
      <c r="BW356" s="141">
        <v>2</v>
      </c>
      <c r="BX356" s="153">
        <v>46202</v>
      </c>
      <c r="BY356" s="117"/>
      <c r="BZ356" s="117"/>
      <c r="CA356" s="117"/>
      <c r="CB356" s="117">
        <f>+L356-BW356</f>
        <v>0</v>
      </c>
    </row>
    <row r="357" spans="1:80" ht="16.5" hidden="1" customHeight="1">
      <c r="A357" s="133">
        <v>1216</v>
      </c>
      <c r="B357" s="156" t="s">
        <v>875</v>
      </c>
      <c r="C357" s="156" t="s">
        <v>946</v>
      </c>
      <c r="D357" s="156"/>
      <c r="E357" s="156" t="s">
        <v>136</v>
      </c>
      <c r="F357" s="156"/>
      <c r="G357" s="156"/>
      <c r="H357" s="157"/>
      <c r="I357" s="159"/>
      <c r="J357" s="160" t="s">
        <v>136</v>
      </c>
      <c r="K357" s="138">
        <f>+AG357+AL357+AQ357+AV357</f>
        <v>2</v>
      </c>
      <c r="L357" s="160" t="s">
        <v>136</v>
      </c>
      <c r="M357" s="157"/>
      <c r="N357" s="157">
        <v>889.5</v>
      </c>
      <c r="O357" s="157" t="s">
        <v>137</v>
      </c>
      <c r="P357" s="157"/>
      <c r="Q357" s="157"/>
      <c r="R357" s="157"/>
      <c r="S357" s="157"/>
      <c r="T357" s="157"/>
      <c r="U357" s="157"/>
      <c r="V357" s="157"/>
      <c r="W357" s="135">
        <f ca="1">_xlfn.MINIFS(V:V,C:C,C357,AE:AE,"",AB:AB,"")</f>
        <v>2</v>
      </c>
      <c r="X357" s="135">
        <f ca="1">SUMIFS(T:T,C:C,C357,AE:AE,"")/SUMIFS(L:L,C:C,C357,AE:AE,"",AB:AB,"")</f>
        <v>1</v>
      </c>
      <c r="Y357" s="157"/>
      <c r="Z357" s="157"/>
      <c r="AA357" s="157"/>
      <c r="AB357" s="157"/>
      <c r="AC357" s="157">
        <v>11.7</v>
      </c>
      <c r="AD357" s="161" t="s">
        <v>196</v>
      </c>
      <c r="AE357" s="162" t="s">
        <v>143</v>
      </c>
      <c r="AF357" s="157" t="s">
        <v>139</v>
      </c>
      <c r="AG357" s="157">
        <v>2</v>
      </c>
      <c r="AH357" s="157"/>
      <c r="AI357" s="157"/>
      <c r="AJ357" s="157"/>
      <c r="AK357" s="157" t="s">
        <v>138</v>
      </c>
      <c r="AL357" s="157">
        <v>0</v>
      </c>
      <c r="AM357" s="157"/>
      <c r="AN357" s="157"/>
      <c r="AO357" s="157"/>
      <c r="AP357" s="157" t="s">
        <v>138</v>
      </c>
      <c r="AQ357" s="157">
        <v>0</v>
      </c>
      <c r="AR357" s="157"/>
      <c r="AS357" s="157"/>
      <c r="AT357" s="157"/>
      <c r="AU357" s="157" t="s">
        <v>138</v>
      </c>
      <c r="AV357" s="157">
        <v>0</v>
      </c>
      <c r="AW357" s="157"/>
      <c r="AX357" s="157"/>
      <c r="AY357" s="157"/>
      <c r="AZ357" s="136" t="s">
        <v>741</v>
      </c>
      <c r="BA357" s="137" t="s">
        <v>141</v>
      </c>
      <c r="BB357" s="137" t="s">
        <v>140</v>
      </c>
      <c r="BC357" s="137" t="s">
        <v>140</v>
      </c>
      <c r="BD357" s="137" t="s">
        <v>140</v>
      </c>
      <c r="BE357" s="157">
        <v>5.9</v>
      </c>
      <c r="BF357" s="162"/>
      <c r="BG357" s="157"/>
      <c r="BH357" s="161"/>
      <c r="BI357" s="161"/>
      <c r="BJ357" s="163"/>
      <c r="BK357" s="163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4"/>
      <c r="BV357" s="161"/>
      <c r="BW357" s="161"/>
      <c r="BX357" s="163"/>
      <c r="BY357" s="161"/>
      <c r="BZ357" s="161"/>
      <c r="CA357" s="161"/>
      <c r="CB357" s="161"/>
    </row>
    <row r="358" spans="1:80" ht="16.5" hidden="1" customHeight="1">
      <c r="A358" s="117">
        <v>1217</v>
      </c>
      <c r="B358" s="154" t="s">
        <v>875</v>
      </c>
      <c r="C358" s="154" t="s">
        <v>946</v>
      </c>
      <c r="D358" s="154" t="s">
        <v>13</v>
      </c>
      <c r="E358" s="154" t="s">
        <v>876</v>
      </c>
      <c r="F358" s="154" t="s">
        <v>877</v>
      </c>
      <c r="G358" s="154" t="s">
        <v>878</v>
      </c>
      <c r="H358" s="146">
        <v>3413</v>
      </c>
      <c r="I358" s="147" t="s">
        <v>147</v>
      </c>
      <c r="J358" s="144">
        <v>1</v>
      </c>
      <c r="K358" s="145">
        <f>K357</f>
        <v>2</v>
      </c>
      <c r="L358" s="144">
        <f>+K358*J358</f>
        <v>2</v>
      </c>
      <c r="M358" s="146">
        <v>444.8</v>
      </c>
      <c r="N358" s="146">
        <f>+M358*L358</f>
        <v>889.6</v>
      </c>
      <c r="O358" s="146" t="s">
        <v>137</v>
      </c>
      <c r="P358" s="146" t="s">
        <v>13</v>
      </c>
      <c r="Q358" s="146" t="s">
        <v>148</v>
      </c>
      <c r="R358" s="146"/>
      <c r="S358" s="146"/>
      <c r="T358" s="146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46">
        <f ca="1">+L358-T358</f>
        <v>0</v>
      </c>
      <c r="V358" s="146">
        <f ca="1">ROUNDDOWN(T358/J358,0)</f>
        <v>2</v>
      </c>
      <c r="W358" s="146"/>
      <c r="X358" s="146"/>
      <c r="Y358" s="146"/>
      <c r="Z358" s="146"/>
      <c r="AA358" s="146"/>
      <c r="AB358" s="146"/>
      <c r="AC358" s="146">
        <v>5.9</v>
      </c>
      <c r="AD358" s="117" t="s">
        <v>196</v>
      </c>
      <c r="AE358" s="148"/>
      <c r="AF358" s="146" t="str">
        <f t="shared" ref="AF358:AV358" si="733">AF357</f>
        <v>AMC 2-S3</v>
      </c>
      <c r="AG358" s="146">
        <f t="shared" si="733"/>
        <v>2</v>
      </c>
      <c r="AH358" s="146">
        <f>+AG358*J358</f>
        <v>2</v>
      </c>
      <c r="AI358" s="146">
        <f ca="1">MIN(T358,AH358)</f>
        <v>2</v>
      </c>
      <c r="AJ358" s="146">
        <f ca="1">+AH358-AI358</f>
        <v>0</v>
      </c>
      <c r="AK358" s="146" t="str">
        <f t="shared" si="733"/>
        <v>N/A</v>
      </c>
      <c r="AL358" s="146">
        <f t="shared" si="733"/>
        <v>0</v>
      </c>
      <c r="AM358" s="146">
        <f>+AL358*J358</f>
        <v>0</v>
      </c>
      <c r="AN358" s="146">
        <f ca="1">MIN(T358-AI358,AL358)</f>
        <v>0</v>
      </c>
      <c r="AO358" s="146">
        <f ca="1">+AM358-AN358</f>
        <v>0</v>
      </c>
      <c r="AP358" s="146" t="str">
        <f t="shared" si="733"/>
        <v>N/A</v>
      </c>
      <c r="AQ358" s="146">
        <f t="shared" si="733"/>
        <v>0</v>
      </c>
      <c r="AR358" s="146">
        <f>+AQ358*J358</f>
        <v>0</v>
      </c>
      <c r="AS358" s="146">
        <f ca="1">MIN(T358-AI358-AN358,AR358)</f>
        <v>0</v>
      </c>
      <c r="AT358" s="146">
        <f ca="1">+AR358-AS358</f>
        <v>0</v>
      </c>
      <c r="AU358" s="146" t="str">
        <f t="shared" si="733"/>
        <v>N/A</v>
      </c>
      <c r="AV358" s="146">
        <f t="shared" si="733"/>
        <v>0</v>
      </c>
      <c r="AW358" s="146">
        <f>+AV358*J358</f>
        <v>0</v>
      </c>
      <c r="AX358" s="146">
        <f ca="1">MIN(T358-AI358-AN358-AS358,AW358)</f>
        <v>0</v>
      </c>
      <c r="AY358" s="146">
        <f ca="1">+AW358-AX358</f>
        <v>0</v>
      </c>
      <c r="AZ358" s="147"/>
      <c r="BA358" s="168" t="s">
        <v>141</v>
      </c>
      <c r="BB358" s="144" t="s">
        <v>140</v>
      </c>
      <c r="BC358" s="144" t="s">
        <v>140</v>
      </c>
      <c r="BD358" s="144" t="s">
        <v>140</v>
      </c>
      <c r="BE358" s="146">
        <v>5.9</v>
      </c>
      <c r="BF358" s="148"/>
      <c r="BG358" s="146"/>
      <c r="BH358" s="117"/>
      <c r="BI358" s="117"/>
      <c r="BJ358" s="149"/>
      <c r="BK358" s="149"/>
      <c r="BL358" s="117">
        <v>0</v>
      </c>
      <c r="BM358" s="117">
        <v>0</v>
      </c>
      <c r="BN358" s="117">
        <v>0</v>
      </c>
      <c r="BO358" s="117">
        <v>1</v>
      </c>
      <c r="BP358" s="117">
        <v>0</v>
      </c>
      <c r="BQ358" s="117">
        <v>0</v>
      </c>
      <c r="BR358" s="117">
        <v>0</v>
      </c>
      <c r="BS358" s="117" t="s">
        <v>150</v>
      </c>
      <c r="BT358" s="117"/>
      <c r="BU358" s="155"/>
      <c r="BV358" s="117" t="s">
        <v>57</v>
      </c>
      <c r="BW358" s="117">
        <v>2</v>
      </c>
      <c r="BX358" s="149"/>
      <c r="BY358" s="117"/>
      <c r="BZ358" s="117"/>
      <c r="CA358" s="117"/>
      <c r="CB358" s="117">
        <f>+L358-BW358</f>
        <v>0</v>
      </c>
    </row>
    <row r="359" spans="1:80" ht="16.5" hidden="1" customHeight="1">
      <c r="A359" s="133">
        <v>1218</v>
      </c>
      <c r="B359" s="156" t="s">
        <v>875</v>
      </c>
      <c r="C359" s="156" t="s">
        <v>947</v>
      </c>
      <c r="D359" s="156"/>
      <c r="E359" s="156" t="s">
        <v>136</v>
      </c>
      <c r="F359" s="156"/>
      <c r="G359" s="156"/>
      <c r="H359" s="157"/>
      <c r="I359" s="159"/>
      <c r="J359" s="160" t="s">
        <v>136</v>
      </c>
      <c r="K359" s="138">
        <f>+AG359+AL359+AQ359+AV359</f>
        <v>2</v>
      </c>
      <c r="L359" s="160" t="s">
        <v>136</v>
      </c>
      <c r="M359" s="157"/>
      <c r="N359" s="157">
        <v>1366.7</v>
      </c>
      <c r="O359" s="157" t="s">
        <v>137</v>
      </c>
      <c r="P359" s="157"/>
      <c r="Q359" s="157"/>
      <c r="R359" s="157"/>
      <c r="S359" s="157"/>
      <c r="T359" s="157"/>
      <c r="U359" s="157"/>
      <c r="V359" s="157"/>
      <c r="W359" s="135">
        <f ca="1">_xlfn.MINIFS(V:V,C:C,C359,AE:AE,"",AB:AB,"")</f>
        <v>0</v>
      </c>
      <c r="X359" s="135">
        <f ca="1">SUMIFS(T:T,C:C,C359,AE:AE,"")/SUMIFS(L:L,C:C,C359,AE:AE,"",AB:AB,"")</f>
        <v>0</v>
      </c>
      <c r="Y359" s="157"/>
      <c r="Z359" s="157"/>
      <c r="AA359" s="157"/>
      <c r="AB359" s="157"/>
      <c r="AC359" s="157">
        <v>17.8</v>
      </c>
      <c r="AD359" s="161" t="s">
        <v>196</v>
      </c>
      <c r="AE359" s="162" t="s">
        <v>143</v>
      </c>
      <c r="AF359" s="157" t="s">
        <v>139</v>
      </c>
      <c r="AG359" s="157">
        <v>2</v>
      </c>
      <c r="AH359" s="157"/>
      <c r="AI359" s="157"/>
      <c r="AJ359" s="157"/>
      <c r="AK359" s="157" t="s">
        <v>138</v>
      </c>
      <c r="AL359" s="157">
        <v>0</v>
      </c>
      <c r="AM359" s="157"/>
      <c r="AN359" s="157"/>
      <c r="AO359" s="157"/>
      <c r="AP359" s="157" t="s">
        <v>138</v>
      </c>
      <c r="AQ359" s="157">
        <v>0</v>
      </c>
      <c r="AR359" s="157"/>
      <c r="AS359" s="157"/>
      <c r="AT359" s="157"/>
      <c r="AU359" s="157" t="s">
        <v>138</v>
      </c>
      <c r="AV359" s="157">
        <v>0</v>
      </c>
      <c r="AW359" s="157"/>
      <c r="AX359" s="157"/>
      <c r="AY359" s="157"/>
      <c r="AZ359" s="136" t="s">
        <v>741</v>
      </c>
      <c r="BA359" s="137" t="s">
        <v>141</v>
      </c>
      <c r="BB359" s="137" t="s">
        <v>140</v>
      </c>
      <c r="BC359" s="137" t="s">
        <v>140</v>
      </c>
      <c r="BD359" s="137" t="s">
        <v>140</v>
      </c>
      <c r="BE359" s="157">
        <v>8.9</v>
      </c>
      <c r="BF359" s="162"/>
      <c r="BG359" s="157"/>
      <c r="BH359" s="161"/>
      <c r="BI359" s="161"/>
      <c r="BJ359" s="163"/>
      <c r="BK359" s="163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4"/>
      <c r="BV359" s="161"/>
      <c r="BW359" s="161"/>
      <c r="BX359" s="163"/>
      <c r="BY359" s="161"/>
      <c r="BZ359" s="161"/>
      <c r="CA359" s="161"/>
      <c r="CB359" s="161"/>
    </row>
    <row r="360" spans="1:80" ht="16.5" customHeight="1">
      <c r="A360" s="117">
        <v>1219</v>
      </c>
      <c r="B360" s="154" t="s">
        <v>875</v>
      </c>
      <c r="C360" s="154" t="s">
        <v>947</v>
      </c>
      <c r="D360" s="154" t="s">
        <v>13</v>
      </c>
      <c r="E360" s="154" t="s">
        <v>879</v>
      </c>
      <c r="F360" s="154" t="s">
        <v>880</v>
      </c>
      <c r="G360" s="154" t="s">
        <v>881</v>
      </c>
      <c r="H360" s="146">
        <v>3975</v>
      </c>
      <c r="I360" s="147" t="s">
        <v>147</v>
      </c>
      <c r="J360" s="144">
        <v>1</v>
      </c>
      <c r="K360" s="145">
        <f>K359</f>
        <v>2</v>
      </c>
      <c r="L360" s="144">
        <f>+K360*J360</f>
        <v>2</v>
      </c>
      <c r="M360" s="146">
        <v>683.4</v>
      </c>
      <c r="N360" s="146">
        <f>+M360*L360</f>
        <v>1366.8</v>
      </c>
      <c r="O360" s="146" t="s">
        <v>137</v>
      </c>
      <c r="P360" s="146" t="s">
        <v>13</v>
      </c>
      <c r="Q360" s="146" t="s">
        <v>148</v>
      </c>
      <c r="R360" s="146"/>
      <c r="S360" s="146"/>
      <c r="T360" s="146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0</v>
      </c>
      <c r="U360" s="146">
        <f ca="1">+L360-T360</f>
        <v>2</v>
      </c>
      <c r="V360" s="146">
        <f ca="1">ROUNDDOWN(T360/J360,0)</f>
        <v>0</v>
      </c>
      <c r="W360" s="146"/>
      <c r="X360" s="146"/>
      <c r="Y360" s="146"/>
      <c r="Z360" s="146"/>
      <c r="AA360" s="146"/>
      <c r="AB360" s="146"/>
      <c r="AC360" s="146">
        <v>8.9</v>
      </c>
      <c r="AD360" s="117" t="s">
        <v>196</v>
      </c>
      <c r="AE360" s="148"/>
      <c r="AF360" s="146" t="str">
        <f t="shared" ref="AF360:AV360" si="734">AF359</f>
        <v>AMC 2-S3</v>
      </c>
      <c r="AG360" s="146">
        <f t="shared" si="734"/>
        <v>2</v>
      </c>
      <c r="AH360" s="146">
        <f>+AG360*J360</f>
        <v>2</v>
      </c>
      <c r="AI360" s="146">
        <f ca="1">MIN(T360,AH360)</f>
        <v>0</v>
      </c>
      <c r="AJ360" s="146">
        <f ca="1">+AH360-AI360</f>
        <v>2</v>
      </c>
      <c r="AK360" s="146" t="str">
        <f t="shared" si="734"/>
        <v>N/A</v>
      </c>
      <c r="AL360" s="146">
        <f t="shared" si="734"/>
        <v>0</v>
      </c>
      <c r="AM360" s="146">
        <f>+AL360*J360</f>
        <v>0</v>
      </c>
      <c r="AN360" s="146">
        <f ca="1">MIN(T360-AI360,AL360)</f>
        <v>0</v>
      </c>
      <c r="AO360" s="146">
        <f ca="1">+AM360-AN360</f>
        <v>0</v>
      </c>
      <c r="AP360" s="146" t="str">
        <f t="shared" si="734"/>
        <v>N/A</v>
      </c>
      <c r="AQ360" s="146">
        <f t="shared" si="734"/>
        <v>0</v>
      </c>
      <c r="AR360" s="146">
        <f>+AQ360*J360</f>
        <v>0</v>
      </c>
      <c r="AS360" s="146">
        <f ca="1">MIN(T360-AI360-AN360,AR360)</f>
        <v>0</v>
      </c>
      <c r="AT360" s="146">
        <f ca="1">+AR360-AS360</f>
        <v>0</v>
      </c>
      <c r="AU360" s="146" t="str">
        <f t="shared" si="734"/>
        <v>N/A</v>
      </c>
      <c r="AV360" s="146">
        <f t="shared" si="734"/>
        <v>0</v>
      </c>
      <c r="AW360" s="146">
        <f>+AV360*J360</f>
        <v>0</v>
      </c>
      <c r="AX360" s="146">
        <f ca="1">MIN(T360-AI360-AN360-AS360,AW360)</f>
        <v>0</v>
      </c>
      <c r="AY360" s="146">
        <f ca="1">+AW360-AX360</f>
        <v>0</v>
      </c>
      <c r="AZ360" s="147"/>
      <c r="BA360" s="168" t="s">
        <v>141</v>
      </c>
      <c r="BB360" s="144" t="s">
        <v>140</v>
      </c>
      <c r="BC360" s="144" t="s">
        <v>140</v>
      </c>
      <c r="BD360" s="144" t="s">
        <v>140</v>
      </c>
      <c r="BE360" s="146">
        <v>8.9</v>
      </c>
      <c r="BF360" s="148"/>
      <c r="BG360" s="146"/>
      <c r="BH360" s="117"/>
      <c r="BI360" s="117"/>
      <c r="BJ360" s="149"/>
      <c r="BK360" s="149"/>
      <c r="BL360" s="117">
        <v>0</v>
      </c>
      <c r="BM360" s="117">
        <v>0</v>
      </c>
      <c r="BN360" s="117">
        <v>0</v>
      </c>
      <c r="BO360" s="117">
        <v>0</v>
      </c>
      <c r="BP360" s="117">
        <v>0</v>
      </c>
      <c r="BQ360" s="117">
        <v>0</v>
      </c>
      <c r="BR360" s="117">
        <v>0</v>
      </c>
      <c r="BS360" s="117" t="s">
        <v>150</v>
      </c>
      <c r="BT360" s="167" t="s">
        <v>319</v>
      </c>
      <c r="BU360" s="141"/>
      <c r="BV360" s="141" t="s">
        <v>320</v>
      </c>
      <c r="BW360" s="141">
        <v>2</v>
      </c>
      <c r="BX360" s="153">
        <v>46202</v>
      </c>
      <c r="BY360" s="117"/>
      <c r="BZ360" s="117"/>
      <c r="CA360" s="117"/>
      <c r="CB360" s="117">
        <f>+L360-BW360</f>
        <v>0</v>
      </c>
    </row>
    <row r="361" spans="1:80" ht="16.5" hidden="1" customHeight="1">
      <c r="A361" s="133">
        <v>1220</v>
      </c>
      <c r="B361" s="156" t="s">
        <v>875</v>
      </c>
      <c r="C361" s="156" t="s">
        <v>948</v>
      </c>
      <c r="D361" s="156"/>
      <c r="E361" s="156" t="s">
        <v>136</v>
      </c>
      <c r="F361" s="156"/>
      <c r="G361" s="156"/>
      <c r="H361" s="157"/>
      <c r="I361" s="159"/>
      <c r="J361" s="160" t="s">
        <v>136</v>
      </c>
      <c r="K361" s="138">
        <f>+AG361+AL361+AQ361+AV361</f>
        <v>2</v>
      </c>
      <c r="L361" s="160" t="s">
        <v>136</v>
      </c>
      <c r="M361" s="157"/>
      <c r="N361" s="157">
        <v>1485.5</v>
      </c>
      <c r="O361" s="157" t="s">
        <v>137</v>
      </c>
      <c r="P361" s="157"/>
      <c r="Q361" s="157"/>
      <c r="R361" s="157"/>
      <c r="S361" s="157"/>
      <c r="T361" s="157"/>
      <c r="U361" s="157"/>
      <c r="V361" s="157"/>
      <c r="W361" s="135">
        <f ca="1">_xlfn.MINIFS(V:V,C:C,C361,AE:AE,"",AB:AB,"")</f>
        <v>2</v>
      </c>
      <c r="X361" s="135">
        <f ca="1">SUMIFS(T:T,C:C,C361,AE:AE,"")/SUMIFS(L:L,C:C,C361,AE:AE,"",AB:AB,"")</f>
        <v>1</v>
      </c>
      <c r="Y361" s="157"/>
      <c r="Z361" s="157"/>
      <c r="AA361" s="157"/>
      <c r="AB361" s="157"/>
      <c r="AC361" s="157">
        <v>19.3</v>
      </c>
      <c r="AD361" s="161" t="s">
        <v>196</v>
      </c>
      <c r="AE361" s="162" t="s">
        <v>143</v>
      </c>
      <c r="AF361" s="157" t="s">
        <v>139</v>
      </c>
      <c r="AG361" s="157">
        <v>2</v>
      </c>
      <c r="AH361" s="157"/>
      <c r="AI361" s="157"/>
      <c r="AJ361" s="157"/>
      <c r="AK361" s="157" t="s">
        <v>138</v>
      </c>
      <c r="AL361" s="157">
        <v>0</v>
      </c>
      <c r="AM361" s="157"/>
      <c r="AN361" s="157"/>
      <c r="AO361" s="157"/>
      <c r="AP361" s="157" t="s">
        <v>138</v>
      </c>
      <c r="AQ361" s="157">
        <v>0</v>
      </c>
      <c r="AR361" s="157"/>
      <c r="AS361" s="157"/>
      <c r="AT361" s="157"/>
      <c r="AU361" s="157" t="s">
        <v>138</v>
      </c>
      <c r="AV361" s="157">
        <v>0</v>
      </c>
      <c r="AW361" s="157"/>
      <c r="AX361" s="157"/>
      <c r="AY361" s="157"/>
      <c r="AZ361" s="136" t="s">
        <v>741</v>
      </c>
      <c r="BA361" s="137" t="s">
        <v>141</v>
      </c>
      <c r="BB361" s="137" t="s">
        <v>140</v>
      </c>
      <c r="BC361" s="137" t="s">
        <v>140</v>
      </c>
      <c r="BD361" s="137" t="s">
        <v>140</v>
      </c>
      <c r="BE361" s="157">
        <v>9.6999999999999993</v>
      </c>
      <c r="BF361" s="162"/>
      <c r="BG361" s="157"/>
      <c r="BH361" s="161"/>
      <c r="BI361" s="161"/>
      <c r="BJ361" s="163"/>
      <c r="BK361" s="163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4"/>
      <c r="BV361" s="161"/>
      <c r="BW361" s="161"/>
      <c r="BX361" s="163"/>
      <c r="BY361" s="161"/>
      <c r="BZ361" s="161"/>
      <c r="CA361" s="161"/>
      <c r="CB361" s="161"/>
    </row>
    <row r="362" spans="1:80" ht="16.5" hidden="1" customHeight="1">
      <c r="A362" s="117">
        <v>1221</v>
      </c>
      <c r="B362" s="154" t="s">
        <v>875</v>
      </c>
      <c r="C362" s="154" t="s">
        <v>948</v>
      </c>
      <c r="D362" s="154" t="s">
        <v>13</v>
      </c>
      <c r="E362" s="154" t="s">
        <v>882</v>
      </c>
      <c r="F362" s="154" t="s">
        <v>883</v>
      </c>
      <c r="G362" s="154" t="s">
        <v>884</v>
      </c>
      <c r="H362" s="146">
        <v>4132</v>
      </c>
      <c r="I362" s="147" t="s">
        <v>147</v>
      </c>
      <c r="J362" s="144">
        <v>1</v>
      </c>
      <c r="K362" s="145">
        <f>K361</f>
        <v>2</v>
      </c>
      <c r="L362" s="144">
        <f>+K362*J362</f>
        <v>2</v>
      </c>
      <c r="M362" s="146">
        <v>742.7</v>
      </c>
      <c r="N362" s="146">
        <f>+M362*L362</f>
        <v>1485.4</v>
      </c>
      <c r="O362" s="146" t="s">
        <v>137</v>
      </c>
      <c r="P362" s="146" t="s">
        <v>13</v>
      </c>
      <c r="Q362" s="146" t="s">
        <v>148</v>
      </c>
      <c r="R362" s="146"/>
      <c r="S362" s="146"/>
      <c r="T362" s="146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2</v>
      </c>
      <c r="U362" s="146">
        <f ca="1">+L362-T362</f>
        <v>0</v>
      </c>
      <c r="V362" s="146">
        <f ca="1">ROUNDDOWN(T362/J362,0)</f>
        <v>2</v>
      </c>
      <c r="W362" s="146"/>
      <c r="X362" s="146"/>
      <c r="Y362" s="146"/>
      <c r="Z362" s="146"/>
      <c r="AA362" s="146"/>
      <c r="AB362" s="146"/>
      <c r="AC362" s="146">
        <v>9.6999999999999993</v>
      </c>
      <c r="AD362" s="117" t="s">
        <v>196</v>
      </c>
      <c r="AE362" s="148"/>
      <c r="AF362" s="146" t="str">
        <f t="shared" ref="AF362:AV362" si="735">AF361</f>
        <v>AMC 2-S3</v>
      </c>
      <c r="AG362" s="146">
        <f t="shared" si="735"/>
        <v>2</v>
      </c>
      <c r="AH362" s="146">
        <f>+AG362*J362</f>
        <v>2</v>
      </c>
      <c r="AI362" s="146">
        <f ca="1">MIN(T362,AH362)</f>
        <v>2</v>
      </c>
      <c r="AJ362" s="146">
        <f ca="1">+AH362-AI362</f>
        <v>0</v>
      </c>
      <c r="AK362" s="146" t="str">
        <f t="shared" si="735"/>
        <v>N/A</v>
      </c>
      <c r="AL362" s="146">
        <f t="shared" si="735"/>
        <v>0</v>
      </c>
      <c r="AM362" s="146">
        <f>+AL362*J362</f>
        <v>0</v>
      </c>
      <c r="AN362" s="146">
        <f ca="1">MIN(T362-AI362,AL362)</f>
        <v>0</v>
      </c>
      <c r="AO362" s="146">
        <f ca="1">+AM362-AN362</f>
        <v>0</v>
      </c>
      <c r="AP362" s="146" t="str">
        <f t="shared" si="735"/>
        <v>N/A</v>
      </c>
      <c r="AQ362" s="146">
        <f t="shared" si="735"/>
        <v>0</v>
      </c>
      <c r="AR362" s="146">
        <f>+AQ362*J362</f>
        <v>0</v>
      </c>
      <c r="AS362" s="146">
        <f ca="1">MIN(T362-AI362-AN362,AR362)</f>
        <v>0</v>
      </c>
      <c r="AT362" s="146">
        <f ca="1">+AR362-AS362</f>
        <v>0</v>
      </c>
      <c r="AU362" s="146" t="str">
        <f t="shared" si="735"/>
        <v>N/A</v>
      </c>
      <c r="AV362" s="146">
        <f t="shared" si="735"/>
        <v>0</v>
      </c>
      <c r="AW362" s="146">
        <f>+AV362*J362</f>
        <v>0</v>
      </c>
      <c r="AX362" s="146">
        <f ca="1">MIN(T362-AI362-AN362-AS362,AW362)</f>
        <v>0</v>
      </c>
      <c r="AY362" s="146">
        <f ca="1">+AW362-AX362</f>
        <v>0</v>
      </c>
      <c r="AZ362" s="147"/>
      <c r="BA362" s="168" t="s">
        <v>141</v>
      </c>
      <c r="BB362" s="144" t="s">
        <v>140</v>
      </c>
      <c r="BC362" s="144" t="s">
        <v>140</v>
      </c>
      <c r="BD362" s="144" t="s">
        <v>140</v>
      </c>
      <c r="BE362" s="146">
        <v>9.6999999999999993</v>
      </c>
      <c r="BF362" s="148"/>
      <c r="BG362" s="146"/>
      <c r="BH362" s="117"/>
      <c r="BI362" s="117"/>
      <c r="BJ362" s="149"/>
      <c r="BK362" s="149"/>
      <c r="BL362" s="117">
        <v>0</v>
      </c>
      <c r="BM362" s="117">
        <v>0</v>
      </c>
      <c r="BN362" s="117">
        <v>0</v>
      </c>
      <c r="BO362" s="117">
        <v>1</v>
      </c>
      <c r="BP362" s="117">
        <v>0</v>
      </c>
      <c r="BQ362" s="117">
        <v>0</v>
      </c>
      <c r="BR362" s="117">
        <v>0</v>
      </c>
      <c r="BS362" s="117" t="s">
        <v>150</v>
      </c>
      <c r="BT362" s="117"/>
      <c r="BU362" s="155"/>
      <c r="BV362" s="117" t="s">
        <v>57</v>
      </c>
      <c r="BW362" s="117">
        <v>2</v>
      </c>
      <c r="BX362" s="149"/>
      <c r="BY362" s="117"/>
      <c r="BZ362" s="117"/>
      <c r="CA362" s="117"/>
      <c r="CB362" s="117">
        <f>+L362-BW362</f>
        <v>0</v>
      </c>
    </row>
    <row r="363" spans="1:80" ht="16.5" hidden="1" customHeight="1">
      <c r="A363" s="133">
        <v>1222</v>
      </c>
      <c r="B363" s="156" t="s">
        <v>875</v>
      </c>
      <c r="C363" s="156" t="s">
        <v>949</v>
      </c>
      <c r="D363" s="156"/>
      <c r="E363" s="156" t="s">
        <v>136</v>
      </c>
      <c r="F363" s="156"/>
      <c r="G363" s="156"/>
      <c r="H363" s="157"/>
      <c r="I363" s="159"/>
      <c r="J363" s="160" t="s">
        <v>136</v>
      </c>
      <c r="K363" s="138">
        <f>+AG363+AL363+AQ363+AV363</f>
        <v>2</v>
      </c>
      <c r="L363" s="160" t="s">
        <v>136</v>
      </c>
      <c r="M363" s="157"/>
      <c r="N363" s="157">
        <v>77.400000000000006</v>
      </c>
      <c r="O363" s="157" t="s">
        <v>137</v>
      </c>
      <c r="P363" s="157"/>
      <c r="Q363" s="157"/>
      <c r="R363" s="157"/>
      <c r="S363" s="157"/>
      <c r="T363" s="157"/>
      <c r="U363" s="157"/>
      <c r="V363" s="157"/>
      <c r="W363" s="135">
        <f ca="1">_xlfn.MINIFS(V:V,C:C,C363,AE:AE,"",AB:AB,"")</f>
        <v>0</v>
      </c>
      <c r="X363" s="135">
        <f ca="1">SUMIFS(T:T,C:C,C363,AE:AE,"")/SUMIFS(L:L,C:C,C363,AE:AE,"",AB:AB,"")</f>
        <v>0</v>
      </c>
      <c r="Y363" s="157"/>
      <c r="Z363" s="157"/>
      <c r="AA363" s="157"/>
      <c r="AB363" s="157"/>
      <c r="AC363" s="157">
        <v>1.1000000000000001</v>
      </c>
      <c r="AD363" s="161" t="s">
        <v>196</v>
      </c>
      <c r="AE363" s="162" t="s">
        <v>143</v>
      </c>
      <c r="AF363" s="157" t="s">
        <v>139</v>
      </c>
      <c r="AG363" s="157">
        <v>2</v>
      </c>
      <c r="AH363" s="157"/>
      <c r="AI363" s="157"/>
      <c r="AJ363" s="157"/>
      <c r="AK363" s="157" t="s">
        <v>138</v>
      </c>
      <c r="AL363" s="157">
        <v>0</v>
      </c>
      <c r="AM363" s="157"/>
      <c r="AN363" s="157"/>
      <c r="AO363" s="157"/>
      <c r="AP363" s="157" t="s">
        <v>138</v>
      </c>
      <c r="AQ363" s="157">
        <v>0</v>
      </c>
      <c r="AR363" s="157"/>
      <c r="AS363" s="157"/>
      <c r="AT363" s="157"/>
      <c r="AU363" s="157" t="s">
        <v>138</v>
      </c>
      <c r="AV363" s="157">
        <v>0</v>
      </c>
      <c r="AW363" s="157"/>
      <c r="AX363" s="157"/>
      <c r="AY363" s="157"/>
      <c r="AZ363" s="136" t="s">
        <v>741</v>
      </c>
      <c r="BA363" s="137" t="s">
        <v>141</v>
      </c>
      <c r="BB363" s="137" t="s">
        <v>140</v>
      </c>
      <c r="BC363" s="137" t="s">
        <v>140</v>
      </c>
      <c r="BD363" s="137" t="s">
        <v>140</v>
      </c>
      <c r="BE363" s="157">
        <v>0.6</v>
      </c>
      <c r="BF363" s="162"/>
      <c r="BG363" s="157"/>
      <c r="BH363" s="161"/>
      <c r="BI363" s="161"/>
      <c r="BJ363" s="163"/>
      <c r="BK363" s="163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4"/>
      <c r="BV363" s="161"/>
      <c r="BW363" s="161"/>
      <c r="BX363" s="163"/>
      <c r="BY363" s="161"/>
      <c r="BZ363" s="161"/>
      <c r="CA363" s="161"/>
      <c r="CB363" s="161"/>
    </row>
    <row r="364" spans="1:80" ht="16.5" customHeight="1">
      <c r="A364" s="117">
        <v>1223</v>
      </c>
      <c r="B364" s="154" t="s">
        <v>875</v>
      </c>
      <c r="C364" s="154" t="s">
        <v>949</v>
      </c>
      <c r="D364" s="154" t="s">
        <v>13</v>
      </c>
      <c r="E364" s="154" t="s">
        <v>885</v>
      </c>
      <c r="F364" s="154" t="s">
        <v>886</v>
      </c>
      <c r="G364" s="154" t="s">
        <v>874</v>
      </c>
      <c r="H364" s="146">
        <v>1250</v>
      </c>
      <c r="I364" s="147" t="s">
        <v>147</v>
      </c>
      <c r="J364" s="144">
        <v>1</v>
      </c>
      <c r="K364" s="145">
        <f>K363</f>
        <v>2</v>
      </c>
      <c r="L364" s="144">
        <f>+K364*J364</f>
        <v>2</v>
      </c>
      <c r="M364" s="146">
        <v>38.700000000000003</v>
      </c>
      <c r="N364" s="146">
        <f>+M364*L364</f>
        <v>77.400000000000006</v>
      </c>
      <c r="O364" s="146" t="s">
        <v>137</v>
      </c>
      <c r="P364" s="146" t="s">
        <v>13</v>
      </c>
      <c r="Q364" s="146" t="s">
        <v>148</v>
      </c>
      <c r="R364" s="146"/>
      <c r="S364" s="146"/>
      <c r="T364" s="146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0</v>
      </c>
      <c r="U364" s="146">
        <f ca="1">+L364-T364</f>
        <v>2</v>
      </c>
      <c r="V364" s="146">
        <f ca="1">ROUNDDOWN(T364/J364,0)</f>
        <v>0</v>
      </c>
      <c r="W364" s="146"/>
      <c r="X364" s="146"/>
      <c r="Y364" s="146"/>
      <c r="Z364" s="146"/>
      <c r="AA364" s="146"/>
      <c r="AB364" s="146"/>
      <c r="AC364" s="146">
        <v>0.6</v>
      </c>
      <c r="AD364" s="117" t="s">
        <v>196</v>
      </c>
      <c r="AE364" s="148"/>
      <c r="AF364" s="146" t="str">
        <f t="shared" ref="AF364:AV364" si="736">AF363</f>
        <v>AMC 2-S3</v>
      </c>
      <c r="AG364" s="146">
        <f t="shared" si="736"/>
        <v>2</v>
      </c>
      <c r="AH364" s="146">
        <f>+AG364*J364</f>
        <v>2</v>
      </c>
      <c r="AI364" s="146">
        <f ca="1">MIN(T364,AH364)</f>
        <v>0</v>
      </c>
      <c r="AJ364" s="146">
        <f ca="1">+AH364-AI364</f>
        <v>2</v>
      </c>
      <c r="AK364" s="146" t="str">
        <f t="shared" si="736"/>
        <v>N/A</v>
      </c>
      <c r="AL364" s="146">
        <f t="shared" si="736"/>
        <v>0</v>
      </c>
      <c r="AM364" s="146">
        <f>+AL364*J364</f>
        <v>0</v>
      </c>
      <c r="AN364" s="146">
        <f ca="1">MIN(T364-AI364,AL364)</f>
        <v>0</v>
      </c>
      <c r="AO364" s="146">
        <f ca="1">+AM364-AN364</f>
        <v>0</v>
      </c>
      <c r="AP364" s="146" t="str">
        <f t="shared" si="736"/>
        <v>N/A</v>
      </c>
      <c r="AQ364" s="146">
        <f t="shared" si="736"/>
        <v>0</v>
      </c>
      <c r="AR364" s="146">
        <f>+AQ364*J364</f>
        <v>0</v>
      </c>
      <c r="AS364" s="146">
        <f ca="1">MIN(T364-AI364-AN364,AR364)</f>
        <v>0</v>
      </c>
      <c r="AT364" s="146">
        <f ca="1">+AR364-AS364</f>
        <v>0</v>
      </c>
      <c r="AU364" s="146" t="str">
        <f t="shared" si="736"/>
        <v>N/A</v>
      </c>
      <c r="AV364" s="146">
        <f t="shared" si="736"/>
        <v>0</v>
      </c>
      <c r="AW364" s="146">
        <f>+AV364*J364</f>
        <v>0</v>
      </c>
      <c r="AX364" s="146">
        <f ca="1">MIN(T364-AI364-AN364-AS364,AW364)</f>
        <v>0</v>
      </c>
      <c r="AY364" s="146">
        <f ca="1">+AW364-AX364</f>
        <v>0</v>
      </c>
      <c r="AZ364" s="147"/>
      <c r="BA364" s="168" t="s">
        <v>141</v>
      </c>
      <c r="BB364" s="144" t="s">
        <v>140</v>
      </c>
      <c r="BC364" s="144" t="s">
        <v>140</v>
      </c>
      <c r="BD364" s="144" t="s">
        <v>140</v>
      </c>
      <c r="BE364" s="146">
        <v>0.6</v>
      </c>
      <c r="BF364" s="148"/>
      <c r="BG364" s="146"/>
      <c r="BH364" s="117"/>
      <c r="BI364" s="117"/>
      <c r="BJ364" s="149"/>
      <c r="BK364" s="149"/>
      <c r="BL364" s="117">
        <v>0</v>
      </c>
      <c r="BM364" s="117">
        <v>0</v>
      </c>
      <c r="BN364" s="117">
        <v>0</v>
      </c>
      <c r="BO364" s="117">
        <v>0</v>
      </c>
      <c r="BP364" s="117">
        <v>0</v>
      </c>
      <c r="BQ364" s="117">
        <v>0</v>
      </c>
      <c r="BR364" s="117">
        <v>0</v>
      </c>
      <c r="BS364" s="117" t="s">
        <v>150</v>
      </c>
      <c r="BT364" s="167" t="s">
        <v>319</v>
      </c>
      <c r="BU364" s="141"/>
      <c r="BV364" s="141" t="s">
        <v>320</v>
      </c>
      <c r="BW364" s="141">
        <v>2</v>
      </c>
      <c r="BX364" s="153">
        <v>46202</v>
      </c>
      <c r="BY364" s="117"/>
      <c r="BZ364" s="117"/>
      <c r="CA364" s="117"/>
      <c r="CB364" s="117">
        <f>+L364-BW364</f>
        <v>0</v>
      </c>
    </row>
    <row r="365" spans="1:80" ht="16.5" hidden="1" customHeight="1">
      <c r="A365" s="133">
        <v>1224</v>
      </c>
      <c r="B365" s="156" t="s">
        <v>875</v>
      </c>
      <c r="C365" s="156" t="s">
        <v>950</v>
      </c>
      <c r="D365" s="156"/>
      <c r="E365" s="156" t="s">
        <v>136</v>
      </c>
      <c r="F365" s="156"/>
      <c r="G365" s="156"/>
      <c r="H365" s="157"/>
      <c r="I365" s="159"/>
      <c r="J365" s="160" t="s">
        <v>136</v>
      </c>
      <c r="K365" s="138">
        <f>+AG365+AL365+AQ365+AV365</f>
        <v>2</v>
      </c>
      <c r="L365" s="160" t="s">
        <v>136</v>
      </c>
      <c r="M365" s="157"/>
      <c r="N365" s="157">
        <v>505.7</v>
      </c>
      <c r="O365" s="157" t="s">
        <v>137</v>
      </c>
      <c r="P365" s="157"/>
      <c r="Q365" s="157"/>
      <c r="R365" s="157"/>
      <c r="S365" s="157"/>
      <c r="T365" s="157"/>
      <c r="U365" s="157"/>
      <c r="V365" s="157"/>
      <c r="W365" s="135">
        <f ca="1">_xlfn.MINIFS(V:V,C:C,C365,AE:AE,"",AB:AB,"")</f>
        <v>2</v>
      </c>
      <c r="X365" s="135">
        <f ca="1">SUMIFS(T:T,C:C,C365,AE:AE,"")/SUMIFS(L:L,C:C,C365,AE:AE,"",AB:AB,"")</f>
        <v>1</v>
      </c>
      <c r="Y365" s="157"/>
      <c r="Z365" s="157"/>
      <c r="AA365" s="157"/>
      <c r="AB365" s="157"/>
      <c r="AC365" s="157">
        <v>8.8000000000000007</v>
      </c>
      <c r="AD365" s="161" t="s">
        <v>196</v>
      </c>
      <c r="AE365" s="162" t="s">
        <v>143</v>
      </c>
      <c r="AF365" s="157" t="s">
        <v>139</v>
      </c>
      <c r="AG365" s="157">
        <v>2</v>
      </c>
      <c r="AH365" s="157"/>
      <c r="AI365" s="157"/>
      <c r="AJ365" s="157"/>
      <c r="AK365" s="157" t="s">
        <v>138</v>
      </c>
      <c r="AL365" s="157">
        <v>0</v>
      </c>
      <c r="AM365" s="157"/>
      <c r="AN365" s="157"/>
      <c r="AO365" s="157"/>
      <c r="AP365" s="157" t="s">
        <v>138</v>
      </c>
      <c r="AQ365" s="157">
        <v>0</v>
      </c>
      <c r="AR365" s="157"/>
      <c r="AS365" s="157"/>
      <c r="AT365" s="157"/>
      <c r="AU365" s="157" t="s">
        <v>138</v>
      </c>
      <c r="AV365" s="157">
        <v>0</v>
      </c>
      <c r="AW365" s="157"/>
      <c r="AX365" s="157"/>
      <c r="AY365" s="157"/>
      <c r="AZ365" s="136" t="s">
        <v>741</v>
      </c>
      <c r="BA365" s="137" t="s">
        <v>141</v>
      </c>
      <c r="BB365" s="137" t="s">
        <v>140</v>
      </c>
      <c r="BC365" s="137" t="s">
        <v>140</v>
      </c>
      <c r="BD365" s="137" t="s">
        <v>140</v>
      </c>
      <c r="BE365" s="157">
        <v>4.4000000000000004</v>
      </c>
      <c r="BF365" s="162"/>
      <c r="BG365" s="157"/>
      <c r="BH365" s="161"/>
      <c r="BI365" s="161"/>
      <c r="BJ365" s="163"/>
      <c r="BK365" s="163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4"/>
      <c r="BV365" s="161"/>
      <c r="BW365" s="161"/>
      <c r="BX365" s="163"/>
      <c r="BY365" s="161"/>
      <c r="BZ365" s="161"/>
      <c r="CA365" s="161"/>
      <c r="CB365" s="161"/>
    </row>
    <row r="366" spans="1:80" ht="16.5" hidden="1" customHeight="1">
      <c r="A366" s="117">
        <v>1225</v>
      </c>
      <c r="B366" s="154" t="s">
        <v>875</v>
      </c>
      <c r="C366" s="154" t="s">
        <v>950</v>
      </c>
      <c r="D366" s="154" t="s">
        <v>13</v>
      </c>
      <c r="E366" s="154" t="s">
        <v>887</v>
      </c>
      <c r="F366" s="154" t="s">
        <v>888</v>
      </c>
      <c r="G366" s="154" t="s">
        <v>889</v>
      </c>
      <c r="H366" s="146">
        <v>2687</v>
      </c>
      <c r="I366" s="147" t="s">
        <v>147</v>
      </c>
      <c r="J366" s="144">
        <v>1</v>
      </c>
      <c r="K366" s="145">
        <f>K365</f>
        <v>2</v>
      </c>
      <c r="L366" s="144">
        <f>+K366*J366</f>
        <v>2</v>
      </c>
      <c r="M366" s="146">
        <v>252.8</v>
      </c>
      <c r="N366" s="146">
        <f>+M366*L366</f>
        <v>505.6</v>
      </c>
      <c r="O366" s="146" t="s">
        <v>137</v>
      </c>
      <c r="P366" s="146" t="s">
        <v>13</v>
      </c>
      <c r="Q366" s="146" t="s">
        <v>148</v>
      </c>
      <c r="R366" s="146"/>
      <c r="S366" s="146"/>
      <c r="T366" s="146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2</v>
      </c>
      <c r="U366" s="146">
        <f ca="1">+L366-T366</f>
        <v>0</v>
      </c>
      <c r="V366" s="146">
        <f ca="1">ROUNDDOWN(T366/J366,0)</f>
        <v>2</v>
      </c>
      <c r="W366" s="146"/>
      <c r="X366" s="146"/>
      <c r="Y366" s="146"/>
      <c r="Z366" s="146"/>
      <c r="AA366" s="146"/>
      <c r="AB366" s="146"/>
      <c r="AC366" s="146">
        <v>4.4000000000000004</v>
      </c>
      <c r="AD366" s="117" t="s">
        <v>196</v>
      </c>
      <c r="AE366" s="148"/>
      <c r="AF366" s="146" t="str">
        <f t="shared" ref="AF366:AV366" si="737">AF365</f>
        <v>AMC 2-S3</v>
      </c>
      <c r="AG366" s="146">
        <f t="shared" si="737"/>
        <v>2</v>
      </c>
      <c r="AH366" s="146">
        <f>+AG366*J366</f>
        <v>2</v>
      </c>
      <c r="AI366" s="146">
        <f ca="1">MIN(T366,AH366)</f>
        <v>2</v>
      </c>
      <c r="AJ366" s="146">
        <f ca="1">+AH366-AI366</f>
        <v>0</v>
      </c>
      <c r="AK366" s="146" t="str">
        <f t="shared" si="737"/>
        <v>N/A</v>
      </c>
      <c r="AL366" s="146">
        <f t="shared" si="737"/>
        <v>0</v>
      </c>
      <c r="AM366" s="146">
        <f>+AL366*J366</f>
        <v>0</v>
      </c>
      <c r="AN366" s="146">
        <f ca="1">MIN(T366-AI366,AL366)</f>
        <v>0</v>
      </c>
      <c r="AO366" s="146">
        <f ca="1">+AM366-AN366</f>
        <v>0</v>
      </c>
      <c r="AP366" s="146" t="str">
        <f t="shared" si="737"/>
        <v>N/A</v>
      </c>
      <c r="AQ366" s="146">
        <f t="shared" si="737"/>
        <v>0</v>
      </c>
      <c r="AR366" s="146">
        <f>+AQ366*J366</f>
        <v>0</v>
      </c>
      <c r="AS366" s="146">
        <f ca="1">MIN(T366-AI366-AN366,AR366)</f>
        <v>0</v>
      </c>
      <c r="AT366" s="146">
        <f ca="1">+AR366-AS366</f>
        <v>0</v>
      </c>
      <c r="AU366" s="146" t="str">
        <f t="shared" si="737"/>
        <v>N/A</v>
      </c>
      <c r="AV366" s="146">
        <f t="shared" si="737"/>
        <v>0</v>
      </c>
      <c r="AW366" s="146">
        <f>+AV366*J366</f>
        <v>0</v>
      </c>
      <c r="AX366" s="146">
        <f ca="1">MIN(T366-AI366-AN366-AS366,AW366)</f>
        <v>0</v>
      </c>
      <c r="AY366" s="146">
        <f ca="1">+AW366-AX366</f>
        <v>0</v>
      </c>
      <c r="AZ366" s="147"/>
      <c r="BA366" s="168" t="s">
        <v>141</v>
      </c>
      <c r="BB366" s="144" t="s">
        <v>140</v>
      </c>
      <c r="BC366" s="144" t="s">
        <v>140</v>
      </c>
      <c r="BD366" s="144" t="s">
        <v>140</v>
      </c>
      <c r="BE366" s="146">
        <v>4.4000000000000004</v>
      </c>
      <c r="BF366" s="148"/>
      <c r="BG366" s="146"/>
      <c r="BH366" s="117"/>
      <c r="BI366" s="117"/>
      <c r="BJ366" s="149"/>
      <c r="BK366" s="149"/>
      <c r="BL366" s="117">
        <v>0</v>
      </c>
      <c r="BM366" s="117">
        <v>0</v>
      </c>
      <c r="BN366" s="117">
        <v>0</v>
      </c>
      <c r="BO366" s="117">
        <v>0</v>
      </c>
      <c r="BP366" s="117">
        <v>0</v>
      </c>
      <c r="BQ366" s="117">
        <v>0</v>
      </c>
      <c r="BR366" s="117">
        <v>0</v>
      </c>
      <c r="BS366" s="117" t="s">
        <v>150</v>
      </c>
      <c r="BT366" s="158" t="s">
        <v>200</v>
      </c>
      <c r="BU366" s="117"/>
      <c r="BV366" s="117" t="s">
        <v>201</v>
      </c>
      <c r="BW366" s="117">
        <v>2</v>
      </c>
      <c r="BX366" s="149">
        <v>46201</v>
      </c>
      <c r="BY366" s="117"/>
      <c r="BZ366" s="117"/>
      <c r="CA366" s="117"/>
      <c r="CB366" s="117">
        <f>+L366-BW366</f>
        <v>0</v>
      </c>
    </row>
  </sheetData>
  <autoFilter ref="A9:CB366" xr:uid="{EC608412-085C-4B63-99CE-5FEBD3E79F59}">
    <filterColumn colId="35">
      <filters>
        <filter val="1,0"/>
        <filter val="2,0"/>
        <filter val="6,0"/>
      </filters>
    </filterColumn>
  </autoFilter>
  <mergeCells count="5">
    <mergeCell ref="BH6:BK6"/>
    <mergeCell ref="BL6:BR6"/>
    <mergeCell ref="BT6:CB6"/>
    <mergeCell ref="BT7:BU7"/>
    <mergeCell ref="E8:F8"/>
  </mergeCells>
  <conditionalFormatting sqref="F37">
    <cfRule type="duplicateValues" dxfId="11" priority="10"/>
  </conditionalFormatting>
  <conditionalFormatting sqref="F68">
    <cfRule type="duplicateValues" dxfId="10" priority="1"/>
  </conditionalFormatting>
  <conditionalFormatting sqref="F82">
    <cfRule type="duplicateValues" dxfId="9" priority="9"/>
  </conditionalFormatting>
  <conditionalFormatting sqref="F88">
    <cfRule type="duplicateValues" dxfId="8" priority="3"/>
  </conditionalFormatting>
  <conditionalFormatting sqref="F94">
    <cfRule type="duplicateValues" dxfId="7" priority="8"/>
  </conditionalFormatting>
  <conditionalFormatting sqref="F110">
    <cfRule type="duplicateValues" dxfId="6" priority="7"/>
  </conditionalFormatting>
  <conditionalFormatting sqref="F116">
    <cfRule type="duplicateValues" dxfId="5" priority="6"/>
  </conditionalFormatting>
  <conditionalFormatting sqref="F354">
    <cfRule type="duplicateValues" dxfId="4" priority="5"/>
  </conditionalFormatting>
  <conditionalFormatting sqref="F358">
    <cfRule type="duplicateValues" dxfId="3" priority="4"/>
  </conditionalFormatting>
  <conditionalFormatting sqref="F362">
    <cfRule type="duplicateValues" dxfId="2" priority="2"/>
  </conditionalFormatting>
  <conditionalFormatting sqref="F363:F366 F359:F361 F10:F36 F95:F109 F111:F115 F117:F353 F355:F357 F89:F93 F83:F87 F38:F67 F69:F81">
    <cfRule type="duplicateValues" dxfId="1" priority="1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7569D-E372-43DF-B725-811E18E0D116}">
  <sheetPr codeName="Sheet3" filterMode="1">
    <tabColor rgb="FF7030A0"/>
    <pageSetUpPr fitToPage="1"/>
  </sheetPr>
  <dimension ref="C1:BU559"/>
  <sheetViews>
    <sheetView zoomScaleNormal="100" workbookViewId="0">
      <pane xSplit="13" ySplit="29" topLeftCell="BA30" activePane="bottomRight" state="frozen"/>
      <selection activeCell="AJ30" sqref="AJ30"/>
      <selection pane="topRight" activeCell="AJ30" sqref="AJ30"/>
      <selection pane="bottomLeft" activeCell="AJ30" sqref="AJ30"/>
      <selection pane="bottomRight" activeCell="BJ560" sqref="BJ560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21.125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59" width="6.875" style="3" customWidth="1"/>
    <col min="60" max="60" width="7.25" style="3" customWidth="1"/>
    <col min="61" max="61" width="8.625" style="3" customWidth="1"/>
    <col min="62" max="62" width="9.875" style="3" customWidth="1"/>
    <col min="63" max="63" width="8.625" style="3" customWidth="1"/>
    <col min="64" max="64" width="8.75" style="3" customWidth="1"/>
    <col min="65" max="65" width="7.5" style="3" customWidth="1"/>
    <col min="66" max="66" width="11.125" style="3" customWidth="1"/>
    <col min="67" max="68" width="9" style="3" customWidth="1"/>
    <col min="69" max="69" width="8.75" style="3" customWidth="1"/>
    <col min="70" max="70" width="8.625" style="3" customWidth="1"/>
    <col min="71" max="72" width="9" style="3" customWidth="1"/>
    <col min="73" max="16384" width="8.75" style="3"/>
  </cols>
  <sheetData>
    <row r="1" spans="4:60" ht="19.5">
      <c r="D1" s="1" t="s">
        <v>951</v>
      </c>
      <c r="E1" s="2"/>
      <c r="F1" s="2"/>
      <c r="G1" s="2"/>
      <c r="H1" s="2"/>
    </row>
    <row r="2" spans="4:60" ht="13.5" thickBot="1"/>
    <row r="3" spans="4:60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</row>
    <row r="4" spans="4:60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5"/>
    </row>
    <row r="5" spans="4:60" ht="13.5" thickBot="1">
      <c r="D5" s="15" t="s">
        <v>11</v>
      </c>
      <c r="E5" s="26">
        <f>SUMIFS(I:I,$C:$C,$D5)</f>
        <v>242</v>
      </c>
      <c r="F5" s="26">
        <f>SUMIFS(K:K,$C:$C,$D5)</f>
        <v>2640.595119999999</v>
      </c>
      <c r="G5" s="26" cm="1">
        <f t="array" ref="G5">SUMPRODUCT(--($C$30:$C$556=$D5),$L$30:$L$556)</f>
        <v>105</v>
      </c>
      <c r="H5" s="26" cm="1">
        <f t="array" ref="H5">SUMPRODUCT(--($C$30:$C$556=$D5),$L$30:$L$556,$J$30:$J$556)</f>
        <v>1323.6206</v>
      </c>
      <c r="I5" s="26" cm="1">
        <f t="array" ref="I5">SUMPRODUCT(--($C$30:$C$556=$D5),$M$30:$M$556)</f>
        <v>137</v>
      </c>
      <c r="J5" s="27" cm="1">
        <f t="array" ref="J5">SUMPRODUCT(--($C$30:$C$556=$D5),$M$30:$M$556,$J$30:$J$556)</f>
        <v>1316.97452</v>
      </c>
      <c r="L5" s="28" t="s">
        <v>12</v>
      </c>
      <c r="M5" s="29">
        <f>G8</f>
        <v>1058</v>
      </c>
      <c r="N5" s="30">
        <f>H8</f>
        <v>128775.8906</v>
      </c>
      <c r="O5" s="31"/>
      <c r="P5" s="32" cm="1">
        <f t="array" aca="1" ref="P5" ca="1">IFERROR(INDIRECT("'"&amp;$D$1&amp;"'!w6"),0)</f>
        <v>15641.5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</row>
    <row r="6" spans="4:60" ht="13.5" thickTop="1">
      <c r="D6" s="36" t="s">
        <v>13</v>
      </c>
      <c r="E6" s="26">
        <f>SUMIFS(I:I,$C:$C,$D6)</f>
        <v>1742</v>
      </c>
      <c r="F6" s="26">
        <f>SUMIFS(K:K,$C:$C,$D6)</f>
        <v>189061.15872611466</v>
      </c>
      <c r="G6" s="26" cm="1">
        <f t="array" ref="G6">SUMPRODUCT(--($C$30:$C$556=$D6),$L$30:$L$556)</f>
        <v>949</v>
      </c>
      <c r="H6" s="26" cm="1">
        <f t="array" ref="H6">SUMPRODUCT(--($C$30:$C$556=$D6),$L$30:$L$556,$J$30:$J$556)</f>
        <v>127451.87000000001</v>
      </c>
      <c r="I6" s="26" cm="1">
        <f t="array" ref="I6">SUMPRODUCT(--($C$30:$C$556=$D6),$M$30:$M$556)</f>
        <v>793</v>
      </c>
      <c r="J6" s="27" cm="1">
        <f t="array" ref="J6">SUMPRODUCT(--($C$30:$C$556=$D6),$M$30:$M$556,$J$30:$J$556)</f>
        <v>61609.288726114624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</row>
    <row r="7" spans="4:60">
      <c r="D7" s="36" t="s">
        <v>14</v>
      </c>
      <c r="E7" s="26">
        <f>SUMIFS(I:I,$C:$C,$D7)</f>
        <v>109</v>
      </c>
      <c r="F7" s="26">
        <f>SUMIFS(K:K,$C:$C,$D7)</f>
        <v>2247.9096000000004</v>
      </c>
      <c r="G7" s="26" cm="1">
        <f t="array" ref="G7">SUMPRODUCT(--($C$30:$C$556=$D7),$L$30:$L$556)</f>
        <v>4</v>
      </c>
      <c r="H7" s="26" cm="1">
        <f t="array" ref="H7">SUMPRODUCT(--($C$30:$C$556=$D7),$L$30:$L$556,$J$30:$J$556)</f>
        <v>0.4</v>
      </c>
      <c r="I7" s="26" cm="1">
        <f t="array" ref="I7">SUMPRODUCT(--($C$30:$C$556=$D7),$M$30:$M$556)</f>
        <v>105</v>
      </c>
      <c r="J7" s="27" cm="1">
        <f t="array" ref="J7">SUMPRODUCT(--($C$30:$C$556=$D7),$M$30:$M$556,$J$30:$J$556)</f>
        <v>2247.5095999999999</v>
      </c>
    </row>
    <row r="8" spans="4:60" ht="13.5" thickBot="1">
      <c r="D8" s="40" t="s">
        <v>12</v>
      </c>
      <c r="E8" s="41">
        <f t="shared" ref="E8:J8" si="0">E5+E6+E7</f>
        <v>2093</v>
      </c>
      <c r="F8" s="41">
        <f t="shared" si="0"/>
        <v>193949.66344611469</v>
      </c>
      <c r="G8" s="41">
        <f t="shared" si="0"/>
        <v>1058</v>
      </c>
      <c r="H8" s="41">
        <f t="shared" si="0"/>
        <v>128775.8906</v>
      </c>
      <c r="I8" s="41">
        <f t="shared" si="0"/>
        <v>1035</v>
      </c>
      <c r="J8" s="42">
        <f t="shared" si="0"/>
        <v>65173.772846114625</v>
      </c>
    </row>
    <row r="9" spans="4:60" ht="13.5" hidden="1" outlineLevel="1" thickTop="1"/>
    <row r="10" spans="4:60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60" ht="23.25" hidden="1" customHeight="1" outlineLevel="1" thickTop="1">
      <c r="D11" s="45" t="s">
        <v>11</v>
      </c>
      <c r="E11" s="46" t="str" cm="1">
        <f t="array" ref="E11:M11">TRANSPOSE(_xlfn._xlws.SORT(_xlfn.UNIQUE(_xlfn._xlws.FILTER(E30:E556,(C30:C556=$D$11)*(M30:M556&lt;&gt;0))),,1))</f>
        <v>1/2" SCH.STD (OD21.3x2.77t)</v>
      </c>
      <c r="F11" s="46" t="str">
        <v>28" SCH.STD (Ø711x9.53t)</v>
      </c>
      <c r="G11" s="46" t="str">
        <v>4" SCH.STD (OD114.3x6.02t)</v>
      </c>
      <c r="H11" s="46" t="str">
        <v>L80x80x10</v>
      </c>
      <c r="I11" s="46" t="str">
        <v>M24x95L (Pitch 3mm; 6G)</v>
      </c>
      <c r="J11" s="46" t="str">
        <v>RB15</v>
      </c>
      <c r="K11" s="46" t="str">
        <v>RB20</v>
      </c>
      <c r="L11" s="46" t="str">
        <v>RB50</v>
      </c>
      <c r="M11" s="46" t="str">
        <v>RB60</v>
      </c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</row>
    <row r="12" spans="4:60" ht="28.9" hidden="1" customHeight="1" outlineLevel="2">
      <c r="D12" s="49" t="s">
        <v>16</v>
      </c>
      <c r="E12" s="50" cm="1">
        <f t="array" ref="E12">SUMPRODUCT(--($C$30:$C$556=$D$11),--($E$30:$E$556=E$11),$I$30:$I$556,$G$30:$G$556)</f>
        <v>19899</v>
      </c>
      <c r="F12" s="50" cm="1">
        <f t="array" ref="F12">SUMPRODUCT(--($C$30:$C$556=$D$11),--($E$30:$E$556=F$11),$I$30:$I$556,$G$30:$G$556)</f>
        <v>5460</v>
      </c>
      <c r="G12" s="50" cm="1">
        <f t="array" ref="G12">SUMPRODUCT(--($C$30:$C$556=$D$11),--($E$30:$E$556=G$11),$I$30:$I$556,$G$30:$G$556)</f>
        <v>96628</v>
      </c>
      <c r="H12" s="50" cm="1">
        <f t="array" ref="H12">SUMPRODUCT(--($C$30:$C$556=$D$11),--($E$30:$E$556=H$11),$I$30:$I$556,$G$30:$G$556)</f>
        <v>320</v>
      </c>
      <c r="I12" s="50" cm="1">
        <f t="array" ref="I12">SUMPRODUCT(--($C$30:$C$556=$D$11),--($E$30:$E$556=I$11),$I$30:$I$556,$G$30:$G$556)</f>
        <v>6080</v>
      </c>
      <c r="J12" s="50" cm="1">
        <f t="array" ref="J12">SUMPRODUCT(--($C$30:$C$556=$D$11),--($E$30:$E$556=J$11),$I$30:$I$556,$G$30:$G$556)</f>
        <v>752</v>
      </c>
      <c r="K12" s="50" cm="1">
        <f t="array" ref="K12">SUMPRODUCT(--($C$30:$C$556=$D$11),--($E$30:$E$556=K$11),$I$30:$I$556,$G$30:$G$556)</f>
        <v>2608</v>
      </c>
      <c r="L12" s="50" cm="1">
        <f t="array" ref="L12">SUMPRODUCT(--($C$30:$C$556=$D$11),--($E$30:$E$556=L$11),$I$30:$I$556,$G$30:$G$556)</f>
        <v>192</v>
      </c>
      <c r="M12" s="50" cm="1">
        <f t="array" ref="M12">SUMPRODUCT(--($C$30:$C$556=$D$11),--($E$30:$E$556=M$11),$I$30:$I$556,$G$30:$G$556)</f>
        <v>4384</v>
      </c>
      <c r="N12" s="50" cm="1">
        <f t="array" ref="N12">SUMPRODUCT(--($C$30:$C$556=$D$11),--($E$30:$E$556=N$11),$I$30:$I$556,$G$30:$G$556)</f>
        <v>0</v>
      </c>
      <c r="O12" s="50" cm="1">
        <f t="array" ref="O12">SUMPRODUCT(--($C$30:$C$556=$D$11),--($E$30:$E$556=O$11),$I$30:$I$556,$G$30:$G$556)</f>
        <v>0</v>
      </c>
      <c r="P12" s="50" cm="1">
        <f t="array" ref="P12">SUMPRODUCT(--($C$30:$C$556=$D$11),--($E$30:$E$556=P$11),$I$30:$I$556,$G$30:$G$556)</f>
        <v>0</v>
      </c>
      <c r="Q12" s="50" cm="1">
        <f t="array" ref="Q12">SUMPRODUCT(--($C$30:$C$556=$D$11),--($E$30:$E$556=Q$11),$I$30:$I$556,$G$30:$G$556)</f>
        <v>0</v>
      </c>
      <c r="R12" s="51" cm="1">
        <f t="array" ref="R12">SUMPRODUCT(--($C$30:$C$556=$D$11),--($E$30:$E$556=R$11),$I$30:$I$556,$G$30:$G$556)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</row>
    <row r="13" spans="4:60" ht="15" hidden="1" customHeight="1" outlineLevel="2">
      <c r="D13" s="49" t="s">
        <v>17</v>
      </c>
      <c r="E13" s="53" cm="1">
        <f t="array" ref="E13">SUMPRODUCT(--($C$30:$C$556=$D$11),--($E$30:$E$556=E$11),$I$30:$I$556)</f>
        <v>27</v>
      </c>
      <c r="F13" s="53" cm="1">
        <f t="array" ref="F13">SUMPRODUCT(--($C$30:$C$556=$D$11),--($E$30:$E$556=F$11),$I$30:$I$556)</f>
        <v>8</v>
      </c>
      <c r="G13" s="53" cm="1">
        <f t="array" ref="G13">SUMPRODUCT(--($C$30:$C$556=$D$11),--($E$30:$E$556=G$11),$I$30:$I$556)</f>
        <v>119</v>
      </c>
      <c r="H13" s="53" cm="1">
        <f t="array" ref="H13">SUMPRODUCT(--($C$30:$C$556=$D$11),--($E$30:$E$556=H$11),$I$30:$I$556)</f>
        <v>4</v>
      </c>
      <c r="I13" s="53" cm="1">
        <f t="array" ref="I13">SUMPRODUCT(--($C$30:$C$556=$D$11),--($E$30:$E$556=I$11),$I$30:$I$556)</f>
        <v>64</v>
      </c>
      <c r="J13" s="53" cm="1">
        <f t="array" ref="J13">SUMPRODUCT(--($C$30:$C$556=$D$11),--($E$30:$E$556=J$11),$I$30:$I$556)</f>
        <v>4</v>
      </c>
      <c r="K13" s="53" cm="1">
        <f t="array" ref="K13">SUMPRODUCT(--($C$30:$C$556=$D$11),--($E$30:$E$556=K$11),$I$30:$I$556)</f>
        <v>8</v>
      </c>
      <c r="L13" s="53" cm="1">
        <f t="array" ref="L13">SUMPRODUCT(--($C$30:$C$556=$D$11),--($E$30:$E$556=L$11),$I$30:$I$556)</f>
        <v>4</v>
      </c>
      <c r="M13" s="53" cm="1">
        <f t="array" ref="M13">SUMPRODUCT(--($C$30:$C$556=$D$11),--($E$30:$E$556=M$11),$I$30:$I$556)</f>
        <v>4</v>
      </c>
      <c r="N13" s="53" cm="1">
        <f t="array" ref="N13">SUMPRODUCT(--($C$30:$C$556=$D$11),--($E$30:$E$556=N$11),$I$30:$I$556)</f>
        <v>0</v>
      </c>
      <c r="O13" s="53" cm="1">
        <f t="array" ref="O13">SUMPRODUCT(--($C$30:$C$556=$D$11),--($E$30:$E$556=O$11),$I$30:$I$556)</f>
        <v>0</v>
      </c>
      <c r="P13" s="53" cm="1">
        <f t="array" ref="P13">SUMPRODUCT(--($C$30:$C$556=$D$11),--($E$30:$E$556=P$11),$I$30:$I$556)</f>
        <v>0</v>
      </c>
      <c r="Q13" s="53" cm="1">
        <f t="array" ref="Q13">SUMPRODUCT(--($C$30:$C$556=$D$11),--($E$30:$E$556=Q$11),$I$30:$I$556)</f>
        <v>0</v>
      </c>
      <c r="R13" s="54" cm="1">
        <f t="array" ref="R13">SUMPRODUCT(--($C$30:$C$556=$D$11),--($E$30:$E$556=R$11),$I$30:$I$556)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</row>
    <row r="14" spans="4:60" ht="13.5" hidden="1" outlineLevel="2" thickTop="1">
      <c r="D14" s="56" t="s">
        <v>18</v>
      </c>
      <c r="E14" s="50" cm="1">
        <f t="array" ref="E14">SUMPRODUCT(--($C$30:$C$556=$D$11),--($E$30:$E$556=E$11),$L$30:$L$556,$G$30:$G$556)</f>
        <v>10318</v>
      </c>
      <c r="F14" s="50" cm="1">
        <f t="array" ref="F14">SUMPRODUCT(--($C$30:$C$556=$D$11),--($E$30:$E$556=F$11),$L$30:$L$556,$G$30:$G$556)</f>
        <v>2730</v>
      </c>
      <c r="G14" s="50" cm="1">
        <f t="array" ref="G14">SUMPRODUCT(--($C$30:$C$556=$D$11),--($E$30:$E$556=G$11),$L$30:$L$556,$G$30:$G$556)</f>
        <v>50344</v>
      </c>
      <c r="H14" s="50" cm="1">
        <f t="array" ref="H14">SUMPRODUCT(--($C$30:$C$556=$D$11),--($E$30:$E$556=H$11),$L$30:$L$556,$G$30:$G$556)</f>
        <v>80</v>
      </c>
      <c r="I14" s="50" cm="1">
        <f t="array" ref="I14">SUMPRODUCT(--($C$30:$C$556=$D$11),--($E$30:$E$556=I$11),$L$30:$L$556,$G$30:$G$556)</f>
        <v>1520</v>
      </c>
      <c r="J14" s="50" cm="1">
        <f t="array" ref="J14">SUMPRODUCT(--($C$30:$C$556=$D$11),--($E$30:$E$556=J$11),$L$30:$L$556,$G$30:$G$556)</f>
        <v>376</v>
      </c>
      <c r="K14" s="50" cm="1">
        <f t="array" ref="K14">SUMPRODUCT(--($C$30:$C$556=$D$11),--($E$30:$E$556=K$11),$L$30:$L$556,$G$30:$G$556)</f>
        <v>1304</v>
      </c>
      <c r="L14" s="50" cm="1">
        <f t="array" ref="L14">SUMPRODUCT(--($C$30:$C$556=$D$11),--($E$30:$E$556=L$11),$L$30:$L$556,$G$30:$G$556)</f>
        <v>48</v>
      </c>
      <c r="M14" s="50" cm="1">
        <f t="array" ref="M14">SUMPRODUCT(--($C$30:$C$556=$D$11),--($E$30:$E$556=M$11),$L$30:$L$556,$G$30:$G$556)</f>
        <v>1096</v>
      </c>
      <c r="N14" s="50" cm="1">
        <f t="array" ref="N14">SUMPRODUCT(--($C$30:$C$556=$D$11),--($E$30:$E$556=N$11),$L$30:$L$556,$G$30:$G$556)</f>
        <v>0</v>
      </c>
      <c r="O14" s="50" cm="1">
        <f t="array" ref="O14">SUMPRODUCT(--($C$30:$C$556=$D$11),--($E$30:$E$556=O$11),$L$30:$L$556,$G$30:$G$556)</f>
        <v>0</v>
      </c>
      <c r="P14" s="50" cm="1">
        <f t="array" ref="P14">SUMPRODUCT(--($C$30:$C$556=$D$11),--($E$30:$E$556=P$11),$L$30:$L$556,$G$30:$G$556)</f>
        <v>0</v>
      </c>
      <c r="Q14" s="50" cm="1">
        <f t="array" ref="Q14">SUMPRODUCT(--($C$30:$C$556=$D$11),--($E$30:$E$556=Q$11),$L$30:$L$556,$G$30:$G$556)</f>
        <v>0</v>
      </c>
      <c r="R14" s="51" cm="1">
        <f t="array" ref="R14">SUMPRODUCT(--($C$30:$C$556=$D$11),--($E$30:$E$556=R$11),$L$30:$L$556,$G$30:$G$556)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</row>
    <row r="15" spans="4:60" ht="13.5" hidden="1" outlineLevel="2" thickTop="1">
      <c r="D15" s="56" t="s">
        <v>19</v>
      </c>
      <c r="E15" s="53" cm="1">
        <f t="array" ref="E15">SUMPRODUCT(--($C$30:$C$556=$D$11),--($E$30:$E$556=E$11),$L$30:$L$556)</f>
        <v>14</v>
      </c>
      <c r="F15" s="53" cm="1">
        <f t="array" ref="F15">SUMPRODUCT(--($C$30:$C$556=$D$11),--($E$30:$E$556=F$11),$L$30:$L$556)</f>
        <v>4</v>
      </c>
      <c r="G15" s="53" cm="1">
        <f t="array" ref="G15">SUMPRODUCT(--($C$30:$C$556=$D$11),--($E$30:$E$556=G$11),$L$30:$L$556)</f>
        <v>62</v>
      </c>
      <c r="H15" s="53" cm="1">
        <f t="array" ref="H15">SUMPRODUCT(--($C$30:$C$556=$D$11),--($E$30:$E$556=H$11),$L$30:$L$556)</f>
        <v>1</v>
      </c>
      <c r="I15" s="53" cm="1">
        <f t="array" ref="I15">SUMPRODUCT(--($C$30:$C$556=$D$11),--($E$30:$E$556=I$11),$L$30:$L$556)</f>
        <v>16</v>
      </c>
      <c r="J15" s="53" cm="1">
        <f t="array" ref="J15">SUMPRODUCT(--($C$30:$C$556=$D$11),--($E$30:$E$556=J$11),$L$30:$L$556)</f>
        <v>2</v>
      </c>
      <c r="K15" s="53" cm="1">
        <f t="array" ref="K15">SUMPRODUCT(--($C$30:$C$556=$D$11),--($E$30:$E$556=K$11),$L$30:$L$556)</f>
        <v>4</v>
      </c>
      <c r="L15" s="53" cm="1">
        <f t="array" ref="L15">SUMPRODUCT(--($C$30:$C$556=$D$11),--($E$30:$E$556=L$11),$L$30:$L$556)</f>
        <v>1</v>
      </c>
      <c r="M15" s="53" cm="1">
        <f t="array" ref="M15">SUMPRODUCT(--($C$30:$C$556=$D$11),--($E$30:$E$556=M$11),$L$30:$L$556)</f>
        <v>1</v>
      </c>
      <c r="N15" s="53" cm="1">
        <f t="array" ref="N15">SUMPRODUCT(--($C$30:$C$556=$D$11),--($E$30:$E$556=N$11),$L$30:$L$556)</f>
        <v>0</v>
      </c>
      <c r="O15" s="53" cm="1">
        <f t="array" ref="O15">SUMPRODUCT(--($C$30:$C$556=$D$11),--($E$30:$E$556=O$11),$L$30:$L$556)</f>
        <v>0</v>
      </c>
      <c r="P15" s="53" cm="1">
        <f t="array" ref="P15">SUMPRODUCT(--($C$30:$C$556=$D$11),--($E$30:$E$556=P$11),$L$30:$L$556)</f>
        <v>0</v>
      </c>
      <c r="Q15" s="53" cm="1">
        <f t="array" ref="Q15">SUMPRODUCT(--($C$30:$C$556=$D$11),--($E$30:$E$556=Q$11),$L$30:$L$556)</f>
        <v>0</v>
      </c>
      <c r="R15" s="54" cm="1">
        <f t="array" ref="R15">SUMPRODUCT(--($C$30:$C$556=$D$11),--($E$30:$E$556=R$11),$L$30:$L$556)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</row>
    <row r="16" spans="4:60" ht="13.5" hidden="1" outlineLevel="2" thickTop="1">
      <c r="D16" s="56" t="s">
        <v>20</v>
      </c>
      <c r="E16" s="50" cm="1">
        <f t="array" ref="E16">SUMPRODUCT(--($C$30:$C$556=$D$11),--($E$30:$E$556=E$11),$M$30:$M$556,$G$30:$G$556)</f>
        <v>9581</v>
      </c>
      <c r="F16" s="50" cm="1">
        <f t="array" ref="F16">SUMPRODUCT(--($C$30:$C$556=$D$11),--($E$30:$E$556=F$11),$M$30:$M$556,$G$30:$G$556)</f>
        <v>2730</v>
      </c>
      <c r="G16" s="50" cm="1">
        <f t="array" ref="G16">SUMPRODUCT(--($C$30:$C$556=$D$11),--($E$30:$E$556=G$11),$M$30:$M$556,$G$30:$G$556)</f>
        <v>46284</v>
      </c>
      <c r="H16" s="50" cm="1">
        <f t="array" ref="H16">SUMPRODUCT(--($C$30:$C$556=$D$11),--($E$30:$E$556=H$11),$M$30:$M$556,$G$30:$G$556)</f>
        <v>240</v>
      </c>
      <c r="I16" s="50" cm="1">
        <f t="array" ref="I16">SUMPRODUCT(--($C$30:$C$556=$D$11),--($E$30:$E$556=I$11),$M$30:$M$556,$G$30:$G$556)</f>
        <v>4560</v>
      </c>
      <c r="J16" s="50" cm="1">
        <f t="array" ref="J16">SUMPRODUCT(--($C$30:$C$556=$D$11),--($E$30:$E$556=J$11),$M$30:$M$556,$G$30:$G$556)</f>
        <v>376</v>
      </c>
      <c r="K16" s="50" cm="1">
        <f t="array" ref="K16">SUMPRODUCT(--($C$30:$C$556=$D$11),--($E$30:$E$556=K$11),$M$30:$M$556,$G$30:$G$556)</f>
        <v>1304</v>
      </c>
      <c r="L16" s="50" cm="1">
        <f t="array" ref="L16">SUMPRODUCT(--($C$30:$C$556=$D$11),--($E$30:$E$556=L$11),$M$30:$M$556,$G$30:$G$556)</f>
        <v>144</v>
      </c>
      <c r="M16" s="50" cm="1">
        <f t="array" ref="M16">SUMPRODUCT(--($C$30:$C$556=$D$11),--($E$30:$E$556=M$11),$M$30:$M$556,$G$30:$G$556)</f>
        <v>3288</v>
      </c>
      <c r="N16" s="50" cm="1">
        <f t="array" ref="N16">SUMPRODUCT(--($C$30:$C$556=$D$11),--($E$30:$E$556=N$11),$M$30:$M$556,$G$30:$G$556)</f>
        <v>0</v>
      </c>
      <c r="O16" s="50" cm="1">
        <f t="array" ref="O16">SUMPRODUCT(--($C$30:$C$556=$D$11),--($E$30:$E$556=O$11),$M$30:$M$556,$G$30:$G$556)</f>
        <v>0</v>
      </c>
      <c r="P16" s="50" cm="1">
        <f t="array" ref="P16">SUMPRODUCT(--($C$30:$C$556=$D$11),--($E$30:$E$556=P$11),$M$30:$M$556,$G$30:$G$556)</f>
        <v>0</v>
      </c>
      <c r="Q16" s="50" cm="1">
        <f t="array" ref="Q16">SUMPRODUCT(--($C$30:$C$556=$D$11),--($E$30:$E$556=Q$11),$M$30:$M$556,$G$30:$G$556)</f>
        <v>0</v>
      </c>
      <c r="R16" s="51" cm="1">
        <f t="array" ref="R16">SUMPRODUCT(--($C$30:$C$556=$D$11),--($E$30:$E$556=R$11),$M$30:$M$556,$G$30:$G$556)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</row>
    <row r="17" spans="3:72" ht="13.5" hidden="1" outlineLevel="2" thickTop="1">
      <c r="D17" s="57" t="s">
        <v>21</v>
      </c>
      <c r="E17" s="58" cm="1">
        <f t="array" ref="E17">SUMPRODUCT(--($C$30:$C$556=$D$11),--($E$30:$E$556=E$11),$M$30:$M$556)</f>
        <v>13</v>
      </c>
      <c r="F17" s="58" cm="1">
        <f t="array" ref="F17">SUMPRODUCT(--($C$30:$C$556=$D$11),--($E$30:$E$556=F$11),$M$30:$M$556)</f>
        <v>4</v>
      </c>
      <c r="G17" s="58" cm="1">
        <f t="array" ref="G17">SUMPRODUCT(--($C$30:$C$556=$D$11),--($E$30:$E$556=G$11),$M$30:$M$556)</f>
        <v>57</v>
      </c>
      <c r="H17" s="58" cm="1">
        <f t="array" ref="H17">SUMPRODUCT(--($C$30:$C$556=$D$11),--($E$30:$E$556=H$11),$M$30:$M$556)</f>
        <v>3</v>
      </c>
      <c r="I17" s="58" cm="1">
        <f t="array" ref="I17">SUMPRODUCT(--($C$30:$C$556=$D$11),--($E$30:$E$556=I$11),$M$30:$M$556)</f>
        <v>48</v>
      </c>
      <c r="J17" s="58" cm="1">
        <f t="array" ref="J17">SUMPRODUCT(--($C$30:$C$556=$D$11),--($E$30:$E$556=J$11),$M$30:$M$556)</f>
        <v>2</v>
      </c>
      <c r="K17" s="58" cm="1">
        <f t="array" ref="K17">SUMPRODUCT(--($C$30:$C$556=$D$11),--($E$30:$E$556=K$11),$M$30:$M$556)</f>
        <v>4</v>
      </c>
      <c r="L17" s="58" cm="1">
        <f t="array" ref="L17">SUMPRODUCT(--($C$30:$C$556=$D$11),--($E$30:$E$556=L$11),$M$30:$M$556)</f>
        <v>3</v>
      </c>
      <c r="M17" s="58" cm="1">
        <f t="array" ref="M17">SUMPRODUCT(--($C$30:$C$556=$D$11),--($E$30:$E$556=M$11),$M$30:$M$556)</f>
        <v>3</v>
      </c>
      <c r="N17" s="58" cm="1">
        <f t="array" ref="N17">SUMPRODUCT(--($C$30:$C$556=$D$11),--($E$30:$E$556=N$11),$M$30:$M$556)</f>
        <v>0</v>
      </c>
      <c r="O17" s="58" cm="1">
        <f t="array" ref="O17">SUMPRODUCT(--($C$30:$C$556=$D$11),--($E$30:$E$556=O$11),$M$30:$M$556)</f>
        <v>0</v>
      </c>
      <c r="P17" s="58" cm="1">
        <f t="array" ref="P17">SUMPRODUCT(--($C$30:$C$556=$D$11),--($E$30:$E$556=P$11),$M$30:$M$556)</f>
        <v>0</v>
      </c>
      <c r="Q17" s="58" cm="1">
        <f t="array" ref="Q17">SUMPRODUCT(--($C$30:$C$556=$D$11),--($E$30:$E$556=Q$11),$M$30:$M$556)</f>
        <v>0</v>
      </c>
      <c r="R17" s="59" cm="1">
        <f t="array" ref="R17">SUMPRODUCT(--($C$30:$C$556=$D$11),--($E$30:$E$556=R$11),$M$30:$M$556)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</row>
    <row r="18" spans="3:72" ht="14.25" hidden="1" outlineLevel="1" collapsed="1" thickTop="1" thickBot="1">
      <c r="D18" s="60" t="s">
        <v>22</v>
      </c>
      <c r="E18" s="61" cm="1">
        <f t="array" ref="E18">SUMPRODUCT(--($C$30:$C$556=$D$11),--($E$30:$E$556=E$11),$M$30:$M$556,$J$30:$J$556)</f>
        <v>27.3</v>
      </c>
      <c r="F18" s="61" cm="1">
        <f t="array" ref="F18">SUMPRODUCT(--($C$30:$C$556=$D$11),--($E$30:$E$556=F$11),$M$30:$M$556,$J$30:$J$556)</f>
        <v>450.06780000000003</v>
      </c>
      <c r="G18" s="61" cm="1">
        <f t="array" ref="G18">SUMPRODUCT(--($C$30:$C$556=$D$11),--($E$30:$E$556=G$11),$M$30:$M$556,$J$30:$J$556)</f>
        <v>744.2467200000001</v>
      </c>
      <c r="H18" s="61" cm="1">
        <f t="array" ref="H18">SUMPRODUCT(--($C$30:$C$556=$D$11),--($E$30:$E$556=H$11),$M$30:$M$556,$J$30:$J$556)</f>
        <v>3.3000000000000003</v>
      </c>
      <c r="I18" s="61" cm="1">
        <f t="array" ref="I18">SUMPRODUCT(--($C$30:$C$556=$D$11),--($E$30:$E$556=I$11),$M$30:$M$556,$J$30:$J$556)</f>
        <v>14.399999999999999</v>
      </c>
      <c r="J18" s="61" cm="1">
        <f t="array" ref="J18">SUMPRODUCT(--($C$30:$C$556=$D$11),--($E$30:$E$556=J$11),$M$30:$M$556,$J$30:$J$556)</f>
        <v>0.6</v>
      </c>
      <c r="K18" s="61" cm="1">
        <f t="array" ref="K18">SUMPRODUCT(--($C$30:$C$556=$D$11),--($E$30:$E$556=K$11),$M$30:$M$556,$J$30:$J$556)</f>
        <v>3.2</v>
      </c>
      <c r="L18" s="61" cm="1">
        <f t="array" ref="L18">SUMPRODUCT(--($C$30:$C$556=$D$11),--($E$30:$E$556=L$11),$M$30:$M$556,$J$30:$J$556)</f>
        <v>0.96</v>
      </c>
      <c r="M18" s="61" cm="1">
        <f t="array" ref="M18">SUMPRODUCT(--($C$30:$C$556=$D$11),--($E$30:$E$556=M$11),$M$30:$M$556,$J$30:$J$556)</f>
        <v>72.900000000000006</v>
      </c>
      <c r="N18" s="61" cm="1">
        <f t="array" ref="N18">SUMPRODUCT(--($C$30:$C$556=$D$11),--($E$30:$E$556=N$11),$M$30:$M$556,$J$30:$J$556)</f>
        <v>0</v>
      </c>
      <c r="O18" s="61" cm="1">
        <f t="array" ref="O18">SUMPRODUCT(--($C$30:$C$556=$D$11),--($E$30:$E$556=O$11),$M$30:$M$556,$J$30:$J$556)</f>
        <v>0</v>
      </c>
      <c r="P18" s="61" cm="1">
        <f t="array" ref="P18">SUMPRODUCT(--($C$30:$C$556=$D$11),--($E$30:$E$556=P$11),$M$30:$M$556,$J$30:$J$556)</f>
        <v>0</v>
      </c>
      <c r="Q18" s="61" cm="1">
        <f t="array" ref="Q18">SUMPRODUCT(--($C$30:$C$556=$D$11),--($E$30:$E$556=Q$11),$M$30:$M$556,$J$30:$J$556)</f>
        <v>0</v>
      </c>
      <c r="R18" s="62" cm="1">
        <f t="array" ref="R18">SUMPRODUCT(--($C$30:$C$556=$D$11),--($E$30:$E$556=R$11),$M$30:$M$556,$J$30:$J$556)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</row>
    <row r="19" spans="3:72" ht="13.5" hidden="1" outlineLevel="1" thickTop="1"/>
    <row r="20" spans="3:72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72" ht="13.5" hidden="1" outlineLevel="1" thickTop="1">
      <c r="D21" s="63" t="s">
        <v>13</v>
      </c>
      <c r="E21" s="64" t="str" cm="1">
        <f t="array" ref="E21:P21">_xlfn._xlws.SORT(MID(TRANSPOSE(_xlfn.UNIQUE(_xlfn._xlws.FILTER(BK30:BK556,(C30:C556=$D$21)*(M30:M556&lt;&gt;0)))),3,3),,1)</f>
        <v>3</v>
      </c>
      <c r="F21" s="64" t="str">
        <v>2</v>
      </c>
      <c r="G21" s="64" t="str">
        <v>1</v>
      </c>
      <c r="H21" s="64" t="str">
        <v>16</v>
      </c>
      <c r="I21" s="64" t="str">
        <v>40</v>
      </c>
      <c r="J21" s="64" t="str">
        <v>8</v>
      </c>
      <c r="K21" s="64" t="str">
        <v>12</v>
      </c>
      <c r="L21" s="65" t="str">
        <v>30</v>
      </c>
      <c r="M21" s="65" t="str">
        <v>10</v>
      </c>
      <c r="N21" s="65" t="str">
        <v>15</v>
      </c>
      <c r="O21" s="65" t="str">
        <v>20</v>
      </c>
      <c r="P21" s="65" t="str">
        <v>5</v>
      </c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</row>
    <row r="22" spans="3:72" ht="30.75" hidden="1" customHeight="1" outlineLevel="2">
      <c r="D22" s="66" t="s">
        <v>24</v>
      </c>
      <c r="E22" s="67" cm="1">
        <f t="array" ref="E22">SUMPRODUCT(--($C$30:$C$556=$D$21),--($BK$30:$BK$556="PL"&amp;E$21),$J$30:$J$556,$I$30:$I$556)/(7.85*E$21)</f>
        <v>0.81188959660297255</v>
      </c>
      <c r="F22" s="67" cm="1">
        <f t="array" ref="F22">SUMPRODUCT(--($C$30:$C$556=$D$21),--($BK$30:$BK$556="PL"&amp;F$21),$J$30:$J$556,$I$30:$I$556)/(7.85*F$21)</f>
        <v>2.6751592356687901</v>
      </c>
      <c r="G22" s="67" cm="1">
        <f t="array" ref="G22">SUMPRODUCT(--($C$30:$C$556=$D$21),--($BK$30:$BK$556="PL"&amp;G$21),$J$30:$J$556,$I$30:$I$556)/(7.85*G$21)</f>
        <v>3.8471337579617839</v>
      </c>
      <c r="H22" s="67" cm="1">
        <f t="array" ref="H22">SUMPRODUCT(--($C$30:$C$556=$D$21),--($BK$30:$BK$556="PL"&amp;H$21),$J$30:$J$556,$I$30:$I$556)/(7.85*H$21)</f>
        <v>8.4920382165605055</v>
      </c>
      <c r="I22" s="67" cm="1">
        <f t="array" ref="I22">SUMPRODUCT(--($C$30:$C$556=$D$21),--($BK$30:$BK$556="PL"&amp;I$21),$J$30:$J$556,$I$30:$I$556)/(7.85*I$21)</f>
        <v>0.89171974522292996</v>
      </c>
      <c r="J22" s="67" cm="1">
        <f t="array" ref="J22">SUMPRODUCT(--($C$30:$C$556=$D$21),--($BK$30:$BK$556="PL"&amp;J$21),$J$30:$J$556,$I$30:$I$556)/(7.85*J$21)</f>
        <v>235.81687898089174</v>
      </c>
      <c r="K22" s="67" cm="1">
        <f t="array" ref="K22">SUMPRODUCT(--($C$30:$C$556=$D$21),--($BK$30:$BK$556="PL"&amp;K$21),$J$30:$J$556,$I$30:$I$556)/(7.85*K$21)</f>
        <v>811.54033970276089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</row>
    <row r="23" spans="3:72" ht="21" hidden="1" customHeight="1" outlineLevel="2">
      <c r="D23" s="66" t="s">
        <v>17</v>
      </c>
      <c r="E23" s="69" cm="1">
        <f t="array" ref="E23">SUMPRODUCT(--($C$30:$C$556=$D$21),--($BK$30:$BK$556="PL"&amp;E$21),$I$30:$I$556)</f>
        <v>35</v>
      </c>
      <c r="F23" s="69" cm="1">
        <f t="array" ref="F23">SUMPRODUCT(--($C$30:$C$556=$D$21),--($BK$30:$BK$556="PL"&amp;F$21),$I$30:$I$556)</f>
        <v>111</v>
      </c>
      <c r="G23" s="69" cm="1">
        <f t="array" ref="G23">SUMPRODUCT(--($C$30:$C$556=$D$21),--($BK$30:$BK$556="PL"&amp;G$21),$I$30:$I$556)</f>
        <v>214</v>
      </c>
      <c r="H23" s="69" cm="1">
        <f t="array" ref="H23">SUMPRODUCT(--($C$30:$C$556=$D$21),--($BK$30:$BK$556="PL"&amp;H$21),$I$30:$I$556)</f>
        <v>296</v>
      </c>
      <c r="I23" s="69" cm="1">
        <f t="array" ref="I23">SUMPRODUCT(--($C$30:$C$556=$D$21),--($BK$30:$BK$556="PL"&amp;I$21),$I$30:$I$556)</f>
        <v>32</v>
      </c>
      <c r="J23" s="69" cm="1">
        <f t="array" ref="J23">SUMPRODUCT(--($C$30:$C$556=$D$21),--($BK$30:$BK$556="PL"&amp;J$21),$I$30:$I$556)</f>
        <v>52</v>
      </c>
      <c r="K23" s="69" cm="1">
        <f t="array" ref="K23">SUMPRODUCT(--($C$30:$C$556=$D$21),--($BK$30:$BK$556="PL"&amp;K$21),$I$30:$I$556)</f>
        <v>332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</row>
    <row r="24" spans="3:72" ht="25.9" hidden="1" customHeight="1" outlineLevel="2">
      <c r="D24" s="66" t="s">
        <v>25</v>
      </c>
      <c r="E24" s="67" cm="1">
        <f t="array" ref="E24">SUMPRODUCT(--($C$30:$C$556=$D$21),--($BK$30:$BK$556="PL"&amp;E$21),$J$30:$J$556,$M$30:$M$556)/(7.85*E$21)</f>
        <v>0.58598726114649691</v>
      </c>
      <c r="F24" s="67" cm="1">
        <f t="array" ref="F24">SUMPRODUCT(--($C$30:$C$556=$D$21),--($BK$30:$BK$556="PL"&amp;F$21),$J$30:$J$556,$M$30:$M$556)/(7.85*F$21)</f>
        <v>1.8821656050955413</v>
      </c>
      <c r="G24" s="67" cm="1">
        <f t="array" ref="G24">SUMPRODUCT(--($C$30:$C$556=$D$21),--($BK$30:$BK$556="PL"&amp;G$21),$J$30:$J$556,$M$30:$M$556)/(7.85*G$21)</f>
        <v>2.5987261146496814</v>
      </c>
      <c r="H24" s="67" cm="1">
        <f t="array" ref="H24">SUMPRODUCT(--($C$30:$C$556=$D$21),--($BK$30:$BK$556="PL"&amp;H$21),$J$30:$J$556,$M$30:$M$556)/(7.85*H$21)</f>
        <v>2.6122611464968157</v>
      </c>
      <c r="I24" s="67" cm="1">
        <f t="array" ref="I24">SUMPRODUCT(--($C$30:$C$556=$D$21),--($BK$30:$BK$556="PL"&amp;I$21),$J$30:$J$556,$M$30:$M$556)/(7.85*I$21)</f>
        <v>0.61305732484076436</v>
      </c>
      <c r="J24" s="67" cm="1">
        <f t="array" ref="J24">SUMPRODUCT(--($C$30:$C$556=$D$21),--($BK$30:$BK$556="PL"&amp;J$21),$J$30:$J$556,$M$30:$M$556)/(7.85*J$21)</f>
        <v>92.963375796178354</v>
      </c>
      <c r="K24" s="67" cm="1">
        <f t="array" ref="K24">SUMPRODUCT(--($C$30:$C$556=$D$21),--($BK$30:$BK$556="PL"&amp;K$21),$J$30:$J$556,$M$30:$M$556)/(7.85*K$21)</f>
        <v>251.46815286624206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</row>
    <row r="25" spans="3:72" ht="19.5" hidden="1" customHeight="1" outlineLevel="2">
      <c r="D25" s="71" t="s">
        <v>26</v>
      </c>
      <c r="E25" s="69" cm="1">
        <f t="array" ref="E25">SUMPRODUCT(--($C$30:$C$556=$D$21),--($BK$30:$BK$556="PL"&amp;E$21),$M$30:$M$556)</f>
        <v>26</v>
      </c>
      <c r="F25" s="69" cm="1">
        <f t="array" ref="F25">SUMPRODUCT(--($C$30:$C$556=$D$21),--($BK$30:$BK$556="PL"&amp;F$21),$M$30:$M$556)</f>
        <v>80</v>
      </c>
      <c r="G25" s="69" cm="1">
        <f t="array" ref="G25">SUMPRODUCT(--($C$30:$C$556=$D$21),--($BK$30:$BK$556="PL"&amp;G$21),$M$30:$M$556)</f>
        <v>156</v>
      </c>
      <c r="H25" s="69" cm="1">
        <f t="array" ref="H25">SUMPRODUCT(--($C$30:$C$556=$D$21),--($BK$30:$BK$556="PL"&amp;H$21),$M$30:$M$556)</f>
        <v>87</v>
      </c>
      <c r="I25" s="69" cm="1">
        <f t="array" ref="I25">SUMPRODUCT(--($C$30:$C$556=$D$21),--($BK$30:$BK$556="PL"&amp;I$21),$M$30:$M$556)</f>
        <v>22</v>
      </c>
      <c r="J25" s="69" cm="1">
        <f t="array" ref="J25">SUMPRODUCT(--($C$30:$C$556=$D$21),--($BK$30:$BK$556="PL"&amp;J$21),$M$30:$M$556)</f>
        <v>35</v>
      </c>
      <c r="K25" s="69" cm="1">
        <f t="array" ref="K25">SUMPRODUCT(--($C$30:$C$556=$D$21),--($BK$30:$BK$556="PL"&amp;K$21),$M$30:$M$556)</f>
        <v>142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</row>
    <row r="26" spans="3:72" ht="25.9" hidden="1" customHeight="1" outlineLevel="1" collapsed="1" thickBot="1">
      <c r="D26" s="72" t="s">
        <v>27</v>
      </c>
      <c r="E26" s="67" cm="1">
        <f t="array" ref="E26">SUMPRODUCT(--($C$30:$C$556=$D$21),--($BK$30:$BK$556="PL"&amp;E$21),$J$30:$J$556,$M$30:$M$556)</f>
        <v>13.8</v>
      </c>
      <c r="F26" s="67" cm="1">
        <f t="array" ref="F26">SUMPRODUCT(--($C$30:$C$556=$D$21),--($BK$30:$BK$556="PL"&amp;F$21),$J$30:$J$556,$M$30:$M$556)</f>
        <v>29.549999999999997</v>
      </c>
      <c r="G26" s="67" cm="1">
        <f t="array" ref="G26">SUMPRODUCT(--($C$30:$C$556=$D$21),--($BK$30:$BK$556="PL"&amp;G$21),$J$30:$J$556,$M$30:$M$556)</f>
        <v>20.399999999999999</v>
      </c>
      <c r="H26" s="67" cm="1">
        <f t="array" ref="H26">SUMPRODUCT(--($C$30:$C$556=$D$21),--($BK$30:$BK$556="PL"&amp;H$21),$J$30:$J$556,$M$30:$M$556)</f>
        <v>328.1</v>
      </c>
      <c r="I26" s="67" cm="1">
        <f t="array" ref="I26">SUMPRODUCT(--($C$30:$C$556=$D$21),--($BK$30:$BK$556="PL"&amp;I$21),$J$30:$J$556,$M$30:$M$556)</f>
        <v>192.5</v>
      </c>
      <c r="J26" s="67" cm="1">
        <f t="array" ref="J26">SUMPRODUCT(--($C$30:$C$556=$D$21),--($BK$30:$BK$556="PL"&amp;J$21),$J$30:$J$556,$M$30:$M$556)</f>
        <v>5838.1</v>
      </c>
      <c r="K26" s="67" cm="1">
        <f t="array" ref="K26">SUMPRODUCT(--($C$30:$C$556=$D$21),--($BK$30:$BK$556="PL"&amp;K$21),$J$30:$J$556,$M$30:$M$556)</f>
        <v>23688.3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</row>
    <row r="27" spans="3:72" ht="13.5" collapsed="1" thickTop="1">
      <c r="N27" s="73" cm="1">
        <f t="array" ref="N27">SUMPRODUCT($J$30:$J$556,N30:N556,--(N30:N556&lt;&gt;""))</f>
        <v>15.6</v>
      </c>
      <c r="O27" s="73" cm="1">
        <f t="array" ref="O27">SUMPRODUCT($J$30:$J$556,O30:O556,--(O30:O556&lt;&gt;""))</f>
        <v>1485.3000000000002</v>
      </c>
      <c r="P27" s="73" cm="1">
        <f t="array" ref="P27">SUMPRODUCT($J$30:$J$556,P30:P556,--(P30:P556&lt;&gt;""))</f>
        <v>100180.3</v>
      </c>
      <c r="Q27" s="73" cm="1">
        <f t="array" ref="Q27">SUMPRODUCT($J$30:$J$556,Q30:Q556,--(Q30:Q556&lt;&gt;""))</f>
        <v>2254.2000000000003</v>
      </c>
      <c r="R27" s="73" cm="1">
        <f t="array" ref="R27">SUMPRODUCT($J$30:$J$556,R30:R556,--(R30:R556&lt;&gt;""))</f>
        <v>5661.1399999999994</v>
      </c>
      <c r="S27" s="73" cm="1">
        <f t="array" ref="S27">SUMPRODUCT($J$30:$J$556,S30:S556,--(S30:S556&lt;&gt;""))</f>
        <v>1253.7670400000002</v>
      </c>
      <c r="T27" s="73" cm="1">
        <f t="array" ref="T27">SUMPRODUCT($J$30:$J$556,T30:T556,--(T30:T556&lt;&gt;""))</f>
        <v>928</v>
      </c>
      <c r="U27" s="73" cm="1">
        <f t="array" ref="U27">SUMPRODUCT($J$30:$J$556,U30:U556,--(U30:U556&lt;&gt;""))</f>
        <v>7067.9000000000005</v>
      </c>
      <c r="V27" s="73" cm="1">
        <f t="array" ref="V27">SUMPRODUCT($J$30:$J$556,V30:V556,--(V30:V556&lt;&gt;""))</f>
        <v>0.32</v>
      </c>
      <c r="W27" s="73" cm="1">
        <f t="array" ref="W27">SUMPRODUCT($J$30:$J$556,W30:W556,--(W30:W556&lt;&gt;""))</f>
        <v>17324</v>
      </c>
      <c r="X27" s="73" cm="1">
        <f t="array" ref="X27">SUMPRODUCT($J$30:$J$556,X30:X556,--(X30:X556&lt;&gt;""))</f>
        <v>597.59999999999991</v>
      </c>
      <c r="Y27" s="73" cm="1">
        <f t="array" ref="Y27">SUMPRODUCT($J$30:$J$556,Y30:Y556,--(Y30:Y556&lt;&gt;""))</f>
        <v>27182.799999999999</v>
      </c>
      <c r="Z27" s="73" cm="1">
        <f t="array" ref="Z27">SUMPRODUCT($J$30:$J$556,Z30:Z556,--(Z30:Z556&lt;&gt;""))</f>
        <v>3132.0000000000009</v>
      </c>
      <c r="AA27" s="73" cm="1">
        <f t="array" ref="AA27">SUMPRODUCT($J$30:$J$556,AA30:AA556,--(AA30:AA556&lt;&gt;""))</f>
        <v>225.03390000000002</v>
      </c>
      <c r="AB27" s="73" cm="1">
        <f t="array" ref="AB27">SUMPRODUCT($J$30:$J$556,AB30:AB556,--(AB30:AB556&lt;&gt;""))</f>
        <v>6.4</v>
      </c>
      <c r="AC27" s="73" cm="1">
        <f t="array" ref="AC27">SUMPRODUCT($J$30:$J$556,AC30:AC556,--(AC30:AC556&lt;&gt;""))</f>
        <v>1630.1999999999998</v>
      </c>
      <c r="AD27" s="73" cm="1">
        <f t="array" ref="AD27">SUMPRODUCT($J$30:$J$556,AD30:AD556,--(AD30:AD556&lt;&gt;""))</f>
        <v>10660.599999999999</v>
      </c>
      <c r="AE27" s="73" cm="1">
        <f t="array" ref="AE27">SUMPRODUCT($J$30:$J$556,AE30:AE556,--(AE30:AE556&lt;&gt;""))</f>
        <v>3801.4999999999995</v>
      </c>
      <c r="AF27" s="73" cm="1">
        <f t="array" ref="AF27">SUMPRODUCT($J$30:$J$556,AF30:AF556,--(AF30:AF556&lt;&gt;""))</f>
        <v>1241.0999999999999</v>
      </c>
      <c r="AG27" s="73" cm="1">
        <f t="array" ref="AG27">SUMPRODUCT($J$30:$J$556,AG30:AG556,--(AG30:AG556&lt;&gt;""))</f>
        <v>0</v>
      </c>
      <c r="AH27" s="73" cm="1">
        <f t="array" ref="AH27">SUMPRODUCT($J$30:$J$556,AH30:AH556,--(AH30:AH556&lt;&gt;""))</f>
        <v>5</v>
      </c>
      <c r="AI27" s="73" cm="1">
        <f t="array" ref="AI27">SUMPRODUCT($J$30:$J$556,AI30:AI556,--(AI30:AI556&lt;&gt;""))</f>
        <v>3775.6000000000004</v>
      </c>
      <c r="AJ27" s="73" cm="1">
        <f t="array" ref="AJ27">SUMPRODUCT($J$30:$J$556,AJ30:AJ556,--(AJ30:AJ556&lt;&gt;""))</f>
        <v>314.3</v>
      </c>
      <c r="AK27" s="73" cm="1">
        <f t="array" ref="AK27">SUMPRODUCT($J$30:$J$556,AK30:AK556,--(AK30:AK556&lt;&gt;""))</f>
        <v>14473.5</v>
      </c>
      <c r="AL27" s="73" cm="1">
        <f t="array" ref="AL27">SUMPRODUCT($J$30:$J$556,AL30:AL556,--(AL30:AL556&lt;&gt;""))</f>
        <v>18020.3</v>
      </c>
      <c r="AM27" s="73" cm="1">
        <f t="array" ref="AM27">SUMPRODUCT($J$30:$J$556,AM30:AM556,--(AM30:AM556&lt;&gt;""))</f>
        <v>14.7</v>
      </c>
      <c r="AN27" s="73" cm="1">
        <f t="array" ref="AN27">SUMPRODUCT($J$30:$J$556,AN30:AN556,--(AN30:AN556&lt;&gt;""))</f>
        <v>28398.2</v>
      </c>
      <c r="AO27" s="73" cm="1">
        <f t="array" ref="AO27">SUMPRODUCT($J$30:$J$556,AO30:AO556,--(AO30:AO556&lt;&gt;""))</f>
        <v>59.4</v>
      </c>
      <c r="AP27" s="73" cm="1">
        <f t="array" ref="AP27">SUMPRODUCT($J$30:$J$556,AP30:AP556,--(AP30:AP556&lt;&gt;""))</f>
        <v>48738.2</v>
      </c>
      <c r="AQ27" s="73" cm="1">
        <f t="array" ref="AQ27">SUMPRODUCT($J$30:$J$556,AQ30:AQ556,--(AQ30:AQ556&lt;&gt;""))</f>
        <v>1.9000000000000001</v>
      </c>
      <c r="AR27" s="73" cm="1">
        <f t="array" ref="AR27">SUMPRODUCT($J$30:$J$556,AR30:AR556,--(AR30:AR556&lt;&gt;""))</f>
        <v>3655.9</v>
      </c>
      <c r="AS27" s="73" cm="1">
        <f t="array" ref="AS27">SUMPRODUCT($J$30:$J$556,AS30:AS556,--(AS30:AS556&lt;&gt;""))</f>
        <v>1158.6000000000001</v>
      </c>
      <c r="AT27" s="73" cm="1">
        <f t="array" ref="AT27">SUMPRODUCT($J$30:$J$556,AT30:AT556,--(AT30:AT556&lt;&gt;""))</f>
        <v>1296.0999999999999</v>
      </c>
      <c r="AU27" s="73" cm="1">
        <f t="array" ref="AU27">SUMPRODUCT($J$30:$J$556,AU30:AU556,--(AU30:AU556&lt;&gt;""))</f>
        <v>404.76576</v>
      </c>
      <c r="AV27" s="73" cm="1">
        <f t="array" ref="AV27">SUMPRODUCT($J$30:$J$556,AV30:AV556,--(AV30:AV556&lt;&gt;""))</f>
        <v>31.200000000000003</v>
      </c>
      <c r="AW27" s="73" cm="1">
        <f t="array" ref="AW27">SUMPRODUCT($J$30:$J$556,AW30:AW556,--(AW30:AW556&lt;&gt;""))</f>
        <v>1928.5000000000002</v>
      </c>
      <c r="AX27" s="73" cm="1">
        <f t="array" ref="AX27">SUMPRODUCT($J$30:$J$556,AX30:AX556,--(AX30:AX556&lt;&gt;""))</f>
        <v>134.19999999999999</v>
      </c>
      <c r="AY27" s="73" cm="1">
        <f t="array" ref="AY27">SUMPRODUCT($J$30:$J$556,AY30:AY556,--(AY30:AY556&lt;&gt;""))</f>
        <v>21.7</v>
      </c>
      <c r="AZ27" s="73" cm="1">
        <f t="array" ref="AZ27">SUMPRODUCT($J$30:$J$556,AZ30:AZ556,--(AZ30:AZ556&lt;&gt;""))</f>
        <v>316.8</v>
      </c>
      <c r="BA27" s="73" cm="1">
        <f t="array" ref="BA27">SUMPRODUCT($J$30:$J$556,BA30:BA556,--(BA30:BA556&lt;&gt;""))</f>
        <v>1209.3999999999999</v>
      </c>
      <c r="BB27" s="73" cm="1">
        <f t="array" ref="BB27">SUMPRODUCT($J$30:$J$556,BB30:BB556,--(BB30:BB556&lt;&gt;""))</f>
        <v>334.3</v>
      </c>
      <c r="BC27" s="73" cm="1">
        <f t="array" ref="BC27">SUMPRODUCT($J$30:$J$556,BC30:BC556,--(BC30:BC556&lt;&gt;""))</f>
        <v>6.8500000000000005</v>
      </c>
      <c r="BD27" s="73" cm="1">
        <f t="array" ref="BD27">SUMPRODUCT($J$30:$J$556,BD30:BD556,--(BD30:BD556&lt;&gt;""))</f>
        <v>293.73390000000001</v>
      </c>
      <c r="BE27" s="73" cm="1">
        <f t="array" ref="BE27">SUMPRODUCT($J$30:$J$556,BE30:BE556,--(BE30:BE556&lt;&gt;""))</f>
        <v>2237.4000000000005</v>
      </c>
      <c r="BF27" s="73" cm="1">
        <f t="array" ref="BF27">SUMPRODUCT($J$30:$J$556,BF30:BF556,--(BF30:BF556&lt;&gt;""))</f>
        <v>0.4</v>
      </c>
      <c r="BG27" s="73" cm="1">
        <f t="array" ref="BG27">SUMPRODUCT($J$30:$J$556,BG30:BG556,--(BG30:BG556&lt;&gt;""))</f>
        <v>7879.5</v>
      </c>
      <c r="BH27" s="73" cm="1">
        <f t="array" ref="BH27">SUMPRODUCT($J$30:$J$556,BH30:BH556,--(BH30:BH556&lt;&gt;""))</f>
        <v>316.88</v>
      </c>
      <c r="BI27" s="73" t="e" cm="1">
        <f t="array" ref="BI27">SUMPRODUCT($J$30:$J$556,BI30:BI556,--(BI30:BI556&lt;&gt;""))</f>
        <v>#VALUE!</v>
      </c>
    </row>
    <row r="28" spans="3:72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X28" si="1">SUM(N30:N556)</f>
        <v>2</v>
      </c>
      <c r="O28" s="76">
        <f t="shared" si="1"/>
        <v>91</v>
      </c>
      <c r="P28" s="75">
        <f t="shared" si="1"/>
        <v>57</v>
      </c>
      <c r="Q28" s="75">
        <f t="shared" si="1"/>
        <v>55</v>
      </c>
      <c r="R28" s="75">
        <f t="shared" si="1"/>
        <v>54</v>
      </c>
      <c r="S28" s="75">
        <f t="shared" si="1"/>
        <v>59</v>
      </c>
      <c r="T28" s="75">
        <f t="shared" si="1"/>
        <v>8</v>
      </c>
      <c r="U28" s="75">
        <f t="shared" si="1"/>
        <v>9</v>
      </c>
      <c r="V28" s="75">
        <f t="shared" si="1"/>
        <v>1</v>
      </c>
      <c r="W28" s="75">
        <f t="shared" si="1"/>
        <v>8</v>
      </c>
      <c r="X28" s="75">
        <f t="shared" si="1"/>
        <v>59</v>
      </c>
      <c r="Y28" s="75">
        <f t="shared" ref="Y28" si="2">SUM(Y30:Y556)</f>
        <v>22</v>
      </c>
      <c r="Z28" s="75">
        <f t="shared" ref="Z28:AA28" si="3">SUM(Z30:Z556)</f>
        <v>34</v>
      </c>
      <c r="AA28" s="75">
        <f t="shared" si="3"/>
        <v>2</v>
      </c>
      <c r="AB28" s="75">
        <f t="shared" ref="AB28:AC28" si="4">SUM(AB30:AB556)</f>
        <v>4</v>
      </c>
      <c r="AC28" s="75">
        <f t="shared" si="4"/>
        <v>26</v>
      </c>
      <c r="AD28" s="75">
        <f t="shared" ref="AD28:AE28" si="5">SUM(AD30:AD556)</f>
        <v>32</v>
      </c>
      <c r="AE28" s="75">
        <f t="shared" si="5"/>
        <v>8</v>
      </c>
      <c r="AF28" s="75">
        <f t="shared" ref="AF28:AG28" si="6">SUM(AF30:AF556)</f>
        <v>3</v>
      </c>
      <c r="AG28" s="75">
        <f t="shared" si="6"/>
        <v>0</v>
      </c>
      <c r="AH28" s="75">
        <f t="shared" ref="AH28:AI28" si="7">SUM(AH30:AH556)</f>
        <v>1</v>
      </c>
      <c r="AI28" s="75">
        <f t="shared" si="7"/>
        <v>10</v>
      </c>
      <c r="AJ28" s="75">
        <f t="shared" ref="AJ28:AK28" si="8">SUM(AJ30:AJ556)</f>
        <v>8</v>
      </c>
      <c r="AK28" s="75">
        <f t="shared" si="8"/>
        <v>9</v>
      </c>
      <c r="AL28" s="75">
        <f t="shared" ref="AL28:AM28" si="9">SUM(AL30:AL556)</f>
        <v>11</v>
      </c>
      <c r="AM28" s="75">
        <f t="shared" si="9"/>
        <v>7</v>
      </c>
      <c r="AN28" s="75">
        <f t="shared" ref="AN28:AO28" si="10">SUM(AN30:AN556)</f>
        <v>20</v>
      </c>
      <c r="AO28" s="75">
        <f t="shared" si="10"/>
        <v>2</v>
      </c>
      <c r="AP28" s="75">
        <f t="shared" ref="AP28:AQ28" si="11">SUM(AP30:AP556)</f>
        <v>27</v>
      </c>
      <c r="AQ28" s="75">
        <f t="shared" si="11"/>
        <v>3</v>
      </c>
      <c r="AR28" s="75">
        <f t="shared" ref="AR28:AS28" si="12">SUM(AR30:AR556)</f>
        <v>27</v>
      </c>
      <c r="AS28" s="75">
        <f t="shared" si="12"/>
        <v>13</v>
      </c>
      <c r="AT28" s="75">
        <f t="shared" ref="AT28:AU28" si="13">SUM(AT30:AT556)</f>
        <v>80</v>
      </c>
      <c r="AU28" s="75">
        <f t="shared" si="13"/>
        <v>31</v>
      </c>
      <c r="AV28" s="75">
        <f t="shared" ref="AV28:AW28" si="14">SUM(AV30:AV556)</f>
        <v>110</v>
      </c>
      <c r="AW28" s="75">
        <f t="shared" si="14"/>
        <v>103</v>
      </c>
      <c r="AX28" s="75">
        <f t="shared" ref="AX28:AY28" si="15">SUM(AX30:AX556)</f>
        <v>12</v>
      </c>
      <c r="AY28" s="75">
        <f t="shared" si="15"/>
        <v>4</v>
      </c>
      <c r="AZ28" s="75">
        <f t="shared" ref="AZ28:BA28" si="16">SUM(AZ30:AZ556)</f>
        <v>10</v>
      </c>
      <c r="BA28" s="75">
        <f t="shared" si="16"/>
        <v>26</v>
      </c>
      <c r="BB28" s="75">
        <f t="shared" ref="BB28:BC28" si="17">SUM(BB30:BB556)</f>
        <v>64</v>
      </c>
      <c r="BC28" s="75">
        <f t="shared" si="17"/>
        <v>25</v>
      </c>
      <c r="BD28" s="75">
        <f t="shared" ref="BD28:BE28" si="18">SUM(BD30:BD556)</f>
        <v>13</v>
      </c>
      <c r="BE28" s="75">
        <f t="shared" si="18"/>
        <v>49</v>
      </c>
      <c r="BF28" s="75">
        <f t="shared" ref="BF28:BG28" si="19">SUM(BF30:BF556)</f>
        <v>4</v>
      </c>
      <c r="BG28" s="75">
        <f t="shared" si="19"/>
        <v>33</v>
      </c>
      <c r="BH28" s="75">
        <f>SUM(BH30:BH556)</f>
        <v>7</v>
      </c>
      <c r="BI28" s="75" t="e">
        <f t="shared" ref="BI28" si="20">SUM(BI30:BI556)</f>
        <v>#VALUE!</v>
      </c>
      <c r="BJ28" s="74"/>
      <c r="BK28" s="74"/>
    </row>
    <row r="29" spans="3:72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46223</v>
      </c>
      <c r="O29" s="78">
        <v>46227</v>
      </c>
      <c r="P29" s="78">
        <v>46228</v>
      </c>
      <c r="Q29" s="78">
        <v>46230</v>
      </c>
      <c r="R29" s="78">
        <v>46232</v>
      </c>
      <c r="S29" s="78">
        <v>46233</v>
      </c>
      <c r="T29" s="79">
        <v>46237</v>
      </c>
      <c r="U29" s="79">
        <v>46239</v>
      </c>
      <c r="V29" s="79">
        <v>46240</v>
      </c>
      <c r="W29" s="79">
        <v>46242</v>
      </c>
      <c r="X29" s="79">
        <v>46244</v>
      </c>
      <c r="Y29" s="79">
        <v>46246</v>
      </c>
      <c r="Z29" s="79">
        <v>46247</v>
      </c>
      <c r="AA29" s="79">
        <v>46248</v>
      </c>
      <c r="AB29" s="79">
        <v>46250</v>
      </c>
      <c r="AC29" s="79">
        <v>46257</v>
      </c>
      <c r="AD29" s="79">
        <v>46258</v>
      </c>
      <c r="AE29" s="79">
        <v>46260</v>
      </c>
      <c r="AF29" s="79">
        <v>46262</v>
      </c>
      <c r="AG29" s="79">
        <v>46265</v>
      </c>
      <c r="AH29" s="79">
        <v>46266</v>
      </c>
      <c r="AI29" s="79">
        <v>46275</v>
      </c>
      <c r="AJ29" s="79">
        <v>46276</v>
      </c>
      <c r="AK29" s="79">
        <v>46280</v>
      </c>
      <c r="AL29" s="79">
        <v>46281</v>
      </c>
      <c r="AM29" s="79">
        <v>46282</v>
      </c>
      <c r="AN29" s="79">
        <v>46286</v>
      </c>
      <c r="AO29" s="79">
        <v>46287</v>
      </c>
      <c r="AP29" s="79">
        <v>46289</v>
      </c>
      <c r="AQ29" s="79">
        <v>46290</v>
      </c>
      <c r="AR29" s="79">
        <v>46291</v>
      </c>
      <c r="AS29" s="79">
        <v>46293</v>
      </c>
      <c r="AT29" s="79">
        <v>46294</v>
      </c>
      <c r="AU29" s="79">
        <v>46297</v>
      </c>
      <c r="AV29" s="79">
        <v>46298</v>
      </c>
      <c r="AW29" s="79">
        <v>46300</v>
      </c>
      <c r="AX29" s="79">
        <v>46301</v>
      </c>
      <c r="AY29" s="79">
        <v>46303</v>
      </c>
      <c r="AZ29" s="79">
        <v>46304</v>
      </c>
      <c r="BA29" s="79">
        <v>46305</v>
      </c>
      <c r="BB29" s="79">
        <v>46307</v>
      </c>
      <c r="BC29" s="79">
        <v>46339</v>
      </c>
      <c r="BD29" s="79">
        <v>46309</v>
      </c>
      <c r="BE29" s="79">
        <v>46311</v>
      </c>
      <c r="BF29" s="79">
        <v>46318</v>
      </c>
      <c r="BG29" s="79">
        <v>46319</v>
      </c>
      <c r="BH29" s="78" t="s">
        <v>34</v>
      </c>
      <c r="BI29" s="77" t="s">
        <v>35</v>
      </c>
      <c r="BJ29" s="77" t="s">
        <v>36</v>
      </c>
      <c r="BK29" s="77" t="s">
        <v>37</v>
      </c>
      <c r="BL29" s="80" t="s">
        <v>38</v>
      </c>
      <c r="BM29" s="80" t="s">
        <v>39</v>
      </c>
      <c r="BN29" s="80" t="s">
        <v>40</v>
      </c>
      <c r="BO29" s="80" t="s">
        <v>41</v>
      </c>
      <c r="BP29" s="80" t="s">
        <v>42</v>
      </c>
      <c r="BQ29" s="80" t="s">
        <v>43</v>
      </c>
      <c r="BR29" s="81" t="s">
        <v>44</v>
      </c>
      <c r="BS29" s="80"/>
      <c r="BT29" s="80"/>
    </row>
    <row r="30" spans="3:72" ht="14.25" hidden="1" customHeight="1">
      <c r="C30" s="82" t="s">
        <v>13</v>
      </c>
      <c r="D30" s="82" t="s">
        <v>952</v>
      </c>
      <c r="E30" s="82" t="s">
        <v>953</v>
      </c>
      <c r="F30" s="82" t="s">
        <v>954</v>
      </c>
      <c r="G30" s="82">
        <v>200</v>
      </c>
      <c r="H30" s="82" t="s">
        <v>147</v>
      </c>
      <c r="I30" s="82">
        <v>32</v>
      </c>
      <c r="J30" s="82">
        <v>0.6</v>
      </c>
      <c r="K30" s="82">
        <v>19.2</v>
      </c>
      <c r="L30" s="26">
        <f t="shared" ref="L30:L93" si="21">MIN(SUM(N30:BH30),I30)</f>
        <v>32</v>
      </c>
      <c r="M30" s="26">
        <f t="shared" ref="M30:M284" si="22">MAX(0,I30-L30)</f>
        <v>0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>
        <v>8</v>
      </c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>
        <v>30</v>
      </c>
      <c r="BH30" s="26"/>
      <c r="BI30" s="67" t="e">
        <f>SUMIFS([1]Up!$J:$J,[1]Up!$D:$D,D30)</f>
        <v>#VALUE!</v>
      </c>
      <c r="BJ30" s="82"/>
      <c r="BK30" s="82" t="str">
        <f t="shared" ref="BK30:BK93" si="23">IFERROR(IF(C30="Plate",LEFT(E30,FIND("*",E30,1)-1),""),IF(C30="Plate",LEFT(E30,FIND("x",E30,1)-1),""))</f>
        <v>PL5</v>
      </c>
      <c r="BL30" s="53" t="str">
        <f t="shared" ref="BL30:BL93" si="24">IF(ROUND(SUM(N30:BH30)-I30,0)&gt;0,"Thừa "&amp;SUM(N30:BH30)-I30,"")</f>
        <v>Thừa 6</v>
      </c>
      <c r="BM30" s="53" t="s">
        <v>148</v>
      </c>
      <c r="BN30" s="53" t="s">
        <v>955</v>
      </c>
      <c r="BO30" s="53" t="s">
        <v>956</v>
      </c>
      <c r="BP30" s="53" t="s">
        <v>957</v>
      </c>
      <c r="BQ30" s="53">
        <v>8</v>
      </c>
      <c r="BR30" s="83" t="s">
        <v>2222</v>
      </c>
      <c r="BS30" s="53"/>
      <c r="BT30" s="53"/>
    </row>
    <row r="31" spans="3:72" ht="14.25" hidden="1" customHeight="1">
      <c r="C31" s="82" t="s">
        <v>13</v>
      </c>
      <c r="D31" s="82" t="s">
        <v>958</v>
      </c>
      <c r="E31" s="82" t="s">
        <v>959</v>
      </c>
      <c r="F31" s="82" t="s">
        <v>954</v>
      </c>
      <c r="G31" s="82">
        <v>200</v>
      </c>
      <c r="H31" s="82" t="s">
        <v>147</v>
      </c>
      <c r="I31" s="82">
        <v>32</v>
      </c>
      <c r="J31" s="82">
        <v>0.4</v>
      </c>
      <c r="K31" s="82">
        <v>12.8</v>
      </c>
      <c r="L31" s="26">
        <f t="shared" si="21"/>
        <v>8</v>
      </c>
      <c r="M31" s="26">
        <f t="shared" si="22"/>
        <v>24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>
        <v>8</v>
      </c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67" t="e">
        <f>SUMIFS([1]Up!$J:$J,[1]Up!$D:$D,D31)</f>
        <v>#VALUE!</v>
      </c>
      <c r="BJ31" s="82"/>
      <c r="BK31" s="82" t="str">
        <f t="shared" si="23"/>
        <v>PL3</v>
      </c>
      <c r="BL31" s="53" t="str">
        <f t="shared" si="24"/>
        <v/>
      </c>
      <c r="BM31" s="53" t="s">
        <v>148</v>
      </c>
      <c r="BN31" s="53" t="s">
        <v>960</v>
      </c>
      <c r="BO31" s="53" t="s">
        <v>961</v>
      </c>
      <c r="BP31" s="53" t="s">
        <v>962</v>
      </c>
      <c r="BQ31" s="53">
        <v>8</v>
      </c>
      <c r="BR31" s="83" t="s">
        <v>2222</v>
      </c>
      <c r="BS31" s="53"/>
      <c r="BT31" s="53"/>
    </row>
    <row r="32" spans="3:72" ht="14.25" hidden="1" customHeight="1">
      <c r="C32" s="82" t="s">
        <v>13</v>
      </c>
      <c r="D32" s="82" t="s">
        <v>963</v>
      </c>
      <c r="E32" s="82" t="s">
        <v>964</v>
      </c>
      <c r="F32" s="82" t="s">
        <v>954</v>
      </c>
      <c r="G32" s="82">
        <v>200</v>
      </c>
      <c r="H32" s="82" t="s">
        <v>147</v>
      </c>
      <c r="I32" s="82">
        <v>96</v>
      </c>
      <c r="J32" s="82">
        <v>0.2</v>
      </c>
      <c r="K32" s="82">
        <v>19.200000000000003</v>
      </c>
      <c r="L32" s="26">
        <f t="shared" si="21"/>
        <v>24</v>
      </c>
      <c r="M32" s="26">
        <f t="shared" si="22"/>
        <v>72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>
        <v>24</v>
      </c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67" t="e">
        <f>SUMIFS([1]Up!$J:$J,[1]Up!$D:$D,D32)</f>
        <v>#VALUE!</v>
      </c>
      <c r="BJ32" s="82"/>
      <c r="BK32" s="82" t="str">
        <f t="shared" si="23"/>
        <v>PL2</v>
      </c>
      <c r="BL32" s="53" t="str">
        <f t="shared" si="24"/>
        <v/>
      </c>
      <c r="BM32" s="53" t="s">
        <v>148</v>
      </c>
      <c r="BN32" s="53" t="s">
        <v>965</v>
      </c>
      <c r="BO32" s="53" t="s">
        <v>966</v>
      </c>
      <c r="BP32" s="53" t="s">
        <v>967</v>
      </c>
      <c r="BQ32" s="53">
        <v>24</v>
      </c>
      <c r="BR32" s="83" t="s">
        <v>2222</v>
      </c>
      <c r="BS32" s="53"/>
      <c r="BT32" s="53"/>
    </row>
    <row r="33" spans="3:73" ht="14.25" hidden="1" customHeight="1">
      <c r="C33" s="82" t="s">
        <v>13</v>
      </c>
      <c r="D33" s="82" t="s">
        <v>968</v>
      </c>
      <c r="E33" s="82" t="s">
        <v>969</v>
      </c>
      <c r="F33" s="82" t="s">
        <v>954</v>
      </c>
      <c r="G33" s="82">
        <v>200</v>
      </c>
      <c r="H33" s="82" t="s">
        <v>147</v>
      </c>
      <c r="I33" s="82">
        <v>192</v>
      </c>
      <c r="J33" s="82">
        <v>0.1</v>
      </c>
      <c r="K33" s="82">
        <v>19.200000000000003</v>
      </c>
      <c r="L33" s="26">
        <f t="shared" si="21"/>
        <v>48</v>
      </c>
      <c r="M33" s="26">
        <f t="shared" si="22"/>
        <v>144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>
        <v>48</v>
      </c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67" t="e">
        <f>SUMIFS([1]Up!$J:$J,[1]Up!$D:$D,D33)</f>
        <v>#VALUE!</v>
      </c>
      <c r="BJ33" s="82"/>
      <c r="BK33" s="82" t="str">
        <f t="shared" si="23"/>
        <v>PL1</v>
      </c>
      <c r="BL33" s="53" t="str">
        <f t="shared" si="24"/>
        <v/>
      </c>
      <c r="BM33" s="53" t="s">
        <v>148</v>
      </c>
      <c r="BN33" s="53" t="s">
        <v>970</v>
      </c>
      <c r="BO33" s="53" t="s">
        <v>971</v>
      </c>
      <c r="BP33" s="53" t="s">
        <v>972</v>
      </c>
      <c r="BQ33" s="53">
        <v>48</v>
      </c>
      <c r="BR33" s="83" t="s">
        <v>2222</v>
      </c>
      <c r="BS33" s="53"/>
      <c r="BT33" s="53"/>
    </row>
    <row r="34" spans="3:73" ht="14.25" hidden="1" customHeight="1">
      <c r="C34" s="82" t="s">
        <v>14</v>
      </c>
      <c r="D34" s="82" t="s">
        <v>973</v>
      </c>
      <c r="E34" s="82" t="s">
        <v>974</v>
      </c>
      <c r="F34" s="82" t="s">
        <v>975</v>
      </c>
      <c r="G34" s="82"/>
      <c r="H34" s="82"/>
      <c r="I34" s="82">
        <v>64</v>
      </c>
      <c r="J34" s="82">
        <v>3.5999999999999997E-2</v>
      </c>
      <c r="K34" s="82">
        <v>2.3039999999999998</v>
      </c>
      <c r="L34" s="26">
        <f t="shared" si="21"/>
        <v>0</v>
      </c>
      <c r="M34" s="26">
        <f t="shared" si="22"/>
        <v>64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67" t="e">
        <f>SUMIFS([1]Up!$J:$J,[1]Up!$D:$D,D34)</f>
        <v>#VALUE!</v>
      </c>
      <c r="BJ34" s="82"/>
      <c r="BK34" s="82" t="str">
        <f t="shared" si="23"/>
        <v/>
      </c>
      <c r="BL34" s="53" t="str">
        <f t="shared" si="24"/>
        <v/>
      </c>
      <c r="BM34" s="53" t="s">
        <v>976</v>
      </c>
      <c r="BN34" s="53"/>
      <c r="BO34" s="53"/>
      <c r="BP34" s="53"/>
      <c r="BQ34" s="53"/>
      <c r="BR34" s="83"/>
      <c r="BS34" s="53"/>
      <c r="BT34" s="53"/>
    </row>
    <row r="35" spans="3:73" ht="14.25" hidden="1" customHeight="1">
      <c r="C35" s="82" t="s">
        <v>11</v>
      </c>
      <c r="D35" s="82" t="s">
        <v>977</v>
      </c>
      <c r="E35" s="82" t="s">
        <v>978</v>
      </c>
      <c r="F35" s="82" t="s">
        <v>979</v>
      </c>
      <c r="G35" s="82">
        <v>95</v>
      </c>
      <c r="H35" s="82"/>
      <c r="I35" s="82">
        <v>64</v>
      </c>
      <c r="J35" s="82">
        <v>0.3</v>
      </c>
      <c r="K35" s="82">
        <v>19.2</v>
      </c>
      <c r="L35" s="26">
        <f t="shared" si="21"/>
        <v>16</v>
      </c>
      <c r="M35" s="26">
        <f t="shared" si="22"/>
        <v>48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>
        <v>16</v>
      </c>
      <c r="BD35" s="26"/>
      <c r="BE35" s="26"/>
      <c r="BF35" s="26"/>
      <c r="BG35" s="26"/>
      <c r="BH35" s="26"/>
      <c r="BI35" s="67" t="e">
        <f>SUMIFS([1]Up!$J:$J,[1]Up!$D:$D,D35)</f>
        <v>#VALUE!</v>
      </c>
      <c r="BJ35" s="82"/>
      <c r="BK35" s="82" t="str">
        <f t="shared" si="23"/>
        <v/>
      </c>
      <c r="BL35" s="53" t="str">
        <f t="shared" si="24"/>
        <v/>
      </c>
      <c r="BM35" s="53" t="s">
        <v>154</v>
      </c>
      <c r="BN35" s="53"/>
      <c r="BO35" s="53" t="s">
        <v>980</v>
      </c>
      <c r="BP35" s="53"/>
      <c r="BQ35" s="53"/>
      <c r="BR35" s="83"/>
      <c r="BS35" s="53"/>
      <c r="BT35" s="53"/>
    </row>
    <row r="36" spans="3:73" ht="14.25" hidden="1" customHeight="1">
      <c r="C36" s="82" t="s">
        <v>14</v>
      </c>
      <c r="D36" s="82" t="s">
        <v>981</v>
      </c>
      <c r="E36" s="82" t="s">
        <v>982</v>
      </c>
      <c r="F36" s="82" t="s">
        <v>983</v>
      </c>
      <c r="G36" s="82"/>
      <c r="H36" s="82" t="s">
        <v>984</v>
      </c>
      <c r="I36" s="82">
        <v>16</v>
      </c>
      <c r="J36" s="82">
        <v>0.28160000000000007</v>
      </c>
      <c r="K36" s="82">
        <v>4.5056000000000012</v>
      </c>
      <c r="L36" s="26">
        <f t="shared" si="21"/>
        <v>0</v>
      </c>
      <c r="M36" s="26">
        <f t="shared" si="22"/>
        <v>16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67" t="e">
        <f>SUMIFS([1]Up!$J:$J,[1]Up!$D:$D,D36)</f>
        <v>#VALUE!</v>
      </c>
      <c r="BJ36" s="82"/>
      <c r="BK36" s="82" t="str">
        <f t="shared" si="23"/>
        <v/>
      </c>
      <c r="BL36" s="53" t="str">
        <f t="shared" si="24"/>
        <v/>
      </c>
      <c r="BM36" s="53" t="s">
        <v>976</v>
      </c>
      <c r="BN36" s="53"/>
      <c r="BO36" s="53"/>
      <c r="BP36" s="53"/>
      <c r="BQ36" s="53"/>
      <c r="BR36" s="83"/>
      <c r="BS36" s="53"/>
      <c r="BT36" s="53"/>
    </row>
    <row r="37" spans="3:73" ht="14.25" hidden="1" customHeight="1">
      <c r="C37" s="82" t="s">
        <v>13</v>
      </c>
      <c r="D37" s="82" t="s">
        <v>985</v>
      </c>
      <c r="E37" s="82" t="s">
        <v>986</v>
      </c>
      <c r="F37" s="82" t="s">
        <v>13</v>
      </c>
      <c r="G37" s="82">
        <v>200</v>
      </c>
      <c r="H37" s="82" t="s">
        <v>147</v>
      </c>
      <c r="I37" s="82">
        <v>16</v>
      </c>
      <c r="J37" s="82">
        <v>5</v>
      </c>
      <c r="K37" s="82">
        <v>80</v>
      </c>
      <c r="L37" s="26">
        <f t="shared" si="21"/>
        <v>4</v>
      </c>
      <c r="M37" s="26">
        <f t="shared" si="22"/>
        <v>12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>
        <v>1</v>
      </c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>
        <v>3</v>
      </c>
      <c r="AZ37" s="26"/>
      <c r="BA37" s="26"/>
      <c r="BB37" s="26"/>
      <c r="BC37" s="26"/>
      <c r="BD37" s="26"/>
      <c r="BE37" s="26"/>
      <c r="BF37" s="26"/>
      <c r="BG37" s="26"/>
      <c r="BH37" s="26"/>
      <c r="BI37" s="67" t="e">
        <f>SUMIFS([1]Up!$J:$J,[1]Up!$D:$D,D37)</f>
        <v>#VALUE!</v>
      </c>
      <c r="BJ37" s="82"/>
      <c r="BK37" s="82" t="str">
        <f t="shared" si="23"/>
        <v>PL16</v>
      </c>
      <c r="BL37" s="53" t="str">
        <f t="shared" si="24"/>
        <v/>
      </c>
      <c r="BM37" s="53" t="s">
        <v>154</v>
      </c>
      <c r="BN37" s="53" t="s">
        <v>987</v>
      </c>
      <c r="BO37" s="53" t="s">
        <v>988</v>
      </c>
      <c r="BP37" s="53" t="s">
        <v>989</v>
      </c>
      <c r="BQ37" s="53">
        <v>4</v>
      </c>
      <c r="BR37" s="83" t="s">
        <v>2222</v>
      </c>
      <c r="BS37" s="53"/>
      <c r="BT37" s="53"/>
    </row>
    <row r="38" spans="3:73" ht="14.25" hidden="1" customHeight="1">
      <c r="C38" s="82" t="s">
        <v>13</v>
      </c>
      <c r="D38" s="82" t="s">
        <v>990</v>
      </c>
      <c r="E38" s="82" t="s">
        <v>991</v>
      </c>
      <c r="F38" s="82" t="s">
        <v>13</v>
      </c>
      <c r="G38" s="82">
        <v>200</v>
      </c>
      <c r="H38" s="82" t="s">
        <v>147</v>
      </c>
      <c r="I38" s="82">
        <v>16</v>
      </c>
      <c r="J38" s="82">
        <v>9.5</v>
      </c>
      <c r="K38" s="82">
        <v>152</v>
      </c>
      <c r="L38" s="26">
        <f t="shared" si="21"/>
        <v>5</v>
      </c>
      <c r="M38" s="26">
        <f t="shared" si="22"/>
        <v>11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>
        <v>5</v>
      </c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67" t="e">
        <f>SUMIFS([1]Up!$J:$J,[1]Up!$D:$D,D38)</f>
        <v>#VALUE!</v>
      </c>
      <c r="BJ38" s="82"/>
      <c r="BK38" s="82" t="str">
        <f t="shared" si="23"/>
        <v>PL40</v>
      </c>
      <c r="BL38" s="53" t="str">
        <f t="shared" si="24"/>
        <v/>
      </c>
      <c r="BM38" s="53" t="s">
        <v>148</v>
      </c>
      <c r="BN38" s="53" t="s">
        <v>992</v>
      </c>
      <c r="BO38" s="53" t="s">
        <v>993</v>
      </c>
      <c r="BP38" s="53" t="s">
        <v>994</v>
      </c>
      <c r="BQ38" s="53">
        <v>4</v>
      </c>
      <c r="BR38" s="83" t="s">
        <v>2222</v>
      </c>
      <c r="BS38" s="53"/>
      <c r="BT38" s="53"/>
    </row>
    <row r="39" spans="3:73" ht="14.25" hidden="1" customHeight="1">
      <c r="C39" s="82" t="s">
        <v>13</v>
      </c>
      <c r="D39" s="82" t="s">
        <v>995</v>
      </c>
      <c r="E39" s="82" t="s">
        <v>996</v>
      </c>
      <c r="F39" s="82" t="s">
        <v>13</v>
      </c>
      <c r="G39" s="82">
        <v>170</v>
      </c>
      <c r="H39" s="82" t="s">
        <v>147</v>
      </c>
      <c r="I39" s="82">
        <v>16</v>
      </c>
      <c r="J39" s="82">
        <v>8</v>
      </c>
      <c r="K39" s="82">
        <v>128</v>
      </c>
      <c r="L39" s="26">
        <f t="shared" si="21"/>
        <v>5</v>
      </c>
      <c r="M39" s="26">
        <f t="shared" si="22"/>
        <v>11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>
        <v>5</v>
      </c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67" t="e">
        <f>SUMIFS([1]Up!$J:$J,[1]Up!$D:$D,D39)</f>
        <v>#VALUE!</v>
      </c>
      <c r="BJ39" s="82"/>
      <c r="BK39" s="82" t="str">
        <f t="shared" si="23"/>
        <v>PL40</v>
      </c>
      <c r="BL39" s="53" t="str">
        <f t="shared" si="24"/>
        <v/>
      </c>
      <c r="BM39" s="53" t="s">
        <v>148</v>
      </c>
      <c r="BN39" s="53" t="s">
        <v>992</v>
      </c>
      <c r="BO39" s="53" t="s">
        <v>993</v>
      </c>
      <c r="BP39" s="53" t="s">
        <v>994</v>
      </c>
      <c r="BQ39" s="53">
        <v>4</v>
      </c>
      <c r="BR39" s="83" t="s">
        <v>2222</v>
      </c>
      <c r="BS39" s="53"/>
      <c r="BT39" s="53"/>
    </row>
    <row r="40" spans="3:73" ht="14.25" hidden="1" customHeight="1">
      <c r="C40" s="82" t="s">
        <v>13</v>
      </c>
      <c r="D40" s="82" t="s">
        <v>997</v>
      </c>
      <c r="E40" s="82" t="s">
        <v>998</v>
      </c>
      <c r="F40" s="82" t="s">
        <v>954</v>
      </c>
      <c r="G40" s="82">
        <v>640</v>
      </c>
      <c r="H40" s="82" t="s">
        <v>147</v>
      </c>
      <c r="I40" s="82">
        <v>22</v>
      </c>
      <c r="J40" s="82">
        <v>0.5</v>
      </c>
      <c r="K40" s="82">
        <v>11</v>
      </c>
      <c r="L40" s="26">
        <f t="shared" si="21"/>
        <v>10</v>
      </c>
      <c r="M40" s="26">
        <f t="shared" si="22"/>
        <v>12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>
        <v>10</v>
      </c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67" t="e">
        <f>SUMIFS([1]Up!$J:$J,[1]Up!$D:$D,D40)</f>
        <v>#VALUE!</v>
      </c>
      <c r="BJ40" s="82"/>
      <c r="BK40" s="82" t="str">
        <f t="shared" si="23"/>
        <v>PL1</v>
      </c>
      <c r="BL40" s="53" t="str">
        <f t="shared" si="24"/>
        <v/>
      </c>
      <c r="BM40" s="53" t="s">
        <v>148</v>
      </c>
      <c r="BN40" s="53" t="s">
        <v>970</v>
      </c>
      <c r="BO40" s="53" t="s">
        <v>971</v>
      </c>
      <c r="BP40" s="84" t="s">
        <v>999</v>
      </c>
      <c r="BQ40" s="53">
        <v>10</v>
      </c>
      <c r="BR40" s="83" t="s">
        <v>2223</v>
      </c>
      <c r="BS40" s="53"/>
      <c r="BT40" s="53"/>
      <c r="BU40" s="238"/>
    </row>
    <row r="41" spans="3:73" ht="14.25" hidden="1" customHeight="1">
      <c r="C41" s="82" t="s">
        <v>14</v>
      </c>
      <c r="D41" s="82" t="s">
        <v>1000</v>
      </c>
      <c r="E41" s="82" t="s">
        <v>1001</v>
      </c>
      <c r="F41" s="82" t="s">
        <v>983</v>
      </c>
      <c r="G41" s="82"/>
      <c r="H41" s="82" t="s">
        <v>984</v>
      </c>
      <c r="I41" s="82">
        <v>3</v>
      </c>
      <c r="J41" s="82">
        <v>0.1</v>
      </c>
      <c r="K41" s="82">
        <v>0.30000000000000004</v>
      </c>
      <c r="L41" s="26">
        <f t="shared" si="21"/>
        <v>0</v>
      </c>
      <c r="M41" s="26">
        <f t="shared" si="22"/>
        <v>3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67" t="e">
        <f>SUMIFS([1]Up!$J:$J,[1]Up!$D:$D,D41)</f>
        <v>#VALUE!</v>
      </c>
      <c r="BJ41" s="82"/>
      <c r="BK41" s="82" t="str">
        <f t="shared" si="23"/>
        <v/>
      </c>
      <c r="BL41" s="53" t="str">
        <f t="shared" si="24"/>
        <v/>
      </c>
      <c r="BM41" s="53" t="s">
        <v>976</v>
      </c>
      <c r="BN41" s="53"/>
      <c r="BO41" s="53"/>
      <c r="BP41" s="53"/>
      <c r="BQ41" s="53"/>
      <c r="BR41" s="83"/>
      <c r="BS41" s="53"/>
      <c r="BT41" s="53"/>
    </row>
    <row r="42" spans="3:73" ht="14.25" hidden="1" customHeight="1">
      <c r="C42" s="82" t="s">
        <v>13</v>
      </c>
      <c r="D42" s="82" t="s">
        <v>1002</v>
      </c>
      <c r="E42" s="82" t="s">
        <v>1003</v>
      </c>
      <c r="F42" s="82" t="s">
        <v>13</v>
      </c>
      <c r="G42" s="82">
        <v>400</v>
      </c>
      <c r="H42" s="82" t="s">
        <v>147</v>
      </c>
      <c r="I42" s="82">
        <v>3</v>
      </c>
      <c r="J42" s="82">
        <v>7.5</v>
      </c>
      <c r="K42" s="82">
        <v>22.5</v>
      </c>
      <c r="L42" s="26">
        <f t="shared" si="21"/>
        <v>1</v>
      </c>
      <c r="M42" s="26">
        <f t="shared" si="22"/>
        <v>2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>
        <v>1</v>
      </c>
      <c r="BE42" s="26"/>
      <c r="BF42" s="26"/>
      <c r="BG42" s="26"/>
      <c r="BH42" s="26"/>
      <c r="BI42" s="67" t="e">
        <f>SUMIFS([1]Up!$J:$J,[1]Up!$D:$D,D42)</f>
        <v>#VALUE!</v>
      </c>
      <c r="BJ42" s="82"/>
      <c r="BK42" s="82" t="str">
        <f t="shared" si="23"/>
        <v>PL2</v>
      </c>
      <c r="BL42" s="53" t="str">
        <f t="shared" si="24"/>
        <v/>
      </c>
      <c r="BM42" s="53" t="s">
        <v>154</v>
      </c>
      <c r="BN42" s="53" t="s">
        <v>1004</v>
      </c>
      <c r="BO42" s="53" t="s">
        <v>1005</v>
      </c>
      <c r="BP42" s="53"/>
      <c r="BQ42" s="53"/>
      <c r="BR42" s="83"/>
      <c r="BS42" s="53"/>
      <c r="BT42" s="53"/>
    </row>
    <row r="43" spans="3:73" ht="14.25" hidden="1" customHeight="1">
      <c r="C43" s="82" t="s">
        <v>13</v>
      </c>
      <c r="D43" s="82" t="s">
        <v>1006</v>
      </c>
      <c r="E43" s="82" t="s">
        <v>1003</v>
      </c>
      <c r="F43" s="82" t="s">
        <v>1007</v>
      </c>
      <c r="G43" s="82">
        <v>25</v>
      </c>
      <c r="H43" s="82" t="s">
        <v>147</v>
      </c>
      <c r="I43" s="82">
        <v>12</v>
      </c>
      <c r="J43" s="82">
        <v>2.5000000000000001E-2</v>
      </c>
      <c r="K43" s="82">
        <v>0.30000000000000004</v>
      </c>
      <c r="L43" s="26">
        <f t="shared" si="21"/>
        <v>6</v>
      </c>
      <c r="M43" s="26">
        <f t="shared" si="22"/>
        <v>6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>
        <v>6</v>
      </c>
      <c r="BD43" s="26"/>
      <c r="BE43" s="26"/>
      <c r="BF43" s="26"/>
      <c r="BG43" s="26"/>
      <c r="BH43" s="26"/>
      <c r="BI43" s="67" t="e">
        <f>SUMIFS([1]Up!$J:$J,[1]Up!$D:$D,D43)</f>
        <v>#VALUE!</v>
      </c>
      <c r="BJ43" s="82"/>
      <c r="BK43" s="82" t="str">
        <f t="shared" si="23"/>
        <v>PL2</v>
      </c>
      <c r="BL43" s="53" t="str">
        <f t="shared" si="24"/>
        <v/>
      </c>
      <c r="BM43" s="53" t="s">
        <v>154</v>
      </c>
      <c r="BN43" s="53" t="s">
        <v>965</v>
      </c>
      <c r="BO43" s="53" t="s">
        <v>966</v>
      </c>
      <c r="BP43" s="53" t="s">
        <v>967</v>
      </c>
      <c r="BQ43" s="53">
        <v>4</v>
      </c>
      <c r="BR43" s="83" t="s">
        <v>2222</v>
      </c>
      <c r="BS43" s="53"/>
      <c r="BT43" s="53"/>
    </row>
    <row r="44" spans="3:73" ht="14.25" hidden="1" customHeight="1">
      <c r="C44" s="82" t="s">
        <v>13</v>
      </c>
      <c r="D44" s="82" t="s">
        <v>1008</v>
      </c>
      <c r="E44" s="82" t="s">
        <v>1009</v>
      </c>
      <c r="F44" s="82" t="s">
        <v>1010</v>
      </c>
      <c r="G44" s="82">
        <v>1891</v>
      </c>
      <c r="H44" s="82" t="s">
        <v>147</v>
      </c>
      <c r="I44" s="82">
        <v>4</v>
      </c>
      <c r="J44" s="82">
        <v>29.7</v>
      </c>
      <c r="K44" s="82">
        <v>118.8</v>
      </c>
      <c r="L44" s="26">
        <f t="shared" si="21"/>
        <v>2</v>
      </c>
      <c r="M44" s="26">
        <f t="shared" si="22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>
        <v>2</v>
      </c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67" t="e">
        <f>SUMIFS([1]Up!$J:$J,[1]Up!$D:$D,D44)</f>
        <v>#VALUE!</v>
      </c>
      <c r="BJ44" s="82"/>
      <c r="BK44" s="82" t="str">
        <f t="shared" si="23"/>
        <v>PL8</v>
      </c>
      <c r="BL44" s="53" t="str">
        <f t="shared" si="24"/>
        <v/>
      </c>
      <c r="BM44" s="53" t="s">
        <v>154</v>
      </c>
      <c r="BN44" s="53" t="s">
        <v>1011</v>
      </c>
      <c r="BO44" s="53" t="s">
        <v>1012</v>
      </c>
      <c r="BP44" s="53" t="s">
        <v>1013</v>
      </c>
      <c r="BQ44" s="53">
        <v>1</v>
      </c>
      <c r="BR44" s="83">
        <v>46088</v>
      </c>
      <c r="BS44" s="53"/>
      <c r="BT44" s="53"/>
    </row>
    <row r="45" spans="3:73" ht="14.25" hidden="1" customHeight="1">
      <c r="C45" s="82" t="s">
        <v>14</v>
      </c>
      <c r="D45" s="82" t="s">
        <v>1014</v>
      </c>
      <c r="E45" s="82" t="s">
        <v>1015</v>
      </c>
      <c r="F45" s="82" t="s">
        <v>1016</v>
      </c>
      <c r="G45" s="82"/>
      <c r="H45" s="82" t="s">
        <v>1017</v>
      </c>
      <c r="I45" s="82">
        <v>4</v>
      </c>
      <c r="J45" s="82">
        <v>100</v>
      </c>
      <c r="K45" s="82">
        <v>400</v>
      </c>
      <c r="L45" s="26">
        <f t="shared" si="21"/>
        <v>0</v>
      </c>
      <c r="M45" s="26">
        <f t="shared" si="22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67" t="e">
        <f>SUMIFS([1]Up!$J:$J,[1]Up!$D:$D,D45)</f>
        <v>#VALUE!</v>
      </c>
      <c r="BJ45" s="82"/>
      <c r="BK45" s="82" t="str">
        <f t="shared" si="23"/>
        <v/>
      </c>
      <c r="BL45" s="53" t="str">
        <f t="shared" si="24"/>
        <v/>
      </c>
      <c r="BM45" s="53" t="s">
        <v>976</v>
      </c>
      <c r="BN45" s="53"/>
      <c r="BO45" s="53"/>
      <c r="BP45" s="53"/>
      <c r="BQ45" s="53"/>
      <c r="BR45" s="83"/>
      <c r="BS45" s="53"/>
      <c r="BT45" s="53"/>
    </row>
    <row r="46" spans="3:73" ht="14.25" hidden="1" customHeight="1">
      <c r="C46" s="82" t="s">
        <v>13</v>
      </c>
      <c r="D46" s="82" t="s">
        <v>1018</v>
      </c>
      <c r="E46" s="82" t="s">
        <v>1019</v>
      </c>
      <c r="F46" s="82" t="s">
        <v>13</v>
      </c>
      <c r="G46" s="82">
        <v>716</v>
      </c>
      <c r="H46" s="82" t="s">
        <v>147</v>
      </c>
      <c r="I46" s="82">
        <v>4</v>
      </c>
      <c r="J46" s="82">
        <v>6.7</v>
      </c>
      <c r="K46" s="82">
        <v>26.8</v>
      </c>
      <c r="L46" s="26">
        <f t="shared" si="21"/>
        <v>1</v>
      </c>
      <c r="M46" s="26">
        <f t="shared" si="22"/>
        <v>3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>
        <v>1</v>
      </c>
      <c r="AZ46" s="26"/>
      <c r="BA46" s="26"/>
      <c r="BB46" s="26"/>
      <c r="BC46" s="26"/>
      <c r="BD46" s="26"/>
      <c r="BE46" s="26"/>
      <c r="BF46" s="26"/>
      <c r="BG46" s="26"/>
      <c r="BH46" s="26"/>
      <c r="BI46" s="67" t="e">
        <f>SUMIFS([1]Up!$J:$J,[1]Up!$D:$D,D46)</f>
        <v>#VALUE!</v>
      </c>
      <c r="BJ46" s="82"/>
      <c r="BK46" s="82" t="str">
        <f t="shared" si="23"/>
        <v>PL12</v>
      </c>
      <c r="BL46" s="53" t="str">
        <f t="shared" si="24"/>
        <v/>
      </c>
      <c r="BM46" s="53" t="s">
        <v>154</v>
      </c>
      <c r="BN46" s="53" t="s">
        <v>1020</v>
      </c>
      <c r="BO46" s="53" t="s">
        <v>1021</v>
      </c>
      <c r="BP46" s="53" t="s">
        <v>1022</v>
      </c>
      <c r="BQ46" s="53">
        <v>1</v>
      </c>
      <c r="BR46" s="83">
        <v>46088</v>
      </c>
      <c r="BS46" s="53"/>
      <c r="BT46" s="53"/>
    </row>
    <row r="47" spans="3:73" ht="14.25" hidden="1" customHeight="1">
      <c r="C47" s="82" t="s">
        <v>11</v>
      </c>
      <c r="D47" s="82" t="s">
        <v>1023</v>
      </c>
      <c r="E47" s="82" t="s">
        <v>1024</v>
      </c>
      <c r="F47" s="82" t="s">
        <v>1025</v>
      </c>
      <c r="G47" s="82">
        <v>80</v>
      </c>
      <c r="H47" s="82" t="s">
        <v>147</v>
      </c>
      <c r="I47" s="82">
        <v>4</v>
      </c>
      <c r="J47" s="82">
        <v>1.1000000000000001</v>
      </c>
      <c r="K47" s="82">
        <v>4.4000000000000004</v>
      </c>
      <c r="L47" s="26">
        <f t="shared" si="21"/>
        <v>1</v>
      </c>
      <c r="M47" s="26">
        <f t="shared" si="22"/>
        <v>3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>
        <v>1</v>
      </c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67" t="e">
        <f>SUMIFS([1]Up!$J:$J,[1]Up!$D:$D,D47)</f>
        <v>#VALUE!</v>
      </c>
      <c r="BJ47" s="82"/>
      <c r="BK47" s="82" t="str">
        <f t="shared" si="23"/>
        <v/>
      </c>
      <c r="BL47" s="53" t="str">
        <f t="shared" si="24"/>
        <v/>
      </c>
      <c r="BM47" s="53" t="s">
        <v>148</v>
      </c>
      <c r="BN47" s="53" t="s">
        <v>1026</v>
      </c>
      <c r="BO47" s="53" t="s">
        <v>1027</v>
      </c>
      <c r="BP47" s="53" t="s">
        <v>1028</v>
      </c>
      <c r="BQ47" s="53">
        <v>1</v>
      </c>
      <c r="BR47" s="83">
        <v>46362</v>
      </c>
      <c r="BS47" s="53"/>
      <c r="BT47" s="53"/>
    </row>
    <row r="48" spans="3:73" ht="14.25" hidden="1" customHeight="1">
      <c r="C48" s="82" t="s">
        <v>13</v>
      </c>
      <c r="D48" s="82" t="s">
        <v>1029</v>
      </c>
      <c r="E48" s="82" t="s">
        <v>1030</v>
      </c>
      <c r="F48" s="82" t="s">
        <v>13</v>
      </c>
      <c r="G48" s="82">
        <v>80</v>
      </c>
      <c r="H48" s="82" t="s">
        <v>147</v>
      </c>
      <c r="I48" s="82">
        <v>4</v>
      </c>
      <c r="J48" s="82">
        <v>0.2</v>
      </c>
      <c r="K48" s="82">
        <v>0.8</v>
      </c>
      <c r="L48" s="26">
        <f t="shared" si="21"/>
        <v>1</v>
      </c>
      <c r="M48" s="26">
        <f t="shared" si="22"/>
        <v>3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>
        <v>1</v>
      </c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67" t="e">
        <f>SUMIFS([1]Up!$J:$J,[1]Up!$D:$D,D48)</f>
        <v>#VALUE!</v>
      </c>
      <c r="BJ48" s="82"/>
      <c r="BK48" s="82" t="str">
        <f t="shared" si="23"/>
        <v>PL12</v>
      </c>
      <c r="BL48" s="53" t="str">
        <f t="shared" si="24"/>
        <v/>
      </c>
      <c r="BM48" s="53" t="s">
        <v>148</v>
      </c>
      <c r="BN48" s="53" t="s">
        <v>1020</v>
      </c>
      <c r="BO48" s="53" t="s">
        <v>1021</v>
      </c>
      <c r="BP48" s="53" t="s">
        <v>1022</v>
      </c>
      <c r="BQ48" s="53">
        <v>1</v>
      </c>
      <c r="BR48" s="83">
        <v>46088</v>
      </c>
      <c r="BS48" s="53"/>
      <c r="BT48" s="53"/>
    </row>
    <row r="49" spans="3:72" ht="14.25" hidden="1" customHeight="1">
      <c r="C49" s="82" t="s">
        <v>11</v>
      </c>
      <c r="D49" s="82" t="s">
        <v>1031</v>
      </c>
      <c r="E49" s="82" t="s">
        <v>1032</v>
      </c>
      <c r="F49" s="82" t="s">
        <v>1007</v>
      </c>
      <c r="G49" s="82">
        <v>1096</v>
      </c>
      <c r="H49" s="82" t="s">
        <v>147</v>
      </c>
      <c r="I49" s="82">
        <v>4</v>
      </c>
      <c r="J49" s="82">
        <v>24.3</v>
      </c>
      <c r="K49" s="82">
        <v>97.2</v>
      </c>
      <c r="L49" s="26">
        <f t="shared" si="21"/>
        <v>1</v>
      </c>
      <c r="M49" s="26">
        <f t="shared" si="22"/>
        <v>3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>
        <v>1</v>
      </c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67" t="e">
        <f>SUMIFS([1]Up!$J:$J,[1]Up!$D:$D,D49)</f>
        <v>#VALUE!</v>
      </c>
      <c r="BJ49" s="82"/>
      <c r="BK49" s="82" t="str">
        <f t="shared" si="23"/>
        <v/>
      </c>
      <c r="BL49" s="53" t="str">
        <f t="shared" si="24"/>
        <v/>
      </c>
      <c r="BM49" s="53" t="s">
        <v>154</v>
      </c>
      <c r="BN49" s="53" t="s">
        <v>1033</v>
      </c>
      <c r="BO49" s="53" t="s">
        <v>1032</v>
      </c>
      <c r="BP49" s="53" t="s">
        <v>1034</v>
      </c>
      <c r="BQ49" s="53">
        <v>1</v>
      </c>
      <c r="BR49" s="83">
        <v>46362</v>
      </c>
      <c r="BS49" s="53"/>
      <c r="BT49" s="53"/>
    </row>
    <row r="50" spans="3:72" ht="14.25" hidden="1" customHeight="1">
      <c r="C50" s="82" t="s">
        <v>14</v>
      </c>
      <c r="D50" s="82" t="s">
        <v>1035</v>
      </c>
      <c r="E50" s="82" t="s">
        <v>1874</v>
      </c>
      <c r="F50" s="82" t="s">
        <v>1873</v>
      </c>
      <c r="G50" s="82"/>
      <c r="H50" s="82" t="s">
        <v>1017</v>
      </c>
      <c r="I50" s="82">
        <v>6</v>
      </c>
      <c r="J50" s="82">
        <v>100</v>
      </c>
      <c r="K50" s="82">
        <v>600</v>
      </c>
      <c r="L50" s="26">
        <f t="shared" si="21"/>
        <v>0</v>
      </c>
      <c r="M50" s="26">
        <f t="shared" si="22"/>
        <v>6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67" t="e">
        <f>SUMIFS([1]Up!$J:$J,[1]Up!$D:$D,D50)</f>
        <v>#VALUE!</v>
      </c>
      <c r="BJ50" s="82"/>
      <c r="BK50" s="82" t="str">
        <f t="shared" si="23"/>
        <v/>
      </c>
      <c r="BL50" s="53" t="str">
        <f t="shared" si="24"/>
        <v/>
      </c>
      <c r="BM50" s="53" t="s">
        <v>976</v>
      </c>
      <c r="BN50" s="53"/>
      <c r="BO50" s="53"/>
      <c r="BP50" s="53"/>
      <c r="BQ50" s="53"/>
      <c r="BR50" s="83"/>
      <c r="BS50" s="53"/>
      <c r="BT50" s="53"/>
    </row>
    <row r="51" spans="3:72" ht="14.25" hidden="1" customHeight="1">
      <c r="C51" s="82" t="s">
        <v>11</v>
      </c>
      <c r="D51" s="82" t="s">
        <v>1039</v>
      </c>
      <c r="E51" s="82" t="s">
        <v>1040</v>
      </c>
      <c r="F51" s="82" t="s">
        <v>1007</v>
      </c>
      <c r="G51" s="82">
        <v>326</v>
      </c>
      <c r="H51" s="82" t="s">
        <v>147</v>
      </c>
      <c r="I51" s="82">
        <v>8</v>
      </c>
      <c r="J51" s="82">
        <v>0.8</v>
      </c>
      <c r="K51" s="82">
        <v>6.4</v>
      </c>
      <c r="L51" s="26">
        <f t="shared" si="21"/>
        <v>4</v>
      </c>
      <c r="M51" s="26">
        <f t="shared" si="22"/>
        <v>4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>
        <v>2</v>
      </c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>
        <v>2</v>
      </c>
      <c r="BD51" s="26"/>
      <c r="BE51" s="26"/>
      <c r="BF51" s="26"/>
      <c r="BG51" s="26"/>
      <c r="BH51" s="26"/>
      <c r="BI51" s="67" t="e">
        <f>SUMIFS([1]Up!$J:$J,[1]Up!$D:$D,D51)</f>
        <v>#VALUE!</v>
      </c>
      <c r="BJ51" s="82"/>
      <c r="BK51" s="82" t="str">
        <f t="shared" si="23"/>
        <v/>
      </c>
      <c r="BL51" s="53" t="str">
        <f t="shared" si="24"/>
        <v/>
      </c>
      <c r="BM51" s="53" t="s">
        <v>154</v>
      </c>
      <c r="BN51" s="53" t="s">
        <v>1041</v>
      </c>
      <c r="BO51" s="53" t="s">
        <v>1040</v>
      </c>
      <c r="BP51" s="53" t="s">
        <v>1042</v>
      </c>
      <c r="BQ51" s="53">
        <v>2</v>
      </c>
      <c r="BR51" s="83">
        <v>46362</v>
      </c>
      <c r="BS51" s="53"/>
      <c r="BT51" s="53"/>
    </row>
    <row r="52" spans="3:72" ht="14.25" hidden="1" customHeight="1">
      <c r="C52" s="82" t="s">
        <v>11</v>
      </c>
      <c r="D52" s="82" t="s">
        <v>1043</v>
      </c>
      <c r="E52" s="82" t="s">
        <v>1044</v>
      </c>
      <c r="F52" s="82" t="s">
        <v>1007</v>
      </c>
      <c r="G52" s="82">
        <v>188</v>
      </c>
      <c r="H52" s="82" t="s">
        <v>147</v>
      </c>
      <c r="I52" s="82">
        <v>4</v>
      </c>
      <c r="J52" s="82">
        <v>0.3</v>
      </c>
      <c r="K52" s="82">
        <v>1.2</v>
      </c>
      <c r="L52" s="26">
        <f t="shared" si="21"/>
        <v>2</v>
      </c>
      <c r="M52" s="26">
        <f t="shared" si="22"/>
        <v>2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>
        <v>1</v>
      </c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>
        <v>1</v>
      </c>
      <c r="BD52" s="26"/>
      <c r="BE52" s="26"/>
      <c r="BF52" s="26"/>
      <c r="BG52" s="26"/>
      <c r="BH52" s="26"/>
      <c r="BI52" s="67" t="e">
        <f>SUMIFS([1]Up!$J:$J,[1]Up!$D:$D,D52)</f>
        <v>#VALUE!</v>
      </c>
      <c r="BJ52" s="82"/>
      <c r="BK52" s="82" t="str">
        <f t="shared" si="23"/>
        <v/>
      </c>
      <c r="BL52" s="53" t="str">
        <f t="shared" si="24"/>
        <v/>
      </c>
      <c r="BM52" s="53" t="s">
        <v>154</v>
      </c>
      <c r="BN52" s="53" t="s">
        <v>1045</v>
      </c>
      <c r="BO52" s="53" t="s">
        <v>1044</v>
      </c>
      <c r="BP52" s="53" t="s">
        <v>1046</v>
      </c>
      <c r="BQ52" s="53">
        <v>1</v>
      </c>
      <c r="BR52" s="83">
        <v>46362</v>
      </c>
      <c r="BS52" s="53"/>
      <c r="BT52" s="53"/>
    </row>
    <row r="53" spans="3:72" ht="14.25" hidden="1" customHeight="1">
      <c r="C53" s="82" t="s">
        <v>11</v>
      </c>
      <c r="D53" s="82" t="s">
        <v>1047</v>
      </c>
      <c r="E53" s="82" t="s">
        <v>1048</v>
      </c>
      <c r="F53" s="82" t="s">
        <v>1010</v>
      </c>
      <c r="G53" s="82">
        <v>761</v>
      </c>
      <c r="H53" s="82" t="s">
        <v>1049</v>
      </c>
      <c r="I53" s="82">
        <v>4</v>
      </c>
      <c r="J53" s="82">
        <v>125.45846</v>
      </c>
      <c r="K53" s="82">
        <v>501.83384000000001</v>
      </c>
      <c r="L53" s="26">
        <f t="shared" si="21"/>
        <v>2</v>
      </c>
      <c r="M53" s="26">
        <f t="shared" si="22"/>
        <v>2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>
        <v>1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>
        <v>1</v>
      </c>
      <c r="BE53" s="26"/>
      <c r="BF53" s="26"/>
      <c r="BG53" s="26"/>
      <c r="BH53" s="26"/>
      <c r="BI53" s="67" t="e">
        <f>SUMIFS([1]Up!$J:$J,[1]Up!$D:$D,D53)</f>
        <v>#VALUE!</v>
      </c>
      <c r="BJ53" s="82"/>
      <c r="BK53" s="82" t="str">
        <f t="shared" si="23"/>
        <v/>
      </c>
      <c r="BL53" s="53" t="str">
        <f t="shared" si="24"/>
        <v/>
      </c>
      <c r="BM53" s="53" t="s">
        <v>148</v>
      </c>
      <c r="BN53" s="53" t="s">
        <v>1050</v>
      </c>
      <c r="BO53" s="53" t="s">
        <v>1048</v>
      </c>
      <c r="BP53" s="53" t="s">
        <v>1051</v>
      </c>
      <c r="BQ53" s="53">
        <v>1</v>
      </c>
      <c r="BR53" s="83">
        <v>46362</v>
      </c>
      <c r="BS53" s="53"/>
      <c r="BT53" s="53"/>
    </row>
    <row r="54" spans="3:72" ht="14.25" hidden="1" customHeight="1">
      <c r="C54" s="82" t="s">
        <v>14</v>
      </c>
      <c r="D54" s="82" t="s">
        <v>1052</v>
      </c>
      <c r="E54" s="82" t="s">
        <v>1053</v>
      </c>
      <c r="F54" s="82" t="s">
        <v>1016</v>
      </c>
      <c r="G54" s="82"/>
      <c r="H54" s="82" t="s">
        <v>1017</v>
      </c>
      <c r="I54" s="82">
        <v>4</v>
      </c>
      <c r="J54" s="82">
        <v>155</v>
      </c>
      <c r="K54" s="82">
        <v>620</v>
      </c>
      <c r="L54" s="26">
        <f t="shared" si="21"/>
        <v>0</v>
      </c>
      <c r="M54" s="26">
        <f t="shared" si="22"/>
        <v>4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67" t="e">
        <f>SUMIFS([1]Up!$J:$J,[1]Up!$D:$D,D54)</f>
        <v>#VALUE!</v>
      </c>
      <c r="BJ54" s="82"/>
      <c r="BK54" s="82" t="str">
        <f t="shared" si="23"/>
        <v/>
      </c>
      <c r="BL54" s="53" t="str">
        <f t="shared" si="24"/>
        <v/>
      </c>
      <c r="BM54" s="53" t="s">
        <v>976</v>
      </c>
      <c r="BN54" s="53"/>
      <c r="BO54" s="53"/>
      <c r="BP54" s="53"/>
      <c r="BQ54" s="53"/>
      <c r="BR54" s="83"/>
      <c r="BS54" s="53"/>
      <c r="BT54" s="53"/>
    </row>
    <row r="55" spans="3:72" ht="14.25" hidden="1" customHeight="1">
      <c r="C55" s="82" t="s">
        <v>14</v>
      </c>
      <c r="D55" s="82" t="s">
        <v>1054</v>
      </c>
      <c r="E55" s="82" t="s">
        <v>140</v>
      </c>
      <c r="F55" s="82" t="s">
        <v>1055</v>
      </c>
      <c r="G55" s="82"/>
      <c r="H55" s="82"/>
      <c r="I55" s="82">
        <v>4</v>
      </c>
      <c r="J55" s="82">
        <v>0.1</v>
      </c>
      <c r="K55" s="82">
        <v>0.4</v>
      </c>
      <c r="L55" s="26">
        <f t="shared" si="21"/>
        <v>2</v>
      </c>
      <c r="M55" s="26">
        <f t="shared" si="22"/>
        <v>2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>
        <v>2</v>
      </c>
      <c r="BG55" s="26"/>
      <c r="BH55" s="26"/>
      <c r="BI55" s="67" t="e">
        <f>SUMIFS([1]Up!$J:$J,[1]Up!$D:$D,D55)</f>
        <v>#VALUE!</v>
      </c>
      <c r="BJ55" s="82"/>
      <c r="BK55" s="82" t="str">
        <f t="shared" si="23"/>
        <v/>
      </c>
      <c r="BL55" s="53" t="str">
        <f t="shared" si="24"/>
        <v/>
      </c>
      <c r="BM55" s="53" t="s">
        <v>976</v>
      </c>
      <c r="BN55" s="53"/>
      <c r="BO55" s="53"/>
      <c r="BP55" s="53"/>
      <c r="BQ55" s="53"/>
      <c r="BR55" s="83"/>
      <c r="BS55" s="53"/>
      <c r="BT55" s="53"/>
    </row>
    <row r="56" spans="3:72" ht="14.25" hidden="1" customHeight="1">
      <c r="C56" s="82" t="s">
        <v>13</v>
      </c>
      <c r="D56" s="82" t="s">
        <v>1056</v>
      </c>
      <c r="E56" s="82" t="s">
        <v>1057</v>
      </c>
      <c r="F56" s="82" t="s">
        <v>13</v>
      </c>
      <c r="G56" s="82">
        <v>250</v>
      </c>
      <c r="H56" s="82" t="s">
        <v>147</v>
      </c>
      <c r="I56" s="82">
        <v>4</v>
      </c>
      <c r="J56" s="82">
        <v>10.5</v>
      </c>
      <c r="K56" s="82">
        <v>42</v>
      </c>
      <c r="L56" s="26">
        <f t="shared" si="21"/>
        <v>1</v>
      </c>
      <c r="M56" s="26">
        <f t="shared" si="22"/>
        <v>3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>
        <v>1</v>
      </c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67" t="e">
        <f>SUMIFS([1]Up!$J:$J,[1]Up!$D:$D,D56)</f>
        <v>#VALUE!</v>
      </c>
      <c r="BJ56" s="82"/>
      <c r="BK56" s="82" t="str">
        <f t="shared" si="23"/>
        <v>PL30</v>
      </c>
      <c r="BL56" s="53" t="str">
        <f t="shared" si="24"/>
        <v/>
      </c>
      <c r="BM56" s="53" t="s">
        <v>148</v>
      </c>
      <c r="BN56" s="53" t="s">
        <v>1058</v>
      </c>
      <c r="BO56" s="53" t="s">
        <v>1059</v>
      </c>
      <c r="BP56" s="53" t="s">
        <v>1060</v>
      </c>
      <c r="BQ56" s="53">
        <v>1</v>
      </c>
      <c r="BR56" s="83" t="s">
        <v>2222</v>
      </c>
      <c r="BS56" s="53"/>
      <c r="BT56" s="53"/>
    </row>
    <row r="57" spans="3:72" ht="14.25" hidden="1" customHeight="1">
      <c r="C57" s="82" t="s">
        <v>13</v>
      </c>
      <c r="D57" s="82" t="s">
        <v>1061</v>
      </c>
      <c r="E57" s="82" t="s">
        <v>1062</v>
      </c>
      <c r="F57" s="82" t="s">
        <v>13</v>
      </c>
      <c r="G57" s="82">
        <v>620</v>
      </c>
      <c r="H57" s="82" t="s">
        <v>147</v>
      </c>
      <c r="I57" s="82">
        <v>8</v>
      </c>
      <c r="J57" s="82">
        <v>2.9</v>
      </c>
      <c r="K57" s="82">
        <v>23.2</v>
      </c>
      <c r="L57" s="26">
        <f t="shared" si="21"/>
        <v>4</v>
      </c>
      <c r="M57" s="26">
        <f t="shared" si="22"/>
        <v>4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>
        <v>2</v>
      </c>
      <c r="AU57" s="26"/>
      <c r="AV57" s="26"/>
      <c r="AW57" s="26">
        <v>2</v>
      </c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67" t="e">
        <f>SUMIFS([1]Up!$J:$J,[1]Up!$D:$D,D57)</f>
        <v>#VALUE!</v>
      </c>
      <c r="BJ57" s="82"/>
      <c r="BK57" s="82" t="str">
        <f t="shared" si="23"/>
        <v>PL10</v>
      </c>
      <c r="BL57" s="53" t="str">
        <f t="shared" si="24"/>
        <v/>
      </c>
      <c r="BM57" s="53" t="s">
        <v>148</v>
      </c>
      <c r="BN57" s="53" t="s">
        <v>1004</v>
      </c>
      <c r="BO57" s="53" t="s">
        <v>1005</v>
      </c>
      <c r="BP57" s="53" t="s">
        <v>1063</v>
      </c>
      <c r="BQ57" s="53">
        <v>2</v>
      </c>
      <c r="BR57" s="83">
        <v>46088</v>
      </c>
      <c r="BS57" s="53"/>
      <c r="BT57" s="53"/>
    </row>
    <row r="58" spans="3:72" ht="14.25" hidden="1" customHeight="1">
      <c r="C58" s="82" t="s">
        <v>13</v>
      </c>
      <c r="D58" s="82" t="s">
        <v>1064</v>
      </c>
      <c r="E58" s="82" t="s">
        <v>1065</v>
      </c>
      <c r="F58" s="82" t="s">
        <v>13</v>
      </c>
      <c r="G58" s="82">
        <v>80</v>
      </c>
      <c r="H58" s="82" t="s">
        <v>147</v>
      </c>
      <c r="I58" s="82">
        <v>4</v>
      </c>
      <c r="J58" s="82">
        <v>0.4</v>
      </c>
      <c r="K58" s="82">
        <v>1.6</v>
      </c>
      <c r="L58" s="26">
        <f t="shared" si="21"/>
        <v>2</v>
      </c>
      <c r="M58" s="26">
        <f t="shared" si="22"/>
        <v>2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>
        <v>1</v>
      </c>
      <c r="AU58" s="26"/>
      <c r="AV58" s="26"/>
      <c r="AW58" s="26">
        <v>1</v>
      </c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67" t="e">
        <f>SUMIFS([1]Up!$J:$J,[1]Up!$D:$D,D58)</f>
        <v>#VALUE!</v>
      </c>
      <c r="BJ58" s="82"/>
      <c r="BK58" s="82" t="str">
        <f t="shared" si="23"/>
        <v>PL10</v>
      </c>
      <c r="BL58" s="53" t="str">
        <f t="shared" si="24"/>
        <v/>
      </c>
      <c r="BM58" s="53" t="s">
        <v>148</v>
      </c>
      <c r="BN58" s="53" t="s">
        <v>1004</v>
      </c>
      <c r="BO58" s="53" t="s">
        <v>1005</v>
      </c>
      <c r="BP58" s="53" t="s">
        <v>1063</v>
      </c>
      <c r="BQ58" s="53">
        <v>1</v>
      </c>
      <c r="BR58" s="83">
        <v>46088</v>
      </c>
      <c r="BS58" s="53"/>
      <c r="BT58" s="53"/>
    </row>
    <row r="59" spans="3:72" ht="14.25" hidden="1" customHeight="1">
      <c r="C59" s="82" t="s">
        <v>11</v>
      </c>
      <c r="D59" s="82" t="s">
        <v>1066</v>
      </c>
      <c r="E59" s="82" t="s">
        <v>1048</v>
      </c>
      <c r="F59" s="82" t="s">
        <v>1010</v>
      </c>
      <c r="G59" s="82">
        <v>604</v>
      </c>
      <c r="H59" s="82" t="s">
        <v>1049</v>
      </c>
      <c r="I59" s="82">
        <v>4</v>
      </c>
      <c r="J59" s="82">
        <v>99.57544</v>
      </c>
      <c r="K59" s="82">
        <v>398.30176</v>
      </c>
      <c r="L59" s="26">
        <f t="shared" si="21"/>
        <v>2</v>
      </c>
      <c r="M59" s="26">
        <f t="shared" si="22"/>
        <v>2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>
        <v>1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>
        <v>1</v>
      </c>
      <c r="BE59" s="26"/>
      <c r="BF59" s="26"/>
      <c r="BG59" s="26"/>
      <c r="BH59" s="26"/>
      <c r="BI59" s="67" t="e">
        <f>SUMIFS([1]Up!$J:$J,[1]Up!$D:$D,D59)</f>
        <v>#VALUE!</v>
      </c>
      <c r="BJ59" s="82"/>
      <c r="BK59" s="82" t="str">
        <f t="shared" si="23"/>
        <v/>
      </c>
      <c r="BL59" s="53" t="str">
        <f t="shared" si="24"/>
        <v/>
      </c>
      <c r="BM59" s="53" t="s">
        <v>148</v>
      </c>
      <c r="BN59" s="53" t="s">
        <v>1050</v>
      </c>
      <c r="BO59" s="53" t="s">
        <v>1048</v>
      </c>
      <c r="BP59" s="53" t="s">
        <v>1051</v>
      </c>
      <c r="BQ59" s="53">
        <v>1</v>
      </c>
      <c r="BR59" s="83">
        <v>46362</v>
      </c>
      <c r="BS59" s="53"/>
      <c r="BT59" s="53"/>
    </row>
    <row r="60" spans="3:72" ht="14.25" hidden="1" customHeight="1">
      <c r="C60" s="82" t="s">
        <v>14</v>
      </c>
      <c r="D60" s="82" t="s">
        <v>1067</v>
      </c>
      <c r="E60" s="82" t="s">
        <v>1053</v>
      </c>
      <c r="F60" s="82" t="s">
        <v>1016</v>
      </c>
      <c r="G60" s="82"/>
      <c r="H60" s="82" t="s">
        <v>1017</v>
      </c>
      <c r="I60" s="82">
        <v>4</v>
      </c>
      <c r="J60" s="82">
        <v>155</v>
      </c>
      <c r="K60" s="82">
        <v>620</v>
      </c>
      <c r="L60" s="26">
        <f t="shared" si="21"/>
        <v>0</v>
      </c>
      <c r="M60" s="26">
        <f t="shared" si="22"/>
        <v>4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67" t="e">
        <f>SUMIFS([1]Up!$J:$J,[1]Up!$D:$D,D60)</f>
        <v>#VALUE!</v>
      </c>
      <c r="BJ60" s="82"/>
      <c r="BK60" s="82" t="str">
        <f t="shared" si="23"/>
        <v/>
      </c>
      <c r="BL60" s="53" t="str">
        <f t="shared" si="24"/>
        <v/>
      </c>
      <c r="BM60" s="53" t="s">
        <v>976</v>
      </c>
      <c r="BN60" s="53"/>
      <c r="BO60" s="53"/>
      <c r="BP60" s="53"/>
      <c r="BQ60" s="53"/>
      <c r="BR60" s="83"/>
      <c r="BS60" s="53"/>
      <c r="BT60" s="53"/>
    </row>
    <row r="61" spans="3:72" ht="14.25" hidden="1" customHeight="1">
      <c r="C61" s="82" t="s">
        <v>14</v>
      </c>
      <c r="D61" s="82" t="s">
        <v>1068</v>
      </c>
      <c r="E61" s="82" t="s">
        <v>140</v>
      </c>
      <c r="F61" s="82" t="s">
        <v>1055</v>
      </c>
      <c r="G61" s="82"/>
      <c r="H61" s="82"/>
      <c r="I61" s="82">
        <v>4</v>
      </c>
      <c r="J61" s="82">
        <v>0.1</v>
      </c>
      <c r="K61" s="82">
        <v>0.4</v>
      </c>
      <c r="L61" s="26">
        <f t="shared" si="21"/>
        <v>2</v>
      </c>
      <c r="M61" s="26">
        <f t="shared" si="22"/>
        <v>2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>
        <v>2</v>
      </c>
      <c r="BG61" s="26"/>
      <c r="BH61" s="26"/>
      <c r="BI61" s="67" t="e">
        <f>SUMIFS([1]Up!$J:$J,[1]Up!$D:$D,D61)</f>
        <v>#VALUE!</v>
      </c>
      <c r="BJ61" s="82"/>
      <c r="BK61" s="82" t="str">
        <f t="shared" si="23"/>
        <v/>
      </c>
      <c r="BL61" s="53" t="str">
        <f t="shared" si="24"/>
        <v/>
      </c>
      <c r="BM61" s="53" t="s">
        <v>976</v>
      </c>
      <c r="BN61" s="53"/>
      <c r="BO61" s="53"/>
      <c r="BP61" s="53"/>
      <c r="BQ61" s="53"/>
      <c r="BR61" s="83"/>
      <c r="BS61" s="53"/>
      <c r="BT61" s="53"/>
    </row>
    <row r="62" spans="3:72" ht="14.25" hidden="1" customHeight="1">
      <c r="C62" s="82" t="s">
        <v>13</v>
      </c>
      <c r="D62" s="82" t="s">
        <v>1069</v>
      </c>
      <c r="E62" s="82" t="s">
        <v>1070</v>
      </c>
      <c r="F62" s="82" t="s">
        <v>13</v>
      </c>
      <c r="G62" s="82">
        <v>376</v>
      </c>
      <c r="H62" s="82" t="s">
        <v>147</v>
      </c>
      <c r="I62" s="82">
        <v>4</v>
      </c>
      <c r="J62" s="82">
        <v>2.4</v>
      </c>
      <c r="K62" s="82">
        <v>9.6</v>
      </c>
      <c r="L62" s="26">
        <f t="shared" si="21"/>
        <v>1</v>
      </c>
      <c r="M62" s="26">
        <f t="shared" si="22"/>
        <v>3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>
        <v>1</v>
      </c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67" t="e">
        <f>SUMIFS([1]Up!$J:$J,[1]Up!$D:$D,D62)</f>
        <v>#VALUE!</v>
      </c>
      <c r="BJ62" s="82"/>
      <c r="BK62" s="82" t="str">
        <f t="shared" si="23"/>
        <v>PL8</v>
      </c>
      <c r="BL62" s="53" t="str">
        <f t="shared" si="24"/>
        <v/>
      </c>
      <c r="BM62" s="53" t="s">
        <v>154</v>
      </c>
      <c r="BN62" s="53" t="s">
        <v>1011</v>
      </c>
      <c r="BO62" s="53" t="s">
        <v>1012</v>
      </c>
      <c r="BP62" s="53" t="s">
        <v>1013</v>
      </c>
      <c r="BQ62" s="53">
        <v>1</v>
      </c>
      <c r="BR62" s="83">
        <v>46088</v>
      </c>
      <c r="BS62" s="53"/>
      <c r="BT62" s="53"/>
    </row>
    <row r="63" spans="3:72" ht="14.25" hidden="1" customHeight="1">
      <c r="C63" s="82" t="s">
        <v>13</v>
      </c>
      <c r="D63" s="82" t="s">
        <v>1071</v>
      </c>
      <c r="E63" s="82" t="s">
        <v>1072</v>
      </c>
      <c r="F63" s="82" t="s">
        <v>1073</v>
      </c>
      <c r="G63" s="82">
        <v>80</v>
      </c>
      <c r="H63" s="82" t="s">
        <v>147</v>
      </c>
      <c r="I63" s="82">
        <v>4</v>
      </c>
      <c r="J63" s="82">
        <v>0.2</v>
      </c>
      <c r="K63" s="82">
        <v>0.8</v>
      </c>
      <c r="L63" s="26">
        <f t="shared" si="21"/>
        <v>4</v>
      </c>
      <c r="M63" s="26">
        <f t="shared" si="22"/>
        <v>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>
        <v>10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67" t="e">
        <f>SUMIFS([1]Up!$J:$J,[1]Up!$D:$D,D63)</f>
        <v>#VALUE!</v>
      </c>
      <c r="BJ63" s="82"/>
      <c r="BK63" s="82" t="str">
        <f t="shared" si="23"/>
        <v>PL5</v>
      </c>
      <c r="BL63" s="53" t="str">
        <f t="shared" si="24"/>
        <v>Thừa 6</v>
      </c>
      <c r="BM63" s="53" t="s">
        <v>148</v>
      </c>
      <c r="BN63" s="53" t="s">
        <v>955</v>
      </c>
      <c r="BO63" s="53" t="s">
        <v>956</v>
      </c>
      <c r="BP63" s="53" t="s">
        <v>957</v>
      </c>
      <c r="BQ63" s="53">
        <v>1</v>
      </c>
      <c r="BR63" s="83" t="s">
        <v>2222</v>
      </c>
      <c r="BS63" s="53"/>
      <c r="BT63" s="53"/>
    </row>
    <row r="64" spans="3:72" ht="14.25" hidden="1" customHeight="1">
      <c r="C64" s="82" t="s">
        <v>11</v>
      </c>
      <c r="D64" s="82" t="s">
        <v>1074</v>
      </c>
      <c r="E64" s="82" t="s">
        <v>1075</v>
      </c>
      <c r="F64" s="82" t="s">
        <v>1076</v>
      </c>
      <c r="G64" s="82">
        <v>812</v>
      </c>
      <c r="H64" s="82" t="s">
        <v>1077</v>
      </c>
      <c r="I64" s="82">
        <v>5</v>
      </c>
      <c r="J64" s="82">
        <v>13.05696</v>
      </c>
      <c r="K64" s="82">
        <v>65.284800000000004</v>
      </c>
      <c r="L64" s="26">
        <f t="shared" si="21"/>
        <v>0</v>
      </c>
      <c r="M64" s="26">
        <f t="shared" si="22"/>
        <v>5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67" t="e">
        <f>SUMIFS([1]Up!$J:$J,[1]Up!$D:$D,D64)</f>
        <v>#VALUE!</v>
      </c>
      <c r="BJ64" s="82"/>
      <c r="BK64" s="82" t="str">
        <f t="shared" si="23"/>
        <v/>
      </c>
      <c r="BL64" s="53" t="str">
        <f t="shared" si="24"/>
        <v/>
      </c>
      <c r="BM64" s="53" t="s">
        <v>148</v>
      </c>
      <c r="BN64" s="53" t="s">
        <v>1078</v>
      </c>
      <c r="BO64" s="53" t="s">
        <v>1075</v>
      </c>
      <c r="BP64" s="53" t="s">
        <v>2104</v>
      </c>
      <c r="BQ64" s="53">
        <v>5</v>
      </c>
      <c r="BR64" s="83">
        <v>46120</v>
      </c>
      <c r="BS64" s="53"/>
      <c r="BT64" s="53"/>
    </row>
    <row r="65" spans="3:72" ht="14.25" hidden="1" customHeight="1">
      <c r="C65" s="82" t="s">
        <v>11</v>
      </c>
      <c r="D65" s="82" t="s">
        <v>1079</v>
      </c>
      <c r="E65" s="82" t="s">
        <v>1080</v>
      </c>
      <c r="F65" s="82" t="s">
        <v>1076</v>
      </c>
      <c r="G65" s="82">
        <v>737</v>
      </c>
      <c r="H65" s="82" t="s">
        <v>1077</v>
      </c>
      <c r="I65" s="82">
        <v>1</v>
      </c>
      <c r="J65" s="82">
        <v>2.1</v>
      </c>
      <c r="K65" s="82">
        <v>2.1</v>
      </c>
      <c r="L65" s="26">
        <f t="shared" si="21"/>
        <v>0</v>
      </c>
      <c r="M65" s="26">
        <f t="shared" si="22"/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67" t="e">
        <f>SUMIFS([1]Up!$J:$J,[1]Up!$D:$D,D65)</f>
        <v>#VALUE!</v>
      </c>
      <c r="BJ65" s="82"/>
      <c r="BK65" s="82" t="str">
        <f t="shared" si="23"/>
        <v/>
      </c>
      <c r="BL65" s="53" t="str">
        <f t="shared" si="24"/>
        <v/>
      </c>
      <c r="BM65" s="53" t="s">
        <v>154</v>
      </c>
      <c r="BN65" s="53" t="s">
        <v>1081</v>
      </c>
      <c r="BO65" s="53" t="s">
        <v>1080</v>
      </c>
      <c r="BP65" s="53" t="s">
        <v>2105</v>
      </c>
      <c r="BQ65" s="53">
        <v>1</v>
      </c>
      <c r="BR65" s="83">
        <v>46120</v>
      </c>
      <c r="BS65" s="53"/>
      <c r="BT65" s="53"/>
    </row>
    <row r="66" spans="3:72" ht="14.25" hidden="1" customHeight="1">
      <c r="C66" s="82" t="s">
        <v>13</v>
      </c>
      <c r="D66" s="82" t="s">
        <v>1082</v>
      </c>
      <c r="E66" s="82" t="s">
        <v>1083</v>
      </c>
      <c r="F66" s="82" t="s">
        <v>1084</v>
      </c>
      <c r="G66" s="82">
        <v>11306</v>
      </c>
      <c r="H66" s="82" t="s">
        <v>147</v>
      </c>
      <c r="I66" s="82">
        <v>1</v>
      </c>
      <c r="J66" s="82">
        <v>1397.9</v>
      </c>
      <c r="K66" s="82">
        <v>1397.9</v>
      </c>
      <c r="L66" s="26">
        <f t="shared" si="21"/>
        <v>0</v>
      </c>
      <c r="M66" s="26">
        <f t="shared" si="22"/>
        <v>1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67" t="e">
        <f>SUMIFS([1]Up!$J:$J,[1]Up!$D:$D,D66)</f>
        <v>#VALUE!</v>
      </c>
      <c r="BJ66" s="82"/>
      <c r="BK66" s="82" t="str">
        <f t="shared" si="23"/>
        <v>PL12</v>
      </c>
      <c r="BL66" s="53" t="str">
        <f t="shared" si="24"/>
        <v/>
      </c>
      <c r="BM66" s="53" t="s">
        <v>154</v>
      </c>
      <c r="BN66" s="53" t="s">
        <v>1020</v>
      </c>
      <c r="BO66" s="53" t="s">
        <v>1021</v>
      </c>
      <c r="BP66" s="53" t="s">
        <v>57</v>
      </c>
      <c r="BQ66" s="53">
        <v>1</v>
      </c>
      <c r="BR66" s="83"/>
      <c r="BS66" s="53"/>
      <c r="BT66" s="53"/>
    </row>
    <row r="67" spans="3:72" ht="14.25" hidden="1" customHeight="1">
      <c r="C67" s="82" t="s">
        <v>13</v>
      </c>
      <c r="D67" s="82" t="s">
        <v>1085</v>
      </c>
      <c r="E67" s="82" t="s">
        <v>1086</v>
      </c>
      <c r="F67" s="82" t="s">
        <v>13</v>
      </c>
      <c r="G67" s="82">
        <v>341</v>
      </c>
      <c r="H67" s="82" t="s">
        <v>147</v>
      </c>
      <c r="I67" s="82">
        <v>2</v>
      </c>
      <c r="J67" s="82">
        <v>4.8</v>
      </c>
      <c r="K67" s="82">
        <v>9.6</v>
      </c>
      <c r="L67" s="26">
        <f t="shared" si="21"/>
        <v>0</v>
      </c>
      <c r="M67" s="26">
        <f t="shared" si="22"/>
        <v>2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67" t="e">
        <f>SUMIFS([1]Up!$J:$J,[1]Up!$D:$D,D67)</f>
        <v>#VALUE!</v>
      </c>
      <c r="BJ67" s="82"/>
      <c r="BK67" s="82" t="str">
        <f t="shared" si="23"/>
        <v>PL10</v>
      </c>
      <c r="BL67" s="53" t="str">
        <f t="shared" si="24"/>
        <v/>
      </c>
      <c r="BM67" s="53" t="s">
        <v>148</v>
      </c>
      <c r="BN67" s="53" t="s">
        <v>1004</v>
      </c>
      <c r="BO67" s="53" t="s">
        <v>1005</v>
      </c>
      <c r="BP67" s="53"/>
      <c r="BQ67" s="53"/>
      <c r="BR67" s="83"/>
      <c r="BS67" s="53"/>
      <c r="BT67" s="53"/>
    </row>
    <row r="68" spans="3:72" ht="14.25" hidden="1" customHeight="1">
      <c r="C68" s="82" t="s">
        <v>13</v>
      </c>
      <c r="D68" s="82" t="s">
        <v>1087</v>
      </c>
      <c r="E68" s="82" t="s">
        <v>1088</v>
      </c>
      <c r="F68" s="82" t="s">
        <v>13</v>
      </c>
      <c r="G68" s="82">
        <v>667</v>
      </c>
      <c r="H68" s="82" t="s">
        <v>147</v>
      </c>
      <c r="I68" s="82">
        <v>10</v>
      </c>
      <c r="J68" s="82">
        <v>9.1999999999999993</v>
      </c>
      <c r="K68" s="82">
        <v>92</v>
      </c>
      <c r="L68" s="26">
        <f t="shared" si="21"/>
        <v>0</v>
      </c>
      <c r="M68" s="26">
        <f t="shared" si="22"/>
        <v>10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67" t="e">
        <f>SUMIFS([1]Up!$J:$J,[1]Up!$D:$D,D68)</f>
        <v>#VALUE!</v>
      </c>
      <c r="BJ68" s="82"/>
      <c r="BK68" s="82" t="str">
        <f t="shared" si="23"/>
        <v>PL12</v>
      </c>
      <c r="BL68" s="53" t="str">
        <f t="shared" si="24"/>
        <v/>
      </c>
      <c r="BM68" s="53" t="s">
        <v>148</v>
      </c>
      <c r="BN68" s="53" t="s">
        <v>1020</v>
      </c>
      <c r="BO68" s="53" t="s">
        <v>1021</v>
      </c>
      <c r="BP68" s="53" t="s">
        <v>2099</v>
      </c>
      <c r="BQ68" s="53">
        <v>10</v>
      </c>
      <c r="BR68" s="83">
        <v>46303</v>
      </c>
      <c r="BS68" s="53"/>
      <c r="BT68" s="53"/>
    </row>
    <row r="69" spans="3:72" ht="14.25" hidden="1" customHeight="1">
      <c r="C69" s="82" t="s">
        <v>13</v>
      </c>
      <c r="D69" s="82" t="s">
        <v>1089</v>
      </c>
      <c r="E69" s="82" t="s">
        <v>1090</v>
      </c>
      <c r="F69" s="82" t="s">
        <v>13</v>
      </c>
      <c r="G69" s="82">
        <v>426</v>
      </c>
      <c r="H69" s="82" t="s">
        <v>147</v>
      </c>
      <c r="I69" s="82">
        <v>10</v>
      </c>
      <c r="J69" s="82">
        <v>5</v>
      </c>
      <c r="K69" s="82">
        <v>50</v>
      </c>
      <c r="L69" s="26">
        <f t="shared" si="21"/>
        <v>10</v>
      </c>
      <c r="M69" s="26">
        <f t="shared" si="22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>
        <v>10</v>
      </c>
      <c r="BC69" s="26"/>
      <c r="BD69" s="26"/>
      <c r="BE69" s="26"/>
      <c r="BF69" s="26"/>
      <c r="BG69" s="26"/>
      <c r="BH69" s="26"/>
      <c r="BI69" s="67" t="e">
        <f>SUMIFS([1]Up!$J:$J,[1]Up!$D:$D,D69)</f>
        <v>#VALUE!</v>
      </c>
      <c r="BJ69" s="82"/>
      <c r="BK69" s="82" t="str">
        <f t="shared" si="23"/>
        <v>PL16</v>
      </c>
      <c r="BL69" s="53" t="str">
        <f t="shared" si="24"/>
        <v/>
      </c>
      <c r="BM69" s="53" t="s">
        <v>148</v>
      </c>
      <c r="BN69" s="53" t="s">
        <v>987</v>
      </c>
      <c r="BO69" s="53" t="s">
        <v>988</v>
      </c>
      <c r="BP69" s="53" t="s">
        <v>2103</v>
      </c>
      <c r="BQ69" s="53">
        <v>10</v>
      </c>
      <c r="BR69" s="83">
        <v>46120</v>
      </c>
      <c r="BS69" s="53"/>
      <c r="BT69" s="53"/>
    </row>
    <row r="70" spans="3:72" ht="14.25" hidden="1" customHeight="1">
      <c r="C70" s="82" t="s">
        <v>13</v>
      </c>
      <c r="D70" s="82" t="s">
        <v>1091</v>
      </c>
      <c r="E70" s="82" t="s">
        <v>1092</v>
      </c>
      <c r="F70" s="82" t="s">
        <v>13</v>
      </c>
      <c r="G70" s="82">
        <v>10728</v>
      </c>
      <c r="H70" s="82" t="s">
        <v>147</v>
      </c>
      <c r="I70" s="82">
        <v>2</v>
      </c>
      <c r="J70" s="82">
        <v>442.1</v>
      </c>
      <c r="K70" s="82">
        <v>884.2</v>
      </c>
      <c r="L70" s="26">
        <f t="shared" si="21"/>
        <v>0</v>
      </c>
      <c r="M70" s="26">
        <f t="shared" si="22"/>
        <v>2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67" t="e">
        <f>SUMIFS([1]Up!$J:$J,[1]Up!$D:$D,D70)</f>
        <v>#VALUE!</v>
      </c>
      <c r="BJ70" s="82"/>
      <c r="BK70" s="82" t="str">
        <f t="shared" si="23"/>
        <v>PL15</v>
      </c>
      <c r="BL70" s="53" t="str">
        <f t="shared" si="24"/>
        <v/>
      </c>
      <c r="BM70" s="53" t="s">
        <v>148</v>
      </c>
      <c r="BN70" s="53" t="s">
        <v>1093</v>
      </c>
      <c r="BO70" s="53" t="s">
        <v>1094</v>
      </c>
      <c r="BP70" s="53" t="s">
        <v>2100</v>
      </c>
      <c r="BQ70" s="53">
        <v>2</v>
      </c>
      <c r="BR70" s="83">
        <v>46120</v>
      </c>
      <c r="BS70" s="53"/>
      <c r="BT70" s="53"/>
    </row>
    <row r="71" spans="3:72" ht="14.25" hidden="1" customHeight="1">
      <c r="C71" s="82" t="s">
        <v>13</v>
      </c>
      <c r="D71" s="82" t="s">
        <v>1095</v>
      </c>
      <c r="E71" s="82" t="s">
        <v>1096</v>
      </c>
      <c r="F71" s="82" t="s">
        <v>13</v>
      </c>
      <c r="G71" s="82">
        <v>2107</v>
      </c>
      <c r="H71" s="82" t="s">
        <v>147</v>
      </c>
      <c r="I71" s="82">
        <v>1</v>
      </c>
      <c r="J71" s="82">
        <v>29.8</v>
      </c>
      <c r="K71" s="82">
        <v>29.8</v>
      </c>
      <c r="L71" s="26">
        <f t="shared" si="21"/>
        <v>0</v>
      </c>
      <c r="M71" s="26">
        <f t="shared" si="22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67" t="e">
        <f>SUMIFS([1]Up!$J:$J,[1]Up!$D:$D,D71)</f>
        <v>#VALUE!</v>
      </c>
      <c r="BJ71" s="82"/>
      <c r="BK71" s="82" t="str">
        <f t="shared" si="23"/>
        <v>PL10</v>
      </c>
      <c r="BL71" s="53" t="str">
        <f t="shared" si="24"/>
        <v/>
      </c>
      <c r="BM71" s="53" t="s">
        <v>154</v>
      </c>
      <c r="BN71" s="53" t="s">
        <v>1004</v>
      </c>
      <c r="BO71" s="53" t="s">
        <v>1005</v>
      </c>
      <c r="BP71" s="53"/>
      <c r="BQ71" s="53"/>
      <c r="BR71" s="83"/>
      <c r="BS71" s="53"/>
      <c r="BT71" s="53"/>
    </row>
    <row r="72" spans="3:72" ht="14.25" hidden="1" customHeight="1">
      <c r="C72" s="82" t="s">
        <v>13</v>
      </c>
      <c r="D72" s="82" t="s">
        <v>1097</v>
      </c>
      <c r="E72" s="82" t="s">
        <v>1098</v>
      </c>
      <c r="F72" s="82" t="s">
        <v>13</v>
      </c>
      <c r="G72" s="82">
        <v>2098</v>
      </c>
      <c r="H72" s="82" t="s">
        <v>147</v>
      </c>
      <c r="I72" s="82">
        <v>1</v>
      </c>
      <c r="J72" s="82">
        <v>77.7</v>
      </c>
      <c r="K72" s="82">
        <v>77.7</v>
      </c>
      <c r="L72" s="26">
        <f t="shared" si="21"/>
        <v>0</v>
      </c>
      <c r="M72" s="26">
        <f t="shared" si="22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67" t="e">
        <f>SUMIFS([1]Up!$J:$J,[1]Up!$D:$D,D72)</f>
        <v>#VALUE!</v>
      </c>
      <c r="BJ72" s="82"/>
      <c r="BK72" s="82" t="str">
        <f t="shared" si="23"/>
        <v>PL20</v>
      </c>
      <c r="BL72" s="53" t="str">
        <f t="shared" si="24"/>
        <v/>
      </c>
      <c r="BM72" s="53" t="s">
        <v>148</v>
      </c>
      <c r="BN72" s="53" t="s">
        <v>1099</v>
      </c>
      <c r="BO72" s="53" t="s">
        <v>1100</v>
      </c>
      <c r="BP72" s="53" t="s">
        <v>2101</v>
      </c>
      <c r="BQ72" s="53">
        <v>1</v>
      </c>
      <c r="BR72" s="83">
        <v>46303</v>
      </c>
      <c r="BS72" s="53"/>
      <c r="BT72" s="53"/>
    </row>
    <row r="73" spans="3:72" ht="14.25" hidden="1" customHeight="1">
      <c r="C73" s="82" t="s">
        <v>13</v>
      </c>
      <c r="D73" s="82" t="s">
        <v>1101</v>
      </c>
      <c r="E73" s="82" t="s">
        <v>1030</v>
      </c>
      <c r="F73" s="82" t="s">
        <v>13</v>
      </c>
      <c r="G73" s="82">
        <v>301</v>
      </c>
      <c r="H73" s="82" t="s">
        <v>147</v>
      </c>
      <c r="I73" s="82">
        <v>4</v>
      </c>
      <c r="J73" s="82">
        <v>3.3</v>
      </c>
      <c r="K73" s="82">
        <v>13.2</v>
      </c>
      <c r="L73" s="26">
        <f t="shared" si="21"/>
        <v>0</v>
      </c>
      <c r="M73" s="26">
        <f t="shared" si="22"/>
        <v>4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67" t="e">
        <f>SUMIFS([1]Up!$J:$J,[1]Up!$D:$D,D73)</f>
        <v>#VALUE!</v>
      </c>
      <c r="BJ73" s="82"/>
      <c r="BK73" s="82" t="str">
        <f t="shared" si="23"/>
        <v>PL12</v>
      </c>
      <c r="BL73" s="53" t="str">
        <f t="shared" si="24"/>
        <v/>
      </c>
      <c r="BM73" s="53" t="s">
        <v>148</v>
      </c>
      <c r="BN73" s="53" t="s">
        <v>1020</v>
      </c>
      <c r="BO73" s="53" t="s">
        <v>1021</v>
      </c>
      <c r="BP73" s="53" t="s">
        <v>2099</v>
      </c>
      <c r="BQ73" s="53">
        <v>4</v>
      </c>
      <c r="BR73" s="83">
        <v>46303</v>
      </c>
      <c r="BS73" s="53"/>
      <c r="BT73" s="53"/>
    </row>
    <row r="74" spans="3:72" ht="14.25" hidden="1" customHeight="1">
      <c r="C74" s="82" t="s">
        <v>13</v>
      </c>
      <c r="D74" s="82" t="s">
        <v>1102</v>
      </c>
      <c r="E74" s="82" t="s">
        <v>1030</v>
      </c>
      <c r="F74" s="82" t="s">
        <v>13</v>
      </c>
      <c r="G74" s="82">
        <v>223</v>
      </c>
      <c r="H74" s="82" t="s">
        <v>147</v>
      </c>
      <c r="I74" s="82">
        <v>2</v>
      </c>
      <c r="J74" s="82">
        <v>1.7</v>
      </c>
      <c r="K74" s="82">
        <v>3.4</v>
      </c>
      <c r="L74" s="26">
        <f t="shared" si="21"/>
        <v>0</v>
      </c>
      <c r="M74" s="26">
        <f t="shared" si="22"/>
        <v>2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67" t="e">
        <f>SUMIFS([1]Up!$J:$J,[1]Up!$D:$D,D74)</f>
        <v>#VALUE!</v>
      </c>
      <c r="BJ74" s="82"/>
      <c r="BK74" s="82" t="str">
        <f t="shared" si="23"/>
        <v>PL12</v>
      </c>
      <c r="BL74" s="53" t="str">
        <f t="shared" si="24"/>
        <v/>
      </c>
      <c r="BM74" s="53" t="s">
        <v>148</v>
      </c>
      <c r="BN74" s="53" t="s">
        <v>1020</v>
      </c>
      <c r="BO74" s="53" t="s">
        <v>1021</v>
      </c>
      <c r="BP74" s="53" t="s">
        <v>2099</v>
      </c>
      <c r="BQ74" s="53">
        <v>2</v>
      </c>
      <c r="BR74" s="83">
        <v>46303</v>
      </c>
      <c r="BS74" s="53"/>
      <c r="BT74" s="53"/>
    </row>
    <row r="75" spans="3:72" ht="14.25" hidden="1" customHeight="1">
      <c r="C75" s="82" t="s">
        <v>13</v>
      </c>
      <c r="D75" s="82" t="s">
        <v>1103</v>
      </c>
      <c r="E75" s="82" t="s">
        <v>1104</v>
      </c>
      <c r="F75" s="82" t="s">
        <v>13</v>
      </c>
      <c r="G75" s="82">
        <v>1100</v>
      </c>
      <c r="H75" s="82" t="s">
        <v>147</v>
      </c>
      <c r="I75" s="82">
        <v>1</v>
      </c>
      <c r="J75" s="82">
        <v>34.5</v>
      </c>
      <c r="K75" s="82">
        <v>34.5</v>
      </c>
      <c r="L75" s="26">
        <f t="shared" si="21"/>
        <v>0</v>
      </c>
      <c r="M75" s="26">
        <f t="shared" si="22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67" t="e">
        <f>SUMIFS([1]Up!$J:$J,[1]Up!$D:$D,D75)</f>
        <v>#VALUE!</v>
      </c>
      <c r="BJ75" s="82"/>
      <c r="BK75" s="82" t="str">
        <f t="shared" si="23"/>
        <v>PL20</v>
      </c>
      <c r="BL75" s="53" t="str">
        <f t="shared" si="24"/>
        <v/>
      </c>
      <c r="BM75" s="53" t="s">
        <v>148</v>
      </c>
      <c r="BN75" s="53" t="s">
        <v>1099</v>
      </c>
      <c r="BO75" s="53" t="s">
        <v>1100</v>
      </c>
      <c r="BP75" s="53" t="s">
        <v>2101</v>
      </c>
      <c r="BQ75" s="53">
        <v>1</v>
      </c>
      <c r="BR75" s="83">
        <v>46303</v>
      </c>
      <c r="BS75" s="53"/>
      <c r="BT75" s="53"/>
    </row>
    <row r="76" spans="3:72" ht="14.25" hidden="1" customHeight="1">
      <c r="C76" s="82" t="s">
        <v>13</v>
      </c>
      <c r="D76" s="82" t="s">
        <v>1105</v>
      </c>
      <c r="E76" s="82" t="s">
        <v>1106</v>
      </c>
      <c r="F76" s="82" t="s">
        <v>13</v>
      </c>
      <c r="G76" s="82">
        <v>190</v>
      </c>
      <c r="H76" s="82" t="s">
        <v>652</v>
      </c>
      <c r="I76" s="82">
        <v>2</v>
      </c>
      <c r="J76" s="82">
        <v>1.3</v>
      </c>
      <c r="K76" s="82">
        <v>2.6</v>
      </c>
      <c r="L76" s="26">
        <f t="shared" si="21"/>
        <v>0</v>
      </c>
      <c r="M76" s="26">
        <f t="shared" si="22"/>
        <v>2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67" t="e">
        <f>SUMIFS([1]Up!$J:$J,[1]Up!$D:$D,D76)</f>
        <v>#VALUE!</v>
      </c>
      <c r="BJ76" s="82"/>
      <c r="BK76" s="82" t="str">
        <f t="shared" si="23"/>
        <v>PL5</v>
      </c>
      <c r="BL76" s="53" t="str">
        <f t="shared" si="24"/>
        <v/>
      </c>
      <c r="BM76" s="53" t="s">
        <v>148</v>
      </c>
      <c r="BN76" s="53" t="s">
        <v>1107</v>
      </c>
      <c r="BO76" s="53" t="s">
        <v>956</v>
      </c>
      <c r="BP76" s="53" t="s">
        <v>2102</v>
      </c>
      <c r="BQ76" s="53">
        <v>2</v>
      </c>
      <c r="BR76" s="83">
        <v>46120</v>
      </c>
      <c r="BS76" s="53"/>
      <c r="BT76" s="53"/>
    </row>
    <row r="77" spans="3:72" ht="14.25" hidden="1" customHeight="1">
      <c r="C77" s="82" t="s">
        <v>13</v>
      </c>
      <c r="D77" s="82" t="s">
        <v>1108</v>
      </c>
      <c r="E77" s="82" t="s">
        <v>1109</v>
      </c>
      <c r="F77" s="82" t="s">
        <v>13</v>
      </c>
      <c r="G77" s="82">
        <v>852</v>
      </c>
      <c r="H77" s="82" t="s">
        <v>147</v>
      </c>
      <c r="I77" s="82">
        <v>2</v>
      </c>
      <c r="J77" s="82">
        <v>8.5</v>
      </c>
      <c r="K77" s="82">
        <v>17</v>
      </c>
      <c r="L77" s="26">
        <f t="shared" si="21"/>
        <v>0</v>
      </c>
      <c r="M77" s="26">
        <f t="shared" si="22"/>
        <v>2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67" t="e">
        <f>SUMIFS([1]Up!$J:$J,[1]Up!$D:$D,D77)</f>
        <v>#VALUE!</v>
      </c>
      <c r="BJ77" s="82"/>
      <c r="BK77" s="82" t="str">
        <f t="shared" si="23"/>
        <v>PL10</v>
      </c>
      <c r="BL77" s="53" t="str">
        <f t="shared" si="24"/>
        <v/>
      </c>
      <c r="BM77" s="53" t="s">
        <v>148</v>
      </c>
      <c r="BN77" s="53" t="s">
        <v>1004</v>
      </c>
      <c r="BO77" s="53" t="s">
        <v>1005</v>
      </c>
      <c r="BP77" s="53"/>
      <c r="BQ77" s="53"/>
      <c r="BR77" s="83"/>
      <c r="BS77" s="53"/>
      <c r="BT77" s="53"/>
    </row>
    <row r="78" spans="3:72" ht="14.25" hidden="1" customHeight="1">
      <c r="C78" s="82" t="s">
        <v>13</v>
      </c>
      <c r="D78" s="82" t="s">
        <v>1110</v>
      </c>
      <c r="E78" s="82" t="s">
        <v>1083</v>
      </c>
      <c r="F78" s="82" t="s">
        <v>1084</v>
      </c>
      <c r="G78" s="82">
        <v>11306</v>
      </c>
      <c r="H78" s="82" t="s">
        <v>147</v>
      </c>
      <c r="I78" s="82">
        <v>1</v>
      </c>
      <c r="J78" s="82">
        <v>2268.5</v>
      </c>
      <c r="K78" s="82">
        <v>2268.5</v>
      </c>
      <c r="L78" s="26">
        <f t="shared" si="21"/>
        <v>0</v>
      </c>
      <c r="M78" s="26">
        <f t="shared" si="22"/>
        <v>1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67" t="e">
        <f>SUMIFS([1]Up!$J:$J,[1]Up!$D:$D,D78)</f>
        <v>#VALUE!</v>
      </c>
      <c r="BJ78" s="82"/>
      <c r="BK78" s="82" t="str">
        <f t="shared" si="23"/>
        <v>PL12</v>
      </c>
      <c r="BL78" s="53" t="str">
        <f t="shared" si="24"/>
        <v/>
      </c>
      <c r="BM78" s="53" t="s">
        <v>154</v>
      </c>
      <c r="BN78" s="53" t="s">
        <v>1020</v>
      </c>
      <c r="BO78" s="53" t="s">
        <v>1021</v>
      </c>
      <c r="BP78" s="53" t="s">
        <v>57</v>
      </c>
      <c r="BQ78" s="53">
        <v>1</v>
      </c>
      <c r="BR78" s="83"/>
      <c r="BS78" s="53"/>
      <c r="BT78" s="53"/>
    </row>
    <row r="79" spans="3:72" ht="14.25" hidden="1" customHeight="1">
      <c r="C79" s="82" t="s">
        <v>13</v>
      </c>
      <c r="D79" s="82" t="s">
        <v>1111</v>
      </c>
      <c r="E79" s="82" t="s">
        <v>1096</v>
      </c>
      <c r="F79" s="82" t="s">
        <v>13</v>
      </c>
      <c r="G79" s="82">
        <v>481</v>
      </c>
      <c r="H79" s="82" t="s">
        <v>147</v>
      </c>
      <c r="I79" s="82">
        <v>1</v>
      </c>
      <c r="J79" s="82">
        <v>6.8</v>
      </c>
      <c r="K79" s="82">
        <v>6.8</v>
      </c>
      <c r="L79" s="26">
        <f t="shared" si="21"/>
        <v>0</v>
      </c>
      <c r="M79" s="26">
        <f t="shared" si="22"/>
        <v>1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67" t="e">
        <f>SUMIFS([1]Up!$J:$J,[1]Up!$D:$D,D79)</f>
        <v>#VALUE!</v>
      </c>
      <c r="BJ79" s="82"/>
      <c r="BK79" s="82" t="str">
        <f t="shared" si="23"/>
        <v>PL10</v>
      </c>
      <c r="BL79" s="53" t="str">
        <f t="shared" si="24"/>
        <v/>
      </c>
      <c r="BM79" s="53" t="s">
        <v>154</v>
      </c>
      <c r="BN79" s="53" t="s">
        <v>1004</v>
      </c>
      <c r="BO79" s="53" t="s">
        <v>1005</v>
      </c>
      <c r="BP79" s="53"/>
      <c r="BQ79" s="53"/>
      <c r="BR79" s="83"/>
      <c r="BS79" s="53"/>
      <c r="BT79" s="53"/>
    </row>
    <row r="80" spans="3:72" ht="14.25" hidden="1" customHeight="1">
      <c r="C80" s="82" t="s">
        <v>13</v>
      </c>
      <c r="D80" s="82" t="s">
        <v>1112</v>
      </c>
      <c r="E80" s="82" t="s">
        <v>1113</v>
      </c>
      <c r="F80" s="82" t="s">
        <v>13</v>
      </c>
      <c r="G80" s="82">
        <v>2097</v>
      </c>
      <c r="H80" s="82" t="s">
        <v>147</v>
      </c>
      <c r="I80" s="82">
        <v>1</v>
      </c>
      <c r="J80" s="82">
        <v>41.1</v>
      </c>
      <c r="K80" s="82">
        <v>41.1</v>
      </c>
      <c r="L80" s="26">
        <f t="shared" si="21"/>
        <v>1</v>
      </c>
      <c r="M80" s="26">
        <f t="shared" si="22"/>
        <v>0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>
        <v>1</v>
      </c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67" t="e">
        <f>SUMIFS([1]Up!$J:$J,[1]Up!$D:$D,D80)</f>
        <v>#VALUE!</v>
      </c>
      <c r="BJ80" s="82"/>
      <c r="BK80" s="82" t="str">
        <f t="shared" si="23"/>
        <v>PL20</v>
      </c>
      <c r="BL80" s="53" t="str">
        <f t="shared" si="24"/>
        <v/>
      </c>
      <c r="BM80" s="53" t="s">
        <v>148</v>
      </c>
      <c r="BN80" s="53" t="s">
        <v>1099</v>
      </c>
      <c r="BO80" s="53" t="s">
        <v>1100</v>
      </c>
      <c r="BP80" s="53" t="s">
        <v>2101</v>
      </c>
      <c r="BQ80" s="53">
        <v>1</v>
      </c>
      <c r="BR80" s="83">
        <v>46303</v>
      </c>
      <c r="BS80" s="53"/>
      <c r="BT80" s="53"/>
    </row>
    <row r="81" spans="3:72" ht="14.25" hidden="1" customHeight="1">
      <c r="C81" s="82" t="s">
        <v>13</v>
      </c>
      <c r="D81" s="82" t="s">
        <v>1114</v>
      </c>
      <c r="E81" s="82" t="s">
        <v>1115</v>
      </c>
      <c r="F81" s="82" t="s">
        <v>13</v>
      </c>
      <c r="G81" s="82">
        <v>2138</v>
      </c>
      <c r="H81" s="82" t="s">
        <v>147</v>
      </c>
      <c r="I81" s="82">
        <v>5</v>
      </c>
      <c r="J81" s="82">
        <v>31.8</v>
      </c>
      <c r="K81" s="82">
        <v>159</v>
      </c>
      <c r="L81" s="26">
        <f t="shared" si="21"/>
        <v>0</v>
      </c>
      <c r="M81" s="26">
        <f t="shared" si="22"/>
        <v>5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67" t="e">
        <f>SUMIFS([1]Up!$J:$J,[1]Up!$D:$D,D81)</f>
        <v>#VALUE!</v>
      </c>
      <c r="BJ81" s="82"/>
      <c r="BK81" s="82" t="str">
        <f t="shared" si="23"/>
        <v>PL12</v>
      </c>
      <c r="BL81" s="53" t="str">
        <f t="shared" si="24"/>
        <v/>
      </c>
      <c r="BM81" s="53" t="s">
        <v>148</v>
      </c>
      <c r="BN81" s="53" t="s">
        <v>1020</v>
      </c>
      <c r="BO81" s="53" t="s">
        <v>1021</v>
      </c>
      <c r="BP81" s="53" t="s">
        <v>2099</v>
      </c>
      <c r="BQ81" s="53">
        <v>5</v>
      </c>
      <c r="BR81" s="83">
        <v>46303</v>
      </c>
      <c r="BS81" s="53"/>
      <c r="BT81" s="53"/>
    </row>
    <row r="82" spans="3:72" ht="14.25" hidden="1" customHeight="1">
      <c r="C82" s="82" t="s">
        <v>13</v>
      </c>
      <c r="D82" s="82" t="s">
        <v>1116</v>
      </c>
      <c r="E82" s="82" t="s">
        <v>1117</v>
      </c>
      <c r="F82" s="82" t="s">
        <v>1076</v>
      </c>
      <c r="G82" s="82">
        <v>781</v>
      </c>
      <c r="H82" s="82" t="s">
        <v>147</v>
      </c>
      <c r="I82" s="82">
        <v>1</v>
      </c>
      <c r="J82" s="82">
        <v>21.7</v>
      </c>
      <c r="K82" s="82">
        <v>21.7</v>
      </c>
      <c r="L82" s="26">
        <f t="shared" si="21"/>
        <v>0</v>
      </c>
      <c r="M82" s="26">
        <f t="shared" si="22"/>
        <v>1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67" t="e">
        <f>SUMIFS([1]Up!$J:$J,[1]Up!$D:$D,D82)</f>
        <v>#VALUE!</v>
      </c>
      <c r="BJ82" s="82"/>
      <c r="BK82" s="82" t="str">
        <f t="shared" si="23"/>
        <v>PL15</v>
      </c>
      <c r="BL82" s="53" t="str">
        <f t="shared" si="24"/>
        <v/>
      </c>
      <c r="BM82" s="53" t="s">
        <v>148</v>
      </c>
      <c r="BN82" s="53" t="s">
        <v>1093</v>
      </c>
      <c r="BO82" s="53" t="s">
        <v>1094</v>
      </c>
      <c r="BP82" s="53" t="s">
        <v>2100</v>
      </c>
      <c r="BQ82" s="53">
        <v>1</v>
      </c>
      <c r="BR82" s="83">
        <v>46120</v>
      </c>
      <c r="BS82" s="53"/>
      <c r="BT82" s="53"/>
    </row>
    <row r="83" spans="3:72" ht="14.25" hidden="1" customHeight="1">
      <c r="C83" s="82" t="s">
        <v>13</v>
      </c>
      <c r="D83" s="82" t="s">
        <v>1118</v>
      </c>
      <c r="E83" s="82" t="s">
        <v>1083</v>
      </c>
      <c r="F83" s="82" t="s">
        <v>1084</v>
      </c>
      <c r="G83" s="82">
        <v>11306</v>
      </c>
      <c r="H83" s="82" t="s">
        <v>147</v>
      </c>
      <c r="I83" s="82">
        <v>1</v>
      </c>
      <c r="J83" s="82">
        <v>2268.5</v>
      </c>
      <c r="K83" s="82">
        <v>2268.5</v>
      </c>
      <c r="L83" s="26">
        <f t="shared" si="21"/>
        <v>0</v>
      </c>
      <c r="M83" s="26">
        <f t="shared" si="22"/>
        <v>1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67" t="e">
        <f>SUMIFS([1]Up!$J:$J,[1]Up!$D:$D,D83)</f>
        <v>#VALUE!</v>
      </c>
      <c r="BJ83" s="82"/>
      <c r="BK83" s="82" t="str">
        <f t="shared" si="23"/>
        <v>PL12</v>
      </c>
      <c r="BL83" s="53" t="str">
        <f t="shared" si="24"/>
        <v/>
      </c>
      <c r="BM83" s="53" t="s">
        <v>154</v>
      </c>
      <c r="BN83" s="53" t="s">
        <v>1020</v>
      </c>
      <c r="BO83" s="53" t="s">
        <v>1021</v>
      </c>
      <c r="BP83" s="53" t="s">
        <v>57</v>
      </c>
      <c r="BQ83" s="53">
        <v>1</v>
      </c>
      <c r="BR83" s="83"/>
      <c r="BS83" s="53"/>
      <c r="BT83" s="53"/>
    </row>
    <row r="84" spans="3:72" ht="14.25" hidden="1" customHeight="1">
      <c r="C84" s="82" t="s">
        <v>13</v>
      </c>
      <c r="D84" s="82" t="s">
        <v>1119</v>
      </c>
      <c r="E84" s="82" t="s">
        <v>1115</v>
      </c>
      <c r="F84" s="82" t="s">
        <v>13</v>
      </c>
      <c r="G84" s="82">
        <v>2138</v>
      </c>
      <c r="H84" s="82" t="s">
        <v>147</v>
      </c>
      <c r="I84" s="82">
        <v>5</v>
      </c>
      <c r="J84" s="82">
        <v>31.8</v>
      </c>
      <c r="K84" s="82">
        <v>159</v>
      </c>
      <c r="L84" s="26">
        <f t="shared" si="21"/>
        <v>0</v>
      </c>
      <c r="M84" s="26">
        <f t="shared" si="22"/>
        <v>5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67" t="e">
        <f>SUMIFS([1]Up!$J:$J,[1]Up!$D:$D,D84)</f>
        <v>#VALUE!</v>
      </c>
      <c r="BJ84" s="82"/>
      <c r="BK84" s="82" t="str">
        <f t="shared" si="23"/>
        <v>PL12</v>
      </c>
      <c r="BL84" s="53" t="str">
        <f t="shared" si="24"/>
        <v/>
      </c>
      <c r="BM84" s="53" t="s">
        <v>148</v>
      </c>
      <c r="BN84" s="53" t="s">
        <v>1020</v>
      </c>
      <c r="BO84" s="53" t="s">
        <v>1021</v>
      </c>
      <c r="BP84" s="53" t="s">
        <v>2099</v>
      </c>
      <c r="BQ84" s="53">
        <v>5</v>
      </c>
      <c r="BR84" s="83">
        <v>46303</v>
      </c>
      <c r="BS84" s="53"/>
      <c r="BT84" s="53"/>
    </row>
    <row r="85" spans="3:72" ht="14.25" hidden="1" customHeight="1">
      <c r="C85" s="82" t="s">
        <v>13</v>
      </c>
      <c r="D85" s="82" t="s">
        <v>1120</v>
      </c>
      <c r="E85" s="82" t="s">
        <v>1121</v>
      </c>
      <c r="F85" s="82" t="s">
        <v>13</v>
      </c>
      <c r="G85" s="82">
        <v>2096</v>
      </c>
      <c r="H85" s="82" t="s">
        <v>147</v>
      </c>
      <c r="I85" s="82">
        <v>1</v>
      </c>
      <c r="J85" s="82">
        <v>42</v>
      </c>
      <c r="K85" s="82">
        <v>42</v>
      </c>
      <c r="L85" s="26">
        <f t="shared" si="21"/>
        <v>0</v>
      </c>
      <c r="M85" s="26">
        <f t="shared" si="22"/>
        <v>1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67" t="e">
        <f>SUMIFS([1]Up!$J:$J,[1]Up!$D:$D,D85)</f>
        <v>#VALUE!</v>
      </c>
      <c r="BJ85" s="82"/>
      <c r="BK85" s="82" t="str">
        <f t="shared" si="23"/>
        <v>PL20</v>
      </c>
      <c r="BL85" s="53" t="str">
        <f t="shared" si="24"/>
        <v/>
      </c>
      <c r="BM85" s="53" t="s">
        <v>148</v>
      </c>
      <c r="BN85" s="53" t="s">
        <v>1099</v>
      </c>
      <c r="BO85" s="53" t="s">
        <v>1100</v>
      </c>
      <c r="BP85" s="53" t="s">
        <v>2101</v>
      </c>
      <c r="BQ85" s="53">
        <v>1</v>
      </c>
      <c r="BR85" s="83">
        <v>46303</v>
      </c>
      <c r="BS85" s="53"/>
      <c r="BT85" s="53"/>
    </row>
    <row r="86" spans="3:72" ht="14.25" hidden="1" customHeight="1">
      <c r="C86" s="82" t="s">
        <v>13</v>
      </c>
      <c r="D86" s="82" t="s">
        <v>1122</v>
      </c>
      <c r="E86" s="82" t="s">
        <v>1123</v>
      </c>
      <c r="F86" s="82" t="s">
        <v>13</v>
      </c>
      <c r="G86" s="82">
        <v>320</v>
      </c>
      <c r="H86" s="82" t="s">
        <v>147</v>
      </c>
      <c r="I86" s="82">
        <v>2</v>
      </c>
      <c r="J86" s="82">
        <v>7.6</v>
      </c>
      <c r="K86" s="82">
        <v>15.2</v>
      </c>
      <c r="L86" s="26">
        <f t="shared" si="21"/>
        <v>0</v>
      </c>
      <c r="M86" s="26">
        <f t="shared" si="22"/>
        <v>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67" t="e">
        <f>SUMIFS([1]Up!$J:$J,[1]Up!$D:$D,D86)</f>
        <v>#VALUE!</v>
      </c>
      <c r="BJ86" s="82"/>
      <c r="BK86" s="82" t="str">
        <f t="shared" si="23"/>
        <v>PL20</v>
      </c>
      <c r="BL86" s="53" t="str">
        <f t="shared" si="24"/>
        <v/>
      </c>
      <c r="BM86" s="53" t="s">
        <v>148</v>
      </c>
      <c r="BN86" s="53" t="s">
        <v>1099</v>
      </c>
      <c r="BO86" s="53" t="s">
        <v>1100</v>
      </c>
      <c r="BP86" s="53"/>
      <c r="BQ86" s="53"/>
      <c r="BR86" s="83"/>
      <c r="BS86" s="53"/>
      <c r="BT86" s="53"/>
    </row>
    <row r="87" spans="3:72" ht="14.25" hidden="1" customHeight="1">
      <c r="C87" s="82" t="s">
        <v>13</v>
      </c>
      <c r="D87" s="82" t="s">
        <v>1124</v>
      </c>
      <c r="E87" s="82" t="s">
        <v>2108</v>
      </c>
      <c r="F87" s="82" t="s">
        <v>13</v>
      </c>
      <c r="G87" s="82">
        <v>200</v>
      </c>
      <c r="H87" s="82" t="s">
        <v>147</v>
      </c>
      <c r="I87" s="82">
        <v>2</v>
      </c>
      <c r="J87" s="82">
        <v>5.5</v>
      </c>
      <c r="K87" s="82">
        <v>11</v>
      </c>
      <c r="L87" s="26">
        <f t="shared" si="21"/>
        <v>0</v>
      </c>
      <c r="M87" s="26">
        <f t="shared" si="22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67" t="e">
        <f>SUMIFS([1]Up!$J:$J,[1]Up!$D:$D,D87)</f>
        <v>#VALUE!</v>
      </c>
      <c r="BJ87" s="82"/>
      <c r="BK87" s="82" t="str">
        <f t="shared" si="23"/>
        <v>PL20</v>
      </c>
      <c r="BL87" s="53" t="str">
        <f t="shared" si="24"/>
        <v/>
      </c>
      <c r="BM87" s="53" t="s">
        <v>148</v>
      </c>
      <c r="BN87" s="53" t="s">
        <v>1093</v>
      </c>
      <c r="BO87" s="53" t="s">
        <v>1094</v>
      </c>
      <c r="BP87" s="53" t="s">
        <v>2101</v>
      </c>
      <c r="BQ87" s="53">
        <v>2</v>
      </c>
      <c r="BR87" s="83">
        <v>46303</v>
      </c>
      <c r="BS87" s="53"/>
      <c r="BT87" s="53"/>
    </row>
    <row r="88" spans="3:72" ht="14.25" hidden="1" customHeight="1">
      <c r="C88" s="82" t="s">
        <v>11</v>
      </c>
      <c r="D88" s="82" t="s">
        <v>1126</v>
      </c>
      <c r="E88" s="82" t="s">
        <v>1080</v>
      </c>
      <c r="F88" s="82" t="s">
        <v>1076</v>
      </c>
      <c r="G88" s="82">
        <v>737</v>
      </c>
      <c r="H88" s="82" t="s">
        <v>1077</v>
      </c>
      <c r="I88" s="82">
        <v>5</v>
      </c>
      <c r="J88" s="82">
        <v>2.1</v>
      </c>
      <c r="K88" s="82">
        <v>10.5</v>
      </c>
      <c r="L88" s="26">
        <f t="shared" si="21"/>
        <v>0</v>
      </c>
      <c r="M88" s="26">
        <f t="shared" si="22"/>
        <v>5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67" t="e">
        <f>SUMIFS([1]Up!$J:$J,[1]Up!$D:$D,D88)</f>
        <v>#VALUE!</v>
      </c>
      <c r="BJ88" s="82"/>
      <c r="BK88" s="82" t="str">
        <f t="shared" si="23"/>
        <v/>
      </c>
      <c r="BL88" s="53" t="str">
        <f t="shared" si="24"/>
        <v/>
      </c>
      <c r="BM88" s="53" t="s">
        <v>154</v>
      </c>
      <c r="BN88" s="53" t="s">
        <v>1081</v>
      </c>
      <c r="BO88" s="53" t="s">
        <v>1080</v>
      </c>
      <c r="BP88" s="53" t="s">
        <v>2105</v>
      </c>
      <c r="BQ88" s="53">
        <v>5</v>
      </c>
      <c r="BR88" s="83">
        <v>46120</v>
      </c>
      <c r="BS88" s="53"/>
      <c r="BT88" s="53"/>
    </row>
    <row r="89" spans="3:72" ht="14.25" hidden="1" customHeight="1">
      <c r="C89" s="82" t="s">
        <v>11</v>
      </c>
      <c r="D89" s="82" t="s">
        <v>1127</v>
      </c>
      <c r="E89" s="82" t="s">
        <v>1128</v>
      </c>
      <c r="F89" s="82" t="s">
        <v>1129</v>
      </c>
      <c r="G89" s="82">
        <v>48</v>
      </c>
      <c r="H89" s="82" t="s">
        <v>147</v>
      </c>
      <c r="I89" s="82">
        <v>1</v>
      </c>
      <c r="J89" s="82">
        <v>0.32</v>
      </c>
      <c r="K89" s="82">
        <v>0.32</v>
      </c>
      <c r="L89" s="26">
        <f t="shared" si="21"/>
        <v>0</v>
      </c>
      <c r="M89" s="26">
        <f t="shared" si="22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67" t="e">
        <f>SUMIFS([1]Up!$J:$J,[1]Up!$D:$D,D89)</f>
        <v>#VALUE!</v>
      </c>
      <c r="BJ89" s="82"/>
      <c r="BK89" s="82" t="str">
        <f t="shared" si="23"/>
        <v/>
      </c>
      <c r="BL89" s="53" t="str">
        <f t="shared" si="24"/>
        <v/>
      </c>
      <c r="BM89" s="53" t="s">
        <v>154</v>
      </c>
      <c r="BN89" s="53"/>
      <c r="BO89" s="53" t="s">
        <v>1128</v>
      </c>
      <c r="BP89" s="53" t="s">
        <v>2112</v>
      </c>
      <c r="BQ89" s="53">
        <v>1</v>
      </c>
      <c r="BR89" s="83">
        <v>46120</v>
      </c>
      <c r="BS89" s="53"/>
      <c r="BT89" s="53"/>
    </row>
    <row r="90" spans="3:72" ht="14.25" hidden="1" customHeight="1">
      <c r="C90" s="82" t="s">
        <v>13</v>
      </c>
      <c r="D90" s="82" t="s">
        <v>1130</v>
      </c>
      <c r="E90" s="82" t="s">
        <v>1083</v>
      </c>
      <c r="F90" s="82" t="s">
        <v>1084</v>
      </c>
      <c r="G90" s="82">
        <v>11306</v>
      </c>
      <c r="H90" s="82" t="s">
        <v>147</v>
      </c>
      <c r="I90" s="82">
        <v>1</v>
      </c>
      <c r="J90" s="82">
        <v>2268.5</v>
      </c>
      <c r="K90" s="82">
        <v>2268.5</v>
      </c>
      <c r="L90" s="26">
        <f t="shared" si="21"/>
        <v>0</v>
      </c>
      <c r="M90" s="26">
        <f t="shared" si="22"/>
        <v>1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67" t="e">
        <f>SUMIFS([1]Up!$J:$J,[1]Up!$D:$D,D90)</f>
        <v>#VALUE!</v>
      </c>
      <c r="BJ90" s="82"/>
      <c r="BK90" s="82" t="str">
        <f t="shared" si="23"/>
        <v>PL12</v>
      </c>
      <c r="BL90" s="53" t="str">
        <f t="shared" si="24"/>
        <v/>
      </c>
      <c r="BM90" s="53" t="s">
        <v>154</v>
      </c>
      <c r="BN90" s="53" t="s">
        <v>1020</v>
      </c>
      <c r="BO90" s="53" t="s">
        <v>1021</v>
      </c>
      <c r="BP90" s="53" t="s">
        <v>57</v>
      </c>
      <c r="BQ90" s="53">
        <v>1</v>
      </c>
      <c r="BR90" s="83"/>
      <c r="BS90" s="53"/>
      <c r="BT90" s="53"/>
    </row>
    <row r="91" spans="3:72" ht="14.25" hidden="1" customHeight="1">
      <c r="C91" s="82" t="s">
        <v>13</v>
      </c>
      <c r="D91" s="82" t="s">
        <v>1131</v>
      </c>
      <c r="E91" s="82" t="s">
        <v>1132</v>
      </c>
      <c r="F91" s="82" t="s">
        <v>13</v>
      </c>
      <c r="G91" s="82">
        <v>338</v>
      </c>
      <c r="H91" s="82" t="s">
        <v>147</v>
      </c>
      <c r="I91" s="82">
        <v>2</v>
      </c>
      <c r="J91" s="82">
        <v>4.5</v>
      </c>
      <c r="K91" s="82">
        <v>9</v>
      </c>
      <c r="L91" s="26">
        <f t="shared" si="21"/>
        <v>0</v>
      </c>
      <c r="M91" s="26">
        <f t="shared" si="22"/>
        <v>2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67" t="e">
        <f>SUMIFS([1]Up!$J:$J,[1]Up!$D:$D,D91)</f>
        <v>#VALUE!</v>
      </c>
      <c r="BJ91" s="82"/>
      <c r="BK91" s="82" t="str">
        <f t="shared" si="23"/>
        <v>PL10</v>
      </c>
      <c r="BL91" s="53" t="str">
        <f t="shared" si="24"/>
        <v/>
      </c>
      <c r="BM91" s="53" t="s">
        <v>148</v>
      </c>
      <c r="BN91" s="53" t="s">
        <v>1004</v>
      </c>
      <c r="BO91" s="53" t="s">
        <v>1005</v>
      </c>
      <c r="BP91" s="53"/>
      <c r="BQ91" s="53"/>
      <c r="BR91" s="83"/>
      <c r="BS91" s="53"/>
      <c r="BT91" s="53"/>
    </row>
    <row r="92" spans="3:72" ht="14.25" hidden="1" customHeight="1">
      <c r="C92" s="82" t="s">
        <v>13</v>
      </c>
      <c r="D92" s="82" t="s">
        <v>1133</v>
      </c>
      <c r="E92" s="82" t="s">
        <v>1134</v>
      </c>
      <c r="F92" s="82" t="s">
        <v>13</v>
      </c>
      <c r="G92" s="82">
        <v>170</v>
      </c>
      <c r="H92" s="82" t="s">
        <v>147</v>
      </c>
      <c r="I92" s="82">
        <v>1</v>
      </c>
      <c r="J92" s="82">
        <v>1.6</v>
      </c>
      <c r="K92" s="82">
        <v>1.6</v>
      </c>
      <c r="L92" s="26">
        <f t="shared" si="21"/>
        <v>0</v>
      </c>
      <c r="M92" s="26">
        <f t="shared" si="22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67" t="e">
        <f>SUMIFS([1]Up!$J:$J,[1]Up!$D:$D,D92)</f>
        <v>#VALUE!</v>
      </c>
      <c r="BJ92" s="82"/>
      <c r="BK92" s="82" t="str">
        <f t="shared" si="23"/>
        <v>PL10</v>
      </c>
      <c r="BL92" s="53" t="str">
        <f t="shared" si="24"/>
        <v/>
      </c>
      <c r="BM92" s="53" t="s">
        <v>148</v>
      </c>
      <c r="BN92" s="53" t="s">
        <v>1004</v>
      </c>
      <c r="BO92" s="53" t="s">
        <v>1005</v>
      </c>
      <c r="BP92" s="53"/>
      <c r="BQ92" s="53"/>
      <c r="BR92" s="83"/>
      <c r="BS92" s="53"/>
      <c r="BT92" s="53"/>
    </row>
    <row r="93" spans="3:72" ht="14.25" hidden="1" customHeight="1">
      <c r="C93" s="82" t="s">
        <v>13</v>
      </c>
      <c r="D93" s="82" t="s">
        <v>1135</v>
      </c>
      <c r="E93" s="82" t="s">
        <v>1096</v>
      </c>
      <c r="F93" s="82" t="s">
        <v>13</v>
      </c>
      <c r="G93" s="82">
        <v>481</v>
      </c>
      <c r="H93" s="82" t="s">
        <v>147</v>
      </c>
      <c r="I93" s="82">
        <v>1</v>
      </c>
      <c r="J93" s="82">
        <v>6.8</v>
      </c>
      <c r="K93" s="82">
        <v>6.8</v>
      </c>
      <c r="L93" s="26">
        <f t="shared" si="21"/>
        <v>0</v>
      </c>
      <c r="M93" s="26">
        <f t="shared" si="22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67" t="e">
        <f>SUMIFS([1]Up!$J:$J,[1]Up!$D:$D,D93)</f>
        <v>#VALUE!</v>
      </c>
      <c r="BJ93" s="82"/>
      <c r="BK93" s="82" t="str">
        <f t="shared" si="23"/>
        <v>PL10</v>
      </c>
      <c r="BL93" s="53" t="str">
        <f t="shared" si="24"/>
        <v/>
      </c>
      <c r="BM93" s="53" t="s">
        <v>154</v>
      </c>
      <c r="BN93" s="53" t="s">
        <v>1004</v>
      </c>
      <c r="BO93" s="53" t="s">
        <v>1005</v>
      </c>
      <c r="BP93" s="53"/>
      <c r="BQ93" s="53"/>
      <c r="BR93" s="83"/>
      <c r="BS93" s="53"/>
      <c r="BT93" s="53"/>
    </row>
    <row r="94" spans="3:72" ht="14.25" hidden="1" customHeight="1">
      <c r="C94" s="82" t="s">
        <v>13</v>
      </c>
      <c r="D94" s="82" t="s">
        <v>1136</v>
      </c>
      <c r="E94" s="82" t="s">
        <v>1113</v>
      </c>
      <c r="F94" s="82" t="s">
        <v>13</v>
      </c>
      <c r="G94" s="82">
        <v>2097</v>
      </c>
      <c r="H94" s="82" t="s">
        <v>147</v>
      </c>
      <c r="I94" s="82">
        <v>1</v>
      </c>
      <c r="J94" s="82">
        <v>41.1</v>
      </c>
      <c r="K94" s="82">
        <v>41.1</v>
      </c>
      <c r="L94" s="26">
        <f t="shared" ref="L94:L157" si="25">MIN(SUM(N94:BH94),I94)</f>
        <v>1</v>
      </c>
      <c r="M94" s="26">
        <f t="shared" si="22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>
        <v>1</v>
      </c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67" t="e">
        <f>SUMIFS([1]Up!$J:$J,[1]Up!$D:$D,D94)</f>
        <v>#VALUE!</v>
      </c>
      <c r="BJ94" s="82"/>
      <c r="BK94" s="82" t="str">
        <f t="shared" ref="BK94:BK157" si="26">IFERROR(IF(C94="Plate",LEFT(E94,FIND("*",E94,1)-1),""),IF(C94="Plate",LEFT(E94,FIND("x",E94,1)-1),""))</f>
        <v>PL20</v>
      </c>
      <c r="BL94" s="53" t="str">
        <f t="shared" ref="BL94:BL157" si="27">IF(ROUND(SUM(N94:BH94)-I94,0)&gt;0,"Thừa "&amp;SUM(N94:BH94)-I94,"")</f>
        <v/>
      </c>
      <c r="BM94" s="53" t="s">
        <v>148</v>
      </c>
      <c r="BN94" s="53" t="s">
        <v>1099</v>
      </c>
      <c r="BO94" s="53" t="s">
        <v>1100</v>
      </c>
      <c r="BP94" s="53" t="s">
        <v>2101</v>
      </c>
      <c r="BQ94" s="53">
        <v>1</v>
      </c>
      <c r="BR94" s="83">
        <v>46303</v>
      </c>
      <c r="BS94" s="53"/>
      <c r="BT94" s="53"/>
    </row>
    <row r="95" spans="3:72" ht="14.25" hidden="1" customHeight="1">
      <c r="C95" s="82" t="s">
        <v>13</v>
      </c>
      <c r="D95" s="82" t="s">
        <v>1137</v>
      </c>
      <c r="E95" s="82" t="s">
        <v>1138</v>
      </c>
      <c r="F95" s="82" t="s">
        <v>13</v>
      </c>
      <c r="G95" s="82">
        <v>1136</v>
      </c>
      <c r="H95" s="82" t="s">
        <v>147</v>
      </c>
      <c r="I95" s="82">
        <v>1</v>
      </c>
      <c r="J95" s="82">
        <v>43.8</v>
      </c>
      <c r="K95" s="82">
        <v>43.8</v>
      </c>
      <c r="L95" s="26">
        <f t="shared" si="25"/>
        <v>0</v>
      </c>
      <c r="M95" s="26">
        <f t="shared" si="22"/>
        <v>1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67" t="e">
        <f>SUMIFS([1]Up!$J:$J,[1]Up!$D:$D,D95)</f>
        <v>#VALUE!</v>
      </c>
      <c r="BJ95" s="82"/>
      <c r="BK95" s="82" t="str">
        <f t="shared" si="26"/>
        <v>PL10</v>
      </c>
      <c r="BL95" s="53" t="str">
        <f t="shared" si="27"/>
        <v/>
      </c>
      <c r="BM95" s="53" t="s">
        <v>154</v>
      </c>
      <c r="BN95" s="53" t="s">
        <v>1004</v>
      </c>
      <c r="BO95" s="53" t="s">
        <v>1005</v>
      </c>
      <c r="BP95" s="53"/>
      <c r="BQ95" s="53"/>
      <c r="BR95" s="83"/>
      <c r="BS95" s="53"/>
      <c r="BT95" s="53"/>
    </row>
    <row r="96" spans="3:72" ht="14.25" hidden="1" customHeight="1">
      <c r="C96" s="82" t="s">
        <v>13</v>
      </c>
      <c r="D96" s="82" t="s">
        <v>1139</v>
      </c>
      <c r="E96" s="82" t="s">
        <v>1140</v>
      </c>
      <c r="F96" s="82" t="s">
        <v>13</v>
      </c>
      <c r="G96" s="82">
        <v>2203</v>
      </c>
      <c r="H96" s="82" t="s">
        <v>147</v>
      </c>
      <c r="I96" s="82">
        <v>1</v>
      </c>
      <c r="J96" s="82">
        <v>44.1</v>
      </c>
      <c r="K96" s="82">
        <v>44.1</v>
      </c>
      <c r="L96" s="26">
        <f t="shared" si="25"/>
        <v>0</v>
      </c>
      <c r="M96" s="26">
        <f t="shared" si="22"/>
        <v>1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67" t="e">
        <f>SUMIFS([1]Up!$J:$J,[1]Up!$D:$D,D96)</f>
        <v>#VALUE!</v>
      </c>
      <c r="BJ96" s="82"/>
      <c r="BK96" s="82" t="str">
        <f t="shared" si="26"/>
        <v>PL10</v>
      </c>
      <c r="BL96" s="53" t="str">
        <f t="shared" si="27"/>
        <v/>
      </c>
      <c r="BM96" s="53" t="s">
        <v>154</v>
      </c>
      <c r="BN96" s="53" t="s">
        <v>1004</v>
      </c>
      <c r="BO96" s="53" t="s">
        <v>1005</v>
      </c>
      <c r="BP96" s="53"/>
      <c r="BQ96" s="53"/>
      <c r="BR96" s="83"/>
      <c r="BS96" s="53"/>
      <c r="BT96" s="53"/>
    </row>
    <row r="97" spans="3:72" ht="14.25" hidden="1" customHeight="1">
      <c r="C97" s="82" t="s">
        <v>13</v>
      </c>
      <c r="D97" s="82" t="s">
        <v>1141</v>
      </c>
      <c r="E97" s="82" t="s">
        <v>1142</v>
      </c>
      <c r="F97" s="82" t="s">
        <v>13</v>
      </c>
      <c r="G97" s="82">
        <v>1884</v>
      </c>
      <c r="H97" s="82" t="s">
        <v>147</v>
      </c>
      <c r="I97" s="82">
        <v>1</v>
      </c>
      <c r="J97" s="82">
        <v>34.200000000000003</v>
      </c>
      <c r="K97" s="82">
        <v>34.200000000000003</v>
      </c>
      <c r="L97" s="26">
        <f t="shared" si="25"/>
        <v>0</v>
      </c>
      <c r="M97" s="26">
        <f t="shared" si="22"/>
        <v>1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67" t="e">
        <f>SUMIFS([1]Up!$J:$J,[1]Up!$D:$D,D97)</f>
        <v>#VALUE!</v>
      </c>
      <c r="BJ97" s="82"/>
      <c r="BK97" s="82" t="str">
        <f t="shared" si="26"/>
        <v>PL10</v>
      </c>
      <c r="BL97" s="53" t="str">
        <f t="shared" si="27"/>
        <v/>
      </c>
      <c r="BM97" s="53" t="s">
        <v>154</v>
      </c>
      <c r="BN97" s="53" t="s">
        <v>1004</v>
      </c>
      <c r="BO97" s="53" t="s">
        <v>1005</v>
      </c>
      <c r="BP97" s="53"/>
      <c r="BQ97" s="53"/>
      <c r="BR97" s="83"/>
      <c r="BS97" s="53"/>
      <c r="BT97" s="53"/>
    </row>
    <row r="98" spans="3:72" ht="14.25" hidden="1" customHeight="1">
      <c r="C98" s="82" t="s">
        <v>13</v>
      </c>
      <c r="D98" s="82" t="s">
        <v>1143</v>
      </c>
      <c r="E98" s="82" t="s">
        <v>1115</v>
      </c>
      <c r="F98" s="82" t="s">
        <v>13</v>
      </c>
      <c r="G98" s="82">
        <v>2138</v>
      </c>
      <c r="H98" s="82" t="s">
        <v>147</v>
      </c>
      <c r="I98" s="82">
        <v>5</v>
      </c>
      <c r="J98" s="82">
        <v>31.8</v>
      </c>
      <c r="K98" s="82">
        <v>159</v>
      </c>
      <c r="L98" s="26">
        <f t="shared" si="25"/>
        <v>0</v>
      </c>
      <c r="M98" s="26">
        <f t="shared" si="22"/>
        <v>5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67" t="e">
        <f>SUMIFS([1]Up!$J:$J,[1]Up!$D:$D,D98)</f>
        <v>#VALUE!</v>
      </c>
      <c r="BJ98" s="82"/>
      <c r="BK98" s="82" t="str">
        <f t="shared" si="26"/>
        <v>PL12</v>
      </c>
      <c r="BL98" s="53" t="str">
        <f t="shared" si="27"/>
        <v/>
      </c>
      <c r="BM98" s="53" t="s">
        <v>148</v>
      </c>
      <c r="BN98" s="53" t="s">
        <v>1020</v>
      </c>
      <c r="BO98" s="53" t="s">
        <v>1021</v>
      </c>
      <c r="BP98" s="53" t="s">
        <v>2099</v>
      </c>
      <c r="BQ98" s="53">
        <v>5</v>
      </c>
      <c r="BR98" s="83">
        <v>46303</v>
      </c>
      <c r="BS98" s="53"/>
      <c r="BT98" s="53"/>
    </row>
    <row r="99" spans="3:72" ht="14.25" hidden="1" customHeight="1">
      <c r="C99" s="82" t="s">
        <v>13</v>
      </c>
      <c r="D99" s="82" t="s">
        <v>1144</v>
      </c>
      <c r="E99" s="82" t="s">
        <v>1145</v>
      </c>
      <c r="F99" s="82" t="s">
        <v>13</v>
      </c>
      <c r="G99" s="82">
        <v>825</v>
      </c>
      <c r="H99" s="82" t="s">
        <v>147</v>
      </c>
      <c r="I99" s="82">
        <v>1</v>
      </c>
      <c r="J99" s="82">
        <v>25.8</v>
      </c>
      <c r="K99" s="82">
        <v>25.8</v>
      </c>
      <c r="L99" s="26">
        <f t="shared" si="25"/>
        <v>0</v>
      </c>
      <c r="M99" s="26">
        <f t="shared" si="22"/>
        <v>1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67" t="e">
        <f>SUMIFS([1]Up!$J:$J,[1]Up!$D:$D,D99)</f>
        <v>#VALUE!</v>
      </c>
      <c r="BJ99" s="82"/>
      <c r="BK99" s="82" t="str">
        <f t="shared" si="26"/>
        <v>PL15</v>
      </c>
      <c r="BL99" s="53" t="str">
        <f t="shared" si="27"/>
        <v/>
      </c>
      <c r="BM99" s="53" t="s">
        <v>148</v>
      </c>
      <c r="BN99" s="53" t="s">
        <v>1093</v>
      </c>
      <c r="BO99" s="53" t="s">
        <v>1094</v>
      </c>
      <c r="BP99" s="53" t="s">
        <v>2100</v>
      </c>
      <c r="BQ99" s="53">
        <v>1</v>
      </c>
      <c r="BR99" s="83">
        <v>46120</v>
      </c>
      <c r="BS99" s="53"/>
      <c r="BT99" s="53"/>
    </row>
    <row r="100" spans="3:72" ht="14.25" hidden="1" customHeight="1">
      <c r="C100" s="82" t="s">
        <v>13</v>
      </c>
      <c r="D100" s="82" t="s">
        <v>1146</v>
      </c>
      <c r="E100" s="82" t="s">
        <v>1147</v>
      </c>
      <c r="F100" s="82" t="s">
        <v>1076</v>
      </c>
      <c r="G100" s="82">
        <v>767</v>
      </c>
      <c r="H100" s="82" t="s">
        <v>147</v>
      </c>
      <c r="I100" s="82">
        <v>1</v>
      </c>
      <c r="J100" s="82">
        <v>21.7</v>
      </c>
      <c r="K100" s="82">
        <v>21.7</v>
      </c>
      <c r="L100" s="26">
        <f t="shared" si="25"/>
        <v>0</v>
      </c>
      <c r="M100" s="26">
        <f t="shared" si="22"/>
        <v>1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67" t="e">
        <f>SUMIFS([1]Up!$J:$J,[1]Up!$D:$D,D100)</f>
        <v>#VALUE!</v>
      </c>
      <c r="BJ100" s="82"/>
      <c r="BK100" s="82" t="str">
        <f t="shared" si="26"/>
        <v>PL15</v>
      </c>
      <c r="BL100" s="53" t="str">
        <f t="shared" si="27"/>
        <v/>
      </c>
      <c r="BM100" s="53" t="s">
        <v>148</v>
      </c>
      <c r="BN100" s="53" t="s">
        <v>1093</v>
      </c>
      <c r="BO100" s="53" t="s">
        <v>1094</v>
      </c>
      <c r="BP100" s="53" t="s">
        <v>2100</v>
      </c>
      <c r="BQ100" s="53">
        <v>1</v>
      </c>
      <c r="BR100" s="83">
        <v>46120</v>
      </c>
      <c r="BS100" s="53"/>
      <c r="BT100" s="53"/>
    </row>
    <row r="101" spans="3:72" ht="14.25" hidden="1" customHeight="1">
      <c r="C101" s="82" t="s">
        <v>11</v>
      </c>
      <c r="D101" s="82" t="s">
        <v>1148</v>
      </c>
      <c r="E101" s="82" t="s">
        <v>1075</v>
      </c>
      <c r="F101" s="82" t="s">
        <v>1076</v>
      </c>
      <c r="G101" s="82">
        <v>812</v>
      </c>
      <c r="H101" s="82" t="s">
        <v>1077</v>
      </c>
      <c r="I101" s="82">
        <v>5</v>
      </c>
      <c r="J101" s="82">
        <v>13.05696</v>
      </c>
      <c r="K101" s="82">
        <v>65.284800000000004</v>
      </c>
      <c r="L101" s="26">
        <f t="shared" si="25"/>
        <v>0</v>
      </c>
      <c r="M101" s="26">
        <f t="shared" si="22"/>
        <v>5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67" t="e">
        <f>SUMIFS([1]Up!$J:$J,[1]Up!$D:$D,D101)</f>
        <v>#VALUE!</v>
      </c>
      <c r="BJ101" s="82"/>
      <c r="BK101" s="82" t="str">
        <f t="shared" si="26"/>
        <v/>
      </c>
      <c r="BL101" s="53" t="str">
        <f t="shared" si="27"/>
        <v/>
      </c>
      <c r="BM101" s="53" t="s">
        <v>148</v>
      </c>
      <c r="BN101" s="53" t="s">
        <v>1078</v>
      </c>
      <c r="BO101" s="53" t="s">
        <v>1075</v>
      </c>
      <c r="BP101" s="53" t="s">
        <v>2104</v>
      </c>
      <c r="BQ101" s="53">
        <v>5</v>
      </c>
      <c r="BR101" s="83">
        <v>46120</v>
      </c>
      <c r="BS101" s="53"/>
      <c r="BT101" s="53"/>
    </row>
    <row r="102" spans="3:72" ht="14.25" hidden="1" customHeight="1">
      <c r="C102" s="82" t="s">
        <v>13</v>
      </c>
      <c r="D102" s="82" t="s">
        <v>1149</v>
      </c>
      <c r="E102" s="82" t="s">
        <v>1150</v>
      </c>
      <c r="F102" s="82" t="s">
        <v>1084</v>
      </c>
      <c r="G102" s="82">
        <v>4829</v>
      </c>
      <c r="H102" s="82" t="s">
        <v>147</v>
      </c>
      <c r="I102" s="82">
        <v>2</v>
      </c>
      <c r="J102" s="82">
        <v>141.69999999999999</v>
      </c>
      <c r="K102" s="82">
        <v>283.39999999999998</v>
      </c>
      <c r="L102" s="26">
        <f t="shared" si="25"/>
        <v>0</v>
      </c>
      <c r="M102" s="26">
        <f t="shared" si="22"/>
        <v>2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67" t="e">
        <f>SUMIFS([1]Up!$J:$J,[1]Up!$D:$D,D102)</f>
        <v>#VALUE!</v>
      </c>
      <c r="BJ102" s="82"/>
      <c r="BK102" s="82" t="str">
        <f t="shared" si="26"/>
        <v>PL10</v>
      </c>
      <c r="BL102" s="53" t="str">
        <f t="shared" si="27"/>
        <v/>
      </c>
      <c r="BM102" s="53" t="s">
        <v>154</v>
      </c>
      <c r="BN102" s="53" t="s">
        <v>1004</v>
      </c>
      <c r="BO102" s="53" t="s">
        <v>1005</v>
      </c>
      <c r="BP102" s="53"/>
      <c r="BQ102" s="53"/>
      <c r="BR102" s="83"/>
      <c r="BS102" s="53"/>
      <c r="BT102" s="53"/>
    </row>
    <row r="103" spans="3:72" ht="14.25" hidden="1" customHeight="1">
      <c r="C103" s="82" t="s">
        <v>13</v>
      </c>
      <c r="D103" s="82" t="s">
        <v>1151</v>
      </c>
      <c r="E103" s="82" t="s">
        <v>1152</v>
      </c>
      <c r="F103" s="82" t="s">
        <v>1084</v>
      </c>
      <c r="G103" s="82">
        <v>2218</v>
      </c>
      <c r="H103" s="82" t="s">
        <v>147</v>
      </c>
      <c r="I103" s="82">
        <v>1</v>
      </c>
      <c r="J103" s="82">
        <v>76.2</v>
      </c>
      <c r="K103" s="82">
        <v>76.2</v>
      </c>
      <c r="L103" s="26">
        <f t="shared" si="25"/>
        <v>0</v>
      </c>
      <c r="M103" s="26">
        <f t="shared" si="22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67" t="e">
        <f>SUMIFS([1]Up!$J:$J,[1]Up!$D:$D,D103)</f>
        <v>#VALUE!</v>
      </c>
      <c r="BJ103" s="82"/>
      <c r="BK103" s="82" t="str">
        <f t="shared" si="26"/>
        <v>PL10</v>
      </c>
      <c r="BL103" s="53" t="str">
        <f t="shared" si="27"/>
        <v/>
      </c>
      <c r="BM103" s="53" t="s">
        <v>154</v>
      </c>
      <c r="BN103" s="53" t="s">
        <v>1004</v>
      </c>
      <c r="BO103" s="53" t="s">
        <v>1005</v>
      </c>
      <c r="BP103" s="53"/>
      <c r="BQ103" s="53"/>
      <c r="BR103" s="83"/>
      <c r="BS103" s="53"/>
      <c r="BT103" s="53"/>
    </row>
    <row r="104" spans="3:72" ht="14.25" hidden="1" customHeight="1">
      <c r="C104" s="82" t="s">
        <v>13</v>
      </c>
      <c r="D104" s="82" t="s">
        <v>1153</v>
      </c>
      <c r="E104" s="82" t="s">
        <v>1152</v>
      </c>
      <c r="F104" s="82" t="s">
        <v>1084</v>
      </c>
      <c r="G104" s="82">
        <v>2218</v>
      </c>
      <c r="H104" s="82" t="s">
        <v>147</v>
      </c>
      <c r="I104" s="82">
        <v>1</v>
      </c>
      <c r="J104" s="82">
        <v>76.2</v>
      </c>
      <c r="K104" s="82">
        <v>76.2</v>
      </c>
      <c r="L104" s="26">
        <f t="shared" si="25"/>
        <v>0</v>
      </c>
      <c r="M104" s="26">
        <f t="shared" si="22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67" t="e">
        <f>SUMIFS([1]Up!$J:$J,[1]Up!$D:$D,D104)</f>
        <v>#VALUE!</v>
      </c>
      <c r="BJ104" s="82"/>
      <c r="BK104" s="82" t="str">
        <f t="shared" si="26"/>
        <v>PL10</v>
      </c>
      <c r="BL104" s="53" t="str">
        <f t="shared" si="27"/>
        <v/>
      </c>
      <c r="BM104" s="53" t="s">
        <v>154</v>
      </c>
      <c r="BN104" s="53" t="s">
        <v>1004</v>
      </c>
      <c r="BO104" s="53" t="s">
        <v>1005</v>
      </c>
      <c r="BP104" s="53"/>
      <c r="BQ104" s="53"/>
      <c r="BR104" s="83"/>
      <c r="BS104" s="53"/>
      <c r="BT104" s="53"/>
    </row>
    <row r="105" spans="3:72" ht="14.25" hidden="1" customHeight="1">
      <c r="C105" s="82" t="s">
        <v>13</v>
      </c>
      <c r="D105" s="82" t="s">
        <v>1154</v>
      </c>
      <c r="E105" s="82" t="s">
        <v>1155</v>
      </c>
      <c r="F105" s="82" t="s">
        <v>1084</v>
      </c>
      <c r="G105" s="82">
        <v>2700</v>
      </c>
      <c r="H105" s="82" t="s">
        <v>147</v>
      </c>
      <c r="I105" s="82">
        <v>2</v>
      </c>
      <c r="J105" s="82">
        <v>130.1</v>
      </c>
      <c r="K105" s="82">
        <v>260.2</v>
      </c>
      <c r="L105" s="26">
        <f t="shared" si="25"/>
        <v>0</v>
      </c>
      <c r="M105" s="26">
        <f t="shared" si="22"/>
        <v>2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67" t="e">
        <f>SUMIFS([1]Up!$J:$J,[1]Up!$D:$D,D105)</f>
        <v>#VALUE!</v>
      </c>
      <c r="BJ105" s="82"/>
      <c r="BK105" s="82" t="str">
        <f t="shared" si="26"/>
        <v>PL12</v>
      </c>
      <c r="BL105" s="53" t="str">
        <f t="shared" si="27"/>
        <v/>
      </c>
      <c r="BM105" s="53" t="s">
        <v>154</v>
      </c>
      <c r="BN105" s="53" t="s">
        <v>1020</v>
      </c>
      <c r="BO105" s="53" t="s">
        <v>1021</v>
      </c>
      <c r="BP105" s="53" t="s">
        <v>2099</v>
      </c>
      <c r="BQ105" s="53">
        <v>2</v>
      </c>
      <c r="BR105" s="83">
        <v>46303</v>
      </c>
      <c r="BS105" s="53"/>
      <c r="BT105" s="53"/>
    </row>
    <row r="106" spans="3:72" ht="14.25" hidden="1" customHeight="1">
      <c r="C106" s="82" t="s">
        <v>13</v>
      </c>
      <c r="D106" s="82" t="s">
        <v>1156</v>
      </c>
      <c r="E106" s="82" t="s">
        <v>1157</v>
      </c>
      <c r="F106" s="82" t="s">
        <v>13</v>
      </c>
      <c r="G106" s="82">
        <v>9819</v>
      </c>
      <c r="H106" s="82" t="s">
        <v>147</v>
      </c>
      <c r="I106" s="82">
        <v>2</v>
      </c>
      <c r="J106" s="82">
        <v>370</v>
      </c>
      <c r="K106" s="82">
        <v>740</v>
      </c>
      <c r="L106" s="26">
        <f t="shared" si="25"/>
        <v>0</v>
      </c>
      <c r="M106" s="26">
        <f t="shared" si="22"/>
        <v>2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67" t="e">
        <f>SUMIFS([1]Up!$J:$J,[1]Up!$D:$D,D106)</f>
        <v>#VALUE!</v>
      </c>
      <c r="BJ106" s="82"/>
      <c r="BK106" s="82" t="str">
        <f t="shared" si="26"/>
        <v>PL15</v>
      </c>
      <c r="BL106" s="53" t="str">
        <f t="shared" si="27"/>
        <v/>
      </c>
      <c r="BM106" s="53" t="s">
        <v>148</v>
      </c>
      <c r="BN106" s="53" t="s">
        <v>1093</v>
      </c>
      <c r="BO106" s="53" t="s">
        <v>1094</v>
      </c>
      <c r="BP106" s="53" t="s">
        <v>2100</v>
      </c>
      <c r="BQ106" s="53">
        <v>2</v>
      </c>
      <c r="BR106" s="83">
        <v>46120</v>
      </c>
      <c r="BS106" s="53"/>
      <c r="BT106" s="53"/>
    </row>
    <row r="107" spans="3:72" ht="14.25" hidden="1" customHeight="1">
      <c r="C107" s="82" t="s">
        <v>13</v>
      </c>
      <c r="D107" s="82" t="s">
        <v>1158</v>
      </c>
      <c r="E107" s="82" t="s">
        <v>1159</v>
      </c>
      <c r="F107" s="82" t="s">
        <v>13</v>
      </c>
      <c r="G107" s="82">
        <v>400</v>
      </c>
      <c r="H107" s="82" t="s">
        <v>147</v>
      </c>
      <c r="I107" s="82">
        <v>6</v>
      </c>
      <c r="J107" s="82">
        <v>4.2</v>
      </c>
      <c r="K107" s="82">
        <v>25.200000000000003</v>
      </c>
      <c r="L107" s="26">
        <f t="shared" si="25"/>
        <v>0</v>
      </c>
      <c r="M107" s="26">
        <f t="shared" si="22"/>
        <v>6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67" t="e">
        <f>SUMIFS([1]Up!$J:$J,[1]Up!$D:$D,D107)</f>
        <v>#VALUE!</v>
      </c>
      <c r="BJ107" s="82"/>
      <c r="BK107" s="82" t="str">
        <f t="shared" si="26"/>
        <v>PL10</v>
      </c>
      <c r="BL107" s="53" t="str">
        <f t="shared" si="27"/>
        <v/>
      </c>
      <c r="BM107" s="53" t="s">
        <v>148</v>
      </c>
      <c r="BN107" s="53" t="s">
        <v>1004</v>
      </c>
      <c r="BO107" s="53" t="s">
        <v>1005</v>
      </c>
      <c r="BP107" s="53"/>
      <c r="BQ107" s="53"/>
      <c r="BR107" s="83"/>
      <c r="BS107" s="53"/>
      <c r="BT107" s="53"/>
    </row>
    <row r="108" spans="3:72" ht="14.25" hidden="1" customHeight="1">
      <c r="C108" s="82" t="s">
        <v>13</v>
      </c>
      <c r="D108" s="82" t="s">
        <v>1160</v>
      </c>
      <c r="E108" s="82" t="s">
        <v>1161</v>
      </c>
      <c r="F108" s="82" t="s">
        <v>13</v>
      </c>
      <c r="G108" s="82">
        <v>538</v>
      </c>
      <c r="H108" s="82" t="s">
        <v>147</v>
      </c>
      <c r="I108" s="82">
        <v>2</v>
      </c>
      <c r="J108" s="82">
        <v>7.4</v>
      </c>
      <c r="K108" s="82">
        <v>14.8</v>
      </c>
      <c r="L108" s="26">
        <f t="shared" si="25"/>
        <v>0</v>
      </c>
      <c r="M108" s="26">
        <f t="shared" si="22"/>
        <v>2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67" t="e">
        <f>SUMIFS([1]Up!$J:$J,[1]Up!$D:$D,D108)</f>
        <v>#VALUE!</v>
      </c>
      <c r="BJ108" s="82"/>
      <c r="BK108" s="82" t="str">
        <f t="shared" si="26"/>
        <v>PL12</v>
      </c>
      <c r="BL108" s="53" t="str">
        <f t="shared" si="27"/>
        <v/>
      </c>
      <c r="BM108" s="53" t="s">
        <v>148</v>
      </c>
      <c r="BN108" s="53" t="s">
        <v>1020</v>
      </c>
      <c r="BO108" s="53" t="s">
        <v>1021</v>
      </c>
      <c r="BP108" s="53" t="s">
        <v>2099</v>
      </c>
      <c r="BQ108" s="53">
        <v>2</v>
      </c>
      <c r="BR108" s="83">
        <v>46303</v>
      </c>
      <c r="BS108" s="53"/>
      <c r="BT108" s="53"/>
    </row>
    <row r="109" spans="3:72" ht="14.25" hidden="1" customHeight="1">
      <c r="C109" s="82" t="s">
        <v>13</v>
      </c>
      <c r="D109" s="82" t="s">
        <v>1162</v>
      </c>
      <c r="E109" s="82" t="s">
        <v>1163</v>
      </c>
      <c r="F109" s="82" t="s">
        <v>13</v>
      </c>
      <c r="G109" s="82">
        <v>363</v>
      </c>
      <c r="H109" s="82" t="s">
        <v>147</v>
      </c>
      <c r="I109" s="82">
        <v>6</v>
      </c>
      <c r="J109" s="82">
        <v>4</v>
      </c>
      <c r="K109" s="82">
        <v>24</v>
      </c>
      <c r="L109" s="26">
        <f t="shared" si="25"/>
        <v>6</v>
      </c>
      <c r="M109" s="26">
        <f t="shared" si="22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>
        <v>6</v>
      </c>
      <c r="BC109" s="26"/>
      <c r="BD109" s="26"/>
      <c r="BE109" s="26"/>
      <c r="BF109" s="26"/>
      <c r="BG109" s="26"/>
      <c r="BH109" s="26"/>
      <c r="BI109" s="67" t="e">
        <f>SUMIFS([1]Up!$J:$J,[1]Up!$D:$D,D109)</f>
        <v>#VALUE!</v>
      </c>
      <c r="BJ109" s="82"/>
      <c r="BK109" s="82" t="str">
        <f t="shared" si="26"/>
        <v>PL16</v>
      </c>
      <c r="BL109" s="53" t="str">
        <f t="shared" si="27"/>
        <v/>
      </c>
      <c r="BM109" s="53" t="s">
        <v>148</v>
      </c>
      <c r="BN109" s="53" t="s">
        <v>987</v>
      </c>
      <c r="BO109" s="53" t="s">
        <v>988</v>
      </c>
      <c r="BP109" s="53" t="s">
        <v>2103</v>
      </c>
      <c r="BQ109" s="53">
        <v>6</v>
      </c>
      <c r="BR109" s="83">
        <v>46120</v>
      </c>
      <c r="BS109" s="53"/>
      <c r="BT109" s="53"/>
    </row>
    <row r="110" spans="3:72" ht="14.25" hidden="1" customHeight="1">
      <c r="C110" s="82" t="s">
        <v>13</v>
      </c>
      <c r="D110" s="82" t="s">
        <v>1164</v>
      </c>
      <c r="E110" s="82" t="s">
        <v>1090</v>
      </c>
      <c r="F110" s="82" t="s">
        <v>13</v>
      </c>
      <c r="G110" s="82">
        <v>426</v>
      </c>
      <c r="H110" s="82" t="s">
        <v>147</v>
      </c>
      <c r="I110" s="82">
        <v>2</v>
      </c>
      <c r="J110" s="82">
        <v>5</v>
      </c>
      <c r="K110" s="82">
        <v>10</v>
      </c>
      <c r="L110" s="26">
        <f t="shared" si="25"/>
        <v>2</v>
      </c>
      <c r="M110" s="26">
        <f t="shared" si="22"/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>
        <v>2</v>
      </c>
      <c r="BC110" s="26"/>
      <c r="BD110" s="26"/>
      <c r="BE110" s="26"/>
      <c r="BF110" s="26"/>
      <c r="BG110" s="26"/>
      <c r="BH110" s="26"/>
      <c r="BI110" s="67" t="e">
        <f>SUMIFS([1]Up!$J:$J,[1]Up!$D:$D,D110)</f>
        <v>#VALUE!</v>
      </c>
      <c r="BJ110" s="82"/>
      <c r="BK110" s="82" t="str">
        <f t="shared" si="26"/>
        <v>PL16</v>
      </c>
      <c r="BL110" s="53" t="str">
        <f t="shared" si="27"/>
        <v/>
      </c>
      <c r="BM110" s="53" t="s">
        <v>148</v>
      </c>
      <c r="BN110" s="53" t="s">
        <v>987</v>
      </c>
      <c r="BO110" s="53" t="s">
        <v>988</v>
      </c>
      <c r="BP110" s="53" t="s">
        <v>2103</v>
      </c>
      <c r="BQ110" s="53">
        <v>2</v>
      </c>
      <c r="BR110" s="83">
        <v>46120</v>
      </c>
      <c r="BS110" s="53"/>
      <c r="BT110" s="53"/>
    </row>
    <row r="111" spans="3:72" ht="14.25" hidden="1" customHeight="1">
      <c r="C111" s="82" t="s">
        <v>13</v>
      </c>
      <c r="D111" s="82" t="s">
        <v>1165</v>
      </c>
      <c r="E111" s="82" t="s">
        <v>1166</v>
      </c>
      <c r="F111" s="82" t="s">
        <v>1084</v>
      </c>
      <c r="G111" s="82">
        <v>4829</v>
      </c>
      <c r="H111" s="82" t="s">
        <v>147</v>
      </c>
      <c r="I111" s="82">
        <v>1</v>
      </c>
      <c r="J111" s="82">
        <v>764.2</v>
      </c>
      <c r="K111" s="82">
        <v>764.2</v>
      </c>
      <c r="L111" s="26">
        <f t="shared" si="25"/>
        <v>0</v>
      </c>
      <c r="M111" s="26">
        <f t="shared" si="22"/>
        <v>1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67" t="e">
        <f>SUMIFS([1]Up!$J:$J,[1]Up!$D:$D,D111)</f>
        <v>#VALUE!</v>
      </c>
      <c r="BJ111" s="82"/>
      <c r="BK111" s="82" t="str">
        <f t="shared" si="26"/>
        <v>PL10</v>
      </c>
      <c r="BL111" s="53" t="str">
        <f t="shared" si="27"/>
        <v/>
      </c>
      <c r="BM111" s="53" t="s">
        <v>154</v>
      </c>
      <c r="BN111" s="53" t="s">
        <v>1004</v>
      </c>
      <c r="BO111" s="53" t="s">
        <v>1005</v>
      </c>
      <c r="BP111" s="53"/>
      <c r="BQ111" s="53"/>
      <c r="BR111" s="83"/>
      <c r="BS111" s="53"/>
      <c r="BT111" s="53"/>
    </row>
    <row r="112" spans="3:72" ht="14.25" hidden="1" customHeight="1">
      <c r="C112" s="82" t="s">
        <v>13</v>
      </c>
      <c r="D112" s="82" t="s">
        <v>1167</v>
      </c>
      <c r="E112" s="82" t="s">
        <v>1168</v>
      </c>
      <c r="F112" s="82" t="s">
        <v>1084</v>
      </c>
      <c r="G112" s="82">
        <v>2700</v>
      </c>
      <c r="H112" s="82" t="s">
        <v>147</v>
      </c>
      <c r="I112" s="82">
        <v>1</v>
      </c>
      <c r="J112" s="82">
        <v>601.9</v>
      </c>
      <c r="K112" s="82">
        <v>601.9</v>
      </c>
      <c r="L112" s="26">
        <f t="shared" si="25"/>
        <v>0</v>
      </c>
      <c r="M112" s="26">
        <f t="shared" si="22"/>
        <v>1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67" t="e">
        <f>SUMIFS([1]Up!$J:$J,[1]Up!$D:$D,D112)</f>
        <v>#VALUE!</v>
      </c>
      <c r="BJ112" s="82"/>
      <c r="BK112" s="82" t="str">
        <f t="shared" si="26"/>
        <v>PL12</v>
      </c>
      <c r="BL112" s="53" t="str">
        <f t="shared" si="27"/>
        <v/>
      </c>
      <c r="BM112" s="53" t="s">
        <v>154</v>
      </c>
      <c r="BN112" s="53" t="s">
        <v>1020</v>
      </c>
      <c r="BO112" s="53" t="s">
        <v>1021</v>
      </c>
      <c r="BP112" s="53" t="s">
        <v>57</v>
      </c>
      <c r="BQ112" s="53">
        <v>1</v>
      </c>
      <c r="BR112" s="83"/>
      <c r="BS112" s="53"/>
      <c r="BT112" s="53"/>
    </row>
    <row r="113" spans="3:72" ht="14.25" hidden="1" customHeight="1">
      <c r="C113" s="82" t="s">
        <v>13</v>
      </c>
      <c r="D113" s="82" t="s">
        <v>1169</v>
      </c>
      <c r="E113" s="82" t="s">
        <v>1170</v>
      </c>
      <c r="F113" s="82" t="s">
        <v>13</v>
      </c>
      <c r="G113" s="82">
        <v>2373</v>
      </c>
      <c r="H113" s="82" t="s">
        <v>147</v>
      </c>
      <c r="I113" s="82">
        <v>1</v>
      </c>
      <c r="J113" s="82">
        <v>380</v>
      </c>
      <c r="K113" s="82">
        <v>380</v>
      </c>
      <c r="L113" s="26">
        <f t="shared" si="25"/>
        <v>0</v>
      </c>
      <c r="M113" s="26">
        <f t="shared" si="22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67" t="e">
        <f>SUMIFS([1]Up!$J:$J,[1]Up!$D:$D,D113)</f>
        <v>#VALUE!</v>
      </c>
      <c r="BJ113" s="82"/>
      <c r="BK113" s="82" t="str">
        <f t="shared" si="26"/>
        <v>PL10</v>
      </c>
      <c r="BL113" s="53" t="str">
        <f t="shared" si="27"/>
        <v/>
      </c>
      <c r="BM113" s="53" t="s">
        <v>154</v>
      </c>
      <c r="BN113" s="53" t="s">
        <v>1004</v>
      </c>
      <c r="BO113" s="53" t="s">
        <v>1005</v>
      </c>
      <c r="BP113" s="53"/>
      <c r="BQ113" s="53"/>
      <c r="BR113" s="83"/>
      <c r="BS113" s="53"/>
      <c r="BT113" s="53"/>
    </row>
    <row r="114" spans="3:72" ht="14.25" hidden="1" customHeight="1">
      <c r="C114" s="82" t="s">
        <v>13</v>
      </c>
      <c r="D114" s="82" t="s">
        <v>1171</v>
      </c>
      <c r="E114" s="82" t="s">
        <v>1172</v>
      </c>
      <c r="F114" s="82" t="s">
        <v>1084</v>
      </c>
      <c r="G114" s="82">
        <v>1992</v>
      </c>
      <c r="H114" s="82" t="s">
        <v>147</v>
      </c>
      <c r="I114" s="82">
        <v>3</v>
      </c>
      <c r="J114" s="82">
        <v>23.5</v>
      </c>
      <c r="K114" s="82">
        <v>70.5</v>
      </c>
      <c r="L114" s="26">
        <f t="shared" si="25"/>
        <v>0</v>
      </c>
      <c r="M114" s="26">
        <f t="shared" si="22"/>
        <v>3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67" t="e">
        <f>SUMIFS([1]Up!$J:$J,[1]Up!$D:$D,D114)</f>
        <v>#VALUE!</v>
      </c>
      <c r="BJ114" s="82"/>
      <c r="BK114" s="82" t="str">
        <f t="shared" si="26"/>
        <v>PL10</v>
      </c>
      <c r="BL114" s="53" t="str">
        <f t="shared" si="27"/>
        <v/>
      </c>
      <c r="BM114" s="53" t="s">
        <v>148</v>
      </c>
      <c r="BN114" s="53" t="s">
        <v>1004</v>
      </c>
      <c r="BO114" s="53" t="s">
        <v>1005</v>
      </c>
      <c r="BP114" s="53"/>
      <c r="BQ114" s="53"/>
      <c r="BR114" s="83"/>
      <c r="BS114" s="53"/>
      <c r="BT114" s="53"/>
    </row>
    <row r="115" spans="3:72" ht="14.25" hidden="1" customHeight="1">
      <c r="C115" s="82" t="s">
        <v>13</v>
      </c>
      <c r="D115" s="82" t="s">
        <v>1173</v>
      </c>
      <c r="E115" s="82" t="s">
        <v>1174</v>
      </c>
      <c r="F115" s="82" t="s">
        <v>13</v>
      </c>
      <c r="G115" s="82">
        <v>2317</v>
      </c>
      <c r="H115" s="82" t="s">
        <v>147</v>
      </c>
      <c r="I115" s="82">
        <v>1</v>
      </c>
      <c r="J115" s="82">
        <v>35.4</v>
      </c>
      <c r="K115" s="82">
        <v>35.4</v>
      </c>
      <c r="L115" s="26">
        <f t="shared" si="25"/>
        <v>0</v>
      </c>
      <c r="M115" s="26">
        <f t="shared" si="22"/>
        <v>1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67" t="e">
        <f>SUMIFS([1]Up!$J:$J,[1]Up!$D:$D,D115)</f>
        <v>#VALUE!</v>
      </c>
      <c r="BJ115" s="82"/>
      <c r="BK115" s="82" t="str">
        <f t="shared" si="26"/>
        <v>PL12</v>
      </c>
      <c r="BL115" s="53" t="str">
        <f t="shared" si="27"/>
        <v/>
      </c>
      <c r="BM115" s="53" t="s">
        <v>148</v>
      </c>
      <c r="BN115" s="53" t="s">
        <v>1020</v>
      </c>
      <c r="BO115" s="53" t="s">
        <v>1021</v>
      </c>
      <c r="BP115" s="53" t="s">
        <v>2099</v>
      </c>
      <c r="BQ115" s="53">
        <v>1</v>
      </c>
      <c r="BR115" s="83">
        <v>46303</v>
      </c>
      <c r="BS115" s="53"/>
      <c r="BT115" s="53"/>
    </row>
    <row r="116" spans="3:72" ht="14.25" hidden="1" customHeight="1">
      <c r="C116" s="82" t="s">
        <v>13</v>
      </c>
      <c r="D116" s="82" t="s">
        <v>1175</v>
      </c>
      <c r="E116" s="82" t="s">
        <v>1176</v>
      </c>
      <c r="F116" s="82" t="s">
        <v>1084</v>
      </c>
      <c r="G116" s="82">
        <v>4829</v>
      </c>
      <c r="H116" s="82" t="s">
        <v>147</v>
      </c>
      <c r="I116" s="82">
        <v>1</v>
      </c>
      <c r="J116" s="82">
        <v>611.29999999999995</v>
      </c>
      <c r="K116" s="82">
        <v>611.29999999999995</v>
      </c>
      <c r="L116" s="26">
        <f t="shared" si="25"/>
        <v>0</v>
      </c>
      <c r="M116" s="26">
        <f t="shared" si="22"/>
        <v>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67" t="e">
        <f>SUMIFS([1]Up!$J:$J,[1]Up!$D:$D,D116)</f>
        <v>#VALUE!</v>
      </c>
      <c r="BJ116" s="82"/>
      <c r="BK116" s="82" t="str">
        <f t="shared" si="26"/>
        <v>PL10</v>
      </c>
      <c r="BL116" s="53" t="str">
        <f t="shared" si="27"/>
        <v/>
      </c>
      <c r="BM116" s="53" t="s">
        <v>154</v>
      </c>
      <c r="BN116" s="53" t="s">
        <v>1004</v>
      </c>
      <c r="BO116" s="53" t="s">
        <v>1005</v>
      </c>
      <c r="BP116" s="53"/>
      <c r="BQ116" s="53"/>
      <c r="BR116" s="83"/>
      <c r="BS116" s="53"/>
      <c r="BT116" s="53"/>
    </row>
    <row r="117" spans="3:72" ht="14.25" hidden="1" customHeight="1">
      <c r="C117" s="82" t="s">
        <v>13</v>
      </c>
      <c r="D117" s="82" t="s">
        <v>1177</v>
      </c>
      <c r="E117" s="82" t="s">
        <v>1178</v>
      </c>
      <c r="F117" s="82" t="s">
        <v>1084</v>
      </c>
      <c r="G117" s="82">
        <v>2276</v>
      </c>
      <c r="H117" s="82" t="s">
        <v>147</v>
      </c>
      <c r="I117" s="82">
        <v>1</v>
      </c>
      <c r="J117" s="82">
        <v>307.3</v>
      </c>
      <c r="K117" s="82">
        <v>307.3</v>
      </c>
      <c r="L117" s="26">
        <f t="shared" si="25"/>
        <v>0</v>
      </c>
      <c r="M117" s="26">
        <f t="shared" si="22"/>
        <v>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67" t="e">
        <f>SUMIFS([1]Up!$J:$J,[1]Up!$D:$D,D117)</f>
        <v>#VALUE!</v>
      </c>
      <c r="BJ117" s="82"/>
      <c r="BK117" s="82" t="str">
        <f t="shared" si="26"/>
        <v>PL10</v>
      </c>
      <c r="BL117" s="53" t="str">
        <f t="shared" si="27"/>
        <v/>
      </c>
      <c r="BM117" s="53" t="s">
        <v>154</v>
      </c>
      <c r="BN117" s="53" t="s">
        <v>1004</v>
      </c>
      <c r="BO117" s="53" t="s">
        <v>1005</v>
      </c>
      <c r="BP117" s="53"/>
      <c r="BQ117" s="53"/>
      <c r="BR117" s="83"/>
      <c r="BS117" s="53"/>
      <c r="BT117" s="53"/>
    </row>
    <row r="118" spans="3:72" ht="14.25" hidden="1" customHeight="1">
      <c r="C118" s="82" t="s">
        <v>13</v>
      </c>
      <c r="D118" s="82" t="s">
        <v>1179</v>
      </c>
      <c r="E118" s="82" t="s">
        <v>1180</v>
      </c>
      <c r="F118" s="82" t="s">
        <v>1084</v>
      </c>
      <c r="G118" s="82">
        <v>2700</v>
      </c>
      <c r="H118" s="82" t="s">
        <v>147</v>
      </c>
      <c r="I118" s="82">
        <v>1</v>
      </c>
      <c r="J118" s="82">
        <v>481.6</v>
      </c>
      <c r="K118" s="82">
        <v>481.6</v>
      </c>
      <c r="L118" s="26">
        <f t="shared" si="25"/>
        <v>0</v>
      </c>
      <c r="M118" s="26">
        <f t="shared" si="22"/>
        <v>1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67" t="e">
        <f>SUMIFS([1]Up!$J:$J,[1]Up!$D:$D,D118)</f>
        <v>#VALUE!</v>
      </c>
      <c r="BJ118" s="82"/>
      <c r="BK118" s="82" t="str">
        <f t="shared" si="26"/>
        <v>PL12</v>
      </c>
      <c r="BL118" s="53" t="str">
        <f t="shared" si="27"/>
        <v/>
      </c>
      <c r="BM118" s="53" t="s">
        <v>154</v>
      </c>
      <c r="BN118" s="53" t="s">
        <v>1020</v>
      </c>
      <c r="BO118" s="53" t="s">
        <v>1021</v>
      </c>
      <c r="BP118" s="53" t="s">
        <v>2099</v>
      </c>
      <c r="BQ118" s="53">
        <v>1</v>
      </c>
      <c r="BR118" s="83">
        <v>46303</v>
      </c>
      <c r="BS118" s="53"/>
      <c r="BT118" s="53"/>
    </row>
    <row r="119" spans="3:72" ht="14.25" hidden="1" customHeight="1">
      <c r="C119" s="82" t="s">
        <v>13</v>
      </c>
      <c r="D119" s="82" t="s">
        <v>1181</v>
      </c>
      <c r="E119" s="82" t="s">
        <v>1182</v>
      </c>
      <c r="F119" s="82" t="s">
        <v>13</v>
      </c>
      <c r="G119" s="82">
        <v>1671</v>
      </c>
      <c r="H119" s="82" t="s">
        <v>147</v>
      </c>
      <c r="I119" s="82">
        <v>3</v>
      </c>
      <c r="J119" s="82">
        <v>18.8</v>
      </c>
      <c r="K119" s="82">
        <v>56.400000000000006</v>
      </c>
      <c r="L119" s="26">
        <f t="shared" si="25"/>
        <v>0</v>
      </c>
      <c r="M119" s="26">
        <f t="shared" si="22"/>
        <v>3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67" t="e">
        <f>SUMIFS([1]Up!$J:$J,[1]Up!$D:$D,D119)</f>
        <v>#VALUE!</v>
      </c>
      <c r="BJ119" s="82"/>
      <c r="BK119" s="82" t="str">
        <f t="shared" si="26"/>
        <v>PL10</v>
      </c>
      <c r="BL119" s="53" t="str">
        <f t="shared" si="27"/>
        <v/>
      </c>
      <c r="BM119" s="53" t="s">
        <v>148</v>
      </c>
      <c r="BN119" s="53" t="s">
        <v>1004</v>
      </c>
      <c r="BO119" s="53" t="s">
        <v>1005</v>
      </c>
      <c r="BP119" s="53"/>
      <c r="BQ119" s="53"/>
      <c r="BR119" s="83"/>
      <c r="BS119" s="53"/>
      <c r="BT119" s="53"/>
    </row>
    <row r="120" spans="3:72" ht="14.25" hidden="1" customHeight="1">
      <c r="C120" s="82" t="s">
        <v>13</v>
      </c>
      <c r="D120" s="82" t="s">
        <v>1183</v>
      </c>
      <c r="E120" s="82" t="s">
        <v>1184</v>
      </c>
      <c r="F120" s="82" t="s">
        <v>13</v>
      </c>
      <c r="G120" s="82">
        <v>1944</v>
      </c>
      <c r="H120" s="82" t="s">
        <v>147</v>
      </c>
      <c r="I120" s="82">
        <v>1</v>
      </c>
      <c r="J120" s="82">
        <v>28.3</v>
      </c>
      <c r="K120" s="82">
        <v>28.3</v>
      </c>
      <c r="L120" s="26">
        <f t="shared" si="25"/>
        <v>0</v>
      </c>
      <c r="M120" s="26">
        <f t="shared" si="22"/>
        <v>1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67" t="e">
        <f>SUMIFS([1]Up!$J:$J,[1]Up!$D:$D,D120)</f>
        <v>#VALUE!</v>
      </c>
      <c r="BJ120" s="82"/>
      <c r="BK120" s="82" t="str">
        <f t="shared" si="26"/>
        <v>PL12</v>
      </c>
      <c r="BL120" s="53" t="str">
        <f t="shared" si="27"/>
        <v/>
      </c>
      <c r="BM120" s="53" t="s">
        <v>148</v>
      </c>
      <c r="BN120" s="53" t="s">
        <v>1020</v>
      </c>
      <c r="BO120" s="53" t="s">
        <v>1021</v>
      </c>
      <c r="BP120" s="53" t="s">
        <v>2099</v>
      </c>
      <c r="BQ120" s="53">
        <v>1</v>
      </c>
      <c r="BR120" s="83">
        <v>46303</v>
      </c>
      <c r="BS120" s="53"/>
      <c r="BT120" s="53"/>
    </row>
    <row r="121" spans="3:72" ht="14.25" hidden="1" customHeight="1">
      <c r="C121" s="82" t="s">
        <v>13</v>
      </c>
      <c r="D121" s="82" t="s">
        <v>1185</v>
      </c>
      <c r="E121" s="82" t="s">
        <v>1123</v>
      </c>
      <c r="F121" s="82" t="s">
        <v>13</v>
      </c>
      <c r="G121" s="82">
        <v>320</v>
      </c>
      <c r="H121" s="82" t="s">
        <v>147</v>
      </c>
      <c r="I121" s="82">
        <v>2</v>
      </c>
      <c r="J121" s="82">
        <v>7.6</v>
      </c>
      <c r="K121" s="82">
        <v>15.2</v>
      </c>
      <c r="L121" s="26">
        <f t="shared" si="25"/>
        <v>0</v>
      </c>
      <c r="M121" s="26">
        <f t="shared" si="22"/>
        <v>2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67" t="e">
        <f>SUMIFS([1]Up!$J:$J,[1]Up!$D:$D,D121)</f>
        <v>#VALUE!</v>
      </c>
      <c r="BJ121" s="82"/>
      <c r="BK121" s="82" t="str">
        <f t="shared" si="26"/>
        <v>PL20</v>
      </c>
      <c r="BL121" s="53" t="str">
        <f t="shared" si="27"/>
        <v/>
      </c>
      <c r="BM121" s="53" t="s">
        <v>148</v>
      </c>
      <c r="BN121" s="53" t="s">
        <v>1099</v>
      </c>
      <c r="BO121" s="53" t="s">
        <v>1100</v>
      </c>
      <c r="BP121" s="53" t="s">
        <v>2101</v>
      </c>
      <c r="BQ121" s="53">
        <v>2</v>
      </c>
      <c r="BR121" s="83">
        <v>46303</v>
      </c>
      <c r="BS121" s="53"/>
      <c r="BT121" s="53"/>
    </row>
    <row r="122" spans="3:72" ht="14.25" hidden="1" customHeight="1">
      <c r="C122" s="82" t="s">
        <v>13</v>
      </c>
      <c r="D122" s="82" t="s">
        <v>1186</v>
      </c>
      <c r="E122" s="82" t="s">
        <v>1125</v>
      </c>
      <c r="F122" s="82" t="s">
        <v>13</v>
      </c>
      <c r="G122" s="82">
        <v>200</v>
      </c>
      <c r="H122" s="82" t="s">
        <v>147</v>
      </c>
      <c r="I122" s="82">
        <v>2</v>
      </c>
      <c r="J122" s="82">
        <v>5.5</v>
      </c>
      <c r="K122" s="82">
        <v>11</v>
      </c>
      <c r="L122" s="26">
        <f t="shared" si="25"/>
        <v>0</v>
      </c>
      <c r="M122" s="26">
        <f t="shared" si="22"/>
        <v>2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67" t="e">
        <f>SUMIFS([1]Up!$J:$J,[1]Up!$D:$D,D122)</f>
        <v>#VALUE!</v>
      </c>
      <c r="BJ122" s="82"/>
      <c r="BK122" s="82" t="str">
        <f t="shared" si="26"/>
        <v>PL15</v>
      </c>
      <c r="BL122" s="53" t="str">
        <f t="shared" si="27"/>
        <v/>
      </c>
      <c r="BM122" s="53" t="s">
        <v>148</v>
      </c>
      <c r="BN122" s="53" t="s">
        <v>1093</v>
      </c>
      <c r="BO122" s="53" t="s">
        <v>1094</v>
      </c>
      <c r="BP122" s="53" t="s">
        <v>2100</v>
      </c>
      <c r="BQ122" s="53">
        <v>2</v>
      </c>
      <c r="BR122" s="83">
        <v>46120</v>
      </c>
      <c r="BS122" s="53"/>
      <c r="BT122" s="53"/>
    </row>
    <row r="123" spans="3:72" ht="14.25" hidden="1" customHeight="1">
      <c r="C123" s="82" t="s">
        <v>13</v>
      </c>
      <c r="D123" s="82" t="s">
        <v>1187</v>
      </c>
      <c r="E123" s="82" t="s">
        <v>1166</v>
      </c>
      <c r="F123" s="82" t="s">
        <v>1084</v>
      </c>
      <c r="G123" s="82">
        <v>4829</v>
      </c>
      <c r="H123" s="82" t="s">
        <v>147</v>
      </c>
      <c r="I123" s="82">
        <v>1</v>
      </c>
      <c r="J123" s="82">
        <v>764.2</v>
      </c>
      <c r="K123" s="82">
        <v>764.2</v>
      </c>
      <c r="L123" s="26">
        <f t="shared" si="25"/>
        <v>0</v>
      </c>
      <c r="M123" s="26">
        <f t="shared" si="22"/>
        <v>1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67" t="e">
        <f>SUMIFS([1]Up!$J:$J,[1]Up!$D:$D,D123)</f>
        <v>#VALUE!</v>
      </c>
      <c r="BJ123" s="82"/>
      <c r="BK123" s="82" t="str">
        <f t="shared" si="26"/>
        <v>PL10</v>
      </c>
      <c r="BL123" s="53" t="str">
        <f t="shared" si="27"/>
        <v/>
      </c>
      <c r="BM123" s="53" t="s">
        <v>154</v>
      </c>
      <c r="BN123" s="53" t="s">
        <v>1004</v>
      </c>
      <c r="BO123" s="53" t="s">
        <v>1005</v>
      </c>
      <c r="BP123" s="53"/>
      <c r="BQ123" s="53"/>
      <c r="BR123" s="83"/>
      <c r="BS123" s="53"/>
      <c r="BT123" s="53"/>
    </row>
    <row r="124" spans="3:72" ht="14.25" hidden="1" customHeight="1">
      <c r="C124" s="82" t="s">
        <v>13</v>
      </c>
      <c r="D124" s="82" t="s">
        <v>1188</v>
      </c>
      <c r="E124" s="82" t="s">
        <v>1170</v>
      </c>
      <c r="F124" s="82" t="s">
        <v>1084</v>
      </c>
      <c r="G124" s="82">
        <v>2373</v>
      </c>
      <c r="H124" s="82" t="s">
        <v>147</v>
      </c>
      <c r="I124" s="82">
        <v>1</v>
      </c>
      <c r="J124" s="82">
        <v>380</v>
      </c>
      <c r="K124" s="82">
        <v>380</v>
      </c>
      <c r="L124" s="26">
        <f t="shared" si="25"/>
        <v>0</v>
      </c>
      <c r="M124" s="26">
        <f t="shared" si="22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67" t="e">
        <f>SUMIFS([1]Up!$J:$J,[1]Up!$D:$D,D124)</f>
        <v>#VALUE!</v>
      </c>
      <c r="BJ124" s="82"/>
      <c r="BK124" s="82" t="str">
        <f t="shared" si="26"/>
        <v>PL10</v>
      </c>
      <c r="BL124" s="53" t="str">
        <f t="shared" si="27"/>
        <v/>
      </c>
      <c r="BM124" s="53" t="s">
        <v>154</v>
      </c>
      <c r="BN124" s="53" t="s">
        <v>1004</v>
      </c>
      <c r="BO124" s="53" t="s">
        <v>1005</v>
      </c>
      <c r="BP124" s="53"/>
      <c r="BQ124" s="53"/>
      <c r="BR124" s="83"/>
      <c r="BS124" s="53"/>
      <c r="BT124" s="53"/>
    </row>
    <row r="125" spans="3:72" ht="14.25" hidden="1" customHeight="1">
      <c r="C125" s="82" t="s">
        <v>13</v>
      </c>
      <c r="D125" s="82" t="s">
        <v>1189</v>
      </c>
      <c r="E125" s="82" t="s">
        <v>1168</v>
      </c>
      <c r="F125" s="82" t="s">
        <v>1084</v>
      </c>
      <c r="G125" s="82">
        <v>2700</v>
      </c>
      <c r="H125" s="82" t="s">
        <v>147</v>
      </c>
      <c r="I125" s="82">
        <v>1</v>
      </c>
      <c r="J125" s="82">
        <v>601.9</v>
      </c>
      <c r="K125" s="82">
        <v>601.9</v>
      </c>
      <c r="L125" s="26">
        <f t="shared" si="25"/>
        <v>0</v>
      </c>
      <c r="M125" s="26">
        <f t="shared" si="22"/>
        <v>1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67" t="e">
        <f>SUMIFS([1]Up!$J:$J,[1]Up!$D:$D,D125)</f>
        <v>#VALUE!</v>
      </c>
      <c r="BJ125" s="82"/>
      <c r="BK125" s="82" t="str">
        <f t="shared" si="26"/>
        <v>PL12</v>
      </c>
      <c r="BL125" s="53" t="str">
        <f t="shared" si="27"/>
        <v/>
      </c>
      <c r="BM125" s="53" t="s">
        <v>154</v>
      </c>
      <c r="BN125" s="53" t="s">
        <v>1020</v>
      </c>
      <c r="BO125" s="53" t="s">
        <v>1021</v>
      </c>
      <c r="BP125" s="53" t="s">
        <v>57</v>
      </c>
      <c r="BQ125" s="53">
        <v>1</v>
      </c>
      <c r="BR125" s="83"/>
      <c r="BS125" s="53"/>
      <c r="BT125" s="53"/>
    </row>
    <row r="126" spans="3:72" ht="14.25" hidden="1" customHeight="1">
      <c r="C126" s="82" t="s">
        <v>13</v>
      </c>
      <c r="D126" s="82" t="s">
        <v>1190</v>
      </c>
      <c r="E126" s="82" t="s">
        <v>1172</v>
      </c>
      <c r="F126" s="82" t="s">
        <v>13</v>
      </c>
      <c r="G126" s="82">
        <v>1992</v>
      </c>
      <c r="H126" s="82" t="s">
        <v>147</v>
      </c>
      <c r="I126" s="82">
        <v>3</v>
      </c>
      <c r="J126" s="82">
        <v>23.5</v>
      </c>
      <c r="K126" s="82">
        <v>70.5</v>
      </c>
      <c r="L126" s="26">
        <f t="shared" si="25"/>
        <v>0</v>
      </c>
      <c r="M126" s="26">
        <f t="shared" si="22"/>
        <v>3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67" t="e">
        <f>SUMIFS([1]Up!$J:$J,[1]Up!$D:$D,D126)</f>
        <v>#VALUE!</v>
      </c>
      <c r="BJ126" s="82"/>
      <c r="BK126" s="82" t="str">
        <f t="shared" si="26"/>
        <v>PL10</v>
      </c>
      <c r="BL126" s="53" t="str">
        <f t="shared" si="27"/>
        <v/>
      </c>
      <c r="BM126" s="53" t="s">
        <v>148</v>
      </c>
      <c r="BN126" s="53" t="s">
        <v>1004</v>
      </c>
      <c r="BO126" s="53" t="s">
        <v>1005</v>
      </c>
      <c r="BP126" s="53"/>
      <c r="BQ126" s="53"/>
      <c r="BR126" s="83"/>
      <c r="BS126" s="53"/>
      <c r="BT126" s="53"/>
    </row>
    <row r="127" spans="3:72" ht="14.25" hidden="1" customHeight="1">
      <c r="C127" s="82" t="s">
        <v>13</v>
      </c>
      <c r="D127" s="82" t="s">
        <v>1191</v>
      </c>
      <c r="E127" s="82" t="s">
        <v>1174</v>
      </c>
      <c r="F127" s="82" t="s">
        <v>13</v>
      </c>
      <c r="G127" s="82">
        <v>2317</v>
      </c>
      <c r="H127" s="82" t="s">
        <v>147</v>
      </c>
      <c r="I127" s="82">
        <v>1</v>
      </c>
      <c r="J127" s="82">
        <v>35.4</v>
      </c>
      <c r="K127" s="82">
        <v>35.4</v>
      </c>
      <c r="L127" s="26">
        <f t="shared" si="25"/>
        <v>0</v>
      </c>
      <c r="M127" s="26">
        <f t="shared" si="22"/>
        <v>1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67" t="e">
        <f>SUMIFS([1]Up!$J:$J,[1]Up!$D:$D,D127)</f>
        <v>#VALUE!</v>
      </c>
      <c r="BJ127" s="82"/>
      <c r="BK127" s="82" t="str">
        <f t="shared" si="26"/>
        <v>PL12</v>
      </c>
      <c r="BL127" s="53" t="str">
        <f t="shared" si="27"/>
        <v/>
      </c>
      <c r="BM127" s="53" t="s">
        <v>148</v>
      </c>
      <c r="BN127" s="53" t="s">
        <v>1020</v>
      </c>
      <c r="BO127" s="53" t="s">
        <v>1021</v>
      </c>
      <c r="BP127" s="53" t="s">
        <v>2099</v>
      </c>
      <c r="BQ127" s="53">
        <v>1</v>
      </c>
      <c r="BR127" s="83">
        <v>46303</v>
      </c>
      <c r="BS127" s="53"/>
      <c r="BT127" s="53"/>
    </row>
    <row r="128" spans="3:72" ht="14.25" hidden="1" customHeight="1">
      <c r="C128" s="82" t="s">
        <v>11</v>
      </c>
      <c r="D128" s="82" t="s">
        <v>1192</v>
      </c>
      <c r="E128" s="82" t="s">
        <v>1075</v>
      </c>
      <c r="F128" s="82" t="s">
        <v>1010</v>
      </c>
      <c r="G128" s="82">
        <v>812</v>
      </c>
      <c r="H128" s="82" t="s">
        <v>1077</v>
      </c>
      <c r="I128" s="82">
        <v>2</v>
      </c>
      <c r="J128" s="82">
        <v>13.05696</v>
      </c>
      <c r="K128" s="82">
        <v>26.11392</v>
      </c>
      <c r="L128" s="26">
        <f t="shared" si="25"/>
        <v>0</v>
      </c>
      <c r="M128" s="26">
        <f t="shared" si="22"/>
        <v>2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67" t="e">
        <f>SUMIFS([1]Up!$J:$J,[1]Up!$D:$D,D128)</f>
        <v>#VALUE!</v>
      </c>
      <c r="BJ128" s="82"/>
      <c r="BK128" s="82" t="str">
        <f t="shared" si="26"/>
        <v/>
      </c>
      <c r="BL128" s="53" t="str">
        <f t="shared" si="27"/>
        <v/>
      </c>
      <c r="BM128" s="53" t="s">
        <v>148</v>
      </c>
      <c r="BN128" s="53" t="s">
        <v>1078</v>
      </c>
      <c r="BO128" s="53" t="s">
        <v>1075</v>
      </c>
      <c r="BP128" s="53" t="s">
        <v>2104</v>
      </c>
      <c r="BQ128" s="53">
        <v>2</v>
      </c>
      <c r="BR128" s="83">
        <v>46120</v>
      </c>
      <c r="BS128" s="53"/>
      <c r="BT128" s="53"/>
    </row>
    <row r="129" spans="3:72" ht="14.25" hidden="1" customHeight="1">
      <c r="C129" s="82" t="s">
        <v>13</v>
      </c>
      <c r="D129" s="82" t="s">
        <v>1193</v>
      </c>
      <c r="E129" s="82" t="s">
        <v>1194</v>
      </c>
      <c r="F129" s="82" t="s">
        <v>1195</v>
      </c>
      <c r="G129" s="82">
        <v>9820</v>
      </c>
      <c r="H129" s="82" t="s">
        <v>147</v>
      </c>
      <c r="I129" s="82">
        <v>1</v>
      </c>
      <c r="J129" s="82">
        <v>4655.3</v>
      </c>
      <c r="K129" s="82">
        <v>4655.3</v>
      </c>
      <c r="L129" s="26">
        <f t="shared" si="25"/>
        <v>0</v>
      </c>
      <c r="M129" s="26">
        <f t="shared" si="22"/>
        <v>1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67" t="e">
        <f>SUMIFS([1]Up!$J:$J,[1]Up!$D:$D,D129)</f>
        <v>#VALUE!</v>
      </c>
      <c r="BJ129" s="82"/>
      <c r="BK129" s="82" t="str">
        <f t="shared" si="26"/>
        <v>PL10</v>
      </c>
      <c r="BL129" s="53" t="str">
        <f t="shared" si="27"/>
        <v/>
      </c>
      <c r="BM129" s="53" t="s">
        <v>154</v>
      </c>
      <c r="BN129" s="53" t="s">
        <v>1004</v>
      </c>
      <c r="BO129" s="53" t="s">
        <v>1005</v>
      </c>
      <c r="BP129" s="53"/>
      <c r="BQ129" s="53"/>
      <c r="BR129" s="83"/>
      <c r="BS129" s="53"/>
      <c r="BT129" s="53"/>
    </row>
    <row r="130" spans="3:72" ht="14.25" hidden="1" customHeight="1">
      <c r="C130" s="82" t="s">
        <v>13</v>
      </c>
      <c r="D130" s="82" t="s">
        <v>1196</v>
      </c>
      <c r="E130" s="82" t="s">
        <v>1104</v>
      </c>
      <c r="F130" s="82" t="s">
        <v>13</v>
      </c>
      <c r="G130" s="82">
        <v>246</v>
      </c>
      <c r="H130" s="82" t="s">
        <v>147</v>
      </c>
      <c r="I130" s="82">
        <v>2</v>
      </c>
      <c r="J130" s="82">
        <v>7.7</v>
      </c>
      <c r="K130" s="82">
        <v>15.4</v>
      </c>
      <c r="L130" s="26">
        <f t="shared" si="25"/>
        <v>0</v>
      </c>
      <c r="M130" s="26">
        <f t="shared" si="22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67" t="e">
        <f>SUMIFS([1]Up!$J:$J,[1]Up!$D:$D,D130)</f>
        <v>#VALUE!</v>
      </c>
      <c r="BJ130" s="82"/>
      <c r="BK130" s="82" t="str">
        <f t="shared" si="26"/>
        <v>PL20</v>
      </c>
      <c r="BL130" s="53" t="str">
        <f t="shared" si="27"/>
        <v/>
      </c>
      <c r="BM130" s="53" t="s">
        <v>148</v>
      </c>
      <c r="BN130" s="53" t="s">
        <v>1099</v>
      </c>
      <c r="BO130" s="53" t="s">
        <v>1100</v>
      </c>
      <c r="BP130" s="53" t="s">
        <v>2101</v>
      </c>
      <c r="BQ130" s="53">
        <v>2</v>
      </c>
      <c r="BR130" s="83">
        <v>46303</v>
      </c>
      <c r="BS130" s="53"/>
      <c r="BT130" s="53"/>
    </row>
    <row r="131" spans="3:72" ht="14.25" hidden="1" customHeight="1">
      <c r="C131" s="82"/>
      <c r="D131" s="82" t="s">
        <v>1197</v>
      </c>
      <c r="E131" s="82"/>
      <c r="F131" s="82"/>
      <c r="G131" s="82"/>
      <c r="H131" s="82"/>
      <c r="I131" s="82">
        <v>0</v>
      </c>
      <c r="J131" s="82">
        <v>0</v>
      </c>
      <c r="K131" s="82">
        <v>0</v>
      </c>
      <c r="L131" s="26">
        <f t="shared" si="25"/>
        <v>0</v>
      </c>
      <c r="M131" s="26">
        <f t="shared" si="22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67" t="e">
        <f>SUMIFS([1]Up!$J:$J,[1]Up!$D:$D,D131)</f>
        <v>#VALUE!</v>
      </c>
      <c r="BJ131" s="82"/>
      <c r="BK131" s="82" t="str">
        <f t="shared" si="26"/>
        <v/>
      </c>
      <c r="BL131" s="53" t="str">
        <f t="shared" si="27"/>
        <v/>
      </c>
      <c r="BM131" s="53" t="s">
        <v>148</v>
      </c>
      <c r="BN131" s="53" t="s">
        <v>1099</v>
      </c>
      <c r="BO131" s="53" t="s">
        <v>1100</v>
      </c>
      <c r="BP131" s="53"/>
      <c r="BQ131" s="53"/>
      <c r="BR131" s="83"/>
      <c r="BS131" s="53"/>
      <c r="BT131" s="53"/>
    </row>
    <row r="132" spans="3:72" ht="14.25" hidden="1" customHeight="1">
      <c r="C132" s="82" t="s">
        <v>13</v>
      </c>
      <c r="D132" s="82" t="s">
        <v>1198</v>
      </c>
      <c r="E132" s="82" t="s">
        <v>1199</v>
      </c>
      <c r="F132" s="82" t="s">
        <v>1200</v>
      </c>
      <c r="G132" s="82">
        <v>640</v>
      </c>
      <c r="H132" s="82" t="s">
        <v>147</v>
      </c>
      <c r="I132" s="82">
        <v>1</v>
      </c>
      <c r="J132" s="82">
        <v>36.200000000000003</v>
      </c>
      <c r="K132" s="82">
        <v>36.200000000000003</v>
      </c>
      <c r="L132" s="26">
        <f t="shared" si="25"/>
        <v>0</v>
      </c>
      <c r="M132" s="26">
        <f t="shared" si="22"/>
        <v>1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67" t="e">
        <f>SUMIFS([1]Up!$J:$J,[1]Up!$D:$D,D132)</f>
        <v>#VALUE!</v>
      </c>
      <c r="BJ132" s="82"/>
      <c r="BK132" s="82" t="str">
        <f t="shared" si="26"/>
        <v>PL30</v>
      </c>
      <c r="BL132" s="53" t="str">
        <f t="shared" si="27"/>
        <v/>
      </c>
      <c r="BM132" s="53" t="s">
        <v>148</v>
      </c>
      <c r="BN132" s="53" t="s">
        <v>1058</v>
      </c>
      <c r="BO132" s="53" t="s">
        <v>1059</v>
      </c>
      <c r="BP132" s="53" t="s">
        <v>2119</v>
      </c>
      <c r="BQ132" s="53">
        <v>1</v>
      </c>
      <c r="BR132" s="83">
        <v>46120</v>
      </c>
      <c r="BS132" s="53"/>
      <c r="BT132" s="53"/>
    </row>
    <row r="133" spans="3:72" ht="14.25" hidden="1" customHeight="1">
      <c r="C133" s="82" t="s">
        <v>13</v>
      </c>
      <c r="D133" s="82" t="s">
        <v>1201</v>
      </c>
      <c r="E133" s="82" t="s">
        <v>1157</v>
      </c>
      <c r="F133" s="82" t="s">
        <v>13</v>
      </c>
      <c r="G133" s="82">
        <v>1475</v>
      </c>
      <c r="H133" s="82" t="s">
        <v>147</v>
      </c>
      <c r="I133" s="82">
        <v>2</v>
      </c>
      <c r="J133" s="82">
        <v>55.6</v>
      </c>
      <c r="K133" s="82">
        <v>111.2</v>
      </c>
      <c r="L133" s="26">
        <f t="shared" si="25"/>
        <v>0</v>
      </c>
      <c r="M133" s="26">
        <f t="shared" si="22"/>
        <v>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67" t="e">
        <f>SUMIFS([1]Up!$J:$J,[1]Up!$D:$D,D133)</f>
        <v>#VALUE!</v>
      </c>
      <c r="BJ133" s="82"/>
      <c r="BK133" s="82" t="str">
        <f t="shared" si="26"/>
        <v>PL15</v>
      </c>
      <c r="BL133" s="53" t="str">
        <f t="shared" si="27"/>
        <v/>
      </c>
      <c r="BM133" s="53" t="s">
        <v>148</v>
      </c>
      <c r="BN133" s="53" t="s">
        <v>1093</v>
      </c>
      <c r="BO133" s="53" t="s">
        <v>1094</v>
      </c>
      <c r="BP133" s="53" t="s">
        <v>2100</v>
      </c>
      <c r="BQ133" s="53">
        <v>2</v>
      </c>
      <c r="BR133" s="83">
        <v>46120</v>
      </c>
      <c r="BS133" s="53"/>
      <c r="BT133" s="53"/>
    </row>
    <row r="134" spans="3:72" ht="14.25" hidden="1" customHeight="1">
      <c r="C134" s="82" t="s">
        <v>13</v>
      </c>
      <c r="D134" s="82" t="s">
        <v>1202</v>
      </c>
      <c r="E134" s="82" t="s">
        <v>1203</v>
      </c>
      <c r="F134" s="82" t="s">
        <v>1204</v>
      </c>
      <c r="G134" s="82">
        <v>852</v>
      </c>
      <c r="H134" s="82" t="s">
        <v>147</v>
      </c>
      <c r="I134" s="82">
        <v>2</v>
      </c>
      <c r="J134" s="82">
        <v>8.9</v>
      </c>
      <c r="K134" s="82">
        <v>17.8</v>
      </c>
      <c r="L134" s="26">
        <f t="shared" si="25"/>
        <v>0</v>
      </c>
      <c r="M134" s="26">
        <f t="shared" si="22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67" t="e">
        <f>SUMIFS([1]Up!$J:$J,[1]Up!$D:$D,D134)</f>
        <v>#VALUE!</v>
      </c>
      <c r="BJ134" s="82"/>
      <c r="BK134" s="82" t="str">
        <f t="shared" si="26"/>
        <v>PL10</v>
      </c>
      <c r="BL134" s="53" t="str">
        <f t="shared" si="27"/>
        <v/>
      </c>
      <c r="BM134" s="53" t="s">
        <v>148</v>
      </c>
      <c r="BN134" s="53" t="s">
        <v>1004</v>
      </c>
      <c r="BO134" s="53" t="s">
        <v>1005</v>
      </c>
      <c r="BP134" s="53"/>
      <c r="BQ134" s="53"/>
      <c r="BR134" s="83"/>
      <c r="BS134" s="53"/>
      <c r="BT134" s="53"/>
    </row>
    <row r="135" spans="3:72" ht="14.25" hidden="1" customHeight="1">
      <c r="C135" s="82" t="s">
        <v>13</v>
      </c>
      <c r="D135" s="82" t="s">
        <v>1205</v>
      </c>
      <c r="E135" s="82" t="s">
        <v>1206</v>
      </c>
      <c r="F135" s="82" t="s">
        <v>13</v>
      </c>
      <c r="G135" s="82">
        <v>301</v>
      </c>
      <c r="H135" s="82" t="s">
        <v>147</v>
      </c>
      <c r="I135" s="82">
        <v>4</v>
      </c>
      <c r="J135" s="82">
        <v>3</v>
      </c>
      <c r="K135" s="82">
        <v>12</v>
      </c>
      <c r="L135" s="26">
        <f t="shared" si="25"/>
        <v>4</v>
      </c>
      <c r="M135" s="26">
        <f t="shared" si="22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>
        <v>4</v>
      </c>
      <c r="BC135" s="26"/>
      <c r="BD135" s="26"/>
      <c r="BE135" s="26"/>
      <c r="BF135" s="26"/>
      <c r="BG135" s="26"/>
      <c r="BH135" s="26"/>
      <c r="BI135" s="67" t="e">
        <f>SUMIFS([1]Up!$J:$J,[1]Up!$D:$D,D135)</f>
        <v>#VALUE!</v>
      </c>
      <c r="BJ135" s="82"/>
      <c r="BK135" s="82" t="str">
        <f t="shared" si="26"/>
        <v>PL16</v>
      </c>
      <c r="BL135" s="53" t="str">
        <f t="shared" si="27"/>
        <v/>
      </c>
      <c r="BM135" s="53" t="s">
        <v>148</v>
      </c>
      <c r="BN135" s="53" t="s">
        <v>987</v>
      </c>
      <c r="BO135" s="53" t="s">
        <v>988</v>
      </c>
      <c r="BP135" s="53" t="s">
        <v>2103</v>
      </c>
      <c r="BQ135" s="53">
        <v>4</v>
      </c>
      <c r="BR135" s="83">
        <v>46120</v>
      </c>
      <c r="BS135" s="53"/>
      <c r="BT135" s="53"/>
    </row>
    <row r="136" spans="3:72" ht="14.25" hidden="1" customHeight="1">
      <c r="C136" s="82" t="s">
        <v>13</v>
      </c>
      <c r="D136" s="82" t="s">
        <v>1207</v>
      </c>
      <c r="E136" s="82" t="s">
        <v>1157</v>
      </c>
      <c r="F136" s="82" t="s">
        <v>13</v>
      </c>
      <c r="G136" s="82">
        <v>3385</v>
      </c>
      <c r="H136" s="82" t="s">
        <v>147</v>
      </c>
      <c r="I136" s="82">
        <v>2</v>
      </c>
      <c r="J136" s="82">
        <v>127.5</v>
      </c>
      <c r="K136" s="82">
        <v>255</v>
      </c>
      <c r="L136" s="26">
        <f t="shared" si="25"/>
        <v>0</v>
      </c>
      <c r="M136" s="26">
        <f t="shared" si="22"/>
        <v>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67" t="e">
        <f>SUMIFS([1]Up!$J:$J,[1]Up!$D:$D,D136)</f>
        <v>#VALUE!</v>
      </c>
      <c r="BJ136" s="82"/>
      <c r="BK136" s="82" t="str">
        <f t="shared" si="26"/>
        <v>PL15</v>
      </c>
      <c r="BL136" s="53" t="str">
        <f t="shared" si="27"/>
        <v/>
      </c>
      <c r="BM136" s="53" t="s">
        <v>148</v>
      </c>
      <c r="BN136" s="53" t="s">
        <v>1093</v>
      </c>
      <c r="BO136" s="53" t="s">
        <v>1094</v>
      </c>
      <c r="BP136" s="53" t="s">
        <v>2100</v>
      </c>
      <c r="BQ136" s="53">
        <v>2</v>
      </c>
      <c r="BR136" s="83">
        <v>46120</v>
      </c>
      <c r="BS136" s="53"/>
      <c r="BT136" s="53"/>
    </row>
    <row r="137" spans="3:72" ht="14.25" hidden="1" customHeight="1">
      <c r="C137" s="82" t="s">
        <v>13</v>
      </c>
      <c r="D137" s="82" t="s">
        <v>1208</v>
      </c>
      <c r="E137" s="82" t="s">
        <v>1206</v>
      </c>
      <c r="F137" s="82" t="s">
        <v>13</v>
      </c>
      <c r="G137" s="82">
        <v>310</v>
      </c>
      <c r="H137" s="82" t="s">
        <v>147</v>
      </c>
      <c r="I137" s="82">
        <v>2</v>
      </c>
      <c r="J137" s="82">
        <v>3.2</v>
      </c>
      <c r="K137" s="82">
        <v>6.4</v>
      </c>
      <c r="L137" s="26">
        <f t="shared" si="25"/>
        <v>2</v>
      </c>
      <c r="M137" s="26">
        <f t="shared" si="22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>
        <v>2</v>
      </c>
      <c r="BC137" s="26"/>
      <c r="BD137" s="26"/>
      <c r="BE137" s="26"/>
      <c r="BF137" s="26"/>
      <c r="BG137" s="26"/>
      <c r="BH137" s="26"/>
      <c r="BI137" s="67" t="e">
        <f>SUMIFS([1]Up!$J:$J,[1]Up!$D:$D,D137)</f>
        <v>#VALUE!</v>
      </c>
      <c r="BJ137" s="82"/>
      <c r="BK137" s="82" t="str">
        <f t="shared" si="26"/>
        <v>PL16</v>
      </c>
      <c r="BL137" s="53" t="str">
        <f t="shared" si="27"/>
        <v/>
      </c>
      <c r="BM137" s="53" t="s">
        <v>148</v>
      </c>
      <c r="BN137" s="53" t="s">
        <v>987</v>
      </c>
      <c r="BO137" s="53" t="s">
        <v>988</v>
      </c>
      <c r="BP137" s="53" t="s">
        <v>2103</v>
      </c>
      <c r="BQ137" s="53">
        <v>2</v>
      </c>
      <c r="BR137" s="83">
        <v>46120</v>
      </c>
      <c r="BS137" s="53"/>
      <c r="BT137" s="53"/>
    </row>
    <row r="138" spans="3:72" ht="14.25" hidden="1" customHeight="1">
      <c r="C138" s="82" t="s">
        <v>13</v>
      </c>
      <c r="D138" s="82" t="s">
        <v>1209</v>
      </c>
      <c r="E138" s="82" t="s">
        <v>1123</v>
      </c>
      <c r="F138" s="82" t="s">
        <v>1210</v>
      </c>
      <c r="G138" s="82">
        <v>260</v>
      </c>
      <c r="H138" s="82" t="s">
        <v>147</v>
      </c>
      <c r="I138" s="82">
        <v>2</v>
      </c>
      <c r="J138" s="82">
        <v>6.1</v>
      </c>
      <c r="K138" s="82">
        <v>12.2</v>
      </c>
      <c r="L138" s="26">
        <f t="shared" si="25"/>
        <v>0</v>
      </c>
      <c r="M138" s="26">
        <f t="shared" si="22"/>
        <v>2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67" t="e">
        <f>SUMIFS([1]Up!$J:$J,[1]Up!$D:$D,D138)</f>
        <v>#VALUE!</v>
      </c>
      <c r="BJ138" s="82"/>
      <c r="BK138" s="82" t="str">
        <f t="shared" si="26"/>
        <v>PL20</v>
      </c>
      <c r="BL138" s="53" t="str">
        <f t="shared" si="27"/>
        <v/>
      </c>
      <c r="BM138" s="53" t="s">
        <v>148</v>
      </c>
      <c r="BN138" s="53" t="s">
        <v>1099</v>
      </c>
      <c r="BO138" s="53" t="s">
        <v>1100</v>
      </c>
      <c r="BP138" s="53" t="s">
        <v>2101</v>
      </c>
      <c r="BQ138" s="53">
        <v>2</v>
      </c>
      <c r="BR138" s="83">
        <v>46303</v>
      </c>
      <c r="BS138" s="53"/>
      <c r="BT138" s="53"/>
    </row>
    <row r="139" spans="3:72" ht="14.25" hidden="1" customHeight="1">
      <c r="C139" s="82" t="s">
        <v>13</v>
      </c>
      <c r="D139" s="82" t="s">
        <v>1211</v>
      </c>
      <c r="E139" s="82" t="s">
        <v>1125</v>
      </c>
      <c r="F139" s="82" t="s">
        <v>1212</v>
      </c>
      <c r="G139" s="82">
        <v>200</v>
      </c>
      <c r="H139" s="82" t="s">
        <v>147</v>
      </c>
      <c r="I139" s="82">
        <v>2</v>
      </c>
      <c r="J139" s="82">
        <v>2.6</v>
      </c>
      <c r="K139" s="82">
        <v>5.2</v>
      </c>
      <c r="L139" s="26">
        <f t="shared" si="25"/>
        <v>0</v>
      </c>
      <c r="M139" s="26">
        <f t="shared" si="22"/>
        <v>2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67" t="e">
        <f>SUMIFS([1]Up!$J:$J,[1]Up!$D:$D,D139)</f>
        <v>#VALUE!</v>
      </c>
      <c r="BJ139" s="82"/>
      <c r="BK139" s="82" t="str">
        <f t="shared" si="26"/>
        <v>PL15</v>
      </c>
      <c r="BL139" s="53" t="str">
        <f t="shared" si="27"/>
        <v/>
      </c>
      <c r="BM139" s="53" t="s">
        <v>148</v>
      </c>
      <c r="BN139" s="53" t="s">
        <v>1093</v>
      </c>
      <c r="BO139" s="53" t="s">
        <v>1094</v>
      </c>
      <c r="BP139" s="53" t="s">
        <v>2100</v>
      </c>
      <c r="BQ139" s="53">
        <v>2</v>
      </c>
      <c r="BR139" s="83">
        <v>46120</v>
      </c>
      <c r="BS139" s="53"/>
      <c r="BT139" s="53"/>
    </row>
    <row r="140" spans="3:72" ht="14.25" hidden="1" customHeight="1">
      <c r="C140" s="82" t="s">
        <v>13</v>
      </c>
      <c r="D140" s="82" t="s">
        <v>1213</v>
      </c>
      <c r="E140" s="82" t="s">
        <v>1214</v>
      </c>
      <c r="F140" s="82" t="s">
        <v>1195</v>
      </c>
      <c r="G140" s="82">
        <v>6263</v>
      </c>
      <c r="H140" s="82" t="s">
        <v>147</v>
      </c>
      <c r="I140" s="82">
        <v>1</v>
      </c>
      <c r="J140" s="82">
        <v>795.6</v>
      </c>
      <c r="K140" s="82">
        <v>795.6</v>
      </c>
      <c r="L140" s="26">
        <f t="shared" si="25"/>
        <v>0</v>
      </c>
      <c r="M140" s="26">
        <f t="shared" si="22"/>
        <v>1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67" t="e">
        <f>SUMIFS([1]Up!$J:$J,[1]Up!$D:$D,D140)</f>
        <v>#VALUE!</v>
      </c>
      <c r="BJ140" s="82"/>
      <c r="BK140" s="82" t="str">
        <f t="shared" si="26"/>
        <v>PL10</v>
      </c>
      <c r="BL140" s="53" t="str">
        <f t="shared" si="27"/>
        <v/>
      </c>
      <c r="BM140" s="53" t="s">
        <v>154</v>
      </c>
      <c r="BN140" s="53" t="s">
        <v>1004</v>
      </c>
      <c r="BO140" s="53" t="s">
        <v>1005</v>
      </c>
      <c r="BP140" s="53"/>
      <c r="BQ140" s="53"/>
      <c r="BR140" s="83"/>
      <c r="BS140" s="53"/>
      <c r="BT140" s="53"/>
    </row>
    <row r="141" spans="3:72" ht="14.25" hidden="1" customHeight="1">
      <c r="C141" s="82" t="s">
        <v>13</v>
      </c>
      <c r="D141" s="82" t="s">
        <v>1215</v>
      </c>
      <c r="E141" s="82" t="s">
        <v>1216</v>
      </c>
      <c r="F141" s="82" t="s">
        <v>1204</v>
      </c>
      <c r="G141" s="82">
        <v>2300</v>
      </c>
      <c r="H141" s="82" t="s">
        <v>147</v>
      </c>
      <c r="I141" s="82">
        <v>1</v>
      </c>
      <c r="J141" s="82">
        <v>71.099999999999994</v>
      </c>
      <c r="K141" s="82">
        <v>71.099999999999994</v>
      </c>
      <c r="L141" s="26">
        <f t="shared" si="25"/>
        <v>0</v>
      </c>
      <c r="M141" s="26">
        <f t="shared" si="22"/>
        <v>1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67" t="e">
        <f>SUMIFS([1]Up!$J:$J,[1]Up!$D:$D,D141)</f>
        <v>#VALUE!</v>
      </c>
      <c r="BJ141" s="82"/>
      <c r="BK141" s="82" t="str">
        <f t="shared" si="26"/>
        <v>PL10</v>
      </c>
      <c r="BL141" s="53" t="str">
        <f t="shared" si="27"/>
        <v/>
      </c>
      <c r="BM141" s="53" t="s">
        <v>148</v>
      </c>
      <c r="BN141" s="53" t="s">
        <v>1004</v>
      </c>
      <c r="BO141" s="53" t="s">
        <v>1005</v>
      </c>
      <c r="BP141" s="53"/>
      <c r="BQ141" s="53"/>
      <c r="BR141" s="83"/>
      <c r="BS141" s="53"/>
      <c r="BT141" s="53"/>
    </row>
    <row r="142" spans="3:72" ht="14.25" hidden="1" customHeight="1">
      <c r="C142" s="82" t="s">
        <v>13</v>
      </c>
      <c r="D142" s="82" t="s">
        <v>1217</v>
      </c>
      <c r="E142" s="82" t="s">
        <v>1218</v>
      </c>
      <c r="F142" s="82" t="s">
        <v>1204</v>
      </c>
      <c r="G142" s="82">
        <v>2300</v>
      </c>
      <c r="H142" s="82" t="s">
        <v>147</v>
      </c>
      <c r="I142" s="82">
        <v>2</v>
      </c>
      <c r="J142" s="82">
        <v>74.599999999999994</v>
      </c>
      <c r="K142" s="82">
        <v>149.19999999999999</v>
      </c>
      <c r="L142" s="26">
        <f t="shared" si="25"/>
        <v>0</v>
      </c>
      <c r="M142" s="26">
        <f t="shared" si="22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67" t="e">
        <f>SUMIFS([1]Up!$J:$J,[1]Up!$D:$D,D142)</f>
        <v>#VALUE!</v>
      </c>
      <c r="BJ142" s="82"/>
      <c r="BK142" s="82" t="str">
        <f t="shared" si="26"/>
        <v>PL10</v>
      </c>
      <c r="BL142" s="53" t="str">
        <f t="shared" si="27"/>
        <v/>
      </c>
      <c r="BM142" s="53" t="s">
        <v>148</v>
      </c>
      <c r="BN142" s="53" t="s">
        <v>1004</v>
      </c>
      <c r="BO142" s="53" t="s">
        <v>1005</v>
      </c>
      <c r="BP142" s="53"/>
      <c r="BQ142" s="53"/>
      <c r="BR142" s="83"/>
      <c r="BS142" s="53"/>
      <c r="BT142" s="53"/>
    </row>
    <row r="143" spans="3:72" ht="14.25" hidden="1" customHeight="1">
      <c r="C143" s="82" t="s">
        <v>13</v>
      </c>
      <c r="D143" s="82" t="s">
        <v>1219</v>
      </c>
      <c r="E143" s="82" t="s">
        <v>1220</v>
      </c>
      <c r="F143" s="82" t="s">
        <v>1204</v>
      </c>
      <c r="G143" s="82">
        <v>2300</v>
      </c>
      <c r="H143" s="82" t="s">
        <v>147</v>
      </c>
      <c r="I143" s="82">
        <v>1</v>
      </c>
      <c r="J143" s="82">
        <v>48.2</v>
      </c>
      <c r="K143" s="82">
        <v>48.2</v>
      </c>
      <c r="L143" s="26">
        <f t="shared" si="25"/>
        <v>0</v>
      </c>
      <c r="M143" s="26">
        <f t="shared" si="22"/>
        <v>1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67" t="e">
        <f>SUMIFS([1]Up!$J:$J,[1]Up!$D:$D,D143)</f>
        <v>#VALUE!</v>
      </c>
      <c r="BJ143" s="82"/>
      <c r="BK143" s="82" t="str">
        <f t="shared" si="26"/>
        <v>PL10</v>
      </c>
      <c r="BL143" s="53" t="str">
        <f t="shared" si="27"/>
        <v/>
      </c>
      <c r="BM143" s="53" t="s">
        <v>148</v>
      </c>
      <c r="BN143" s="53" t="s">
        <v>1004</v>
      </c>
      <c r="BO143" s="53" t="s">
        <v>1005</v>
      </c>
      <c r="BP143" s="53"/>
      <c r="BQ143" s="53"/>
      <c r="BR143" s="83"/>
      <c r="BS143" s="53"/>
      <c r="BT143" s="53"/>
    </row>
    <row r="144" spans="3:72" ht="14.25" hidden="1" customHeight="1">
      <c r="C144" s="82" t="s">
        <v>13</v>
      </c>
      <c r="D144" s="82" t="s">
        <v>1221</v>
      </c>
      <c r="E144" s="82" t="s">
        <v>1222</v>
      </c>
      <c r="F144" s="82" t="s">
        <v>13</v>
      </c>
      <c r="G144" s="82">
        <v>517</v>
      </c>
      <c r="H144" s="82" t="s">
        <v>147</v>
      </c>
      <c r="I144" s="82">
        <v>1</v>
      </c>
      <c r="J144" s="82">
        <v>13.2</v>
      </c>
      <c r="K144" s="82">
        <v>13.2</v>
      </c>
      <c r="L144" s="26">
        <f t="shared" si="25"/>
        <v>0</v>
      </c>
      <c r="M144" s="26">
        <f t="shared" si="22"/>
        <v>1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67" t="e">
        <f>SUMIFS([1]Up!$J:$J,[1]Up!$D:$D,D144)</f>
        <v>#VALUE!</v>
      </c>
      <c r="BJ144" s="82"/>
      <c r="BK144" s="82" t="str">
        <f t="shared" si="26"/>
        <v>PL15</v>
      </c>
      <c r="BL144" s="53" t="str">
        <f t="shared" si="27"/>
        <v/>
      </c>
      <c r="BM144" s="53" t="s">
        <v>148</v>
      </c>
      <c r="BN144" s="53" t="s">
        <v>1093</v>
      </c>
      <c r="BO144" s="53" t="s">
        <v>1094</v>
      </c>
      <c r="BP144" s="53" t="s">
        <v>2100</v>
      </c>
      <c r="BQ144" s="53">
        <v>1</v>
      </c>
      <c r="BR144" s="83">
        <v>46120</v>
      </c>
      <c r="BS144" s="53"/>
      <c r="BT144" s="53"/>
    </row>
    <row r="145" spans="3:72" ht="14.25" hidden="1" customHeight="1">
      <c r="C145" s="82" t="s">
        <v>13</v>
      </c>
      <c r="D145" s="82" t="s">
        <v>1223</v>
      </c>
      <c r="E145" s="82" t="s">
        <v>1224</v>
      </c>
      <c r="F145" s="82" t="s">
        <v>1204</v>
      </c>
      <c r="G145" s="82">
        <v>986</v>
      </c>
      <c r="H145" s="82" t="s">
        <v>147</v>
      </c>
      <c r="I145" s="82">
        <v>1</v>
      </c>
      <c r="J145" s="82">
        <v>10.4</v>
      </c>
      <c r="K145" s="82">
        <v>10.4</v>
      </c>
      <c r="L145" s="26">
        <f t="shared" si="25"/>
        <v>0</v>
      </c>
      <c r="M145" s="26">
        <f t="shared" si="22"/>
        <v>1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67" t="e">
        <f>SUMIFS([1]Up!$J:$J,[1]Up!$D:$D,D145)</f>
        <v>#VALUE!</v>
      </c>
      <c r="BJ145" s="82"/>
      <c r="BK145" s="82" t="str">
        <f t="shared" si="26"/>
        <v>PL10</v>
      </c>
      <c r="BL145" s="53" t="str">
        <f t="shared" si="27"/>
        <v/>
      </c>
      <c r="BM145" s="53" t="s">
        <v>148</v>
      </c>
      <c r="BN145" s="53" t="s">
        <v>1004</v>
      </c>
      <c r="BO145" s="53" t="s">
        <v>1005</v>
      </c>
      <c r="BP145" s="53"/>
      <c r="BQ145" s="53"/>
      <c r="BR145" s="83"/>
      <c r="BS145" s="53"/>
      <c r="BT145" s="53"/>
    </row>
    <row r="146" spans="3:72" ht="14.25" hidden="1" customHeight="1">
      <c r="C146" s="82" t="s">
        <v>13</v>
      </c>
      <c r="D146" s="82" t="s">
        <v>1225</v>
      </c>
      <c r="E146" s="82" t="s">
        <v>1226</v>
      </c>
      <c r="F146" s="82" t="s">
        <v>1204</v>
      </c>
      <c r="G146" s="82">
        <v>2442</v>
      </c>
      <c r="H146" s="82" t="s">
        <v>147</v>
      </c>
      <c r="I146" s="82">
        <v>2</v>
      </c>
      <c r="J146" s="82">
        <v>182.4</v>
      </c>
      <c r="K146" s="82">
        <v>364.8</v>
      </c>
      <c r="L146" s="26">
        <f t="shared" si="25"/>
        <v>0</v>
      </c>
      <c r="M146" s="26">
        <f t="shared" si="22"/>
        <v>2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67" t="e">
        <f>SUMIFS([1]Up!$J:$J,[1]Up!$D:$D,D146)</f>
        <v>#VALUE!</v>
      </c>
      <c r="BJ146" s="82"/>
      <c r="BK146" s="82" t="str">
        <f t="shared" si="26"/>
        <v>PL20</v>
      </c>
      <c r="BL146" s="53" t="str">
        <f t="shared" si="27"/>
        <v/>
      </c>
      <c r="BM146" s="53" t="s">
        <v>148</v>
      </c>
      <c r="BN146" s="53" t="s">
        <v>1099</v>
      </c>
      <c r="BO146" s="53" t="s">
        <v>1100</v>
      </c>
      <c r="BP146" s="53" t="s">
        <v>57</v>
      </c>
      <c r="BQ146" s="53">
        <v>2</v>
      </c>
      <c r="BR146" s="83"/>
      <c r="BS146" s="53"/>
      <c r="BT146" s="53"/>
    </row>
    <row r="147" spans="3:72" ht="14.25" hidden="1" customHeight="1">
      <c r="C147" s="82" t="s">
        <v>13</v>
      </c>
      <c r="D147" s="82" t="s">
        <v>1227</v>
      </c>
      <c r="E147" s="82" t="s">
        <v>1228</v>
      </c>
      <c r="F147" s="82" t="s">
        <v>13</v>
      </c>
      <c r="G147" s="82">
        <v>2338</v>
      </c>
      <c r="H147" s="82" t="s">
        <v>147</v>
      </c>
      <c r="I147" s="82">
        <v>1</v>
      </c>
      <c r="J147" s="82">
        <v>117.4</v>
      </c>
      <c r="K147" s="82">
        <v>117.4</v>
      </c>
      <c r="L147" s="26">
        <f t="shared" si="25"/>
        <v>0</v>
      </c>
      <c r="M147" s="26">
        <f t="shared" si="22"/>
        <v>1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67" t="e">
        <f>SUMIFS([1]Up!$J:$J,[1]Up!$D:$D,D147)</f>
        <v>#VALUE!</v>
      </c>
      <c r="BJ147" s="82"/>
      <c r="BK147" s="82" t="str">
        <f t="shared" si="26"/>
        <v>PL10</v>
      </c>
      <c r="BL147" s="53" t="str">
        <f t="shared" si="27"/>
        <v/>
      </c>
      <c r="BM147" s="53" t="s">
        <v>154</v>
      </c>
      <c r="BN147" s="53" t="s">
        <v>1004</v>
      </c>
      <c r="BO147" s="53" t="s">
        <v>1005</v>
      </c>
      <c r="BP147" s="53"/>
      <c r="BQ147" s="53"/>
      <c r="BR147" s="83"/>
      <c r="BS147" s="53"/>
      <c r="BT147" s="53"/>
    </row>
    <row r="148" spans="3:72" ht="14.25" hidden="1" customHeight="1">
      <c r="C148" s="82" t="s">
        <v>11</v>
      </c>
      <c r="D148" s="82" t="s">
        <v>1229</v>
      </c>
      <c r="E148" s="82" t="s">
        <v>1075</v>
      </c>
      <c r="F148" s="82" t="s">
        <v>1010</v>
      </c>
      <c r="G148" s="82">
        <v>812</v>
      </c>
      <c r="H148" s="82" t="s">
        <v>1077</v>
      </c>
      <c r="I148" s="82">
        <v>6</v>
      </c>
      <c r="J148" s="82">
        <v>13.05696</v>
      </c>
      <c r="K148" s="82">
        <v>78.341759999999994</v>
      </c>
      <c r="L148" s="26">
        <f t="shared" si="25"/>
        <v>0</v>
      </c>
      <c r="M148" s="26">
        <f t="shared" si="22"/>
        <v>6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67" t="e">
        <f>SUMIFS([1]Up!$J:$J,[1]Up!$D:$D,D148)</f>
        <v>#VALUE!</v>
      </c>
      <c r="BJ148" s="82"/>
      <c r="BK148" s="82" t="str">
        <f t="shared" si="26"/>
        <v/>
      </c>
      <c r="BL148" s="53" t="str">
        <f t="shared" si="27"/>
        <v/>
      </c>
      <c r="BM148" s="53" t="s">
        <v>148</v>
      </c>
      <c r="BN148" s="53" t="s">
        <v>1078</v>
      </c>
      <c r="BO148" s="53" t="s">
        <v>1075</v>
      </c>
      <c r="BP148" s="53" t="s">
        <v>2104</v>
      </c>
      <c r="BQ148" s="53">
        <v>6</v>
      </c>
      <c r="BR148" s="83">
        <v>46120</v>
      </c>
      <c r="BS148" s="53"/>
      <c r="BT148" s="53"/>
    </row>
    <row r="149" spans="3:72" ht="14.25" hidden="1" customHeight="1">
      <c r="C149" s="82" t="s">
        <v>13</v>
      </c>
      <c r="D149" s="82" t="s">
        <v>1230</v>
      </c>
      <c r="E149" s="82" t="s">
        <v>1231</v>
      </c>
      <c r="F149" s="82" t="s">
        <v>1195</v>
      </c>
      <c r="G149" s="82">
        <v>11481</v>
      </c>
      <c r="H149" s="82" t="s">
        <v>147</v>
      </c>
      <c r="I149" s="82">
        <v>1</v>
      </c>
      <c r="J149" s="82">
        <v>4916.3</v>
      </c>
      <c r="K149" s="82">
        <v>4916.3</v>
      </c>
      <c r="L149" s="26">
        <f t="shared" si="25"/>
        <v>0</v>
      </c>
      <c r="M149" s="26">
        <f t="shared" si="22"/>
        <v>1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67" t="e">
        <f>SUMIFS([1]Up!$J:$J,[1]Up!$D:$D,D149)</f>
        <v>#VALUE!</v>
      </c>
      <c r="BJ149" s="82"/>
      <c r="BK149" s="82" t="str">
        <f t="shared" si="26"/>
        <v>PL10</v>
      </c>
      <c r="BL149" s="53" t="str">
        <f t="shared" si="27"/>
        <v/>
      </c>
      <c r="BM149" s="53" t="s">
        <v>154</v>
      </c>
      <c r="BN149" s="53" t="s">
        <v>1004</v>
      </c>
      <c r="BO149" s="53" t="s">
        <v>1005</v>
      </c>
      <c r="BP149" s="53"/>
      <c r="BQ149" s="53"/>
      <c r="BR149" s="83"/>
      <c r="BS149" s="53"/>
      <c r="BT149" s="53"/>
    </row>
    <row r="150" spans="3:72" ht="14.25" hidden="1" customHeight="1">
      <c r="C150" s="82" t="s">
        <v>13</v>
      </c>
      <c r="D150" s="82" t="s">
        <v>1232</v>
      </c>
      <c r="E150" s="82" t="s">
        <v>1123</v>
      </c>
      <c r="F150" s="82" t="s">
        <v>1210</v>
      </c>
      <c r="G150" s="82">
        <v>260</v>
      </c>
      <c r="H150" s="82" t="s">
        <v>147</v>
      </c>
      <c r="I150" s="82">
        <v>2</v>
      </c>
      <c r="J150" s="82">
        <v>6.1</v>
      </c>
      <c r="K150" s="82">
        <v>12.2</v>
      </c>
      <c r="L150" s="26">
        <f t="shared" si="25"/>
        <v>0</v>
      </c>
      <c r="M150" s="26">
        <f t="shared" si="22"/>
        <v>2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67" t="e">
        <f>SUMIFS([1]Up!$J:$J,[1]Up!$D:$D,D150)</f>
        <v>#VALUE!</v>
      </c>
      <c r="BJ150" s="82"/>
      <c r="BK150" s="82" t="str">
        <f t="shared" si="26"/>
        <v>PL20</v>
      </c>
      <c r="BL150" s="53" t="str">
        <f t="shared" si="27"/>
        <v/>
      </c>
      <c r="BM150" s="53" t="s">
        <v>148</v>
      </c>
      <c r="BN150" s="53" t="s">
        <v>1099</v>
      </c>
      <c r="BO150" s="53" t="s">
        <v>1100</v>
      </c>
      <c r="BP150" s="53" t="s">
        <v>2101</v>
      </c>
      <c r="BQ150" s="53">
        <v>2</v>
      </c>
      <c r="BR150" s="83">
        <v>46303</v>
      </c>
      <c r="BS150" s="53"/>
      <c r="BT150" s="53"/>
    </row>
    <row r="151" spans="3:72" ht="14.25" hidden="1" customHeight="1">
      <c r="C151" s="82" t="s">
        <v>13</v>
      </c>
      <c r="D151" s="82" t="s">
        <v>1233</v>
      </c>
      <c r="E151" s="82" t="s">
        <v>1125</v>
      </c>
      <c r="F151" s="82" t="s">
        <v>1212</v>
      </c>
      <c r="G151" s="82">
        <v>200</v>
      </c>
      <c r="H151" s="82" t="s">
        <v>147</v>
      </c>
      <c r="I151" s="82">
        <v>2</v>
      </c>
      <c r="J151" s="82">
        <v>2.6</v>
      </c>
      <c r="K151" s="82">
        <v>5.2</v>
      </c>
      <c r="L151" s="26">
        <f t="shared" si="25"/>
        <v>0</v>
      </c>
      <c r="M151" s="26">
        <f t="shared" si="22"/>
        <v>2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67" t="e">
        <f>SUMIFS([1]Up!$J:$J,[1]Up!$D:$D,D151)</f>
        <v>#VALUE!</v>
      </c>
      <c r="BJ151" s="82"/>
      <c r="BK151" s="82" t="str">
        <f t="shared" si="26"/>
        <v>PL15</v>
      </c>
      <c r="BL151" s="53" t="str">
        <f t="shared" si="27"/>
        <v/>
      </c>
      <c r="BM151" s="53" t="s">
        <v>148</v>
      </c>
      <c r="BN151" s="53" t="s">
        <v>1093</v>
      </c>
      <c r="BO151" s="53" t="s">
        <v>1094</v>
      </c>
      <c r="BP151" s="53" t="s">
        <v>2100</v>
      </c>
      <c r="BQ151" s="53">
        <v>2</v>
      </c>
      <c r="BR151" s="83">
        <v>46120</v>
      </c>
      <c r="BS151" s="53"/>
      <c r="BT151" s="53"/>
    </row>
    <row r="152" spans="3:72" ht="14.25" hidden="1" customHeight="1">
      <c r="C152" s="82" t="s">
        <v>13</v>
      </c>
      <c r="D152" s="82" t="s">
        <v>1234</v>
      </c>
      <c r="E152" s="82" t="s">
        <v>1157</v>
      </c>
      <c r="F152" s="82" t="s">
        <v>13</v>
      </c>
      <c r="G152" s="82">
        <v>11491</v>
      </c>
      <c r="H152" s="82" t="s">
        <v>147</v>
      </c>
      <c r="I152" s="82">
        <v>2</v>
      </c>
      <c r="J152" s="82">
        <v>433</v>
      </c>
      <c r="K152" s="82">
        <v>866</v>
      </c>
      <c r="L152" s="26">
        <f t="shared" si="25"/>
        <v>0</v>
      </c>
      <c r="M152" s="26">
        <f t="shared" si="22"/>
        <v>2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67" t="e">
        <f>SUMIFS([1]Up!$J:$J,[1]Up!$D:$D,D152)</f>
        <v>#VALUE!</v>
      </c>
      <c r="BJ152" s="82"/>
      <c r="BK152" s="82" t="str">
        <f t="shared" si="26"/>
        <v>PL15</v>
      </c>
      <c r="BL152" s="53" t="str">
        <f t="shared" si="27"/>
        <v/>
      </c>
      <c r="BM152" s="53" t="s">
        <v>148</v>
      </c>
      <c r="BN152" s="53" t="s">
        <v>1093</v>
      </c>
      <c r="BO152" s="53" t="s">
        <v>1094</v>
      </c>
      <c r="BP152" s="53" t="s">
        <v>2100</v>
      </c>
      <c r="BQ152" s="53">
        <v>2</v>
      </c>
      <c r="BR152" s="83">
        <v>46120</v>
      </c>
      <c r="BS152" s="53"/>
      <c r="BT152" s="53"/>
    </row>
    <row r="153" spans="3:72" ht="14.25" hidden="1" customHeight="1">
      <c r="C153" s="82" t="s">
        <v>13</v>
      </c>
      <c r="D153" s="82" t="s">
        <v>1235</v>
      </c>
      <c r="E153" s="82" t="s">
        <v>1216</v>
      </c>
      <c r="F153" s="82" t="s">
        <v>1204</v>
      </c>
      <c r="G153" s="82">
        <v>2300</v>
      </c>
      <c r="H153" s="82" t="s">
        <v>147</v>
      </c>
      <c r="I153" s="82">
        <v>1</v>
      </c>
      <c r="J153" s="82">
        <v>71.099999999999994</v>
      </c>
      <c r="K153" s="82">
        <v>71.099999999999994</v>
      </c>
      <c r="L153" s="26">
        <f t="shared" si="25"/>
        <v>0</v>
      </c>
      <c r="M153" s="26">
        <f t="shared" si="22"/>
        <v>1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67" t="e">
        <f>SUMIFS([1]Up!$J:$J,[1]Up!$D:$D,D153)</f>
        <v>#VALUE!</v>
      </c>
      <c r="BJ153" s="82"/>
      <c r="BK153" s="82" t="str">
        <f t="shared" si="26"/>
        <v>PL10</v>
      </c>
      <c r="BL153" s="53" t="str">
        <f t="shared" si="27"/>
        <v/>
      </c>
      <c r="BM153" s="53" t="s">
        <v>148</v>
      </c>
      <c r="BN153" s="53" t="s">
        <v>1004</v>
      </c>
      <c r="BO153" s="53" t="s">
        <v>1005</v>
      </c>
      <c r="BP153" s="53"/>
      <c r="BQ153" s="53"/>
      <c r="BR153" s="83"/>
      <c r="BS153" s="53"/>
      <c r="BT153" s="53"/>
    </row>
    <row r="154" spans="3:72" ht="14.25" hidden="1" customHeight="1">
      <c r="C154" s="82" t="s">
        <v>13</v>
      </c>
      <c r="D154" s="82" t="s">
        <v>1236</v>
      </c>
      <c r="E154" s="82" t="s">
        <v>1216</v>
      </c>
      <c r="F154" s="82" t="s">
        <v>1204</v>
      </c>
      <c r="G154" s="82">
        <v>2300</v>
      </c>
      <c r="H154" s="82" t="s">
        <v>147</v>
      </c>
      <c r="I154" s="82">
        <v>3</v>
      </c>
      <c r="J154" s="82">
        <v>48.2</v>
      </c>
      <c r="K154" s="82">
        <v>144.60000000000002</v>
      </c>
      <c r="L154" s="26">
        <f t="shared" si="25"/>
        <v>0</v>
      </c>
      <c r="M154" s="26">
        <f t="shared" si="22"/>
        <v>3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67" t="e">
        <f>SUMIFS([1]Up!$J:$J,[1]Up!$D:$D,D154)</f>
        <v>#VALUE!</v>
      </c>
      <c r="BJ154" s="82"/>
      <c r="BK154" s="82" t="str">
        <f t="shared" si="26"/>
        <v>PL10</v>
      </c>
      <c r="BL154" s="53" t="str">
        <f t="shared" si="27"/>
        <v/>
      </c>
      <c r="BM154" s="53" t="s">
        <v>148</v>
      </c>
      <c r="BN154" s="53" t="s">
        <v>1004</v>
      </c>
      <c r="BO154" s="53" t="s">
        <v>1005</v>
      </c>
      <c r="BP154" s="53"/>
      <c r="BQ154" s="53"/>
      <c r="BR154" s="83"/>
      <c r="BS154" s="53"/>
      <c r="BT154" s="53"/>
    </row>
    <row r="155" spans="3:72" ht="14.25" hidden="1" customHeight="1">
      <c r="C155" s="82" t="s">
        <v>13</v>
      </c>
      <c r="D155" s="82" t="s">
        <v>1237</v>
      </c>
      <c r="E155" s="82" t="s">
        <v>1238</v>
      </c>
      <c r="F155" s="82" t="s">
        <v>13</v>
      </c>
      <c r="G155" s="82">
        <v>517</v>
      </c>
      <c r="H155" s="82" t="s">
        <v>147</v>
      </c>
      <c r="I155" s="82">
        <v>3</v>
      </c>
      <c r="J155" s="82">
        <v>13.2</v>
      </c>
      <c r="K155" s="82">
        <v>39.599999999999994</v>
      </c>
      <c r="L155" s="26">
        <f t="shared" si="25"/>
        <v>0</v>
      </c>
      <c r="M155" s="26">
        <f t="shared" si="22"/>
        <v>3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67" t="e">
        <f>SUMIFS([1]Up!$J:$J,[1]Up!$D:$D,D155)</f>
        <v>#VALUE!</v>
      </c>
      <c r="BJ155" s="82"/>
      <c r="BK155" s="82" t="str">
        <f t="shared" si="26"/>
        <v>PL15</v>
      </c>
      <c r="BL155" s="53" t="str">
        <f t="shared" si="27"/>
        <v/>
      </c>
      <c r="BM155" s="53" t="s">
        <v>148</v>
      </c>
      <c r="BN155" s="53" t="s">
        <v>1093</v>
      </c>
      <c r="BO155" s="53" t="s">
        <v>1094</v>
      </c>
      <c r="BP155" s="53" t="s">
        <v>2100</v>
      </c>
      <c r="BQ155" s="53">
        <v>3</v>
      </c>
      <c r="BR155" s="83">
        <v>46120</v>
      </c>
      <c r="BS155" s="53"/>
      <c r="BT155" s="53"/>
    </row>
    <row r="156" spans="3:72" ht="14.25" hidden="1" customHeight="1">
      <c r="C156" s="82" t="s">
        <v>13</v>
      </c>
      <c r="D156" s="82" t="s">
        <v>1239</v>
      </c>
      <c r="E156" s="82" t="s">
        <v>1224</v>
      </c>
      <c r="F156" s="82" t="s">
        <v>1204</v>
      </c>
      <c r="G156" s="82">
        <v>986</v>
      </c>
      <c r="H156" s="82" t="s">
        <v>147</v>
      </c>
      <c r="I156" s="82">
        <v>3</v>
      </c>
      <c r="J156" s="82">
        <v>10.4</v>
      </c>
      <c r="K156" s="82">
        <v>31.200000000000003</v>
      </c>
      <c r="L156" s="26">
        <f t="shared" si="25"/>
        <v>0</v>
      </c>
      <c r="M156" s="26">
        <f t="shared" si="22"/>
        <v>3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67" t="e">
        <f>SUMIFS([1]Up!$J:$J,[1]Up!$D:$D,D156)</f>
        <v>#VALUE!</v>
      </c>
      <c r="BJ156" s="82"/>
      <c r="BK156" s="82" t="str">
        <f t="shared" si="26"/>
        <v>PL10</v>
      </c>
      <c r="BL156" s="53" t="str">
        <f t="shared" si="27"/>
        <v/>
      </c>
      <c r="BM156" s="53" t="s">
        <v>148</v>
      </c>
      <c r="BN156" s="53" t="s">
        <v>1093</v>
      </c>
      <c r="BO156" s="53" t="s">
        <v>1094</v>
      </c>
      <c r="BP156" s="53"/>
      <c r="BQ156" s="53"/>
      <c r="BR156" s="83"/>
      <c r="BS156" s="53"/>
      <c r="BT156" s="53"/>
    </row>
    <row r="157" spans="3:72" ht="14.25" hidden="1" customHeight="1">
      <c r="C157" s="82" t="s">
        <v>13</v>
      </c>
      <c r="D157" s="82" t="s">
        <v>1240</v>
      </c>
      <c r="E157" s="82" t="s">
        <v>1216</v>
      </c>
      <c r="F157" s="82" t="s">
        <v>1204</v>
      </c>
      <c r="G157" s="82">
        <v>2300</v>
      </c>
      <c r="H157" s="82" t="s">
        <v>147</v>
      </c>
      <c r="I157" s="82">
        <v>2</v>
      </c>
      <c r="J157" s="82">
        <v>64.3</v>
      </c>
      <c r="K157" s="82">
        <v>128.6</v>
      </c>
      <c r="L157" s="26">
        <f t="shared" si="25"/>
        <v>0</v>
      </c>
      <c r="M157" s="26">
        <f t="shared" si="22"/>
        <v>2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67" t="e">
        <f>SUMIFS([1]Up!$J:$J,[1]Up!$D:$D,D157)</f>
        <v>#VALUE!</v>
      </c>
      <c r="BJ157" s="82"/>
      <c r="BK157" s="82" t="str">
        <f t="shared" si="26"/>
        <v>PL10</v>
      </c>
      <c r="BL157" s="53" t="str">
        <f t="shared" si="27"/>
        <v/>
      </c>
      <c r="BM157" s="53" t="s">
        <v>148</v>
      </c>
      <c r="BN157" s="53" t="s">
        <v>1004</v>
      </c>
      <c r="BO157" s="53" t="s">
        <v>1005</v>
      </c>
      <c r="BP157" s="53"/>
      <c r="BQ157" s="53"/>
      <c r="BR157" s="83"/>
      <c r="BS157" s="53"/>
      <c r="BT157" s="53"/>
    </row>
    <row r="158" spans="3:72" ht="14.25" hidden="1" customHeight="1">
      <c r="C158" s="82" t="s">
        <v>13</v>
      </c>
      <c r="D158" s="82" t="s">
        <v>1241</v>
      </c>
      <c r="E158" s="82" t="s">
        <v>1206</v>
      </c>
      <c r="F158" s="82" t="s">
        <v>13</v>
      </c>
      <c r="G158" s="82">
        <v>301</v>
      </c>
      <c r="H158" s="82" t="s">
        <v>147</v>
      </c>
      <c r="I158" s="82">
        <v>2</v>
      </c>
      <c r="J158" s="82">
        <v>1.6</v>
      </c>
      <c r="K158" s="82">
        <v>3.2</v>
      </c>
      <c r="L158" s="26">
        <f t="shared" ref="L158:L221" si="28">MIN(SUM(N158:BH158),I158)</f>
        <v>2</v>
      </c>
      <c r="M158" s="26">
        <f t="shared" si="22"/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>
        <v>2</v>
      </c>
      <c r="BC158" s="26"/>
      <c r="BD158" s="26"/>
      <c r="BE158" s="26"/>
      <c r="BF158" s="26"/>
      <c r="BG158" s="26"/>
      <c r="BH158" s="26"/>
      <c r="BI158" s="67" t="e">
        <f>SUMIFS([1]Up!$J:$J,[1]Up!$D:$D,D158)</f>
        <v>#VALUE!</v>
      </c>
      <c r="BJ158" s="82"/>
      <c r="BK158" s="82" t="str">
        <f t="shared" ref="BK158:BK221" si="29">IFERROR(IF(C158="Plate",LEFT(E158,FIND("*",E158,1)-1),""),IF(C158="Plate",LEFT(E158,FIND("x",E158,1)-1),""))</f>
        <v>PL16</v>
      </c>
      <c r="BL158" s="53" t="str">
        <f t="shared" ref="BL158:BL221" si="30">IF(ROUND(SUM(N158:BH158)-I158,0)&gt;0,"Thừa "&amp;SUM(N158:BH158)-I158,"")</f>
        <v/>
      </c>
      <c r="BM158" s="53" t="s">
        <v>148</v>
      </c>
      <c r="BN158" s="53" t="s">
        <v>987</v>
      </c>
      <c r="BO158" s="53" t="s">
        <v>988</v>
      </c>
      <c r="BP158" s="53" t="s">
        <v>2103</v>
      </c>
      <c r="BQ158" s="53">
        <v>2</v>
      </c>
      <c r="BR158" s="83">
        <v>46120</v>
      </c>
      <c r="BS158" s="53"/>
      <c r="BT158" s="53"/>
    </row>
    <row r="159" spans="3:72" ht="14.25" hidden="1" customHeight="1">
      <c r="C159" s="82" t="s">
        <v>13</v>
      </c>
      <c r="D159" s="82" t="s">
        <v>1242</v>
      </c>
      <c r="E159" s="82" t="s">
        <v>1206</v>
      </c>
      <c r="F159" s="82" t="s">
        <v>13</v>
      </c>
      <c r="G159" s="82">
        <v>310</v>
      </c>
      <c r="H159" s="82" t="s">
        <v>147</v>
      </c>
      <c r="I159" s="82">
        <v>10</v>
      </c>
      <c r="J159" s="82">
        <v>2</v>
      </c>
      <c r="K159" s="82">
        <v>20</v>
      </c>
      <c r="L159" s="26">
        <f t="shared" si="28"/>
        <v>10</v>
      </c>
      <c r="M159" s="26">
        <f t="shared" si="22"/>
        <v>0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>
        <v>10</v>
      </c>
      <c r="BC159" s="26"/>
      <c r="BD159" s="26"/>
      <c r="BE159" s="26"/>
      <c r="BF159" s="26"/>
      <c r="BG159" s="26"/>
      <c r="BH159" s="26"/>
      <c r="BI159" s="67" t="e">
        <f>SUMIFS([1]Up!$J:$J,[1]Up!$D:$D,D159)</f>
        <v>#VALUE!</v>
      </c>
      <c r="BJ159" s="82"/>
      <c r="BK159" s="82" t="str">
        <f t="shared" si="29"/>
        <v>PL16</v>
      </c>
      <c r="BL159" s="53" t="str">
        <f t="shared" si="30"/>
        <v/>
      </c>
      <c r="BM159" s="53" t="s">
        <v>148</v>
      </c>
      <c r="BN159" s="53" t="s">
        <v>987</v>
      </c>
      <c r="BO159" s="53" t="s">
        <v>988</v>
      </c>
      <c r="BP159" s="53" t="s">
        <v>2103</v>
      </c>
      <c r="BQ159" s="53">
        <v>10</v>
      </c>
      <c r="BR159" s="83">
        <v>46120</v>
      </c>
      <c r="BS159" s="53"/>
      <c r="BT159" s="53"/>
    </row>
    <row r="160" spans="3:72" ht="14.25" hidden="1" customHeight="1">
      <c r="C160" s="82" t="s">
        <v>11</v>
      </c>
      <c r="D160" s="82" t="s">
        <v>1243</v>
      </c>
      <c r="E160" s="82" t="s">
        <v>1075</v>
      </c>
      <c r="F160" s="82" t="s">
        <v>1010</v>
      </c>
      <c r="G160" s="82">
        <v>812</v>
      </c>
      <c r="H160" s="82" t="s">
        <v>1077</v>
      </c>
      <c r="I160" s="82">
        <v>3</v>
      </c>
      <c r="J160" s="82">
        <v>13.05696</v>
      </c>
      <c r="K160" s="82">
        <v>39.170879999999997</v>
      </c>
      <c r="L160" s="26">
        <f t="shared" si="28"/>
        <v>0</v>
      </c>
      <c r="M160" s="26">
        <f t="shared" si="22"/>
        <v>3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67" t="e">
        <f>SUMIFS([1]Up!$J:$J,[1]Up!$D:$D,D160)</f>
        <v>#VALUE!</v>
      </c>
      <c r="BJ160" s="82"/>
      <c r="BK160" s="82" t="str">
        <f t="shared" si="29"/>
        <v/>
      </c>
      <c r="BL160" s="53" t="str">
        <f t="shared" si="30"/>
        <v/>
      </c>
      <c r="BM160" s="53" t="s">
        <v>148</v>
      </c>
      <c r="BN160" s="53" t="s">
        <v>1078</v>
      </c>
      <c r="BO160" s="53" t="s">
        <v>1075</v>
      </c>
      <c r="BP160" s="53" t="s">
        <v>2104</v>
      </c>
      <c r="BQ160" s="53">
        <v>3</v>
      </c>
      <c r="BR160" s="83">
        <v>46120</v>
      </c>
      <c r="BS160" s="53"/>
      <c r="BT160" s="53"/>
    </row>
    <row r="161" spans="3:72" ht="14.25" hidden="1" customHeight="1">
      <c r="C161" s="82" t="s">
        <v>13</v>
      </c>
      <c r="D161" s="82" t="s">
        <v>1244</v>
      </c>
      <c r="E161" s="82" t="s">
        <v>1245</v>
      </c>
      <c r="F161" s="82" t="s">
        <v>1195</v>
      </c>
      <c r="G161" s="82">
        <v>3797</v>
      </c>
      <c r="H161" s="82" t="s">
        <v>147</v>
      </c>
      <c r="I161" s="82">
        <v>1</v>
      </c>
      <c r="J161" s="82">
        <v>852.6</v>
      </c>
      <c r="K161" s="82">
        <v>852.6</v>
      </c>
      <c r="L161" s="26">
        <f t="shared" si="28"/>
        <v>0</v>
      </c>
      <c r="M161" s="26">
        <f t="shared" si="22"/>
        <v>1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67" t="e">
        <f>SUMIFS([1]Up!$J:$J,[1]Up!$D:$D,D161)</f>
        <v>#VALUE!</v>
      </c>
      <c r="BJ161" s="82"/>
      <c r="BK161" s="82" t="str">
        <f t="shared" si="29"/>
        <v>PL8</v>
      </c>
      <c r="BL161" s="53" t="str">
        <f t="shared" si="30"/>
        <v/>
      </c>
      <c r="BM161" s="53" t="s">
        <v>154</v>
      </c>
      <c r="BN161" s="53" t="s">
        <v>1011</v>
      </c>
      <c r="BO161" s="53" t="s">
        <v>1012</v>
      </c>
      <c r="BP161" s="53" t="s">
        <v>57</v>
      </c>
      <c r="BQ161" s="53">
        <v>1</v>
      </c>
      <c r="BR161" s="83"/>
      <c r="BS161" s="53"/>
      <c r="BT161" s="53"/>
    </row>
    <row r="162" spans="3:72" ht="14.25" hidden="1" customHeight="1">
      <c r="C162" s="82" t="s">
        <v>13</v>
      </c>
      <c r="D162" s="82" t="s">
        <v>1246</v>
      </c>
      <c r="E162" s="82" t="s">
        <v>1125</v>
      </c>
      <c r="F162" s="82" t="s">
        <v>1212</v>
      </c>
      <c r="G162" s="82">
        <v>200</v>
      </c>
      <c r="H162" s="82" t="s">
        <v>147</v>
      </c>
      <c r="I162" s="82">
        <v>2</v>
      </c>
      <c r="J162" s="82">
        <v>2.6</v>
      </c>
      <c r="K162" s="82">
        <v>5.2</v>
      </c>
      <c r="L162" s="26">
        <f t="shared" si="28"/>
        <v>0</v>
      </c>
      <c r="M162" s="26">
        <f t="shared" si="22"/>
        <v>2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67" t="e">
        <f>SUMIFS([1]Up!$J:$J,[1]Up!$D:$D,D162)</f>
        <v>#VALUE!</v>
      </c>
      <c r="BJ162" s="82"/>
      <c r="BK162" s="82" t="str">
        <f t="shared" si="29"/>
        <v>PL15</v>
      </c>
      <c r="BL162" s="53" t="str">
        <f t="shared" si="30"/>
        <v/>
      </c>
      <c r="BM162" s="53" t="s">
        <v>148</v>
      </c>
      <c r="BN162" s="53" t="s">
        <v>1093</v>
      </c>
      <c r="BO162" s="53" t="s">
        <v>1094</v>
      </c>
      <c r="BP162" s="53" t="s">
        <v>2100</v>
      </c>
      <c r="BQ162" s="53">
        <v>2</v>
      </c>
      <c r="BR162" s="83">
        <v>46120</v>
      </c>
      <c r="BS162" s="53"/>
      <c r="BT162" s="53"/>
    </row>
    <row r="163" spans="3:72" ht="14.25" hidden="1" customHeight="1">
      <c r="C163" s="82" t="s">
        <v>13</v>
      </c>
      <c r="D163" s="82" t="s">
        <v>1247</v>
      </c>
      <c r="E163" s="82" t="s">
        <v>1248</v>
      </c>
      <c r="F163" s="82" t="s">
        <v>1195</v>
      </c>
      <c r="G163" s="82">
        <v>5126</v>
      </c>
      <c r="H163" s="82" t="s">
        <v>147</v>
      </c>
      <c r="I163" s="82">
        <v>1</v>
      </c>
      <c r="J163" s="82">
        <v>935.3</v>
      </c>
      <c r="K163" s="82">
        <v>935.3</v>
      </c>
      <c r="L163" s="26">
        <f t="shared" si="28"/>
        <v>0</v>
      </c>
      <c r="M163" s="26">
        <f t="shared" si="22"/>
        <v>1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67" t="e">
        <f>SUMIFS([1]Up!$J:$J,[1]Up!$D:$D,D163)</f>
        <v>#VALUE!</v>
      </c>
      <c r="BJ163" s="82"/>
      <c r="BK163" s="82" t="str">
        <f t="shared" si="29"/>
        <v>PL10</v>
      </c>
      <c r="BL163" s="53" t="str">
        <f t="shared" si="30"/>
        <v/>
      </c>
      <c r="BM163" s="53" t="s">
        <v>154</v>
      </c>
      <c r="BN163" s="53" t="s">
        <v>1004</v>
      </c>
      <c r="BO163" s="53" t="s">
        <v>1005</v>
      </c>
      <c r="BP163" s="53"/>
      <c r="BQ163" s="53"/>
      <c r="BR163" s="83"/>
      <c r="BS163" s="53"/>
      <c r="BT163" s="53"/>
    </row>
    <row r="164" spans="3:72" ht="14.25" hidden="1" customHeight="1">
      <c r="C164" s="82" t="s">
        <v>13</v>
      </c>
      <c r="D164" s="82" t="s">
        <v>1249</v>
      </c>
      <c r="E164" s="82" t="s">
        <v>1250</v>
      </c>
      <c r="F164" s="82" t="s">
        <v>1204</v>
      </c>
      <c r="G164" s="82">
        <v>1616</v>
      </c>
      <c r="H164" s="82" t="s">
        <v>147</v>
      </c>
      <c r="I164" s="82">
        <v>2</v>
      </c>
      <c r="J164" s="82">
        <v>27.8</v>
      </c>
      <c r="K164" s="82">
        <v>55.6</v>
      </c>
      <c r="L164" s="26">
        <f t="shared" si="28"/>
        <v>0</v>
      </c>
      <c r="M164" s="26">
        <f t="shared" si="22"/>
        <v>2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67" t="e">
        <f>SUMIFS([1]Up!$J:$J,[1]Up!$D:$D,D164)</f>
        <v>#VALUE!</v>
      </c>
      <c r="BJ164" s="82"/>
      <c r="BK164" s="82" t="str">
        <f t="shared" si="29"/>
        <v>PL8</v>
      </c>
      <c r="BL164" s="53" t="str">
        <f t="shared" si="30"/>
        <v/>
      </c>
      <c r="BM164" s="53" t="s">
        <v>148</v>
      </c>
      <c r="BN164" s="53" t="s">
        <v>1011</v>
      </c>
      <c r="BO164" s="53" t="s">
        <v>1012</v>
      </c>
      <c r="BP164" s="53" t="s">
        <v>57</v>
      </c>
      <c r="BQ164" s="53">
        <v>2</v>
      </c>
      <c r="BR164" s="83"/>
      <c r="BS164" s="53"/>
      <c r="BT164" s="53"/>
    </row>
    <row r="165" spans="3:72" ht="14.25" hidden="1" customHeight="1">
      <c r="C165" s="82" t="s">
        <v>13</v>
      </c>
      <c r="D165" s="82" t="s">
        <v>1251</v>
      </c>
      <c r="E165" s="82" t="s">
        <v>1250</v>
      </c>
      <c r="F165" s="82" t="s">
        <v>1204</v>
      </c>
      <c r="G165" s="82">
        <v>1616</v>
      </c>
      <c r="H165" s="82" t="s">
        <v>147</v>
      </c>
      <c r="I165" s="82">
        <v>1</v>
      </c>
      <c r="J165" s="82">
        <v>24.2</v>
      </c>
      <c r="K165" s="82">
        <v>24.2</v>
      </c>
      <c r="L165" s="26">
        <f t="shared" si="28"/>
        <v>0</v>
      </c>
      <c r="M165" s="26">
        <f t="shared" si="22"/>
        <v>1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67" t="e">
        <f>SUMIFS([1]Up!$J:$J,[1]Up!$D:$D,D165)</f>
        <v>#VALUE!</v>
      </c>
      <c r="BJ165" s="82"/>
      <c r="BK165" s="82" t="str">
        <f t="shared" si="29"/>
        <v>PL8</v>
      </c>
      <c r="BL165" s="53" t="str">
        <f t="shared" si="30"/>
        <v/>
      </c>
      <c r="BM165" s="53" t="s">
        <v>148</v>
      </c>
      <c r="BN165" s="53" t="s">
        <v>1011</v>
      </c>
      <c r="BO165" s="53" t="s">
        <v>1012</v>
      </c>
      <c r="BP165" s="53" t="s">
        <v>57</v>
      </c>
      <c r="BQ165" s="53">
        <v>1</v>
      </c>
      <c r="BR165" s="83"/>
      <c r="BS165" s="53"/>
      <c r="BT165" s="53"/>
    </row>
    <row r="166" spans="3:72" ht="14.25" hidden="1" customHeight="1">
      <c r="C166" s="82" t="s">
        <v>13</v>
      </c>
      <c r="D166" s="82" t="s">
        <v>1252</v>
      </c>
      <c r="E166" s="82" t="s">
        <v>1157</v>
      </c>
      <c r="F166" s="82" t="s">
        <v>13</v>
      </c>
      <c r="G166" s="82">
        <v>6413</v>
      </c>
      <c r="H166" s="82" t="s">
        <v>147</v>
      </c>
      <c r="I166" s="82">
        <v>2</v>
      </c>
      <c r="J166" s="82">
        <v>241.6</v>
      </c>
      <c r="K166" s="82">
        <v>483.2</v>
      </c>
      <c r="L166" s="26">
        <f t="shared" si="28"/>
        <v>0</v>
      </c>
      <c r="M166" s="26">
        <f t="shared" si="22"/>
        <v>2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67" t="e">
        <f>SUMIFS([1]Up!$J:$J,[1]Up!$D:$D,D166)</f>
        <v>#VALUE!</v>
      </c>
      <c r="BJ166" s="82"/>
      <c r="BK166" s="82" t="str">
        <f t="shared" si="29"/>
        <v>PL15</v>
      </c>
      <c r="BL166" s="53" t="str">
        <f t="shared" si="30"/>
        <v/>
      </c>
      <c r="BM166" s="53" t="s">
        <v>148</v>
      </c>
      <c r="BN166" s="53" t="s">
        <v>1093</v>
      </c>
      <c r="BO166" s="53" t="s">
        <v>1094</v>
      </c>
      <c r="BP166" s="53" t="s">
        <v>2100</v>
      </c>
      <c r="BQ166" s="53">
        <v>2</v>
      </c>
      <c r="BR166" s="83">
        <v>46120</v>
      </c>
      <c r="BS166" s="53"/>
      <c r="BT166" s="53"/>
    </row>
    <row r="167" spans="3:72" ht="14.25" hidden="1" customHeight="1">
      <c r="C167" s="82" t="s">
        <v>13</v>
      </c>
      <c r="D167" s="82" t="s">
        <v>1253</v>
      </c>
      <c r="E167" s="82" t="s">
        <v>1254</v>
      </c>
      <c r="F167" s="82" t="s">
        <v>13</v>
      </c>
      <c r="G167" s="82">
        <v>520</v>
      </c>
      <c r="H167" s="82" t="s">
        <v>147</v>
      </c>
      <c r="I167" s="82">
        <v>2</v>
      </c>
      <c r="J167" s="82">
        <v>7.8</v>
      </c>
      <c r="K167" s="82">
        <v>15.6</v>
      </c>
      <c r="L167" s="26">
        <f t="shared" si="28"/>
        <v>0</v>
      </c>
      <c r="M167" s="26">
        <f t="shared" si="22"/>
        <v>2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67" t="e">
        <f>SUMIFS([1]Up!$J:$J,[1]Up!$D:$D,D167)</f>
        <v>#VALUE!</v>
      </c>
      <c r="BJ167" s="82"/>
      <c r="BK167" s="82" t="str">
        <f t="shared" si="29"/>
        <v>PL15</v>
      </c>
      <c r="BL167" s="53" t="str">
        <f t="shared" si="30"/>
        <v/>
      </c>
      <c r="BM167" s="53" t="s">
        <v>148</v>
      </c>
      <c r="BN167" s="53" t="s">
        <v>1093</v>
      </c>
      <c r="BO167" s="53" t="s">
        <v>1094</v>
      </c>
      <c r="BP167" s="53" t="s">
        <v>2100</v>
      </c>
      <c r="BQ167" s="53">
        <v>2</v>
      </c>
      <c r="BR167" s="83">
        <v>46120</v>
      </c>
      <c r="BS167" s="53"/>
      <c r="BT167" s="53"/>
    </row>
    <row r="168" spans="3:72" ht="14.25" hidden="1" customHeight="1">
      <c r="C168" s="82" t="s">
        <v>13</v>
      </c>
      <c r="D168" s="82" t="s">
        <v>1255</v>
      </c>
      <c r="E168" s="82" t="s">
        <v>1256</v>
      </c>
      <c r="F168" s="82" t="s">
        <v>13</v>
      </c>
      <c r="G168" s="82">
        <v>178</v>
      </c>
      <c r="H168" s="82" t="s">
        <v>147</v>
      </c>
      <c r="I168" s="82">
        <v>4</v>
      </c>
      <c r="J168" s="82">
        <v>1.3</v>
      </c>
      <c r="K168" s="82">
        <v>5.2</v>
      </c>
      <c r="L168" s="26">
        <f t="shared" si="28"/>
        <v>4</v>
      </c>
      <c r="M168" s="26">
        <f t="shared" si="22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>
        <v>4</v>
      </c>
      <c r="BC168" s="26"/>
      <c r="BD168" s="26"/>
      <c r="BE168" s="26"/>
      <c r="BF168" s="26"/>
      <c r="BG168" s="26"/>
      <c r="BH168" s="26"/>
      <c r="BI168" s="67" t="e">
        <f>SUMIFS([1]Up!$J:$J,[1]Up!$D:$D,D168)</f>
        <v>#VALUE!</v>
      </c>
      <c r="BJ168" s="82"/>
      <c r="BK168" s="82" t="str">
        <f t="shared" si="29"/>
        <v>PL16</v>
      </c>
      <c r="BL168" s="53" t="str">
        <f t="shared" si="30"/>
        <v/>
      </c>
      <c r="BM168" s="53" t="s">
        <v>148</v>
      </c>
      <c r="BN168" s="53" t="s">
        <v>987</v>
      </c>
      <c r="BO168" s="53" t="s">
        <v>988</v>
      </c>
      <c r="BP168" s="53" t="s">
        <v>2103</v>
      </c>
      <c r="BQ168" s="53">
        <v>4</v>
      </c>
      <c r="BR168" s="83">
        <v>46120</v>
      </c>
      <c r="BS168" s="53"/>
      <c r="BT168" s="53"/>
    </row>
    <row r="169" spans="3:72" ht="14.25" hidden="1" customHeight="1">
      <c r="C169" s="82" t="s">
        <v>13</v>
      </c>
      <c r="D169" s="82" t="s">
        <v>1257</v>
      </c>
      <c r="E169" s="82" t="s">
        <v>1256</v>
      </c>
      <c r="F169" s="82" t="s">
        <v>13</v>
      </c>
      <c r="G169" s="82" t="s">
        <v>1258</v>
      </c>
      <c r="H169" s="82" t="s">
        <v>147</v>
      </c>
      <c r="I169" s="82">
        <v>2</v>
      </c>
      <c r="J169" s="82">
        <v>1.5</v>
      </c>
      <c r="K169" s="82">
        <v>3</v>
      </c>
      <c r="L169" s="26">
        <f t="shared" si="28"/>
        <v>2</v>
      </c>
      <c r="M169" s="26">
        <f t="shared" si="22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>
        <v>2</v>
      </c>
      <c r="BC169" s="26"/>
      <c r="BD169" s="26"/>
      <c r="BE169" s="26"/>
      <c r="BF169" s="26"/>
      <c r="BG169" s="26"/>
      <c r="BH169" s="26"/>
      <c r="BI169" s="67" t="e">
        <f>SUMIFS([1]Up!$J:$J,[1]Up!$D:$D,D169)</f>
        <v>#VALUE!</v>
      </c>
      <c r="BJ169" s="82"/>
      <c r="BK169" s="82" t="str">
        <f t="shared" si="29"/>
        <v>PL16</v>
      </c>
      <c r="BL169" s="53" t="str">
        <f t="shared" si="30"/>
        <v/>
      </c>
      <c r="BM169" s="53" t="s">
        <v>148</v>
      </c>
      <c r="BN169" s="53" t="s">
        <v>987</v>
      </c>
      <c r="BO169" s="53" t="s">
        <v>988</v>
      </c>
      <c r="BP169" s="53" t="s">
        <v>2103</v>
      </c>
      <c r="BQ169" s="53">
        <v>2</v>
      </c>
      <c r="BR169" s="83">
        <v>46120</v>
      </c>
      <c r="BS169" s="53"/>
      <c r="BT169" s="53"/>
    </row>
    <row r="170" spans="3:72" ht="14.25" hidden="1" customHeight="1">
      <c r="C170" s="82" t="s">
        <v>13</v>
      </c>
      <c r="D170" s="82" t="s">
        <v>1259</v>
      </c>
      <c r="E170" s="82" t="s">
        <v>1123</v>
      </c>
      <c r="F170" s="82" t="s">
        <v>1210</v>
      </c>
      <c r="G170" s="82">
        <v>260</v>
      </c>
      <c r="H170" s="82" t="s">
        <v>147</v>
      </c>
      <c r="I170" s="82">
        <v>2</v>
      </c>
      <c r="J170" s="82">
        <v>6.1</v>
      </c>
      <c r="K170" s="82">
        <v>12.2</v>
      </c>
      <c r="L170" s="26">
        <f t="shared" si="28"/>
        <v>0</v>
      </c>
      <c r="M170" s="26">
        <f t="shared" si="22"/>
        <v>2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67" t="e">
        <f>SUMIFS([1]Up!$J:$J,[1]Up!$D:$D,D170)</f>
        <v>#VALUE!</v>
      </c>
      <c r="BJ170" s="82"/>
      <c r="BK170" s="82" t="str">
        <f t="shared" si="29"/>
        <v>PL20</v>
      </c>
      <c r="BL170" s="53" t="str">
        <f t="shared" si="30"/>
        <v/>
      </c>
      <c r="BM170" s="53" t="s">
        <v>148</v>
      </c>
      <c r="BN170" s="53" t="s">
        <v>1099</v>
      </c>
      <c r="BO170" s="53" t="s">
        <v>1100</v>
      </c>
      <c r="BP170" s="53" t="s">
        <v>2101</v>
      </c>
      <c r="BQ170" s="53">
        <v>2</v>
      </c>
      <c r="BR170" s="83">
        <v>46303</v>
      </c>
      <c r="BS170" s="53"/>
      <c r="BT170" s="53"/>
    </row>
    <row r="171" spans="3:72" ht="14.25" hidden="1" customHeight="1">
      <c r="C171" s="82" t="s">
        <v>11</v>
      </c>
      <c r="D171" s="82" t="s">
        <v>1260</v>
      </c>
      <c r="E171" s="82" t="s">
        <v>1075</v>
      </c>
      <c r="F171" s="82" t="s">
        <v>1010</v>
      </c>
      <c r="G171" s="82">
        <v>812</v>
      </c>
      <c r="H171" s="82" t="s">
        <v>1077</v>
      </c>
      <c r="I171" s="82">
        <v>5</v>
      </c>
      <c r="J171" s="82">
        <v>13.05696</v>
      </c>
      <c r="K171" s="82">
        <v>65.284800000000004</v>
      </c>
      <c r="L171" s="26">
        <f t="shared" si="28"/>
        <v>0</v>
      </c>
      <c r="M171" s="26">
        <f t="shared" si="22"/>
        <v>5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67" t="e">
        <f>SUMIFS([1]Up!$J:$J,[1]Up!$D:$D,D171)</f>
        <v>#VALUE!</v>
      </c>
      <c r="BJ171" s="82"/>
      <c r="BK171" s="82" t="str">
        <f t="shared" si="29"/>
        <v/>
      </c>
      <c r="BL171" s="53" t="str">
        <f t="shared" si="30"/>
        <v/>
      </c>
      <c r="BM171" s="53" t="s">
        <v>148</v>
      </c>
      <c r="BN171" s="53" t="s">
        <v>1078</v>
      </c>
      <c r="BO171" s="53" t="s">
        <v>1075</v>
      </c>
      <c r="BP171" s="53" t="s">
        <v>2104</v>
      </c>
      <c r="BQ171" s="53">
        <v>5</v>
      </c>
      <c r="BR171" s="83">
        <v>46120</v>
      </c>
      <c r="BS171" s="53"/>
      <c r="BT171" s="53"/>
    </row>
    <row r="172" spans="3:72" ht="14.25" hidden="1" customHeight="1">
      <c r="C172" s="82" t="s">
        <v>13</v>
      </c>
      <c r="D172" s="82" t="s">
        <v>1261</v>
      </c>
      <c r="E172" s="82" t="s">
        <v>1245</v>
      </c>
      <c r="F172" s="82" t="s">
        <v>1195</v>
      </c>
      <c r="G172" s="82">
        <v>11651</v>
      </c>
      <c r="H172" s="82" t="s">
        <v>147</v>
      </c>
      <c r="I172" s="82">
        <v>1</v>
      </c>
      <c r="J172" s="82">
        <v>2616.3000000000002</v>
      </c>
      <c r="K172" s="82">
        <v>2616.3000000000002</v>
      </c>
      <c r="L172" s="26">
        <f t="shared" si="28"/>
        <v>0</v>
      </c>
      <c r="M172" s="26">
        <f t="shared" si="22"/>
        <v>1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67" t="e">
        <f>SUMIFS([1]Up!$J:$J,[1]Up!$D:$D,D172)</f>
        <v>#VALUE!</v>
      </c>
      <c r="BJ172" s="82"/>
      <c r="BK172" s="82" t="str">
        <f t="shared" si="29"/>
        <v>PL8</v>
      </c>
      <c r="BL172" s="53" t="str">
        <f t="shared" si="30"/>
        <v/>
      </c>
      <c r="BM172" s="53" t="s">
        <v>154</v>
      </c>
      <c r="BN172" s="53" t="s">
        <v>1011</v>
      </c>
      <c r="BO172" s="53" t="s">
        <v>1012</v>
      </c>
      <c r="BP172" s="53" t="s">
        <v>57</v>
      </c>
      <c r="BQ172" s="53">
        <v>1</v>
      </c>
      <c r="BR172" s="83"/>
      <c r="BS172" s="53"/>
      <c r="BT172" s="53"/>
    </row>
    <row r="173" spans="3:72" ht="14.25" hidden="1" customHeight="1">
      <c r="C173" s="82" t="s">
        <v>13</v>
      </c>
      <c r="D173" s="82" t="s">
        <v>1262</v>
      </c>
      <c r="E173" s="82" t="s">
        <v>1263</v>
      </c>
      <c r="F173" s="82" t="s">
        <v>1204</v>
      </c>
      <c r="G173" s="82">
        <v>1616</v>
      </c>
      <c r="H173" s="82" t="s">
        <v>147</v>
      </c>
      <c r="I173" s="82">
        <v>2</v>
      </c>
      <c r="J173" s="82">
        <v>18</v>
      </c>
      <c r="K173" s="82">
        <v>36</v>
      </c>
      <c r="L173" s="26">
        <f t="shared" si="28"/>
        <v>0</v>
      </c>
      <c r="M173" s="26">
        <f t="shared" si="22"/>
        <v>2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67" t="e">
        <f>SUMIFS([1]Up!$J:$J,[1]Up!$D:$D,D173)</f>
        <v>#VALUE!</v>
      </c>
      <c r="BJ173" s="82"/>
      <c r="BK173" s="82" t="str">
        <f t="shared" si="29"/>
        <v>PL8</v>
      </c>
      <c r="BL173" s="53" t="str">
        <f t="shared" si="30"/>
        <v/>
      </c>
      <c r="BM173" s="53" t="s">
        <v>148</v>
      </c>
      <c r="BN173" s="53" t="s">
        <v>1011</v>
      </c>
      <c r="BO173" s="53" t="s">
        <v>1012</v>
      </c>
      <c r="BP173" s="53" t="s">
        <v>57</v>
      </c>
      <c r="BQ173" s="53">
        <v>2</v>
      </c>
      <c r="BR173" s="83"/>
      <c r="BS173" s="53"/>
      <c r="BT173" s="53"/>
    </row>
    <row r="174" spans="3:72" ht="14.25" hidden="1" customHeight="1">
      <c r="C174" s="82" t="s">
        <v>13</v>
      </c>
      <c r="D174" s="82" t="s">
        <v>1264</v>
      </c>
      <c r="E174" s="82" t="s">
        <v>1265</v>
      </c>
      <c r="F174" s="82" t="s">
        <v>1204</v>
      </c>
      <c r="G174" s="82">
        <v>500</v>
      </c>
      <c r="H174" s="82" t="s">
        <v>147</v>
      </c>
      <c r="I174" s="82">
        <v>2</v>
      </c>
      <c r="J174" s="82">
        <v>2.8</v>
      </c>
      <c r="K174" s="82">
        <v>5.6</v>
      </c>
      <c r="L174" s="26">
        <f t="shared" si="28"/>
        <v>0</v>
      </c>
      <c r="M174" s="26">
        <f t="shared" si="22"/>
        <v>2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67" t="e">
        <f>SUMIFS([1]Up!$J:$J,[1]Up!$D:$D,D174)</f>
        <v>#VALUE!</v>
      </c>
      <c r="BJ174" s="82"/>
      <c r="BK174" s="82" t="str">
        <f t="shared" si="29"/>
        <v>PL8</v>
      </c>
      <c r="BL174" s="53" t="str">
        <f t="shared" si="30"/>
        <v/>
      </c>
      <c r="BM174" s="53" t="s">
        <v>148</v>
      </c>
      <c r="BN174" s="53" t="s">
        <v>1011</v>
      </c>
      <c r="BO174" s="53" t="s">
        <v>1012</v>
      </c>
      <c r="BP174" s="53" t="s">
        <v>2123</v>
      </c>
      <c r="BQ174" s="53">
        <v>2</v>
      </c>
      <c r="BR174" s="83">
        <v>46334</v>
      </c>
      <c r="BS174" s="53"/>
      <c r="BT174" s="53"/>
    </row>
    <row r="175" spans="3:72" ht="14.25" hidden="1" customHeight="1">
      <c r="C175" s="82" t="s">
        <v>13</v>
      </c>
      <c r="D175" s="82" t="s">
        <v>1266</v>
      </c>
      <c r="E175" s="82" t="s">
        <v>1267</v>
      </c>
      <c r="F175" s="82" t="s">
        <v>13</v>
      </c>
      <c r="G175" s="82">
        <v>520</v>
      </c>
      <c r="H175" s="82" t="s">
        <v>147</v>
      </c>
      <c r="I175" s="82">
        <v>2</v>
      </c>
      <c r="J175" s="82">
        <v>14.1</v>
      </c>
      <c r="K175" s="82">
        <v>28.2</v>
      </c>
      <c r="L175" s="26">
        <f t="shared" si="28"/>
        <v>0</v>
      </c>
      <c r="M175" s="26">
        <f t="shared" si="22"/>
        <v>2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67" t="e">
        <f>SUMIFS([1]Up!$J:$J,[1]Up!$D:$D,D175)</f>
        <v>#VALUE!</v>
      </c>
      <c r="BJ175" s="82"/>
      <c r="BK175" s="82" t="str">
        <f t="shared" si="29"/>
        <v>PL15</v>
      </c>
      <c r="BL175" s="53" t="str">
        <f t="shared" si="30"/>
        <v/>
      </c>
      <c r="BM175" s="53" t="s">
        <v>148</v>
      </c>
      <c r="BN175" s="53" t="s">
        <v>1093</v>
      </c>
      <c r="BO175" s="53" t="s">
        <v>1094</v>
      </c>
      <c r="BP175" s="53" t="s">
        <v>2100</v>
      </c>
      <c r="BQ175" s="53">
        <v>2</v>
      </c>
      <c r="BR175" s="83">
        <v>46120</v>
      </c>
      <c r="BS175" s="53"/>
      <c r="BT175" s="53"/>
    </row>
    <row r="176" spans="3:72" ht="14.25" hidden="1" customHeight="1">
      <c r="C176" s="82" t="s">
        <v>13</v>
      </c>
      <c r="D176" s="82" t="s">
        <v>1268</v>
      </c>
      <c r="E176" s="82" t="s">
        <v>1269</v>
      </c>
      <c r="F176" s="82" t="s">
        <v>13</v>
      </c>
      <c r="G176" s="82">
        <v>604</v>
      </c>
      <c r="H176" s="82" t="s">
        <v>147</v>
      </c>
      <c r="I176" s="82">
        <v>2</v>
      </c>
      <c r="J176" s="82">
        <v>16.8</v>
      </c>
      <c r="K176" s="82">
        <v>33.6</v>
      </c>
      <c r="L176" s="26">
        <f t="shared" si="28"/>
        <v>0</v>
      </c>
      <c r="M176" s="26">
        <f t="shared" si="22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67" t="e">
        <f>SUMIFS([1]Up!$J:$J,[1]Up!$D:$D,D176)</f>
        <v>#VALUE!</v>
      </c>
      <c r="BJ176" s="82"/>
      <c r="BK176" s="82" t="str">
        <f t="shared" si="29"/>
        <v>PL15</v>
      </c>
      <c r="BL176" s="53" t="str">
        <f t="shared" si="30"/>
        <v/>
      </c>
      <c r="BM176" s="53" t="s">
        <v>148</v>
      </c>
      <c r="BN176" s="53" t="s">
        <v>1093</v>
      </c>
      <c r="BO176" s="53" t="s">
        <v>1094</v>
      </c>
      <c r="BP176" s="53" t="s">
        <v>2100</v>
      </c>
      <c r="BQ176" s="53">
        <v>2</v>
      </c>
      <c r="BR176" s="83">
        <v>46120</v>
      </c>
      <c r="BS176" s="53"/>
      <c r="BT176" s="53"/>
    </row>
    <row r="177" spans="3:72" ht="14.25" hidden="1" customHeight="1">
      <c r="C177" s="82" t="s">
        <v>13</v>
      </c>
      <c r="D177" s="82" t="s">
        <v>1270</v>
      </c>
      <c r="E177" s="82" t="s">
        <v>1123</v>
      </c>
      <c r="F177" s="82" t="s">
        <v>1210</v>
      </c>
      <c r="G177" s="82">
        <v>260</v>
      </c>
      <c r="H177" s="82" t="s">
        <v>147</v>
      </c>
      <c r="I177" s="82">
        <v>2</v>
      </c>
      <c r="J177" s="82">
        <v>6.1</v>
      </c>
      <c r="K177" s="82">
        <v>12.2</v>
      </c>
      <c r="L177" s="26">
        <f t="shared" si="28"/>
        <v>0</v>
      </c>
      <c r="M177" s="26">
        <f t="shared" si="22"/>
        <v>2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67" t="e">
        <f>SUMIFS([1]Up!$J:$J,[1]Up!$D:$D,D177)</f>
        <v>#VALUE!</v>
      </c>
      <c r="BJ177" s="82"/>
      <c r="BK177" s="82" t="str">
        <f t="shared" si="29"/>
        <v>PL20</v>
      </c>
      <c r="BL177" s="53" t="str">
        <f t="shared" si="30"/>
        <v/>
      </c>
      <c r="BM177" s="53" t="s">
        <v>148</v>
      </c>
      <c r="BN177" s="53" t="s">
        <v>1099</v>
      </c>
      <c r="BO177" s="53" t="s">
        <v>1100</v>
      </c>
      <c r="BP177" s="53" t="s">
        <v>2101</v>
      </c>
      <c r="BQ177" s="53">
        <v>2</v>
      </c>
      <c r="BR177" s="83">
        <v>46303</v>
      </c>
      <c r="BS177" s="53"/>
      <c r="BT177" s="53"/>
    </row>
    <row r="178" spans="3:72" ht="14.25" hidden="1" customHeight="1">
      <c r="C178" s="82" t="s">
        <v>13</v>
      </c>
      <c r="D178" s="82" t="s">
        <v>1271</v>
      </c>
      <c r="E178" s="82" t="s">
        <v>1125</v>
      </c>
      <c r="F178" s="82" t="s">
        <v>1212</v>
      </c>
      <c r="G178" s="82">
        <v>200</v>
      </c>
      <c r="H178" s="82" t="s">
        <v>147</v>
      </c>
      <c r="I178" s="82">
        <v>2</v>
      </c>
      <c r="J178" s="82">
        <v>2.6</v>
      </c>
      <c r="K178" s="82">
        <v>5.2</v>
      </c>
      <c r="L178" s="26">
        <f t="shared" si="28"/>
        <v>0</v>
      </c>
      <c r="M178" s="26">
        <f t="shared" si="22"/>
        <v>2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67" t="e">
        <f>SUMIFS([1]Up!$J:$J,[1]Up!$D:$D,D178)</f>
        <v>#VALUE!</v>
      </c>
      <c r="BJ178" s="82"/>
      <c r="BK178" s="82" t="str">
        <f t="shared" si="29"/>
        <v>PL15</v>
      </c>
      <c r="BL178" s="53" t="str">
        <f t="shared" si="30"/>
        <v/>
      </c>
      <c r="BM178" s="53" t="s">
        <v>148</v>
      </c>
      <c r="BN178" s="53" t="s">
        <v>1093</v>
      </c>
      <c r="BO178" s="53" t="s">
        <v>1094</v>
      </c>
      <c r="BP178" s="53" t="s">
        <v>2100</v>
      </c>
      <c r="BQ178" s="53">
        <v>2</v>
      </c>
      <c r="BR178" s="83">
        <v>46120</v>
      </c>
      <c r="BS178" s="53"/>
      <c r="BT178" s="53"/>
    </row>
    <row r="179" spans="3:72" ht="14.25" hidden="1" customHeight="1">
      <c r="C179" s="82" t="s">
        <v>13</v>
      </c>
      <c r="D179" s="82" t="s">
        <v>1272</v>
      </c>
      <c r="E179" s="82" t="s">
        <v>1273</v>
      </c>
      <c r="F179" s="82" t="s">
        <v>13</v>
      </c>
      <c r="G179" s="82">
        <v>255</v>
      </c>
      <c r="H179" s="82" t="s">
        <v>652</v>
      </c>
      <c r="I179" s="82">
        <v>2</v>
      </c>
      <c r="J179" s="82">
        <v>1.9193630573248406</v>
      </c>
      <c r="K179" s="82">
        <v>3.8387261146496812</v>
      </c>
      <c r="L179" s="26">
        <f t="shared" si="28"/>
        <v>0</v>
      </c>
      <c r="M179" s="26">
        <f t="shared" si="22"/>
        <v>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67" t="e">
        <f>SUMIFS([1]Up!$J:$J,[1]Up!$D:$D,D179)</f>
        <v>#VALUE!</v>
      </c>
      <c r="BJ179" s="82"/>
      <c r="BK179" s="82" t="str">
        <f t="shared" si="29"/>
        <v>PL5</v>
      </c>
      <c r="BL179" s="53" t="str">
        <f t="shared" si="30"/>
        <v/>
      </c>
      <c r="BM179" s="53" t="s">
        <v>148</v>
      </c>
      <c r="BN179" s="53" t="s">
        <v>1107</v>
      </c>
      <c r="BO179" s="53" t="s">
        <v>956</v>
      </c>
      <c r="BP179" s="53" t="s">
        <v>2102</v>
      </c>
      <c r="BQ179" s="53">
        <v>2</v>
      </c>
      <c r="BR179" s="83">
        <v>46120</v>
      </c>
      <c r="BS179" s="53"/>
      <c r="BT179" s="53"/>
    </row>
    <row r="180" spans="3:72" ht="14.25" hidden="1" customHeight="1">
      <c r="C180" s="82" t="s">
        <v>13</v>
      </c>
      <c r="D180" s="82" t="s">
        <v>1274</v>
      </c>
      <c r="E180" s="82" t="s">
        <v>1275</v>
      </c>
      <c r="F180" s="82" t="s">
        <v>1204</v>
      </c>
      <c r="G180" s="82">
        <v>1616</v>
      </c>
      <c r="H180" s="82" t="s">
        <v>147</v>
      </c>
      <c r="I180" s="82">
        <v>3</v>
      </c>
      <c r="J180" s="82">
        <v>24.2</v>
      </c>
      <c r="K180" s="82">
        <v>72.599999999999994</v>
      </c>
      <c r="L180" s="26">
        <f t="shared" si="28"/>
        <v>0</v>
      </c>
      <c r="M180" s="26">
        <f t="shared" si="22"/>
        <v>3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67" t="e">
        <f>SUMIFS([1]Up!$J:$J,[1]Up!$D:$D,D180)</f>
        <v>#VALUE!</v>
      </c>
      <c r="BJ180" s="82"/>
      <c r="BK180" s="82" t="str">
        <f t="shared" si="29"/>
        <v>PL8</v>
      </c>
      <c r="BL180" s="53" t="str">
        <f t="shared" si="30"/>
        <v/>
      </c>
      <c r="BM180" s="53" t="s">
        <v>148</v>
      </c>
      <c r="BN180" s="53" t="s">
        <v>1011</v>
      </c>
      <c r="BO180" s="53" t="s">
        <v>1012</v>
      </c>
      <c r="BP180" s="53" t="s">
        <v>57</v>
      </c>
      <c r="BQ180" s="53">
        <v>3</v>
      </c>
      <c r="BR180" s="83"/>
      <c r="BS180" s="53"/>
      <c r="BT180" s="53"/>
    </row>
    <row r="181" spans="3:72" ht="14.25" hidden="1" customHeight="1">
      <c r="C181" s="82" t="s">
        <v>13</v>
      </c>
      <c r="D181" s="82" t="s">
        <v>1276</v>
      </c>
      <c r="E181" s="82" t="s">
        <v>1277</v>
      </c>
      <c r="F181" s="82" t="s">
        <v>1278</v>
      </c>
      <c r="G181" s="82">
        <v>1669</v>
      </c>
      <c r="H181" s="82" t="s">
        <v>147</v>
      </c>
      <c r="I181" s="82">
        <v>1</v>
      </c>
      <c r="J181" s="82">
        <v>321.60000000000002</v>
      </c>
      <c r="K181" s="82">
        <v>321.60000000000002</v>
      </c>
      <c r="L181" s="26">
        <f t="shared" si="28"/>
        <v>0</v>
      </c>
      <c r="M181" s="26">
        <f t="shared" si="22"/>
        <v>1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67" t="e">
        <f>SUMIFS([1]Up!$J:$J,[1]Up!$D:$D,D181)</f>
        <v>#VALUE!</v>
      </c>
      <c r="BJ181" s="82"/>
      <c r="BK181" s="82" t="str">
        <f t="shared" si="29"/>
        <v>PL20</v>
      </c>
      <c r="BL181" s="53" t="str">
        <f t="shared" si="30"/>
        <v/>
      </c>
      <c r="BM181" s="53" t="s">
        <v>148</v>
      </c>
      <c r="BN181" s="53" t="s">
        <v>1099</v>
      </c>
      <c r="BO181" s="53" t="s">
        <v>1100</v>
      </c>
      <c r="BP181" s="53" t="s">
        <v>2101</v>
      </c>
      <c r="BQ181" s="53">
        <v>1</v>
      </c>
      <c r="BR181" s="83">
        <v>46303</v>
      </c>
      <c r="BS181" s="53"/>
      <c r="BT181" s="53"/>
    </row>
    <row r="182" spans="3:72" ht="14.25" hidden="1" customHeight="1">
      <c r="C182" s="82" t="s">
        <v>13</v>
      </c>
      <c r="D182" s="82" t="s">
        <v>1279</v>
      </c>
      <c r="E182" s="82" t="s">
        <v>1280</v>
      </c>
      <c r="F182" s="82" t="s">
        <v>1200</v>
      </c>
      <c r="G182" s="82">
        <v>1100</v>
      </c>
      <c r="H182" s="82" t="s">
        <v>147</v>
      </c>
      <c r="I182" s="82">
        <v>1</v>
      </c>
      <c r="J182" s="82">
        <v>47.5</v>
      </c>
      <c r="K182" s="82">
        <v>47.5</v>
      </c>
      <c r="L182" s="26">
        <f t="shared" si="28"/>
        <v>0</v>
      </c>
      <c r="M182" s="26">
        <f t="shared" si="22"/>
        <v>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67" t="e">
        <f>SUMIFS([1]Up!$J:$J,[1]Up!$D:$D,D182)</f>
        <v>#VALUE!</v>
      </c>
      <c r="BJ182" s="82"/>
      <c r="BK182" s="82" t="str">
        <f t="shared" si="29"/>
        <v>PL20</v>
      </c>
      <c r="BL182" s="53" t="str">
        <f t="shared" si="30"/>
        <v/>
      </c>
      <c r="BM182" s="53" t="s">
        <v>148</v>
      </c>
      <c r="BN182" s="53" t="s">
        <v>1099</v>
      </c>
      <c r="BO182" s="53" t="s">
        <v>1100</v>
      </c>
      <c r="BP182" s="53" t="s">
        <v>2101</v>
      </c>
      <c r="BQ182" s="53">
        <v>1</v>
      </c>
      <c r="BR182" s="83">
        <v>46303</v>
      </c>
      <c r="BS182" s="53"/>
      <c r="BT182" s="53"/>
    </row>
    <row r="183" spans="3:72" ht="14.25" hidden="1" customHeight="1">
      <c r="C183" s="82" t="s">
        <v>13</v>
      </c>
      <c r="D183" s="82" t="s">
        <v>1281</v>
      </c>
      <c r="E183" s="82" t="s">
        <v>1282</v>
      </c>
      <c r="F183" s="82" t="s">
        <v>13</v>
      </c>
      <c r="G183" s="82">
        <v>630</v>
      </c>
      <c r="H183" s="82" t="s">
        <v>147</v>
      </c>
      <c r="I183" s="82">
        <v>3</v>
      </c>
      <c r="J183" s="82">
        <v>9.3000000000000007</v>
      </c>
      <c r="K183" s="82">
        <v>27.900000000000002</v>
      </c>
      <c r="L183" s="26">
        <f t="shared" si="28"/>
        <v>3</v>
      </c>
      <c r="M183" s="26">
        <f t="shared" si="22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>
        <v>3</v>
      </c>
      <c r="BC183" s="26"/>
      <c r="BD183" s="26"/>
      <c r="BE183" s="26"/>
      <c r="BF183" s="26"/>
      <c r="BG183" s="26"/>
      <c r="BH183" s="26"/>
      <c r="BI183" s="67" t="e">
        <f>SUMIFS([1]Up!$J:$J,[1]Up!$D:$D,D183)</f>
        <v>#VALUE!</v>
      </c>
      <c r="BJ183" s="82"/>
      <c r="BK183" s="82" t="str">
        <f t="shared" si="29"/>
        <v>PL16</v>
      </c>
      <c r="BL183" s="53" t="str">
        <f t="shared" si="30"/>
        <v/>
      </c>
      <c r="BM183" s="53" t="s">
        <v>148</v>
      </c>
      <c r="BN183" s="53" t="s">
        <v>987</v>
      </c>
      <c r="BO183" s="53" t="s">
        <v>988</v>
      </c>
      <c r="BP183" s="53" t="s">
        <v>2103</v>
      </c>
      <c r="BQ183" s="53">
        <v>3</v>
      </c>
      <c r="BR183" s="83">
        <v>46120</v>
      </c>
      <c r="BS183" s="53"/>
      <c r="BT183" s="53"/>
    </row>
    <row r="184" spans="3:72" ht="14.25" hidden="1" customHeight="1">
      <c r="C184" s="82" t="s">
        <v>13</v>
      </c>
      <c r="D184" s="82" t="s">
        <v>1283</v>
      </c>
      <c r="E184" s="82" t="s">
        <v>1284</v>
      </c>
      <c r="F184" s="82" t="s">
        <v>13</v>
      </c>
      <c r="G184" s="82">
        <v>100</v>
      </c>
      <c r="H184" s="82" t="s">
        <v>147</v>
      </c>
      <c r="I184" s="82">
        <v>1</v>
      </c>
      <c r="J184" s="82">
        <v>0.8</v>
      </c>
      <c r="K184" s="82">
        <v>0.8</v>
      </c>
      <c r="L184" s="26">
        <f t="shared" si="28"/>
        <v>1</v>
      </c>
      <c r="M184" s="26">
        <f t="shared" si="22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>
        <v>1</v>
      </c>
      <c r="BC184" s="26"/>
      <c r="BD184" s="26"/>
      <c r="BE184" s="26"/>
      <c r="BF184" s="26"/>
      <c r="BG184" s="26"/>
      <c r="BH184" s="26"/>
      <c r="BI184" s="67" t="e">
        <f>SUMIFS([1]Up!$J:$J,[1]Up!$D:$D,D184)</f>
        <v>#VALUE!</v>
      </c>
      <c r="BJ184" s="82"/>
      <c r="BK184" s="82" t="str">
        <f t="shared" si="29"/>
        <v>PL16</v>
      </c>
      <c r="BL184" s="53" t="str">
        <f t="shared" si="30"/>
        <v/>
      </c>
      <c r="BM184" s="53" t="s">
        <v>148</v>
      </c>
      <c r="BN184" s="53" t="s">
        <v>987</v>
      </c>
      <c r="BO184" s="53" t="s">
        <v>988</v>
      </c>
      <c r="BP184" s="53" t="s">
        <v>2103</v>
      </c>
      <c r="BQ184" s="53">
        <v>1</v>
      </c>
      <c r="BR184" s="83">
        <v>46120</v>
      </c>
      <c r="BS184" s="53"/>
      <c r="BT184" s="53"/>
    </row>
    <row r="185" spans="3:72" ht="14.25" hidden="1" customHeight="1">
      <c r="C185" s="82" t="s">
        <v>13</v>
      </c>
      <c r="D185" s="82" t="s">
        <v>1285</v>
      </c>
      <c r="E185" s="82" t="s">
        <v>1157</v>
      </c>
      <c r="F185" s="82" t="s">
        <v>13</v>
      </c>
      <c r="G185" s="82">
        <v>11551</v>
      </c>
      <c r="H185" s="82" t="s">
        <v>147</v>
      </c>
      <c r="I185" s="82">
        <v>2</v>
      </c>
      <c r="J185" s="82">
        <v>435.2</v>
      </c>
      <c r="K185" s="82">
        <v>870.4</v>
      </c>
      <c r="L185" s="26">
        <f t="shared" si="28"/>
        <v>0</v>
      </c>
      <c r="M185" s="26">
        <f t="shared" si="22"/>
        <v>2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67" t="e">
        <f>SUMIFS([1]Up!$J:$J,[1]Up!$D:$D,D185)</f>
        <v>#VALUE!</v>
      </c>
      <c r="BJ185" s="82"/>
      <c r="BK185" s="82" t="str">
        <f t="shared" si="29"/>
        <v>PL15</v>
      </c>
      <c r="BL185" s="53" t="str">
        <f t="shared" si="30"/>
        <v/>
      </c>
      <c r="BM185" s="53" t="s">
        <v>148</v>
      </c>
      <c r="BN185" s="53" t="s">
        <v>1093</v>
      </c>
      <c r="BO185" s="53" t="s">
        <v>1094</v>
      </c>
      <c r="BP185" s="53" t="s">
        <v>2100</v>
      </c>
      <c r="BQ185" s="53">
        <v>2</v>
      </c>
      <c r="BR185" s="83">
        <v>46120</v>
      </c>
      <c r="BS185" s="53"/>
      <c r="BT185" s="53"/>
    </row>
    <row r="186" spans="3:72" ht="14.25" hidden="1" customHeight="1">
      <c r="C186" s="82" t="s">
        <v>13</v>
      </c>
      <c r="D186" s="82" t="s">
        <v>1286</v>
      </c>
      <c r="E186" s="82" t="s">
        <v>1284</v>
      </c>
      <c r="F186" s="82" t="s">
        <v>13</v>
      </c>
      <c r="G186" s="82">
        <v>325</v>
      </c>
      <c r="H186" s="82" t="s">
        <v>147</v>
      </c>
      <c r="I186" s="82">
        <v>2</v>
      </c>
      <c r="J186" s="82">
        <v>3.1</v>
      </c>
      <c r="K186" s="82">
        <v>6.2</v>
      </c>
      <c r="L186" s="26">
        <f t="shared" si="28"/>
        <v>2</v>
      </c>
      <c r="M186" s="26">
        <f t="shared" si="22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>
        <v>2</v>
      </c>
      <c r="BC186" s="26"/>
      <c r="BD186" s="26"/>
      <c r="BE186" s="26"/>
      <c r="BF186" s="26"/>
      <c r="BG186" s="26"/>
      <c r="BH186" s="26"/>
      <c r="BI186" s="67" t="e">
        <f>SUMIFS([1]Up!$J:$J,[1]Up!$D:$D,D186)</f>
        <v>#VALUE!</v>
      </c>
      <c r="BJ186" s="82"/>
      <c r="BK186" s="82" t="str">
        <f t="shared" si="29"/>
        <v>PL16</v>
      </c>
      <c r="BL186" s="53" t="str">
        <f t="shared" si="30"/>
        <v/>
      </c>
      <c r="BM186" s="53" t="s">
        <v>148</v>
      </c>
      <c r="BN186" s="53" t="s">
        <v>987</v>
      </c>
      <c r="BO186" s="53" t="s">
        <v>988</v>
      </c>
      <c r="BP186" s="53" t="s">
        <v>2103</v>
      </c>
      <c r="BQ186" s="53">
        <v>2</v>
      </c>
      <c r="BR186" s="83">
        <v>46120</v>
      </c>
      <c r="BS186" s="53"/>
      <c r="BT186" s="53"/>
    </row>
    <row r="187" spans="3:72" ht="14.25" hidden="1" customHeight="1">
      <c r="C187" s="82" t="s">
        <v>13</v>
      </c>
      <c r="D187" s="82" t="s">
        <v>1287</v>
      </c>
      <c r="E187" s="82" t="s">
        <v>1256</v>
      </c>
      <c r="F187" s="82" t="s">
        <v>13</v>
      </c>
      <c r="G187" s="82" t="s">
        <v>1258</v>
      </c>
      <c r="H187" s="82" t="s">
        <v>147</v>
      </c>
      <c r="I187" s="82">
        <v>10</v>
      </c>
      <c r="J187" s="82">
        <v>1.5</v>
      </c>
      <c r="K187" s="82">
        <v>15</v>
      </c>
      <c r="L187" s="26">
        <f t="shared" si="28"/>
        <v>10</v>
      </c>
      <c r="M187" s="26">
        <f t="shared" si="22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>
        <v>10</v>
      </c>
      <c r="BC187" s="26"/>
      <c r="BD187" s="26"/>
      <c r="BE187" s="26"/>
      <c r="BF187" s="26"/>
      <c r="BG187" s="26"/>
      <c r="BH187" s="26"/>
      <c r="BI187" s="67" t="e">
        <f>SUMIFS([1]Up!$J:$J,[1]Up!$D:$D,D187)</f>
        <v>#VALUE!</v>
      </c>
      <c r="BJ187" s="82"/>
      <c r="BK187" s="82" t="str">
        <f t="shared" si="29"/>
        <v>PL16</v>
      </c>
      <c r="BL187" s="53" t="str">
        <f t="shared" si="30"/>
        <v/>
      </c>
      <c r="BM187" s="53" t="s">
        <v>148</v>
      </c>
      <c r="BN187" s="53" t="s">
        <v>987</v>
      </c>
      <c r="BO187" s="53" t="s">
        <v>988</v>
      </c>
      <c r="BP187" s="53" t="s">
        <v>2103</v>
      </c>
      <c r="BQ187" s="53">
        <v>10</v>
      </c>
      <c r="BR187" s="83">
        <v>46120</v>
      </c>
      <c r="BS187" s="53"/>
      <c r="BT187" s="53"/>
    </row>
    <row r="188" spans="3:72" ht="14.25" hidden="1" customHeight="1">
      <c r="C188" s="82" t="s">
        <v>11</v>
      </c>
      <c r="D188" s="82" t="s">
        <v>1288</v>
      </c>
      <c r="E188" s="82" t="s">
        <v>1075</v>
      </c>
      <c r="F188" s="82" t="s">
        <v>1076</v>
      </c>
      <c r="G188" s="82">
        <v>812</v>
      </c>
      <c r="H188" s="82" t="s">
        <v>1077</v>
      </c>
      <c r="I188" s="82">
        <v>4</v>
      </c>
      <c r="J188" s="82">
        <v>13.05696</v>
      </c>
      <c r="K188" s="82">
        <v>52.22784</v>
      </c>
      <c r="L188" s="26">
        <f t="shared" si="28"/>
        <v>4</v>
      </c>
      <c r="M188" s="26">
        <f t="shared" si="22"/>
        <v>0</v>
      </c>
      <c r="N188" s="26"/>
      <c r="O188" s="26"/>
      <c r="P188" s="26"/>
      <c r="Q188" s="26"/>
      <c r="R188" s="26"/>
      <c r="S188" s="26">
        <v>4</v>
      </c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67" t="e">
        <f>SUMIFS([1]Up!$J:$J,[1]Up!$D:$D,D188)</f>
        <v>#VALUE!</v>
      </c>
      <c r="BJ188" s="82"/>
      <c r="BK188" s="82" t="str">
        <f t="shared" si="29"/>
        <v/>
      </c>
      <c r="BL188" s="53" t="str">
        <f t="shared" si="30"/>
        <v/>
      </c>
      <c r="BM188" s="53" t="s">
        <v>148</v>
      </c>
      <c r="BN188" s="53" t="s">
        <v>1078</v>
      </c>
      <c r="BO188" s="53" t="s">
        <v>1075</v>
      </c>
      <c r="BP188" s="53" t="s">
        <v>1289</v>
      </c>
      <c r="BQ188" s="53">
        <v>4</v>
      </c>
      <c r="BR188" s="83">
        <v>46362</v>
      </c>
      <c r="BS188" s="53"/>
      <c r="BT188" s="53"/>
    </row>
    <row r="189" spans="3:72" ht="14.25" hidden="1" customHeight="1">
      <c r="C189" s="82" t="s">
        <v>11</v>
      </c>
      <c r="D189" s="82" t="s">
        <v>1290</v>
      </c>
      <c r="E189" s="82" t="s">
        <v>1080</v>
      </c>
      <c r="F189" s="82" t="s">
        <v>1076</v>
      </c>
      <c r="G189" s="82">
        <v>737</v>
      </c>
      <c r="H189" s="82" t="s">
        <v>1077</v>
      </c>
      <c r="I189" s="82">
        <v>2</v>
      </c>
      <c r="J189" s="82">
        <v>2.1</v>
      </c>
      <c r="K189" s="82">
        <v>4.2</v>
      </c>
      <c r="L189" s="26">
        <f t="shared" si="28"/>
        <v>2</v>
      </c>
      <c r="M189" s="26">
        <f t="shared" si="22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>
        <v>2</v>
      </c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67" t="e">
        <f>SUMIFS([1]Up!$J:$J,[1]Up!$D:$D,D189)</f>
        <v>#VALUE!</v>
      </c>
      <c r="BJ189" s="82"/>
      <c r="BK189" s="82" t="str">
        <f t="shared" si="29"/>
        <v/>
      </c>
      <c r="BL189" s="53" t="str">
        <f t="shared" si="30"/>
        <v/>
      </c>
      <c r="BM189" s="53" t="s">
        <v>154</v>
      </c>
      <c r="BN189" s="53" t="s">
        <v>1081</v>
      </c>
      <c r="BO189" s="53" t="s">
        <v>1080</v>
      </c>
      <c r="BP189" s="53" t="s">
        <v>1291</v>
      </c>
      <c r="BQ189" s="53">
        <v>2</v>
      </c>
      <c r="BR189" s="83">
        <v>46362</v>
      </c>
      <c r="BS189" s="53"/>
      <c r="BT189" s="53"/>
    </row>
    <row r="190" spans="3:72" ht="14.25" hidden="1" customHeight="1">
      <c r="C190" s="82" t="s">
        <v>13</v>
      </c>
      <c r="D190" s="82" t="s">
        <v>1292</v>
      </c>
      <c r="E190" s="82" t="s">
        <v>1293</v>
      </c>
      <c r="F190" s="82" t="s">
        <v>1084</v>
      </c>
      <c r="G190" s="82">
        <v>8216</v>
      </c>
      <c r="H190" s="82" t="s">
        <v>147</v>
      </c>
      <c r="I190" s="82">
        <v>1</v>
      </c>
      <c r="J190" s="82">
        <v>1195.8</v>
      </c>
      <c r="K190" s="82">
        <v>1195.8</v>
      </c>
      <c r="L190" s="26">
        <f t="shared" si="28"/>
        <v>1</v>
      </c>
      <c r="M190" s="26">
        <f t="shared" si="22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>
        <v>4</v>
      </c>
      <c r="Z190" s="26"/>
      <c r="AA190" s="26"/>
      <c r="AB190" s="26"/>
      <c r="AC190" s="26"/>
      <c r="AD190" s="26">
        <v>1</v>
      </c>
      <c r="AE190" s="26">
        <v>1</v>
      </c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67" t="e">
        <f>SUMIFS([1]Up!$J:$J,[1]Up!$D:$D,D190)</f>
        <v>#VALUE!</v>
      </c>
      <c r="BJ190" s="82" t="s">
        <v>2231</v>
      </c>
      <c r="BK190" s="82" t="str">
        <f t="shared" si="29"/>
        <v>PL12</v>
      </c>
      <c r="BL190" s="53" t="str">
        <f t="shared" si="30"/>
        <v>Thừa 5</v>
      </c>
      <c r="BM190" s="53" t="s">
        <v>154</v>
      </c>
      <c r="BN190" s="53" t="s">
        <v>1020</v>
      </c>
      <c r="BO190" s="53" t="s">
        <v>1021</v>
      </c>
      <c r="BP190" s="53" t="s">
        <v>57</v>
      </c>
      <c r="BQ190" s="53">
        <v>1</v>
      </c>
      <c r="BR190" s="83"/>
      <c r="BS190" s="53"/>
      <c r="BT190" s="53"/>
    </row>
    <row r="191" spans="3:72" ht="14.25" hidden="1" customHeight="1">
      <c r="C191" s="82" t="s">
        <v>13</v>
      </c>
      <c r="D191" s="82" t="s">
        <v>1294</v>
      </c>
      <c r="E191" s="82" t="s">
        <v>1295</v>
      </c>
      <c r="F191" s="82" t="s">
        <v>1296</v>
      </c>
      <c r="G191" s="82">
        <v>332</v>
      </c>
      <c r="H191" s="82" t="s">
        <v>147</v>
      </c>
      <c r="I191" s="82">
        <v>2</v>
      </c>
      <c r="J191" s="82">
        <v>5.0999999999999996</v>
      </c>
      <c r="K191" s="82">
        <v>10.199999999999999</v>
      </c>
      <c r="L191" s="26">
        <f t="shared" si="28"/>
        <v>2</v>
      </c>
      <c r="M191" s="26">
        <f t="shared" si="22"/>
        <v>0</v>
      </c>
      <c r="N191" s="26"/>
      <c r="O191" s="26">
        <v>2</v>
      </c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67" t="e">
        <f>SUMIFS([1]Up!$J:$J,[1]Up!$D:$D,D191)</f>
        <v>#VALUE!</v>
      </c>
      <c r="BJ191" s="82"/>
      <c r="BK191" s="82" t="str">
        <f t="shared" si="29"/>
        <v>PL10</v>
      </c>
      <c r="BL191" s="53" t="str">
        <f t="shared" si="30"/>
        <v/>
      </c>
      <c r="BM191" s="53" t="s">
        <v>148</v>
      </c>
      <c r="BN191" s="53" t="s">
        <v>1004</v>
      </c>
      <c r="BO191" s="53" t="s">
        <v>1005</v>
      </c>
      <c r="BP191" s="53" t="s">
        <v>1063</v>
      </c>
      <c r="BQ191" s="53">
        <v>2</v>
      </c>
      <c r="BR191" s="83">
        <v>46088</v>
      </c>
      <c r="BS191" s="53"/>
      <c r="BT191" s="53"/>
    </row>
    <row r="192" spans="3:72" ht="14.25" hidden="1" customHeight="1">
      <c r="C192" s="82" t="s">
        <v>13</v>
      </c>
      <c r="D192" s="82" t="s">
        <v>1297</v>
      </c>
      <c r="E192" s="82" t="s">
        <v>1298</v>
      </c>
      <c r="F192" s="82" t="s">
        <v>1296</v>
      </c>
      <c r="G192" s="82">
        <v>787</v>
      </c>
      <c r="H192" s="82" t="s">
        <v>147</v>
      </c>
      <c r="I192" s="82">
        <v>4</v>
      </c>
      <c r="J192" s="82">
        <v>11.6</v>
      </c>
      <c r="K192" s="82">
        <v>46.4</v>
      </c>
      <c r="L192" s="26">
        <f t="shared" si="28"/>
        <v>4</v>
      </c>
      <c r="M192" s="26">
        <f t="shared" si="22"/>
        <v>0</v>
      </c>
      <c r="N192" s="26"/>
      <c r="O192" s="26">
        <v>4</v>
      </c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67" t="e">
        <f>SUMIFS([1]Up!$J:$J,[1]Up!$D:$D,D192)</f>
        <v>#VALUE!</v>
      </c>
      <c r="BJ192" s="82"/>
      <c r="BK192" s="82" t="str">
        <f t="shared" si="29"/>
        <v>PL12</v>
      </c>
      <c r="BL192" s="53" t="str">
        <f t="shared" si="30"/>
        <v/>
      </c>
      <c r="BM192" s="53" t="s">
        <v>148</v>
      </c>
      <c r="BN192" s="53" t="s">
        <v>1020</v>
      </c>
      <c r="BO192" s="53" t="s">
        <v>1021</v>
      </c>
      <c r="BP192" s="53" t="s">
        <v>1022</v>
      </c>
      <c r="BQ192" s="53">
        <v>4</v>
      </c>
      <c r="BR192" s="83">
        <v>46088</v>
      </c>
      <c r="BS192" s="53"/>
      <c r="BT192" s="53"/>
    </row>
    <row r="193" spans="3:72" ht="14.25" hidden="1" customHeight="1">
      <c r="C193" s="82" t="s">
        <v>13</v>
      </c>
      <c r="D193" s="82" t="s">
        <v>1299</v>
      </c>
      <c r="E193" s="82" t="s">
        <v>1298</v>
      </c>
      <c r="F193" s="82" t="s">
        <v>1296</v>
      </c>
      <c r="G193" s="82">
        <v>787</v>
      </c>
      <c r="H193" s="82" t="s">
        <v>147</v>
      </c>
      <c r="I193" s="82">
        <v>4</v>
      </c>
      <c r="J193" s="82">
        <v>11.6</v>
      </c>
      <c r="K193" s="82">
        <v>46.4</v>
      </c>
      <c r="L193" s="26">
        <f t="shared" si="28"/>
        <v>4</v>
      </c>
      <c r="M193" s="26">
        <f t="shared" si="22"/>
        <v>0</v>
      </c>
      <c r="N193" s="26"/>
      <c r="O193" s="26">
        <v>4</v>
      </c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67" t="e">
        <f>SUMIFS([1]Up!$J:$J,[1]Up!$D:$D,D193)</f>
        <v>#VALUE!</v>
      </c>
      <c r="BJ193" s="82"/>
      <c r="BK193" s="82" t="str">
        <f t="shared" si="29"/>
        <v>PL12</v>
      </c>
      <c r="BL193" s="53" t="str">
        <f t="shared" si="30"/>
        <v/>
      </c>
      <c r="BM193" s="53" t="s">
        <v>148</v>
      </c>
      <c r="BN193" s="53" t="s">
        <v>1020</v>
      </c>
      <c r="BO193" s="53" t="s">
        <v>1021</v>
      </c>
      <c r="BP193" s="53" t="s">
        <v>1022</v>
      </c>
      <c r="BQ193" s="53">
        <v>4</v>
      </c>
      <c r="BR193" s="83">
        <v>46088</v>
      </c>
      <c r="BS193" s="53"/>
      <c r="BT193" s="53"/>
    </row>
    <row r="194" spans="3:72" ht="14.25" hidden="1" customHeight="1">
      <c r="C194" s="82" t="s">
        <v>13</v>
      </c>
      <c r="D194" s="82" t="s">
        <v>1300</v>
      </c>
      <c r="E194" s="82" t="s">
        <v>1090</v>
      </c>
      <c r="F194" s="82" t="s">
        <v>1296</v>
      </c>
      <c r="G194" s="82">
        <v>460</v>
      </c>
      <c r="H194" s="82" t="s">
        <v>147</v>
      </c>
      <c r="I194" s="82">
        <v>8</v>
      </c>
      <c r="J194" s="82">
        <v>5.5</v>
      </c>
      <c r="K194" s="82">
        <v>44</v>
      </c>
      <c r="L194" s="26">
        <f t="shared" si="28"/>
        <v>8</v>
      </c>
      <c r="M194" s="26">
        <f t="shared" si="22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>
        <v>8</v>
      </c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67" t="e">
        <f>SUMIFS([1]Up!$J:$J,[1]Up!$D:$D,D194)</f>
        <v>#VALUE!</v>
      </c>
      <c r="BJ194" s="82"/>
      <c r="BK194" s="82" t="str">
        <f t="shared" si="29"/>
        <v>PL16</v>
      </c>
      <c r="BL194" s="53" t="str">
        <f t="shared" si="30"/>
        <v/>
      </c>
      <c r="BM194" s="53" t="s">
        <v>148</v>
      </c>
      <c r="BN194" s="53" t="s">
        <v>987</v>
      </c>
      <c r="BO194" s="53" t="s">
        <v>988</v>
      </c>
      <c r="BP194" s="53" t="s">
        <v>989</v>
      </c>
      <c r="BQ194" s="53">
        <v>8</v>
      </c>
      <c r="BR194" s="83" t="s">
        <v>2222</v>
      </c>
      <c r="BS194" s="53"/>
      <c r="BT194" s="53"/>
    </row>
    <row r="195" spans="3:72" ht="14.25" hidden="1" customHeight="1">
      <c r="C195" s="82" t="s">
        <v>13</v>
      </c>
      <c r="D195" s="82" t="s">
        <v>1301</v>
      </c>
      <c r="E195" s="82" t="s">
        <v>1302</v>
      </c>
      <c r="F195" s="82" t="s">
        <v>1296</v>
      </c>
      <c r="G195" s="82">
        <v>7926</v>
      </c>
      <c r="H195" s="82" t="s">
        <v>147</v>
      </c>
      <c r="I195" s="82">
        <v>2</v>
      </c>
      <c r="J195" s="82">
        <v>336</v>
      </c>
      <c r="K195" s="82">
        <v>672</v>
      </c>
      <c r="L195" s="26">
        <f t="shared" si="28"/>
        <v>2</v>
      </c>
      <c r="M195" s="26">
        <f t="shared" si="22"/>
        <v>0</v>
      </c>
      <c r="N195" s="26"/>
      <c r="O195" s="26"/>
      <c r="P195" s="26"/>
      <c r="Q195" s="26"/>
      <c r="R195" s="26">
        <v>2</v>
      </c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67" t="e">
        <f>SUMIFS([1]Up!$J:$J,[1]Up!$D:$D,D195)</f>
        <v>#VALUE!</v>
      </c>
      <c r="BJ195" s="82"/>
      <c r="BK195" s="82" t="str">
        <f t="shared" si="29"/>
        <v>PL15</v>
      </c>
      <c r="BL195" s="53" t="str">
        <f t="shared" si="30"/>
        <v/>
      </c>
      <c r="BM195" s="53" t="s">
        <v>148</v>
      </c>
      <c r="BN195" s="53" t="s">
        <v>1093</v>
      </c>
      <c r="BO195" s="53" t="s">
        <v>1094</v>
      </c>
      <c r="BP195" s="53" t="s">
        <v>1303</v>
      </c>
      <c r="BQ195" s="53">
        <v>2</v>
      </c>
      <c r="BR195" s="83">
        <v>46088</v>
      </c>
      <c r="BS195" s="53"/>
      <c r="BT195" s="53"/>
    </row>
    <row r="196" spans="3:72" ht="14.25" hidden="1" customHeight="1">
      <c r="C196" s="82" t="s">
        <v>13</v>
      </c>
      <c r="D196" s="82" t="s">
        <v>1304</v>
      </c>
      <c r="E196" s="82" t="s">
        <v>1096</v>
      </c>
      <c r="F196" s="82" t="s">
        <v>1296</v>
      </c>
      <c r="G196" s="82">
        <v>2343</v>
      </c>
      <c r="H196" s="82" t="s">
        <v>147</v>
      </c>
      <c r="I196" s="82">
        <v>1</v>
      </c>
      <c r="J196" s="82">
        <v>33.1</v>
      </c>
      <c r="K196" s="82">
        <v>33.1</v>
      </c>
      <c r="L196" s="26">
        <f t="shared" si="28"/>
        <v>1</v>
      </c>
      <c r="M196" s="26">
        <f t="shared" si="22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>
        <v>1</v>
      </c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67" t="e">
        <f>SUMIFS([1]Up!$J:$J,[1]Up!$D:$D,D196)</f>
        <v>#VALUE!</v>
      </c>
      <c r="BJ196" s="82"/>
      <c r="BK196" s="82" t="str">
        <f t="shared" si="29"/>
        <v>PL10</v>
      </c>
      <c r="BL196" s="53" t="str">
        <f t="shared" si="30"/>
        <v/>
      </c>
      <c r="BM196" s="53" t="s">
        <v>154</v>
      </c>
      <c r="BN196" s="53" t="s">
        <v>1004</v>
      </c>
      <c r="BO196" s="53" t="s">
        <v>1005</v>
      </c>
      <c r="BP196" s="53" t="s">
        <v>1063</v>
      </c>
      <c r="BQ196" s="53">
        <v>1</v>
      </c>
      <c r="BR196" s="83">
        <v>46088</v>
      </c>
      <c r="BS196" s="53"/>
      <c r="BT196" s="53"/>
    </row>
    <row r="197" spans="3:72" ht="14.25" hidden="1" customHeight="1">
      <c r="C197" s="82" t="s">
        <v>13</v>
      </c>
      <c r="D197" s="82" t="s">
        <v>1305</v>
      </c>
      <c r="E197" s="82" t="s">
        <v>1306</v>
      </c>
      <c r="F197" s="82" t="s">
        <v>1296</v>
      </c>
      <c r="G197" s="82">
        <v>2308</v>
      </c>
      <c r="H197" s="82" t="s">
        <v>147</v>
      </c>
      <c r="I197" s="82">
        <v>1</v>
      </c>
      <c r="J197" s="82">
        <v>83.6</v>
      </c>
      <c r="K197" s="82">
        <v>83.6</v>
      </c>
      <c r="L197" s="26">
        <f t="shared" si="28"/>
        <v>1</v>
      </c>
      <c r="M197" s="26">
        <f t="shared" si="22"/>
        <v>0</v>
      </c>
      <c r="N197" s="26"/>
      <c r="O197" s="26"/>
      <c r="P197" s="26"/>
      <c r="Q197" s="26"/>
      <c r="R197" s="26"/>
      <c r="S197" s="26">
        <v>1</v>
      </c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67" t="e">
        <f>SUMIFS([1]Up!$J:$J,[1]Up!$D:$D,D197)</f>
        <v>#VALUE!</v>
      </c>
      <c r="BJ197" s="82"/>
      <c r="BK197" s="82" t="str">
        <f t="shared" si="29"/>
        <v>PL20</v>
      </c>
      <c r="BL197" s="53" t="str">
        <f t="shared" si="30"/>
        <v/>
      </c>
      <c r="BM197" s="53" t="s">
        <v>148</v>
      </c>
      <c r="BN197" s="53" t="s">
        <v>1099</v>
      </c>
      <c r="BO197" s="53" t="s">
        <v>1100</v>
      </c>
      <c r="BP197" s="53" t="s">
        <v>1307</v>
      </c>
      <c r="BQ197" s="53">
        <v>1</v>
      </c>
      <c r="BR197" s="83">
        <v>46242</v>
      </c>
      <c r="BS197" s="53"/>
      <c r="BT197" s="53"/>
    </row>
    <row r="198" spans="3:72" ht="14.25" hidden="1" customHeight="1">
      <c r="C198" s="82" t="s">
        <v>13</v>
      </c>
      <c r="D198" s="82" t="s">
        <v>1308</v>
      </c>
      <c r="E198" s="82" t="s">
        <v>1104</v>
      </c>
      <c r="F198" s="82" t="s">
        <v>1296</v>
      </c>
      <c r="G198" s="82">
        <v>1100</v>
      </c>
      <c r="H198" s="82" t="s">
        <v>147</v>
      </c>
      <c r="I198" s="82">
        <v>1</v>
      </c>
      <c r="J198" s="82">
        <v>34.5</v>
      </c>
      <c r="K198" s="82">
        <v>34.5</v>
      </c>
      <c r="L198" s="26">
        <f t="shared" si="28"/>
        <v>1</v>
      </c>
      <c r="M198" s="26">
        <f t="shared" si="22"/>
        <v>0</v>
      </c>
      <c r="N198" s="26"/>
      <c r="O198" s="26"/>
      <c r="P198" s="26"/>
      <c r="Q198" s="26"/>
      <c r="R198" s="26"/>
      <c r="S198" s="26">
        <v>1</v>
      </c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67" t="e">
        <f>SUMIFS([1]Up!$J:$J,[1]Up!$D:$D,D198)</f>
        <v>#VALUE!</v>
      </c>
      <c r="BJ198" s="82"/>
      <c r="BK198" s="82" t="str">
        <f t="shared" si="29"/>
        <v>PL20</v>
      </c>
      <c r="BL198" s="53" t="str">
        <f t="shared" si="30"/>
        <v/>
      </c>
      <c r="BM198" s="53" t="s">
        <v>148</v>
      </c>
      <c r="BN198" s="53" t="s">
        <v>1099</v>
      </c>
      <c r="BO198" s="53" t="s">
        <v>1100</v>
      </c>
      <c r="BP198" s="53" t="s">
        <v>1307</v>
      </c>
      <c r="BQ198" s="53">
        <v>1</v>
      </c>
      <c r="BR198" s="83">
        <v>46242</v>
      </c>
      <c r="BS198" s="53"/>
      <c r="BT198" s="53"/>
    </row>
    <row r="199" spans="3:72" ht="14.25" hidden="1" customHeight="1">
      <c r="C199" s="82" t="s">
        <v>13</v>
      </c>
      <c r="D199" s="82" t="s">
        <v>1309</v>
      </c>
      <c r="E199" s="82" t="s">
        <v>1310</v>
      </c>
      <c r="F199" s="82" t="s">
        <v>1296</v>
      </c>
      <c r="G199" s="82">
        <v>852</v>
      </c>
      <c r="H199" s="82" t="s">
        <v>147</v>
      </c>
      <c r="I199" s="82">
        <v>1</v>
      </c>
      <c r="J199" s="82">
        <v>8.9</v>
      </c>
      <c r="K199" s="82">
        <v>8.9</v>
      </c>
      <c r="L199" s="26">
        <f t="shared" si="28"/>
        <v>1</v>
      </c>
      <c r="M199" s="26">
        <f t="shared" si="22"/>
        <v>0</v>
      </c>
      <c r="N199" s="26"/>
      <c r="O199" s="26">
        <v>1</v>
      </c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67" t="e">
        <f>SUMIFS([1]Up!$J:$J,[1]Up!$D:$D,D199)</f>
        <v>#VALUE!</v>
      </c>
      <c r="BJ199" s="82"/>
      <c r="BK199" s="82" t="str">
        <f t="shared" si="29"/>
        <v>PL10</v>
      </c>
      <c r="BL199" s="53" t="str">
        <f t="shared" si="30"/>
        <v/>
      </c>
      <c r="BM199" s="53" t="s">
        <v>148</v>
      </c>
      <c r="BN199" s="53" t="s">
        <v>1004</v>
      </c>
      <c r="BO199" s="53" t="s">
        <v>1005</v>
      </c>
      <c r="BP199" s="53" t="s">
        <v>1063</v>
      </c>
      <c r="BQ199" s="53">
        <v>1</v>
      </c>
      <c r="BR199" s="83">
        <v>46088</v>
      </c>
      <c r="BS199" s="53"/>
      <c r="BT199" s="53"/>
    </row>
    <row r="200" spans="3:72" ht="14.25" hidden="1" customHeight="1">
      <c r="C200" s="82" t="s">
        <v>13</v>
      </c>
      <c r="D200" s="82" t="s">
        <v>1311</v>
      </c>
      <c r="E200" s="82" t="s">
        <v>1106</v>
      </c>
      <c r="F200" s="82" t="s">
        <v>1296</v>
      </c>
      <c r="G200" s="82">
        <v>190</v>
      </c>
      <c r="H200" s="82" t="s">
        <v>652</v>
      </c>
      <c r="I200" s="82">
        <v>2</v>
      </c>
      <c r="J200" s="82">
        <v>1.3</v>
      </c>
      <c r="K200" s="82">
        <v>2.6</v>
      </c>
      <c r="L200" s="26">
        <f t="shared" si="28"/>
        <v>2</v>
      </c>
      <c r="M200" s="26">
        <f t="shared" si="22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>
        <v>2</v>
      </c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67" t="e">
        <f>SUMIFS([1]Up!$J:$J,[1]Up!$D:$D,D200)</f>
        <v>#VALUE!</v>
      </c>
      <c r="BJ200" s="82"/>
      <c r="BK200" s="82" t="str">
        <f t="shared" si="29"/>
        <v>PL5</v>
      </c>
      <c r="BL200" s="53" t="str">
        <f t="shared" si="30"/>
        <v/>
      </c>
      <c r="BM200" s="53" t="s">
        <v>148</v>
      </c>
      <c r="BN200" s="53" t="s">
        <v>1107</v>
      </c>
      <c r="BO200" s="53" t="s">
        <v>956</v>
      </c>
      <c r="BP200" s="53" t="s">
        <v>1312</v>
      </c>
      <c r="BQ200" s="53">
        <v>2</v>
      </c>
      <c r="BR200" s="83" t="s">
        <v>2222</v>
      </c>
      <c r="BS200" s="53"/>
      <c r="BT200" s="53"/>
    </row>
    <row r="201" spans="3:72" ht="14.25" hidden="1" customHeight="1">
      <c r="C201" s="82" t="s">
        <v>13</v>
      </c>
      <c r="D201" s="82" t="s">
        <v>1313</v>
      </c>
      <c r="E201" s="82" t="s">
        <v>1030</v>
      </c>
      <c r="F201" s="82" t="s">
        <v>1296</v>
      </c>
      <c r="G201" s="82">
        <v>300</v>
      </c>
      <c r="H201" s="82" t="s">
        <v>147</v>
      </c>
      <c r="I201" s="82">
        <v>4</v>
      </c>
      <c r="J201" s="82">
        <v>2.2999999999999998</v>
      </c>
      <c r="K201" s="82">
        <v>9.1999999999999993</v>
      </c>
      <c r="L201" s="26">
        <f t="shared" si="28"/>
        <v>4</v>
      </c>
      <c r="M201" s="26">
        <f t="shared" si="22"/>
        <v>0</v>
      </c>
      <c r="N201" s="26"/>
      <c r="O201" s="26">
        <v>4</v>
      </c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67" t="e">
        <f>SUMIFS([1]Up!$J:$J,[1]Up!$D:$D,D201)</f>
        <v>#VALUE!</v>
      </c>
      <c r="BJ201" s="82"/>
      <c r="BK201" s="82" t="str">
        <f t="shared" si="29"/>
        <v>PL12</v>
      </c>
      <c r="BL201" s="53" t="str">
        <f t="shared" si="30"/>
        <v/>
      </c>
      <c r="BM201" s="53" t="s">
        <v>148</v>
      </c>
      <c r="BN201" s="53" t="s">
        <v>1020</v>
      </c>
      <c r="BO201" s="53" t="s">
        <v>1021</v>
      </c>
      <c r="BP201" s="53" t="s">
        <v>1022</v>
      </c>
      <c r="BQ201" s="53">
        <v>4</v>
      </c>
      <c r="BR201" s="83">
        <v>46088</v>
      </c>
      <c r="BS201" s="53"/>
      <c r="BT201" s="53"/>
    </row>
    <row r="202" spans="3:72" ht="14.25" hidden="1" customHeight="1">
      <c r="C202" s="82" t="s">
        <v>13</v>
      </c>
      <c r="D202" s="82" t="s">
        <v>1314</v>
      </c>
      <c r="E202" s="82" t="s">
        <v>1030</v>
      </c>
      <c r="F202" s="82" t="s">
        <v>1076</v>
      </c>
      <c r="G202" s="82">
        <v>231</v>
      </c>
      <c r="H202" s="82" t="s">
        <v>147</v>
      </c>
      <c r="I202" s="82">
        <v>2</v>
      </c>
      <c r="J202" s="82">
        <v>1.7</v>
      </c>
      <c r="K202" s="82">
        <v>3.4</v>
      </c>
      <c r="L202" s="26">
        <f t="shared" si="28"/>
        <v>2</v>
      </c>
      <c r="M202" s="26">
        <f t="shared" si="22"/>
        <v>0</v>
      </c>
      <c r="N202" s="26"/>
      <c r="O202" s="26">
        <v>2</v>
      </c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67" t="e">
        <f>SUMIFS([1]Up!$J:$J,[1]Up!$D:$D,D202)</f>
        <v>#VALUE!</v>
      </c>
      <c r="BJ202" s="82"/>
      <c r="BK202" s="82" t="str">
        <f t="shared" si="29"/>
        <v>PL12</v>
      </c>
      <c r="BL202" s="53" t="str">
        <f t="shared" si="30"/>
        <v/>
      </c>
      <c r="BM202" s="53" t="s">
        <v>148</v>
      </c>
      <c r="BN202" s="53" t="s">
        <v>1020</v>
      </c>
      <c r="BO202" s="53" t="s">
        <v>1021</v>
      </c>
      <c r="BP202" s="53" t="s">
        <v>1022</v>
      </c>
      <c r="BQ202" s="53">
        <v>2</v>
      </c>
      <c r="BR202" s="83">
        <v>46088</v>
      </c>
      <c r="BS202" s="53"/>
      <c r="BT202" s="53"/>
    </row>
    <row r="203" spans="3:72" ht="14.25" hidden="1" customHeight="1">
      <c r="C203" s="82" t="s">
        <v>13</v>
      </c>
      <c r="D203" s="82" t="s">
        <v>1315</v>
      </c>
      <c r="E203" s="82" t="s">
        <v>1316</v>
      </c>
      <c r="F203" s="82" t="s">
        <v>1296</v>
      </c>
      <c r="G203" s="82">
        <v>2308</v>
      </c>
      <c r="H203" s="82" t="s">
        <v>147</v>
      </c>
      <c r="I203" s="82">
        <v>1</v>
      </c>
      <c r="J203" s="82">
        <v>45.5</v>
      </c>
      <c r="K203" s="82">
        <v>45.5</v>
      </c>
      <c r="L203" s="26">
        <f t="shared" si="28"/>
        <v>1</v>
      </c>
      <c r="M203" s="26">
        <f t="shared" si="22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>
        <v>1</v>
      </c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67" t="e">
        <f>SUMIFS([1]Up!$J:$J,[1]Up!$D:$D,D203)</f>
        <v>#VALUE!</v>
      </c>
      <c r="BJ203" s="82"/>
      <c r="BK203" s="82" t="str">
        <f t="shared" si="29"/>
        <v>PL20</v>
      </c>
      <c r="BL203" s="53" t="str">
        <f t="shared" si="30"/>
        <v/>
      </c>
      <c r="BM203" s="53" t="s">
        <v>148</v>
      </c>
      <c r="BN203" s="53" t="s">
        <v>1099</v>
      </c>
      <c r="BO203" s="53" t="s">
        <v>1100</v>
      </c>
      <c r="BP203" s="53" t="s">
        <v>1317</v>
      </c>
      <c r="BQ203" s="53">
        <v>1</v>
      </c>
      <c r="BR203" s="83">
        <v>46242</v>
      </c>
      <c r="BS203" s="53"/>
      <c r="BT203" s="53"/>
    </row>
    <row r="204" spans="3:72" ht="14.25" hidden="1" customHeight="1">
      <c r="C204" s="82" t="s">
        <v>13</v>
      </c>
      <c r="D204" s="82" t="s">
        <v>1318</v>
      </c>
      <c r="E204" s="82" t="s">
        <v>1319</v>
      </c>
      <c r="F204" s="82" t="s">
        <v>1296</v>
      </c>
      <c r="G204" s="82">
        <v>2365</v>
      </c>
      <c r="H204" s="82" t="s">
        <v>147</v>
      </c>
      <c r="I204" s="82">
        <v>2</v>
      </c>
      <c r="J204" s="82">
        <v>37.700000000000003</v>
      </c>
      <c r="K204" s="82">
        <v>75.400000000000006</v>
      </c>
      <c r="L204" s="26">
        <f t="shared" si="28"/>
        <v>2</v>
      </c>
      <c r="M204" s="26">
        <f t="shared" si="22"/>
        <v>0</v>
      </c>
      <c r="N204" s="26"/>
      <c r="O204" s="26">
        <v>2</v>
      </c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67" t="e">
        <f>SUMIFS([1]Up!$J:$J,[1]Up!$D:$D,D204)</f>
        <v>#VALUE!</v>
      </c>
      <c r="BJ204" s="82"/>
      <c r="BK204" s="82" t="str">
        <f t="shared" si="29"/>
        <v>PL12</v>
      </c>
      <c r="BL204" s="53" t="str">
        <f t="shared" si="30"/>
        <v/>
      </c>
      <c r="BM204" s="53" t="s">
        <v>148</v>
      </c>
      <c r="BN204" s="53" t="s">
        <v>1020</v>
      </c>
      <c r="BO204" s="53" t="s">
        <v>1021</v>
      </c>
      <c r="BP204" s="53" t="s">
        <v>1022</v>
      </c>
      <c r="BQ204" s="53">
        <v>2</v>
      </c>
      <c r="BR204" s="83">
        <v>46088</v>
      </c>
      <c r="BS204" s="53"/>
      <c r="BT204" s="53"/>
    </row>
    <row r="205" spans="3:72" ht="14.25" hidden="1" customHeight="1">
      <c r="C205" s="82" t="s">
        <v>13</v>
      </c>
      <c r="D205" s="82" t="s">
        <v>1320</v>
      </c>
      <c r="E205" s="82" t="s">
        <v>1096</v>
      </c>
      <c r="F205" s="82" t="s">
        <v>1296</v>
      </c>
      <c r="G205" s="82">
        <v>536</v>
      </c>
      <c r="H205" s="82" t="s">
        <v>147</v>
      </c>
      <c r="I205" s="82">
        <v>2</v>
      </c>
      <c r="J205" s="82">
        <v>7.5</v>
      </c>
      <c r="K205" s="82">
        <v>15</v>
      </c>
      <c r="L205" s="26">
        <f t="shared" si="28"/>
        <v>2</v>
      </c>
      <c r="M205" s="26">
        <f t="shared" si="22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>
        <v>2</v>
      </c>
      <c r="BI205" s="67" t="e">
        <f>SUMIFS([1]Up!$J:$J,[1]Up!$D:$D,D205)</f>
        <v>#VALUE!</v>
      </c>
      <c r="BJ205" s="82"/>
      <c r="BK205" s="82" t="str">
        <f t="shared" si="29"/>
        <v>PL10</v>
      </c>
      <c r="BL205" s="53" t="str">
        <f t="shared" si="30"/>
        <v/>
      </c>
      <c r="BM205" s="53" t="s">
        <v>154</v>
      </c>
      <c r="BN205" s="53" t="s">
        <v>1004</v>
      </c>
      <c r="BO205" s="53" t="s">
        <v>1005</v>
      </c>
      <c r="BP205" s="53" t="s">
        <v>1063</v>
      </c>
      <c r="BQ205" s="53">
        <v>2</v>
      </c>
      <c r="BR205" s="83">
        <v>46088</v>
      </c>
      <c r="BS205" s="53"/>
      <c r="BT205" s="53"/>
    </row>
    <row r="206" spans="3:72" ht="14.25" hidden="1" customHeight="1">
      <c r="C206" s="82" t="s">
        <v>13</v>
      </c>
      <c r="D206" s="82" t="s">
        <v>1321</v>
      </c>
      <c r="E206" s="82" t="s">
        <v>1293</v>
      </c>
      <c r="F206" s="82" t="s">
        <v>1084</v>
      </c>
      <c r="G206" s="82">
        <v>8216</v>
      </c>
      <c r="H206" s="82" t="s">
        <v>147</v>
      </c>
      <c r="I206" s="82">
        <v>1</v>
      </c>
      <c r="J206" s="82">
        <v>1830.9</v>
      </c>
      <c r="K206" s="82">
        <v>1830.9</v>
      </c>
      <c r="L206" s="26">
        <f t="shared" si="28"/>
        <v>1</v>
      </c>
      <c r="M206" s="26">
        <f t="shared" si="22"/>
        <v>0</v>
      </c>
      <c r="N206" s="26"/>
      <c r="O206" s="26"/>
      <c r="P206" s="26">
        <v>5</v>
      </c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67" t="e">
        <f>SUMIFS([1]Up!$J:$J,[1]Up!$D:$D,D206)</f>
        <v>#VALUE!</v>
      </c>
      <c r="BJ206" s="82" t="s">
        <v>2070</v>
      </c>
      <c r="BK206" s="82" t="str">
        <f t="shared" si="29"/>
        <v>PL12</v>
      </c>
      <c r="BL206" s="53" t="str">
        <f t="shared" si="30"/>
        <v>Thừa 4</v>
      </c>
      <c r="BM206" s="53" t="s">
        <v>154</v>
      </c>
      <c r="BN206" s="53" t="s">
        <v>1020</v>
      </c>
      <c r="BO206" s="53" t="s">
        <v>1021</v>
      </c>
      <c r="BP206" s="53" t="s">
        <v>57</v>
      </c>
      <c r="BQ206" s="53">
        <v>1</v>
      </c>
      <c r="BR206" s="83"/>
      <c r="BS206" s="53"/>
      <c r="BT206" s="53"/>
    </row>
    <row r="207" spans="3:72" ht="14.25" hidden="1" customHeight="1">
      <c r="C207" s="82" t="s">
        <v>13</v>
      </c>
      <c r="D207" s="82" t="s">
        <v>1322</v>
      </c>
      <c r="E207" s="82" t="s">
        <v>1323</v>
      </c>
      <c r="F207" s="82" t="s">
        <v>1296</v>
      </c>
      <c r="G207" s="82">
        <v>983</v>
      </c>
      <c r="H207" s="82" t="s">
        <v>147</v>
      </c>
      <c r="I207" s="82">
        <v>2</v>
      </c>
      <c r="J207" s="82">
        <v>14.1</v>
      </c>
      <c r="K207" s="82">
        <v>28.2</v>
      </c>
      <c r="L207" s="26">
        <f t="shared" si="28"/>
        <v>2</v>
      </c>
      <c r="M207" s="26">
        <f t="shared" si="22"/>
        <v>0</v>
      </c>
      <c r="N207" s="26"/>
      <c r="O207" s="26">
        <v>2</v>
      </c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67" t="e">
        <f>SUMIFS([1]Up!$J:$J,[1]Up!$D:$D,D207)</f>
        <v>#VALUE!</v>
      </c>
      <c r="BJ207" s="82"/>
      <c r="BK207" s="82" t="str">
        <f t="shared" si="29"/>
        <v>PL12</v>
      </c>
      <c r="BL207" s="53" t="str">
        <f t="shared" si="30"/>
        <v/>
      </c>
      <c r="BM207" s="53" t="s">
        <v>148</v>
      </c>
      <c r="BN207" s="53" t="s">
        <v>1020</v>
      </c>
      <c r="BO207" s="53" t="s">
        <v>1021</v>
      </c>
      <c r="BP207" s="53" t="s">
        <v>1022</v>
      </c>
      <c r="BQ207" s="53">
        <v>2</v>
      </c>
      <c r="BR207" s="83">
        <v>46088</v>
      </c>
      <c r="BS207" s="53"/>
      <c r="BT207" s="53"/>
    </row>
    <row r="208" spans="3:72" ht="14.25" hidden="1" customHeight="1">
      <c r="C208" s="82" t="s">
        <v>13</v>
      </c>
      <c r="D208" s="82" t="s">
        <v>1324</v>
      </c>
      <c r="E208" s="82" t="s">
        <v>1325</v>
      </c>
      <c r="F208" s="82" t="s">
        <v>1296</v>
      </c>
      <c r="G208" s="82">
        <v>1061</v>
      </c>
      <c r="H208" s="82" t="s">
        <v>147</v>
      </c>
      <c r="I208" s="82">
        <v>2</v>
      </c>
      <c r="J208" s="82">
        <v>15.3</v>
      </c>
      <c r="K208" s="82">
        <v>30.6</v>
      </c>
      <c r="L208" s="26">
        <f t="shared" si="28"/>
        <v>2</v>
      </c>
      <c r="M208" s="26">
        <f t="shared" si="22"/>
        <v>0</v>
      </c>
      <c r="N208" s="26"/>
      <c r="O208" s="26">
        <v>2</v>
      </c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67" t="e">
        <f>SUMIFS([1]Up!$J:$J,[1]Up!$D:$D,D208)</f>
        <v>#VALUE!</v>
      </c>
      <c r="BJ208" s="82"/>
      <c r="BK208" s="82" t="str">
        <f t="shared" si="29"/>
        <v>PL12</v>
      </c>
      <c r="BL208" s="53" t="str">
        <f t="shared" si="30"/>
        <v/>
      </c>
      <c r="BM208" s="53" t="s">
        <v>148</v>
      </c>
      <c r="BN208" s="53" t="s">
        <v>1020</v>
      </c>
      <c r="BO208" s="53" t="s">
        <v>1021</v>
      </c>
      <c r="BP208" s="53" t="s">
        <v>1022</v>
      </c>
      <c r="BQ208" s="53">
        <v>2</v>
      </c>
      <c r="BR208" s="83">
        <v>46088</v>
      </c>
      <c r="BS208" s="53"/>
      <c r="BT208" s="53"/>
    </row>
    <row r="209" spans="3:72" ht="14.25" hidden="1" customHeight="1">
      <c r="C209" s="82" t="s">
        <v>13</v>
      </c>
      <c r="D209" s="82" t="s">
        <v>1326</v>
      </c>
      <c r="E209" s="82" t="s">
        <v>1327</v>
      </c>
      <c r="F209" s="82" t="s">
        <v>1296</v>
      </c>
      <c r="G209" s="82">
        <v>546</v>
      </c>
      <c r="H209" s="82" t="s">
        <v>147</v>
      </c>
      <c r="I209" s="82">
        <v>2</v>
      </c>
      <c r="J209" s="82">
        <v>16.3</v>
      </c>
      <c r="K209" s="82">
        <v>32.6</v>
      </c>
      <c r="L209" s="26">
        <f t="shared" si="28"/>
        <v>2</v>
      </c>
      <c r="M209" s="26">
        <f t="shared" si="22"/>
        <v>0</v>
      </c>
      <c r="N209" s="26"/>
      <c r="O209" s="26"/>
      <c r="P209" s="26"/>
      <c r="Q209" s="26"/>
      <c r="R209" s="26">
        <v>2</v>
      </c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67" t="e">
        <f>SUMIFS([1]Up!$J:$J,[1]Up!$D:$D,D209)</f>
        <v>#VALUE!</v>
      </c>
      <c r="BJ209" s="82"/>
      <c r="BK209" s="82" t="str">
        <f t="shared" si="29"/>
        <v>PL15</v>
      </c>
      <c r="BL209" s="53" t="str">
        <f t="shared" si="30"/>
        <v/>
      </c>
      <c r="BM209" s="53" t="s">
        <v>148</v>
      </c>
      <c r="BN209" s="53" t="s">
        <v>1093</v>
      </c>
      <c r="BO209" s="53" t="s">
        <v>1094</v>
      </c>
      <c r="BP209" s="53" t="s">
        <v>1303</v>
      </c>
      <c r="BQ209" s="53">
        <v>2</v>
      </c>
      <c r="BR209" s="83">
        <v>46088</v>
      </c>
      <c r="BS209" s="53"/>
      <c r="BT209" s="53"/>
    </row>
    <row r="210" spans="3:72" ht="14.25" hidden="1" customHeight="1">
      <c r="C210" s="82" t="s">
        <v>13</v>
      </c>
      <c r="D210" s="82" t="s">
        <v>1328</v>
      </c>
      <c r="E210" s="82" t="s">
        <v>1329</v>
      </c>
      <c r="F210" s="82" t="s">
        <v>1296</v>
      </c>
      <c r="G210" s="82">
        <v>784</v>
      </c>
      <c r="H210" s="82" t="s">
        <v>147</v>
      </c>
      <c r="I210" s="82">
        <v>1</v>
      </c>
      <c r="J210" s="82">
        <v>21.8</v>
      </c>
      <c r="K210" s="82">
        <v>21.8</v>
      </c>
      <c r="L210" s="26">
        <f t="shared" si="28"/>
        <v>1</v>
      </c>
      <c r="M210" s="26">
        <f t="shared" si="22"/>
        <v>0</v>
      </c>
      <c r="N210" s="26"/>
      <c r="O210" s="26"/>
      <c r="P210" s="26"/>
      <c r="Q210" s="26"/>
      <c r="R210" s="26">
        <v>1</v>
      </c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67" t="e">
        <f>SUMIFS([1]Up!$J:$J,[1]Up!$D:$D,D210)</f>
        <v>#VALUE!</v>
      </c>
      <c r="BJ210" s="82"/>
      <c r="BK210" s="82" t="str">
        <f t="shared" si="29"/>
        <v>PL15</v>
      </c>
      <c r="BL210" s="53" t="str">
        <f t="shared" si="30"/>
        <v/>
      </c>
      <c r="BM210" s="53" t="s">
        <v>148</v>
      </c>
      <c r="BN210" s="53" t="s">
        <v>1093</v>
      </c>
      <c r="BO210" s="53" t="s">
        <v>1094</v>
      </c>
      <c r="BP210" s="53" t="s">
        <v>1303</v>
      </c>
      <c r="BQ210" s="53">
        <v>1</v>
      </c>
      <c r="BR210" s="83">
        <v>46088</v>
      </c>
      <c r="BS210" s="53"/>
      <c r="BT210" s="53"/>
    </row>
    <row r="211" spans="3:72" ht="14.25" hidden="1" customHeight="1">
      <c r="C211" s="82" t="s">
        <v>13</v>
      </c>
      <c r="D211" s="82" t="s">
        <v>1330</v>
      </c>
      <c r="E211" s="82" t="s">
        <v>1319</v>
      </c>
      <c r="F211" s="82" t="s">
        <v>1296</v>
      </c>
      <c r="G211" s="82">
        <v>2365</v>
      </c>
      <c r="H211" s="82" t="s">
        <v>147</v>
      </c>
      <c r="I211" s="82">
        <v>4</v>
      </c>
      <c r="J211" s="82">
        <v>37.700000000000003</v>
      </c>
      <c r="K211" s="82">
        <v>150.80000000000001</v>
      </c>
      <c r="L211" s="26">
        <f t="shared" si="28"/>
        <v>4</v>
      </c>
      <c r="M211" s="26">
        <f t="shared" si="22"/>
        <v>0</v>
      </c>
      <c r="N211" s="26"/>
      <c r="O211" s="26">
        <v>4</v>
      </c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67" t="e">
        <f>SUMIFS([1]Up!$J:$J,[1]Up!$D:$D,D211)</f>
        <v>#VALUE!</v>
      </c>
      <c r="BJ211" s="82"/>
      <c r="BK211" s="82" t="str">
        <f t="shared" si="29"/>
        <v>PL12</v>
      </c>
      <c r="BL211" s="53" t="str">
        <f t="shared" si="30"/>
        <v/>
      </c>
      <c r="BM211" s="53" t="s">
        <v>148</v>
      </c>
      <c r="BN211" s="53" t="s">
        <v>1020</v>
      </c>
      <c r="BO211" s="53" t="s">
        <v>1021</v>
      </c>
      <c r="BP211" s="53" t="s">
        <v>1022</v>
      </c>
      <c r="BQ211" s="53">
        <v>4</v>
      </c>
      <c r="BR211" s="83">
        <v>46088</v>
      </c>
      <c r="BS211" s="53"/>
      <c r="BT211" s="53"/>
    </row>
    <row r="212" spans="3:72" ht="14.25" hidden="1" customHeight="1">
      <c r="C212" s="82" t="s">
        <v>13</v>
      </c>
      <c r="D212" s="82" t="s">
        <v>1331</v>
      </c>
      <c r="E212" s="82" t="s">
        <v>1293</v>
      </c>
      <c r="F212" s="82" t="s">
        <v>1084</v>
      </c>
      <c r="G212" s="82">
        <v>8216</v>
      </c>
      <c r="H212" s="82" t="s">
        <v>147</v>
      </c>
      <c r="I212" s="82">
        <v>1</v>
      </c>
      <c r="J212" s="82">
        <v>1830.9</v>
      </c>
      <c r="K212" s="82">
        <v>1830.9</v>
      </c>
      <c r="L212" s="26">
        <f t="shared" si="28"/>
        <v>1</v>
      </c>
      <c r="M212" s="26">
        <f t="shared" si="22"/>
        <v>0</v>
      </c>
      <c r="N212" s="26"/>
      <c r="O212" s="26"/>
      <c r="P212" s="26">
        <v>5</v>
      </c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67" t="e">
        <f>SUMIFS([1]Up!$J:$J,[1]Up!$D:$D,D212)</f>
        <v>#VALUE!</v>
      </c>
      <c r="BJ212" s="82" t="s">
        <v>2070</v>
      </c>
      <c r="BK212" s="82" t="str">
        <f t="shared" si="29"/>
        <v>PL12</v>
      </c>
      <c r="BL212" s="53" t="str">
        <f t="shared" si="30"/>
        <v>Thừa 4</v>
      </c>
      <c r="BM212" s="53" t="s">
        <v>154</v>
      </c>
      <c r="BN212" s="53" t="s">
        <v>1020</v>
      </c>
      <c r="BO212" s="53" t="s">
        <v>1021</v>
      </c>
      <c r="BP212" s="53" t="s">
        <v>57</v>
      </c>
      <c r="BQ212" s="53">
        <v>1</v>
      </c>
      <c r="BR212" s="83"/>
      <c r="BS212" s="53"/>
      <c r="BT212" s="53"/>
    </row>
    <row r="213" spans="3:72" ht="14.25" hidden="1" customHeight="1">
      <c r="C213" s="82" t="s">
        <v>13</v>
      </c>
      <c r="D213" s="82" t="s">
        <v>1332</v>
      </c>
      <c r="E213" s="82" t="s">
        <v>1125</v>
      </c>
      <c r="F213" s="82" t="s">
        <v>1296</v>
      </c>
      <c r="G213" s="82">
        <v>200</v>
      </c>
      <c r="H213" s="82" t="s">
        <v>147</v>
      </c>
      <c r="I213" s="82">
        <v>2</v>
      </c>
      <c r="J213" s="82">
        <v>5.5</v>
      </c>
      <c r="K213" s="82">
        <v>11</v>
      </c>
      <c r="L213" s="26">
        <f t="shared" si="28"/>
        <v>2</v>
      </c>
      <c r="M213" s="26">
        <f t="shared" si="22"/>
        <v>0</v>
      </c>
      <c r="N213" s="26"/>
      <c r="O213" s="26"/>
      <c r="P213" s="26"/>
      <c r="Q213" s="26"/>
      <c r="R213" s="26">
        <v>2</v>
      </c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67" t="e">
        <f>SUMIFS([1]Up!$J:$J,[1]Up!$D:$D,D213)</f>
        <v>#VALUE!</v>
      </c>
      <c r="BJ213" s="82"/>
      <c r="BK213" s="82" t="str">
        <f t="shared" si="29"/>
        <v>PL15</v>
      </c>
      <c r="BL213" s="53" t="str">
        <f t="shared" si="30"/>
        <v/>
      </c>
      <c r="BM213" s="53" t="s">
        <v>148</v>
      </c>
      <c r="BN213" s="53" t="s">
        <v>1093</v>
      </c>
      <c r="BO213" s="53" t="s">
        <v>1094</v>
      </c>
      <c r="BP213" s="53" t="s">
        <v>1303</v>
      </c>
      <c r="BQ213" s="53">
        <v>2</v>
      </c>
      <c r="BR213" s="83">
        <v>46088</v>
      </c>
      <c r="BS213" s="53"/>
      <c r="BT213" s="53"/>
    </row>
    <row r="214" spans="3:72" ht="14.25" hidden="1" customHeight="1">
      <c r="C214" s="82" t="s">
        <v>13</v>
      </c>
      <c r="D214" s="82" t="s">
        <v>1333</v>
      </c>
      <c r="E214" s="82" t="s">
        <v>1123</v>
      </c>
      <c r="F214" s="82" t="s">
        <v>1296</v>
      </c>
      <c r="G214" s="82">
        <v>320</v>
      </c>
      <c r="H214" s="82" t="s">
        <v>147</v>
      </c>
      <c r="I214" s="82">
        <v>2</v>
      </c>
      <c r="J214" s="82">
        <v>7.6</v>
      </c>
      <c r="K214" s="82">
        <v>15.2</v>
      </c>
      <c r="L214" s="26">
        <f t="shared" si="28"/>
        <v>2</v>
      </c>
      <c r="M214" s="26">
        <f t="shared" si="22"/>
        <v>0</v>
      </c>
      <c r="N214" s="26"/>
      <c r="O214" s="26"/>
      <c r="P214" s="26"/>
      <c r="Q214" s="26"/>
      <c r="R214" s="26"/>
      <c r="S214" s="26">
        <v>2</v>
      </c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67" t="e">
        <f>SUMIFS([1]Up!$J:$J,[1]Up!$D:$D,D214)</f>
        <v>#VALUE!</v>
      </c>
      <c r="BJ214" s="82"/>
      <c r="BK214" s="82" t="str">
        <f t="shared" si="29"/>
        <v>PL20</v>
      </c>
      <c r="BL214" s="53" t="str">
        <f t="shared" si="30"/>
        <v/>
      </c>
      <c r="BM214" s="53" t="s">
        <v>148</v>
      </c>
      <c r="BN214" s="53" t="s">
        <v>1099</v>
      </c>
      <c r="BO214" s="53" t="s">
        <v>1100</v>
      </c>
      <c r="BP214" s="53" t="s">
        <v>1307</v>
      </c>
      <c r="BQ214" s="53">
        <v>2</v>
      </c>
      <c r="BR214" s="83">
        <v>46242</v>
      </c>
      <c r="BS214" s="53"/>
      <c r="BT214" s="53"/>
    </row>
    <row r="215" spans="3:72" ht="14.25" hidden="1" customHeight="1">
      <c r="C215" s="82" t="s">
        <v>13</v>
      </c>
      <c r="D215" s="82" t="s">
        <v>1334</v>
      </c>
      <c r="E215" s="82" t="s">
        <v>1335</v>
      </c>
      <c r="F215" s="82" t="s">
        <v>1296</v>
      </c>
      <c r="G215" s="82">
        <v>2365</v>
      </c>
      <c r="H215" s="82" t="s">
        <v>147</v>
      </c>
      <c r="I215" s="82">
        <v>1</v>
      </c>
      <c r="J215" s="82">
        <v>62.7</v>
      </c>
      <c r="K215" s="82">
        <v>62.7</v>
      </c>
      <c r="L215" s="26">
        <f t="shared" si="28"/>
        <v>1</v>
      </c>
      <c r="M215" s="26">
        <f t="shared" si="22"/>
        <v>0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>
        <v>1</v>
      </c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67" t="e">
        <f>SUMIFS([1]Up!$J:$J,[1]Up!$D:$D,D215)</f>
        <v>#VALUE!</v>
      </c>
      <c r="BJ215" s="82"/>
      <c r="BK215" s="82" t="str">
        <f t="shared" si="29"/>
        <v>PL20</v>
      </c>
      <c r="BL215" s="53" t="str">
        <f t="shared" si="30"/>
        <v/>
      </c>
      <c r="BM215" s="53" t="s">
        <v>148</v>
      </c>
      <c r="BN215" s="53" t="s">
        <v>1099</v>
      </c>
      <c r="BO215" s="53" t="s">
        <v>1100</v>
      </c>
      <c r="BP215" s="53" t="s">
        <v>1317</v>
      </c>
      <c r="BQ215" s="53">
        <v>1</v>
      </c>
      <c r="BR215" s="83">
        <v>46242</v>
      </c>
      <c r="BS215" s="53"/>
      <c r="BT215" s="53"/>
    </row>
    <row r="216" spans="3:72" ht="14.25" hidden="1" customHeight="1">
      <c r="C216" s="82" t="s">
        <v>11</v>
      </c>
      <c r="D216" s="82" t="s">
        <v>1336</v>
      </c>
      <c r="E216" s="82" t="s">
        <v>1080</v>
      </c>
      <c r="F216" s="82" t="s">
        <v>1076</v>
      </c>
      <c r="G216" s="82">
        <v>737</v>
      </c>
      <c r="H216" s="82" t="s">
        <v>1077</v>
      </c>
      <c r="I216" s="82">
        <v>5</v>
      </c>
      <c r="J216" s="82">
        <v>2.1</v>
      </c>
      <c r="K216" s="82">
        <v>10.5</v>
      </c>
      <c r="L216" s="26">
        <f t="shared" si="28"/>
        <v>5</v>
      </c>
      <c r="M216" s="26">
        <f t="shared" si="22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>
        <v>5</v>
      </c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67" t="e">
        <f>SUMIFS([1]Up!$J:$J,[1]Up!$D:$D,D216)</f>
        <v>#VALUE!</v>
      </c>
      <c r="BJ216" s="82"/>
      <c r="BK216" s="82" t="str">
        <f t="shared" si="29"/>
        <v/>
      </c>
      <c r="BL216" s="53" t="str">
        <f t="shared" si="30"/>
        <v/>
      </c>
      <c r="BM216" s="53" t="s">
        <v>154</v>
      </c>
      <c r="BN216" s="53" t="s">
        <v>1081</v>
      </c>
      <c r="BO216" s="53" t="s">
        <v>1080</v>
      </c>
      <c r="BP216" s="53" t="s">
        <v>1291</v>
      </c>
      <c r="BQ216" s="53">
        <v>5</v>
      </c>
      <c r="BR216" s="83">
        <v>46362</v>
      </c>
      <c r="BS216" s="53"/>
      <c r="BT216" s="53"/>
    </row>
    <row r="217" spans="3:72" ht="14.25" hidden="1" customHeight="1">
      <c r="C217" s="82" t="s">
        <v>11</v>
      </c>
      <c r="D217" s="82" t="s">
        <v>1337</v>
      </c>
      <c r="E217" s="82" t="s">
        <v>1128</v>
      </c>
      <c r="F217" s="82" t="s">
        <v>1129</v>
      </c>
      <c r="G217" s="82">
        <v>48</v>
      </c>
      <c r="H217" s="82" t="s">
        <v>147</v>
      </c>
      <c r="I217" s="82">
        <v>1</v>
      </c>
      <c r="J217" s="82">
        <v>0.32</v>
      </c>
      <c r="K217" s="82">
        <v>0.32</v>
      </c>
      <c r="L217" s="26">
        <f t="shared" si="28"/>
        <v>1</v>
      </c>
      <c r="M217" s="26">
        <f t="shared" si="22"/>
        <v>0</v>
      </c>
      <c r="N217" s="26"/>
      <c r="O217" s="26"/>
      <c r="P217" s="26"/>
      <c r="Q217" s="26"/>
      <c r="R217" s="26"/>
      <c r="S217" s="26"/>
      <c r="T217" s="26"/>
      <c r="U217" s="26"/>
      <c r="V217" s="26">
        <v>1</v>
      </c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67" t="e">
        <f>SUMIFS([1]Up!$J:$J,[1]Up!$D:$D,D217)</f>
        <v>#VALUE!</v>
      </c>
      <c r="BJ217" s="82"/>
      <c r="BK217" s="82" t="str">
        <f t="shared" si="29"/>
        <v/>
      </c>
      <c r="BL217" s="53" t="str">
        <f t="shared" si="30"/>
        <v/>
      </c>
      <c r="BM217" s="53" t="s">
        <v>154</v>
      </c>
      <c r="BN217" s="53"/>
      <c r="BO217" s="53" t="s">
        <v>1128</v>
      </c>
      <c r="BP217" s="53" t="s">
        <v>1338</v>
      </c>
      <c r="BQ217" s="53">
        <v>1</v>
      </c>
      <c r="BR217" s="83" t="s">
        <v>2223</v>
      </c>
      <c r="BS217" s="53"/>
      <c r="BT217" s="53"/>
    </row>
    <row r="218" spans="3:72" ht="14.25" hidden="1" customHeight="1">
      <c r="C218" s="82" t="s">
        <v>13</v>
      </c>
      <c r="D218" s="82" t="s">
        <v>1339</v>
      </c>
      <c r="E218" s="82" t="s">
        <v>1293</v>
      </c>
      <c r="F218" s="82" t="s">
        <v>1084</v>
      </c>
      <c r="G218" s="82">
        <v>8216</v>
      </c>
      <c r="H218" s="82" t="s">
        <v>147</v>
      </c>
      <c r="I218" s="82">
        <v>1</v>
      </c>
      <c r="J218" s="82">
        <v>1830.9</v>
      </c>
      <c r="K218" s="82">
        <v>1830.9</v>
      </c>
      <c r="L218" s="26">
        <f t="shared" si="28"/>
        <v>1</v>
      </c>
      <c r="M218" s="26">
        <f t="shared" si="22"/>
        <v>0</v>
      </c>
      <c r="N218" s="26"/>
      <c r="O218" s="26"/>
      <c r="P218" s="26">
        <v>4</v>
      </c>
      <c r="Q218" s="26"/>
      <c r="R218" s="26"/>
      <c r="S218" s="26"/>
      <c r="T218" s="26"/>
      <c r="U218" s="26"/>
      <c r="V218" s="26"/>
      <c r="W218" s="26"/>
      <c r="X218" s="26"/>
      <c r="Y218" s="26"/>
      <c r="Z218" s="26">
        <v>1</v>
      </c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67" t="e">
        <f>SUMIFS([1]Up!$J:$J,[1]Up!$D:$D,D218)</f>
        <v>#VALUE!</v>
      </c>
      <c r="BJ218" s="82" t="s">
        <v>2084</v>
      </c>
      <c r="BK218" s="82" t="str">
        <f t="shared" si="29"/>
        <v>PL12</v>
      </c>
      <c r="BL218" s="53" t="str">
        <f t="shared" si="30"/>
        <v>Thừa 4</v>
      </c>
      <c r="BM218" s="53" t="s">
        <v>154</v>
      </c>
      <c r="BN218" s="53" t="s">
        <v>1020</v>
      </c>
      <c r="BO218" s="53" t="s">
        <v>1021</v>
      </c>
      <c r="BP218" s="53" t="s">
        <v>57</v>
      </c>
      <c r="BQ218" s="53">
        <v>1</v>
      </c>
      <c r="BR218" s="83"/>
      <c r="BS218" s="53"/>
      <c r="BT218" s="53"/>
    </row>
    <row r="219" spans="3:72" ht="14.25" hidden="1" customHeight="1">
      <c r="C219" s="82" t="s">
        <v>13</v>
      </c>
      <c r="D219" s="82" t="s">
        <v>1340</v>
      </c>
      <c r="E219" s="82" t="s">
        <v>1316</v>
      </c>
      <c r="F219" s="82" t="s">
        <v>1296</v>
      </c>
      <c r="G219" s="82">
        <v>2308</v>
      </c>
      <c r="H219" s="82" t="s">
        <v>147</v>
      </c>
      <c r="I219" s="82">
        <v>1</v>
      </c>
      <c r="J219" s="82">
        <v>45.5</v>
      </c>
      <c r="K219" s="82">
        <v>45.5</v>
      </c>
      <c r="L219" s="26">
        <f t="shared" si="28"/>
        <v>1</v>
      </c>
      <c r="M219" s="26">
        <f t="shared" si="22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>
        <v>1</v>
      </c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67" t="e">
        <f>SUMIFS([1]Up!$J:$J,[1]Up!$D:$D,D219)</f>
        <v>#VALUE!</v>
      </c>
      <c r="BJ219" s="82"/>
      <c r="BK219" s="82" t="str">
        <f t="shared" si="29"/>
        <v>PL20</v>
      </c>
      <c r="BL219" s="53" t="str">
        <f t="shared" si="30"/>
        <v/>
      </c>
      <c r="BM219" s="53" t="s">
        <v>148</v>
      </c>
      <c r="BN219" s="53" t="s">
        <v>1099</v>
      </c>
      <c r="BO219" s="53" t="s">
        <v>1100</v>
      </c>
      <c r="BP219" s="53" t="s">
        <v>1317</v>
      </c>
      <c r="BQ219" s="53">
        <v>1</v>
      </c>
      <c r="BR219" s="83">
        <v>46242</v>
      </c>
      <c r="BS219" s="53"/>
      <c r="BT219" s="53"/>
    </row>
    <row r="220" spans="3:72" ht="14.25" hidden="1" customHeight="1">
      <c r="C220" s="82" t="s">
        <v>13</v>
      </c>
      <c r="D220" s="82" t="s">
        <v>1341</v>
      </c>
      <c r="E220" s="82" t="s">
        <v>1319</v>
      </c>
      <c r="F220" s="82" t="s">
        <v>1296</v>
      </c>
      <c r="G220" s="82">
        <v>2365</v>
      </c>
      <c r="H220" s="82" t="s">
        <v>147</v>
      </c>
      <c r="I220" s="82">
        <v>4</v>
      </c>
      <c r="J220" s="82">
        <v>37.700000000000003</v>
      </c>
      <c r="K220" s="82">
        <v>150.80000000000001</v>
      </c>
      <c r="L220" s="26">
        <f t="shared" si="28"/>
        <v>4</v>
      </c>
      <c r="M220" s="26">
        <f t="shared" si="22"/>
        <v>0</v>
      </c>
      <c r="N220" s="26"/>
      <c r="O220" s="26">
        <v>4</v>
      </c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67" t="e">
        <f>SUMIFS([1]Up!$J:$J,[1]Up!$D:$D,D220)</f>
        <v>#VALUE!</v>
      </c>
      <c r="BJ220" s="82"/>
      <c r="BK220" s="82" t="str">
        <f t="shared" si="29"/>
        <v>PL12</v>
      </c>
      <c r="BL220" s="53" t="str">
        <f t="shared" si="30"/>
        <v/>
      </c>
      <c r="BM220" s="53" t="s">
        <v>148</v>
      </c>
      <c r="BN220" s="53" t="s">
        <v>1020</v>
      </c>
      <c r="BO220" s="53" t="s">
        <v>1021</v>
      </c>
      <c r="BP220" s="53" t="s">
        <v>1022</v>
      </c>
      <c r="BQ220" s="53">
        <v>4</v>
      </c>
      <c r="BR220" s="83">
        <v>46088</v>
      </c>
      <c r="BS220" s="53"/>
      <c r="BT220" s="53"/>
    </row>
    <row r="221" spans="3:72" ht="14.25" hidden="1" customHeight="1">
      <c r="C221" s="82" t="s">
        <v>13</v>
      </c>
      <c r="D221" s="82" t="s">
        <v>1342</v>
      </c>
      <c r="E221" s="82" t="s">
        <v>1343</v>
      </c>
      <c r="F221" s="82" t="s">
        <v>1076</v>
      </c>
      <c r="G221" s="82">
        <v>1885</v>
      </c>
      <c r="H221" s="82" t="s">
        <v>147</v>
      </c>
      <c r="I221" s="82">
        <v>1</v>
      </c>
      <c r="J221" s="82">
        <v>32.700000000000003</v>
      </c>
      <c r="K221" s="82">
        <v>32.700000000000003</v>
      </c>
      <c r="L221" s="26">
        <f t="shared" si="28"/>
        <v>1</v>
      </c>
      <c r="M221" s="26">
        <f t="shared" si="22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>
        <v>1</v>
      </c>
      <c r="BI221" s="67" t="e">
        <f>SUMIFS([1]Up!$J:$J,[1]Up!$D:$D,D221)</f>
        <v>#VALUE!</v>
      </c>
      <c r="BJ221" s="82"/>
      <c r="BK221" s="82" t="str">
        <f t="shared" si="29"/>
        <v>PL10</v>
      </c>
      <c r="BL221" s="53" t="str">
        <f t="shared" si="30"/>
        <v/>
      </c>
      <c r="BM221" s="53" t="s">
        <v>154</v>
      </c>
      <c r="BN221" s="53" t="s">
        <v>1004</v>
      </c>
      <c r="BO221" s="53" t="s">
        <v>1005</v>
      </c>
      <c r="BP221" s="53" t="s">
        <v>1344</v>
      </c>
      <c r="BQ221" s="53">
        <v>1</v>
      </c>
      <c r="BR221" s="83" t="s">
        <v>2223</v>
      </c>
      <c r="BS221" s="53"/>
      <c r="BT221" s="53"/>
    </row>
    <row r="222" spans="3:72" ht="14.25" hidden="1" customHeight="1">
      <c r="C222" s="82" t="s">
        <v>13</v>
      </c>
      <c r="D222" s="82" t="s">
        <v>1345</v>
      </c>
      <c r="E222" s="82" t="s">
        <v>1346</v>
      </c>
      <c r="F222" s="82" t="s">
        <v>1076</v>
      </c>
      <c r="G222" s="82">
        <v>2202</v>
      </c>
      <c r="H222" s="82" t="s">
        <v>147</v>
      </c>
      <c r="I222" s="82">
        <v>1</v>
      </c>
      <c r="J222" s="82">
        <v>42</v>
      </c>
      <c r="K222" s="82">
        <v>42</v>
      </c>
      <c r="L222" s="26">
        <f t="shared" ref="L222:L285" si="31">MIN(SUM(N222:BH222),I222)</f>
        <v>1</v>
      </c>
      <c r="M222" s="26">
        <f t="shared" si="22"/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>
        <v>1</v>
      </c>
      <c r="BI222" s="67" t="e">
        <f>SUMIFS([1]Up!$J:$J,[1]Up!$D:$D,D222)</f>
        <v>#VALUE!</v>
      </c>
      <c r="BJ222" s="82"/>
      <c r="BK222" s="82" t="str">
        <f t="shared" ref="BK222:BK285" si="32">IFERROR(IF(C222="Plate",LEFT(E222,FIND("*",E222,1)-1),""),IF(C222="Plate",LEFT(E222,FIND("x",E222,1)-1),""))</f>
        <v>PL10</v>
      </c>
      <c r="BL222" s="53" t="str">
        <f t="shared" ref="BL222:BL285" si="33">IF(ROUND(SUM(N222:BH222)-I222,0)&gt;0,"Thừa "&amp;SUM(N222:BH222)-I222,"")</f>
        <v/>
      </c>
      <c r="BM222" s="53" t="s">
        <v>154</v>
      </c>
      <c r="BN222" s="53" t="s">
        <v>1004</v>
      </c>
      <c r="BO222" s="53" t="s">
        <v>1005</v>
      </c>
      <c r="BP222" s="53" t="s">
        <v>1344</v>
      </c>
      <c r="BQ222" s="53">
        <v>1</v>
      </c>
      <c r="BR222" s="83" t="s">
        <v>2223</v>
      </c>
      <c r="BS222" s="53"/>
      <c r="BT222" s="53"/>
    </row>
    <row r="223" spans="3:72" ht="14.25" hidden="1" customHeight="1">
      <c r="C223" s="82" t="s">
        <v>13</v>
      </c>
      <c r="D223" s="82" t="s">
        <v>1347</v>
      </c>
      <c r="E223" s="82" t="s">
        <v>1096</v>
      </c>
      <c r="F223" s="82" t="s">
        <v>1296</v>
      </c>
      <c r="G223" s="82">
        <v>536</v>
      </c>
      <c r="H223" s="82" t="s">
        <v>147</v>
      </c>
      <c r="I223" s="82">
        <v>1</v>
      </c>
      <c r="J223" s="82">
        <v>7.5</v>
      </c>
      <c r="K223" s="82">
        <v>7.5</v>
      </c>
      <c r="L223" s="26">
        <f t="shared" si="31"/>
        <v>1</v>
      </c>
      <c r="M223" s="26">
        <f t="shared" si="22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>
        <v>1</v>
      </c>
      <c r="BI223" s="67" t="e">
        <f>SUMIFS([1]Up!$J:$J,[1]Up!$D:$D,D223)</f>
        <v>#VALUE!</v>
      </c>
      <c r="BJ223" s="82"/>
      <c r="BK223" s="82" t="str">
        <f t="shared" si="32"/>
        <v>PL10</v>
      </c>
      <c r="BL223" s="53" t="str">
        <f t="shared" si="33"/>
        <v/>
      </c>
      <c r="BM223" s="53" t="s">
        <v>154</v>
      </c>
      <c r="BN223" s="53" t="s">
        <v>1004</v>
      </c>
      <c r="BO223" s="53" t="s">
        <v>1005</v>
      </c>
      <c r="BP223" s="53" t="s">
        <v>1063</v>
      </c>
      <c r="BQ223" s="53">
        <v>1</v>
      </c>
      <c r="BR223" s="83">
        <v>46088</v>
      </c>
      <c r="BS223" s="53"/>
      <c r="BT223" s="53"/>
    </row>
    <row r="224" spans="3:72" ht="14.25" hidden="1" customHeight="1">
      <c r="C224" s="82" t="s">
        <v>13</v>
      </c>
      <c r="D224" s="82" t="s">
        <v>1348</v>
      </c>
      <c r="E224" s="82" t="s">
        <v>1349</v>
      </c>
      <c r="F224" s="82" t="s">
        <v>1296</v>
      </c>
      <c r="G224" s="82">
        <v>302</v>
      </c>
      <c r="H224" s="82" t="s">
        <v>147</v>
      </c>
      <c r="I224" s="82">
        <v>2</v>
      </c>
      <c r="J224" s="82">
        <v>4.5999999999999996</v>
      </c>
      <c r="K224" s="82">
        <v>9.1999999999999993</v>
      </c>
      <c r="L224" s="26">
        <f t="shared" si="31"/>
        <v>2</v>
      </c>
      <c r="M224" s="26">
        <f t="shared" si="22"/>
        <v>0</v>
      </c>
      <c r="N224" s="26"/>
      <c r="O224" s="26">
        <v>2</v>
      </c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67" t="e">
        <f>SUMIFS([1]Up!$J:$J,[1]Up!$D:$D,D224)</f>
        <v>#VALUE!</v>
      </c>
      <c r="BJ224" s="82"/>
      <c r="BK224" s="82" t="str">
        <f t="shared" si="32"/>
        <v>PL10</v>
      </c>
      <c r="BL224" s="53" t="str">
        <f t="shared" si="33"/>
        <v/>
      </c>
      <c r="BM224" s="53" t="s">
        <v>148</v>
      </c>
      <c r="BN224" s="53" t="s">
        <v>1004</v>
      </c>
      <c r="BO224" s="53" t="s">
        <v>1005</v>
      </c>
      <c r="BP224" s="53" t="s">
        <v>1063</v>
      </c>
      <c r="BQ224" s="53">
        <v>2</v>
      </c>
      <c r="BR224" s="83">
        <v>46088</v>
      </c>
      <c r="BS224" s="53"/>
      <c r="BT224" s="53"/>
    </row>
    <row r="225" spans="3:73" ht="14.25" hidden="1" customHeight="1">
      <c r="C225" s="82" t="s">
        <v>13</v>
      </c>
      <c r="D225" s="82" t="s">
        <v>1350</v>
      </c>
      <c r="E225" s="82" t="s">
        <v>1134</v>
      </c>
      <c r="F225" s="82" t="s">
        <v>1296</v>
      </c>
      <c r="G225" s="82">
        <v>221</v>
      </c>
      <c r="H225" s="82" t="s">
        <v>147</v>
      </c>
      <c r="I225" s="82">
        <v>1</v>
      </c>
      <c r="J225" s="82">
        <v>1.7</v>
      </c>
      <c r="K225" s="82">
        <v>1.7</v>
      </c>
      <c r="L225" s="26">
        <f t="shared" si="31"/>
        <v>1</v>
      </c>
      <c r="M225" s="26">
        <f t="shared" si="22"/>
        <v>0</v>
      </c>
      <c r="N225" s="26"/>
      <c r="O225" s="26">
        <v>1</v>
      </c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67" t="e">
        <f>SUMIFS([1]Up!$J:$J,[1]Up!$D:$D,D225)</f>
        <v>#VALUE!</v>
      </c>
      <c r="BJ225" s="82"/>
      <c r="BK225" s="82" t="str">
        <f t="shared" si="32"/>
        <v>PL10</v>
      </c>
      <c r="BL225" s="53" t="str">
        <f t="shared" si="33"/>
        <v/>
      </c>
      <c r="BM225" s="53" t="s">
        <v>148</v>
      </c>
      <c r="BN225" s="53" t="s">
        <v>1004</v>
      </c>
      <c r="BO225" s="53" t="s">
        <v>1005</v>
      </c>
      <c r="BP225" s="53" t="s">
        <v>1063</v>
      </c>
      <c r="BQ225" s="53">
        <v>1</v>
      </c>
      <c r="BR225" s="83">
        <v>46088</v>
      </c>
      <c r="BS225" s="53"/>
      <c r="BT225" s="53"/>
    </row>
    <row r="226" spans="3:73" ht="14.25" hidden="1" customHeight="1">
      <c r="C226" s="82" t="s">
        <v>13</v>
      </c>
      <c r="D226" s="82" t="s">
        <v>1351</v>
      </c>
      <c r="E226" s="82" t="s">
        <v>1352</v>
      </c>
      <c r="F226" s="82" t="s">
        <v>1296</v>
      </c>
      <c r="G226" s="82">
        <v>875</v>
      </c>
      <c r="H226" s="82" t="s">
        <v>147</v>
      </c>
      <c r="I226" s="82">
        <v>1</v>
      </c>
      <c r="J226" s="82">
        <v>27.8</v>
      </c>
      <c r="K226" s="82">
        <v>27.8</v>
      </c>
      <c r="L226" s="26">
        <f t="shared" si="31"/>
        <v>1</v>
      </c>
      <c r="M226" s="26">
        <f t="shared" si="22"/>
        <v>0</v>
      </c>
      <c r="N226" s="26"/>
      <c r="O226" s="26"/>
      <c r="P226" s="26"/>
      <c r="Q226" s="26"/>
      <c r="R226" s="26">
        <v>1</v>
      </c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67" t="e">
        <f>SUMIFS([1]Up!$J:$J,[1]Up!$D:$D,D226)</f>
        <v>#VALUE!</v>
      </c>
      <c r="BJ226" s="82"/>
      <c r="BK226" s="82" t="str">
        <f t="shared" si="32"/>
        <v>PL15</v>
      </c>
      <c r="BL226" s="53" t="str">
        <f t="shared" si="33"/>
        <v/>
      </c>
      <c r="BM226" s="53" t="s">
        <v>148</v>
      </c>
      <c r="BN226" s="53" t="s">
        <v>1093</v>
      </c>
      <c r="BO226" s="53" t="s">
        <v>1094</v>
      </c>
      <c r="BP226" s="53" t="s">
        <v>1303</v>
      </c>
      <c r="BQ226" s="53">
        <v>1</v>
      </c>
      <c r="BR226" s="83">
        <v>46088</v>
      </c>
      <c r="BS226" s="53"/>
      <c r="BT226" s="53"/>
    </row>
    <row r="227" spans="3:73" ht="14.25" hidden="1" customHeight="1">
      <c r="C227" s="82" t="s">
        <v>13</v>
      </c>
      <c r="D227" s="82" t="s">
        <v>1353</v>
      </c>
      <c r="E227" s="82" t="s">
        <v>1354</v>
      </c>
      <c r="F227" s="82" t="s">
        <v>1296</v>
      </c>
      <c r="G227" s="82">
        <v>793</v>
      </c>
      <c r="H227" s="82" t="s">
        <v>147</v>
      </c>
      <c r="I227" s="82">
        <v>1</v>
      </c>
      <c r="J227" s="82">
        <v>22.8</v>
      </c>
      <c r="K227" s="82">
        <v>22.8</v>
      </c>
      <c r="L227" s="26">
        <f t="shared" si="31"/>
        <v>1</v>
      </c>
      <c r="M227" s="26">
        <f t="shared" si="22"/>
        <v>0</v>
      </c>
      <c r="N227" s="26"/>
      <c r="O227" s="26"/>
      <c r="P227" s="26"/>
      <c r="Q227" s="26"/>
      <c r="R227" s="26">
        <v>1</v>
      </c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67" t="e">
        <f>SUMIFS([1]Up!$J:$J,[1]Up!$D:$D,D227)</f>
        <v>#VALUE!</v>
      </c>
      <c r="BJ227" s="82"/>
      <c r="BK227" s="82" t="str">
        <f t="shared" si="32"/>
        <v>PL15</v>
      </c>
      <c r="BL227" s="53" t="str">
        <f t="shared" si="33"/>
        <v/>
      </c>
      <c r="BM227" s="53" t="s">
        <v>148</v>
      </c>
      <c r="BN227" s="53" t="s">
        <v>1093</v>
      </c>
      <c r="BO227" s="53" t="s">
        <v>1094</v>
      </c>
      <c r="BP227" s="53" t="s">
        <v>1303</v>
      </c>
      <c r="BQ227" s="53">
        <v>1</v>
      </c>
      <c r="BR227" s="83">
        <v>46088</v>
      </c>
      <c r="BS227" s="53"/>
      <c r="BT227" s="53"/>
    </row>
    <row r="228" spans="3:73" ht="14.25" hidden="1" customHeight="1">
      <c r="C228" s="82" t="s">
        <v>13</v>
      </c>
      <c r="D228" s="82" t="s">
        <v>1355</v>
      </c>
      <c r="E228" s="82" t="s">
        <v>1138</v>
      </c>
      <c r="F228" s="82" t="s">
        <v>1296</v>
      </c>
      <c r="G228" s="82">
        <v>1095</v>
      </c>
      <c r="H228" s="82" t="s">
        <v>147</v>
      </c>
      <c r="I228" s="82">
        <v>1</v>
      </c>
      <c r="J228" s="82">
        <v>40.799999999999997</v>
      </c>
      <c r="K228" s="82">
        <v>40.799999999999997</v>
      </c>
      <c r="L228" s="26">
        <f t="shared" si="31"/>
        <v>1</v>
      </c>
      <c r="M228" s="26">
        <f t="shared" si="22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>
        <v>1</v>
      </c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67" t="e">
        <f>SUMIFS([1]Up!$J:$J,[1]Up!$D:$D,D228)</f>
        <v>#VALUE!</v>
      </c>
      <c r="BJ228" s="82"/>
      <c r="BK228" s="82" t="str">
        <f t="shared" si="32"/>
        <v>PL10</v>
      </c>
      <c r="BL228" s="53" t="str">
        <f t="shared" si="33"/>
        <v/>
      </c>
      <c r="BM228" s="53" t="s">
        <v>154</v>
      </c>
      <c r="BN228" s="53" t="s">
        <v>1004</v>
      </c>
      <c r="BO228" s="53" t="s">
        <v>1005</v>
      </c>
      <c r="BP228" s="53" t="s">
        <v>1063</v>
      </c>
      <c r="BQ228" s="53">
        <v>1</v>
      </c>
      <c r="BR228" s="83">
        <v>46088</v>
      </c>
      <c r="BS228" s="53"/>
      <c r="BT228" s="53"/>
    </row>
    <row r="229" spans="3:73" ht="14.25" hidden="1" customHeight="1">
      <c r="C229" s="82" t="s">
        <v>11</v>
      </c>
      <c r="D229" s="82" t="s">
        <v>1356</v>
      </c>
      <c r="E229" s="82" t="s">
        <v>1075</v>
      </c>
      <c r="F229" s="82" t="s">
        <v>1076</v>
      </c>
      <c r="G229" s="82">
        <v>812</v>
      </c>
      <c r="H229" s="82" t="s">
        <v>1077</v>
      </c>
      <c r="I229" s="82">
        <v>8</v>
      </c>
      <c r="J229" s="82">
        <v>13.05696</v>
      </c>
      <c r="K229" s="82">
        <v>104.45568</v>
      </c>
      <c r="L229" s="26">
        <f t="shared" si="31"/>
        <v>4</v>
      </c>
      <c r="M229" s="26">
        <f t="shared" si="22"/>
        <v>4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>
        <v>4</v>
      </c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67" t="e">
        <f>SUMIFS([1]Up!$J:$J,[1]Up!$D:$D,D229)</f>
        <v>#VALUE!</v>
      </c>
      <c r="BJ229" s="82"/>
      <c r="BK229" s="82" t="str">
        <f t="shared" si="32"/>
        <v/>
      </c>
      <c r="BL229" s="53" t="str">
        <f t="shared" si="33"/>
        <v/>
      </c>
      <c r="BM229" s="53" t="s">
        <v>148</v>
      </c>
      <c r="BN229" s="53" t="s">
        <v>1078</v>
      </c>
      <c r="BO229" s="53" t="s">
        <v>1075</v>
      </c>
      <c r="BP229" s="84" t="s">
        <v>2161</v>
      </c>
      <c r="BQ229" s="53">
        <v>16</v>
      </c>
      <c r="BR229" s="83" t="s">
        <v>2224</v>
      </c>
      <c r="BS229" s="53"/>
      <c r="BT229" s="53"/>
      <c r="BU229" s="238"/>
    </row>
    <row r="230" spans="3:73" ht="14.25" hidden="1" customHeight="1">
      <c r="C230" s="82" t="s">
        <v>11</v>
      </c>
      <c r="D230" s="82" t="s">
        <v>1357</v>
      </c>
      <c r="E230" s="82" t="s">
        <v>1080</v>
      </c>
      <c r="F230" s="82" t="s">
        <v>1076</v>
      </c>
      <c r="G230" s="82">
        <v>737</v>
      </c>
      <c r="H230" s="82" t="s">
        <v>1077</v>
      </c>
      <c r="I230" s="82">
        <v>4</v>
      </c>
      <c r="J230" s="82">
        <v>2.1</v>
      </c>
      <c r="K230" s="82">
        <v>8.4</v>
      </c>
      <c r="L230" s="26">
        <f t="shared" si="31"/>
        <v>2</v>
      </c>
      <c r="M230" s="26">
        <f t="shared" si="22"/>
        <v>2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>
        <v>2</v>
      </c>
      <c r="BE230" s="26"/>
      <c r="BF230" s="26"/>
      <c r="BG230" s="26"/>
      <c r="BH230" s="26"/>
      <c r="BI230" s="67" t="e">
        <f>SUMIFS([1]Up!$J:$J,[1]Up!$D:$D,D230)</f>
        <v>#VALUE!</v>
      </c>
      <c r="BJ230" s="82"/>
      <c r="BK230" s="82" t="str">
        <f t="shared" si="32"/>
        <v/>
      </c>
      <c r="BL230" s="53" t="str">
        <f t="shared" si="33"/>
        <v/>
      </c>
      <c r="BM230" s="53" t="s">
        <v>154</v>
      </c>
      <c r="BN230" s="53" t="s">
        <v>1081</v>
      </c>
      <c r="BO230" s="53" t="s">
        <v>1080</v>
      </c>
      <c r="BP230" s="84" t="s">
        <v>2162</v>
      </c>
      <c r="BQ230" s="53">
        <v>8</v>
      </c>
      <c r="BR230" s="83" t="s">
        <v>2224</v>
      </c>
      <c r="BS230" s="53"/>
      <c r="BT230" s="53"/>
      <c r="BU230" s="238"/>
    </row>
    <row r="231" spans="3:73" ht="14.25" hidden="1" customHeight="1">
      <c r="C231" s="82" t="s">
        <v>13</v>
      </c>
      <c r="D231" s="82" t="s">
        <v>1358</v>
      </c>
      <c r="E231" s="82" t="s">
        <v>1293</v>
      </c>
      <c r="F231" s="82" t="s">
        <v>1084</v>
      </c>
      <c r="G231" s="82">
        <v>8216</v>
      </c>
      <c r="H231" s="82" t="s">
        <v>147</v>
      </c>
      <c r="I231" s="82">
        <v>2</v>
      </c>
      <c r="J231" s="82">
        <v>1195.8</v>
      </c>
      <c r="K231" s="82">
        <v>2391.6</v>
      </c>
      <c r="L231" s="26">
        <f t="shared" si="31"/>
        <v>0</v>
      </c>
      <c r="M231" s="26">
        <f t="shared" si="22"/>
        <v>2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67" t="e">
        <f>SUMIFS([1]Up!$J:$J,[1]Up!$D:$D,D231)</f>
        <v>#VALUE!</v>
      </c>
      <c r="BJ231" s="82"/>
      <c r="BK231" s="82" t="str">
        <f t="shared" si="32"/>
        <v>PL12</v>
      </c>
      <c r="BL231" s="53" t="str">
        <f t="shared" si="33"/>
        <v/>
      </c>
      <c r="BM231" s="53" t="s">
        <v>154</v>
      </c>
      <c r="BN231" s="53" t="s">
        <v>1020</v>
      </c>
      <c r="BO231" s="53" t="s">
        <v>1021</v>
      </c>
      <c r="BP231" s="53" t="s">
        <v>57</v>
      </c>
      <c r="BQ231" s="53">
        <v>4</v>
      </c>
      <c r="BR231" s="83"/>
      <c r="BS231" s="53"/>
      <c r="BT231" s="53"/>
    </row>
    <row r="232" spans="3:73" ht="14.25" hidden="1" customHeight="1">
      <c r="C232" s="82" t="s">
        <v>13</v>
      </c>
      <c r="D232" s="82" t="s">
        <v>1359</v>
      </c>
      <c r="E232" s="82" t="s">
        <v>1295</v>
      </c>
      <c r="F232" s="82" t="s">
        <v>1296</v>
      </c>
      <c r="G232" s="82">
        <v>332</v>
      </c>
      <c r="H232" s="82" t="s">
        <v>147</v>
      </c>
      <c r="I232" s="82">
        <v>4</v>
      </c>
      <c r="J232" s="82">
        <v>5.0999999999999996</v>
      </c>
      <c r="K232" s="82">
        <v>20.399999999999999</v>
      </c>
      <c r="L232" s="26">
        <f t="shared" si="31"/>
        <v>3</v>
      </c>
      <c r="M232" s="26">
        <f t="shared" si="22"/>
        <v>1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>
        <v>2</v>
      </c>
      <c r="AU232" s="26"/>
      <c r="AV232" s="26"/>
      <c r="AW232" s="26"/>
      <c r="AX232" s="26"/>
      <c r="AY232" s="26"/>
      <c r="AZ232" s="26"/>
      <c r="BA232" s="26"/>
      <c r="BB232" s="26">
        <v>1</v>
      </c>
      <c r="BC232" s="26"/>
      <c r="BD232" s="26"/>
      <c r="BE232" s="26"/>
      <c r="BF232" s="26"/>
      <c r="BG232" s="26"/>
      <c r="BH232" s="26"/>
      <c r="BI232" s="67" t="e">
        <f>SUMIFS([1]Up!$J:$J,[1]Up!$D:$D,D232)</f>
        <v>#VALUE!</v>
      </c>
      <c r="BJ232" s="82"/>
      <c r="BK232" s="82" t="str">
        <f t="shared" si="32"/>
        <v>PL10</v>
      </c>
      <c r="BL232" s="53" t="str">
        <f t="shared" si="33"/>
        <v/>
      </c>
      <c r="BM232" s="53" t="s">
        <v>148</v>
      </c>
      <c r="BN232" s="53" t="s">
        <v>1004</v>
      </c>
      <c r="BO232" s="53" t="s">
        <v>1005</v>
      </c>
      <c r="BP232" s="84" t="s">
        <v>2156</v>
      </c>
      <c r="BQ232" s="53">
        <v>8</v>
      </c>
      <c r="BR232" s="83">
        <v>46302</v>
      </c>
      <c r="BS232" s="53"/>
      <c r="BT232" s="53"/>
      <c r="BU232" s="238"/>
    </row>
    <row r="233" spans="3:73" ht="14.25" hidden="1" customHeight="1">
      <c r="C233" s="82" t="s">
        <v>13</v>
      </c>
      <c r="D233" s="82" t="s">
        <v>1360</v>
      </c>
      <c r="E233" s="82" t="s">
        <v>1298</v>
      </c>
      <c r="F233" s="82" t="s">
        <v>1296</v>
      </c>
      <c r="G233" s="82">
        <v>787</v>
      </c>
      <c r="H233" s="82" t="s">
        <v>147</v>
      </c>
      <c r="I233" s="82">
        <v>8</v>
      </c>
      <c r="J233" s="82">
        <v>11.6</v>
      </c>
      <c r="K233" s="82">
        <v>92.8</v>
      </c>
      <c r="L233" s="26">
        <f t="shared" si="31"/>
        <v>4</v>
      </c>
      <c r="M233" s="26">
        <f t="shared" si="22"/>
        <v>4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>
        <v>4</v>
      </c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67" t="e">
        <f>SUMIFS([1]Up!$J:$J,[1]Up!$D:$D,D233)</f>
        <v>#VALUE!</v>
      </c>
      <c r="BJ233" s="82"/>
      <c r="BK233" s="82" t="str">
        <f t="shared" si="32"/>
        <v>PL12</v>
      </c>
      <c r="BL233" s="53" t="str">
        <f t="shared" si="33"/>
        <v/>
      </c>
      <c r="BM233" s="53" t="s">
        <v>148</v>
      </c>
      <c r="BN233" s="53" t="s">
        <v>1020</v>
      </c>
      <c r="BO233" s="53" t="s">
        <v>1021</v>
      </c>
      <c r="BP233" s="84" t="s">
        <v>2159</v>
      </c>
      <c r="BQ233" s="53">
        <v>16</v>
      </c>
      <c r="BR233" s="83">
        <v>46302</v>
      </c>
      <c r="BS233" s="53"/>
      <c r="BT233" s="53"/>
      <c r="BU233" s="238"/>
    </row>
    <row r="234" spans="3:73" ht="14.25" hidden="1" customHeight="1">
      <c r="C234" s="82" t="s">
        <v>13</v>
      </c>
      <c r="D234" s="82" t="s">
        <v>1361</v>
      </c>
      <c r="E234" s="82" t="s">
        <v>1298</v>
      </c>
      <c r="F234" s="82" t="s">
        <v>1296</v>
      </c>
      <c r="G234" s="82">
        <v>787</v>
      </c>
      <c r="H234" s="82" t="s">
        <v>147</v>
      </c>
      <c r="I234" s="82">
        <v>8</v>
      </c>
      <c r="J234" s="82">
        <v>11.6</v>
      </c>
      <c r="K234" s="82">
        <v>92.8</v>
      </c>
      <c r="L234" s="26">
        <f t="shared" si="31"/>
        <v>4</v>
      </c>
      <c r="M234" s="26">
        <f t="shared" si="22"/>
        <v>4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>
        <v>4</v>
      </c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67" t="e">
        <f>SUMIFS([1]Up!$J:$J,[1]Up!$D:$D,D234)</f>
        <v>#VALUE!</v>
      </c>
      <c r="BJ234" s="82"/>
      <c r="BK234" s="82" t="str">
        <f t="shared" si="32"/>
        <v>PL12</v>
      </c>
      <c r="BL234" s="53" t="str">
        <f t="shared" si="33"/>
        <v/>
      </c>
      <c r="BM234" s="53" t="s">
        <v>148</v>
      </c>
      <c r="BN234" s="53" t="s">
        <v>1020</v>
      </c>
      <c r="BO234" s="53" t="s">
        <v>1021</v>
      </c>
      <c r="BP234" s="84" t="s">
        <v>2159</v>
      </c>
      <c r="BQ234" s="53">
        <v>16</v>
      </c>
      <c r="BR234" s="83">
        <v>46302</v>
      </c>
      <c r="BS234" s="53"/>
      <c r="BT234" s="53"/>
      <c r="BU234" s="238"/>
    </row>
    <row r="235" spans="3:73" ht="14.25" hidden="1" customHeight="1">
      <c r="C235" s="82" t="s">
        <v>13</v>
      </c>
      <c r="D235" s="82" t="s">
        <v>1362</v>
      </c>
      <c r="E235" s="82" t="s">
        <v>1090</v>
      </c>
      <c r="F235" s="82" t="s">
        <v>1296</v>
      </c>
      <c r="G235" s="82">
        <v>460</v>
      </c>
      <c r="H235" s="82" t="s">
        <v>147</v>
      </c>
      <c r="I235" s="82">
        <v>16</v>
      </c>
      <c r="J235" s="82">
        <v>5.5</v>
      </c>
      <c r="K235" s="82">
        <v>88</v>
      </c>
      <c r="L235" s="26">
        <f t="shared" si="31"/>
        <v>8</v>
      </c>
      <c r="M235" s="26">
        <f t="shared" si="22"/>
        <v>8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>
        <v>8</v>
      </c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67" t="e">
        <f>SUMIFS([1]Up!$J:$J,[1]Up!$D:$D,D235)</f>
        <v>#VALUE!</v>
      </c>
      <c r="BJ235" s="82"/>
      <c r="BK235" s="82" t="str">
        <f t="shared" si="32"/>
        <v>PL16</v>
      </c>
      <c r="BL235" s="53" t="str">
        <f t="shared" si="33"/>
        <v/>
      </c>
      <c r="BM235" s="53" t="s">
        <v>148</v>
      </c>
      <c r="BN235" s="53" t="s">
        <v>987</v>
      </c>
      <c r="BO235" s="53" t="s">
        <v>988</v>
      </c>
      <c r="BP235" s="84" t="s">
        <v>2160</v>
      </c>
      <c r="BQ235" s="53">
        <v>32</v>
      </c>
      <c r="BR235" s="83" t="s">
        <v>2225</v>
      </c>
      <c r="BS235" s="53"/>
      <c r="BT235" s="53"/>
      <c r="BU235" s="238"/>
    </row>
    <row r="236" spans="3:73" ht="14.25" hidden="1" customHeight="1">
      <c r="C236" s="82" t="s">
        <v>13</v>
      </c>
      <c r="D236" s="82" t="s">
        <v>1363</v>
      </c>
      <c r="E236" s="82" t="s">
        <v>1302</v>
      </c>
      <c r="F236" s="82" t="s">
        <v>1296</v>
      </c>
      <c r="G236" s="82">
        <v>7926</v>
      </c>
      <c r="H236" s="82" t="s">
        <v>147</v>
      </c>
      <c r="I236" s="82">
        <v>4</v>
      </c>
      <c r="J236" s="82">
        <v>336</v>
      </c>
      <c r="K236" s="82">
        <v>1344</v>
      </c>
      <c r="L236" s="26">
        <f t="shared" si="31"/>
        <v>2</v>
      </c>
      <c r="M236" s="26">
        <f t="shared" si="22"/>
        <v>2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>
        <v>2</v>
      </c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67" t="e">
        <f>SUMIFS([1]Up!$J:$J,[1]Up!$D:$D,D236)</f>
        <v>#VALUE!</v>
      </c>
      <c r="BJ236" s="82"/>
      <c r="BK236" s="82" t="str">
        <f t="shared" si="32"/>
        <v>PL15</v>
      </c>
      <c r="BL236" s="53" t="str">
        <f t="shared" si="33"/>
        <v/>
      </c>
      <c r="BM236" s="53" t="s">
        <v>148</v>
      </c>
      <c r="BN236" s="53" t="s">
        <v>1093</v>
      </c>
      <c r="BO236" s="53" t="s">
        <v>1094</v>
      </c>
      <c r="BP236" s="84" t="s">
        <v>2155</v>
      </c>
      <c r="BQ236" s="53">
        <v>8</v>
      </c>
      <c r="BR236" s="83" t="s">
        <v>2224</v>
      </c>
      <c r="BS236" s="53"/>
      <c r="BT236" s="53"/>
      <c r="BU236" s="238"/>
    </row>
    <row r="237" spans="3:73" ht="14.25" hidden="1" customHeight="1">
      <c r="C237" s="82" t="s">
        <v>13</v>
      </c>
      <c r="D237" s="82" t="s">
        <v>1364</v>
      </c>
      <c r="E237" s="82" t="s">
        <v>1096</v>
      </c>
      <c r="F237" s="82" t="s">
        <v>1296</v>
      </c>
      <c r="G237" s="82">
        <v>2343</v>
      </c>
      <c r="H237" s="82" t="s">
        <v>147</v>
      </c>
      <c r="I237" s="82">
        <v>2</v>
      </c>
      <c r="J237" s="82">
        <v>33.1</v>
      </c>
      <c r="K237" s="82">
        <v>66.2</v>
      </c>
      <c r="L237" s="26">
        <f t="shared" si="31"/>
        <v>1</v>
      </c>
      <c r="M237" s="26">
        <f t="shared" si="22"/>
        <v>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>
        <v>1</v>
      </c>
      <c r="BA237" s="26"/>
      <c r="BB237" s="26"/>
      <c r="BC237" s="26"/>
      <c r="BD237" s="26"/>
      <c r="BE237" s="26"/>
      <c r="BF237" s="26"/>
      <c r="BG237" s="26"/>
      <c r="BH237" s="26"/>
      <c r="BI237" s="67" t="e">
        <f>SUMIFS([1]Up!$J:$J,[1]Up!$D:$D,D237)</f>
        <v>#VALUE!</v>
      </c>
      <c r="BJ237" s="82"/>
      <c r="BK237" s="82" t="str">
        <f t="shared" si="32"/>
        <v>PL10</v>
      </c>
      <c r="BL237" s="53" t="str">
        <f t="shared" si="33"/>
        <v/>
      </c>
      <c r="BM237" s="53" t="s">
        <v>154</v>
      </c>
      <c r="BN237" s="53" t="s">
        <v>1004</v>
      </c>
      <c r="BO237" s="53" t="s">
        <v>1005</v>
      </c>
      <c r="BP237" s="84" t="s">
        <v>2156</v>
      </c>
      <c r="BQ237" s="53">
        <v>4</v>
      </c>
      <c r="BR237" s="83">
        <v>46302</v>
      </c>
      <c r="BS237" s="53"/>
      <c r="BT237" s="53"/>
      <c r="BU237" s="238"/>
    </row>
    <row r="238" spans="3:73" ht="14.25" hidden="1" customHeight="1">
      <c r="C238" s="82" t="s">
        <v>13</v>
      </c>
      <c r="D238" s="82" t="s">
        <v>1365</v>
      </c>
      <c r="E238" s="82" t="s">
        <v>1306</v>
      </c>
      <c r="F238" s="82" t="s">
        <v>1296</v>
      </c>
      <c r="G238" s="82">
        <v>2308</v>
      </c>
      <c r="H238" s="82" t="s">
        <v>147</v>
      </c>
      <c r="I238" s="82">
        <v>2</v>
      </c>
      <c r="J238" s="82">
        <v>83.6</v>
      </c>
      <c r="K238" s="82">
        <v>167.2</v>
      </c>
      <c r="L238" s="26">
        <f t="shared" si="31"/>
        <v>1</v>
      </c>
      <c r="M238" s="26">
        <f t="shared" si="22"/>
        <v>1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>
        <v>1</v>
      </c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67" t="e">
        <f>SUMIFS([1]Up!$J:$J,[1]Up!$D:$D,D238)</f>
        <v>#VALUE!</v>
      </c>
      <c r="BJ238" s="82"/>
      <c r="BK238" s="82" t="str">
        <f t="shared" si="32"/>
        <v>PL20</v>
      </c>
      <c r="BL238" s="53" t="str">
        <f t="shared" si="33"/>
        <v/>
      </c>
      <c r="BM238" s="53" t="s">
        <v>148</v>
      </c>
      <c r="BN238" s="53" t="s">
        <v>1099</v>
      </c>
      <c r="BO238" s="53" t="s">
        <v>1100</v>
      </c>
      <c r="BP238" s="84" t="s">
        <v>2157</v>
      </c>
      <c r="BQ238" s="53">
        <v>4</v>
      </c>
      <c r="BR238" s="83">
        <v>46242</v>
      </c>
      <c r="BS238" s="53"/>
      <c r="BT238" s="53"/>
      <c r="BU238" s="238"/>
    </row>
    <row r="239" spans="3:73" ht="14.25" hidden="1" customHeight="1">
      <c r="C239" s="82" t="s">
        <v>13</v>
      </c>
      <c r="D239" s="82" t="s">
        <v>1366</v>
      </c>
      <c r="E239" s="82" t="s">
        <v>1104</v>
      </c>
      <c r="F239" s="82" t="s">
        <v>1296</v>
      </c>
      <c r="G239" s="82">
        <v>1100</v>
      </c>
      <c r="H239" s="82" t="s">
        <v>147</v>
      </c>
      <c r="I239" s="82">
        <v>2</v>
      </c>
      <c r="J239" s="82">
        <v>34.5</v>
      </c>
      <c r="K239" s="82">
        <v>69</v>
      </c>
      <c r="L239" s="26">
        <f t="shared" si="31"/>
        <v>1</v>
      </c>
      <c r="M239" s="26">
        <f t="shared" si="22"/>
        <v>1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>
        <v>1</v>
      </c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67" t="e">
        <f>SUMIFS([1]Up!$J:$J,[1]Up!$D:$D,D239)</f>
        <v>#VALUE!</v>
      </c>
      <c r="BJ239" s="82"/>
      <c r="BK239" s="82" t="str">
        <f t="shared" si="32"/>
        <v>PL20</v>
      </c>
      <c r="BL239" s="53" t="str">
        <f t="shared" si="33"/>
        <v/>
      </c>
      <c r="BM239" s="53" t="s">
        <v>148</v>
      </c>
      <c r="BN239" s="53" t="s">
        <v>1099</v>
      </c>
      <c r="BO239" s="53" t="s">
        <v>1100</v>
      </c>
      <c r="BP239" s="84" t="s">
        <v>2157</v>
      </c>
      <c r="BQ239" s="53">
        <v>4</v>
      </c>
      <c r="BR239" s="83">
        <v>46242</v>
      </c>
      <c r="BS239" s="53"/>
      <c r="BT239" s="53"/>
      <c r="BU239" s="238"/>
    </row>
    <row r="240" spans="3:73" ht="14.25" hidden="1" customHeight="1">
      <c r="C240" s="82" t="s">
        <v>13</v>
      </c>
      <c r="D240" s="82" t="s">
        <v>1367</v>
      </c>
      <c r="E240" s="82" t="s">
        <v>1310</v>
      </c>
      <c r="F240" s="82" t="s">
        <v>1296</v>
      </c>
      <c r="G240" s="82">
        <v>852</v>
      </c>
      <c r="H240" s="82" t="s">
        <v>147</v>
      </c>
      <c r="I240" s="82">
        <v>2</v>
      </c>
      <c r="J240" s="82">
        <v>8.9</v>
      </c>
      <c r="K240" s="82">
        <v>17.8</v>
      </c>
      <c r="L240" s="26">
        <f t="shared" si="31"/>
        <v>1</v>
      </c>
      <c r="M240" s="26">
        <f t="shared" si="22"/>
        <v>1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>
        <v>1</v>
      </c>
      <c r="BB240" s="26"/>
      <c r="BC240" s="26"/>
      <c r="BD240" s="26"/>
      <c r="BE240" s="26"/>
      <c r="BF240" s="26"/>
      <c r="BG240" s="26"/>
      <c r="BH240" s="26"/>
      <c r="BI240" s="67" t="e">
        <f>SUMIFS([1]Up!$J:$J,[1]Up!$D:$D,D240)</f>
        <v>#VALUE!</v>
      </c>
      <c r="BJ240" s="82"/>
      <c r="BK240" s="82" t="str">
        <f t="shared" si="32"/>
        <v>PL10</v>
      </c>
      <c r="BL240" s="53" t="str">
        <f t="shared" si="33"/>
        <v/>
      </c>
      <c r="BM240" s="53" t="s">
        <v>148</v>
      </c>
      <c r="BN240" s="53" t="s">
        <v>1004</v>
      </c>
      <c r="BO240" s="53" t="s">
        <v>1005</v>
      </c>
      <c r="BP240" s="84" t="s">
        <v>2156</v>
      </c>
      <c r="BQ240" s="53">
        <v>4</v>
      </c>
      <c r="BR240" s="83">
        <v>46302</v>
      </c>
      <c r="BS240" s="53"/>
      <c r="BT240" s="53"/>
      <c r="BU240" s="238"/>
    </row>
    <row r="241" spans="3:73" ht="14.25" hidden="1" customHeight="1">
      <c r="C241" s="82" t="s">
        <v>13</v>
      </c>
      <c r="D241" s="82" t="s">
        <v>1368</v>
      </c>
      <c r="E241" s="82" t="s">
        <v>1106</v>
      </c>
      <c r="F241" s="82" t="s">
        <v>1296</v>
      </c>
      <c r="G241" s="82">
        <v>190</v>
      </c>
      <c r="H241" s="82" t="s">
        <v>652</v>
      </c>
      <c r="I241" s="82">
        <v>4</v>
      </c>
      <c r="J241" s="82">
        <v>1.3</v>
      </c>
      <c r="K241" s="82">
        <v>5.2</v>
      </c>
      <c r="L241" s="26">
        <f t="shared" si="31"/>
        <v>0</v>
      </c>
      <c r="M241" s="26">
        <f t="shared" si="22"/>
        <v>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67" t="e">
        <f>SUMIFS([1]Up!$J:$J,[1]Up!$D:$D,D241)</f>
        <v>#VALUE!</v>
      </c>
      <c r="BJ241" s="82"/>
      <c r="BK241" s="82" t="str">
        <f t="shared" si="32"/>
        <v>PL5</v>
      </c>
      <c r="BL241" s="53" t="str">
        <f t="shared" si="33"/>
        <v/>
      </c>
      <c r="BM241" s="53" t="s">
        <v>148</v>
      </c>
      <c r="BN241" s="53" t="s">
        <v>1107</v>
      </c>
      <c r="BO241" s="53" t="s">
        <v>956</v>
      </c>
      <c r="BP241" s="84" t="s">
        <v>2158</v>
      </c>
      <c r="BQ241" s="53">
        <v>8</v>
      </c>
      <c r="BR241" s="83">
        <v>46302</v>
      </c>
      <c r="BS241" s="53"/>
      <c r="BT241" s="53"/>
      <c r="BU241" s="238"/>
    </row>
    <row r="242" spans="3:73" ht="14.25" hidden="1" customHeight="1">
      <c r="C242" s="82" t="s">
        <v>13</v>
      </c>
      <c r="D242" s="82" t="s">
        <v>1369</v>
      </c>
      <c r="E242" s="82" t="s">
        <v>1030</v>
      </c>
      <c r="F242" s="82" t="s">
        <v>1296</v>
      </c>
      <c r="G242" s="82">
        <v>300</v>
      </c>
      <c r="H242" s="82" t="s">
        <v>147</v>
      </c>
      <c r="I242" s="82">
        <v>8</v>
      </c>
      <c r="J242" s="82">
        <v>2.2999999999999998</v>
      </c>
      <c r="K242" s="82">
        <v>18.399999999999999</v>
      </c>
      <c r="L242" s="26">
        <f t="shared" si="31"/>
        <v>4</v>
      </c>
      <c r="M242" s="26">
        <f t="shared" si="22"/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>
        <v>4</v>
      </c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67" t="e">
        <f>SUMIFS([1]Up!$J:$J,[1]Up!$D:$D,D242)</f>
        <v>#VALUE!</v>
      </c>
      <c r="BJ242" s="82"/>
      <c r="BK242" s="82" t="str">
        <f t="shared" si="32"/>
        <v>PL12</v>
      </c>
      <c r="BL242" s="53" t="str">
        <f t="shared" si="33"/>
        <v/>
      </c>
      <c r="BM242" s="53" t="s">
        <v>148</v>
      </c>
      <c r="BN242" s="53" t="s">
        <v>1020</v>
      </c>
      <c r="BO242" s="53" t="s">
        <v>1021</v>
      </c>
      <c r="BP242" s="84" t="s">
        <v>2159</v>
      </c>
      <c r="BQ242" s="53">
        <v>16</v>
      </c>
      <c r="BR242" s="83">
        <v>46302</v>
      </c>
      <c r="BS242" s="53"/>
      <c r="BT242" s="53"/>
      <c r="BU242" s="238"/>
    </row>
    <row r="243" spans="3:73" ht="14.25" hidden="1" customHeight="1">
      <c r="C243" s="82" t="s">
        <v>13</v>
      </c>
      <c r="D243" s="82" t="s">
        <v>1370</v>
      </c>
      <c r="E243" s="82" t="s">
        <v>1030</v>
      </c>
      <c r="F243" s="82" t="s">
        <v>1076</v>
      </c>
      <c r="G243" s="82">
        <v>231</v>
      </c>
      <c r="H243" s="82" t="s">
        <v>147</v>
      </c>
      <c r="I243" s="82">
        <v>4</v>
      </c>
      <c r="J243" s="82">
        <v>1.7</v>
      </c>
      <c r="K243" s="82">
        <v>6.8</v>
      </c>
      <c r="L243" s="26">
        <f t="shared" si="31"/>
        <v>2</v>
      </c>
      <c r="M243" s="26">
        <f t="shared" si="22"/>
        <v>2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>
        <v>2</v>
      </c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67" t="e">
        <f>SUMIFS([1]Up!$J:$J,[1]Up!$D:$D,D243)</f>
        <v>#VALUE!</v>
      </c>
      <c r="BJ243" s="82"/>
      <c r="BK243" s="82" t="str">
        <f t="shared" si="32"/>
        <v>PL12</v>
      </c>
      <c r="BL243" s="53" t="str">
        <f t="shared" si="33"/>
        <v/>
      </c>
      <c r="BM243" s="53" t="s">
        <v>148</v>
      </c>
      <c r="BN243" s="53" t="s">
        <v>1020</v>
      </c>
      <c r="BO243" s="53" t="s">
        <v>1021</v>
      </c>
      <c r="BP243" s="84" t="s">
        <v>2159</v>
      </c>
      <c r="BQ243" s="53">
        <v>8</v>
      </c>
      <c r="BR243" s="83">
        <v>46302</v>
      </c>
      <c r="BS243" s="53"/>
      <c r="BT243" s="53"/>
      <c r="BU243" s="238"/>
    </row>
    <row r="244" spans="3:73" ht="14.25" hidden="1" customHeight="1">
      <c r="C244" s="82" t="s">
        <v>13</v>
      </c>
      <c r="D244" s="82" t="s">
        <v>1371</v>
      </c>
      <c r="E244" s="82" t="s">
        <v>1335</v>
      </c>
      <c r="F244" s="82" t="s">
        <v>1296</v>
      </c>
      <c r="G244" s="82">
        <v>2365</v>
      </c>
      <c r="H244" s="82" t="s">
        <v>147</v>
      </c>
      <c r="I244" s="82">
        <v>10</v>
      </c>
      <c r="J244" s="82">
        <v>62.7</v>
      </c>
      <c r="K244" s="82">
        <v>627</v>
      </c>
      <c r="L244" s="26">
        <f t="shared" si="31"/>
        <v>10</v>
      </c>
      <c r="M244" s="26">
        <f t="shared" si="22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>
        <v>10</v>
      </c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>
        <v>8</v>
      </c>
      <c r="BF244" s="26"/>
      <c r="BG244" s="26"/>
      <c r="BH244" s="26"/>
      <c r="BI244" s="67" t="e">
        <f>SUMIFS([1]Up!$J:$J,[1]Up!$D:$D,D244)</f>
        <v>#VALUE!</v>
      </c>
      <c r="BJ244" s="82"/>
      <c r="BK244" s="82" t="str">
        <f t="shared" si="32"/>
        <v>PL20</v>
      </c>
      <c r="BL244" s="53" t="str">
        <f t="shared" si="33"/>
        <v>Thừa 8</v>
      </c>
      <c r="BM244" s="53" t="s">
        <v>148</v>
      </c>
      <c r="BN244" s="53" t="s">
        <v>1099</v>
      </c>
      <c r="BO244" s="53" t="s">
        <v>1100</v>
      </c>
      <c r="BP244" s="53" t="s">
        <v>2166</v>
      </c>
      <c r="BQ244" s="53">
        <v>4</v>
      </c>
      <c r="BR244" s="83" t="s">
        <v>2226</v>
      </c>
      <c r="BS244" s="53"/>
      <c r="BT244" s="53"/>
    </row>
    <row r="245" spans="3:73" ht="14.25" hidden="1" customHeight="1">
      <c r="C245" s="82" t="s">
        <v>13</v>
      </c>
      <c r="D245" s="82" t="s">
        <v>1372</v>
      </c>
      <c r="E245" s="82" t="s">
        <v>1293</v>
      </c>
      <c r="F245" s="82" t="s">
        <v>1084</v>
      </c>
      <c r="G245" s="82">
        <v>8216</v>
      </c>
      <c r="H245" s="82" t="s">
        <v>147</v>
      </c>
      <c r="I245" s="82">
        <v>2</v>
      </c>
      <c r="J245" s="82">
        <v>1830.9</v>
      </c>
      <c r="K245" s="82">
        <v>3661.8</v>
      </c>
      <c r="L245" s="26">
        <f t="shared" si="31"/>
        <v>2</v>
      </c>
      <c r="M245" s="26">
        <f t="shared" si="22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>
        <v>3</v>
      </c>
      <c r="AO245" s="26"/>
      <c r="AP245" s="26">
        <f>1+1</f>
        <v>2</v>
      </c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67" t="e">
        <f>SUMIFS([1]Up!$J:$J,[1]Up!$D:$D,D245)</f>
        <v>#VALUE!</v>
      </c>
      <c r="BJ245" s="82" t="s">
        <v>2084</v>
      </c>
      <c r="BK245" s="82" t="str">
        <f t="shared" si="32"/>
        <v>PL12</v>
      </c>
      <c r="BL245" s="53" t="str">
        <f t="shared" si="33"/>
        <v>Thừa 3</v>
      </c>
      <c r="BM245" s="53" t="s">
        <v>154</v>
      </c>
      <c r="BN245" s="53" t="s">
        <v>1020</v>
      </c>
      <c r="BO245" s="53" t="s">
        <v>1021</v>
      </c>
      <c r="BP245" s="53" t="s">
        <v>57</v>
      </c>
      <c r="BQ245" s="53">
        <v>4</v>
      </c>
      <c r="BR245" s="83"/>
      <c r="BS245" s="53"/>
      <c r="BT245" s="53"/>
    </row>
    <row r="246" spans="3:73" ht="14.25" hidden="1" customHeight="1">
      <c r="C246" s="82" t="s">
        <v>13</v>
      </c>
      <c r="D246" s="82" t="s">
        <v>1373</v>
      </c>
      <c r="E246" s="82" t="s">
        <v>1125</v>
      </c>
      <c r="F246" s="82" t="s">
        <v>1296</v>
      </c>
      <c r="G246" s="82">
        <v>200</v>
      </c>
      <c r="H246" s="82" t="s">
        <v>147</v>
      </c>
      <c r="I246" s="82">
        <v>4</v>
      </c>
      <c r="J246" s="82">
        <v>5.5</v>
      </c>
      <c r="K246" s="82">
        <v>22</v>
      </c>
      <c r="L246" s="26">
        <f t="shared" si="31"/>
        <v>4</v>
      </c>
      <c r="M246" s="26">
        <f t="shared" si="22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>
        <v>2</v>
      </c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>
        <v>2</v>
      </c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67" t="e">
        <f>SUMIFS([1]Up!$J:$J,[1]Up!$D:$D,D246)</f>
        <v>#VALUE!</v>
      </c>
      <c r="BJ246" s="82"/>
      <c r="BK246" s="82" t="str">
        <f t="shared" si="32"/>
        <v>PL15</v>
      </c>
      <c r="BL246" s="53" t="str">
        <f t="shared" si="33"/>
        <v/>
      </c>
      <c r="BM246" s="53" t="s">
        <v>148</v>
      </c>
      <c r="BN246" s="53" t="s">
        <v>1093</v>
      </c>
      <c r="BO246" s="53" t="s">
        <v>1094</v>
      </c>
      <c r="BP246" s="84" t="s">
        <v>2155</v>
      </c>
      <c r="BQ246" s="53">
        <v>8</v>
      </c>
      <c r="BR246" s="83" t="s">
        <v>2224</v>
      </c>
      <c r="BS246" s="53"/>
      <c r="BT246" s="53"/>
      <c r="BU246" s="238"/>
    </row>
    <row r="247" spans="3:73" ht="14.25" hidden="1" customHeight="1">
      <c r="C247" s="82" t="s">
        <v>13</v>
      </c>
      <c r="D247" s="82" t="s">
        <v>1374</v>
      </c>
      <c r="E247" s="82" t="s">
        <v>1123</v>
      </c>
      <c r="F247" s="82" t="s">
        <v>1296</v>
      </c>
      <c r="G247" s="82">
        <v>320</v>
      </c>
      <c r="H247" s="82" t="s">
        <v>147</v>
      </c>
      <c r="I247" s="82">
        <v>4</v>
      </c>
      <c r="J247" s="82">
        <v>7.6</v>
      </c>
      <c r="K247" s="82">
        <v>30.4</v>
      </c>
      <c r="L247" s="26">
        <f t="shared" si="31"/>
        <v>2</v>
      </c>
      <c r="M247" s="26">
        <f t="shared" si="22"/>
        <v>2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>
        <v>2</v>
      </c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67" t="e">
        <f>SUMIFS([1]Up!$J:$J,[1]Up!$D:$D,D247)</f>
        <v>#VALUE!</v>
      </c>
      <c r="BJ247" s="82"/>
      <c r="BK247" s="82" t="str">
        <f t="shared" si="32"/>
        <v>PL20</v>
      </c>
      <c r="BL247" s="53" t="str">
        <f t="shared" si="33"/>
        <v/>
      </c>
      <c r="BM247" s="53" t="s">
        <v>148</v>
      </c>
      <c r="BN247" s="53" t="s">
        <v>1099</v>
      </c>
      <c r="BO247" s="53" t="s">
        <v>1100</v>
      </c>
      <c r="BP247" s="84" t="s">
        <v>2157</v>
      </c>
      <c r="BQ247" s="53">
        <v>8</v>
      </c>
      <c r="BR247" s="83">
        <v>46242</v>
      </c>
      <c r="BS247" s="53"/>
      <c r="BT247" s="53"/>
      <c r="BU247" s="238"/>
    </row>
    <row r="248" spans="3:73" ht="14.25" hidden="1" customHeight="1">
      <c r="C248" s="82" t="s">
        <v>11</v>
      </c>
      <c r="D248" s="82" t="s">
        <v>1375</v>
      </c>
      <c r="E248" s="82" t="s">
        <v>1080</v>
      </c>
      <c r="F248" s="82" t="s">
        <v>1076</v>
      </c>
      <c r="G248" s="82">
        <v>737</v>
      </c>
      <c r="H248" s="82" t="s">
        <v>1077</v>
      </c>
      <c r="I248" s="82">
        <v>10</v>
      </c>
      <c r="J248" s="82">
        <v>2.1</v>
      </c>
      <c r="K248" s="82">
        <v>21</v>
      </c>
      <c r="L248" s="26">
        <f t="shared" si="31"/>
        <v>5</v>
      </c>
      <c r="M248" s="26">
        <f t="shared" si="22"/>
        <v>5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>
        <v>5</v>
      </c>
      <c r="BE248" s="26"/>
      <c r="BF248" s="26"/>
      <c r="BG248" s="26"/>
      <c r="BH248" s="26"/>
      <c r="BI248" s="67" t="e">
        <f>SUMIFS([1]Up!$J:$J,[1]Up!$D:$D,D248)</f>
        <v>#VALUE!</v>
      </c>
      <c r="BJ248" s="82"/>
      <c r="BK248" s="82" t="str">
        <f t="shared" si="32"/>
        <v/>
      </c>
      <c r="BL248" s="53" t="str">
        <f t="shared" si="33"/>
        <v/>
      </c>
      <c r="BM248" s="53" t="s">
        <v>154</v>
      </c>
      <c r="BN248" s="53" t="s">
        <v>1081</v>
      </c>
      <c r="BO248" s="53" t="s">
        <v>1080</v>
      </c>
      <c r="BP248" s="84" t="s">
        <v>2162</v>
      </c>
      <c r="BQ248" s="53">
        <v>20</v>
      </c>
      <c r="BR248" s="83" t="s">
        <v>2224</v>
      </c>
      <c r="BS248" s="53"/>
      <c r="BT248" s="53"/>
      <c r="BU248" s="238"/>
    </row>
    <row r="249" spans="3:73" ht="14.25" hidden="1" customHeight="1">
      <c r="C249" s="82" t="s">
        <v>11</v>
      </c>
      <c r="D249" s="82" t="s">
        <v>1376</v>
      </c>
      <c r="E249" s="82" t="s">
        <v>1128</v>
      </c>
      <c r="F249" s="82" t="s">
        <v>1129</v>
      </c>
      <c r="G249" s="82">
        <v>48</v>
      </c>
      <c r="H249" s="82" t="s">
        <v>147</v>
      </c>
      <c r="I249" s="82">
        <v>2</v>
      </c>
      <c r="J249" s="82">
        <v>0.32</v>
      </c>
      <c r="K249" s="82">
        <v>0.64</v>
      </c>
      <c r="L249" s="26">
        <f t="shared" si="31"/>
        <v>0</v>
      </c>
      <c r="M249" s="26">
        <f t="shared" si="22"/>
        <v>2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67" t="e">
        <f>SUMIFS([1]Up!$J:$J,[1]Up!$D:$D,D249)</f>
        <v>#VALUE!</v>
      </c>
      <c r="BJ249" s="82"/>
      <c r="BK249" s="82" t="str">
        <f t="shared" si="32"/>
        <v/>
      </c>
      <c r="BL249" s="53" t="str">
        <f t="shared" si="33"/>
        <v/>
      </c>
      <c r="BM249" s="53" t="s">
        <v>154</v>
      </c>
      <c r="BN249" s="53"/>
      <c r="BO249" s="53" t="s">
        <v>1128</v>
      </c>
      <c r="BP249" s="84" t="s">
        <v>2168</v>
      </c>
      <c r="BQ249" s="53">
        <v>4</v>
      </c>
      <c r="BR249" s="83" t="s">
        <v>2224</v>
      </c>
      <c r="BS249" s="53"/>
      <c r="BT249" s="53"/>
      <c r="BU249" s="238"/>
    </row>
    <row r="250" spans="3:73" ht="14.25" hidden="1" customHeight="1">
      <c r="C250" s="82" t="s">
        <v>13</v>
      </c>
      <c r="D250" s="82" t="s">
        <v>1377</v>
      </c>
      <c r="E250" s="82" t="s">
        <v>1293</v>
      </c>
      <c r="F250" s="82" t="s">
        <v>1084</v>
      </c>
      <c r="G250" s="82">
        <v>8216</v>
      </c>
      <c r="H250" s="82" t="s">
        <v>147</v>
      </c>
      <c r="I250" s="82">
        <v>2</v>
      </c>
      <c r="J250" s="82">
        <v>1830.9</v>
      </c>
      <c r="K250" s="82">
        <v>3661.8</v>
      </c>
      <c r="L250" s="26">
        <f t="shared" si="31"/>
        <v>2</v>
      </c>
      <c r="M250" s="26">
        <f t="shared" si="22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>
        <f>1+1+1</f>
        <v>3</v>
      </c>
      <c r="AO250" s="26"/>
      <c r="AP250" s="26">
        <v>1</v>
      </c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67" t="e">
        <f>SUMIFS([1]Up!$J:$J,[1]Up!$D:$D,D250)</f>
        <v>#VALUE!</v>
      </c>
      <c r="BJ250" s="82" t="s">
        <v>2248</v>
      </c>
      <c r="BK250" s="82" t="str">
        <f t="shared" si="32"/>
        <v>PL12</v>
      </c>
      <c r="BL250" s="53" t="str">
        <f t="shared" si="33"/>
        <v>Thừa 2</v>
      </c>
      <c r="BM250" s="53" t="s">
        <v>154</v>
      </c>
      <c r="BN250" s="53" t="s">
        <v>1020</v>
      </c>
      <c r="BO250" s="53" t="s">
        <v>1021</v>
      </c>
      <c r="BP250" s="53" t="s">
        <v>57</v>
      </c>
      <c r="BQ250" s="53">
        <v>4</v>
      </c>
      <c r="BR250" s="83"/>
      <c r="BS250" s="53"/>
      <c r="BT250" s="53"/>
    </row>
    <row r="251" spans="3:73" ht="14.25" hidden="1" customHeight="1">
      <c r="C251" s="82" t="s">
        <v>13</v>
      </c>
      <c r="D251" s="82" t="s">
        <v>1378</v>
      </c>
      <c r="E251" s="82" t="s">
        <v>1316</v>
      </c>
      <c r="F251" s="82" t="s">
        <v>1296</v>
      </c>
      <c r="G251" s="82">
        <v>2308</v>
      </c>
      <c r="H251" s="82" t="s">
        <v>147</v>
      </c>
      <c r="I251" s="82">
        <v>2</v>
      </c>
      <c r="J251" s="82">
        <v>45.5</v>
      </c>
      <c r="K251" s="82">
        <v>91</v>
      </c>
      <c r="L251" s="26">
        <f t="shared" si="31"/>
        <v>1</v>
      </c>
      <c r="M251" s="26">
        <f t="shared" si="22"/>
        <v>1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>
        <v>1</v>
      </c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67" t="e">
        <f>SUMIFS([1]Up!$J:$J,[1]Up!$D:$D,D251)</f>
        <v>#VALUE!</v>
      </c>
      <c r="BJ251" s="82"/>
      <c r="BK251" s="82" t="str">
        <f t="shared" si="32"/>
        <v>PL20</v>
      </c>
      <c r="BL251" s="53" t="str">
        <f t="shared" si="33"/>
        <v/>
      </c>
      <c r="BM251" s="53" t="s">
        <v>148</v>
      </c>
      <c r="BN251" s="53" t="s">
        <v>1099</v>
      </c>
      <c r="BO251" s="53" t="s">
        <v>1100</v>
      </c>
      <c r="BP251" s="84" t="s">
        <v>2164</v>
      </c>
      <c r="BQ251" s="53">
        <v>4</v>
      </c>
      <c r="BR251" s="83">
        <v>46242</v>
      </c>
      <c r="BS251" s="53"/>
      <c r="BT251" s="53"/>
      <c r="BU251" s="238"/>
    </row>
    <row r="252" spans="3:73" ht="14.25" hidden="1" customHeight="1">
      <c r="C252" s="82" t="s">
        <v>13</v>
      </c>
      <c r="D252" s="82" t="s">
        <v>1379</v>
      </c>
      <c r="E252" s="82" t="s">
        <v>1335</v>
      </c>
      <c r="F252" s="82" t="s">
        <v>1296</v>
      </c>
      <c r="G252" s="82">
        <v>2365</v>
      </c>
      <c r="H252" s="82" t="s">
        <v>147</v>
      </c>
      <c r="I252" s="82">
        <v>8</v>
      </c>
      <c r="J252" s="82">
        <v>62.7</v>
      </c>
      <c r="K252" s="82">
        <v>501.6</v>
      </c>
      <c r="L252" s="26">
        <f t="shared" si="31"/>
        <v>8</v>
      </c>
      <c r="M252" s="26">
        <f t="shared" si="22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>
        <v>8</v>
      </c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>
        <v>8</v>
      </c>
      <c r="BF252" s="26"/>
      <c r="BG252" s="26"/>
      <c r="BH252" s="26"/>
      <c r="BI252" s="67" t="e">
        <f>SUMIFS([1]Up!$J:$J,[1]Up!$D:$D,D252)</f>
        <v>#VALUE!</v>
      </c>
      <c r="BJ252" s="82"/>
      <c r="BK252" s="82" t="str">
        <f t="shared" si="32"/>
        <v>PL20</v>
      </c>
      <c r="BL252" s="53" t="str">
        <f t="shared" si="33"/>
        <v>Thừa 8</v>
      </c>
      <c r="BM252" s="53" t="s">
        <v>148</v>
      </c>
      <c r="BN252" s="53" t="s">
        <v>1020</v>
      </c>
      <c r="BO252" s="53" t="s">
        <v>1021</v>
      </c>
      <c r="BP252" s="84" t="s">
        <v>2166</v>
      </c>
      <c r="BQ252" s="53">
        <v>16</v>
      </c>
      <c r="BR252" s="83" t="s">
        <v>2226</v>
      </c>
      <c r="BS252" s="53"/>
      <c r="BT252" s="53"/>
    </row>
    <row r="253" spans="3:73" ht="14.25" hidden="1" customHeight="1">
      <c r="C253" s="82" t="s">
        <v>13</v>
      </c>
      <c r="D253" s="82" t="s">
        <v>1380</v>
      </c>
      <c r="E253" s="82" t="s">
        <v>1343</v>
      </c>
      <c r="F253" s="82" t="s">
        <v>1076</v>
      </c>
      <c r="G253" s="82">
        <v>1885</v>
      </c>
      <c r="H253" s="82" t="s">
        <v>147</v>
      </c>
      <c r="I253" s="82">
        <v>2</v>
      </c>
      <c r="J253" s="82">
        <v>32.700000000000003</v>
      </c>
      <c r="K253" s="82">
        <v>65.400000000000006</v>
      </c>
      <c r="L253" s="26">
        <f t="shared" si="31"/>
        <v>1</v>
      </c>
      <c r="M253" s="26">
        <f t="shared" si="22"/>
        <v>1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>
        <v>1</v>
      </c>
      <c r="BA253" s="26"/>
      <c r="BB253" s="26"/>
      <c r="BC253" s="26"/>
      <c r="BD253" s="26"/>
      <c r="BE253" s="26"/>
      <c r="BF253" s="26"/>
      <c r="BG253" s="26"/>
      <c r="BH253" s="26"/>
      <c r="BI253" s="67" t="e">
        <f>SUMIFS([1]Up!$J:$J,[1]Up!$D:$D,D253)</f>
        <v>#VALUE!</v>
      </c>
      <c r="BJ253" s="82"/>
      <c r="BK253" s="82" t="str">
        <f t="shared" si="32"/>
        <v>PL10</v>
      </c>
      <c r="BL253" s="53" t="str">
        <f t="shared" si="33"/>
        <v/>
      </c>
      <c r="BM253" s="53" t="s">
        <v>154</v>
      </c>
      <c r="BN253" s="53" t="s">
        <v>1004</v>
      </c>
      <c r="BO253" s="53" t="s">
        <v>1005</v>
      </c>
      <c r="BP253" s="84" t="s">
        <v>2167</v>
      </c>
      <c r="BQ253" s="53">
        <v>4</v>
      </c>
      <c r="BR253" s="83">
        <v>46302</v>
      </c>
      <c r="BS253" s="53"/>
      <c r="BT253" s="53"/>
      <c r="BU253" s="238"/>
    </row>
    <row r="254" spans="3:73" ht="14.25" hidden="1" customHeight="1">
      <c r="C254" s="82" t="s">
        <v>13</v>
      </c>
      <c r="D254" s="82" t="s">
        <v>1381</v>
      </c>
      <c r="E254" s="82" t="s">
        <v>1346</v>
      </c>
      <c r="F254" s="82" t="s">
        <v>1076</v>
      </c>
      <c r="G254" s="82">
        <v>2202</v>
      </c>
      <c r="H254" s="82" t="s">
        <v>147</v>
      </c>
      <c r="I254" s="82">
        <v>2</v>
      </c>
      <c r="J254" s="82">
        <v>42</v>
      </c>
      <c r="K254" s="82">
        <v>84</v>
      </c>
      <c r="L254" s="26">
        <f t="shared" si="31"/>
        <v>2</v>
      </c>
      <c r="M254" s="26">
        <f t="shared" si="22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>
        <v>1</v>
      </c>
      <c r="BA254" s="26"/>
      <c r="BB254" s="26"/>
      <c r="BC254" s="26"/>
      <c r="BD254" s="26"/>
      <c r="BE254" s="26">
        <v>1</v>
      </c>
      <c r="BF254" s="26"/>
      <c r="BG254" s="26"/>
      <c r="BH254" s="26"/>
      <c r="BI254" s="67" t="e">
        <f>SUMIFS([1]Up!$J:$J,[1]Up!$D:$D,D254)</f>
        <v>#VALUE!</v>
      </c>
      <c r="BJ254" s="82"/>
      <c r="BK254" s="82" t="str">
        <f t="shared" si="32"/>
        <v>PL10</v>
      </c>
      <c r="BL254" s="53" t="str">
        <f t="shared" si="33"/>
        <v/>
      </c>
      <c r="BM254" s="53" t="s">
        <v>154</v>
      </c>
      <c r="BN254" s="53" t="s">
        <v>1004</v>
      </c>
      <c r="BO254" s="53" t="s">
        <v>1005</v>
      </c>
      <c r="BP254" s="84" t="s">
        <v>2167</v>
      </c>
      <c r="BQ254" s="53">
        <v>4</v>
      </c>
      <c r="BR254" s="83">
        <v>46302</v>
      </c>
      <c r="BS254" s="53"/>
      <c r="BT254" s="53"/>
      <c r="BU254" s="238"/>
    </row>
    <row r="255" spans="3:73" ht="14.25" hidden="1" customHeight="1">
      <c r="C255" s="82" t="s">
        <v>13</v>
      </c>
      <c r="D255" s="82" t="s">
        <v>1382</v>
      </c>
      <c r="E255" s="82" t="s">
        <v>1096</v>
      </c>
      <c r="F255" s="82" t="s">
        <v>1296</v>
      </c>
      <c r="G255" s="82">
        <v>536</v>
      </c>
      <c r="H255" s="82" t="s">
        <v>147</v>
      </c>
      <c r="I255" s="82">
        <v>2</v>
      </c>
      <c r="J255" s="82">
        <v>7.5</v>
      </c>
      <c r="K255" s="82">
        <v>15</v>
      </c>
      <c r="L255" s="26">
        <f t="shared" si="31"/>
        <v>2</v>
      </c>
      <c r="M255" s="26">
        <f t="shared" si="22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>
        <v>1</v>
      </c>
      <c r="BA255" s="26"/>
      <c r="BB255" s="26"/>
      <c r="BC255" s="26"/>
      <c r="BD255" s="26">
        <v>1</v>
      </c>
      <c r="BE255" s="26"/>
      <c r="BF255" s="26"/>
      <c r="BG255" s="26"/>
      <c r="BH255" s="26"/>
      <c r="BI255" s="67" t="e">
        <f>SUMIFS([1]Up!$J:$J,[1]Up!$D:$D,D255)</f>
        <v>#VALUE!</v>
      </c>
      <c r="BJ255" s="82"/>
      <c r="BK255" s="82" t="str">
        <f t="shared" si="32"/>
        <v>PL10</v>
      </c>
      <c r="BL255" s="53" t="str">
        <f t="shared" si="33"/>
        <v/>
      </c>
      <c r="BM255" s="53" t="s">
        <v>154</v>
      </c>
      <c r="BN255" s="53" t="s">
        <v>1004</v>
      </c>
      <c r="BO255" s="53" t="s">
        <v>1005</v>
      </c>
      <c r="BP255" s="84" t="s">
        <v>2156</v>
      </c>
      <c r="BQ255" s="53">
        <v>4</v>
      </c>
      <c r="BR255" s="83">
        <v>46302</v>
      </c>
      <c r="BS255" s="53"/>
      <c r="BT255" s="53"/>
      <c r="BU255" s="238"/>
    </row>
    <row r="256" spans="3:73" ht="14.25" hidden="1" customHeight="1">
      <c r="C256" s="82" t="s">
        <v>13</v>
      </c>
      <c r="D256" s="82" t="s">
        <v>1383</v>
      </c>
      <c r="E256" s="82" t="s">
        <v>1349</v>
      </c>
      <c r="F256" s="82" t="s">
        <v>1296</v>
      </c>
      <c r="G256" s="82">
        <v>302</v>
      </c>
      <c r="H256" s="82" t="s">
        <v>147</v>
      </c>
      <c r="I256" s="82">
        <v>4</v>
      </c>
      <c r="J256" s="82">
        <v>4.5999999999999996</v>
      </c>
      <c r="K256" s="82">
        <v>18.399999999999999</v>
      </c>
      <c r="L256" s="26">
        <f t="shared" si="31"/>
        <v>4</v>
      </c>
      <c r="M256" s="26">
        <f t="shared" si="22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>
        <v>2</v>
      </c>
      <c r="AU256" s="26"/>
      <c r="AV256" s="26"/>
      <c r="AW256" s="26">
        <v>2</v>
      </c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67" t="e">
        <f>SUMIFS([1]Up!$J:$J,[1]Up!$D:$D,D256)</f>
        <v>#VALUE!</v>
      </c>
      <c r="BJ256" s="82"/>
      <c r="BK256" s="82" t="str">
        <f t="shared" si="32"/>
        <v>PL10</v>
      </c>
      <c r="BL256" s="53" t="str">
        <f t="shared" si="33"/>
        <v/>
      </c>
      <c r="BM256" s="53" t="s">
        <v>148</v>
      </c>
      <c r="BN256" s="53" t="s">
        <v>1004</v>
      </c>
      <c r="BO256" s="53" t="s">
        <v>1005</v>
      </c>
      <c r="BP256" s="84" t="s">
        <v>2156</v>
      </c>
      <c r="BQ256" s="53">
        <v>8</v>
      </c>
      <c r="BR256" s="83">
        <v>46302</v>
      </c>
      <c r="BS256" s="53"/>
      <c r="BT256" s="53"/>
      <c r="BU256" s="238"/>
    </row>
    <row r="257" spans="3:73" ht="14.25" hidden="1" customHeight="1">
      <c r="C257" s="82" t="s">
        <v>13</v>
      </c>
      <c r="D257" s="82" t="s">
        <v>1384</v>
      </c>
      <c r="E257" s="82" t="s">
        <v>1134</v>
      </c>
      <c r="F257" s="82" t="s">
        <v>1296</v>
      </c>
      <c r="G257" s="82">
        <v>221</v>
      </c>
      <c r="H257" s="82" t="s">
        <v>147</v>
      </c>
      <c r="I257" s="82">
        <v>2</v>
      </c>
      <c r="J257" s="82">
        <v>1.7</v>
      </c>
      <c r="K257" s="82">
        <v>3.4</v>
      </c>
      <c r="L257" s="26">
        <f t="shared" si="31"/>
        <v>2</v>
      </c>
      <c r="M257" s="26">
        <f t="shared" si="22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>
        <v>1</v>
      </c>
      <c r="AU257" s="26"/>
      <c r="AV257" s="26"/>
      <c r="AW257" s="26">
        <v>1</v>
      </c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67" t="e">
        <f>SUMIFS([1]Up!$J:$J,[1]Up!$D:$D,D257)</f>
        <v>#VALUE!</v>
      </c>
      <c r="BJ257" s="82"/>
      <c r="BK257" s="82" t="str">
        <f t="shared" si="32"/>
        <v>PL10</v>
      </c>
      <c r="BL257" s="53" t="str">
        <f t="shared" si="33"/>
        <v/>
      </c>
      <c r="BM257" s="53" t="s">
        <v>148</v>
      </c>
      <c r="BN257" s="53" t="s">
        <v>1004</v>
      </c>
      <c r="BO257" s="53" t="s">
        <v>1005</v>
      </c>
      <c r="BP257" s="84" t="s">
        <v>2156</v>
      </c>
      <c r="BQ257" s="53">
        <v>4</v>
      </c>
      <c r="BR257" s="83">
        <v>46302</v>
      </c>
      <c r="BS257" s="53"/>
      <c r="BT257" s="53"/>
      <c r="BU257" s="238"/>
    </row>
    <row r="258" spans="3:73" ht="14.25" hidden="1" customHeight="1">
      <c r="C258" s="82" t="s">
        <v>13</v>
      </c>
      <c r="D258" s="82" t="s">
        <v>1385</v>
      </c>
      <c r="E258" s="82" t="s">
        <v>1352</v>
      </c>
      <c r="F258" s="82" t="s">
        <v>1296</v>
      </c>
      <c r="G258" s="82">
        <v>875</v>
      </c>
      <c r="H258" s="82" t="s">
        <v>147</v>
      </c>
      <c r="I258" s="82">
        <v>2</v>
      </c>
      <c r="J258" s="82">
        <v>27.8</v>
      </c>
      <c r="K258" s="82">
        <v>55.6</v>
      </c>
      <c r="L258" s="26">
        <f t="shared" si="31"/>
        <v>1</v>
      </c>
      <c r="M258" s="26">
        <f t="shared" si="22"/>
        <v>1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>
        <v>1</v>
      </c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67" t="e">
        <f>SUMIFS([1]Up!$J:$J,[1]Up!$D:$D,D258)</f>
        <v>#VALUE!</v>
      </c>
      <c r="BJ258" s="82"/>
      <c r="BK258" s="82" t="str">
        <f t="shared" si="32"/>
        <v>PL15</v>
      </c>
      <c r="BL258" s="53" t="str">
        <f t="shared" si="33"/>
        <v/>
      </c>
      <c r="BM258" s="53" t="s">
        <v>148</v>
      </c>
      <c r="BN258" s="53" t="s">
        <v>1093</v>
      </c>
      <c r="BO258" s="53" t="s">
        <v>1094</v>
      </c>
      <c r="BP258" s="84" t="s">
        <v>2155</v>
      </c>
      <c r="BQ258" s="53">
        <v>4</v>
      </c>
      <c r="BR258" s="83" t="s">
        <v>2224</v>
      </c>
      <c r="BS258" s="53"/>
      <c r="BT258" s="53"/>
      <c r="BU258" s="238"/>
    </row>
    <row r="259" spans="3:73" ht="14.25" hidden="1" customHeight="1">
      <c r="C259" s="82" t="s">
        <v>13</v>
      </c>
      <c r="D259" s="82" t="s">
        <v>1386</v>
      </c>
      <c r="E259" s="82" t="s">
        <v>1354</v>
      </c>
      <c r="F259" s="82" t="s">
        <v>1296</v>
      </c>
      <c r="G259" s="82">
        <v>793</v>
      </c>
      <c r="H259" s="82" t="s">
        <v>147</v>
      </c>
      <c r="I259" s="82">
        <v>2</v>
      </c>
      <c r="J259" s="82">
        <v>22.8</v>
      </c>
      <c r="K259" s="82">
        <v>45.6</v>
      </c>
      <c r="L259" s="26">
        <f t="shared" si="31"/>
        <v>1</v>
      </c>
      <c r="M259" s="26">
        <f t="shared" si="22"/>
        <v>1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>
        <v>1</v>
      </c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67" t="e">
        <f>SUMIFS([1]Up!$J:$J,[1]Up!$D:$D,D259)</f>
        <v>#VALUE!</v>
      </c>
      <c r="BJ259" s="82"/>
      <c r="BK259" s="82" t="str">
        <f t="shared" si="32"/>
        <v>PL15</v>
      </c>
      <c r="BL259" s="53" t="str">
        <f t="shared" si="33"/>
        <v/>
      </c>
      <c r="BM259" s="53" t="s">
        <v>148</v>
      </c>
      <c r="BN259" s="53" t="s">
        <v>1093</v>
      </c>
      <c r="BO259" s="53" t="s">
        <v>1094</v>
      </c>
      <c r="BP259" s="84" t="s">
        <v>2155</v>
      </c>
      <c r="BQ259" s="53">
        <v>4</v>
      </c>
      <c r="BR259" s="83" t="s">
        <v>2224</v>
      </c>
      <c r="BS259" s="53"/>
      <c r="BT259" s="53"/>
      <c r="BU259" s="238"/>
    </row>
    <row r="260" spans="3:73" ht="14.25" hidden="1" customHeight="1">
      <c r="C260" s="82" t="s">
        <v>13</v>
      </c>
      <c r="D260" s="82" t="s">
        <v>1387</v>
      </c>
      <c r="E260" s="82" t="s">
        <v>1138</v>
      </c>
      <c r="F260" s="82" t="s">
        <v>1296</v>
      </c>
      <c r="G260" s="82">
        <v>1095</v>
      </c>
      <c r="H260" s="82" t="s">
        <v>147</v>
      </c>
      <c r="I260" s="82">
        <v>2</v>
      </c>
      <c r="J260" s="82">
        <v>40.799999999999997</v>
      </c>
      <c r="K260" s="82">
        <v>81.599999999999994</v>
      </c>
      <c r="L260" s="26">
        <f t="shared" si="31"/>
        <v>2</v>
      </c>
      <c r="M260" s="26">
        <f t="shared" si="22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>
        <v>2</v>
      </c>
      <c r="BA260" s="26"/>
      <c r="BB260" s="26"/>
      <c r="BC260" s="26"/>
      <c r="BD260" s="26"/>
      <c r="BE260" s="26"/>
      <c r="BF260" s="26"/>
      <c r="BG260" s="26"/>
      <c r="BH260" s="26"/>
      <c r="BI260" s="67" t="e">
        <f>SUMIFS([1]Up!$J:$J,[1]Up!$D:$D,D260)</f>
        <v>#VALUE!</v>
      </c>
      <c r="BJ260" s="82"/>
      <c r="BK260" s="82" t="str">
        <f t="shared" si="32"/>
        <v>PL10</v>
      </c>
      <c r="BL260" s="53" t="str">
        <f t="shared" si="33"/>
        <v/>
      </c>
      <c r="BM260" s="53" t="s">
        <v>154</v>
      </c>
      <c r="BN260" s="53" t="s">
        <v>1004</v>
      </c>
      <c r="BO260" s="53" t="s">
        <v>1005</v>
      </c>
      <c r="BP260" s="84" t="s">
        <v>2156</v>
      </c>
      <c r="BQ260" s="53">
        <v>4</v>
      </c>
      <c r="BR260" s="83">
        <v>46302</v>
      </c>
      <c r="BS260" s="53"/>
      <c r="BT260" s="53"/>
      <c r="BU260" s="238"/>
    </row>
    <row r="261" spans="3:73" ht="14.25" hidden="1" customHeight="1">
      <c r="C261" s="82" t="s">
        <v>13</v>
      </c>
      <c r="D261" s="82" t="s">
        <v>1388</v>
      </c>
      <c r="E261" s="82" t="s">
        <v>1316</v>
      </c>
      <c r="F261" s="82" t="s">
        <v>1296</v>
      </c>
      <c r="G261" s="82">
        <v>2308</v>
      </c>
      <c r="H261" s="82" t="s">
        <v>147</v>
      </c>
      <c r="I261" s="82">
        <v>2</v>
      </c>
      <c r="J261" s="82">
        <v>45.5</v>
      </c>
      <c r="K261" s="82">
        <v>91</v>
      </c>
      <c r="L261" s="26">
        <f t="shared" si="31"/>
        <v>1</v>
      </c>
      <c r="M261" s="26">
        <f t="shared" si="22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>
        <v>1</v>
      </c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67" t="e">
        <f>SUMIFS([1]Up!$J:$J,[1]Up!$D:$D,D261)</f>
        <v>#VALUE!</v>
      </c>
      <c r="BJ261" s="82"/>
      <c r="BK261" s="82" t="str">
        <f t="shared" si="32"/>
        <v>PL20</v>
      </c>
      <c r="BL261" s="53" t="str">
        <f t="shared" si="33"/>
        <v/>
      </c>
      <c r="BM261" s="53" t="s">
        <v>148</v>
      </c>
      <c r="BN261" s="53" t="s">
        <v>1099</v>
      </c>
      <c r="BO261" s="53" t="s">
        <v>1100</v>
      </c>
      <c r="BP261" s="84" t="s">
        <v>2164</v>
      </c>
      <c r="BQ261" s="53">
        <v>4</v>
      </c>
      <c r="BR261" s="83">
        <v>46242</v>
      </c>
      <c r="BS261" s="53"/>
      <c r="BT261" s="53"/>
      <c r="BU261" s="238"/>
    </row>
    <row r="262" spans="3:73" ht="14.25" hidden="1" customHeight="1">
      <c r="C262" s="82" t="s">
        <v>13</v>
      </c>
      <c r="D262" s="82" t="s">
        <v>1389</v>
      </c>
      <c r="E262" s="82" t="s">
        <v>1335</v>
      </c>
      <c r="F262" s="82" t="s">
        <v>1296</v>
      </c>
      <c r="G262" s="82">
        <v>2365</v>
      </c>
      <c r="H262" s="82" t="s">
        <v>147</v>
      </c>
      <c r="I262" s="82">
        <v>8</v>
      </c>
      <c r="J262" s="82">
        <v>62.7</v>
      </c>
      <c r="K262" s="82">
        <v>501.6</v>
      </c>
      <c r="L262" s="26">
        <f t="shared" si="31"/>
        <v>8</v>
      </c>
      <c r="M262" s="26">
        <f t="shared" si="22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>
        <v>8</v>
      </c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>
        <v>8</v>
      </c>
      <c r="BF262" s="26"/>
      <c r="BG262" s="26"/>
      <c r="BH262" s="26"/>
      <c r="BI262" s="67" t="e">
        <f>SUMIFS([1]Up!$J:$J,[1]Up!$D:$D,D262)</f>
        <v>#VALUE!</v>
      </c>
      <c r="BJ262" s="82"/>
      <c r="BK262" s="82" t="str">
        <f t="shared" si="32"/>
        <v>PL20</v>
      </c>
      <c r="BL262" s="53" t="str">
        <f t="shared" si="33"/>
        <v>Thừa 8</v>
      </c>
      <c r="BM262" s="53" t="s">
        <v>148</v>
      </c>
      <c r="BN262" s="53" t="s">
        <v>1020</v>
      </c>
      <c r="BO262" s="53" t="s">
        <v>1021</v>
      </c>
      <c r="BP262" s="84" t="s">
        <v>2166</v>
      </c>
      <c r="BQ262" s="53">
        <v>16</v>
      </c>
      <c r="BR262" s="83" t="s">
        <v>2226</v>
      </c>
      <c r="BS262" s="53"/>
      <c r="BT262" s="53"/>
    </row>
    <row r="263" spans="3:73" ht="14.25" hidden="1" customHeight="1">
      <c r="C263" s="82" t="s">
        <v>13</v>
      </c>
      <c r="D263" s="82" t="s">
        <v>1390</v>
      </c>
      <c r="E263" s="82" t="s">
        <v>1096</v>
      </c>
      <c r="F263" s="82" t="s">
        <v>1296</v>
      </c>
      <c r="G263" s="82">
        <v>536</v>
      </c>
      <c r="H263" s="82" t="s">
        <v>147</v>
      </c>
      <c r="I263" s="82">
        <v>2</v>
      </c>
      <c r="J263" s="82">
        <v>7.5</v>
      </c>
      <c r="K263" s="82">
        <v>15</v>
      </c>
      <c r="L263" s="26">
        <f t="shared" si="31"/>
        <v>1</v>
      </c>
      <c r="M263" s="26">
        <f t="shared" si="22"/>
        <v>1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>
        <v>1</v>
      </c>
      <c r="BA263" s="26"/>
      <c r="BB263" s="26"/>
      <c r="BC263" s="26"/>
      <c r="BD263" s="26"/>
      <c r="BE263" s="26"/>
      <c r="BF263" s="26"/>
      <c r="BG263" s="26"/>
      <c r="BH263" s="26"/>
      <c r="BI263" s="67" t="e">
        <f>SUMIFS([1]Up!$J:$J,[1]Up!$D:$D,D263)</f>
        <v>#VALUE!</v>
      </c>
      <c r="BJ263" s="82"/>
      <c r="BK263" s="82" t="str">
        <f t="shared" si="32"/>
        <v>PL10</v>
      </c>
      <c r="BL263" s="53" t="str">
        <f t="shared" si="33"/>
        <v/>
      </c>
      <c r="BM263" s="53" t="s">
        <v>154</v>
      </c>
      <c r="BN263" s="53" t="s">
        <v>1004</v>
      </c>
      <c r="BO263" s="53" t="s">
        <v>1005</v>
      </c>
      <c r="BP263" s="84" t="s">
        <v>2156</v>
      </c>
      <c r="BQ263" s="53">
        <v>4</v>
      </c>
      <c r="BR263" s="83">
        <v>46302</v>
      </c>
      <c r="BS263" s="53"/>
      <c r="BT263" s="53"/>
      <c r="BU263" s="238"/>
    </row>
    <row r="264" spans="3:73" ht="14.25" hidden="1" customHeight="1">
      <c r="C264" s="82" t="s">
        <v>13</v>
      </c>
      <c r="D264" s="82" t="s">
        <v>1391</v>
      </c>
      <c r="E264" s="82" t="s">
        <v>1293</v>
      </c>
      <c r="F264" s="82" t="s">
        <v>1084</v>
      </c>
      <c r="G264" s="82">
        <v>8216</v>
      </c>
      <c r="H264" s="82" t="s">
        <v>147</v>
      </c>
      <c r="I264" s="82">
        <v>2</v>
      </c>
      <c r="J264" s="82">
        <v>1830.9</v>
      </c>
      <c r="K264" s="82">
        <v>3661.8</v>
      </c>
      <c r="L264" s="26">
        <f t="shared" si="31"/>
        <v>2</v>
      </c>
      <c r="M264" s="26">
        <f t="shared" si="22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>
        <f>2+1</f>
        <v>3</v>
      </c>
      <c r="AO264" s="26"/>
      <c r="AP264" s="26">
        <v>1</v>
      </c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67" t="e">
        <f>SUMIFS([1]Up!$J:$J,[1]Up!$D:$D,D264)</f>
        <v>#VALUE!</v>
      </c>
      <c r="BJ264" s="82" t="s">
        <v>2246</v>
      </c>
      <c r="BK264" s="82" t="str">
        <f t="shared" si="32"/>
        <v>PL12</v>
      </c>
      <c r="BL264" s="53" t="str">
        <f t="shared" si="33"/>
        <v>Thừa 2</v>
      </c>
      <c r="BM264" s="53" t="s">
        <v>154</v>
      </c>
      <c r="BN264" s="53" t="s">
        <v>1020</v>
      </c>
      <c r="BO264" s="53" t="s">
        <v>1021</v>
      </c>
      <c r="BP264" s="53" t="s">
        <v>57</v>
      </c>
      <c r="BQ264" s="53">
        <v>4</v>
      </c>
      <c r="BR264" s="83"/>
      <c r="BS264" s="53"/>
      <c r="BT264" s="53"/>
    </row>
    <row r="265" spans="3:73" ht="14.25" hidden="1" customHeight="1">
      <c r="C265" s="82" t="s">
        <v>13</v>
      </c>
      <c r="D265" s="82" t="s">
        <v>1392</v>
      </c>
      <c r="E265" s="82" t="s">
        <v>1329</v>
      </c>
      <c r="F265" s="82" t="s">
        <v>1296</v>
      </c>
      <c r="G265" s="82">
        <v>784</v>
      </c>
      <c r="H265" s="82" t="s">
        <v>147</v>
      </c>
      <c r="I265" s="82">
        <v>2</v>
      </c>
      <c r="J265" s="82">
        <v>21.8</v>
      </c>
      <c r="K265" s="82">
        <v>43.6</v>
      </c>
      <c r="L265" s="26">
        <f t="shared" si="31"/>
        <v>2</v>
      </c>
      <c r="M265" s="26">
        <f t="shared" si="22"/>
        <v>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>
        <v>1</v>
      </c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>
        <v>1</v>
      </c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67" t="e">
        <f>SUMIFS([1]Up!$J:$J,[1]Up!$D:$D,D265)</f>
        <v>#VALUE!</v>
      </c>
      <c r="BJ265" s="82"/>
      <c r="BK265" s="82" t="str">
        <f t="shared" si="32"/>
        <v>PL15</v>
      </c>
      <c r="BL265" s="53" t="str">
        <f t="shared" si="33"/>
        <v/>
      </c>
      <c r="BM265" s="53" t="s">
        <v>148</v>
      </c>
      <c r="BN265" s="53" t="s">
        <v>1093</v>
      </c>
      <c r="BO265" s="53" t="s">
        <v>1094</v>
      </c>
      <c r="BP265" s="84" t="s">
        <v>2155</v>
      </c>
      <c r="BQ265" s="53">
        <v>4</v>
      </c>
      <c r="BR265" s="83" t="s">
        <v>2224</v>
      </c>
      <c r="BS265" s="53"/>
      <c r="BT265" s="53"/>
      <c r="BU265" s="238"/>
    </row>
    <row r="266" spans="3:73" ht="14.25" hidden="1" customHeight="1">
      <c r="C266" s="82" t="s">
        <v>11</v>
      </c>
      <c r="D266" s="82" t="s">
        <v>1393</v>
      </c>
      <c r="E266" s="82" t="s">
        <v>1075</v>
      </c>
      <c r="F266" s="82" t="s">
        <v>1076</v>
      </c>
      <c r="G266" s="82">
        <v>812</v>
      </c>
      <c r="H266" s="82" t="s">
        <v>1077</v>
      </c>
      <c r="I266" s="82">
        <v>6</v>
      </c>
      <c r="J266" s="82">
        <v>13.05696</v>
      </c>
      <c r="K266" s="82">
        <v>78.341759999999994</v>
      </c>
      <c r="L266" s="26">
        <f t="shared" si="31"/>
        <v>6</v>
      </c>
      <c r="M266" s="26">
        <f t="shared" si="22"/>
        <v>0</v>
      </c>
      <c r="N266" s="26"/>
      <c r="O266" s="26"/>
      <c r="P266" s="26"/>
      <c r="Q266" s="26"/>
      <c r="R266" s="26"/>
      <c r="S266" s="26">
        <v>6</v>
      </c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67" t="e">
        <f>SUMIFS([1]Up!$J:$J,[1]Up!$D:$D,D266)</f>
        <v>#VALUE!</v>
      </c>
      <c r="BJ266" s="82"/>
      <c r="BK266" s="82" t="str">
        <f t="shared" si="32"/>
        <v/>
      </c>
      <c r="BL266" s="53" t="str">
        <f t="shared" si="33"/>
        <v/>
      </c>
      <c r="BM266" s="53" t="s">
        <v>148</v>
      </c>
      <c r="BN266" s="53" t="s">
        <v>1078</v>
      </c>
      <c r="BO266" s="53" t="s">
        <v>1075</v>
      </c>
      <c r="BP266" s="53" t="s">
        <v>1289</v>
      </c>
      <c r="BQ266" s="53">
        <v>6</v>
      </c>
      <c r="BR266" s="83">
        <v>46362</v>
      </c>
      <c r="BS266" s="53"/>
      <c r="BT266" s="53"/>
    </row>
    <row r="267" spans="3:73" ht="14.25" hidden="1" customHeight="1">
      <c r="C267" s="82" t="s">
        <v>13</v>
      </c>
      <c r="D267" s="82" t="s">
        <v>1394</v>
      </c>
      <c r="E267" s="82" t="s">
        <v>1395</v>
      </c>
      <c r="F267" s="82" t="s">
        <v>1084</v>
      </c>
      <c r="G267" s="82">
        <v>4023</v>
      </c>
      <c r="H267" s="82" t="s">
        <v>147</v>
      </c>
      <c r="I267" s="82">
        <v>2</v>
      </c>
      <c r="J267" s="82">
        <v>182.2</v>
      </c>
      <c r="K267" s="82">
        <v>364.4</v>
      </c>
      <c r="L267" s="26">
        <f t="shared" si="31"/>
        <v>2</v>
      </c>
      <c r="M267" s="26">
        <f t="shared" si="22"/>
        <v>0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>
        <v>2</v>
      </c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67" t="e">
        <f>SUMIFS([1]Up!$J:$J,[1]Up!$D:$D,D267)</f>
        <v>#VALUE!</v>
      </c>
      <c r="BJ267" s="82" t="s">
        <v>2073</v>
      </c>
      <c r="BK267" s="82" t="str">
        <f t="shared" si="32"/>
        <v>PL12</v>
      </c>
      <c r="BL267" s="53" t="str">
        <f t="shared" si="33"/>
        <v/>
      </c>
      <c r="BM267" s="53" t="s">
        <v>154</v>
      </c>
      <c r="BN267" s="53" t="s">
        <v>1020</v>
      </c>
      <c r="BO267" s="53" t="s">
        <v>1021</v>
      </c>
      <c r="BP267" s="53" t="s">
        <v>57</v>
      </c>
      <c r="BQ267" s="53">
        <v>2</v>
      </c>
      <c r="BR267" s="83"/>
      <c r="BS267" s="53"/>
      <c r="BT267" s="53"/>
    </row>
    <row r="268" spans="3:73" ht="14.25" hidden="1" customHeight="1">
      <c r="C268" s="82" t="s">
        <v>13</v>
      </c>
      <c r="D268" s="82" t="s">
        <v>1396</v>
      </c>
      <c r="E268" s="82" t="s">
        <v>1397</v>
      </c>
      <c r="F268" s="82" t="s">
        <v>1084</v>
      </c>
      <c r="G268" s="82">
        <v>1930</v>
      </c>
      <c r="H268" s="82" t="s">
        <v>147</v>
      </c>
      <c r="I268" s="82">
        <v>1</v>
      </c>
      <c r="J268" s="82">
        <v>98</v>
      </c>
      <c r="K268" s="82">
        <v>98</v>
      </c>
      <c r="L268" s="26">
        <f t="shared" si="31"/>
        <v>1</v>
      </c>
      <c r="M268" s="26">
        <f t="shared" si="22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>
        <v>1</v>
      </c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67" t="e">
        <f>SUMIFS([1]Up!$J:$J,[1]Up!$D:$D,D268)</f>
        <v>#VALUE!</v>
      </c>
      <c r="BJ268" s="82"/>
      <c r="BK268" s="82" t="str">
        <f t="shared" si="32"/>
        <v>PL12</v>
      </c>
      <c r="BL268" s="53" t="str">
        <f t="shared" si="33"/>
        <v/>
      </c>
      <c r="BM268" s="53" t="s">
        <v>154</v>
      </c>
      <c r="BN268" s="53" t="s">
        <v>1020</v>
      </c>
      <c r="BO268" s="53" t="s">
        <v>1021</v>
      </c>
      <c r="BP268" s="53" t="s">
        <v>1398</v>
      </c>
      <c r="BQ268" s="53">
        <v>2</v>
      </c>
      <c r="BR268" s="83" t="s">
        <v>2222</v>
      </c>
      <c r="BS268" s="53"/>
      <c r="BT268" s="53"/>
    </row>
    <row r="269" spans="3:73" ht="14.25" hidden="1" customHeight="1">
      <c r="C269" s="82" t="s">
        <v>13</v>
      </c>
      <c r="D269" s="82" t="s">
        <v>1399</v>
      </c>
      <c r="E269" s="82" t="s">
        <v>1397</v>
      </c>
      <c r="F269" s="82" t="s">
        <v>1084</v>
      </c>
      <c r="G269" s="82">
        <v>1930</v>
      </c>
      <c r="H269" s="82" t="s">
        <v>147</v>
      </c>
      <c r="I269" s="82">
        <v>1</v>
      </c>
      <c r="J269" s="82">
        <v>98</v>
      </c>
      <c r="K269" s="82">
        <v>98</v>
      </c>
      <c r="L269" s="26">
        <f t="shared" si="31"/>
        <v>1</v>
      </c>
      <c r="M269" s="26">
        <f t="shared" si="22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>
        <v>1</v>
      </c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67" t="e">
        <f>SUMIFS([1]Up!$J:$J,[1]Up!$D:$D,D269)</f>
        <v>#VALUE!</v>
      </c>
      <c r="BJ269" s="82"/>
      <c r="BK269" s="82" t="str">
        <f t="shared" si="32"/>
        <v>PL12</v>
      </c>
      <c r="BL269" s="53" t="str">
        <f t="shared" si="33"/>
        <v/>
      </c>
      <c r="BM269" s="53" t="s">
        <v>154</v>
      </c>
      <c r="BN269" s="53" t="s">
        <v>1020</v>
      </c>
      <c r="BO269" s="53" t="s">
        <v>1021</v>
      </c>
      <c r="BP269" s="53"/>
      <c r="BQ269" s="53"/>
      <c r="BR269" s="83"/>
      <c r="BS269" s="53"/>
      <c r="BT269" s="53"/>
    </row>
    <row r="270" spans="3:73" ht="14.25" hidden="1" customHeight="1">
      <c r="C270" s="82" t="s">
        <v>13</v>
      </c>
      <c r="D270" s="82" t="s">
        <v>1400</v>
      </c>
      <c r="E270" s="82" t="s">
        <v>1397</v>
      </c>
      <c r="F270" s="82" t="s">
        <v>1084</v>
      </c>
      <c r="G270" s="82">
        <v>5608</v>
      </c>
      <c r="H270" s="82" t="s">
        <v>147</v>
      </c>
      <c r="I270" s="82">
        <v>1</v>
      </c>
      <c r="J270" s="82">
        <v>326.2</v>
      </c>
      <c r="K270" s="82">
        <v>326.2</v>
      </c>
      <c r="L270" s="26">
        <f t="shared" si="31"/>
        <v>1</v>
      </c>
      <c r="M270" s="26">
        <f t="shared" si="22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>
        <v>2</v>
      </c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67" t="e">
        <f>SUMIFS([1]Up!$J:$J,[1]Up!$D:$D,D270)</f>
        <v>#VALUE!</v>
      </c>
      <c r="BJ270" s="82" t="s">
        <v>2073</v>
      </c>
      <c r="BK270" s="82" t="str">
        <f t="shared" si="32"/>
        <v>PL12</v>
      </c>
      <c r="BL270" s="53" t="str">
        <f t="shared" si="33"/>
        <v>Thừa 1</v>
      </c>
      <c r="BM270" s="53" t="s">
        <v>154</v>
      </c>
      <c r="BN270" s="53" t="s">
        <v>1020</v>
      </c>
      <c r="BO270" s="53" t="s">
        <v>1021</v>
      </c>
      <c r="BP270" s="53" t="s">
        <v>57</v>
      </c>
      <c r="BQ270" s="53">
        <v>1</v>
      </c>
      <c r="BR270" s="83"/>
      <c r="BS270" s="53"/>
      <c r="BT270" s="53"/>
    </row>
    <row r="271" spans="3:73" ht="14.25" hidden="1" customHeight="1">
      <c r="C271" s="82" t="s">
        <v>13</v>
      </c>
      <c r="D271" s="82" t="s">
        <v>1401</v>
      </c>
      <c r="E271" s="82" t="s">
        <v>1397</v>
      </c>
      <c r="F271" s="82" t="s">
        <v>1084</v>
      </c>
      <c r="G271" s="82">
        <v>5608</v>
      </c>
      <c r="H271" s="82" t="s">
        <v>147</v>
      </c>
      <c r="I271" s="82">
        <v>1</v>
      </c>
      <c r="J271" s="82">
        <v>326.2</v>
      </c>
      <c r="K271" s="82">
        <v>326.2</v>
      </c>
      <c r="L271" s="26">
        <f t="shared" si="31"/>
        <v>1</v>
      </c>
      <c r="M271" s="26">
        <f t="shared" si="22"/>
        <v>0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>
        <v>2</v>
      </c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67" t="e">
        <f>SUMIFS([1]Up!$J:$J,[1]Up!$D:$D,D271)</f>
        <v>#VALUE!</v>
      </c>
      <c r="BJ271" s="82" t="s">
        <v>2073</v>
      </c>
      <c r="BK271" s="82" t="str">
        <f t="shared" si="32"/>
        <v>PL12</v>
      </c>
      <c r="BL271" s="53" t="str">
        <f t="shared" si="33"/>
        <v>Thừa 1</v>
      </c>
      <c r="BM271" s="53" t="s">
        <v>154</v>
      </c>
      <c r="BN271" s="53" t="s">
        <v>1020</v>
      </c>
      <c r="BO271" s="53" t="s">
        <v>1021</v>
      </c>
      <c r="BP271" s="53" t="s">
        <v>57</v>
      </c>
      <c r="BQ271" s="53">
        <v>1</v>
      </c>
      <c r="BR271" s="83"/>
      <c r="BS271" s="53"/>
      <c r="BT271" s="53"/>
    </row>
    <row r="272" spans="3:73" ht="14.25" hidden="1" customHeight="1">
      <c r="C272" s="82" t="s">
        <v>13</v>
      </c>
      <c r="D272" s="82" t="s">
        <v>1402</v>
      </c>
      <c r="E272" s="82" t="s">
        <v>1157</v>
      </c>
      <c r="F272" s="82" t="s">
        <v>1296</v>
      </c>
      <c r="G272" s="82">
        <v>11521</v>
      </c>
      <c r="H272" s="82" t="s">
        <v>147</v>
      </c>
      <c r="I272" s="82">
        <v>2</v>
      </c>
      <c r="J272" s="82">
        <v>434.1</v>
      </c>
      <c r="K272" s="82">
        <v>868.2</v>
      </c>
      <c r="L272" s="26">
        <f t="shared" si="31"/>
        <v>2</v>
      </c>
      <c r="M272" s="26">
        <f t="shared" si="22"/>
        <v>0</v>
      </c>
      <c r="N272" s="26"/>
      <c r="O272" s="26"/>
      <c r="P272" s="26"/>
      <c r="Q272" s="26"/>
      <c r="R272" s="26">
        <v>2</v>
      </c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67" t="e">
        <f>SUMIFS([1]Up!$J:$J,[1]Up!$D:$D,D272)</f>
        <v>#VALUE!</v>
      </c>
      <c r="BJ272" s="82"/>
      <c r="BK272" s="82" t="str">
        <f t="shared" si="32"/>
        <v>PL15</v>
      </c>
      <c r="BL272" s="53" t="str">
        <f t="shared" si="33"/>
        <v/>
      </c>
      <c r="BM272" s="53" t="s">
        <v>148</v>
      </c>
      <c r="BN272" s="53" t="s">
        <v>1093</v>
      </c>
      <c r="BO272" s="53" t="s">
        <v>1094</v>
      </c>
      <c r="BP272" s="53" t="s">
        <v>1303</v>
      </c>
      <c r="BQ272" s="53">
        <v>2</v>
      </c>
      <c r="BR272" s="83">
        <v>46088</v>
      </c>
      <c r="BS272" s="53"/>
      <c r="BT272" s="53"/>
    </row>
    <row r="273" spans="3:72" ht="14.25" hidden="1" customHeight="1">
      <c r="C273" s="82" t="s">
        <v>13</v>
      </c>
      <c r="D273" s="82" t="s">
        <v>1403</v>
      </c>
      <c r="E273" s="82" t="s">
        <v>1163</v>
      </c>
      <c r="F273" s="82" t="s">
        <v>1296</v>
      </c>
      <c r="G273" s="82">
        <v>400</v>
      </c>
      <c r="H273" s="82" t="s">
        <v>147</v>
      </c>
      <c r="I273" s="82">
        <v>6</v>
      </c>
      <c r="J273" s="82">
        <v>4.5</v>
      </c>
      <c r="K273" s="82">
        <v>27</v>
      </c>
      <c r="L273" s="26">
        <f t="shared" si="31"/>
        <v>6</v>
      </c>
      <c r="M273" s="26">
        <f t="shared" si="22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>
        <v>6</v>
      </c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67" t="e">
        <f>SUMIFS([1]Up!$J:$J,[1]Up!$D:$D,D273)</f>
        <v>#VALUE!</v>
      </c>
      <c r="BJ273" s="82"/>
      <c r="BK273" s="82" t="str">
        <f t="shared" si="32"/>
        <v>PL16</v>
      </c>
      <c r="BL273" s="53" t="str">
        <f t="shared" si="33"/>
        <v/>
      </c>
      <c r="BM273" s="53" t="s">
        <v>148</v>
      </c>
      <c r="BN273" s="53" t="s">
        <v>987</v>
      </c>
      <c r="BO273" s="53" t="s">
        <v>988</v>
      </c>
      <c r="BP273" s="53" t="s">
        <v>989</v>
      </c>
      <c r="BQ273" s="53">
        <v>6</v>
      </c>
      <c r="BR273" s="83" t="s">
        <v>2222</v>
      </c>
      <c r="BS273" s="53"/>
      <c r="BT273" s="53"/>
    </row>
    <row r="274" spans="3:72" ht="14.25" hidden="1" customHeight="1">
      <c r="C274" s="82" t="s">
        <v>13</v>
      </c>
      <c r="D274" s="82" t="s">
        <v>1404</v>
      </c>
      <c r="E274" s="82" t="s">
        <v>1090</v>
      </c>
      <c r="F274" s="82" t="s">
        <v>1296</v>
      </c>
      <c r="G274" s="82">
        <v>460</v>
      </c>
      <c r="H274" s="82" t="s">
        <v>147</v>
      </c>
      <c r="I274" s="82">
        <v>6</v>
      </c>
      <c r="J274" s="82">
        <v>5.5</v>
      </c>
      <c r="K274" s="82">
        <v>33</v>
      </c>
      <c r="L274" s="26">
        <f t="shared" si="31"/>
        <v>6</v>
      </c>
      <c r="M274" s="26">
        <f t="shared" si="22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>
        <v>6</v>
      </c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67" t="e">
        <f>SUMIFS([1]Up!$J:$J,[1]Up!$D:$D,D274)</f>
        <v>#VALUE!</v>
      </c>
      <c r="BJ274" s="82"/>
      <c r="BK274" s="82" t="str">
        <f t="shared" si="32"/>
        <v>PL16</v>
      </c>
      <c r="BL274" s="53" t="str">
        <f t="shared" si="33"/>
        <v/>
      </c>
      <c r="BM274" s="53" t="s">
        <v>148</v>
      </c>
      <c r="BN274" s="53" t="s">
        <v>987</v>
      </c>
      <c r="BO274" s="53" t="s">
        <v>988</v>
      </c>
      <c r="BP274" s="53" t="s">
        <v>989</v>
      </c>
      <c r="BQ274" s="53">
        <v>6</v>
      </c>
      <c r="BR274" s="83" t="s">
        <v>2222</v>
      </c>
      <c r="BS274" s="53"/>
      <c r="BT274" s="53"/>
    </row>
    <row r="275" spans="3:72" ht="14.25" hidden="1" customHeight="1">
      <c r="C275" s="82" t="s">
        <v>13</v>
      </c>
      <c r="D275" s="82" t="s">
        <v>1405</v>
      </c>
      <c r="E275" s="82" t="s">
        <v>1406</v>
      </c>
      <c r="F275" s="82" t="s">
        <v>1296</v>
      </c>
      <c r="G275" s="82">
        <v>506</v>
      </c>
      <c r="H275" s="82" t="s">
        <v>147</v>
      </c>
      <c r="I275" s="82">
        <v>6</v>
      </c>
      <c r="J275" s="82">
        <v>6.5</v>
      </c>
      <c r="K275" s="82">
        <v>39</v>
      </c>
      <c r="L275" s="26">
        <f t="shared" si="31"/>
        <v>6</v>
      </c>
      <c r="M275" s="26">
        <f t="shared" si="22"/>
        <v>0</v>
      </c>
      <c r="N275" s="26"/>
      <c r="O275" s="26">
        <v>6</v>
      </c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67" t="e">
        <f>SUMIFS([1]Up!$J:$J,[1]Up!$D:$D,D275)</f>
        <v>#VALUE!</v>
      </c>
      <c r="BJ275" s="82"/>
      <c r="BK275" s="82" t="str">
        <f t="shared" si="32"/>
        <v>PL12</v>
      </c>
      <c r="BL275" s="53" t="str">
        <f t="shared" si="33"/>
        <v/>
      </c>
      <c r="BM275" s="53" t="s">
        <v>148</v>
      </c>
      <c r="BN275" s="53" t="s">
        <v>1020</v>
      </c>
      <c r="BO275" s="53" t="s">
        <v>1021</v>
      </c>
      <c r="BP275" s="53" t="s">
        <v>1022</v>
      </c>
      <c r="BQ275" s="53">
        <v>6</v>
      </c>
      <c r="BR275" s="83">
        <v>46088</v>
      </c>
      <c r="BS275" s="53"/>
      <c r="BT275" s="53"/>
    </row>
    <row r="276" spans="3:72" ht="14.25" hidden="1" customHeight="1">
      <c r="C276" s="82" t="s">
        <v>13</v>
      </c>
      <c r="D276" s="82" t="s">
        <v>1407</v>
      </c>
      <c r="E276" s="82" t="s">
        <v>1408</v>
      </c>
      <c r="F276" s="82" t="s">
        <v>1296</v>
      </c>
      <c r="G276" s="82">
        <v>645</v>
      </c>
      <c r="H276" s="82" t="s">
        <v>147</v>
      </c>
      <c r="I276" s="82">
        <v>6</v>
      </c>
      <c r="J276" s="82">
        <v>9.6</v>
      </c>
      <c r="K276" s="82">
        <v>57.599999999999994</v>
      </c>
      <c r="L276" s="26">
        <f t="shared" si="31"/>
        <v>6</v>
      </c>
      <c r="M276" s="26">
        <f t="shared" si="22"/>
        <v>0</v>
      </c>
      <c r="N276" s="26"/>
      <c r="O276" s="26">
        <v>6</v>
      </c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67" t="e">
        <f>SUMIFS([1]Up!$J:$J,[1]Up!$D:$D,D276)</f>
        <v>#VALUE!</v>
      </c>
      <c r="BJ276" s="82"/>
      <c r="BK276" s="82" t="str">
        <f t="shared" si="32"/>
        <v>PL12</v>
      </c>
      <c r="BL276" s="53" t="str">
        <f t="shared" si="33"/>
        <v/>
      </c>
      <c r="BM276" s="53" t="s">
        <v>148</v>
      </c>
      <c r="BN276" s="53" t="s">
        <v>1020</v>
      </c>
      <c r="BO276" s="53" t="s">
        <v>1021</v>
      </c>
      <c r="BP276" s="53" t="s">
        <v>1022</v>
      </c>
      <c r="BQ276" s="53">
        <v>6</v>
      </c>
      <c r="BR276" s="83">
        <v>46088</v>
      </c>
      <c r="BS276" s="53"/>
      <c r="BT276" s="53"/>
    </row>
    <row r="277" spans="3:72" ht="14.25" hidden="1" customHeight="1">
      <c r="C277" s="82" t="s">
        <v>13</v>
      </c>
      <c r="D277" s="82" t="s">
        <v>1409</v>
      </c>
      <c r="E277" s="82" t="s">
        <v>1410</v>
      </c>
      <c r="F277" s="82" t="s">
        <v>1084</v>
      </c>
      <c r="G277" s="82">
        <v>2635</v>
      </c>
      <c r="H277" s="82" t="s">
        <v>147</v>
      </c>
      <c r="I277" s="82">
        <v>1</v>
      </c>
      <c r="J277" s="82">
        <v>441.5</v>
      </c>
      <c r="K277" s="82">
        <v>441.5</v>
      </c>
      <c r="L277" s="26">
        <f t="shared" si="31"/>
        <v>1</v>
      </c>
      <c r="M277" s="26">
        <f t="shared" si="22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>
        <v>1</v>
      </c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67" t="e">
        <f>SUMIFS([1]Up!$J:$J,[1]Up!$D:$D,D277)</f>
        <v>#VALUE!</v>
      </c>
      <c r="BJ277" s="82"/>
      <c r="BK277" s="82" t="str">
        <f t="shared" si="32"/>
        <v>PL12</v>
      </c>
      <c r="BL277" s="53" t="str">
        <f t="shared" si="33"/>
        <v/>
      </c>
      <c r="BM277" s="53" t="s">
        <v>154</v>
      </c>
      <c r="BN277" s="53" t="s">
        <v>1020</v>
      </c>
      <c r="BO277" s="53" t="s">
        <v>1021</v>
      </c>
      <c r="BP277" s="53" t="s">
        <v>1398</v>
      </c>
      <c r="BQ277" s="53">
        <v>1</v>
      </c>
      <c r="BR277" s="83" t="s">
        <v>2222</v>
      </c>
      <c r="BS277" s="53"/>
      <c r="BT277" s="53"/>
    </row>
    <row r="278" spans="3:72" ht="14.25" hidden="1" customHeight="1">
      <c r="C278" s="82" t="s">
        <v>13</v>
      </c>
      <c r="D278" s="82" t="s">
        <v>1411</v>
      </c>
      <c r="E278" s="82" t="s">
        <v>1412</v>
      </c>
      <c r="F278" s="82" t="s">
        <v>1084</v>
      </c>
      <c r="G278" s="82">
        <v>5608</v>
      </c>
      <c r="H278" s="82" t="s">
        <v>147</v>
      </c>
      <c r="I278" s="82">
        <v>1</v>
      </c>
      <c r="J278" s="82">
        <v>1388.4</v>
      </c>
      <c r="K278" s="82">
        <v>1388.4</v>
      </c>
      <c r="L278" s="26">
        <f t="shared" si="31"/>
        <v>1</v>
      </c>
      <c r="M278" s="26">
        <f t="shared" si="22"/>
        <v>0</v>
      </c>
      <c r="N278" s="26"/>
      <c r="O278" s="26"/>
      <c r="P278" s="26">
        <v>3</v>
      </c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67" t="e">
        <f>SUMIFS([1]Up!$J:$J,[1]Up!$D:$D,D278)</f>
        <v>#VALUE!</v>
      </c>
      <c r="BJ278" s="82" t="s">
        <v>2071</v>
      </c>
      <c r="BK278" s="82" t="str">
        <f t="shared" si="32"/>
        <v>PL12</v>
      </c>
      <c r="BL278" s="53" t="str">
        <f t="shared" si="33"/>
        <v>Thừa 2</v>
      </c>
      <c r="BM278" s="53" t="s">
        <v>154</v>
      </c>
      <c r="BN278" s="53" t="s">
        <v>1020</v>
      </c>
      <c r="BO278" s="53" t="s">
        <v>1021</v>
      </c>
      <c r="BP278" s="53" t="s">
        <v>57</v>
      </c>
      <c r="BQ278" s="53">
        <v>1</v>
      </c>
      <c r="BR278" s="83"/>
      <c r="BS278" s="53"/>
      <c r="BT278" s="53"/>
    </row>
    <row r="279" spans="3:72" ht="14.25" hidden="1" customHeight="1">
      <c r="C279" s="82" t="s">
        <v>13</v>
      </c>
      <c r="D279" s="82" t="s">
        <v>1413</v>
      </c>
      <c r="E279" s="82" t="s">
        <v>1414</v>
      </c>
      <c r="F279" s="82" t="s">
        <v>1296</v>
      </c>
      <c r="G279" s="82">
        <v>2225</v>
      </c>
      <c r="H279" s="82" t="s">
        <v>147</v>
      </c>
      <c r="I279" s="82">
        <v>1</v>
      </c>
      <c r="J279" s="82">
        <v>31.8</v>
      </c>
      <c r="K279" s="82">
        <v>31.8</v>
      </c>
      <c r="L279" s="26">
        <f t="shared" si="31"/>
        <v>1</v>
      </c>
      <c r="M279" s="26">
        <f t="shared" si="22"/>
        <v>0</v>
      </c>
      <c r="N279" s="26"/>
      <c r="O279" s="26">
        <v>1</v>
      </c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67" t="e">
        <f>SUMIFS([1]Up!$J:$J,[1]Up!$D:$D,D279)</f>
        <v>#VALUE!</v>
      </c>
      <c r="BJ279" s="82"/>
      <c r="BK279" s="82" t="str">
        <f t="shared" si="32"/>
        <v>PL12</v>
      </c>
      <c r="BL279" s="53" t="str">
        <f t="shared" si="33"/>
        <v/>
      </c>
      <c r="BM279" s="53" t="s">
        <v>148</v>
      </c>
      <c r="BN279" s="53" t="s">
        <v>1020</v>
      </c>
      <c r="BO279" s="53" t="s">
        <v>1021</v>
      </c>
      <c r="BP279" s="53" t="s">
        <v>1022</v>
      </c>
      <c r="BQ279" s="53">
        <v>1</v>
      </c>
      <c r="BR279" s="83">
        <v>46088</v>
      </c>
      <c r="BS279" s="53"/>
      <c r="BT279" s="53"/>
    </row>
    <row r="280" spans="3:72" ht="14.25" hidden="1" customHeight="1">
      <c r="C280" s="82" t="s">
        <v>13</v>
      </c>
      <c r="D280" s="82" t="s">
        <v>1415</v>
      </c>
      <c r="E280" s="82" t="s">
        <v>1416</v>
      </c>
      <c r="F280" s="82" t="s">
        <v>1296</v>
      </c>
      <c r="G280" s="82">
        <v>2562</v>
      </c>
      <c r="H280" s="82" t="s">
        <v>147</v>
      </c>
      <c r="I280" s="82">
        <v>2</v>
      </c>
      <c r="J280" s="82">
        <v>41.9</v>
      </c>
      <c r="K280" s="82">
        <v>83.8</v>
      </c>
      <c r="L280" s="26">
        <f t="shared" si="31"/>
        <v>2</v>
      </c>
      <c r="M280" s="26">
        <f t="shared" si="22"/>
        <v>0</v>
      </c>
      <c r="N280" s="26"/>
      <c r="O280" s="26">
        <v>2</v>
      </c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67" t="e">
        <f>SUMIFS([1]Up!$J:$J,[1]Up!$D:$D,D280)</f>
        <v>#VALUE!</v>
      </c>
      <c r="BJ280" s="82"/>
      <c r="BK280" s="82" t="str">
        <f t="shared" si="32"/>
        <v>PL12</v>
      </c>
      <c r="BL280" s="53" t="str">
        <f t="shared" si="33"/>
        <v/>
      </c>
      <c r="BM280" s="53" t="s">
        <v>148</v>
      </c>
      <c r="BN280" s="53" t="s">
        <v>1020</v>
      </c>
      <c r="BO280" s="53" t="s">
        <v>1021</v>
      </c>
      <c r="BP280" s="53" t="s">
        <v>1022</v>
      </c>
      <c r="BQ280" s="53">
        <v>2</v>
      </c>
      <c r="BR280" s="83">
        <v>46088</v>
      </c>
      <c r="BS280" s="53"/>
      <c r="BT280" s="53"/>
    </row>
    <row r="281" spans="3:72" ht="14.25" hidden="1" customHeight="1">
      <c r="C281" s="82" t="s">
        <v>13</v>
      </c>
      <c r="D281" s="82" t="s">
        <v>1417</v>
      </c>
      <c r="E281" s="82" t="s">
        <v>1418</v>
      </c>
      <c r="F281" s="82" t="s">
        <v>1296</v>
      </c>
      <c r="G281" s="82">
        <v>1011</v>
      </c>
      <c r="H281" s="82" t="s">
        <v>147</v>
      </c>
      <c r="I281" s="82">
        <v>2</v>
      </c>
      <c r="J281" s="82">
        <v>12.8</v>
      </c>
      <c r="K281" s="82">
        <v>25.6</v>
      </c>
      <c r="L281" s="26">
        <f t="shared" si="31"/>
        <v>2</v>
      </c>
      <c r="M281" s="26">
        <f t="shared" si="22"/>
        <v>0</v>
      </c>
      <c r="N281" s="26"/>
      <c r="O281" s="26">
        <v>2</v>
      </c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67" t="e">
        <f>SUMIFS([1]Up!$J:$J,[1]Up!$D:$D,D281)</f>
        <v>#VALUE!</v>
      </c>
      <c r="BJ281" s="82"/>
      <c r="BK281" s="82" t="str">
        <f t="shared" si="32"/>
        <v>PL12</v>
      </c>
      <c r="BL281" s="53" t="str">
        <f t="shared" si="33"/>
        <v/>
      </c>
      <c r="BM281" s="53" t="s">
        <v>148</v>
      </c>
      <c r="BN281" s="53" t="s">
        <v>1020</v>
      </c>
      <c r="BO281" s="53" t="s">
        <v>1021</v>
      </c>
      <c r="BP281" s="53" t="s">
        <v>1022</v>
      </c>
      <c r="BQ281" s="53">
        <v>2</v>
      </c>
      <c r="BR281" s="83">
        <v>46088</v>
      </c>
      <c r="BS281" s="53"/>
      <c r="BT281" s="53"/>
    </row>
    <row r="282" spans="3:72" ht="14.25" hidden="1" customHeight="1">
      <c r="C282" s="82" t="s">
        <v>13</v>
      </c>
      <c r="D282" s="82" t="s">
        <v>1419</v>
      </c>
      <c r="E282" s="82" t="s">
        <v>1420</v>
      </c>
      <c r="F282" s="82" t="s">
        <v>1296</v>
      </c>
      <c r="G282" s="82">
        <v>951</v>
      </c>
      <c r="H282" s="82" t="s">
        <v>147</v>
      </c>
      <c r="I282" s="82">
        <v>2</v>
      </c>
      <c r="J282" s="82">
        <v>12</v>
      </c>
      <c r="K282" s="82">
        <v>24</v>
      </c>
      <c r="L282" s="26">
        <f t="shared" si="31"/>
        <v>2</v>
      </c>
      <c r="M282" s="26">
        <f t="shared" si="22"/>
        <v>0</v>
      </c>
      <c r="N282" s="26"/>
      <c r="O282" s="26">
        <v>2</v>
      </c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67" t="e">
        <f>SUMIFS([1]Up!$J:$J,[1]Up!$D:$D,D282)</f>
        <v>#VALUE!</v>
      </c>
      <c r="BJ282" s="82"/>
      <c r="BK282" s="82" t="str">
        <f t="shared" si="32"/>
        <v>PL12</v>
      </c>
      <c r="BL282" s="53" t="str">
        <f t="shared" si="33"/>
        <v/>
      </c>
      <c r="BM282" s="53" t="s">
        <v>148</v>
      </c>
      <c r="BN282" s="53" t="s">
        <v>1020</v>
      </c>
      <c r="BO282" s="53" t="s">
        <v>1021</v>
      </c>
      <c r="BP282" s="53" t="s">
        <v>1022</v>
      </c>
      <c r="BQ282" s="53">
        <v>2</v>
      </c>
      <c r="BR282" s="83">
        <v>46088</v>
      </c>
      <c r="BS282" s="53"/>
      <c r="BT282" s="53"/>
    </row>
    <row r="283" spans="3:72" ht="14.25" hidden="1" customHeight="1">
      <c r="C283" s="82" t="s">
        <v>13</v>
      </c>
      <c r="D283" s="82" t="s">
        <v>1421</v>
      </c>
      <c r="E283" s="82" t="s">
        <v>1422</v>
      </c>
      <c r="F283" s="82" t="s">
        <v>1296</v>
      </c>
      <c r="G283" s="82">
        <v>530</v>
      </c>
      <c r="H283" s="82" t="s">
        <v>147</v>
      </c>
      <c r="I283" s="82">
        <v>2</v>
      </c>
      <c r="J283" s="82">
        <v>14.5</v>
      </c>
      <c r="K283" s="82">
        <v>29</v>
      </c>
      <c r="L283" s="26">
        <f t="shared" si="31"/>
        <v>2</v>
      </c>
      <c r="M283" s="26">
        <f t="shared" si="22"/>
        <v>0</v>
      </c>
      <c r="N283" s="26"/>
      <c r="O283" s="26"/>
      <c r="P283" s="26"/>
      <c r="Q283" s="26"/>
      <c r="R283" s="26">
        <v>2</v>
      </c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67" t="e">
        <f>SUMIFS([1]Up!$J:$J,[1]Up!$D:$D,D283)</f>
        <v>#VALUE!</v>
      </c>
      <c r="BJ283" s="82"/>
      <c r="BK283" s="82" t="str">
        <f t="shared" si="32"/>
        <v>PL15</v>
      </c>
      <c r="BL283" s="53" t="str">
        <f t="shared" si="33"/>
        <v/>
      </c>
      <c r="BM283" s="53" t="s">
        <v>148</v>
      </c>
      <c r="BN283" s="53" t="s">
        <v>1093</v>
      </c>
      <c r="BO283" s="53" t="s">
        <v>1094</v>
      </c>
      <c r="BP283" s="53" t="s">
        <v>1303</v>
      </c>
      <c r="BQ283" s="53">
        <v>2</v>
      </c>
      <c r="BR283" s="83">
        <v>46088</v>
      </c>
      <c r="BS283" s="53"/>
      <c r="BT283" s="53"/>
    </row>
    <row r="284" spans="3:72" ht="14.25" hidden="1" customHeight="1">
      <c r="C284" s="82" t="s">
        <v>13</v>
      </c>
      <c r="D284" s="82" t="s">
        <v>1423</v>
      </c>
      <c r="E284" s="82" t="s">
        <v>1424</v>
      </c>
      <c r="F284" s="82" t="s">
        <v>1296</v>
      </c>
      <c r="G284" s="82">
        <v>1122</v>
      </c>
      <c r="H284" s="82" t="s">
        <v>147</v>
      </c>
      <c r="I284" s="82">
        <v>1</v>
      </c>
      <c r="J284" s="82">
        <v>16.2</v>
      </c>
      <c r="K284" s="82">
        <v>16.2</v>
      </c>
      <c r="L284" s="26">
        <f t="shared" si="31"/>
        <v>1</v>
      </c>
      <c r="M284" s="26">
        <f t="shared" si="22"/>
        <v>0</v>
      </c>
      <c r="N284" s="26"/>
      <c r="O284" s="26">
        <v>1</v>
      </c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67" t="e">
        <f>SUMIFS([1]Up!$J:$J,[1]Up!$D:$D,D284)</f>
        <v>#VALUE!</v>
      </c>
      <c r="BJ284" s="82"/>
      <c r="BK284" s="82" t="str">
        <f t="shared" si="32"/>
        <v>PL12</v>
      </c>
      <c r="BL284" s="53" t="str">
        <f t="shared" si="33"/>
        <v/>
      </c>
      <c r="BM284" s="53" t="s">
        <v>148</v>
      </c>
      <c r="BN284" s="53" t="s">
        <v>1020</v>
      </c>
      <c r="BO284" s="53" t="s">
        <v>1021</v>
      </c>
      <c r="BP284" s="53" t="s">
        <v>1022</v>
      </c>
      <c r="BQ284" s="53">
        <v>1</v>
      </c>
      <c r="BR284" s="83">
        <v>46088</v>
      </c>
      <c r="BS284" s="53"/>
      <c r="BT284" s="53"/>
    </row>
    <row r="285" spans="3:72" ht="14.25" hidden="1" customHeight="1">
      <c r="C285" s="82" t="s">
        <v>13</v>
      </c>
      <c r="D285" s="82" t="s">
        <v>1425</v>
      </c>
      <c r="E285" s="82" t="s">
        <v>1426</v>
      </c>
      <c r="F285" s="82" t="s">
        <v>1296</v>
      </c>
      <c r="G285" s="82">
        <v>1198</v>
      </c>
      <c r="H285" s="82" t="s">
        <v>147</v>
      </c>
      <c r="I285" s="82">
        <v>1</v>
      </c>
      <c r="J285" s="82">
        <v>17.399999999999999</v>
      </c>
      <c r="K285" s="82">
        <v>17.399999999999999</v>
      </c>
      <c r="L285" s="26">
        <f t="shared" si="31"/>
        <v>1</v>
      </c>
      <c r="M285" s="26">
        <f t="shared" ref="M285:M540" si="34">MAX(0,I285-L285)</f>
        <v>0</v>
      </c>
      <c r="N285" s="26"/>
      <c r="O285" s="26">
        <v>1</v>
      </c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67" t="e">
        <f>SUMIFS([1]Up!$J:$J,[1]Up!$D:$D,D285)</f>
        <v>#VALUE!</v>
      </c>
      <c r="BJ285" s="82"/>
      <c r="BK285" s="82" t="str">
        <f t="shared" si="32"/>
        <v>PL12</v>
      </c>
      <c r="BL285" s="53" t="str">
        <f t="shared" si="33"/>
        <v/>
      </c>
      <c r="BM285" s="53" t="s">
        <v>148</v>
      </c>
      <c r="BN285" s="53" t="s">
        <v>1020</v>
      </c>
      <c r="BO285" s="53" t="s">
        <v>1021</v>
      </c>
      <c r="BP285" s="53" t="s">
        <v>1022</v>
      </c>
      <c r="BQ285" s="53">
        <v>1</v>
      </c>
      <c r="BR285" s="83">
        <v>46088</v>
      </c>
      <c r="BS285" s="53"/>
      <c r="BT285" s="53"/>
    </row>
    <row r="286" spans="3:72" ht="14.25" hidden="1" customHeight="1">
      <c r="C286" s="82" t="s">
        <v>13</v>
      </c>
      <c r="D286" s="82" t="s">
        <v>1427</v>
      </c>
      <c r="E286" s="82" t="s">
        <v>1327</v>
      </c>
      <c r="F286" s="82" t="s">
        <v>1296</v>
      </c>
      <c r="G286" s="82">
        <v>546</v>
      </c>
      <c r="H286" s="82" t="s">
        <v>147</v>
      </c>
      <c r="I286" s="82">
        <v>1</v>
      </c>
      <c r="J286" s="82">
        <v>16.3</v>
      </c>
      <c r="K286" s="82">
        <v>16.3</v>
      </c>
      <c r="L286" s="26">
        <f t="shared" ref="L286:L349" si="35">MIN(SUM(N286:BH286),I286)</f>
        <v>1</v>
      </c>
      <c r="M286" s="26">
        <f t="shared" si="34"/>
        <v>0</v>
      </c>
      <c r="N286" s="26"/>
      <c r="O286" s="26"/>
      <c r="P286" s="26"/>
      <c r="Q286" s="26"/>
      <c r="R286" s="26">
        <v>1</v>
      </c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67" t="e">
        <f>SUMIFS([1]Up!$J:$J,[1]Up!$D:$D,D286)</f>
        <v>#VALUE!</v>
      </c>
      <c r="BJ286" s="82"/>
      <c r="BK286" s="82" t="str">
        <f t="shared" ref="BK286:BK349" si="36">IFERROR(IF(C286="Plate",LEFT(E286,FIND("*",E286,1)-1),""),IF(C286="Plate",LEFT(E286,FIND("x",E286,1)-1),""))</f>
        <v>PL15</v>
      </c>
      <c r="BL286" s="53" t="str">
        <f t="shared" ref="BL286:BL349" si="37">IF(ROUND(SUM(N286:BH286)-I286,0)&gt;0,"Thừa "&amp;SUM(N286:BH286)-I286,"")</f>
        <v/>
      </c>
      <c r="BM286" s="53" t="s">
        <v>148</v>
      </c>
      <c r="BN286" s="53" t="s">
        <v>1093</v>
      </c>
      <c r="BO286" s="53" t="s">
        <v>1094</v>
      </c>
      <c r="BP286" s="53" t="s">
        <v>1303</v>
      </c>
      <c r="BQ286" s="53">
        <v>1</v>
      </c>
      <c r="BR286" s="83">
        <v>46088</v>
      </c>
      <c r="BS286" s="53"/>
      <c r="BT286" s="53"/>
    </row>
    <row r="287" spans="3:72" ht="14.25" hidden="1" customHeight="1">
      <c r="C287" s="82" t="s">
        <v>13</v>
      </c>
      <c r="D287" s="82" t="s">
        <v>1428</v>
      </c>
      <c r="E287" s="82" t="s">
        <v>1429</v>
      </c>
      <c r="F287" s="82" t="s">
        <v>1084</v>
      </c>
      <c r="G287" s="82">
        <v>4023</v>
      </c>
      <c r="H287" s="82" t="s">
        <v>147</v>
      </c>
      <c r="I287" s="82">
        <v>1</v>
      </c>
      <c r="J287" s="82">
        <v>863.8</v>
      </c>
      <c r="K287" s="82">
        <v>863.8</v>
      </c>
      <c r="L287" s="26">
        <f t="shared" si="35"/>
        <v>1</v>
      </c>
      <c r="M287" s="26">
        <f t="shared" si="34"/>
        <v>0</v>
      </c>
      <c r="N287" s="26"/>
      <c r="O287" s="26"/>
      <c r="P287" s="26">
        <v>3</v>
      </c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67" t="e">
        <f>SUMIFS([1]Up!$J:$J,[1]Up!$D:$D,D287)</f>
        <v>#VALUE!</v>
      </c>
      <c r="BJ287" s="82" t="s">
        <v>2071</v>
      </c>
      <c r="BK287" s="82" t="str">
        <f t="shared" si="36"/>
        <v>PL12</v>
      </c>
      <c r="BL287" s="53" t="str">
        <f t="shared" si="37"/>
        <v>Thừa 2</v>
      </c>
      <c r="BM287" s="53" t="s">
        <v>154</v>
      </c>
      <c r="BN287" s="53" t="s">
        <v>1020</v>
      </c>
      <c r="BO287" s="53" t="s">
        <v>1021</v>
      </c>
      <c r="BP287" s="53" t="s">
        <v>57</v>
      </c>
      <c r="BQ287" s="53">
        <v>1</v>
      </c>
      <c r="BR287" s="83"/>
      <c r="BS287" s="53"/>
      <c r="BT287" s="53"/>
    </row>
    <row r="288" spans="3:72" ht="14.25" hidden="1" customHeight="1">
      <c r="C288" s="82" t="s">
        <v>13</v>
      </c>
      <c r="D288" s="82" t="s">
        <v>1430</v>
      </c>
      <c r="E288" s="82" t="s">
        <v>1088</v>
      </c>
      <c r="F288" s="82" t="s">
        <v>1084</v>
      </c>
      <c r="G288" s="82">
        <v>4023</v>
      </c>
      <c r="H288" s="82" t="s">
        <v>147</v>
      </c>
      <c r="I288" s="82">
        <v>1</v>
      </c>
      <c r="J288" s="82">
        <v>690.9</v>
      </c>
      <c r="K288" s="82">
        <v>690.9</v>
      </c>
      <c r="L288" s="26">
        <f t="shared" si="35"/>
        <v>1</v>
      </c>
      <c r="M288" s="26">
        <f t="shared" si="34"/>
        <v>0</v>
      </c>
      <c r="N288" s="26"/>
      <c r="O288" s="26"/>
      <c r="P288" s="26">
        <v>1</v>
      </c>
      <c r="Q288" s="26"/>
      <c r="R288" s="26"/>
      <c r="S288" s="26"/>
      <c r="T288" s="26"/>
      <c r="U288" s="26">
        <v>1</v>
      </c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67" t="e">
        <f>SUMIFS([1]Up!$J:$J,[1]Up!$D:$D,D288)</f>
        <v>#VALUE!</v>
      </c>
      <c r="BJ288" s="82" t="s">
        <v>2073</v>
      </c>
      <c r="BK288" s="82" t="str">
        <f t="shared" si="36"/>
        <v>PL12</v>
      </c>
      <c r="BL288" s="53" t="str">
        <f t="shared" si="37"/>
        <v>Thừa 1</v>
      </c>
      <c r="BM288" s="53" t="s">
        <v>154</v>
      </c>
      <c r="BN288" s="53" t="s">
        <v>1020</v>
      </c>
      <c r="BO288" s="53" t="s">
        <v>1021</v>
      </c>
      <c r="BP288" s="53" t="s">
        <v>57</v>
      </c>
      <c r="BQ288" s="53">
        <v>1</v>
      </c>
      <c r="BR288" s="83"/>
      <c r="BS288" s="53"/>
      <c r="BT288" s="53"/>
    </row>
    <row r="289" spans="3:73" ht="14.25" hidden="1" customHeight="1">
      <c r="C289" s="82" t="s">
        <v>13</v>
      </c>
      <c r="D289" s="82" t="s">
        <v>1431</v>
      </c>
      <c r="E289" s="82" t="s">
        <v>1432</v>
      </c>
      <c r="F289" s="82" t="s">
        <v>1084</v>
      </c>
      <c r="G289" s="82">
        <v>2103</v>
      </c>
      <c r="H289" s="82" t="s">
        <v>147</v>
      </c>
      <c r="I289" s="82">
        <v>1</v>
      </c>
      <c r="J289" s="82">
        <v>358.1</v>
      </c>
      <c r="K289" s="82">
        <v>358.1</v>
      </c>
      <c r="L289" s="26">
        <f t="shared" si="35"/>
        <v>1</v>
      </c>
      <c r="M289" s="26">
        <f t="shared" si="34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>
        <v>1</v>
      </c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67" t="e">
        <f>SUMIFS([1]Up!$J:$J,[1]Up!$D:$D,D289)</f>
        <v>#VALUE!</v>
      </c>
      <c r="BJ289" s="82"/>
      <c r="BK289" s="82" t="str">
        <f t="shared" si="36"/>
        <v>PL12</v>
      </c>
      <c r="BL289" s="53" t="str">
        <f t="shared" si="37"/>
        <v/>
      </c>
      <c r="BM289" s="53" t="s">
        <v>154</v>
      </c>
      <c r="BN289" s="53" t="s">
        <v>1020</v>
      </c>
      <c r="BO289" s="53" t="s">
        <v>1021</v>
      </c>
      <c r="BP289" s="53" t="s">
        <v>1398</v>
      </c>
      <c r="BQ289" s="53">
        <v>1</v>
      </c>
      <c r="BR289" s="83" t="s">
        <v>2222</v>
      </c>
      <c r="BS289" s="53"/>
      <c r="BT289" s="53"/>
    </row>
    <row r="290" spans="3:73" ht="14.25" hidden="1" customHeight="1">
      <c r="C290" s="82" t="s">
        <v>13</v>
      </c>
      <c r="D290" s="82" t="s">
        <v>1433</v>
      </c>
      <c r="E290" s="82" t="s">
        <v>1434</v>
      </c>
      <c r="F290" s="82" t="s">
        <v>1084</v>
      </c>
      <c r="G290" s="82">
        <v>5608</v>
      </c>
      <c r="H290" s="82" t="s">
        <v>147</v>
      </c>
      <c r="I290" s="82">
        <v>1</v>
      </c>
      <c r="J290" s="82">
        <v>1110.3</v>
      </c>
      <c r="K290" s="82">
        <v>1110.3</v>
      </c>
      <c r="L290" s="26">
        <f t="shared" si="35"/>
        <v>1</v>
      </c>
      <c r="M290" s="26">
        <f t="shared" si="34"/>
        <v>0</v>
      </c>
      <c r="N290" s="26"/>
      <c r="O290" s="26"/>
      <c r="P290" s="26">
        <v>4</v>
      </c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67" t="e">
        <f>SUMIFS([1]Up!$J:$J,[1]Up!$D:$D,D290)</f>
        <v>#VALUE!</v>
      </c>
      <c r="BJ290" s="82" t="s">
        <v>2072</v>
      </c>
      <c r="BK290" s="82" t="str">
        <f t="shared" si="36"/>
        <v>PL12</v>
      </c>
      <c r="BL290" s="53" t="str">
        <f t="shared" si="37"/>
        <v>Thừa 3</v>
      </c>
      <c r="BM290" s="53" t="s">
        <v>154</v>
      </c>
      <c r="BN290" s="53" t="s">
        <v>1020</v>
      </c>
      <c r="BO290" s="53" t="s">
        <v>1021</v>
      </c>
      <c r="BP290" s="53" t="s">
        <v>57</v>
      </c>
      <c r="BQ290" s="53">
        <v>1</v>
      </c>
      <c r="BR290" s="83"/>
      <c r="BS290" s="53"/>
      <c r="BT290" s="53"/>
    </row>
    <row r="291" spans="3:73" ht="14.25" hidden="1" customHeight="1">
      <c r="C291" s="82" t="s">
        <v>13</v>
      </c>
      <c r="D291" s="82" t="s">
        <v>1435</v>
      </c>
      <c r="E291" s="82" t="s">
        <v>1436</v>
      </c>
      <c r="F291" s="82" t="s">
        <v>1296</v>
      </c>
      <c r="G291" s="82">
        <v>1867</v>
      </c>
      <c r="H291" s="82" t="s">
        <v>147</v>
      </c>
      <c r="I291" s="82">
        <v>3</v>
      </c>
      <c r="J291" s="82">
        <v>25.4</v>
      </c>
      <c r="K291" s="82">
        <v>76.199999999999989</v>
      </c>
      <c r="L291" s="26">
        <f t="shared" si="35"/>
        <v>3</v>
      </c>
      <c r="M291" s="26">
        <f t="shared" si="34"/>
        <v>0</v>
      </c>
      <c r="N291" s="26"/>
      <c r="O291" s="26">
        <v>3</v>
      </c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67" t="e">
        <f>SUMIFS([1]Up!$J:$J,[1]Up!$D:$D,D291)</f>
        <v>#VALUE!</v>
      </c>
      <c r="BJ291" s="82"/>
      <c r="BK291" s="82" t="str">
        <f t="shared" si="36"/>
        <v>PL12</v>
      </c>
      <c r="BL291" s="53" t="str">
        <f t="shared" si="37"/>
        <v/>
      </c>
      <c r="BM291" s="53" t="s">
        <v>148</v>
      </c>
      <c r="BN291" s="53" t="s">
        <v>1020</v>
      </c>
      <c r="BO291" s="53" t="s">
        <v>1021</v>
      </c>
      <c r="BP291" s="53" t="s">
        <v>1022</v>
      </c>
      <c r="BQ291" s="53">
        <v>3</v>
      </c>
      <c r="BR291" s="83">
        <v>46088</v>
      </c>
      <c r="BS291" s="53"/>
      <c r="BT291" s="53"/>
    </row>
    <row r="292" spans="3:73" ht="14.25" hidden="1" customHeight="1">
      <c r="C292" s="82" t="s">
        <v>13</v>
      </c>
      <c r="D292" s="82" t="s">
        <v>1437</v>
      </c>
      <c r="E292" s="82" t="s">
        <v>1438</v>
      </c>
      <c r="F292" s="82" t="s">
        <v>1296</v>
      </c>
      <c r="G292" s="82">
        <v>2149</v>
      </c>
      <c r="H292" s="82" t="s">
        <v>147</v>
      </c>
      <c r="I292" s="82">
        <v>3</v>
      </c>
      <c r="J292" s="82">
        <v>33.5</v>
      </c>
      <c r="K292" s="82">
        <v>100.5</v>
      </c>
      <c r="L292" s="26">
        <f t="shared" si="35"/>
        <v>3</v>
      </c>
      <c r="M292" s="26">
        <f t="shared" si="34"/>
        <v>0</v>
      </c>
      <c r="N292" s="26"/>
      <c r="O292" s="26">
        <v>3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67" t="e">
        <f>SUMIFS([1]Up!$J:$J,[1]Up!$D:$D,D292)</f>
        <v>#VALUE!</v>
      </c>
      <c r="BJ292" s="82"/>
      <c r="BK292" s="82" t="str">
        <f t="shared" si="36"/>
        <v>PL12</v>
      </c>
      <c r="BL292" s="53" t="str">
        <f t="shared" si="37"/>
        <v/>
      </c>
      <c r="BM292" s="53" t="s">
        <v>148</v>
      </c>
      <c r="BN292" s="53" t="s">
        <v>1020</v>
      </c>
      <c r="BO292" s="53" t="s">
        <v>1021</v>
      </c>
      <c r="BP292" s="53" t="s">
        <v>1022</v>
      </c>
      <c r="BQ292" s="53">
        <v>3</v>
      </c>
      <c r="BR292" s="83">
        <v>46088</v>
      </c>
      <c r="BS292" s="53"/>
      <c r="BT292" s="53"/>
    </row>
    <row r="293" spans="3:73" ht="14.25" hidden="1" customHeight="1">
      <c r="C293" s="82" t="s">
        <v>13</v>
      </c>
      <c r="D293" s="82" t="s">
        <v>1439</v>
      </c>
      <c r="E293" s="82" t="s">
        <v>1125</v>
      </c>
      <c r="F293" s="82" t="s">
        <v>1296</v>
      </c>
      <c r="G293" s="82">
        <v>200</v>
      </c>
      <c r="H293" s="82" t="s">
        <v>147</v>
      </c>
      <c r="I293" s="82">
        <v>2</v>
      </c>
      <c r="J293" s="82">
        <v>5.5</v>
      </c>
      <c r="K293" s="82">
        <v>11</v>
      </c>
      <c r="L293" s="26">
        <f t="shared" si="35"/>
        <v>2</v>
      </c>
      <c r="M293" s="26">
        <f t="shared" si="34"/>
        <v>0</v>
      </c>
      <c r="N293" s="26"/>
      <c r="O293" s="26"/>
      <c r="P293" s="26"/>
      <c r="Q293" s="26"/>
      <c r="R293" s="26">
        <v>2</v>
      </c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67" t="e">
        <f>SUMIFS([1]Up!$J:$J,[1]Up!$D:$D,D293)</f>
        <v>#VALUE!</v>
      </c>
      <c r="BJ293" s="82"/>
      <c r="BK293" s="82" t="str">
        <f t="shared" si="36"/>
        <v>PL15</v>
      </c>
      <c r="BL293" s="53" t="str">
        <f t="shared" si="37"/>
        <v/>
      </c>
      <c r="BM293" s="53" t="s">
        <v>148</v>
      </c>
      <c r="BN293" s="53" t="s">
        <v>1093</v>
      </c>
      <c r="BO293" s="53" t="s">
        <v>1094</v>
      </c>
      <c r="BP293" s="53" t="s">
        <v>1303</v>
      </c>
      <c r="BQ293" s="53">
        <v>2</v>
      </c>
      <c r="BR293" s="83">
        <v>46088</v>
      </c>
      <c r="BS293" s="53"/>
      <c r="BT293" s="53"/>
    </row>
    <row r="294" spans="3:73" ht="14.25" hidden="1" customHeight="1">
      <c r="C294" s="82" t="s">
        <v>13</v>
      </c>
      <c r="D294" s="82" t="s">
        <v>1440</v>
      </c>
      <c r="E294" s="82" t="s">
        <v>1123</v>
      </c>
      <c r="F294" s="82" t="s">
        <v>1296</v>
      </c>
      <c r="G294" s="82">
        <v>320</v>
      </c>
      <c r="H294" s="82" t="s">
        <v>147</v>
      </c>
      <c r="I294" s="82">
        <v>2</v>
      </c>
      <c r="J294" s="82">
        <v>7.6</v>
      </c>
      <c r="K294" s="82">
        <v>15.2</v>
      </c>
      <c r="L294" s="26">
        <f t="shared" si="35"/>
        <v>2</v>
      </c>
      <c r="M294" s="26">
        <f t="shared" si="34"/>
        <v>0</v>
      </c>
      <c r="N294" s="26"/>
      <c r="O294" s="26"/>
      <c r="P294" s="26"/>
      <c r="Q294" s="26"/>
      <c r="R294" s="26"/>
      <c r="S294" s="26">
        <v>2</v>
      </c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67" t="e">
        <f>SUMIFS([1]Up!$J:$J,[1]Up!$D:$D,D294)</f>
        <v>#VALUE!</v>
      </c>
      <c r="BJ294" s="82"/>
      <c r="BK294" s="82" t="str">
        <f t="shared" si="36"/>
        <v>PL20</v>
      </c>
      <c r="BL294" s="53" t="str">
        <f t="shared" si="37"/>
        <v/>
      </c>
      <c r="BM294" s="53" t="s">
        <v>148</v>
      </c>
      <c r="BN294" s="53" t="s">
        <v>1099</v>
      </c>
      <c r="BO294" s="53" t="s">
        <v>1100</v>
      </c>
      <c r="BP294" s="53" t="s">
        <v>1307</v>
      </c>
      <c r="BQ294" s="53">
        <v>2</v>
      </c>
      <c r="BR294" s="83">
        <v>46242</v>
      </c>
      <c r="BS294" s="53"/>
      <c r="BT294" s="53"/>
    </row>
    <row r="295" spans="3:73" ht="14.25" hidden="1" customHeight="1">
      <c r="C295" s="82" t="s">
        <v>13</v>
      </c>
      <c r="D295" s="82" t="s">
        <v>1441</v>
      </c>
      <c r="E295" s="82" t="s">
        <v>1410</v>
      </c>
      <c r="F295" s="82" t="s">
        <v>1084</v>
      </c>
      <c r="G295" s="82">
        <v>2635</v>
      </c>
      <c r="H295" s="82" t="s">
        <v>147</v>
      </c>
      <c r="I295" s="82">
        <v>1</v>
      </c>
      <c r="J295" s="82">
        <v>441.5</v>
      </c>
      <c r="K295" s="82">
        <v>441.5</v>
      </c>
      <c r="L295" s="26">
        <f t="shared" si="35"/>
        <v>1</v>
      </c>
      <c r="M295" s="26">
        <f t="shared" si="34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>
        <v>1</v>
      </c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67" t="e">
        <f>SUMIFS([1]Up!$J:$J,[1]Up!$D:$D,D295)</f>
        <v>#VALUE!</v>
      </c>
      <c r="BJ295" s="82"/>
      <c r="BK295" s="82" t="str">
        <f t="shared" si="36"/>
        <v>PL12</v>
      </c>
      <c r="BL295" s="53" t="str">
        <f t="shared" si="37"/>
        <v/>
      </c>
      <c r="BM295" s="53" t="s">
        <v>154</v>
      </c>
      <c r="BN295" s="53" t="s">
        <v>1020</v>
      </c>
      <c r="BO295" s="53" t="s">
        <v>1021</v>
      </c>
      <c r="BP295" s="53" t="s">
        <v>1398</v>
      </c>
      <c r="BQ295" s="53">
        <v>1</v>
      </c>
      <c r="BR295" s="83" t="s">
        <v>2222</v>
      </c>
      <c r="BS295" s="53"/>
      <c r="BT295" s="53"/>
    </row>
    <row r="296" spans="3:73" ht="14.25" hidden="1" customHeight="1">
      <c r="C296" s="82" t="s">
        <v>13</v>
      </c>
      <c r="D296" s="82" t="s">
        <v>1442</v>
      </c>
      <c r="E296" s="82" t="s">
        <v>1412</v>
      </c>
      <c r="F296" s="82" t="s">
        <v>1084</v>
      </c>
      <c r="G296" s="82">
        <v>5608</v>
      </c>
      <c r="H296" s="82" t="s">
        <v>147</v>
      </c>
      <c r="I296" s="82">
        <v>1</v>
      </c>
      <c r="J296" s="82">
        <v>1388.4</v>
      </c>
      <c r="K296" s="82">
        <v>1388.4</v>
      </c>
      <c r="L296" s="26">
        <f t="shared" si="35"/>
        <v>1</v>
      </c>
      <c r="M296" s="26">
        <f t="shared" si="34"/>
        <v>0</v>
      </c>
      <c r="N296" s="26"/>
      <c r="O296" s="26"/>
      <c r="P296" s="26">
        <v>3</v>
      </c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67" t="e">
        <f>SUMIFS([1]Up!$J:$J,[1]Up!$D:$D,D296)</f>
        <v>#VALUE!</v>
      </c>
      <c r="BJ296" s="82" t="s">
        <v>2071</v>
      </c>
      <c r="BK296" s="82" t="str">
        <f t="shared" si="36"/>
        <v>PL12</v>
      </c>
      <c r="BL296" s="53" t="str">
        <f t="shared" si="37"/>
        <v>Thừa 2</v>
      </c>
      <c r="BM296" s="53" t="s">
        <v>154</v>
      </c>
      <c r="BN296" s="53" t="s">
        <v>1020</v>
      </c>
      <c r="BO296" s="53" t="s">
        <v>1021</v>
      </c>
      <c r="BP296" s="53" t="s">
        <v>57</v>
      </c>
      <c r="BQ296" s="53">
        <v>1</v>
      </c>
      <c r="BR296" s="83"/>
      <c r="BS296" s="53"/>
      <c r="BT296" s="53"/>
    </row>
    <row r="297" spans="3:73" ht="14.25" hidden="1" customHeight="1">
      <c r="C297" s="82" t="s">
        <v>13</v>
      </c>
      <c r="D297" s="82" t="s">
        <v>1443</v>
      </c>
      <c r="E297" s="82" t="s">
        <v>1414</v>
      </c>
      <c r="F297" s="82" t="s">
        <v>1296</v>
      </c>
      <c r="G297" s="82">
        <v>2225</v>
      </c>
      <c r="H297" s="82" t="s">
        <v>147</v>
      </c>
      <c r="I297" s="82">
        <v>3</v>
      </c>
      <c r="J297" s="82">
        <v>31.8</v>
      </c>
      <c r="K297" s="82">
        <v>95.4</v>
      </c>
      <c r="L297" s="26">
        <f t="shared" si="35"/>
        <v>3</v>
      </c>
      <c r="M297" s="26">
        <f t="shared" si="34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>
        <v>3</v>
      </c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67" t="e">
        <f>SUMIFS([1]Up!$J:$J,[1]Up!$D:$D,D297)</f>
        <v>#VALUE!</v>
      </c>
      <c r="BJ297" s="82"/>
      <c r="BK297" s="82" t="str">
        <f t="shared" si="36"/>
        <v>PL12</v>
      </c>
      <c r="BL297" s="53" t="str">
        <f t="shared" si="37"/>
        <v/>
      </c>
      <c r="BM297" s="53" t="s">
        <v>154</v>
      </c>
      <c r="BN297" s="53" t="s">
        <v>1020</v>
      </c>
      <c r="BO297" s="53" t="s">
        <v>1021</v>
      </c>
      <c r="BP297" s="53" t="s">
        <v>1022</v>
      </c>
      <c r="BQ297" s="53">
        <v>3</v>
      </c>
      <c r="BR297" s="83">
        <v>46088</v>
      </c>
      <c r="BS297" s="53"/>
      <c r="BT297" s="53"/>
    </row>
    <row r="298" spans="3:73" ht="14.25" hidden="1" customHeight="1">
      <c r="C298" s="82" t="s">
        <v>13</v>
      </c>
      <c r="D298" s="82" t="s">
        <v>1444</v>
      </c>
      <c r="E298" s="82" t="s">
        <v>1416</v>
      </c>
      <c r="F298" s="82" t="s">
        <v>1296</v>
      </c>
      <c r="G298" s="82">
        <v>2562</v>
      </c>
      <c r="H298" s="82" t="s">
        <v>147</v>
      </c>
      <c r="I298" s="82">
        <v>3</v>
      </c>
      <c r="J298" s="82">
        <v>41.9</v>
      </c>
      <c r="K298" s="82">
        <v>125.69999999999999</v>
      </c>
      <c r="L298" s="26">
        <f t="shared" si="35"/>
        <v>3</v>
      </c>
      <c r="M298" s="26">
        <f t="shared" si="34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>
        <v>3</v>
      </c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67" t="e">
        <f>SUMIFS([1]Up!$J:$J,[1]Up!$D:$D,D298)</f>
        <v>#VALUE!</v>
      </c>
      <c r="BJ298" s="82"/>
      <c r="BK298" s="82" t="str">
        <f t="shared" si="36"/>
        <v>PL12</v>
      </c>
      <c r="BL298" s="53" t="str">
        <f t="shared" si="37"/>
        <v/>
      </c>
      <c r="BM298" s="53" t="s">
        <v>154</v>
      </c>
      <c r="BN298" s="53" t="s">
        <v>1020</v>
      </c>
      <c r="BO298" s="53" t="s">
        <v>1021</v>
      </c>
      <c r="BP298" s="53" t="s">
        <v>1022</v>
      </c>
      <c r="BQ298" s="53">
        <v>3</v>
      </c>
      <c r="BR298" s="83">
        <v>46088</v>
      </c>
      <c r="BS298" s="53"/>
      <c r="BT298" s="53"/>
    </row>
    <row r="299" spans="3:73" ht="14.25" hidden="1" customHeight="1">
      <c r="C299" s="82" t="s">
        <v>13</v>
      </c>
      <c r="D299" s="82" t="s">
        <v>1445</v>
      </c>
      <c r="E299" s="82" t="s">
        <v>1429</v>
      </c>
      <c r="F299" s="82" t="s">
        <v>1084</v>
      </c>
      <c r="G299" s="82">
        <v>4023</v>
      </c>
      <c r="H299" s="82" t="s">
        <v>147</v>
      </c>
      <c r="I299" s="82">
        <v>1</v>
      </c>
      <c r="J299" s="82">
        <v>863.8</v>
      </c>
      <c r="K299" s="82">
        <v>863.8</v>
      </c>
      <c r="L299" s="26">
        <f t="shared" si="35"/>
        <v>1</v>
      </c>
      <c r="M299" s="26">
        <f t="shared" si="34"/>
        <v>0</v>
      </c>
      <c r="N299" s="26"/>
      <c r="O299" s="26"/>
      <c r="P299" s="26">
        <v>3</v>
      </c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67" t="e">
        <f>SUMIFS([1]Up!$J:$J,[1]Up!$D:$D,D299)</f>
        <v>#VALUE!</v>
      </c>
      <c r="BJ299" s="82" t="s">
        <v>2071</v>
      </c>
      <c r="BK299" s="82" t="str">
        <f t="shared" si="36"/>
        <v>PL12</v>
      </c>
      <c r="BL299" s="53" t="str">
        <f t="shared" si="37"/>
        <v>Thừa 2</v>
      </c>
      <c r="BM299" s="53" t="s">
        <v>154</v>
      </c>
      <c r="BN299" s="53" t="s">
        <v>1020</v>
      </c>
      <c r="BO299" s="53" t="s">
        <v>1021</v>
      </c>
      <c r="BP299" s="53" t="s">
        <v>57</v>
      </c>
      <c r="BQ299" s="53">
        <v>1</v>
      </c>
      <c r="BR299" s="83"/>
      <c r="BS299" s="53"/>
      <c r="BT299" s="53"/>
    </row>
    <row r="300" spans="3:73" ht="14.25" hidden="1" customHeight="1">
      <c r="C300" s="82" t="s">
        <v>11</v>
      </c>
      <c r="D300" s="82" t="s">
        <v>1446</v>
      </c>
      <c r="E300" s="82" t="s">
        <v>1075</v>
      </c>
      <c r="F300" s="82" t="s">
        <v>1076</v>
      </c>
      <c r="G300" s="82">
        <v>812</v>
      </c>
      <c r="H300" s="82" t="s">
        <v>1077</v>
      </c>
      <c r="I300" s="82">
        <v>12</v>
      </c>
      <c r="J300" s="82">
        <v>13.05696</v>
      </c>
      <c r="K300" s="82">
        <v>156.68351999999999</v>
      </c>
      <c r="L300" s="26">
        <f t="shared" si="35"/>
        <v>6</v>
      </c>
      <c r="M300" s="26">
        <f t="shared" si="34"/>
        <v>6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>
        <v>6</v>
      </c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67" t="e">
        <f>SUMIFS([1]Up!$J:$J,[1]Up!$D:$D,D300)</f>
        <v>#VALUE!</v>
      </c>
      <c r="BJ300" s="82"/>
      <c r="BK300" s="82" t="str">
        <f t="shared" si="36"/>
        <v/>
      </c>
      <c r="BL300" s="53" t="str">
        <f t="shared" si="37"/>
        <v/>
      </c>
      <c r="BM300" s="53" t="s">
        <v>148</v>
      </c>
      <c r="BN300" s="53" t="s">
        <v>1078</v>
      </c>
      <c r="BO300" s="53" t="s">
        <v>1075</v>
      </c>
      <c r="BP300" s="84" t="s">
        <v>2161</v>
      </c>
      <c r="BQ300" s="53">
        <v>24</v>
      </c>
      <c r="BR300" s="83" t="s">
        <v>2224</v>
      </c>
      <c r="BS300" s="53"/>
      <c r="BT300" s="53"/>
      <c r="BU300" s="238"/>
    </row>
    <row r="301" spans="3:73" ht="14.25" hidden="1" customHeight="1">
      <c r="C301" s="82" t="s">
        <v>13</v>
      </c>
      <c r="D301" s="82" t="s">
        <v>1447</v>
      </c>
      <c r="E301" s="82" t="s">
        <v>1395</v>
      </c>
      <c r="F301" s="82" t="s">
        <v>1084</v>
      </c>
      <c r="G301" s="82">
        <v>4023</v>
      </c>
      <c r="H301" s="82" t="s">
        <v>147</v>
      </c>
      <c r="I301" s="82">
        <v>4</v>
      </c>
      <c r="J301" s="82">
        <v>182.2</v>
      </c>
      <c r="K301" s="82">
        <v>728.8</v>
      </c>
      <c r="L301" s="26">
        <f t="shared" si="35"/>
        <v>0</v>
      </c>
      <c r="M301" s="26">
        <f t="shared" si="34"/>
        <v>4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67" t="e">
        <f>SUMIFS([1]Up!$J:$J,[1]Up!$D:$D,D301)</f>
        <v>#VALUE!</v>
      </c>
      <c r="BJ301" s="82"/>
      <c r="BK301" s="82" t="str">
        <f t="shared" si="36"/>
        <v>PL12</v>
      </c>
      <c r="BL301" s="53" t="str">
        <f t="shared" si="37"/>
        <v/>
      </c>
      <c r="BM301" s="53" t="s">
        <v>154</v>
      </c>
      <c r="BN301" s="53" t="s">
        <v>1020</v>
      </c>
      <c r="BO301" s="53" t="s">
        <v>1021</v>
      </c>
      <c r="BP301" s="53" t="s">
        <v>57</v>
      </c>
      <c r="BQ301" s="53">
        <v>8</v>
      </c>
      <c r="BR301" s="83"/>
      <c r="BS301" s="53"/>
      <c r="BT301" s="53"/>
    </row>
    <row r="302" spans="3:73" ht="14.25" hidden="1" customHeight="1">
      <c r="C302" s="82" t="s">
        <v>13</v>
      </c>
      <c r="D302" s="82" t="s">
        <v>1448</v>
      </c>
      <c r="E302" s="82" t="s">
        <v>1397</v>
      </c>
      <c r="F302" s="82" t="s">
        <v>1084</v>
      </c>
      <c r="G302" s="82">
        <v>1930</v>
      </c>
      <c r="H302" s="82" t="s">
        <v>147</v>
      </c>
      <c r="I302" s="82">
        <v>2</v>
      </c>
      <c r="J302" s="82">
        <v>98</v>
      </c>
      <c r="K302" s="82">
        <v>196</v>
      </c>
      <c r="L302" s="26">
        <f t="shared" si="35"/>
        <v>0</v>
      </c>
      <c r="M302" s="26">
        <f t="shared" si="34"/>
        <v>2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67" t="e">
        <f>SUMIFS([1]Up!$J:$J,[1]Up!$D:$D,D302)</f>
        <v>#VALUE!</v>
      </c>
      <c r="BJ302" s="82"/>
      <c r="BK302" s="82" t="str">
        <f t="shared" si="36"/>
        <v>PL12</v>
      </c>
      <c r="BL302" s="53" t="str">
        <f t="shared" si="37"/>
        <v/>
      </c>
      <c r="BM302" s="53" t="s">
        <v>154</v>
      </c>
      <c r="BN302" s="53" t="s">
        <v>1020</v>
      </c>
      <c r="BO302" s="53" t="s">
        <v>1021</v>
      </c>
      <c r="BP302" s="84" t="s">
        <v>1449</v>
      </c>
      <c r="BQ302" s="53">
        <v>4</v>
      </c>
      <c r="BR302" s="83" t="s">
        <v>2227</v>
      </c>
      <c r="BS302" s="53"/>
      <c r="BT302" s="53"/>
      <c r="BU302" s="238"/>
    </row>
    <row r="303" spans="3:73" ht="14.25" hidden="1" customHeight="1">
      <c r="C303" s="82" t="s">
        <v>13</v>
      </c>
      <c r="D303" s="82" t="s">
        <v>1450</v>
      </c>
      <c r="E303" s="82" t="s">
        <v>1397</v>
      </c>
      <c r="F303" s="82" t="s">
        <v>1084</v>
      </c>
      <c r="G303" s="82">
        <v>1930</v>
      </c>
      <c r="H303" s="82" t="s">
        <v>147</v>
      </c>
      <c r="I303" s="82">
        <v>2</v>
      </c>
      <c r="J303" s="82">
        <v>98</v>
      </c>
      <c r="K303" s="82">
        <v>196</v>
      </c>
      <c r="L303" s="26">
        <f t="shared" si="35"/>
        <v>0</v>
      </c>
      <c r="M303" s="26">
        <f t="shared" si="34"/>
        <v>2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67" t="e">
        <f>SUMIFS([1]Up!$J:$J,[1]Up!$D:$D,D303)</f>
        <v>#VALUE!</v>
      </c>
      <c r="BJ303" s="82"/>
      <c r="BK303" s="82" t="str">
        <f t="shared" si="36"/>
        <v>PL12</v>
      </c>
      <c r="BL303" s="53" t="str">
        <f t="shared" si="37"/>
        <v/>
      </c>
      <c r="BM303" s="53" t="s">
        <v>154</v>
      </c>
      <c r="BN303" s="53" t="s">
        <v>1020</v>
      </c>
      <c r="BO303" s="53" t="s">
        <v>1021</v>
      </c>
      <c r="BP303" s="84" t="s">
        <v>2173</v>
      </c>
      <c r="BQ303" s="53">
        <v>4</v>
      </c>
      <c r="BR303" s="83" t="s">
        <v>2227</v>
      </c>
      <c r="BS303" s="53"/>
      <c r="BT303" s="53"/>
      <c r="BU303" s="238"/>
    </row>
    <row r="304" spans="3:73" ht="14.25" hidden="1" customHeight="1">
      <c r="C304" s="82" t="s">
        <v>13</v>
      </c>
      <c r="D304" s="82" t="s">
        <v>1451</v>
      </c>
      <c r="E304" s="82" t="s">
        <v>1397</v>
      </c>
      <c r="F304" s="82" t="s">
        <v>1084</v>
      </c>
      <c r="G304" s="82">
        <v>5608</v>
      </c>
      <c r="H304" s="82" t="s">
        <v>147</v>
      </c>
      <c r="I304" s="82">
        <v>2</v>
      </c>
      <c r="J304" s="82">
        <v>326.2</v>
      </c>
      <c r="K304" s="82">
        <v>652.4</v>
      </c>
      <c r="L304" s="26">
        <f t="shared" si="35"/>
        <v>0</v>
      </c>
      <c r="M304" s="26">
        <f t="shared" si="34"/>
        <v>2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67" t="e">
        <f>SUMIFS([1]Up!$J:$J,[1]Up!$D:$D,D304)</f>
        <v>#VALUE!</v>
      </c>
      <c r="BJ304" s="82"/>
      <c r="BK304" s="82" t="str">
        <f t="shared" si="36"/>
        <v>PL12</v>
      </c>
      <c r="BL304" s="53" t="str">
        <f t="shared" si="37"/>
        <v/>
      </c>
      <c r="BM304" s="53" t="s">
        <v>154</v>
      </c>
      <c r="BN304" s="53" t="s">
        <v>1020</v>
      </c>
      <c r="BO304" s="53" t="s">
        <v>1021</v>
      </c>
      <c r="BP304" s="53" t="s">
        <v>57</v>
      </c>
      <c r="BQ304" s="53">
        <v>4</v>
      </c>
      <c r="BR304" s="83"/>
      <c r="BS304" s="53"/>
      <c r="BT304" s="53"/>
    </row>
    <row r="305" spans="3:73" ht="14.25" hidden="1" customHeight="1">
      <c r="C305" s="82" t="s">
        <v>13</v>
      </c>
      <c r="D305" s="82" t="s">
        <v>1452</v>
      </c>
      <c r="E305" s="82" t="s">
        <v>1397</v>
      </c>
      <c r="F305" s="82" t="s">
        <v>1084</v>
      </c>
      <c r="G305" s="82">
        <v>5608</v>
      </c>
      <c r="H305" s="82" t="s">
        <v>147</v>
      </c>
      <c r="I305" s="82">
        <v>2</v>
      </c>
      <c r="J305" s="82">
        <v>326.2</v>
      </c>
      <c r="K305" s="82">
        <v>652.4</v>
      </c>
      <c r="L305" s="26">
        <f t="shared" si="35"/>
        <v>0</v>
      </c>
      <c r="M305" s="26">
        <f t="shared" si="34"/>
        <v>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67" t="e">
        <f>SUMIFS([1]Up!$J:$J,[1]Up!$D:$D,D305)</f>
        <v>#VALUE!</v>
      </c>
      <c r="BJ305" s="82"/>
      <c r="BK305" s="82" t="str">
        <f t="shared" si="36"/>
        <v>PL12</v>
      </c>
      <c r="BL305" s="53" t="str">
        <f t="shared" si="37"/>
        <v/>
      </c>
      <c r="BM305" s="53" t="s">
        <v>154</v>
      </c>
      <c r="BN305" s="53" t="s">
        <v>1020</v>
      </c>
      <c r="BO305" s="53" t="s">
        <v>1021</v>
      </c>
      <c r="BP305" s="53" t="s">
        <v>57</v>
      </c>
      <c r="BQ305" s="53">
        <v>4</v>
      </c>
      <c r="BR305" s="83"/>
      <c r="BS305" s="53"/>
      <c r="BT305" s="53"/>
    </row>
    <row r="306" spans="3:73" ht="14.25" hidden="1" customHeight="1">
      <c r="C306" s="82" t="s">
        <v>13</v>
      </c>
      <c r="D306" s="82" t="s">
        <v>1453</v>
      </c>
      <c r="E306" s="82" t="s">
        <v>1157</v>
      </c>
      <c r="F306" s="82" t="s">
        <v>1296</v>
      </c>
      <c r="G306" s="82">
        <v>11521</v>
      </c>
      <c r="H306" s="82" t="s">
        <v>147</v>
      </c>
      <c r="I306" s="82">
        <v>4</v>
      </c>
      <c r="J306" s="82">
        <v>434.1</v>
      </c>
      <c r="K306" s="82">
        <v>1736.4</v>
      </c>
      <c r="L306" s="26">
        <f t="shared" si="35"/>
        <v>2</v>
      </c>
      <c r="M306" s="26">
        <f t="shared" si="34"/>
        <v>2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>
        <v>2</v>
      </c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67" t="e">
        <f>SUMIFS([1]Up!$J:$J,[1]Up!$D:$D,D306)</f>
        <v>#VALUE!</v>
      </c>
      <c r="BJ306" s="82"/>
      <c r="BK306" s="82" t="str">
        <f t="shared" si="36"/>
        <v>PL15</v>
      </c>
      <c r="BL306" s="53" t="str">
        <f t="shared" si="37"/>
        <v/>
      </c>
      <c r="BM306" s="53" t="s">
        <v>148</v>
      </c>
      <c r="BN306" s="53" t="s">
        <v>1093</v>
      </c>
      <c r="BO306" s="53" t="s">
        <v>1094</v>
      </c>
      <c r="BP306" s="84" t="s">
        <v>2155</v>
      </c>
      <c r="BQ306" s="53">
        <v>8</v>
      </c>
      <c r="BR306" s="83" t="s">
        <v>2224</v>
      </c>
      <c r="BS306" s="53"/>
      <c r="BT306" s="53"/>
      <c r="BU306" s="238"/>
    </row>
    <row r="307" spans="3:73" ht="14.25" hidden="1" customHeight="1">
      <c r="C307" s="82" t="s">
        <v>13</v>
      </c>
      <c r="D307" s="82" t="s">
        <v>1454</v>
      </c>
      <c r="E307" s="82" t="s">
        <v>1163</v>
      </c>
      <c r="F307" s="82" t="s">
        <v>1296</v>
      </c>
      <c r="G307" s="82">
        <v>400</v>
      </c>
      <c r="H307" s="82" t="s">
        <v>147</v>
      </c>
      <c r="I307" s="82">
        <v>12</v>
      </c>
      <c r="J307" s="82">
        <v>4.5</v>
      </c>
      <c r="K307" s="82">
        <v>54</v>
      </c>
      <c r="L307" s="26">
        <f t="shared" si="35"/>
        <v>6</v>
      </c>
      <c r="M307" s="26">
        <f t="shared" si="34"/>
        <v>6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>
        <v>6</v>
      </c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67" t="e">
        <f>SUMIFS([1]Up!$J:$J,[1]Up!$D:$D,D307)</f>
        <v>#VALUE!</v>
      </c>
      <c r="BJ307" s="82"/>
      <c r="BK307" s="82" t="str">
        <f t="shared" si="36"/>
        <v>PL16</v>
      </c>
      <c r="BL307" s="53" t="str">
        <f t="shared" si="37"/>
        <v/>
      </c>
      <c r="BM307" s="53" t="s">
        <v>148</v>
      </c>
      <c r="BN307" s="53" t="s">
        <v>987</v>
      </c>
      <c r="BO307" s="53" t="s">
        <v>988</v>
      </c>
      <c r="BP307" s="84" t="s">
        <v>2160</v>
      </c>
      <c r="BQ307" s="53">
        <v>24</v>
      </c>
      <c r="BR307" s="83" t="s">
        <v>2225</v>
      </c>
      <c r="BS307" s="53"/>
      <c r="BT307" s="53"/>
      <c r="BU307" s="238"/>
    </row>
    <row r="308" spans="3:73" ht="14.25" hidden="1" customHeight="1">
      <c r="C308" s="82" t="s">
        <v>13</v>
      </c>
      <c r="D308" s="82" t="s">
        <v>1455</v>
      </c>
      <c r="E308" s="82" t="s">
        <v>1090</v>
      </c>
      <c r="F308" s="82" t="s">
        <v>1296</v>
      </c>
      <c r="G308" s="82">
        <v>460</v>
      </c>
      <c r="H308" s="82" t="s">
        <v>147</v>
      </c>
      <c r="I308" s="82">
        <v>12</v>
      </c>
      <c r="J308" s="82">
        <v>5.5</v>
      </c>
      <c r="K308" s="82">
        <v>66</v>
      </c>
      <c r="L308" s="26">
        <f t="shared" si="35"/>
        <v>6</v>
      </c>
      <c r="M308" s="26">
        <f t="shared" si="34"/>
        <v>6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>
        <v>6</v>
      </c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67" t="e">
        <f>SUMIFS([1]Up!$J:$J,[1]Up!$D:$D,D308)</f>
        <v>#VALUE!</v>
      </c>
      <c r="BJ308" s="82"/>
      <c r="BK308" s="82" t="str">
        <f t="shared" si="36"/>
        <v>PL16</v>
      </c>
      <c r="BL308" s="53" t="str">
        <f t="shared" si="37"/>
        <v/>
      </c>
      <c r="BM308" s="53" t="s">
        <v>148</v>
      </c>
      <c r="BN308" s="53" t="s">
        <v>987</v>
      </c>
      <c r="BO308" s="53" t="s">
        <v>988</v>
      </c>
      <c r="BP308" s="84" t="s">
        <v>2160</v>
      </c>
      <c r="BQ308" s="53">
        <v>24</v>
      </c>
      <c r="BR308" s="83" t="s">
        <v>2225</v>
      </c>
      <c r="BS308" s="53"/>
      <c r="BT308" s="53"/>
      <c r="BU308" s="238"/>
    </row>
    <row r="309" spans="3:73" ht="14.25" hidden="1" customHeight="1">
      <c r="C309" s="82" t="s">
        <v>13</v>
      </c>
      <c r="D309" s="82" t="s">
        <v>1456</v>
      </c>
      <c r="E309" s="82" t="s">
        <v>1406</v>
      </c>
      <c r="F309" s="82" t="s">
        <v>1296</v>
      </c>
      <c r="G309" s="82">
        <v>506</v>
      </c>
      <c r="H309" s="82" t="s">
        <v>147</v>
      </c>
      <c r="I309" s="82">
        <v>12</v>
      </c>
      <c r="J309" s="82">
        <v>6.5</v>
      </c>
      <c r="K309" s="82">
        <v>78</v>
      </c>
      <c r="L309" s="26">
        <f t="shared" si="35"/>
        <v>6</v>
      </c>
      <c r="M309" s="26">
        <f t="shared" si="34"/>
        <v>6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>
        <v>2</v>
      </c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>
        <v>4</v>
      </c>
      <c r="BF309" s="26"/>
      <c r="BG309" s="26"/>
      <c r="BH309" s="26"/>
      <c r="BI309" s="67" t="e">
        <f>SUMIFS([1]Up!$J:$J,[1]Up!$D:$D,D309)</f>
        <v>#VALUE!</v>
      </c>
      <c r="BJ309" s="82"/>
      <c r="BK309" s="82" t="str">
        <f t="shared" si="36"/>
        <v>PL12</v>
      </c>
      <c r="BL309" s="53" t="str">
        <f t="shared" si="37"/>
        <v/>
      </c>
      <c r="BM309" s="53" t="s">
        <v>148</v>
      </c>
      <c r="BN309" s="53" t="s">
        <v>1020</v>
      </c>
      <c r="BO309" s="53" t="s">
        <v>1021</v>
      </c>
      <c r="BP309" s="84" t="s">
        <v>2159</v>
      </c>
      <c r="BQ309" s="53">
        <v>24</v>
      </c>
      <c r="BR309" s="83">
        <v>46302</v>
      </c>
      <c r="BS309" s="53"/>
      <c r="BT309" s="53"/>
      <c r="BU309" s="238"/>
    </row>
    <row r="310" spans="3:73" ht="14.25" hidden="1" customHeight="1">
      <c r="C310" s="82" t="s">
        <v>13</v>
      </c>
      <c r="D310" s="82" t="s">
        <v>1457</v>
      </c>
      <c r="E310" s="82" t="s">
        <v>1408</v>
      </c>
      <c r="F310" s="82" t="s">
        <v>1296</v>
      </c>
      <c r="G310" s="82">
        <v>645</v>
      </c>
      <c r="H310" s="82" t="s">
        <v>147</v>
      </c>
      <c r="I310" s="82">
        <v>12</v>
      </c>
      <c r="J310" s="82">
        <v>9.6</v>
      </c>
      <c r="K310" s="82">
        <v>115.19999999999999</v>
      </c>
      <c r="L310" s="26">
        <f t="shared" si="35"/>
        <v>6</v>
      </c>
      <c r="M310" s="26">
        <f t="shared" si="34"/>
        <v>6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>
        <v>6</v>
      </c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67" t="e">
        <f>SUMIFS([1]Up!$J:$J,[1]Up!$D:$D,D310)</f>
        <v>#VALUE!</v>
      </c>
      <c r="BJ310" s="82"/>
      <c r="BK310" s="82" t="str">
        <f t="shared" si="36"/>
        <v>PL12</v>
      </c>
      <c r="BL310" s="53" t="str">
        <f t="shared" si="37"/>
        <v/>
      </c>
      <c r="BM310" s="53" t="s">
        <v>148</v>
      </c>
      <c r="BN310" s="53" t="s">
        <v>1020</v>
      </c>
      <c r="BO310" s="53" t="s">
        <v>1021</v>
      </c>
      <c r="BP310" s="84" t="s">
        <v>2159</v>
      </c>
      <c r="BQ310" s="53">
        <v>24</v>
      </c>
      <c r="BR310" s="83">
        <v>46302</v>
      </c>
      <c r="BS310" s="53"/>
      <c r="BT310" s="53"/>
      <c r="BU310" s="238"/>
    </row>
    <row r="311" spans="3:73" ht="14.25" hidden="1" customHeight="1">
      <c r="C311" s="82" t="s">
        <v>13</v>
      </c>
      <c r="D311" s="82" t="s">
        <v>1458</v>
      </c>
      <c r="E311" s="82" t="s">
        <v>1088</v>
      </c>
      <c r="F311" s="82" t="s">
        <v>1084</v>
      </c>
      <c r="G311" s="82">
        <v>4023</v>
      </c>
      <c r="H311" s="82" t="s">
        <v>147</v>
      </c>
      <c r="I311" s="82">
        <v>2</v>
      </c>
      <c r="J311" s="82">
        <v>690.9</v>
      </c>
      <c r="K311" s="82">
        <v>1381.8</v>
      </c>
      <c r="L311" s="26">
        <f t="shared" si="35"/>
        <v>2</v>
      </c>
      <c r="M311" s="26">
        <f t="shared" si="34"/>
        <v>0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>
        <f>1+1</f>
        <v>2</v>
      </c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67" t="e">
        <f>SUMIFS([1]Up!$J:$J,[1]Up!$D:$D,D311)</f>
        <v>#VALUE!</v>
      </c>
      <c r="BJ311" s="82" t="s">
        <v>2228</v>
      </c>
      <c r="BK311" s="82" t="str">
        <f t="shared" si="36"/>
        <v>PL12</v>
      </c>
      <c r="BL311" s="53" t="str">
        <f t="shared" si="37"/>
        <v/>
      </c>
      <c r="BM311" s="53" t="s">
        <v>154</v>
      </c>
      <c r="BN311" s="53" t="s">
        <v>1020</v>
      </c>
      <c r="BO311" s="53" t="s">
        <v>1021</v>
      </c>
      <c r="BP311" s="53" t="s">
        <v>57</v>
      </c>
      <c r="BQ311" s="53">
        <v>4</v>
      </c>
      <c r="BR311" s="83"/>
      <c r="BS311" s="53"/>
      <c r="BT311" s="53"/>
    </row>
    <row r="312" spans="3:73" ht="14.25" hidden="1" customHeight="1">
      <c r="C312" s="82" t="s">
        <v>13</v>
      </c>
      <c r="D312" s="82" t="s">
        <v>1459</v>
      </c>
      <c r="E312" s="82" t="s">
        <v>1432</v>
      </c>
      <c r="F312" s="82" t="s">
        <v>1084</v>
      </c>
      <c r="G312" s="82">
        <v>2103</v>
      </c>
      <c r="H312" s="82" t="s">
        <v>147</v>
      </c>
      <c r="I312" s="82">
        <v>2</v>
      </c>
      <c r="J312" s="82">
        <v>358.1</v>
      </c>
      <c r="K312" s="82">
        <v>716.2</v>
      </c>
      <c r="L312" s="26">
        <f t="shared" si="35"/>
        <v>0</v>
      </c>
      <c r="M312" s="26">
        <f t="shared" si="34"/>
        <v>2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67" t="e">
        <f>SUMIFS([1]Up!$J:$J,[1]Up!$D:$D,D312)</f>
        <v>#VALUE!</v>
      </c>
      <c r="BJ312" s="82"/>
      <c r="BK312" s="82" t="str">
        <f t="shared" si="36"/>
        <v>PL12</v>
      </c>
      <c r="BL312" s="53" t="str">
        <f t="shared" si="37"/>
        <v/>
      </c>
      <c r="BM312" s="53" t="s">
        <v>154</v>
      </c>
      <c r="BN312" s="53" t="s">
        <v>1020</v>
      </c>
      <c r="BO312" s="53" t="s">
        <v>1021</v>
      </c>
      <c r="BP312" s="84" t="s">
        <v>2154</v>
      </c>
      <c r="BQ312" s="53">
        <v>4</v>
      </c>
      <c r="BR312" s="83" t="s">
        <v>2227</v>
      </c>
      <c r="BS312" s="53"/>
      <c r="BT312" s="53"/>
      <c r="BU312" s="238"/>
    </row>
    <row r="313" spans="3:73" ht="14.25" hidden="1" customHeight="1">
      <c r="C313" s="82" t="s">
        <v>13</v>
      </c>
      <c r="D313" s="82" t="s">
        <v>1460</v>
      </c>
      <c r="E313" s="82" t="s">
        <v>1434</v>
      </c>
      <c r="F313" s="82" t="s">
        <v>1084</v>
      </c>
      <c r="G313" s="82">
        <v>5608</v>
      </c>
      <c r="H313" s="82" t="s">
        <v>147</v>
      </c>
      <c r="I313" s="82">
        <v>2</v>
      </c>
      <c r="J313" s="82">
        <v>1110.3</v>
      </c>
      <c r="K313" s="82">
        <v>2220.6</v>
      </c>
      <c r="L313" s="26">
        <f t="shared" si="35"/>
        <v>2</v>
      </c>
      <c r="M313" s="26">
        <f t="shared" si="34"/>
        <v>0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>
        <v>1</v>
      </c>
      <c r="AO313" s="26"/>
      <c r="AP313" s="26">
        <f>1+1</f>
        <v>2</v>
      </c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67" t="e">
        <f>SUMIFS([1]Up!$J:$J,[1]Up!$D:$D,D313)</f>
        <v>#VALUE!</v>
      </c>
      <c r="BJ313" s="82" t="s">
        <v>2244</v>
      </c>
      <c r="BK313" s="82" t="str">
        <f t="shared" si="36"/>
        <v>PL12</v>
      </c>
      <c r="BL313" s="53" t="str">
        <f t="shared" si="37"/>
        <v>Thừa 1</v>
      </c>
      <c r="BM313" s="53" t="s">
        <v>154</v>
      </c>
      <c r="BN313" s="53" t="s">
        <v>1020</v>
      </c>
      <c r="BO313" s="53" t="s">
        <v>1021</v>
      </c>
      <c r="BP313" s="53" t="s">
        <v>57</v>
      </c>
      <c r="BQ313" s="53">
        <v>4</v>
      </c>
      <c r="BR313" s="83"/>
      <c r="BS313" s="53"/>
      <c r="BT313" s="53"/>
    </row>
    <row r="314" spans="3:73" ht="14.25" hidden="1" customHeight="1">
      <c r="C314" s="82" t="s">
        <v>13</v>
      </c>
      <c r="D314" s="82" t="s">
        <v>1461</v>
      </c>
      <c r="E314" s="82" t="s">
        <v>1436</v>
      </c>
      <c r="F314" s="82" t="s">
        <v>1296</v>
      </c>
      <c r="G314" s="82">
        <v>1867</v>
      </c>
      <c r="H314" s="82" t="s">
        <v>147</v>
      </c>
      <c r="I314" s="82">
        <v>6</v>
      </c>
      <c r="J314" s="82">
        <v>25.4</v>
      </c>
      <c r="K314" s="82">
        <v>152.39999999999998</v>
      </c>
      <c r="L314" s="26">
        <f t="shared" si="35"/>
        <v>3</v>
      </c>
      <c r="M314" s="26">
        <f t="shared" si="34"/>
        <v>3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>
        <v>1</v>
      </c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>
        <v>2</v>
      </c>
      <c r="BF314" s="26"/>
      <c r="BG314" s="26"/>
      <c r="BH314" s="26"/>
      <c r="BI314" s="67" t="e">
        <f>SUMIFS([1]Up!$J:$J,[1]Up!$D:$D,D314)</f>
        <v>#VALUE!</v>
      </c>
      <c r="BJ314" s="82"/>
      <c r="BK314" s="82" t="str">
        <f t="shared" si="36"/>
        <v>PL12</v>
      </c>
      <c r="BL314" s="53" t="str">
        <f t="shared" si="37"/>
        <v/>
      </c>
      <c r="BM314" s="53" t="s">
        <v>148</v>
      </c>
      <c r="BN314" s="53" t="s">
        <v>1020</v>
      </c>
      <c r="BO314" s="53" t="s">
        <v>1021</v>
      </c>
      <c r="BP314" s="84" t="s">
        <v>2159</v>
      </c>
      <c r="BQ314" s="53">
        <v>12</v>
      </c>
      <c r="BR314" s="83">
        <v>46302</v>
      </c>
      <c r="BS314" s="53"/>
      <c r="BT314" s="53"/>
      <c r="BU314" s="238"/>
    </row>
    <row r="315" spans="3:73" ht="14.25" hidden="1" customHeight="1">
      <c r="C315" s="82" t="s">
        <v>13</v>
      </c>
      <c r="D315" s="82" t="s">
        <v>1462</v>
      </c>
      <c r="E315" s="82" t="s">
        <v>1438</v>
      </c>
      <c r="F315" s="82" t="s">
        <v>1296</v>
      </c>
      <c r="G315" s="82">
        <v>2149</v>
      </c>
      <c r="H315" s="82" t="s">
        <v>147</v>
      </c>
      <c r="I315" s="82">
        <v>6</v>
      </c>
      <c r="J315" s="82">
        <v>33.5</v>
      </c>
      <c r="K315" s="82">
        <v>201</v>
      </c>
      <c r="L315" s="26">
        <f t="shared" si="35"/>
        <v>3</v>
      </c>
      <c r="M315" s="26">
        <f t="shared" si="34"/>
        <v>3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>
        <v>3</v>
      </c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67" t="e">
        <f>SUMIFS([1]Up!$J:$J,[1]Up!$D:$D,D315)</f>
        <v>#VALUE!</v>
      </c>
      <c r="BJ315" s="82"/>
      <c r="BK315" s="82" t="str">
        <f t="shared" si="36"/>
        <v>PL12</v>
      </c>
      <c r="BL315" s="53" t="str">
        <f t="shared" si="37"/>
        <v/>
      </c>
      <c r="BM315" s="53" t="s">
        <v>148</v>
      </c>
      <c r="BN315" s="53" t="s">
        <v>1020</v>
      </c>
      <c r="BO315" s="53" t="s">
        <v>1021</v>
      </c>
      <c r="BP315" s="84" t="s">
        <v>2159</v>
      </c>
      <c r="BQ315" s="53">
        <v>12</v>
      </c>
      <c r="BR315" s="83">
        <v>46302</v>
      </c>
      <c r="BS315" s="53"/>
      <c r="BT315" s="53"/>
      <c r="BU315" s="238"/>
    </row>
    <row r="316" spans="3:73" ht="14.25" hidden="1" customHeight="1">
      <c r="C316" s="82" t="s">
        <v>13</v>
      </c>
      <c r="D316" s="82" t="s">
        <v>1463</v>
      </c>
      <c r="E316" s="82" t="s">
        <v>1125</v>
      </c>
      <c r="F316" s="82" t="s">
        <v>1296</v>
      </c>
      <c r="G316" s="82">
        <v>200</v>
      </c>
      <c r="H316" s="82" t="s">
        <v>147</v>
      </c>
      <c r="I316" s="82">
        <v>4</v>
      </c>
      <c r="J316" s="82">
        <v>5.5</v>
      </c>
      <c r="K316" s="82">
        <v>22</v>
      </c>
      <c r="L316" s="26">
        <f t="shared" si="35"/>
        <v>2</v>
      </c>
      <c r="M316" s="26">
        <f t="shared" si="34"/>
        <v>2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>
        <v>2</v>
      </c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67" t="e">
        <f>SUMIFS([1]Up!$J:$J,[1]Up!$D:$D,D316)</f>
        <v>#VALUE!</v>
      </c>
      <c r="BJ316" s="82"/>
      <c r="BK316" s="82" t="str">
        <f t="shared" si="36"/>
        <v>PL15</v>
      </c>
      <c r="BL316" s="53" t="str">
        <f t="shared" si="37"/>
        <v/>
      </c>
      <c r="BM316" s="53" t="s">
        <v>148</v>
      </c>
      <c r="BN316" s="53" t="s">
        <v>1093</v>
      </c>
      <c r="BO316" s="53" t="s">
        <v>1094</v>
      </c>
      <c r="BP316" s="84" t="s">
        <v>2155</v>
      </c>
      <c r="BQ316" s="53">
        <v>8</v>
      </c>
      <c r="BR316" s="83" t="s">
        <v>2224</v>
      </c>
      <c r="BS316" s="53"/>
      <c r="BT316" s="53"/>
      <c r="BU316" s="238"/>
    </row>
    <row r="317" spans="3:73" ht="14.25" hidden="1" customHeight="1">
      <c r="C317" s="82" t="s">
        <v>13</v>
      </c>
      <c r="D317" s="82" t="s">
        <v>1464</v>
      </c>
      <c r="E317" s="82" t="s">
        <v>1123</v>
      </c>
      <c r="F317" s="82" t="s">
        <v>1296</v>
      </c>
      <c r="G317" s="82">
        <v>320</v>
      </c>
      <c r="H317" s="82" t="s">
        <v>147</v>
      </c>
      <c r="I317" s="82">
        <v>4</v>
      </c>
      <c r="J317" s="82">
        <v>7.6</v>
      </c>
      <c r="K317" s="82">
        <v>30.4</v>
      </c>
      <c r="L317" s="26">
        <f t="shared" si="35"/>
        <v>2</v>
      </c>
      <c r="M317" s="26">
        <f t="shared" si="34"/>
        <v>2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>
        <v>2</v>
      </c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67" t="e">
        <f>SUMIFS([1]Up!$J:$J,[1]Up!$D:$D,D317)</f>
        <v>#VALUE!</v>
      </c>
      <c r="BJ317" s="82"/>
      <c r="BK317" s="82" t="str">
        <f t="shared" si="36"/>
        <v>PL20</v>
      </c>
      <c r="BL317" s="53" t="str">
        <f t="shared" si="37"/>
        <v/>
      </c>
      <c r="BM317" s="53" t="s">
        <v>148</v>
      </c>
      <c r="BN317" s="53" t="s">
        <v>1099</v>
      </c>
      <c r="BO317" s="53" t="s">
        <v>1100</v>
      </c>
      <c r="BP317" s="84" t="s">
        <v>2157</v>
      </c>
      <c r="BQ317" s="53">
        <v>8</v>
      </c>
      <c r="BR317" s="83">
        <v>46242</v>
      </c>
      <c r="BS317" s="53"/>
      <c r="BT317" s="53"/>
      <c r="BU317" s="238"/>
    </row>
    <row r="318" spans="3:73" ht="14.25" hidden="1" customHeight="1">
      <c r="C318" s="82" t="s">
        <v>13</v>
      </c>
      <c r="D318" s="82" t="s">
        <v>1465</v>
      </c>
      <c r="E318" s="82" t="s">
        <v>1410</v>
      </c>
      <c r="F318" s="82" t="s">
        <v>1084</v>
      </c>
      <c r="G318" s="82">
        <v>2635</v>
      </c>
      <c r="H318" s="82" t="s">
        <v>147</v>
      </c>
      <c r="I318" s="82">
        <v>2</v>
      </c>
      <c r="J318" s="82">
        <v>441.5</v>
      </c>
      <c r="K318" s="82">
        <v>883</v>
      </c>
      <c r="L318" s="26">
        <f t="shared" si="35"/>
        <v>0</v>
      </c>
      <c r="M318" s="26">
        <f t="shared" si="34"/>
        <v>2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67" t="e">
        <f>SUMIFS([1]Up!$J:$J,[1]Up!$D:$D,D318)</f>
        <v>#VALUE!</v>
      </c>
      <c r="BJ318" s="82"/>
      <c r="BK318" s="82" t="str">
        <f t="shared" si="36"/>
        <v>PL12</v>
      </c>
      <c r="BL318" s="53" t="str">
        <f t="shared" si="37"/>
        <v/>
      </c>
      <c r="BM318" s="53" t="s">
        <v>154</v>
      </c>
      <c r="BN318" s="53" t="s">
        <v>1020</v>
      </c>
      <c r="BO318" s="53" t="s">
        <v>1021</v>
      </c>
      <c r="BP318" s="84" t="s">
        <v>2154</v>
      </c>
      <c r="BQ318" s="53">
        <v>4</v>
      </c>
      <c r="BR318" s="83" t="s">
        <v>2227</v>
      </c>
      <c r="BS318" s="53"/>
      <c r="BT318" s="53"/>
      <c r="BU318" s="238"/>
    </row>
    <row r="319" spans="3:73" ht="14.25" hidden="1" customHeight="1">
      <c r="C319" s="82" t="s">
        <v>13</v>
      </c>
      <c r="D319" s="82" t="s">
        <v>1466</v>
      </c>
      <c r="E319" s="82" t="s">
        <v>1412</v>
      </c>
      <c r="F319" s="82" t="s">
        <v>1084</v>
      </c>
      <c r="G319" s="82">
        <v>5608</v>
      </c>
      <c r="H319" s="82" t="s">
        <v>147</v>
      </c>
      <c r="I319" s="82">
        <v>2</v>
      </c>
      <c r="J319" s="82">
        <v>1388.4</v>
      </c>
      <c r="K319" s="82">
        <v>2776.8</v>
      </c>
      <c r="L319" s="26">
        <f t="shared" si="35"/>
        <v>2</v>
      </c>
      <c r="M319" s="26">
        <f t="shared" si="34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>
        <f>1+1</f>
        <v>2</v>
      </c>
      <c r="AO319" s="26"/>
      <c r="AP319" s="26">
        <v>1</v>
      </c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67" t="e">
        <f>SUMIFS([1]Up!$J:$J,[1]Up!$D:$D,D319)</f>
        <v>#VALUE!</v>
      </c>
      <c r="BJ319" s="82" t="s">
        <v>2077</v>
      </c>
      <c r="BK319" s="82" t="str">
        <f t="shared" si="36"/>
        <v>PL12</v>
      </c>
      <c r="BL319" s="53" t="str">
        <f t="shared" si="37"/>
        <v>Thừa 1</v>
      </c>
      <c r="BM319" s="53" t="s">
        <v>154</v>
      </c>
      <c r="BN319" s="53" t="s">
        <v>1020</v>
      </c>
      <c r="BO319" s="53" t="s">
        <v>1021</v>
      </c>
      <c r="BP319" s="53" t="s">
        <v>57</v>
      </c>
      <c r="BQ319" s="53">
        <v>4</v>
      </c>
      <c r="BR319" s="83"/>
      <c r="BS319" s="53"/>
      <c r="BT319" s="53"/>
    </row>
    <row r="320" spans="3:73" ht="14.25" hidden="1" customHeight="1">
      <c r="C320" s="82" t="s">
        <v>13</v>
      </c>
      <c r="D320" s="82" t="s">
        <v>1467</v>
      </c>
      <c r="E320" s="82" t="s">
        <v>1414</v>
      </c>
      <c r="F320" s="82" t="s">
        <v>1296</v>
      </c>
      <c r="G320" s="82">
        <v>2225</v>
      </c>
      <c r="H320" s="82" t="s">
        <v>147</v>
      </c>
      <c r="I320" s="82">
        <v>6</v>
      </c>
      <c r="J320" s="82">
        <v>31.8</v>
      </c>
      <c r="K320" s="82">
        <v>190.8</v>
      </c>
      <c r="L320" s="26">
        <f t="shared" si="35"/>
        <v>3</v>
      </c>
      <c r="M320" s="26">
        <f t="shared" si="34"/>
        <v>3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>
        <v>3</v>
      </c>
      <c r="BF320" s="26"/>
      <c r="BG320" s="26"/>
      <c r="BH320" s="26"/>
      <c r="BI320" s="67" t="e">
        <f>SUMIFS([1]Up!$J:$J,[1]Up!$D:$D,D320)</f>
        <v>#VALUE!</v>
      </c>
      <c r="BJ320" s="82"/>
      <c r="BK320" s="82" t="str">
        <f t="shared" si="36"/>
        <v>PL12</v>
      </c>
      <c r="BL320" s="53" t="str">
        <f t="shared" si="37"/>
        <v/>
      </c>
      <c r="BM320" s="53" t="s">
        <v>148</v>
      </c>
      <c r="BN320" s="53" t="s">
        <v>1020</v>
      </c>
      <c r="BO320" s="53" t="s">
        <v>1021</v>
      </c>
      <c r="BP320" s="84" t="s">
        <v>2159</v>
      </c>
      <c r="BQ320" s="53">
        <v>12</v>
      </c>
      <c r="BR320" s="83">
        <v>46302</v>
      </c>
      <c r="BS320" s="53"/>
      <c r="BT320" s="53"/>
      <c r="BU320" s="238"/>
    </row>
    <row r="321" spans="3:73" ht="14.25" hidden="1" customHeight="1">
      <c r="C321" s="82" t="s">
        <v>13</v>
      </c>
      <c r="D321" s="82" t="s">
        <v>1468</v>
      </c>
      <c r="E321" s="82" t="s">
        <v>1416</v>
      </c>
      <c r="F321" s="82" t="s">
        <v>1296</v>
      </c>
      <c r="G321" s="82">
        <v>2562</v>
      </c>
      <c r="H321" s="82" t="s">
        <v>147</v>
      </c>
      <c r="I321" s="82">
        <v>6</v>
      </c>
      <c r="J321" s="82">
        <v>41.9</v>
      </c>
      <c r="K321" s="82">
        <v>251.39999999999998</v>
      </c>
      <c r="L321" s="26">
        <f t="shared" si="35"/>
        <v>3</v>
      </c>
      <c r="M321" s="26">
        <f t="shared" si="34"/>
        <v>3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>
        <v>3</v>
      </c>
      <c r="BF321" s="26"/>
      <c r="BG321" s="26"/>
      <c r="BH321" s="26"/>
      <c r="BI321" s="67" t="e">
        <f>SUMIFS([1]Up!$J:$J,[1]Up!$D:$D,D321)</f>
        <v>#VALUE!</v>
      </c>
      <c r="BJ321" s="82"/>
      <c r="BK321" s="82" t="str">
        <f t="shared" si="36"/>
        <v>PL12</v>
      </c>
      <c r="BL321" s="53" t="str">
        <f t="shared" si="37"/>
        <v/>
      </c>
      <c r="BM321" s="53" t="s">
        <v>148</v>
      </c>
      <c r="BN321" s="53" t="s">
        <v>1020</v>
      </c>
      <c r="BO321" s="53" t="s">
        <v>1021</v>
      </c>
      <c r="BP321" s="84" t="s">
        <v>2159</v>
      </c>
      <c r="BQ321" s="53">
        <v>12</v>
      </c>
      <c r="BR321" s="83">
        <v>46302</v>
      </c>
      <c r="BS321" s="53"/>
      <c r="BT321" s="53"/>
      <c r="BU321" s="238"/>
    </row>
    <row r="322" spans="3:73" ht="14.25" hidden="1" customHeight="1">
      <c r="C322" s="82" t="s">
        <v>13</v>
      </c>
      <c r="D322" s="82" t="s">
        <v>1469</v>
      </c>
      <c r="E322" s="82" t="s">
        <v>1429</v>
      </c>
      <c r="F322" s="82" t="s">
        <v>1084</v>
      </c>
      <c r="G322" s="82">
        <v>4023</v>
      </c>
      <c r="H322" s="82" t="s">
        <v>147</v>
      </c>
      <c r="I322" s="82">
        <v>2</v>
      </c>
      <c r="J322" s="82">
        <v>863.8</v>
      </c>
      <c r="K322" s="82">
        <v>1727.6</v>
      </c>
      <c r="L322" s="26">
        <f t="shared" si="35"/>
        <v>2</v>
      </c>
      <c r="M322" s="26">
        <f t="shared" si="34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>
        <v>1</v>
      </c>
      <c r="AO322" s="26"/>
      <c r="AP322" s="26">
        <v>1</v>
      </c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67" t="e">
        <f>SUMIFS([1]Up!$J:$J,[1]Up!$D:$D,D322)</f>
        <v>#VALUE!</v>
      </c>
      <c r="BJ322" s="82" t="s">
        <v>2242</v>
      </c>
      <c r="BK322" s="82" t="str">
        <f t="shared" si="36"/>
        <v>PL12</v>
      </c>
      <c r="BL322" s="53" t="str">
        <f t="shared" si="37"/>
        <v/>
      </c>
      <c r="BM322" s="53" t="s">
        <v>154</v>
      </c>
      <c r="BN322" s="53" t="s">
        <v>1020</v>
      </c>
      <c r="BO322" s="53" t="s">
        <v>1021</v>
      </c>
      <c r="BP322" s="53" t="s">
        <v>57</v>
      </c>
      <c r="BQ322" s="53">
        <v>4</v>
      </c>
      <c r="BR322" s="83"/>
      <c r="BS322" s="53"/>
      <c r="BT322" s="53"/>
    </row>
    <row r="323" spans="3:73" ht="14.25" hidden="1" customHeight="1">
      <c r="C323" s="82" t="s">
        <v>13</v>
      </c>
      <c r="D323" s="82" t="s">
        <v>1470</v>
      </c>
      <c r="E323" s="82" t="s">
        <v>1410</v>
      </c>
      <c r="F323" s="82" t="s">
        <v>1084</v>
      </c>
      <c r="G323" s="82">
        <v>2635</v>
      </c>
      <c r="H323" s="82" t="s">
        <v>147</v>
      </c>
      <c r="I323" s="82">
        <v>2</v>
      </c>
      <c r="J323" s="82">
        <v>441.5</v>
      </c>
      <c r="K323" s="82">
        <v>883</v>
      </c>
      <c r="L323" s="26">
        <f t="shared" si="35"/>
        <v>0</v>
      </c>
      <c r="M323" s="26">
        <f t="shared" si="34"/>
        <v>2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67" t="e">
        <f>SUMIFS([1]Up!$J:$J,[1]Up!$D:$D,D323)</f>
        <v>#VALUE!</v>
      </c>
      <c r="BJ323" s="82"/>
      <c r="BK323" s="82" t="str">
        <f t="shared" si="36"/>
        <v>PL12</v>
      </c>
      <c r="BL323" s="53" t="str">
        <f t="shared" si="37"/>
        <v/>
      </c>
      <c r="BM323" s="53" t="s">
        <v>154</v>
      </c>
      <c r="BN323" s="53" t="s">
        <v>1020</v>
      </c>
      <c r="BO323" s="53" t="s">
        <v>1021</v>
      </c>
      <c r="BP323" s="84" t="s">
        <v>2154</v>
      </c>
      <c r="BQ323" s="53">
        <v>4</v>
      </c>
      <c r="BR323" s="83" t="s">
        <v>2227</v>
      </c>
      <c r="BS323" s="53"/>
      <c r="BT323" s="53"/>
      <c r="BU323" s="238"/>
    </row>
    <row r="324" spans="3:73" ht="14.25" hidden="1" customHeight="1">
      <c r="C324" s="82" t="s">
        <v>13</v>
      </c>
      <c r="D324" s="82" t="s">
        <v>1471</v>
      </c>
      <c r="E324" s="82" t="s">
        <v>1412</v>
      </c>
      <c r="F324" s="82" t="s">
        <v>1084</v>
      </c>
      <c r="G324" s="82">
        <v>5608</v>
      </c>
      <c r="H324" s="82" t="s">
        <v>147</v>
      </c>
      <c r="I324" s="82">
        <v>2</v>
      </c>
      <c r="J324" s="82">
        <v>1388.4</v>
      </c>
      <c r="K324" s="82">
        <v>2776.8</v>
      </c>
      <c r="L324" s="26">
        <f t="shared" si="35"/>
        <v>2</v>
      </c>
      <c r="M324" s="26">
        <f t="shared" si="34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>
        <v>1</v>
      </c>
      <c r="AO324" s="26"/>
      <c r="AP324" s="26">
        <f>1+1</f>
        <v>2</v>
      </c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67" t="e">
        <f>SUMIFS([1]Up!$J:$J,[1]Up!$D:$D,D324)</f>
        <v>#VALUE!</v>
      </c>
      <c r="BJ324" s="82" t="s">
        <v>2249</v>
      </c>
      <c r="BK324" s="82" t="str">
        <f t="shared" si="36"/>
        <v>PL12</v>
      </c>
      <c r="BL324" s="53" t="str">
        <f t="shared" si="37"/>
        <v>Thừa 1</v>
      </c>
      <c r="BM324" s="53" t="s">
        <v>154</v>
      </c>
      <c r="BN324" s="53" t="s">
        <v>1020</v>
      </c>
      <c r="BO324" s="53" t="s">
        <v>1021</v>
      </c>
      <c r="BP324" s="53" t="s">
        <v>57</v>
      </c>
      <c r="BQ324" s="53">
        <v>4</v>
      </c>
      <c r="BR324" s="83"/>
      <c r="BS324" s="53"/>
      <c r="BT324" s="53"/>
    </row>
    <row r="325" spans="3:73" ht="14.25" hidden="1" customHeight="1">
      <c r="C325" s="82" t="s">
        <v>13</v>
      </c>
      <c r="D325" s="82" t="s">
        <v>1472</v>
      </c>
      <c r="E325" s="82" t="s">
        <v>1414</v>
      </c>
      <c r="F325" s="82" t="s">
        <v>1296</v>
      </c>
      <c r="G325" s="82">
        <v>2225</v>
      </c>
      <c r="H325" s="82" t="s">
        <v>147</v>
      </c>
      <c r="I325" s="82">
        <v>6</v>
      </c>
      <c r="J325" s="82">
        <v>31.8</v>
      </c>
      <c r="K325" s="82">
        <v>190.8</v>
      </c>
      <c r="L325" s="26">
        <f t="shared" si="35"/>
        <v>3</v>
      </c>
      <c r="M325" s="26">
        <f t="shared" si="34"/>
        <v>3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>
        <v>3</v>
      </c>
      <c r="BF325" s="26"/>
      <c r="BG325" s="26"/>
      <c r="BH325" s="26"/>
      <c r="BI325" s="67" t="e">
        <f>SUMIFS([1]Up!$J:$J,[1]Up!$D:$D,D325)</f>
        <v>#VALUE!</v>
      </c>
      <c r="BJ325" s="82"/>
      <c r="BK325" s="82" t="str">
        <f t="shared" si="36"/>
        <v>PL12</v>
      </c>
      <c r="BL325" s="53" t="str">
        <f t="shared" si="37"/>
        <v/>
      </c>
      <c r="BM325" s="53" t="s">
        <v>148</v>
      </c>
      <c r="BN325" s="53" t="s">
        <v>1020</v>
      </c>
      <c r="BO325" s="53" t="s">
        <v>1021</v>
      </c>
      <c r="BP325" s="84" t="s">
        <v>2159</v>
      </c>
      <c r="BQ325" s="53">
        <v>12</v>
      </c>
      <c r="BR325" s="83">
        <v>46302</v>
      </c>
      <c r="BS325" s="53"/>
      <c r="BT325" s="53"/>
      <c r="BU325" s="238"/>
    </row>
    <row r="326" spans="3:73" ht="14.25" hidden="1" customHeight="1">
      <c r="C326" s="82" t="s">
        <v>13</v>
      </c>
      <c r="D326" s="82" t="s">
        <v>1473</v>
      </c>
      <c r="E326" s="82" t="s">
        <v>1416</v>
      </c>
      <c r="F326" s="82" t="s">
        <v>1296</v>
      </c>
      <c r="G326" s="82">
        <v>2562</v>
      </c>
      <c r="H326" s="82" t="s">
        <v>147</v>
      </c>
      <c r="I326" s="82">
        <v>6</v>
      </c>
      <c r="J326" s="82">
        <v>41.9</v>
      </c>
      <c r="K326" s="82">
        <v>251.39999999999998</v>
      </c>
      <c r="L326" s="26">
        <f t="shared" si="35"/>
        <v>3</v>
      </c>
      <c r="M326" s="26">
        <f t="shared" si="34"/>
        <v>3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>
        <v>3</v>
      </c>
      <c r="BF326" s="26"/>
      <c r="BG326" s="26"/>
      <c r="BH326" s="26"/>
      <c r="BI326" s="67" t="e">
        <f>SUMIFS([1]Up!$J:$J,[1]Up!$D:$D,D326)</f>
        <v>#VALUE!</v>
      </c>
      <c r="BJ326" s="82"/>
      <c r="BK326" s="82" t="str">
        <f t="shared" si="36"/>
        <v>PL12</v>
      </c>
      <c r="BL326" s="53" t="str">
        <f t="shared" si="37"/>
        <v/>
      </c>
      <c r="BM326" s="53" t="s">
        <v>148</v>
      </c>
      <c r="BN326" s="53" t="s">
        <v>1020</v>
      </c>
      <c r="BO326" s="53" t="s">
        <v>1021</v>
      </c>
      <c r="BP326" s="84" t="s">
        <v>2159</v>
      </c>
      <c r="BQ326" s="53">
        <v>12</v>
      </c>
      <c r="BR326" s="83">
        <v>46302</v>
      </c>
      <c r="BS326" s="53"/>
      <c r="BT326" s="53"/>
      <c r="BU326" s="238"/>
    </row>
    <row r="327" spans="3:73" ht="14.25" hidden="1" customHeight="1">
      <c r="C327" s="82" t="s">
        <v>13</v>
      </c>
      <c r="D327" s="82" t="s">
        <v>1474</v>
      </c>
      <c r="E327" s="82" t="s">
        <v>1429</v>
      </c>
      <c r="F327" s="82" t="s">
        <v>1084</v>
      </c>
      <c r="G327" s="82">
        <v>4023</v>
      </c>
      <c r="H327" s="82" t="s">
        <v>147</v>
      </c>
      <c r="I327" s="82">
        <v>2</v>
      </c>
      <c r="J327" s="82">
        <v>863.8</v>
      </c>
      <c r="K327" s="82">
        <v>1727.6</v>
      </c>
      <c r="L327" s="26">
        <f t="shared" si="35"/>
        <v>2</v>
      </c>
      <c r="M327" s="26">
        <f t="shared" si="34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>
        <v>1</v>
      </c>
      <c r="AO327" s="26"/>
      <c r="AP327" s="26">
        <v>1</v>
      </c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67" t="e">
        <f>SUMIFS([1]Up!$J:$J,[1]Up!$D:$D,D327)</f>
        <v>#VALUE!</v>
      </c>
      <c r="BJ327" s="82" t="s">
        <v>2242</v>
      </c>
      <c r="BK327" s="82" t="str">
        <f t="shared" si="36"/>
        <v>PL12</v>
      </c>
      <c r="BL327" s="53" t="str">
        <f t="shared" si="37"/>
        <v/>
      </c>
      <c r="BM327" s="53" t="s">
        <v>154</v>
      </c>
      <c r="BN327" s="53" t="s">
        <v>1020</v>
      </c>
      <c r="BO327" s="53" t="s">
        <v>1021</v>
      </c>
      <c r="BP327" s="53" t="s">
        <v>57</v>
      </c>
      <c r="BQ327" s="53">
        <v>4</v>
      </c>
      <c r="BR327" s="83"/>
      <c r="BS327" s="53"/>
      <c r="BT327" s="53"/>
    </row>
    <row r="328" spans="3:73" ht="14.25" hidden="1" customHeight="1">
      <c r="C328" s="82" t="s">
        <v>11</v>
      </c>
      <c r="D328" s="82" t="s">
        <v>1475</v>
      </c>
      <c r="E328" s="82" t="s">
        <v>1075</v>
      </c>
      <c r="F328" s="82" t="s">
        <v>1076</v>
      </c>
      <c r="G328" s="82">
        <v>812</v>
      </c>
      <c r="H328" s="82" t="s">
        <v>1077</v>
      </c>
      <c r="I328" s="82">
        <v>3</v>
      </c>
      <c r="J328" s="82">
        <v>13.05696</v>
      </c>
      <c r="K328" s="82">
        <v>39.170879999999997</v>
      </c>
      <c r="L328" s="26">
        <f t="shared" si="35"/>
        <v>3</v>
      </c>
      <c r="M328" s="26">
        <f t="shared" si="34"/>
        <v>0</v>
      </c>
      <c r="N328" s="26"/>
      <c r="O328" s="26"/>
      <c r="P328" s="26"/>
      <c r="Q328" s="26"/>
      <c r="R328" s="26"/>
      <c r="S328" s="26">
        <v>3</v>
      </c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67" t="e">
        <f>SUMIFS([1]Up!$J:$J,[1]Up!$D:$D,D328)</f>
        <v>#VALUE!</v>
      </c>
      <c r="BJ328" s="82"/>
      <c r="BK328" s="82" t="str">
        <f t="shared" si="36"/>
        <v/>
      </c>
      <c r="BL328" s="53" t="str">
        <f t="shared" si="37"/>
        <v/>
      </c>
      <c r="BM328" s="53" t="s">
        <v>148</v>
      </c>
      <c r="BN328" s="53" t="s">
        <v>1078</v>
      </c>
      <c r="BO328" s="53" t="s">
        <v>1075</v>
      </c>
      <c r="BP328" s="53" t="s">
        <v>1289</v>
      </c>
      <c r="BQ328" s="53">
        <v>3</v>
      </c>
      <c r="BR328" s="83">
        <v>46362</v>
      </c>
      <c r="BS328" s="53"/>
      <c r="BT328" s="53"/>
    </row>
    <row r="329" spans="3:73" ht="14.25" hidden="1" customHeight="1">
      <c r="C329" s="82" t="s">
        <v>13</v>
      </c>
      <c r="D329" s="82" t="s">
        <v>1476</v>
      </c>
      <c r="E329" s="82" t="s">
        <v>1477</v>
      </c>
      <c r="F329" s="82" t="s">
        <v>1084</v>
      </c>
      <c r="G329" s="82">
        <v>3622</v>
      </c>
      <c r="H329" s="82" t="s">
        <v>147</v>
      </c>
      <c r="I329" s="82">
        <v>1</v>
      </c>
      <c r="J329" s="82">
        <v>493.5</v>
      </c>
      <c r="K329" s="82">
        <v>493.5</v>
      </c>
      <c r="L329" s="26">
        <f t="shared" si="35"/>
        <v>1</v>
      </c>
      <c r="M329" s="26">
        <f t="shared" si="34"/>
        <v>0</v>
      </c>
      <c r="N329" s="26"/>
      <c r="O329" s="26"/>
      <c r="P329" s="26"/>
      <c r="Q329" s="26"/>
      <c r="R329" s="26"/>
      <c r="S329" s="26"/>
      <c r="T329" s="26"/>
      <c r="U329" s="26">
        <v>1</v>
      </c>
      <c r="V329" s="26"/>
      <c r="W329" s="26"/>
      <c r="X329" s="26"/>
      <c r="Y329" s="26"/>
      <c r="Z329" s="26"/>
      <c r="AA329" s="26"/>
      <c r="AB329" s="26"/>
      <c r="AC329" s="26"/>
      <c r="AD329" s="26">
        <v>1</v>
      </c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67" t="e">
        <f>SUMIFS([1]Up!$J:$J,[1]Up!$D:$D,D329)</f>
        <v>#VALUE!</v>
      </c>
      <c r="BJ329" s="82" t="s">
        <v>2228</v>
      </c>
      <c r="BK329" s="82" t="str">
        <f t="shared" si="36"/>
        <v>PL10</v>
      </c>
      <c r="BL329" s="53" t="str">
        <f t="shared" si="37"/>
        <v>Thừa 1</v>
      </c>
      <c r="BM329" s="53" t="s">
        <v>154</v>
      </c>
      <c r="BN329" s="53" t="s">
        <v>1004</v>
      </c>
      <c r="BO329" s="53" t="s">
        <v>1005</v>
      </c>
      <c r="BP329" s="53" t="s">
        <v>57</v>
      </c>
      <c r="BQ329" s="53">
        <v>1</v>
      </c>
      <c r="BR329" s="83"/>
      <c r="BS329" s="53"/>
      <c r="BT329" s="53"/>
    </row>
    <row r="330" spans="3:73" ht="14.25" hidden="1" customHeight="1">
      <c r="C330" s="82" t="s">
        <v>13</v>
      </c>
      <c r="D330" s="82" t="s">
        <v>1478</v>
      </c>
      <c r="E330" s="82" t="s">
        <v>1479</v>
      </c>
      <c r="F330" s="82" t="s">
        <v>1084</v>
      </c>
      <c r="G330" s="82">
        <v>5089</v>
      </c>
      <c r="H330" s="82" t="s">
        <v>147</v>
      </c>
      <c r="I330" s="82">
        <v>1</v>
      </c>
      <c r="J330" s="82">
        <v>325.5</v>
      </c>
      <c r="K330" s="82">
        <v>325.5</v>
      </c>
      <c r="L330" s="26">
        <f t="shared" si="35"/>
        <v>1</v>
      </c>
      <c r="M330" s="26">
        <f t="shared" si="34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>
        <f>1+1</f>
        <v>2</v>
      </c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67" t="e">
        <f>SUMIFS([1]Up!$J:$J,[1]Up!$D:$D,D330)</f>
        <v>#VALUE!</v>
      </c>
      <c r="BJ330" s="82" t="s">
        <v>2073</v>
      </c>
      <c r="BK330" s="82" t="str">
        <f t="shared" si="36"/>
        <v>PL12</v>
      </c>
      <c r="BL330" s="53" t="str">
        <f t="shared" si="37"/>
        <v>Thừa 1</v>
      </c>
      <c r="BM330" s="53" t="s">
        <v>154</v>
      </c>
      <c r="BN330" s="53" t="s">
        <v>1020</v>
      </c>
      <c r="BO330" s="53" t="s">
        <v>1021</v>
      </c>
      <c r="BP330" s="53" t="s">
        <v>57</v>
      </c>
      <c r="BQ330" s="53">
        <v>1</v>
      </c>
      <c r="BR330" s="83"/>
      <c r="BS330" s="53"/>
      <c r="BT330" s="53"/>
    </row>
    <row r="331" spans="3:73" ht="14.25" hidden="1" customHeight="1">
      <c r="C331" s="82" t="s">
        <v>13</v>
      </c>
      <c r="D331" s="82" t="s">
        <v>1480</v>
      </c>
      <c r="E331" s="82" t="s">
        <v>1479</v>
      </c>
      <c r="F331" s="82" t="s">
        <v>1084</v>
      </c>
      <c r="G331" s="82">
        <v>5089</v>
      </c>
      <c r="H331" s="82" t="s">
        <v>147</v>
      </c>
      <c r="I331" s="82">
        <v>1</v>
      </c>
      <c r="J331" s="82">
        <v>325.5</v>
      </c>
      <c r="K331" s="82">
        <v>325.5</v>
      </c>
      <c r="L331" s="26">
        <f t="shared" si="35"/>
        <v>1</v>
      </c>
      <c r="M331" s="26">
        <f t="shared" si="34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>
        <v>2</v>
      </c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67" t="e">
        <f>SUMIFS([1]Up!$J:$J,[1]Up!$D:$D,D331)</f>
        <v>#VALUE!</v>
      </c>
      <c r="BJ331" s="82" t="s">
        <v>2073</v>
      </c>
      <c r="BK331" s="82" t="str">
        <f t="shared" si="36"/>
        <v>PL12</v>
      </c>
      <c r="BL331" s="53" t="str">
        <f t="shared" si="37"/>
        <v>Thừa 1</v>
      </c>
      <c r="BM331" s="53" t="s">
        <v>154</v>
      </c>
      <c r="BN331" s="53" t="s">
        <v>1020</v>
      </c>
      <c r="BO331" s="53" t="s">
        <v>1021</v>
      </c>
      <c r="BP331" s="53" t="s">
        <v>57</v>
      </c>
      <c r="BQ331" s="53">
        <v>1</v>
      </c>
      <c r="BR331" s="83"/>
      <c r="BS331" s="53"/>
      <c r="BT331" s="53"/>
    </row>
    <row r="332" spans="3:73" ht="14.25" hidden="1" customHeight="1">
      <c r="C332" s="82" t="s">
        <v>13</v>
      </c>
      <c r="D332" s="82" t="s">
        <v>1481</v>
      </c>
      <c r="E332" s="82" t="s">
        <v>1482</v>
      </c>
      <c r="F332" s="82" t="s">
        <v>1296</v>
      </c>
      <c r="G332" s="82">
        <v>630</v>
      </c>
      <c r="H332" s="82" t="s">
        <v>147</v>
      </c>
      <c r="I332" s="82">
        <v>3</v>
      </c>
      <c r="J332" s="82">
        <v>8.1</v>
      </c>
      <c r="K332" s="82">
        <v>24.299999999999997</v>
      </c>
      <c r="L332" s="26">
        <f t="shared" si="35"/>
        <v>3</v>
      </c>
      <c r="M332" s="26">
        <f t="shared" si="34"/>
        <v>0</v>
      </c>
      <c r="N332" s="26"/>
      <c r="O332" s="26">
        <v>3</v>
      </c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67" t="e">
        <f>SUMIFS([1]Up!$J:$J,[1]Up!$D:$D,D332)</f>
        <v>#VALUE!</v>
      </c>
      <c r="BJ332" s="82"/>
      <c r="BK332" s="82" t="str">
        <f t="shared" si="36"/>
        <v>PL12</v>
      </c>
      <c r="BL332" s="53" t="str">
        <f t="shared" si="37"/>
        <v/>
      </c>
      <c r="BM332" s="53" t="s">
        <v>148</v>
      </c>
      <c r="BN332" s="53" t="s">
        <v>1020</v>
      </c>
      <c r="BO332" s="53" t="s">
        <v>1021</v>
      </c>
      <c r="BP332" s="53" t="s">
        <v>1022</v>
      </c>
      <c r="BQ332" s="53">
        <v>3</v>
      </c>
      <c r="BR332" s="83">
        <v>46088</v>
      </c>
      <c r="BS332" s="53"/>
      <c r="BT332" s="53"/>
    </row>
    <row r="333" spans="3:73" ht="14.25" hidden="1" customHeight="1">
      <c r="C333" s="82" t="s">
        <v>13</v>
      </c>
      <c r="D333" s="82" t="s">
        <v>1483</v>
      </c>
      <c r="E333" s="82" t="s">
        <v>1482</v>
      </c>
      <c r="F333" s="82" t="s">
        <v>1296</v>
      </c>
      <c r="G333" s="82">
        <v>630</v>
      </c>
      <c r="H333" s="82" t="s">
        <v>147</v>
      </c>
      <c r="I333" s="82">
        <v>3</v>
      </c>
      <c r="J333" s="82">
        <v>8.1</v>
      </c>
      <c r="K333" s="82">
        <v>24.299999999999997</v>
      </c>
      <c r="L333" s="26">
        <f t="shared" si="35"/>
        <v>3</v>
      </c>
      <c r="M333" s="26">
        <f t="shared" si="34"/>
        <v>0</v>
      </c>
      <c r="N333" s="26"/>
      <c r="O333" s="26">
        <v>3</v>
      </c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67" t="e">
        <f>SUMIFS([1]Up!$J:$J,[1]Up!$D:$D,D333)</f>
        <v>#VALUE!</v>
      </c>
      <c r="BJ333" s="82"/>
      <c r="BK333" s="82" t="str">
        <f t="shared" si="36"/>
        <v>PL12</v>
      </c>
      <c r="BL333" s="53" t="str">
        <f t="shared" si="37"/>
        <v/>
      </c>
      <c r="BM333" s="53" t="s">
        <v>148</v>
      </c>
      <c r="BN333" s="53" t="s">
        <v>1020</v>
      </c>
      <c r="BO333" s="53" t="s">
        <v>1021</v>
      </c>
      <c r="BP333" s="53" t="s">
        <v>1022</v>
      </c>
      <c r="BQ333" s="53">
        <v>3</v>
      </c>
      <c r="BR333" s="83">
        <v>46088</v>
      </c>
      <c r="BS333" s="53"/>
      <c r="BT333" s="53"/>
    </row>
    <row r="334" spans="3:73" ht="14.25" hidden="1" customHeight="1">
      <c r="C334" s="82" t="s">
        <v>13</v>
      </c>
      <c r="D334" s="82" t="s">
        <v>1484</v>
      </c>
      <c r="E334" s="82" t="s">
        <v>1163</v>
      </c>
      <c r="F334" s="82" t="s">
        <v>1296</v>
      </c>
      <c r="G334" s="82">
        <v>400</v>
      </c>
      <c r="H334" s="82" t="s">
        <v>147</v>
      </c>
      <c r="I334" s="82">
        <v>6</v>
      </c>
      <c r="J334" s="82">
        <v>4.5</v>
      </c>
      <c r="K334" s="82">
        <v>27</v>
      </c>
      <c r="L334" s="26">
        <f t="shared" si="35"/>
        <v>6</v>
      </c>
      <c r="M334" s="26">
        <f t="shared" si="34"/>
        <v>0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>
        <v>6</v>
      </c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67" t="e">
        <f>SUMIFS([1]Up!$J:$J,[1]Up!$D:$D,D334)</f>
        <v>#VALUE!</v>
      </c>
      <c r="BJ334" s="82"/>
      <c r="BK334" s="82" t="str">
        <f t="shared" si="36"/>
        <v>PL16</v>
      </c>
      <c r="BL334" s="53" t="str">
        <f t="shared" si="37"/>
        <v/>
      </c>
      <c r="BM334" s="53" t="s">
        <v>148</v>
      </c>
      <c r="BN334" s="53" t="s">
        <v>987</v>
      </c>
      <c r="BO334" s="53" t="s">
        <v>988</v>
      </c>
      <c r="BP334" s="53" t="s">
        <v>989</v>
      </c>
      <c r="BQ334" s="53">
        <v>6</v>
      </c>
      <c r="BR334" s="83" t="s">
        <v>2222</v>
      </c>
      <c r="BS334" s="53"/>
      <c r="BT334" s="53"/>
    </row>
    <row r="335" spans="3:73" ht="14.25" hidden="1" customHeight="1">
      <c r="C335" s="82" t="s">
        <v>13</v>
      </c>
      <c r="D335" s="82" t="s">
        <v>1485</v>
      </c>
      <c r="E335" s="82" t="s">
        <v>1228</v>
      </c>
      <c r="F335" s="82" t="s">
        <v>1296</v>
      </c>
      <c r="G335" s="82">
        <v>1712</v>
      </c>
      <c r="H335" s="82" t="s">
        <v>147</v>
      </c>
      <c r="I335" s="82">
        <v>1</v>
      </c>
      <c r="J335" s="82">
        <v>86</v>
      </c>
      <c r="K335" s="82">
        <v>86</v>
      </c>
      <c r="L335" s="26">
        <f t="shared" si="35"/>
        <v>1</v>
      </c>
      <c r="M335" s="26">
        <f t="shared" si="34"/>
        <v>0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>
        <v>1</v>
      </c>
      <c r="BI335" s="67" t="e">
        <f>SUMIFS([1]Up!$J:$J,[1]Up!$D:$D,D335)</f>
        <v>#VALUE!</v>
      </c>
      <c r="BJ335" s="82"/>
      <c r="BK335" s="82" t="str">
        <f t="shared" si="36"/>
        <v>PL10</v>
      </c>
      <c r="BL335" s="53" t="str">
        <f t="shared" si="37"/>
        <v/>
      </c>
      <c r="BM335" s="53" t="s">
        <v>154</v>
      </c>
      <c r="BN335" s="53" t="s">
        <v>1004</v>
      </c>
      <c r="BO335" s="53" t="s">
        <v>1005</v>
      </c>
      <c r="BP335" s="53" t="s">
        <v>1063</v>
      </c>
      <c r="BQ335" s="53">
        <v>1</v>
      </c>
      <c r="BR335" s="83">
        <v>46088</v>
      </c>
      <c r="BS335" s="53"/>
      <c r="BT335" s="53"/>
    </row>
    <row r="336" spans="3:73" ht="14.25" hidden="1" customHeight="1">
      <c r="C336" s="82" t="s">
        <v>13</v>
      </c>
      <c r="D336" s="82" t="s">
        <v>1486</v>
      </c>
      <c r="E336" s="82" t="s">
        <v>1487</v>
      </c>
      <c r="F336" s="82" t="s">
        <v>1296</v>
      </c>
      <c r="G336" s="82">
        <v>1805</v>
      </c>
      <c r="H336" s="82" t="s">
        <v>147</v>
      </c>
      <c r="I336" s="82">
        <v>2</v>
      </c>
      <c r="J336" s="82">
        <v>54.9</v>
      </c>
      <c r="K336" s="82">
        <v>109.8</v>
      </c>
      <c r="L336" s="26">
        <f t="shared" si="35"/>
        <v>2</v>
      </c>
      <c r="M336" s="26">
        <f t="shared" si="34"/>
        <v>0</v>
      </c>
      <c r="N336" s="26"/>
      <c r="O336" s="26"/>
      <c r="P336" s="26"/>
      <c r="Q336" s="26"/>
      <c r="R336" s="26"/>
      <c r="S336" s="26">
        <v>2</v>
      </c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67" t="e">
        <f>SUMIFS([1]Up!$J:$J,[1]Up!$D:$D,D336)</f>
        <v>#VALUE!</v>
      </c>
      <c r="BJ336" s="82"/>
      <c r="BK336" s="82" t="str">
        <f t="shared" si="36"/>
        <v>PL20</v>
      </c>
      <c r="BL336" s="53" t="str">
        <f t="shared" si="37"/>
        <v/>
      </c>
      <c r="BM336" s="53" t="s">
        <v>148</v>
      </c>
      <c r="BN336" s="53" t="s">
        <v>1099</v>
      </c>
      <c r="BO336" s="53" t="s">
        <v>1100</v>
      </c>
      <c r="BP336" s="53" t="s">
        <v>1307</v>
      </c>
      <c r="BQ336" s="53">
        <v>2</v>
      </c>
      <c r="BR336" s="83">
        <v>46242</v>
      </c>
      <c r="BS336" s="53"/>
      <c r="BT336" s="53"/>
    </row>
    <row r="337" spans="3:72" ht="14.25" hidden="1" customHeight="1">
      <c r="C337" s="82" t="s">
        <v>13</v>
      </c>
      <c r="D337" s="82" t="s">
        <v>1488</v>
      </c>
      <c r="E337" s="82" t="s">
        <v>1489</v>
      </c>
      <c r="F337" s="82" t="s">
        <v>1296</v>
      </c>
      <c r="G337" s="82">
        <v>200</v>
      </c>
      <c r="H337" s="82" t="s">
        <v>147</v>
      </c>
      <c r="I337" s="82">
        <v>3</v>
      </c>
      <c r="J337" s="82">
        <v>8</v>
      </c>
      <c r="K337" s="82">
        <v>24</v>
      </c>
      <c r="L337" s="26">
        <f t="shared" si="35"/>
        <v>3</v>
      </c>
      <c r="M337" s="26">
        <f t="shared" si="34"/>
        <v>0</v>
      </c>
      <c r="N337" s="26"/>
      <c r="O337" s="26"/>
      <c r="P337" s="26"/>
      <c r="Q337" s="26"/>
      <c r="R337" s="26"/>
      <c r="S337" s="26">
        <v>3</v>
      </c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67" t="e">
        <f>SUMIFS([1]Up!$J:$J,[1]Up!$D:$D,D337)</f>
        <v>#VALUE!</v>
      </c>
      <c r="BJ337" s="82"/>
      <c r="BK337" s="82" t="str">
        <f t="shared" si="36"/>
        <v>PL20</v>
      </c>
      <c r="BL337" s="53" t="str">
        <f t="shared" si="37"/>
        <v/>
      </c>
      <c r="BM337" s="53" t="s">
        <v>148</v>
      </c>
      <c r="BN337" s="53" t="s">
        <v>1099</v>
      </c>
      <c r="BO337" s="53" t="s">
        <v>1100</v>
      </c>
      <c r="BP337" s="53" t="s">
        <v>1307</v>
      </c>
      <c r="BQ337" s="53">
        <v>3</v>
      </c>
      <c r="BR337" s="83">
        <v>46242</v>
      </c>
      <c r="BS337" s="53"/>
      <c r="BT337" s="53"/>
    </row>
    <row r="338" spans="3:72" ht="14.25" hidden="1" customHeight="1">
      <c r="C338" s="82" t="s">
        <v>13</v>
      </c>
      <c r="D338" s="82" t="s">
        <v>1490</v>
      </c>
      <c r="E338" s="82" t="s">
        <v>1489</v>
      </c>
      <c r="F338" s="82" t="s">
        <v>1296</v>
      </c>
      <c r="G338" s="82">
        <v>200</v>
      </c>
      <c r="H338" s="82" t="s">
        <v>147</v>
      </c>
      <c r="I338" s="82">
        <v>1</v>
      </c>
      <c r="J338" s="82">
        <v>8</v>
      </c>
      <c r="K338" s="82">
        <v>8</v>
      </c>
      <c r="L338" s="26">
        <f t="shared" si="35"/>
        <v>1</v>
      </c>
      <c r="M338" s="26">
        <f t="shared" si="34"/>
        <v>0</v>
      </c>
      <c r="N338" s="26"/>
      <c r="O338" s="26"/>
      <c r="P338" s="26"/>
      <c r="Q338" s="26"/>
      <c r="R338" s="26"/>
      <c r="S338" s="26">
        <v>1</v>
      </c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67" t="e">
        <f>SUMIFS([1]Up!$J:$J,[1]Up!$D:$D,D338)</f>
        <v>#VALUE!</v>
      </c>
      <c r="BJ338" s="82"/>
      <c r="BK338" s="82" t="str">
        <f t="shared" si="36"/>
        <v>PL20</v>
      </c>
      <c r="BL338" s="53" t="str">
        <f t="shared" si="37"/>
        <v/>
      </c>
      <c r="BM338" s="53" t="s">
        <v>148</v>
      </c>
      <c r="BN338" s="53" t="s">
        <v>1099</v>
      </c>
      <c r="BO338" s="53" t="s">
        <v>1100</v>
      </c>
      <c r="BP338" s="53" t="s">
        <v>1307</v>
      </c>
      <c r="BQ338" s="53">
        <v>1</v>
      </c>
      <c r="BR338" s="83">
        <v>46242</v>
      </c>
      <c r="BS338" s="53"/>
      <c r="BT338" s="53"/>
    </row>
    <row r="339" spans="3:72" ht="14.25" hidden="1" customHeight="1">
      <c r="C339" s="82" t="s">
        <v>13</v>
      </c>
      <c r="D339" s="82" t="s">
        <v>1491</v>
      </c>
      <c r="E339" s="82" t="s">
        <v>1199</v>
      </c>
      <c r="F339" s="82" t="s">
        <v>1296</v>
      </c>
      <c r="G339" s="82">
        <v>640</v>
      </c>
      <c r="H339" s="82" t="s">
        <v>147</v>
      </c>
      <c r="I339" s="82">
        <v>1</v>
      </c>
      <c r="J339" s="82">
        <v>36.200000000000003</v>
      </c>
      <c r="K339" s="82">
        <v>36.200000000000003</v>
      </c>
      <c r="L339" s="26">
        <f t="shared" si="35"/>
        <v>1</v>
      </c>
      <c r="M339" s="26">
        <f t="shared" si="34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>
        <v>1</v>
      </c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67" t="e">
        <f>SUMIFS([1]Up!$J:$J,[1]Up!$D:$D,D339)</f>
        <v>#VALUE!</v>
      </c>
      <c r="BJ339" s="82"/>
      <c r="BK339" s="82" t="str">
        <f t="shared" si="36"/>
        <v>PL30</v>
      </c>
      <c r="BL339" s="53" t="str">
        <f t="shared" si="37"/>
        <v/>
      </c>
      <c r="BM339" s="53" t="s">
        <v>148</v>
      </c>
      <c r="BN339" s="53" t="s">
        <v>1058</v>
      </c>
      <c r="BO339" s="53" t="s">
        <v>1059</v>
      </c>
      <c r="BP339" s="53" t="s">
        <v>1060</v>
      </c>
      <c r="BQ339" s="53">
        <v>1</v>
      </c>
      <c r="BR339" s="83" t="s">
        <v>2222</v>
      </c>
      <c r="BS339" s="53"/>
      <c r="BT339" s="53"/>
    </row>
    <row r="340" spans="3:72" ht="14.25" hidden="1" customHeight="1">
      <c r="C340" s="82" t="s">
        <v>13</v>
      </c>
      <c r="D340" s="82" t="s">
        <v>1492</v>
      </c>
      <c r="E340" s="82" t="s">
        <v>1493</v>
      </c>
      <c r="F340" s="82" t="s">
        <v>1296</v>
      </c>
      <c r="G340" s="82">
        <v>1768</v>
      </c>
      <c r="H340" s="82" t="s">
        <v>147</v>
      </c>
      <c r="I340" s="82">
        <v>1</v>
      </c>
      <c r="J340" s="82">
        <v>20.3</v>
      </c>
      <c r="K340" s="82">
        <v>20.3</v>
      </c>
      <c r="L340" s="26">
        <f t="shared" si="35"/>
        <v>1</v>
      </c>
      <c r="M340" s="26">
        <f t="shared" si="34"/>
        <v>0</v>
      </c>
      <c r="N340" s="26"/>
      <c r="O340" s="26"/>
      <c r="P340" s="26"/>
      <c r="Q340" s="26">
        <v>1</v>
      </c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67" t="e">
        <f>SUMIFS([1]Up!$J:$J,[1]Up!$D:$D,D340)</f>
        <v>#VALUE!</v>
      </c>
      <c r="BJ340" s="82"/>
      <c r="BK340" s="82" t="str">
        <f t="shared" si="36"/>
        <v>PL10</v>
      </c>
      <c r="BL340" s="53" t="str">
        <f t="shared" si="37"/>
        <v/>
      </c>
      <c r="BM340" s="53" t="s">
        <v>148</v>
      </c>
      <c r="BN340" s="53" t="s">
        <v>1004</v>
      </c>
      <c r="BO340" s="53" t="s">
        <v>1005</v>
      </c>
      <c r="BP340" s="53" t="s">
        <v>1063</v>
      </c>
      <c r="BQ340" s="53">
        <v>1</v>
      </c>
      <c r="BR340" s="83">
        <v>46088</v>
      </c>
      <c r="BS340" s="53"/>
      <c r="BT340" s="53"/>
    </row>
    <row r="341" spans="3:72" ht="14.25" hidden="1" customHeight="1">
      <c r="C341" s="82" t="s">
        <v>13</v>
      </c>
      <c r="D341" s="82" t="s">
        <v>1494</v>
      </c>
      <c r="E341" s="82" t="s">
        <v>1495</v>
      </c>
      <c r="F341" s="82" t="s">
        <v>1084</v>
      </c>
      <c r="G341" s="82">
        <v>2391</v>
      </c>
      <c r="H341" s="82" t="s">
        <v>147</v>
      </c>
      <c r="I341" s="82">
        <v>1</v>
      </c>
      <c r="J341" s="82">
        <v>254.7</v>
      </c>
      <c r="K341" s="82">
        <v>254.7</v>
      </c>
      <c r="L341" s="26">
        <f t="shared" si="35"/>
        <v>1</v>
      </c>
      <c r="M341" s="26">
        <f t="shared" si="34"/>
        <v>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>
        <v>3</v>
      </c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67" t="e">
        <f>SUMIFS([1]Up!$J:$J,[1]Up!$D:$D,D341)</f>
        <v>#VALUE!</v>
      </c>
      <c r="BJ341" s="82" t="s">
        <v>2071</v>
      </c>
      <c r="BK341" s="82" t="str">
        <f t="shared" si="36"/>
        <v>PL12</v>
      </c>
      <c r="BL341" s="53" t="str">
        <f t="shared" si="37"/>
        <v>Thừa 2</v>
      </c>
      <c r="BM341" s="53" t="s">
        <v>154</v>
      </c>
      <c r="BN341" s="53" t="s">
        <v>1020</v>
      </c>
      <c r="BO341" s="53" t="s">
        <v>1021</v>
      </c>
      <c r="BP341" s="53" t="s">
        <v>57</v>
      </c>
      <c r="BQ341" s="53">
        <v>1</v>
      </c>
      <c r="BR341" s="83"/>
      <c r="BS341" s="53"/>
      <c r="BT341" s="53"/>
    </row>
    <row r="342" spans="3:72" ht="14.25" hidden="1" customHeight="1">
      <c r="C342" s="82" t="s">
        <v>13</v>
      </c>
      <c r="D342" s="82" t="s">
        <v>1496</v>
      </c>
      <c r="E342" s="82" t="s">
        <v>1497</v>
      </c>
      <c r="F342" s="82" t="s">
        <v>1296</v>
      </c>
      <c r="G342" s="82">
        <v>852</v>
      </c>
      <c r="H342" s="82" t="s">
        <v>147</v>
      </c>
      <c r="I342" s="82">
        <v>1</v>
      </c>
      <c r="J342" s="82">
        <v>9.1999999999999993</v>
      </c>
      <c r="K342" s="82">
        <v>9.1999999999999993</v>
      </c>
      <c r="L342" s="26">
        <f t="shared" si="35"/>
        <v>1</v>
      </c>
      <c r="M342" s="26">
        <f t="shared" si="34"/>
        <v>0</v>
      </c>
      <c r="N342" s="26"/>
      <c r="O342" s="26">
        <v>1</v>
      </c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67" t="e">
        <f>SUMIFS([1]Up!$J:$J,[1]Up!$D:$D,D342)</f>
        <v>#VALUE!</v>
      </c>
      <c r="BJ342" s="82"/>
      <c r="BK342" s="82" t="str">
        <f t="shared" si="36"/>
        <v>PL10</v>
      </c>
      <c r="BL342" s="53" t="str">
        <f t="shared" si="37"/>
        <v/>
      </c>
      <c r="BM342" s="53" t="s">
        <v>148</v>
      </c>
      <c r="BN342" s="53" t="s">
        <v>1004</v>
      </c>
      <c r="BO342" s="53" t="s">
        <v>1005</v>
      </c>
      <c r="BP342" s="53" t="s">
        <v>1063</v>
      </c>
      <c r="BQ342" s="53">
        <v>1</v>
      </c>
      <c r="BR342" s="83">
        <v>46088</v>
      </c>
      <c r="BS342" s="53"/>
      <c r="BT342" s="53"/>
    </row>
    <row r="343" spans="3:72" ht="14.25" hidden="1" customHeight="1">
      <c r="C343" s="82" t="s">
        <v>13</v>
      </c>
      <c r="D343" s="82" t="s">
        <v>1498</v>
      </c>
      <c r="E343" s="82" t="s">
        <v>1157</v>
      </c>
      <c r="F343" s="82" t="s">
        <v>1076</v>
      </c>
      <c r="G343" s="82">
        <v>7104</v>
      </c>
      <c r="H343" s="82" t="s">
        <v>147</v>
      </c>
      <c r="I343" s="82">
        <v>2</v>
      </c>
      <c r="J343" s="82">
        <v>267.7</v>
      </c>
      <c r="K343" s="82">
        <v>535.4</v>
      </c>
      <c r="L343" s="26">
        <f t="shared" si="35"/>
        <v>2</v>
      </c>
      <c r="M343" s="26">
        <f t="shared" si="34"/>
        <v>0</v>
      </c>
      <c r="N343" s="26"/>
      <c r="O343" s="26"/>
      <c r="P343" s="26"/>
      <c r="Q343" s="26"/>
      <c r="R343" s="26">
        <v>2</v>
      </c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67" t="e">
        <f>SUMIFS([1]Up!$J:$J,[1]Up!$D:$D,D343)</f>
        <v>#VALUE!</v>
      </c>
      <c r="BJ343" s="82"/>
      <c r="BK343" s="82" t="str">
        <f t="shared" si="36"/>
        <v>PL15</v>
      </c>
      <c r="BL343" s="53" t="str">
        <f t="shared" si="37"/>
        <v/>
      </c>
      <c r="BM343" s="53" t="s">
        <v>148</v>
      </c>
      <c r="BN343" s="53" t="s">
        <v>1093</v>
      </c>
      <c r="BO343" s="53" t="s">
        <v>1094</v>
      </c>
      <c r="BP343" s="53" t="s">
        <v>1303</v>
      </c>
      <c r="BQ343" s="53">
        <v>2</v>
      </c>
      <c r="BR343" s="83">
        <v>46088</v>
      </c>
      <c r="BS343" s="53"/>
      <c r="BT343" s="53"/>
    </row>
    <row r="344" spans="3:72" ht="14.25" hidden="1" customHeight="1">
      <c r="C344" s="82" t="s">
        <v>13</v>
      </c>
      <c r="D344" s="82" t="s">
        <v>1499</v>
      </c>
      <c r="E344" s="82" t="s">
        <v>1477</v>
      </c>
      <c r="F344" s="82" t="s">
        <v>1084</v>
      </c>
      <c r="G344" s="82">
        <v>3622</v>
      </c>
      <c r="H344" s="82" t="s">
        <v>147</v>
      </c>
      <c r="I344" s="82">
        <v>1</v>
      </c>
      <c r="J344" s="82">
        <v>493.5</v>
      </c>
      <c r="K344" s="82">
        <v>493.5</v>
      </c>
      <c r="L344" s="26">
        <f t="shared" si="35"/>
        <v>1</v>
      </c>
      <c r="M344" s="26">
        <f t="shared" si="34"/>
        <v>0</v>
      </c>
      <c r="N344" s="26"/>
      <c r="O344" s="26"/>
      <c r="P344" s="26"/>
      <c r="Q344" s="26"/>
      <c r="R344" s="26"/>
      <c r="S344" s="26"/>
      <c r="T344" s="26"/>
      <c r="U344" s="26">
        <v>1</v>
      </c>
      <c r="V344" s="26"/>
      <c r="W344" s="26"/>
      <c r="X344" s="26"/>
      <c r="Y344" s="26"/>
      <c r="Z344" s="26"/>
      <c r="AA344" s="26"/>
      <c r="AB344" s="26"/>
      <c r="AC344" s="26"/>
      <c r="AD344" s="26">
        <v>1</v>
      </c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67" t="e">
        <f>SUMIFS([1]Up!$J:$J,[1]Up!$D:$D,D344)</f>
        <v>#VALUE!</v>
      </c>
      <c r="BJ344" s="82" t="s">
        <v>2073</v>
      </c>
      <c r="BK344" s="82" t="str">
        <f t="shared" si="36"/>
        <v>PL10</v>
      </c>
      <c r="BL344" s="53" t="str">
        <f t="shared" si="37"/>
        <v>Thừa 1</v>
      </c>
      <c r="BM344" s="53" t="s">
        <v>154</v>
      </c>
      <c r="BN344" s="53" t="s">
        <v>1004</v>
      </c>
      <c r="BO344" s="53" t="s">
        <v>1005</v>
      </c>
      <c r="BP344" s="53" t="s">
        <v>57</v>
      </c>
      <c r="BQ344" s="53">
        <v>1</v>
      </c>
      <c r="BR344" s="83"/>
      <c r="BS344" s="53"/>
      <c r="BT344" s="53"/>
    </row>
    <row r="345" spans="3:72" ht="14.25" hidden="1" customHeight="1">
      <c r="C345" s="82" t="s">
        <v>13</v>
      </c>
      <c r="D345" s="82" t="s">
        <v>1500</v>
      </c>
      <c r="E345" s="82" t="s">
        <v>1501</v>
      </c>
      <c r="F345" s="82" t="s">
        <v>1296</v>
      </c>
      <c r="G345" s="82">
        <v>640</v>
      </c>
      <c r="H345" s="82" t="s">
        <v>147</v>
      </c>
      <c r="I345" s="82">
        <v>1</v>
      </c>
      <c r="J345" s="82">
        <v>19.5</v>
      </c>
      <c r="K345" s="82">
        <v>19.5</v>
      </c>
      <c r="L345" s="26">
        <f t="shared" si="35"/>
        <v>1</v>
      </c>
      <c r="M345" s="26">
        <f t="shared" si="34"/>
        <v>0</v>
      </c>
      <c r="N345" s="26"/>
      <c r="O345" s="26">
        <v>1</v>
      </c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67" t="e">
        <f>SUMIFS([1]Up!$J:$J,[1]Up!$D:$D,D345)</f>
        <v>#VALUE!</v>
      </c>
      <c r="BJ345" s="82"/>
      <c r="BK345" s="82" t="str">
        <f t="shared" si="36"/>
        <v>PL10</v>
      </c>
      <c r="BL345" s="53" t="str">
        <f t="shared" si="37"/>
        <v/>
      </c>
      <c r="BM345" s="53" t="s">
        <v>148</v>
      </c>
      <c r="BN345" s="53" t="s">
        <v>1004</v>
      </c>
      <c r="BO345" s="53" t="s">
        <v>1005</v>
      </c>
      <c r="BP345" s="53" t="s">
        <v>1063</v>
      </c>
      <c r="BQ345" s="53">
        <v>1</v>
      </c>
      <c r="BR345" s="83">
        <v>46088</v>
      </c>
      <c r="BS345" s="53"/>
      <c r="BT345" s="53"/>
    </row>
    <row r="346" spans="3:72" ht="14.25" hidden="1" customHeight="1">
      <c r="C346" s="82" t="s">
        <v>13</v>
      </c>
      <c r="D346" s="82" t="s">
        <v>1502</v>
      </c>
      <c r="E346" s="82" t="s">
        <v>1503</v>
      </c>
      <c r="F346" s="82" t="s">
        <v>1296</v>
      </c>
      <c r="G346" s="82">
        <v>1805</v>
      </c>
      <c r="H346" s="82" t="s">
        <v>147</v>
      </c>
      <c r="I346" s="82">
        <v>2</v>
      </c>
      <c r="J346" s="82">
        <v>48.1</v>
      </c>
      <c r="K346" s="82">
        <v>96.2</v>
      </c>
      <c r="L346" s="26">
        <f t="shared" si="35"/>
        <v>2</v>
      </c>
      <c r="M346" s="26">
        <f t="shared" si="34"/>
        <v>0</v>
      </c>
      <c r="N346" s="26"/>
      <c r="O346" s="26"/>
      <c r="P346" s="26"/>
      <c r="Q346" s="26"/>
      <c r="R346" s="26"/>
      <c r="S346" s="26"/>
      <c r="T346" s="26">
        <v>2</v>
      </c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67" t="e">
        <f>SUMIFS([1]Up!$J:$J,[1]Up!$D:$D,D346)</f>
        <v>#VALUE!</v>
      </c>
      <c r="BJ346" s="82"/>
      <c r="BK346" s="82" t="str">
        <f t="shared" si="36"/>
        <v>PL20</v>
      </c>
      <c r="BL346" s="53" t="str">
        <f t="shared" si="37"/>
        <v/>
      </c>
      <c r="BM346" s="53" t="s">
        <v>148</v>
      </c>
      <c r="BN346" s="53" t="s">
        <v>1099</v>
      </c>
      <c r="BO346" s="53" t="s">
        <v>1100</v>
      </c>
      <c r="BP346" s="53" t="s">
        <v>1307</v>
      </c>
      <c r="BQ346" s="53">
        <v>2</v>
      </c>
      <c r="BR346" s="83">
        <v>46242</v>
      </c>
      <c r="BS346" s="53"/>
      <c r="BT346" s="53"/>
    </row>
    <row r="347" spans="3:72" ht="14.25" hidden="1" customHeight="1">
      <c r="C347" s="82" t="s">
        <v>13</v>
      </c>
      <c r="D347" s="82" t="s">
        <v>1504</v>
      </c>
      <c r="E347" s="82" t="s">
        <v>1505</v>
      </c>
      <c r="F347" s="82" t="s">
        <v>1084</v>
      </c>
      <c r="G347" s="82">
        <v>2664</v>
      </c>
      <c r="H347" s="82" t="s">
        <v>147</v>
      </c>
      <c r="I347" s="82">
        <v>1</v>
      </c>
      <c r="J347" s="82">
        <v>428.3</v>
      </c>
      <c r="K347" s="82">
        <v>428.3</v>
      </c>
      <c r="L347" s="26">
        <f t="shared" si="35"/>
        <v>1</v>
      </c>
      <c r="M347" s="26">
        <f t="shared" si="34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>
        <v>2</v>
      </c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67" t="e">
        <f>SUMIFS([1]Up!$J:$J,[1]Up!$D:$D,D347)</f>
        <v>#VALUE!</v>
      </c>
      <c r="BJ347" s="82" t="s">
        <v>2073</v>
      </c>
      <c r="BK347" s="82" t="str">
        <f t="shared" si="36"/>
        <v>PL12</v>
      </c>
      <c r="BL347" s="53" t="str">
        <f t="shared" si="37"/>
        <v>Thừa 1</v>
      </c>
      <c r="BM347" s="53" t="s">
        <v>154</v>
      </c>
      <c r="BN347" s="53" t="s">
        <v>1020</v>
      </c>
      <c r="BO347" s="53" t="s">
        <v>1021</v>
      </c>
      <c r="BP347" s="53" t="s">
        <v>57</v>
      </c>
      <c r="BQ347" s="53">
        <v>1</v>
      </c>
      <c r="BR347" s="83"/>
      <c r="BS347" s="53"/>
      <c r="BT347" s="53"/>
    </row>
    <row r="348" spans="3:72" ht="14.25" hidden="1" customHeight="1">
      <c r="C348" s="82" t="s">
        <v>13</v>
      </c>
      <c r="D348" s="82" t="s">
        <v>1506</v>
      </c>
      <c r="E348" s="82" t="s">
        <v>1495</v>
      </c>
      <c r="F348" s="82" t="s">
        <v>1084</v>
      </c>
      <c r="G348" s="82">
        <v>5089</v>
      </c>
      <c r="H348" s="82" t="s">
        <v>147</v>
      </c>
      <c r="I348" s="82">
        <v>1</v>
      </c>
      <c r="J348" s="82">
        <v>983.4</v>
      </c>
      <c r="K348" s="82">
        <v>983.4</v>
      </c>
      <c r="L348" s="26">
        <f t="shared" si="35"/>
        <v>1</v>
      </c>
      <c r="M348" s="26">
        <f t="shared" si="34"/>
        <v>0</v>
      </c>
      <c r="N348" s="26"/>
      <c r="O348" s="26"/>
      <c r="P348" s="26">
        <v>3</v>
      </c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67" t="e">
        <f>SUMIFS([1]Up!$J:$J,[1]Up!$D:$D,D348)</f>
        <v>#VALUE!</v>
      </c>
      <c r="BJ348" s="82" t="s">
        <v>2071</v>
      </c>
      <c r="BK348" s="82" t="str">
        <f t="shared" si="36"/>
        <v>PL12</v>
      </c>
      <c r="BL348" s="53" t="str">
        <f t="shared" si="37"/>
        <v>Thừa 2</v>
      </c>
      <c r="BM348" s="53" t="s">
        <v>154</v>
      </c>
      <c r="BN348" s="53" t="s">
        <v>1020</v>
      </c>
      <c r="BO348" s="53" t="s">
        <v>1021</v>
      </c>
      <c r="BP348" s="53" t="s">
        <v>57</v>
      </c>
      <c r="BQ348" s="53">
        <v>1</v>
      </c>
      <c r="BR348" s="83"/>
      <c r="BS348" s="53"/>
      <c r="BT348" s="53"/>
    </row>
    <row r="349" spans="3:72" ht="14.25" hidden="1" customHeight="1">
      <c r="C349" s="82" t="s">
        <v>13</v>
      </c>
      <c r="D349" s="82" t="s">
        <v>1507</v>
      </c>
      <c r="E349" s="82" t="s">
        <v>1508</v>
      </c>
      <c r="F349" s="82" t="s">
        <v>1296</v>
      </c>
      <c r="G349" s="82">
        <v>2053</v>
      </c>
      <c r="H349" s="82" t="s">
        <v>147</v>
      </c>
      <c r="I349" s="82">
        <v>2</v>
      </c>
      <c r="J349" s="82">
        <v>28.6</v>
      </c>
      <c r="K349" s="82">
        <v>57.2</v>
      </c>
      <c r="L349" s="26">
        <f t="shared" si="35"/>
        <v>2</v>
      </c>
      <c r="M349" s="26">
        <f t="shared" si="34"/>
        <v>0</v>
      </c>
      <c r="N349" s="26"/>
      <c r="O349" s="26">
        <v>2</v>
      </c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67" t="e">
        <f>SUMIFS([1]Up!$J:$J,[1]Up!$D:$D,D349)</f>
        <v>#VALUE!</v>
      </c>
      <c r="BJ349" s="82"/>
      <c r="BK349" s="82" t="str">
        <f t="shared" si="36"/>
        <v>PL12</v>
      </c>
      <c r="BL349" s="53" t="str">
        <f t="shared" si="37"/>
        <v/>
      </c>
      <c r="BM349" s="53" t="s">
        <v>148</v>
      </c>
      <c r="BN349" s="53" t="s">
        <v>1020</v>
      </c>
      <c r="BO349" s="53" t="s">
        <v>1021</v>
      </c>
      <c r="BP349" s="53" t="s">
        <v>1022</v>
      </c>
      <c r="BQ349" s="53">
        <v>2</v>
      </c>
      <c r="BR349" s="83">
        <v>46088</v>
      </c>
      <c r="BS349" s="53"/>
      <c r="BT349" s="53"/>
    </row>
    <row r="350" spans="3:72" ht="14.25" hidden="1" customHeight="1">
      <c r="C350" s="82" t="s">
        <v>13</v>
      </c>
      <c r="D350" s="82" t="s">
        <v>1509</v>
      </c>
      <c r="E350" s="82" t="s">
        <v>1510</v>
      </c>
      <c r="F350" s="82" t="s">
        <v>1296</v>
      </c>
      <c r="G350" s="82">
        <v>688</v>
      </c>
      <c r="H350" s="82" t="s">
        <v>147</v>
      </c>
      <c r="I350" s="82">
        <v>1</v>
      </c>
      <c r="J350" s="82">
        <v>7.1</v>
      </c>
      <c r="K350" s="82">
        <v>7.1</v>
      </c>
      <c r="L350" s="26">
        <f t="shared" ref="L350:L413" si="38">MIN(SUM(N350:BH350),I350)</f>
        <v>1</v>
      </c>
      <c r="M350" s="26">
        <f t="shared" si="34"/>
        <v>0</v>
      </c>
      <c r="N350" s="26"/>
      <c r="O350" s="26"/>
      <c r="P350" s="26"/>
      <c r="Q350" s="26">
        <v>1</v>
      </c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67" t="e">
        <f>SUMIFS([1]Up!$J:$J,[1]Up!$D:$D,D350)</f>
        <v>#VALUE!</v>
      </c>
      <c r="BJ350" s="82"/>
      <c r="BK350" s="82" t="str">
        <f t="shared" ref="BK350:BK413" si="39">IFERROR(IF(C350="Plate",LEFT(E350,FIND("*",E350,1)-1),""),IF(C350="Plate",LEFT(E350,FIND("x",E350,1)-1),""))</f>
        <v>PL10</v>
      </c>
      <c r="BL350" s="53" t="str">
        <f t="shared" ref="BL350:BL413" si="40">IF(ROUND(SUM(N350:BH350)-I350,0)&gt;0,"Thừa "&amp;SUM(N350:BH350)-I350,"")</f>
        <v/>
      </c>
      <c r="BM350" s="53" t="s">
        <v>148</v>
      </c>
      <c r="BN350" s="53" t="s">
        <v>1004</v>
      </c>
      <c r="BO350" s="53" t="s">
        <v>1005</v>
      </c>
      <c r="BP350" s="53" t="s">
        <v>1063</v>
      </c>
      <c r="BQ350" s="53">
        <v>1</v>
      </c>
      <c r="BR350" s="83">
        <v>46088</v>
      </c>
      <c r="BS350" s="53"/>
      <c r="BT350" s="53"/>
    </row>
    <row r="351" spans="3:72" ht="14.25" hidden="1" customHeight="1">
      <c r="C351" s="82" t="s">
        <v>13</v>
      </c>
      <c r="D351" s="82" t="s">
        <v>1511</v>
      </c>
      <c r="E351" s="82" t="s">
        <v>1512</v>
      </c>
      <c r="F351" s="82" t="s">
        <v>1296</v>
      </c>
      <c r="G351" s="82">
        <v>737</v>
      </c>
      <c r="H351" s="82" t="s">
        <v>147</v>
      </c>
      <c r="I351" s="82">
        <v>1</v>
      </c>
      <c r="J351" s="82">
        <v>7.6</v>
      </c>
      <c r="K351" s="82">
        <v>7.6</v>
      </c>
      <c r="L351" s="26">
        <f t="shared" si="38"/>
        <v>1</v>
      </c>
      <c r="M351" s="26">
        <f t="shared" si="34"/>
        <v>0</v>
      </c>
      <c r="N351" s="26"/>
      <c r="O351" s="26"/>
      <c r="P351" s="26"/>
      <c r="Q351" s="26">
        <v>1</v>
      </c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67" t="e">
        <f>SUMIFS([1]Up!$J:$J,[1]Up!$D:$D,D351)</f>
        <v>#VALUE!</v>
      </c>
      <c r="BJ351" s="82"/>
      <c r="BK351" s="82" t="str">
        <f t="shared" si="39"/>
        <v>PL10</v>
      </c>
      <c r="BL351" s="53" t="str">
        <f t="shared" si="40"/>
        <v/>
      </c>
      <c r="BM351" s="53" t="s">
        <v>148</v>
      </c>
      <c r="BN351" s="53" t="s">
        <v>1004</v>
      </c>
      <c r="BO351" s="53" t="s">
        <v>1005</v>
      </c>
      <c r="BP351" s="53" t="s">
        <v>1063</v>
      </c>
      <c r="BQ351" s="53">
        <v>1</v>
      </c>
      <c r="BR351" s="83">
        <v>46088</v>
      </c>
      <c r="BS351" s="53"/>
      <c r="BT351" s="53"/>
    </row>
    <row r="352" spans="3:72" ht="14.25" hidden="1" customHeight="1">
      <c r="C352" s="82" t="s">
        <v>13</v>
      </c>
      <c r="D352" s="82" t="s">
        <v>1513</v>
      </c>
      <c r="E352" s="82" t="s">
        <v>1514</v>
      </c>
      <c r="F352" s="82" t="s">
        <v>1296</v>
      </c>
      <c r="G352" s="82">
        <v>515</v>
      </c>
      <c r="H352" s="82" t="s">
        <v>147</v>
      </c>
      <c r="I352" s="82">
        <v>1</v>
      </c>
      <c r="J352" s="82">
        <v>12.9</v>
      </c>
      <c r="K352" s="82">
        <v>12.9</v>
      </c>
      <c r="L352" s="26">
        <f t="shared" si="38"/>
        <v>1</v>
      </c>
      <c r="M352" s="26">
        <f t="shared" si="34"/>
        <v>0</v>
      </c>
      <c r="N352" s="26"/>
      <c r="O352" s="26"/>
      <c r="P352" s="26"/>
      <c r="Q352" s="26"/>
      <c r="R352" s="26">
        <v>1</v>
      </c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67" t="e">
        <f>SUMIFS([1]Up!$J:$J,[1]Up!$D:$D,D352)</f>
        <v>#VALUE!</v>
      </c>
      <c r="BJ352" s="82"/>
      <c r="BK352" s="82" t="str">
        <f t="shared" si="39"/>
        <v>PL15</v>
      </c>
      <c r="BL352" s="53" t="str">
        <f t="shared" si="40"/>
        <v/>
      </c>
      <c r="BM352" s="53" t="s">
        <v>148</v>
      </c>
      <c r="BN352" s="53" t="s">
        <v>1093</v>
      </c>
      <c r="BO352" s="53" t="s">
        <v>1094</v>
      </c>
      <c r="BP352" s="53" t="s">
        <v>1303</v>
      </c>
      <c r="BQ352" s="53">
        <v>1</v>
      </c>
      <c r="BR352" s="83">
        <v>46088</v>
      </c>
      <c r="BS352" s="53"/>
      <c r="BT352" s="53"/>
    </row>
    <row r="353" spans="3:72" ht="14.25" hidden="1" customHeight="1">
      <c r="C353" s="82" t="s">
        <v>13</v>
      </c>
      <c r="D353" s="82" t="s">
        <v>1515</v>
      </c>
      <c r="E353" s="82" t="s">
        <v>1516</v>
      </c>
      <c r="F353" s="82" t="s">
        <v>1296</v>
      </c>
      <c r="G353" s="82">
        <v>830</v>
      </c>
      <c r="H353" s="82" t="s">
        <v>147</v>
      </c>
      <c r="I353" s="82">
        <v>1</v>
      </c>
      <c r="J353" s="82">
        <v>10.4</v>
      </c>
      <c r="K353" s="82">
        <v>10.4</v>
      </c>
      <c r="L353" s="26">
        <f t="shared" si="38"/>
        <v>1</v>
      </c>
      <c r="M353" s="26">
        <f t="shared" si="34"/>
        <v>0</v>
      </c>
      <c r="N353" s="26"/>
      <c r="O353" s="26">
        <v>1</v>
      </c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67" t="e">
        <f>SUMIFS([1]Up!$J:$J,[1]Up!$D:$D,D353)</f>
        <v>#VALUE!</v>
      </c>
      <c r="BJ353" s="82"/>
      <c r="BK353" s="82" t="str">
        <f t="shared" si="39"/>
        <v>PL12</v>
      </c>
      <c r="BL353" s="53" t="str">
        <f t="shared" si="40"/>
        <v/>
      </c>
      <c r="BM353" s="53" t="s">
        <v>148</v>
      </c>
      <c r="BN353" s="53" t="s">
        <v>1020</v>
      </c>
      <c r="BO353" s="53" t="s">
        <v>1021</v>
      </c>
      <c r="BP353" s="53" t="s">
        <v>1022</v>
      </c>
      <c r="BQ353" s="53">
        <v>1</v>
      </c>
      <c r="BR353" s="83">
        <v>46088</v>
      </c>
      <c r="BS353" s="53"/>
      <c r="BT353" s="53"/>
    </row>
    <row r="354" spans="3:72" ht="14.25" hidden="1" customHeight="1">
      <c r="C354" s="82" t="s">
        <v>13</v>
      </c>
      <c r="D354" s="82" t="s">
        <v>1517</v>
      </c>
      <c r="E354" s="82" t="s">
        <v>1518</v>
      </c>
      <c r="F354" s="82" t="s">
        <v>1296</v>
      </c>
      <c r="G354" s="82">
        <v>892</v>
      </c>
      <c r="H354" s="82" t="s">
        <v>147</v>
      </c>
      <c r="I354" s="82">
        <v>1</v>
      </c>
      <c r="J354" s="82">
        <v>11.2</v>
      </c>
      <c r="K354" s="82">
        <v>11.2</v>
      </c>
      <c r="L354" s="26">
        <f t="shared" si="38"/>
        <v>1</v>
      </c>
      <c r="M354" s="26">
        <f t="shared" si="34"/>
        <v>0</v>
      </c>
      <c r="N354" s="26"/>
      <c r="O354" s="26">
        <v>1</v>
      </c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67" t="e">
        <f>SUMIFS([1]Up!$J:$J,[1]Up!$D:$D,D354)</f>
        <v>#VALUE!</v>
      </c>
      <c r="BJ354" s="82"/>
      <c r="BK354" s="82" t="str">
        <f t="shared" si="39"/>
        <v>PL12</v>
      </c>
      <c r="BL354" s="53" t="str">
        <f t="shared" si="40"/>
        <v/>
      </c>
      <c r="BM354" s="53" t="s">
        <v>148</v>
      </c>
      <c r="BN354" s="53" t="s">
        <v>1020</v>
      </c>
      <c r="BO354" s="53" t="s">
        <v>1021</v>
      </c>
      <c r="BP354" s="53" t="s">
        <v>1022</v>
      </c>
      <c r="BQ354" s="53">
        <v>1</v>
      </c>
      <c r="BR354" s="83">
        <v>46088</v>
      </c>
      <c r="BS354" s="53"/>
      <c r="BT354" s="53"/>
    </row>
    <row r="355" spans="3:72" ht="14.25" hidden="1" customHeight="1">
      <c r="C355" s="82" t="s">
        <v>13</v>
      </c>
      <c r="D355" s="82" t="s">
        <v>1519</v>
      </c>
      <c r="E355" s="82" t="s">
        <v>1422</v>
      </c>
      <c r="F355" s="82" t="s">
        <v>1296</v>
      </c>
      <c r="G355" s="82">
        <v>530</v>
      </c>
      <c r="H355" s="82" t="s">
        <v>147</v>
      </c>
      <c r="I355" s="82">
        <v>1</v>
      </c>
      <c r="J355" s="82">
        <v>14.5</v>
      </c>
      <c r="K355" s="82">
        <v>14.5</v>
      </c>
      <c r="L355" s="26">
        <f t="shared" si="38"/>
        <v>1</v>
      </c>
      <c r="M355" s="26">
        <f t="shared" si="34"/>
        <v>0</v>
      </c>
      <c r="N355" s="26"/>
      <c r="O355" s="26"/>
      <c r="P355" s="26"/>
      <c r="Q355" s="26"/>
      <c r="R355" s="26">
        <v>1</v>
      </c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67" t="e">
        <f>SUMIFS([1]Up!$J:$J,[1]Up!$D:$D,D355)</f>
        <v>#VALUE!</v>
      </c>
      <c r="BJ355" s="82"/>
      <c r="BK355" s="82" t="str">
        <f t="shared" si="39"/>
        <v>PL15</v>
      </c>
      <c r="BL355" s="53" t="str">
        <f t="shared" si="40"/>
        <v/>
      </c>
      <c r="BM355" s="53" t="s">
        <v>148</v>
      </c>
      <c r="BN355" s="53" t="s">
        <v>1093</v>
      </c>
      <c r="BO355" s="53" t="s">
        <v>1094</v>
      </c>
      <c r="BP355" s="53" t="s">
        <v>1303</v>
      </c>
      <c r="BQ355" s="53">
        <v>1</v>
      </c>
      <c r="BR355" s="83">
        <v>46088</v>
      </c>
      <c r="BS355" s="53"/>
      <c r="BT355" s="53"/>
    </row>
    <row r="356" spans="3:72" ht="14.25" hidden="1" customHeight="1">
      <c r="C356" s="82" t="s">
        <v>13</v>
      </c>
      <c r="D356" s="82" t="s">
        <v>1520</v>
      </c>
      <c r="E356" s="82" t="s">
        <v>1477</v>
      </c>
      <c r="F356" s="82" t="s">
        <v>1084</v>
      </c>
      <c r="G356" s="82">
        <v>3622</v>
      </c>
      <c r="H356" s="82" t="s">
        <v>147</v>
      </c>
      <c r="I356" s="82">
        <v>1</v>
      </c>
      <c r="J356" s="82">
        <v>493.5</v>
      </c>
      <c r="K356" s="82">
        <v>493.5</v>
      </c>
      <c r="L356" s="26">
        <f t="shared" si="38"/>
        <v>1</v>
      </c>
      <c r="M356" s="26">
        <f t="shared" si="34"/>
        <v>0</v>
      </c>
      <c r="N356" s="26"/>
      <c r="O356" s="26"/>
      <c r="P356" s="26"/>
      <c r="Q356" s="26"/>
      <c r="R356" s="26"/>
      <c r="S356" s="26"/>
      <c r="T356" s="26"/>
      <c r="U356" s="26">
        <v>1</v>
      </c>
      <c r="V356" s="26"/>
      <c r="W356" s="26"/>
      <c r="X356" s="26"/>
      <c r="Y356" s="26"/>
      <c r="Z356" s="26"/>
      <c r="AA356" s="26"/>
      <c r="AB356" s="26"/>
      <c r="AC356" s="26"/>
      <c r="AD356" s="26">
        <v>1</v>
      </c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67" t="e">
        <f>SUMIFS([1]Up!$J:$J,[1]Up!$D:$D,D356)</f>
        <v>#VALUE!</v>
      </c>
      <c r="BJ356" s="82" t="s">
        <v>2228</v>
      </c>
      <c r="BK356" s="82" t="str">
        <f t="shared" si="39"/>
        <v>PL10</v>
      </c>
      <c r="BL356" s="53" t="str">
        <f t="shared" si="40"/>
        <v>Thừa 1</v>
      </c>
      <c r="BM356" s="53" t="s">
        <v>154</v>
      </c>
      <c r="BN356" s="53" t="s">
        <v>1004</v>
      </c>
      <c r="BO356" s="53" t="s">
        <v>1005</v>
      </c>
      <c r="BP356" s="53" t="s">
        <v>57</v>
      </c>
      <c r="BQ356" s="53">
        <v>1</v>
      </c>
      <c r="BR356" s="83"/>
      <c r="BS356" s="53"/>
      <c r="BT356" s="53"/>
    </row>
    <row r="357" spans="3:72" ht="14.25" hidden="1" customHeight="1">
      <c r="C357" s="82" t="s">
        <v>13</v>
      </c>
      <c r="D357" s="82" t="s">
        <v>1521</v>
      </c>
      <c r="E357" s="82" t="s">
        <v>1495</v>
      </c>
      <c r="F357" s="82" t="s">
        <v>1084</v>
      </c>
      <c r="G357" s="82">
        <v>5089</v>
      </c>
      <c r="H357" s="82" t="s">
        <v>147</v>
      </c>
      <c r="I357" s="82">
        <v>1</v>
      </c>
      <c r="J357" s="82">
        <v>983.4</v>
      </c>
      <c r="K357" s="82">
        <v>983.4</v>
      </c>
      <c r="L357" s="26">
        <f t="shared" si="38"/>
        <v>1</v>
      </c>
      <c r="M357" s="26">
        <f t="shared" si="34"/>
        <v>0</v>
      </c>
      <c r="N357" s="26"/>
      <c r="O357" s="26"/>
      <c r="P357" s="26">
        <v>3</v>
      </c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67" t="e">
        <f>SUMIFS([1]Up!$J:$J,[1]Up!$D:$D,D357)</f>
        <v>#VALUE!</v>
      </c>
      <c r="BJ357" s="82" t="s">
        <v>2071</v>
      </c>
      <c r="BK357" s="82" t="str">
        <f t="shared" si="39"/>
        <v>PL12</v>
      </c>
      <c r="BL357" s="53" t="str">
        <f t="shared" si="40"/>
        <v>Thừa 2</v>
      </c>
      <c r="BM357" s="53" t="s">
        <v>154</v>
      </c>
      <c r="BN357" s="53" t="s">
        <v>1020</v>
      </c>
      <c r="BO357" s="53" t="s">
        <v>1021</v>
      </c>
      <c r="BP357" s="53" t="s">
        <v>57</v>
      </c>
      <c r="BQ357" s="53">
        <v>1</v>
      </c>
      <c r="BR357" s="83"/>
      <c r="BS357" s="53"/>
      <c r="BT357" s="53"/>
    </row>
    <row r="358" spans="3:72" ht="14.25" hidden="1" customHeight="1">
      <c r="C358" s="82" t="s">
        <v>13</v>
      </c>
      <c r="D358" s="82" t="s">
        <v>1522</v>
      </c>
      <c r="E358" s="82" t="s">
        <v>1508</v>
      </c>
      <c r="F358" s="82" t="s">
        <v>1296</v>
      </c>
      <c r="G358" s="82">
        <v>2053</v>
      </c>
      <c r="H358" s="82" t="s">
        <v>147</v>
      </c>
      <c r="I358" s="82">
        <v>3</v>
      </c>
      <c r="J358" s="82">
        <v>28.6</v>
      </c>
      <c r="K358" s="82">
        <v>85.800000000000011</v>
      </c>
      <c r="L358" s="26">
        <f t="shared" si="38"/>
        <v>3</v>
      </c>
      <c r="M358" s="26">
        <f t="shared" si="34"/>
        <v>0</v>
      </c>
      <c r="N358" s="26"/>
      <c r="O358" s="26">
        <v>3</v>
      </c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67" t="e">
        <f>SUMIFS([1]Up!$J:$J,[1]Up!$D:$D,D358)</f>
        <v>#VALUE!</v>
      </c>
      <c r="BJ358" s="82"/>
      <c r="BK358" s="82" t="str">
        <f t="shared" si="39"/>
        <v>PL12</v>
      </c>
      <c r="BL358" s="53" t="str">
        <f t="shared" si="40"/>
        <v/>
      </c>
      <c r="BM358" s="53" t="s">
        <v>148</v>
      </c>
      <c r="BN358" s="53" t="s">
        <v>1020</v>
      </c>
      <c r="BO358" s="53" t="s">
        <v>1021</v>
      </c>
      <c r="BP358" s="53" t="s">
        <v>1022</v>
      </c>
      <c r="BQ358" s="53">
        <v>3</v>
      </c>
      <c r="BR358" s="83">
        <v>46088</v>
      </c>
      <c r="BS358" s="53"/>
      <c r="BT358" s="53"/>
    </row>
    <row r="359" spans="3:72" ht="14.25" hidden="1" customHeight="1">
      <c r="C359" s="82" t="s">
        <v>13</v>
      </c>
      <c r="D359" s="82" t="s">
        <v>1523</v>
      </c>
      <c r="E359" s="82" t="s">
        <v>1524</v>
      </c>
      <c r="F359" s="82" t="s">
        <v>1296</v>
      </c>
      <c r="G359" s="82">
        <v>1805</v>
      </c>
      <c r="H359" s="82" t="s">
        <v>147</v>
      </c>
      <c r="I359" s="82">
        <v>2</v>
      </c>
      <c r="J359" s="82">
        <v>48.7</v>
      </c>
      <c r="K359" s="82">
        <v>97.4</v>
      </c>
      <c r="L359" s="26">
        <f t="shared" si="38"/>
        <v>2</v>
      </c>
      <c r="M359" s="26">
        <f t="shared" si="34"/>
        <v>0</v>
      </c>
      <c r="N359" s="26"/>
      <c r="O359" s="26"/>
      <c r="P359" s="26"/>
      <c r="Q359" s="26"/>
      <c r="R359" s="26"/>
      <c r="S359" s="26">
        <v>2</v>
      </c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67" t="e">
        <f>SUMIFS([1]Up!$J:$J,[1]Up!$D:$D,D359)</f>
        <v>#VALUE!</v>
      </c>
      <c r="BJ359" s="82"/>
      <c r="BK359" s="82" t="str">
        <f t="shared" si="39"/>
        <v>PL20</v>
      </c>
      <c r="BL359" s="53" t="str">
        <f t="shared" si="40"/>
        <v/>
      </c>
      <c r="BM359" s="53" t="s">
        <v>148</v>
      </c>
      <c r="BN359" s="53" t="s">
        <v>1099</v>
      </c>
      <c r="BO359" s="53" t="s">
        <v>1100</v>
      </c>
      <c r="BP359" s="53" t="s">
        <v>1307</v>
      </c>
      <c r="BQ359" s="53">
        <v>2</v>
      </c>
      <c r="BR359" s="83">
        <v>46242</v>
      </c>
      <c r="BS359" s="53"/>
      <c r="BT359" s="53"/>
    </row>
    <row r="360" spans="3:72" ht="14.25" hidden="1" customHeight="1">
      <c r="C360" s="82" t="s">
        <v>13</v>
      </c>
      <c r="D360" s="82" t="s">
        <v>1525</v>
      </c>
      <c r="E360" s="82" t="s">
        <v>1526</v>
      </c>
      <c r="F360" s="82" t="s">
        <v>1084</v>
      </c>
      <c r="G360" s="82">
        <v>2550</v>
      </c>
      <c r="H360" s="82" t="s">
        <v>147</v>
      </c>
      <c r="I360" s="82">
        <v>1</v>
      </c>
      <c r="J360" s="82">
        <v>434.1</v>
      </c>
      <c r="K360" s="82">
        <v>434.1</v>
      </c>
      <c r="L360" s="26">
        <f t="shared" si="38"/>
        <v>1</v>
      </c>
      <c r="M360" s="26">
        <f t="shared" si="34"/>
        <v>0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>
        <f>1+1</f>
        <v>2</v>
      </c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67" t="e">
        <f>SUMIFS([1]Up!$J:$J,[1]Up!$D:$D,D360)</f>
        <v>#VALUE!</v>
      </c>
      <c r="BJ360" s="82" t="s">
        <v>2228</v>
      </c>
      <c r="BK360" s="82" t="str">
        <f t="shared" si="39"/>
        <v>PL12</v>
      </c>
      <c r="BL360" s="53" t="str">
        <f t="shared" si="40"/>
        <v>Thừa 1</v>
      </c>
      <c r="BM360" s="53" t="s">
        <v>154</v>
      </c>
      <c r="BN360" s="53" t="s">
        <v>1020</v>
      </c>
      <c r="BO360" s="53" t="s">
        <v>1021</v>
      </c>
      <c r="BP360" s="53" t="s">
        <v>57</v>
      </c>
      <c r="BQ360" s="53">
        <v>1</v>
      </c>
      <c r="BR360" s="83"/>
      <c r="BS360" s="53"/>
      <c r="BT360" s="53"/>
    </row>
    <row r="361" spans="3:72" ht="14.25" hidden="1" customHeight="1">
      <c r="C361" s="82" t="s">
        <v>13</v>
      </c>
      <c r="D361" s="82" t="s">
        <v>1527</v>
      </c>
      <c r="E361" s="82" t="s">
        <v>1125</v>
      </c>
      <c r="F361" s="82" t="s">
        <v>1296</v>
      </c>
      <c r="G361" s="82">
        <v>200</v>
      </c>
      <c r="H361" s="82" t="s">
        <v>147</v>
      </c>
      <c r="I361" s="82">
        <v>2</v>
      </c>
      <c r="J361" s="82">
        <v>5.5</v>
      </c>
      <c r="K361" s="82">
        <v>11</v>
      </c>
      <c r="L361" s="26">
        <f t="shared" si="38"/>
        <v>2</v>
      </c>
      <c r="M361" s="26">
        <f t="shared" si="34"/>
        <v>0</v>
      </c>
      <c r="N361" s="26"/>
      <c r="O361" s="26"/>
      <c r="P361" s="26"/>
      <c r="Q361" s="26"/>
      <c r="R361" s="26">
        <v>2</v>
      </c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67" t="e">
        <f>SUMIFS([1]Up!$J:$J,[1]Up!$D:$D,D361)</f>
        <v>#VALUE!</v>
      </c>
      <c r="BJ361" s="82"/>
      <c r="BK361" s="82" t="str">
        <f t="shared" si="39"/>
        <v>PL15</v>
      </c>
      <c r="BL361" s="53" t="str">
        <f t="shared" si="40"/>
        <v/>
      </c>
      <c r="BM361" s="53" t="s">
        <v>148</v>
      </c>
      <c r="BN361" s="53" t="s">
        <v>1093</v>
      </c>
      <c r="BO361" s="53" t="s">
        <v>1094</v>
      </c>
      <c r="BP361" s="53" t="s">
        <v>1303</v>
      </c>
      <c r="BQ361" s="53">
        <v>2</v>
      </c>
      <c r="BR361" s="83">
        <v>46088</v>
      </c>
      <c r="BS361" s="53"/>
      <c r="BT361" s="53"/>
    </row>
    <row r="362" spans="3:72" ht="14.25" hidden="1" customHeight="1">
      <c r="C362" s="82" t="s">
        <v>13</v>
      </c>
      <c r="D362" s="82" t="s">
        <v>1528</v>
      </c>
      <c r="E362" s="82" t="s">
        <v>1123</v>
      </c>
      <c r="F362" s="82" t="s">
        <v>1296</v>
      </c>
      <c r="G362" s="82">
        <v>320</v>
      </c>
      <c r="H362" s="82" t="s">
        <v>147</v>
      </c>
      <c r="I362" s="82">
        <v>2</v>
      </c>
      <c r="J362" s="82">
        <v>7.6</v>
      </c>
      <c r="K362" s="82">
        <v>15.2</v>
      </c>
      <c r="L362" s="26">
        <f t="shared" si="38"/>
        <v>2</v>
      </c>
      <c r="M362" s="26">
        <f t="shared" si="34"/>
        <v>0</v>
      </c>
      <c r="N362" s="26"/>
      <c r="O362" s="26"/>
      <c r="P362" s="26"/>
      <c r="Q362" s="26"/>
      <c r="R362" s="26"/>
      <c r="S362" s="26">
        <v>2</v>
      </c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67" t="e">
        <f>SUMIFS([1]Up!$J:$J,[1]Up!$D:$D,D362)</f>
        <v>#VALUE!</v>
      </c>
      <c r="BJ362" s="82"/>
      <c r="BK362" s="82" t="str">
        <f t="shared" si="39"/>
        <v>PL20</v>
      </c>
      <c r="BL362" s="53" t="str">
        <f t="shared" si="40"/>
        <v/>
      </c>
      <c r="BM362" s="53" t="s">
        <v>148</v>
      </c>
      <c r="BN362" s="53" t="s">
        <v>1099</v>
      </c>
      <c r="BO362" s="53" t="s">
        <v>1100</v>
      </c>
      <c r="BP362" s="53" t="s">
        <v>1307</v>
      </c>
      <c r="BQ362" s="53">
        <v>2</v>
      </c>
      <c r="BR362" s="83">
        <v>46242</v>
      </c>
      <c r="BS362" s="53"/>
      <c r="BT362" s="53"/>
    </row>
    <row r="363" spans="3:72" ht="14.25" hidden="1" customHeight="1">
      <c r="C363" s="82" t="s">
        <v>13</v>
      </c>
      <c r="D363" s="82" t="s">
        <v>1529</v>
      </c>
      <c r="E363" s="82" t="s">
        <v>1493</v>
      </c>
      <c r="F363" s="82" t="s">
        <v>1296</v>
      </c>
      <c r="G363" s="82">
        <v>1768</v>
      </c>
      <c r="H363" s="82" t="s">
        <v>147</v>
      </c>
      <c r="I363" s="82">
        <v>1</v>
      </c>
      <c r="J363" s="82">
        <v>20.3</v>
      </c>
      <c r="K363" s="82">
        <v>20.3</v>
      </c>
      <c r="L363" s="26">
        <f t="shared" si="38"/>
        <v>1</v>
      </c>
      <c r="M363" s="26">
        <f t="shared" si="34"/>
        <v>0</v>
      </c>
      <c r="N363" s="26"/>
      <c r="O363" s="26"/>
      <c r="P363" s="26"/>
      <c r="Q363" s="26">
        <v>1</v>
      </c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67" t="e">
        <f>SUMIFS([1]Up!$J:$J,[1]Up!$D:$D,D363)</f>
        <v>#VALUE!</v>
      </c>
      <c r="BJ363" s="82"/>
      <c r="BK363" s="82" t="str">
        <f t="shared" si="39"/>
        <v>PL10</v>
      </c>
      <c r="BL363" s="53" t="str">
        <f t="shared" si="40"/>
        <v/>
      </c>
      <c r="BM363" s="53" t="s">
        <v>148</v>
      </c>
      <c r="BN363" s="53" t="s">
        <v>1004</v>
      </c>
      <c r="BO363" s="53" t="s">
        <v>1005</v>
      </c>
      <c r="BP363" s="53" t="s">
        <v>1063</v>
      </c>
      <c r="BQ363" s="53">
        <v>1</v>
      </c>
      <c r="BR363" s="83">
        <v>46088</v>
      </c>
      <c r="BS363" s="53"/>
      <c r="BT363" s="53"/>
    </row>
    <row r="364" spans="3:72" ht="14.25" hidden="1" customHeight="1">
      <c r="C364" s="82" t="s">
        <v>13</v>
      </c>
      <c r="D364" s="82" t="s">
        <v>1530</v>
      </c>
      <c r="E364" s="82" t="s">
        <v>1477</v>
      </c>
      <c r="F364" s="82" t="s">
        <v>1084</v>
      </c>
      <c r="G364" s="82">
        <v>3622</v>
      </c>
      <c r="H364" s="82" t="s">
        <v>147</v>
      </c>
      <c r="I364" s="82">
        <v>1</v>
      </c>
      <c r="J364" s="82">
        <v>493.5</v>
      </c>
      <c r="K364" s="82">
        <v>493.5</v>
      </c>
      <c r="L364" s="26">
        <f t="shared" si="38"/>
        <v>1</v>
      </c>
      <c r="M364" s="26">
        <f t="shared" si="34"/>
        <v>0</v>
      </c>
      <c r="N364" s="26"/>
      <c r="O364" s="26"/>
      <c r="P364" s="26"/>
      <c r="Q364" s="26"/>
      <c r="R364" s="26"/>
      <c r="S364" s="26"/>
      <c r="T364" s="26"/>
      <c r="U364" s="26">
        <v>1</v>
      </c>
      <c r="V364" s="26"/>
      <c r="W364" s="26"/>
      <c r="X364" s="26"/>
      <c r="Y364" s="26"/>
      <c r="Z364" s="26"/>
      <c r="AA364" s="26"/>
      <c r="AB364" s="26"/>
      <c r="AC364" s="26"/>
      <c r="AD364" s="26">
        <v>1</v>
      </c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67" t="e">
        <f>SUMIFS([1]Up!$J:$J,[1]Up!$D:$D,D364)</f>
        <v>#VALUE!</v>
      </c>
      <c r="BJ364" s="82" t="s">
        <v>2073</v>
      </c>
      <c r="BK364" s="82" t="str">
        <f t="shared" si="39"/>
        <v>PL10</v>
      </c>
      <c r="BL364" s="53" t="str">
        <f t="shared" si="40"/>
        <v>Thừa 1</v>
      </c>
      <c r="BM364" s="53" t="s">
        <v>154</v>
      </c>
      <c r="BN364" s="53" t="s">
        <v>1004</v>
      </c>
      <c r="BO364" s="53" t="s">
        <v>1005</v>
      </c>
      <c r="BP364" s="53" t="s">
        <v>57</v>
      </c>
      <c r="BQ364" s="53">
        <v>1</v>
      </c>
      <c r="BR364" s="83"/>
      <c r="BS364" s="53"/>
      <c r="BT364" s="53"/>
    </row>
    <row r="365" spans="3:72" ht="14.25" hidden="1" customHeight="1">
      <c r="C365" s="82" t="s">
        <v>13</v>
      </c>
      <c r="D365" s="82" t="s">
        <v>1531</v>
      </c>
      <c r="E365" s="82" t="s">
        <v>1501</v>
      </c>
      <c r="F365" s="82" t="s">
        <v>1296</v>
      </c>
      <c r="G365" s="82">
        <v>640</v>
      </c>
      <c r="H365" s="82" t="s">
        <v>147</v>
      </c>
      <c r="I365" s="82">
        <v>1</v>
      </c>
      <c r="J365" s="82">
        <v>19.5</v>
      </c>
      <c r="K365" s="82">
        <v>19.5</v>
      </c>
      <c r="L365" s="26">
        <f t="shared" si="38"/>
        <v>1</v>
      </c>
      <c r="M365" s="26">
        <f t="shared" si="34"/>
        <v>0</v>
      </c>
      <c r="N365" s="26"/>
      <c r="O365" s="26">
        <v>1</v>
      </c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67" t="e">
        <f>SUMIFS([1]Up!$J:$J,[1]Up!$D:$D,D365)</f>
        <v>#VALUE!</v>
      </c>
      <c r="BJ365" s="82"/>
      <c r="BK365" s="82" t="str">
        <f t="shared" si="39"/>
        <v>PL10</v>
      </c>
      <c r="BL365" s="53" t="str">
        <f t="shared" si="40"/>
        <v/>
      </c>
      <c r="BM365" s="53" t="s">
        <v>148</v>
      </c>
      <c r="BN365" s="53" t="s">
        <v>1004</v>
      </c>
      <c r="BO365" s="53" t="s">
        <v>1005</v>
      </c>
      <c r="BP365" s="53" t="s">
        <v>1063</v>
      </c>
      <c r="BQ365" s="53">
        <v>1</v>
      </c>
      <c r="BR365" s="83">
        <v>46088</v>
      </c>
      <c r="BS365" s="53"/>
      <c r="BT365" s="53"/>
    </row>
    <row r="366" spans="3:72" ht="14.25" hidden="1" customHeight="1">
      <c r="C366" s="82" t="s">
        <v>13</v>
      </c>
      <c r="D366" s="82" t="s">
        <v>1532</v>
      </c>
      <c r="E366" s="82" t="s">
        <v>1503</v>
      </c>
      <c r="F366" s="82" t="s">
        <v>1296</v>
      </c>
      <c r="G366" s="82">
        <v>1805</v>
      </c>
      <c r="H366" s="82" t="s">
        <v>147</v>
      </c>
      <c r="I366" s="82">
        <v>2</v>
      </c>
      <c r="J366" s="82">
        <v>48.1</v>
      </c>
      <c r="K366" s="82">
        <v>96.2</v>
      </c>
      <c r="L366" s="26">
        <f t="shared" si="38"/>
        <v>2</v>
      </c>
      <c r="M366" s="26">
        <f t="shared" si="34"/>
        <v>0</v>
      </c>
      <c r="N366" s="26"/>
      <c r="O366" s="26"/>
      <c r="P366" s="26"/>
      <c r="Q366" s="26"/>
      <c r="R366" s="26"/>
      <c r="S366" s="26"/>
      <c r="T366" s="26">
        <v>2</v>
      </c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67" t="e">
        <f>SUMIFS([1]Up!$J:$J,[1]Up!$D:$D,D366)</f>
        <v>#VALUE!</v>
      </c>
      <c r="BJ366" s="82"/>
      <c r="BK366" s="82" t="str">
        <f t="shared" si="39"/>
        <v>PL20</v>
      </c>
      <c r="BL366" s="53" t="str">
        <f t="shared" si="40"/>
        <v/>
      </c>
      <c r="BM366" s="53" t="s">
        <v>148</v>
      </c>
      <c r="BN366" s="53" t="s">
        <v>1099</v>
      </c>
      <c r="BO366" s="53" t="s">
        <v>1100</v>
      </c>
      <c r="BP366" s="53" t="s">
        <v>1307</v>
      </c>
      <c r="BQ366" s="53">
        <v>2</v>
      </c>
      <c r="BR366" s="83">
        <v>46242</v>
      </c>
      <c r="BS366" s="53"/>
      <c r="BT366" s="53"/>
    </row>
    <row r="367" spans="3:72" ht="14.25" hidden="1" customHeight="1">
      <c r="C367" s="82" t="s">
        <v>13</v>
      </c>
      <c r="D367" s="82" t="s">
        <v>1533</v>
      </c>
      <c r="E367" s="82" t="s">
        <v>1505</v>
      </c>
      <c r="F367" s="82" t="s">
        <v>1084</v>
      </c>
      <c r="G367" s="82">
        <v>2664</v>
      </c>
      <c r="H367" s="82" t="s">
        <v>147</v>
      </c>
      <c r="I367" s="82">
        <v>1</v>
      </c>
      <c r="J367" s="82">
        <v>428.3</v>
      </c>
      <c r="K367" s="82">
        <v>428.3</v>
      </c>
      <c r="L367" s="26">
        <f t="shared" si="38"/>
        <v>1</v>
      </c>
      <c r="M367" s="26">
        <f t="shared" si="34"/>
        <v>0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>
        <f>1+1</f>
        <v>2</v>
      </c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67" t="e">
        <f>SUMIFS([1]Up!$J:$J,[1]Up!$D:$D,D367)</f>
        <v>#VALUE!</v>
      </c>
      <c r="BJ367" s="82" t="s">
        <v>2228</v>
      </c>
      <c r="BK367" s="82" t="str">
        <f t="shared" si="39"/>
        <v>PL12</v>
      </c>
      <c r="BL367" s="53" t="str">
        <f t="shared" si="40"/>
        <v>Thừa 1</v>
      </c>
      <c r="BM367" s="53" t="s">
        <v>154</v>
      </c>
      <c r="BN367" s="53" t="s">
        <v>1020</v>
      </c>
      <c r="BO367" s="53" t="s">
        <v>1021</v>
      </c>
      <c r="BP367" s="53" t="s">
        <v>57</v>
      </c>
      <c r="BQ367" s="53">
        <v>1</v>
      </c>
      <c r="BR367" s="83"/>
      <c r="BS367" s="53"/>
      <c r="BT367" s="53"/>
    </row>
    <row r="368" spans="3:72" ht="14.25" hidden="1" customHeight="1">
      <c r="C368" s="82" t="s">
        <v>13</v>
      </c>
      <c r="D368" s="82" t="s">
        <v>1534</v>
      </c>
      <c r="E368" s="82" t="s">
        <v>1495</v>
      </c>
      <c r="F368" s="82" t="s">
        <v>1084</v>
      </c>
      <c r="G368" s="82">
        <v>5089</v>
      </c>
      <c r="H368" s="82" t="s">
        <v>147</v>
      </c>
      <c r="I368" s="82">
        <v>1</v>
      </c>
      <c r="J368" s="82">
        <v>983.4</v>
      </c>
      <c r="K368" s="82">
        <v>983.4</v>
      </c>
      <c r="L368" s="26">
        <f t="shared" si="38"/>
        <v>1</v>
      </c>
      <c r="M368" s="26">
        <f t="shared" si="34"/>
        <v>0</v>
      </c>
      <c r="N368" s="26"/>
      <c r="O368" s="26"/>
      <c r="P368" s="26">
        <v>3</v>
      </c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67" t="e">
        <f>SUMIFS([1]Up!$J:$J,[1]Up!$D:$D,D368)</f>
        <v>#VALUE!</v>
      </c>
      <c r="BJ368" s="82" t="s">
        <v>2071</v>
      </c>
      <c r="BK368" s="82" t="str">
        <f t="shared" si="39"/>
        <v>PL12</v>
      </c>
      <c r="BL368" s="53" t="str">
        <f t="shared" si="40"/>
        <v>Thừa 2</v>
      </c>
      <c r="BM368" s="53" t="s">
        <v>154</v>
      </c>
      <c r="BN368" s="53" t="s">
        <v>1020</v>
      </c>
      <c r="BO368" s="53" t="s">
        <v>1021</v>
      </c>
      <c r="BP368" s="53" t="s">
        <v>57</v>
      </c>
      <c r="BQ368" s="53">
        <v>1</v>
      </c>
      <c r="BR368" s="83"/>
      <c r="BS368" s="53"/>
      <c r="BT368" s="53"/>
    </row>
    <row r="369" spans="3:73" ht="14.25" hidden="1" customHeight="1">
      <c r="C369" s="82" t="s">
        <v>13</v>
      </c>
      <c r="D369" s="82" t="s">
        <v>1535</v>
      </c>
      <c r="E369" s="82" t="s">
        <v>1508</v>
      </c>
      <c r="F369" s="82" t="s">
        <v>1296</v>
      </c>
      <c r="G369" s="82">
        <v>2053</v>
      </c>
      <c r="H369" s="82" t="s">
        <v>147</v>
      </c>
      <c r="I369" s="82">
        <v>3</v>
      </c>
      <c r="J369" s="82">
        <v>28.6</v>
      </c>
      <c r="K369" s="82">
        <v>85.800000000000011</v>
      </c>
      <c r="L369" s="26">
        <f t="shared" si="38"/>
        <v>3</v>
      </c>
      <c r="M369" s="26">
        <f t="shared" si="34"/>
        <v>0</v>
      </c>
      <c r="N369" s="26"/>
      <c r="O369" s="26">
        <v>3</v>
      </c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67" t="e">
        <f>SUMIFS([1]Up!$J:$J,[1]Up!$D:$D,D369)</f>
        <v>#VALUE!</v>
      </c>
      <c r="BJ369" s="82"/>
      <c r="BK369" s="82" t="str">
        <f t="shared" si="39"/>
        <v>PL12</v>
      </c>
      <c r="BL369" s="53" t="str">
        <f t="shared" si="40"/>
        <v/>
      </c>
      <c r="BM369" s="53" t="s">
        <v>148</v>
      </c>
      <c r="BN369" s="53" t="s">
        <v>1020</v>
      </c>
      <c r="BO369" s="53" t="s">
        <v>1021</v>
      </c>
      <c r="BP369" s="53" t="s">
        <v>1022</v>
      </c>
      <c r="BQ369" s="53">
        <v>3</v>
      </c>
      <c r="BR369" s="83">
        <v>46088</v>
      </c>
      <c r="BS369" s="53"/>
      <c r="BT369" s="53"/>
    </row>
    <row r="370" spans="3:73" ht="14.25" hidden="1" customHeight="1">
      <c r="C370" s="82" t="s">
        <v>13</v>
      </c>
      <c r="D370" s="82" t="s">
        <v>1536</v>
      </c>
      <c r="E370" s="82" t="s">
        <v>1493</v>
      </c>
      <c r="F370" s="82" t="s">
        <v>1296</v>
      </c>
      <c r="G370" s="82">
        <v>1768</v>
      </c>
      <c r="H370" s="82" t="s">
        <v>147</v>
      </c>
      <c r="I370" s="82">
        <v>1</v>
      </c>
      <c r="J370" s="82">
        <v>20.3</v>
      </c>
      <c r="K370" s="82">
        <v>20.3</v>
      </c>
      <c r="L370" s="26">
        <f t="shared" si="38"/>
        <v>1</v>
      </c>
      <c r="M370" s="26">
        <f t="shared" si="34"/>
        <v>0</v>
      </c>
      <c r="N370" s="26"/>
      <c r="O370" s="26"/>
      <c r="P370" s="26"/>
      <c r="Q370" s="26">
        <v>1</v>
      </c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67" t="e">
        <f>SUMIFS([1]Up!$J:$J,[1]Up!$D:$D,D370)</f>
        <v>#VALUE!</v>
      </c>
      <c r="BJ370" s="82"/>
      <c r="BK370" s="82" t="str">
        <f t="shared" si="39"/>
        <v>PL10</v>
      </c>
      <c r="BL370" s="53" t="str">
        <f t="shared" si="40"/>
        <v/>
      </c>
      <c r="BM370" s="53" t="s">
        <v>148</v>
      </c>
      <c r="BN370" s="53" t="s">
        <v>1004</v>
      </c>
      <c r="BO370" s="53" t="s">
        <v>1005</v>
      </c>
      <c r="BP370" s="53" t="s">
        <v>1063</v>
      </c>
      <c r="BQ370" s="53">
        <v>1</v>
      </c>
      <c r="BR370" s="83">
        <v>46088</v>
      </c>
      <c r="BS370" s="53"/>
      <c r="BT370" s="53"/>
    </row>
    <row r="371" spans="3:73" ht="14.25" hidden="1" customHeight="1">
      <c r="C371" s="82" t="s">
        <v>11</v>
      </c>
      <c r="D371" s="82" t="s">
        <v>1537</v>
      </c>
      <c r="E371" s="82" t="s">
        <v>1075</v>
      </c>
      <c r="F371" s="82" t="s">
        <v>1076</v>
      </c>
      <c r="G371" s="82">
        <v>812</v>
      </c>
      <c r="H371" s="82" t="s">
        <v>1077</v>
      </c>
      <c r="I371" s="82">
        <v>6</v>
      </c>
      <c r="J371" s="82">
        <v>13.05696</v>
      </c>
      <c r="K371" s="82">
        <v>78.341759999999994</v>
      </c>
      <c r="L371" s="26">
        <f t="shared" si="38"/>
        <v>3</v>
      </c>
      <c r="M371" s="26">
        <f t="shared" si="34"/>
        <v>3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>
        <v>3</v>
      </c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67" t="e">
        <f>SUMIFS([1]Up!$J:$J,[1]Up!$D:$D,D371)</f>
        <v>#VALUE!</v>
      </c>
      <c r="BJ371" s="82"/>
      <c r="BK371" s="82" t="str">
        <f t="shared" si="39"/>
        <v/>
      </c>
      <c r="BL371" s="53" t="str">
        <f t="shared" si="40"/>
        <v/>
      </c>
      <c r="BM371" s="53" t="s">
        <v>148</v>
      </c>
      <c r="BN371" s="53" t="s">
        <v>1078</v>
      </c>
      <c r="BO371" s="53" t="s">
        <v>1075</v>
      </c>
      <c r="BP371" s="84" t="s">
        <v>2161</v>
      </c>
      <c r="BQ371" s="53">
        <v>12</v>
      </c>
      <c r="BR371" s="83" t="s">
        <v>2224</v>
      </c>
      <c r="BS371" s="53"/>
      <c r="BT371" s="53"/>
      <c r="BU371" s="238"/>
    </row>
    <row r="372" spans="3:73" ht="14.25" hidden="1" customHeight="1">
      <c r="C372" s="82" t="s">
        <v>13</v>
      </c>
      <c r="D372" s="82" t="s">
        <v>1538</v>
      </c>
      <c r="E372" s="82" t="s">
        <v>1477</v>
      </c>
      <c r="F372" s="82" t="s">
        <v>1084</v>
      </c>
      <c r="G372" s="82">
        <v>3622</v>
      </c>
      <c r="H372" s="82" t="s">
        <v>147</v>
      </c>
      <c r="I372" s="82">
        <v>2</v>
      </c>
      <c r="J372" s="82">
        <v>493.5</v>
      </c>
      <c r="K372" s="82">
        <v>987</v>
      </c>
      <c r="L372" s="26">
        <f t="shared" si="38"/>
        <v>2</v>
      </c>
      <c r="M372" s="26">
        <f t="shared" si="34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>
        <v>1</v>
      </c>
      <c r="AL372" s="26">
        <v>1</v>
      </c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67" t="e">
        <f>SUMIFS([1]Up!$J:$J,[1]Up!$D:$D,D372)</f>
        <v>#VALUE!</v>
      </c>
      <c r="BJ372" s="82" t="s">
        <v>2237</v>
      </c>
      <c r="BK372" s="82" t="str">
        <f t="shared" si="39"/>
        <v>PL10</v>
      </c>
      <c r="BL372" s="53" t="str">
        <f t="shared" si="40"/>
        <v/>
      </c>
      <c r="BM372" s="53" t="s">
        <v>154</v>
      </c>
      <c r="BN372" s="53" t="s">
        <v>1004</v>
      </c>
      <c r="BO372" s="53" t="s">
        <v>1005</v>
      </c>
      <c r="BP372" s="53" t="s">
        <v>57</v>
      </c>
      <c r="BQ372" s="53">
        <v>4</v>
      </c>
      <c r="BR372" s="83"/>
      <c r="BS372" s="53"/>
      <c r="BT372" s="53"/>
    </row>
    <row r="373" spans="3:73" ht="14.25" hidden="1" customHeight="1">
      <c r="C373" s="82" t="s">
        <v>13</v>
      </c>
      <c r="D373" s="82" t="s">
        <v>1539</v>
      </c>
      <c r="E373" s="82" t="s">
        <v>1479</v>
      </c>
      <c r="F373" s="82" t="s">
        <v>1084</v>
      </c>
      <c r="G373" s="82">
        <v>5089</v>
      </c>
      <c r="H373" s="82" t="s">
        <v>147</v>
      </c>
      <c r="I373" s="82">
        <v>2</v>
      </c>
      <c r="J373" s="82">
        <v>325.5</v>
      </c>
      <c r="K373" s="82">
        <v>651</v>
      </c>
      <c r="L373" s="26">
        <f t="shared" si="38"/>
        <v>0</v>
      </c>
      <c r="M373" s="26">
        <f t="shared" si="34"/>
        <v>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67" t="e">
        <f>SUMIFS([1]Up!$J:$J,[1]Up!$D:$D,D373)</f>
        <v>#VALUE!</v>
      </c>
      <c r="BJ373" s="82"/>
      <c r="BK373" s="82" t="str">
        <f t="shared" si="39"/>
        <v>PL12</v>
      </c>
      <c r="BL373" s="53" t="str">
        <f t="shared" si="40"/>
        <v/>
      </c>
      <c r="BM373" s="53" t="s">
        <v>154</v>
      </c>
      <c r="BN373" s="53" t="s">
        <v>1020</v>
      </c>
      <c r="BO373" s="53" t="s">
        <v>1021</v>
      </c>
      <c r="BP373" s="53" t="s">
        <v>57</v>
      </c>
      <c r="BQ373" s="53">
        <v>4</v>
      </c>
      <c r="BR373" s="83"/>
      <c r="BS373" s="53"/>
      <c r="BT373" s="53"/>
    </row>
    <row r="374" spans="3:73" ht="14.25" hidden="1" customHeight="1">
      <c r="C374" s="82" t="s">
        <v>13</v>
      </c>
      <c r="D374" s="82" t="s">
        <v>1540</v>
      </c>
      <c r="E374" s="82" t="s">
        <v>1479</v>
      </c>
      <c r="F374" s="82" t="s">
        <v>1084</v>
      </c>
      <c r="G374" s="82">
        <v>5089</v>
      </c>
      <c r="H374" s="82" t="s">
        <v>147</v>
      </c>
      <c r="I374" s="82">
        <v>2</v>
      </c>
      <c r="J374" s="82">
        <v>325.5</v>
      </c>
      <c r="K374" s="82">
        <v>651</v>
      </c>
      <c r="L374" s="26">
        <f t="shared" si="38"/>
        <v>0</v>
      </c>
      <c r="M374" s="26">
        <f t="shared" si="34"/>
        <v>2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67" t="e">
        <f>SUMIFS([1]Up!$J:$J,[1]Up!$D:$D,D374)</f>
        <v>#VALUE!</v>
      </c>
      <c r="BJ374" s="82"/>
      <c r="BK374" s="82" t="str">
        <f t="shared" si="39"/>
        <v>PL12</v>
      </c>
      <c r="BL374" s="53" t="str">
        <f t="shared" si="40"/>
        <v/>
      </c>
      <c r="BM374" s="53" t="s">
        <v>154</v>
      </c>
      <c r="BN374" s="53" t="s">
        <v>1020</v>
      </c>
      <c r="BO374" s="53" t="s">
        <v>1021</v>
      </c>
      <c r="BP374" s="53" t="s">
        <v>57</v>
      </c>
      <c r="BQ374" s="53">
        <v>4</v>
      </c>
      <c r="BR374" s="83"/>
      <c r="BS374" s="53"/>
      <c r="BT374" s="53"/>
    </row>
    <row r="375" spans="3:73" ht="14.25" hidden="1" customHeight="1">
      <c r="C375" s="82" t="s">
        <v>13</v>
      </c>
      <c r="D375" s="82" t="s">
        <v>1541</v>
      </c>
      <c r="E375" s="82" t="s">
        <v>1482</v>
      </c>
      <c r="F375" s="82" t="s">
        <v>1296</v>
      </c>
      <c r="G375" s="82">
        <v>630</v>
      </c>
      <c r="H375" s="82" t="s">
        <v>147</v>
      </c>
      <c r="I375" s="82">
        <v>6</v>
      </c>
      <c r="J375" s="82">
        <v>8.1</v>
      </c>
      <c r="K375" s="82">
        <v>48.599999999999994</v>
      </c>
      <c r="L375" s="26">
        <f t="shared" si="38"/>
        <v>3</v>
      </c>
      <c r="M375" s="26">
        <f t="shared" si="34"/>
        <v>3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>
        <v>3</v>
      </c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67" t="e">
        <f>SUMIFS([1]Up!$J:$J,[1]Up!$D:$D,D375)</f>
        <v>#VALUE!</v>
      </c>
      <c r="BJ375" s="82"/>
      <c r="BK375" s="82" t="str">
        <f t="shared" si="39"/>
        <v>PL12</v>
      </c>
      <c r="BL375" s="53" t="str">
        <f t="shared" si="40"/>
        <v/>
      </c>
      <c r="BM375" s="53" t="s">
        <v>148</v>
      </c>
      <c r="BN375" s="53" t="s">
        <v>1020</v>
      </c>
      <c r="BO375" s="53" t="s">
        <v>1021</v>
      </c>
      <c r="BP375" s="84" t="s">
        <v>2159</v>
      </c>
      <c r="BQ375" s="53">
        <v>12</v>
      </c>
      <c r="BR375" s="83">
        <v>46302</v>
      </c>
      <c r="BS375" s="53"/>
      <c r="BT375" s="53"/>
      <c r="BU375" s="238"/>
    </row>
    <row r="376" spans="3:73" ht="14.25" hidden="1" customHeight="1">
      <c r="C376" s="82" t="s">
        <v>13</v>
      </c>
      <c r="D376" s="82" t="s">
        <v>1542</v>
      </c>
      <c r="E376" s="82" t="s">
        <v>1482</v>
      </c>
      <c r="F376" s="82" t="s">
        <v>1296</v>
      </c>
      <c r="G376" s="82">
        <v>630</v>
      </c>
      <c r="H376" s="82" t="s">
        <v>147</v>
      </c>
      <c r="I376" s="82">
        <v>6</v>
      </c>
      <c r="J376" s="82">
        <v>8.1</v>
      </c>
      <c r="K376" s="82">
        <v>48.599999999999994</v>
      </c>
      <c r="L376" s="26">
        <f t="shared" si="38"/>
        <v>3</v>
      </c>
      <c r="M376" s="26">
        <f t="shared" si="34"/>
        <v>3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>
        <v>3</v>
      </c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67" t="e">
        <f>SUMIFS([1]Up!$J:$J,[1]Up!$D:$D,D376)</f>
        <v>#VALUE!</v>
      </c>
      <c r="BJ376" s="82"/>
      <c r="BK376" s="82" t="str">
        <f t="shared" si="39"/>
        <v>PL12</v>
      </c>
      <c r="BL376" s="53" t="str">
        <f t="shared" si="40"/>
        <v/>
      </c>
      <c r="BM376" s="53" t="s">
        <v>148</v>
      </c>
      <c r="BN376" s="53" t="s">
        <v>1020</v>
      </c>
      <c r="BO376" s="53" t="s">
        <v>1021</v>
      </c>
      <c r="BP376" s="84" t="s">
        <v>2159</v>
      </c>
      <c r="BQ376" s="53">
        <v>12</v>
      </c>
      <c r="BR376" s="83">
        <v>46302</v>
      </c>
      <c r="BS376" s="53"/>
      <c r="BT376" s="53"/>
      <c r="BU376" s="238"/>
    </row>
    <row r="377" spans="3:73" ht="14.25" hidden="1" customHeight="1">
      <c r="C377" s="82" t="s">
        <v>13</v>
      </c>
      <c r="D377" s="82" t="s">
        <v>1543</v>
      </c>
      <c r="E377" s="82" t="s">
        <v>1163</v>
      </c>
      <c r="F377" s="82" t="s">
        <v>1296</v>
      </c>
      <c r="G377" s="82">
        <v>400</v>
      </c>
      <c r="H377" s="82" t="s">
        <v>147</v>
      </c>
      <c r="I377" s="82">
        <v>12</v>
      </c>
      <c r="J377" s="82">
        <v>4.5</v>
      </c>
      <c r="K377" s="82">
        <v>54</v>
      </c>
      <c r="L377" s="26">
        <f t="shared" si="38"/>
        <v>6</v>
      </c>
      <c r="M377" s="26">
        <f t="shared" si="34"/>
        <v>6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>
        <v>6</v>
      </c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67" t="e">
        <f>SUMIFS([1]Up!$J:$J,[1]Up!$D:$D,D377)</f>
        <v>#VALUE!</v>
      </c>
      <c r="BJ377" s="82"/>
      <c r="BK377" s="82" t="str">
        <f t="shared" si="39"/>
        <v>PL16</v>
      </c>
      <c r="BL377" s="53" t="str">
        <f t="shared" si="40"/>
        <v/>
      </c>
      <c r="BM377" s="53" t="s">
        <v>148</v>
      </c>
      <c r="BN377" s="53" t="s">
        <v>987</v>
      </c>
      <c r="BO377" s="53" t="s">
        <v>988</v>
      </c>
      <c r="BP377" s="84" t="s">
        <v>2160</v>
      </c>
      <c r="BQ377" s="53">
        <v>24</v>
      </c>
      <c r="BR377" s="83" t="s">
        <v>2225</v>
      </c>
      <c r="BS377" s="53"/>
      <c r="BT377" s="53"/>
      <c r="BU377" s="238"/>
    </row>
    <row r="378" spans="3:73" ht="14.25" hidden="1" customHeight="1">
      <c r="C378" s="82" t="s">
        <v>13</v>
      </c>
      <c r="D378" s="82" t="s">
        <v>1544</v>
      </c>
      <c r="E378" s="82" t="s">
        <v>1228</v>
      </c>
      <c r="F378" s="82" t="s">
        <v>1296</v>
      </c>
      <c r="G378" s="82">
        <v>1712</v>
      </c>
      <c r="H378" s="82" t="s">
        <v>147</v>
      </c>
      <c r="I378" s="82">
        <v>2</v>
      </c>
      <c r="J378" s="82">
        <v>86</v>
      </c>
      <c r="K378" s="82">
        <v>172</v>
      </c>
      <c r="L378" s="26">
        <f t="shared" si="38"/>
        <v>0</v>
      </c>
      <c r="M378" s="26">
        <f t="shared" si="34"/>
        <v>2</v>
      </c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67" t="e">
        <f>SUMIFS([1]Up!$J:$J,[1]Up!$D:$D,D378)</f>
        <v>#VALUE!</v>
      </c>
      <c r="BJ378" s="82"/>
      <c r="BK378" s="82" t="str">
        <f t="shared" si="39"/>
        <v>PL10</v>
      </c>
      <c r="BL378" s="53" t="str">
        <f t="shared" si="40"/>
        <v/>
      </c>
      <c r="BM378" s="53" t="s">
        <v>154</v>
      </c>
      <c r="BN378" s="53" t="s">
        <v>1004</v>
      </c>
      <c r="BO378" s="53" t="s">
        <v>1005</v>
      </c>
      <c r="BP378" s="84" t="s">
        <v>2156</v>
      </c>
      <c r="BQ378" s="53">
        <v>4</v>
      </c>
      <c r="BR378" s="83">
        <v>46302</v>
      </c>
      <c r="BS378" s="53"/>
      <c r="BT378" s="53"/>
      <c r="BU378" s="238"/>
    </row>
    <row r="379" spans="3:73" ht="14.25" hidden="1" customHeight="1">
      <c r="C379" s="82" t="s">
        <v>13</v>
      </c>
      <c r="D379" s="82" t="s">
        <v>1545</v>
      </c>
      <c r="E379" s="82" t="s">
        <v>1487</v>
      </c>
      <c r="F379" s="82" t="s">
        <v>1296</v>
      </c>
      <c r="G379" s="82">
        <v>1805</v>
      </c>
      <c r="H379" s="82" t="s">
        <v>147</v>
      </c>
      <c r="I379" s="82">
        <v>4</v>
      </c>
      <c r="J379" s="82">
        <v>54.9</v>
      </c>
      <c r="K379" s="82">
        <v>219.6</v>
      </c>
      <c r="L379" s="26">
        <f t="shared" si="38"/>
        <v>2</v>
      </c>
      <c r="M379" s="26">
        <f t="shared" si="34"/>
        <v>2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>
        <v>2</v>
      </c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67" t="e">
        <f>SUMIFS([1]Up!$J:$J,[1]Up!$D:$D,D379)</f>
        <v>#VALUE!</v>
      </c>
      <c r="BJ379" s="82"/>
      <c r="BK379" s="82" t="str">
        <f t="shared" si="39"/>
        <v>PL20</v>
      </c>
      <c r="BL379" s="53" t="str">
        <f t="shared" si="40"/>
        <v/>
      </c>
      <c r="BM379" s="53" t="s">
        <v>148</v>
      </c>
      <c r="BN379" s="53" t="s">
        <v>1099</v>
      </c>
      <c r="BO379" s="53" t="s">
        <v>1100</v>
      </c>
      <c r="BP379" s="84" t="s">
        <v>2157</v>
      </c>
      <c r="BQ379" s="53">
        <v>8</v>
      </c>
      <c r="BR379" s="83">
        <v>46242</v>
      </c>
      <c r="BS379" s="53"/>
      <c r="BT379" s="53"/>
      <c r="BU379" s="238"/>
    </row>
    <row r="380" spans="3:73" ht="14.25" hidden="1" customHeight="1">
      <c r="C380" s="82" t="s">
        <v>13</v>
      </c>
      <c r="D380" s="82" t="s">
        <v>1546</v>
      </c>
      <c r="E380" s="82" t="s">
        <v>1489</v>
      </c>
      <c r="F380" s="82" t="s">
        <v>1296</v>
      </c>
      <c r="G380" s="82">
        <v>200</v>
      </c>
      <c r="H380" s="82" t="s">
        <v>147</v>
      </c>
      <c r="I380" s="82">
        <v>6</v>
      </c>
      <c r="J380" s="82">
        <v>8</v>
      </c>
      <c r="K380" s="82">
        <v>48</v>
      </c>
      <c r="L380" s="26">
        <f t="shared" si="38"/>
        <v>3</v>
      </c>
      <c r="M380" s="26">
        <f t="shared" si="34"/>
        <v>3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>
        <v>3</v>
      </c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67" t="e">
        <f>SUMIFS([1]Up!$J:$J,[1]Up!$D:$D,D380)</f>
        <v>#VALUE!</v>
      </c>
      <c r="BJ380" s="82"/>
      <c r="BK380" s="82" t="str">
        <f t="shared" si="39"/>
        <v>PL20</v>
      </c>
      <c r="BL380" s="53" t="str">
        <f t="shared" si="40"/>
        <v/>
      </c>
      <c r="BM380" s="53" t="s">
        <v>148</v>
      </c>
      <c r="BN380" s="53" t="s">
        <v>1099</v>
      </c>
      <c r="BO380" s="53" t="s">
        <v>1100</v>
      </c>
      <c r="BP380" s="84" t="s">
        <v>2157</v>
      </c>
      <c r="BQ380" s="53">
        <v>12</v>
      </c>
      <c r="BR380" s="83">
        <v>46242</v>
      </c>
      <c r="BS380" s="53"/>
      <c r="BT380" s="53"/>
      <c r="BU380" s="238"/>
    </row>
    <row r="381" spans="3:73" ht="14.25" hidden="1" customHeight="1">
      <c r="C381" s="82" t="s">
        <v>13</v>
      </c>
      <c r="D381" s="82" t="s">
        <v>1547</v>
      </c>
      <c r="E381" s="82" t="s">
        <v>1489</v>
      </c>
      <c r="F381" s="82" t="s">
        <v>1296</v>
      </c>
      <c r="G381" s="82">
        <v>200</v>
      </c>
      <c r="H381" s="82" t="s">
        <v>147</v>
      </c>
      <c r="I381" s="82">
        <v>2</v>
      </c>
      <c r="J381" s="82">
        <v>8</v>
      </c>
      <c r="K381" s="82">
        <v>16</v>
      </c>
      <c r="L381" s="26">
        <f t="shared" si="38"/>
        <v>1</v>
      </c>
      <c r="M381" s="26">
        <f t="shared" si="34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>
        <v>1</v>
      </c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67" t="e">
        <f>SUMIFS([1]Up!$J:$J,[1]Up!$D:$D,D381)</f>
        <v>#VALUE!</v>
      </c>
      <c r="BJ381" s="82"/>
      <c r="BK381" s="82" t="str">
        <f t="shared" si="39"/>
        <v>PL20</v>
      </c>
      <c r="BL381" s="53" t="str">
        <f t="shared" si="40"/>
        <v/>
      </c>
      <c r="BM381" s="53" t="s">
        <v>148</v>
      </c>
      <c r="BN381" s="53" t="s">
        <v>1099</v>
      </c>
      <c r="BO381" s="53" t="s">
        <v>1100</v>
      </c>
      <c r="BP381" s="84" t="s">
        <v>2157</v>
      </c>
      <c r="BQ381" s="53">
        <v>4</v>
      </c>
      <c r="BR381" s="83">
        <v>46242</v>
      </c>
      <c r="BS381" s="53"/>
      <c r="BT381" s="53"/>
      <c r="BU381" s="238"/>
    </row>
    <row r="382" spans="3:73" ht="14.25" hidden="1" customHeight="1">
      <c r="C382" s="82" t="s">
        <v>13</v>
      </c>
      <c r="D382" s="82" t="s">
        <v>1548</v>
      </c>
      <c r="E382" s="82" t="s">
        <v>1199</v>
      </c>
      <c r="F382" s="82" t="s">
        <v>1296</v>
      </c>
      <c r="G382" s="82">
        <v>640</v>
      </c>
      <c r="H382" s="82" t="s">
        <v>147</v>
      </c>
      <c r="I382" s="82">
        <v>2</v>
      </c>
      <c r="J382" s="82">
        <v>36.200000000000003</v>
      </c>
      <c r="K382" s="82">
        <v>72.400000000000006</v>
      </c>
      <c r="L382" s="26">
        <f t="shared" si="38"/>
        <v>1</v>
      </c>
      <c r="M382" s="26">
        <f t="shared" si="34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>
        <v>1</v>
      </c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67" t="e">
        <f>SUMIFS([1]Up!$J:$J,[1]Up!$D:$D,D382)</f>
        <v>#VALUE!</v>
      </c>
      <c r="BJ382" s="82"/>
      <c r="BK382" s="82" t="str">
        <f t="shared" si="39"/>
        <v>PL30</v>
      </c>
      <c r="BL382" s="53" t="str">
        <f t="shared" si="40"/>
        <v/>
      </c>
      <c r="BM382" s="53" t="s">
        <v>148</v>
      </c>
      <c r="BN382" s="53" t="s">
        <v>1058</v>
      </c>
      <c r="BO382" s="53" t="s">
        <v>1059</v>
      </c>
      <c r="BP382" s="84" t="s">
        <v>2179</v>
      </c>
      <c r="BQ382" s="53">
        <v>4</v>
      </c>
      <c r="BR382" s="83">
        <v>46302</v>
      </c>
      <c r="BS382" s="53"/>
      <c r="BT382" s="53"/>
      <c r="BU382" s="238"/>
    </row>
    <row r="383" spans="3:73" ht="14.25" hidden="1" customHeight="1">
      <c r="C383" s="82" t="s">
        <v>13</v>
      </c>
      <c r="D383" s="82" t="s">
        <v>1549</v>
      </c>
      <c r="E383" s="82" t="s">
        <v>1493</v>
      </c>
      <c r="F383" s="82" t="s">
        <v>1296</v>
      </c>
      <c r="G383" s="82">
        <v>1768</v>
      </c>
      <c r="H383" s="82" t="s">
        <v>147</v>
      </c>
      <c r="I383" s="82">
        <v>2</v>
      </c>
      <c r="J383" s="82">
        <v>20.3</v>
      </c>
      <c r="K383" s="82">
        <v>40.6</v>
      </c>
      <c r="L383" s="26">
        <f t="shared" si="38"/>
        <v>2</v>
      </c>
      <c r="M383" s="26">
        <f t="shared" si="34"/>
        <v>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>
        <v>1</v>
      </c>
      <c r="AU383" s="26"/>
      <c r="AV383" s="26"/>
      <c r="AW383" s="26"/>
      <c r="AX383" s="26"/>
      <c r="AY383" s="26"/>
      <c r="AZ383" s="26"/>
      <c r="BA383" s="26"/>
      <c r="BB383" s="26">
        <v>1</v>
      </c>
      <c r="BC383" s="26"/>
      <c r="BD383" s="26"/>
      <c r="BE383" s="26"/>
      <c r="BF383" s="26"/>
      <c r="BG383" s="26"/>
      <c r="BH383" s="26"/>
      <c r="BI383" s="67" t="e">
        <f>SUMIFS([1]Up!$J:$J,[1]Up!$D:$D,D383)</f>
        <v>#VALUE!</v>
      </c>
      <c r="BJ383" s="82"/>
      <c r="BK383" s="82" t="str">
        <f t="shared" si="39"/>
        <v>PL10</v>
      </c>
      <c r="BL383" s="53" t="str">
        <f t="shared" si="40"/>
        <v/>
      </c>
      <c r="BM383" s="53" t="s">
        <v>148</v>
      </c>
      <c r="BN383" s="53" t="s">
        <v>1004</v>
      </c>
      <c r="BO383" s="53" t="s">
        <v>1005</v>
      </c>
      <c r="BP383" s="84" t="s">
        <v>2156</v>
      </c>
      <c r="BQ383" s="53">
        <v>4</v>
      </c>
      <c r="BR383" s="83">
        <v>46302</v>
      </c>
      <c r="BS383" s="53"/>
      <c r="BT383" s="53"/>
      <c r="BU383" s="238"/>
    </row>
    <row r="384" spans="3:73" ht="14.25" hidden="1" customHeight="1">
      <c r="C384" s="82" t="s">
        <v>13</v>
      </c>
      <c r="D384" s="82" t="s">
        <v>1550</v>
      </c>
      <c r="E384" s="82" t="s">
        <v>1495</v>
      </c>
      <c r="F384" s="82" t="s">
        <v>1296</v>
      </c>
      <c r="G384" s="82">
        <v>2391</v>
      </c>
      <c r="H384" s="82" t="s">
        <v>147</v>
      </c>
      <c r="I384" s="82">
        <v>2</v>
      </c>
      <c r="J384" s="82">
        <v>254.7</v>
      </c>
      <c r="K384" s="82">
        <v>509.4</v>
      </c>
      <c r="L384" s="26">
        <f t="shared" si="38"/>
        <v>0</v>
      </c>
      <c r="M384" s="26">
        <f t="shared" si="34"/>
        <v>2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67" t="e">
        <f>SUMIFS([1]Up!$J:$J,[1]Up!$D:$D,D384)</f>
        <v>#VALUE!</v>
      </c>
      <c r="BJ384" s="82"/>
      <c r="BK384" s="82" t="str">
        <f t="shared" si="39"/>
        <v>PL12</v>
      </c>
      <c r="BL384" s="53" t="str">
        <f t="shared" si="40"/>
        <v/>
      </c>
      <c r="BM384" s="53" t="s">
        <v>154</v>
      </c>
      <c r="BN384" s="53" t="s">
        <v>1020</v>
      </c>
      <c r="BO384" s="53" t="s">
        <v>1021</v>
      </c>
      <c r="BP384" s="53" t="s">
        <v>57</v>
      </c>
      <c r="BQ384" s="53">
        <v>4</v>
      </c>
      <c r="BR384" s="83"/>
      <c r="BS384" s="53"/>
      <c r="BT384" s="53"/>
    </row>
    <row r="385" spans="3:73" ht="14.25" hidden="1" customHeight="1">
      <c r="C385" s="82" t="s">
        <v>13</v>
      </c>
      <c r="D385" s="82" t="s">
        <v>1551</v>
      </c>
      <c r="E385" s="82" t="s">
        <v>1497</v>
      </c>
      <c r="F385" s="82" t="s">
        <v>1296</v>
      </c>
      <c r="G385" s="82">
        <v>852</v>
      </c>
      <c r="H385" s="82" t="s">
        <v>147</v>
      </c>
      <c r="I385" s="82">
        <v>2</v>
      </c>
      <c r="J385" s="82">
        <v>9.1999999999999993</v>
      </c>
      <c r="K385" s="82">
        <v>18.399999999999999</v>
      </c>
      <c r="L385" s="26">
        <f t="shared" si="38"/>
        <v>1</v>
      </c>
      <c r="M385" s="26">
        <f t="shared" si="34"/>
        <v>1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>
        <v>1</v>
      </c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67" t="e">
        <f>SUMIFS([1]Up!$J:$J,[1]Up!$D:$D,D385)</f>
        <v>#VALUE!</v>
      </c>
      <c r="BJ385" s="82"/>
      <c r="BK385" s="82" t="str">
        <f t="shared" si="39"/>
        <v>PL10</v>
      </c>
      <c r="BL385" s="53" t="str">
        <f t="shared" si="40"/>
        <v/>
      </c>
      <c r="BM385" s="53" t="s">
        <v>148</v>
      </c>
      <c r="BN385" s="53" t="s">
        <v>1004</v>
      </c>
      <c r="BO385" s="53" t="s">
        <v>1005</v>
      </c>
      <c r="BP385" s="84" t="s">
        <v>2156</v>
      </c>
      <c r="BQ385" s="53">
        <v>4</v>
      </c>
      <c r="BR385" s="83">
        <v>46302</v>
      </c>
      <c r="BS385" s="53"/>
      <c r="BT385" s="53"/>
      <c r="BU385" s="238"/>
    </row>
    <row r="386" spans="3:73" ht="14.25" hidden="1" customHeight="1">
      <c r="C386" s="82" t="s">
        <v>13</v>
      </c>
      <c r="D386" s="82" t="s">
        <v>1552</v>
      </c>
      <c r="E386" s="82" t="s">
        <v>1157</v>
      </c>
      <c r="F386" s="82" t="s">
        <v>1296</v>
      </c>
      <c r="G386" s="82">
        <v>7104</v>
      </c>
      <c r="H386" s="82" t="s">
        <v>147</v>
      </c>
      <c r="I386" s="82">
        <v>4</v>
      </c>
      <c r="J386" s="82">
        <v>267.7</v>
      </c>
      <c r="K386" s="82">
        <v>1070.8</v>
      </c>
      <c r="L386" s="26">
        <f t="shared" si="38"/>
        <v>2</v>
      </c>
      <c r="M386" s="26">
        <f t="shared" si="34"/>
        <v>2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>
        <v>2</v>
      </c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67" t="e">
        <f>SUMIFS([1]Up!$J:$J,[1]Up!$D:$D,D386)</f>
        <v>#VALUE!</v>
      </c>
      <c r="BJ386" s="82"/>
      <c r="BK386" s="82" t="str">
        <f t="shared" si="39"/>
        <v>PL15</v>
      </c>
      <c r="BL386" s="53" t="str">
        <f t="shared" si="40"/>
        <v/>
      </c>
      <c r="BM386" s="53" t="s">
        <v>148</v>
      </c>
      <c r="BN386" s="53" t="s">
        <v>1093</v>
      </c>
      <c r="BO386" s="53" t="s">
        <v>1094</v>
      </c>
      <c r="BP386" s="84" t="s">
        <v>2155</v>
      </c>
      <c r="BQ386" s="53">
        <v>8</v>
      </c>
      <c r="BR386" s="83" t="s">
        <v>2224</v>
      </c>
      <c r="BS386" s="53"/>
      <c r="BT386" s="53"/>
      <c r="BU386" s="238"/>
    </row>
    <row r="387" spans="3:73" ht="14.25" hidden="1" customHeight="1">
      <c r="C387" s="82" t="s">
        <v>13</v>
      </c>
      <c r="D387" s="82" t="s">
        <v>1553</v>
      </c>
      <c r="E387" s="82" t="s">
        <v>1477</v>
      </c>
      <c r="F387" s="82" t="s">
        <v>1084</v>
      </c>
      <c r="G387" s="82">
        <v>3622</v>
      </c>
      <c r="H387" s="82" t="s">
        <v>147</v>
      </c>
      <c r="I387" s="82">
        <v>2</v>
      </c>
      <c r="J387" s="82">
        <v>493.5</v>
      </c>
      <c r="K387" s="82">
        <v>987</v>
      </c>
      <c r="L387" s="26">
        <f t="shared" si="38"/>
        <v>2</v>
      </c>
      <c r="M387" s="26">
        <f t="shared" si="34"/>
        <v>0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>
        <v>1</v>
      </c>
      <c r="AM387" s="26"/>
      <c r="AN387" s="26"/>
      <c r="AO387" s="26"/>
      <c r="AP387" s="26">
        <v>1</v>
      </c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67" t="e">
        <f>SUMIFS([1]Up!$J:$J,[1]Up!$D:$D,D387)</f>
        <v>#VALUE!</v>
      </c>
      <c r="BJ387" s="82" t="s">
        <v>2228</v>
      </c>
      <c r="BK387" s="82" t="str">
        <f t="shared" si="39"/>
        <v>PL10</v>
      </c>
      <c r="BL387" s="53" t="str">
        <f t="shared" si="40"/>
        <v/>
      </c>
      <c r="BM387" s="53" t="s">
        <v>154</v>
      </c>
      <c r="BN387" s="53" t="s">
        <v>1004</v>
      </c>
      <c r="BO387" s="53" t="s">
        <v>1005</v>
      </c>
      <c r="BP387" s="53" t="s">
        <v>57</v>
      </c>
      <c r="BQ387" s="53">
        <v>4</v>
      </c>
      <c r="BR387" s="83"/>
      <c r="BS387" s="53"/>
      <c r="BT387" s="53"/>
    </row>
    <row r="388" spans="3:73" ht="14.25" hidden="1" customHeight="1">
      <c r="C388" s="82" t="s">
        <v>13</v>
      </c>
      <c r="D388" s="82" t="s">
        <v>1554</v>
      </c>
      <c r="E388" s="82" t="s">
        <v>1495</v>
      </c>
      <c r="F388" s="82" t="s">
        <v>1084</v>
      </c>
      <c r="G388" s="82">
        <v>5089</v>
      </c>
      <c r="H388" s="82" t="s">
        <v>147</v>
      </c>
      <c r="I388" s="82">
        <v>2</v>
      </c>
      <c r="J388" s="82">
        <v>983.4</v>
      </c>
      <c r="K388" s="82">
        <v>1966.8</v>
      </c>
      <c r="L388" s="26">
        <f t="shared" si="38"/>
        <v>2</v>
      </c>
      <c r="M388" s="26">
        <f t="shared" si="34"/>
        <v>0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>
        <v>2</v>
      </c>
      <c r="AO388" s="26"/>
      <c r="AP388" s="26">
        <v>1</v>
      </c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67" t="e">
        <f>SUMIFS([1]Up!$J:$J,[1]Up!$D:$D,D388)</f>
        <v>#VALUE!</v>
      </c>
      <c r="BJ388" s="82" t="s">
        <v>2249</v>
      </c>
      <c r="BK388" s="82" t="str">
        <f t="shared" si="39"/>
        <v>PL12</v>
      </c>
      <c r="BL388" s="53" t="str">
        <f t="shared" si="40"/>
        <v>Thừa 1</v>
      </c>
      <c r="BM388" s="53" t="s">
        <v>154</v>
      </c>
      <c r="BN388" s="53" t="s">
        <v>1020</v>
      </c>
      <c r="BO388" s="53" t="s">
        <v>1021</v>
      </c>
      <c r="BP388" s="53" t="s">
        <v>57</v>
      </c>
      <c r="BQ388" s="53">
        <v>4</v>
      </c>
      <c r="BR388" s="83"/>
      <c r="BS388" s="53"/>
      <c r="BT388" s="53"/>
    </row>
    <row r="389" spans="3:73" ht="14.25" hidden="1" customHeight="1">
      <c r="C389" s="82" t="s">
        <v>13</v>
      </c>
      <c r="D389" s="82" t="s">
        <v>1555</v>
      </c>
      <c r="E389" s="82" t="s">
        <v>1508</v>
      </c>
      <c r="F389" s="82" t="s">
        <v>1296</v>
      </c>
      <c r="G389" s="82">
        <v>2053</v>
      </c>
      <c r="H389" s="82" t="s">
        <v>147</v>
      </c>
      <c r="I389" s="82">
        <v>6</v>
      </c>
      <c r="J389" s="82">
        <v>28.6</v>
      </c>
      <c r="K389" s="82">
        <v>171.60000000000002</v>
      </c>
      <c r="L389" s="26">
        <f t="shared" si="38"/>
        <v>3</v>
      </c>
      <c r="M389" s="26">
        <f t="shared" si="34"/>
        <v>3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>
        <v>3</v>
      </c>
      <c r="BF389" s="26"/>
      <c r="BG389" s="26"/>
      <c r="BH389" s="26"/>
      <c r="BI389" s="67" t="e">
        <f>SUMIFS([1]Up!$J:$J,[1]Up!$D:$D,D389)</f>
        <v>#VALUE!</v>
      </c>
      <c r="BJ389" s="82"/>
      <c r="BK389" s="82" t="str">
        <f t="shared" si="39"/>
        <v>PL12</v>
      </c>
      <c r="BL389" s="53" t="str">
        <f t="shared" si="40"/>
        <v/>
      </c>
      <c r="BM389" s="53" t="s">
        <v>148</v>
      </c>
      <c r="BN389" s="53" t="s">
        <v>1020</v>
      </c>
      <c r="BO389" s="53" t="s">
        <v>1021</v>
      </c>
      <c r="BP389" s="84" t="s">
        <v>2159</v>
      </c>
      <c r="BQ389" s="53">
        <v>12</v>
      </c>
      <c r="BR389" s="83">
        <v>46302</v>
      </c>
      <c r="BS389" s="53"/>
      <c r="BT389" s="53"/>
      <c r="BU389" s="238"/>
    </row>
    <row r="390" spans="3:73" ht="14.25" hidden="1" customHeight="1">
      <c r="C390" s="82" t="s">
        <v>13</v>
      </c>
      <c r="D390" s="82" t="s">
        <v>1556</v>
      </c>
      <c r="E390" s="82" t="s">
        <v>1524</v>
      </c>
      <c r="F390" s="82" t="s">
        <v>1296</v>
      </c>
      <c r="G390" s="82">
        <v>1805</v>
      </c>
      <c r="H390" s="82" t="s">
        <v>147</v>
      </c>
      <c r="I390" s="82">
        <v>4</v>
      </c>
      <c r="J390" s="82">
        <v>48.7</v>
      </c>
      <c r="K390" s="82">
        <v>194.8</v>
      </c>
      <c r="L390" s="26">
        <f t="shared" si="38"/>
        <v>2</v>
      </c>
      <c r="M390" s="26">
        <f t="shared" si="34"/>
        <v>2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>
        <v>2</v>
      </c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67" t="e">
        <f>SUMIFS([1]Up!$J:$J,[1]Up!$D:$D,D390)</f>
        <v>#VALUE!</v>
      </c>
      <c r="BJ390" s="82"/>
      <c r="BK390" s="82" t="str">
        <f t="shared" si="39"/>
        <v>PL20</v>
      </c>
      <c r="BL390" s="53" t="str">
        <f t="shared" si="40"/>
        <v/>
      </c>
      <c r="BM390" s="53" t="s">
        <v>148</v>
      </c>
      <c r="BN390" s="53" t="s">
        <v>1099</v>
      </c>
      <c r="BO390" s="53" t="s">
        <v>1100</v>
      </c>
      <c r="BP390" s="84" t="s">
        <v>2157</v>
      </c>
      <c r="BQ390" s="53">
        <v>8</v>
      </c>
      <c r="BR390" s="83">
        <v>46242</v>
      </c>
      <c r="BS390" s="53"/>
      <c r="BT390" s="53"/>
      <c r="BU390" s="238"/>
    </row>
    <row r="391" spans="3:73" ht="14.25" hidden="1" customHeight="1">
      <c r="C391" s="82" t="s">
        <v>13</v>
      </c>
      <c r="D391" s="82" t="s">
        <v>1557</v>
      </c>
      <c r="E391" s="82" t="s">
        <v>1526</v>
      </c>
      <c r="F391" s="82" t="s">
        <v>1296</v>
      </c>
      <c r="G391" s="82">
        <v>2550</v>
      </c>
      <c r="H391" s="82" t="s">
        <v>147</v>
      </c>
      <c r="I391" s="82">
        <v>2</v>
      </c>
      <c r="J391" s="82">
        <v>434.1</v>
      </c>
      <c r="K391" s="82">
        <v>868.2</v>
      </c>
      <c r="L391" s="26">
        <f t="shared" si="38"/>
        <v>0</v>
      </c>
      <c r="M391" s="26">
        <f t="shared" si="34"/>
        <v>2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67" t="e">
        <f>SUMIFS([1]Up!$J:$J,[1]Up!$D:$D,D391)</f>
        <v>#VALUE!</v>
      </c>
      <c r="BJ391" s="82"/>
      <c r="BK391" s="82" t="str">
        <f t="shared" si="39"/>
        <v>PL12</v>
      </c>
      <c r="BL391" s="53" t="str">
        <f t="shared" si="40"/>
        <v/>
      </c>
      <c r="BM391" s="53" t="s">
        <v>154</v>
      </c>
      <c r="BN391" s="53" t="s">
        <v>1020</v>
      </c>
      <c r="BO391" s="53" t="s">
        <v>1021</v>
      </c>
      <c r="BP391" s="53" t="s">
        <v>57</v>
      </c>
      <c r="BQ391" s="53">
        <v>4</v>
      </c>
      <c r="BR391" s="83"/>
      <c r="BS391" s="53"/>
      <c r="BT391" s="53"/>
    </row>
    <row r="392" spans="3:73" ht="14.25" hidden="1" customHeight="1">
      <c r="C392" s="82" t="s">
        <v>13</v>
      </c>
      <c r="D392" s="82" t="s">
        <v>1558</v>
      </c>
      <c r="E392" s="82" t="s">
        <v>1125</v>
      </c>
      <c r="F392" s="82" t="s">
        <v>1296</v>
      </c>
      <c r="G392" s="82">
        <v>200</v>
      </c>
      <c r="H392" s="82" t="s">
        <v>147</v>
      </c>
      <c r="I392" s="82">
        <v>4</v>
      </c>
      <c r="J392" s="82">
        <v>5.5</v>
      </c>
      <c r="K392" s="82">
        <v>22</v>
      </c>
      <c r="L392" s="26">
        <f t="shared" si="38"/>
        <v>2</v>
      </c>
      <c r="M392" s="26">
        <f t="shared" si="34"/>
        <v>2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>
        <v>2</v>
      </c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67" t="e">
        <f>SUMIFS([1]Up!$J:$J,[1]Up!$D:$D,D392)</f>
        <v>#VALUE!</v>
      </c>
      <c r="BJ392" s="82"/>
      <c r="BK392" s="82" t="str">
        <f t="shared" si="39"/>
        <v>PL15</v>
      </c>
      <c r="BL392" s="53" t="str">
        <f t="shared" si="40"/>
        <v/>
      </c>
      <c r="BM392" s="53" t="s">
        <v>148</v>
      </c>
      <c r="BN392" s="53" t="s">
        <v>1093</v>
      </c>
      <c r="BO392" s="53" t="s">
        <v>1094</v>
      </c>
      <c r="BP392" s="84" t="s">
        <v>2155</v>
      </c>
      <c r="BQ392" s="53">
        <v>8</v>
      </c>
      <c r="BR392" s="83" t="s">
        <v>2224</v>
      </c>
      <c r="BS392" s="53"/>
      <c r="BT392" s="53"/>
      <c r="BU392" s="238"/>
    </row>
    <row r="393" spans="3:73" ht="14.25" hidden="1" customHeight="1">
      <c r="C393" s="82" t="s">
        <v>13</v>
      </c>
      <c r="D393" s="82" t="s">
        <v>1559</v>
      </c>
      <c r="E393" s="82" t="s">
        <v>1123</v>
      </c>
      <c r="F393" s="82" t="s">
        <v>1296</v>
      </c>
      <c r="G393" s="82">
        <v>320</v>
      </c>
      <c r="H393" s="82" t="s">
        <v>147</v>
      </c>
      <c r="I393" s="82">
        <v>4</v>
      </c>
      <c r="J393" s="82">
        <v>7.6</v>
      </c>
      <c r="K393" s="82">
        <v>30.4</v>
      </c>
      <c r="L393" s="26">
        <f t="shared" si="38"/>
        <v>2</v>
      </c>
      <c r="M393" s="26">
        <f t="shared" si="34"/>
        <v>2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>
        <v>2</v>
      </c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67" t="e">
        <f>SUMIFS([1]Up!$J:$J,[1]Up!$D:$D,D393)</f>
        <v>#VALUE!</v>
      </c>
      <c r="BJ393" s="82"/>
      <c r="BK393" s="82" t="str">
        <f t="shared" si="39"/>
        <v>PL20</v>
      </c>
      <c r="BL393" s="53" t="str">
        <f t="shared" si="40"/>
        <v/>
      </c>
      <c r="BM393" s="53" t="s">
        <v>148</v>
      </c>
      <c r="BN393" s="53" t="s">
        <v>1099</v>
      </c>
      <c r="BO393" s="53" t="s">
        <v>1100</v>
      </c>
      <c r="BP393" s="84" t="s">
        <v>2157</v>
      </c>
      <c r="BQ393" s="53">
        <v>8</v>
      </c>
      <c r="BR393" s="83">
        <v>46242</v>
      </c>
      <c r="BS393" s="53"/>
      <c r="BT393" s="53"/>
      <c r="BU393" s="238"/>
    </row>
    <row r="394" spans="3:73" ht="14.25" hidden="1" customHeight="1">
      <c r="C394" s="82" t="s">
        <v>13</v>
      </c>
      <c r="D394" s="82" t="s">
        <v>1560</v>
      </c>
      <c r="E394" s="82" t="s">
        <v>1493</v>
      </c>
      <c r="F394" s="82" t="s">
        <v>1296</v>
      </c>
      <c r="G394" s="82">
        <v>1768</v>
      </c>
      <c r="H394" s="82" t="s">
        <v>147</v>
      </c>
      <c r="I394" s="82">
        <v>2</v>
      </c>
      <c r="J394" s="82">
        <v>20.3</v>
      </c>
      <c r="K394" s="82">
        <v>40.6</v>
      </c>
      <c r="L394" s="26">
        <f t="shared" si="38"/>
        <v>1</v>
      </c>
      <c r="M394" s="26">
        <f t="shared" si="34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>
        <v>1</v>
      </c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67" t="e">
        <f>SUMIFS([1]Up!$J:$J,[1]Up!$D:$D,D394)</f>
        <v>#VALUE!</v>
      </c>
      <c r="BJ394" s="82"/>
      <c r="BK394" s="82" t="str">
        <f t="shared" si="39"/>
        <v>PL10</v>
      </c>
      <c r="BL394" s="53" t="str">
        <f t="shared" si="40"/>
        <v/>
      </c>
      <c r="BM394" s="53" t="s">
        <v>148</v>
      </c>
      <c r="BN394" s="53" t="s">
        <v>1004</v>
      </c>
      <c r="BO394" s="53" t="s">
        <v>1005</v>
      </c>
      <c r="BP394" s="84" t="s">
        <v>2156</v>
      </c>
      <c r="BQ394" s="53">
        <v>4</v>
      </c>
      <c r="BR394" s="83">
        <v>46302</v>
      </c>
      <c r="BS394" s="53"/>
      <c r="BT394" s="53"/>
      <c r="BU394" s="238"/>
    </row>
    <row r="395" spans="3:73" ht="14.25" hidden="1" customHeight="1">
      <c r="C395" s="82" t="s">
        <v>13</v>
      </c>
      <c r="D395" s="82" t="s">
        <v>1561</v>
      </c>
      <c r="E395" s="82" t="s">
        <v>1477</v>
      </c>
      <c r="F395" s="82" t="s">
        <v>1084</v>
      </c>
      <c r="G395" s="82">
        <v>3622</v>
      </c>
      <c r="H395" s="82" t="s">
        <v>147</v>
      </c>
      <c r="I395" s="82">
        <v>2</v>
      </c>
      <c r="J395" s="82">
        <v>493.5</v>
      </c>
      <c r="K395" s="82">
        <v>987</v>
      </c>
      <c r="L395" s="26">
        <f t="shared" si="38"/>
        <v>2</v>
      </c>
      <c r="M395" s="26">
        <f t="shared" si="34"/>
        <v>0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>
        <v>1</v>
      </c>
      <c r="AL395" s="26">
        <v>1</v>
      </c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67" t="e">
        <f>SUMIFS([1]Up!$J:$J,[1]Up!$D:$D,D395)</f>
        <v>#VALUE!</v>
      </c>
      <c r="BJ395" s="82" t="s">
        <v>2237</v>
      </c>
      <c r="BK395" s="82" t="str">
        <f t="shared" si="39"/>
        <v>PL10</v>
      </c>
      <c r="BL395" s="53" t="str">
        <f t="shared" si="40"/>
        <v/>
      </c>
      <c r="BM395" s="53" t="s">
        <v>154</v>
      </c>
      <c r="BN395" s="53" t="s">
        <v>1004</v>
      </c>
      <c r="BO395" s="53" t="s">
        <v>1005</v>
      </c>
      <c r="BP395" s="53" t="s">
        <v>57</v>
      </c>
      <c r="BQ395" s="53">
        <v>4</v>
      </c>
      <c r="BR395" s="83"/>
      <c r="BS395" s="53"/>
      <c r="BT395" s="53"/>
    </row>
    <row r="396" spans="3:73" ht="14.25" hidden="1" customHeight="1">
      <c r="C396" s="82" t="s">
        <v>13</v>
      </c>
      <c r="D396" s="82" t="s">
        <v>1562</v>
      </c>
      <c r="E396" s="82" t="s">
        <v>1501</v>
      </c>
      <c r="F396" s="82" t="s">
        <v>1296</v>
      </c>
      <c r="G396" s="82">
        <v>640</v>
      </c>
      <c r="H396" s="82" t="s">
        <v>147</v>
      </c>
      <c r="I396" s="82">
        <v>2</v>
      </c>
      <c r="J396" s="82">
        <v>19.5</v>
      </c>
      <c r="K396" s="82">
        <v>39</v>
      </c>
      <c r="L396" s="26">
        <f t="shared" si="38"/>
        <v>2</v>
      </c>
      <c r="M396" s="26">
        <f t="shared" si="34"/>
        <v>0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>
        <v>1</v>
      </c>
      <c r="BA396" s="26"/>
      <c r="BB396" s="26"/>
      <c r="BC396" s="26"/>
      <c r="BD396" s="26">
        <v>1</v>
      </c>
      <c r="BE396" s="26"/>
      <c r="BF396" s="26"/>
      <c r="BG396" s="26"/>
      <c r="BH396" s="26"/>
      <c r="BI396" s="67" t="e">
        <f>SUMIFS([1]Up!$J:$J,[1]Up!$D:$D,D396)</f>
        <v>#VALUE!</v>
      </c>
      <c r="BJ396" s="82"/>
      <c r="BK396" s="82" t="str">
        <f t="shared" si="39"/>
        <v>PL10</v>
      </c>
      <c r="BL396" s="53" t="str">
        <f t="shared" si="40"/>
        <v/>
      </c>
      <c r="BM396" s="53" t="s">
        <v>154</v>
      </c>
      <c r="BN396" s="53" t="s">
        <v>1004</v>
      </c>
      <c r="BO396" s="53" t="s">
        <v>1005</v>
      </c>
      <c r="BP396" s="84" t="s">
        <v>2156</v>
      </c>
      <c r="BQ396" s="53">
        <v>4</v>
      </c>
      <c r="BR396" s="83">
        <v>46302</v>
      </c>
      <c r="BS396" s="53"/>
      <c r="BT396" s="53"/>
      <c r="BU396" s="238"/>
    </row>
    <row r="397" spans="3:73" ht="14.25" hidden="1" customHeight="1">
      <c r="C397" s="82" t="s">
        <v>13</v>
      </c>
      <c r="D397" s="82" t="s">
        <v>1563</v>
      </c>
      <c r="E397" s="82" t="s">
        <v>1503</v>
      </c>
      <c r="F397" s="82" t="s">
        <v>1296</v>
      </c>
      <c r="G397" s="82">
        <v>1805</v>
      </c>
      <c r="H397" s="82" t="s">
        <v>147</v>
      </c>
      <c r="I397" s="82">
        <v>4</v>
      </c>
      <c r="J397" s="82">
        <v>48.1</v>
      </c>
      <c r="K397" s="82">
        <v>192.4</v>
      </c>
      <c r="L397" s="26">
        <f t="shared" si="38"/>
        <v>2</v>
      </c>
      <c r="M397" s="26">
        <f t="shared" si="34"/>
        <v>2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>
        <v>2</v>
      </c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67" t="e">
        <f>SUMIFS([1]Up!$J:$J,[1]Up!$D:$D,D397)</f>
        <v>#VALUE!</v>
      </c>
      <c r="BJ397" s="82"/>
      <c r="BK397" s="82" t="str">
        <f t="shared" si="39"/>
        <v>PL20</v>
      </c>
      <c r="BL397" s="53" t="str">
        <f t="shared" si="40"/>
        <v/>
      </c>
      <c r="BM397" s="53" t="s">
        <v>148</v>
      </c>
      <c r="BN397" s="53" t="s">
        <v>1099</v>
      </c>
      <c r="BO397" s="53" t="s">
        <v>1100</v>
      </c>
      <c r="BP397" s="84" t="s">
        <v>2157</v>
      </c>
      <c r="BQ397" s="53">
        <v>8</v>
      </c>
      <c r="BR397" s="83">
        <v>46242</v>
      </c>
      <c r="BS397" s="53"/>
      <c r="BT397" s="53"/>
      <c r="BU397" s="238"/>
    </row>
    <row r="398" spans="3:73" ht="14.25" hidden="1" customHeight="1">
      <c r="C398" s="82" t="s">
        <v>13</v>
      </c>
      <c r="D398" s="82" t="s">
        <v>1564</v>
      </c>
      <c r="E398" s="82" t="s">
        <v>1505</v>
      </c>
      <c r="F398" s="82" t="s">
        <v>1084</v>
      </c>
      <c r="G398" s="82">
        <v>2664</v>
      </c>
      <c r="H398" s="82" t="s">
        <v>147</v>
      </c>
      <c r="I398" s="82">
        <v>2</v>
      </c>
      <c r="J398" s="82">
        <v>428.3</v>
      </c>
      <c r="K398" s="82">
        <v>856.6</v>
      </c>
      <c r="L398" s="26">
        <f t="shared" si="38"/>
        <v>0</v>
      </c>
      <c r="M398" s="26">
        <f t="shared" si="34"/>
        <v>2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67" t="e">
        <f>SUMIFS([1]Up!$J:$J,[1]Up!$D:$D,D398)</f>
        <v>#VALUE!</v>
      </c>
      <c r="BJ398" s="82"/>
      <c r="BK398" s="82" t="str">
        <f t="shared" si="39"/>
        <v>PL12</v>
      </c>
      <c r="BL398" s="53" t="str">
        <f t="shared" si="40"/>
        <v/>
      </c>
      <c r="BM398" s="53" t="s">
        <v>154</v>
      </c>
      <c r="BN398" s="53" t="s">
        <v>1020</v>
      </c>
      <c r="BO398" s="53" t="s">
        <v>1021</v>
      </c>
      <c r="BP398" s="53" t="s">
        <v>57</v>
      </c>
      <c r="BQ398" s="53">
        <v>4</v>
      </c>
      <c r="BR398" s="83"/>
      <c r="BS398" s="53"/>
      <c r="BT398" s="53"/>
    </row>
    <row r="399" spans="3:73" ht="14.25" hidden="1" customHeight="1">
      <c r="C399" s="82" t="s">
        <v>13</v>
      </c>
      <c r="D399" s="82" t="s">
        <v>1565</v>
      </c>
      <c r="E399" s="82" t="s">
        <v>1495</v>
      </c>
      <c r="F399" s="82" t="s">
        <v>1084</v>
      </c>
      <c r="G399" s="82">
        <v>5089</v>
      </c>
      <c r="H399" s="82" t="s">
        <v>147</v>
      </c>
      <c r="I399" s="82">
        <v>2</v>
      </c>
      <c r="J399" s="82">
        <v>983.4</v>
      </c>
      <c r="K399" s="82">
        <v>1966.8</v>
      </c>
      <c r="L399" s="26">
        <f t="shared" si="38"/>
        <v>2</v>
      </c>
      <c r="M399" s="26">
        <f t="shared" si="34"/>
        <v>0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>
        <v>1</v>
      </c>
      <c r="AO399" s="26"/>
      <c r="AP399" s="26">
        <f>1+1</f>
        <v>2</v>
      </c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67" t="e">
        <f>SUMIFS([1]Up!$J:$J,[1]Up!$D:$D,D399)</f>
        <v>#VALUE!</v>
      </c>
      <c r="BJ399" s="82" t="s">
        <v>2244</v>
      </c>
      <c r="BK399" s="82" t="str">
        <f t="shared" si="39"/>
        <v>PL12</v>
      </c>
      <c r="BL399" s="53" t="str">
        <f t="shared" si="40"/>
        <v>Thừa 1</v>
      </c>
      <c r="BM399" s="53" t="s">
        <v>154</v>
      </c>
      <c r="BN399" s="53" t="s">
        <v>1020</v>
      </c>
      <c r="BO399" s="53" t="s">
        <v>1021</v>
      </c>
      <c r="BP399" s="53" t="s">
        <v>57</v>
      </c>
      <c r="BQ399" s="53">
        <v>4</v>
      </c>
      <c r="BR399" s="83"/>
      <c r="BS399" s="53"/>
      <c r="BT399" s="53"/>
    </row>
    <row r="400" spans="3:73" ht="14.25" hidden="1" customHeight="1">
      <c r="C400" s="82" t="s">
        <v>13</v>
      </c>
      <c r="D400" s="82" t="s">
        <v>1566</v>
      </c>
      <c r="E400" s="82" t="s">
        <v>1508</v>
      </c>
      <c r="F400" s="82" t="s">
        <v>1296</v>
      </c>
      <c r="G400" s="82">
        <v>2053</v>
      </c>
      <c r="H400" s="82" t="s">
        <v>147</v>
      </c>
      <c r="I400" s="82">
        <v>6</v>
      </c>
      <c r="J400" s="82">
        <v>28.6</v>
      </c>
      <c r="K400" s="82">
        <v>171.60000000000002</v>
      </c>
      <c r="L400" s="26">
        <f t="shared" si="38"/>
        <v>3</v>
      </c>
      <c r="M400" s="26">
        <f t="shared" si="34"/>
        <v>3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>
        <v>3</v>
      </c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67" t="e">
        <f>SUMIFS([1]Up!$J:$J,[1]Up!$D:$D,D400)</f>
        <v>#VALUE!</v>
      </c>
      <c r="BJ400" s="82"/>
      <c r="BK400" s="82" t="str">
        <f t="shared" si="39"/>
        <v>PL12</v>
      </c>
      <c r="BL400" s="53" t="str">
        <f t="shared" si="40"/>
        <v/>
      </c>
      <c r="BM400" s="53" t="s">
        <v>148</v>
      </c>
      <c r="BN400" s="53" t="s">
        <v>1020</v>
      </c>
      <c r="BO400" s="53" t="s">
        <v>1021</v>
      </c>
      <c r="BP400" s="84" t="s">
        <v>2159</v>
      </c>
      <c r="BQ400" s="53">
        <v>12</v>
      </c>
      <c r="BR400" s="83">
        <v>46302</v>
      </c>
      <c r="BS400" s="53"/>
      <c r="BT400" s="53"/>
      <c r="BU400" s="238"/>
    </row>
    <row r="401" spans="3:73" ht="14.25" hidden="1" customHeight="1">
      <c r="C401" s="82" t="s">
        <v>13</v>
      </c>
      <c r="D401" s="82" t="s">
        <v>1567</v>
      </c>
      <c r="E401" s="82" t="s">
        <v>1493</v>
      </c>
      <c r="F401" s="82" t="s">
        <v>1296</v>
      </c>
      <c r="G401" s="82">
        <v>1768</v>
      </c>
      <c r="H401" s="82" t="s">
        <v>147</v>
      </c>
      <c r="I401" s="82">
        <v>2</v>
      </c>
      <c r="J401" s="82">
        <v>20.3</v>
      </c>
      <c r="K401" s="82">
        <v>40.6</v>
      </c>
      <c r="L401" s="26">
        <f t="shared" si="38"/>
        <v>1</v>
      </c>
      <c r="M401" s="26">
        <f t="shared" si="34"/>
        <v>1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>
        <v>1</v>
      </c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67" t="e">
        <f>SUMIFS([1]Up!$J:$J,[1]Up!$D:$D,D401)</f>
        <v>#VALUE!</v>
      </c>
      <c r="BJ401" s="82"/>
      <c r="BK401" s="82" t="str">
        <f t="shared" si="39"/>
        <v>PL10</v>
      </c>
      <c r="BL401" s="53" t="str">
        <f t="shared" si="40"/>
        <v/>
      </c>
      <c r="BM401" s="53" t="s">
        <v>148</v>
      </c>
      <c r="BN401" s="53" t="s">
        <v>1004</v>
      </c>
      <c r="BO401" s="53" t="s">
        <v>1005</v>
      </c>
      <c r="BP401" s="84" t="s">
        <v>2156</v>
      </c>
      <c r="BQ401" s="53">
        <v>4</v>
      </c>
      <c r="BR401" s="83">
        <v>46302</v>
      </c>
      <c r="BS401" s="53"/>
      <c r="BT401" s="53"/>
      <c r="BU401" s="238"/>
    </row>
    <row r="402" spans="3:73" ht="14.25" hidden="1" customHeight="1">
      <c r="C402" s="82" t="s">
        <v>13</v>
      </c>
      <c r="D402" s="82" t="s">
        <v>1568</v>
      </c>
      <c r="E402" s="82" t="s">
        <v>1477</v>
      </c>
      <c r="F402" s="82" t="s">
        <v>1084</v>
      </c>
      <c r="G402" s="82">
        <v>3622</v>
      </c>
      <c r="H402" s="82" t="s">
        <v>147</v>
      </c>
      <c r="I402" s="82">
        <v>2</v>
      </c>
      <c r="J402" s="82">
        <v>493.5</v>
      </c>
      <c r="K402" s="82">
        <v>987</v>
      </c>
      <c r="L402" s="26">
        <f t="shared" si="38"/>
        <v>2</v>
      </c>
      <c r="M402" s="26">
        <f t="shared" si="34"/>
        <v>0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>
        <v>1</v>
      </c>
      <c r="AL402" s="26"/>
      <c r="AM402" s="26"/>
      <c r="AN402" s="26"/>
      <c r="AO402" s="26"/>
      <c r="AP402" s="26">
        <v>1</v>
      </c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67" t="e">
        <f>SUMIFS([1]Up!$J:$J,[1]Up!$D:$D,D402)</f>
        <v>#VALUE!</v>
      </c>
      <c r="BJ402" s="82" t="s">
        <v>2073</v>
      </c>
      <c r="BK402" s="82" t="str">
        <f t="shared" si="39"/>
        <v>PL10</v>
      </c>
      <c r="BL402" s="53" t="str">
        <f t="shared" si="40"/>
        <v/>
      </c>
      <c r="BM402" s="53" t="s">
        <v>154</v>
      </c>
      <c r="BN402" s="53" t="s">
        <v>1004</v>
      </c>
      <c r="BO402" s="53" t="s">
        <v>1005</v>
      </c>
      <c r="BP402" s="53" t="s">
        <v>57</v>
      </c>
      <c r="BQ402" s="53">
        <v>4</v>
      </c>
      <c r="BR402" s="83"/>
      <c r="BS402" s="53"/>
      <c r="BT402" s="53"/>
    </row>
    <row r="403" spans="3:73" ht="14.25" hidden="1" customHeight="1">
      <c r="C403" s="82" t="s">
        <v>13</v>
      </c>
      <c r="D403" s="82" t="s">
        <v>1569</v>
      </c>
      <c r="E403" s="82" t="s">
        <v>1501</v>
      </c>
      <c r="F403" s="82" t="s">
        <v>1296</v>
      </c>
      <c r="G403" s="82">
        <v>640</v>
      </c>
      <c r="H403" s="82" t="s">
        <v>147</v>
      </c>
      <c r="I403" s="82">
        <v>2</v>
      </c>
      <c r="J403" s="82">
        <v>19.5</v>
      </c>
      <c r="K403" s="82">
        <v>39</v>
      </c>
      <c r="L403" s="26">
        <f t="shared" si="38"/>
        <v>2</v>
      </c>
      <c r="M403" s="26">
        <f t="shared" si="34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>
        <v>1</v>
      </c>
      <c r="BA403" s="26"/>
      <c r="BB403" s="26"/>
      <c r="BC403" s="26"/>
      <c r="BD403" s="26">
        <v>1</v>
      </c>
      <c r="BE403" s="26"/>
      <c r="BF403" s="26"/>
      <c r="BG403" s="26"/>
      <c r="BH403" s="26"/>
      <c r="BI403" s="67" t="e">
        <f>SUMIFS([1]Up!$J:$J,[1]Up!$D:$D,D403)</f>
        <v>#VALUE!</v>
      </c>
      <c r="BJ403" s="82"/>
      <c r="BK403" s="82" t="str">
        <f t="shared" si="39"/>
        <v>PL10</v>
      </c>
      <c r="BL403" s="53" t="str">
        <f t="shared" si="40"/>
        <v/>
      </c>
      <c r="BM403" s="53" t="s">
        <v>154</v>
      </c>
      <c r="BN403" s="53" t="s">
        <v>1004</v>
      </c>
      <c r="BO403" s="53" t="s">
        <v>1005</v>
      </c>
      <c r="BP403" s="84" t="s">
        <v>2156</v>
      </c>
      <c r="BQ403" s="53">
        <v>4</v>
      </c>
      <c r="BR403" s="83">
        <v>46302</v>
      </c>
      <c r="BS403" s="53"/>
      <c r="BT403" s="53"/>
      <c r="BU403" s="238"/>
    </row>
    <row r="404" spans="3:73" ht="14.25" hidden="1" customHeight="1">
      <c r="C404" s="82" t="s">
        <v>13</v>
      </c>
      <c r="D404" s="82" t="s">
        <v>1570</v>
      </c>
      <c r="E404" s="82" t="s">
        <v>1503</v>
      </c>
      <c r="F404" s="82" t="s">
        <v>1296</v>
      </c>
      <c r="G404" s="82">
        <v>1805</v>
      </c>
      <c r="H404" s="82" t="s">
        <v>147</v>
      </c>
      <c r="I404" s="82">
        <v>4</v>
      </c>
      <c r="J404" s="82">
        <v>48.1</v>
      </c>
      <c r="K404" s="82">
        <v>192.4</v>
      </c>
      <c r="L404" s="26">
        <f t="shared" si="38"/>
        <v>2</v>
      </c>
      <c r="M404" s="26">
        <f t="shared" si="34"/>
        <v>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>
        <v>2</v>
      </c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67" t="e">
        <f>SUMIFS([1]Up!$J:$J,[1]Up!$D:$D,D404)</f>
        <v>#VALUE!</v>
      </c>
      <c r="BJ404" s="82"/>
      <c r="BK404" s="82" t="str">
        <f t="shared" si="39"/>
        <v>PL20</v>
      </c>
      <c r="BL404" s="53" t="str">
        <f t="shared" si="40"/>
        <v/>
      </c>
      <c r="BM404" s="53" t="s">
        <v>148</v>
      </c>
      <c r="BN404" s="53" t="s">
        <v>1099</v>
      </c>
      <c r="BO404" s="53" t="s">
        <v>1100</v>
      </c>
      <c r="BP404" s="84" t="s">
        <v>2157</v>
      </c>
      <c r="BQ404" s="53">
        <v>8</v>
      </c>
      <c r="BR404" s="83">
        <v>46242</v>
      </c>
      <c r="BS404" s="53"/>
      <c r="BT404" s="53"/>
      <c r="BU404" s="238"/>
    </row>
    <row r="405" spans="3:73" ht="14.25" hidden="1" customHeight="1">
      <c r="C405" s="82" t="s">
        <v>13</v>
      </c>
      <c r="D405" s="82" t="s">
        <v>1571</v>
      </c>
      <c r="E405" s="82" t="s">
        <v>1505</v>
      </c>
      <c r="F405" s="82" t="s">
        <v>1084</v>
      </c>
      <c r="G405" s="82">
        <v>2664</v>
      </c>
      <c r="H405" s="82" t="s">
        <v>147</v>
      </c>
      <c r="I405" s="82">
        <v>2</v>
      </c>
      <c r="J405" s="82">
        <v>428.3</v>
      </c>
      <c r="K405" s="82">
        <v>856.6</v>
      </c>
      <c r="L405" s="26">
        <f t="shared" si="38"/>
        <v>0</v>
      </c>
      <c r="M405" s="26">
        <f t="shared" si="34"/>
        <v>2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67" t="e">
        <f>SUMIFS([1]Up!$J:$J,[1]Up!$D:$D,D405)</f>
        <v>#VALUE!</v>
      </c>
      <c r="BJ405" s="82"/>
      <c r="BK405" s="82" t="str">
        <f t="shared" si="39"/>
        <v>PL12</v>
      </c>
      <c r="BL405" s="53" t="str">
        <f t="shared" si="40"/>
        <v/>
      </c>
      <c r="BM405" s="53" t="s">
        <v>154</v>
      </c>
      <c r="BN405" s="53" t="s">
        <v>1020</v>
      </c>
      <c r="BO405" s="53" t="s">
        <v>1021</v>
      </c>
      <c r="BP405" s="53" t="s">
        <v>57</v>
      </c>
      <c r="BQ405" s="53">
        <v>4</v>
      </c>
      <c r="BR405" s="83"/>
      <c r="BS405" s="53"/>
      <c r="BT405" s="53"/>
    </row>
    <row r="406" spans="3:73" ht="14.25" hidden="1" customHeight="1">
      <c r="C406" s="82" t="s">
        <v>13</v>
      </c>
      <c r="D406" s="82" t="s">
        <v>1572</v>
      </c>
      <c r="E406" s="82" t="s">
        <v>1495</v>
      </c>
      <c r="F406" s="82" t="s">
        <v>1084</v>
      </c>
      <c r="G406" s="82">
        <v>5089</v>
      </c>
      <c r="H406" s="82" t="s">
        <v>147</v>
      </c>
      <c r="I406" s="82">
        <v>2</v>
      </c>
      <c r="J406" s="82">
        <v>983.4</v>
      </c>
      <c r="K406" s="82">
        <v>1966.8</v>
      </c>
      <c r="L406" s="26">
        <f t="shared" si="38"/>
        <v>2</v>
      </c>
      <c r="M406" s="26">
        <f t="shared" si="34"/>
        <v>0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>
        <v>2</v>
      </c>
      <c r="AO406" s="26"/>
      <c r="AP406" s="26">
        <v>1</v>
      </c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67" t="e">
        <f>SUMIFS([1]Up!$J:$J,[1]Up!$D:$D,D406)</f>
        <v>#VALUE!</v>
      </c>
      <c r="BJ406" s="82" t="s">
        <v>2247</v>
      </c>
      <c r="BK406" s="82" t="str">
        <f t="shared" si="39"/>
        <v>PL12</v>
      </c>
      <c r="BL406" s="53" t="str">
        <f t="shared" si="40"/>
        <v>Thừa 1</v>
      </c>
      <c r="BM406" s="53" t="s">
        <v>154</v>
      </c>
      <c r="BN406" s="53" t="s">
        <v>1020</v>
      </c>
      <c r="BO406" s="53" t="s">
        <v>1021</v>
      </c>
      <c r="BP406" s="53" t="s">
        <v>57</v>
      </c>
      <c r="BQ406" s="53">
        <v>4</v>
      </c>
      <c r="BR406" s="83"/>
      <c r="BS406" s="53"/>
      <c r="BT406" s="53"/>
    </row>
    <row r="407" spans="3:73" ht="14.25" hidden="1" customHeight="1">
      <c r="C407" s="82" t="s">
        <v>13</v>
      </c>
      <c r="D407" s="82" t="s">
        <v>1573</v>
      </c>
      <c r="E407" s="82" t="s">
        <v>1508</v>
      </c>
      <c r="F407" s="82" t="s">
        <v>1296</v>
      </c>
      <c r="G407" s="82">
        <v>2053</v>
      </c>
      <c r="H407" s="82" t="s">
        <v>147</v>
      </c>
      <c r="I407" s="82">
        <v>6</v>
      </c>
      <c r="J407" s="82">
        <v>28.6</v>
      </c>
      <c r="K407" s="82">
        <v>171.60000000000002</v>
      </c>
      <c r="L407" s="26">
        <f t="shared" si="38"/>
        <v>3</v>
      </c>
      <c r="M407" s="26">
        <f t="shared" si="34"/>
        <v>3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>
        <v>3</v>
      </c>
      <c r="BF407" s="26"/>
      <c r="BG407" s="26"/>
      <c r="BH407" s="26"/>
      <c r="BI407" s="67" t="e">
        <f>SUMIFS([1]Up!$J:$J,[1]Up!$D:$D,D407)</f>
        <v>#VALUE!</v>
      </c>
      <c r="BJ407" s="82"/>
      <c r="BK407" s="82" t="str">
        <f t="shared" si="39"/>
        <v>PL12</v>
      </c>
      <c r="BL407" s="53" t="str">
        <f t="shared" si="40"/>
        <v/>
      </c>
      <c r="BM407" s="53" t="s">
        <v>148</v>
      </c>
      <c r="BN407" s="53" t="s">
        <v>1020</v>
      </c>
      <c r="BO407" s="53" t="s">
        <v>1021</v>
      </c>
      <c r="BP407" s="84" t="s">
        <v>2159</v>
      </c>
      <c r="BQ407" s="53">
        <v>12</v>
      </c>
      <c r="BR407" s="83">
        <v>46302</v>
      </c>
      <c r="BS407" s="53"/>
      <c r="BT407" s="53"/>
      <c r="BU407" s="238"/>
    </row>
    <row r="408" spans="3:73" ht="14.25" hidden="1" customHeight="1">
      <c r="C408" s="82" t="s">
        <v>13</v>
      </c>
      <c r="D408" s="82" t="s">
        <v>1574</v>
      </c>
      <c r="E408" s="82" t="s">
        <v>1493</v>
      </c>
      <c r="F408" s="82" t="s">
        <v>1296</v>
      </c>
      <c r="G408" s="82">
        <v>1768</v>
      </c>
      <c r="H408" s="82" t="s">
        <v>147</v>
      </c>
      <c r="I408" s="82">
        <v>2</v>
      </c>
      <c r="J408" s="82">
        <v>20.3</v>
      </c>
      <c r="K408" s="82">
        <v>40.6</v>
      </c>
      <c r="L408" s="26">
        <f t="shared" si="38"/>
        <v>1</v>
      </c>
      <c r="M408" s="26">
        <f t="shared" si="34"/>
        <v>1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>
        <v>1</v>
      </c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67" t="e">
        <f>SUMIFS([1]Up!$J:$J,[1]Up!$D:$D,D408)</f>
        <v>#VALUE!</v>
      </c>
      <c r="BJ408" s="82"/>
      <c r="BK408" s="82" t="str">
        <f t="shared" si="39"/>
        <v>PL10</v>
      </c>
      <c r="BL408" s="53" t="str">
        <f t="shared" si="40"/>
        <v/>
      </c>
      <c r="BM408" s="53" t="s">
        <v>148</v>
      </c>
      <c r="BN408" s="53" t="s">
        <v>1004</v>
      </c>
      <c r="BO408" s="53" t="s">
        <v>1005</v>
      </c>
      <c r="BP408" s="84" t="s">
        <v>2156</v>
      </c>
      <c r="BQ408" s="53">
        <v>4</v>
      </c>
      <c r="BR408" s="83">
        <v>46302</v>
      </c>
      <c r="BS408" s="53"/>
      <c r="BT408" s="53"/>
      <c r="BU408" s="238"/>
    </row>
    <row r="409" spans="3:73" ht="14.25" hidden="1" customHeight="1">
      <c r="C409" s="82" t="s">
        <v>11</v>
      </c>
      <c r="D409" s="82" t="s">
        <v>1575</v>
      </c>
      <c r="E409" s="82" t="s">
        <v>1075</v>
      </c>
      <c r="F409" s="82" t="s">
        <v>1076</v>
      </c>
      <c r="G409" s="82">
        <v>812</v>
      </c>
      <c r="H409" s="82" t="s">
        <v>1077</v>
      </c>
      <c r="I409" s="82">
        <v>6</v>
      </c>
      <c r="J409" s="82">
        <v>13.05696</v>
      </c>
      <c r="K409" s="82">
        <v>78.341759999999994</v>
      </c>
      <c r="L409" s="26">
        <f t="shared" si="38"/>
        <v>6</v>
      </c>
      <c r="M409" s="26">
        <f t="shared" si="34"/>
        <v>0</v>
      </c>
      <c r="N409" s="26"/>
      <c r="O409" s="26"/>
      <c r="P409" s="26"/>
      <c r="Q409" s="26"/>
      <c r="R409" s="26"/>
      <c r="S409" s="26">
        <v>6</v>
      </c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67" t="e">
        <f>SUMIFS([1]Up!$J:$J,[1]Up!$D:$D,D409)</f>
        <v>#VALUE!</v>
      </c>
      <c r="BJ409" s="82"/>
      <c r="BK409" s="82" t="str">
        <f t="shared" si="39"/>
        <v/>
      </c>
      <c r="BL409" s="53" t="str">
        <f t="shared" si="40"/>
        <v/>
      </c>
      <c r="BM409" s="53" t="s">
        <v>148</v>
      </c>
      <c r="BN409" s="53" t="s">
        <v>1078</v>
      </c>
      <c r="BO409" s="53" t="s">
        <v>1075</v>
      </c>
      <c r="BP409" s="53" t="s">
        <v>1289</v>
      </c>
      <c r="BQ409" s="53">
        <v>6</v>
      </c>
      <c r="BR409" s="83">
        <v>46362</v>
      </c>
      <c r="BS409" s="53"/>
      <c r="BT409" s="53"/>
    </row>
    <row r="410" spans="3:73" ht="14.25" hidden="1" customHeight="1">
      <c r="C410" s="82" t="s">
        <v>13</v>
      </c>
      <c r="D410" s="82" t="s">
        <v>1576</v>
      </c>
      <c r="E410" s="82" t="s">
        <v>1577</v>
      </c>
      <c r="F410" s="82" t="s">
        <v>1084</v>
      </c>
      <c r="G410" s="82">
        <v>11920</v>
      </c>
      <c r="H410" s="82" t="s">
        <v>147</v>
      </c>
      <c r="I410" s="82">
        <v>1</v>
      </c>
      <c r="J410" s="82">
        <v>1381.3</v>
      </c>
      <c r="K410" s="82">
        <v>1381.3</v>
      </c>
      <c r="L410" s="26">
        <f t="shared" si="38"/>
        <v>1</v>
      </c>
      <c r="M410" s="26">
        <f t="shared" si="34"/>
        <v>0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>
        <v>9</v>
      </c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67" t="e">
        <f>SUMIFS([1]Up!$J:$J,[1]Up!$D:$D,D410)</f>
        <v>#VALUE!</v>
      </c>
      <c r="BJ410" s="82" t="s">
        <v>2083</v>
      </c>
      <c r="BK410" s="82" t="str">
        <f t="shared" si="39"/>
        <v>PL10</v>
      </c>
      <c r="BL410" s="53" t="str">
        <f t="shared" si="40"/>
        <v>Thừa 8</v>
      </c>
      <c r="BM410" s="53" t="s">
        <v>154</v>
      </c>
      <c r="BN410" s="53" t="s">
        <v>1004</v>
      </c>
      <c r="BO410" s="53" t="s">
        <v>1005</v>
      </c>
      <c r="BP410" s="53" t="s">
        <v>57</v>
      </c>
      <c r="BQ410" s="53">
        <v>1</v>
      </c>
      <c r="BR410" s="83"/>
      <c r="BS410" s="53"/>
      <c r="BT410" s="53"/>
    </row>
    <row r="411" spans="3:73" ht="14.25" hidden="1" customHeight="1">
      <c r="C411" s="82" t="s">
        <v>13</v>
      </c>
      <c r="D411" s="82" t="s">
        <v>1578</v>
      </c>
      <c r="E411" s="82" t="s">
        <v>1157</v>
      </c>
      <c r="F411" s="82" t="s">
        <v>1296</v>
      </c>
      <c r="G411" s="82">
        <v>11770</v>
      </c>
      <c r="H411" s="82" t="s">
        <v>147</v>
      </c>
      <c r="I411" s="82">
        <v>2</v>
      </c>
      <c r="J411" s="82">
        <v>443.5</v>
      </c>
      <c r="K411" s="82">
        <v>887</v>
      </c>
      <c r="L411" s="26">
        <f t="shared" si="38"/>
        <v>2</v>
      </c>
      <c r="M411" s="26">
        <f t="shared" si="34"/>
        <v>0</v>
      </c>
      <c r="N411" s="26"/>
      <c r="O411" s="26"/>
      <c r="P411" s="26"/>
      <c r="Q411" s="26"/>
      <c r="R411" s="26">
        <v>2</v>
      </c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67" t="e">
        <f>SUMIFS([1]Up!$J:$J,[1]Up!$D:$D,D411)</f>
        <v>#VALUE!</v>
      </c>
      <c r="BJ411" s="82"/>
      <c r="BK411" s="82" t="str">
        <f t="shared" si="39"/>
        <v>PL15</v>
      </c>
      <c r="BL411" s="53" t="str">
        <f t="shared" si="40"/>
        <v/>
      </c>
      <c r="BM411" s="53" t="s">
        <v>148</v>
      </c>
      <c r="BN411" s="53" t="s">
        <v>1093</v>
      </c>
      <c r="BO411" s="53" t="s">
        <v>1094</v>
      </c>
      <c r="BP411" s="53" t="s">
        <v>1303</v>
      </c>
      <c r="BQ411" s="53">
        <v>2</v>
      </c>
      <c r="BR411" s="83">
        <v>46088</v>
      </c>
      <c r="BS411" s="53"/>
      <c r="BT411" s="53"/>
    </row>
    <row r="412" spans="3:73" ht="14.25" hidden="1" customHeight="1">
      <c r="C412" s="82" t="s">
        <v>13</v>
      </c>
      <c r="D412" s="82" t="s">
        <v>1579</v>
      </c>
      <c r="E412" s="82" t="s">
        <v>1497</v>
      </c>
      <c r="F412" s="82" t="s">
        <v>1296</v>
      </c>
      <c r="G412" s="82">
        <v>852</v>
      </c>
      <c r="H412" s="82" t="s">
        <v>147</v>
      </c>
      <c r="I412" s="82">
        <v>1</v>
      </c>
      <c r="J412" s="82">
        <v>9.1999999999999993</v>
      </c>
      <c r="K412" s="82">
        <v>9.1999999999999993</v>
      </c>
      <c r="L412" s="26">
        <f t="shared" si="38"/>
        <v>1</v>
      </c>
      <c r="M412" s="26">
        <f t="shared" si="34"/>
        <v>0</v>
      </c>
      <c r="N412" s="26"/>
      <c r="O412" s="26">
        <v>1</v>
      </c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67" t="e">
        <f>SUMIFS([1]Up!$J:$J,[1]Up!$D:$D,D412)</f>
        <v>#VALUE!</v>
      </c>
      <c r="BJ412" s="82"/>
      <c r="BK412" s="82" t="str">
        <f t="shared" si="39"/>
        <v>PL10</v>
      </c>
      <c r="BL412" s="53" t="str">
        <f t="shared" si="40"/>
        <v/>
      </c>
      <c r="BM412" s="53" t="s">
        <v>148</v>
      </c>
      <c r="BN412" s="53" t="s">
        <v>1004</v>
      </c>
      <c r="BO412" s="53" t="s">
        <v>1005</v>
      </c>
      <c r="BP412" s="53" t="s">
        <v>1063</v>
      </c>
      <c r="BQ412" s="53">
        <v>1</v>
      </c>
      <c r="BR412" s="83">
        <v>46088</v>
      </c>
      <c r="BS412" s="53"/>
      <c r="BT412" s="53"/>
    </row>
    <row r="413" spans="3:73" ht="14.25" hidden="1" customHeight="1">
      <c r="C413" s="82" t="s">
        <v>13</v>
      </c>
      <c r="D413" s="82" t="s">
        <v>1580</v>
      </c>
      <c r="E413" s="82" t="s">
        <v>1581</v>
      </c>
      <c r="F413" s="82" t="s">
        <v>1296</v>
      </c>
      <c r="G413" s="82">
        <v>794</v>
      </c>
      <c r="H413" s="82" t="s">
        <v>147</v>
      </c>
      <c r="I413" s="82">
        <v>7</v>
      </c>
      <c r="J413" s="82">
        <v>8.5</v>
      </c>
      <c r="K413" s="82">
        <v>59.5</v>
      </c>
      <c r="L413" s="26">
        <f t="shared" si="38"/>
        <v>7</v>
      </c>
      <c r="M413" s="26">
        <f t="shared" si="34"/>
        <v>0</v>
      </c>
      <c r="N413" s="26"/>
      <c r="O413" s="26"/>
      <c r="P413" s="26"/>
      <c r="Q413" s="26">
        <v>7</v>
      </c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67" t="e">
        <f>SUMIFS([1]Up!$J:$J,[1]Up!$D:$D,D413)</f>
        <v>#VALUE!</v>
      </c>
      <c r="BJ413" s="82"/>
      <c r="BK413" s="82" t="str">
        <f t="shared" si="39"/>
        <v>PL10</v>
      </c>
      <c r="BL413" s="53" t="str">
        <f t="shared" si="40"/>
        <v/>
      </c>
      <c r="BM413" s="53" t="s">
        <v>148</v>
      </c>
      <c r="BN413" s="53" t="s">
        <v>1004</v>
      </c>
      <c r="BO413" s="53" t="s">
        <v>1005</v>
      </c>
      <c r="BP413" s="53" t="s">
        <v>1063</v>
      </c>
      <c r="BQ413" s="53">
        <v>7</v>
      </c>
      <c r="BR413" s="83">
        <v>46088</v>
      </c>
      <c r="BS413" s="53"/>
      <c r="BT413" s="53"/>
    </row>
    <row r="414" spans="3:73" ht="14.25" hidden="1" customHeight="1">
      <c r="C414" s="82" t="s">
        <v>13</v>
      </c>
      <c r="D414" s="82" t="s">
        <v>1582</v>
      </c>
      <c r="E414" s="82" t="s">
        <v>1581</v>
      </c>
      <c r="F414" s="82" t="s">
        <v>1296</v>
      </c>
      <c r="G414" s="82">
        <v>794</v>
      </c>
      <c r="H414" s="82" t="s">
        <v>147</v>
      </c>
      <c r="I414" s="82">
        <v>7</v>
      </c>
      <c r="J414" s="82">
        <v>8.5</v>
      </c>
      <c r="K414" s="82">
        <v>59.5</v>
      </c>
      <c r="L414" s="26">
        <f t="shared" ref="L414:L477" si="41">MIN(SUM(N414:BH414),I414)</f>
        <v>7</v>
      </c>
      <c r="M414" s="26">
        <f t="shared" si="34"/>
        <v>0</v>
      </c>
      <c r="N414" s="26"/>
      <c r="O414" s="26">
        <v>7</v>
      </c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67" t="e">
        <f>SUMIFS([1]Up!$J:$J,[1]Up!$D:$D,D414)</f>
        <v>#VALUE!</v>
      </c>
      <c r="BJ414" s="82"/>
      <c r="BK414" s="82" t="str">
        <f t="shared" ref="BK414:BK477" si="42">IFERROR(IF(C414="Plate",LEFT(E414,FIND("*",E414,1)-1),""),IF(C414="Plate",LEFT(E414,FIND("x",E414,1)-1),""))</f>
        <v>PL10</v>
      </c>
      <c r="BL414" s="53" t="str">
        <f t="shared" ref="BL414:BL477" si="43">IF(ROUND(SUM(N414:BH414)-I414,0)&gt;0,"Thừa "&amp;SUM(N414:BH414)-I414,"")</f>
        <v/>
      </c>
      <c r="BM414" s="53" t="s">
        <v>148</v>
      </c>
      <c r="BN414" s="53" t="s">
        <v>1004</v>
      </c>
      <c r="BO414" s="53" t="s">
        <v>1005</v>
      </c>
      <c r="BP414" s="53" t="s">
        <v>1063</v>
      </c>
      <c r="BQ414" s="53">
        <v>7</v>
      </c>
      <c r="BR414" s="83">
        <v>46088</v>
      </c>
      <c r="BS414" s="53"/>
      <c r="BT414" s="53"/>
    </row>
    <row r="415" spans="3:73" ht="14.25" hidden="1" customHeight="1">
      <c r="C415" s="82" t="s">
        <v>13</v>
      </c>
      <c r="D415" s="82" t="s">
        <v>1583</v>
      </c>
      <c r="E415" s="82" t="s">
        <v>1584</v>
      </c>
      <c r="F415" s="82" t="s">
        <v>1296</v>
      </c>
      <c r="G415" s="82">
        <v>337</v>
      </c>
      <c r="H415" s="82" t="s">
        <v>147</v>
      </c>
      <c r="I415" s="82">
        <v>14</v>
      </c>
      <c r="J415" s="82">
        <v>3.5</v>
      </c>
      <c r="K415" s="82">
        <v>49</v>
      </c>
      <c r="L415" s="26">
        <f t="shared" si="41"/>
        <v>14</v>
      </c>
      <c r="M415" s="26">
        <f t="shared" si="34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>
        <v>14</v>
      </c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67" t="e">
        <f>SUMIFS([1]Up!$J:$J,[1]Up!$D:$D,D415)</f>
        <v>#VALUE!</v>
      </c>
      <c r="BJ415" s="82"/>
      <c r="BK415" s="82" t="str">
        <f t="shared" si="42"/>
        <v>PL16</v>
      </c>
      <c r="BL415" s="53" t="str">
        <f t="shared" si="43"/>
        <v/>
      </c>
      <c r="BM415" s="53" t="s">
        <v>148</v>
      </c>
      <c r="BN415" s="53" t="s">
        <v>987</v>
      </c>
      <c r="BO415" s="53" t="s">
        <v>988</v>
      </c>
      <c r="BP415" s="53" t="s">
        <v>989</v>
      </c>
      <c r="BQ415" s="53">
        <v>14</v>
      </c>
      <c r="BR415" s="83" t="s">
        <v>2222</v>
      </c>
      <c r="BS415" s="53"/>
      <c r="BT415" s="53"/>
    </row>
    <row r="416" spans="3:73" ht="14.25" hidden="1" customHeight="1">
      <c r="C416" s="82" t="s">
        <v>13</v>
      </c>
      <c r="D416" s="82" t="s">
        <v>1585</v>
      </c>
      <c r="E416" s="82" t="s">
        <v>1586</v>
      </c>
      <c r="F416" s="82" t="s">
        <v>1296</v>
      </c>
      <c r="G416" s="82">
        <v>1595</v>
      </c>
      <c r="H416" s="82" t="s">
        <v>147</v>
      </c>
      <c r="I416" s="82">
        <v>4</v>
      </c>
      <c r="J416" s="82">
        <v>17.8</v>
      </c>
      <c r="K416" s="82">
        <v>71.2</v>
      </c>
      <c r="L416" s="26">
        <f t="shared" si="41"/>
        <v>4</v>
      </c>
      <c r="M416" s="26">
        <f t="shared" si="34"/>
        <v>0</v>
      </c>
      <c r="N416" s="26"/>
      <c r="O416" s="26"/>
      <c r="P416" s="26"/>
      <c r="Q416" s="26">
        <v>4</v>
      </c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67" t="e">
        <f>SUMIFS([1]Up!$J:$J,[1]Up!$D:$D,D416)</f>
        <v>#VALUE!</v>
      </c>
      <c r="BJ416" s="82"/>
      <c r="BK416" s="82" t="str">
        <f t="shared" si="42"/>
        <v>PL10</v>
      </c>
      <c r="BL416" s="53" t="str">
        <f t="shared" si="43"/>
        <v/>
      </c>
      <c r="BM416" s="53" t="s">
        <v>148</v>
      </c>
      <c r="BN416" s="53" t="s">
        <v>1004</v>
      </c>
      <c r="BO416" s="53" t="s">
        <v>1005</v>
      </c>
      <c r="BP416" s="53" t="s">
        <v>1063</v>
      </c>
      <c r="BQ416" s="53">
        <v>4</v>
      </c>
      <c r="BR416" s="83">
        <v>46088</v>
      </c>
      <c r="BS416" s="53"/>
      <c r="BT416" s="53"/>
    </row>
    <row r="417" spans="3:73" ht="14.25" hidden="1" customHeight="1">
      <c r="C417" s="82" t="s">
        <v>13</v>
      </c>
      <c r="D417" s="82" t="s">
        <v>1587</v>
      </c>
      <c r="E417" s="82" t="s">
        <v>1588</v>
      </c>
      <c r="F417" s="82" t="s">
        <v>1296</v>
      </c>
      <c r="G417" s="82">
        <v>367</v>
      </c>
      <c r="H417" s="82" t="s">
        <v>147</v>
      </c>
      <c r="I417" s="82">
        <v>4</v>
      </c>
      <c r="J417" s="82">
        <v>3.6</v>
      </c>
      <c r="K417" s="82">
        <v>14.4</v>
      </c>
      <c r="L417" s="26">
        <f t="shared" si="41"/>
        <v>4</v>
      </c>
      <c r="M417" s="26">
        <f t="shared" si="34"/>
        <v>0</v>
      </c>
      <c r="N417" s="26"/>
      <c r="O417" s="26"/>
      <c r="P417" s="26"/>
      <c r="Q417" s="26">
        <v>4</v>
      </c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67" t="e">
        <f>SUMIFS([1]Up!$J:$J,[1]Up!$D:$D,D417)</f>
        <v>#VALUE!</v>
      </c>
      <c r="BJ417" s="82"/>
      <c r="BK417" s="82" t="str">
        <f t="shared" si="42"/>
        <v>PL10</v>
      </c>
      <c r="BL417" s="53" t="str">
        <f t="shared" si="43"/>
        <v/>
      </c>
      <c r="BM417" s="53" t="s">
        <v>148</v>
      </c>
      <c r="BN417" s="53" t="s">
        <v>1004</v>
      </c>
      <c r="BO417" s="53" t="s">
        <v>1005</v>
      </c>
      <c r="BP417" s="53" t="s">
        <v>1063</v>
      </c>
      <c r="BQ417" s="53">
        <v>4</v>
      </c>
      <c r="BR417" s="83">
        <v>46088</v>
      </c>
      <c r="BS417" s="53"/>
      <c r="BT417" s="53"/>
    </row>
    <row r="418" spans="3:73" ht="14.25" hidden="1" customHeight="1">
      <c r="C418" s="82" t="s">
        <v>13</v>
      </c>
      <c r="D418" s="82" t="s">
        <v>1589</v>
      </c>
      <c r="E418" s="82" t="s">
        <v>1514</v>
      </c>
      <c r="F418" s="82" t="s">
        <v>1296</v>
      </c>
      <c r="G418" s="82">
        <v>515</v>
      </c>
      <c r="H418" s="82" t="s">
        <v>147</v>
      </c>
      <c r="I418" s="82">
        <v>4</v>
      </c>
      <c r="J418" s="82">
        <v>12.9</v>
      </c>
      <c r="K418" s="82">
        <v>51.6</v>
      </c>
      <c r="L418" s="26">
        <f t="shared" si="41"/>
        <v>4</v>
      </c>
      <c r="M418" s="26">
        <f t="shared" si="34"/>
        <v>0</v>
      </c>
      <c r="N418" s="26"/>
      <c r="O418" s="26"/>
      <c r="P418" s="26"/>
      <c r="Q418" s="26"/>
      <c r="R418" s="26">
        <v>4</v>
      </c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67" t="e">
        <f>SUMIFS([1]Up!$J:$J,[1]Up!$D:$D,D418)</f>
        <v>#VALUE!</v>
      </c>
      <c r="BJ418" s="82"/>
      <c r="BK418" s="82" t="str">
        <f t="shared" si="42"/>
        <v>PL15</v>
      </c>
      <c r="BL418" s="53" t="str">
        <f t="shared" si="43"/>
        <v/>
      </c>
      <c r="BM418" s="53" t="s">
        <v>148</v>
      </c>
      <c r="BN418" s="53" t="s">
        <v>1093</v>
      </c>
      <c r="BO418" s="53" t="s">
        <v>1094</v>
      </c>
      <c r="BP418" s="53" t="s">
        <v>1303</v>
      </c>
      <c r="BQ418" s="53">
        <v>4</v>
      </c>
      <c r="BR418" s="83">
        <v>46088</v>
      </c>
      <c r="BS418" s="53"/>
      <c r="BT418" s="53"/>
    </row>
    <row r="419" spans="3:73" ht="14.25" hidden="1" customHeight="1">
      <c r="C419" s="82" t="s">
        <v>13</v>
      </c>
      <c r="D419" s="82" t="s">
        <v>1590</v>
      </c>
      <c r="E419" s="82" t="s">
        <v>1577</v>
      </c>
      <c r="F419" s="82" t="s">
        <v>1084</v>
      </c>
      <c r="G419" s="82">
        <v>11920</v>
      </c>
      <c r="H419" s="82" t="s">
        <v>147</v>
      </c>
      <c r="I419" s="82">
        <v>1</v>
      </c>
      <c r="J419" s="82">
        <v>2165.5</v>
      </c>
      <c r="K419" s="82">
        <v>2165.5</v>
      </c>
      <c r="L419" s="26">
        <f t="shared" si="41"/>
        <v>1</v>
      </c>
      <c r="M419" s="26">
        <f t="shared" si="34"/>
        <v>0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>
        <v>4</v>
      </c>
      <c r="X419" s="26"/>
      <c r="Y419" s="26">
        <v>2</v>
      </c>
      <c r="Z419" s="26"/>
      <c r="AA419" s="26"/>
      <c r="AB419" s="26"/>
      <c r="AC419" s="26"/>
      <c r="AD419" s="26">
        <v>1</v>
      </c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67" t="e">
        <f>SUMIFS([1]Up!$J:$J,[1]Up!$D:$D,D419)</f>
        <v>#VALUE!</v>
      </c>
      <c r="BJ419" s="82" t="s">
        <v>2229</v>
      </c>
      <c r="BK419" s="82" t="str">
        <f t="shared" si="42"/>
        <v>PL10</v>
      </c>
      <c r="BL419" s="53" t="str">
        <f t="shared" si="43"/>
        <v>Thừa 6</v>
      </c>
      <c r="BM419" s="53" t="s">
        <v>154</v>
      </c>
      <c r="BN419" s="53" t="s">
        <v>1004</v>
      </c>
      <c r="BO419" s="53" t="s">
        <v>1005</v>
      </c>
      <c r="BP419" s="53" t="s">
        <v>57</v>
      </c>
      <c r="BQ419" s="53">
        <v>1</v>
      </c>
      <c r="BR419" s="83"/>
      <c r="BS419" s="53"/>
      <c r="BT419" s="53"/>
    </row>
    <row r="420" spans="3:73" ht="14.25" hidden="1" customHeight="1">
      <c r="C420" s="82" t="s">
        <v>13</v>
      </c>
      <c r="D420" s="82" t="s">
        <v>1591</v>
      </c>
      <c r="E420" s="82" t="s">
        <v>1592</v>
      </c>
      <c r="F420" s="82" t="s">
        <v>1296</v>
      </c>
      <c r="G420" s="82">
        <v>2165</v>
      </c>
      <c r="H420" s="82" t="s">
        <v>147</v>
      </c>
      <c r="I420" s="82">
        <v>3</v>
      </c>
      <c r="J420" s="82">
        <v>27.2</v>
      </c>
      <c r="K420" s="82">
        <v>81.599999999999994</v>
      </c>
      <c r="L420" s="26">
        <f t="shared" si="41"/>
        <v>3</v>
      </c>
      <c r="M420" s="26">
        <f t="shared" si="34"/>
        <v>0</v>
      </c>
      <c r="N420" s="26"/>
      <c r="O420" s="26"/>
      <c r="P420" s="26"/>
      <c r="Q420" s="26">
        <v>3</v>
      </c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67" t="e">
        <f>SUMIFS([1]Up!$J:$J,[1]Up!$D:$D,D420)</f>
        <v>#VALUE!</v>
      </c>
      <c r="BJ420" s="82"/>
      <c r="BK420" s="82" t="str">
        <f t="shared" si="42"/>
        <v>PL10</v>
      </c>
      <c r="BL420" s="53" t="str">
        <f t="shared" si="43"/>
        <v/>
      </c>
      <c r="BM420" s="53" t="s">
        <v>148</v>
      </c>
      <c r="BN420" s="53" t="s">
        <v>1004</v>
      </c>
      <c r="BO420" s="53" t="s">
        <v>1005</v>
      </c>
      <c r="BP420" s="53" t="s">
        <v>1063</v>
      </c>
      <c r="BQ420" s="53">
        <v>3</v>
      </c>
      <c r="BR420" s="83">
        <v>46088</v>
      </c>
      <c r="BS420" s="53"/>
      <c r="BT420" s="53"/>
    </row>
    <row r="421" spans="3:73" ht="14.25" hidden="1" customHeight="1">
      <c r="C421" s="82" t="s">
        <v>13</v>
      </c>
      <c r="D421" s="82" t="s">
        <v>1593</v>
      </c>
      <c r="E421" s="82" t="s">
        <v>1125</v>
      </c>
      <c r="F421" s="82" t="s">
        <v>1296</v>
      </c>
      <c r="G421" s="82">
        <v>200</v>
      </c>
      <c r="H421" s="82" t="s">
        <v>147</v>
      </c>
      <c r="I421" s="82">
        <v>1</v>
      </c>
      <c r="J421" s="82">
        <v>5.5</v>
      </c>
      <c r="K421" s="82">
        <v>5.5</v>
      </c>
      <c r="L421" s="26">
        <f t="shared" si="41"/>
        <v>1</v>
      </c>
      <c r="M421" s="26">
        <f t="shared" si="34"/>
        <v>0</v>
      </c>
      <c r="N421" s="26"/>
      <c r="O421" s="26"/>
      <c r="P421" s="26"/>
      <c r="Q421" s="26"/>
      <c r="R421" s="26">
        <v>1</v>
      </c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67" t="e">
        <f>SUMIFS([1]Up!$J:$J,[1]Up!$D:$D,D421)</f>
        <v>#VALUE!</v>
      </c>
      <c r="BJ421" s="82"/>
      <c r="BK421" s="82" t="str">
        <f t="shared" si="42"/>
        <v>PL15</v>
      </c>
      <c r="BL421" s="53" t="str">
        <f t="shared" si="43"/>
        <v/>
      </c>
      <c r="BM421" s="53" t="s">
        <v>148</v>
      </c>
      <c r="BN421" s="53" t="s">
        <v>1093</v>
      </c>
      <c r="BO421" s="53" t="s">
        <v>1094</v>
      </c>
      <c r="BP421" s="53" t="s">
        <v>1303</v>
      </c>
      <c r="BQ421" s="53">
        <v>1</v>
      </c>
      <c r="BR421" s="83">
        <v>46088</v>
      </c>
      <c r="BS421" s="53"/>
      <c r="BT421" s="53"/>
    </row>
    <row r="422" spans="3:73" ht="14.25" hidden="1" customHeight="1">
      <c r="C422" s="82" t="s">
        <v>13</v>
      </c>
      <c r="D422" s="82" t="s">
        <v>1594</v>
      </c>
      <c r="E422" s="82" t="s">
        <v>1123</v>
      </c>
      <c r="F422" s="82" t="s">
        <v>1296</v>
      </c>
      <c r="G422" s="82">
        <v>320</v>
      </c>
      <c r="H422" s="82" t="s">
        <v>147</v>
      </c>
      <c r="I422" s="82">
        <v>1</v>
      </c>
      <c r="J422" s="82">
        <v>7.6</v>
      </c>
      <c r="K422" s="82">
        <v>7.6</v>
      </c>
      <c r="L422" s="26">
        <f t="shared" si="41"/>
        <v>1</v>
      </c>
      <c r="M422" s="26">
        <f t="shared" si="34"/>
        <v>0</v>
      </c>
      <c r="N422" s="26"/>
      <c r="O422" s="26"/>
      <c r="P422" s="26"/>
      <c r="Q422" s="26"/>
      <c r="R422" s="26"/>
      <c r="S422" s="26">
        <v>1</v>
      </c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67" t="e">
        <f>SUMIFS([1]Up!$J:$J,[1]Up!$D:$D,D422)</f>
        <v>#VALUE!</v>
      </c>
      <c r="BJ422" s="82"/>
      <c r="BK422" s="82" t="str">
        <f t="shared" si="42"/>
        <v>PL20</v>
      </c>
      <c r="BL422" s="53" t="str">
        <f t="shared" si="43"/>
        <v/>
      </c>
      <c r="BM422" s="53" t="s">
        <v>148</v>
      </c>
      <c r="BN422" s="53" t="s">
        <v>1099</v>
      </c>
      <c r="BO422" s="53" t="s">
        <v>1100</v>
      </c>
      <c r="BP422" s="53" t="s">
        <v>1307</v>
      </c>
      <c r="BQ422" s="53">
        <v>1</v>
      </c>
      <c r="BR422" s="83">
        <v>46242</v>
      </c>
      <c r="BS422" s="53"/>
      <c r="BT422" s="53"/>
    </row>
    <row r="423" spans="3:73" ht="14.25" hidden="1" customHeight="1">
      <c r="C423" s="82" t="s">
        <v>13</v>
      </c>
      <c r="D423" s="82" t="s">
        <v>1595</v>
      </c>
      <c r="E423" s="82" t="s">
        <v>1577</v>
      </c>
      <c r="F423" s="82" t="s">
        <v>1084</v>
      </c>
      <c r="G423" s="82">
        <v>11920</v>
      </c>
      <c r="H423" s="82" t="s">
        <v>147</v>
      </c>
      <c r="I423" s="82">
        <v>1</v>
      </c>
      <c r="J423" s="82">
        <v>2165.5</v>
      </c>
      <c r="K423" s="82">
        <v>2165.5</v>
      </c>
      <c r="L423" s="26">
        <f t="shared" si="41"/>
        <v>1</v>
      </c>
      <c r="M423" s="26">
        <f t="shared" si="34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>
        <v>4</v>
      </c>
      <c r="X423" s="26"/>
      <c r="Y423" s="26">
        <v>2</v>
      </c>
      <c r="Z423" s="26"/>
      <c r="AA423" s="26"/>
      <c r="AB423" s="26"/>
      <c r="AC423" s="26"/>
      <c r="AD423" s="26">
        <v>1</v>
      </c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67" t="e">
        <f>SUMIFS([1]Up!$J:$J,[1]Up!$D:$D,D423)</f>
        <v>#VALUE!</v>
      </c>
      <c r="BJ423" s="82" t="s">
        <v>2230</v>
      </c>
      <c r="BK423" s="82" t="str">
        <f t="shared" si="42"/>
        <v>PL10</v>
      </c>
      <c r="BL423" s="53" t="str">
        <f t="shared" si="43"/>
        <v>Thừa 6</v>
      </c>
      <c r="BM423" s="53" t="s">
        <v>154</v>
      </c>
      <c r="BN423" s="53" t="s">
        <v>1004</v>
      </c>
      <c r="BO423" s="53" t="s">
        <v>1005</v>
      </c>
      <c r="BP423" s="53" t="s">
        <v>57</v>
      </c>
      <c r="BQ423" s="53">
        <v>1</v>
      </c>
      <c r="BR423" s="83"/>
      <c r="BS423" s="53"/>
      <c r="BT423" s="53"/>
    </row>
    <row r="424" spans="3:73" ht="14.25" hidden="1" customHeight="1">
      <c r="C424" s="82" t="s">
        <v>13</v>
      </c>
      <c r="D424" s="82" t="s">
        <v>1596</v>
      </c>
      <c r="E424" s="82" t="s">
        <v>1592</v>
      </c>
      <c r="F424" s="82" t="s">
        <v>1296</v>
      </c>
      <c r="G424" s="82">
        <v>2165</v>
      </c>
      <c r="H424" s="82" t="s">
        <v>147</v>
      </c>
      <c r="I424" s="82">
        <v>7</v>
      </c>
      <c r="J424" s="82">
        <v>27.2</v>
      </c>
      <c r="K424" s="82">
        <v>190.4</v>
      </c>
      <c r="L424" s="26">
        <f t="shared" si="41"/>
        <v>7</v>
      </c>
      <c r="M424" s="26">
        <f t="shared" si="34"/>
        <v>0</v>
      </c>
      <c r="N424" s="26"/>
      <c r="O424" s="26"/>
      <c r="P424" s="26"/>
      <c r="Q424" s="26">
        <v>7</v>
      </c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67" t="e">
        <f>SUMIFS([1]Up!$J:$J,[1]Up!$D:$D,D424)</f>
        <v>#VALUE!</v>
      </c>
      <c r="BJ424" s="82"/>
      <c r="BK424" s="82" t="str">
        <f t="shared" si="42"/>
        <v>PL10</v>
      </c>
      <c r="BL424" s="53" t="str">
        <f t="shared" si="43"/>
        <v/>
      </c>
      <c r="BM424" s="53" t="s">
        <v>148</v>
      </c>
      <c r="BN424" s="53" t="s">
        <v>1004</v>
      </c>
      <c r="BO424" s="53" t="s">
        <v>1005</v>
      </c>
      <c r="BP424" s="53" t="s">
        <v>1063</v>
      </c>
      <c r="BQ424" s="53">
        <v>7</v>
      </c>
      <c r="BR424" s="83">
        <v>46088</v>
      </c>
      <c r="BS424" s="53"/>
      <c r="BT424" s="53"/>
    </row>
    <row r="425" spans="3:73" ht="14.25" hidden="1" customHeight="1">
      <c r="C425" s="82" t="s">
        <v>13</v>
      </c>
      <c r="D425" s="82" t="s">
        <v>1597</v>
      </c>
      <c r="E425" s="82" t="s">
        <v>1125</v>
      </c>
      <c r="F425" s="82" t="s">
        <v>1296</v>
      </c>
      <c r="G425" s="82">
        <v>200</v>
      </c>
      <c r="H425" s="82" t="s">
        <v>147</v>
      </c>
      <c r="I425" s="82">
        <v>1</v>
      </c>
      <c r="J425" s="82">
        <v>5.5</v>
      </c>
      <c r="K425" s="82">
        <v>5.5</v>
      </c>
      <c r="L425" s="26">
        <f t="shared" si="41"/>
        <v>1</v>
      </c>
      <c r="M425" s="26">
        <f t="shared" si="34"/>
        <v>0</v>
      </c>
      <c r="N425" s="26"/>
      <c r="O425" s="26"/>
      <c r="P425" s="26"/>
      <c r="Q425" s="26"/>
      <c r="R425" s="26">
        <v>1</v>
      </c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67" t="e">
        <f>SUMIFS([1]Up!$J:$J,[1]Up!$D:$D,D425)</f>
        <v>#VALUE!</v>
      </c>
      <c r="BJ425" s="82"/>
      <c r="BK425" s="82" t="str">
        <f t="shared" si="42"/>
        <v>PL15</v>
      </c>
      <c r="BL425" s="53" t="str">
        <f t="shared" si="43"/>
        <v/>
      </c>
      <c r="BM425" s="53" t="s">
        <v>148</v>
      </c>
      <c r="BN425" s="53" t="s">
        <v>1093</v>
      </c>
      <c r="BO425" s="53" t="s">
        <v>1094</v>
      </c>
      <c r="BP425" s="53" t="s">
        <v>1303</v>
      </c>
      <c r="BQ425" s="53">
        <v>1</v>
      </c>
      <c r="BR425" s="83">
        <v>46088</v>
      </c>
      <c r="BS425" s="53"/>
      <c r="BT425" s="53"/>
    </row>
    <row r="426" spans="3:73" ht="14.25" hidden="1" customHeight="1">
      <c r="C426" s="82" t="s">
        <v>13</v>
      </c>
      <c r="D426" s="82" t="s">
        <v>1598</v>
      </c>
      <c r="E426" s="82" t="s">
        <v>1123</v>
      </c>
      <c r="F426" s="82" t="s">
        <v>1296</v>
      </c>
      <c r="G426" s="82">
        <v>320</v>
      </c>
      <c r="H426" s="82" t="s">
        <v>147</v>
      </c>
      <c r="I426" s="82">
        <v>1</v>
      </c>
      <c r="J426" s="82">
        <v>7.6</v>
      </c>
      <c r="K426" s="82">
        <v>7.6</v>
      </c>
      <c r="L426" s="26">
        <f t="shared" si="41"/>
        <v>1</v>
      </c>
      <c r="M426" s="26">
        <f t="shared" si="34"/>
        <v>0</v>
      </c>
      <c r="N426" s="26"/>
      <c r="O426" s="26"/>
      <c r="P426" s="26"/>
      <c r="Q426" s="26"/>
      <c r="R426" s="26"/>
      <c r="S426" s="26">
        <v>1</v>
      </c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67" t="e">
        <f>SUMIFS([1]Up!$J:$J,[1]Up!$D:$D,D426)</f>
        <v>#VALUE!</v>
      </c>
      <c r="BJ426" s="82"/>
      <c r="BK426" s="82" t="str">
        <f t="shared" si="42"/>
        <v>PL20</v>
      </c>
      <c r="BL426" s="53" t="str">
        <f t="shared" si="43"/>
        <v/>
      </c>
      <c r="BM426" s="53" t="s">
        <v>148</v>
      </c>
      <c r="BN426" s="53" t="s">
        <v>1099</v>
      </c>
      <c r="BO426" s="53" t="s">
        <v>1100</v>
      </c>
      <c r="BP426" s="53" t="s">
        <v>1307</v>
      </c>
      <c r="BQ426" s="53">
        <v>1</v>
      </c>
      <c r="BR426" s="83">
        <v>46242</v>
      </c>
      <c r="BS426" s="53"/>
      <c r="BT426" s="53"/>
    </row>
    <row r="427" spans="3:73" ht="14.25" hidden="1" customHeight="1">
      <c r="C427" s="82" t="s">
        <v>11</v>
      </c>
      <c r="D427" s="82" t="s">
        <v>1599</v>
      </c>
      <c r="E427" s="82" t="s">
        <v>1075</v>
      </c>
      <c r="F427" s="82" t="s">
        <v>1076</v>
      </c>
      <c r="G427" s="82">
        <v>812</v>
      </c>
      <c r="H427" s="82" t="s">
        <v>1077</v>
      </c>
      <c r="I427" s="82">
        <v>12</v>
      </c>
      <c r="J427" s="82">
        <v>13.05696</v>
      </c>
      <c r="K427" s="82">
        <v>156.68351999999999</v>
      </c>
      <c r="L427" s="26">
        <f t="shared" si="41"/>
        <v>6</v>
      </c>
      <c r="M427" s="26">
        <f t="shared" si="34"/>
        <v>6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>
        <v>6</v>
      </c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67" t="e">
        <f>SUMIFS([1]Up!$J:$J,[1]Up!$D:$D,D427)</f>
        <v>#VALUE!</v>
      </c>
      <c r="BJ427" s="82"/>
      <c r="BK427" s="82" t="str">
        <f t="shared" si="42"/>
        <v/>
      </c>
      <c r="BL427" s="53" t="str">
        <f t="shared" si="43"/>
        <v/>
      </c>
      <c r="BM427" s="53" t="s">
        <v>148</v>
      </c>
      <c r="BN427" s="53" t="s">
        <v>1078</v>
      </c>
      <c r="BO427" s="53" t="s">
        <v>1075</v>
      </c>
      <c r="BP427" s="84" t="s">
        <v>2161</v>
      </c>
      <c r="BQ427" s="53">
        <v>24</v>
      </c>
      <c r="BR427" s="83" t="s">
        <v>2224</v>
      </c>
      <c r="BS427" s="53"/>
      <c r="BT427" s="53"/>
      <c r="BU427" s="238"/>
    </row>
    <row r="428" spans="3:73" ht="14.25" hidden="1" customHeight="1">
      <c r="C428" s="82" t="s">
        <v>13</v>
      </c>
      <c r="D428" s="82" t="s">
        <v>1600</v>
      </c>
      <c r="E428" s="82" t="s">
        <v>1577</v>
      </c>
      <c r="F428" s="82" t="s">
        <v>1084</v>
      </c>
      <c r="G428" s="82">
        <v>11920</v>
      </c>
      <c r="H428" s="82" t="s">
        <v>147</v>
      </c>
      <c r="I428" s="82">
        <v>2</v>
      </c>
      <c r="J428" s="82">
        <v>1381.3</v>
      </c>
      <c r="K428" s="82">
        <v>2762.6</v>
      </c>
      <c r="L428" s="26">
        <f t="shared" si="41"/>
        <v>1</v>
      </c>
      <c r="M428" s="26">
        <f t="shared" si="34"/>
        <v>1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>
        <v>1</v>
      </c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67" t="e">
        <f>SUMIFS([1]Up!$J:$J,[1]Up!$D:$D,D428)</f>
        <v>#VALUE!</v>
      </c>
      <c r="BJ428" s="82" t="s">
        <v>1829</v>
      </c>
      <c r="BK428" s="82" t="str">
        <f t="shared" si="42"/>
        <v>PL10</v>
      </c>
      <c r="BL428" s="53" t="str">
        <f t="shared" si="43"/>
        <v/>
      </c>
      <c r="BM428" s="53" t="s">
        <v>154</v>
      </c>
      <c r="BN428" s="53" t="s">
        <v>1004</v>
      </c>
      <c r="BO428" s="53" t="s">
        <v>1005</v>
      </c>
      <c r="BP428" s="53" t="s">
        <v>57</v>
      </c>
      <c r="BQ428" s="53">
        <v>4</v>
      </c>
      <c r="BR428" s="83"/>
      <c r="BS428" s="53"/>
      <c r="BT428" s="53"/>
    </row>
    <row r="429" spans="3:73" ht="14.25" hidden="1" customHeight="1">
      <c r="C429" s="82" t="s">
        <v>13</v>
      </c>
      <c r="D429" s="82" t="s">
        <v>1601</v>
      </c>
      <c r="E429" s="82" t="s">
        <v>1157</v>
      </c>
      <c r="F429" s="82" t="s">
        <v>1296</v>
      </c>
      <c r="G429" s="82">
        <v>11770</v>
      </c>
      <c r="H429" s="82" t="s">
        <v>147</v>
      </c>
      <c r="I429" s="82">
        <v>4</v>
      </c>
      <c r="J429" s="82">
        <v>443.5</v>
      </c>
      <c r="K429" s="82">
        <v>1774</v>
      </c>
      <c r="L429" s="26">
        <f t="shared" si="41"/>
        <v>2</v>
      </c>
      <c r="M429" s="26">
        <f t="shared" si="34"/>
        <v>2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>
        <v>2</v>
      </c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67" t="e">
        <f>SUMIFS([1]Up!$J:$J,[1]Up!$D:$D,D429)</f>
        <v>#VALUE!</v>
      </c>
      <c r="BJ429" s="82"/>
      <c r="BK429" s="82" t="str">
        <f t="shared" si="42"/>
        <v>PL15</v>
      </c>
      <c r="BL429" s="53" t="str">
        <f t="shared" si="43"/>
        <v/>
      </c>
      <c r="BM429" s="53" t="s">
        <v>148</v>
      </c>
      <c r="BN429" s="53" t="s">
        <v>1093</v>
      </c>
      <c r="BO429" s="53" t="s">
        <v>1094</v>
      </c>
      <c r="BP429" s="84" t="s">
        <v>2155</v>
      </c>
      <c r="BQ429" s="53">
        <v>8</v>
      </c>
      <c r="BR429" s="83" t="s">
        <v>2224</v>
      </c>
      <c r="BS429" s="53"/>
      <c r="BT429" s="53"/>
      <c r="BU429" s="238"/>
    </row>
    <row r="430" spans="3:73" ht="14.25" hidden="1" customHeight="1">
      <c r="C430" s="82" t="s">
        <v>13</v>
      </c>
      <c r="D430" s="82" t="s">
        <v>1602</v>
      </c>
      <c r="E430" s="82" t="s">
        <v>1497</v>
      </c>
      <c r="F430" s="82" t="s">
        <v>1296</v>
      </c>
      <c r="G430" s="82">
        <v>852</v>
      </c>
      <c r="H430" s="82" t="s">
        <v>147</v>
      </c>
      <c r="I430" s="82">
        <v>2</v>
      </c>
      <c r="J430" s="82">
        <v>9.1999999999999993</v>
      </c>
      <c r="K430" s="82">
        <v>18.399999999999999</v>
      </c>
      <c r="L430" s="26">
        <f t="shared" si="41"/>
        <v>1</v>
      </c>
      <c r="M430" s="26">
        <f t="shared" si="34"/>
        <v>1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>
        <v>1</v>
      </c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67" t="e">
        <f>SUMIFS([1]Up!$J:$J,[1]Up!$D:$D,D430)</f>
        <v>#VALUE!</v>
      </c>
      <c r="BJ430" s="82"/>
      <c r="BK430" s="82" t="str">
        <f t="shared" si="42"/>
        <v>PL10</v>
      </c>
      <c r="BL430" s="53" t="str">
        <f t="shared" si="43"/>
        <v/>
      </c>
      <c r="BM430" s="53" t="s">
        <v>148</v>
      </c>
      <c r="BN430" s="53" t="s">
        <v>1004</v>
      </c>
      <c r="BO430" s="53" t="s">
        <v>1005</v>
      </c>
      <c r="BP430" s="84" t="s">
        <v>2156</v>
      </c>
      <c r="BQ430" s="53">
        <v>4</v>
      </c>
      <c r="BR430" s="83">
        <v>46302</v>
      </c>
      <c r="BS430" s="53"/>
      <c r="BT430" s="53"/>
      <c r="BU430" s="238"/>
    </row>
    <row r="431" spans="3:73" ht="14.25" hidden="1" customHeight="1">
      <c r="C431" s="82" t="s">
        <v>13</v>
      </c>
      <c r="D431" s="82" t="s">
        <v>1603</v>
      </c>
      <c r="E431" s="82" t="s">
        <v>1581</v>
      </c>
      <c r="F431" s="82" t="s">
        <v>1296</v>
      </c>
      <c r="G431" s="82">
        <v>794</v>
      </c>
      <c r="H431" s="82" t="s">
        <v>147</v>
      </c>
      <c r="I431" s="82">
        <v>14</v>
      </c>
      <c r="J431" s="82">
        <v>8.5</v>
      </c>
      <c r="K431" s="82">
        <v>119</v>
      </c>
      <c r="L431" s="26">
        <f t="shared" si="41"/>
        <v>7</v>
      </c>
      <c r="M431" s="26">
        <f t="shared" si="34"/>
        <v>7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>
        <v>7</v>
      </c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67" t="e">
        <f>SUMIFS([1]Up!$J:$J,[1]Up!$D:$D,D431)</f>
        <v>#VALUE!</v>
      </c>
      <c r="BJ431" s="82"/>
      <c r="BK431" s="82" t="str">
        <f t="shared" si="42"/>
        <v>PL10</v>
      </c>
      <c r="BL431" s="53" t="str">
        <f t="shared" si="43"/>
        <v/>
      </c>
      <c r="BM431" s="53" t="s">
        <v>148</v>
      </c>
      <c r="BN431" s="53" t="s">
        <v>1004</v>
      </c>
      <c r="BO431" s="53" t="s">
        <v>1005</v>
      </c>
      <c r="BP431" s="84" t="s">
        <v>2156</v>
      </c>
      <c r="BQ431" s="53">
        <v>28</v>
      </c>
      <c r="BR431" s="83">
        <v>46302</v>
      </c>
      <c r="BS431" s="53"/>
      <c r="BT431" s="53"/>
      <c r="BU431" s="238"/>
    </row>
    <row r="432" spans="3:73" ht="14.25" hidden="1" customHeight="1">
      <c r="C432" s="82" t="s">
        <v>13</v>
      </c>
      <c r="D432" s="82" t="s">
        <v>1604</v>
      </c>
      <c r="E432" s="82" t="s">
        <v>1581</v>
      </c>
      <c r="F432" s="82" t="s">
        <v>1296</v>
      </c>
      <c r="G432" s="82">
        <v>794</v>
      </c>
      <c r="H432" s="82" t="s">
        <v>147</v>
      </c>
      <c r="I432" s="82">
        <v>14</v>
      </c>
      <c r="J432" s="82">
        <v>8.5</v>
      </c>
      <c r="K432" s="82">
        <v>119</v>
      </c>
      <c r="L432" s="26">
        <f t="shared" si="41"/>
        <v>8</v>
      </c>
      <c r="M432" s="26">
        <f t="shared" si="34"/>
        <v>6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>
        <v>6</v>
      </c>
      <c r="AU432" s="26"/>
      <c r="AV432" s="26"/>
      <c r="AW432" s="26"/>
      <c r="AX432" s="26"/>
      <c r="AY432" s="26"/>
      <c r="AZ432" s="26"/>
      <c r="BA432" s="26">
        <v>1</v>
      </c>
      <c r="BB432" s="26">
        <v>1</v>
      </c>
      <c r="BC432" s="26"/>
      <c r="BD432" s="26"/>
      <c r="BE432" s="26"/>
      <c r="BF432" s="26"/>
      <c r="BG432" s="26"/>
      <c r="BH432" s="26"/>
      <c r="BI432" s="67" t="e">
        <f>SUMIFS([1]Up!$J:$J,[1]Up!$D:$D,D432)</f>
        <v>#VALUE!</v>
      </c>
      <c r="BJ432" s="82"/>
      <c r="BK432" s="82" t="str">
        <f t="shared" si="42"/>
        <v>PL10</v>
      </c>
      <c r="BL432" s="53" t="str">
        <f t="shared" si="43"/>
        <v/>
      </c>
      <c r="BM432" s="53" t="s">
        <v>148</v>
      </c>
      <c r="BN432" s="53" t="s">
        <v>1004</v>
      </c>
      <c r="BO432" s="53" t="s">
        <v>1005</v>
      </c>
      <c r="BP432" s="84" t="s">
        <v>2156</v>
      </c>
      <c r="BQ432" s="53">
        <v>28</v>
      </c>
      <c r="BR432" s="83">
        <v>46302</v>
      </c>
      <c r="BS432" s="53"/>
      <c r="BT432" s="53"/>
      <c r="BU432" s="238"/>
    </row>
    <row r="433" spans="3:73" ht="14.25" hidden="1" customHeight="1">
      <c r="C433" s="82" t="s">
        <v>13</v>
      </c>
      <c r="D433" s="82" t="s">
        <v>1605</v>
      </c>
      <c r="E433" s="82" t="s">
        <v>1584</v>
      </c>
      <c r="F433" s="82" t="s">
        <v>1296</v>
      </c>
      <c r="G433" s="82">
        <v>337</v>
      </c>
      <c r="H433" s="82" t="s">
        <v>147</v>
      </c>
      <c r="I433" s="82">
        <v>28</v>
      </c>
      <c r="J433" s="82">
        <v>3.5</v>
      </c>
      <c r="K433" s="82">
        <v>98</v>
      </c>
      <c r="L433" s="26">
        <f t="shared" si="41"/>
        <v>14</v>
      </c>
      <c r="M433" s="26">
        <f t="shared" si="34"/>
        <v>14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>
        <v>14</v>
      </c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67" t="e">
        <f>SUMIFS([1]Up!$J:$J,[1]Up!$D:$D,D433)</f>
        <v>#VALUE!</v>
      </c>
      <c r="BJ433" s="82"/>
      <c r="BK433" s="82" t="str">
        <f t="shared" si="42"/>
        <v>PL16</v>
      </c>
      <c r="BL433" s="53" t="str">
        <f t="shared" si="43"/>
        <v/>
      </c>
      <c r="BM433" s="53" t="s">
        <v>148</v>
      </c>
      <c r="BN433" s="53" t="s">
        <v>987</v>
      </c>
      <c r="BO433" s="53" t="s">
        <v>988</v>
      </c>
      <c r="BP433" s="84" t="s">
        <v>2160</v>
      </c>
      <c r="BQ433" s="53">
        <v>56</v>
      </c>
      <c r="BR433" s="83" t="s">
        <v>2225</v>
      </c>
      <c r="BS433" s="53"/>
      <c r="BT433" s="53"/>
      <c r="BU433" s="238"/>
    </row>
    <row r="434" spans="3:73" ht="14.25" hidden="1" customHeight="1">
      <c r="C434" s="82" t="s">
        <v>13</v>
      </c>
      <c r="D434" s="82" t="s">
        <v>1606</v>
      </c>
      <c r="E434" s="82" t="s">
        <v>1577</v>
      </c>
      <c r="F434" s="82" t="s">
        <v>1084</v>
      </c>
      <c r="G434" s="82">
        <v>11920</v>
      </c>
      <c r="H434" s="82" t="s">
        <v>147</v>
      </c>
      <c r="I434" s="82">
        <v>2</v>
      </c>
      <c r="J434" s="82">
        <v>2165.5</v>
      </c>
      <c r="K434" s="82">
        <v>4331</v>
      </c>
      <c r="L434" s="26">
        <f t="shared" si="41"/>
        <v>2</v>
      </c>
      <c r="M434" s="26">
        <f t="shared" si="34"/>
        <v>0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>
        <v>3</v>
      </c>
      <c r="AL434" s="26">
        <v>4</v>
      </c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67" t="e">
        <f>SUMIFS([1]Up!$J:$J,[1]Up!$D:$D,D434)</f>
        <v>#VALUE!</v>
      </c>
      <c r="BJ434" s="82" t="s">
        <v>2239</v>
      </c>
      <c r="BK434" s="82" t="str">
        <f t="shared" si="42"/>
        <v>PL10</v>
      </c>
      <c r="BL434" s="53" t="str">
        <f t="shared" si="43"/>
        <v>Thừa 5</v>
      </c>
      <c r="BM434" s="53" t="s">
        <v>154</v>
      </c>
      <c r="BN434" s="53" t="s">
        <v>1004</v>
      </c>
      <c r="BO434" s="53" t="s">
        <v>1005</v>
      </c>
      <c r="BP434" s="53" t="s">
        <v>57</v>
      </c>
      <c r="BQ434" s="53">
        <v>4</v>
      </c>
      <c r="BR434" s="83"/>
      <c r="BS434" s="53"/>
      <c r="BT434" s="53"/>
    </row>
    <row r="435" spans="3:73" ht="14.25" hidden="1" customHeight="1">
      <c r="C435" s="82" t="s">
        <v>13</v>
      </c>
      <c r="D435" s="82" t="s">
        <v>1607</v>
      </c>
      <c r="E435" s="82" t="s">
        <v>1592</v>
      </c>
      <c r="F435" s="82" t="s">
        <v>1296</v>
      </c>
      <c r="G435" s="82">
        <v>2165</v>
      </c>
      <c r="H435" s="82" t="s">
        <v>147</v>
      </c>
      <c r="I435" s="82">
        <v>14</v>
      </c>
      <c r="J435" s="82">
        <v>27.2</v>
      </c>
      <c r="K435" s="82">
        <v>380.8</v>
      </c>
      <c r="L435" s="26">
        <f t="shared" si="41"/>
        <v>7</v>
      </c>
      <c r="M435" s="26">
        <f t="shared" si="34"/>
        <v>7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>
        <v>6</v>
      </c>
      <c r="AU435" s="26"/>
      <c r="AV435" s="26"/>
      <c r="AW435" s="26"/>
      <c r="AX435" s="26"/>
      <c r="AY435" s="26"/>
      <c r="AZ435" s="26"/>
      <c r="BA435" s="26">
        <v>1</v>
      </c>
      <c r="BB435" s="26"/>
      <c r="BC435" s="26"/>
      <c r="BD435" s="26"/>
      <c r="BE435" s="26"/>
      <c r="BF435" s="26"/>
      <c r="BG435" s="26"/>
      <c r="BH435" s="26"/>
      <c r="BI435" s="67" t="e">
        <f>SUMIFS([1]Up!$J:$J,[1]Up!$D:$D,D435)</f>
        <v>#VALUE!</v>
      </c>
      <c r="BJ435" s="82"/>
      <c r="BK435" s="82" t="str">
        <f t="shared" si="42"/>
        <v>PL10</v>
      </c>
      <c r="BL435" s="53" t="str">
        <f t="shared" si="43"/>
        <v/>
      </c>
      <c r="BM435" s="53" t="s">
        <v>148</v>
      </c>
      <c r="BN435" s="53" t="s">
        <v>1004</v>
      </c>
      <c r="BO435" s="53" t="s">
        <v>1005</v>
      </c>
      <c r="BP435" s="84" t="s">
        <v>2156</v>
      </c>
      <c r="BQ435" s="53">
        <v>28</v>
      </c>
      <c r="BR435" s="83">
        <v>46302</v>
      </c>
      <c r="BS435" s="53"/>
      <c r="BT435" s="53"/>
      <c r="BU435" s="238"/>
    </row>
    <row r="436" spans="3:73" ht="14.25" hidden="1" customHeight="1">
      <c r="C436" s="82" t="s">
        <v>13</v>
      </c>
      <c r="D436" s="82" t="s">
        <v>1608</v>
      </c>
      <c r="E436" s="82" t="s">
        <v>1125</v>
      </c>
      <c r="F436" s="82" t="s">
        <v>1296</v>
      </c>
      <c r="G436" s="82">
        <v>200</v>
      </c>
      <c r="H436" s="82" t="s">
        <v>147</v>
      </c>
      <c r="I436" s="82">
        <v>2</v>
      </c>
      <c r="J436" s="82">
        <v>5.5</v>
      </c>
      <c r="K436" s="82">
        <v>11</v>
      </c>
      <c r="L436" s="26">
        <f t="shared" si="41"/>
        <v>2</v>
      </c>
      <c r="M436" s="26">
        <f t="shared" si="34"/>
        <v>0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>
        <v>1</v>
      </c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>
        <v>1</v>
      </c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67" t="e">
        <f>SUMIFS([1]Up!$J:$J,[1]Up!$D:$D,D436)</f>
        <v>#VALUE!</v>
      </c>
      <c r="BJ436" s="82"/>
      <c r="BK436" s="82" t="str">
        <f t="shared" si="42"/>
        <v>PL15</v>
      </c>
      <c r="BL436" s="53" t="str">
        <f t="shared" si="43"/>
        <v/>
      </c>
      <c r="BM436" s="53" t="s">
        <v>148</v>
      </c>
      <c r="BN436" s="53" t="s">
        <v>1093</v>
      </c>
      <c r="BO436" s="53" t="s">
        <v>1094</v>
      </c>
      <c r="BP436" s="84" t="s">
        <v>2155</v>
      </c>
      <c r="BQ436" s="53">
        <v>4</v>
      </c>
      <c r="BR436" s="83" t="s">
        <v>2224</v>
      </c>
      <c r="BS436" s="53"/>
      <c r="BT436" s="53"/>
      <c r="BU436" s="238"/>
    </row>
    <row r="437" spans="3:73" ht="14.25" hidden="1" customHeight="1">
      <c r="C437" s="82" t="s">
        <v>13</v>
      </c>
      <c r="D437" s="82" t="s">
        <v>1609</v>
      </c>
      <c r="E437" s="82" t="s">
        <v>1123</v>
      </c>
      <c r="F437" s="82" t="s">
        <v>1296</v>
      </c>
      <c r="G437" s="82">
        <v>320</v>
      </c>
      <c r="H437" s="82" t="s">
        <v>147</v>
      </c>
      <c r="I437" s="82">
        <v>2</v>
      </c>
      <c r="J437" s="82">
        <v>7.6</v>
      </c>
      <c r="K437" s="82">
        <v>15.2</v>
      </c>
      <c r="L437" s="26">
        <f t="shared" si="41"/>
        <v>1</v>
      </c>
      <c r="M437" s="26">
        <f t="shared" si="34"/>
        <v>1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>
        <v>1</v>
      </c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67" t="e">
        <f>SUMIFS([1]Up!$J:$J,[1]Up!$D:$D,D437)</f>
        <v>#VALUE!</v>
      </c>
      <c r="BJ437" s="82"/>
      <c r="BK437" s="82" t="str">
        <f t="shared" si="42"/>
        <v>PL20</v>
      </c>
      <c r="BL437" s="53" t="str">
        <f t="shared" si="43"/>
        <v/>
      </c>
      <c r="BM437" s="53" t="s">
        <v>148</v>
      </c>
      <c r="BN437" s="53" t="s">
        <v>1099</v>
      </c>
      <c r="BO437" s="53" t="s">
        <v>1100</v>
      </c>
      <c r="BP437" s="84" t="s">
        <v>2157</v>
      </c>
      <c r="BQ437" s="53">
        <v>4</v>
      </c>
      <c r="BR437" s="83">
        <v>46242</v>
      </c>
      <c r="BS437" s="53"/>
      <c r="BT437" s="53"/>
      <c r="BU437" s="238"/>
    </row>
    <row r="438" spans="3:73" ht="14.25" hidden="1" customHeight="1">
      <c r="C438" s="82" t="s">
        <v>13</v>
      </c>
      <c r="D438" s="82" t="s">
        <v>1610</v>
      </c>
      <c r="E438" s="82" t="s">
        <v>1577</v>
      </c>
      <c r="F438" s="82" t="s">
        <v>1084</v>
      </c>
      <c r="G438" s="82">
        <v>11920</v>
      </c>
      <c r="H438" s="82" t="s">
        <v>147</v>
      </c>
      <c r="I438" s="82">
        <v>2</v>
      </c>
      <c r="J438" s="82">
        <v>2165.5</v>
      </c>
      <c r="K438" s="82">
        <v>4331</v>
      </c>
      <c r="L438" s="26">
        <f t="shared" si="41"/>
        <v>2</v>
      </c>
      <c r="M438" s="26">
        <f t="shared" si="34"/>
        <v>0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>
        <v>3</v>
      </c>
      <c r="AL438" s="26">
        <v>3</v>
      </c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67" t="e">
        <f>SUMIFS([1]Up!$J:$J,[1]Up!$D:$D,D438)</f>
        <v>#VALUE!</v>
      </c>
      <c r="BJ438" s="82" t="s">
        <v>2238</v>
      </c>
      <c r="BK438" s="82" t="str">
        <f t="shared" si="42"/>
        <v>PL10</v>
      </c>
      <c r="BL438" s="53" t="str">
        <f t="shared" si="43"/>
        <v>Thừa 4</v>
      </c>
      <c r="BM438" s="53" t="s">
        <v>154</v>
      </c>
      <c r="BN438" s="53" t="s">
        <v>1004</v>
      </c>
      <c r="BO438" s="53" t="s">
        <v>1005</v>
      </c>
      <c r="BP438" s="53" t="s">
        <v>57</v>
      </c>
      <c r="BQ438" s="53">
        <v>4</v>
      </c>
      <c r="BR438" s="83"/>
      <c r="BS438" s="53"/>
      <c r="BT438" s="53"/>
    </row>
    <row r="439" spans="3:73" ht="14.25" hidden="1" customHeight="1">
      <c r="C439" s="82" t="s">
        <v>13</v>
      </c>
      <c r="D439" s="82" t="s">
        <v>1611</v>
      </c>
      <c r="E439" s="82" t="s">
        <v>1592</v>
      </c>
      <c r="F439" s="82" t="s">
        <v>1296</v>
      </c>
      <c r="G439" s="82">
        <v>2165</v>
      </c>
      <c r="H439" s="82" t="s">
        <v>147</v>
      </c>
      <c r="I439" s="82">
        <v>14</v>
      </c>
      <c r="J439" s="82">
        <v>27.2</v>
      </c>
      <c r="K439" s="82">
        <v>380.8</v>
      </c>
      <c r="L439" s="26">
        <f t="shared" si="41"/>
        <v>7</v>
      </c>
      <c r="M439" s="26">
        <f t="shared" si="34"/>
        <v>7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>
        <v>1</v>
      </c>
      <c r="AU439" s="26"/>
      <c r="AV439" s="26"/>
      <c r="AW439" s="26"/>
      <c r="AX439" s="26"/>
      <c r="AY439" s="26"/>
      <c r="AZ439" s="26"/>
      <c r="BA439" s="26">
        <v>6</v>
      </c>
      <c r="BB439" s="26"/>
      <c r="BC439" s="26"/>
      <c r="BD439" s="26"/>
      <c r="BE439" s="26"/>
      <c r="BF439" s="26"/>
      <c r="BG439" s="26"/>
      <c r="BH439" s="26"/>
      <c r="BI439" s="67" t="e">
        <f>SUMIFS([1]Up!$J:$J,[1]Up!$D:$D,D439)</f>
        <v>#VALUE!</v>
      </c>
      <c r="BJ439" s="82"/>
      <c r="BK439" s="82" t="str">
        <f t="shared" si="42"/>
        <v>PL10</v>
      </c>
      <c r="BL439" s="53" t="str">
        <f t="shared" si="43"/>
        <v/>
      </c>
      <c r="BM439" s="53" t="s">
        <v>148</v>
      </c>
      <c r="BN439" s="53" t="s">
        <v>1004</v>
      </c>
      <c r="BO439" s="53" t="s">
        <v>1005</v>
      </c>
      <c r="BP439" s="84" t="s">
        <v>2156</v>
      </c>
      <c r="BQ439" s="53">
        <v>28</v>
      </c>
      <c r="BR439" s="83">
        <v>46302</v>
      </c>
      <c r="BS439" s="53"/>
      <c r="BT439" s="53"/>
      <c r="BU439" s="238"/>
    </row>
    <row r="440" spans="3:73" ht="14.25" hidden="1" customHeight="1">
      <c r="C440" s="82" t="s">
        <v>13</v>
      </c>
      <c r="D440" s="82" t="s">
        <v>1612</v>
      </c>
      <c r="E440" s="82" t="s">
        <v>1125</v>
      </c>
      <c r="F440" s="82" t="s">
        <v>1296</v>
      </c>
      <c r="G440" s="82">
        <v>200</v>
      </c>
      <c r="H440" s="82" t="s">
        <v>147</v>
      </c>
      <c r="I440" s="82">
        <v>2</v>
      </c>
      <c r="J440" s="82">
        <v>5.5</v>
      </c>
      <c r="K440" s="82">
        <v>11</v>
      </c>
      <c r="L440" s="26">
        <f t="shared" si="41"/>
        <v>2</v>
      </c>
      <c r="M440" s="26">
        <f t="shared" si="34"/>
        <v>0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>
        <v>1</v>
      </c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>
        <v>1</v>
      </c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67" t="e">
        <f>SUMIFS([1]Up!$J:$J,[1]Up!$D:$D,D440)</f>
        <v>#VALUE!</v>
      </c>
      <c r="BJ440" s="82"/>
      <c r="BK440" s="82" t="str">
        <f t="shared" si="42"/>
        <v>PL15</v>
      </c>
      <c r="BL440" s="53" t="str">
        <f t="shared" si="43"/>
        <v/>
      </c>
      <c r="BM440" s="53" t="s">
        <v>148</v>
      </c>
      <c r="BN440" s="53" t="s">
        <v>1093</v>
      </c>
      <c r="BO440" s="53" t="s">
        <v>1094</v>
      </c>
      <c r="BP440" s="84" t="s">
        <v>2155</v>
      </c>
      <c r="BQ440" s="53">
        <v>4</v>
      </c>
      <c r="BR440" s="83" t="s">
        <v>2224</v>
      </c>
      <c r="BS440" s="53"/>
      <c r="BT440" s="53"/>
      <c r="BU440" s="238"/>
    </row>
    <row r="441" spans="3:73" ht="14.25" hidden="1" customHeight="1">
      <c r="C441" s="82" t="s">
        <v>13</v>
      </c>
      <c r="D441" s="82" t="s">
        <v>1613</v>
      </c>
      <c r="E441" s="82" t="s">
        <v>1123</v>
      </c>
      <c r="F441" s="82" t="s">
        <v>1296</v>
      </c>
      <c r="G441" s="82">
        <v>320</v>
      </c>
      <c r="H441" s="82" t="s">
        <v>147</v>
      </c>
      <c r="I441" s="82">
        <v>2</v>
      </c>
      <c r="J441" s="82">
        <v>7.6</v>
      </c>
      <c r="K441" s="82">
        <v>15.2</v>
      </c>
      <c r="L441" s="26">
        <f t="shared" si="41"/>
        <v>1</v>
      </c>
      <c r="M441" s="26">
        <f t="shared" si="34"/>
        <v>1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>
        <v>1</v>
      </c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67" t="e">
        <f>SUMIFS([1]Up!$J:$J,[1]Up!$D:$D,D441)</f>
        <v>#VALUE!</v>
      </c>
      <c r="BJ441" s="82"/>
      <c r="BK441" s="82" t="str">
        <f t="shared" si="42"/>
        <v>PL20</v>
      </c>
      <c r="BL441" s="53" t="str">
        <f t="shared" si="43"/>
        <v/>
      </c>
      <c r="BM441" s="53" t="s">
        <v>148</v>
      </c>
      <c r="BN441" s="53" t="s">
        <v>1099</v>
      </c>
      <c r="BO441" s="53" t="s">
        <v>1100</v>
      </c>
      <c r="BP441" s="84" t="s">
        <v>2157</v>
      </c>
      <c r="BQ441" s="53">
        <v>4</v>
      </c>
      <c r="BR441" s="83">
        <v>46242</v>
      </c>
      <c r="BS441" s="53"/>
      <c r="BT441" s="53"/>
      <c r="BU441" s="238"/>
    </row>
    <row r="442" spans="3:73" ht="14.25" hidden="1" customHeight="1">
      <c r="C442" s="82" t="s">
        <v>11</v>
      </c>
      <c r="D442" s="82" t="s">
        <v>1614</v>
      </c>
      <c r="E442" s="82" t="s">
        <v>1075</v>
      </c>
      <c r="F442" s="82" t="s">
        <v>1010</v>
      </c>
      <c r="G442" s="82">
        <v>812</v>
      </c>
      <c r="H442" s="82" t="s">
        <v>1077</v>
      </c>
      <c r="I442" s="82">
        <v>2</v>
      </c>
      <c r="J442" s="82">
        <v>13.1</v>
      </c>
      <c r="K442" s="82">
        <v>26.2</v>
      </c>
      <c r="L442" s="26">
        <f t="shared" si="41"/>
        <v>2</v>
      </c>
      <c r="M442" s="26">
        <f t="shared" si="34"/>
        <v>0</v>
      </c>
      <c r="N442" s="26"/>
      <c r="O442" s="26"/>
      <c r="P442" s="26"/>
      <c r="Q442" s="26"/>
      <c r="R442" s="26"/>
      <c r="S442" s="26">
        <v>2</v>
      </c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67" t="e">
        <f>SUMIFS([1]Up!$J:$J,[1]Up!$D:$D,D442)</f>
        <v>#VALUE!</v>
      </c>
      <c r="BJ442" s="82"/>
      <c r="BK442" s="82" t="str">
        <f t="shared" si="42"/>
        <v/>
      </c>
      <c r="BL442" s="53" t="str">
        <f t="shared" si="43"/>
        <v/>
      </c>
      <c r="BM442" s="53" t="s">
        <v>148</v>
      </c>
      <c r="BN442" s="53" t="s">
        <v>1078</v>
      </c>
      <c r="BO442" s="53" t="s">
        <v>1075</v>
      </c>
      <c r="BP442" s="53" t="s">
        <v>1289</v>
      </c>
      <c r="BQ442" s="53">
        <v>2</v>
      </c>
      <c r="BR442" s="83">
        <v>46362</v>
      </c>
      <c r="BS442" s="53"/>
      <c r="BT442" s="53"/>
    </row>
    <row r="443" spans="3:73" ht="14.25" hidden="1" customHeight="1">
      <c r="C443" s="82" t="s">
        <v>13</v>
      </c>
      <c r="D443" s="82" t="s">
        <v>1615</v>
      </c>
      <c r="E443" s="82" t="s">
        <v>1194</v>
      </c>
      <c r="F443" s="82" t="s">
        <v>1195</v>
      </c>
      <c r="G443" s="82">
        <v>9403</v>
      </c>
      <c r="H443" s="82" t="s">
        <v>147</v>
      </c>
      <c r="I443" s="82">
        <v>1</v>
      </c>
      <c r="J443" s="82">
        <v>4302.8999999999996</v>
      </c>
      <c r="K443" s="82">
        <v>4302.8999999999996</v>
      </c>
      <c r="L443" s="26">
        <f t="shared" si="41"/>
        <v>1</v>
      </c>
      <c r="M443" s="26">
        <f t="shared" si="34"/>
        <v>0</v>
      </c>
      <c r="N443" s="26"/>
      <c r="O443" s="26"/>
      <c r="P443" s="26">
        <v>5</v>
      </c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67" t="e">
        <f>SUMIFS([1]Up!$J:$J,[1]Up!$D:$D,D443)</f>
        <v>#VALUE!</v>
      </c>
      <c r="BJ443" s="82" t="s">
        <v>2070</v>
      </c>
      <c r="BK443" s="82" t="str">
        <f t="shared" si="42"/>
        <v>PL10</v>
      </c>
      <c r="BL443" s="53" t="str">
        <f t="shared" si="43"/>
        <v>Thừa 4</v>
      </c>
      <c r="BM443" s="53" t="s">
        <v>154</v>
      </c>
      <c r="BN443" s="53" t="s">
        <v>1004</v>
      </c>
      <c r="BO443" s="53" t="s">
        <v>1005</v>
      </c>
      <c r="BP443" s="53" t="s">
        <v>57</v>
      </c>
      <c r="BQ443" s="53">
        <v>1</v>
      </c>
      <c r="BR443" s="83"/>
      <c r="BS443" s="53"/>
      <c r="BT443" s="53"/>
    </row>
    <row r="444" spans="3:73" ht="14.25" hidden="1" customHeight="1">
      <c r="C444" s="82" t="s">
        <v>13</v>
      </c>
      <c r="D444" s="82" t="s">
        <v>1616</v>
      </c>
      <c r="E444" s="82" t="s">
        <v>1123</v>
      </c>
      <c r="F444" s="82" t="s">
        <v>1210</v>
      </c>
      <c r="G444" s="82">
        <v>320</v>
      </c>
      <c r="H444" s="82" t="s">
        <v>147</v>
      </c>
      <c r="I444" s="82">
        <v>2</v>
      </c>
      <c r="J444" s="82">
        <v>7.6</v>
      </c>
      <c r="K444" s="82">
        <v>15.2</v>
      </c>
      <c r="L444" s="26">
        <f t="shared" si="41"/>
        <v>2</v>
      </c>
      <c r="M444" s="26">
        <f t="shared" si="34"/>
        <v>0</v>
      </c>
      <c r="N444" s="26"/>
      <c r="O444" s="26"/>
      <c r="P444" s="26"/>
      <c r="Q444" s="26"/>
      <c r="R444" s="26"/>
      <c r="S444" s="26">
        <v>2</v>
      </c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67" t="e">
        <f>SUMIFS([1]Up!$J:$J,[1]Up!$D:$D,D444)</f>
        <v>#VALUE!</v>
      </c>
      <c r="BJ444" s="82"/>
      <c r="BK444" s="82" t="str">
        <f t="shared" si="42"/>
        <v>PL20</v>
      </c>
      <c r="BL444" s="53" t="str">
        <f t="shared" si="43"/>
        <v/>
      </c>
      <c r="BM444" s="53" t="s">
        <v>148</v>
      </c>
      <c r="BN444" s="53" t="s">
        <v>1099</v>
      </c>
      <c r="BO444" s="53" t="s">
        <v>1100</v>
      </c>
      <c r="BP444" s="53" t="s">
        <v>1307</v>
      </c>
      <c r="BQ444" s="53">
        <v>2</v>
      </c>
      <c r="BR444" s="83">
        <v>46242</v>
      </c>
      <c r="BS444" s="53"/>
      <c r="BT444" s="53"/>
    </row>
    <row r="445" spans="3:73" ht="14.25" hidden="1" customHeight="1">
      <c r="C445" s="82" t="s">
        <v>13</v>
      </c>
      <c r="D445" s="82" t="s">
        <v>1617</v>
      </c>
      <c r="E445" s="82" t="s">
        <v>1125</v>
      </c>
      <c r="F445" s="82" t="s">
        <v>1212</v>
      </c>
      <c r="G445" s="82">
        <v>200</v>
      </c>
      <c r="H445" s="82" t="s">
        <v>147</v>
      </c>
      <c r="I445" s="82">
        <v>2</v>
      </c>
      <c r="J445" s="82">
        <v>2.6</v>
      </c>
      <c r="K445" s="82">
        <v>5.2</v>
      </c>
      <c r="L445" s="26">
        <f t="shared" si="41"/>
        <v>2</v>
      </c>
      <c r="M445" s="26">
        <f t="shared" si="34"/>
        <v>0</v>
      </c>
      <c r="N445" s="26"/>
      <c r="O445" s="26"/>
      <c r="P445" s="26"/>
      <c r="Q445" s="26"/>
      <c r="R445" s="26">
        <v>2</v>
      </c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67" t="e">
        <f>SUMIFS([1]Up!$J:$J,[1]Up!$D:$D,D445)</f>
        <v>#VALUE!</v>
      </c>
      <c r="BJ445" s="82"/>
      <c r="BK445" s="82" t="str">
        <f t="shared" si="42"/>
        <v>PL15</v>
      </c>
      <c r="BL445" s="53" t="str">
        <f t="shared" si="43"/>
        <v/>
      </c>
      <c r="BM445" s="53" t="s">
        <v>148</v>
      </c>
      <c r="BN445" s="53" t="s">
        <v>1093</v>
      </c>
      <c r="BO445" s="53" t="s">
        <v>1094</v>
      </c>
      <c r="BP445" s="53" t="s">
        <v>1303</v>
      </c>
      <c r="BQ445" s="53">
        <v>2</v>
      </c>
      <c r="BR445" s="83">
        <v>46088</v>
      </c>
      <c r="BS445" s="53"/>
      <c r="BT445" s="53"/>
    </row>
    <row r="446" spans="3:73" ht="14.25" hidden="1" customHeight="1">
      <c r="C446" s="82" t="s">
        <v>13</v>
      </c>
      <c r="D446" s="82" t="s">
        <v>1618</v>
      </c>
      <c r="E446" s="82" t="s">
        <v>1222</v>
      </c>
      <c r="F446" s="82" t="s">
        <v>13</v>
      </c>
      <c r="G446" s="82">
        <v>516</v>
      </c>
      <c r="H446" s="82" t="s">
        <v>147</v>
      </c>
      <c r="I446" s="82">
        <v>2</v>
      </c>
      <c r="J446" s="82">
        <v>13.2</v>
      </c>
      <c r="K446" s="82">
        <v>26.4</v>
      </c>
      <c r="L446" s="26">
        <f t="shared" si="41"/>
        <v>2</v>
      </c>
      <c r="M446" s="26">
        <f t="shared" si="34"/>
        <v>0</v>
      </c>
      <c r="N446" s="26"/>
      <c r="O446" s="26"/>
      <c r="P446" s="26"/>
      <c r="Q446" s="26"/>
      <c r="R446" s="26">
        <v>2</v>
      </c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67" t="e">
        <f>SUMIFS([1]Up!$J:$J,[1]Up!$D:$D,D446)</f>
        <v>#VALUE!</v>
      </c>
      <c r="BJ446" s="82"/>
      <c r="BK446" s="82" t="str">
        <f t="shared" si="42"/>
        <v>PL15</v>
      </c>
      <c r="BL446" s="53" t="str">
        <f t="shared" si="43"/>
        <v/>
      </c>
      <c r="BM446" s="53" t="s">
        <v>148</v>
      </c>
      <c r="BN446" s="53" t="s">
        <v>1093</v>
      </c>
      <c r="BO446" s="53" t="s">
        <v>1094</v>
      </c>
      <c r="BP446" s="53" t="s">
        <v>1303</v>
      </c>
      <c r="BQ446" s="53">
        <v>2</v>
      </c>
      <c r="BR446" s="83">
        <v>46088</v>
      </c>
      <c r="BS446" s="53"/>
      <c r="BT446" s="53"/>
    </row>
    <row r="447" spans="3:73" ht="14.25" hidden="1" customHeight="1">
      <c r="C447" s="82" t="s">
        <v>13</v>
      </c>
      <c r="D447" s="82" t="s">
        <v>1619</v>
      </c>
      <c r="E447" s="82" t="s">
        <v>1620</v>
      </c>
      <c r="F447" s="82" t="s">
        <v>1204</v>
      </c>
      <c r="G447" s="82">
        <v>2260</v>
      </c>
      <c r="H447" s="82" t="s">
        <v>147</v>
      </c>
      <c r="I447" s="82">
        <v>1</v>
      </c>
      <c r="J447" s="82">
        <v>58.4</v>
      </c>
      <c r="K447" s="82">
        <v>58.4</v>
      </c>
      <c r="L447" s="26">
        <f t="shared" si="41"/>
        <v>1</v>
      </c>
      <c r="M447" s="26">
        <f t="shared" si="34"/>
        <v>0</v>
      </c>
      <c r="N447" s="26"/>
      <c r="O447" s="26"/>
      <c r="P447" s="26"/>
      <c r="Q447" s="26">
        <v>3</v>
      </c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67" t="e">
        <f>SUMIFS([1]Up!$J:$J,[1]Up!$D:$D,D447)</f>
        <v>#VALUE!</v>
      </c>
      <c r="BJ447" s="82" t="s">
        <v>2071</v>
      </c>
      <c r="BK447" s="82" t="str">
        <f t="shared" si="42"/>
        <v>PL10</v>
      </c>
      <c r="BL447" s="53" t="str">
        <f t="shared" si="43"/>
        <v>Thừa 2</v>
      </c>
      <c r="BM447" s="53" t="s">
        <v>148</v>
      </c>
      <c r="BN447" s="53" t="s">
        <v>1004</v>
      </c>
      <c r="BO447" s="53" t="s">
        <v>1005</v>
      </c>
      <c r="BP447" s="53" t="s">
        <v>57</v>
      </c>
      <c r="BQ447" s="53">
        <v>1</v>
      </c>
      <c r="BR447" s="83"/>
      <c r="BS447" s="53"/>
      <c r="BT447" s="53"/>
    </row>
    <row r="448" spans="3:73" ht="14.25" hidden="1" customHeight="1">
      <c r="C448" s="82" t="s">
        <v>13</v>
      </c>
      <c r="D448" s="82" t="s">
        <v>1621</v>
      </c>
      <c r="E448" s="82" t="s">
        <v>1622</v>
      </c>
      <c r="F448" s="82" t="s">
        <v>1204</v>
      </c>
      <c r="G448" s="82">
        <v>2450</v>
      </c>
      <c r="H448" s="82" t="s">
        <v>147</v>
      </c>
      <c r="I448" s="82">
        <v>1</v>
      </c>
      <c r="J448" s="82">
        <v>183.9</v>
      </c>
      <c r="K448" s="82">
        <v>183.9</v>
      </c>
      <c r="L448" s="26">
        <f t="shared" si="41"/>
        <v>1</v>
      </c>
      <c r="M448" s="26">
        <f t="shared" si="34"/>
        <v>0</v>
      </c>
      <c r="N448" s="26"/>
      <c r="O448" s="26"/>
      <c r="P448" s="26"/>
      <c r="Q448" s="26">
        <v>4</v>
      </c>
      <c r="R448" s="26"/>
      <c r="S448" s="26"/>
      <c r="T448" s="26">
        <v>4</v>
      </c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67" t="e">
        <f>SUMIFS([1]Up!$J:$J,[1]Up!$D:$D,D448)</f>
        <v>#VALUE!</v>
      </c>
      <c r="BJ448" s="82" t="s">
        <v>2076</v>
      </c>
      <c r="BK448" s="82" t="str">
        <f t="shared" si="42"/>
        <v>PL20</v>
      </c>
      <c r="BL448" s="53" t="str">
        <f t="shared" si="43"/>
        <v>Thừa 7</v>
      </c>
      <c r="BM448" s="53" t="s">
        <v>148</v>
      </c>
      <c r="BN448" s="53" t="s">
        <v>1099</v>
      </c>
      <c r="BO448" s="53" t="s">
        <v>1100</v>
      </c>
      <c r="BP448" s="53" t="s">
        <v>57</v>
      </c>
      <c r="BQ448" s="53">
        <v>1</v>
      </c>
      <c r="BR448" s="83"/>
      <c r="BS448" s="53"/>
      <c r="BT448" s="53"/>
    </row>
    <row r="449" spans="3:72" ht="14.25" hidden="1" customHeight="1">
      <c r="C449" s="82" t="s">
        <v>13</v>
      </c>
      <c r="D449" s="82" t="s">
        <v>1623</v>
      </c>
      <c r="E449" s="82" t="s">
        <v>1624</v>
      </c>
      <c r="F449" s="82" t="s">
        <v>1212</v>
      </c>
      <c r="G449" s="82">
        <v>2338</v>
      </c>
      <c r="H449" s="82" t="s">
        <v>147</v>
      </c>
      <c r="I449" s="82">
        <v>1</v>
      </c>
      <c r="J449" s="82">
        <v>73.400000000000006</v>
      </c>
      <c r="K449" s="82">
        <v>73.400000000000006</v>
      </c>
      <c r="L449" s="26">
        <f t="shared" si="41"/>
        <v>1</v>
      </c>
      <c r="M449" s="26">
        <f t="shared" si="34"/>
        <v>0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>
        <v>1</v>
      </c>
      <c r="BI449" s="67" t="e">
        <f>SUMIFS([1]Up!$J:$J,[1]Up!$D:$D,D449)</f>
        <v>#VALUE!</v>
      </c>
      <c r="BJ449" s="82"/>
      <c r="BK449" s="82" t="str">
        <f t="shared" si="42"/>
        <v>PL10</v>
      </c>
      <c r="BL449" s="53" t="str">
        <f t="shared" si="43"/>
        <v/>
      </c>
      <c r="BM449" s="53" t="s">
        <v>154</v>
      </c>
      <c r="BN449" s="53" t="s">
        <v>1004</v>
      </c>
      <c r="BO449" s="53" t="s">
        <v>1005</v>
      </c>
      <c r="BP449" s="53" t="s">
        <v>1063</v>
      </c>
      <c r="BQ449" s="53">
        <v>1</v>
      </c>
      <c r="BR449" s="83">
        <v>46088</v>
      </c>
      <c r="BS449" s="53"/>
      <c r="BT449" s="53"/>
    </row>
    <row r="450" spans="3:72" ht="14.25" hidden="1" customHeight="1">
      <c r="C450" s="82" t="s">
        <v>13</v>
      </c>
      <c r="D450" s="82" t="s">
        <v>1625</v>
      </c>
      <c r="E450" s="82" t="s">
        <v>1626</v>
      </c>
      <c r="F450" s="82" t="s">
        <v>13</v>
      </c>
      <c r="G450" s="82">
        <v>254</v>
      </c>
      <c r="H450" s="82" t="s">
        <v>147</v>
      </c>
      <c r="I450" s="82">
        <v>2</v>
      </c>
      <c r="J450" s="82">
        <v>7.2</v>
      </c>
      <c r="K450" s="82">
        <v>14.4</v>
      </c>
      <c r="L450" s="26">
        <f t="shared" si="41"/>
        <v>2</v>
      </c>
      <c r="M450" s="26">
        <f t="shared" si="34"/>
        <v>0</v>
      </c>
      <c r="N450" s="26"/>
      <c r="O450" s="26"/>
      <c r="P450" s="26"/>
      <c r="Q450" s="26"/>
      <c r="R450" s="26"/>
      <c r="S450" s="26">
        <v>2</v>
      </c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67" t="e">
        <f>SUMIFS([1]Up!$J:$J,[1]Up!$D:$D,D450)</f>
        <v>#VALUE!</v>
      </c>
      <c r="BJ450" s="82"/>
      <c r="BK450" s="82" t="str">
        <f t="shared" si="42"/>
        <v>PL20</v>
      </c>
      <c r="BL450" s="53" t="str">
        <f t="shared" si="43"/>
        <v/>
      </c>
      <c r="BM450" s="53" t="s">
        <v>148</v>
      </c>
      <c r="BN450" s="53" t="s">
        <v>1099</v>
      </c>
      <c r="BO450" s="53" t="s">
        <v>1100</v>
      </c>
      <c r="BP450" s="53" t="s">
        <v>1307</v>
      </c>
      <c r="BQ450" s="53">
        <v>2</v>
      </c>
      <c r="BR450" s="83">
        <v>46242</v>
      </c>
      <c r="BS450" s="53"/>
      <c r="BT450" s="53"/>
    </row>
    <row r="451" spans="3:72" ht="14.25" hidden="1" customHeight="1">
      <c r="C451" s="82" t="s">
        <v>13</v>
      </c>
      <c r="D451" s="82" t="s">
        <v>1627</v>
      </c>
      <c r="E451" s="82" t="s">
        <v>1628</v>
      </c>
      <c r="F451" s="82" t="s">
        <v>13</v>
      </c>
      <c r="G451" s="82">
        <v>400</v>
      </c>
      <c r="H451" s="82" t="s">
        <v>147</v>
      </c>
      <c r="I451" s="82">
        <v>1</v>
      </c>
      <c r="J451" s="82">
        <v>7.5</v>
      </c>
      <c r="K451" s="82">
        <v>7.5</v>
      </c>
      <c r="L451" s="26">
        <f t="shared" si="41"/>
        <v>1</v>
      </c>
      <c r="M451" s="26">
        <f t="shared" si="34"/>
        <v>0</v>
      </c>
      <c r="N451" s="26"/>
      <c r="O451" s="26">
        <v>1</v>
      </c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67" t="e">
        <f>SUMIFS([1]Up!$J:$J,[1]Up!$D:$D,D451)</f>
        <v>#VALUE!</v>
      </c>
      <c r="BJ451" s="82"/>
      <c r="BK451" s="82" t="str">
        <f t="shared" si="42"/>
        <v>PL10</v>
      </c>
      <c r="BL451" s="53" t="str">
        <f t="shared" si="43"/>
        <v/>
      </c>
      <c r="BM451" s="53" t="s">
        <v>148</v>
      </c>
      <c r="BN451" s="53" t="s">
        <v>1004</v>
      </c>
      <c r="BO451" s="53" t="s">
        <v>1005</v>
      </c>
      <c r="BP451" s="53" t="s">
        <v>1063</v>
      </c>
      <c r="BQ451" s="53">
        <v>1</v>
      </c>
      <c r="BR451" s="83">
        <v>46088</v>
      </c>
      <c r="BS451" s="53"/>
      <c r="BT451" s="53"/>
    </row>
    <row r="452" spans="3:72" ht="14.25" hidden="1" customHeight="1">
      <c r="C452" s="82" t="s">
        <v>13</v>
      </c>
      <c r="D452" s="82" t="s">
        <v>1629</v>
      </c>
      <c r="E452" s="82" t="s">
        <v>1630</v>
      </c>
      <c r="F452" s="82" t="s">
        <v>13</v>
      </c>
      <c r="G452" s="82">
        <v>390</v>
      </c>
      <c r="H452" s="82" t="s">
        <v>652</v>
      </c>
      <c r="I452" s="82">
        <v>1</v>
      </c>
      <c r="J452" s="82">
        <v>2.12</v>
      </c>
      <c r="K452" s="82">
        <v>2.12</v>
      </c>
      <c r="L452" s="26">
        <f t="shared" si="41"/>
        <v>1</v>
      </c>
      <c r="M452" s="26">
        <f t="shared" si="34"/>
        <v>0</v>
      </c>
      <c r="N452" s="26"/>
      <c r="O452" s="26"/>
      <c r="P452" s="26"/>
      <c r="Q452" s="26"/>
      <c r="R452" s="26">
        <v>2</v>
      </c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>
        <v>-1</v>
      </c>
      <c r="BI452" s="67" t="e">
        <f>SUMIFS([1]Up!$J:$J,[1]Up!$D:$D,D452)</f>
        <v>#VALUE!</v>
      </c>
      <c r="BJ452" s="82" t="s">
        <v>2236</v>
      </c>
      <c r="BK452" s="82" t="str">
        <f t="shared" si="42"/>
        <v>PL3</v>
      </c>
      <c r="BL452" s="53" t="str">
        <f t="shared" si="43"/>
        <v/>
      </c>
      <c r="BM452" s="53" t="s">
        <v>148</v>
      </c>
      <c r="BN452" s="53" t="s">
        <v>1631</v>
      </c>
      <c r="BO452" s="53" t="s">
        <v>961</v>
      </c>
      <c r="BP452" s="53" t="s">
        <v>1632</v>
      </c>
      <c r="BQ452" s="53">
        <v>1</v>
      </c>
      <c r="BR452" s="83" t="s">
        <v>2222</v>
      </c>
      <c r="BS452" s="53"/>
      <c r="BT452" s="53"/>
    </row>
    <row r="453" spans="3:72" ht="14.25" hidden="1" customHeight="1">
      <c r="C453" s="82" t="s">
        <v>13</v>
      </c>
      <c r="D453" s="82" t="s">
        <v>1633</v>
      </c>
      <c r="E453" s="82" t="s">
        <v>1157</v>
      </c>
      <c r="F453" s="82" t="s">
        <v>13</v>
      </c>
      <c r="G453" s="82">
        <v>3750</v>
      </c>
      <c r="H453" s="82" t="s">
        <v>147</v>
      </c>
      <c r="I453" s="82">
        <v>2</v>
      </c>
      <c r="J453" s="82">
        <v>141.30000000000001</v>
      </c>
      <c r="K453" s="82">
        <v>282.60000000000002</v>
      </c>
      <c r="L453" s="26">
        <f t="shared" si="41"/>
        <v>2</v>
      </c>
      <c r="M453" s="26">
        <f t="shared" si="34"/>
        <v>0</v>
      </c>
      <c r="N453" s="26"/>
      <c r="O453" s="26"/>
      <c r="P453" s="26"/>
      <c r="Q453" s="26"/>
      <c r="R453" s="26">
        <v>2</v>
      </c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67" t="e">
        <f>SUMIFS([1]Up!$J:$J,[1]Up!$D:$D,D453)</f>
        <v>#VALUE!</v>
      </c>
      <c r="BJ453" s="82"/>
      <c r="BK453" s="82" t="str">
        <f t="shared" si="42"/>
        <v>PL15</v>
      </c>
      <c r="BL453" s="53" t="str">
        <f t="shared" si="43"/>
        <v/>
      </c>
      <c r="BM453" s="53" t="s">
        <v>148</v>
      </c>
      <c r="BN453" s="53" t="s">
        <v>1093</v>
      </c>
      <c r="BO453" s="53" t="s">
        <v>1094</v>
      </c>
      <c r="BP453" s="53" t="s">
        <v>1303</v>
      </c>
      <c r="BQ453" s="53">
        <v>2</v>
      </c>
      <c r="BR453" s="83">
        <v>46088</v>
      </c>
      <c r="BS453" s="53"/>
      <c r="BT453" s="53"/>
    </row>
    <row r="454" spans="3:72" ht="14.25" hidden="1" customHeight="1">
      <c r="C454" s="82" t="s">
        <v>13</v>
      </c>
      <c r="D454" s="82" t="s">
        <v>1634</v>
      </c>
      <c r="E454" s="82" t="s">
        <v>1635</v>
      </c>
      <c r="F454" s="82" t="s">
        <v>1195</v>
      </c>
      <c r="G454" s="82">
        <v>6086</v>
      </c>
      <c r="H454" s="82" t="s">
        <v>147</v>
      </c>
      <c r="I454" s="82">
        <v>1</v>
      </c>
      <c r="J454" s="82">
        <v>987.1</v>
      </c>
      <c r="K454" s="82">
        <v>987.1</v>
      </c>
      <c r="L454" s="26">
        <f t="shared" si="41"/>
        <v>1</v>
      </c>
      <c r="M454" s="26">
        <f t="shared" si="34"/>
        <v>0</v>
      </c>
      <c r="N454" s="26"/>
      <c r="O454" s="26"/>
      <c r="P454" s="26"/>
      <c r="Q454" s="26"/>
      <c r="R454" s="26"/>
      <c r="S454" s="26"/>
      <c r="T454" s="26"/>
      <c r="U454" s="26">
        <v>2</v>
      </c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67" t="e">
        <f>SUMIFS([1]Up!$J:$J,[1]Up!$D:$D,D454)</f>
        <v>#VALUE!</v>
      </c>
      <c r="BJ454" s="82" t="s">
        <v>2073</v>
      </c>
      <c r="BK454" s="82" t="str">
        <f t="shared" si="42"/>
        <v>PL10</v>
      </c>
      <c r="BL454" s="53" t="str">
        <f t="shared" si="43"/>
        <v>Thừa 1</v>
      </c>
      <c r="BM454" s="53" t="s">
        <v>154</v>
      </c>
      <c r="BN454" s="53" t="s">
        <v>1004</v>
      </c>
      <c r="BO454" s="53" t="s">
        <v>1005</v>
      </c>
      <c r="BP454" s="53" t="s">
        <v>57</v>
      </c>
      <c r="BQ454" s="53">
        <v>1</v>
      </c>
      <c r="BR454" s="83"/>
      <c r="BS454" s="53"/>
      <c r="BT454" s="53"/>
    </row>
    <row r="455" spans="3:72" ht="14.25" hidden="1" customHeight="1">
      <c r="C455" s="82" t="s">
        <v>13</v>
      </c>
      <c r="D455" s="82" t="s">
        <v>1636</v>
      </c>
      <c r="E455" s="82" t="s">
        <v>1637</v>
      </c>
      <c r="F455" s="82" t="s">
        <v>13</v>
      </c>
      <c r="G455" s="82">
        <v>2260</v>
      </c>
      <c r="H455" s="82" t="s">
        <v>147</v>
      </c>
      <c r="I455" s="82">
        <v>1</v>
      </c>
      <c r="J455" s="82">
        <v>40.9</v>
      </c>
      <c r="K455" s="82">
        <v>40.9</v>
      </c>
      <c r="L455" s="26">
        <f t="shared" si="41"/>
        <v>1</v>
      </c>
      <c r="M455" s="26">
        <f t="shared" si="34"/>
        <v>0</v>
      </c>
      <c r="N455" s="26"/>
      <c r="O455" s="26"/>
      <c r="P455" s="26"/>
      <c r="Q455" s="26">
        <v>2</v>
      </c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67" t="e">
        <f>SUMIFS([1]Up!$J:$J,[1]Up!$D:$D,D455)</f>
        <v>#VALUE!</v>
      </c>
      <c r="BJ455" s="82" t="s">
        <v>2073</v>
      </c>
      <c r="BK455" s="82" t="str">
        <f t="shared" si="42"/>
        <v>PL10</v>
      </c>
      <c r="BL455" s="53" t="str">
        <f t="shared" si="43"/>
        <v>Thừa 1</v>
      </c>
      <c r="BM455" s="53" t="s">
        <v>148</v>
      </c>
      <c r="BN455" s="53" t="s">
        <v>1004</v>
      </c>
      <c r="BO455" s="53" t="s">
        <v>1005</v>
      </c>
      <c r="BP455" s="53" t="s">
        <v>57</v>
      </c>
      <c r="BQ455" s="53">
        <v>1</v>
      </c>
      <c r="BR455" s="83"/>
      <c r="BS455" s="53"/>
      <c r="BT455" s="53"/>
    </row>
    <row r="456" spans="3:72" ht="14.25" hidden="1" customHeight="1">
      <c r="C456" s="82" t="s">
        <v>13</v>
      </c>
      <c r="D456" s="82" t="s">
        <v>1638</v>
      </c>
      <c r="E456" s="82" t="s">
        <v>1639</v>
      </c>
      <c r="F456" s="82" t="s">
        <v>13</v>
      </c>
      <c r="G456" s="82">
        <v>969</v>
      </c>
      <c r="H456" s="82" t="s">
        <v>147</v>
      </c>
      <c r="I456" s="82">
        <v>1</v>
      </c>
      <c r="J456" s="82">
        <v>8.8000000000000007</v>
      </c>
      <c r="K456" s="82">
        <v>8.8000000000000007</v>
      </c>
      <c r="L456" s="26">
        <f t="shared" si="41"/>
        <v>1</v>
      </c>
      <c r="M456" s="26">
        <f t="shared" si="34"/>
        <v>0</v>
      </c>
      <c r="N456" s="26"/>
      <c r="O456" s="26"/>
      <c r="P456" s="26"/>
      <c r="Q456" s="26">
        <v>1</v>
      </c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67" t="e">
        <f>SUMIFS([1]Up!$J:$J,[1]Up!$D:$D,D456)</f>
        <v>#VALUE!</v>
      </c>
      <c r="BJ456" s="82"/>
      <c r="BK456" s="82" t="str">
        <f t="shared" si="42"/>
        <v>PL10</v>
      </c>
      <c r="BL456" s="53" t="str">
        <f t="shared" si="43"/>
        <v/>
      </c>
      <c r="BM456" s="53" t="s">
        <v>148</v>
      </c>
      <c r="BN456" s="53" t="s">
        <v>1004</v>
      </c>
      <c r="BO456" s="53" t="s">
        <v>1005</v>
      </c>
      <c r="BP456" s="53" t="s">
        <v>1063</v>
      </c>
      <c r="BQ456" s="53">
        <v>1</v>
      </c>
      <c r="BR456" s="83">
        <v>46088</v>
      </c>
      <c r="BS456" s="53"/>
      <c r="BT456" s="53"/>
    </row>
    <row r="457" spans="3:72" ht="14.25" hidden="1" customHeight="1">
      <c r="C457" s="82" t="s">
        <v>13</v>
      </c>
      <c r="D457" s="82" t="s">
        <v>1640</v>
      </c>
      <c r="E457" s="82" t="s">
        <v>1641</v>
      </c>
      <c r="F457" s="82" t="s">
        <v>13</v>
      </c>
      <c r="G457" s="82">
        <v>289</v>
      </c>
      <c r="H457" s="82" t="s">
        <v>147</v>
      </c>
      <c r="I457" s="82">
        <v>2</v>
      </c>
      <c r="J457" s="82">
        <v>2.7</v>
      </c>
      <c r="K457" s="82">
        <v>5.4</v>
      </c>
      <c r="L457" s="26">
        <f t="shared" si="41"/>
        <v>2</v>
      </c>
      <c r="M457" s="26">
        <f t="shared" si="34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>
        <v>2</v>
      </c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67" t="e">
        <f>SUMIFS([1]Up!$J:$J,[1]Up!$D:$D,D457)</f>
        <v>#VALUE!</v>
      </c>
      <c r="BJ457" s="82"/>
      <c r="BK457" s="82" t="str">
        <f t="shared" si="42"/>
        <v>PL16</v>
      </c>
      <c r="BL457" s="53" t="str">
        <f t="shared" si="43"/>
        <v/>
      </c>
      <c r="BM457" s="53" t="s">
        <v>148</v>
      </c>
      <c r="BN457" s="53" t="s">
        <v>987</v>
      </c>
      <c r="BO457" s="53" t="s">
        <v>988</v>
      </c>
      <c r="BP457" s="53" t="s">
        <v>989</v>
      </c>
      <c r="BQ457" s="53">
        <v>2</v>
      </c>
      <c r="BR457" s="83" t="s">
        <v>2222</v>
      </c>
      <c r="BS457" s="53"/>
      <c r="BT457" s="53"/>
    </row>
    <row r="458" spans="3:72" ht="14.25" hidden="1" customHeight="1">
      <c r="C458" s="82" t="s">
        <v>13</v>
      </c>
      <c r="D458" s="82" t="s">
        <v>2086</v>
      </c>
      <c r="E458" s="82" t="s">
        <v>1649</v>
      </c>
      <c r="F458" s="82" t="s">
        <v>1204</v>
      </c>
      <c r="G458" s="82">
        <v>2260</v>
      </c>
      <c r="H458" s="82" t="s">
        <v>147</v>
      </c>
      <c r="I458" s="82">
        <v>1</v>
      </c>
      <c r="J458" s="82">
        <v>62.4</v>
      </c>
      <c r="K458" s="82">
        <v>62.4</v>
      </c>
      <c r="L458" s="26">
        <f t="shared" si="41"/>
        <v>1</v>
      </c>
      <c r="M458" s="26">
        <f t="shared" ref="M458" si="44">MAX(0,I458-L458)</f>
        <v>0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>
        <v>1</v>
      </c>
      <c r="BI458" s="67" t="e">
        <f>SUMIFS([1]Up!$J:$J,[1]Up!$D:$D,D458)</f>
        <v>#VALUE!</v>
      </c>
      <c r="BJ458" s="82"/>
      <c r="BK458" s="82" t="str">
        <f t="shared" si="42"/>
        <v>PL10</v>
      </c>
      <c r="BL458" s="53" t="str">
        <f t="shared" si="43"/>
        <v/>
      </c>
      <c r="BM458" s="53"/>
      <c r="BN458" s="53"/>
      <c r="BO458" s="53"/>
      <c r="BP458" s="53"/>
      <c r="BQ458" s="53"/>
      <c r="BR458" s="83"/>
      <c r="BS458" s="53"/>
      <c r="BT458" s="53"/>
    </row>
    <row r="459" spans="3:72" ht="14.25" hidden="1" customHeight="1">
      <c r="C459" s="82" t="s">
        <v>13</v>
      </c>
      <c r="D459" s="82" t="s">
        <v>1642</v>
      </c>
      <c r="E459" s="82" t="s">
        <v>1637</v>
      </c>
      <c r="F459" s="82" t="s">
        <v>1204</v>
      </c>
      <c r="G459" s="82">
        <v>2260</v>
      </c>
      <c r="H459" s="82" t="s">
        <v>147</v>
      </c>
      <c r="I459" s="82">
        <v>1</v>
      </c>
      <c r="J459" s="82">
        <v>46.7</v>
      </c>
      <c r="K459" s="82">
        <v>46.7</v>
      </c>
      <c r="L459" s="26">
        <f t="shared" si="41"/>
        <v>1</v>
      </c>
      <c r="M459" s="26">
        <f t="shared" si="34"/>
        <v>0</v>
      </c>
      <c r="N459" s="26"/>
      <c r="O459" s="26"/>
      <c r="P459" s="26"/>
      <c r="Q459" s="26">
        <v>2</v>
      </c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67" t="e">
        <f>SUMIFS([1]Up!$J:$J,[1]Up!$D:$D,D459)</f>
        <v>#VALUE!</v>
      </c>
      <c r="BJ459" s="82" t="s">
        <v>2073</v>
      </c>
      <c r="BK459" s="82" t="str">
        <f t="shared" si="42"/>
        <v>PL10</v>
      </c>
      <c r="BL459" s="53" t="str">
        <f t="shared" si="43"/>
        <v>Thừa 1</v>
      </c>
      <c r="BM459" s="53" t="s">
        <v>148</v>
      </c>
      <c r="BN459" s="53" t="s">
        <v>1004</v>
      </c>
      <c r="BO459" s="53" t="s">
        <v>1005</v>
      </c>
      <c r="BP459" s="53" t="s">
        <v>57</v>
      </c>
      <c r="BQ459" s="53">
        <v>1</v>
      </c>
      <c r="BR459" s="83"/>
      <c r="BS459" s="53"/>
      <c r="BT459" s="53"/>
    </row>
    <row r="460" spans="3:72" ht="14.25" hidden="1" customHeight="1">
      <c r="C460" s="82" t="s">
        <v>13</v>
      </c>
      <c r="D460" s="82" t="s">
        <v>1643</v>
      </c>
      <c r="E460" s="82" t="s">
        <v>1644</v>
      </c>
      <c r="F460" s="82" t="s">
        <v>1204</v>
      </c>
      <c r="G460" s="82">
        <v>969</v>
      </c>
      <c r="H460" s="82" t="s">
        <v>147</v>
      </c>
      <c r="I460" s="82">
        <v>1</v>
      </c>
      <c r="J460" s="82">
        <v>10</v>
      </c>
      <c r="K460" s="82">
        <v>10</v>
      </c>
      <c r="L460" s="26">
        <f t="shared" si="41"/>
        <v>1</v>
      </c>
      <c r="M460" s="26">
        <f t="shared" si="34"/>
        <v>0</v>
      </c>
      <c r="N460" s="26"/>
      <c r="O460" s="26"/>
      <c r="P460" s="26"/>
      <c r="Q460" s="26">
        <v>1</v>
      </c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67" t="e">
        <f>SUMIFS([1]Up!$J:$J,[1]Up!$D:$D,D460)</f>
        <v>#VALUE!</v>
      </c>
      <c r="BJ460" s="82"/>
      <c r="BK460" s="82" t="str">
        <f t="shared" si="42"/>
        <v>PL10</v>
      </c>
      <c r="BL460" s="53" t="str">
        <f t="shared" si="43"/>
        <v/>
      </c>
      <c r="BM460" s="53" t="s">
        <v>148</v>
      </c>
      <c r="BN460" s="53" t="s">
        <v>1004</v>
      </c>
      <c r="BO460" s="53" t="s">
        <v>1005</v>
      </c>
      <c r="BP460" s="53" t="s">
        <v>1063</v>
      </c>
      <c r="BQ460" s="53">
        <v>1</v>
      </c>
      <c r="BR460" s="83">
        <v>46088</v>
      </c>
      <c r="BS460" s="53"/>
      <c r="BT460" s="53"/>
    </row>
    <row r="461" spans="3:72" ht="14.25" hidden="1" customHeight="1">
      <c r="C461" s="82" t="s">
        <v>13</v>
      </c>
      <c r="D461" s="82" t="s">
        <v>1645</v>
      </c>
      <c r="E461" s="82" t="s">
        <v>1646</v>
      </c>
      <c r="F461" s="82" t="s">
        <v>13</v>
      </c>
      <c r="G461" s="82">
        <v>516</v>
      </c>
      <c r="H461" s="82" t="s">
        <v>147</v>
      </c>
      <c r="I461" s="82">
        <v>1</v>
      </c>
      <c r="J461" s="82">
        <v>14.3</v>
      </c>
      <c r="K461" s="82">
        <v>14.3</v>
      </c>
      <c r="L461" s="26">
        <f t="shared" si="41"/>
        <v>1</v>
      </c>
      <c r="M461" s="26">
        <f t="shared" si="34"/>
        <v>0</v>
      </c>
      <c r="N461" s="26"/>
      <c r="O461" s="26"/>
      <c r="P461" s="26"/>
      <c r="Q461" s="26"/>
      <c r="R461" s="26">
        <v>1</v>
      </c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67" t="e">
        <f>SUMIFS([1]Up!$J:$J,[1]Up!$D:$D,D461)</f>
        <v>#VALUE!</v>
      </c>
      <c r="BJ461" s="82"/>
      <c r="BK461" s="82" t="str">
        <f t="shared" si="42"/>
        <v>PL15</v>
      </c>
      <c r="BL461" s="53" t="str">
        <f t="shared" si="43"/>
        <v/>
      </c>
      <c r="BM461" s="53" t="s">
        <v>148</v>
      </c>
      <c r="BN461" s="53" t="s">
        <v>1093</v>
      </c>
      <c r="BO461" s="53" t="s">
        <v>1094</v>
      </c>
      <c r="BP461" s="53" t="s">
        <v>1303</v>
      </c>
      <c r="BQ461" s="53">
        <v>1</v>
      </c>
      <c r="BR461" s="83">
        <v>46088</v>
      </c>
      <c r="BS461" s="53"/>
      <c r="BT461" s="53"/>
    </row>
    <row r="462" spans="3:72" ht="14.25" hidden="1" customHeight="1">
      <c r="C462" s="82" t="s">
        <v>13</v>
      </c>
      <c r="D462" s="82" t="s">
        <v>1647</v>
      </c>
      <c r="E462" s="82" t="s">
        <v>1157</v>
      </c>
      <c r="F462" s="82" t="s">
        <v>13</v>
      </c>
      <c r="G462" s="82">
        <v>3516</v>
      </c>
      <c r="H462" s="82" t="s">
        <v>147</v>
      </c>
      <c r="I462" s="82">
        <v>2</v>
      </c>
      <c r="J462" s="82">
        <v>132.5</v>
      </c>
      <c r="K462" s="82">
        <v>265</v>
      </c>
      <c r="L462" s="26">
        <f t="shared" si="41"/>
        <v>2</v>
      </c>
      <c r="M462" s="26">
        <f t="shared" si="34"/>
        <v>0</v>
      </c>
      <c r="N462" s="26"/>
      <c r="O462" s="26"/>
      <c r="P462" s="26"/>
      <c r="Q462" s="26"/>
      <c r="R462" s="26">
        <v>2</v>
      </c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67" t="e">
        <f>SUMIFS([1]Up!$J:$J,[1]Up!$D:$D,D462)</f>
        <v>#VALUE!</v>
      </c>
      <c r="BJ462" s="82"/>
      <c r="BK462" s="82" t="str">
        <f t="shared" si="42"/>
        <v>PL15</v>
      </c>
      <c r="BL462" s="53" t="str">
        <f t="shared" si="43"/>
        <v/>
      </c>
      <c r="BM462" s="53" t="s">
        <v>148</v>
      </c>
      <c r="BN462" s="53" t="s">
        <v>1093</v>
      </c>
      <c r="BO462" s="53" t="s">
        <v>1094</v>
      </c>
      <c r="BP462" s="53" t="s">
        <v>1303</v>
      </c>
      <c r="BQ462" s="53">
        <v>2</v>
      </c>
      <c r="BR462" s="83">
        <v>46088</v>
      </c>
      <c r="BS462" s="53"/>
      <c r="BT462" s="53"/>
    </row>
    <row r="463" spans="3:72" ht="14.25" hidden="1" customHeight="1">
      <c r="C463" s="82" t="s">
        <v>13</v>
      </c>
      <c r="D463" s="82" t="s">
        <v>1648</v>
      </c>
      <c r="E463" s="82" t="s">
        <v>1649</v>
      </c>
      <c r="F463" s="82" t="s">
        <v>1204</v>
      </c>
      <c r="G463" s="82">
        <v>2260</v>
      </c>
      <c r="H463" s="82" t="s">
        <v>147</v>
      </c>
      <c r="I463" s="82">
        <v>1</v>
      </c>
      <c r="J463" s="82">
        <v>54.7</v>
      </c>
      <c r="K463" s="82">
        <v>54.7</v>
      </c>
      <c r="L463" s="26">
        <f t="shared" si="41"/>
        <v>1</v>
      </c>
      <c r="M463" s="26">
        <f t="shared" si="34"/>
        <v>0</v>
      </c>
      <c r="N463" s="26"/>
      <c r="O463" s="26"/>
      <c r="P463" s="26"/>
      <c r="Q463" s="26">
        <v>3</v>
      </c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67" t="e">
        <f>SUMIFS([1]Up!$J:$J,[1]Up!$D:$D,D463)</f>
        <v>#VALUE!</v>
      </c>
      <c r="BJ463" s="82" t="s">
        <v>2071</v>
      </c>
      <c r="BK463" s="82" t="str">
        <f t="shared" si="42"/>
        <v>PL10</v>
      </c>
      <c r="BL463" s="53" t="str">
        <f t="shared" si="43"/>
        <v>Thừa 2</v>
      </c>
      <c r="BM463" s="53" t="s">
        <v>148</v>
      </c>
      <c r="BN463" s="53" t="s">
        <v>1004</v>
      </c>
      <c r="BO463" s="53" t="s">
        <v>1005</v>
      </c>
      <c r="BP463" s="53" t="s">
        <v>57</v>
      </c>
      <c r="BQ463" s="53">
        <v>1</v>
      </c>
      <c r="BR463" s="83"/>
      <c r="BS463" s="53"/>
      <c r="BT463" s="53"/>
    </row>
    <row r="464" spans="3:72" ht="14.25" hidden="1" customHeight="1">
      <c r="C464" s="82" t="s">
        <v>13</v>
      </c>
      <c r="D464" s="82" t="s">
        <v>1650</v>
      </c>
      <c r="E464" s="82" t="s">
        <v>1651</v>
      </c>
      <c r="F464" s="82" t="s">
        <v>13</v>
      </c>
      <c r="G464" s="82">
        <v>852</v>
      </c>
      <c r="H464" s="82" t="s">
        <v>147</v>
      </c>
      <c r="I464" s="82">
        <v>2</v>
      </c>
      <c r="J464" s="82">
        <v>9.3000000000000007</v>
      </c>
      <c r="K464" s="82">
        <v>18.600000000000001</v>
      </c>
      <c r="L464" s="26">
        <f t="shared" si="41"/>
        <v>2</v>
      </c>
      <c r="M464" s="26">
        <f t="shared" si="34"/>
        <v>0</v>
      </c>
      <c r="N464" s="26"/>
      <c r="O464" s="26">
        <v>2</v>
      </c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67" t="e">
        <f>SUMIFS([1]Up!$J:$J,[1]Up!$D:$D,D464)</f>
        <v>#VALUE!</v>
      </c>
      <c r="BJ464" s="82"/>
      <c r="BK464" s="82" t="str">
        <f t="shared" si="42"/>
        <v>PL10</v>
      </c>
      <c r="BL464" s="53" t="str">
        <f t="shared" si="43"/>
        <v/>
      </c>
      <c r="BM464" s="53" t="s">
        <v>148</v>
      </c>
      <c r="BN464" s="53" t="s">
        <v>1004</v>
      </c>
      <c r="BO464" s="53" t="s">
        <v>1005</v>
      </c>
      <c r="BP464" s="53" t="s">
        <v>1063</v>
      </c>
      <c r="BQ464" s="53">
        <v>2</v>
      </c>
      <c r="BR464" s="83">
        <v>46088</v>
      </c>
      <c r="BS464" s="53"/>
      <c r="BT464" s="53"/>
    </row>
    <row r="465" spans="3:73" ht="14.25" hidden="1" customHeight="1">
      <c r="C465" s="82" t="s">
        <v>13</v>
      </c>
      <c r="D465" s="82" t="s">
        <v>1652</v>
      </c>
      <c r="E465" s="82" t="s">
        <v>1653</v>
      </c>
      <c r="F465" s="82" t="s">
        <v>13</v>
      </c>
      <c r="G465" s="82">
        <v>275</v>
      </c>
      <c r="H465" s="82" t="s">
        <v>147</v>
      </c>
      <c r="I465" s="82">
        <v>4</v>
      </c>
      <c r="J465" s="82">
        <v>3</v>
      </c>
      <c r="K465" s="82">
        <v>12</v>
      </c>
      <c r="L465" s="26">
        <f t="shared" si="41"/>
        <v>4</v>
      </c>
      <c r="M465" s="26">
        <f t="shared" si="34"/>
        <v>0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>
        <v>4</v>
      </c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67" t="e">
        <f>SUMIFS([1]Up!$J:$J,[1]Up!$D:$D,D465)</f>
        <v>#VALUE!</v>
      </c>
      <c r="BJ465" s="82"/>
      <c r="BK465" s="82" t="str">
        <f t="shared" si="42"/>
        <v>PL16</v>
      </c>
      <c r="BL465" s="53" t="str">
        <f t="shared" si="43"/>
        <v/>
      </c>
      <c r="BM465" s="53" t="s">
        <v>148</v>
      </c>
      <c r="BN465" s="53" t="s">
        <v>987</v>
      </c>
      <c r="BO465" s="53" t="s">
        <v>988</v>
      </c>
      <c r="BP465" s="53" t="s">
        <v>989</v>
      </c>
      <c r="BQ465" s="53">
        <v>4</v>
      </c>
      <c r="BR465" s="83" t="s">
        <v>2222</v>
      </c>
      <c r="BS465" s="53"/>
      <c r="BT465" s="53"/>
    </row>
    <row r="466" spans="3:73" ht="14.25" hidden="1" customHeight="1">
      <c r="C466" s="82" t="s">
        <v>11</v>
      </c>
      <c r="D466" s="82" t="s">
        <v>1654</v>
      </c>
      <c r="E466" s="82" t="s">
        <v>1075</v>
      </c>
      <c r="F466" s="82" t="s">
        <v>1076</v>
      </c>
      <c r="G466" s="82">
        <v>812</v>
      </c>
      <c r="H466" s="82" t="s">
        <v>1077</v>
      </c>
      <c r="I466" s="82">
        <v>4</v>
      </c>
      <c r="J466" s="82">
        <v>13.05696</v>
      </c>
      <c r="K466" s="82">
        <v>52.22784</v>
      </c>
      <c r="L466" s="26">
        <f t="shared" si="41"/>
        <v>2</v>
      </c>
      <c r="M466" s="26">
        <f t="shared" si="34"/>
        <v>2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>
        <v>2</v>
      </c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67" t="e">
        <f>SUMIFS([1]Up!$J:$J,[1]Up!$D:$D,D466)</f>
        <v>#VALUE!</v>
      </c>
      <c r="BJ466" s="82"/>
      <c r="BK466" s="82" t="str">
        <f t="shared" si="42"/>
        <v/>
      </c>
      <c r="BL466" s="53" t="str">
        <f t="shared" si="43"/>
        <v/>
      </c>
      <c r="BM466" s="53" t="s">
        <v>148</v>
      </c>
      <c r="BN466" s="53" t="s">
        <v>1078</v>
      </c>
      <c r="BO466" s="53" t="s">
        <v>1075</v>
      </c>
      <c r="BP466" s="84" t="s">
        <v>2161</v>
      </c>
      <c r="BQ466" s="53">
        <v>8</v>
      </c>
      <c r="BR466" s="83" t="s">
        <v>2224</v>
      </c>
      <c r="BS466" s="53"/>
      <c r="BT466" s="53"/>
      <c r="BU466" s="238"/>
    </row>
    <row r="467" spans="3:73" ht="14.25" hidden="1" customHeight="1">
      <c r="C467" s="82" t="s">
        <v>13</v>
      </c>
      <c r="D467" s="82" t="s">
        <v>1655</v>
      </c>
      <c r="E467" s="82" t="s">
        <v>1194</v>
      </c>
      <c r="F467" s="82" t="s">
        <v>1084</v>
      </c>
      <c r="G467" s="82">
        <v>9403</v>
      </c>
      <c r="H467" s="82" t="s">
        <v>147</v>
      </c>
      <c r="I467" s="82">
        <v>2</v>
      </c>
      <c r="J467" s="82">
        <v>4302.8999999999996</v>
      </c>
      <c r="K467" s="82">
        <v>8605.7999999999993</v>
      </c>
      <c r="L467" s="26">
        <f t="shared" si="41"/>
        <v>2</v>
      </c>
      <c r="M467" s="26">
        <f t="shared" si="34"/>
        <v>0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>
        <f>1+4</f>
        <v>5</v>
      </c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67" t="e">
        <f>SUMIFS([1]Up!$J:$J,[1]Up!$D:$D,D467)</f>
        <v>#VALUE!</v>
      </c>
      <c r="BJ467" s="82" t="s">
        <v>2245</v>
      </c>
      <c r="BK467" s="82" t="str">
        <f t="shared" si="42"/>
        <v>PL10</v>
      </c>
      <c r="BL467" s="53" t="str">
        <f t="shared" si="43"/>
        <v>Thừa 3</v>
      </c>
      <c r="BM467" s="53" t="s">
        <v>154</v>
      </c>
      <c r="BN467" s="53" t="s">
        <v>1004</v>
      </c>
      <c r="BO467" s="53" t="s">
        <v>1005</v>
      </c>
      <c r="BP467" s="53" t="s">
        <v>57</v>
      </c>
      <c r="BQ467" s="53">
        <v>4</v>
      </c>
      <c r="BR467" s="83"/>
      <c r="BS467" s="53"/>
      <c r="BT467" s="53"/>
    </row>
    <row r="468" spans="3:73" ht="14.25" hidden="1" customHeight="1">
      <c r="C468" s="82" t="s">
        <v>13</v>
      </c>
      <c r="D468" s="82" t="s">
        <v>1656</v>
      </c>
      <c r="E468" s="82" t="s">
        <v>1628</v>
      </c>
      <c r="F468" s="82" t="s">
        <v>1296</v>
      </c>
      <c r="G468" s="82">
        <v>400</v>
      </c>
      <c r="H468" s="82" t="s">
        <v>147</v>
      </c>
      <c r="I468" s="82">
        <v>2</v>
      </c>
      <c r="J468" s="82">
        <v>7.5</v>
      </c>
      <c r="K468" s="82">
        <v>15</v>
      </c>
      <c r="L468" s="26">
        <f t="shared" si="41"/>
        <v>2</v>
      </c>
      <c r="M468" s="26">
        <f t="shared" si="34"/>
        <v>0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>
        <v>1</v>
      </c>
      <c r="AU468" s="26"/>
      <c r="AV468" s="26"/>
      <c r="AW468" s="26"/>
      <c r="AX468" s="26"/>
      <c r="AY468" s="26"/>
      <c r="AZ468" s="26"/>
      <c r="BA468" s="26"/>
      <c r="BB468" s="26">
        <v>1</v>
      </c>
      <c r="BC468" s="26"/>
      <c r="BD468" s="26"/>
      <c r="BE468" s="26"/>
      <c r="BF468" s="26"/>
      <c r="BG468" s="26"/>
      <c r="BH468" s="26"/>
      <c r="BI468" s="67" t="e">
        <f>SUMIFS([1]Up!$J:$J,[1]Up!$D:$D,D468)</f>
        <v>#VALUE!</v>
      </c>
      <c r="BJ468" s="82"/>
      <c r="BK468" s="82" t="str">
        <f t="shared" si="42"/>
        <v>PL10</v>
      </c>
      <c r="BL468" s="53" t="str">
        <f t="shared" si="43"/>
        <v/>
      </c>
      <c r="BM468" s="53" t="s">
        <v>148</v>
      </c>
      <c r="BN468" s="53" t="s">
        <v>1004</v>
      </c>
      <c r="BO468" s="53" t="s">
        <v>1005</v>
      </c>
      <c r="BP468" s="84" t="s">
        <v>2156</v>
      </c>
      <c r="BQ468" s="53">
        <v>4</v>
      </c>
      <c r="BR468" s="83">
        <v>46302</v>
      </c>
      <c r="BS468" s="53"/>
      <c r="BT468" s="53"/>
      <c r="BU468" s="238"/>
    </row>
    <row r="469" spans="3:73" ht="14.25" hidden="1" customHeight="1">
      <c r="C469" s="82" t="s">
        <v>13</v>
      </c>
      <c r="D469" s="82" t="s">
        <v>1657</v>
      </c>
      <c r="E469" s="82" t="s">
        <v>1630</v>
      </c>
      <c r="F469" s="82" t="s">
        <v>1296</v>
      </c>
      <c r="G469" s="82">
        <v>390</v>
      </c>
      <c r="H469" s="82" t="s">
        <v>652</v>
      </c>
      <c r="I469" s="82">
        <v>2</v>
      </c>
      <c r="J469" s="82">
        <v>2.1</v>
      </c>
      <c r="K469" s="82">
        <v>4.2</v>
      </c>
      <c r="L469" s="26">
        <f t="shared" si="41"/>
        <v>0</v>
      </c>
      <c r="M469" s="26">
        <f t="shared" si="34"/>
        <v>2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67" t="e">
        <f>SUMIFS([1]Up!$J:$J,[1]Up!$D:$D,D469)</f>
        <v>#VALUE!</v>
      </c>
      <c r="BJ469" s="82"/>
      <c r="BK469" s="82" t="str">
        <f t="shared" si="42"/>
        <v>PL3</v>
      </c>
      <c r="BL469" s="53" t="str">
        <f t="shared" si="43"/>
        <v/>
      </c>
      <c r="BM469" s="53" t="s">
        <v>148</v>
      </c>
      <c r="BN469" s="53" t="s">
        <v>1631</v>
      </c>
      <c r="BO469" s="53" t="s">
        <v>961</v>
      </c>
      <c r="BP469" s="84" t="s">
        <v>2189</v>
      </c>
      <c r="BQ469" s="53">
        <v>4</v>
      </c>
      <c r="BR469" s="83" t="s">
        <v>2224</v>
      </c>
      <c r="BS469" s="53"/>
      <c r="BT469" s="53"/>
      <c r="BU469" s="238"/>
    </row>
    <row r="470" spans="3:73" ht="14.25" hidden="1" customHeight="1">
      <c r="C470" s="82" t="s">
        <v>13</v>
      </c>
      <c r="D470" s="82" t="s">
        <v>1658</v>
      </c>
      <c r="E470" s="82" t="s">
        <v>1651</v>
      </c>
      <c r="F470" s="82" t="s">
        <v>1296</v>
      </c>
      <c r="G470" s="82">
        <v>852</v>
      </c>
      <c r="H470" s="82" t="s">
        <v>147</v>
      </c>
      <c r="I470" s="82">
        <v>4</v>
      </c>
      <c r="J470" s="82">
        <v>9.3000000000000007</v>
      </c>
      <c r="K470" s="82">
        <v>37.200000000000003</v>
      </c>
      <c r="L470" s="26">
        <f t="shared" si="41"/>
        <v>2</v>
      </c>
      <c r="M470" s="26">
        <f t="shared" si="34"/>
        <v>2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>
        <v>2</v>
      </c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67" t="e">
        <f>SUMIFS([1]Up!$J:$J,[1]Up!$D:$D,D470)</f>
        <v>#VALUE!</v>
      </c>
      <c r="BJ470" s="82"/>
      <c r="BK470" s="82" t="str">
        <f t="shared" si="42"/>
        <v>PL10</v>
      </c>
      <c r="BL470" s="53" t="str">
        <f t="shared" si="43"/>
        <v/>
      </c>
      <c r="BM470" s="53" t="s">
        <v>148</v>
      </c>
      <c r="BN470" s="53" t="s">
        <v>1004</v>
      </c>
      <c r="BO470" s="53" t="s">
        <v>1005</v>
      </c>
      <c r="BP470" s="84" t="s">
        <v>2156</v>
      </c>
      <c r="BQ470" s="53">
        <v>8</v>
      </c>
      <c r="BR470" s="83">
        <v>46302</v>
      </c>
      <c r="BS470" s="53"/>
      <c r="BT470" s="53"/>
      <c r="BU470" s="238"/>
    </row>
    <row r="471" spans="3:73" ht="14.25" hidden="1" customHeight="1">
      <c r="C471" s="82" t="s">
        <v>13</v>
      </c>
      <c r="D471" s="82" t="s">
        <v>1659</v>
      </c>
      <c r="E471" s="82" t="s">
        <v>1641</v>
      </c>
      <c r="F471" s="82" t="s">
        <v>1296</v>
      </c>
      <c r="G471" s="82">
        <v>301</v>
      </c>
      <c r="H471" s="82" t="s">
        <v>147</v>
      </c>
      <c r="I471" s="82">
        <v>4</v>
      </c>
      <c r="J471" s="82">
        <v>3</v>
      </c>
      <c r="K471" s="82">
        <v>12</v>
      </c>
      <c r="L471" s="26">
        <f t="shared" si="41"/>
        <v>2</v>
      </c>
      <c r="M471" s="26">
        <f t="shared" si="34"/>
        <v>2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>
        <v>2</v>
      </c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67" t="e">
        <f>SUMIFS([1]Up!$J:$J,[1]Up!$D:$D,D471)</f>
        <v>#VALUE!</v>
      </c>
      <c r="BJ471" s="82"/>
      <c r="BK471" s="82" t="str">
        <f t="shared" si="42"/>
        <v>PL16</v>
      </c>
      <c r="BL471" s="53" t="str">
        <f t="shared" si="43"/>
        <v/>
      </c>
      <c r="BM471" s="53" t="s">
        <v>148</v>
      </c>
      <c r="BN471" s="53" t="s">
        <v>987</v>
      </c>
      <c r="BO471" s="53" t="s">
        <v>988</v>
      </c>
      <c r="BP471" s="84" t="s">
        <v>2160</v>
      </c>
      <c r="BQ471" s="53">
        <v>8</v>
      </c>
      <c r="BR471" s="83" t="s">
        <v>2225</v>
      </c>
      <c r="BS471" s="53"/>
      <c r="BT471" s="53"/>
      <c r="BU471" s="238"/>
    </row>
    <row r="472" spans="3:73" ht="14.25" hidden="1" customHeight="1">
      <c r="C472" s="82" t="s">
        <v>13</v>
      </c>
      <c r="D472" s="82" t="s">
        <v>1660</v>
      </c>
      <c r="E472" s="82" t="s">
        <v>1157</v>
      </c>
      <c r="F472" s="82" t="s">
        <v>1296</v>
      </c>
      <c r="G472" s="82">
        <v>3750</v>
      </c>
      <c r="H472" s="82" t="s">
        <v>147</v>
      </c>
      <c r="I472" s="82">
        <v>4</v>
      </c>
      <c r="J472" s="82">
        <v>141.30000000000001</v>
      </c>
      <c r="K472" s="82">
        <v>565.20000000000005</v>
      </c>
      <c r="L472" s="26">
        <f t="shared" si="41"/>
        <v>2</v>
      </c>
      <c r="M472" s="26">
        <f t="shared" si="34"/>
        <v>2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>
        <v>2</v>
      </c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67" t="e">
        <f>SUMIFS([1]Up!$J:$J,[1]Up!$D:$D,D472)</f>
        <v>#VALUE!</v>
      </c>
      <c r="BJ472" s="82"/>
      <c r="BK472" s="82" t="str">
        <f t="shared" si="42"/>
        <v>PL15</v>
      </c>
      <c r="BL472" s="53" t="str">
        <f t="shared" si="43"/>
        <v/>
      </c>
      <c r="BM472" s="53" t="s">
        <v>148</v>
      </c>
      <c r="BN472" s="53" t="s">
        <v>1093</v>
      </c>
      <c r="BO472" s="53" t="s">
        <v>1094</v>
      </c>
      <c r="BP472" s="84" t="s">
        <v>2155</v>
      </c>
      <c r="BQ472" s="53">
        <v>8</v>
      </c>
      <c r="BR472" s="83" t="s">
        <v>2224</v>
      </c>
      <c r="BS472" s="53"/>
      <c r="BT472" s="53"/>
      <c r="BU472" s="238"/>
    </row>
    <row r="473" spans="3:73" ht="14.25" hidden="1" customHeight="1">
      <c r="C473" s="82" t="s">
        <v>13</v>
      </c>
      <c r="D473" s="82" t="s">
        <v>1661</v>
      </c>
      <c r="E473" s="82" t="s">
        <v>1641</v>
      </c>
      <c r="F473" s="82" t="s">
        <v>1296</v>
      </c>
      <c r="G473" s="82">
        <v>289</v>
      </c>
      <c r="H473" s="82" t="s">
        <v>147</v>
      </c>
      <c r="I473" s="82">
        <v>4</v>
      </c>
      <c r="J473" s="82">
        <v>2.7</v>
      </c>
      <c r="K473" s="82">
        <v>10.8</v>
      </c>
      <c r="L473" s="26">
        <f t="shared" si="41"/>
        <v>2</v>
      </c>
      <c r="M473" s="26">
        <f t="shared" si="34"/>
        <v>2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>
        <v>2</v>
      </c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67" t="e">
        <f>SUMIFS([1]Up!$J:$J,[1]Up!$D:$D,D473)</f>
        <v>#VALUE!</v>
      </c>
      <c r="BJ473" s="82"/>
      <c r="BK473" s="82" t="str">
        <f t="shared" si="42"/>
        <v>PL16</v>
      </c>
      <c r="BL473" s="53" t="str">
        <f t="shared" si="43"/>
        <v/>
      </c>
      <c r="BM473" s="53" t="s">
        <v>148</v>
      </c>
      <c r="BN473" s="53" t="s">
        <v>987</v>
      </c>
      <c r="BO473" s="53" t="s">
        <v>988</v>
      </c>
      <c r="BP473" s="84" t="s">
        <v>2160</v>
      </c>
      <c r="BQ473" s="53">
        <v>8</v>
      </c>
      <c r="BR473" s="83" t="s">
        <v>2225</v>
      </c>
      <c r="BS473" s="53"/>
      <c r="BT473" s="53"/>
      <c r="BU473" s="238"/>
    </row>
    <row r="474" spans="3:73" ht="14.25" hidden="1" customHeight="1">
      <c r="C474" s="82" t="s">
        <v>13</v>
      </c>
      <c r="D474" s="82" t="s">
        <v>1662</v>
      </c>
      <c r="E474" s="82" t="s">
        <v>1123</v>
      </c>
      <c r="F474" s="82" t="s">
        <v>1296</v>
      </c>
      <c r="G474" s="82">
        <v>320</v>
      </c>
      <c r="H474" s="82" t="s">
        <v>147</v>
      </c>
      <c r="I474" s="82">
        <v>2</v>
      </c>
      <c r="J474" s="82">
        <v>7.6</v>
      </c>
      <c r="K474" s="82">
        <v>15.2</v>
      </c>
      <c r="L474" s="26">
        <f t="shared" si="41"/>
        <v>1</v>
      </c>
      <c r="M474" s="26">
        <f t="shared" si="34"/>
        <v>1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>
        <v>1</v>
      </c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67" t="e">
        <f>SUMIFS([1]Up!$J:$J,[1]Up!$D:$D,D474)</f>
        <v>#VALUE!</v>
      </c>
      <c r="BJ474" s="82"/>
      <c r="BK474" s="82" t="str">
        <f t="shared" si="42"/>
        <v>PL20</v>
      </c>
      <c r="BL474" s="53" t="str">
        <f t="shared" si="43"/>
        <v/>
      </c>
      <c r="BM474" s="53" t="s">
        <v>148</v>
      </c>
      <c r="BN474" s="53" t="s">
        <v>1099</v>
      </c>
      <c r="BO474" s="53" t="s">
        <v>1100</v>
      </c>
      <c r="BP474" s="84" t="s">
        <v>2157</v>
      </c>
      <c r="BQ474" s="53">
        <v>4</v>
      </c>
      <c r="BR474" s="83">
        <v>46242</v>
      </c>
      <c r="BS474" s="53"/>
      <c r="BT474" s="53"/>
      <c r="BU474" s="238"/>
    </row>
    <row r="475" spans="3:73" ht="14.25" hidden="1" customHeight="1">
      <c r="C475" s="82" t="s">
        <v>13</v>
      </c>
      <c r="D475" s="82" t="s">
        <v>1663</v>
      </c>
      <c r="E475" s="82" t="s">
        <v>1125</v>
      </c>
      <c r="F475" s="82" t="s">
        <v>1296</v>
      </c>
      <c r="G475" s="82">
        <v>200</v>
      </c>
      <c r="H475" s="82" t="s">
        <v>147</v>
      </c>
      <c r="I475" s="82">
        <v>2</v>
      </c>
      <c r="J475" s="82">
        <v>5.5</v>
      </c>
      <c r="K475" s="82">
        <v>11</v>
      </c>
      <c r="L475" s="26">
        <f t="shared" si="41"/>
        <v>2</v>
      </c>
      <c r="M475" s="26">
        <f t="shared" si="34"/>
        <v>0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>
        <v>1</v>
      </c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>
        <v>1</v>
      </c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67" t="e">
        <f>SUMIFS([1]Up!$J:$J,[1]Up!$D:$D,D475)</f>
        <v>#VALUE!</v>
      </c>
      <c r="BJ475" s="82"/>
      <c r="BK475" s="82" t="str">
        <f t="shared" si="42"/>
        <v>PL15</v>
      </c>
      <c r="BL475" s="53" t="str">
        <f t="shared" si="43"/>
        <v/>
      </c>
      <c r="BM475" s="53" t="s">
        <v>148</v>
      </c>
      <c r="BN475" s="53" t="s">
        <v>1093</v>
      </c>
      <c r="BO475" s="53" t="s">
        <v>1094</v>
      </c>
      <c r="BP475" s="84" t="s">
        <v>2155</v>
      </c>
      <c r="BQ475" s="53">
        <v>4</v>
      </c>
      <c r="BR475" s="83" t="s">
        <v>2224</v>
      </c>
      <c r="BS475" s="53"/>
      <c r="BT475" s="53"/>
      <c r="BU475" s="238"/>
    </row>
    <row r="476" spans="3:73" ht="14.25" hidden="1" customHeight="1">
      <c r="C476" s="82" t="s">
        <v>13</v>
      </c>
      <c r="D476" s="82" t="s">
        <v>1664</v>
      </c>
      <c r="E476" s="82" t="s">
        <v>1665</v>
      </c>
      <c r="F476" s="82" t="s">
        <v>1084</v>
      </c>
      <c r="G476" s="82">
        <v>6061</v>
      </c>
      <c r="H476" s="82" t="s">
        <v>147</v>
      </c>
      <c r="I476" s="82">
        <v>2</v>
      </c>
      <c r="J476" s="82">
        <v>862.7</v>
      </c>
      <c r="K476" s="82">
        <v>1725.4</v>
      </c>
      <c r="L476" s="26">
        <f t="shared" si="41"/>
        <v>2</v>
      </c>
      <c r="M476" s="26">
        <f t="shared" si="34"/>
        <v>0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>
        <v>2</v>
      </c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67" t="e">
        <f>SUMIFS([1]Up!$J:$J,[1]Up!$D:$D,D476)</f>
        <v>#VALUE!</v>
      </c>
      <c r="BJ476" s="82" t="s">
        <v>2073</v>
      </c>
      <c r="BK476" s="82" t="str">
        <f t="shared" si="42"/>
        <v>PL10</v>
      </c>
      <c r="BL476" s="53" t="str">
        <f t="shared" si="43"/>
        <v/>
      </c>
      <c r="BM476" s="53" t="s">
        <v>154</v>
      </c>
      <c r="BN476" s="53" t="s">
        <v>1004</v>
      </c>
      <c r="BO476" s="53" t="s">
        <v>1005</v>
      </c>
      <c r="BP476" s="53" t="s">
        <v>57</v>
      </c>
      <c r="BQ476" s="53">
        <v>4</v>
      </c>
      <c r="BR476" s="83"/>
      <c r="BS476" s="53"/>
      <c r="BT476" s="53"/>
    </row>
    <row r="477" spans="3:73" ht="14.25" hidden="1" customHeight="1">
      <c r="C477" s="82" t="s">
        <v>13</v>
      </c>
      <c r="D477" s="82" t="s">
        <v>1666</v>
      </c>
      <c r="E477" s="82" t="s">
        <v>1649</v>
      </c>
      <c r="F477" s="82" t="s">
        <v>1296</v>
      </c>
      <c r="G477" s="82">
        <v>2260</v>
      </c>
      <c r="H477" s="82" t="s">
        <v>147</v>
      </c>
      <c r="I477" s="82">
        <v>4</v>
      </c>
      <c r="J477" s="82">
        <v>62.4</v>
      </c>
      <c r="K477" s="82">
        <v>249.6</v>
      </c>
      <c r="L477" s="26">
        <f t="shared" si="41"/>
        <v>4</v>
      </c>
      <c r="M477" s="26">
        <f t="shared" si="34"/>
        <v>0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>
        <v>2</v>
      </c>
      <c r="AU477" s="26"/>
      <c r="AV477" s="26"/>
      <c r="AW477" s="26"/>
      <c r="AX477" s="26"/>
      <c r="AY477" s="26"/>
      <c r="AZ477" s="26"/>
      <c r="BA477" s="26">
        <v>4</v>
      </c>
      <c r="BB477" s="26"/>
      <c r="BC477" s="26"/>
      <c r="BD477" s="26"/>
      <c r="BE477" s="26"/>
      <c r="BF477" s="26"/>
      <c r="BG477" s="26"/>
      <c r="BH477" s="26"/>
      <c r="BI477" s="67" t="e">
        <f>SUMIFS([1]Up!$J:$J,[1]Up!$D:$D,D477)</f>
        <v>#VALUE!</v>
      </c>
      <c r="BJ477" s="82" t="s">
        <v>2386</v>
      </c>
      <c r="BK477" s="82" t="str">
        <f t="shared" si="42"/>
        <v>PL10</v>
      </c>
      <c r="BL477" s="53" t="str">
        <f t="shared" si="43"/>
        <v>Thừa 2</v>
      </c>
      <c r="BM477" s="53" t="s">
        <v>148</v>
      </c>
      <c r="BN477" s="53" t="s">
        <v>1004</v>
      </c>
      <c r="BO477" s="53" t="s">
        <v>1005</v>
      </c>
      <c r="BP477" s="53" t="s">
        <v>57</v>
      </c>
      <c r="BQ477" s="53">
        <v>8</v>
      </c>
      <c r="BR477" s="83"/>
      <c r="BS477" s="53"/>
      <c r="BT477" s="53"/>
    </row>
    <row r="478" spans="3:73" ht="14.25" hidden="1" customHeight="1">
      <c r="C478" s="82" t="s">
        <v>13</v>
      </c>
      <c r="D478" s="82" t="s">
        <v>1667</v>
      </c>
      <c r="E478" s="82" t="s">
        <v>1649</v>
      </c>
      <c r="F478" s="82" t="s">
        <v>1296</v>
      </c>
      <c r="G478" s="82">
        <v>2260</v>
      </c>
      <c r="H478" s="82" t="s">
        <v>147</v>
      </c>
      <c r="I478" s="82">
        <v>4</v>
      </c>
      <c r="J478" s="82">
        <v>54.7</v>
      </c>
      <c r="K478" s="82">
        <v>218.8</v>
      </c>
      <c r="L478" s="26">
        <f t="shared" ref="L478:L541" si="45">MIN(SUM(N478:BH478),I478)</f>
        <v>4</v>
      </c>
      <c r="M478" s="26">
        <f t="shared" si="34"/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>
        <v>1</v>
      </c>
      <c r="AU478" s="26"/>
      <c r="AV478" s="26"/>
      <c r="AW478" s="26"/>
      <c r="AX478" s="26"/>
      <c r="AY478" s="26"/>
      <c r="AZ478" s="26"/>
      <c r="BA478" s="26">
        <v>5</v>
      </c>
      <c r="BB478" s="26"/>
      <c r="BC478" s="26"/>
      <c r="BD478" s="26"/>
      <c r="BE478" s="26"/>
      <c r="BF478" s="26"/>
      <c r="BG478" s="26"/>
      <c r="BH478" s="26"/>
      <c r="BI478" s="67" t="e">
        <f>SUMIFS([1]Up!$J:$J,[1]Up!$D:$D,D478)</f>
        <v>#VALUE!</v>
      </c>
      <c r="BJ478" s="82" t="s">
        <v>2387</v>
      </c>
      <c r="BK478" s="82" t="str">
        <f t="shared" ref="BK478:BK541" si="46">IFERROR(IF(C478="Plate",LEFT(E478,FIND("*",E478,1)-1),""),IF(C478="Plate",LEFT(E478,FIND("x",E478,1)-1),""))</f>
        <v>PL10</v>
      </c>
      <c r="BL478" s="53" t="str">
        <f t="shared" ref="BL478:BL541" si="47">IF(ROUND(SUM(N478:BH478)-I478,0)&gt;0,"Thừa "&amp;SUM(N478:BH478)-I478,"")</f>
        <v>Thừa 2</v>
      </c>
      <c r="BM478" s="53" t="s">
        <v>148</v>
      </c>
      <c r="BN478" s="53" t="s">
        <v>1004</v>
      </c>
      <c r="BO478" s="53" t="s">
        <v>1005</v>
      </c>
      <c r="BP478" s="53" t="s">
        <v>57</v>
      </c>
      <c r="BQ478" s="53">
        <v>8</v>
      </c>
      <c r="BR478" s="83"/>
      <c r="BS478" s="53"/>
      <c r="BT478" s="53"/>
    </row>
    <row r="479" spans="3:73" ht="14.25" hidden="1" customHeight="1">
      <c r="C479" s="82" t="s">
        <v>13</v>
      </c>
      <c r="D479" s="82" t="s">
        <v>1668</v>
      </c>
      <c r="E479" s="82" t="s">
        <v>1157</v>
      </c>
      <c r="F479" s="82" t="s">
        <v>1296</v>
      </c>
      <c r="G479" s="82">
        <v>3516</v>
      </c>
      <c r="H479" s="82" t="s">
        <v>147</v>
      </c>
      <c r="I479" s="82">
        <v>4</v>
      </c>
      <c r="J479" s="82">
        <v>132.5</v>
      </c>
      <c r="K479" s="82">
        <v>530</v>
      </c>
      <c r="L479" s="26">
        <f t="shared" si="45"/>
        <v>4</v>
      </c>
      <c r="M479" s="26">
        <f t="shared" si="34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>
        <v>2</v>
      </c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>
        <v>2</v>
      </c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67" t="e">
        <f>SUMIFS([1]Up!$J:$J,[1]Up!$D:$D,D479)</f>
        <v>#VALUE!</v>
      </c>
      <c r="BJ479" s="82"/>
      <c r="BK479" s="82" t="str">
        <f t="shared" si="46"/>
        <v>PL15</v>
      </c>
      <c r="BL479" s="53" t="str">
        <f t="shared" si="47"/>
        <v/>
      </c>
      <c r="BM479" s="53" t="s">
        <v>148</v>
      </c>
      <c r="BN479" s="53" t="s">
        <v>1093</v>
      </c>
      <c r="BO479" s="53" t="s">
        <v>1094</v>
      </c>
      <c r="BP479" s="84" t="s">
        <v>2155</v>
      </c>
      <c r="BQ479" s="53">
        <v>8</v>
      </c>
      <c r="BR479" s="83" t="s">
        <v>2224</v>
      </c>
      <c r="BS479" s="53"/>
      <c r="BT479" s="53"/>
      <c r="BU479" s="238"/>
    </row>
    <row r="480" spans="3:73" ht="14.25" hidden="1" customHeight="1">
      <c r="C480" s="82" t="s">
        <v>13</v>
      </c>
      <c r="D480" s="82" t="s">
        <v>1669</v>
      </c>
      <c r="E480" s="82" t="s">
        <v>1670</v>
      </c>
      <c r="F480" s="82" t="s">
        <v>1296</v>
      </c>
      <c r="G480" s="82">
        <v>2260</v>
      </c>
      <c r="H480" s="82" t="s">
        <v>147</v>
      </c>
      <c r="I480" s="82">
        <v>2</v>
      </c>
      <c r="J480" s="82">
        <v>63.3</v>
      </c>
      <c r="K480" s="82">
        <v>126.6</v>
      </c>
      <c r="L480" s="26">
        <f t="shared" si="45"/>
        <v>2</v>
      </c>
      <c r="M480" s="26">
        <f t="shared" si="34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>
        <v>3</v>
      </c>
      <c r="BB480" s="26"/>
      <c r="BC480" s="26"/>
      <c r="BD480" s="26"/>
      <c r="BE480" s="26"/>
      <c r="BF480" s="26"/>
      <c r="BG480" s="26"/>
      <c r="BH480" s="26"/>
      <c r="BI480" s="67" t="e">
        <f>SUMIFS([1]Up!$J:$J,[1]Up!$D:$D,D480)</f>
        <v>#VALUE!</v>
      </c>
      <c r="BJ480" s="82" t="s">
        <v>2071</v>
      </c>
      <c r="BK480" s="82" t="str">
        <f t="shared" si="46"/>
        <v>PL10</v>
      </c>
      <c r="BL480" s="53" t="str">
        <f t="shared" si="47"/>
        <v>Thừa 1</v>
      </c>
      <c r="BM480" s="53" t="s">
        <v>148</v>
      </c>
      <c r="BN480" s="53" t="s">
        <v>1004</v>
      </c>
      <c r="BO480" s="53" t="s">
        <v>1005</v>
      </c>
      <c r="BP480" s="53" t="s">
        <v>57</v>
      </c>
      <c r="BQ480" s="53">
        <v>4</v>
      </c>
      <c r="BR480" s="83"/>
      <c r="BS480" s="53"/>
      <c r="BT480" s="53"/>
    </row>
    <row r="481" spans="3:73" ht="14.25" hidden="1" customHeight="1">
      <c r="C481" s="82" t="s">
        <v>13</v>
      </c>
      <c r="D481" s="82" t="s">
        <v>1671</v>
      </c>
      <c r="E481" s="82" t="s">
        <v>1622</v>
      </c>
      <c r="F481" s="82" t="s">
        <v>1296</v>
      </c>
      <c r="G481" s="82">
        <v>2450</v>
      </c>
      <c r="H481" s="82" t="s">
        <v>147</v>
      </c>
      <c r="I481" s="82">
        <v>2</v>
      </c>
      <c r="J481" s="82">
        <v>183.9</v>
      </c>
      <c r="K481" s="82">
        <v>367.8</v>
      </c>
      <c r="L481" s="26">
        <f t="shared" si="45"/>
        <v>2</v>
      </c>
      <c r="M481" s="26">
        <f t="shared" si="34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>
        <v>4</v>
      </c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67" t="e">
        <f>SUMIFS([1]Up!$J:$J,[1]Up!$D:$D,D481)</f>
        <v>#VALUE!</v>
      </c>
      <c r="BJ481" s="82" t="s">
        <v>2072</v>
      </c>
      <c r="BK481" s="82" t="str">
        <f t="shared" si="46"/>
        <v>PL20</v>
      </c>
      <c r="BL481" s="53" t="str">
        <f t="shared" si="47"/>
        <v>Thừa 2</v>
      </c>
      <c r="BM481" s="53" t="s">
        <v>148</v>
      </c>
      <c r="BN481" s="53" t="s">
        <v>1099</v>
      </c>
      <c r="BO481" s="53" t="s">
        <v>1100</v>
      </c>
      <c r="BP481" s="53" t="s">
        <v>57</v>
      </c>
      <c r="BQ481" s="53">
        <v>4</v>
      </c>
      <c r="BR481" s="83"/>
      <c r="BS481" s="53"/>
      <c r="BT481" s="53"/>
    </row>
    <row r="482" spans="3:73" ht="14.25" hidden="1" customHeight="1">
      <c r="C482" s="82" t="s">
        <v>13</v>
      </c>
      <c r="D482" s="82" t="s">
        <v>1672</v>
      </c>
      <c r="E482" s="82" t="s">
        <v>1624</v>
      </c>
      <c r="F482" s="82" t="s">
        <v>1296</v>
      </c>
      <c r="G482" s="82">
        <v>2338</v>
      </c>
      <c r="H482" s="82" t="s">
        <v>147</v>
      </c>
      <c r="I482" s="82">
        <v>2</v>
      </c>
      <c r="J482" s="82">
        <v>73.400000000000006</v>
      </c>
      <c r="K482" s="82">
        <v>146.80000000000001</v>
      </c>
      <c r="L482" s="26">
        <f t="shared" si="45"/>
        <v>1</v>
      </c>
      <c r="M482" s="26">
        <f t="shared" si="34"/>
        <v>1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>
        <v>1</v>
      </c>
      <c r="BA482" s="26"/>
      <c r="BB482" s="26"/>
      <c r="BC482" s="26"/>
      <c r="BD482" s="26"/>
      <c r="BE482" s="26"/>
      <c r="BF482" s="26"/>
      <c r="BG482" s="26"/>
      <c r="BH482" s="26"/>
      <c r="BI482" s="67" t="e">
        <f>SUMIFS([1]Up!$J:$J,[1]Up!$D:$D,D482)</f>
        <v>#VALUE!</v>
      </c>
      <c r="BJ482" s="82"/>
      <c r="BK482" s="82" t="str">
        <f t="shared" si="46"/>
        <v>PL10</v>
      </c>
      <c r="BL482" s="53" t="str">
        <f t="shared" si="47"/>
        <v/>
      </c>
      <c r="BM482" s="53" t="s">
        <v>154</v>
      </c>
      <c r="BN482" s="53" t="s">
        <v>1004</v>
      </c>
      <c r="BO482" s="53" t="s">
        <v>1005</v>
      </c>
      <c r="BP482" s="84" t="s">
        <v>2156</v>
      </c>
      <c r="BQ482" s="53">
        <v>4</v>
      </c>
      <c r="BR482" s="83">
        <v>46302</v>
      </c>
      <c r="BS482" s="53"/>
      <c r="BT482" s="53"/>
      <c r="BU482" s="238"/>
    </row>
    <row r="483" spans="3:73" ht="14.25" hidden="1" customHeight="1">
      <c r="C483" s="82" t="s">
        <v>13</v>
      </c>
      <c r="D483" s="82" t="s">
        <v>1673</v>
      </c>
      <c r="E483" s="82" t="s">
        <v>1626</v>
      </c>
      <c r="F483" s="82" t="s">
        <v>1296</v>
      </c>
      <c r="G483" s="82">
        <v>254</v>
      </c>
      <c r="H483" s="82" t="s">
        <v>147</v>
      </c>
      <c r="I483" s="82">
        <v>4</v>
      </c>
      <c r="J483" s="82">
        <v>7.2</v>
      </c>
      <c r="K483" s="82">
        <v>28.8</v>
      </c>
      <c r="L483" s="26">
        <f t="shared" si="45"/>
        <v>2</v>
      </c>
      <c r="M483" s="26">
        <f t="shared" si="34"/>
        <v>2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>
        <v>2</v>
      </c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67" t="e">
        <f>SUMIFS([1]Up!$J:$J,[1]Up!$D:$D,D483)</f>
        <v>#VALUE!</v>
      </c>
      <c r="BJ483" s="82"/>
      <c r="BK483" s="82" t="str">
        <f t="shared" si="46"/>
        <v>PL20</v>
      </c>
      <c r="BL483" s="53" t="str">
        <f t="shared" si="47"/>
        <v/>
      </c>
      <c r="BM483" s="53" t="s">
        <v>148</v>
      </c>
      <c r="BN483" s="53" t="s">
        <v>1099</v>
      </c>
      <c r="BO483" s="53" t="s">
        <v>1100</v>
      </c>
      <c r="BP483" s="84" t="s">
        <v>2157</v>
      </c>
      <c r="BQ483" s="53">
        <v>8</v>
      </c>
      <c r="BR483" s="83">
        <v>46242</v>
      </c>
      <c r="BS483" s="53"/>
      <c r="BT483" s="53"/>
      <c r="BU483" s="238"/>
    </row>
    <row r="484" spans="3:73" ht="14.25" hidden="1" customHeight="1">
      <c r="C484" s="82" t="s">
        <v>11</v>
      </c>
      <c r="D484" s="82" t="s">
        <v>1674</v>
      </c>
      <c r="E484" s="82" t="s">
        <v>1075</v>
      </c>
      <c r="F484" s="82" t="s">
        <v>1010</v>
      </c>
      <c r="G484" s="82">
        <v>812</v>
      </c>
      <c r="H484" s="82" t="s">
        <v>1077</v>
      </c>
      <c r="I484" s="82">
        <v>5</v>
      </c>
      <c r="J484" s="82">
        <v>13.1</v>
      </c>
      <c r="K484" s="82">
        <v>65.5</v>
      </c>
      <c r="L484" s="26">
        <f t="shared" si="45"/>
        <v>5</v>
      </c>
      <c r="M484" s="26">
        <f t="shared" si="34"/>
        <v>0</v>
      </c>
      <c r="N484" s="26"/>
      <c r="O484" s="26"/>
      <c r="P484" s="26"/>
      <c r="Q484" s="26"/>
      <c r="R484" s="26"/>
      <c r="S484" s="26">
        <v>5</v>
      </c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67" t="e">
        <f>SUMIFS([1]Up!$J:$J,[1]Up!$D:$D,D484)</f>
        <v>#VALUE!</v>
      </c>
      <c r="BJ484" s="82"/>
      <c r="BK484" s="82" t="str">
        <f t="shared" si="46"/>
        <v/>
      </c>
      <c r="BL484" s="53" t="str">
        <f t="shared" si="47"/>
        <v/>
      </c>
      <c r="BM484" s="53" t="s">
        <v>148</v>
      </c>
      <c r="BN484" s="53" t="s">
        <v>1078</v>
      </c>
      <c r="BO484" s="53" t="s">
        <v>1075</v>
      </c>
      <c r="BP484" s="53" t="s">
        <v>1289</v>
      </c>
      <c r="BQ484" s="53">
        <v>5</v>
      </c>
      <c r="BR484" s="83">
        <v>46362</v>
      </c>
      <c r="BS484" s="53"/>
      <c r="BT484" s="53"/>
    </row>
    <row r="485" spans="3:73" ht="14.25" hidden="1" customHeight="1">
      <c r="C485" s="82" t="s">
        <v>13</v>
      </c>
      <c r="D485" s="82" t="s">
        <v>1675</v>
      </c>
      <c r="E485" s="82" t="s">
        <v>1676</v>
      </c>
      <c r="F485" s="82" t="s">
        <v>1195</v>
      </c>
      <c r="G485" s="82">
        <v>3797</v>
      </c>
      <c r="H485" s="82" t="s">
        <v>147</v>
      </c>
      <c r="I485" s="82">
        <v>1</v>
      </c>
      <c r="J485" s="82">
        <v>854.3</v>
      </c>
      <c r="K485" s="82">
        <v>854.3</v>
      </c>
      <c r="L485" s="26">
        <f t="shared" si="45"/>
        <v>1</v>
      </c>
      <c r="M485" s="26">
        <f t="shared" si="34"/>
        <v>0</v>
      </c>
      <c r="N485" s="26"/>
      <c r="O485" s="26"/>
      <c r="P485" s="26">
        <v>2</v>
      </c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67" t="e">
        <f>SUMIFS([1]Up!$J:$J,[1]Up!$D:$D,D485)</f>
        <v>#VALUE!</v>
      </c>
      <c r="BJ485" s="82" t="s">
        <v>2073</v>
      </c>
      <c r="BK485" s="82" t="str">
        <f t="shared" si="46"/>
        <v>PL8</v>
      </c>
      <c r="BL485" s="53" t="str">
        <f t="shared" si="47"/>
        <v>Thừa 1</v>
      </c>
      <c r="BM485" s="53" t="s">
        <v>154</v>
      </c>
      <c r="BN485" s="53" t="s">
        <v>1011</v>
      </c>
      <c r="BO485" s="53" t="s">
        <v>1012</v>
      </c>
      <c r="BP485" s="53" t="s">
        <v>57</v>
      </c>
      <c r="BQ485" s="53">
        <v>1</v>
      </c>
      <c r="BR485" s="83"/>
      <c r="BS485" s="53"/>
      <c r="BT485" s="53"/>
    </row>
    <row r="486" spans="3:73" ht="14.25" hidden="1" customHeight="1">
      <c r="C486" s="82" t="s">
        <v>13</v>
      </c>
      <c r="D486" s="82" t="s">
        <v>1677</v>
      </c>
      <c r="E486" s="82" t="s">
        <v>1254</v>
      </c>
      <c r="F486" s="82" t="s">
        <v>13</v>
      </c>
      <c r="G486" s="82">
        <v>520</v>
      </c>
      <c r="H486" s="82" t="s">
        <v>147</v>
      </c>
      <c r="I486" s="82">
        <v>2</v>
      </c>
      <c r="J486" s="82">
        <v>7.8</v>
      </c>
      <c r="K486" s="82">
        <v>15.6</v>
      </c>
      <c r="L486" s="26">
        <f t="shared" si="45"/>
        <v>2</v>
      </c>
      <c r="M486" s="26">
        <f t="shared" si="34"/>
        <v>0</v>
      </c>
      <c r="N486" s="26">
        <v>2</v>
      </c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67" t="e">
        <f>SUMIFS([1]Up!$J:$J,[1]Up!$D:$D,D486)</f>
        <v>#VALUE!</v>
      </c>
      <c r="BJ486" s="82"/>
      <c r="BK486" s="82" t="str">
        <f t="shared" si="46"/>
        <v>PL15</v>
      </c>
      <c r="BL486" s="53" t="str">
        <f t="shared" si="47"/>
        <v/>
      </c>
      <c r="BM486" s="53" t="s">
        <v>148</v>
      </c>
      <c r="BN486" s="53" t="s">
        <v>1093</v>
      </c>
      <c r="BO486" s="53" t="s">
        <v>1094</v>
      </c>
      <c r="BP486" s="53" t="s">
        <v>1303</v>
      </c>
      <c r="BQ486" s="53">
        <v>2</v>
      </c>
      <c r="BR486" s="83">
        <v>46088</v>
      </c>
      <c r="BS486" s="53"/>
      <c r="BT486" s="53"/>
    </row>
    <row r="487" spans="3:73" ht="14.25" hidden="1" customHeight="1">
      <c r="C487" s="82" t="s">
        <v>13</v>
      </c>
      <c r="D487" s="82" t="s">
        <v>1678</v>
      </c>
      <c r="E487" s="82" t="s">
        <v>1157</v>
      </c>
      <c r="F487" s="82" t="s">
        <v>13</v>
      </c>
      <c r="G487" s="82">
        <v>11512</v>
      </c>
      <c r="H487" s="82" t="s">
        <v>147</v>
      </c>
      <c r="I487" s="82">
        <v>2</v>
      </c>
      <c r="J487" s="82">
        <v>433.8</v>
      </c>
      <c r="K487" s="82">
        <v>867.6</v>
      </c>
      <c r="L487" s="26">
        <f t="shared" si="45"/>
        <v>2</v>
      </c>
      <c r="M487" s="26">
        <f t="shared" si="34"/>
        <v>0</v>
      </c>
      <c r="N487" s="26"/>
      <c r="O487" s="26"/>
      <c r="P487" s="26"/>
      <c r="Q487" s="26"/>
      <c r="R487" s="26">
        <v>2</v>
      </c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67" t="e">
        <f>SUMIFS([1]Up!$J:$J,[1]Up!$D:$D,D487)</f>
        <v>#VALUE!</v>
      </c>
      <c r="BJ487" s="82"/>
      <c r="BK487" s="82" t="str">
        <f t="shared" si="46"/>
        <v>PL15</v>
      </c>
      <c r="BL487" s="53" t="str">
        <f t="shared" si="47"/>
        <v/>
      </c>
      <c r="BM487" s="53" t="s">
        <v>148</v>
      </c>
      <c r="BN487" s="53" t="s">
        <v>1093</v>
      </c>
      <c r="BO487" s="53" t="s">
        <v>1094</v>
      </c>
      <c r="BP487" s="53" t="s">
        <v>1303</v>
      </c>
      <c r="BQ487" s="53">
        <v>2</v>
      </c>
      <c r="BR487" s="83">
        <v>46088</v>
      </c>
      <c r="BS487" s="53"/>
      <c r="BT487" s="53"/>
    </row>
    <row r="488" spans="3:73" ht="14.25" hidden="1" customHeight="1">
      <c r="C488" s="82" t="s">
        <v>13</v>
      </c>
      <c r="D488" s="82" t="s">
        <v>1679</v>
      </c>
      <c r="E488" s="82" t="s">
        <v>1680</v>
      </c>
      <c r="F488" s="82" t="s">
        <v>13</v>
      </c>
      <c r="G488" s="82">
        <v>174</v>
      </c>
      <c r="H488" s="82" t="s">
        <v>147</v>
      </c>
      <c r="I488" s="82">
        <v>4</v>
      </c>
      <c r="J488" s="82">
        <v>1.3</v>
      </c>
      <c r="K488" s="82">
        <v>5.2</v>
      </c>
      <c r="L488" s="26">
        <f t="shared" si="45"/>
        <v>4</v>
      </c>
      <c r="M488" s="26">
        <f t="shared" si="34"/>
        <v>0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>
        <v>4</v>
      </c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67" t="e">
        <f>SUMIFS([1]Up!$J:$J,[1]Up!$D:$D,D488)</f>
        <v>#VALUE!</v>
      </c>
      <c r="BJ488" s="82"/>
      <c r="BK488" s="82" t="str">
        <f t="shared" si="46"/>
        <v>PL16</v>
      </c>
      <c r="BL488" s="53" t="str">
        <f t="shared" si="47"/>
        <v/>
      </c>
      <c r="BM488" s="53" t="s">
        <v>148</v>
      </c>
      <c r="BN488" s="53" t="s">
        <v>987</v>
      </c>
      <c r="BO488" s="53" t="s">
        <v>988</v>
      </c>
      <c r="BP488" s="53" t="s">
        <v>989</v>
      </c>
      <c r="BQ488" s="53">
        <v>4</v>
      </c>
      <c r="BR488" s="83" t="s">
        <v>2222</v>
      </c>
      <c r="BS488" s="53"/>
      <c r="BT488" s="53"/>
    </row>
    <row r="489" spans="3:73" ht="14.25" hidden="1" customHeight="1">
      <c r="C489" s="82" t="s">
        <v>13</v>
      </c>
      <c r="D489" s="82" t="s">
        <v>1681</v>
      </c>
      <c r="E489" s="82" t="s">
        <v>1680</v>
      </c>
      <c r="F489" s="82" t="s">
        <v>13</v>
      </c>
      <c r="G489" s="82">
        <v>182</v>
      </c>
      <c r="H489" s="82" t="s">
        <v>147</v>
      </c>
      <c r="I489" s="82">
        <v>2</v>
      </c>
      <c r="J489" s="82">
        <v>1.4</v>
      </c>
      <c r="K489" s="82">
        <v>2.8</v>
      </c>
      <c r="L489" s="26">
        <f t="shared" si="45"/>
        <v>2</v>
      </c>
      <c r="M489" s="26">
        <f t="shared" si="34"/>
        <v>0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>
        <v>2</v>
      </c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67" t="e">
        <f>SUMIFS([1]Up!$J:$J,[1]Up!$D:$D,D489)</f>
        <v>#VALUE!</v>
      </c>
      <c r="BJ489" s="82"/>
      <c r="BK489" s="82" t="str">
        <f t="shared" si="46"/>
        <v>PL16</v>
      </c>
      <c r="BL489" s="53" t="str">
        <f t="shared" si="47"/>
        <v/>
      </c>
      <c r="BM489" s="53" t="s">
        <v>148</v>
      </c>
      <c r="BN489" s="53" t="s">
        <v>987</v>
      </c>
      <c r="BO489" s="53" t="s">
        <v>988</v>
      </c>
      <c r="BP489" s="53" t="s">
        <v>989</v>
      </c>
      <c r="BQ489" s="53">
        <v>2</v>
      </c>
      <c r="BR489" s="83" t="s">
        <v>2222</v>
      </c>
      <c r="BS489" s="53"/>
      <c r="BT489" s="53"/>
    </row>
    <row r="490" spans="3:73" ht="14.25" hidden="1" customHeight="1">
      <c r="C490" s="82" t="s">
        <v>13</v>
      </c>
      <c r="D490" s="82" t="s">
        <v>1682</v>
      </c>
      <c r="E490" s="82" t="s">
        <v>1683</v>
      </c>
      <c r="F490" s="82" t="s">
        <v>13</v>
      </c>
      <c r="G490" s="82">
        <v>301</v>
      </c>
      <c r="H490" s="82" t="s">
        <v>147</v>
      </c>
      <c r="I490" s="82">
        <v>4</v>
      </c>
      <c r="J490" s="82">
        <v>3</v>
      </c>
      <c r="K490" s="82">
        <v>12</v>
      </c>
      <c r="L490" s="26">
        <f t="shared" si="45"/>
        <v>4</v>
      </c>
      <c r="M490" s="26">
        <f t="shared" si="34"/>
        <v>0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>
        <v>4</v>
      </c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67" t="e">
        <f>SUMIFS([1]Up!$J:$J,[1]Up!$D:$D,D490)</f>
        <v>#VALUE!</v>
      </c>
      <c r="BJ490" s="82"/>
      <c r="BK490" s="82" t="str">
        <f t="shared" si="46"/>
        <v>PL16</v>
      </c>
      <c r="BL490" s="53" t="str">
        <f t="shared" si="47"/>
        <v/>
      </c>
      <c r="BM490" s="53" t="s">
        <v>148</v>
      </c>
      <c r="BN490" s="53" t="s">
        <v>987</v>
      </c>
      <c r="BO490" s="53" t="s">
        <v>988</v>
      </c>
      <c r="BP490" s="53" t="s">
        <v>989</v>
      </c>
      <c r="BQ490" s="53">
        <v>4</v>
      </c>
      <c r="BR490" s="83" t="s">
        <v>2222</v>
      </c>
      <c r="BS490" s="53"/>
      <c r="BT490" s="53"/>
    </row>
    <row r="491" spans="3:73" ht="14.25" hidden="1" customHeight="1">
      <c r="C491" s="82" t="s">
        <v>13</v>
      </c>
      <c r="D491" s="82" t="s">
        <v>1684</v>
      </c>
      <c r="E491" s="82" t="s">
        <v>1222</v>
      </c>
      <c r="F491" s="82" t="s">
        <v>13</v>
      </c>
      <c r="G491" s="82">
        <v>516</v>
      </c>
      <c r="H491" s="82" t="s">
        <v>147</v>
      </c>
      <c r="I491" s="82">
        <v>1</v>
      </c>
      <c r="J491" s="82">
        <v>13.2</v>
      </c>
      <c r="K491" s="82">
        <v>13.2</v>
      </c>
      <c r="L491" s="26">
        <f t="shared" si="45"/>
        <v>1</v>
      </c>
      <c r="M491" s="26">
        <f t="shared" si="34"/>
        <v>0</v>
      </c>
      <c r="N491" s="26"/>
      <c r="O491" s="26"/>
      <c r="P491" s="26"/>
      <c r="Q491" s="26"/>
      <c r="R491" s="26">
        <v>1</v>
      </c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67" t="e">
        <f>SUMIFS([1]Up!$J:$J,[1]Up!$D:$D,D491)</f>
        <v>#VALUE!</v>
      </c>
      <c r="BJ491" s="82"/>
      <c r="BK491" s="82" t="str">
        <f t="shared" si="46"/>
        <v>PL15</v>
      </c>
      <c r="BL491" s="53" t="str">
        <f t="shared" si="47"/>
        <v/>
      </c>
      <c r="BM491" s="53" t="s">
        <v>148</v>
      </c>
      <c r="BN491" s="53" t="s">
        <v>1093</v>
      </c>
      <c r="BO491" s="53" t="s">
        <v>1094</v>
      </c>
      <c r="BP491" s="53" t="s">
        <v>1303</v>
      </c>
      <c r="BQ491" s="53">
        <v>1</v>
      </c>
      <c r="BR491" s="83">
        <v>46088</v>
      </c>
      <c r="BS491" s="53"/>
      <c r="BT491" s="53"/>
    </row>
    <row r="492" spans="3:73" ht="14.25" hidden="1" customHeight="1">
      <c r="C492" s="82" t="s">
        <v>13</v>
      </c>
      <c r="D492" s="82" t="s">
        <v>1685</v>
      </c>
      <c r="E492" s="82" t="s">
        <v>1123</v>
      </c>
      <c r="F492" s="82" t="s">
        <v>1210</v>
      </c>
      <c r="G492" s="82">
        <v>320</v>
      </c>
      <c r="H492" s="82" t="s">
        <v>147</v>
      </c>
      <c r="I492" s="82">
        <v>2</v>
      </c>
      <c r="J492" s="82">
        <v>7.6</v>
      </c>
      <c r="K492" s="82">
        <v>15.2</v>
      </c>
      <c r="L492" s="26">
        <f t="shared" si="45"/>
        <v>2</v>
      </c>
      <c r="M492" s="26">
        <f t="shared" si="34"/>
        <v>0</v>
      </c>
      <c r="N492" s="26"/>
      <c r="O492" s="26"/>
      <c r="P492" s="26"/>
      <c r="Q492" s="26"/>
      <c r="R492" s="26"/>
      <c r="S492" s="26">
        <v>2</v>
      </c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67" t="e">
        <f>SUMIFS([1]Up!$J:$J,[1]Up!$D:$D,D492)</f>
        <v>#VALUE!</v>
      </c>
      <c r="BJ492" s="82"/>
      <c r="BK492" s="82" t="str">
        <f t="shared" si="46"/>
        <v>PL20</v>
      </c>
      <c r="BL492" s="53" t="str">
        <f t="shared" si="47"/>
        <v/>
      </c>
      <c r="BM492" s="53" t="s">
        <v>148</v>
      </c>
      <c r="BN492" s="53" t="s">
        <v>1099</v>
      </c>
      <c r="BO492" s="53" t="s">
        <v>1100</v>
      </c>
      <c r="BP492" s="53" t="s">
        <v>1307</v>
      </c>
      <c r="BQ492" s="53">
        <v>2</v>
      </c>
      <c r="BR492" s="83">
        <v>46242</v>
      </c>
      <c r="BS492" s="53"/>
      <c r="BT492" s="53"/>
    </row>
    <row r="493" spans="3:73" ht="14.25" hidden="1" customHeight="1">
      <c r="C493" s="82" t="s">
        <v>13</v>
      </c>
      <c r="D493" s="82" t="s">
        <v>1686</v>
      </c>
      <c r="E493" s="82" t="s">
        <v>1125</v>
      </c>
      <c r="F493" s="82" t="s">
        <v>1212</v>
      </c>
      <c r="G493" s="82">
        <v>220</v>
      </c>
      <c r="H493" s="82" t="s">
        <v>147</v>
      </c>
      <c r="I493" s="82">
        <v>2</v>
      </c>
      <c r="J493" s="82">
        <v>2.6</v>
      </c>
      <c r="K493" s="82">
        <v>5.2</v>
      </c>
      <c r="L493" s="26">
        <f t="shared" si="45"/>
        <v>2</v>
      </c>
      <c r="M493" s="26">
        <f t="shared" si="34"/>
        <v>0</v>
      </c>
      <c r="N493" s="26"/>
      <c r="O493" s="26"/>
      <c r="P493" s="26"/>
      <c r="Q493" s="26"/>
      <c r="R493" s="26">
        <v>2</v>
      </c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67" t="e">
        <f>SUMIFS([1]Up!$J:$J,[1]Up!$D:$D,D493)</f>
        <v>#VALUE!</v>
      </c>
      <c r="BJ493" s="82"/>
      <c r="BK493" s="82" t="str">
        <f t="shared" si="46"/>
        <v>PL15</v>
      </c>
      <c r="BL493" s="53" t="str">
        <f t="shared" si="47"/>
        <v/>
      </c>
      <c r="BM493" s="53" t="s">
        <v>148</v>
      </c>
      <c r="BN493" s="53" t="s">
        <v>1093</v>
      </c>
      <c r="BO493" s="53" t="s">
        <v>1094</v>
      </c>
      <c r="BP493" s="53" t="s">
        <v>1303</v>
      </c>
      <c r="BQ493" s="53">
        <v>2</v>
      </c>
      <c r="BR493" s="83">
        <v>46088</v>
      </c>
      <c r="BS493" s="53"/>
      <c r="BT493" s="53"/>
    </row>
    <row r="494" spans="3:73" ht="14.25" hidden="1" customHeight="1">
      <c r="C494" s="82" t="s">
        <v>13</v>
      </c>
      <c r="D494" s="82" t="s">
        <v>1687</v>
      </c>
      <c r="E494" s="82" t="s">
        <v>1688</v>
      </c>
      <c r="F494" s="82" t="s">
        <v>1195</v>
      </c>
      <c r="G494" s="82">
        <v>5291</v>
      </c>
      <c r="H494" s="82" t="s">
        <v>147</v>
      </c>
      <c r="I494" s="82">
        <v>1</v>
      </c>
      <c r="J494" s="82">
        <v>1214.4000000000001</v>
      </c>
      <c r="K494" s="82">
        <v>1214.4000000000001</v>
      </c>
      <c r="L494" s="26">
        <f t="shared" si="45"/>
        <v>1</v>
      </c>
      <c r="M494" s="26">
        <f t="shared" si="34"/>
        <v>0</v>
      </c>
      <c r="N494" s="26"/>
      <c r="O494" s="26"/>
      <c r="P494" s="26"/>
      <c r="Q494" s="26"/>
      <c r="R494" s="26"/>
      <c r="S494" s="26"/>
      <c r="T494" s="26"/>
      <c r="U494" s="26">
        <v>2</v>
      </c>
      <c r="V494" s="26"/>
      <c r="W494" s="26"/>
      <c r="X494" s="26"/>
      <c r="Y494" s="26"/>
      <c r="Z494" s="26">
        <v>1</v>
      </c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67" t="e">
        <f>SUMIFS([1]Up!$J:$J,[1]Up!$D:$D,D494)</f>
        <v>#VALUE!</v>
      </c>
      <c r="BJ494" s="82" t="s">
        <v>2085</v>
      </c>
      <c r="BK494" s="82" t="str">
        <f t="shared" si="46"/>
        <v>PL10</v>
      </c>
      <c r="BL494" s="53" t="str">
        <f t="shared" si="47"/>
        <v>Thừa 2</v>
      </c>
      <c r="BM494" s="53" t="s">
        <v>154</v>
      </c>
      <c r="BN494" s="53" t="s">
        <v>1004</v>
      </c>
      <c r="BO494" s="53" t="s">
        <v>1005</v>
      </c>
      <c r="BP494" s="53" t="s">
        <v>57</v>
      </c>
      <c r="BQ494" s="53">
        <v>1</v>
      </c>
      <c r="BR494" s="83"/>
      <c r="BS494" s="53"/>
      <c r="BT494" s="53"/>
    </row>
    <row r="495" spans="3:73" ht="14.25" hidden="1" customHeight="1">
      <c r="C495" s="82" t="s">
        <v>13</v>
      </c>
      <c r="D495" s="82" t="s">
        <v>1689</v>
      </c>
      <c r="E495" s="82" t="s">
        <v>1690</v>
      </c>
      <c r="F495" s="82" t="s">
        <v>1195</v>
      </c>
      <c r="G495" s="82">
        <v>5462</v>
      </c>
      <c r="H495" s="82" t="s">
        <v>147</v>
      </c>
      <c r="I495" s="82">
        <v>1</v>
      </c>
      <c r="J495" s="82">
        <v>1828.4</v>
      </c>
      <c r="K495" s="82">
        <v>1828.4</v>
      </c>
      <c r="L495" s="26">
        <f t="shared" si="45"/>
        <v>1</v>
      </c>
      <c r="M495" s="26">
        <f t="shared" si="34"/>
        <v>0</v>
      </c>
      <c r="N495" s="26"/>
      <c r="O495" s="26"/>
      <c r="P495" s="26">
        <v>3</v>
      </c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67" t="e">
        <f>SUMIFS([1]Up!$J:$J,[1]Up!$D:$D,D495)</f>
        <v>#VALUE!</v>
      </c>
      <c r="BJ495" s="82" t="s">
        <v>2071</v>
      </c>
      <c r="BK495" s="82" t="str">
        <f t="shared" si="46"/>
        <v>PL10</v>
      </c>
      <c r="BL495" s="53" t="str">
        <f t="shared" si="47"/>
        <v>Thừa 2</v>
      </c>
      <c r="BM495" s="53" t="s">
        <v>154</v>
      </c>
      <c r="BN495" s="53" t="s">
        <v>1004</v>
      </c>
      <c r="BO495" s="53" t="s">
        <v>1005</v>
      </c>
      <c r="BP495" s="53" t="s">
        <v>57</v>
      </c>
      <c r="BQ495" s="53">
        <v>1</v>
      </c>
      <c r="BR495" s="83"/>
      <c r="BS495" s="53"/>
      <c r="BT495" s="53"/>
    </row>
    <row r="496" spans="3:73" ht="14.25" hidden="1" customHeight="1">
      <c r="C496" s="82" t="s">
        <v>13</v>
      </c>
      <c r="D496" s="82" t="s">
        <v>1691</v>
      </c>
      <c r="E496" s="82" t="s">
        <v>1692</v>
      </c>
      <c r="F496" s="82" t="s">
        <v>1204</v>
      </c>
      <c r="G496" s="82">
        <v>1616</v>
      </c>
      <c r="H496" s="82" t="s">
        <v>147</v>
      </c>
      <c r="I496" s="82">
        <v>2</v>
      </c>
      <c r="J496" s="82">
        <v>27.4</v>
      </c>
      <c r="K496" s="82">
        <v>54.8</v>
      </c>
      <c r="L496" s="26">
        <f t="shared" si="45"/>
        <v>2</v>
      </c>
      <c r="M496" s="26">
        <f t="shared" si="34"/>
        <v>0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>
        <v>4</v>
      </c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67" t="e">
        <f>SUMIFS([1]Up!$J:$J,[1]Up!$D:$D,D496)</f>
        <v>#VALUE!</v>
      </c>
      <c r="BJ496" s="82" t="s">
        <v>2081</v>
      </c>
      <c r="BK496" s="82" t="str">
        <f t="shared" si="46"/>
        <v>PL8</v>
      </c>
      <c r="BL496" s="53" t="str">
        <f t="shared" si="47"/>
        <v>Thừa 2</v>
      </c>
      <c r="BM496" s="53" t="s">
        <v>148</v>
      </c>
      <c r="BN496" s="53" t="s">
        <v>1011</v>
      </c>
      <c r="BO496" s="53" t="s">
        <v>1012</v>
      </c>
      <c r="BP496" s="53" t="s">
        <v>57</v>
      </c>
      <c r="BQ496" s="53">
        <v>2</v>
      </c>
      <c r="BR496" s="83"/>
      <c r="BS496" s="53"/>
      <c r="BT496" s="53"/>
    </row>
    <row r="497" spans="3:73" ht="14.25" hidden="1" customHeight="1">
      <c r="C497" s="82" t="s">
        <v>13</v>
      </c>
      <c r="D497" s="82" t="s">
        <v>1693</v>
      </c>
      <c r="E497" s="82" t="s">
        <v>1692</v>
      </c>
      <c r="F497" s="82" t="s">
        <v>1204</v>
      </c>
      <c r="G497" s="82">
        <v>1616</v>
      </c>
      <c r="H497" s="82" t="s">
        <v>147</v>
      </c>
      <c r="I497" s="82">
        <v>1</v>
      </c>
      <c r="J497" s="82">
        <v>24.2</v>
      </c>
      <c r="K497" s="82">
        <v>24.2</v>
      </c>
      <c r="L497" s="26">
        <f t="shared" si="45"/>
        <v>1</v>
      </c>
      <c r="M497" s="26">
        <f t="shared" si="34"/>
        <v>0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>
        <v>2</v>
      </c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67" t="e">
        <f>SUMIFS([1]Up!$J:$J,[1]Up!$D:$D,D497)</f>
        <v>#VALUE!</v>
      </c>
      <c r="BJ497" s="82" t="s">
        <v>2073</v>
      </c>
      <c r="BK497" s="82" t="str">
        <f t="shared" si="46"/>
        <v>PL8</v>
      </c>
      <c r="BL497" s="53" t="str">
        <f t="shared" si="47"/>
        <v>Thừa 1</v>
      </c>
      <c r="BM497" s="53" t="s">
        <v>148</v>
      </c>
      <c r="BN497" s="53" t="s">
        <v>1011</v>
      </c>
      <c r="BO497" s="53" t="s">
        <v>1012</v>
      </c>
      <c r="BP497" s="53" t="s">
        <v>57</v>
      </c>
      <c r="BQ497" s="53">
        <v>1</v>
      </c>
      <c r="BR497" s="83"/>
      <c r="BS497" s="53"/>
      <c r="BT497" s="53"/>
    </row>
    <row r="498" spans="3:73" ht="14.25" hidden="1" customHeight="1">
      <c r="C498" s="82" t="s">
        <v>13</v>
      </c>
      <c r="D498" s="82" t="s">
        <v>1694</v>
      </c>
      <c r="E498" s="82" t="s">
        <v>1649</v>
      </c>
      <c r="F498" s="82" t="s">
        <v>1204</v>
      </c>
      <c r="G498" s="82">
        <v>2260</v>
      </c>
      <c r="H498" s="82" t="s">
        <v>147</v>
      </c>
      <c r="I498" s="82">
        <v>1</v>
      </c>
      <c r="J498" s="82">
        <v>62.4</v>
      </c>
      <c r="K498" s="82">
        <v>62.4</v>
      </c>
      <c r="L498" s="26">
        <f t="shared" si="45"/>
        <v>1</v>
      </c>
      <c r="M498" s="26">
        <f t="shared" si="34"/>
        <v>0</v>
      </c>
      <c r="N498" s="26"/>
      <c r="O498" s="26"/>
      <c r="P498" s="26"/>
      <c r="Q498" s="26">
        <v>3</v>
      </c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67" t="e">
        <f>SUMIFS([1]Up!$J:$J,[1]Up!$D:$D,D498)</f>
        <v>#VALUE!</v>
      </c>
      <c r="BJ498" s="82" t="s">
        <v>2071</v>
      </c>
      <c r="BK498" s="82" t="str">
        <f t="shared" si="46"/>
        <v>PL10</v>
      </c>
      <c r="BL498" s="53" t="str">
        <f t="shared" si="47"/>
        <v>Thừa 2</v>
      </c>
      <c r="BM498" s="53" t="s">
        <v>148</v>
      </c>
      <c r="BN498" s="53" t="s">
        <v>1004</v>
      </c>
      <c r="BO498" s="53" t="s">
        <v>1005</v>
      </c>
      <c r="BP498" s="53" t="s">
        <v>57</v>
      </c>
      <c r="BQ498" s="53">
        <v>1</v>
      </c>
      <c r="BR498" s="83"/>
      <c r="BS498" s="53"/>
      <c r="BT498" s="53"/>
    </row>
    <row r="499" spans="3:73" ht="14.25" hidden="1" customHeight="1">
      <c r="C499" s="82" t="s">
        <v>13</v>
      </c>
      <c r="D499" s="82" t="s">
        <v>1695</v>
      </c>
      <c r="E499" s="82" t="s">
        <v>1649</v>
      </c>
      <c r="F499" s="82" t="s">
        <v>1204</v>
      </c>
      <c r="G499" s="82">
        <v>2260</v>
      </c>
      <c r="H499" s="82" t="s">
        <v>147</v>
      </c>
      <c r="I499" s="82">
        <v>1</v>
      </c>
      <c r="J499" s="82">
        <v>54.6</v>
      </c>
      <c r="K499" s="82">
        <v>54.6</v>
      </c>
      <c r="L499" s="26">
        <f t="shared" si="45"/>
        <v>1</v>
      </c>
      <c r="M499" s="26">
        <f t="shared" si="34"/>
        <v>0</v>
      </c>
      <c r="N499" s="26"/>
      <c r="O499" s="26"/>
      <c r="P499" s="26"/>
      <c r="Q499" s="26">
        <v>3</v>
      </c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67" t="e">
        <f>SUMIFS([1]Up!$J:$J,[1]Up!$D:$D,D499)</f>
        <v>#VALUE!</v>
      </c>
      <c r="BJ499" s="82" t="s">
        <v>2071</v>
      </c>
      <c r="BK499" s="82" t="str">
        <f t="shared" si="46"/>
        <v>PL10</v>
      </c>
      <c r="BL499" s="53" t="str">
        <f t="shared" si="47"/>
        <v>Thừa 2</v>
      </c>
      <c r="BM499" s="53" t="s">
        <v>148</v>
      </c>
      <c r="BN499" s="53" t="s">
        <v>1004</v>
      </c>
      <c r="BO499" s="53" t="s">
        <v>1005</v>
      </c>
      <c r="BP499" s="53" t="s">
        <v>57</v>
      </c>
      <c r="BQ499" s="53">
        <v>1</v>
      </c>
      <c r="BR499" s="83"/>
      <c r="BS499" s="53"/>
      <c r="BT499" s="53"/>
    </row>
    <row r="500" spans="3:73" ht="14.25" hidden="1" customHeight="1">
      <c r="C500" s="82" t="s">
        <v>13</v>
      </c>
      <c r="D500" s="82" t="s">
        <v>1696</v>
      </c>
      <c r="E500" s="82" t="s">
        <v>1697</v>
      </c>
      <c r="F500" s="82" t="s">
        <v>1204</v>
      </c>
      <c r="G500" s="82">
        <v>2825</v>
      </c>
      <c r="H500" s="82" t="s">
        <v>147</v>
      </c>
      <c r="I500" s="82">
        <v>1</v>
      </c>
      <c r="J500" s="82">
        <v>63.9</v>
      </c>
      <c r="K500" s="82">
        <v>63.9</v>
      </c>
      <c r="L500" s="26">
        <f t="shared" si="45"/>
        <v>1</v>
      </c>
      <c r="M500" s="26">
        <f t="shared" si="34"/>
        <v>0</v>
      </c>
      <c r="N500" s="26"/>
      <c r="O500" s="26"/>
      <c r="P500" s="26"/>
      <c r="Q500" s="26">
        <v>2</v>
      </c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67" t="e">
        <f>SUMIFS([1]Up!$J:$J,[1]Up!$D:$D,D500)</f>
        <v>#VALUE!</v>
      </c>
      <c r="BJ500" s="82" t="s">
        <v>2073</v>
      </c>
      <c r="BK500" s="82" t="str">
        <f t="shared" si="46"/>
        <v>PL10</v>
      </c>
      <c r="BL500" s="53" t="str">
        <f t="shared" si="47"/>
        <v>Thừa 1</v>
      </c>
      <c r="BM500" s="53" t="s">
        <v>148</v>
      </c>
      <c r="BN500" s="53" t="s">
        <v>1004</v>
      </c>
      <c r="BO500" s="53" t="s">
        <v>1005</v>
      </c>
      <c r="BP500" s="53" t="s">
        <v>57</v>
      </c>
      <c r="BQ500" s="53">
        <v>1</v>
      </c>
      <c r="BR500" s="83"/>
      <c r="BS500" s="53"/>
      <c r="BT500" s="53"/>
    </row>
    <row r="501" spans="3:73" ht="14.25" hidden="1" customHeight="1">
      <c r="C501" s="82" t="s">
        <v>13</v>
      </c>
      <c r="D501" s="82" t="s">
        <v>1698</v>
      </c>
      <c r="E501" s="82" t="s">
        <v>1699</v>
      </c>
      <c r="F501" s="82" t="s">
        <v>1204</v>
      </c>
      <c r="G501" s="82">
        <v>1211</v>
      </c>
      <c r="H501" s="82" t="s">
        <v>147</v>
      </c>
      <c r="I501" s="82">
        <v>1</v>
      </c>
      <c r="J501" s="82">
        <v>13.8</v>
      </c>
      <c r="K501" s="82">
        <v>13.8</v>
      </c>
      <c r="L501" s="26">
        <f t="shared" si="45"/>
        <v>1</v>
      </c>
      <c r="M501" s="26">
        <f t="shared" si="34"/>
        <v>0</v>
      </c>
      <c r="N501" s="26"/>
      <c r="O501" s="26"/>
      <c r="P501" s="26"/>
      <c r="Q501" s="26">
        <v>1</v>
      </c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67" t="e">
        <f>SUMIFS([1]Up!$J:$J,[1]Up!$D:$D,D501)</f>
        <v>#VALUE!</v>
      </c>
      <c r="BJ501" s="82"/>
      <c r="BK501" s="82" t="str">
        <f t="shared" si="46"/>
        <v>PL10</v>
      </c>
      <c r="BL501" s="53" t="str">
        <f t="shared" si="47"/>
        <v/>
      </c>
      <c r="BM501" s="53" t="s">
        <v>148</v>
      </c>
      <c r="BN501" s="53" t="s">
        <v>1004</v>
      </c>
      <c r="BO501" s="53" t="s">
        <v>1005</v>
      </c>
      <c r="BP501" s="53" t="s">
        <v>1063</v>
      </c>
      <c r="BQ501" s="53">
        <v>1</v>
      </c>
      <c r="BR501" s="83">
        <v>46088</v>
      </c>
      <c r="BS501" s="53"/>
      <c r="BT501" s="53"/>
    </row>
    <row r="502" spans="3:73" ht="14.25" hidden="1" customHeight="1">
      <c r="C502" s="82" t="s">
        <v>11</v>
      </c>
      <c r="D502" s="82" t="s">
        <v>1700</v>
      </c>
      <c r="E502" s="82" t="s">
        <v>1075</v>
      </c>
      <c r="F502" s="82" t="s">
        <v>1076</v>
      </c>
      <c r="G502" s="82">
        <v>812</v>
      </c>
      <c r="H502" s="82" t="s">
        <v>1077</v>
      </c>
      <c r="I502" s="82">
        <v>10</v>
      </c>
      <c r="J502" s="82">
        <v>13.05696</v>
      </c>
      <c r="K502" s="82">
        <v>130.56960000000001</v>
      </c>
      <c r="L502" s="26">
        <f t="shared" si="45"/>
        <v>5</v>
      </c>
      <c r="M502" s="26">
        <f t="shared" si="34"/>
        <v>5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>
        <v>5</v>
      </c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67" t="e">
        <f>SUMIFS([1]Up!$J:$J,[1]Up!$D:$D,D502)</f>
        <v>#VALUE!</v>
      </c>
      <c r="BJ502" s="82"/>
      <c r="BK502" s="82" t="str">
        <f t="shared" si="46"/>
        <v/>
      </c>
      <c r="BL502" s="53" t="str">
        <f t="shared" si="47"/>
        <v/>
      </c>
      <c r="BM502" s="53" t="s">
        <v>148</v>
      </c>
      <c r="BN502" s="53" t="s">
        <v>1078</v>
      </c>
      <c r="BO502" s="53" t="s">
        <v>1075</v>
      </c>
      <c r="BP502" s="84" t="s">
        <v>2161</v>
      </c>
      <c r="BQ502" s="53">
        <v>20</v>
      </c>
      <c r="BR502" s="83" t="s">
        <v>2224</v>
      </c>
      <c r="BS502" s="53"/>
      <c r="BT502" s="53"/>
      <c r="BU502" s="238"/>
    </row>
    <row r="503" spans="3:73" ht="14.25" hidden="1" customHeight="1">
      <c r="C503" s="82" t="s">
        <v>13</v>
      </c>
      <c r="D503" s="82" t="s">
        <v>1701</v>
      </c>
      <c r="E503" s="82" t="s">
        <v>1676</v>
      </c>
      <c r="F503" s="82" t="s">
        <v>1084</v>
      </c>
      <c r="G503" s="82">
        <v>11647</v>
      </c>
      <c r="H503" s="82" t="s">
        <v>147</v>
      </c>
      <c r="I503" s="82">
        <v>2</v>
      </c>
      <c r="J503" s="82">
        <v>854.3</v>
      </c>
      <c r="K503" s="82">
        <v>1708.6</v>
      </c>
      <c r="L503" s="26">
        <f t="shared" si="45"/>
        <v>0</v>
      </c>
      <c r="M503" s="26">
        <f t="shared" si="34"/>
        <v>2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67" t="e">
        <f>SUMIFS([1]Up!$J:$J,[1]Up!$D:$D,D503)</f>
        <v>#VALUE!</v>
      </c>
      <c r="BJ503" s="82"/>
      <c r="BK503" s="82" t="str">
        <f t="shared" si="46"/>
        <v>PL8</v>
      </c>
      <c r="BL503" s="53" t="str">
        <f t="shared" si="47"/>
        <v/>
      </c>
      <c r="BM503" s="53" t="s">
        <v>154</v>
      </c>
      <c r="BN503" s="53" t="s">
        <v>1011</v>
      </c>
      <c r="BO503" s="53" t="s">
        <v>1012</v>
      </c>
      <c r="BP503" s="53" t="s">
        <v>57</v>
      </c>
      <c r="BQ503" s="53">
        <v>4</v>
      </c>
      <c r="BR503" s="83"/>
      <c r="BS503" s="53"/>
      <c r="BT503" s="53"/>
    </row>
    <row r="504" spans="3:73" ht="14.25" hidden="1" customHeight="1">
      <c r="C504" s="82" t="s">
        <v>13</v>
      </c>
      <c r="D504" s="82" t="s">
        <v>1702</v>
      </c>
      <c r="E504" s="82" t="s">
        <v>1703</v>
      </c>
      <c r="F504" s="82" t="s">
        <v>1296</v>
      </c>
      <c r="G504" s="82">
        <v>182</v>
      </c>
      <c r="H504" s="82" t="s">
        <v>147</v>
      </c>
      <c r="I504" s="82">
        <v>12</v>
      </c>
      <c r="J504" s="82">
        <v>1.4</v>
      </c>
      <c r="K504" s="82">
        <v>16.799999999999997</v>
      </c>
      <c r="L504" s="26">
        <f t="shared" si="45"/>
        <v>6</v>
      </c>
      <c r="M504" s="26">
        <f t="shared" si="34"/>
        <v>6</v>
      </c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>
        <v>6</v>
      </c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67" t="e">
        <f>SUMIFS([1]Up!$J:$J,[1]Up!$D:$D,D504)</f>
        <v>#VALUE!</v>
      </c>
      <c r="BJ504" s="82"/>
      <c r="BK504" s="82" t="str">
        <f t="shared" si="46"/>
        <v>PL16</v>
      </c>
      <c r="BL504" s="53" t="str">
        <f t="shared" si="47"/>
        <v/>
      </c>
      <c r="BM504" s="53" t="s">
        <v>148</v>
      </c>
      <c r="BN504" s="53" t="s">
        <v>987</v>
      </c>
      <c r="BO504" s="53" t="s">
        <v>988</v>
      </c>
      <c r="BP504" s="84" t="s">
        <v>2160</v>
      </c>
      <c r="BQ504" s="53">
        <v>24</v>
      </c>
      <c r="BR504" s="83" t="s">
        <v>2225</v>
      </c>
      <c r="BS504" s="53"/>
      <c r="BT504" s="53"/>
      <c r="BU504" s="238"/>
    </row>
    <row r="505" spans="3:73" ht="14.25" hidden="1" customHeight="1">
      <c r="C505" s="82" t="s">
        <v>13</v>
      </c>
      <c r="D505" s="82" t="s">
        <v>1704</v>
      </c>
      <c r="E505" s="82" t="s">
        <v>1125</v>
      </c>
      <c r="F505" s="82" t="s">
        <v>1296</v>
      </c>
      <c r="G505" s="82">
        <v>200</v>
      </c>
      <c r="H505" s="82" t="s">
        <v>147</v>
      </c>
      <c r="I505" s="82">
        <v>4</v>
      </c>
      <c r="J505" s="82">
        <v>5.5</v>
      </c>
      <c r="K505" s="82">
        <v>22</v>
      </c>
      <c r="L505" s="26">
        <f t="shared" si="45"/>
        <v>2</v>
      </c>
      <c r="M505" s="26">
        <f t="shared" si="34"/>
        <v>2</v>
      </c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>
        <v>2</v>
      </c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67" t="e">
        <f>SUMIFS([1]Up!$J:$J,[1]Up!$D:$D,D505)</f>
        <v>#VALUE!</v>
      </c>
      <c r="BJ505" s="82"/>
      <c r="BK505" s="82" t="str">
        <f t="shared" si="46"/>
        <v>PL15</v>
      </c>
      <c r="BL505" s="53" t="str">
        <f t="shared" si="47"/>
        <v/>
      </c>
      <c r="BM505" s="53" t="s">
        <v>148</v>
      </c>
      <c r="BN505" s="53" t="s">
        <v>1093</v>
      </c>
      <c r="BO505" s="53" t="s">
        <v>1094</v>
      </c>
      <c r="BP505" s="84" t="s">
        <v>2155</v>
      </c>
      <c r="BQ505" s="53">
        <v>8</v>
      </c>
      <c r="BR505" s="83" t="s">
        <v>2224</v>
      </c>
      <c r="BS505" s="53"/>
      <c r="BT505" s="53"/>
      <c r="BU505" s="238"/>
    </row>
    <row r="506" spans="3:73" ht="14.25" hidden="1" customHeight="1">
      <c r="C506" s="82" t="s">
        <v>13</v>
      </c>
      <c r="D506" s="82" t="s">
        <v>1705</v>
      </c>
      <c r="E506" s="82" t="s">
        <v>1123</v>
      </c>
      <c r="F506" s="82" t="s">
        <v>1296</v>
      </c>
      <c r="G506" s="82">
        <v>320</v>
      </c>
      <c r="H506" s="82" t="s">
        <v>147</v>
      </c>
      <c r="I506" s="82">
        <v>4</v>
      </c>
      <c r="J506" s="82">
        <v>7.6</v>
      </c>
      <c r="K506" s="82">
        <v>30.4</v>
      </c>
      <c r="L506" s="26">
        <f t="shared" si="45"/>
        <v>2</v>
      </c>
      <c r="M506" s="26">
        <f t="shared" si="34"/>
        <v>2</v>
      </c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>
        <v>2</v>
      </c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67" t="e">
        <f>SUMIFS([1]Up!$J:$J,[1]Up!$D:$D,D506)</f>
        <v>#VALUE!</v>
      </c>
      <c r="BJ506" s="82"/>
      <c r="BK506" s="82" t="str">
        <f t="shared" si="46"/>
        <v>PL20</v>
      </c>
      <c r="BL506" s="53" t="str">
        <f t="shared" si="47"/>
        <v/>
      </c>
      <c r="BM506" s="53" t="s">
        <v>148</v>
      </c>
      <c r="BN506" s="53" t="s">
        <v>1099</v>
      </c>
      <c r="BO506" s="53" t="s">
        <v>1100</v>
      </c>
      <c r="BP506" s="84" t="s">
        <v>2157</v>
      </c>
      <c r="BQ506" s="53">
        <v>8</v>
      </c>
      <c r="BR506" s="83">
        <v>46242</v>
      </c>
      <c r="BS506" s="53"/>
      <c r="BT506" s="53"/>
      <c r="BU506" s="238"/>
    </row>
    <row r="507" spans="3:73" ht="14.25" hidden="1" customHeight="1">
      <c r="C507" s="82" t="s">
        <v>13</v>
      </c>
      <c r="D507" s="82" t="s">
        <v>1706</v>
      </c>
      <c r="E507" s="82" t="s">
        <v>1703</v>
      </c>
      <c r="F507" s="82" t="s">
        <v>1296</v>
      </c>
      <c r="G507" s="82">
        <v>182</v>
      </c>
      <c r="H507" s="82" t="s">
        <v>147</v>
      </c>
      <c r="I507" s="82">
        <v>10</v>
      </c>
      <c r="J507" s="82">
        <v>1.4</v>
      </c>
      <c r="K507" s="82">
        <v>14</v>
      </c>
      <c r="L507" s="26">
        <f t="shared" si="45"/>
        <v>5</v>
      </c>
      <c r="M507" s="26">
        <f t="shared" si="34"/>
        <v>5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>
        <v>5</v>
      </c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67" t="e">
        <f>SUMIFS([1]Up!$J:$J,[1]Up!$D:$D,D507)</f>
        <v>#VALUE!</v>
      </c>
      <c r="BJ507" s="82"/>
      <c r="BK507" s="82" t="str">
        <f t="shared" si="46"/>
        <v>PL16</v>
      </c>
      <c r="BL507" s="53" t="str">
        <f t="shared" si="47"/>
        <v/>
      </c>
      <c r="BM507" s="53" t="s">
        <v>148</v>
      </c>
      <c r="BN507" s="53" t="s">
        <v>987</v>
      </c>
      <c r="BO507" s="53" t="s">
        <v>988</v>
      </c>
      <c r="BP507" s="84" t="s">
        <v>2160</v>
      </c>
      <c r="BQ507" s="53">
        <v>20</v>
      </c>
      <c r="BR507" s="83" t="s">
        <v>2225</v>
      </c>
      <c r="BS507" s="53"/>
      <c r="BT507" s="53"/>
      <c r="BU507" s="238"/>
    </row>
    <row r="508" spans="3:73" ht="14.25" hidden="1" customHeight="1">
      <c r="C508" s="82" t="s">
        <v>13</v>
      </c>
      <c r="D508" s="82" t="s">
        <v>1707</v>
      </c>
      <c r="E508" s="82" t="s">
        <v>1708</v>
      </c>
      <c r="F508" s="82" t="s">
        <v>1084</v>
      </c>
      <c r="G508" s="82">
        <v>5374</v>
      </c>
      <c r="H508" s="82" t="s">
        <v>147</v>
      </c>
      <c r="I508" s="82">
        <v>2</v>
      </c>
      <c r="J508" s="82">
        <v>1229</v>
      </c>
      <c r="K508" s="82">
        <v>2458</v>
      </c>
      <c r="L508" s="26">
        <f t="shared" si="45"/>
        <v>1</v>
      </c>
      <c r="M508" s="26">
        <f t="shared" si="34"/>
        <v>1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>
        <v>1</v>
      </c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67" t="e">
        <f>SUMIFS([1]Up!$J:$J,[1]Up!$D:$D,D508)</f>
        <v>#VALUE!</v>
      </c>
      <c r="BJ508" s="82" t="s">
        <v>2250</v>
      </c>
      <c r="BK508" s="82" t="str">
        <f t="shared" si="46"/>
        <v>PL10</v>
      </c>
      <c r="BL508" s="53" t="str">
        <f t="shared" si="47"/>
        <v/>
      </c>
      <c r="BM508" s="53" t="s">
        <v>154</v>
      </c>
      <c r="BN508" s="53" t="s">
        <v>1004</v>
      </c>
      <c r="BO508" s="53" t="s">
        <v>1005</v>
      </c>
      <c r="BP508" s="53" t="s">
        <v>57</v>
      </c>
      <c r="BQ508" s="53">
        <v>4</v>
      </c>
      <c r="BR508" s="83"/>
      <c r="BS508" s="53"/>
      <c r="BT508" s="53"/>
    </row>
    <row r="509" spans="3:73" ht="14.25" hidden="1" customHeight="1">
      <c r="C509" s="82" t="s">
        <v>13</v>
      </c>
      <c r="D509" s="82" t="s">
        <v>1709</v>
      </c>
      <c r="E509" s="82" t="s">
        <v>1690</v>
      </c>
      <c r="F509" s="82" t="s">
        <v>1084</v>
      </c>
      <c r="G509" s="82">
        <v>5462</v>
      </c>
      <c r="H509" s="82" t="s">
        <v>147</v>
      </c>
      <c r="I509" s="82">
        <v>2</v>
      </c>
      <c r="J509" s="82">
        <v>1828.1</v>
      </c>
      <c r="K509" s="82">
        <v>3656.2</v>
      </c>
      <c r="L509" s="26">
        <f t="shared" si="45"/>
        <v>2</v>
      </c>
      <c r="M509" s="26">
        <f t="shared" si="34"/>
        <v>0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>
        <f>2+1</f>
        <v>3</v>
      </c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67" t="e">
        <f>SUMIFS([1]Up!$J:$J,[1]Up!$D:$D,D509)</f>
        <v>#VALUE!</v>
      </c>
      <c r="BJ509" s="82" t="s">
        <v>2071</v>
      </c>
      <c r="BK509" s="82" t="str">
        <f t="shared" si="46"/>
        <v>PL10</v>
      </c>
      <c r="BL509" s="53" t="str">
        <f t="shared" si="47"/>
        <v>Thừa 1</v>
      </c>
      <c r="BM509" s="53" t="s">
        <v>154</v>
      </c>
      <c r="BN509" s="53" t="s">
        <v>1004</v>
      </c>
      <c r="BO509" s="53" t="s">
        <v>1005</v>
      </c>
      <c r="BP509" s="53" t="s">
        <v>57</v>
      </c>
      <c r="BQ509" s="53">
        <v>4</v>
      </c>
      <c r="BR509" s="83"/>
      <c r="BS509" s="53"/>
      <c r="BT509" s="53"/>
    </row>
    <row r="510" spans="3:73" ht="14.25" hidden="1" customHeight="1">
      <c r="C510" s="82" t="s">
        <v>13</v>
      </c>
      <c r="D510" s="82" t="s">
        <v>1710</v>
      </c>
      <c r="E510" s="82" t="s">
        <v>1157</v>
      </c>
      <c r="F510" s="82" t="s">
        <v>1296</v>
      </c>
      <c r="G510" s="82">
        <v>11512</v>
      </c>
      <c r="H510" s="82" t="s">
        <v>147</v>
      </c>
      <c r="I510" s="82">
        <v>4</v>
      </c>
      <c r="J510" s="82">
        <v>433.8</v>
      </c>
      <c r="K510" s="82">
        <v>1735.2</v>
      </c>
      <c r="L510" s="26">
        <f t="shared" si="45"/>
        <v>2</v>
      </c>
      <c r="M510" s="26">
        <f t="shared" si="34"/>
        <v>2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>
        <v>2</v>
      </c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67" t="e">
        <f>SUMIFS([1]Up!$J:$J,[1]Up!$D:$D,D510)</f>
        <v>#VALUE!</v>
      </c>
      <c r="BJ510" s="82"/>
      <c r="BK510" s="82" t="str">
        <f t="shared" si="46"/>
        <v>PL15</v>
      </c>
      <c r="BL510" s="53" t="str">
        <f t="shared" si="47"/>
        <v/>
      </c>
      <c r="BM510" s="53" t="s">
        <v>148</v>
      </c>
      <c r="BN510" s="53" t="s">
        <v>1093</v>
      </c>
      <c r="BO510" s="53" t="s">
        <v>1094</v>
      </c>
      <c r="BP510" s="84" t="s">
        <v>2155</v>
      </c>
      <c r="BQ510" s="53">
        <v>8</v>
      </c>
      <c r="BR510" s="83" t="s">
        <v>2224</v>
      </c>
      <c r="BS510" s="53"/>
      <c r="BT510" s="53"/>
      <c r="BU510" s="238"/>
    </row>
    <row r="511" spans="3:73" ht="14.25" hidden="1" customHeight="1">
      <c r="C511" s="82" t="s">
        <v>13</v>
      </c>
      <c r="D511" s="82" t="s">
        <v>1711</v>
      </c>
      <c r="E511" s="82" t="s">
        <v>1712</v>
      </c>
      <c r="F511" s="82" t="s">
        <v>1296</v>
      </c>
      <c r="G511" s="82">
        <v>1616</v>
      </c>
      <c r="H511" s="82" t="s">
        <v>147</v>
      </c>
      <c r="I511" s="82">
        <v>4</v>
      </c>
      <c r="J511" s="82">
        <v>27.4</v>
      </c>
      <c r="K511" s="82">
        <v>109.6</v>
      </c>
      <c r="L511" s="26">
        <f t="shared" si="45"/>
        <v>0</v>
      </c>
      <c r="M511" s="26">
        <f t="shared" si="34"/>
        <v>4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67" t="e">
        <f>SUMIFS([1]Up!$J:$J,[1]Up!$D:$D,D511)</f>
        <v>#VALUE!</v>
      </c>
      <c r="BJ511" s="82"/>
      <c r="BK511" s="82" t="str">
        <f t="shared" si="46"/>
        <v>PL8</v>
      </c>
      <c r="BL511" s="53" t="str">
        <f t="shared" si="47"/>
        <v/>
      </c>
      <c r="BM511" s="53" t="s">
        <v>148</v>
      </c>
      <c r="BN511" s="53" t="s">
        <v>1011</v>
      </c>
      <c r="BO511" s="53" t="s">
        <v>1012</v>
      </c>
      <c r="BP511" s="53" t="s">
        <v>57</v>
      </c>
      <c r="BQ511" s="53">
        <v>8</v>
      </c>
      <c r="BR511" s="83"/>
      <c r="BS511" s="53"/>
      <c r="BT511" s="53"/>
    </row>
    <row r="512" spans="3:73" ht="14.25" hidden="1" customHeight="1">
      <c r="C512" s="82" t="s">
        <v>13</v>
      </c>
      <c r="D512" s="82" t="s">
        <v>1713</v>
      </c>
      <c r="E512" s="82" t="s">
        <v>1712</v>
      </c>
      <c r="F512" s="82" t="s">
        <v>1296</v>
      </c>
      <c r="G512" s="82">
        <v>1616</v>
      </c>
      <c r="H512" s="82" t="s">
        <v>147</v>
      </c>
      <c r="I512" s="82">
        <v>2</v>
      </c>
      <c r="J512" s="82">
        <v>24.2</v>
      </c>
      <c r="K512" s="82">
        <v>48.4</v>
      </c>
      <c r="L512" s="26">
        <f t="shared" si="45"/>
        <v>0</v>
      </c>
      <c r="M512" s="26">
        <f t="shared" si="34"/>
        <v>2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67" t="e">
        <f>SUMIFS([1]Up!$J:$J,[1]Up!$D:$D,D512)</f>
        <v>#VALUE!</v>
      </c>
      <c r="BJ512" s="82"/>
      <c r="BK512" s="82" t="str">
        <f t="shared" si="46"/>
        <v>PL8</v>
      </c>
      <c r="BL512" s="53" t="str">
        <f t="shared" si="47"/>
        <v/>
      </c>
      <c r="BM512" s="53" t="s">
        <v>148</v>
      </c>
      <c r="BN512" s="53" t="s">
        <v>1011</v>
      </c>
      <c r="BO512" s="53" t="s">
        <v>1012</v>
      </c>
      <c r="BP512" s="53" t="s">
        <v>57</v>
      </c>
      <c r="BQ512" s="53">
        <v>4</v>
      </c>
      <c r="BR512" s="83"/>
      <c r="BS512" s="53"/>
      <c r="BT512" s="53"/>
    </row>
    <row r="513" spans="3:73" ht="14.25" hidden="1" customHeight="1">
      <c r="C513" s="82" t="s">
        <v>13</v>
      </c>
      <c r="D513" s="82" t="s">
        <v>1714</v>
      </c>
      <c r="E513" s="82" t="s">
        <v>1649</v>
      </c>
      <c r="F513" s="82" t="s">
        <v>1296</v>
      </c>
      <c r="G513" s="82">
        <v>2260</v>
      </c>
      <c r="H513" s="82" t="s">
        <v>147</v>
      </c>
      <c r="I513" s="82">
        <v>2</v>
      </c>
      <c r="J513" s="82">
        <v>62.4</v>
      </c>
      <c r="K513" s="82">
        <v>124.8</v>
      </c>
      <c r="L513" s="26">
        <f t="shared" si="45"/>
        <v>2</v>
      </c>
      <c r="M513" s="26">
        <f t="shared" si="34"/>
        <v>0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>
        <v>1</v>
      </c>
      <c r="AU513" s="26"/>
      <c r="AV513" s="26"/>
      <c r="AW513" s="26"/>
      <c r="AX513" s="26"/>
      <c r="AY513" s="26"/>
      <c r="AZ513" s="26"/>
      <c r="BA513" s="26">
        <v>2</v>
      </c>
      <c r="BB513" s="26"/>
      <c r="BC513" s="26"/>
      <c r="BD513" s="26"/>
      <c r="BE513" s="26"/>
      <c r="BF513" s="26"/>
      <c r="BG513" s="26"/>
      <c r="BH513" s="26"/>
      <c r="BI513" s="67" t="e">
        <f>SUMIFS([1]Up!$J:$J,[1]Up!$D:$D,D513)</f>
        <v>#VALUE!</v>
      </c>
      <c r="BJ513" s="82" t="s">
        <v>2244</v>
      </c>
      <c r="BK513" s="82" t="str">
        <f t="shared" si="46"/>
        <v>PL10</v>
      </c>
      <c r="BL513" s="53" t="str">
        <f t="shared" si="47"/>
        <v>Thừa 1</v>
      </c>
      <c r="BM513" s="53" t="s">
        <v>148</v>
      </c>
      <c r="BN513" s="53" t="s">
        <v>1004</v>
      </c>
      <c r="BO513" s="53" t="s">
        <v>1005</v>
      </c>
      <c r="BP513" s="53" t="s">
        <v>57</v>
      </c>
      <c r="BQ513" s="53">
        <v>4</v>
      </c>
      <c r="BR513" s="83"/>
      <c r="BS513" s="53"/>
      <c r="BT513" s="53"/>
    </row>
    <row r="514" spans="3:73" ht="14.25" hidden="1" customHeight="1">
      <c r="C514" s="82" t="s">
        <v>13</v>
      </c>
      <c r="D514" s="82" t="s">
        <v>1715</v>
      </c>
      <c r="E514" s="82" t="s">
        <v>1649</v>
      </c>
      <c r="F514" s="82" t="s">
        <v>1296</v>
      </c>
      <c r="G514" s="82">
        <v>2260</v>
      </c>
      <c r="H514" s="82" t="s">
        <v>147</v>
      </c>
      <c r="I514" s="82">
        <v>4</v>
      </c>
      <c r="J514" s="82">
        <v>54.6</v>
      </c>
      <c r="K514" s="82">
        <v>218.4</v>
      </c>
      <c r="L514" s="26">
        <f t="shared" si="45"/>
        <v>4</v>
      </c>
      <c r="M514" s="26">
        <f t="shared" si="34"/>
        <v>0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>
        <v>3</v>
      </c>
      <c r="AU514" s="26"/>
      <c r="AV514" s="26"/>
      <c r="AW514" s="26"/>
      <c r="AX514" s="26"/>
      <c r="AY514" s="26"/>
      <c r="AZ514" s="26"/>
      <c r="BA514" s="26">
        <v>3</v>
      </c>
      <c r="BB514" s="26">
        <v>2</v>
      </c>
      <c r="BC514" s="26"/>
      <c r="BD514" s="26"/>
      <c r="BE514" s="26"/>
      <c r="BF514" s="26"/>
      <c r="BG514" s="26"/>
      <c r="BH514" s="26"/>
      <c r="BI514" s="67" t="e">
        <f>SUMIFS([1]Up!$J:$J,[1]Up!$D:$D,D514)</f>
        <v>#VALUE!</v>
      </c>
      <c r="BJ514" s="82" t="s">
        <v>2388</v>
      </c>
      <c r="BK514" s="82" t="str">
        <f t="shared" si="46"/>
        <v>PL10</v>
      </c>
      <c r="BL514" s="53" t="str">
        <f t="shared" si="47"/>
        <v>Thừa 4</v>
      </c>
      <c r="BM514" s="53" t="s">
        <v>148</v>
      </c>
      <c r="BN514" s="53" t="s">
        <v>1004</v>
      </c>
      <c r="BO514" s="53" t="s">
        <v>1005</v>
      </c>
      <c r="BP514" s="53" t="s">
        <v>57</v>
      </c>
      <c r="BQ514" s="53">
        <v>8</v>
      </c>
      <c r="BR514" s="83"/>
      <c r="BS514" s="53"/>
      <c r="BT514" s="53"/>
    </row>
    <row r="515" spans="3:73" ht="14.25" hidden="1" customHeight="1">
      <c r="C515" s="82" t="s">
        <v>13</v>
      </c>
      <c r="D515" s="82" t="s">
        <v>1716</v>
      </c>
      <c r="E515" s="82" t="s">
        <v>1641</v>
      </c>
      <c r="F515" s="82" t="s">
        <v>1296</v>
      </c>
      <c r="G515" s="82">
        <v>301</v>
      </c>
      <c r="H515" s="82" t="s">
        <v>147</v>
      </c>
      <c r="I515" s="82">
        <v>8</v>
      </c>
      <c r="J515" s="82">
        <v>3</v>
      </c>
      <c r="K515" s="82">
        <v>24</v>
      </c>
      <c r="L515" s="26">
        <f t="shared" si="45"/>
        <v>4</v>
      </c>
      <c r="M515" s="26">
        <f t="shared" si="34"/>
        <v>4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>
        <v>4</v>
      </c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67" t="e">
        <f>SUMIFS([1]Up!$J:$J,[1]Up!$D:$D,D515)</f>
        <v>#VALUE!</v>
      </c>
      <c r="BJ515" s="82"/>
      <c r="BK515" s="82" t="str">
        <f t="shared" si="46"/>
        <v>PL16</v>
      </c>
      <c r="BL515" s="53" t="str">
        <f t="shared" si="47"/>
        <v/>
      </c>
      <c r="BM515" s="53" t="s">
        <v>148</v>
      </c>
      <c r="BN515" s="53" t="s">
        <v>987</v>
      </c>
      <c r="BO515" s="53" t="s">
        <v>988</v>
      </c>
      <c r="BP515" s="84" t="s">
        <v>2160</v>
      </c>
      <c r="BQ515" s="53">
        <v>16</v>
      </c>
      <c r="BR515" s="83" t="s">
        <v>2225</v>
      </c>
      <c r="BS515" s="53"/>
      <c r="BT515" s="53"/>
      <c r="BU515" s="238"/>
    </row>
    <row r="516" spans="3:73" ht="14.25" hidden="1" customHeight="1">
      <c r="C516" s="82" t="s">
        <v>11</v>
      </c>
      <c r="D516" s="82" t="s">
        <v>1717</v>
      </c>
      <c r="E516" s="82" t="s">
        <v>1075</v>
      </c>
      <c r="F516" s="82" t="s">
        <v>1076</v>
      </c>
      <c r="G516" s="82">
        <v>812</v>
      </c>
      <c r="H516" s="82" t="s">
        <v>1077</v>
      </c>
      <c r="I516" s="82">
        <v>5</v>
      </c>
      <c r="J516" s="82">
        <v>13.05696</v>
      </c>
      <c r="K516" s="82">
        <v>65.284800000000004</v>
      </c>
      <c r="L516" s="26">
        <f t="shared" si="45"/>
        <v>5</v>
      </c>
      <c r="M516" s="26">
        <f t="shared" si="34"/>
        <v>0</v>
      </c>
      <c r="N516" s="26"/>
      <c r="O516" s="26"/>
      <c r="P516" s="26"/>
      <c r="Q516" s="26"/>
      <c r="R516" s="26"/>
      <c r="S516" s="26">
        <v>5</v>
      </c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67" t="e">
        <f>SUMIFS([1]Up!$J:$J,[1]Up!$D:$D,D516)</f>
        <v>#VALUE!</v>
      </c>
      <c r="BJ516" s="82"/>
      <c r="BK516" s="82" t="str">
        <f t="shared" si="46"/>
        <v/>
      </c>
      <c r="BL516" s="53" t="str">
        <f t="shared" si="47"/>
        <v/>
      </c>
      <c r="BM516" s="53" t="s">
        <v>148</v>
      </c>
      <c r="BN516" s="53" t="s">
        <v>1078</v>
      </c>
      <c r="BO516" s="53" t="s">
        <v>1075</v>
      </c>
      <c r="BP516" s="53" t="s">
        <v>1289</v>
      </c>
      <c r="BQ516" s="53">
        <v>5</v>
      </c>
      <c r="BR516" s="83">
        <v>46362</v>
      </c>
      <c r="BS516" s="53"/>
      <c r="BT516" s="53"/>
    </row>
    <row r="517" spans="3:73" ht="14.25" hidden="1" customHeight="1">
      <c r="C517" s="82" t="s">
        <v>13</v>
      </c>
      <c r="D517" s="82" t="s">
        <v>1718</v>
      </c>
      <c r="E517" s="82" t="s">
        <v>1676</v>
      </c>
      <c r="F517" s="82" t="s">
        <v>1084</v>
      </c>
      <c r="G517" s="82">
        <v>11647</v>
      </c>
      <c r="H517" s="82" t="s">
        <v>147</v>
      </c>
      <c r="I517" s="82">
        <v>1</v>
      </c>
      <c r="J517" s="82">
        <v>2620.5</v>
      </c>
      <c r="K517" s="82">
        <v>2620.5</v>
      </c>
      <c r="L517" s="26">
        <f t="shared" si="45"/>
        <v>1</v>
      </c>
      <c r="M517" s="26">
        <f t="shared" si="34"/>
        <v>0</v>
      </c>
      <c r="N517" s="26"/>
      <c r="O517" s="26"/>
      <c r="P517" s="26">
        <v>7</v>
      </c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67" t="e">
        <f>SUMIFS([1]Up!$J:$J,[1]Up!$D:$D,D517)</f>
        <v>#VALUE!</v>
      </c>
      <c r="BJ517" s="82" t="s">
        <v>2074</v>
      </c>
      <c r="BK517" s="82" t="str">
        <f t="shared" si="46"/>
        <v>PL8</v>
      </c>
      <c r="BL517" s="53" t="str">
        <f t="shared" si="47"/>
        <v>Thừa 6</v>
      </c>
      <c r="BM517" s="53" t="s">
        <v>154</v>
      </c>
      <c r="BN517" s="53" t="s">
        <v>1011</v>
      </c>
      <c r="BO517" s="53" t="s">
        <v>1012</v>
      </c>
      <c r="BP517" s="53" t="s">
        <v>57</v>
      </c>
      <c r="BQ517" s="53">
        <v>1</v>
      </c>
      <c r="BR517" s="83"/>
      <c r="BS517" s="53"/>
      <c r="BT517" s="53"/>
    </row>
    <row r="518" spans="3:73" ht="14.25" hidden="1" customHeight="1">
      <c r="C518" s="82" t="s">
        <v>13</v>
      </c>
      <c r="D518" s="82" t="s">
        <v>1719</v>
      </c>
      <c r="E518" s="82" t="s">
        <v>1720</v>
      </c>
      <c r="F518" s="82" t="s">
        <v>1296</v>
      </c>
      <c r="G518" s="82">
        <v>609</v>
      </c>
      <c r="H518" s="82" t="s">
        <v>147</v>
      </c>
      <c r="I518" s="82">
        <v>2</v>
      </c>
      <c r="J518" s="82">
        <v>16.8</v>
      </c>
      <c r="K518" s="82">
        <v>33.6</v>
      </c>
      <c r="L518" s="26">
        <f t="shared" si="45"/>
        <v>2</v>
      </c>
      <c r="M518" s="26">
        <f t="shared" si="34"/>
        <v>0</v>
      </c>
      <c r="N518" s="26"/>
      <c r="O518" s="26"/>
      <c r="P518" s="26"/>
      <c r="Q518" s="26"/>
      <c r="R518" s="26">
        <v>2</v>
      </c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67" t="e">
        <f>SUMIFS([1]Up!$J:$J,[1]Up!$D:$D,D518)</f>
        <v>#VALUE!</v>
      </c>
      <c r="BJ518" s="82"/>
      <c r="BK518" s="82" t="str">
        <f t="shared" si="46"/>
        <v>PL15</v>
      </c>
      <c r="BL518" s="53" t="str">
        <f t="shared" si="47"/>
        <v/>
      </c>
      <c r="BM518" s="53" t="s">
        <v>148</v>
      </c>
      <c r="BN518" s="53" t="s">
        <v>1093</v>
      </c>
      <c r="BO518" s="53" t="s">
        <v>1094</v>
      </c>
      <c r="BP518" s="53" t="s">
        <v>1303</v>
      </c>
      <c r="BQ518" s="53">
        <v>2</v>
      </c>
      <c r="BR518" s="83">
        <v>46088</v>
      </c>
      <c r="BS518" s="53"/>
      <c r="BT518" s="53"/>
    </row>
    <row r="519" spans="3:73" ht="14.25" hidden="1" customHeight="1">
      <c r="C519" s="82" t="s">
        <v>13</v>
      </c>
      <c r="D519" s="82" t="s">
        <v>1721</v>
      </c>
      <c r="E519" s="82" t="s">
        <v>1703</v>
      </c>
      <c r="F519" s="82" t="s">
        <v>1296</v>
      </c>
      <c r="G519" s="82">
        <v>182</v>
      </c>
      <c r="H519" s="82" t="s">
        <v>147</v>
      </c>
      <c r="I519" s="82">
        <v>10</v>
      </c>
      <c r="J519" s="82">
        <v>1.4</v>
      </c>
      <c r="K519" s="82">
        <v>14</v>
      </c>
      <c r="L519" s="26">
        <f t="shared" si="45"/>
        <v>10</v>
      </c>
      <c r="M519" s="26">
        <f t="shared" si="34"/>
        <v>0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>
        <v>10</v>
      </c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67" t="e">
        <f>SUMIFS([1]Up!$J:$J,[1]Up!$D:$D,D519)</f>
        <v>#VALUE!</v>
      </c>
      <c r="BJ519" s="82"/>
      <c r="BK519" s="82" t="str">
        <f t="shared" si="46"/>
        <v>PL16</v>
      </c>
      <c r="BL519" s="53" t="str">
        <f t="shared" si="47"/>
        <v/>
      </c>
      <c r="BM519" s="53" t="s">
        <v>148</v>
      </c>
      <c r="BN519" s="53" t="s">
        <v>987</v>
      </c>
      <c r="BO519" s="53" t="s">
        <v>988</v>
      </c>
      <c r="BP519" s="53" t="s">
        <v>989</v>
      </c>
      <c r="BQ519" s="53">
        <v>10</v>
      </c>
      <c r="BR519" s="83" t="s">
        <v>2222</v>
      </c>
      <c r="BS519" s="53"/>
      <c r="BT519" s="53"/>
    </row>
    <row r="520" spans="3:73" ht="14.25" hidden="1" customHeight="1">
      <c r="C520" s="82" t="s">
        <v>13</v>
      </c>
      <c r="D520" s="82" t="s">
        <v>1722</v>
      </c>
      <c r="E520" s="82" t="s">
        <v>1267</v>
      </c>
      <c r="F520" s="82" t="s">
        <v>1296</v>
      </c>
      <c r="G520" s="82">
        <v>520</v>
      </c>
      <c r="H520" s="82" t="s">
        <v>147</v>
      </c>
      <c r="I520" s="82">
        <v>1</v>
      </c>
      <c r="J520" s="82">
        <v>14.1</v>
      </c>
      <c r="K520" s="82">
        <v>14.1</v>
      </c>
      <c r="L520" s="26">
        <f t="shared" si="45"/>
        <v>1</v>
      </c>
      <c r="M520" s="26">
        <f t="shared" si="34"/>
        <v>0</v>
      </c>
      <c r="N520" s="26"/>
      <c r="O520" s="26"/>
      <c r="P520" s="26"/>
      <c r="Q520" s="26"/>
      <c r="R520" s="26">
        <v>1</v>
      </c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67" t="e">
        <f>SUMIFS([1]Up!$J:$J,[1]Up!$D:$D,D520)</f>
        <v>#VALUE!</v>
      </c>
      <c r="BJ520" s="82"/>
      <c r="BK520" s="82" t="str">
        <f t="shared" si="46"/>
        <v>PL15</v>
      </c>
      <c r="BL520" s="53" t="str">
        <f t="shared" si="47"/>
        <v/>
      </c>
      <c r="BM520" s="53" t="s">
        <v>148</v>
      </c>
      <c r="BN520" s="53" t="s">
        <v>1093</v>
      </c>
      <c r="BO520" s="53" t="s">
        <v>1094</v>
      </c>
      <c r="BP520" s="53" t="s">
        <v>1303</v>
      </c>
      <c r="BQ520" s="53">
        <v>1</v>
      </c>
      <c r="BR520" s="83">
        <v>46088</v>
      </c>
      <c r="BS520" s="53"/>
      <c r="BT520" s="53"/>
    </row>
    <row r="521" spans="3:73" ht="14.25" hidden="1" customHeight="1">
      <c r="C521" s="82" t="s">
        <v>13</v>
      </c>
      <c r="D521" s="82" t="s">
        <v>1723</v>
      </c>
      <c r="E521" s="82" t="s">
        <v>1354</v>
      </c>
      <c r="F521" s="82" t="s">
        <v>1296</v>
      </c>
      <c r="G521" s="82">
        <v>554</v>
      </c>
      <c r="H521" s="82" t="s">
        <v>147</v>
      </c>
      <c r="I521" s="82">
        <v>1</v>
      </c>
      <c r="J521" s="82">
        <v>18.399999999999999</v>
      </c>
      <c r="K521" s="82">
        <v>18.399999999999999</v>
      </c>
      <c r="L521" s="26">
        <f t="shared" si="45"/>
        <v>1</v>
      </c>
      <c r="M521" s="26">
        <f t="shared" si="34"/>
        <v>0</v>
      </c>
      <c r="N521" s="26"/>
      <c r="O521" s="26"/>
      <c r="P521" s="26"/>
      <c r="Q521" s="26"/>
      <c r="R521" s="26">
        <v>1</v>
      </c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67" t="e">
        <f>SUMIFS([1]Up!$J:$J,[1]Up!$D:$D,D521)</f>
        <v>#VALUE!</v>
      </c>
      <c r="BJ521" s="82"/>
      <c r="BK521" s="82" t="str">
        <f t="shared" si="46"/>
        <v>PL15</v>
      </c>
      <c r="BL521" s="53" t="str">
        <f t="shared" si="47"/>
        <v/>
      </c>
      <c r="BM521" s="53" t="s">
        <v>148</v>
      </c>
      <c r="BN521" s="53" t="s">
        <v>1093</v>
      </c>
      <c r="BO521" s="53" t="s">
        <v>1094</v>
      </c>
      <c r="BP521" s="53" t="s">
        <v>1303</v>
      </c>
      <c r="BQ521" s="53">
        <v>1</v>
      </c>
      <c r="BR521" s="83">
        <v>46088</v>
      </c>
      <c r="BS521" s="53"/>
      <c r="BT521" s="53"/>
    </row>
    <row r="522" spans="3:73" ht="14.25" hidden="1" customHeight="1">
      <c r="C522" s="82" t="s">
        <v>13</v>
      </c>
      <c r="D522" s="82" t="s">
        <v>1724</v>
      </c>
      <c r="E522" s="82" t="s">
        <v>1725</v>
      </c>
      <c r="F522" s="82" t="s">
        <v>1296</v>
      </c>
      <c r="G522" s="82">
        <v>1616</v>
      </c>
      <c r="H522" s="82" t="s">
        <v>147</v>
      </c>
      <c r="I522" s="82">
        <v>2</v>
      </c>
      <c r="J522" s="82">
        <v>18.100000000000001</v>
      </c>
      <c r="K522" s="82">
        <v>36.200000000000003</v>
      </c>
      <c r="L522" s="26">
        <f t="shared" si="45"/>
        <v>2</v>
      </c>
      <c r="M522" s="26">
        <f t="shared" si="34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>
        <v>4</v>
      </c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67" t="e">
        <f>SUMIFS([1]Up!$J:$J,[1]Up!$D:$D,D522)</f>
        <v>#VALUE!</v>
      </c>
      <c r="BJ522" s="82" t="s">
        <v>2081</v>
      </c>
      <c r="BK522" s="82" t="str">
        <f t="shared" si="46"/>
        <v>PL8</v>
      </c>
      <c r="BL522" s="53" t="str">
        <f t="shared" si="47"/>
        <v>Thừa 2</v>
      </c>
      <c r="BM522" s="53" t="s">
        <v>148</v>
      </c>
      <c r="BN522" s="53" t="s">
        <v>1011</v>
      </c>
      <c r="BO522" s="53" t="s">
        <v>1012</v>
      </c>
      <c r="BP522" s="53" t="s">
        <v>57</v>
      </c>
      <c r="BQ522" s="53">
        <v>2</v>
      </c>
      <c r="BR522" s="83"/>
      <c r="BS522" s="53"/>
      <c r="BT522" s="53"/>
    </row>
    <row r="523" spans="3:73" ht="14.25" hidden="1" customHeight="1">
      <c r="C523" s="82" t="s">
        <v>13</v>
      </c>
      <c r="D523" s="82" t="s">
        <v>1726</v>
      </c>
      <c r="E523" s="82" t="s">
        <v>1727</v>
      </c>
      <c r="F523" s="82" t="s">
        <v>1296</v>
      </c>
      <c r="G523" s="82">
        <v>503</v>
      </c>
      <c r="H523" s="82" t="s">
        <v>147</v>
      </c>
      <c r="I523" s="82">
        <v>2</v>
      </c>
      <c r="J523" s="82">
        <v>2.9</v>
      </c>
      <c r="K523" s="82">
        <v>5.8</v>
      </c>
      <c r="L523" s="26">
        <f t="shared" si="45"/>
        <v>2</v>
      </c>
      <c r="M523" s="26">
        <f t="shared" si="34"/>
        <v>0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>
        <v>2</v>
      </c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67" t="e">
        <f>SUMIFS([1]Up!$J:$J,[1]Up!$D:$D,D523)</f>
        <v>#VALUE!</v>
      </c>
      <c r="BJ523" s="82"/>
      <c r="BK523" s="82" t="str">
        <f t="shared" si="46"/>
        <v>PL8</v>
      </c>
      <c r="BL523" s="53" t="str">
        <f t="shared" si="47"/>
        <v/>
      </c>
      <c r="BM523" s="53" t="s">
        <v>148</v>
      </c>
      <c r="BN523" s="53" t="s">
        <v>1011</v>
      </c>
      <c r="BO523" s="53" t="s">
        <v>1012</v>
      </c>
      <c r="BP523" s="53" t="s">
        <v>1013</v>
      </c>
      <c r="BQ523" s="53">
        <v>2</v>
      </c>
      <c r="BR523" s="83">
        <v>46088</v>
      </c>
      <c r="BS523" s="53"/>
      <c r="BT523" s="53"/>
    </row>
    <row r="524" spans="3:73" ht="14.25" hidden="1" customHeight="1">
      <c r="C524" s="82" t="s">
        <v>13</v>
      </c>
      <c r="D524" s="82" t="s">
        <v>1728</v>
      </c>
      <c r="E524" s="82" t="s">
        <v>1123</v>
      </c>
      <c r="F524" s="82" t="s">
        <v>1296</v>
      </c>
      <c r="G524" s="82">
        <v>320</v>
      </c>
      <c r="H524" s="82" t="s">
        <v>147</v>
      </c>
      <c r="I524" s="82">
        <v>2</v>
      </c>
      <c r="J524" s="82">
        <v>7.6</v>
      </c>
      <c r="K524" s="82">
        <v>15.2</v>
      </c>
      <c r="L524" s="26">
        <f t="shared" si="45"/>
        <v>2</v>
      </c>
      <c r="M524" s="26">
        <f t="shared" si="34"/>
        <v>0</v>
      </c>
      <c r="N524" s="26"/>
      <c r="O524" s="26"/>
      <c r="P524" s="26"/>
      <c r="Q524" s="26"/>
      <c r="R524" s="26"/>
      <c r="S524" s="26">
        <v>2</v>
      </c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67" t="e">
        <f>SUMIFS([1]Up!$J:$J,[1]Up!$D:$D,D524)</f>
        <v>#VALUE!</v>
      </c>
      <c r="BJ524" s="82"/>
      <c r="BK524" s="82" t="str">
        <f t="shared" si="46"/>
        <v>PL20</v>
      </c>
      <c r="BL524" s="53" t="str">
        <f t="shared" si="47"/>
        <v/>
      </c>
      <c r="BM524" s="53" t="s">
        <v>148</v>
      </c>
      <c r="BN524" s="53" t="s">
        <v>1099</v>
      </c>
      <c r="BO524" s="53" t="s">
        <v>1100</v>
      </c>
      <c r="BP524" s="53" t="s">
        <v>1307</v>
      </c>
      <c r="BQ524" s="53">
        <v>2</v>
      </c>
      <c r="BR524" s="83">
        <v>46242</v>
      </c>
      <c r="BS524" s="53"/>
      <c r="BT524" s="53"/>
    </row>
    <row r="525" spans="3:73" ht="14.25" hidden="1" customHeight="1">
      <c r="C525" s="82" t="s">
        <v>13</v>
      </c>
      <c r="D525" s="82" t="s">
        <v>1729</v>
      </c>
      <c r="E525" s="82" t="s">
        <v>1125</v>
      </c>
      <c r="F525" s="82" t="s">
        <v>1296</v>
      </c>
      <c r="G525" s="82">
        <v>200</v>
      </c>
      <c r="H525" s="82" t="s">
        <v>147</v>
      </c>
      <c r="I525" s="82">
        <v>2</v>
      </c>
      <c r="J525" s="82">
        <v>2.6</v>
      </c>
      <c r="K525" s="82">
        <v>5.2</v>
      </c>
      <c r="L525" s="26">
        <f t="shared" si="45"/>
        <v>2</v>
      </c>
      <c r="M525" s="26">
        <f t="shared" si="34"/>
        <v>0</v>
      </c>
      <c r="N525" s="26"/>
      <c r="O525" s="26"/>
      <c r="P525" s="26"/>
      <c r="Q525" s="26"/>
      <c r="R525" s="26">
        <v>2</v>
      </c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67" t="e">
        <f>SUMIFS([1]Up!$J:$J,[1]Up!$D:$D,D525)</f>
        <v>#VALUE!</v>
      </c>
      <c r="BJ525" s="82"/>
      <c r="BK525" s="82" t="str">
        <f t="shared" si="46"/>
        <v>PL15</v>
      </c>
      <c r="BL525" s="53" t="str">
        <f t="shared" si="47"/>
        <v/>
      </c>
      <c r="BM525" s="53" t="s">
        <v>148</v>
      </c>
      <c r="BN525" s="53" t="s">
        <v>1093</v>
      </c>
      <c r="BO525" s="53" t="s">
        <v>1094</v>
      </c>
      <c r="BP525" s="53" t="s">
        <v>1303</v>
      </c>
      <c r="BQ525" s="53">
        <v>2</v>
      </c>
      <c r="BR525" s="83">
        <v>46088</v>
      </c>
      <c r="BS525" s="53"/>
      <c r="BT525" s="53"/>
    </row>
    <row r="526" spans="3:73" ht="14.25" hidden="1" customHeight="1">
      <c r="C526" s="82" t="s">
        <v>13</v>
      </c>
      <c r="D526" s="82" t="s">
        <v>1730</v>
      </c>
      <c r="E526" s="82" t="s">
        <v>1157</v>
      </c>
      <c r="F526" s="82" t="s">
        <v>1296</v>
      </c>
      <c r="G526" s="82">
        <v>11547</v>
      </c>
      <c r="H526" s="82" t="s">
        <v>147</v>
      </c>
      <c r="I526" s="82">
        <v>2</v>
      </c>
      <c r="J526" s="82">
        <v>435.1</v>
      </c>
      <c r="K526" s="82">
        <v>870.2</v>
      </c>
      <c r="L526" s="26">
        <f t="shared" si="45"/>
        <v>2</v>
      </c>
      <c r="M526" s="26">
        <f t="shared" si="34"/>
        <v>0</v>
      </c>
      <c r="N526" s="26"/>
      <c r="O526" s="26"/>
      <c r="P526" s="26"/>
      <c r="Q526" s="26"/>
      <c r="R526" s="26">
        <v>2</v>
      </c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67" t="e">
        <f>SUMIFS([1]Up!$J:$J,[1]Up!$D:$D,D526)</f>
        <v>#VALUE!</v>
      </c>
      <c r="BJ526" s="82"/>
      <c r="BK526" s="82" t="str">
        <f t="shared" si="46"/>
        <v>PL15</v>
      </c>
      <c r="BL526" s="53" t="str">
        <f t="shared" si="47"/>
        <v/>
      </c>
      <c r="BM526" s="53" t="s">
        <v>148</v>
      </c>
      <c r="BN526" s="53" t="s">
        <v>1093</v>
      </c>
      <c r="BO526" s="53" t="s">
        <v>1094</v>
      </c>
      <c r="BP526" s="53" t="s">
        <v>1303</v>
      </c>
      <c r="BQ526" s="53">
        <v>2</v>
      </c>
      <c r="BR526" s="83">
        <v>46088</v>
      </c>
      <c r="BS526" s="53"/>
      <c r="BT526" s="53"/>
    </row>
    <row r="527" spans="3:73" ht="14.25" hidden="1" customHeight="1">
      <c r="C527" s="82" t="s">
        <v>13</v>
      </c>
      <c r="D527" s="82" t="s">
        <v>1731</v>
      </c>
      <c r="E527" s="82" t="s">
        <v>1277</v>
      </c>
      <c r="F527" s="82" t="s">
        <v>1296</v>
      </c>
      <c r="G527" s="82">
        <v>1677</v>
      </c>
      <c r="H527" s="82" t="s">
        <v>147</v>
      </c>
      <c r="I527" s="82">
        <v>1</v>
      </c>
      <c r="J527" s="82">
        <v>323.10000000000002</v>
      </c>
      <c r="K527" s="82">
        <v>323.10000000000002</v>
      </c>
      <c r="L527" s="26">
        <f t="shared" si="45"/>
        <v>1</v>
      </c>
      <c r="M527" s="26">
        <f t="shared" si="34"/>
        <v>0</v>
      </c>
      <c r="N527" s="26"/>
      <c r="O527" s="26"/>
      <c r="P527" s="26"/>
      <c r="Q527" s="26"/>
      <c r="R527" s="26"/>
      <c r="S527" s="26">
        <v>1</v>
      </c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67" t="e">
        <f>SUMIFS([1]Up!$J:$J,[1]Up!$D:$D,D527)</f>
        <v>#VALUE!</v>
      </c>
      <c r="BJ527" s="82"/>
      <c r="BK527" s="82" t="str">
        <f t="shared" si="46"/>
        <v>PL20</v>
      </c>
      <c r="BL527" s="53" t="str">
        <f t="shared" si="47"/>
        <v/>
      </c>
      <c r="BM527" s="53" t="s">
        <v>148</v>
      </c>
      <c r="BN527" s="53" t="s">
        <v>1099</v>
      </c>
      <c r="BO527" s="53" t="s">
        <v>1100</v>
      </c>
      <c r="BP527" s="53" t="s">
        <v>1307</v>
      </c>
      <c r="BQ527" s="53">
        <v>1</v>
      </c>
      <c r="BR527" s="83">
        <v>46242</v>
      </c>
      <c r="BS527" s="53"/>
      <c r="BT527" s="53"/>
    </row>
    <row r="528" spans="3:73" ht="14.25" hidden="1" customHeight="1">
      <c r="C528" s="82" t="s">
        <v>13</v>
      </c>
      <c r="D528" s="82" t="s">
        <v>1732</v>
      </c>
      <c r="E528" s="82" t="s">
        <v>1282</v>
      </c>
      <c r="F528" s="82" t="s">
        <v>1296</v>
      </c>
      <c r="G528" s="82">
        <v>630</v>
      </c>
      <c r="H528" s="82" t="s">
        <v>147</v>
      </c>
      <c r="I528" s="82">
        <v>3</v>
      </c>
      <c r="J528" s="82">
        <v>9.3000000000000007</v>
      </c>
      <c r="K528" s="82">
        <v>27.900000000000002</v>
      </c>
      <c r="L528" s="26">
        <f t="shared" si="45"/>
        <v>3</v>
      </c>
      <c r="M528" s="26">
        <f t="shared" si="34"/>
        <v>0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>
        <v>3</v>
      </c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67" t="e">
        <f>SUMIFS([1]Up!$J:$J,[1]Up!$D:$D,D528)</f>
        <v>#VALUE!</v>
      </c>
      <c r="BJ528" s="82"/>
      <c r="BK528" s="82" t="str">
        <f t="shared" si="46"/>
        <v>PL16</v>
      </c>
      <c r="BL528" s="53" t="str">
        <f t="shared" si="47"/>
        <v/>
      </c>
      <c r="BM528" s="53" t="s">
        <v>148</v>
      </c>
      <c r="BN528" s="53" t="s">
        <v>987</v>
      </c>
      <c r="BO528" s="53" t="s">
        <v>988</v>
      </c>
      <c r="BP528" s="53" t="s">
        <v>989</v>
      </c>
      <c r="BQ528" s="53">
        <v>3</v>
      </c>
      <c r="BR528" s="83" t="s">
        <v>2222</v>
      </c>
      <c r="BS528" s="53"/>
      <c r="BT528" s="53"/>
    </row>
    <row r="529" spans="3:73" ht="14.25" hidden="1" customHeight="1">
      <c r="C529" s="82" t="s">
        <v>13</v>
      </c>
      <c r="D529" s="82" t="s">
        <v>1733</v>
      </c>
      <c r="E529" s="82" t="s">
        <v>1280</v>
      </c>
      <c r="F529" s="82" t="s">
        <v>1296</v>
      </c>
      <c r="G529" s="82">
        <v>1100</v>
      </c>
      <c r="H529" s="82" t="s">
        <v>147</v>
      </c>
      <c r="I529" s="82">
        <v>1</v>
      </c>
      <c r="J529" s="82">
        <v>47.5</v>
      </c>
      <c r="K529" s="82">
        <v>47.5</v>
      </c>
      <c r="L529" s="26">
        <f t="shared" si="45"/>
        <v>1</v>
      </c>
      <c r="M529" s="26">
        <f t="shared" si="34"/>
        <v>0</v>
      </c>
      <c r="N529" s="26"/>
      <c r="O529" s="26"/>
      <c r="P529" s="26"/>
      <c r="Q529" s="26"/>
      <c r="R529" s="26"/>
      <c r="S529" s="26">
        <v>1</v>
      </c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67" t="e">
        <f>SUMIFS([1]Up!$J:$J,[1]Up!$D:$D,D529)</f>
        <v>#VALUE!</v>
      </c>
      <c r="BJ529" s="82"/>
      <c r="BK529" s="82" t="str">
        <f t="shared" si="46"/>
        <v>PL20</v>
      </c>
      <c r="BL529" s="53" t="str">
        <f t="shared" si="47"/>
        <v/>
      </c>
      <c r="BM529" s="53" t="s">
        <v>148</v>
      </c>
      <c r="BN529" s="53" t="s">
        <v>1099</v>
      </c>
      <c r="BO529" s="53" t="s">
        <v>1100</v>
      </c>
      <c r="BP529" s="53" t="s">
        <v>1307</v>
      </c>
      <c r="BQ529" s="53">
        <v>1</v>
      </c>
      <c r="BR529" s="83">
        <v>46242</v>
      </c>
      <c r="BS529" s="53"/>
      <c r="BT529" s="53"/>
    </row>
    <row r="530" spans="3:73" ht="14.25" hidden="1" customHeight="1">
      <c r="C530" s="82" t="s">
        <v>13</v>
      </c>
      <c r="D530" s="82" t="s">
        <v>1734</v>
      </c>
      <c r="E530" s="82" t="s">
        <v>1273</v>
      </c>
      <c r="F530" s="82" t="s">
        <v>1296</v>
      </c>
      <c r="G530" s="82">
        <v>255</v>
      </c>
      <c r="H530" s="82" t="s">
        <v>652</v>
      </c>
      <c r="I530" s="82">
        <v>2</v>
      </c>
      <c r="J530" s="82">
        <v>1.9</v>
      </c>
      <c r="K530" s="82">
        <v>3.8</v>
      </c>
      <c r="L530" s="26">
        <f t="shared" si="45"/>
        <v>2</v>
      </c>
      <c r="M530" s="26">
        <f t="shared" si="34"/>
        <v>0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>
        <v>2</v>
      </c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67" t="e">
        <f>SUMIFS([1]Up!$J:$J,[1]Up!$D:$D,D530)</f>
        <v>#VALUE!</v>
      </c>
      <c r="BJ530" s="82"/>
      <c r="BK530" s="82" t="str">
        <f t="shared" si="46"/>
        <v>PL5</v>
      </c>
      <c r="BL530" s="53" t="str">
        <f t="shared" si="47"/>
        <v/>
      </c>
      <c r="BM530" s="53" t="s">
        <v>148</v>
      </c>
      <c r="BN530" s="53" t="s">
        <v>1107</v>
      </c>
      <c r="BO530" s="53" t="s">
        <v>956</v>
      </c>
      <c r="BP530" s="53" t="s">
        <v>1312</v>
      </c>
      <c r="BQ530" s="53">
        <v>2</v>
      </c>
      <c r="BR530" s="83" t="s">
        <v>2222</v>
      </c>
      <c r="BS530" s="53"/>
      <c r="BT530" s="53"/>
    </row>
    <row r="531" spans="3:73" ht="14.25" hidden="1" customHeight="1">
      <c r="C531" s="82" t="s">
        <v>13</v>
      </c>
      <c r="D531" s="82" t="s">
        <v>1735</v>
      </c>
      <c r="E531" s="82" t="s">
        <v>1284</v>
      </c>
      <c r="F531" s="82" t="s">
        <v>1296</v>
      </c>
      <c r="G531" s="82">
        <v>325</v>
      </c>
      <c r="H531" s="82" t="s">
        <v>147</v>
      </c>
      <c r="I531" s="82">
        <v>1</v>
      </c>
      <c r="J531" s="82">
        <v>3.3</v>
      </c>
      <c r="K531" s="82">
        <v>3.3</v>
      </c>
      <c r="L531" s="26">
        <f t="shared" si="45"/>
        <v>1</v>
      </c>
      <c r="M531" s="26">
        <f t="shared" si="34"/>
        <v>0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>
        <v>1</v>
      </c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67" t="e">
        <f>SUMIFS([1]Up!$J:$J,[1]Up!$D:$D,D531)</f>
        <v>#VALUE!</v>
      </c>
      <c r="BJ531" s="82"/>
      <c r="BK531" s="82" t="str">
        <f t="shared" si="46"/>
        <v>PL16</v>
      </c>
      <c r="BL531" s="53" t="str">
        <f t="shared" si="47"/>
        <v/>
      </c>
      <c r="BM531" s="53" t="s">
        <v>148</v>
      </c>
      <c r="BN531" s="53" t="s">
        <v>987</v>
      </c>
      <c r="BO531" s="53" t="s">
        <v>988</v>
      </c>
      <c r="BP531" s="53" t="s">
        <v>989</v>
      </c>
      <c r="BQ531" s="53">
        <v>1</v>
      </c>
      <c r="BR531" s="83" t="s">
        <v>2222</v>
      </c>
      <c r="BS531" s="53"/>
      <c r="BT531" s="53"/>
    </row>
    <row r="532" spans="3:73" ht="14.25" hidden="1" customHeight="1">
      <c r="C532" s="82" t="s">
        <v>13</v>
      </c>
      <c r="D532" s="82" t="s">
        <v>1736</v>
      </c>
      <c r="E532" s="82" t="s">
        <v>1284</v>
      </c>
      <c r="F532" s="82" t="s">
        <v>1296</v>
      </c>
      <c r="G532" s="82">
        <v>325</v>
      </c>
      <c r="H532" s="82" t="s">
        <v>147</v>
      </c>
      <c r="I532" s="82">
        <v>1</v>
      </c>
      <c r="J532" s="82">
        <v>3.3</v>
      </c>
      <c r="K532" s="82">
        <v>3.3</v>
      </c>
      <c r="L532" s="26">
        <f t="shared" si="45"/>
        <v>1</v>
      </c>
      <c r="M532" s="26">
        <f t="shared" si="34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>
        <v>1</v>
      </c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67" t="e">
        <f>SUMIFS([1]Up!$J:$J,[1]Up!$D:$D,D532)</f>
        <v>#VALUE!</v>
      </c>
      <c r="BJ532" s="82"/>
      <c r="BK532" s="82" t="str">
        <f t="shared" si="46"/>
        <v>PL16</v>
      </c>
      <c r="BL532" s="53" t="str">
        <f t="shared" si="47"/>
        <v/>
      </c>
      <c r="BM532" s="53" t="s">
        <v>148</v>
      </c>
      <c r="BN532" s="53" t="s">
        <v>987</v>
      </c>
      <c r="BO532" s="53" t="s">
        <v>988</v>
      </c>
      <c r="BP532" s="53" t="s">
        <v>989</v>
      </c>
      <c r="BQ532" s="53">
        <v>1</v>
      </c>
      <c r="BR532" s="83" t="s">
        <v>2222</v>
      </c>
      <c r="BS532" s="53"/>
      <c r="BT532" s="53"/>
    </row>
    <row r="533" spans="3:73" ht="14.25" hidden="1" customHeight="1">
      <c r="C533" s="82" t="s">
        <v>13</v>
      </c>
      <c r="D533" s="82" t="s">
        <v>1737</v>
      </c>
      <c r="E533" s="82" t="s">
        <v>1284</v>
      </c>
      <c r="F533" s="82" t="s">
        <v>1296</v>
      </c>
      <c r="G533" s="82">
        <v>100</v>
      </c>
      <c r="H533" s="82" t="s">
        <v>147</v>
      </c>
      <c r="I533" s="82">
        <v>1</v>
      </c>
      <c r="J533" s="82">
        <v>0.8</v>
      </c>
      <c r="K533" s="82">
        <v>0.8</v>
      </c>
      <c r="L533" s="26">
        <f t="shared" si="45"/>
        <v>1</v>
      </c>
      <c r="M533" s="26">
        <f t="shared" si="34"/>
        <v>0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>
        <v>1</v>
      </c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/>
      <c r="BI533" s="67" t="e">
        <f>SUMIFS([1]Up!$J:$J,[1]Up!$D:$D,D533)</f>
        <v>#VALUE!</v>
      </c>
      <c r="BJ533" s="82"/>
      <c r="BK533" s="82" t="str">
        <f t="shared" si="46"/>
        <v>PL16</v>
      </c>
      <c r="BL533" s="53" t="str">
        <f t="shared" si="47"/>
        <v/>
      </c>
      <c r="BM533" s="53" t="s">
        <v>148</v>
      </c>
      <c r="BN533" s="53" t="s">
        <v>987</v>
      </c>
      <c r="BO533" s="53" t="s">
        <v>988</v>
      </c>
      <c r="BP533" s="53" t="s">
        <v>989</v>
      </c>
      <c r="BQ533" s="53">
        <v>1</v>
      </c>
      <c r="BR533" s="83" t="s">
        <v>2222</v>
      </c>
      <c r="BS533" s="53"/>
      <c r="BT533" s="53"/>
    </row>
    <row r="534" spans="3:73" ht="14.25" hidden="1" customHeight="1">
      <c r="C534" s="82" t="s">
        <v>13</v>
      </c>
      <c r="D534" s="82" t="s">
        <v>1738</v>
      </c>
      <c r="E534" s="82" t="s">
        <v>1739</v>
      </c>
      <c r="F534" s="82" t="s">
        <v>1296</v>
      </c>
      <c r="G534" s="82">
        <v>1616</v>
      </c>
      <c r="H534" s="82" t="s">
        <v>147</v>
      </c>
      <c r="I534" s="82">
        <v>3</v>
      </c>
      <c r="J534" s="82">
        <v>24.2</v>
      </c>
      <c r="K534" s="82">
        <v>72.599999999999994</v>
      </c>
      <c r="L534" s="26">
        <f t="shared" si="45"/>
        <v>3</v>
      </c>
      <c r="M534" s="26">
        <f t="shared" si="34"/>
        <v>0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>
        <v>6</v>
      </c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67" t="e">
        <f>SUMIFS([1]Up!$J:$J,[1]Up!$D:$D,D534)</f>
        <v>#VALUE!</v>
      </c>
      <c r="BJ534" s="82" t="s">
        <v>2080</v>
      </c>
      <c r="BK534" s="82" t="str">
        <f t="shared" si="46"/>
        <v>PL8</v>
      </c>
      <c r="BL534" s="53" t="str">
        <f t="shared" si="47"/>
        <v>Thừa 3</v>
      </c>
      <c r="BM534" s="53" t="s">
        <v>148</v>
      </c>
      <c r="BN534" s="53" t="s">
        <v>1011</v>
      </c>
      <c r="BO534" s="53" t="s">
        <v>1012</v>
      </c>
      <c r="BP534" s="53" t="s">
        <v>57</v>
      </c>
      <c r="BQ534" s="53">
        <v>3</v>
      </c>
      <c r="BR534" s="83"/>
      <c r="BS534" s="53"/>
      <c r="BT534" s="53"/>
    </row>
    <row r="535" spans="3:73" ht="14.25" hidden="1" customHeight="1">
      <c r="C535" s="82" t="s">
        <v>11</v>
      </c>
      <c r="D535" s="82" t="s">
        <v>1740</v>
      </c>
      <c r="E535" s="82" t="s">
        <v>1075</v>
      </c>
      <c r="F535" s="82" t="s">
        <v>1076</v>
      </c>
      <c r="G535" s="82">
        <v>812</v>
      </c>
      <c r="H535" s="82" t="s">
        <v>1077</v>
      </c>
      <c r="I535" s="82">
        <v>10</v>
      </c>
      <c r="J535" s="82">
        <v>13.05696</v>
      </c>
      <c r="K535" s="82">
        <v>130.56960000000001</v>
      </c>
      <c r="L535" s="26">
        <f t="shared" si="45"/>
        <v>5</v>
      </c>
      <c r="M535" s="26">
        <f t="shared" si="34"/>
        <v>5</v>
      </c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>
        <v>5</v>
      </c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67" t="e">
        <f>SUMIFS([1]Up!$J:$J,[1]Up!$D:$D,D535)</f>
        <v>#VALUE!</v>
      </c>
      <c r="BJ535" s="82"/>
      <c r="BK535" s="82" t="str">
        <f t="shared" si="46"/>
        <v/>
      </c>
      <c r="BL535" s="53" t="str">
        <f t="shared" si="47"/>
        <v/>
      </c>
      <c r="BM535" s="53" t="s">
        <v>148</v>
      </c>
      <c r="BN535" s="53" t="s">
        <v>1078</v>
      </c>
      <c r="BO535" s="53" t="s">
        <v>1075</v>
      </c>
      <c r="BP535" s="84" t="s">
        <v>2161</v>
      </c>
      <c r="BQ535" s="53">
        <v>20</v>
      </c>
      <c r="BR535" s="83" t="s">
        <v>2224</v>
      </c>
      <c r="BS535" s="53"/>
      <c r="BT535" s="53"/>
      <c r="BU535" s="238"/>
    </row>
    <row r="536" spans="3:73" ht="14.25" customHeight="1">
      <c r="C536" s="82" t="s">
        <v>13</v>
      </c>
      <c r="D536" s="82" t="s">
        <v>1741</v>
      </c>
      <c r="E536" s="82" t="s">
        <v>1676</v>
      </c>
      <c r="F536" s="82" t="s">
        <v>1084</v>
      </c>
      <c r="G536" s="82">
        <v>11647</v>
      </c>
      <c r="H536" s="82" t="s">
        <v>147</v>
      </c>
      <c r="I536" s="82">
        <v>2</v>
      </c>
      <c r="J536" s="82">
        <v>2620.5</v>
      </c>
      <c r="K536" s="82">
        <v>5241</v>
      </c>
      <c r="L536" s="26">
        <f t="shared" si="45"/>
        <v>2</v>
      </c>
      <c r="M536" s="26">
        <f t="shared" si="34"/>
        <v>0</v>
      </c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>
        <v>3</v>
      </c>
      <c r="BH536" s="26"/>
      <c r="BI536" s="67" t="e">
        <f>SUMIFS([1]Up!$J:$J,[1]Up!$D:$D,D536)</f>
        <v>#VALUE!</v>
      </c>
      <c r="BJ536" s="82" t="s">
        <v>2392</v>
      </c>
      <c r="BK536" s="82" t="str">
        <f t="shared" si="46"/>
        <v>PL8</v>
      </c>
      <c r="BL536" s="53" t="str">
        <f t="shared" si="47"/>
        <v>Thừa 1</v>
      </c>
      <c r="BM536" s="53" t="s">
        <v>154</v>
      </c>
      <c r="BN536" s="53" t="s">
        <v>1011</v>
      </c>
      <c r="BO536" s="53" t="s">
        <v>1012</v>
      </c>
      <c r="BP536" s="53" t="s">
        <v>57</v>
      </c>
      <c r="BQ536" s="53">
        <v>4</v>
      </c>
      <c r="BR536" s="83"/>
      <c r="BS536" s="53"/>
      <c r="BT536" s="53"/>
    </row>
    <row r="537" spans="3:73" ht="14.25" customHeight="1">
      <c r="C537" s="82" t="s">
        <v>13</v>
      </c>
      <c r="D537" s="82" t="s">
        <v>1742</v>
      </c>
      <c r="E537" s="82" t="s">
        <v>1720</v>
      </c>
      <c r="F537" s="82" t="s">
        <v>1296</v>
      </c>
      <c r="G537" s="82">
        <v>609</v>
      </c>
      <c r="H537" s="82" t="s">
        <v>147</v>
      </c>
      <c r="I537" s="82">
        <v>4</v>
      </c>
      <c r="J537" s="82">
        <v>16.8</v>
      </c>
      <c r="K537" s="82">
        <v>67.2</v>
      </c>
      <c r="L537" s="26">
        <f t="shared" si="45"/>
        <v>2</v>
      </c>
      <c r="M537" s="26">
        <f t="shared" si="34"/>
        <v>2</v>
      </c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>
        <v>2</v>
      </c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67" t="e">
        <f>SUMIFS([1]Up!$J:$J,[1]Up!$D:$D,D537)</f>
        <v>#VALUE!</v>
      </c>
      <c r="BJ537" s="82"/>
      <c r="BK537" s="82" t="str">
        <f t="shared" si="46"/>
        <v>PL15</v>
      </c>
      <c r="BL537" s="53" t="str">
        <f t="shared" si="47"/>
        <v/>
      </c>
      <c r="BM537" s="53" t="s">
        <v>148</v>
      </c>
      <c r="BN537" s="53" t="s">
        <v>1093</v>
      </c>
      <c r="BO537" s="53" t="s">
        <v>1094</v>
      </c>
      <c r="BP537" s="84" t="s">
        <v>2155</v>
      </c>
      <c r="BQ537" s="53">
        <v>8</v>
      </c>
      <c r="BR537" s="83" t="s">
        <v>2224</v>
      </c>
      <c r="BS537" s="53"/>
      <c r="BT537" s="53"/>
      <c r="BU537" s="238"/>
    </row>
    <row r="538" spans="3:73" ht="14.25" customHeight="1">
      <c r="C538" s="82" t="s">
        <v>13</v>
      </c>
      <c r="D538" s="82" t="s">
        <v>1743</v>
      </c>
      <c r="E538" s="82" t="s">
        <v>1703</v>
      </c>
      <c r="F538" s="82" t="s">
        <v>1296</v>
      </c>
      <c r="G538" s="82">
        <v>182</v>
      </c>
      <c r="H538" s="82" t="s">
        <v>147</v>
      </c>
      <c r="I538" s="82">
        <v>20</v>
      </c>
      <c r="J538" s="82">
        <v>1.4</v>
      </c>
      <c r="K538" s="82">
        <v>28</v>
      </c>
      <c r="L538" s="26">
        <f t="shared" si="45"/>
        <v>10</v>
      </c>
      <c r="M538" s="26">
        <f t="shared" si="34"/>
        <v>10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>
        <v>10</v>
      </c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67" t="e">
        <f>SUMIFS([1]Up!$J:$J,[1]Up!$D:$D,D538)</f>
        <v>#VALUE!</v>
      </c>
      <c r="BJ538" s="82"/>
      <c r="BK538" s="82" t="str">
        <f t="shared" si="46"/>
        <v>PL16</v>
      </c>
      <c r="BL538" s="53" t="str">
        <f t="shared" si="47"/>
        <v/>
      </c>
      <c r="BM538" s="53" t="s">
        <v>148</v>
      </c>
      <c r="BN538" s="53" t="s">
        <v>987</v>
      </c>
      <c r="BO538" s="53" t="s">
        <v>988</v>
      </c>
      <c r="BP538" s="84" t="s">
        <v>2160</v>
      </c>
      <c r="BQ538" s="53">
        <v>40</v>
      </c>
      <c r="BR538" s="83" t="s">
        <v>2225</v>
      </c>
      <c r="BS538" s="53"/>
      <c r="BT538" s="53"/>
      <c r="BU538" s="238"/>
    </row>
    <row r="539" spans="3:73" ht="14.25" customHeight="1">
      <c r="C539" s="82" t="s">
        <v>13</v>
      </c>
      <c r="D539" s="82" t="s">
        <v>1744</v>
      </c>
      <c r="E539" s="82" t="s">
        <v>1125</v>
      </c>
      <c r="F539" s="82" t="s">
        <v>1296</v>
      </c>
      <c r="G539" s="82">
        <v>200</v>
      </c>
      <c r="H539" s="82" t="s">
        <v>147</v>
      </c>
      <c r="I539" s="82">
        <v>4</v>
      </c>
      <c r="J539" s="82">
        <v>5.5</v>
      </c>
      <c r="K539" s="82">
        <v>22</v>
      </c>
      <c r="L539" s="26">
        <f t="shared" si="45"/>
        <v>2</v>
      </c>
      <c r="M539" s="26">
        <f t="shared" si="34"/>
        <v>2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>
        <v>2</v>
      </c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67" t="e">
        <f>SUMIFS([1]Up!$J:$J,[1]Up!$D:$D,D539)</f>
        <v>#VALUE!</v>
      </c>
      <c r="BJ539" s="82"/>
      <c r="BK539" s="82" t="str">
        <f t="shared" si="46"/>
        <v>PL15</v>
      </c>
      <c r="BL539" s="53" t="str">
        <f t="shared" si="47"/>
        <v/>
      </c>
      <c r="BM539" s="53" t="s">
        <v>148</v>
      </c>
      <c r="BN539" s="53" t="s">
        <v>1093</v>
      </c>
      <c r="BO539" s="53" t="s">
        <v>1094</v>
      </c>
      <c r="BP539" s="84" t="s">
        <v>2155</v>
      </c>
      <c r="BQ539" s="53">
        <v>8</v>
      </c>
      <c r="BR539" s="83" t="s">
        <v>2224</v>
      </c>
      <c r="BS539" s="53"/>
      <c r="BT539" s="53"/>
      <c r="BU539" s="238"/>
    </row>
    <row r="540" spans="3:73" ht="14.25" customHeight="1">
      <c r="C540" s="82" t="s">
        <v>13</v>
      </c>
      <c r="D540" s="82" t="s">
        <v>1745</v>
      </c>
      <c r="E540" s="82" t="s">
        <v>1123</v>
      </c>
      <c r="F540" s="82" t="s">
        <v>1296</v>
      </c>
      <c r="G540" s="82">
        <v>320</v>
      </c>
      <c r="H540" s="82" t="s">
        <v>147</v>
      </c>
      <c r="I540" s="82">
        <v>4</v>
      </c>
      <c r="J540" s="82">
        <v>7.6</v>
      </c>
      <c r="K540" s="82">
        <v>30.4</v>
      </c>
      <c r="L540" s="26">
        <f t="shared" si="45"/>
        <v>2</v>
      </c>
      <c r="M540" s="26">
        <f t="shared" si="34"/>
        <v>2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>
        <v>2</v>
      </c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67" t="e">
        <f>SUMIFS([1]Up!$J:$J,[1]Up!$D:$D,D540)</f>
        <v>#VALUE!</v>
      </c>
      <c r="BJ540" s="82"/>
      <c r="BK540" s="82" t="str">
        <f t="shared" si="46"/>
        <v>PL20</v>
      </c>
      <c r="BL540" s="53" t="str">
        <f t="shared" si="47"/>
        <v/>
      </c>
      <c r="BM540" s="53" t="s">
        <v>148</v>
      </c>
      <c r="BN540" s="53" t="s">
        <v>1099</v>
      </c>
      <c r="BO540" s="53" t="s">
        <v>1100</v>
      </c>
      <c r="BP540" s="84" t="s">
        <v>2157</v>
      </c>
      <c r="BQ540" s="53">
        <v>8</v>
      </c>
      <c r="BR540" s="83">
        <v>46242</v>
      </c>
      <c r="BS540" s="53"/>
      <c r="BT540" s="53"/>
      <c r="BU540" s="238"/>
    </row>
    <row r="541" spans="3:73" ht="14.25" hidden="1" customHeight="1">
      <c r="C541" s="82" t="s">
        <v>13</v>
      </c>
      <c r="D541" s="82" t="s">
        <v>1746</v>
      </c>
      <c r="E541" s="82" t="s">
        <v>1157</v>
      </c>
      <c r="F541" s="82" t="s">
        <v>1296</v>
      </c>
      <c r="G541" s="82">
        <v>11547</v>
      </c>
      <c r="H541" s="82" t="s">
        <v>147</v>
      </c>
      <c r="I541" s="82">
        <v>4</v>
      </c>
      <c r="J541" s="82">
        <v>435.1</v>
      </c>
      <c r="K541" s="82">
        <v>1740.4</v>
      </c>
      <c r="L541" s="26">
        <f t="shared" si="45"/>
        <v>2</v>
      </c>
      <c r="M541" s="26">
        <f t="shared" ref="M541:M549" si="48">MAX(0,I541-L541)</f>
        <v>2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>
        <v>2</v>
      </c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67" t="e">
        <f>SUMIFS([1]Up!$J:$J,[1]Up!$D:$D,D541)</f>
        <v>#VALUE!</v>
      </c>
      <c r="BJ541" s="82"/>
      <c r="BK541" s="82" t="str">
        <f t="shared" si="46"/>
        <v>PL15</v>
      </c>
      <c r="BL541" s="53" t="str">
        <f t="shared" si="47"/>
        <v/>
      </c>
      <c r="BM541" s="53" t="s">
        <v>148</v>
      </c>
      <c r="BN541" s="53" t="s">
        <v>1093</v>
      </c>
      <c r="BO541" s="53" t="s">
        <v>1094</v>
      </c>
      <c r="BP541" s="84" t="s">
        <v>2155</v>
      </c>
      <c r="BQ541" s="53">
        <v>8</v>
      </c>
      <c r="BR541" s="83" t="s">
        <v>2224</v>
      </c>
      <c r="BS541" s="53"/>
      <c r="BT541" s="53"/>
      <c r="BU541" s="238"/>
    </row>
    <row r="542" spans="3:73" ht="14.25" hidden="1" customHeight="1">
      <c r="C542" s="82" t="s">
        <v>13</v>
      </c>
      <c r="D542" s="82" t="s">
        <v>1747</v>
      </c>
      <c r="E542" s="82" t="s">
        <v>1277</v>
      </c>
      <c r="F542" s="82" t="s">
        <v>1296</v>
      </c>
      <c r="G542" s="82">
        <v>1677</v>
      </c>
      <c r="H542" s="82" t="s">
        <v>147</v>
      </c>
      <c r="I542" s="82">
        <v>2</v>
      </c>
      <c r="J542" s="82">
        <v>323.10000000000002</v>
      </c>
      <c r="K542" s="82">
        <v>646.20000000000005</v>
      </c>
      <c r="L542" s="26">
        <f t="shared" ref="L542:L549" si="49">MIN(SUM(N542:BH542),I542)</f>
        <v>1</v>
      </c>
      <c r="M542" s="26">
        <f t="shared" si="48"/>
        <v>1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>
        <v>1</v>
      </c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67" t="e">
        <f>SUMIFS([1]Up!$J:$J,[1]Up!$D:$D,D542)</f>
        <v>#VALUE!</v>
      </c>
      <c r="BJ542" s="82"/>
      <c r="BK542" s="82" t="str">
        <f t="shared" ref="BK542:BK549" si="50">IFERROR(IF(C542="Plate",LEFT(E542,FIND("*",E542,1)-1),""),IF(C542="Plate",LEFT(E542,FIND("x",E542,1)-1),""))</f>
        <v>PL20</v>
      </c>
      <c r="BL542" s="53" t="str">
        <f t="shared" ref="BL542:BL549" si="51">IF(ROUND(SUM(N542:BH542)-I542,0)&gt;0,"Thừa "&amp;SUM(N542:BH542)-I542,"")</f>
        <v/>
      </c>
      <c r="BM542" s="53" t="s">
        <v>148</v>
      </c>
      <c r="BN542" s="53" t="s">
        <v>1099</v>
      </c>
      <c r="BO542" s="53" t="s">
        <v>1100</v>
      </c>
      <c r="BP542" s="84" t="s">
        <v>2157</v>
      </c>
      <c r="BQ542" s="53">
        <v>4</v>
      </c>
      <c r="BR542" s="83">
        <v>46242</v>
      </c>
      <c r="BS542" s="53"/>
      <c r="BT542" s="53"/>
      <c r="BU542" s="238"/>
    </row>
    <row r="543" spans="3:73" ht="14.25" hidden="1" customHeight="1">
      <c r="C543" s="82" t="s">
        <v>13</v>
      </c>
      <c r="D543" s="82" t="s">
        <v>1748</v>
      </c>
      <c r="E543" s="82" t="s">
        <v>1282</v>
      </c>
      <c r="F543" s="82" t="s">
        <v>1296</v>
      </c>
      <c r="G543" s="82">
        <v>630</v>
      </c>
      <c r="H543" s="82" t="s">
        <v>147</v>
      </c>
      <c r="I543" s="82">
        <v>6</v>
      </c>
      <c r="J543" s="82">
        <v>9.3000000000000007</v>
      </c>
      <c r="K543" s="82">
        <v>55.800000000000004</v>
      </c>
      <c r="L543" s="26">
        <f t="shared" si="49"/>
        <v>3</v>
      </c>
      <c r="M543" s="26">
        <f t="shared" si="48"/>
        <v>3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>
        <v>3</v>
      </c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67" t="e">
        <f>SUMIFS([1]Up!$J:$J,[1]Up!$D:$D,D543)</f>
        <v>#VALUE!</v>
      </c>
      <c r="BJ543" s="82"/>
      <c r="BK543" s="82" t="str">
        <f t="shared" si="50"/>
        <v>PL16</v>
      </c>
      <c r="BL543" s="53" t="str">
        <f t="shared" si="51"/>
        <v/>
      </c>
      <c r="BM543" s="53" t="s">
        <v>148</v>
      </c>
      <c r="BN543" s="53" t="s">
        <v>987</v>
      </c>
      <c r="BO543" s="53" t="s">
        <v>988</v>
      </c>
      <c r="BP543" s="84" t="s">
        <v>2160</v>
      </c>
      <c r="BQ543" s="53">
        <v>12</v>
      </c>
      <c r="BR543" s="83" t="s">
        <v>2225</v>
      </c>
      <c r="BS543" s="53"/>
      <c r="BT543" s="53"/>
      <c r="BU543" s="238"/>
    </row>
    <row r="544" spans="3:73" ht="14.25" hidden="1" customHeight="1">
      <c r="C544" s="82" t="s">
        <v>13</v>
      </c>
      <c r="D544" s="82" t="s">
        <v>1749</v>
      </c>
      <c r="E544" s="82" t="s">
        <v>1280</v>
      </c>
      <c r="F544" s="82" t="s">
        <v>1296</v>
      </c>
      <c r="G544" s="82">
        <v>1100</v>
      </c>
      <c r="H544" s="82" t="s">
        <v>147</v>
      </c>
      <c r="I544" s="82">
        <v>2</v>
      </c>
      <c r="J544" s="82">
        <v>47.5</v>
      </c>
      <c r="K544" s="82">
        <v>95</v>
      </c>
      <c r="L544" s="26">
        <f t="shared" si="49"/>
        <v>1</v>
      </c>
      <c r="M544" s="26">
        <f t="shared" si="48"/>
        <v>1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>
        <v>1</v>
      </c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67" t="e">
        <f>SUMIFS([1]Up!$J:$J,[1]Up!$D:$D,D544)</f>
        <v>#VALUE!</v>
      </c>
      <c r="BJ544" s="82"/>
      <c r="BK544" s="82" t="str">
        <f t="shared" si="50"/>
        <v>PL20</v>
      </c>
      <c r="BL544" s="53" t="str">
        <f t="shared" si="51"/>
        <v/>
      </c>
      <c r="BM544" s="53" t="s">
        <v>148</v>
      </c>
      <c r="BN544" s="53" t="s">
        <v>1099</v>
      </c>
      <c r="BO544" s="53" t="s">
        <v>1100</v>
      </c>
      <c r="BP544" s="84" t="s">
        <v>2157</v>
      </c>
      <c r="BQ544" s="53">
        <v>4</v>
      </c>
      <c r="BR544" s="83">
        <v>46242</v>
      </c>
      <c r="BS544" s="53"/>
      <c r="BT544" s="53"/>
      <c r="BU544" s="238"/>
    </row>
    <row r="545" spans="3:73" ht="14.25" hidden="1" customHeight="1">
      <c r="C545" s="82" t="s">
        <v>13</v>
      </c>
      <c r="D545" s="82" t="s">
        <v>1750</v>
      </c>
      <c r="E545" s="82" t="s">
        <v>1273</v>
      </c>
      <c r="F545" s="82" t="s">
        <v>1296</v>
      </c>
      <c r="G545" s="82">
        <v>255</v>
      </c>
      <c r="H545" s="82" t="s">
        <v>652</v>
      </c>
      <c r="I545" s="82">
        <v>4</v>
      </c>
      <c r="J545" s="82">
        <v>1.9</v>
      </c>
      <c r="K545" s="82">
        <v>7.6</v>
      </c>
      <c r="L545" s="26">
        <f t="shared" si="49"/>
        <v>0</v>
      </c>
      <c r="M545" s="26">
        <f t="shared" si="48"/>
        <v>4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67" t="e">
        <f>SUMIFS([1]Up!$J:$J,[1]Up!$D:$D,D545)</f>
        <v>#VALUE!</v>
      </c>
      <c r="BJ545" s="82"/>
      <c r="BK545" s="82" t="str">
        <f t="shared" si="50"/>
        <v>PL5</v>
      </c>
      <c r="BL545" s="53" t="str">
        <f t="shared" si="51"/>
        <v/>
      </c>
      <c r="BM545" s="53" t="s">
        <v>148</v>
      </c>
      <c r="BN545" s="53" t="s">
        <v>1107</v>
      </c>
      <c r="BO545" s="53" t="s">
        <v>956</v>
      </c>
      <c r="BP545" s="84" t="s">
        <v>2158</v>
      </c>
      <c r="BQ545" s="53">
        <v>8</v>
      </c>
      <c r="BR545" s="83">
        <v>46302</v>
      </c>
      <c r="BS545" s="53"/>
      <c r="BT545" s="53"/>
      <c r="BU545" s="238"/>
    </row>
    <row r="546" spans="3:73" ht="14.25" hidden="1" customHeight="1">
      <c r="C546" s="82" t="s">
        <v>13</v>
      </c>
      <c r="D546" s="82" t="s">
        <v>1751</v>
      </c>
      <c r="E546" s="82" t="s">
        <v>1284</v>
      </c>
      <c r="F546" s="82" t="s">
        <v>1296</v>
      </c>
      <c r="G546" s="82">
        <v>325</v>
      </c>
      <c r="H546" s="82" t="s">
        <v>147</v>
      </c>
      <c r="I546" s="82">
        <v>2</v>
      </c>
      <c r="J546" s="82">
        <v>3.3</v>
      </c>
      <c r="K546" s="82">
        <v>6.6</v>
      </c>
      <c r="L546" s="26">
        <f t="shared" si="49"/>
        <v>1</v>
      </c>
      <c r="M546" s="26">
        <f t="shared" si="48"/>
        <v>1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>
        <v>1</v>
      </c>
      <c r="AW546" s="26"/>
      <c r="AX546" s="26"/>
      <c r="AY546" s="26"/>
      <c r="AZ546" s="26"/>
      <c r="BA546" s="26"/>
      <c r="BB546" s="26"/>
      <c r="BC546" s="26"/>
      <c r="BD546" s="26"/>
      <c r="BE546" s="26"/>
      <c r="BF546" s="26"/>
      <c r="BG546" s="26"/>
      <c r="BH546" s="26"/>
      <c r="BI546" s="67" t="e">
        <f>SUMIFS([1]Up!$J:$J,[1]Up!$D:$D,D546)</f>
        <v>#VALUE!</v>
      </c>
      <c r="BJ546" s="82"/>
      <c r="BK546" s="82" t="str">
        <f t="shared" si="50"/>
        <v>PL16</v>
      </c>
      <c r="BL546" s="53" t="str">
        <f t="shared" si="51"/>
        <v/>
      </c>
      <c r="BM546" s="53" t="s">
        <v>148</v>
      </c>
      <c r="BN546" s="53" t="s">
        <v>987</v>
      </c>
      <c r="BO546" s="53" t="s">
        <v>988</v>
      </c>
      <c r="BP546" s="84" t="s">
        <v>2160</v>
      </c>
      <c r="BQ546" s="53">
        <v>4</v>
      </c>
      <c r="BR546" s="83" t="s">
        <v>2225</v>
      </c>
      <c r="BS546" s="53"/>
      <c r="BT546" s="53"/>
      <c r="BU546" s="238"/>
    </row>
    <row r="547" spans="3:73" ht="14.25" hidden="1" customHeight="1">
      <c r="C547" s="82" t="s">
        <v>13</v>
      </c>
      <c r="D547" s="82" t="s">
        <v>1752</v>
      </c>
      <c r="E547" s="82" t="s">
        <v>1284</v>
      </c>
      <c r="F547" s="82" t="s">
        <v>1296</v>
      </c>
      <c r="G547" s="82">
        <v>325</v>
      </c>
      <c r="H547" s="82" t="s">
        <v>147</v>
      </c>
      <c r="I547" s="82">
        <v>2</v>
      </c>
      <c r="J547" s="82">
        <v>3.3</v>
      </c>
      <c r="K547" s="82">
        <v>6.6</v>
      </c>
      <c r="L547" s="26">
        <f t="shared" si="49"/>
        <v>1</v>
      </c>
      <c r="M547" s="26">
        <f t="shared" si="48"/>
        <v>1</v>
      </c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>
        <v>1</v>
      </c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67" t="e">
        <f>SUMIFS([1]Up!$J:$J,[1]Up!$D:$D,D547)</f>
        <v>#VALUE!</v>
      </c>
      <c r="BJ547" s="82"/>
      <c r="BK547" s="82" t="str">
        <f t="shared" si="50"/>
        <v>PL16</v>
      </c>
      <c r="BL547" s="53" t="str">
        <f t="shared" si="51"/>
        <v/>
      </c>
      <c r="BM547" s="53" t="s">
        <v>148</v>
      </c>
      <c r="BN547" s="53" t="s">
        <v>987</v>
      </c>
      <c r="BO547" s="53" t="s">
        <v>988</v>
      </c>
      <c r="BP547" s="84" t="s">
        <v>2160</v>
      </c>
      <c r="BQ547" s="53">
        <v>4</v>
      </c>
      <c r="BR547" s="83" t="s">
        <v>2225</v>
      </c>
      <c r="BS547" s="53"/>
      <c r="BT547" s="53"/>
      <c r="BU547" s="238"/>
    </row>
    <row r="548" spans="3:73" ht="14.25" hidden="1" customHeight="1">
      <c r="C548" s="82" t="s">
        <v>13</v>
      </c>
      <c r="D548" s="82" t="s">
        <v>1753</v>
      </c>
      <c r="E548" s="82" t="s">
        <v>1284</v>
      </c>
      <c r="F548" s="82" t="s">
        <v>1296</v>
      </c>
      <c r="G548" s="82">
        <v>100</v>
      </c>
      <c r="H548" s="82" t="s">
        <v>147</v>
      </c>
      <c r="I548" s="82">
        <v>2</v>
      </c>
      <c r="J548" s="82">
        <v>0.8</v>
      </c>
      <c r="K548" s="82">
        <v>1.6</v>
      </c>
      <c r="L548" s="26">
        <f t="shared" si="49"/>
        <v>1</v>
      </c>
      <c r="M548" s="26">
        <f t="shared" si="48"/>
        <v>1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>
        <v>1</v>
      </c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67" t="e">
        <f>SUMIFS([1]Up!$J:$J,[1]Up!$D:$D,D548)</f>
        <v>#VALUE!</v>
      </c>
      <c r="BJ548" s="82"/>
      <c r="BK548" s="82" t="str">
        <f t="shared" si="50"/>
        <v>PL16</v>
      </c>
      <c r="BL548" s="53" t="str">
        <f t="shared" si="51"/>
        <v/>
      </c>
      <c r="BM548" s="53" t="s">
        <v>148</v>
      </c>
      <c r="BN548" s="53" t="s">
        <v>987</v>
      </c>
      <c r="BO548" s="53" t="s">
        <v>988</v>
      </c>
      <c r="BP548" s="84" t="s">
        <v>2160</v>
      </c>
      <c r="BQ548" s="53">
        <v>4</v>
      </c>
      <c r="BR548" s="83" t="s">
        <v>2225</v>
      </c>
      <c r="BS548" s="53"/>
      <c r="BT548" s="53"/>
      <c r="BU548" s="238"/>
    </row>
    <row r="549" spans="3:73" ht="14.25" hidden="1" customHeight="1">
      <c r="C549" s="82" t="s">
        <v>13</v>
      </c>
      <c r="D549" s="82" t="s">
        <v>1754</v>
      </c>
      <c r="E549" s="82" t="s">
        <v>1739</v>
      </c>
      <c r="F549" s="82" t="s">
        <v>1296</v>
      </c>
      <c r="G549" s="82">
        <v>1616</v>
      </c>
      <c r="H549" s="82" t="s">
        <v>147</v>
      </c>
      <c r="I549" s="82">
        <v>10</v>
      </c>
      <c r="J549" s="82">
        <v>24.2</v>
      </c>
      <c r="K549" s="82">
        <v>242</v>
      </c>
      <c r="L549" s="26">
        <f t="shared" si="49"/>
        <v>0</v>
      </c>
      <c r="M549" s="26">
        <f t="shared" si="48"/>
        <v>10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67" t="e">
        <f>SUMIFS([1]Up!$J:$J,[1]Up!$D:$D,D549)</f>
        <v>#VALUE!</v>
      </c>
      <c r="BJ549" s="82"/>
      <c r="BK549" s="82" t="str">
        <f t="shared" si="50"/>
        <v>PL8</v>
      </c>
      <c r="BL549" s="53" t="str">
        <f t="shared" si="51"/>
        <v/>
      </c>
      <c r="BM549" s="53" t="s">
        <v>148</v>
      </c>
      <c r="BN549" s="53" t="s">
        <v>1011</v>
      </c>
      <c r="BO549" s="53" t="s">
        <v>1012</v>
      </c>
      <c r="BP549" s="53" t="s">
        <v>57</v>
      </c>
      <c r="BQ549" s="53">
        <v>20</v>
      </c>
      <c r="BR549" s="83"/>
      <c r="BS549" s="53"/>
      <c r="BT549" s="53"/>
    </row>
    <row r="550" spans="3:73" hidden="1">
      <c r="C550" s="82"/>
      <c r="D550" s="82"/>
      <c r="E550" s="82"/>
      <c r="F550" s="82"/>
      <c r="G550" s="82"/>
      <c r="H550" s="82"/>
      <c r="I550" s="82"/>
      <c r="J550" s="82"/>
      <c r="K550" s="82"/>
      <c r="L550" s="26"/>
      <c r="M550" s="26"/>
      <c r="N550" s="82"/>
      <c r="O550" s="26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  <c r="AX550" s="82"/>
      <c r="AY550" s="82"/>
      <c r="AZ550" s="82"/>
      <c r="BA550" s="82"/>
      <c r="BB550" s="82"/>
      <c r="BC550" s="82"/>
      <c r="BD550" s="82"/>
      <c r="BE550" s="82"/>
      <c r="BF550" s="82"/>
      <c r="BG550" s="82"/>
      <c r="BH550" s="82"/>
      <c r="BI550" s="67"/>
      <c r="BJ550" s="82"/>
      <c r="BK550" s="82"/>
      <c r="BL550" s="53"/>
      <c r="BM550" s="53"/>
      <c r="BN550" s="53"/>
      <c r="BO550" s="53"/>
      <c r="BP550" s="53"/>
      <c r="BQ550" s="85"/>
      <c r="BR550" s="53"/>
      <c r="BS550" s="53"/>
      <c r="BT550" s="53"/>
    </row>
    <row r="551" spans="3:73" hidden="1">
      <c r="C551" s="82"/>
      <c r="D551" s="82"/>
      <c r="E551" s="82"/>
      <c r="F551" s="82"/>
      <c r="G551" s="82"/>
      <c r="H551" s="82"/>
      <c r="I551" s="82"/>
      <c r="J551" s="82"/>
      <c r="K551" s="82"/>
      <c r="L551" s="26"/>
      <c r="M551" s="26"/>
      <c r="N551" s="82"/>
      <c r="O551" s="26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  <c r="AX551" s="82"/>
      <c r="AY551" s="82"/>
      <c r="AZ551" s="82"/>
      <c r="BA551" s="82"/>
      <c r="BB551" s="82"/>
      <c r="BC551" s="82"/>
      <c r="BD551" s="82"/>
      <c r="BE551" s="82"/>
      <c r="BF551" s="82"/>
      <c r="BG551" s="82"/>
      <c r="BH551" s="82"/>
      <c r="BI551" s="67"/>
      <c r="BJ551" s="82"/>
      <c r="BK551" s="82"/>
      <c r="BL551" s="53"/>
      <c r="BM551" s="53"/>
      <c r="BN551" s="53"/>
      <c r="BO551" s="53"/>
      <c r="BP551" s="53"/>
      <c r="BQ551" s="85"/>
      <c r="BR551" s="53"/>
      <c r="BS551" s="53"/>
      <c r="BT551" s="53"/>
    </row>
    <row r="552" spans="3:73" hidden="1">
      <c r="C552" s="82"/>
      <c r="D552" s="82"/>
      <c r="E552" s="82"/>
      <c r="F552" s="82"/>
      <c r="G552" s="82"/>
      <c r="H552" s="82"/>
      <c r="I552" s="82"/>
      <c r="J552" s="82"/>
      <c r="K552" s="82"/>
      <c r="L552" s="26"/>
      <c r="M552" s="26"/>
      <c r="N552" s="82"/>
      <c r="O552" s="26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  <c r="AX552" s="82"/>
      <c r="AY552" s="82"/>
      <c r="AZ552" s="82"/>
      <c r="BA552" s="82"/>
      <c r="BB552" s="82"/>
      <c r="BC552" s="82"/>
      <c r="BD552" s="82"/>
      <c r="BE552" s="82"/>
      <c r="BF552" s="82"/>
      <c r="BG552" s="82"/>
      <c r="BH552" s="82"/>
      <c r="BI552" s="67"/>
      <c r="BJ552" s="82"/>
      <c r="BK552" s="82"/>
      <c r="BL552" s="53"/>
      <c r="BM552" s="53"/>
      <c r="BN552" s="53"/>
      <c r="BO552" s="53"/>
      <c r="BP552" s="53"/>
      <c r="BQ552" s="85"/>
      <c r="BR552" s="53"/>
      <c r="BS552" s="53"/>
      <c r="BT552" s="53"/>
    </row>
    <row r="553" spans="3:73" hidden="1">
      <c r="C553" s="82"/>
      <c r="D553" s="82"/>
      <c r="E553" s="82"/>
      <c r="F553" s="82"/>
      <c r="G553" s="82"/>
      <c r="H553" s="82"/>
      <c r="I553" s="82"/>
      <c r="J553" s="82"/>
      <c r="K553" s="82"/>
      <c r="L553" s="26"/>
      <c r="M553" s="26"/>
      <c r="N553" s="82"/>
      <c r="O553" s="26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  <c r="AX553" s="82"/>
      <c r="AY553" s="82"/>
      <c r="AZ553" s="82"/>
      <c r="BA553" s="82"/>
      <c r="BB553" s="82"/>
      <c r="BC553" s="82"/>
      <c r="BD553" s="82"/>
      <c r="BE553" s="82"/>
      <c r="BF553" s="82"/>
      <c r="BG553" s="82"/>
      <c r="BH553" s="82"/>
      <c r="BI553" s="67"/>
      <c r="BJ553" s="82"/>
      <c r="BK553" s="82"/>
      <c r="BL553" s="53"/>
      <c r="BM553" s="53"/>
      <c r="BN553" s="53"/>
      <c r="BO553" s="53"/>
      <c r="BP553" s="53"/>
      <c r="BQ553" s="85"/>
      <c r="BR553" s="53"/>
      <c r="BS553" s="53"/>
      <c r="BT553" s="53"/>
    </row>
    <row r="554" spans="3:73" hidden="1">
      <c r="C554" s="82"/>
      <c r="D554" s="82"/>
      <c r="E554" s="82"/>
      <c r="F554" s="82"/>
      <c r="G554" s="82"/>
      <c r="H554" s="82"/>
      <c r="I554" s="82"/>
      <c r="J554" s="82"/>
      <c r="K554" s="82"/>
      <c r="L554" s="26"/>
      <c r="M554" s="26"/>
      <c r="N554" s="82"/>
      <c r="O554" s="26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  <c r="AX554" s="82"/>
      <c r="AY554" s="82"/>
      <c r="AZ554" s="82"/>
      <c r="BA554" s="82"/>
      <c r="BB554" s="82"/>
      <c r="BC554" s="82"/>
      <c r="BD554" s="82"/>
      <c r="BE554" s="82"/>
      <c r="BF554" s="82"/>
      <c r="BG554" s="82"/>
      <c r="BH554" s="82"/>
      <c r="BI554" s="67"/>
      <c r="BJ554" s="82"/>
      <c r="BK554" s="82"/>
      <c r="BL554" s="53"/>
      <c r="BM554" s="53"/>
      <c r="BN554" s="53"/>
      <c r="BO554" s="53"/>
      <c r="BP554" s="53"/>
      <c r="BQ554" s="85"/>
      <c r="BR554" s="53"/>
      <c r="BS554" s="53"/>
      <c r="BT554" s="53"/>
    </row>
    <row r="555" spans="3:73" hidden="1">
      <c r="C555" s="82"/>
      <c r="D555" s="82"/>
      <c r="E555" s="82"/>
      <c r="F555" s="82"/>
      <c r="G555" s="82"/>
      <c r="H555" s="82"/>
      <c r="I555" s="82"/>
      <c r="J555" s="82"/>
      <c r="K555" s="82"/>
      <c r="L555" s="26"/>
      <c r="M555" s="26"/>
      <c r="N555" s="82"/>
      <c r="O555" s="26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  <c r="AX555" s="82"/>
      <c r="AY555" s="82"/>
      <c r="AZ555" s="82"/>
      <c r="BA555" s="82"/>
      <c r="BB555" s="82"/>
      <c r="BC555" s="82"/>
      <c r="BD555" s="82"/>
      <c r="BE555" s="82"/>
      <c r="BF555" s="82"/>
      <c r="BG555" s="82"/>
      <c r="BH555" s="82"/>
      <c r="BI555" s="67"/>
      <c r="BJ555" s="82"/>
      <c r="BK555" s="82"/>
      <c r="BL555" s="53"/>
      <c r="BM555" s="53"/>
      <c r="BN555" s="53"/>
      <c r="BO555" s="53"/>
      <c r="BP555" s="53"/>
      <c r="BQ555" s="85"/>
      <c r="BR555" s="53"/>
      <c r="BS555" s="53"/>
      <c r="BT555" s="53"/>
    </row>
    <row r="556" spans="3:73" hidden="1">
      <c r="C556" s="82"/>
      <c r="D556" s="82"/>
      <c r="E556" s="82"/>
      <c r="F556" s="82"/>
      <c r="G556" s="82"/>
      <c r="H556" s="82"/>
      <c r="I556" s="82"/>
      <c r="J556" s="82"/>
      <c r="K556" s="82"/>
      <c r="L556" s="26"/>
      <c r="M556" s="26"/>
      <c r="N556" s="82"/>
      <c r="O556" s="26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  <c r="AX556" s="82"/>
      <c r="AY556" s="82"/>
      <c r="AZ556" s="82"/>
      <c r="BA556" s="82"/>
      <c r="BB556" s="82"/>
      <c r="BC556" s="82"/>
      <c r="BD556" s="82"/>
      <c r="BE556" s="82"/>
      <c r="BF556" s="82"/>
      <c r="BG556" s="82"/>
      <c r="BH556" s="82"/>
      <c r="BI556" s="67"/>
      <c r="BJ556" s="82"/>
      <c r="BK556" s="82"/>
      <c r="BL556" s="53"/>
      <c r="BM556" s="53"/>
      <c r="BN556" s="53"/>
      <c r="BO556" s="53"/>
      <c r="BP556" s="53"/>
      <c r="BQ556" s="85"/>
      <c r="BR556" s="53"/>
      <c r="BS556" s="53"/>
      <c r="BT556" s="53"/>
    </row>
    <row r="558" spans="3:73">
      <c r="BI558" s="3" t="s">
        <v>1038</v>
      </c>
    </row>
    <row r="559" spans="3:73">
      <c r="BJ559" s="3" t="s">
        <v>1038</v>
      </c>
    </row>
  </sheetData>
  <autoFilter ref="C29:BT556" xr:uid="{B5DE6D30-F474-449D-82A7-1262A8A8C8BB}">
    <filterColumn colId="0">
      <filters>
        <filter val="Plate"/>
        <filter val="Shape"/>
      </filters>
    </filterColumn>
    <filterColumn colId="1">
      <filters>
        <filter val="SDM_A5C_7-1_P1"/>
        <filter val="SDM_A5C_7-1_P10"/>
        <filter val="SDM_A5C_7-1_P11"/>
        <filter val="SDM_A5C_7-1_P12"/>
        <filter val="SDM_A5C_7-1_P13"/>
      </filters>
    </filterColumn>
    <filterColumn colId="10">
      <filters>
        <filter val="1"/>
        <filter val="10"/>
        <filter val="11"/>
        <filter val="12"/>
        <filter val="14"/>
        <filter val="144"/>
        <filter val="16"/>
        <filter val="2"/>
        <filter val="24"/>
        <filter val="3"/>
        <filter val="4"/>
        <filter val="48"/>
        <filter val="5"/>
        <filter val="6"/>
        <filter val="64"/>
        <filter val="7"/>
        <filter val="72"/>
        <filter val="8"/>
      </filters>
    </filterColumn>
  </autoFilter>
  <dataConsolidate/>
  <conditionalFormatting sqref="D30:D549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11B4-0091-4409-9915-EF57B7C13811}">
  <sheetPr codeName="Sheet5" filterMode="1"/>
  <dimension ref="A1:CF744"/>
  <sheetViews>
    <sheetView zoomScale="70" zoomScaleNormal="70" workbookViewId="0">
      <pane xSplit="14" ySplit="9" topLeftCell="AL10" activePane="bottomRight" state="frozen"/>
      <selection pane="topRight" activeCell="P1" sqref="P1"/>
      <selection pane="bottomLeft" activeCell="A10" sqref="A10"/>
      <selection pane="bottomRight" activeCell="F9" sqref="F9"/>
    </sheetView>
  </sheetViews>
  <sheetFormatPr defaultRowHeight="15.75"/>
  <cols>
    <col min="1" max="1" width="5" customWidth="1"/>
    <col min="2" max="2" width="23.625" customWidth="1"/>
    <col min="3" max="3" width="26.75" customWidth="1"/>
    <col min="4" max="4" width="17.75" customWidth="1"/>
    <col min="5" max="5" width="9.625" customWidth="1"/>
    <col min="6" max="6" width="26.625" customWidth="1"/>
    <col min="7" max="7" width="19.875" customWidth="1"/>
    <col min="8" max="8" width="12.75" customWidth="1"/>
    <col min="9" max="9" width="12.375" customWidth="1"/>
    <col min="10" max="10" width="5.875" customWidth="1"/>
    <col min="11" max="11" width="7.375" bestFit="1" customWidth="1"/>
    <col min="12" max="12" width="5.875" customWidth="1"/>
    <col min="13" max="28" width="9.5" customWidth="1"/>
    <col min="29" max="29" width="14.875" customWidth="1"/>
    <col min="30" max="30" width="18.125" customWidth="1"/>
    <col min="31" max="31" width="7" customWidth="1"/>
    <col min="32" max="32" width="9.5" customWidth="1"/>
    <col min="33" max="33" width="7.375" customWidth="1"/>
    <col min="34" max="34" width="7" customWidth="1"/>
    <col min="35" max="35" width="7.25" customWidth="1"/>
    <col min="36" max="36" width="8.25" customWidth="1"/>
    <col min="37" max="42" width="9.5" customWidth="1"/>
    <col min="43" max="46" width="7.625" customWidth="1"/>
    <col min="47" max="47" width="9.5" customWidth="1"/>
    <col min="48" max="51" width="7" customWidth="1"/>
    <col min="52" max="52" width="11.125" customWidth="1"/>
    <col min="53" max="53" width="13.75" customWidth="1"/>
    <col min="54" max="54" width="23.875" customWidth="1"/>
    <col min="55" max="56" width="13.75" customWidth="1"/>
    <col min="57" max="57" width="8.5" customWidth="1"/>
    <col min="58" max="58" width="11.5" customWidth="1"/>
    <col min="59" max="63" width="18.125" customWidth="1"/>
    <col min="64" max="65" width="21.625" customWidth="1"/>
    <col min="66" max="69" width="24" customWidth="1"/>
    <col min="70" max="73" width="9.375" customWidth="1"/>
    <col min="74" max="75" width="11.125" customWidth="1"/>
    <col min="76" max="76" width="9.375" customWidth="1"/>
    <col min="77" max="77" width="13.375" customWidth="1"/>
    <col min="78" max="78" width="17.875" customWidth="1"/>
    <col min="79" max="79" width="6.25" customWidth="1"/>
    <col min="80" max="80" width="11.875" customWidth="1"/>
    <col min="81" max="81" width="8.375" customWidth="1"/>
    <col min="82" max="82" width="6.25" customWidth="1"/>
    <col min="83" max="83" width="8" customWidth="1"/>
  </cols>
  <sheetData>
    <row r="1" spans="1:84" ht="24" thickTop="1">
      <c r="A1" s="108" t="s">
        <v>55</v>
      </c>
      <c r="B1" s="109"/>
      <c r="C1" s="109"/>
      <c r="D1" s="110"/>
      <c r="E1" s="110"/>
      <c r="F1" s="110"/>
      <c r="G1" s="110"/>
      <c r="H1" s="109"/>
      <c r="I1" s="111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6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11"/>
      <c r="BS1" s="111"/>
      <c r="BT1" s="111"/>
      <c r="BU1" s="111"/>
      <c r="BV1" s="111"/>
      <c r="BW1" s="111"/>
      <c r="BX1" s="111"/>
      <c r="BY1" s="109"/>
      <c r="BZ1" s="109"/>
      <c r="CA1" s="109"/>
      <c r="CB1" s="109"/>
      <c r="CC1" s="109"/>
      <c r="CD1" s="109"/>
      <c r="CE1" s="109"/>
      <c r="CF1" s="109"/>
    </row>
    <row r="2" spans="1:84">
      <c r="A2" s="114" t="s">
        <v>56</v>
      </c>
      <c r="B2" s="112"/>
      <c r="C2" s="113"/>
      <c r="D2" s="115"/>
      <c r="E2" s="116"/>
      <c r="F2" s="116"/>
      <c r="G2" s="116"/>
      <c r="H2" s="112"/>
      <c r="I2" s="113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70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</row>
    <row r="3" spans="1:84">
      <c r="A3" s="114" t="s">
        <v>1755</v>
      </c>
      <c r="B3" s="112"/>
      <c r="C3" s="112"/>
      <c r="D3" s="115"/>
      <c r="E3" s="116"/>
      <c r="F3" s="116"/>
      <c r="G3" s="116"/>
      <c r="H3" s="112"/>
      <c r="I3" s="113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70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  <c r="AQ3" s="112"/>
      <c r="AR3" s="112"/>
      <c r="AS3" s="112"/>
      <c r="AT3" s="112"/>
      <c r="AU3" s="112"/>
      <c r="AV3" s="112"/>
      <c r="AW3" s="112"/>
      <c r="AX3" s="112"/>
      <c r="AY3" s="112"/>
      <c r="AZ3" s="112"/>
      <c r="BA3" s="112"/>
      <c r="BB3" s="112"/>
      <c r="BC3" s="112"/>
      <c r="BD3" s="112"/>
      <c r="BE3" s="112"/>
      <c r="BF3" s="112"/>
      <c r="BG3" s="112"/>
      <c r="BH3" s="112"/>
      <c r="BI3" s="112"/>
      <c r="BJ3" s="112"/>
      <c r="BK3" s="112"/>
      <c r="BL3" s="112"/>
      <c r="BM3" s="112"/>
      <c r="BN3" s="112"/>
      <c r="BO3" s="112"/>
      <c r="BP3" s="112"/>
      <c r="BQ3" s="112"/>
      <c r="BR3" s="112"/>
      <c r="BS3" s="112"/>
      <c r="BT3" s="112"/>
      <c r="BU3" s="112"/>
      <c r="BV3" s="112"/>
      <c r="BW3" s="112"/>
      <c r="BX3" s="112"/>
      <c r="BY3" s="112"/>
      <c r="BZ3" s="112"/>
      <c r="CA3" s="112"/>
      <c r="CB3" s="112"/>
      <c r="CC3" s="112"/>
      <c r="CD3" s="112"/>
      <c r="CE3" s="112"/>
      <c r="CF3" s="112"/>
    </row>
    <row r="4" spans="1:84">
      <c r="A4" s="114" t="s">
        <v>59</v>
      </c>
      <c r="B4" s="112"/>
      <c r="C4" s="112" t="s">
        <v>951</v>
      </c>
      <c r="D4" s="115"/>
      <c r="E4" s="116"/>
      <c r="F4" s="116"/>
      <c r="G4" s="116"/>
      <c r="H4" s="112"/>
      <c r="I4" s="113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70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  <c r="BY4" s="112"/>
      <c r="BZ4" s="117" t="s">
        <v>57</v>
      </c>
      <c r="CA4" s="112"/>
      <c r="CB4" s="112"/>
      <c r="CC4" s="112"/>
      <c r="CD4" s="112"/>
      <c r="CE4" s="112"/>
      <c r="CF4" s="112"/>
    </row>
    <row r="5" spans="1:84">
      <c r="A5" s="114" t="s">
        <v>60</v>
      </c>
      <c r="B5" s="112"/>
      <c r="C5" s="112"/>
      <c r="D5" s="115"/>
      <c r="E5" s="116"/>
      <c r="F5" s="116"/>
      <c r="G5" s="116"/>
      <c r="H5" s="112"/>
      <c r="I5" s="113"/>
      <c r="J5" s="112"/>
      <c r="K5" s="112"/>
      <c r="L5" s="112"/>
      <c r="M5" s="112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72"/>
      <c r="AD5" s="112"/>
      <c r="AE5" s="118"/>
      <c r="AF5" s="171" t="s">
        <v>1756</v>
      </c>
      <c r="AG5" s="171"/>
      <c r="AH5" s="171"/>
      <c r="AI5" s="171"/>
      <c r="AJ5" s="171"/>
      <c r="AK5" s="171" t="s">
        <v>1756</v>
      </c>
      <c r="AL5" s="171"/>
      <c r="AM5" s="171"/>
      <c r="AN5" s="171"/>
      <c r="AO5" s="171"/>
      <c r="AP5" s="171" t="s">
        <v>1756</v>
      </c>
      <c r="AQ5" s="171"/>
      <c r="AR5" s="171"/>
      <c r="AS5" s="171"/>
      <c r="AT5" s="171"/>
      <c r="AU5" s="171" t="s">
        <v>1756</v>
      </c>
      <c r="AV5" s="171"/>
      <c r="AW5" s="171"/>
      <c r="AX5" s="171"/>
      <c r="AY5" s="171"/>
      <c r="AZ5" s="116"/>
      <c r="BA5" s="116"/>
      <c r="BB5" s="116"/>
      <c r="BC5" s="116"/>
      <c r="BD5" s="116"/>
      <c r="BE5" s="118"/>
      <c r="BF5" s="116"/>
      <c r="BG5" s="119"/>
      <c r="BH5" s="119"/>
      <c r="BI5" s="120"/>
      <c r="BJ5" s="120"/>
      <c r="BK5" s="120"/>
      <c r="BL5" s="120"/>
      <c r="BM5" s="120"/>
      <c r="BN5" s="120"/>
      <c r="BO5" s="120"/>
      <c r="BP5" s="120"/>
      <c r="BQ5" s="120"/>
      <c r="BR5" s="118"/>
      <c r="BS5" s="118"/>
      <c r="BT5" s="118"/>
      <c r="BU5" s="118"/>
      <c r="BV5" s="118"/>
      <c r="BW5" s="118"/>
      <c r="BX5" s="118"/>
      <c r="BY5" s="118"/>
      <c r="BZ5" s="118"/>
      <c r="CA5" s="118"/>
      <c r="CB5" s="121"/>
      <c r="CC5" s="118"/>
      <c r="CD5" s="118"/>
      <c r="CE5" s="118"/>
      <c r="CF5" s="118"/>
    </row>
    <row r="6" spans="1:84">
      <c r="A6" s="114" t="s">
        <v>1757</v>
      </c>
      <c r="B6" s="112"/>
      <c r="C6" s="112"/>
      <c r="D6" s="115"/>
      <c r="E6" s="122"/>
      <c r="F6" s="122"/>
      <c r="G6" s="122"/>
      <c r="H6" s="112"/>
      <c r="I6" s="123" t="s">
        <v>2087</v>
      </c>
      <c r="J6" s="112"/>
      <c r="K6" s="112"/>
      <c r="L6" s="112"/>
      <c r="M6" s="124"/>
      <c r="N6" s="116"/>
      <c r="O6" s="116"/>
      <c r="P6" s="116"/>
      <c r="Q6" s="116"/>
      <c r="R6" s="116"/>
      <c r="S6" s="116"/>
      <c r="T6" s="116"/>
      <c r="U6" s="116"/>
      <c r="V6" s="116"/>
      <c r="W6" s="116" cm="1">
        <f t="array" aca="1" ref="W6" ca="1">SUMPRODUCT(W:W,M:M,--(AE:AE="x"))</f>
        <v>15641.5</v>
      </c>
      <c r="X6" s="116" t="e" cm="1">
        <f t="array" aca="1" ref="X6" ca="1">SUMPRODUCT(X:X,M:M,--(AE:AE="x"),--(X:X&gt;=80%))</f>
        <v>#REF!</v>
      </c>
      <c r="Y6" s="116"/>
      <c r="Z6" s="116"/>
      <c r="AA6" s="116"/>
      <c r="AB6" s="116"/>
      <c r="AC6" s="172"/>
      <c r="AD6" s="174" t="s">
        <v>2088</v>
      </c>
      <c r="AE6" s="118"/>
      <c r="AF6" s="173" t="s">
        <v>1758</v>
      </c>
      <c r="AG6" s="173"/>
      <c r="AH6" s="173"/>
      <c r="AI6" s="173"/>
      <c r="AJ6" s="173"/>
      <c r="AK6" s="173" t="s">
        <v>1759</v>
      </c>
      <c r="AL6" s="173"/>
      <c r="AM6" s="173"/>
      <c r="AN6" s="173"/>
      <c r="AO6" s="173"/>
      <c r="AP6" s="173" t="s">
        <v>1760</v>
      </c>
      <c r="AQ6" s="173"/>
      <c r="AR6" s="173"/>
      <c r="AS6" s="173"/>
      <c r="AT6" s="173"/>
      <c r="AU6" s="173" t="s">
        <v>1761</v>
      </c>
      <c r="AV6" s="173"/>
      <c r="AW6" s="173"/>
      <c r="AX6" s="173"/>
      <c r="AY6" s="173"/>
      <c r="AZ6" s="116"/>
      <c r="BA6" s="116"/>
      <c r="BB6" s="116"/>
      <c r="BC6" s="116"/>
      <c r="BD6" s="116"/>
      <c r="BE6" s="118"/>
      <c r="BF6" s="116"/>
      <c r="BG6" s="271" t="s">
        <v>62</v>
      </c>
      <c r="BH6" s="272"/>
      <c r="BI6" s="272"/>
      <c r="BJ6" s="272"/>
      <c r="BK6" s="272"/>
      <c r="BL6" s="272"/>
      <c r="BM6" s="272"/>
      <c r="BN6" s="272"/>
      <c r="BO6" s="272"/>
      <c r="BP6" s="272"/>
      <c r="BQ6" s="273"/>
      <c r="BR6" s="271" t="s">
        <v>63</v>
      </c>
      <c r="BS6" s="272"/>
      <c r="BT6" s="272"/>
      <c r="BU6" s="272"/>
      <c r="BV6" s="272"/>
      <c r="BW6" s="272"/>
      <c r="BX6" s="273"/>
      <c r="BY6" s="126" t="s">
        <v>64</v>
      </c>
      <c r="BZ6" s="272"/>
      <c r="CA6" s="272"/>
      <c r="CB6" s="272"/>
      <c r="CC6" s="272"/>
      <c r="CD6" s="272"/>
      <c r="CE6" s="272"/>
      <c r="CF6" s="273"/>
    </row>
    <row r="7" spans="1:84">
      <c r="A7" s="127" t="s">
        <v>66</v>
      </c>
      <c r="B7" s="127" t="s">
        <v>66</v>
      </c>
      <c r="C7" s="127" t="s">
        <v>66</v>
      </c>
      <c r="D7" s="127" t="s">
        <v>66</v>
      </c>
      <c r="E7" s="127" t="s">
        <v>66</v>
      </c>
      <c r="F7" s="127" t="s">
        <v>66</v>
      </c>
      <c r="G7" s="127" t="s">
        <v>66</v>
      </c>
      <c r="H7" s="127" t="s">
        <v>66</v>
      </c>
      <c r="I7" s="127" t="s">
        <v>66</v>
      </c>
      <c r="J7" s="127" t="s">
        <v>66</v>
      </c>
      <c r="K7" s="127" t="s">
        <v>66</v>
      </c>
      <c r="L7" s="127" t="s">
        <v>66</v>
      </c>
      <c r="M7" s="127" t="s">
        <v>66</v>
      </c>
      <c r="N7" s="127" t="s">
        <v>66</v>
      </c>
      <c r="O7" s="127" t="s">
        <v>819</v>
      </c>
      <c r="P7" s="127" t="s">
        <v>819</v>
      </c>
      <c r="Q7" s="127" t="s">
        <v>819</v>
      </c>
      <c r="R7" s="127" t="s">
        <v>819</v>
      </c>
      <c r="S7" s="127" t="s">
        <v>819</v>
      </c>
      <c r="T7" s="127" t="s">
        <v>819</v>
      </c>
      <c r="U7" s="127" t="s">
        <v>819</v>
      </c>
      <c r="V7" s="127" t="s">
        <v>819</v>
      </c>
      <c r="W7" s="127" t="s">
        <v>819</v>
      </c>
      <c r="X7" s="127" t="s">
        <v>819</v>
      </c>
      <c r="Y7" s="127" t="s">
        <v>819</v>
      </c>
      <c r="Z7" s="127" t="s">
        <v>66</v>
      </c>
      <c r="AA7" s="127" t="s">
        <v>66</v>
      </c>
      <c r="AB7" s="127" t="s">
        <v>66</v>
      </c>
      <c r="AC7" s="127" t="s">
        <v>66</v>
      </c>
      <c r="AD7" s="127" t="s">
        <v>66</v>
      </c>
      <c r="AE7" s="127" t="s">
        <v>66</v>
      </c>
      <c r="AF7" s="127" t="s">
        <v>843</v>
      </c>
      <c r="AG7" s="127" t="s">
        <v>843</v>
      </c>
      <c r="AH7" s="127" t="s">
        <v>843</v>
      </c>
      <c r="AI7" s="127" t="s">
        <v>843</v>
      </c>
      <c r="AJ7" s="127" t="s">
        <v>843</v>
      </c>
      <c r="AK7" s="127" t="s">
        <v>837</v>
      </c>
      <c r="AL7" s="127" t="s">
        <v>837</v>
      </c>
      <c r="AM7" s="127" t="s">
        <v>837</v>
      </c>
      <c r="AN7" s="127" t="s">
        <v>837</v>
      </c>
      <c r="AO7" s="127" t="s">
        <v>837</v>
      </c>
      <c r="AP7" s="127" t="s">
        <v>840</v>
      </c>
      <c r="AQ7" s="127" t="s">
        <v>840</v>
      </c>
      <c r="AR7" s="127" t="s">
        <v>840</v>
      </c>
      <c r="AS7" s="127" t="s">
        <v>840</v>
      </c>
      <c r="AT7" s="127" t="s">
        <v>840</v>
      </c>
      <c r="AU7" s="127" t="s">
        <v>841</v>
      </c>
      <c r="AV7" s="127" t="s">
        <v>841</v>
      </c>
      <c r="AW7" s="127" t="s">
        <v>841</v>
      </c>
      <c r="AX7" s="127" t="s">
        <v>841</v>
      </c>
      <c r="AY7" s="127" t="s">
        <v>841</v>
      </c>
      <c r="AZ7" s="127" t="s">
        <v>66</v>
      </c>
      <c r="BA7" s="127" t="s">
        <v>66</v>
      </c>
      <c r="BB7" s="127" t="s">
        <v>66</v>
      </c>
      <c r="BC7" s="127" t="s">
        <v>66</v>
      </c>
      <c r="BD7" s="127" t="s">
        <v>66</v>
      </c>
      <c r="BE7" s="127" t="s">
        <v>66</v>
      </c>
      <c r="BF7" s="127" t="s">
        <v>66</v>
      </c>
      <c r="BG7" s="127" t="s">
        <v>66</v>
      </c>
      <c r="BH7" s="127" t="s">
        <v>66</v>
      </c>
      <c r="BI7" s="127" t="s">
        <v>66</v>
      </c>
      <c r="BJ7" s="127" t="s">
        <v>66</v>
      </c>
      <c r="BK7" s="127" t="s">
        <v>66</v>
      </c>
      <c r="BL7" s="127" t="s">
        <v>66</v>
      </c>
      <c r="BM7" s="127" t="s">
        <v>66</v>
      </c>
      <c r="BN7" s="127" t="s">
        <v>66</v>
      </c>
      <c r="BO7" s="127" t="s">
        <v>66</v>
      </c>
      <c r="BP7" s="127" t="s">
        <v>66</v>
      </c>
      <c r="BQ7" s="127" t="s">
        <v>66</v>
      </c>
      <c r="BR7" s="127" t="s">
        <v>66</v>
      </c>
      <c r="BS7" s="127" t="s">
        <v>67</v>
      </c>
      <c r="BT7" s="127" t="s">
        <v>68</v>
      </c>
      <c r="BU7" s="127" t="s">
        <v>69</v>
      </c>
      <c r="BV7" s="127" t="s">
        <v>70</v>
      </c>
      <c r="BW7" s="127" t="s">
        <v>71</v>
      </c>
      <c r="BX7" s="127" t="s">
        <v>72</v>
      </c>
      <c r="BY7" s="127" t="s">
        <v>66</v>
      </c>
      <c r="BZ7" s="127" t="s">
        <v>66</v>
      </c>
      <c r="CA7" s="127" t="s">
        <v>66</v>
      </c>
      <c r="CB7" s="129" t="s">
        <v>66</v>
      </c>
      <c r="CC7" s="127" t="s">
        <v>66</v>
      </c>
      <c r="CD7" s="127" t="s">
        <v>66</v>
      </c>
      <c r="CE7" s="127" t="s">
        <v>66</v>
      </c>
      <c r="CF7" s="127" t="s">
        <v>66</v>
      </c>
    </row>
    <row r="8" spans="1:84" ht="21.75" customHeight="1">
      <c r="A8" s="126" t="s">
        <v>73</v>
      </c>
      <c r="B8" s="127" t="s">
        <v>74</v>
      </c>
      <c r="C8" s="127" t="s">
        <v>75</v>
      </c>
      <c r="D8" s="130" t="s">
        <v>30</v>
      </c>
      <c r="E8" s="276"/>
      <c r="F8" s="275"/>
      <c r="G8" s="130" t="s">
        <v>29</v>
      </c>
      <c r="H8" s="127" t="s">
        <v>31</v>
      </c>
      <c r="I8" s="127" t="s">
        <v>32</v>
      </c>
      <c r="J8" s="130" t="s">
        <v>76</v>
      </c>
      <c r="K8" s="130" t="s">
        <v>77</v>
      </c>
      <c r="L8" s="130" t="s">
        <v>6</v>
      </c>
      <c r="M8" s="127" t="s">
        <v>33</v>
      </c>
      <c r="N8" s="127" t="s">
        <v>7</v>
      </c>
      <c r="O8" s="127" t="s">
        <v>820</v>
      </c>
      <c r="P8" s="127" t="s">
        <v>78</v>
      </c>
      <c r="Q8" s="127" t="s">
        <v>821</v>
      </c>
      <c r="R8" s="127" t="s">
        <v>822</v>
      </c>
      <c r="S8" s="127" t="s">
        <v>823</v>
      </c>
      <c r="T8" s="127" t="s">
        <v>824</v>
      </c>
      <c r="U8" s="127" t="s">
        <v>825</v>
      </c>
      <c r="V8" s="127" t="s">
        <v>826</v>
      </c>
      <c r="W8" s="127" t="s">
        <v>827</v>
      </c>
      <c r="X8" s="127" t="s">
        <v>828</v>
      </c>
      <c r="Y8" s="127" t="s">
        <v>829</v>
      </c>
      <c r="Z8" s="127" t="s">
        <v>830</v>
      </c>
      <c r="AA8" s="127" t="s">
        <v>831</v>
      </c>
      <c r="AB8" s="127" t="s">
        <v>87</v>
      </c>
      <c r="AC8" s="127" t="s">
        <v>1762</v>
      </c>
      <c r="AD8" s="127" t="s">
        <v>94</v>
      </c>
      <c r="AE8" s="128" t="s">
        <v>95</v>
      </c>
      <c r="AF8" s="127" t="s">
        <v>79</v>
      </c>
      <c r="AG8" s="127" t="s">
        <v>80</v>
      </c>
      <c r="AH8" s="127" t="s">
        <v>836</v>
      </c>
      <c r="AI8" s="127" t="s">
        <v>824</v>
      </c>
      <c r="AJ8" s="127" t="s">
        <v>825</v>
      </c>
      <c r="AK8" s="127" t="s">
        <v>81</v>
      </c>
      <c r="AL8" s="127" t="s">
        <v>82</v>
      </c>
      <c r="AM8" s="127" t="s">
        <v>838</v>
      </c>
      <c r="AN8" s="127" t="s">
        <v>824</v>
      </c>
      <c r="AO8" s="127" t="s">
        <v>825</v>
      </c>
      <c r="AP8" s="127" t="s">
        <v>83</v>
      </c>
      <c r="AQ8" s="127" t="s">
        <v>84</v>
      </c>
      <c r="AR8" s="127" t="s">
        <v>839</v>
      </c>
      <c r="AS8" s="127" t="s">
        <v>824</v>
      </c>
      <c r="AT8" s="127" t="s">
        <v>825</v>
      </c>
      <c r="AU8" s="127" t="s">
        <v>85</v>
      </c>
      <c r="AV8" s="127" t="s">
        <v>86</v>
      </c>
      <c r="AW8" s="127" t="s">
        <v>842</v>
      </c>
      <c r="AX8" s="127" t="s">
        <v>824</v>
      </c>
      <c r="AY8" s="127" t="s">
        <v>825</v>
      </c>
      <c r="AZ8" s="127" t="s">
        <v>87</v>
      </c>
      <c r="BA8" s="127" t="s">
        <v>79</v>
      </c>
      <c r="BB8" s="127" t="s">
        <v>81</v>
      </c>
      <c r="BC8" s="127" t="s">
        <v>83</v>
      </c>
      <c r="BD8" s="127" t="s">
        <v>85</v>
      </c>
      <c r="BE8" s="128" t="s">
        <v>96</v>
      </c>
      <c r="BF8" s="127" t="s">
        <v>850</v>
      </c>
      <c r="BG8" s="127" t="s">
        <v>1763</v>
      </c>
      <c r="BH8" s="127" t="s">
        <v>1764</v>
      </c>
      <c r="BI8" s="129" t="s">
        <v>1765</v>
      </c>
      <c r="BJ8" s="129" t="s">
        <v>1766</v>
      </c>
      <c r="BK8" s="129" t="s">
        <v>1767</v>
      </c>
      <c r="BL8" s="129" t="s">
        <v>1768</v>
      </c>
      <c r="BM8" s="129" t="s">
        <v>1769</v>
      </c>
      <c r="BN8" s="129" t="s">
        <v>2089</v>
      </c>
      <c r="BO8" s="129" t="s">
        <v>2090</v>
      </c>
      <c r="BP8" s="129" t="s">
        <v>2091</v>
      </c>
      <c r="BQ8" s="129" t="s">
        <v>2092</v>
      </c>
      <c r="BR8" s="126" t="s">
        <v>101</v>
      </c>
      <c r="BS8" s="127" t="s">
        <v>102</v>
      </c>
      <c r="BT8" s="127" t="s">
        <v>103</v>
      </c>
      <c r="BU8" s="127" t="s">
        <v>104</v>
      </c>
      <c r="BV8" s="131" t="s">
        <v>105</v>
      </c>
      <c r="BW8" s="131" t="s">
        <v>106</v>
      </c>
      <c r="BX8" s="127" t="s">
        <v>107</v>
      </c>
      <c r="BY8" s="127" t="s">
        <v>108</v>
      </c>
      <c r="BZ8" s="127" t="s">
        <v>42</v>
      </c>
      <c r="CA8" s="126" t="s">
        <v>111</v>
      </c>
      <c r="CB8" s="132" t="s">
        <v>44</v>
      </c>
      <c r="CC8" s="127" t="s">
        <v>42</v>
      </c>
      <c r="CD8" s="126" t="s">
        <v>111</v>
      </c>
      <c r="CE8" s="126" t="s">
        <v>44</v>
      </c>
      <c r="CF8" s="127" t="s">
        <v>112</v>
      </c>
    </row>
    <row r="9" spans="1:84" ht="21.75" customHeight="1">
      <c r="A9" s="126" t="s">
        <v>113</v>
      </c>
      <c r="B9" s="126" t="s">
        <v>114</v>
      </c>
      <c r="C9" s="126" t="s">
        <v>115</v>
      </c>
      <c r="D9" s="126" t="s">
        <v>116</v>
      </c>
      <c r="E9" s="127" t="s">
        <v>117</v>
      </c>
      <c r="F9" s="127" t="s">
        <v>117</v>
      </c>
      <c r="G9" s="127" t="s">
        <v>119</v>
      </c>
      <c r="H9" s="127" t="s">
        <v>120</v>
      </c>
      <c r="I9" s="127" t="s">
        <v>121</v>
      </c>
      <c r="J9" s="127" t="s">
        <v>122</v>
      </c>
      <c r="K9" s="127" t="s">
        <v>123</v>
      </c>
      <c r="L9" s="127" t="s">
        <v>124</v>
      </c>
      <c r="M9" s="127" t="s">
        <v>125</v>
      </c>
      <c r="N9" s="127" t="s">
        <v>126</v>
      </c>
      <c r="O9" s="127"/>
      <c r="P9" s="127"/>
      <c r="Q9" s="127"/>
      <c r="R9" s="127"/>
      <c r="S9" s="127"/>
      <c r="T9" s="127" t="s">
        <v>134</v>
      </c>
      <c r="U9" s="127" t="s">
        <v>832</v>
      </c>
      <c r="V9" s="127" t="s">
        <v>833</v>
      </c>
      <c r="W9" s="127" t="s">
        <v>834</v>
      </c>
      <c r="X9" s="127" t="s">
        <v>835</v>
      </c>
      <c r="Y9" s="127"/>
      <c r="Z9" s="127"/>
      <c r="AA9" s="127"/>
      <c r="AB9" s="127" t="s">
        <v>127</v>
      </c>
      <c r="AC9" s="175"/>
      <c r="AD9" s="127" t="s">
        <v>132</v>
      </c>
      <c r="AE9" s="127" t="s">
        <v>133</v>
      </c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127"/>
      <c r="AY9" s="127"/>
      <c r="AZ9" s="127" t="s">
        <v>127</v>
      </c>
      <c r="BA9" s="127" t="s">
        <v>128</v>
      </c>
      <c r="BB9" s="127" t="s">
        <v>1770</v>
      </c>
      <c r="BC9" s="127" t="s">
        <v>1771</v>
      </c>
      <c r="BD9" s="127" t="s">
        <v>1772</v>
      </c>
      <c r="BE9" s="127" t="s">
        <v>134</v>
      </c>
      <c r="BF9" s="127">
        <v>29</v>
      </c>
      <c r="BG9" s="127" t="s">
        <v>1773</v>
      </c>
      <c r="BH9" s="127" t="s">
        <v>1774</v>
      </c>
      <c r="BI9" s="127" t="s">
        <v>1775</v>
      </c>
      <c r="BJ9" s="127" t="s">
        <v>1776</v>
      </c>
      <c r="BK9" s="127" t="s">
        <v>1777</v>
      </c>
      <c r="BL9" s="127" t="s">
        <v>1778</v>
      </c>
      <c r="BM9" s="127" t="s">
        <v>1779</v>
      </c>
      <c r="BN9" s="127" t="s">
        <v>2093</v>
      </c>
      <c r="BO9" s="127" t="s">
        <v>2094</v>
      </c>
      <c r="BP9" s="127" t="s">
        <v>2095</v>
      </c>
      <c r="BQ9" s="127" t="s">
        <v>2096</v>
      </c>
      <c r="BR9" s="127">
        <v>34</v>
      </c>
      <c r="BS9" s="127">
        <v>35</v>
      </c>
      <c r="BT9" s="127">
        <v>36</v>
      </c>
      <c r="BU9" s="127">
        <v>37</v>
      </c>
      <c r="BV9" s="127">
        <v>38</v>
      </c>
      <c r="BW9" s="127">
        <v>39</v>
      </c>
      <c r="BX9" s="127">
        <v>40</v>
      </c>
      <c r="BY9" s="127">
        <v>41</v>
      </c>
      <c r="BZ9" s="127">
        <v>44</v>
      </c>
      <c r="CA9" s="127">
        <v>45</v>
      </c>
      <c r="CB9" s="127">
        <v>46</v>
      </c>
      <c r="CC9" s="127">
        <v>47</v>
      </c>
      <c r="CD9" s="127">
        <v>48</v>
      </c>
      <c r="CE9" s="176">
        <v>49</v>
      </c>
      <c r="CF9" s="176">
        <v>50</v>
      </c>
    </row>
    <row r="10" spans="1:84" ht="17.25" hidden="1" customHeight="1">
      <c r="A10" s="162">
        <v>177</v>
      </c>
      <c r="B10" s="177" t="s">
        <v>2036</v>
      </c>
      <c r="C10" s="177" t="s">
        <v>2211</v>
      </c>
      <c r="D10" s="177" t="s">
        <v>2037</v>
      </c>
      <c r="E10" s="177"/>
      <c r="F10" s="177"/>
      <c r="G10" s="177" t="s">
        <v>2038</v>
      </c>
      <c r="H10" s="178"/>
      <c r="I10" s="179"/>
      <c r="J10" s="160"/>
      <c r="K10" s="180">
        <f t="shared" ref="K10" si="0">+AG10+AL10+AQ10+AV10</f>
        <v>1</v>
      </c>
      <c r="L10" s="160"/>
      <c r="M10" s="181">
        <v>8672</v>
      </c>
      <c r="N10" s="181">
        <v>8672</v>
      </c>
      <c r="O10" s="181" t="s">
        <v>137</v>
      </c>
      <c r="P10" s="181"/>
      <c r="Q10" s="181"/>
      <c r="R10" s="181"/>
      <c r="S10" s="181"/>
      <c r="T10" s="181"/>
      <c r="U10" s="181"/>
      <c r="V10" s="181"/>
      <c r="W10" s="181">
        <f>_xlfn.MINIFS(V:V,C:C,C10,AE:AE,"",AB:AB,"")</f>
        <v>0</v>
      </c>
      <c r="X10" s="181" t="e">
        <f>SUMIFS(T:T,C:C,C10,AE:AE,"")/SUMIFS(L:L,C:C,C10,AE:AE,"",AB:AB,"")</f>
        <v>#DIV/0!</v>
      </c>
      <c r="Y10" s="181"/>
      <c r="Z10" s="181"/>
      <c r="AA10" s="181"/>
      <c r="AB10" s="181"/>
      <c r="AC10" s="228" t="s">
        <v>196</v>
      </c>
      <c r="AD10" s="184" t="s">
        <v>2039</v>
      </c>
      <c r="AE10" s="162" t="s">
        <v>143</v>
      </c>
      <c r="AF10" s="181" t="s">
        <v>1783</v>
      </c>
      <c r="AG10" s="181">
        <v>1</v>
      </c>
      <c r="AH10" s="181"/>
      <c r="AI10" s="181"/>
      <c r="AJ10" s="181"/>
      <c r="AK10" s="181" t="s">
        <v>138</v>
      </c>
      <c r="AL10" s="181">
        <v>0</v>
      </c>
      <c r="AM10" s="181"/>
      <c r="AN10" s="181"/>
      <c r="AO10" s="181"/>
      <c r="AP10" s="181" t="s">
        <v>138</v>
      </c>
      <c r="AQ10" s="181">
        <v>0</v>
      </c>
      <c r="AR10" s="181"/>
      <c r="AS10" s="181"/>
      <c r="AT10" s="181"/>
      <c r="AU10" s="181" t="s">
        <v>138</v>
      </c>
      <c r="AV10" s="181">
        <v>0</v>
      </c>
      <c r="AW10" s="181"/>
      <c r="AX10" s="181"/>
      <c r="AY10" s="181"/>
      <c r="AZ10" s="181"/>
      <c r="BA10" s="182" t="s">
        <v>141</v>
      </c>
      <c r="BB10" s="182" t="s">
        <v>140</v>
      </c>
      <c r="BC10" s="182" t="s">
        <v>140</v>
      </c>
      <c r="BD10" s="182" t="s">
        <v>140</v>
      </c>
      <c r="BE10" s="162"/>
      <c r="BF10" s="181"/>
      <c r="BG10" s="161"/>
      <c r="BH10" s="161"/>
      <c r="BI10" s="163"/>
      <c r="BJ10" s="163"/>
      <c r="BK10" s="163"/>
      <c r="BL10" s="163"/>
      <c r="BM10" s="163"/>
      <c r="BN10" s="163"/>
      <c r="BO10" s="163"/>
      <c r="BP10" s="163"/>
      <c r="BQ10" s="163"/>
      <c r="BR10" s="161"/>
      <c r="BS10" s="161"/>
      <c r="BT10" s="161"/>
      <c r="BU10" s="161"/>
      <c r="BV10" s="161"/>
      <c r="BW10" s="161"/>
      <c r="BX10" s="161"/>
      <c r="BY10" s="161"/>
      <c r="BZ10" s="161"/>
      <c r="CA10" s="161"/>
      <c r="CB10" s="163"/>
      <c r="CC10" s="161"/>
      <c r="CD10" s="161"/>
      <c r="CE10" s="185"/>
      <c r="CF10" s="185"/>
    </row>
    <row r="11" spans="1:84" ht="17.25" hidden="1" customHeight="1">
      <c r="A11" s="186"/>
      <c r="B11" s="187" t="s">
        <v>2036</v>
      </c>
      <c r="C11" s="187" t="s">
        <v>2153</v>
      </c>
      <c r="D11" s="187"/>
      <c r="E11" s="187"/>
      <c r="F11" s="187"/>
      <c r="G11" s="187" t="s">
        <v>1928</v>
      </c>
      <c r="H11" s="188"/>
      <c r="I11" s="189"/>
      <c r="J11" s="190"/>
      <c r="K11" s="191">
        <f t="shared" ref="K11:K55" si="1">K10</f>
        <v>1</v>
      </c>
      <c r="L11" s="190"/>
      <c r="M11" s="192">
        <v>2279.3000000000002</v>
      </c>
      <c r="N11" s="192">
        <v>2279.3000000000002</v>
      </c>
      <c r="O11" s="192" t="s">
        <v>137</v>
      </c>
      <c r="P11" s="192"/>
      <c r="Q11" s="192"/>
      <c r="R11" s="192"/>
      <c r="S11" s="192"/>
      <c r="T11" s="192"/>
      <c r="U11" s="192"/>
      <c r="V11" s="192"/>
      <c r="W11" s="192">
        <f ca="1">_xlfn.MINIFS(V:V,C:C,C11,AE:AE,"",AB:AB,"")</f>
        <v>0</v>
      </c>
      <c r="X11" s="192">
        <f ca="1">SUMIFS(T:T,C:C,C11,AE:AE,"")/SUMIFS(L:L,C:C,C11,AE:AE,"",AB:AB,"")</f>
        <v>0.6495726495726496</v>
      </c>
      <c r="Y11" s="192"/>
      <c r="Z11" s="192"/>
      <c r="AA11" s="192"/>
      <c r="AB11" s="192"/>
      <c r="AC11" s="194" t="s">
        <v>196</v>
      </c>
      <c r="AD11" s="195" t="s">
        <v>2039</v>
      </c>
      <c r="AE11" s="196" t="s">
        <v>1787</v>
      </c>
      <c r="AF11" s="192" t="str">
        <f t="shared" ref="AF11:AF55" si="2">AF10</f>
        <v>AMC2-S1</v>
      </c>
      <c r="AG11" s="192">
        <f t="shared" ref="AG11:AG55" si="3">AG10</f>
        <v>1</v>
      </c>
      <c r="AH11" s="192"/>
      <c r="AI11" s="192"/>
      <c r="AJ11" s="192"/>
      <c r="AK11" s="192" t="str">
        <f t="shared" ref="AK11:AK55" si="4">AK10</f>
        <v>N/A</v>
      </c>
      <c r="AL11" s="192">
        <f t="shared" ref="AL11:AL55" si="5">AL10</f>
        <v>0</v>
      </c>
      <c r="AM11" s="192"/>
      <c r="AN11" s="192"/>
      <c r="AO11" s="192"/>
      <c r="AP11" s="192" t="str">
        <f t="shared" ref="AP11:AP55" si="6">AP10</f>
        <v>N/A</v>
      </c>
      <c r="AQ11" s="192">
        <f t="shared" ref="AQ11:AQ55" si="7">AQ10</f>
        <v>0</v>
      </c>
      <c r="AR11" s="192"/>
      <c r="AS11" s="192"/>
      <c r="AT11" s="192"/>
      <c r="AU11" s="192" t="str">
        <f t="shared" ref="AU11:AU55" si="8">AU10</f>
        <v>N/A</v>
      </c>
      <c r="AV11" s="192">
        <f t="shared" ref="AV11:AV55" si="9">AV10</f>
        <v>0</v>
      </c>
      <c r="AW11" s="192"/>
      <c r="AX11" s="192"/>
      <c r="AY11" s="192"/>
      <c r="AZ11" s="192"/>
      <c r="BA11" s="193" t="s">
        <v>141</v>
      </c>
      <c r="BB11" s="193" t="s">
        <v>140</v>
      </c>
      <c r="BC11" s="193" t="s">
        <v>140</v>
      </c>
      <c r="BD11" s="193" t="s">
        <v>140</v>
      </c>
      <c r="BE11" s="196" t="s">
        <v>741</v>
      </c>
      <c r="BF11" s="192"/>
      <c r="BG11" s="186"/>
      <c r="BH11" s="186"/>
      <c r="BI11" s="197"/>
      <c r="BJ11" s="197"/>
      <c r="BK11" s="197"/>
      <c r="BL11" s="197"/>
      <c r="BM11" s="197"/>
      <c r="BN11" s="197"/>
      <c r="BO11" s="197"/>
      <c r="BP11" s="197"/>
      <c r="BQ11" s="197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97"/>
      <c r="CC11" s="186"/>
      <c r="CD11" s="186"/>
      <c r="CE11" s="198"/>
      <c r="CF11" s="198"/>
    </row>
    <row r="12" spans="1:84" ht="17.25" hidden="1" customHeight="1">
      <c r="A12" s="117"/>
      <c r="B12" s="209" t="s">
        <v>2036</v>
      </c>
      <c r="C12" s="209" t="s">
        <v>2153</v>
      </c>
      <c r="D12" s="209" t="s">
        <v>1084</v>
      </c>
      <c r="E12" s="209" t="s">
        <v>1788</v>
      </c>
      <c r="F12" s="209" t="s">
        <v>1292</v>
      </c>
      <c r="G12" s="209" t="s">
        <v>1293</v>
      </c>
      <c r="H12" s="210">
        <v>8216</v>
      </c>
      <c r="I12" s="211" t="s">
        <v>147</v>
      </c>
      <c r="J12" s="144">
        <v>1</v>
      </c>
      <c r="K12" s="145">
        <f t="shared" si="1"/>
        <v>1</v>
      </c>
      <c r="L12" s="202">
        <f t="shared" ref="L12:L26" si="10">+J12*K12</f>
        <v>1</v>
      </c>
      <c r="M12" s="212">
        <v>1195.8</v>
      </c>
      <c r="N12" s="203">
        <f t="shared" ref="N12:N26" si="11">+M12*L12</f>
        <v>1195.8</v>
      </c>
      <c r="O12" s="212" t="s">
        <v>137</v>
      </c>
      <c r="P12" s="212" t="s">
        <v>13</v>
      </c>
      <c r="Q12" s="212" t="s">
        <v>154</v>
      </c>
      <c r="R12" s="212"/>
      <c r="S12" s="212"/>
      <c r="T12" s="203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1</v>
      </c>
      <c r="U12" s="203">
        <f t="shared" ref="U12:U26" ca="1" si="12">+L12-T12</f>
        <v>0</v>
      </c>
      <c r="V12" s="203">
        <f t="shared" ref="V12:V26" ca="1" si="13">ROUNDDOWN(T12/J12,0)</f>
        <v>1</v>
      </c>
      <c r="W12" s="212"/>
      <c r="X12" s="212"/>
      <c r="Y12" s="212"/>
      <c r="Z12" s="212"/>
      <c r="AA12" s="212"/>
      <c r="AB12" s="212"/>
      <c r="AC12" s="214" t="s">
        <v>196</v>
      </c>
      <c r="AD12" s="215" t="s">
        <v>2039</v>
      </c>
      <c r="AE12" s="148"/>
      <c r="AF12" s="212" t="str">
        <f t="shared" si="2"/>
        <v>AMC2-S1</v>
      </c>
      <c r="AG12" s="212">
        <f t="shared" si="3"/>
        <v>1</v>
      </c>
      <c r="AH12" s="203">
        <f t="shared" ref="AH12:AH26" si="14">+AG12*J12</f>
        <v>1</v>
      </c>
      <c r="AI12" s="203">
        <f t="shared" ref="AI12:AI26" ca="1" si="15">MIN(T12,AH12)</f>
        <v>1</v>
      </c>
      <c r="AJ12" s="203">
        <f t="shared" ref="AJ12:AJ26" ca="1" si="16">+AH12-AI12</f>
        <v>0</v>
      </c>
      <c r="AK12" s="212" t="str">
        <f t="shared" si="4"/>
        <v>N/A</v>
      </c>
      <c r="AL12" s="212">
        <f t="shared" si="5"/>
        <v>0</v>
      </c>
      <c r="AM12" s="203">
        <f t="shared" ref="AM12:AM26" si="17">+AL12*J12</f>
        <v>0</v>
      </c>
      <c r="AN12" s="203">
        <f t="shared" ref="AN12:AN26" ca="1" si="18">MIN(T12-AI12,AL12)</f>
        <v>0</v>
      </c>
      <c r="AO12" s="203">
        <f t="shared" ref="AO12:AO26" ca="1" si="19">+AM12-AN12</f>
        <v>0</v>
      </c>
      <c r="AP12" s="212" t="str">
        <f t="shared" si="6"/>
        <v>N/A</v>
      </c>
      <c r="AQ12" s="212">
        <f t="shared" si="7"/>
        <v>0</v>
      </c>
      <c r="AR12" s="203">
        <f t="shared" ref="AR12:AR26" si="20">+AQ12*J12</f>
        <v>0</v>
      </c>
      <c r="AS12" s="203">
        <f t="shared" ref="AS12:AS26" ca="1" si="21">MIN(T12-AI12-AN12,AR12)</f>
        <v>0</v>
      </c>
      <c r="AT12" s="203">
        <f t="shared" ref="AT12:AT26" ca="1" si="22">+AR12-AS12</f>
        <v>0</v>
      </c>
      <c r="AU12" s="212" t="str">
        <f t="shared" si="8"/>
        <v>N/A</v>
      </c>
      <c r="AV12" s="212">
        <f t="shared" si="9"/>
        <v>0</v>
      </c>
      <c r="AW12" s="203">
        <f t="shared" ref="AW12:AW26" si="23">+AV12*J12</f>
        <v>0</v>
      </c>
      <c r="AX12" s="203">
        <f t="shared" ref="AX12:AX26" ca="1" si="24">MIN(T12-AI12-AN12-AS12,AW12)</f>
        <v>0</v>
      </c>
      <c r="AY12" s="203">
        <f t="shared" ref="AY12:AY26" ca="1" si="25">+AW12-AX12</f>
        <v>0</v>
      </c>
      <c r="AZ12" s="212"/>
      <c r="BA12" s="213" t="s">
        <v>141</v>
      </c>
      <c r="BB12" s="213" t="s">
        <v>140</v>
      </c>
      <c r="BC12" s="213" t="s">
        <v>140</v>
      </c>
      <c r="BD12" s="213" t="s">
        <v>140</v>
      </c>
      <c r="BE12" s="148"/>
      <c r="BF12" s="212" t="s">
        <v>1789</v>
      </c>
      <c r="BG12" s="117"/>
      <c r="BH12" s="155"/>
      <c r="BI12" s="216"/>
      <c r="BJ12" s="216"/>
      <c r="BK12" s="216"/>
      <c r="BL12" s="149"/>
      <c r="BM12" s="149"/>
      <c r="BN12" s="149"/>
      <c r="BO12" s="149"/>
      <c r="BP12" s="149"/>
      <c r="BQ12" s="149"/>
      <c r="BR12" s="117">
        <v>0</v>
      </c>
      <c r="BS12" s="117">
        <v>1</v>
      </c>
      <c r="BT12" s="117">
        <v>0</v>
      </c>
      <c r="BU12" s="117">
        <v>1</v>
      </c>
      <c r="BV12" s="117">
        <v>0</v>
      </c>
      <c r="BW12" s="117">
        <v>0</v>
      </c>
      <c r="BX12" s="117">
        <v>0</v>
      </c>
      <c r="BY12" s="117" t="s">
        <v>1790</v>
      </c>
      <c r="BZ12" s="117" t="s">
        <v>57</v>
      </c>
      <c r="CA12" s="117">
        <v>1</v>
      </c>
      <c r="CB12" s="149"/>
      <c r="CC12" s="155"/>
      <c r="CD12" s="155"/>
      <c r="CE12" s="217"/>
      <c r="CF12" s="148">
        <f t="shared" ref="CF12:CF26" si="26">+L12-CA12</f>
        <v>0</v>
      </c>
    </row>
    <row r="13" spans="1:84" ht="17.25" hidden="1" customHeight="1">
      <c r="A13" s="117"/>
      <c r="B13" s="209" t="s">
        <v>2036</v>
      </c>
      <c r="C13" s="209" t="s">
        <v>2153</v>
      </c>
      <c r="D13" s="209" t="s">
        <v>1296</v>
      </c>
      <c r="E13" s="209" t="s">
        <v>1791</v>
      </c>
      <c r="F13" s="209" t="s">
        <v>1301</v>
      </c>
      <c r="G13" s="209" t="s">
        <v>1302</v>
      </c>
      <c r="H13" s="210">
        <v>7926</v>
      </c>
      <c r="I13" s="211" t="s">
        <v>147</v>
      </c>
      <c r="J13" s="144">
        <v>2</v>
      </c>
      <c r="K13" s="145">
        <f t="shared" si="1"/>
        <v>1</v>
      </c>
      <c r="L13" s="202">
        <f t="shared" si="10"/>
        <v>2</v>
      </c>
      <c r="M13" s="212">
        <v>336</v>
      </c>
      <c r="N13" s="203">
        <f t="shared" si="11"/>
        <v>672</v>
      </c>
      <c r="O13" s="212" t="s">
        <v>137</v>
      </c>
      <c r="P13" s="212" t="s">
        <v>13</v>
      </c>
      <c r="Q13" s="212" t="s">
        <v>148</v>
      </c>
      <c r="R13" s="212"/>
      <c r="S13" s="212"/>
      <c r="T13" s="203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2</v>
      </c>
      <c r="U13" s="203">
        <f t="shared" ca="1" si="12"/>
        <v>0</v>
      </c>
      <c r="V13" s="203">
        <f t="shared" ca="1" si="13"/>
        <v>1</v>
      </c>
      <c r="W13" s="212"/>
      <c r="X13" s="212"/>
      <c r="Y13" s="212"/>
      <c r="Z13" s="212"/>
      <c r="AA13" s="212"/>
      <c r="AB13" s="212"/>
      <c r="AC13" s="214" t="s">
        <v>196</v>
      </c>
      <c r="AD13" s="215" t="s">
        <v>2039</v>
      </c>
      <c r="AE13" s="148"/>
      <c r="AF13" s="212" t="str">
        <f t="shared" si="2"/>
        <v>AMC2-S1</v>
      </c>
      <c r="AG13" s="212">
        <f t="shared" si="3"/>
        <v>1</v>
      </c>
      <c r="AH13" s="203">
        <f t="shared" si="14"/>
        <v>2</v>
      </c>
      <c r="AI13" s="203">
        <f t="shared" ca="1" si="15"/>
        <v>2</v>
      </c>
      <c r="AJ13" s="203">
        <f t="shared" ca="1" si="16"/>
        <v>0</v>
      </c>
      <c r="AK13" s="212" t="str">
        <f t="shared" si="4"/>
        <v>N/A</v>
      </c>
      <c r="AL13" s="212">
        <f t="shared" si="5"/>
        <v>0</v>
      </c>
      <c r="AM13" s="203">
        <f t="shared" si="17"/>
        <v>0</v>
      </c>
      <c r="AN13" s="203">
        <f t="shared" ca="1" si="18"/>
        <v>0</v>
      </c>
      <c r="AO13" s="203">
        <f t="shared" ca="1" si="19"/>
        <v>0</v>
      </c>
      <c r="AP13" s="212" t="str">
        <f t="shared" si="6"/>
        <v>N/A</v>
      </c>
      <c r="AQ13" s="212">
        <f t="shared" si="7"/>
        <v>0</v>
      </c>
      <c r="AR13" s="203">
        <f t="shared" si="20"/>
        <v>0</v>
      </c>
      <c r="AS13" s="203">
        <f t="shared" ca="1" si="21"/>
        <v>0</v>
      </c>
      <c r="AT13" s="203">
        <f t="shared" ca="1" si="22"/>
        <v>0</v>
      </c>
      <c r="AU13" s="212" t="str">
        <f t="shared" si="8"/>
        <v>N/A</v>
      </c>
      <c r="AV13" s="212">
        <f t="shared" si="9"/>
        <v>0</v>
      </c>
      <c r="AW13" s="203">
        <f t="shared" si="23"/>
        <v>0</v>
      </c>
      <c r="AX13" s="203">
        <f t="shared" ca="1" si="24"/>
        <v>0</v>
      </c>
      <c r="AY13" s="203">
        <f t="shared" ca="1" si="25"/>
        <v>0</v>
      </c>
      <c r="AZ13" s="212"/>
      <c r="BA13" s="213" t="s">
        <v>141</v>
      </c>
      <c r="BB13" s="213" t="s">
        <v>140</v>
      </c>
      <c r="BC13" s="213" t="s">
        <v>140</v>
      </c>
      <c r="BD13" s="213" t="s">
        <v>140</v>
      </c>
      <c r="BE13" s="148"/>
      <c r="BF13" s="212" t="s">
        <v>1789</v>
      </c>
      <c r="BG13" s="117"/>
      <c r="BH13" s="155"/>
      <c r="BI13" s="216"/>
      <c r="BJ13" s="216"/>
      <c r="BK13" s="216"/>
      <c r="BL13" s="149"/>
      <c r="BM13" s="149"/>
      <c r="BN13" s="149"/>
      <c r="BO13" s="149"/>
      <c r="BP13" s="149"/>
      <c r="BQ13" s="149"/>
      <c r="BR13" s="117">
        <v>0</v>
      </c>
      <c r="BS13" s="117">
        <v>0</v>
      </c>
      <c r="BT13" s="117">
        <v>0</v>
      </c>
      <c r="BU13" s="117">
        <v>0</v>
      </c>
      <c r="BV13" s="117">
        <v>0</v>
      </c>
      <c r="BW13" s="117">
        <v>0</v>
      </c>
      <c r="BX13" s="117">
        <v>0</v>
      </c>
      <c r="BY13" s="117" t="s">
        <v>1790</v>
      </c>
      <c r="BZ13" s="117" t="s">
        <v>1303</v>
      </c>
      <c r="CA13" s="117">
        <v>2</v>
      </c>
      <c r="CB13" s="149">
        <v>46206</v>
      </c>
      <c r="CC13" s="155"/>
      <c r="CD13" s="117"/>
      <c r="CE13" s="217"/>
      <c r="CF13" s="148">
        <f t="shared" si="26"/>
        <v>0</v>
      </c>
    </row>
    <row r="14" spans="1:84" ht="17.25" hidden="1" customHeight="1">
      <c r="A14" s="117"/>
      <c r="B14" s="209" t="s">
        <v>2036</v>
      </c>
      <c r="C14" s="209" t="s">
        <v>2153</v>
      </c>
      <c r="D14" s="209" t="s">
        <v>1296</v>
      </c>
      <c r="E14" s="209" t="s">
        <v>1792</v>
      </c>
      <c r="F14" s="209" t="s">
        <v>1304</v>
      </c>
      <c r="G14" s="209" t="s">
        <v>1096</v>
      </c>
      <c r="H14" s="210">
        <v>2343</v>
      </c>
      <c r="I14" s="211" t="s">
        <v>147</v>
      </c>
      <c r="J14" s="144">
        <v>1</v>
      </c>
      <c r="K14" s="145">
        <f t="shared" si="1"/>
        <v>1</v>
      </c>
      <c r="L14" s="202">
        <f t="shared" si="10"/>
        <v>1</v>
      </c>
      <c r="M14" s="212">
        <v>33.1</v>
      </c>
      <c r="N14" s="203">
        <f t="shared" si="11"/>
        <v>33.1</v>
      </c>
      <c r="O14" s="212" t="s">
        <v>137</v>
      </c>
      <c r="P14" s="212" t="s">
        <v>13</v>
      </c>
      <c r="Q14" s="212" t="s">
        <v>154</v>
      </c>
      <c r="R14" s="212"/>
      <c r="S14" s="212"/>
      <c r="T14" s="203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1</v>
      </c>
      <c r="U14" s="203">
        <f t="shared" ca="1" si="12"/>
        <v>0</v>
      </c>
      <c r="V14" s="203">
        <f t="shared" ca="1" si="13"/>
        <v>1</v>
      </c>
      <c r="W14" s="212"/>
      <c r="X14" s="212"/>
      <c r="Y14" s="212"/>
      <c r="Z14" s="212"/>
      <c r="AA14" s="212"/>
      <c r="AB14" s="212"/>
      <c r="AC14" s="214" t="s">
        <v>196</v>
      </c>
      <c r="AD14" s="215" t="s">
        <v>2039</v>
      </c>
      <c r="AE14" s="148"/>
      <c r="AF14" s="212" t="str">
        <f t="shared" si="2"/>
        <v>AMC2-S1</v>
      </c>
      <c r="AG14" s="212">
        <f t="shared" si="3"/>
        <v>1</v>
      </c>
      <c r="AH14" s="203">
        <f t="shared" si="14"/>
        <v>1</v>
      </c>
      <c r="AI14" s="203">
        <f t="shared" ca="1" si="15"/>
        <v>1</v>
      </c>
      <c r="AJ14" s="203">
        <f t="shared" ca="1" si="16"/>
        <v>0</v>
      </c>
      <c r="AK14" s="212" t="str">
        <f t="shared" si="4"/>
        <v>N/A</v>
      </c>
      <c r="AL14" s="212">
        <f t="shared" si="5"/>
        <v>0</v>
      </c>
      <c r="AM14" s="203">
        <f t="shared" si="17"/>
        <v>0</v>
      </c>
      <c r="AN14" s="203">
        <f t="shared" ca="1" si="18"/>
        <v>0</v>
      </c>
      <c r="AO14" s="203">
        <f t="shared" ca="1" si="19"/>
        <v>0</v>
      </c>
      <c r="AP14" s="212" t="str">
        <f t="shared" si="6"/>
        <v>N/A</v>
      </c>
      <c r="AQ14" s="212">
        <f t="shared" si="7"/>
        <v>0</v>
      </c>
      <c r="AR14" s="203">
        <f t="shared" si="20"/>
        <v>0</v>
      </c>
      <c r="AS14" s="203">
        <f t="shared" ca="1" si="21"/>
        <v>0</v>
      </c>
      <c r="AT14" s="203">
        <f t="shared" ca="1" si="22"/>
        <v>0</v>
      </c>
      <c r="AU14" s="212" t="str">
        <f t="shared" si="8"/>
        <v>N/A</v>
      </c>
      <c r="AV14" s="212">
        <f t="shared" si="9"/>
        <v>0</v>
      </c>
      <c r="AW14" s="203">
        <f t="shared" si="23"/>
        <v>0</v>
      </c>
      <c r="AX14" s="203">
        <f t="shared" ca="1" si="24"/>
        <v>0</v>
      </c>
      <c r="AY14" s="203">
        <f t="shared" ca="1" si="25"/>
        <v>0</v>
      </c>
      <c r="AZ14" s="212"/>
      <c r="BA14" s="213" t="s">
        <v>141</v>
      </c>
      <c r="BB14" s="213" t="s">
        <v>140</v>
      </c>
      <c r="BC14" s="213" t="s">
        <v>140</v>
      </c>
      <c r="BD14" s="213" t="s">
        <v>140</v>
      </c>
      <c r="BE14" s="148"/>
      <c r="BF14" s="212" t="s">
        <v>1789</v>
      </c>
      <c r="BG14" s="117"/>
      <c r="BH14" s="155"/>
      <c r="BI14" s="216"/>
      <c r="BJ14" s="216"/>
      <c r="BK14" s="216"/>
      <c r="BL14" s="149"/>
      <c r="BM14" s="149"/>
      <c r="BN14" s="149"/>
      <c r="BO14" s="149"/>
      <c r="BP14" s="149"/>
      <c r="BQ14" s="149"/>
      <c r="BR14" s="117">
        <v>0</v>
      </c>
      <c r="BS14" s="117">
        <v>1</v>
      </c>
      <c r="BT14" s="117">
        <v>0</v>
      </c>
      <c r="BU14" s="117">
        <v>0</v>
      </c>
      <c r="BV14" s="117">
        <v>0</v>
      </c>
      <c r="BW14" s="117">
        <v>0</v>
      </c>
      <c r="BX14" s="117">
        <v>0</v>
      </c>
      <c r="BY14" s="117" t="s">
        <v>1790</v>
      </c>
      <c r="BZ14" s="117" t="s">
        <v>1063</v>
      </c>
      <c r="CA14" s="117">
        <v>1</v>
      </c>
      <c r="CB14" s="149">
        <v>46206</v>
      </c>
      <c r="CC14" s="155"/>
      <c r="CD14" s="117"/>
      <c r="CE14" s="217"/>
      <c r="CF14" s="148">
        <f t="shared" si="26"/>
        <v>0</v>
      </c>
    </row>
    <row r="15" spans="1:84" ht="17.25" hidden="1" customHeight="1">
      <c r="A15" s="117"/>
      <c r="B15" s="209" t="s">
        <v>2036</v>
      </c>
      <c r="C15" s="209" t="s">
        <v>2153</v>
      </c>
      <c r="D15" s="209" t="s">
        <v>1296</v>
      </c>
      <c r="E15" s="209" t="s">
        <v>1793</v>
      </c>
      <c r="F15" s="209" t="s">
        <v>1305</v>
      </c>
      <c r="G15" s="209" t="s">
        <v>1306</v>
      </c>
      <c r="H15" s="210">
        <v>2308</v>
      </c>
      <c r="I15" s="211" t="s">
        <v>147</v>
      </c>
      <c r="J15" s="144">
        <v>1</v>
      </c>
      <c r="K15" s="145">
        <f t="shared" si="1"/>
        <v>1</v>
      </c>
      <c r="L15" s="202">
        <f t="shared" si="10"/>
        <v>1</v>
      </c>
      <c r="M15" s="212">
        <v>83.6</v>
      </c>
      <c r="N15" s="203">
        <f t="shared" si="11"/>
        <v>83.6</v>
      </c>
      <c r="O15" s="212" t="s">
        <v>137</v>
      </c>
      <c r="P15" s="212" t="s">
        <v>13</v>
      </c>
      <c r="Q15" s="212" t="s">
        <v>148</v>
      </c>
      <c r="R15" s="212"/>
      <c r="S15" s="212"/>
      <c r="T15" s="203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1</v>
      </c>
      <c r="U15" s="203">
        <f t="shared" ca="1" si="12"/>
        <v>0</v>
      </c>
      <c r="V15" s="203">
        <f t="shared" ca="1" si="13"/>
        <v>1</v>
      </c>
      <c r="W15" s="212"/>
      <c r="X15" s="212"/>
      <c r="Y15" s="212"/>
      <c r="Z15" s="212"/>
      <c r="AA15" s="212"/>
      <c r="AB15" s="212"/>
      <c r="AC15" s="214" t="s">
        <v>196</v>
      </c>
      <c r="AD15" s="215" t="s">
        <v>2039</v>
      </c>
      <c r="AE15" s="148"/>
      <c r="AF15" s="212" t="str">
        <f t="shared" si="2"/>
        <v>AMC2-S1</v>
      </c>
      <c r="AG15" s="212">
        <f t="shared" si="3"/>
        <v>1</v>
      </c>
      <c r="AH15" s="203">
        <f t="shared" si="14"/>
        <v>1</v>
      </c>
      <c r="AI15" s="203">
        <f t="shared" ca="1" si="15"/>
        <v>1</v>
      </c>
      <c r="AJ15" s="203">
        <f t="shared" ca="1" si="16"/>
        <v>0</v>
      </c>
      <c r="AK15" s="212" t="str">
        <f t="shared" si="4"/>
        <v>N/A</v>
      </c>
      <c r="AL15" s="212">
        <f t="shared" si="5"/>
        <v>0</v>
      </c>
      <c r="AM15" s="203">
        <f t="shared" si="17"/>
        <v>0</v>
      </c>
      <c r="AN15" s="203">
        <f t="shared" ca="1" si="18"/>
        <v>0</v>
      </c>
      <c r="AO15" s="203">
        <f t="shared" ca="1" si="19"/>
        <v>0</v>
      </c>
      <c r="AP15" s="212" t="str">
        <f t="shared" si="6"/>
        <v>N/A</v>
      </c>
      <c r="AQ15" s="212">
        <f t="shared" si="7"/>
        <v>0</v>
      </c>
      <c r="AR15" s="203">
        <f t="shared" si="20"/>
        <v>0</v>
      </c>
      <c r="AS15" s="203">
        <f t="shared" ca="1" si="21"/>
        <v>0</v>
      </c>
      <c r="AT15" s="203">
        <f t="shared" ca="1" si="22"/>
        <v>0</v>
      </c>
      <c r="AU15" s="212" t="str">
        <f t="shared" si="8"/>
        <v>N/A</v>
      </c>
      <c r="AV15" s="212">
        <f t="shared" si="9"/>
        <v>0</v>
      </c>
      <c r="AW15" s="203">
        <f t="shared" si="23"/>
        <v>0</v>
      </c>
      <c r="AX15" s="203">
        <f t="shared" ca="1" si="24"/>
        <v>0</v>
      </c>
      <c r="AY15" s="203">
        <f t="shared" ca="1" si="25"/>
        <v>0</v>
      </c>
      <c r="AZ15" s="212"/>
      <c r="BA15" s="213" t="s">
        <v>141</v>
      </c>
      <c r="BB15" s="213" t="s">
        <v>140</v>
      </c>
      <c r="BC15" s="213" t="s">
        <v>140</v>
      </c>
      <c r="BD15" s="213" t="s">
        <v>140</v>
      </c>
      <c r="BE15" s="148"/>
      <c r="BF15" s="212" t="s">
        <v>1789</v>
      </c>
      <c r="BG15" s="117"/>
      <c r="BH15" s="155"/>
      <c r="BI15" s="216"/>
      <c r="BJ15" s="216"/>
      <c r="BK15" s="216"/>
      <c r="BL15" s="149"/>
      <c r="BM15" s="149"/>
      <c r="BN15" s="149"/>
      <c r="BO15" s="149"/>
      <c r="BP15" s="149"/>
      <c r="BQ15" s="149"/>
      <c r="BR15" s="117">
        <v>0</v>
      </c>
      <c r="BS15" s="117">
        <v>0</v>
      </c>
      <c r="BT15" s="117">
        <v>0</v>
      </c>
      <c r="BU15" s="117">
        <v>0</v>
      </c>
      <c r="BV15" s="117">
        <v>0</v>
      </c>
      <c r="BW15" s="117">
        <v>0</v>
      </c>
      <c r="BX15" s="117">
        <v>0</v>
      </c>
      <c r="BY15" s="117" t="s">
        <v>1790</v>
      </c>
      <c r="BZ15" s="117" t="s">
        <v>1307</v>
      </c>
      <c r="CA15" s="117">
        <v>1</v>
      </c>
      <c r="CB15" s="234">
        <v>46242</v>
      </c>
      <c r="CC15" s="155"/>
      <c r="CD15" s="117"/>
      <c r="CE15" s="217"/>
      <c r="CF15" s="148">
        <f t="shared" si="26"/>
        <v>0</v>
      </c>
    </row>
    <row r="16" spans="1:84" ht="17.25" hidden="1" customHeight="1">
      <c r="A16" s="117"/>
      <c r="B16" s="209" t="s">
        <v>2036</v>
      </c>
      <c r="C16" s="209" t="s">
        <v>2153</v>
      </c>
      <c r="D16" s="209" t="s">
        <v>1296</v>
      </c>
      <c r="E16" s="209" t="s">
        <v>1794</v>
      </c>
      <c r="F16" s="209" t="s">
        <v>1308</v>
      </c>
      <c r="G16" s="209" t="s">
        <v>1104</v>
      </c>
      <c r="H16" s="210">
        <v>1100</v>
      </c>
      <c r="I16" s="211" t="s">
        <v>147</v>
      </c>
      <c r="J16" s="144">
        <v>1</v>
      </c>
      <c r="K16" s="145">
        <f t="shared" si="1"/>
        <v>1</v>
      </c>
      <c r="L16" s="202">
        <f t="shared" si="10"/>
        <v>1</v>
      </c>
      <c r="M16" s="212">
        <v>34.5</v>
      </c>
      <c r="N16" s="203">
        <f t="shared" si="11"/>
        <v>34.5</v>
      </c>
      <c r="O16" s="212" t="s">
        <v>137</v>
      </c>
      <c r="P16" s="212" t="s">
        <v>13</v>
      </c>
      <c r="Q16" s="212" t="s">
        <v>148</v>
      </c>
      <c r="R16" s="212"/>
      <c r="S16" s="212"/>
      <c r="T16" s="203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1</v>
      </c>
      <c r="U16" s="203">
        <f t="shared" ca="1" si="12"/>
        <v>0</v>
      </c>
      <c r="V16" s="203">
        <f t="shared" ca="1" si="13"/>
        <v>1</v>
      </c>
      <c r="W16" s="212"/>
      <c r="X16" s="212"/>
      <c r="Y16" s="212"/>
      <c r="Z16" s="212"/>
      <c r="AA16" s="212"/>
      <c r="AB16" s="212"/>
      <c r="AC16" s="214" t="s">
        <v>196</v>
      </c>
      <c r="AD16" s="215" t="s">
        <v>2039</v>
      </c>
      <c r="AE16" s="148"/>
      <c r="AF16" s="212" t="str">
        <f t="shared" si="2"/>
        <v>AMC2-S1</v>
      </c>
      <c r="AG16" s="212">
        <f t="shared" si="3"/>
        <v>1</v>
      </c>
      <c r="AH16" s="203">
        <f t="shared" si="14"/>
        <v>1</v>
      </c>
      <c r="AI16" s="203">
        <f t="shared" ca="1" si="15"/>
        <v>1</v>
      </c>
      <c r="AJ16" s="203">
        <f t="shared" ca="1" si="16"/>
        <v>0</v>
      </c>
      <c r="AK16" s="212" t="str">
        <f t="shared" si="4"/>
        <v>N/A</v>
      </c>
      <c r="AL16" s="212">
        <f t="shared" si="5"/>
        <v>0</v>
      </c>
      <c r="AM16" s="203">
        <f t="shared" si="17"/>
        <v>0</v>
      </c>
      <c r="AN16" s="203">
        <f t="shared" ca="1" si="18"/>
        <v>0</v>
      </c>
      <c r="AO16" s="203">
        <f t="shared" ca="1" si="19"/>
        <v>0</v>
      </c>
      <c r="AP16" s="212" t="str">
        <f t="shared" si="6"/>
        <v>N/A</v>
      </c>
      <c r="AQ16" s="212">
        <f t="shared" si="7"/>
        <v>0</v>
      </c>
      <c r="AR16" s="203">
        <f t="shared" si="20"/>
        <v>0</v>
      </c>
      <c r="AS16" s="203">
        <f t="shared" ca="1" si="21"/>
        <v>0</v>
      </c>
      <c r="AT16" s="203">
        <f t="shared" ca="1" si="22"/>
        <v>0</v>
      </c>
      <c r="AU16" s="212" t="str">
        <f t="shared" si="8"/>
        <v>N/A</v>
      </c>
      <c r="AV16" s="212">
        <f t="shared" si="9"/>
        <v>0</v>
      </c>
      <c r="AW16" s="203">
        <f t="shared" si="23"/>
        <v>0</v>
      </c>
      <c r="AX16" s="203">
        <f t="shared" ca="1" si="24"/>
        <v>0</v>
      </c>
      <c r="AY16" s="203">
        <f t="shared" ca="1" si="25"/>
        <v>0</v>
      </c>
      <c r="AZ16" s="212"/>
      <c r="BA16" s="213" t="s">
        <v>141</v>
      </c>
      <c r="BB16" s="213" t="s">
        <v>140</v>
      </c>
      <c r="BC16" s="213" t="s">
        <v>140</v>
      </c>
      <c r="BD16" s="213" t="s">
        <v>140</v>
      </c>
      <c r="BE16" s="148"/>
      <c r="BF16" s="212" t="s">
        <v>1789</v>
      </c>
      <c r="BG16" s="117"/>
      <c r="BH16" s="155"/>
      <c r="BI16" s="216"/>
      <c r="BJ16" s="216"/>
      <c r="BK16" s="216"/>
      <c r="BL16" s="149"/>
      <c r="BM16" s="149"/>
      <c r="BN16" s="149"/>
      <c r="BO16" s="149"/>
      <c r="BP16" s="149"/>
      <c r="BQ16" s="149"/>
      <c r="BR16" s="117">
        <v>0</v>
      </c>
      <c r="BS16" s="117">
        <v>0</v>
      </c>
      <c r="BT16" s="117">
        <v>0</v>
      </c>
      <c r="BU16" s="117">
        <v>0</v>
      </c>
      <c r="BV16" s="117">
        <v>0</v>
      </c>
      <c r="BW16" s="117">
        <v>0</v>
      </c>
      <c r="BX16" s="117">
        <v>0</v>
      </c>
      <c r="BY16" s="117" t="s">
        <v>1790</v>
      </c>
      <c r="BZ16" s="117" t="s">
        <v>1307</v>
      </c>
      <c r="CA16" s="117">
        <v>1</v>
      </c>
      <c r="CB16" s="234">
        <v>46242</v>
      </c>
      <c r="CC16" s="155"/>
      <c r="CD16" s="117"/>
      <c r="CE16" s="217"/>
      <c r="CF16" s="148">
        <f t="shared" si="26"/>
        <v>0</v>
      </c>
    </row>
    <row r="17" spans="1:84" ht="17.25" hidden="1" customHeight="1">
      <c r="A17" s="117"/>
      <c r="B17" s="209" t="s">
        <v>2036</v>
      </c>
      <c r="C17" s="209" t="s">
        <v>2153</v>
      </c>
      <c r="D17" s="209" t="s">
        <v>1296</v>
      </c>
      <c r="E17" s="209" t="s">
        <v>1795</v>
      </c>
      <c r="F17" s="209" t="s">
        <v>1309</v>
      </c>
      <c r="G17" s="209" t="s">
        <v>1310</v>
      </c>
      <c r="H17" s="210">
        <v>852</v>
      </c>
      <c r="I17" s="211" t="s">
        <v>147</v>
      </c>
      <c r="J17" s="144">
        <v>1</v>
      </c>
      <c r="K17" s="145">
        <f t="shared" si="1"/>
        <v>1</v>
      </c>
      <c r="L17" s="202">
        <f t="shared" si="10"/>
        <v>1</v>
      </c>
      <c r="M17" s="212">
        <v>8.9</v>
      </c>
      <c r="N17" s="203">
        <f t="shared" si="11"/>
        <v>8.9</v>
      </c>
      <c r="O17" s="212" t="s">
        <v>137</v>
      </c>
      <c r="P17" s="212" t="s">
        <v>13</v>
      </c>
      <c r="Q17" s="212" t="s">
        <v>148</v>
      </c>
      <c r="R17" s="212"/>
      <c r="S17" s="212"/>
      <c r="T17" s="203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1</v>
      </c>
      <c r="U17" s="203">
        <f t="shared" ca="1" si="12"/>
        <v>0</v>
      </c>
      <c r="V17" s="203">
        <f t="shared" ca="1" si="13"/>
        <v>1</v>
      </c>
      <c r="W17" s="212"/>
      <c r="X17" s="212"/>
      <c r="Y17" s="212"/>
      <c r="Z17" s="212"/>
      <c r="AA17" s="212"/>
      <c r="AB17" s="212"/>
      <c r="AC17" s="214" t="s">
        <v>196</v>
      </c>
      <c r="AD17" s="215" t="s">
        <v>2039</v>
      </c>
      <c r="AE17" s="148"/>
      <c r="AF17" s="212" t="str">
        <f t="shared" si="2"/>
        <v>AMC2-S1</v>
      </c>
      <c r="AG17" s="212">
        <f t="shared" si="3"/>
        <v>1</v>
      </c>
      <c r="AH17" s="203">
        <f t="shared" si="14"/>
        <v>1</v>
      </c>
      <c r="AI17" s="203">
        <f t="shared" ca="1" si="15"/>
        <v>1</v>
      </c>
      <c r="AJ17" s="203">
        <f t="shared" ca="1" si="16"/>
        <v>0</v>
      </c>
      <c r="AK17" s="212" t="str">
        <f t="shared" si="4"/>
        <v>N/A</v>
      </c>
      <c r="AL17" s="212">
        <f t="shared" si="5"/>
        <v>0</v>
      </c>
      <c r="AM17" s="203">
        <f t="shared" si="17"/>
        <v>0</v>
      </c>
      <c r="AN17" s="203">
        <f t="shared" ca="1" si="18"/>
        <v>0</v>
      </c>
      <c r="AO17" s="203">
        <f t="shared" ca="1" si="19"/>
        <v>0</v>
      </c>
      <c r="AP17" s="212" t="str">
        <f t="shared" si="6"/>
        <v>N/A</v>
      </c>
      <c r="AQ17" s="212">
        <f t="shared" si="7"/>
        <v>0</v>
      </c>
      <c r="AR17" s="203">
        <f t="shared" si="20"/>
        <v>0</v>
      </c>
      <c r="AS17" s="203">
        <f t="shared" ca="1" si="21"/>
        <v>0</v>
      </c>
      <c r="AT17" s="203">
        <f t="shared" ca="1" si="22"/>
        <v>0</v>
      </c>
      <c r="AU17" s="212" t="str">
        <f t="shared" si="8"/>
        <v>N/A</v>
      </c>
      <c r="AV17" s="212">
        <f t="shared" si="9"/>
        <v>0</v>
      </c>
      <c r="AW17" s="203">
        <f t="shared" si="23"/>
        <v>0</v>
      </c>
      <c r="AX17" s="203">
        <f t="shared" ca="1" si="24"/>
        <v>0</v>
      </c>
      <c r="AY17" s="203">
        <f t="shared" ca="1" si="25"/>
        <v>0</v>
      </c>
      <c r="AZ17" s="212"/>
      <c r="BA17" s="213" t="s">
        <v>141</v>
      </c>
      <c r="BB17" s="213" t="s">
        <v>140</v>
      </c>
      <c r="BC17" s="213" t="s">
        <v>140</v>
      </c>
      <c r="BD17" s="213" t="s">
        <v>140</v>
      </c>
      <c r="BE17" s="148"/>
      <c r="BF17" s="212" t="s">
        <v>1789</v>
      </c>
      <c r="BG17" s="117"/>
      <c r="BH17" s="155"/>
      <c r="BI17" s="216"/>
      <c r="BJ17" s="216"/>
      <c r="BK17" s="216"/>
      <c r="BL17" s="149"/>
      <c r="BM17" s="149"/>
      <c r="BN17" s="149"/>
      <c r="BO17" s="149"/>
      <c r="BP17" s="149"/>
      <c r="BQ17" s="149"/>
      <c r="BR17" s="117">
        <v>0</v>
      </c>
      <c r="BS17" s="117">
        <v>0</v>
      </c>
      <c r="BT17" s="117">
        <v>0</v>
      </c>
      <c r="BU17" s="117">
        <v>0</v>
      </c>
      <c r="BV17" s="117">
        <v>0</v>
      </c>
      <c r="BW17" s="117">
        <v>0</v>
      </c>
      <c r="BX17" s="117">
        <v>0</v>
      </c>
      <c r="BY17" s="117" t="s">
        <v>1790</v>
      </c>
      <c r="BZ17" s="117" t="s">
        <v>1063</v>
      </c>
      <c r="CA17" s="117">
        <v>1</v>
      </c>
      <c r="CB17" s="149">
        <v>46206</v>
      </c>
      <c r="CC17" s="155"/>
      <c r="CD17" s="117"/>
      <c r="CE17" s="217"/>
      <c r="CF17" s="148">
        <f t="shared" si="26"/>
        <v>0</v>
      </c>
    </row>
    <row r="18" spans="1:84" ht="17.25" hidden="1" customHeight="1">
      <c r="A18" s="117"/>
      <c r="B18" s="209" t="s">
        <v>2036</v>
      </c>
      <c r="C18" s="209" t="s">
        <v>2153</v>
      </c>
      <c r="D18" s="209" t="s">
        <v>1296</v>
      </c>
      <c r="E18" s="209" t="s">
        <v>1796</v>
      </c>
      <c r="F18" s="209" t="s">
        <v>1311</v>
      </c>
      <c r="G18" s="209" t="s">
        <v>1106</v>
      </c>
      <c r="H18" s="210">
        <v>190</v>
      </c>
      <c r="I18" s="211" t="s">
        <v>652</v>
      </c>
      <c r="J18" s="144">
        <v>2</v>
      </c>
      <c r="K18" s="145">
        <f t="shared" si="1"/>
        <v>1</v>
      </c>
      <c r="L18" s="202">
        <f t="shared" si="10"/>
        <v>2</v>
      </c>
      <c r="M18" s="212">
        <v>1.3</v>
      </c>
      <c r="N18" s="203">
        <f t="shared" si="11"/>
        <v>2.6</v>
      </c>
      <c r="O18" s="212" t="s">
        <v>137</v>
      </c>
      <c r="P18" s="212" t="s">
        <v>13</v>
      </c>
      <c r="Q18" s="212" t="s">
        <v>148</v>
      </c>
      <c r="R18" s="212"/>
      <c r="S18" s="212"/>
      <c r="T18" s="203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2</v>
      </c>
      <c r="U18" s="203">
        <f t="shared" ca="1" si="12"/>
        <v>0</v>
      </c>
      <c r="V18" s="203">
        <f t="shared" ca="1" si="13"/>
        <v>1</v>
      </c>
      <c r="W18" s="212"/>
      <c r="X18" s="212"/>
      <c r="Y18" s="212"/>
      <c r="Z18" s="212"/>
      <c r="AA18" s="212"/>
      <c r="AB18" s="212"/>
      <c r="AC18" s="214" t="s">
        <v>196</v>
      </c>
      <c r="AD18" s="215" t="s">
        <v>2039</v>
      </c>
      <c r="AE18" s="148"/>
      <c r="AF18" s="212" t="str">
        <f t="shared" si="2"/>
        <v>AMC2-S1</v>
      </c>
      <c r="AG18" s="212">
        <f t="shared" si="3"/>
        <v>1</v>
      </c>
      <c r="AH18" s="203">
        <f t="shared" si="14"/>
        <v>2</v>
      </c>
      <c r="AI18" s="203">
        <f t="shared" ca="1" si="15"/>
        <v>2</v>
      </c>
      <c r="AJ18" s="203">
        <f t="shared" ca="1" si="16"/>
        <v>0</v>
      </c>
      <c r="AK18" s="212" t="str">
        <f t="shared" si="4"/>
        <v>N/A</v>
      </c>
      <c r="AL18" s="212">
        <f t="shared" si="5"/>
        <v>0</v>
      </c>
      <c r="AM18" s="203">
        <f t="shared" si="17"/>
        <v>0</v>
      </c>
      <c r="AN18" s="203">
        <f t="shared" ca="1" si="18"/>
        <v>0</v>
      </c>
      <c r="AO18" s="203">
        <f t="shared" ca="1" si="19"/>
        <v>0</v>
      </c>
      <c r="AP18" s="212" t="str">
        <f t="shared" si="6"/>
        <v>N/A</v>
      </c>
      <c r="AQ18" s="212">
        <f t="shared" si="7"/>
        <v>0</v>
      </c>
      <c r="AR18" s="203">
        <f t="shared" si="20"/>
        <v>0</v>
      </c>
      <c r="AS18" s="203">
        <f t="shared" ca="1" si="21"/>
        <v>0</v>
      </c>
      <c r="AT18" s="203">
        <f t="shared" ca="1" si="22"/>
        <v>0</v>
      </c>
      <c r="AU18" s="212" t="str">
        <f t="shared" si="8"/>
        <v>N/A</v>
      </c>
      <c r="AV18" s="212">
        <f t="shared" si="9"/>
        <v>0</v>
      </c>
      <c r="AW18" s="203">
        <f t="shared" si="23"/>
        <v>0</v>
      </c>
      <c r="AX18" s="203">
        <f t="shared" ca="1" si="24"/>
        <v>0</v>
      </c>
      <c r="AY18" s="203">
        <f t="shared" ca="1" si="25"/>
        <v>0</v>
      </c>
      <c r="AZ18" s="212"/>
      <c r="BA18" s="213" t="s">
        <v>141</v>
      </c>
      <c r="BB18" s="213" t="s">
        <v>140</v>
      </c>
      <c r="BC18" s="213" t="s">
        <v>140</v>
      </c>
      <c r="BD18" s="213" t="s">
        <v>140</v>
      </c>
      <c r="BE18" s="148"/>
      <c r="BF18" s="212"/>
      <c r="BG18" s="117"/>
      <c r="BH18" s="155"/>
      <c r="BI18" s="216"/>
      <c r="BJ18" s="216"/>
      <c r="BK18" s="216"/>
      <c r="BL18" s="149"/>
      <c r="BM18" s="149"/>
      <c r="BN18" s="149"/>
      <c r="BO18" s="149"/>
      <c r="BP18" s="149"/>
      <c r="BQ18" s="149"/>
      <c r="BR18" s="117">
        <v>0</v>
      </c>
      <c r="BS18" s="117">
        <v>0</v>
      </c>
      <c r="BT18" s="117">
        <v>0</v>
      </c>
      <c r="BU18" s="117">
        <v>0</v>
      </c>
      <c r="BV18" s="117">
        <v>0</v>
      </c>
      <c r="BW18" s="117">
        <v>0</v>
      </c>
      <c r="BX18" s="117">
        <v>0</v>
      </c>
      <c r="BY18" s="117" t="s">
        <v>1790</v>
      </c>
      <c r="BZ18" s="117" t="s">
        <v>1312</v>
      </c>
      <c r="CA18" s="117">
        <v>2</v>
      </c>
      <c r="CB18" s="149">
        <v>46186</v>
      </c>
      <c r="CC18" s="155"/>
      <c r="CD18" s="155"/>
      <c r="CE18" s="217"/>
      <c r="CF18" s="148">
        <f t="shared" si="26"/>
        <v>0</v>
      </c>
    </row>
    <row r="19" spans="1:84" ht="17.25" hidden="1" customHeight="1">
      <c r="A19" s="117"/>
      <c r="B19" s="209" t="s">
        <v>2036</v>
      </c>
      <c r="C19" s="209" t="s">
        <v>2153</v>
      </c>
      <c r="D19" s="209" t="s">
        <v>1296</v>
      </c>
      <c r="E19" s="209" t="s">
        <v>1797</v>
      </c>
      <c r="F19" s="209" t="s">
        <v>1313</v>
      </c>
      <c r="G19" s="209" t="s">
        <v>1030</v>
      </c>
      <c r="H19" s="210">
        <v>300</v>
      </c>
      <c r="I19" s="211" t="s">
        <v>147</v>
      </c>
      <c r="J19" s="144">
        <v>4</v>
      </c>
      <c r="K19" s="145">
        <f t="shared" si="1"/>
        <v>1</v>
      </c>
      <c r="L19" s="202">
        <f t="shared" si="10"/>
        <v>4</v>
      </c>
      <c r="M19" s="212">
        <v>2.2999999999999998</v>
      </c>
      <c r="N19" s="203">
        <f t="shared" si="11"/>
        <v>9.1999999999999993</v>
      </c>
      <c r="O19" s="212" t="s">
        <v>137</v>
      </c>
      <c r="P19" s="212" t="s">
        <v>13</v>
      </c>
      <c r="Q19" s="212" t="s">
        <v>148</v>
      </c>
      <c r="R19" s="212"/>
      <c r="S19" s="212"/>
      <c r="T19" s="203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4</v>
      </c>
      <c r="U19" s="203">
        <f t="shared" ca="1" si="12"/>
        <v>0</v>
      </c>
      <c r="V19" s="203">
        <f t="shared" ca="1" si="13"/>
        <v>1</v>
      </c>
      <c r="W19" s="212"/>
      <c r="X19" s="212"/>
      <c r="Y19" s="212"/>
      <c r="Z19" s="212"/>
      <c r="AA19" s="212"/>
      <c r="AB19" s="212"/>
      <c r="AC19" s="214" t="s">
        <v>196</v>
      </c>
      <c r="AD19" s="215" t="s">
        <v>2039</v>
      </c>
      <c r="AE19" s="148"/>
      <c r="AF19" s="212" t="str">
        <f t="shared" si="2"/>
        <v>AMC2-S1</v>
      </c>
      <c r="AG19" s="212">
        <f t="shared" si="3"/>
        <v>1</v>
      </c>
      <c r="AH19" s="203">
        <f t="shared" si="14"/>
        <v>4</v>
      </c>
      <c r="AI19" s="203">
        <f t="shared" ca="1" si="15"/>
        <v>4</v>
      </c>
      <c r="AJ19" s="203">
        <f t="shared" ca="1" si="16"/>
        <v>0</v>
      </c>
      <c r="AK19" s="212" t="str">
        <f t="shared" si="4"/>
        <v>N/A</v>
      </c>
      <c r="AL19" s="212">
        <f t="shared" si="5"/>
        <v>0</v>
      </c>
      <c r="AM19" s="203">
        <f t="shared" si="17"/>
        <v>0</v>
      </c>
      <c r="AN19" s="203">
        <f t="shared" ca="1" si="18"/>
        <v>0</v>
      </c>
      <c r="AO19" s="203">
        <f t="shared" ca="1" si="19"/>
        <v>0</v>
      </c>
      <c r="AP19" s="212" t="str">
        <f t="shared" si="6"/>
        <v>N/A</v>
      </c>
      <c r="AQ19" s="212">
        <f t="shared" si="7"/>
        <v>0</v>
      </c>
      <c r="AR19" s="203">
        <f t="shared" si="20"/>
        <v>0</v>
      </c>
      <c r="AS19" s="203">
        <f t="shared" ca="1" si="21"/>
        <v>0</v>
      </c>
      <c r="AT19" s="203">
        <f t="shared" ca="1" si="22"/>
        <v>0</v>
      </c>
      <c r="AU19" s="212" t="str">
        <f t="shared" si="8"/>
        <v>N/A</v>
      </c>
      <c r="AV19" s="212">
        <f t="shared" si="9"/>
        <v>0</v>
      </c>
      <c r="AW19" s="203">
        <f t="shared" si="23"/>
        <v>0</v>
      </c>
      <c r="AX19" s="203">
        <f t="shared" ca="1" si="24"/>
        <v>0</v>
      </c>
      <c r="AY19" s="203">
        <f t="shared" ca="1" si="25"/>
        <v>0</v>
      </c>
      <c r="AZ19" s="212"/>
      <c r="BA19" s="213" t="s">
        <v>141</v>
      </c>
      <c r="BB19" s="213" t="s">
        <v>140</v>
      </c>
      <c r="BC19" s="213" t="s">
        <v>140</v>
      </c>
      <c r="BD19" s="213" t="s">
        <v>140</v>
      </c>
      <c r="BE19" s="148"/>
      <c r="BF19" s="212" t="s">
        <v>1789</v>
      </c>
      <c r="BG19" s="117"/>
      <c r="BH19" s="155"/>
      <c r="BI19" s="216"/>
      <c r="BJ19" s="216"/>
      <c r="BK19" s="216"/>
      <c r="BL19" s="149"/>
      <c r="BM19" s="149"/>
      <c r="BN19" s="149"/>
      <c r="BO19" s="149"/>
      <c r="BP19" s="149"/>
      <c r="BQ19" s="149"/>
      <c r="BR19" s="117">
        <v>0</v>
      </c>
      <c r="BS19" s="117">
        <v>0</v>
      </c>
      <c r="BT19" s="117">
        <v>0</v>
      </c>
      <c r="BU19" s="117">
        <v>0</v>
      </c>
      <c r="BV19" s="117">
        <v>0</v>
      </c>
      <c r="BW19" s="117">
        <v>0</v>
      </c>
      <c r="BX19" s="117">
        <v>0</v>
      </c>
      <c r="BY19" s="117" t="s">
        <v>1790</v>
      </c>
      <c r="BZ19" s="117" t="s">
        <v>1022</v>
      </c>
      <c r="CA19" s="117">
        <v>4</v>
      </c>
      <c r="CB19" s="149">
        <v>46206</v>
      </c>
      <c r="CC19" s="155"/>
      <c r="CD19" s="155"/>
      <c r="CE19" s="217"/>
      <c r="CF19" s="148">
        <f t="shared" si="26"/>
        <v>0</v>
      </c>
    </row>
    <row r="20" spans="1:84" ht="17.25" hidden="1" customHeight="1">
      <c r="A20" s="117"/>
      <c r="B20" s="209" t="s">
        <v>2036</v>
      </c>
      <c r="C20" s="209" t="s">
        <v>2153</v>
      </c>
      <c r="D20" s="209" t="s">
        <v>1076</v>
      </c>
      <c r="E20" s="209" t="s">
        <v>1798</v>
      </c>
      <c r="F20" s="209" t="s">
        <v>1314</v>
      </c>
      <c r="G20" s="209" t="s">
        <v>1030</v>
      </c>
      <c r="H20" s="210">
        <v>231</v>
      </c>
      <c r="I20" s="211" t="s">
        <v>147</v>
      </c>
      <c r="J20" s="144">
        <v>2</v>
      </c>
      <c r="K20" s="145">
        <f t="shared" si="1"/>
        <v>1</v>
      </c>
      <c r="L20" s="202">
        <f t="shared" si="10"/>
        <v>2</v>
      </c>
      <c r="M20" s="212">
        <v>1.7</v>
      </c>
      <c r="N20" s="203">
        <f t="shared" si="11"/>
        <v>3.4</v>
      </c>
      <c r="O20" s="212" t="s">
        <v>137</v>
      </c>
      <c r="P20" s="212" t="s">
        <v>13</v>
      </c>
      <c r="Q20" s="212" t="s">
        <v>148</v>
      </c>
      <c r="R20" s="212"/>
      <c r="S20" s="212"/>
      <c r="T20" s="203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2</v>
      </c>
      <c r="U20" s="203">
        <f t="shared" ca="1" si="12"/>
        <v>0</v>
      </c>
      <c r="V20" s="203">
        <f t="shared" ca="1" si="13"/>
        <v>1</v>
      </c>
      <c r="W20" s="212"/>
      <c r="X20" s="212"/>
      <c r="Y20" s="212"/>
      <c r="Z20" s="212"/>
      <c r="AA20" s="212"/>
      <c r="AB20" s="212"/>
      <c r="AC20" s="214" t="s">
        <v>196</v>
      </c>
      <c r="AD20" s="215" t="s">
        <v>2039</v>
      </c>
      <c r="AE20" s="148"/>
      <c r="AF20" s="212" t="str">
        <f t="shared" si="2"/>
        <v>AMC2-S1</v>
      </c>
      <c r="AG20" s="212">
        <f t="shared" si="3"/>
        <v>1</v>
      </c>
      <c r="AH20" s="203">
        <f t="shared" si="14"/>
        <v>2</v>
      </c>
      <c r="AI20" s="203">
        <f t="shared" ca="1" si="15"/>
        <v>2</v>
      </c>
      <c r="AJ20" s="203">
        <f t="shared" ca="1" si="16"/>
        <v>0</v>
      </c>
      <c r="AK20" s="212" t="str">
        <f t="shared" si="4"/>
        <v>N/A</v>
      </c>
      <c r="AL20" s="212">
        <f t="shared" si="5"/>
        <v>0</v>
      </c>
      <c r="AM20" s="203">
        <f t="shared" si="17"/>
        <v>0</v>
      </c>
      <c r="AN20" s="203">
        <f t="shared" ca="1" si="18"/>
        <v>0</v>
      </c>
      <c r="AO20" s="203">
        <f t="shared" ca="1" si="19"/>
        <v>0</v>
      </c>
      <c r="AP20" s="212" t="str">
        <f t="shared" si="6"/>
        <v>N/A</v>
      </c>
      <c r="AQ20" s="212">
        <f t="shared" si="7"/>
        <v>0</v>
      </c>
      <c r="AR20" s="203">
        <f t="shared" si="20"/>
        <v>0</v>
      </c>
      <c r="AS20" s="203">
        <f t="shared" ca="1" si="21"/>
        <v>0</v>
      </c>
      <c r="AT20" s="203">
        <f t="shared" ca="1" si="22"/>
        <v>0</v>
      </c>
      <c r="AU20" s="212" t="str">
        <f t="shared" si="8"/>
        <v>N/A</v>
      </c>
      <c r="AV20" s="212">
        <f t="shared" si="9"/>
        <v>0</v>
      </c>
      <c r="AW20" s="203">
        <f t="shared" si="23"/>
        <v>0</v>
      </c>
      <c r="AX20" s="203">
        <f t="shared" ca="1" si="24"/>
        <v>0</v>
      </c>
      <c r="AY20" s="203">
        <f t="shared" ca="1" si="25"/>
        <v>0</v>
      </c>
      <c r="AZ20" s="212"/>
      <c r="BA20" s="213" t="s">
        <v>141</v>
      </c>
      <c r="BB20" s="213" t="s">
        <v>140</v>
      </c>
      <c r="BC20" s="213" t="s">
        <v>140</v>
      </c>
      <c r="BD20" s="213" t="s">
        <v>140</v>
      </c>
      <c r="BE20" s="148"/>
      <c r="BF20" s="212" t="s">
        <v>1789</v>
      </c>
      <c r="BG20" s="117"/>
      <c r="BH20" s="155"/>
      <c r="BI20" s="216"/>
      <c r="BJ20" s="216"/>
      <c r="BK20" s="216"/>
      <c r="BL20" s="149"/>
      <c r="BM20" s="149"/>
      <c r="BN20" s="149"/>
      <c r="BO20" s="149"/>
      <c r="BP20" s="149"/>
      <c r="BQ20" s="149"/>
      <c r="BR20" s="117">
        <v>0</v>
      </c>
      <c r="BS20" s="117">
        <v>0</v>
      </c>
      <c r="BT20" s="117">
        <v>0</v>
      </c>
      <c r="BU20" s="117">
        <v>0</v>
      </c>
      <c r="BV20" s="117">
        <v>0</v>
      </c>
      <c r="BW20" s="117">
        <v>0</v>
      </c>
      <c r="BX20" s="117">
        <v>0</v>
      </c>
      <c r="BY20" s="117" t="s">
        <v>1790</v>
      </c>
      <c r="BZ20" s="117" t="s">
        <v>1022</v>
      </c>
      <c r="CA20" s="117">
        <v>2</v>
      </c>
      <c r="CB20" s="149">
        <v>46206</v>
      </c>
      <c r="CC20" s="155"/>
      <c r="CD20" s="155"/>
      <c r="CE20" s="217"/>
      <c r="CF20" s="148">
        <f t="shared" si="26"/>
        <v>0</v>
      </c>
    </row>
    <row r="21" spans="1:84" ht="17.25" hidden="1" customHeight="1">
      <c r="A21" s="117"/>
      <c r="B21" s="209" t="s">
        <v>2036</v>
      </c>
      <c r="C21" s="209" t="s">
        <v>2153</v>
      </c>
      <c r="D21" s="209" t="s">
        <v>1296</v>
      </c>
      <c r="E21" s="209" t="s">
        <v>1799</v>
      </c>
      <c r="F21" s="209" t="s">
        <v>1294</v>
      </c>
      <c r="G21" s="209" t="s">
        <v>1295</v>
      </c>
      <c r="H21" s="210">
        <v>332</v>
      </c>
      <c r="I21" s="211" t="s">
        <v>147</v>
      </c>
      <c r="J21" s="144">
        <v>2</v>
      </c>
      <c r="K21" s="145">
        <f t="shared" si="1"/>
        <v>1</v>
      </c>
      <c r="L21" s="202">
        <f t="shared" si="10"/>
        <v>2</v>
      </c>
      <c r="M21" s="212">
        <v>5.0999999999999996</v>
      </c>
      <c r="N21" s="203">
        <f t="shared" si="11"/>
        <v>10.199999999999999</v>
      </c>
      <c r="O21" s="212" t="s">
        <v>137</v>
      </c>
      <c r="P21" s="212" t="s">
        <v>13</v>
      </c>
      <c r="Q21" s="212" t="s">
        <v>148</v>
      </c>
      <c r="R21" s="212"/>
      <c r="S21" s="212"/>
      <c r="T21" s="203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2</v>
      </c>
      <c r="U21" s="203">
        <f t="shared" ca="1" si="12"/>
        <v>0</v>
      </c>
      <c r="V21" s="203">
        <f t="shared" ca="1" si="13"/>
        <v>1</v>
      </c>
      <c r="W21" s="212"/>
      <c r="X21" s="212"/>
      <c r="Y21" s="212"/>
      <c r="Z21" s="212"/>
      <c r="AA21" s="212"/>
      <c r="AB21" s="212"/>
      <c r="AC21" s="214" t="s">
        <v>196</v>
      </c>
      <c r="AD21" s="215" t="s">
        <v>2039</v>
      </c>
      <c r="AE21" s="148"/>
      <c r="AF21" s="212" t="str">
        <f t="shared" si="2"/>
        <v>AMC2-S1</v>
      </c>
      <c r="AG21" s="212">
        <f t="shared" si="3"/>
        <v>1</v>
      </c>
      <c r="AH21" s="203">
        <f t="shared" si="14"/>
        <v>2</v>
      </c>
      <c r="AI21" s="203">
        <f t="shared" ca="1" si="15"/>
        <v>2</v>
      </c>
      <c r="AJ21" s="203">
        <f t="shared" ca="1" si="16"/>
        <v>0</v>
      </c>
      <c r="AK21" s="212" t="str">
        <f t="shared" si="4"/>
        <v>N/A</v>
      </c>
      <c r="AL21" s="212">
        <f t="shared" si="5"/>
        <v>0</v>
      </c>
      <c r="AM21" s="203">
        <f t="shared" si="17"/>
        <v>0</v>
      </c>
      <c r="AN21" s="203">
        <f t="shared" ca="1" si="18"/>
        <v>0</v>
      </c>
      <c r="AO21" s="203">
        <f t="shared" ca="1" si="19"/>
        <v>0</v>
      </c>
      <c r="AP21" s="212" t="str">
        <f t="shared" si="6"/>
        <v>N/A</v>
      </c>
      <c r="AQ21" s="212">
        <f t="shared" si="7"/>
        <v>0</v>
      </c>
      <c r="AR21" s="203">
        <f t="shared" si="20"/>
        <v>0</v>
      </c>
      <c r="AS21" s="203">
        <f t="shared" ca="1" si="21"/>
        <v>0</v>
      </c>
      <c r="AT21" s="203">
        <f t="shared" ca="1" si="22"/>
        <v>0</v>
      </c>
      <c r="AU21" s="212" t="str">
        <f t="shared" si="8"/>
        <v>N/A</v>
      </c>
      <c r="AV21" s="212">
        <f t="shared" si="9"/>
        <v>0</v>
      </c>
      <c r="AW21" s="203">
        <f t="shared" si="23"/>
        <v>0</v>
      </c>
      <c r="AX21" s="203">
        <f t="shared" ca="1" si="24"/>
        <v>0</v>
      </c>
      <c r="AY21" s="203">
        <f t="shared" ca="1" si="25"/>
        <v>0</v>
      </c>
      <c r="AZ21" s="212"/>
      <c r="BA21" s="213" t="s">
        <v>141</v>
      </c>
      <c r="BB21" s="213" t="s">
        <v>140</v>
      </c>
      <c r="BC21" s="213" t="s">
        <v>140</v>
      </c>
      <c r="BD21" s="213" t="s">
        <v>140</v>
      </c>
      <c r="BE21" s="148"/>
      <c r="BF21" s="212" t="s">
        <v>1789</v>
      </c>
      <c r="BG21" s="117"/>
      <c r="BH21" s="155"/>
      <c r="BI21" s="216"/>
      <c r="BJ21" s="216"/>
      <c r="BK21" s="216"/>
      <c r="BL21" s="149"/>
      <c r="BM21" s="149"/>
      <c r="BN21" s="149"/>
      <c r="BO21" s="149"/>
      <c r="BP21" s="149"/>
      <c r="BQ21" s="149"/>
      <c r="BR21" s="117">
        <v>1</v>
      </c>
      <c r="BS21" s="117">
        <v>0</v>
      </c>
      <c r="BT21" s="117">
        <v>0</v>
      </c>
      <c r="BU21" s="117">
        <v>0</v>
      </c>
      <c r="BV21" s="117">
        <v>0</v>
      </c>
      <c r="BW21" s="117">
        <v>0</v>
      </c>
      <c r="BX21" s="117">
        <v>0</v>
      </c>
      <c r="BY21" s="117" t="s">
        <v>1790</v>
      </c>
      <c r="BZ21" s="117" t="s">
        <v>1063</v>
      </c>
      <c r="CA21" s="117">
        <v>2</v>
      </c>
      <c r="CB21" s="149">
        <v>46206</v>
      </c>
      <c r="CC21" s="155"/>
      <c r="CD21" s="117"/>
      <c r="CE21" s="217"/>
      <c r="CF21" s="148">
        <f t="shared" si="26"/>
        <v>0</v>
      </c>
    </row>
    <row r="22" spans="1:84" ht="17.25" hidden="1" customHeight="1">
      <c r="A22" s="117"/>
      <c r="B22" s="209" t="s">
        <v>2036</v>
      </c>
      <c r="C22" s="209" t="s">
        <v>2153</v>
      </c>
      <c r="D22" s="209" t="s">
        <v>1296</v>
      </c>
      <c r="E22" s="209" t="s">
        <v>1800</v>
      </c>
      <c r="F22" s="209" t="s">
        <v>1297</v>
      </c>
      <c r="G22" s="209" t="s">
        <v>1298</v>
      </c>
      <c r="H22" s="210">
        <v>787</v>
      </c>
      <c r="I22" s="211" t="s">
        <v>147</v>
      </c>
      <c r="J22" s="144">
        <v>4</v>
      </c>
      <c r="K22" s="145">
        <f t="shared" si="1"/>
        <v>1</v>
      </c>
      <c r="L22" s="202">
        <f t="shared" si="10"/>
        <v>4</v>
      </c>
      <c r="M22" s="212">
        <v>11.6</v>
      </c>
      <c r="N22" s="203">
        <f t="shared" si="11"/>
        <v>46.4</v>
      </c>
      <c r="O22" s="212" t="s">
        <v>137</v>
      </c>
      <c r="P22" s="212" t="s">
        <v>13</v>
      </c>
      <c r="Q22" s="212" t="s">
        <v>148</v>
      </c>
      <c r="R22" s="212"/>
      <c r="S22" s="212"/>
      <c r="T22" s="203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4</v>
      </c>
      <c r="U22" s="203">
        <f t="shared" ca="1" si="12"/>
        <v>0</v>
      </c>
      <c r="V22" s="203">
        <f t="shared" ca="1" si="13"/>
        <v>1</v>
      </c>
      <c r="W22" s="212"/>
      <c r="X22" s="212"/>
      <c r="Y22" s="212"/>
      <c r="Z22" s="212"/>
      <c r="AA22" s="212"/>
      <c r="AB22" s="212"/>
      <c r="AC22" s="214" t="s">
        <v>196</v>
      </c>
      <c r="AD22" s="215" t="s">
        <v>2039</v>
      </c>
      <c r="AE22" s="148"/>
      <c r="AF22" s="212" t="str">
        <f t="shared" si="2"/>
        <v>AMC2-S1</v>
      </c>
      <c r="AG22" s="212">
        <f t="shared" si="3"/>
        <v>1</v>
      </c>
      <c r="AH22" s="203">
        <f t="shared" si="14"/>
        <v>4</v>
      </c>
      <c r="AI22" s="203">
        <f t="shared" ca="1" si="15"/>
        <v>4</v>
      </c>
      <c r="AJ22" s="203">
        <f t="shared" ca="1" si="16"/>
        <v>0</v>
      </c>
      <c r="AK22" s="212" t="str">
        <f t="shared" si="4"/>
        <v>N/A</v>
      </c>
      <c r="AL22" s="212">
        <f t="shared" si="5"/>
        <v>0</v>
      </c>
      <c r="AM22" s="203">
        <f t="shared" si="17"/>
        <v>0</v>
      </c>
      <c r="AN22" s="203">
        <f t="shared" ca="1" si="18"/>
        <v>0</v>
      </c>
      <c r="AO22" s="203">
        <f t="shared" ca="1" si="19"/>
        <v>0</v>
      </c>
      <c r="AP22" s="212" t="str">
        <f t="shared" si="6"/>
        <v>N/A</v>
      </c>
      <c r="AQ22" s="212">
        <f t="shared" si="7"/>
        <v>0</v>
      </c>
      <c r="AR22" s="203">
        <f t="shared" si="20"/>
        <v>0</v>
      </c>
      <c r="AS22" s="203">
        <f t="shared" ca="1" si="21"/>
        <v>0</v>
      </c>
      <c r="AT22" s="203">
        <f t="shared" ca="1" si="22"/>
        <v>0</v>
      </c>
      <c r="AU22" s="212" t="str">
        <f t="shared" si="8"/>
        <v>N/A</v>
      </c>
      <c r="AV22" s="212">
        <f t="shared" si="9"/>
        <v>0</v>
      </c>
      <c r="AW22" s="203">
        <f t="shared" si="23"/>
        <v>0</v>
      </c>
      <c r="AX22" s="203">
        <f t="shared" ca="1" si="24"/>
        <v>0</v>
      </c>
      <c r="AY22" s="203">
        <f t="shared" ca="1" si="25"/>
        <v>0</v>
      </c>
      <c r="AZ22" s="212"/>
      <c r="BA22" s="213" t="s">
        <v>141</v>
      </c>
      <c r="BB22" s="213" t="s">
        <v>140</v>
      </c>
      <c r="BC22" s="213" t="s">
        <v>140</v>
      </c>
      <c r="BD22" s="213" t="s">
        <v>140</v>
      </c>
      <c r="BE22" s="148"/>
      <c r="BF22" s="212" t="s">
        <v>1789</v>
      </c>
      <c r="BG22" s="117"/>
      <c r="BH22" s="155"/>
      <c r="BI22" s="216"/>
      <c r="BJ22" s="229" t="s">
        <v>1929</v>
      </c>
      <c r="BK22" s="229"/>
      <c r="BL22" s="149"/>
      <c r="BM22" s="149"/>
      <c r="BN22" s="149"/>
      <c r="BO22" s="149"/>
      <c r="BP22" s="149"/>
      <c r="BQ22" s="149"/>
      <c r="BR22" s="117">
        <v>0</v>
      </c>
      <c r="BS22" s="117">
        <v>0</v>
      </c>
      <c r="BT22" s="117">
        <v>0</v>
      </c>
      <c r="BU22" s="117">
        <v>1</v>
      </c>
      <c r="BV22" s="117">
        <v>0</v>
      </c>
      <c r="BW22" s="117">
        <v>0</v>
      </c>
      <c r="BX22" s="117">
        <v>0</v>
      </c>
      <c r="BY22" s="117" t="s">
        <v>1790</v>
      </c>
      <c r="BZ22" s="117" t="s">
        <v>1022</v>
      </c>
      <c r="CA22" s="117">
        <v>4</v>
      </c>
      <c r="CB22" s="149">
        <v>46206</v>
      </c>
      <c r="CC22" s="155"/>
      <c r="CD22" s="155"/>
      <c r="CE22" s="217"/>
      <c r="CF22" s="148">
        <f t="shared" si="26"/>
        <v>0</v>
      </c>
    </row>
    <row r="23" spans="1:84" ht="17.25" hidden="1" customHeight="1">
      <c r="A23" s="141"/>
      <c r="B23" s="199" t="s">
        <v>2036</v>
      </c>
      <c r="C23" s="199" t="s">
        <v>2153</v>
      </c>
      <c r="D23" s="199" t="s">
        <v>1296</v>
      </c>
      <c r="E23" s="199" t="s">
        <v>1930</v>
      </c>
      <c r="F23" s="199" t="s">
        <v>1299</v>
      </c>
      <c r="G23" s="199" t="s">
        <v>1298</v>
      </c>
      <c r="H23" s="200">
        <v>787</v>
      </c>
      <c r="I23" s="201" t="s">
        <v>147</v>
      </c>
      <c r="J23" s="165">
        <v>4</v>
      </c>
      <c r="K23" s="202">
        <f t="shared" si="1"/>
        <v>1</v>
      </c>
      <c r="L23" s="202">
        <f t="shared" si="10"/>
        <v>4</v>
      </c>
      <c r="M23" s="203">
        <v>11.6</v>
      </c>
      <c r="N23" s="203">
        <f t="shared" si="11"/>
        <v>46.4</v>
      </c>
      <c r="O23" s="203" t="s">
        <v>137</v>
      </c>
      <c r="P23" s="203" t="s">
        <v>13</v>
      </c>
      <c r="Q23" s="203" t="s">
        <v>148</v>
      </c>
      <c r="R23" s="203"/>
      <c r="S23" s="203"/>
      <c r="T23" s="203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4</v>
      </c>
      <c r="U23" s="203">
        <f t="shared" ca="1" si="12"/>
        <v>0</v>
      </c>
      <c r="V23" s="203">
        <f t="shared" ca="1" si="13"/>
        <v>1</v>
      </c>
      <c r="W23" s="203"/>
      <c r="X23" s="203"/>
      <c r="Y23" s="203"/>
      <c r="Z23" s="203"/>
      <c r="AA23" s="203"/>
      <c r="AB23" s="203"/>
      <c r="AC23" s="205" t="s">
        <v>196</v>
      </c>
      <c r="AD23" s="206" t="s">
        <v>2039</v>
      </c>
      <c r="AE23" s="166"/>
      <c r="AF23" s="203" t="str">
        <f t="shared" si="2"/>
        <v>AMC2-S1</v>
      </c>
      <c r="AG23" s="203">
        <f t="shared" si="3"/>
        <v>1</v>
      </c>
      <c r="AH23" s="203">
        <f t="shared" si="14"/>
        <v>4</v>
      </c>
      <c r="AI23" s="203">
        <f t="shared" ca="1" si="15"/>
        <v>4</v>
      </c>
      <c r="AJ23" s="203">
        <f t="shared" ca="1" si="16"/>
        <v>0</v>
      </c>
      <c r="AK23" s="203" t="str">
        <f t="shared" si="4"/>
        <v>N/A</v>
      </c>
      <c r="AL23" s="203">
        <f t="shared" si="5"/>
        <v>0</v>
      </c>
      <c r="AM23" s="203">
        <f t="shared" si="17"/>
        <v>0</v>
      </c>
      <c r="AN23" s="203">
        <f t="shared" ca="1" si="18"/>
        <v>0</v>
      </c>
      <c r="AO23" s="203">
        <f t="shared" ca="1" si="19"/>
        <v>0</v>
      </c>
      <c r="AP23" s="203" t="str">
        <f t="shared" si="6"/>
        <v>N/A</v>
      </c>
      <c r="AQ23" s="203">
        <f t="shared" si="7"/>
        <v>0</v>
      </c>
      <c r="AR23" s="203">
        <f t="shared" si="20"/>
        <v>0</v>
      </c>
      <c r="AS23" s="203">
        <f t="shared" ca="1" si="21"/>
        <v>0</v>
      </c>
      <c r="AT23" s="203">
        <f t="shared" ca="1" si="22"/>
        <v>0</v>
      </c>
      <c r="AU23" s="203" t="str">
        <f t="shared" si="8"/>
        <v>N/A</v>
      </c>
      <c r="AV23" s="203">
        <f t="shared" si="9"/>
        <v>0</v>
      </c>
      <c r="AW23" s="203">
        <f t="shared" si="23"/>
        <v>0</v>
      </c>
      <c r="AX23" s="203">
        <f t="shared" ca="1" si="24"/>
        <v>0</v>
      </c>
      <c r="AY23" s="203">
        <f t="shared" ca="1" si="25"/>
        <v>0</v>
      </c>
      <c r="AZ23" s="203"/>
      <c r="BA23" s="204" t="s">
        <v>141</v>
      </c>
      <c r="BB23" s="204" t="s">
        <v>140</v>
      </c>
      <c r="BC23" s="204" t="s">
        <v>140</v>
      </c>
      <c r="BD23" s="204" t="s">
        <v>140</v>
      </c>
      <c r="BE23" s="166"/>
      <c r="BF23" s="203" t="s">
        <v>1789</v>
      </c>
      <c r="BG23" s="141"/>
      <c r="BH23" s="152"/>
      <c r="BI23" s="207"/>
      <c r="BJ23" s="230" t="s">
        <v>1931</v>
      </c>
      <c r="BK23" s="230"/>
      <c r="BL23" s="153" t="s">
        <v>1932</v>
      </c>
      <c r="BM23" s="153"/>
      <c r="BN23" s="153"/>
      <c r="BO23" s="153"/>
      <c r="BP23" s="153"/>
      <c r="BQ23" s="153"/>
      <c r="BR23" s="141">
        <v>0</v>
      </c>
      <c r="BS23" s="141">
        <v>0</v>
      </c>
      <c r="BT23" s="141">
        <v>0</v>
      </c>
      <c r="BU23" s="141">
        <v>1</v>
      </c>
      <c r="BV23" s="141">
        <v>0</v>
      </c>
      <c r="BW23" s="141">
        <v>0</v>
      </c>
      <c r="BX23" s="141">
        <v>0</v>
      </c>
      <c r="BY23" s="141" t="s">
        <v>1790</v>
      </c>
      <c r="BZ23" s="141" t="s">
        <v>1022</v>
      </c>
      <c r="CA23" s="141">
        <v>4</v>
      </c>
      <c r="CB23" s="153">
        <v>46206</v>
      </c>
      <c r="CC23" s="152"/>
      <c r="CD23" s="152"/>
      <c r="CE23" s="208"/>
      <c r="CF23" s="166">
        <f t="shared" si="26"/>
        <v>0</v>
      </c>
    </row>
    <row r="24" spans="1:84" ht="17.25" hidden="1" customHeight="1">
      <c r="A24" s="117"/>
      <c r="B24" s="209" t="s">
        <v>2036</v>
      </c>
      <c r="C24" s="209" t="s">
        <v>2153</v>
      </c>
      <c r="D24" s="209" t="s">
        <v>1296</v>
      </c>
      <c r="E24" s="209" t="s">
        <v>1801</v>
      </c>
      <c r="F24" s="209" t="s">
        <v>1300</v>
      </c>
      <c r="G24" s="209" t="s">
        <v>1090</v>
      </c>
      <c r="H24" s="210">
        <v>460</v>
      </c>
      <c r="I24" s="211" t="s">
        <v>147</v>
      </c>
      <c r="J24" s="144">
        <v>8</v>
      </c>
      <c r="K24" s="145">
        <f t="shared" si="1"/>
        <v>1</v>
      </c>
      <c r="L24" s="202">
        <f t="shared" si="10"/>
        <v>8</v>
      </c>
      <c r="M24" s="212">
        <v>5.5</v>
      </c>
      <c r="N24" s="203">
        <f t="shared" si="11"/>
        <v>44</v>
      </c>
      <c r="O24" s="212" t="s">
        <v>137</v>
      </c>
      <c r="P24" s="212" t="s">
        <v>13</v>
      </c>
      <c r="Q24" s="212" t="s">
        <v>148</v>
      </c>
      <c r="R24" s="212"/>
      <c r="S24" s="212"/>
      <c r="T24" s="203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8</v>
      </c>
      <c r="U24" s="203">
        <f t="shared" ca="1" si="12"/>
        <v>0</v>
      </c>
      <c r="V24" s="203">
        <f t="shared" ca="1" si="13"/>
        <v>1</v>
      </c>
      <c r="W24" s="212"/>
      <c r="X24" s="212"/>
      <c r="Y24" s="212"/>
      <c r="Z24" s="212"/>
      <c r="AA24" s="212"/>
      <c r="AB24" s="212"/>
      <c r="AC24" s="214" t="s">
        <v>196</v>
      </c>
      <c r="AD24" s="215" t="s">
        <v>2039</v>
      </c>
      <c r="AE24" s="148"/>
      <c r="AF24" s="212" t="str">
        <f t="shared" si="2"/>
        <v>AMC2-S1</v>
      </c>
      <c r="AG24" s="212">
        <f t="shared" si="3"/>
        <v>1</v>
      </c>
      <c r="AH24" s="203">
        <f t="shared" si="14"/>
        <v>8</v>
      </c>
      <c r="AI24" s="203">
        <f t="shared" ca="1" si="15"/>
        <v>8</v>
      </c>
      <c r="AJ24" s="203">
        <f t="shared" ca="1" si="16"/>
        <v>0</v>
      </c>
      <c r="AK24" s="212" t="str">
        <f t="shared" si="4"/>
        <v>N/A</v>
      </c>
      <c r="AL24" s="212">
        <f t="shared" si="5"/>
        <v>0</v>
      </c>
      <c r="AM24" s="203">
        <f t="shared" si="17"/>
        <v>0</v>
      </c>
      <c r="AN24" s="203">
        <f t="shared" ca="1" si="18"/>
        <v>0</v>
      </c>
      <c r="AO24" s="203">
        <f t="shared" ca="1" si="19"/>
        <v>0</v>
      </c>
      <c r="AP24" s="212" t="str">
        <f t="shared" si="6"/>
        <v>N/A</v>
      </c>
      <c r="AQ24" s="212">
        <f t="shared" si="7"/>
        <v>0</v>
      </c>
      <c r="AR24" s="203">
        <f t="shared" si="20"/>
        <v>0</v>
      </c>
      <c r="AS24" s="203">
        <f t="shared" ca="1" si="21"/>
        <v>0</v>
      </c>
      <c r="AT24" s="203">
        <f t="shared" ca="1" si="22"/>
        <v>0</v>
      </c>
      <c r="AU24" s="212" t="str">
        <f t="shared" si="8"/>
        <v>N/A</v>
      </c>
      <c r="AV24" s="212">
        <f t="shared" si="9"/>
        <v>0</v>
      </c>
      <c r="AW24" s="203">
        <f t="shared" si="23"/>
        <v>0</v>
      </c>
      <c r="AX24" s="203">
        <f t="shared" ca="1" si="24"/>
        <v>0</v>
      </c>
      <c r="AY24" s="203">
        <f t="shared" ca="1" si="25"/>
        <v>0</v>
      </c>
      <c r="AZ24" s="212"/>
      <c r="BA24" s="213" t="s">
        <v>141</v>
      </c>
      <c r="BB24" s="213" t="s">
        <v>140</v>
      </c>
      <c r="BC24" s="213" t="s">
        <v>140</v>
      </c>
      <c r="BD24" s="213" t="s">
        <v>140</v>
      </c>
      <c r="BE24" s="148"/>
      <c r="BF24" s="212" t="s">
        <v>1789</v>
      </c>
      <c r="BG24" s="117"/>
      <c r="BH24" s="155"/>
      <c r="BI24" s="216"/>
      <c r="BJ24" s="216"/>
      <c r="BK24" s="216"/>
      <c r="BL24" s="149"/>
      <c r="BM24" s="149"/>
      <c r="BN24" s="149"/>
      <c r="BO24" s="149"/>
      <c r="BP24" s="149"/>
      <c r="BQ24" s="149"/>
      <c r="BR24" s="117">
        <v>0</v>
      </c>
      <c r="BS24" s="117">
        <v>0</v>
      </c>
      <c r="BT24" s="117">
        <v>0</v>
      </c>
      <c r="BU24" s="117">
        <v>0</v>
      </c>
      <c r="BV24" s="117">
        <v>0</v>
      </c>
      <c r="BW24" s="117">
        <v>0</v>
      </c>
      <c r="BX24" s="117">
        <v>0</v>
      </c>
      <c r="BY24" s="117" t="s">
        <v>1790</v>
      </c>
      <c r="BZ24" s="117" t="s">
        <v>989</v>
      </c>
      <c r="CA24" s="117">
        <v>8</v>
      </c>
      <c r="CB24" s="149">
        <v>46186</v>
      </c>
      <c r="CC24" s="155"/>
      <c r="CD24" s="117"/>
      <c r="CE24" s="217"/>
      <c r="CF24" s="148">
        <f t="shared" si="26"/>
        <v>0</v>
      </c>
    </row>
    <row r="25" spans="1:84" ht="17.25" hidden="1" customHeight="1">
      <c r="A25" s="117"/>
      <c r="B25" s="209" t="s">
        <v>2036</v>
      </c>
      <c r="C25" s="209" t="s">
        <v>2153</v>
      </c>
      <c r="D25" s="209" t="s">
        <v>1076</v>
      </c>
      <c r="E25" s="209" t="s">
        <v>1802</v>
      </c>
      <c r="F25" s="209" t="s">
        <v>1288</v>
      </c>
      <c r="G25" s="209" t="s">
        <v>1075</v>
      </c>
      <c r="H25" s="210">
        <v>812</v>
      </c>
      <c r="I25" s="211" t="s">
        <v>1077</v>
      </c>
      <c r="J25" s="144">
        <v>4</v>
      </c>
      <c r="K25" s="145">
        <f t="shared" si="1"/>
        <v>1</v>
      </c>
      <c r="L25" s="202">
        <f t="shared" si="10"/>
        <v>4</v>
      </c>
      <c r="M25" s="212">
        <v>13.05696</v>
      </c>
      <c r="N25" s="203">
        <f t="shared" si="11"/>
        <v>52.22784</v>
      </c>
      <c r="O25" s="212" t="s">
        <v>137</v>
      </c>
      <c r="P25" s="212" t="s">
        <v>11</v>
      </c>
      <c r="Q25" s="212" t="s">
        <v>148</v>
      </c>
      <c r="R25" s="212"/>
      <c r="S25" s="212"/>
      <c r="T25" s="203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4</v>
      </c>
      <c r="U25" s="203">
        <f t="shared" ca="1" si="12"/>
        <v>0</v>
      </c>
      <c r="V25" s="203">
        <f t="shared" ca="1" si="13"/>
        <v>1</v>
      </c>
      <c r="W25" s="212"/>
      <c r="X25" s="212"/>
      <c r="Y25" s="212"/>
      <c r="Z25" s="212"/>
      <c r="AA25" s="212"/>
      <c r="AB25" s="212"/>
      <c r="AC25" s="214" t="s">
        <v>196</v>
      </c>
      <c r="AD25" s="215" t="s">
        <v>2039</v>
      </c>
      <c r="AE25" s="148"/>
      <c r="AF25" s="212" t="str">
        <f t="shared" si="2"/>
        <v>AMC2-S1</v>
      </c>
      <c r="AG25" s="212">
        <f t="shared" si="3"/>
        <v>1</v>
      </c>
      <c r="AH25" s="203">
        <f t="shared" si="14"/>
        <v>4</v>
      </c>
      <c r="AI25" s="203">
        <f t="shared" ca="1" si="15"/>
        <v>4</v>
      </c>
      <c r="AJ25" s="203">
        <f t="shared" ca="1" si="16"/>
        <v>0</v>
      </c>
      <c r="AK25" s="212" t="str">
        <f t="shared" si="4"/>
        <v>N/A</v>
      </c>
      <c r="AL25" s="212">
        <f t="shared" si="5"/>
        <v>0</v>
      </c>
      <c r="AM25" s="203">
        <f t="shared" si="17"/>
        <v>0</v>
      </c>
      <c r="AN25" s="203">
        <f t="shared" ca="1" si="18"/>
        <v>0</v>
      </c>
      <c r="AO25" s="203">
        <f t="shared" ca="1" si="19"/>
        <v>0</v>
      </c>
      <c r="AP25" s="212" t="str">
        <f t="shared" si="6"/>
        <v>N/A</v>
      </c>
      <c r="AQ25" s="212">
        <f t="shared" si="7"/>
        <v>0</v>
      </c>
      <c r="AR25" s="203">
        <f t="shared" si="20"/>
        <v>0</v>
      </c>
      <c r="AS25" s="203">
        <f t="shared" ca="1" si="21"/>
        <v>0</v>
      </c>
      <c r="AT25" s="203">
        <f t="shared" ca="1" si="22"/>
        <v>0</v>
      </c>
      <c r="AU25" s="212" t="str">
        <f t="shared" si="8"/>
        <v>N/A</v>
      </c>
      <c r="AV25" s="212">
        <f t="shared" si="9"/>
        <v>0</v>
      </c>
      <c r="AW25" s="203">
        <f t="shared" si="23"/>
        <v>0</v>
      </c>
      <c r="AX25" s="203">
        <f t="shared" ca="1" si="24"/>
        <v>0</v>
      </c>
      <c r="AY25" s="203">
        <f t="shared" ca="1" si="25"/>
        <v>0</v>
      </c>
      <c r="AZ25" s="212"/>
      <c r="BA25" s="213" t="s">
        <v>141</v>
      </c>
      <c r="BB25" s="213" t="s">
        <v>140</v>
      </c>
      <c r="BC25" s="213" t="s">
        <v>140</v>
      </c>
      <c r="BD25" s="213" t="s">
        <v>140</v>
      </c>
      <c r="BE25" s="148"/>
      <c r="BF25" s="212" t="s">
        <v>1789</v>
      </c>
      <c r="BG25" s="117"/>
      <c r="BH25" s="155"/>
      <c r="BI25" s="216"/>
      <c r="BJ25" s="216"/>
      <c r="BK25" s="216"/>
      <c r="BL25" s="149"/>
      <c r="BM25" s="149"/>
      <c r="BN25" s="149"/>
      <c r="BO25" s="149"/>
      <c r="BP25" s="149"/>
      <c r="BQ25" s="149"/>
      <c r="BR25" s="117">
        <v>0</v>
      </c>
      <c r="BS25" s="117">
        <v>0</v>
      </c>
      <c r="BT25" s="117">
        <v>0</v>
      </c>
      <c r="BU25" s="117">
        <v>1</v>
      </c>
      <c r="BV25" s="117">
        <v>0</v>
      </c>
      <c r="BW25" s="117">
        <v>0</v>
      </c>
      <c r="BX25" s="117">
        <v>0</v>
      </c>
      <c r="BY25" s="117" t="s">
        <v>1790</v>
      </c>
      <c r="BZ25" s="117" t="s">
        <v>1289</v>
      </c>
      <c r="CA25" s="117">
        <v>4</v>
      </c>
      <c r="CB25" s="149">
        <v>46185</v>
      </c>
      <c r="CC25" s="155"/>
      <c r="CD25" s="155"/>
      <c r="CE25" s="217"/>
      <c r="CF25" s="148">
        <f t="shared" si="26"/>
        <v>0</v>
      </c>
    </row>
    <row r="26" spans="1:84" ht="17.25" hidden="1" customHeight="1">
      <c r="A26" s="117"/>
      <c r="B26" s="209" t="s">
        <v>2036</v>
      </c>
      <c r="C26" s="209" t="s">
        <v>2153</v>
      </c>
      <c r="D26" s="209" t="s">
        <v>1076</v>
      </c>
      <c r="E26" s="199" t="s">
        <v>1803</v>
      </c>
      <c r="F26" s="199" t="s">
        <v>1290</v>
      </c>
      <c r="G26" s="209" t="s">
        <v>1080</v>
      </c>
      <c r="H26" s="210">
        <v>737</v>
      </c>
      <c r="I26" s="211" t="s">
        <v>1077</v>
      </c>
      <c r="J26" s="144">
        <v>2</v>
      </c>
      <c r="K26" s="145">
        <f t="shared" si="1"/>
        <v>1</v>
      </c>
      <c r="L26" s="202">
        <f t="shared" si="10"/>
        <v>2</v>
      </c>
      <c r="M26" s="212">
        <v>2.1</v>
      </c>
      <c r="N26" s="203">
        <f t="shared" si="11"/>
        <v>4.2</v>
      </c>
      <c r="O26" s="212" t="s">
        <v>137</v>
      </c>
      <c r="P26" s="212" t="s">
        <v>11</v>
      </c>
      <c r="Q26" s="212" t="s">
        <v>154</v>
      </c>
      <c r="R26" s="212"/>
      <c r="S26" s="212"/>
      <c r="T26" s="203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2</v>
      </c>
      <c r="U26" s="203">
        <f t="shared" ca="1" si="12"/>
        <v>0</v>
      </c>
      <c r="V26" s="203">
        <f t="shared" ca="1" si="13"/>
        <v>1</v>
      </c>
      <c r="W26" s="212"/>
      <c r="X26" s="212"/>
      <c r="Y26" s="212"/>
      <c r="Z26" s="212"/>
      <c r="AA26" s="212"/>
      <c r="AB26" s="212"/>
      <c r="AC26" s="214" t="s">
        <v>196</v>
      </c>
      <c r="AD26" s="215" t="s">
        <v>2039</v>
      </c>
      <c r="AE26" s="148"/>
      <c r="AF26" s="212" t="str">
        <f t="shared" si="2"/>
        <v>AMC2-S1</v>
      </c>
      <c r="AG26" s="212">
        <f t="shared" si="3"/>
        <v>1</v>
      </c>
      <c r="AH26" s="203">
        <f t="shared" si="14"/>
        <v>2</v>
      </c>
      <c r="AI26" s="203">
        <f t="shared" ca="1" si="15"/>
        <v>2</v>
      </c>
      <c r="AJ26" s="203">
        <f t="shared" ca="1" si="16"/>
        <v>0</v>
      </c>
      <c r="AK26" s="212" t="str">
        <f t="shared" si="4"/>
        <v>N/A</v>
      </c>
      <c r="AL26" s="212">
        <f t="shared" si="5"/>
        <v>0</v>
      </c>
      <c r="AM26" s="203">
        <f t="shared" si="17"/>
        <v>0</v>
      </c>
      <c r="AN26" s="203">
        <f t="shared" ca="1" si="18"/>
        <v>0</v>
      </c>
      <c r="AO26" s="203">
        <f t="shared" ca="1" si="19"/>
        <v>0</v>
      </c>
      <c r="AP26" s="212" t="str">
        <f t="shared" si="6"/>
        <v>N/A</v>
      </c>
      <c r="AQ26" s="212">
        <f t="shared" si="7"/>
        <v>0</v>
      </c>
      <c r="AR26" s="203">
        <f t="shared" si="20"/>
        <v>0</v>
      </c>
      <c r="AS26" s="203">
        <f t="shared" ca="1" si="21"/>
        <v>0</v>
      </c>
      <c r="AT26" s="203">
        <f t="shared" ca="1" si="22"/>
        <v>0</v>
      </c>
      <c r="AU26" s="212" t="str">
        <f t="shared" si="8"/>
        <v>N/A</v>
      </c>
      <c r="AV26" s="212">
        <f t="shared" si="9"/>
        <v>0</v>
      </c>
      <c r="AW26" s="203">
        <f t="shared" si="23"/>
        <v>0</v>
      </c>
      <c r="AX26" s="203">
        <f t="shared" ca="1" si="24"/>
        <v>0</v>
      </c>
      <c r="AY26" s="203">
        <f t="shared" ca="1" si="25"/>
        <v>0</v>
      </c>
      <c r="AZ26" s="212"/>
      <c r="BA26" s="213" t="s">
        <v>141</v>
      </c>
      <c r="BB26" s="213" t="s">
        <v>140</v>
      </c>
      <c r="BC26" s="213" t="s">
        <v>140</v>
      </c>
      <c r="BD26" s="213" t="s">
        <v>140</v>
      </c>
      <c r="BE26" s="148"/>
      <c r="BF26" s="212" t="s">
        <v>1789</v>
      </c>
      <c r="BG26" s="117"/>
      <c r="BH26" s="141" t="s">
        <v>1933</v>
      </c>
      <c r="BI26" s="216"/>
      <c r="BJ26" s="216"/>
      <c r="BK26" s="216"/>
      <c r="BL26" s="149"/>
      <c r="BM26" s="149"/>
      <c r="BN26" s="149"/>
      <c r="BO26" s="149"/>
      <c r="BP26" s="149"/>
      <c r="BQ26" s="149"/>
      <c r="BR26" s="117">
        <v>0</v>
      </c>
      <c r="BS26" s="117">
        <v>1</v>
      </c>
      <c r="BT26" s="117">
        <v>0</v>
      </c>
      <c r="BU26" s="117">
        <v>0</v>
      </c>
      <c r="BV26" s="117">
        <v>0</v>
      </c>
      <c r="BW26" s="117">
        <v>0</v>
      </c>
      <c r="BX26" s="117">
        <v>0</v>
      </c>
      <c r="BY26" s="117" t="s">
        <v>1790</v>
      </c>
      <c r="BZ26" s="117" t="s">
        <v>1291</v>
      </c>
      <c r="CA26" s="117">
        <v>2</v>
      </c>
      <c r="CB26" s="149">
        <v>46185</v>
      </c>
      <c r="CC26" s="155"/>
      <c r="CD26" s="155"/>
      <c r="CE26" s="217"/>
      <c r="CF26" s="148">
        <f t="shared" si="26"/>
        <v>0</v>
      </c>
    </row>
    <row r="27" spans="1:84" ht="17.25" hidden="1" customHeight="1">
      <c r="A27" s="186"/>
      <c r="B27" s="187" t="s">
        <v>2036</v>
      </c>
      <c r="C27" s="187" t="s">
        <v>2163</v>
      </c>
      <c r="D27" s="187"/>
      <c r="E27" s="187"/>
      <c r="F27" s="187"/>
      <c r="G27" s="187" t="s">
        <v>1934</v>
      </c>
      <c r="H27" s="188"/>
      <c r="I27" s="189"/>
      <c r="J27" s="190"/>
      <c r="K27" s="191">
        <f t="shared" si="1"/>
        <v>1</v>
      </c>
      <c r="L27" s="190"/>
      <c r="M27" s="192">
        <v>2184.1999999999998</v>
      </c>
      <c r="N27" s="192">
        <v>2184.1999999999998</v>
      </c>
      <c r="O27" s="192" t="s">
        <v>137</v>
      </c>
      <c r="P27" s="192"/>
      <c r="Q27" s="192"/>
      <c r="R27" s="192"/>
      <c r="S27" s="192"/>
      <c r="T27" s="192"/>
      <c r="U27" s="192"/>
      <c r="V27" s="192"/>
      <c r="W27" s="192">
        <f ca="1">_xlfn.MINIFS(V:V,C:C,C27,AE:AE,"",AB:AB,"")</f>
        <v>0</v>
      </c>
      <c r="X27" s="192">
        <f ca="1">SUMIFS(T:T,C:C,C27,AE:AE,"")/SUMIFS(L:L,C:C,C27,AE:AE,"",AB:AB,"")</f>
        <v>0.82539682539682535</v>
      </c>
      <c r="Y27" s="192"/>
      <c r="Z27" s="192"/>
      <c r="AA27" s="192"/>
      <c r="AB27" s="192"/>
      <c r="AC27" s="194" t="s">
        <v>196</v>
      </c>
      <c r="AD27" s="195" t="s">
        <v>2039</v>
      </c>
      <c r="AE27" s="196" t="s">
        <v>1787</v>
      </c>
      <c r="AF27" s="192" t="str">
        <f t="shared" si="2"/>
        <v>AMC2-S1</v>
      </c>
      <c r="AG27" s="192">
        <f t="shared" si="3"/>
        <v>1</v>
      </c>
      <c r="AH27" s="192"/>
      <c r="AI27" s="192"/>
      <c r="AJ27" s="192"/>
      <c r="AK27" s="192" t="str">
        <f t="shared" si="4"/>
        <v>N/A</v>
      </c>
      <c r="AL27" s="192">
        <f t="shared" si="5"/>
        <v>0</v>
      </c>
      <c r="AM27" s="192"/>
      <c r="AN27" s="192"/>
      <c r="AO27" s="192"/>
      <c r="AP27" s="192" t="str">
        <f t="shared" si="6"/>
        <v>N/A</v>
      </c>
      <c r="AQ27" s="192">
        <f t="shared" si="7"/>
        <v>0</v>
      </c>
      <c r="AR27" s="192"/>
      <c r="AS27" s="192"/>
      <c r="AT27" s="192"/>
      <c r="AU27" s="192" t="str">
        <f t="shared" si="8"/>
        <v>N/A</v>
      </c>
      <c r="AV27" s="192">
        <f t="shared" si="9"/>
        <v>0</v>
      </c>
      <c r="AW27" s="192"/>
      <c r="AX27" s="192"/>
      <c r="AY27" s="192"/>
      <c r="AZ27" s="192"/>
      <c r="BA27" s="193" t="s">
        <v>141</v>
      </c>
      <c r="BB27" s="193" t="s">
        <v>140</v>
      </c>
      <c r="BC27" s="193" t="s">
        <v>140</v>
      </c>
      <c r="BD27" s="193" t="s">
        <v>140</v>
      </c>
      <c r="BE27" s="196" t="s">
        <v>741</v>
      </c>
      <c r="BF27" s="192"/>
      <c r="BG27" s="186"/>
      <c r="BH27" s="186"/>
      <c r="BI27" s="197"/>
      <c r="BJ27" s="197"/>
      <c r="BK27" s="197"/>
      <c r="BL27" s="197"/>
      <c r="BM27" s="197"/>
      <c r="BN27" s="197"/>
      <c r="BO27" s="197"/>
      <c r="BP27" s="197"/>
      <c r="BQ27" s="197"/>
      <c r="BR27" s="186"/>
      <c r="BS27" s="186"/>
      <c r="BT27" s="186"/>
      <c r="BU27" s="186"/>
      <c r="BV27" s="186"/>
      <c r="BW27" s="186"/>
      <c r="BX27" s="186"/>
      <c r="BY27" s="186"/>
      <c r="BZ27" s="186"/>
      <c r="CA27" s="186"/>
      <c r="CB27" s="197"/>
      <c r="CC27" s="186"/>
      <c r="CD27" s="186"/>
      <c r="CE27" s="198"/>
      <c r="CF27" s="198"/>
    </row>
    <row r="28" spans="1:84" ht="17.25" hidden="1" customHeight="1">
      <c r="A28" s="117"/>
      <c r="B28" s="209" t="s">
        <v>2036</v>
      </c>
      <c r="C28" s="209" t="s">
        <v>2163</v>
      </c>
      <c r="D28" s="209" t="s">
        <v>1084</v>
      </c>
      <c r="E28" s="209" t="s">
        <v>1815</v>
      </c>
      <c r="F28" s="209" t="s">
        <v>1339</v>
      </c>
      <c r="G28" s="209" t="s">
        <v>1293</v>
      </c>
      <c r="H28" s="210">
        <v>8216</v>
      </c>
      <c r="I28" s="211" t="s">
        <v>147</v>
      </c>
      <c r="J28" s="144">
        <v>1</v>
      </c>
      <c r="K28" s="145">
        <f t="shared" si="1"/>
        <v>1</v>
      </c>
      <c r="L28" s="202">
        <f t="shared" ref="L28:L40" si="27">+J28*K28</f>
        <v>1</v>
      </c>
      <c r="M28" s="212">
        <v>1830.9</v>
      </c>
      <c r="N28" s="203">
        <f t="shared" ref="N28:N40" si="28">+M28*L28</f>
        <v>1830.9</v>
      </c>
      <c r="O28" s="212" t="s">
        <v>137</v>
      </c>
      <c r="P28" s="212" t="s">
        <v>13</v>
      </c>
      <c r="Q28" s="212" t="s">
        <v>154</v>
      </c>
      <c r="R28" s="212"/>
      <c r="S28" s="212"/>
      <c r="T28" s="203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1</v>
      </c>
      <c r="U28" s="203">
        <f t="shared" ref="U28:U40" ca="1" si="29">+L28-T28</f>
        <v>0</v>
      </c>
      <c r="V28" s="203">
        <f t="shared" ref="V28:V40" ca="1" si="30">ROUNDDOWN(T28/J28,0)</f>
        <v>1</v>
      </c>
      <c r="W28" s="212"/>
      <c r="X28" s="212"/>
      <c r="Y28" s="212"/>
      <c r="Z28" s="212"/>
      <c r="AA28" s="212"/>
      <c r="AB28" s="212"/>
      <c r="AC28" s="214" t="s">
        <v>196</v>
      </c>
      <c r="AD28" s="215" t="s">
        <v>2039</v>
      </c>
      <c r="AE28" s="148"/>
      <c r="AF28" s="212" t="str">
        <f t="shared" si="2"/>
        <v>AMC2-S1</v>
      </c>
      <c r="AG28" s="212">
        <f t="shared" si="3"/>
        <v>1</v>
      </c>
      <c r="AH28" s="203">
        <f t="shared" ref="AH28:AH40" si="31">+AG28*J28</f>
        <v>1</v>
      </c>
      <c r="AI28" s="203">
        <f t="shared" ref="AI28:AI40" ca="1" si="32">MIN(T28,AH28)</f>
        <v>1</v>
      </c>
      <c r="AJ28" s="203">
        <f t="shared" ref="AJ28:AJ40" ca="1" si="33">+AH28-AI28</f>
        <v>0</v>
      </c>
      <c r="AK28" s="212" t="str">
        <f t="shared" si="4"/>
        <v>N/A</v>
      </c>
      <c r="AL28" s="212">
        <f t="shared" si="5"/>
        <v>0</v>
      </c>
      <c r="AM28" s="203">
        <f t="shared" ref="AM28:AM40" si="34">+AL28*J28</f>
        <v>0</v>
      </c>
      <c r="AN28" s="203">
        <f t="shared" ref="AN28:AN40" ca="1" si="35">MIN(T28-AI28,AL28)</f>
        <v>0</v>
      </c>
      <c r="AO28" s="203">
        <f t="shared" ref="AO28:AO40" ca="1" si="36">+AM28-AN28</f>
        <v>0</v>
      </c>
      <c r="AP28" s="212" t="str">
        <f t="shared" si="6"/>
        <v>N/A</v>
      </c>
      <c r="AQ28" s="212">
        <f t="shared" si="7"/>
        <v>0</v>
      </c>
      <c r="AR28" s="203">
        <f t="shared" ref="AR28:AR40" si="37">+AQ28*J28</f>
        <v>0</v>
      </c>
      <c r="AS28" s="203">
        <f t="shared" ref="AS28:AS40" ca="1" si="38">MIN(T28-AI28-AN28,AR28)</f>
        <v>0</v>
      </c>
      <c r="AT28" s="203">
        <f t="shared" ref="AT28:AT40" ca="1" si="39">+AR28-AS28</f>
        <v>0</v>
      </c>
      <c r="AU28" s="212" t="str">
        <f t="shared" si="8"/>
        <v>N/A</v>
      </c>
      <c r="AV28" s="212">
        <f t="shared" si="9"/>
        <v>0</v>
      </c>
      <c r="AW28" s="203">
        <f t="shared" ref="AW28:AW40" si="40">+AV28*J28</f>
        <v>0</v>
      </c>
      <c r="AX28" s="203">
        <f t="shared" ref="AX28:AX40" ca="1" si="41">MIN(T28-AI28-AN28-AS28,AW28)</f>
        <v>0</v>
      </c>
      <c r="AY28" s="203">
        <f t="shared" ref="AY28:AY40" ca="1" si="42">+AW28-AX28</f>
        <v>0</v>
      </c>
      <c r="AZ28" s="212"/>
      <c r="BA28" s="213" t="s">
        <v>141</v>
      </c>
      <c r="BB28" s="213" t="s">
        <v>140</v>
      </c>
      <c r="BC28" s="213" t="s">
        <v>140</v>
      </c>
      <c r="BD28" s="213" t="s">
        <v>140</v>
      </c>
      <c r="BE28" s="148"/>
      <c r="BF28" s="212" t="s">
        <v>1789</v>
      </c>
      <c r="BG28" s="117"/>
      <c r="BH28" s="155"/>
      <c r="BI28" s="216"/>
      <c r="BJ28" s="216"/>
      <c r="BK28" s="216"/>
      <c r="BL28" s="149"/>
      <c r="BM28" s="149"/>
      <c r="BN28" s="149"/>
      <c r="BO28" s="149"/>
      <c r="BP28" s="149"/>
      <c r="BQ28" s="149"/>
      <c r="BR28" s="117">
        <v>1</v>
      </c>
      <c r="BS28" s="117">
        <v>1</v>
      </c>
      <c r="BT28" s="117">
        <v>0</v>
      </c>
      <c r="BU28" s="117">
        <v>1</v>
      </c>
      <c r="BV28" s="117">
        <v>0</v>
      </c>
      <c r="BW28" s="117">
        <v>0</v>
      </c>
      <c r="BX28" s="117">
        <v>0</v>
      </c>
      <c r="BY28" s="117" t="s">
        <v>1790</v>
      </c>
      <c r="BZ28" s="117" t="s">
        <v>57</v>
      </c>
      <c r="CA28" s="117">
        <v>1</v>
      </c>
      <c r="CB28" s="149"/>
      <c r="CC28" s="155"/>
      <c r="CD28" s="155"/>
      <c r="CE28" s="217"/>
      <c r="CF28" s="148">
        <f t="shared" ref="CF28:CF40" si="43">+L28-CA28</f>
        <v>0</v>
      </c>
    </row>
    <row r="29" spans="1:84" ht="17.25" hidden="1" customHeight="1">
      <c r="A29" s="117"/>
      <c r="B29" s="209" t="s">
        <v>2036</v>
      </c>
      <c r="C29" s="209" t="s">
        <v>2163</v>
      </c>
      <c r="D29" s="209" t="s">
        <v>1296</v>
      </c>
      <c r="E29" s="209" t="s">
        <v>1805</v>
      </c>
      <c r="F29" s="209" t="s">
        <v>1340</v>
      </c>
      <c r="G29" s="209" t="s">
        <v>1316</v>
      </c>
      <c r="H29" s="210">
        <v>2308</v>
      </c>
      <c r="I29" s="211" t="s">
        <v>147</v>
      </c>
      <c r="J29" s="144">
        <v>1</v>
      </c>
      <c r="K29" s="145">
        <f t="shared" si="1"/>
        <v>1</v>
      </c>
      <c r="L29" s="202">
        <f t="shared" si="27"/>
        <v>1</v>
      </c>
      <c r="M29" s="212">
        <v>45.5</v>
      </c>
      <c r="N29" s="203">
        <f t="shared" si="28"/>
        <v>45.5</v>
      </c>
      <c r="O29" s="212" t="s">
        <v>137</v>
      </c>
      <c r="P29" s="212" t="s">
        <v>13</v>
      </c>
      <c r="Q29" s="212" t="s">
        <v>148</v>
      </c>
      <c r="R29" s="212"/>
      <c r="S29" s="212"/>
      <c r="T29" s="203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203">
        <f t="shared" ca="1" si="29"/>
        <v>0</v>
      </c>
      <c r="V29" s="203">
        <f t="shared" ca="1" si="30"/>
        <v>1</v>
      </c>
      <c r="W29" s="212"/>
      <c r="X29" s="212"/>
      <c r="Y29" s="212"/>
      <c r="Z29" s="212"/>
      <c r="AA29" s="212"/>
      <c r="AB29" s="212"/>
      <c r="AC29" s="214" t="s">
        <v>196</v>
      </c>
      <c r="AD29" s="215" t="s">
        <v>2039</v>
      </c>
      <c r="AE29" s="148"/>
      <c r="AF29" s="212" t="str">
        <f t="shared" si="2"/>
        <v>AMC2-S1</v>
      </c>
      <c r="AG29" s="212">
        <f t="shared" si="3"/>
        <v>1</v>
      </c>
      <c r="AH29" s="203">
        <f t="shared" si="31"/>
        <v>1</v>
      </c>
      <c r="AI29" s="203">
        <f t="shared" ca="1" si="32"/>
        <v>1</v>
      </c>
      <c r="AJ29" s="203">
        <f t="shared" ca="1" si="33"/>
        <v>0</v>
      </c>
      <c r="AK29" s="212" t="str">
        <f t="shared" si="4"/>
        <v>N/A</v>
      </c>
      <c r="AL29" s="212">
        <f t="shared" si="5"/>
        <v>0</v>
      </c>
      <c r="AM29" s="203">
        <f t="shared" si="34"/>
        <v>0</v>
      </c>
      <c r="AN29" s="203">
        <f t="shared" ca="1" si="35"/>
        <v>0</v>
      </c>
      <c r="AO29" s="203">
        <f t="shared" ca="1" si="36"/>
        <v>0</v>
      </c>
      <c r="AP29" s="212" t="str">
        <f t="shared" si="6"/>
        <v>N/A</v>
      </c>
      <c r="AQ29" s="212">
        <f t="shared" si="7"/>
        <v>0</v>
      </c>
      <c r="AR29" s="203">
        <f t="shared" si="37"/>
        <v>0</v>
      </c>
      <c r="AS29" s="203">
        <f t="shared" ca="1" si="38"/>
        <v>0</v>
      </c>
      <c r="AT29" s="203">
        <f t="shared" ca="1" si="39"/>
        <v>0</v>
      </c>
      <c r="AU29" s="212" t="str">
        <f t="shared" si="8"/>
        <v>N/A</v>
      </c>
      <c r="AV29" s="212">
        <f t="shared" si="9"/>
        <v>0</v>
      </c>
      <c r="AW29" s="203">
        <f t="shared" si="40"/>
        <v>0</v>
      </c>
      <c r="AX29" s="203">
        <f t="shared" ca="1" si="41"/>
        <v>0</v>
      </c>
      <c r="AY29" s="203">
        <f t="shared" ca="1" si="42"/>
        <v>0</v>
      </c>
      <c r="AZ29" s="212"/>
      <c r="BA29" s="213" t="s">
        <v>141</v>
      </c>
      <c r="BB29" s="213" t="s">
        <v>140</v>
      </c>
      <c r="BC29" s="213" t="s">
        <v>140</v>
      </c>
      <c r="BD29" s="213" t="s">
        <v>140</v>
      </c>
      <c r="BE29" s="148"/>
      <c r="BF29" s="212" t="s">
        <v>1789</v>
      </c>
      <c r="BG29" s="117"/>
      <c r="BH29" s="155"/>
      <c r="BI29" s="216"/>
      <c r="BJ29" s="229" t="s">
        <v>1935</v>
      </c>
      <c r="BK29" s="229"/>
      <c r="BL29" s="149"/>
      <c r="BM29" s="149"/>
      <c r="BN29" s="149"/>
      <c r="BO29" s="149"/>
      <c r="BP29" s="149"/>
      <c r="BQ29" s="149"/>
      <c r="BR29" s="117">
        <v>0</v>
      </c>
      <c r="BS29" s="117">
        <v>0</v>
      </c>
      <c r="BT29" s="117">
        <v>0</v>
      </c>
      <c r="BU29" s="117">
        <v>1</v>
      </c>
      <c r="BV29" s="117">
        <v>0</v>
      </c>
      <c r="BW29" s="117">
        <v>0</v>
      </c>
      <c r="BX29" s="117">
        <v>0</v>
      </c>
      <c r="BY29" s="117" t="s">
        <v>1790</v>
      </c>
      <c r="BZ29" s="117" t="s">
        <v>1317</v>
      </c>
      <c r="CA29" s="144">
        <v>1</v>
      </c>
      <c r="CB29" s="234">
        <v>46242</v>
      </c>
      <c r="CC29" s="155"/>
      <c r="CD29" s="155"/>
      <c r="CE29" s="217"/>
      <c r="CF29" s="148">
        <f t="shared" si="43"/>
        <v>0</v>
      </c>
    </row>
    <row r="30" spans="1:84" ht="17.25" hidden="1" customHeight="1">
      <c r="A30" s="117"/>
      <c r="B30" s="209" t="s">
        <v>2036</v>
      </c>
      <c r="C30" s="209" t="s">
        <v>2163</v>
      </c>
      <c r="D30" s="209" t="s">
        <v>1296</v>
      </c>
      <c r="E30" s="209" t="s">
        <v>1816</v>
      </c>
      <c r="F30" s="209" t="s">
        <v>1341</v>
      </c>
      <c r="G30" s="209" t="s">
        <v>1319</v>
      </c>
      <c r="H30" s="210">
        <v>2365</v>
      </c>
      <c r="I30" s="211" t="s">
        <v>147</v>
      </c>
      <c r="J30" s="144">
        <v>4</v>
      </c>
      <c r="K30" s="145">
        <f t="shared" si="1"/>
        <v>1</v>
      </c>
      <c r="L30" s="202">
        <f t="shared" si="27"/>
        <v>4</v>
      </c>
      <c r="M30" s="212">
        <v>37.700000000000003</v>
      </c>
      <c r="N30" s="203">
        <f t="shared" si="28"/>
        <v>150.80000000000001</v>
      </c>
      <c r="O30" s="212" t="s">
        <v>137</v>
      </c>
      <c r="P30" s="212" t="s">
        <v>13</v>
      </c>
      <c r="Q30" s="212" t="s">
        <v>148</v>
      </c>
      <c r="R30" s="212"/>
      <c r="S30" s="212"/>
      <c r="T30" s="203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4</v>
      </c>
      <c r="U30" s="203">
        <f t="shared" ca="1" si="29"/>
        <v>0</v>
      </c>
      <c r="V30" s="203">
        <f t="shared" ca="1" si="30"/>
        <v>1</v>
      </c>
      <c r="W30" s="212"/>
      <c r="X30" s="212"/>
      <c r="Y30" s="212"/>
      <c r="Z30" s="212"/>
      <c r="AA30" s="212"/>
      <c r="AB30" s="212"/>
      <c r="AC30" s="214" t="s">
        <v>196</v>
      </c>
      <c r="AD30" s="215" t="s">
        <v>2039</v>
      </c>
      <c r="AE30" s="148"/>
      <c r="AF30" s="212" t="str">
        <f t="shared" si="2"/>
        <v>AMC2-S1</v>
      </c>
      <c r="AG30" s="212">
        <f t="shared" si="3"/>
        <v>1</v>
      </c>
      <c r="AH30" s="203">
        <f t="shared" si="31"/>
        <v>4</v>
      </c>
      <c r="AI30" s="203">
        <f t="shared" ca="1" si="32"/>
        <v>4</v>
      </c>
      <c r="AJ30" s="203">
        <f t="shared" ca="1" si="33"/>
        <v>0</v>
      </c>
      <c r="AK30" s="212" t="str">
        <f t="shared" si="4"/>
        <v>N/A</v>
      </c>
      <c r="AL30" s="212">
        <f t="shared" si="5"/>
        <v>0</v>
      </c>
      <c r="AM30" s="203">
        <f t="shared" si="34"/>
        <v>0</v>
      </c>
      <c r="AN30" s="203">
        <f t="shared" ca="1" si="35"/>
        <v>0</v>
      </c>
      <c r="AO30" s="203">
        <f t="shared" ca="1" si="36"/>
        <v>0</v>
      </c>
      <c r="AP30" s="212" t="str">
        <f t="shared" si="6"/>
        <v>N/A</v>
      </c>
      <c r="AQ30" s="212">
        <f t="shared" si="7"/>
        <v>0</v>
      </c>
      <c r="AR30" s="203">
        <f t="shared" si="37"/>
        <v>0</v>
      </c>
      <c r="AS30" s="203">
        <f t="shared" ca="1" si="38"/>
        <v>0</v>
      </c>
      <c r="AT30" s="203">
        <f t="shared" ca="1" si="39"/>
        <v>0</v>
      </c>
      <c r="AU30" s="212" t="str">
        <f t="shared" si="8"/>
        <v>N/A</v>
      </c>
      <c r="AV30" s="212">
        <f t="shared" si="9"/>
        <v>0</v>
      </c>
      <c r="AW30" s="203">
        <f t="shared" si="40"/>
        <v>0</v>
      </c>
      <c r="AX30" s="203">
        <f t="shared" ca="1" si="41"/>
        <v>0</v>
      </c>
      <c r="AY30" s="203">
        <f t="shared" ca="1" si="42"/>
        <v>0</v>
      </c>
      <c r="AZ30" s="212"/>
      <c r="BA30" s="213" t="s">
        <v>141</v>
      </c>
      <c r="BB30" s="213" t="s">
        <v>140</v>
      </c>
      <c r="BC30" s="213" t="s">
        <v>140</v>
      </c>
      <c r="BD30" s="213" t="s">
        <v>140</v>
      </c>
      <c r="BE30" s="148"/>
      <c r="BF30" s="212" t="s">
        <v>1789</v>
      </c>
      <c r="BG30" s="117"/>
      <c r="BH30" s="155"/>
      <c r="BI30" s="216"/>
      <c r="BJ30" s="216"/>
      <c r="BK30" s="216"/>
      <c r="BL30" s="149"/>
      <c r="BM30" s="149"/>
      <c r="BN30" s="149"/>
      <c r="BO30" s="149"/>
      <c r="BP30" s="149"/>
      <c r="BQ30" s="149"/>
      <c r="BR30" s="117">
        <v>0</v>
      </c>
      <c r="BS30" s="117">
        <v>0</v>
      </c>
      <c r="BT30" s="117">
        <v>0</v>
      </c>
      <c r="BU30" s="117">
        <v>1</v>
      </c>
      <c r="BV30" s="117">
        <v>0</v>
      </c>
      <c r="BW30" s="117">
        <v>0</v>
      </c>
      <c r="BX30" s="117">
        <v>0</v>
      </c>
      <c r="BY30" s="117" t="s">
        <v>1790</v>
      </c>
      <c r="BZ30" s="117" t="s">
        <v>1022</v>
      </c>
      <c r="CA30" s="144">
        <v>4</v>
      </c>
      <c r="CB30" s="149">
        <v>46206</v>
      </c>
      <c r="CC30" s="155"/>
      <c r="CD30" s="155"/>
      <c r="CE30" s="217"/>
      <c r="CF30" s="148">
        <f t="shared" si="43"/>
        <v>0</v>
      </c>
    </row>
    <row r="31" spans="1:84" ht="17.25" hidden="1" customHeight="1">
      <c r="A31" s="117"/>
      <c r="B31" s="209" t="s">
        <v>2036</v>
      </c>
      <c r="C31" s="209" t="s">
        <v>2163</v>
      </c>
      <c r="D31" s="209" t="s">
        <v>1076</v>
      </c>
      <c r="E31" s="209" t="s">
        <v>1817</v>
      </c>
      <c r="F31" s="209" t="s">
        <v>1342</v>
      </c>
      <c r="G31" s="209" t="s">
        <v>1343</v>
      </c>
      <c r="H31" s="210">
        <v>1885</v>
      </c>
      <c r="I31" s="211" t="s">
        <v>147</v>
      </c>
      <c r="J31" s="144">
        <v>1</v>
      </c>
      <c r="K31" s="145">
        <f t="shared" si="1"/>
        <v>1</v>
      </c>
      <c r="L31" s="202">
        <f t="shared" si="27"/>
        <v>1</v>
      </c>
      <c r="M31" s="212">
        <v>32.700000000000003</v>
      </c>
      <c r="N31" s="203">
        <f t="shared" si="28"/>
        <v>32.700000000000003</v>
      </c>
      <c r="O31" s="212" t="s">
        <v>137</v>
      </c>
      <c r="P31" s="212" t="s">
        <v>13</v>
      </c>
      <c r="Q31" s="212" t="s">
        <v>154</v>
      </c>
      <c r="R31" s="212"/>
      <c r="S31" s="212"/>
      <c r="T31" s="203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203">
        <f t="shared" ca="1" si="29"/>
        <v>0</v>
      </c>
      <c r="V31" s="203">
        <f t="shared" ca="1" si="30"/>
        <v>1</v>
      </c>
      <c r="W31" s="212"/>
      <c r="X31" s="212"/>
      <c r="Y31" s="212"/>
      <c r="Z31" s="212"/>
      <c r="AA31" s="212"/>
      <c r="AB31" s="212"/>
      <c r="AC31" s="214" t="s">
        <v>196</v>
      </c>
      <c r="AD31" s="215" t="s">
        <v>2039</v>
      </c>
      <c r="AE31" s="148"/>
      <c r="AF31" s="212" t="str">
        <f t="shared" si="2"/>
        <v>AMC2-S1</v>
      </c>
      <c r="AG31" s="212">
        <f t="shared" si="3"/>
        <v>1</v>
      </c>
      <c r="AH31" s="203">
        <f t="shared" si="31"/>
        <v>1</v>
      </c>
      <c r="AI31" s="203">
        <f t="shared" ca="1" si="32"/>
        <v>1</v>
      </c>
      <c r="AJ31" s="203">
        <f t="shared" ca="1" si="33"/>
        <v>0</v>
      </c>
      <c r="AK31" s="212" t="str">
        <f t="shared" si="4"/>
        <v>N/A</v>
      </c>
      <c r="AL31" s="212">
        <f t="shared" si="5"/>
        <v>0</v>
      </c>
      <c r="AM31" s="203">
        <f t="shared" si="34"/>
        <v>0</v>
      </c>
      <c r="AN31" s="203">
        <f t="shared" ca="1" si="35"/>
        <v>0</v>
      </c>
      <c r="AO31" s="203">
        <f t="shared" ca="1" si="36"/>
        <v>0</v>
      </c>
      <c r="AP31" s="212" t="str">
        <f t="shared" si="6"/>
        <v>N/A</v>
      </c>
      <c r="AQ31" s="212">
        <f t="shared" si="7"/>
        <v>0</v>
      </c>
      <c r="AR31" s="203">
        <f t="shared" si="37"/>
        <v>0</v>
      </c>
      <c r="AS31" s="203">
        <f t="shared" ca="1" si="38"/>
        <v>0</v>
      </c>
      <c r="AT31" s="203">
        <f t="shared" ca="1" si="39"/>
        <v>0</v>
      </c>
      <c r="AU31" s="212" t="str">
        <f t="shared" si="8"/>
        <v>N/A</v>
      </c>
      <c r="AV31" s="212">
        <f t="shared" si="9"/>
        <v>0</v>
      </c>
      <c r="AW31" s="203">
        <f t="shared" si="40"/>
        <v>0</v>
      </c>
      <c r="AX31" s="203">
        <f t="shared" ca="1" si="41"/>
        <v>0</v>
      </c>
      <c r="AY31" s="203">
        <f t="shared" ca="1" si="42"/>
        <v>0</v>
      </c>
      <c r="AZ31" s="212"/>
      <c r="BA31" s="213" t="s">
        <v>141</v>
      </c>
      <c r="BB31" s="213" t="s">
        <v>140</v>
      </c>
      <c r="BC31" s="213" t="s">
        <v>140</v>
      </c>
      <c r="BD31" s="213" t="s">
        <v>140</v>
      </c>
      <c r="BE31" s="148"/>
      <c r="BF31" s="212" t="s">
        <v>1789</v>
      </c>
      <c r="BG31" s="117"/>
      <c r="BH31" s="155"/>
      <c r="BI31" s="216"/>
      <c r="BJ31" s="216"/>
      <c r="BK31" s="216"/>
      <c r="BL31" s="149"/>
      <c r="BM31" s="149"/>
      <c r="BN31" s="149"/>
      <c r="BO31" s="149"/>
      <c r="BP31" s="149"/>
      <c r="BQ31" s="149"/>
      <c r="BR31" s="117">
        <v>0</v>
      </c>
      <c r="BS31" s="117">
        <v>1</v>
      </c>
      <c r="BT31" s="117">
        <v>0</v>
      </c>
      <c r="BU31" s="117">
        <v>1</v>
      </c>
      <c r="BV31" s="117">
        <v>0</v>
      </c>
      <c r="BW31" s="117">
        <v>0</v>
      </c>
      <c r="BX31" s="117">
        <v>0</v>
      </c>
      <c r="BY31" s="117" t="s">
        <v>1790</v>
      </c>
      <c r="BZ31" s="117" t="s">
        <v>1344</v>
      </c>
      <c r="CA31" s="117">
        <v>1</v>
      </c>
      <c r="CB31" s="149">
        <v>46203</v>
      </c>
      <c r="CC31" s="155"/>
      <c r="CD31" s="117"/>
      <c r="CE31" s="217"/>
      <c r="CF31" s="148">
        <f t="shared" si="43"/>
        <v>0</v>
      </c>
    </row>
    <row r="32" spans="1:84" ht="17.25" hidden="1" customHeight="1">
      <c r="A32" s="117"/>
      <c r="B32" s="209" t="s">
        <v>2036</v>
      </c>
      <c r="C32" s="209" t="s">
        <v>2163</v>
      </c>
      <c r="D32" s="209" t="s">
        <v>1076</v>
      </c>
      <c r="E32" s="209" t="s">
        <v>1806</v>
      </c>
      <c r="F32" s="209" t="s">
        <v>1345</v>
      </c>
      <c r="G32" s="209" t="s">
        <v>1346</v>
      </c>
      <c r="H32" s="210">
        <v>2202</v>
      </c>
      <c r="I32" s="211" t="s">
        <v>147</v>
      </c>
      <c r="J32" s="144">
        <v>1</v>
      </c>
      <c r="K32" s="145">
        <f t="shared" si="1"/>
        <v>1</v>
      </c>
      <c r="L32" s="202">
        <f t="shared" si="27"/>
        <v>1</v>
      </c>
      <c r="M32" s="212">
        <v>42</v>
      </c>
      <c r="N32" s="203">
        <f t="shared" si="28"/>
        <v>42</v>
      </c>
      <c r="O32" s="212" t="s">
        <v>137</v>
      </c>
      <c r="P32" s="212" t="s">
        <v>13</v>
      </c>
      <c r="Q32" s="212" t="s">
        <v>154</v>
      </c>
      <c r="R32" s="212"/>
      <c r="S32" s="212"/>
      <c r="T32" s="203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1</v>
      </c>
      <c r="U32" s="203">
        <f t="shared" ca="1" si="29"/>
        <v>0</v>
      </c>
      <c r="V32" s="203">
        <f t="shared" ca="1" si="30"/>
        <v>1</v>
      </c>
      <c r="W32" s="212"/>
      <c r="X32" s="212"/>
      <c r="Y32" s="212"/>
      <c r="Z32" s="212"/>
      <c r="AA32" s="212"/>
      <c r="AB32" s="212"/>
      <c r="AC32" s="214" t="s">
        <v>196</v>
      </c>
      <c r="AD32" s="215" t="s">
        <v>2039</v>
      </c>
      <c r="AE32" s="148"/>
      <c r="AF32" s="212" t="str">
        <f t="shared" si="2"/>
        <v>AMC2-S1</v>
      </c>
      <c r="AG32" s="212">
        <f t="shared" si="3"/>
        <v>1</v>
      </c>
      <c r="AH32" s="203">
        <f t="shared" si="31"/>
        <v>1</v>
      </c>
      <c r="AI32" s="203">
        <f t="shared" ca="1" si="32"/>
        <v>1</v>
      </c>
      <c r="AJ32" s="203">
        <f t="shared" ca="1" si="33"/>
        <v>0</v>
      </c>
      <c r="AK32" s="212" t="str">
        <f t="shared" si="4"/>
        <v>N/A</v>
      </c>
      <c r="AL32" s="212">
        <f t="shared" si="5"/>
        <v>0</v>
      </c>
      <c r="AM32" s="203">
        <f t="shared" si="34"/>
        <v>0</v>
      </c>
      <c r="AN32" s="203">
        <f t="shared" ca="1" si="35"/>
        <v>0</v>
      </c>
      <c r="AO32" s="203">
        <f t="shared" ca="1" si="36"/>
        <v>0</v>
      </c>
      <c r="AP32" s="212" t="str">
        <f t="shared" si="6"/>
        <v>N/A</v>
      </c>
      <c r="AQ32" s="212">
        <f t="shared" si="7"/>
        <v>0</v>
      </c>
      <c r="AR32" s="203">
        <f t="shared" si="37"/>
        <v>0</v>
      </c>
      <c r="AS32" s="203">
        <f t="shared" ca="1" si="38"/>
        <v>0</v>
      </c>
      <c r="AT32" s="203">
        <f t="shared" ca="1" si="39"/>
        <v>0</v>
      </c>
      <c r="AU32" s="212" t="str">
        <f t="shared" si="8"/>
        <v>N/A</v>
      </c>
      <c r="AV32" s="212">
        <f t="shared" si="9"/>
        <v>0</v>
      </c>
      <c r="AW32" s="203">
        <f t="shared" si="40"/>
        <v>0</v>
      </c>
      <c r="AX32" s="203">
        <f t="shared" ca="1" si="41"/>
        <v>0</v>
      </c>
      <c r="AY32" s="203">
        <f t="shared" ca="1" si="42"/>
        <v>0</v>
      </c>
      <c r="AZ32" s="212"/>
      <c r="BA32" s="213" t="s">
        <v>141</v>
      </c>
      <c r="BB32" s="213" t="s">
        <v>140</v>
      </c>
      <c r="BC32" s="213" t="s">
        <v>140</v>
      </c>
      <c r="BD32" s="213" t="s">
        <v>140</v>
      </c>
      <c r="BE32" s="148"/>
      <c r="BF32" s="212" t="s">
        <v>1789</v>
      </c>
      <c r="BG32" s="117"/>
      <c r="BH32" s="155"/>
      <c r="BI32" s="216"/>
      <c r="BJ32" s="216"/>
      <c r="BK32" s="216"/>
      <c r="BL32" s="149"/>
      <c r="BM32" s="149"/>
      <c r="BN32" s="149"/>
      <c r="BO32" s="149"/>
      <c r="BP32" s="149"/>
      <c r="BQ32" s="149"/>
      <c r="BR32" s="117">
        <v>0</v>
      </c>
      <c r="BS32" s="117">
        <v>1</v>
      </c>
      <c r="BT32" s="117">
        <v>0</v>
      </c>
      <c r="BU32" s="117">
        <v>1</v>
      </c>
      <c r="BV32" s="117">
        <v>0</v>
      </c>
      <c r="BW32" s="117">
        <v>0</v>
      </c>
      <c r="BX32" s="117">
        <v>0</v>
      </c>
      <c r="BY32" s="117" t="s">
        <v>1790</v>
      </c>
      <c r="BZ32" s="117" t="s">
        <v>1344</v>
      </c>
      <c r="CA32" s="117">
        <v>1</v>
      </c>
      <c r="CB32" s="149">
        <v>46203</v>
      </c>
      <c r="CC32" s="155"/>
      <c r="CD32" s="117"/>
      <c r="CE32" s="217"/>
      <c r="CF32" s="148">
        <f t="shared" si="43"/>
        <v>0</v>
      </c>
    </row>
    <row r="33" spans="1:84" ht="17.25" hidden="1" customHeight="1">
      <c r="A33" s="117"/>
      <c r="B33" s="209" t="s">
        <v>2036</v>
      </c>
      <c r="C33" s="209" t="s">
        <v>2163</v>
      </c>
      <c r="D33" s="209" t="s">
        <v>1296</v>
      </c>
      <c r="E33" s="209" t="s">
        <v>1936</v>
      </c>
      <c r="F33" s="209" t="s">
        <v>1355</v>
      </c>
      <c r="G33" s="209" t="s">
        <v>1138</v>
      </c>
      <c r="H33" s="210">
        <v>1095</v>
      </c>
      <c r="I33" s="211" t="s">
        <v>147</v>
      </c>
      <c r="J33" s="144">
        <v>1</v>
      </c>
      <c r="K33" s="145">
        <f t="shared" si="1"/>
        <v>1</v>
      </c>
      <c r="L33" s="202">
        <f t="shared" si="27"/>
        <v>1</v>
      </c>
      <c r="M33" s="212">
        <v>40.799999999999997</v>
      </c>
      <c r="N33" s="203">
        <f t="shared" si="28"/>
        <v>40.799999999999997</v>
      </c>
      <c r="O33" s="212" t="s">
        <v>137</v>
      </c>
      <c r="P33" s="212" t="s">
        <v>13</v>
      </c>
      <c r="Q33" s="212" t="s">
        <v>154</v>
      </c>
      <c r="R33" s="212"/>
      <c r="S33" s="212"/>
      <c r="T33" s="203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1</v>
      </c>
      <c r="U33" s="203">
        <f t="shared" ca="1" si="29"/>
        <v>0</v>
      </c>
      <c r="V33" s="203">
        <f t="shared" ca="1" si="30"/>
        <v>1</v>
      </c>
      <c r="W33" s="212"/>
      <c r="X33" s="212"/>
      <c r="Y33" s="212"/>
      <c r="Z33" s="212"/>
      <c r="AA33" s="212"/>
      <c r="AB33" s="212"/>
      <c r="AC33" s="214" t="s">
        <v>196</v>
      </c>
      <c r="AD33" s="215" t="s">
        <v>2039</v>
      </c>
      <c r="AE33" s="148"/>
      <c r="AF33" s="212" t="str">
        <f t="shared" si="2"/>
        <v>AMC2-S1</v>
      </c>
      <c r="AG33" s="212">
        <f t="shared" si="3"/>
        <v>1</v>
      </c>
      <c r="AH33" s="203">
        <f t="shared" si="31"/>
        <v>1</v>
      </c>
      <c r="AI33" s="203">
        <f t="shared" ca="1" si="32"/>
        <v>1</v>
      </c>
      <c r="AJ33" s="203">
        <f t="shared" ca="1" si="33"/>
        <v>0</v>
      </c>
      <c r="AK33" s="212" t="str">
        <f t="shared" si="4"/>
        <v>N/A</v>
      </c>
      <c r="AL33" s="212">
        <f t="shared" si="5"/>
        <v>0</v>
      </c>
      <c r="AM33" s="203">
        <f t="shared" si="34"/>
        <v>0</v>
      </c>
      <c r="AN33" s="203">
        <f t="shared" ca="1" si="35"/>
        <v>0</v>
      </c>
      <c r="AO33" s="203">
        <f t="shared" ca="1" si="36"/>
        <v>0</v>
      </c>
      <c r="AP33" s="212" t="str">
        <f t="shared" si="6"/>
        <v>N/A</v>
      </c>
      <c r="AQ33" s="212">
        <f t="shared" si="7"/>
        <v>0</v>
      </c>
      <c r="AR33" s="203">
        <f t="shared" si="37"/>
        <v>0</v>
      </c>
      <c r="AS33" s="203">
        <f t="shared" ca="1" si="38"/>
        <v>0</v>
      </c>
      <c r="AT33" s="203">
        <f t="shared" ca="1" si="39"/>
        <v>0</v>
      </c>
      <c r="AU33" s="212" t="str">
        <f t="shared" si="8"/>
        <v>N/A</v>
      </c>
      <c r="AV33" s="212">
        <f t="shared" si="9"/>
        <v>0</v>
      </c>
      <c r="AW33" s="203">
        <f t="shared" si="40"/>
        <v>0</v>
      </c>
      <c r="AX33" s="203">
        <f t="shared" ca="1" si="41"/>
        <v>0</v>
      </c>
      <c r="AY33" s="203">
        <f t="shared" ca="1" si="42"/>
        <v>0</v>
      </c>
      <c r="AZ33" s="212"/>
      <c r="BA33" s="213" t="s">
        <v>141</v>
      </c>
      <c r="BB33" s="213" t="s">
        <v>140</v>
      </c>
      <c r="BC33" s="213" t="s">
        <v>140</v>
      </c>
      <c r="BD33" s="213" t="s">
        <v>140</v>
      </c>
      <c r="BE33" s="148"/>
      <c r="BF33" s="212" t="s">
        <v>1789</v>
      </c>
      <c r="BG33" s="117"/>
      <c r="BH33" s="155"/>
      <c r="BI33" s="216"/>
      <c r="BJ33" s="216"/>
      <c r="BK33" s="216"/>
      <c r="BL33" s="149"/>
      <c r="BM33" s="149"/>
      <c r="BN33" s="149"/>
      <c r="BO33" s="149"/>
      <c r="BP33" s="149"/>
      <c r="BQ33" s="149"/>
      <c r="BR33" s="117">
        <v>1</v>
      </c>
      <c r="BS33" s="117">
        <v>1</v>
      </c>
      <c r="BT33" s="117">
        <v>0</v>
      </c>
      <c r="BU33" s="117">
        <v>1</v>
      </c>
      <c r="BV33" s="117">
        <v>0</v>
      </c>
      <c r="BW33" s="117">
        <v>0</v>
      </c>
      <c r="BX33" s="117">
        <v>0</v>
      </c>
      <c r="BY33" s="117" t="s">
        <v>1790</v>
      </c>
      <c r="BZ33" s="117" t="s">
        <v>1063</v>
      </c>
      <c r="CA33" s="117">
        <v>1</v>
      </c>
      <c r="CB33" s="149">
        <v>46206</v>
      </c>
      <c r="CC33" s="155"/>
      <c r="CD33" s="117"/>
      <c r="CE33" s="217"/>
      <c r="CF33" s="148">
        <f t="shared" si="43"/>
        <v>0</v>
      </c>
    </row>
    <row r="34" spans="1:84" ht="17.25" hidden="1" customHeight="1">
      <c r="A34" s="141"/>
      <c r="B34" s="199" t="s">
        <v>2036</v>
      </c>
      <c r="C34" s="199" t="s">
        <v>2163</v>
      </c>
      <c r="D34" s="199" t="s">
        <v>1296</v>
      </c>
      <c r="E34" s="199" t="s">
        <v>1807</v>
      </c>
      <c r="F34" s="199" t="s">
        <v>1347</v>
      </c>
      <c r="G34" s="199" t="s">
        <v>1096</v>
      </c>
      <c r="H34" s="200">
        <v>536</v>
      </c>
      <c r="I34" s="201" t="s">
        <v>147</v>
      </c>
      <c r="J34" s="165">
        <v>1</v>
      </c>
      <c r="K34" s="202">
        <f t="shared" si="1"/>
        <v>1</v>
      </c>
      <c r="L34" s="202">
        <f t="shared" si="27"/>
        <v>1</v>
      </c>
      <c r="M34" s="203">
        <v>7.5</v>
      </c>
      <c r="N34" s="203">
        <f t="shared" si="28"/>
        <v>7.5</v>
      </c>
      <c r="O34" s="203" t="s">
        <v>137</v>
      </c>
      <c r="P34" s="203" t="s">
        <v>13</v>
      </c>
      <c r="Q34" s="203" t="s">
        <v>154</v>
      </c>
      <c r="R34" s="203"/>
      <c r="S34" s="203"/>
      <c r="T34" s="203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1</v>
      </c>
      <c r="U34" s="203">
        <f t="shared" ca="1" si="29"/>
        <v>0</v>
      </c>
      <c r="V34" s="203">
        <f t="shared" ca="1" si="30"/>
        <v>1</v>
      </c>
      <c r="W34" s="203"/>
      <c r="X34" s="203"/>
      <c r="Y34" s="203"/>
      <c r="Z34" s="203"/>
      <c r="AA34" s="203"/>
      <c r="AB34" s="203"/>
      <c r="AC34" s="205" t="s">
        <v>196</v>
      </c>
      <c r="AD34" s="206" t="s">
        <v>2039</v>
      </c>
      <c r="AE34" s="166"/>
      <c r="AF34" s="203" t="str">
        <f t="shared" si="2"/>
        <v>AMC2-S1</v>
      </c>
      <c r="AG34" s="203">
        <f t="shared" si="3"/>
        <v>1</v>
      </c>
      <c r="AH34" s="203">
        <f t="shared" si="31"/>
        <v>1</v>
      </c>
      <c r="AI34" s="203">
        <f t="shared" ca="1" si="32"/>
        <v>1</v>
      </c>
      <c r="AJ34" s="203">
        <f t="shared" ca="1" si="33"/>
        <v>0</v>
      </c>
      <c r="AK34" s="203" t="str">
        <f t="shared" si="4"/>
        <v>N/A</v>
      </c>
      <c r="AL34" s="203">
        <f t="shared" si="5"/>
        <v>0</v>
      </c>
      <c r="AM34" s="203">
        <f t="shared" si="34"/>
        <v>0</v>
      </c>
      <c r="AN34" s="203">
        <f t="shared" ca="1" si="35"/>
        <v>0</v>
      </c>
      <c r="AO34" s="203">
        <f t="shared" ca="1" si="36"/>
        <v>0</v>
      </c>
      <c r="AP34" s="203" t="str">
        <f t="shared" si="6"/>
        <v>N/A</v>
      </c>
      <c r="AQ34" s="203">
        <f t="shared" si="7"/>
        <v>0</v>
      </c>
      <c r="AR34" s="203">
        <f t="shared" si="37"/>
        <v>0</v>
      </c>
      <c r="AS34" s="203">
        <f t="shared" ca="1" si="38"/>
        <v>0</v>
      </c>
      <c r="AT34" s="203">
        <f t="shared" ca="1" si="39"/>
        <v>0</v>
      </c>
      <c r="AU34" s="203" t="str">
        <f t="shared" si="8"/>
        <v>N/A</v>
      </c>
      <c r="AV34" s="203">
        <f t="shared" si="9"/>
        <v>0</v>
      </c>
      <c r="AW34" s="203">
        <f t="shared" si="40"/>
        <v>0</v>
      </c>
      <c r="AX34" s="203">
        <f t="shared" ca="1" si="41"/>
        <v>0</v>
      </c>
      <c r="AY34" s="203">
        <f t="shared" ca="1" si="42"/>
        <v>0</v>
      </c>
      <c r="AZ34" s="203"/>
      <c r="BA34" s="204" t="s">
        <v>141</v>
      </c>
      <c r="BB34" s="204" t="s">
        <v>140</v>
      </c>
      <c r="BC34" s="204" t="s">
        <v>140</v>
      </c>
      <c r="BD34" s="204" t="s">
        <v>140</v>
      </c>
      <c r="BE34" s="166"/>
      <c r="BF34" s="203" t="s">
        <v>1789</v>
      </c>
      <c r="BG34" s="141"/>
      <c r="BH34" s="152"/>
      <c r="BI34" s="207"/>
      <c r="BJ34" s="207"/>
      <c r="BK34" s="207"/>
      <c r="BL34" s="153" t="s">
        <v>1932</v>
      </c>
      <c r="BM34" s="153"/>
      <c r="BN34" s="153"/>
      <c r="BO34" s="153"/>
      <c r="BP34" s="153"/>
      <c r="BQ34" s="153"/>
      <c r="BR34" s="141">
        <v>0</v>
      </c>
      <c r="BS34" s="141">
        <v>1</v>
      </c>
      <c r="BT34" s="141">
        <v>0</v>
      </c>
      <c r="BU34" s="141">
        <v>0</v>
      </c>
      <c r="BV34" s="141">
        <v>0</v>
      </c>
      <c r="BW34" s="141">
        <v>0</v>
      </c>
      <c r="BX34" s="141">
        <v>0</v>
      </c>
      <c r="BY34" s="141" t="s">
        <v>1790</v>
      </c>
      <c r="BZ34" s="141" t="s">
        <v>1063</v>
      </c>
      <c r="CA34" s="141">
        <v>1</v>
      </c>
      <c r="CB34" s="153">
        <v>46206</v>
      </c>
      <c r="CC34" s="152"/>
      <c r="CD34" s="141"/>
      <c r="CE34" s="208"/>
      <c r="CF34" s="166">
        <f t="shared" si="43"/>
        <v>0</v>
      </c>
    </row>
    <row r="35" spans="1:84" ht="17.25" hidden="1" customHeight="1">
      <c r="A35" s="117"/>
      <c r="B35" s="209" t="s">
        <v>2036</v>
      </c>
      <c r="C35" s="209" t="s">
        <v>2163</v>
      </c>
      <c r="D35" s="209" t="s">
        <v>1296</v>
      </c>
      <c r="E35" s="209" t="s">
        <v>1818</v>
      </c>
      <c r="F35" s="209" t="s">
        <v>1348</v>
      </c>
      <c r="G35" s="209" t="s">
        <v>1349</v>
      </c>
      <c r="H35" s="210">
        <v>302</v>
      </c>
      <c r="I35" s="211" t="s">
        <v>147</v>
      </c>
      <c r="J35" s="144">
        <v>2</v>
      </c>
      <c r="K35" s="145">
        <f t="shared" si="1"/>
        <v>1</v>
      </c>
      <c r="L35" s="202">
        <f t="shared" si="27"/>
        <v>2</v>
      </c>
      <c r="M35" s="212">
        <v>4.5999999999999996</v>
      </c>
      <c r="N35" s="203">
        <f t="shared" si="28"/>
        <v>9.1999999999999993</v>
      </c>
      <c r="O35" s="212" t="s">
        <v>137</v>
      </c>
      <c r="P35" s="212" t="s">
        <v>13</v>
      </c>
      <c r="Q35" s="212" t="s">
        <v>148</v>
      </c>
      <c r="R35" s="212"/>
      <c r="S35" s="212"/>
      <c r="T35" s="203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2</v>
      </c>
      <c r="U35" s="203">
        <f t="shared" ca="1" si="29"/>
        <v>0</v>
      </c>
      <c r="V35" s="203">
        <f t="shared" ca="1" si="30"/>
        <v>1</v>
      </c>
      <c r="W35" s="212"/>
      <c r="X35" s="212"/>
      <c r="Y35" s="212"/>
      <c r="Z35" s="212"/>
      <c r="AA35" s="212"/>
      <c r="AB35" s="212"/>
      <c r="AC35" s="214" t="s">
        <v>196</v>
      </c>
      <c r="AD35" s="215" t="s">
        <v>2039</v>
      </c>
      <c r="AE35" s="148"/>
      <c r="AF35" s="212" t="str">
        <f t="shared" si="2"/>
        <v>AMC2-S1</v>
      </c>
      <c r="AG35" s="212">
        <f t="shared" si="3"/>
        <v>1</v>
      </c>
      <c r="AH35" s="203">
        <f t="shared" si="31"/>
        <v>2</v>
      </c>
      <c r="AI35" s="203">
        <f t="shared" ca="1" si="32"/>
        <v>2</v>
      </c>
      <c r="AJ35" s="203">
        <f t="shared" ca="1" si="33"/>
        <v>0</v>
      </c>
      <c r="AK35" s="212" t="str">
        <f t="shared" si="4"/>
        <v>N/A</v>
      </c>
      <c r="AL35" s="212">
        <f t="shared" si="5"/>
        <v>0</v>
      </c>
      <c r="AM35" s="203">
        <f t="shared" si="34"/>
        <v>0</v>
      </c>
      <c r="AN35" s="203">
        <f t="shared" ca="1" si="35"/>
        <v>0</v>
      </c>
      <c r="AO35" s="203">
        <f t="shared" ca="1" si="36"/>
        <v>0</v>
      </c>
      <c r="AP35" s="212" t="str">
        <f t="shared" si="6"/>
        <v>N/A</v>
      </c>
      <c r="AQ35" s="212">
        <f t="shared" si="7"/>
        <v>0</v>
      </c>
      <c r="AR35" s="203">
        <f t="shared" si="37"/>
        <v>0</v>
      </c>
      <c r="AS35" s="203">
        <f t="shared" ca="1" si="38"/>
        <v>0</v>
      </c>
      <c r="AT35" s="203">
        <f t="shared" ca="1" si="39"/>
        <v>0</v>
      </c>
      <c r="AU35" s="212" t="str">
        <f t="shared" si="8"/>
        <v>N/A</v>
      </c>
      <c r="AV35" s="212">
        <f t="shared" si="9"/>
        <v>0</v>
      </c>
      <c r="AW35" s="203">
        <f t="shared" si="40"/>
        <v>0</v>
      </c>
      <c r="AX35" s="203">
        <f t="shared" ca="1" si="41"/>
        <v>0</v>
      </c>
      <c r="AY35" s="203">
        <f t="shared" ca="1" si="42"/>
        <v>0</v>
      </c>
      <c r="AZ35" s="212"/>
      <c r="BA35" s="213" t="s">
        <v>141</v>
      </c>
      <c r="BB35" s="213" t="s">
        <v>140</v>
      </c>
      <c r="BC35" s="213" t="s">
        <v>140</v>
      </c>
      <c r="BD35" s="213" t="s">
        <v>140</v>
      </c>
      <c r="BE35" s="148"/>
      <c r="BF35" s="212" t="s">
        <v>1789</v>
      </c>
      <c r="BG35" s="117"/>
      <c r="BH35" s="155"/>
      <c r="BI35" s="216"/>
      <c r="BJ35" s="216"/>
      <c r="BK35" s="216"/>
      <c r="BL35" s="149"/>
      <c r="BM35" s="149"/>
      <c r="BN35" s="149"/>
      <c r="BO35" s="149"/>
      <c r="BP35" s="149"/>
      <c r="BQ35" s="149"/>
      <c r="BR35" s="117">
        <v>1</v>
      </c>
      <c r="BS35" s="117">
        <v>0</v>
      </c>
      <c r="BT35" s="117">
        <v>0</v>
      </c>
      <c r="BU35" s="117">
        <v>0</v>
      </c>
      <c r="BV35" s="117">
        <v>0</v>
      </c>
      <c r="BW35" s="117">
        <v>0</v>
      </c>
      <c r="BX35" s="117">
        <v>0</v>
      </c>
      <c r="BY35" s="117" t="s">
        <v>1790</v>
      </c>
      <c r="BZ35" s="117" t="s">
        <v>1063</v>
      </c>
      <c r="CA35" s="117">
        <v>2</v>
      </c>
      <c r="CB35" s="149">
        <v>46206</v>
      </c>
      <c r="CC35" s="155"/>
      <c r="CD35" s="117"/>
      <c r="CE35" s="217"/>
      <c r="CF35" s="148">
        <f t="shared" si="43"/>
        <v>0</v>
      </c>
    </row>
    <row r="36" spans="1:84" ht="17.25" hidden="1" customHeight="1">
      <c r="A36" s="117"/>
      <c r="B36" s="209" t="s">
        <v>2036</v>
      </c>
      <c r="C36" s="209" t="s">
        <v>2163</v>
      </c>
      <c r="D36" s="209" t="s">
        <v>1296</v>
      </c>
      <c r="E36" s="209" t="s">
        <v>1819</v>
      </c>
      <c r="F36" s="209" t="s">
        <v>1350</v>
      </c>
      <c r="G36" s="209" t="s">
        <v>1134</v>
      </c>
      <c r="H36" s="210">
        <v>221</v>
      </c>
      <c r="I36" s="211" t="s">
        <v>147</v>
      </c>
      <c r="J36" s="144">
        <v>1</v>
      </c>
      <c r="K36" s="145">
        <f t="shared" si="1"/>
        <v>1</v>
      </c>
      <c r="L36" s="202">
        <f t="shared" si="27"/>
        <v>1</v>
      </c>
      <c r="M36" s="212">
        <v>1.7</v>
      </c>
      <c r="N36" s="203">
        <f t="shared" si="28"/>
        <v>1.7</v>
      </c>
      <c r="O36" s="212" t="s">
        <v>137</v>
      </c>
      <c r="P36" s="212" t="s">
        <v>13</v>
      </c>
      <c r="Q36" s="212" t="s">
        <v>148</v>
      </c>
      <c r="R36" s="212"/>
      <c r="S36" s="212"/>
      <c r="T36" s="203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1</v>
      </c>
      <c r="U36" s="203">
        <f t="shared" ca="1" si="29"/>
        <v>0</v>
      </c>
      <c r="V36" s="203">
        <f t="shared" ca="1" si="30"/>
        <v>1</v>
      </c>
      <c r="W36" s="212"/>
      <c r="X36" s="212"/>
      <c r="Y36" s="212"/>
      <c r="Z36" s="212"/>
      <c r="AA36" s="212"/>
      <c r="AB36" s="212"/>
      <c r="AC36" s="214" t="s">
        <v>196</v>
      </c>
      <c r="AD36" s="215" t="s">
        <v>2039</v>
      </c>
      <c r="AE36" s="148"/>
      <c r="AF36" s="212" t="str">
        <f t="shared" si="2"/>
        <v>AMC2-S1</v>
      </c>
      <c r="AG36" s="212">
        <f t="shared" si="3"/>
        <v>1</v>
      </c>
      <c r="AH36" s="203">
        <f t="shared" si="31"/>
        <v>1</v>
      </c>
      <c r="AI36" s="203">
        <f t="shared" ca="1" si="32"/>
        <v>1</v>
      </c>
      <c r="AJ36" s="203">
        <f t="shared" ca="1" si="33"/>
        <v>0</v>
      </c>
      <c r="AK36" s="212" t="str">
        <f t="shared" si="4"/>
        <v>N/A</v>
      </c>
      <c r="AL36" s="212">
        <f t="shared" si="5"/>
        <v>0</v>
      </c>
      <c r="AM36" s="203">
        <f t="shared" si="34"/>
        <v>0</v>
      </c>
      <c r="AN36" s="203">
        <f t="shared" ca="1" si="35"/>
        <v>0</v>
      </c>
      <c r="AO36" s="203">
        <f t="shared" ca="1" si="36"/>
        <v>0</v>
      </c>
      <c r="AP36" s="212" t="str">
        <f t="shared" si="6"/>
        <v>N/A</v>
      </c>
      <c r="AQ36" s="212">
        <f t="shared" si="7"/>
        <v>0</v>
      </c>
      <c r="AR36" s="203">
        <f t="shared" si="37"/>
        <v>0</v>
      </c>
      <c r="AS36" s="203">
        <f t="shared" ca="1" si="38"/>
        <v>0</v>
      </c>
      <c r="AT36" s="203">
        <f t="shared" ca="1" si="39"/>
        <v>0</v>
      </c>
      <c r="AU36" s="212" t="str">
        <f t="shared" si="8"/>
        <v>N/A</v>
      </c>
      <c r="AV36" s="212">
        <f t="shared" si="9"/>
        <v>0</v>
      </c>
      <c r="AW36" s="203">
        <f t="shared" si="40"/>
        <v>0</v>
      </c>
      <c r="AX36" s="203">
        <f t="shared" ca="1" si="41"/>
        <v>0</v>
      </c>
      <c r="AY36" s="203">
        <f t="shared" ca="1" si="42"/>
        <v>0</v>
      </c>
      <c r="AZ36" s="212"/>
      <c r="BA36" s="213" t="s">
        <v>141</v>
      </c>
      <c r="BB36" s="213" t="s">
        <v>140</v>
      </c>
      <c r="BC36" s="213" t="s">
        <v>140</v>
      </c>
      <c r="BD36" s="213" t="s">
        <v>140</v>
      </c>
      <c r="BE36" s="148"/>
      <c r="BF36" s="212" t="s">
        <v>1789</v>
      </c>
      <c r="BG36" s="117"/>
      <c r="BH36" s="155"/>
      <c r="BI36" s="216"/>
      <c r="BJ36" s="216"/>
      <c r="BK36" s="216"/>
      <c r="BL36" s="149"/>
      <c r="BM36" s="149"/>
      <c r="BN36" s="149"/>
      <c r="BO36" s="149"/>
      <c r="BP36" s="149"/>
      <c r="BQ36" s="149"/>
      <c r="BR36" s="117">
        <v>1</v>
      </c>
      <c r="BS36" s="117">
        <v>0</v>
      </c>
      <c r="BT36" s="117">
        <v>0</v>
      </c>
      <c r="BU36" s="117">
        <v>0</v>
      </c>
      <c r="BV36" s="117">
        <v>0</v>
      </c>
      <c r="BW36" s="117">
        <v>0</v>
      </c>
      <c r="BX36" s="117">
        <v>0</v>
      </c>
      <c r="BY36" s="117" t="s">
        <v>1790</v>
      </c>
      <c r="BZ36" s="117" t="s">
        <v>1063</v>
      </c>
      <c r="CA36" s="117">
        <v>1</v>
      </c>
      <c r="CB36" s="149">
        <v>46206</v>
      </c>
      <c r="CC36" s="155"/>
      <c r="CD36" s="117"/>
      <c r="CE36" s="217"/>
      <c r="CF36" s="148">
        <f t="shared" si="43"/>
        <v>0</v>
      </c>
    </row>
    <row r="37" spans="1:84" ht="17.25" hidden="1" customHeight="1">
      <c r="A37" s="117"/>
      <c r="B37" s="209" t="s">
        <v>2036</v>
      </c>
      <c r="C37" s="209" t="s">
        <v>2163</v>
      </c>
      <c r="D37" s="209" t="s">
        <v>1296</v>
      </c>
      <c r="E37" s="209" t="s">
        <v>1820</v>
      </c>
      <c r="F37" s="209" t="s">
        <v>1351</v>
      </c>
      <c r="G37" s="209" t="s">
        <v>1352</v>
      </c>
      <c r="H37" s="210">
        <v>875</v>
      </c>
      <c r="I37" s="211" t="s">
        <v>147</v>
      </c>
      <c r="J37" s="144">
        <v>1</v>
      </c>
      <c r="K37" s="145">
        <f t="shared" si="1"/>
        <v>1</v>
      </c>
      <c r="L37" s="202">
        <f t="shared" si="27"/>
        <v>1</v>
      </c>
      <c r="M37" s="212">
        <v>27.8</v>
      </c>
      <c r="N37" s="203">
        <f t="shared" si="28"/>
        <v>27.8</v>
      </c>
      <c r="O37" s="212" t="s">
        <v>137</v>
      </c>
      <c r="P37" s="212" t="s">
        <v>13</v>
      </c>
      <c r="Q37" s="212" t="s">
        <v>148</v>
      </c>
      <c r="R37" s="212"/>
      <c r="S37" s="212"/>
      <c r="T37" s="203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1</v>
      </c>
      <c r="U37" s="203">
        <f t="shared" ca="1" si="29"/>
        <v>0</v>
      </c>
      <c r="V37" s="203">
        <f t="shared" ca="1" si="30"/>
        <v>1</v>
      </c>
      <c r="W37" s="212"/>
      <c r="X37" s="212"/>
      <c r="Y37" s="212"/>
      <c r="Z37" s="212"/>
      <c r="AA37" s="212"/>
      <c r="AB37" s="212"/>
      <c r="AC37" s="214" t="s">
        <v>196</v>
      </c>
      <c r="AD37" s="215" t="s">
        <v>2039</v>
      </c>
      <c r="AE37" s="148"/>
      <c r="AF37" s="212" t="str">
        <f t="shared" si="2"/>
        <v>AMC2-S1</v>
      </c>
      <c r="AG37" s="212">
        <f t="shared" si="3"/>
        <v>1</v>
      </c>
      <c r="AH37" s="203">
        <f t="shared" si="31"/>
        <v>1</v>
      </c>
      <c r="AI37" s="203">
        <f t="shared" ca="1" si="32"/>
        <v>1</v>
      </c>
      <c r="AJ37" s="203">
        <f t="shared" ca="1" si="33"/>
        <v>0</v>
      </c>
      <c r="AK37" s="212" t="str">
        <f t="shared" si="4"/>
        <v>N/A</v>
      </c>
      <c r="AL37" s="212">
        <f t="shared" si="5"/>
        <v>0</v>
      </c>
      <c r="AM37" s="203">
        <f t="shared" si="34"/>
        <v>0</v>
      </c>
      <c r="AN37" s="203">
        <f t="shared" ca="1" si="35"/>
        <v>0</v>
      </c>
      <c r="AO37" s="203">
        <f t="shared" ca="1" si="36"/>
        <v>0</v>
      </c>
      <c r="AP37" s="212" t="str">
        <f t="shared" si="6"/>
        <v>N/A</v>
      </c>
      <c r="AQ37" s="212">
        <f t="shared" si="7"/>
        <v>0</v>
      </c>
      <c r="AR37" s="203">
        <f t="shared" si="37"/>
        <v>0</v>
      </c>
      <c r="AS37" s="203">
        <f t="shared" ca="1" si="38"/>
        <v>0</v>
      </c>
      <c r="AT37" s="203">
        <f t="shared" ca="1" si="39"/>
        <v>0</v>
      </c>
      <c r="AU37" s="212" t="str">
        <f t="shared" si="8"/>
        <v>N/A</v>
      </c>
      <c r="AV37" s="212">
        <f t="shared" si="9"/>
        <v>0</v>
      </c>
      <c r="AW37" s="203">
        <f t="shared" si="40"/>
        <v>0</v>
      </c>
      <c r="AX37" s="203">
        <f t="shared" ca="1" si="41"/>
        <v>0</v>
      </c>
      <c r="AY37" s="203">
        <f t="shared" ca="1" si="42"/>
        <v>0</v>
      </c>
      <c r="AZ37" s="212"/>
      <c r="BA37" s="213" t="s">
        <v>141</v>
      </c>
      <c r="BB37" s="213" t="s">
        <v>140</v>
      </c>
      <c r="BC37" s="213" t="s">
        <v>140</v>
      </c>
      <c r="BD37" s="213" t="s">
        <v>140</v>
      </c>
      <c r="BE37" s="148"/>
      <c r="BF37" s="212" t="s">
        <v>1789</v>
      </c>
      <c r="BG37" s="117"/>
      <c r="BH37" s="155"/>
      <c r="BI37" s="216"/>
      <c r="BJ37" s="216"/>
      <c r="BK37" s="216"/>
      <c r="BL37" s="149"/>
      <c r="BM37" s="149"/>
      <c r="BN37" s="149"/>
      <c r="BO37" s="149"/>
      <c r="BP37" s="149"/>
      <c r="BQ37" s="149"/>
      <c r="BR37" s="117">
        <v>1</v>
      </c>
      <c r="BS37" s="117">
        <v>0</v>
      </c>
      <c r="BT37" s="117">
        <v>0</v>
      </c>
      <c r="BU37" s="117">
        <v>0</v>
      </c>
      <c r="BV37" s="117">
        <v>0</v>
      </c>
      <c r="BW37" s="117">
        <v>0</v>
      </c>
      <c r="BX37" s="117">
        <v>0</v>
      </c>
      <c r="BY37" s="117" t="s">
        <v>1790</v>
      </c>
      <c r="BZ37" s="117" t="s">
        <v>1303</v>
      </c>
      <c r="CA37" s="117">
        <v>1</v>
      </c>
      <c r="CB37" s="149">
        <v>46206</v>
      </c>
      <c r="CC37" s="155"/>
      <c r="CD37" s="117"/>
      <c r="CE37" s="217"/>
      <c r="CF37" s="148">
        <f t="shared" si="43"/>
        <v>0</v>
      </c>
    </row>
    <row r="38" spans="1:84" ht="17.25" hidden="1" customHeight="1">
      <c r="A38" s="117"/>
      <c r="B38" s="209" t="s">
        <v>2036</v>
      </c>
      <c r="C38" s="209" t="s">
        <v>2163</v>
      </c>
      <c r="D38" s="209" t="s">
        <v>1296</v>
      </c>
      <c r="E38" s="209" t="s">
        <v>1808</v>
      </c>
      <c r="F38" s="209" t="s">
        <v>1353</v>
      </c>
      <c r="G38" s="209" t="s">
        <v>1354</v>
      </c>
      <c r="H38" s="210">
        <v>793</v>
      </c>
      <c r="I38" s="211" t="s">
        <v>147</v>
      </c>
      <c r="J38" s="144">
        <v>1</v>
      </c>
      <c r="K38" s="145">
        <f t="shared" si="1"/>
        <v>1</v>
      </c>
      <c r="L38" s="202">
        <f t="shared" si="27"/>
        <v>1</v>
      </c>
      <c r="M38" s="212">
        <v>22.8</v>
      </c>
      <c r="N38" s="203">
        <f t="shared" si="28"/>
        <v>22.8</v>
      </c>
      <c r="O38" s="212" t="s">
        <v>137</v>
      </c>
      <c r="P38" s="212" t="s">
        <v>13</v>
      </c>
      <c r="Q38" s="212" t="s">
        <v>148</v>
      </c>
      <c r="R38" s="212"/>
      <c r="S38" s="212"/>
      <c r="T38" s="203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1</v>
      </c>
      <c r="U38" s="203">
        <f t="shared" ca="1" si="29"/>
        <v>0</v>
      </c>
      <c r="V38" s="203">
        <f t="shared" ca="1" si="30"/>
        <v>1</v>
      </c>
      <c r="W38" s="212"/>
      <c r="X38" s="212"/>
      <c r="Y38" s="212"/>
      <c r="Z38" s="212"/>
      <c r="AA38" s="212"/>
      <c r="AB38" s="212"/>
      <c r="AC38" s="214" t="s">
        <v>196</v>
      </c>
      <c r="AD38" s="215" t="s">
        <v>2039</v>
      </c>
      <c r="AE38" s="148"/>
      <c r="AF38" s="212" t="str">
        <f t="shared" si="2"/>
        <v>AMC2-S1</v>
      </c>
      <c r="AG38" s="212">
        <f t="shared" si="3"/>
        <v>1</v>
      </c>
      <c r="AH38" s="203">
        <f t="shared" si="31"/>
        <v>1</v>
      </c>
      <c r="AI38" s="203">
        <f t="shared" ca="1" si="32"/>
        <v>1</v>
      </c>
      <c r="AJ38" s="203">
        <f t="shared" ca="1" si="33"/>
        <v>0</v>
      </c>
      <c r="AK38" s="212" t="str">
        <f t="shared" si="4"/>
        <v>N/A</v>
      </c>
      <c r="AL38" s="212">
        <f t="shared" si="5"/>
        <v>0</v>
      </c>
      <c r="AM38" s="203">
        <f t="shared" si="34"/>
        <v>0</v>
      </c>
      <c r="AN38" s="203">
        <f t="shared" ca="1" si="35"/>
        <v>0</v>
      </c>
      <c r="AO38" s="203">
        <f t="shared" ca="1" si="36"/>
        <v>0</v>
      </c>
      <c r="AP38" s="212" t="str">
        <f t="shared" si="6"/>
        <v>N/A</v>
      </c>
      <c r="AQ38" s="212">
        <f t="shared" si="7"/>
        <v>0</v>
      </c>
      <c r="AR38" s="203">
        <f t="shared" si="37"/>
        <v>0</v>
      </c>
      <c r="AS38" s="203">
        <f t="shared" ca="1" si="38"/>
        <v>0</v>
      </c>
      <c r="AT38" s="203">
        <f t="shared" ca="1" si="39"/>
        <v>0</v>
      </c>
      <c r="AU38" s="212" t="str">
        <f t="shared" si="8"/>
        <v>N/A</v>
      </c>
      <c r="AV38" s="212">
        <f t="shared" si="9"/>
        <v>0</v>
      </c>
      <c r="AW38" s="203">
        <f t="shared" si="40"/>
        <v>0</v>
      </c>
      <c r="AX38" s="203">
        <f t="shared" ca="1" si="41"/>
        <v>0</v>
      </c>
      <c r="AY38" s="203">
        <f t="shared" ca="1" si="42"/>
        <v>0</v>
      </c>
      <c r="AZ38" s="212"/>
      <c r="BA38" s="213" t="s">
        <v>141</v>
      </c>
      <c r="BB38" s="213" t="s">
        <v>140</v>
      </c>
      <c r="BC38" s="213" t="s">
        <v>140</v>
      </c>
      <c r="BD38" s="213" t="s">
        <v>140</v>
      </c>
      <c r="BE38" s="148"/>
      <c r="BF38" s="212" t="s">
        <v>1789</v>
      </c>
      <c r="BG38" s="117"/>
      <c r="BH38" s="155"/>
      <c r="BI38" s="216"/>
      <c r="BJ38" s="216"/>
      <c r="BK38" s="216"/>
      <c r="BL38" s="149"/>
      <c r="BM38" s="149"/>
      <c r="BN38" s="149"/>
      <c r="BO38" s="149"/>
      <c r="BP38" s="149"/>
      <c r="BQ38" s="149"/>
      <c r="BR38" s="117">
        <v>1</v>
      </c>
      <c r="BS38" s="117">
        <v>0</v>
      </c>
      <c r="BT38" s="117">
        <v>0</v>
      </c>
      <c r="BU38" s="117">
        <v>0</v>
      </c>
      <c r="BV38" s="117">
        <v>0</v>
      </c>
      <c r="BW38" s="117">
        <v>0</v>
      </c>
      <c r="BX38" s="117">
        <v>0</v>
      </c>
      <c r="BY38" s="117" t="s">
        <v>1790</v>
      </c>
      <c r="BZ38" s="117" t="s">
        <v>1303</v>
      </c>
      <c r="CA38" s="117">
        <v>1</v>
      </c>
      <c r="CB38" s="149">
        <v>46206</v>
      </c>
      <c r="CC38" s="155"/>
      <c r="CD38" s="117"/>
      <c r="CE38" s="217"/>
      <c r="CF38" s="148">
        <f t="shared" si="43"/>
        <v>0</v>
      </c>
    </row>
    <row r="39" spans="1:84" ht="17.25" hidden="1" customHeight="1">
      <c r="A39" s="117"/>
      <c r="B39" s="209" t="s">
        <v>2036</v>
      </c>
      <c r="C39" s="209" t="s">
        <v>2163</v>
      </c>
      <c r="D39" s="209" t="s">
        <v>1076</v>
      </c>
      <c r="E39" s="199" t="s">
        <v>1803</v>
      </c>
      <c r="F39" s="199" t="s">
        <v>1336</v>
      </c>
      <c r="G39" s="209" t="s">
        <v>1080</v>
      </c>
      <c r="H39" s="210">
        <v>737</v>
      </c>
      <c r="I39" s="211" t="s">
        <v>1077</v>
      </c>
      <c r="J39" s="144">
        <v>5</v>
      </c>
      <c r="K39" s="145">
        <f t="shared" si="1"/>
        <v>1</v>
      </c>
      <c r="L39" s="202">
        <f t="shared" si="27"/>
        <v>5</v>
      </c>
      <c r="M39" s="212">
        <v>2.1</v>
      </c>
      <c r="N39" s="203">
        <f t="shared" si="28"/>
        <v>10.5</v>
      </c>
      <c r="O39" s="212" t="s">
        <v>137</v>
      </c>
      <c r="P39" s="212" t="s">
        <v>11</v>
      </c>
      <c r="Q39" s="212" t="s">
        <v>154</v>
      </c>
      <c r="R39" s="212"/>
      <c r="S39" s="212"/>
      <c r="T39" s="203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5</v>
      </c>
      <c r="U39" s="203">
        <f t="shared" ca="1" si="29"/>
        <v>0</v>
      </c>
      <c r="V39" s="203">
        <f t="shared" ca="1" si="30"/>
        <v>1</v>
      </c>
      <c r="W39" s="212"/>
      <c r="X39" s="212"/>
      <c r="Y39" s="212"/>
      <c r="Z39" s="212"/>
      <c r="AA39" s="212"/>
      <c r="AB39" s="212"/>
      <c r="AC39" s="214" t="s">
        <v>196</v>
      </c>
      <c r="AD39" s="215" t="s">
        <v>2039</v>
      </c>
      <c r="AE39" s="148"/>
      <c r="AF39" s="212" t="str">
        <f t="shared" si="2"/>
        <v>AMC2-S1</v>
      </c>
      <c r="AG39" s="212">
        <f t="shared" si="3"/>
        <v>1</v>
      </c>
      <c r="AH39" s="203">
        <f t="shared" si="31"/>
        <v>5</v>
      </c>
      <c r="AI39" s="203">
        <f t="shared" ca="1" si="32"/>
        <v>5</v>
      </c>
      <c r="AJ39" s="203">
        <f t="shared" ca="1" si="33"/>
        <v>0</v>
      </c>
      <c r="AK39" s="212" t="str">
        <f t="shared" si="4"/>
        <v>N/A</v>
      </c>
      <c r="AL39" s="212">
        <f t="shared" si="5"/>
        <v>0</v>
      </c>
      <c r="AM39" s="203">
        <f t="shared" si="34"/>
        <v>0</v>
      </c>
      <c r="AN39" s="203">
        <f t="shared" ca="1" si="35"/>
        <v>0</v>
      </c>
      <c r="AO39" s="203">
        <f t="shared" ca="1" si="36"/>
        <v>0</v>
      </c>
      <c r="AP39" s="212" t="str">
        <f t="shared" si="6"/>
        <v>N/A</v>
      </c>
      <c r="AQ39" s="212">
        <f t="shared" si="7"/>
        <v>0</v>
      </c>
      <c r="AR39" s="203">
        <f t="shared" si="37"/>
        <v>0</v>
      </c>
      <c r="AS39" s="203">
        <f t="shared" ca="1" si="38"/>
        <v>0</v>
      </c>
      <c r="AT39" s="203">
        <f t="shared" ca="1" si="39"/>
        <v>0</v>
      </c>
      <c r="AU39" s="212" t="str">
        <f t="shared" si="8"/>
        <v>N/A</v>
      </c>
      <c r="AV39" s="212">
        <f t="shared" si="9"/>
        <v>0</v>
      </c>
      <c r="AW39" s="203">
        <f t="shared" si="40"/>
        <v>0</v>
      </c>
      <c r="AX39" s="203">
        <f t="shared" ca="1" si="41"/>
        <v>0</v>
      </c>
      <c r="AY39" s="203">
        <f t="shared" ca="1" si="42"/>
        <v>0</v>
      </c>
      <c r="AZ39" s="212"/>
      <c r="BA39" s="213" t="s">
        <v>141</v>
      </c>
      <c r="BB39" s="213" t="s">
        <v>140</v>
      </c>
      <c r="BC39" s="213" t="s">
        <v>140</v>
      </c>
      <c r="BD39" s="213" t="s">
        <v>140</v>
      </c>
      <c r="BE39" s="148"/>
      <c r="BF39" s="212" t="s">
        <v>1789</v>
      </c>
      <c r="BG39" s="117"/>
      <c r="BH39" s="141" t="s">
        <v>1933</v>
      </c>
      <c r="BI39" s="216"/>
      <c r="BJ39" s="216"/>
      <c r="BK39" s="216"/>
      <c r="BL39" s="149"/>
      <c r="BM39" s="149"/>
      <c r="BN39" s="149"/>
      <c r="BO39" s="149"/>
      <c r="BP39" s="149"/>
      <c r="BQ39" s="149"/>
      <c r="BR39" s="117">
        <v>0</v>
      </c>
      <c r="BS39" s="117">
        <v>1</v>
      </c>
      <c r="BT39" s="117">
        <v>0</v>
      </c>
      <c r="BU39" s="117">
        <v>0</v>
      </c>
      <c r="BV39" s="117">
        <v>0</v>
      </c>
      <c r="BW39" s="117">
        <v>0</v>
      </c>
      <c r="BX39" s="117">
        <v>0</v>
      </c>
      <c r="BY39" s="117" t="s">
        <v>1790</v>
      </c>
      <c r="BZ39" s="117" t="s">
        <v>1291</v>
      </c>
      <c r="CA39" s="117">
        <v>5</v>
      </c>
      <c r="CB39" s="149">
        <v>46185</v>
      </c>
      <c r="CC39" s="155"/>
      <c r="CD39" s="155"/>
      <c r="CE39" s="217"/>
      <c r="CF39" s="148">
        <f t="shared" si="43"/>
        <v>0</v>
      </c>
    </row>
    <row r="40" spans="1:84" ht="17.25" hidden="1" customHeight="1">
      <c r="A40" s="141"/>
      <c r="B40" s="199" t="s">
        <v>2036</v>
      </c>
      <c r="C40" s="199" t="s">
        <v>2163</v>
      </c>
      <c r="D40" s="199" t="s">
        <v>1129</v>
      </c>
      <c r="E40" s="199" t="s">
        <v>1823</v>
      </c>
      <c r="F40" s="199" t="s">
        <v>1337</v>
      </c>
      <c r="G40" s="199" t="s">
        <v>1128</v>
      </c>
      <c r="H40" s="200">
        <v>48</v>
      </c>
      <c r="I40" s="201" t="s">
        <v>147</v>
      </c>
      <c r="J40" s="165">
        <v>1</v>
      </c>
      <c r="K40" s="202">
        <f t="shared" si="1"/>
        <v>1</v>
      </c>
      <c r="L40" s="202">
        <f t="shared" si="27"/>
        <v>1</v>
      </c>
      <c r="M40" s="203">
        <v>0.32</v>
      </c>
      <c r="N40" s="203">
        <f t="shared" si="28"/>
        <v>0.32</v>
      </c>
      <c r="O40" s="203" t="s">
        <v>137</v>
      </c>
      <c r="P40" s="203" t="s">
        <v>11</v>
      </c>
      <c r="Q40" s="203" t="s">
        <v>154</v>
      </c>
      <c r="R40" s="203"/>
      <c r="S40" s="203"/>
      <c r="T40" s="203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1</v>
      </c>
      <c r="U40" s="203">
        <f t="shared" ca="1" si="29"/>
        <v>0</v>
      </c>
      <c r="V40" s="203">
        <f t="shared" ca="1" si="30"/>
        <v>1</v>
      </c>
      <c r="W40" s="203"/>
      <c r="X40" s="203"/>
      <c r="Y40" s="203"/>
      <c r="Z40" s="203"/>
      <c r="AA40" s="203"/>
      <c r="AB40" s="203"/>
      <c r="AC40" s="231" t="s">
        <v>196</v>
      </c>
      <c r="AD40" s="225" t="s">
        <v>2039</v>
      </c>
      <c r="AE40" s="166"/>
      <c r="AF40" s="203" t="str">
        <f t="shared" si="2"/>
        <v>AMC2-S1</v>
      </c>
      <c r="AG40" s="203">
        <f t="shared" si="3"/>
        <v>1</v>
      </c>
      <c r="AH40" s="203">
        <f t="shared" si="31"/>
        <v>1</v>
      </c>
      <c r="AI40" s="203">
        <f t="shared" ca="1" si="32"/>
        <v>1</v>
      </c>
      <c r="AJ40" s="203">
        <f t="shared" ca="1" si="33"/>
        <v>0</v>
      </c>
      <c r="AK40" s="203" t="str">
        <f t="shared" si="4"/>
        <v>N/A</v>
      </c>
      <c r="AL40" s="203">
        <f t="shared" si="5"/>
        <v>0</v>
      </c>
      <c r="AM40" s="203">
        <f t="shared" si="34"/>
        <v>0</v>
      </c>
      <c r="AN40" s="203">
        <f t="shared" ca="1" si="35"/>
        <v>0</v>
      </c>
      <c r="AO40" s="203">
        <f t="shared" ca="1" si="36"/>
        <v>0</v>
      </c>
      <c r="AP40" s="203" t="str">
        <f t="shared" si="6"/>
        <v>N/A</v>
      </c>
      <c r="AQ40" s="203">
        <f t="shared" si="7"/>
        <v>0</v>
      </c>
      <c r="AR40" s="203">
        <f t="shared" si="37"/>
        <v>0</v>
      </c>
      <c r="AS40" s="203">
        <f t="shared" ca="1" si="38"/>
        <v>0</v>
      </c>
      <c r="AT40" s="203">
        <f t="shared" ca="1" si="39"/>
        <v>0</v>
      </c>
      <c r="AU40" s="203" t="str">
        <f t="shared" si="8"/>
        <v>N/A</v>
      </c>
      <c r="AV40" s="203">
        <f t="shared" si="9"/>
        <v>0</v>
      </c>
      <c r="AW40" s="203">
        <f t="shared" si="40"/>
        <v>0</v>
      </c>
      <c r="AX40" s="203">
        <f t="shared" ca="1" si="41"/>
        <v>0</v>
      </c>
      <c r="AY40" s="203">
        <f t="shared" ca="1" si="42"/>
        <v>0</v>
      </c>
      <c r="AZ40" s="203"/>
      <c r="BA40" s="204" t="s">
        <v>141</v>
      </c>
      <c r="BB40" s="204" t="s">
        <v>140</v>
      </c>
      <c r="BC40" s="204" t="s">
        <v>140</v>
      </c>
      <c r="BD40" s="204" t="s">
        <v>140</v>
      </c>
      <c r="BE40" s="166"/>
      <c r="BF40" s="212" t="s">
        <v>1789</v>
      </c>
      <c r="BG40" s="141"/>
      <c r="BH40" s="152"/>
      <c r="BI40" s="207"/>
      <c r="BJ40" s="207"/>
      <c r="BK40" s="153" t="s">
        <v>1824</v>
      </c>
      <c r="BL40" s="153"/>
      <c r="BM40" s="153"/>
      <c r="BN40" s="153"/>
      <c r="BO40" s="153"/>
      <c r="BP40" s="153"/>
      <c r="BQ40" s="153"/>
      <c r="BR40" s="141">
        <v>0</v>
      </c>
      <c r="BS40" s="141">
        <v>0</v>
      </c>
      <c r="BT40" s="141">
        <v>0</v>
      </c>
      <c r="BU40" s="141">
        <v>0</v>
      </c>
      <c r="BV40" s="141">
        <v>1</v>
      </c>
      <c r="BW40" s="141">
        <v>0</v>
      </c>
      <c r="BX40" s="141">
        <v>0</v>
      </c>
      <c r="BY40" s="141" t="s">
        <v>1790</v>
      </c>
      <c r="BZ40" s="141" t="s">
        <v>1338</v>
      </c>
      <c r="CA40" s="141">
        <v>1</v>
      </c>
      <c r="CB40" s="153">
        <v>46203</v>
      </c>
      <c r="CC40" s="141"/>
      <c r="CD40" s="152"/>
      <c r="CE40" s="208"/>
      <c r="CF40" s="166">
        <f t="shared" si="43"/>
        <v>0</v>
      </c>
    </row>
    <row r="41" spans="1:84" ht="17.25" hidden="1" customHeight="1">
      <c r="A41" s="186"/>
      <c r="B41" s="187" t="s">
        <v>2036</v>
      </c>
      <c r="C41" s="187" t="s">
        <v>2169</v>
      </c>
      <c r="D41" s="187"/>
      <c r="E41" s="187"/>
      <c r="F41" s="187"/>
      <c r="G41" s="187" t="s">
        <v>1937</v>
      </c>
      <c r="H41" s="188"/>
      <c r="I41" s="189"/>
      <c r="J41" s="190"/>
      <c r="K41" s="191">
        <f t="shared" si="1"/>
        <v>1</v>
      </c>
      <c r="L41" s="190"/>
      <c r="M41" s="192">
        <v>2092.3000000000002</v>
      </c>
      <c r="N41" s="192">
        <v>2092.3000000000002</v>
      </c>
      <c r="O41" s="192" t="s">
        <v>137</v>
      </c>
      <c r="P41" s="192"/>
      <c r="Q41" s="192"/>
      <c r="R41" s="192"/>
      <c r="S41" s="192"/>
      <c r="T41" s="192"/>
      <c r="U41" s="192"/>
      <c r="V41" s="192"/>
      <c r="W41" s="192">
        <f ca="1">_xlfn.MINIFS(V:V,C:C,C41,AE:AE,"",AB:AB,"")</f>
        <v>1</v>
      </c>
      <c r="X41" s="192">
        <f ca="1">SUMIFS(T:T,C:C,C41,AE:AE,"")/SUMIFS(L:L,C:C,C41,AE:AE,"",AB:AB,"")</f>
        <v>0.93333333333333335</v>
      </c>
      <c r="Y41" s="192"/>
      <c r="Z41" s="192"/>
      <c r="AA41" s="192"/>
      <c r="AB41" s="192"/>
      <c r="AC41" s="194" t="s">
        <v>196</v>
      </c>
      <c r="AD41" s="195" t="s">
        <v>2039</v>
      </c>
      <c r="AE41" s="196" t="s">
        <v>1787</v>
      </c>
      <c r="AF41" s="192" t="str">
        <f t="shared" si="2"/>
        <v>AMC2-S1</v>
      </c>
      <c r="AG41" s="192">
        <f t="shared" si="3"/>
        <v>1</v>
      </c>
      <c r="AH41" s="192"/>
      <c r="AI41" s="192"/>
      <c r="AJ41" s="192"/>
      <c r="AK41" s="192" t="str">
        <f t="shared" si="4"/>
        <v>N/A</v>
      </c>
      <c r="AL41" s="192">
        <f t="shared" si="5"/>
        <v>0</v>
      </c>
      <c r="AM41" s="192"/>
      <c r="AN41" s="192"/>
      <c r="AO41" s="192"/>
      <c r="AP41" s="192" t="str">
        <f t="shared" si="6"/>
        <v>N/A</v>
      </c>
      <c r="AQ41" s="192">
        <f t="shared" si="7"/>
        <v>0</v>
      </c>
      <c r="AR41" s="192"/>
      <c r="AS41" s="192"/>
      <c r="AT41" s="192"/>
      <c r="AU41" s="192" t="str">
        <f t="shared" si="8"/>
        <v>N/A</v>
      </c>
      <c r="AV41" s="192">
        <f t="shared" si="9"/>
        <v>0</v>
      </c>
      <c r="AW41" s="192"/>
      <c r="AX41" s="192"/>
      <c r="AY41" s="192"/>
      <c r="AZ41" s="192"/>
      <c r="BA41" s="193" t="s">
        <v>141</v>
      </c>
      <c r="BB41" s="193" t="s">
        <v>140</v>
      </c>
      <c r="BC41" s="193" t="s">
        <v>140</v>
      </c>
      <c r="BD41" s="193" t="s">
        <v>140</v>
      </c>
      <c r="BE41" s="196" t="s">
        <v>741</v>
      </c>
      <c r="BF41" s="192"/>
      <c r="BG41" s="186"/>
      <c r="BH41" s="186"/>
      <c r="BI41" s="197"/>
      <c r="BJ41" s="197"/>
      <c r="BK41" s="197"/>
      <c r="BL41" s="197"/>
      <c r="BM41" s="197"/>
      <c r="BN41" s="197"/>
      <c r="BO41" s="197"/>
      <c r="BP41" s="197"/>
      <c r="BQ41" s="197"/>
      <c r="BR41" s="186"/>
      <c r="BS41" s="186"/>
      <c r="BT41" s="186"/>
      <c r="BU41" s="186"/>
      <c r="BV41" s="186"/>
      <c r="BW41" s="186"/>
      <c r="BX41" s="186"/>
      <c r="BY41" s="186"/>
      <c r="BZ41" s="186"/>
      <c r="CA41" s="186"/>
      <c r="CB41" s="197"/>
      <c r="CC41" s="186"/>
      <c r="CD41" s="186"/>
      <c r="CE41" s="198"/>
      <c r="CF41" s="198"/>
    </row>
    <row r="42" spans="1:84" ht="17.25" hidden="1" customHeight="1">
      <c r="A42" s="117"/>
      <c r="B42" s="209" t="s">
        <v>2036</v>
      </c>
      <c r="C42" s="209" t="s">
        <v>2169</v>
      </c>
      <c r="D42" s="209" t="s">
        <v>1084</v>
      </c>
      <c r="E42" s="209" t="s">
        <v>1811</v>
      </c>
      <c r="F42" s="209" t="s">
        <v>1331</v>
      </c>
      <c r="G42" s="209" t="s">
        <v>1293</v>
      </c>
      <c r="H42" s="210">
        <v>8216</v>
      </c>
      <c r="I42" s="211" t="s">
        <v>147</v>
      </c>
      <c r="J42" s="144">
        <v>1</v>
      </c>
      <c r="K42" s="145">
        <f t="shared" si="1"/>
        <v>1</v>
      </c>
      <c r="L42" s="202">
        <f t="shared" ref="L42:L46" si="44">+J42*K42</f>
        <v>1</v>
      </c>
      <c r="M42" s="212">
        <v>1830.9</v>
      </c>
      <c r="N42" s="203">
        <f t="shared" ref="N42:N46" si="45">+M42*L42</f>
        <v>1830.9</v>
      </c>
      <c r="O42" s="212" t="s">
        <v>137</v>
      </c>
      <c r="P42" s="212" t="s">
        <v>13</v>
      </c>
      <c r="Q42" s="212" t="s">
        <v>154</v>
      </c>
      <c r="R42" s="212"/>
      <c r="S42" s="212"/>
      <c r="T42" s="203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1</v>
      </c>
      <c r="U42" s="203">
        <f t="shared" ref="U42:U46" ca="1" si="46">+L42-T42</f>
        <v>0</v>
      </c>
      <c r="V42" s="203">
        <f t="shared" ref="V42:V46" ca="1" si="47">ROUNDDOWN(T42/J42,0)</f>
        <v>1</v>
      </c>
      <c r="W42" s="212"/>
      <c r="X42" s="212"/>
      <c r="Y42" s="212"/>
      <c r="Z42" s="212"/>
      <c r="AA42" s="212"/>
      <c r="AB42" s="212"/>
      <c r="AC42" s="214" t="s">
        <v>196</v>
      </c>
      <c r="AD42" s="215" t="s">
        <v>2039</v>
      </c>
      <c r="AE42" s="148"/>
      <c r="AF42" s="212" t="str">
        <f t="shared" si="2"/>
        <v>AMC2-S1</v>
      </c>
      <c r="AG42" s="212">
        <f t="shared" si="3"/>
        <v>1</v>
      </c>
      <c r="AH42" s="203">
        <f t="shared" ref="AH42:AH46" si="48">+AG42*J42</f>
        <v>1</v>
      </c>
      <c r="AI42" s="203">
        <f t="shared" ref="AI42:AI46" ca="1" si="49">MIN(T42,AH42)</f>
        <v>1</v>
      </c>
      <c r="AJ42" s="203">
        <f t="shared" ref="AJ42:AJ46" ca="1" si="50">+AH42-AI42</f>
        <v>0</v>
      </c>
      <c r="AK42" s="212" t="str">
        <f t="shared" si="4"/>
        <v>N/A</v>
      </c>
      <c r="AL42" s="212">
        <f t="shared" si="5"/>
        <v>0</v>
      </c>
      <c r="AM42" s="203">
        <f t="shared" ref="AM42:AM46" si="51">+AL42*J42</f>
        <v>0</v>
      </c>
      <c r="AN42" s="203">
        <f t="shared" ref="AN42:AN46" ca="1" si="52">MIN(T42-AI42,AL42)</f>
        <v>0</v>
      </c>
      <c r="AO42" s="203">
        <f t="shared" ref="AO42:AO46" ca="1" si="53">+AM42-AN42</f>
        <v>0</v>
      </c>
      <c r="AP42" s="212" t="str">
        <f t="shared" si="6"/>
        <v>N/A</v>
      </c>
      <c r="AQ42" s="212">
        <f t="shared" si="7"/>
        <v>0</v>
      </c>
      <c r="AR42" s="203">
        <f t="shared" ref="AR42:AR46" si="54">+AQ42*J42</f>
        <v>0</v>
      </c>
      <c r="AS42" s="203">
        <f t="shared" ref="AS42:AS46" ca="1" si="55">MIN(T42-AI42-AN42,AR42)</f>
        <v>0</v>
      </c>
      <c r="AT42" s="203">
        <f t="shared" ref="AT42:AT46" ca="1" si="56">+AR42-AS42</f>
        <v>0</v>
      </c>
      <c r="AU42" s="212" t="str">
        <f t="shared" si="8"/>
        <v>N/A</v>
      </c>
      <c r="AV42" s="212">
        <f t="shared" si="9"/>
        <v>0</v>
      </c>
      <c r="AW42" s="203">
        <f t="shared" ref="AW42:AW46" si="57">+AV42*J42</f>
        <v>0</v>
      </c>
      <c r="AX42" s="203">
        <f t="shared" ref="AX42:AX46" ca="1" si="58">MIN(T42-AI42-AN42-AS42,AW42)</f>
        <v>0</v>
      </c>
      <c r="AY42" s="203">
        <f t="shared" ref="AY42:AY46" ca="1" si="59">+AW42-AX42</f>
        <v>0</v>
      </c>
      <c r="AZ42" s="212"/>
      <c r="BA42" s="213" t="s">
        <v>141</v>
      </c>
      <c r="BB42" s="213" t="s">
        <v>140</v>
      </c>
      <c r="BC42" s="213" t="s">
        <v>140</v>
      </c>
      <c r="BD42" s="213" t="s">
        <v>140</v>
      </c>
      <c r="BE42" s="148"/>
      <c r="BF42" s="212" t="s">
        <v>1789</v>
      </c>
      <c r="BG42" s="117"/>
      <c r="BH42" s="155"/>
      <c r="BI42" s="216"/>
      <c r="BJ42" s="216"/>
      <c r="BK42" s="216"/>
      <c r="BL42" s="149"/>
      <c r="BM42" s="149"/>
      <c r="BN42" s="149"/>
      <c r="BO42" s="149"/>
      <c r="BP42" s="149"/>
      <c r="BQ42" s="149"/>
      <c r="BR42" s="117">
        <v>0</v>
      </c>
      <c r="BS42" s="117">
        <v>1</v>
      </c>
      <c r="BT42" s="117">
        <v>0</v>
      </c>
      <c r="BU42" s="117">
        <v>1</v>
      </c>
      <c r="BV42" s="117">
        <v>0</v>
      </c>
      <c r="BW42" s="117">
        <v>0</v>
      </c>
      <c r="BX42" s="117">
        <v>0</v>
      </c>
      <c r="BY42" s="117" t="s">
        <v>1790</v>
      </c>
      <c r="BZ42" s="117" t="s">
        <v>57</v>
      </c>
      <c r="CA42" s="117">
        <v>1</v>
      </c>
      <c r="CB42" s="149"/>
      <c r="CC42" s="155"/>
      <c r="CD42" s="155"/>
      <c r="CE42" s="217"/>
      <c r="CF42" s="148">
        <f>+L42-CA42</f>
        <v>0</v>
      </c>
    </row>
    <row r="43" spans="1:84" ht="17.25" hidden="1" customHeight="1">
      <c r="A43" s="117"/>
      <c r="B43" s="209" t="s">
        <v>2036</v>
      </c>
      <c r="C43" s="209" t="s">
        <v>2169</v>
      </c>
      <c r="D43" s="209" t="s">
        <v>1296</v>
      </c>
      <c r="E43" s="209" t="s">
        <v>1816</v>
      </c>
      <c r="F43" s="209" t="s">
        <v>1330</v>
      </c>
      <c r="G43" s="209" t="s">
        <v>1319</v>
      </c>
      <c r="H43" s="210">
        <v>2365</v>
      </c>
      <c r="I43" s="211" t="s">
        <v>147</v>
      </c>
      <c r="J43" s="144">
        <v>4</v>
      </c>
      <c r="K43" s="145">
        <f t="shared" si="1"/>
        <v>1</v>
      </c>
      <c r="L43" s="202">
        <f t="shared" si="44"/>
        <v>4</v>
      </c>
      <c r="M43" s="212">
        <v>37.700000000000003</v>
      </c>
      <c r="N43" s="203">
        <f t="shared" si="45"/>
        <v>150.80000000000001</v>
      </c>
      <c r="O43" s="212" t="s">
        <v>137</v>
      </c>
      <c r="P43" s="212" t="s">
        <v>13</v>
      </c>
      <c r="Q43" s="212" t="s">
        <v>148</v>
      </c>
      <c r="R43" s="212"/>
      <c r="S43" s="212"/>
      <c r="T43" s="203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4</v>
      </c>
      <c r="U43" s="203">
        <f t="shared" ca="1" si="46"/>
        <v>0</v>
      </c>
      <c r="V43" s="203">
        <f t="shared" ca="1" si="47"/>
        <v>1</v>
      </c>
      <c r="W43" s="212"/>
      <c r="X43" s="212"/>
      <c r="Y43" s="212"/>
      <c r="Z43" s="212"/>
      <c r="AA43" s="212"/>
      <c r="AB43" s="212"/>
      <c r="AC43" s="214" t="s">
        <v>196</v>
      </c>
      <c r="AD43" s="215" t="s">
        <v>2039</v>
      </c>
      <c r="AE43" s="148"/>
      <c r="AF43" s="212" t="str">
        <f t="shared" si="2"/>
        <v>AMC2-S1</v>
      </c>
      <c r="AG43" s="212">
        <f t="shared" si="3"/>
        <v>1</v>
      </c>
      <c r="AH43" s="203">
        <f t="shared" si="48"/>
        <v>4</v>
      </c>
      <c r="AI43" s="203">
        <f t="shared" ca="1" si="49"/>
        <v>4</v>
      </c>
      <c r="AJ43" s="203">
        <f t="shared" ca="1" si="50"/>
        <v>0</v>
      </c>
      <c r="AK43" s="212" t="str">
        <f t="shared" si="4"/>
        <v>N/A</v>
      </c>
      <c r="AL43" s="212">
        <f t="shared" si="5"/>
        <v>0</v>
      </c>
      <c r="AM43" s="203">
        <f t="shared" si="51"/>
        <v>0</v>
      </c>
      <c r="AN43" s="203">
        <f t="shared" ca="1" si="52"/>
        <v>0</v>
      </c>
      <c r="AO43" s="203">
        <f t="shared" ca="1" si="53"/>
        <v>0</v>
      </c>
      <c r="AP43" s="212" t="str">
        <f t="shared" si="6"/>
        <v>N/A</v>
      </c>
      <c r="AQ43" s="212">
        <f t="shared" si="7"/>
        <v>0</v>
      </c>
      <c r="AR43" s="203">
        <f t="shared" si="54"/>
        <v>0</v>
      </c>
      <c r="AS43" s="203">
        <f t="shared" ca="1" si="55"/>
        <v>0</v>
      </c>
      <c r="AT43" s="203">
        <f t="shared" ca="1" si="56"/>
        <v>0</v>
      </c>
      <c r="AU43" s="212" t="str">
        <f t="shared" si="8"/>
        <v>N/A</v>
      </c>
      <c r="AV43" s="212">
        <f t="shared" si="9"/>
        <v>0</v>
      </c>
      <c r="AW43" s="203">
        <f t="shared" si="57"/>
        <v>0</v>
      </c>
      <c r="AX43" s="203">
        <f t="shared" ca="1" si="58"/>
        <v>0</v>
      </c>
      <c r="AY43" s="203">
        <f t="shared" ca="1" si="59"/>
        <v>0</v>
      </c>
      <c r="AZ43" s="212"/>
      <c r="BA43" s="213" t="s">
        <v>141</v>
      </c>
      <c r="BB43" s="213" t="s">
        <v>140</v>
      </c>
      <c r="BC43" s="213" t="s">
        <v>140</v>
      </c>
      <c r="BD43" s="213" t="s">
        <v>140</v>
      </c>
      <c r="BE43" s="148"/>
      <c r="BF43" s="212" t="s">
        <v>1789</v>
      </c>
      <c r="BG43" s="117"/>
      <c r="BH43" s="155"/>
      <c r="BI43" s="216"/>
      <c r="BJ43" s="229" t="s">
        <v>1938</v>
      </c>
      <c r="BK43" s="229"/>
      <c r="BL43" s="149"/>
      <c r="BM43" s="149"/>
      <c r="BN43" s="149"/>
      <c r="BO43" s="149"/>
      <c r="BP43" s="149"/>
      <c r="BQ43" s="149"/>
      <c r="BR43" s="117">
        <v>0</v>
      </c>
      <c r="BS43" s="117">
        <v>0</v>
      </c>
      <c r="BT43" s="117">
        <v>0</v>
      </c>
      <c r="BU43" s="117">
        <v>1</v>
      </c>
      <c r="BV43" s="117">
        <v>0</v>
      </c>
      <c r="BW43" s="117">
        <v>0</v>
      </c>
      <c r="BX43" s="117">
        <v>0</v>
      </c>
      <c r="BY43" s="117" t="s">
        <v>1790</v>
      </c>
      <c r="BZ43" s="117" t="s">
        <v>1022</v>
      </c>
      <c r="CA43" s="144">
        <v>4</v>
      </c>
      <c r="CB43" s="149">
        <v>46206</v>
      </c>
      <c r="CC43" s="155"/>
      <c r="CD43" s="155"/>
      <c r="CE43" s="217"/>
      <c r="CF43" s="148">
        <f>+L43-CA43</f>
        <v>0</v>
      </c>
    </row>
    <row r="44" spans="1:84" ht="17.25" hidden="1" customHeight="1">
      <c r="A44" s="117"/>
      <c r="B44" s="209" t="s">
        <v>2036</v>
      </c>
      <c r="C44" s="209" t="s">
        <v>2169</v>
      </c>
      <c r="D44" s="209" t="s">
        <v>1296</v>
      </c>
      <c r="E44" s="209" t="s">
        <v>1821</v>
      </c>
      <c r="F44" s="209" t="s">
        <v>1332</v>
      </c>
      <c r="G44" s="209" t="s">
        <v>1125</v>
      </c>
      <c r="H44" s="210">
        <v>200</v>
      </c>
      <c r="I44" s="211" t="s">
        <v>147</v>
      </c>
      <c r="J44" s="144">
        <v>2</v>
      </c>
      <c r="K44" s="145">
        <f t="shared" si="1"/>
        <v>1</v>
      </c>
      <c r="L44" s="202">
        <f t="shared" si="44"/>
        <v>2</v>
      </c>
      <c r="M44" s="212">
        <v>5.5</v>
      </c>
      <c r="N44" s="203">
        <f t="shared" si="45"/>
        <v>11</v>
      </c>
      <c r="O44" s="212" t="s">
        <v>137</v>
      </c>
      <c r="P44" s="212" t="s">
        <v>13</v>
      </c>
      <c r="Q44" s="212" t="s">
        <v>148</v>
      </c>
      <c r="R44" s="212"/>
      <c r="S44" s="212"/>
      <c r="T44" s="203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2</v>
      </c>
      <c r="U44" s="203">
        <f t="shared" ca="1" si="46"/>
        <v>0</v>
      </c>
      <c r="V44" s="203">
        <f t="shared" ca="1" si="47"/>
        <v>1</v>
      </c>
      <c r="W44" s="212"/>
      <c r="X44" s="212"/>
      <c r="Y44" s="212"/>
      <c r="Z44" s="212"/>
      <c r="AA44" s="212"/>
      <c r="AB44" s="212"/>
      <c r="AC44" s="214" t="s">
        <v>196</v>
      </c>
      <c r="AD44" s="215" t="s">
        <v>2039</v>
      </c>
      <c r="AE44" s="148"/>
      <c r="AF44" s="212" t="str">
        <f t="shared" si="2"/>
        <v>AMC2-S1</v>
      </c>
      <c r="AG44" s="212">
        <f t="shared" si="3"/>
        <v>1</v>
      </c>
      <c r="AH44" s="203">
        <f t="shared" si="48"/>
        <v>2</v>
      </c>
      <c r="AI44" s="203">
        <f t="shared" ca="1" si="49"/>
        <v>2</v>
      </c>
      <c r="AJ44" s="203">
        <f t="shared" ca="1" si="50"/>
        <v>0</v>
      </c>
      <c r="AK44" s="212" t="str">
        <f t="shared" si="4"/>
        <v>N/A</v>
      </c>
      <c r="AL44" s="212">
        <f t="shared" si="5"/>
        <v>0</v>
      </c>
      <c r="AM44" s="203">
        <f t="shared" si="51"/>
        <v>0</v>
      </c>
      <c r="AN44" s="203">
        <f t="shared" ca="1" si="52"/>
        <v>0</v>
      </c>
      <c r="AO44" s="203">
        <f t="shared" ca="1" si="53"/>
        <v>0</v>
      </c>
      <c r="AP44" s="212" t="str">
        <f t="shared" si="6"/>
        <v>N/A</v>
      </c>
      <c r="AQ44" s="212">
        <f t="shared" si="7"/>
        <v>0</v>
      </c>
      <c r="AR44" s="203">
        <f t="shared" si="54"/>
        <v>0</v>
      </c>
      <c r="AS44" s="203">
        <f t="shared" ca="1" si="55"/>
        <v>0</v>
      </c>
      <c r="AT44" s="203">
        <f t="shared" ca="1" si="56"/>
        <v>0</v>
      </c>
      <c r="AU44" s="212" t="str">
        <f t="shared" si="8"/>
        <v>N/A</v>
      </c>
      <c r="AV44" s="212">
        <f t="shared" si="9"/>
        <v>0</v>
      </c>
      <c r="AW44" s="203">
        <f t="shared" si="57"/>
        <v>0</v>
      </c>
      <c r="AX44" s="203">
        <f t="shared" ca="1" si="58"/>
        <v>0</v>
      </c>
      <c r="AY44" s="203">
        <f t="shared" ca="1" si="59"/>
        <v>0</v>
      </c>
      <c r="AZ44" s="212"/>
      <c r="BA44" s="213" t="s">
        <v>141</v>
      </c>
      <c r="BB44" s="213" t="s">
        <v>140</v>
      </c>
      <c r="BC44" s="213" t="s">
        <v>140</v>
      </c>
      <c r="BD44" s="213" t="s">
        <v>140</v>
      </c>
      <c r="BE44" s="148"/>
      <c r="BF44" s="212" t="s">
        <v>1789</v>
      </c>
      <c r="BG44" s="117"/>
      <c r="BH44" s="155"/>
      <c r="BI44" s="216"/>
      <c r="BJ44" s="216"/>
      <c r="BK44" s="216"/>
      <c r="BL44" s="149"/>
      <c r="BM44" s="149"/>
      <c r="BN44" s="149"/>
      <c r="BO44" s="149"/>
      <c r="BP44" s="149"/>
      <c r="BQ44" s="149"/>
      <c r="BR44" s="117">
        <v>1</v>
      </c>
      <c r="BS44" s="117">
        <v>0</v>
      </c>
      <c r="BT44" s="117">
        <v>0</v>
      </c>
      <c r="BU44" s="117">
        <v>0</v>
      </c>
      <c r="BV44" s="117">
        <v>0</v>
      </c>
      <c r="BW44" s="117">
        <v>0</v>
      </c>
      <c r="BX44" s="117">
        <v>0</v>
      </c>
      <c r="BY44" s="117" t="s">
        <v>1790</v>
      </c>
      <c r="BZ44" s="117" t="s">
        <v>1303</v>
      </c>
      <c r="CA44" s="117">
        <v>2</v>
      </c>
      <c r="CB44" s="149">
        <v>46206</v>
      </c>
      <c r="CC44" s="155"/>
      <c r="CD44" s="117"/>
      <c r="CE44" s="217"/>
      <c r="CF44" s="148">
        <f>+L44-CA44</f>
        <v>0</v>
      </c>
    </row>
    <row r="45" spans="1:84" ht="17.25" hidden="1" customHeight="1">
      <c r="A45" s="117"/>
      <c r="B45" s="209" t="s">
        <v>2036</v>
      </c>
      <c r="C45" s="209" t="s">
        <v>2169</v>
      </c>
      <c r="D45" s="209" t="s">
        <v>1296</v>
      </c>
      <c r="E45" s="209" t="s">
        <v>1822</v>
      </c>
      <c r="F45" s="209" t="s">
        <v>1333</v>
      </c>
      <c r="G45" s="209" t="s">
        <v>1123</v>
      </c>
      <c r="H45" s="210">
        <v>320</v>
      </c>
      <c r="I45" s="211" t="s">
        <v>147</v>
      </c>
      <c r="J45" s="144">
        <v>2</v>
      </c>
      <c r="K45" s="145">
        <f t="shared" si="1"/>
        <v>1</v>
      </c>
      <c r="L45" s="202">
        <f t="shared" si="44"/>
        <v>2</v>
      </c>
      <c r="M45" s="212">
        <v>7.6</v>
      </c>
      <c r="N45" s="203">
        <f t="shared" si="45"/>
        <v>15.2</v>
      </c>
      <c r="O45" s="212" t="s">
        <v>137</v>
      </c>
      <c r="P45" s="212" t="s">
        <v>13</v>
      </c>
      <c r="Q45" s="212" t="s">
        <v>148</v>
      </c>
      <c r="R45" s="212"/>
      <c r="S45" s="212"/>
      <c r="T45" s="203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2</v>
      </c>
      <c r="U45" s="203">
        <f t="shared" ca="1" si="46"/>
        <v>0</v>
      </c>
      <c r="V45" s="203">
        <f t="shared" ca="1" si="47"/>
        <v>1</v>
      </c>
      <c r="W45" s="212"/>
      <c r="X45" s="212"/>
      <c r="Y45" s="212"/>
      <c r="Z45" s="212"/>
      <c r="AA45" s="212"/>
      <c r="AB45" s="212"/>
      <c r="AC45" s="214" t="s">
        <v>196</v>
      </c>
      <c r="AD45" s="215" t="s">
        <v>2039</v>
      </c>
      <c r="AE45" s="148"/>
      <c r="AF45" s="212" t="str">
        <f t="shared" si="2"/>
        <v>AMC2-S1</v>
      </c>
      <c r="AG45" s="212">
        <f t="shared" si="3"/>
        <v>1</v>
      </c>
      <c r="AH45" s="203">
        <f t="shared" si="48"/>
        <v>2</v>
      </c>
      <c r="AI45" s="203">
        <f t="shared" ca="1" si="49"/>
        <v>2</v>
      </c>
      <c r="AJ45" s="203">
        <f t="shared" ca="1" si="50"/>
        <v>0</v>
      </c>
      <c r="AK45" s="212" t="str">
        <f t="shared" si="4"/>
        <v>N/A</v>
      </c>
      <c r="AL45" s="212">
        <f t="shared" si="5"/>
        <v>0</v>
      </c>
      <c r="AM45" s="203">
        <f t="shared" si="51"/>
        <v>0</v>
      </c>
      <c r="AN45" s="203">
        <f t="shared" ca="1" si="52"/>
        <v>0</v>
      </c>
      <c r="AO45" s="203">
        <f t="shared" ca="1" si="53"/>
        <v>0</v>
      </c>
      <c r="AP45" s="212" t="str">
        <f t="shared" si="6"/>
        <v>N/A</v>
      </c>
      <c r="AQ45" s="212">
        <f t="shared" si="7"/>
        <v>0</v>
      </c>
      <c r="AR45" s="203">
        <f t="shared" si="54"/>
        <v>0</v>
      </c>
      <c r="AS45" s="203">
        <f t="shared" ca="1" si="55"/>
        <v>0</v>
      </c>
      <c r="AT45" s="203">
        <f t="shared" ca="1" si="56"/>
        <v>0</v>
      </c>
      <c r="AU45" s="212" t="str">
        <f t="shared" si="8"/>
        <v>N/A</v>
      </c>
      <c r="AV45" s="212">
        <f t="shared" si="9"/>
        <v>0</v>
      </c>
      <c r="AW45" s="203">
        <f t="shared" si="57"/>
        <v>0</v>
      </c>
      <c r="AX45" s="203">
        <f t="shared" ca="1" si="58"/>
        <v>0</v>
      </c>
      <c r="AY45" s="203">
        <f t="shared" ca="1" si="59"/>
        <v>0</v>
      </c>
      <c r="AZ45" s="212"/>
      <c r="BA45" s="213" t="s">
        <v>141</v>
      </c>
      <c r="BB45" s="213" t="s">
        <v>140</v>
      </c>
      <c r="BC45" s="213" t="s">
        <v>140</v>
      </c>
      <c r="BD45" s="213" t="s">
        <v>140</v>
      </c>
      <c r="BE45" s="148"/>
      <c r="BF45" s="212" t="s">
        <v>1789</v>
      </c>
      <c r="BG45" s="117"/>
      <c r="BH45" s="155"/>
      <c r="BI45" s="216"/>
      <c r="BJ45" s="216"/>
      <c r="BK45" s="216"/>
      <c r="BL45" s="149"/>
      <c r="BM45" s="149"/>
      <c r="BN45" s="149"/>
      <c r="BO45" s="149"/>
      <c r="BP45" s="149"/>
      <c r="BQ45" s="149"/>
      <c r="BR45" s="117">
        <v>1</v>
      </c>
      <c r="BS45" s="117">
        <v>0</v>
      </c>
      <c r="BT45" s="117">
        <v>0</v>
      </c>
      <c r="BU45" s="117">
        <v>0</v>
      </c>
      <c r="BV45" s="117">
        <v>0</v>
      </c>
      <c r="BW45" s="117">
        <v>0</v>
      </c>
      <c r="BX45" s="117">
        <v>0</v>
      </c>
      <c r="BY45" s="117" t="s">
        <v>1790</v>
      </c>
      <c r="BZ45" s="117" t="s">
        <v>1307</v>
      </c>
      <c r="CA45" s="117">
        <v>2</v>
      </c>
      <c r="CB45" s="234">
        <v>46242</v>
      </c>
      <c r="CC45" s="155"/>
      <c r="CD45" s="117"/>
      <c r="CE45" s="217"/>
      <c r="CF45" s="148">
        <f>+L45-CA45</f>
        <v>0</v>
      </c>
    </row>
    <row r="46" spans="1:84" ht="17.25" hidden="1" customHeight="1">
      <c r="A46" s="117"/>
      <c r="B46" s="209" t="s">
        <v>2036</v>
      </c>
      <c r="C46" s="209" t="s">
        <v>2169</v>
      </c>
      <c r="D46" s="209" t="s">
        <v>1296</v>
      </c>
      <c r="E46" s="209" t="s">
        <v>2040</v>
      </c>
      <c r="F46" s="209" t="s">
        <v>1334</v>
      </c>
      <c r="G46" s="209" t="s">
        <v>1335</v>
      </c>
      <c r="H46" s="210">
        <v>2365</v>
      </c>
      <c r="I46" s="211" t="s">
        <v>147</v>
      </c>
      <c r="J46" s="144">
        <v>1</v>
      </c>
      <c r="K46" s="145">
        <f t="shared" si="1"/>
        <v>1</v>
      </c>
      <c r="L46" s="202">
        <f t="shared" si="44"/>
        <v>1</v>
      </c>
      <c r="M46" s="212">
        <v>62.7</v>
      </c>
      <c r="N46" s="203">
        <f t="shared" si="45"/>
        <v>62.7</v>
      </c>
      <c r="O46" s="212" t="s">
        <v>137</v>
      </c>
      <c r="P46" s="212" t="s">
        <v>13</v>
      </c>
      <c r="Q46" s="212" t="s">
        <v>148</v>
      </c>
      <c r="R46" s="212"/>
      <c r="S46" s="212"/>
      <c r="T46" s="203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1</v>
      </c>
      <c r="U46" s="203">
        <f t="shared" ca="1" si="46"/>
        <v>0</v>
      </c>
      <c r="V46" s="203">
        <f t="shared" ca="1" si="47"/>
        <v>1</v>
      </c>
      <c r="W46" s="212"/>
      <c r="X46" s="212"/>
      <c r="Y46" s="212"/>
      <c r="Z46" s="212"/>
      <c r="AA46" s="212"/>
      <c r="AB46" s="212"/>
      <c r="AC46" s="232" t="s">
        <v>196</v>
      </c>
      <c r="AD46" s="226" t="s">
        <v>2039</v>
      </c>
      <c r="AE46" s="148"/>
      <c r="AF46" s="212" t="str">
        <f t="shared" si="2"/>
        <v>AMC2-S1</v>
      </c>
      <c r="AG46" s="212">
        <f t="shared" si="3"/>
        <v>1</v>
      </c>
      <c r="AH46" s="203">
        <f t="shared" si="48"/>
        <v>1</v>
      </c>
      <c r="AI46" s="203">
        <f t="shared" ca="1" si="49"/>
        <v>1</v>
      </c>
      <c r="AJ46" s="203">
        <f t="shared" ca="1" si="50"/>
        <v>0</v>
      </c>
      <c r="AK46" s="212" t="str">
        <f t="shared" si="4"/>
        <v>N/A</v>
      </c>
      <c r="AL46" s="212">
        <f t="shared" si="5"/>
        <v>0</v>
      </c>
      <c r="AM46" s="203">
        <f t="shared" si="51"/>
        <v>0</v>
      </c>
      <c r="AN46" s="203">
        <f t="shared" ca="1" si="52"/>
        <v>0</v>
      </c>
      <c r="AO46" s="203">
        <f t="shared" ca="1" si="53"/>
        <v>0</v>
      </c>
      <c r="AP46" s="212" t="str">
        <f t="shared" si="6"/>
        <v>N/A</v>
      </c>
      <c r="AQ46" s="212">
        <f t="shared" si="7"/>
        <v>0</v>
      </c>
      <c r="AR46" s="203">
        <f t="shared" si="54"/>
        <v>0</v>
      </c>
      <c r="AS46" s="203">
        <f t="shared" ca="1" si="55"/>
        <v>0</v>
      </c>
      <c r="AT46" s="203">
        <f t="shared" ca="1" si="56"/>
        <v>0</v>
      </c>
      <c r="AU46" s="212" t="str">
        <f t="shared" si="8"/>
        <v>N/A</v>
      </c>
      <c r="AV46" s="212">
        <f t="shared" si="9"/>
        <v>0</v>
      </c>
      <c r="AW46" s="203">
        <f t="shared" si="57"/>
        <v>0</v>
      </c>
      <c r="AX46" s="203">
        <f t="shared" ca="1" si="58"/>
        <v>0</v>
      </c>
      <c r="AY46" s="203">
        <f t="shared" ca="1" si="59"/>
        <v>0</v>
      </c>
      <c r="AZ46" s="212"/>
      <c r="BA46" s="213" t="s">
        <v>141</v>
      </c>
      <c r="BB46" s="213" t="s">
        <v>140</v>
      </c>
      <c r="BC46" s="213" t="s">
        <v>140</v>
      </c>
      <c r="BD46" s="213" t="s">
        <v>140</v>
      </c>
      <c r="BE46" s="148"/>
      <c r="BF46" s="212" t="s">
        <v>1789</v>
      </c>
      <c r="BG46" s="117"/>
      <c r="BH46" s="155"/>
      <c r="BI46" s="216"/>
      <c r="BJ46" s="229" t="s">
        <v>2041</v>
      </c>
      <c r="BK46" s="229"/>
      <c r="BL46" s="149"/>
      <c r="BM46" s="149"/>
      <c r="BN46" s="149"/>
      <c r="BO46" s="149"/>
      <c r="BP46" s="149"/>
      <c r="BQ46" s="149"/>
      <c r="BR46" s="117">
        <v>0</v>
      </c>
      <c r="BS46" s="117">
        <v>0</v>
      </c>
      <c r="BT46" s="117">
        <v>0</v>
      </c>
      <c r="BU46" s="117">
        <v>1</v>
      </c>
      <c r="BV46" s="117">
        <v>0</v>
      </c>
      <c r="BW46" s="117">
        <v>0</v>
      </c>
      <c r="BX46" s="117">
        <v>0</v>
      </c>
      <c r="BY46" s="117" t="s">
        <v>1790</v>
      </c>
      <c r="BZ46" s="117" t="s">
        <v>1317</v>
      </c>
      <c r="CA46" s="144">
        <v>1</v>
      </c>
      <c r="CB46" s="234">
        <v>46242</v>
      </c>
      <c r="CC46" s="155"/>
      <c r="CD46" s="117"/>
      <c r="CE46" s="217"/>
      <c r="CF46" s="148">
        <f>+L46-CA46</f>
        <v>0</v>
      </c>
    </row>
    <row r="47" spans="1:84" ht="17.25" hidden="1" customHeight="1">
      <c r="A47" s="186"/>
      <c r="B47" s="187" t="s">
        <v>2036</v>
      </c>
      <c r="C47" s="187" t="s">
        <v>2212</v>
      </c>
      <c r="D47" s="187"/>
      <c r="E47" s="187"/>
      <c r="F47" s="187"/>
      <c r="G47" s="187" t="s">
        <v>1939</v>
      </c>
      <c r="H47" s="188"/>
      <c r="I47" s="189"/>
      <c r="J47" s="190"/>
      <c r="K47" s="191">
        <f t="shared" si="1"/>
        <v>1</v>
      </c>
      <c r="L47" s="190"/>
      <c r="M47" s="192">
        <v>2116.1999999999998</v>
      </c>
      <c r="N47" s="192">
        <v>2116.1999999999998</v>
      </c>
      <c r="O47" s="192" t="s">
        <v>137</v>
      </c>
      <c r="P47" s="192"/>
      <c r="Q47" s="192"/>
      <c r="R47" s="192"/>
      <c r="S47" s="192"/>
      <c r="T47" s="192"/>
      <c r="U47" s="192"/>
      <c r="V47" s="192"/>
      <c r="W47" s="192">
        <f ca="1">_xlfn.MINIFS(V:V,C:C,C47,AE:AE,"",AB:AB,"")</f>
        <v>1</v>
      </c>
      <c r="X47" s="192">
        <f ca="1">SUMIFS(T:T,C:C,C47,AE:AE,"")/SUMIFS(L:L,C:C,C47,AE:AE,"",AB:AB,"")</f>
        <v>1</v>
      </c>
      <c r="Y47" s="192"/>
      <c r="Z47" s="192"/>
      <c r="AA47" s="192"/>
      <c r="AB47" s="192"/>
      <c r="AC47" s="194" t="s">
        <v>196</v>
      </c>
      <c r="AD47" s="195" t="s">
        <v>2039</v>
      </c>
      <c r="AE47" s="196" t="s">
        <v>1787</v>
      </c>
      <c r="AF47" s="192" t="str">
        <f t="shared" si="2"/>
        <v>AMC2-S1</v>
      </c>
      <c r="AG47" s="192">
        <f t="shared" si="3"/>
        <v>1</v>
      </c>
      <c r="AH47" s="192"/>
      <c r="AI47" s="192"/>
      <c r="AJ47" s="192"/>
      <c r="AK47" s="192" t="str">
        <f t="shared" si="4"/>
        <v>N/A</v>
      </c>
      <c r="AL47" s="192">
        <f t="shared" si="5"/>
        <v>0</v>
      </c>
      <c r="AM47" s="192"/>
      <c r="AN47" s="192"/>
      <c r="AO47" s="192"/>
      <c r="AP47" s="192" t="str">
        <f t="shared" si="6"/>
        <v>N/A</v>
      </c>
      <c r="AQ47" s="192">
        <f t="shared" si="7"/>
        <v>0</v>
      </c>
      <c r="AR47" s="192"/>
      <c r="AS47" s="192"/>
      <c r="AT47" s="192"/>
      <c r="AU47" s="192" t="str">
        <f t="shared" si="8"/>
        <v>N/A</v>
      </c>
      <c r="AV47" s="192">
        <f t="shared" si="9"/>
        <v>0</v>
      </c>
      <c r="AW47" s="192"/>
      <c r="AX47" s="192"/>
      <c r="AY47" s="192"/>
      <c r="AZ47" s="192"/>
      <c r="BA47" s="193" t="s">
        <v>141</v>
      </c>
      <c r="BB47" s="193" t="s">
        <v>140</v>
      </c>
      <c r="BC47" s="193" t="s">
        <v>140</v>
      </c>
      <c r="BD47" s="193" t="s">
        <v>140</v>
      </c>
      <c r="BE47" s="196" t="s">
        <v>741</v>
      </c>
      <c r="BF47" s="192"/>
      <c r="BG47" s="186"/>
      <c r="BH47" s="186"/>
      <c r="BI47" s="197"/>
      <c r="BJ47" s="197"/>
      <c r="BK47" s="197"/>
      <c r="BL47" s="197"/>
      <c r="BM47" s="197"/>
      <c r="BN47" s="197"/>
      <c r="BO47" s="197"/>
      <c r="BP47" s="197"/>
      <c r="BQ47" s="197"/>
      <c r="BR47" s="186"/>
      <c r="BS47" s="186"/>
      <c r="BT47" s="186"/>
      <c r="BU47" s="186"/>
      <c r="BV47" s="186"/>
      <c r="BW47" s="186"/>
      <c r="BX47" s="186"/>
      <c r="BY47" s="186"/>
      <c r="BZ47" s="186"/>
      <c r="CA47" s="186"/>
      <c r="CB47" s="197"/>
      <c r="CC47" s="186"/>
      <c r="CD47" s="186"/>
      <c r="CE47" s="198"/>
      <c r="CF47" s="198"/>
    </row>
    <row r="48" spans="1:84" ht="17.25" hidden="1" customHeight="1">
      <c r="A48" s="117"/>
      <c r="B48" s="209" t="s">
        <v>2036</v>
      </c>
      <c r="C48" s="209" t="s">
        <v>2212</v>
      </c>
      <c r="D48" s="209" t="s">
        <v>1084</v>
      </c>
      <c r="E48" s="209" t="s">
        <v>1811</v>
      </c>
      <c r="F48" s="209" t="s">
        <v>1321</v>
      </c>
      <c r="G48" s="209" t="s">
        <v>1293</v>
      </c>
      <c r="H48" s="210">
        <v>8216</v>
      </c>
      <c r="I48" s="211" t="s">
        <v>147</v>
      </c>
      <c r="J48" s="144">
        <v>1</v>
      </c>
      <c r="K48" s="145">
        <f t="shared" si="1"/>
        <v>1</v>
      </c>
      <c r="L48" s="202">
        <f t="shared" ref="L48:L55" si="60">+J48*K48</f>
        <v>1</v>
      </c>
      <c r="M48" s="212">
        <v>1830.9</v>
      </c>
      <c r="N48" s="203">
        <f t="shared" ref="N48:N55" si="61">+M48*L48</f>
        <v>1830.9</v>
      </c>
      <c r="O48" s="212" t="s">
        <v>137</v>
      </c>
      <c r="P48" s="212" t="s">
        <v>13</v>
      </c>
      <c r="Q48" s="212" t="s">
        <v>154</v>
      </c>
      <c r="R48" s="212"/>
      <c r="S48" s="212"/>
      <c r="T48" s="203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1</v>
      </c>
      <c r="U48" s="203">
        <f t="shared" ref="U48:U55" ca="1" si="62">+L48-T48</f>
        <v>0</v>
      </c>
      <c r="V48" s="203">
        <f t="shared" ref="V48:V55" ca="1" si="63">ROUNDDOWN(T48/J48,0)</f>
        <v>1</v>
      </c>
      <c r="W48" s="212"/>
      <c r="X48" s="212"/>
      <c r="Y48" s="212"/>
      <c r="Z48" s="212"/>
      <c r="AA48" s="212"/>
      <c r="AB48" s="212"/>
      <c r="AC48" s="214" t="s">
        <v>196</v>
      </c>
      <c r="AD48" s="215" t="s">
        <v>2039</v>
      </c>
      <c r="AE48" s="148"/>
      <c r="AF48" s="212" t="str">
        <f t="shared" si="2"/>
        <v>AMC2-S1</v>
      </c>
      <c r="AG48" s="212">
        <f t="shared" si="3"/>
        <v>1</v>
      </c>
      <c r="AH48" s="203">
        <f t="shared" ref="AH48:AH55" si="64">+AG48*J48</f>
        <v>1</v>
      </c>
      <c r="AI48" s="203">
        <f t="shared" ref="AI48:AI55" ca="1" si="65">MIN(T48,AH48)</f>
        <v>1</v>
      </c>
      <c r="AJ48" s="203">
        <f t="shared" ref="AJ48:AJ55" ca="1" si="66">+AH48-AI48</f>
        <v>0</v>
      </c>
      <c r="AK48" s="212" t="str">
        <f t="shared" si="4"/>
        <v>N/A</v>
      </c>
      <c r="AL48" s="212">
        <f t="shared" si="5"/>
        <v>0</v>
      </c>
      <c r="AM48" s="203">
        <f t="shared" ref="AM48:AM55" si="67">+AL48*J48</f>
        <v>0</v>
      </c>
      <c r="AN48" s="203">
        <f t="shared" ref="AN48:AN55" ca="1" si="68">MIN(T48-AI48,AL48)</f>
        <v>0</v>
      </c>
      <c r="AO48" s="203">
        <f t="shared" ref="AO48:AO55" ca="1" si="69">+AM48-AN48</f>
        <v>0</v>
      </c>
      <c r="AP48" s="212" t="str">
        <f t="shared" si="6"/>
        <v>N/A</v>
      </c>
      <c r="AQ48" s="212">
        <f t="shared" si="7"/>
        <v>0</v>
      </c>
      <c r="AR48" s="203">
        <f t="shared" ref="AR48:AR55" si="70">+AQ48*J48</f>
        <v>0</v>
      </c>
      <c r="AS48" s="203">
        <f t="shared" ref="AS48:AS55" ca="1" si="71">MIN(T48-AI48-AN48,AR48)</f>
        <v>0</v>
      </c>
      <c r="AT48" s="203">
        <f t="shared" ref="AT48:AT55" ca="1" si="72">+AR48-AS48</f>
        <v>0</v>
      </c>
      <c r="AU48" s="212" t="str">
        <f t="shared" si="8"/>
        <v>N/A</v>
      </c>
      <c r="AV48" s="212">
        <f t="shared" si="9"/>
        <v>0</v>
      </c>
      <c r="AW48" s="203">
        <f t="shared" ref="AW48:AW55" si="73">+AV48*J48</f>
        <v>0</v>
      </c>
      <c r="AX48" s="203">
        <f t="shared" ref="AX48:AX55" ca="1" si="74">MIN(T48-AI48-AN48-AS48,AW48)</f>
        <v>0</v>
      </c>
      <c r="AY48" s="203">
        <f t="shared" ref="AY48:AY55" ca="1" si="75">+AW48-AX48</f>
        <v>0</v>
      </c>
      <c r="AZ48" s="212"/>
      <c r="BA48" s="213" t="s">
        <v>141</v>
      </c>
      <c r="BB48" s="213" t="s">
        <v>140</v>
      </c>
      <c r="BC48" s="213" t="s">
        <v>140</v>
      </c>
      <c r="BD48" s="213" t="s">
        <v>140</v>
      </c>
      <c r="BE48" s="148"/>
      <c r="BF48" s="212" t="s">
        <v>1789</v>
      </c>
      <c r="BG48" s="117"/>
      <c r="BH48" s="155"/>
      <c r="BI48" s="216"/>
      <c r="BJ48" s="216"/>
      <c r="BK48" s="216"/>
      <c r="BL48" s="149"/>
      <c r="BM48" s="149"/>
      <c r="BN48" s="149"/>
      <c r="BO48" s="149"/>
      <c r="BP48" s="149"/>
      <c r="BQ48" s="149"/>
      <c r="BR48" s="117">
        <v>0</v>
      </c>
      <c r="BS48" s="117">
        <v>1</v>
      </c>
      <c r="BT48" s="117">
        <v>0</v>
      </c>
      <c r="BU48" s="117">
        <v>1</v>
      </c>
      <c r="BV48" s="117">
        <v>0</v>
      </c>
      <c r="BW48" s="117">
        <v>0</v>
      </c>
      <c r="BX48" s="117">
        <v>0</v>
      </c>
      <c r="BY48" s="117" t="s">
        <v>1790</v>
      </c>
      <c r="BZ48" s="117" t="s">
        <v>57</v>
      </c>
      <c r="CA48" s="117">
        <v>1</v>
      </c>
      <c r="CB48" s="149"/>
      <c r="CC48" s="155"/>
      <c r="CD48" s="155"/>
      <c r="CE48" s="217"/>
      <c r="CF48" s="148">
        <f t="shared" ref="CF48:CF55" si="76">+L48-CA48</f>
        <v>0</v>
      </c>
    </row>
    <row r="49" spans="1:84" ht="17.25" hidden="1" customHeight="1">
      <c r="A49" s="117"/>
      <c r="B49" s="209" t="s">
        <v>2036</v>
      </c>
      <c r="C49" s="209" t="s">
        <v>2212</v>
      </c>
      <c r="D49" s="209" t="s">
        <v>1296</v>
      </c>
      <c r="E49" s="209" t="s">
        <v>1805</v>
      </c>
      <c r="F49" s="209" t="s">
        <v>1315</v>
      </c>
      <c r="G49" s="209" t="s">
        <v>1316</v>
      </c>
      <c r="H49" s="210">
        <v>2308</v>
      </c>
      <c r="I49" s="211" t="s">
        <v>147</v>
      </c>
      <c r="J49" s="144">
        <v>1</v>
      </c>
      <c r="K49" s="145">
        <f t="shared" si="1"/>
        <v>1</v>
      </c>
      <c r="L49" s="202">
        <f t="shared" si="60"/>
        <v>1</v>
      </c>
      <c r="M49" s="212">
        <v>45.5</v>
      </c>
      <c r="N49" s="203">
        <f t="shared" si="61"/>
        <v>45.5</v>
      </c>
      <c r="O49" s="212" t="s">
        <v>137</v>
      </c>
      <c r="P49" s="212" t="s">
        <v>13</v>
      </c>
      <c r="Q49" s="212" t="s">
        <v>148</v>
      </c>
      <c r="R49" s="212"/>
      <c r="S49" s="212"/>
      <c r="T49" s="203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1</v>
      </c>
      <c r="U49" s="203">
        <f t="shared" ca="1" si="62"/>
        <v>0</v>
      </c>
      <c r="V49" s="203">
        <f t="shared" ca="1" si="63"/>
        <v>1</v>
      </c>
      <c r="W49" s="212"/>
      <c r="X49" s="212"/>
      <c r="Y49" s="212"/>
      <c r="Z49" s="212"/>
      <c r="AA49" s="212"/>
      <c r="AB49" s="212"/>
      <c r="AC49" s="214" t="s">
        <v>196</v>
      </c>
      <c r="AD49" s="215" t="s">
        <v>2039</v>
      </c>
      <c r="AE49" s="148"/>
      <c r="AF49" s="212" t="str">
        <f t="shared" si="2"/>
        <v>AMC2-S1</v>
      </c>
      <c r="AG49" s="212">
        <f t="shared" si="3"/>
        <v>1</v>
      </c>
      <c r="AH49" s="203">
        <f t="shared" si="64"/>
        <v>1</v>
      </c>
      <c r="AI49" s="203">
        <f t="shared" ca="1" si="65"/>
        <v>1</v>
      </c>
      <c r="AJ49" s="203">
        <f t="shared" ca="1" si="66"/>
        <v>0</v>
      </c>
      <c r="AK49" s="212" t="str">
        <f t="shared" si="4"/>
        <v>N/A</v>
      </c>
      <c r="AL49" s="212">
        <f t="shared" si="5"/>
        <v>0</v>
      </c>
      <c r="AM49" s="203">
        <f t="shared" si="67"/>
        <v>0</v>
      </c>
      <c r="AN49" s="203">
        <f t="shared" ca="1" si="68"/>
        <v>0</v>
      </c>
      <c r="AO49" s="203">
        <f t="shared" ca="1" si="69"/>
        <v>0</v>
      </c>
      <c r="AP49" s="212" t="str">
        <f t="shared" si="6"/>
        <v>N/A</v>
      </c>
      <c r="AQ49" s="212">
        <f t="shared" si="7"/>
        <v>0</v>
      </c>
      <c r="AR49" s="203">
        <f t="shared" si="70"/>
        <v>0</v>
      </c>
      <c r="AS49" s="203">
        <f t="shared" ca="1" si="71"/>
        <v>0</v>
      </c>
      <c r="AT49" s="203">
        <f t="shared" ca="1" si="72"/>
        <v>0</v>
      </c>
      <c r="AU49" s="212" t="str">
        <f t="shared" si="8"/>
        <v>N/A</v>
      </c>
      <c r="AV49" s="212">
        <f t="shared" si="9"/>
        <v>0</v>
      </c>
      <c r="AW49" s="203">
        <f t="shared" si="73"/>
        <v>0</v>
      </c>
      <c r="AX49" s="203">
        <f t="shared" ca="1" si="74"/>
        <v>0</v>
      </c>
      <c r="AY49" s="203">
        <f t="shared" ca="1" si="75"/>
        <v>0</v>
      </c>
      <c r="AZ49" s="212"/>
      <c r="BA49" s="213" t="s">
        <v>141</v>
      </c>
      <c r="BB49" s="213" t="s">
        <v>140</v>
      </c>
      <c r="BC49" s="213" t="s">
        <v>140</v>
      </c>
      <c r="BD49" s="213" t="s">
        <v>140</v>
      </c>
      <c r="BE49" s="148"/>
      <c r="BF49" s="212" t="s">
        <v>1789</v>
      </c>
      <c r="BG49" s="117"/>
      <c r="BH49" s="155"/>
      <c r="BI49" s="216"/>
      <c r="BJ49" s="229" t="s">
        <v>1935</v>
      </c>
      <c r="BK49" s="229"/>
      <c r="BL49" s="149"/>
      <c r="BM49" s="149"/>
      <c r="BN49" s="149"/>
      <c r="BO49" s="149"/>
      <c r="BP49" s="149"/>
      <c r="BQ49" s="149"/>
      <c r="BR49" s="117">
        <v>0</v>
      </c>
      <c r="BS49" s="117">
        <v>0</v>
      </c>
      <c r="BT49" s="117">
        <v>0</v>
      </c>
      <c r="BU49" s="117">
        <v>1</v>
      </c>
      <c r="BV49" s="117">
        <v>0</v>
      </c>
      <c r="BW49" s="117">
        <v>0</v>
      </c>
      <c r="BX49" s="117">
        <v>0</v>
      </c>
      <c r="BY49" s="117" t="s">
        <v>1790</v>
      </c>
      <c r="BZ49" s="117" t="s">
        <v>1317</v>
      </c>
      <c r="CA49" s="144">
        <v>1</v>
      </c>
      <c r="CB49" s="234">
        <v>46242</v>
      </c>
      <c r="CC49" s="155"/>
      <c r="CD49" s="155"/>
      <c r="CE49" s="217"/>
      <c r="CF49" s="148">
        <f t="shared" si="76"/>
        <v>0</v>
      </c>
    </row>
    <row r="50" spans="1:84" ht="17.25" hidden="1" customHeight="1">
      <c r="A50" s="117"/>
      <c r="B50" s="209" t="s">
        <v>2036</v>
      </c>
      <c r="C50" s="209" t="s">
        <v>2212</v>
      </c>
      <c r="D50" s="209" t="s">
        <v>1296</v>
      </c>
      <c r="E50" s="209" t="s">
        <v>1816</v>
      </c>
      <c r="F50" s="209" t="s">
        <v>1318</v>
      </c>
      <c r="G50" s="209" t="s">
        <v>1319</v>
      </c>
      <c r="H50" s="210">
        <v>2365</v>
      </c>
      <c r="I50" s="211" t="s">
        <v>147</v>
      </c>
      <c r="J50" s="144">
        <v>2</v>
      </c>
      <c r="K50" s="145">
        <f t="shared" si="1"/>
        <v>1</v>
      </c>
      <c r="L50" s="202">
        <f t="shared" si="60"/>
        <v>2</v>
      </c>
      <c r="M50" s="212">
        <v>37.700000000000003</v>
      </c>
      <c r="N50" s="203">
        <f t="shared" si="61"/>
        <v>75.400000000000006</v>
      </c>
      <c r="O50" s="212" t="s">
        <v>137</v>
      </c>
      <c r="P50" s="212" t="s">
        <v>13</v>
      </c>
      <c r="Q50" s="212" t="s">
        <v>148</v>
      </c>
      <c r="R50" s="212"/>
      <c r="S50" s="212"/>
      <c r="T50" s="203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2</v>
      </c>
      <c r="U50" s="203">
        <f t="shared" ca="1" si="62"/>
        <v>0</v>
      </c>
      <c r="V50" s="203">
        <f t="shared" ca="1" si="63"/>
        <v>1</v>
      </c>
      <c r="W50" s="212"/>
      <c r="X50" s="212"/>
      <c r="Y50" s="212"/>
      <c r="Z50" s="212"/>
      <c r="AA50" s="212"/>
      <c r="AB50" s="212"/>
      <c r="AC50" s="214" t="s">
        <v>196</v>
      </c>
      <c r="AD50" s="215" t="s">
        <v>2039</v>
      </c>
      <c r="AE50" s="148"/>
      <c r="AF50" s="212" t="str">
        <f t="shared" si="2"/>
        <v>AMC2-S1</v>
      </c>
      <c r="AG50" s="212">
        <f t="shared" si="3"/>
        <v>1</v>
      </c>
      <c r="AH50" s="203">
        <f t="shared" si="64"/>
        <v>2</v>
      </c>
      <c r="AI50" s="203">
        <f t="shared" ca="1" si="65"/>
        <v>2</v>
      </c>
      <c r="AJ50" s="203">
        <f t="shared" ca="1" si="66"/>
        <v>0</v>
      </c>
      <c r="AK50" s="212" t="str">
        <f t="shared" si="4"/>
        <v>N/A</v>
      </c>
      <c r="AL50" s="212">
        <f t="shared" si="5"/>
        <v>0</v>
      </c>
      <c r="AM50" s="203">
        <f t="shared" si="67"/>
        <v>0</v>
      </c>
      <c r="AN50" s="203">
        <f t="shared" ca="1" si="68"/>
        <v>0</v>
      </c>
      <c r="AO50" s="203">
        <f t="shared" ca="1" si="69"/>
        <v>0</v>
      </c>
      <c r="AP50" s="212" t="str">
        <f t="shared" si="6"/>
        <v>N/A</v>
      </c>
      <c r="AQ50" s="212">
        <f t="shared" si="7"/>
        <v>0</v>
      </c>
      <c r="AR50" s="203">
        <f t="shared" si="70"/>
        <v>0</v>
      </c>
      <c r="AS50" s="203">
        <f t="shared" ca="1" si="71"/>
        <v>0</v>
      </c>
      <c r="AT50" s="203">
        <f t="shared" ca="1" si="72"/>
        <v>0</v>
      </c>
      <c r="AU50" s="212" t="str">
        <f t="shared" si="8"/>
        <v>N/A</v>
      </c>
      <c r="AV50" s="212">
        <f t="shared" si="9"/>
        <v>0</v>
      </c>
      <c r="AW50" s="203">
        <f t="shared" si="73"/>
        <v>0</v>
      </c>
      <c r="AX50" s="203">
        <f t="shared" ca="1" si="74"/>
        <v>0</v>
      </c>
      <c r="AY50" s="203">
        <f t="shared" ca="1" si="75"/>
        <v>0</v>
      </c>
      <c r="AZ50" s="212"/>
      <c r="BA50" s="213" t="s">
        <v>141</v>
      </c>
      <c r="BB50" s="213" t="s">
        <v>140</v>
      </c>
      <c r="BC50" s="213" t="s">
        <v>140</v>
      </c>
      <c r="BD50" s="213" t="s">
        <v>140</v>
      </c>
      <c r="BE50" s="148"/>
      <c r="BF50" s="212" t="s">
        <v>1789</v>
      </c>
      <c r="BG50" s="117"/>
      <c r="BH50" s="155"/>
      <c r="BI50" s="216"/>
      <c r="BJ50" s="216"/>
      <c r="BK50" s="216"/>
      <c r="BL50" s="149"/>
      <c r="BM50" s="149"/>
      <c r="BN50" s="149"/>
      <c r="BO50" s="149"/>
      <c r="BP50" s="149"/>
      <c r="BQ50" s="149"/>
      <c r="BR50" s="117">
        <v>0</v>
      </c>
      <c r="BS50" s="117">
        <v>0</v>
      </c>
      <c r="BT50" s="117">
        <v>0</v>
      </c>
      <c r="BU50" s="117">
        <v>1</v>
      </c>
      <c r="BV50" s="117">
        <v>0</v>
      </c>
      <c r="BW50" s="117">
        <v>0</v>
      </c>
      <c r="BX50" s="117">
        <v>0</v>
      </c>
      <c r="BY50" s="117" t="s">
        <v>1790</v>
      </c>
      <c r="BZ50" s="117" t="s">
        <v>1022</v>
      </c>
      <c r="CA50" s="144">
        <v>2</v>
      </c>
      <c r="CB50" s="149">
        <v>46206</v>
      </c>
      <c r="CC50" s="155"/>
      <c r="CD50" s="155"/>
      <c r="CE50" s="217"/>
      <c r="CF50" s="148">
        <f t="shared" si="76"/>
        <v>0</v>
      </c>
    </row>
    <row r="51" spans="1:84" ht="17.25" hidden="1" customHeight="1">
      <c r="A51" s="141"/>
      <c r="B51" s="199" t="s">
        <v>2036</v>
      </c>
      <c r="C51" s="199" t="s">
        <v>2212</v>
      </c>
      <c r="D51" s="199" t="s">
        <v>1296</v>
      </c>
      <c r="E51" s="199" t="s">
        <v>1807</v>
      </c>
      <c r="F51" s="199" t="s">
        <v>1320</v>
      </c>
      <c r="G51" s="199" t="s">
        <v>1096</v>
      </c>
      <c r="H51" s="200">
        <v>536</v>
      </c>
      <c r="I51" s="201" t="s">
        <v>147</v>
      </c>
      <c r="J51" s="165">
        <v>2</v>
      </c>
      <c r="K51" s="202">
        <f t="shared" si="1"/>
        <v>1</v>
      </c>
      <c r="L51" s="202">
        <f t="shared" si="60"/>
        <v>2</v>
      </c>
      <c r="M51" s="203">
        <v>7.5</v>
      </c>
      <c r="N51" s="203">
        <f t="shared" si="61"/>
        <v>15</v>
      </c>
      <c r="O51" s="203" t="s">
        <v>137</v>
      </c>
      <c r="P51" s="203" t="s">
        <v>13</v>
      </c>
      <c r="Q51" s="203" t="s">
        <v>154</v>
      </c>
      <c r="R51" s="203"/>
      <c r="S51" s="203"/>
      <c r="T51" s="203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2</v>
      </c>
      <c r="U51" s="203">
        <f t="shared" ca="1" si="62"/>
        <v>0</v>
      </c>
      <c r="V51" s="203">
        <f t="shared" ca="1" si="63"/>
        <v>1</v>
      </c>
      <c r="W51" s="203"/>
      <c r="X51" s="203"/>
      <c r="Y51" s="203"/>
      <c r="Z51" s="203"/>
      <c r="AA51" s="203"/>
      <c r="AB51" s="203"/>
      <c r="AC51" s="205" t="s">
        <v>196</v>
      </c>
      <c r="AD51" s="206" t="s">
        <v>2039</v>
      </c>
      <c r="AE51" s="166"/>
      <c r="AF51" s="203" t="str">
        <f t="shared" si="2"/>
        <v>AMC2-S1</v>
      </c>
      <c r="AG51" s="203">
        <f t="shared" si="3"/>
        <v>1</v>
      </c>
      <c r="AH51" s="203">
        <f t="shared" si="64"/>
        <v>2</v>
      </c>
      <c r="AI51" s="203">
        <f t="shared" ca="1" si="65"/>
        <v>2</v>
      </c>
      <c r="AJ51" s="203">
        <f t="shared" ca="1" si="66"/>
        <v>0</v>
      </c>
      <c r="AK51" s="203" t="str">
        <f t="shared" si="4"/>
        <v>N/A</v>
      </c>
      <c r="AL51" s="203">
        <f t="shared" si="5"/>
        <v>0</v>
      </c>
      <c r="AM51" s="203">
        <f t="shared" si="67"/>
        <v>0</v>
      </c>
      <c r="AN51" s="203">
        <f t="shared" ca="1" si="68"/>
        <v>0</v>
      </c>
      <c r="AO51" s="203">
        <f t="shared" ca="1" si="69"/>
        <v>0</v>
      </c>
      <c r="AP51" s="203" t="str">
        <f t="shared" si="6"/>
        <v>N/A</v>
      </c>
      <c r="AQ51" s="203">
        <f t="shared" si="7"/>
        <v>0</v>
      </c>
      <c r="AR51" s="203">
        <f t="shared" si="70"/>
        <v>0</v>
      </c>
      <c r="AS51" s="203">
        <f t="shared" ca="1" si="71"/>
        <v>0</v>
      </c>
      <c r="AT51" s="203">
        <f t="shared" ca="1" si="72"/>
        <v>0</v>
      </c>
      <c r="AU51" s="203" t="str">
        <f t="shared" si="8"/>
        <v>N/A</v>
      </c>
      <c r="AV51" s="203">
        <f t="shared" si="9"/>
        <v>0</v>
      </c>
      <c r="AW51" s="203">
        <f t="shared" si="73"/>
        <v>0</v>
      </c>
      <c r="AX51" s="203">
        <f t="shared" ca="1" si="74"/>
        <v>0</v>
      </c>
      <c r="AY51" s="203">
        <f t="shared" ca="1" si="75"/>
        <v>0</v>
      </c>
      <c r="AZ51" s="203"/>
      <c r="BA51" s="204" t="s">
        <v>141</v>
      </c>
      <c r="BB51" s="204" t="s">
        <v>140</v>
      </c>
      <c r="BC51" s="204" t="s">
        <v>140</v>
      </c>
      <c r="BD51" s="204" t="s">
        <v>140</v>
      </c>
      <c r="BE51" s="166"/>
      <c r="BF51" s="203" t="s">
        <v>1789</v>
      </c>
      <c r="BG51" s="141"/>
      <c r="BH51" s="152"/>
      <c r="BI51" s="207"/>
      <c r="BJ51" s="207"/>
      <c r="BK51" s="207"/>
      <c r="BL51" s="153" t="s">
        <v>1932</v>
      </c>
      <c r="BM51" s="153"/>
      <c r="BN51" s="153"/>
      <c r="BO51" s="153"/>
      <c r="BP51" s="153"/>
      <c r="BQ51" s="153"/>
      <c r="BR51" s="141">
        <v>0</v>
      </c>
      <c r="BS51" s="141">
        <v>1</v>
      </c>
      <c r="BT51" s="141">
        <v>0</v>
      </c>
      <c r="BU51" s="141">
        <v>0</v>
      </c>
      <c r="BV51" s="141">
        <v>0</v>
      </c>
      <c r="BW51" s="141">
        <v>0</v>
      </c>
      <c r="BX51" s="141">
        <v>0</v>
      </c>
      <c r="BY51" s="141" t="s">
        <v>1790</v>
      </c>
      <c r="BZ51" s="141" t="s">
        <v>1063</v>
      </c>
      <c r="CA51" s="141">
        <v>2</v>
      </c>
      <c r="CB51" s="153">
        <v>46206</v>
      </c>
      <c r="CC51" s="152"/>
      <c r="CD51" s="141"/>
      <c r="CE51" s="208"/>
      <c r="CF51" s="166">
        <f t="shared" si="76"/>
        <v>0</v>
      </c>
    </row>
    <row r="52" spans="1:84" ht="17.25" hidden="1" customHeight="1">
      <c r="A52" s="117"/>
      <c r="B52" s="209" t="s">
        <v>2036</v>
      </c>
      <c r="C52" s="209" t="s">
        <v>2212</v>
      </c>
      <c r="D52" s="209" t="s">
        <v>1296</v>
      </c>
      <c r="E52" s="209" t="s">
        <v>1809</v>
      </c>
      <c r="F52" s="209" t="s">
        <v>1322</v>
      </c>
      <c r="G52" s="209" t="s">
        <v>1323</v>
      </c>
      <c r="H52" s="210">
        <v>983</v>
      </c>
      <c r="I52" s="211" t="s">
        <v>147</v>
      </c>
      <c r="J52" s="144">
        <v>2</v>
      </c>
      <c r="K52" s="145">
        <f t="shared" si="1"/>
        <v>1</v>
      </c>
      <c r="L52" s="202">
        <f t="shared" si="60"/>
        <v>2</v>
      </c>
      <c r="M52" s="212">
        <v>14.1</v>
      </c>
      <c r="N52" s="203">
        <f t="shared" si="61"/>
        <v>28.2</v>
      </c>
      <c r="O52" s="212" t="s">
        <v>137</v>
      </c>
      <c r="P52" s="212" t="s">
        <v>13</v>
      </c>
      <c r="Q52" s="212" t="s">
        <v>148</v>
      </c>
      <c r="R52" s="212"/>
      <c r="S52" s="212"/>
      <c r="T52" s="203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2</v>
      </c>
      <c r="U52" s="203">
        <f t="shared" ca="1" si="62"/>
        <v>0</v>
      </c>
      <c r="V52" s="203">
        <f t="shared" ca="1" si="63"/>
        <v>1</v>
      </c>
      <c r="W52" s="212"/>
      <c r="X52" s="212"/>
      <c r="Y52" s="212"/>
      <c r="Z52" s="212"/>
      <c r="AA52" s="212"/>
      <c r="AB52" s="212"/>
      <c r="AC52" s="214" t="s">
        <v>196</v>
      </c>
      <c r="AD52" s="215" t="s">
        <v>2039</v>
      </c>
      <c r="AE52" s="148"/>
      <c r="AF52" s="212" t="str">
        <f t="shared" si="2"/>
        <v>AMC2-S1</v>
      </c>
      <c r="AG52" s="212">
        <f t="shared" si="3"/>
        <v>1</v>
      </c>
      <c r="AH52" s="203">
        <f t="shared" si="64"/>
        <v>2</v>
      </c>
      <c r="AI52" s="203">
        <f t="shared" ca="1" si="65"/>
        <v>2</v>
      </c>
      <c r="AJ52" s="203">
        <f t="shared" ca="1" si="66"/>
        <v>0</v>
      </c>
      <c r="AK52" s="212" t="str">
        <f t="shared" si="4"/>
        <v>N/A</v>
      </c>
      <c r="AL52" s="212">
        <f t="shared" si="5"/>
        <v>0</v>
      </c>
      <c r="AM52" s="203">
        <f t="shared" si="67"/>
        <v>0</v>
      </c>
      <c r="AN52" s="203">
        <f t="shared" ca="1" si="68"/>
        <v>0</v>
      </c>
      <c r="AO52" s="203">
        <f t="shared" ca="1" si="69"/>
        <v>0</v>
      </c>
      <c r="AP52" s="212" t="str">
        <f t="shared" si="6"/>
        <v>N/A</v>
      </c>
      <c r="AQ52" s="212">
        <f t="shared" si="7"/>
        <v>0</v>
      </c>
      <c r="AR52" s="203">
        <f t="shared" si="70"/>
        <v>0</v>
      </c>
      <c r="AS52" s="203">
        <f t="shared" ca="1" si="71"/>
        <v>0</v>
      </c>
      <c r="AT52" s="203">
        <f t="shared" ca="1" si="72"/>
        <v>0</v>
      </c>
      <c r="AU52" s="212" t="str">
        <f t="shared" si="8"/>
        <v>N/A</v>
      </c>
      <c r="AV52" s="212">
        <f t="shared" si="9"/>
        <v>0</v>
      </c>
      <c r="AW52" s="203">
        <f t="shared" si="73"/>
        <v>0</v>
      </c>
      <c r="AX52" s="203">
        <f t="shared" ca="1" si="74"/>
        <v>0</v>
      </c>
      <c r="AY52" s="203">
        <f t="shared" ca="1" si="75"/>
        <v>0</v>
      </c>
      <c r="AZ52" s="212"/>
      <c r="BA52" s="213" t="s">
        <v>141</v>
      </c>
      <c r="BB52" s="213" t="s">
        <v>140</v>
      </c>
      <c r="BC52" s="213" t="s">
        <v>140</v>
      </c>
      <c r="BD52" s="213" t="s">
        <v>140</v>
      </c>
      <c r="BE52" s="148"/>
      <c r="BF52" s="212" t="s">
        <v>1789</v>
      </c>
      <c r="BG52" s="117"/>
      <c r="BH52" s="155"/>
      <c r="BI52" s="216"/>
      <c r="BJ52" s="216"/>
      <c r="BK52" s="216"/>
      <c r="BL52" s="149"/>
      <c r="BM52" s="149"/>
      <c r="BN52" s="149"/>
      <c r="BO52" s="149"/>
      <c r="BP52" s="149"/>
      <c r="BQ52" s="149"/>
      <c r="BR52" s="117">
        <v>0</v>
      </c>
      <c r="BS52" s="117">
        <v>0</v>
      </c>
      <c r="BT52" s="117">
        <v>0</v>
      </c>
      <c r="BU52" s="117">
        <v>1</v>
      </c>
      <c r="BV52" s="117">
        <v>0</v>
      </c>
      <c r="BW52" s="117">
        <v>0</v>
      </c>
      <c r="BX52" s="117">
        <v>0</v>
      </c>
      <c r="BY52" s="117" t="s">
        <v>1790</v>
      </c>
      <c r="BZ52" s="117" t="s">
        <v>1022</v>
      </c>
      <c r="CA52" s="144">
        <v>2</v>
      </c>
      <c r="CB52" s="149">
        <v>46206</v>
      </c>
      <c r="CC52" s="155"/>
      <c r="CD52" s="155"/>
      <c r="CE52" s="217"/>
      <c r="CF52" s="148">
        <f t="shared" si="76"/>
        <v>0</v>
      </c>
    </row>
    <row r="53" spans="1:84" ht="17.25" hidden="1" customHeight="1">
      <c r="A53" s="117"/>
      <c r="B53" s="209" t="s">
        <v>2036</v>
      </c>
      <c r="C53" s="209" t="s">
        <v>2212</v>
      </c>
      <c r="D53" s="209" t="s">
        <v>1296</v>
      </c>
      <c r="E53" s="209" t="s">
        <v>1812</v>
      </c>
      <c r="F53" s="209" t="s">
        <v>1324</v>
      </c>
      <c r="G53" s="209" t="s">
        <v>1325</v>
      </c>
      <c r="H53" s="210">
        <v>1061</v>
      </c>
      <c r="I53" s="211" t="s">
        <v>147</v>
      </c>
      <c r="J53" s="144">
        <v>2</v>
      </c>
      <c r="K53" s="145">
        <f t="shared" si="1"/>
        <v>1</v>
      </c>
      <c r="L53" s="202">
        <f t="shared" si="60"/>
        <v>2</v>
      </c>
      <c r="M53" s="212">
        <v>15.3</v>
      </c>
      <c r="N53" s="203">
        <f t="shared" si="61"/>
        <v>30.6</v>
      </c>
      <c r="O53" s="212" t="s">
        <v>137</v>
      </c>
      <c r="P53" s="212" t="s">
        <v>13</v>
      </c>
      <c r="Q53" s="212" t="s">
        <v>148</v>
      </c>
      <c r="R53" s="212"/>
      <c r="S53" s="212"/>
      <c r="T53" s="203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2</v>
      </c>
      <c r="U53" s="203">
        <f t="shared" ca="1" si="62"/>
        <v>0</v>
      </c>
      <c r="V53" s="203">
        <f t="shared" ca="1" si="63"/>
        <v>1</v>
      </c>
      <c r="W53" s="212"/>
      <c r="X53" s="212"/>
      <c r="Y53" s="212"/>
      <c r="Z53" s="212"/>
      <c r="AA53" s="212"/>
      <c r="AB53" s="212"/>
      <c r="AC53" s="214" t="s">
        <v>196</v>
      </c>
      <c r="AD53" s="215" t="s">
        <v>2039</v>
      </c>
      <c r="AE53" s="148"/>
      <c r="AF53" s="212" t="str">
        <f t="shared" si="2"/>
        <v>AMC2-S1</v>
      </c>
      <c r="AG53" s="212">
        <f t="shared" si="3"/>
        <v>1</v>
      </c>
      <c r="AH53" s="203">
        <f t="shared" si="64"/>
        <v>2</v>
      </c>
      <c r="AI53" s="203">
        <f t="shared" ca="1" si="65"/>
        <v>2</v>
      </c>
      <c r="AJ53" s="203">
        <f t="shared" ca="1" si="66"/>
        <v>0</v>
      </c>
      <c r="AK53" s="212" t="str">
        <f t="shared" si="4"/>
        <v>N/A</v>
      </c>
      <c r="AL53" s="212">
        <f t="shared" si="5"/>
        <v>0</v>
      </c>
      <c r="AM53" s="203">
        <f t="shared" si="67"/>
        <v>0</v>
      </c>
      <c r="AN53" s="203">
        <f t="shared" ca="1" si="68"/>
        <v>0</v>
      </c>
      <c r="AO53" s="203">
        <f t="shared" ca="1" si="69"/>
        <v>0</v>
      </c>
      <c r="AP53" s="212" t="str">
        <f t="shared" si="6"/>
        <v>N/A</v>
      </c>
      <c r="AQ53" s="212">
        <f t="shared" si="7"/>
        <v>0</v>
      </c>
      <c r="AR53" s="203">
        <f t="shared" si="70"/>
        <v>0</v>
      </c>
      <c r="AS53" s="203">
        <f t="shared" ca="1" si="71"/>
        <v>0</v>
      </c>
      <c r="AT53" s="203">
        <f t="shared" ca="1" si="72"/>
        <v>0</v>
      </c>
      <c r="AU53" s="212" t="str">
        <f t="shared" si="8"/>
        <v>N/A</v>
      </c>
      <c r="AV53" s="212">
        <f t="shared" si="9"/>
        <v>0</v>
      </c>
      <c r="AW53" s="203">
        <f t="shared" si="73"/>
        <v>0</v>
      </c>
      <c r="AX53" s="203">
        <f t="shared" ca="1" si="74"/>
        <v>0</v>
      </c>
      <c r="AY53" s="203">
        <f t="shared" ca="1" si="75"/>
        <v>0</v>
      </c>
      <c r="AZ53" s="212"/>
      <c r="BA53" s="213" t="s">
        <v>141</v>
      </c>
      <c r="BB53" s="213" t="s">
        <v>140</v>
      </c>
      <c r="BC53" s="213" t="s">
        <v>140</v>
      </c>
      <c r="BD53" s="213" t="s">
        <v>140</v>
      </c>
      <c r="BE53" s="148"/>
      <c r="BF53" s="212" t="s">
        <v>1789</v>
      </c>
      <c r="BG53" s="117"/>
      <c r="BH53" s="155"/>
      <c r="BI53" s="216"/>
      <c r="BJ53" s="216"/>
      <c r="BK53" s="216"/>
      <c r="BL53" s="149"/>
      <c r="BM53" s="149"/>
      <c r="BN53" s="149"/>
      <c r="BO53" s="149"/>
      <c r="BP53" s="149"/>
      <c r="BQ53" s="149"/>
      <c r="BR53" s="117">
        <v>0</v>
      </c>
      <c r="BS53" s="117">
        <v>0</v>
      </c>
      <c r="BT53" s="117">
        <v>0</v>
      </c>
      <c r="BU53" s="117">
        <v>1</v>
      </c>
      <c r="BV53" s="117">
        <v>0</v>
      </c>
      <c r="BW53" s="117">
        <v>0</v>
      </c>
      <c r="BX53" s="117">
        <v>0</v>
      </c>
      <c r="BY53" s="117" t="s">
        <v>1790</v>
      </c>
      <c r="BZ53" s="117" t="s">
        <v>1022</v>
      </c>
      <c r="CA53" s="144">
        <v>2</v>
      </c>
      <c r="CB53" s="149">
        <v>46206</v>
      </c>
      <c r="CC53" s="155"/>
      <c r="CD53" s="155"/>
      <c r="CE53" s="217"/>
      <c r="CF53" s="148">
        <f t="shared" si="76"/>
        <v>0</v>
      </c>
    </row>
    <row r="54" spans="1:84" ht="17.25" hidden="1" customHeight="1">
      <c r="A54" s="117"/>
      <c r="B54" s="209" t="s">
        <v>2036</v>
      </c>
      <c r="C54" s="209" t="s">
        <v>2212</v>
      </c>
      <c r="D54" s="209" t="s">
        <v>1296</v>
      </c>
      <c r="E54" s="209" t="s">
        <v>1813</v>
      </c>
      <c r="F54" s="209" t="s">
        <v>1326</v>
      </c>
      <c r="G54" s="209" t="s">
        <v>1327</v>
      </c>
      <c r="H54" s="210">
        <v>546</v>
      </c>
      <c r="I54" s="211" t="s">
        <v>147</v>
      </c>
      <c r="J54" s="144">
        <v>2</v>
      </c>
      <c r="K54" s="145">
        <f t="shared" si="1"/>
        <v>1</v>
      </c>
      <c r="L54" s="202">
        <f t="shared" si="60"/>
        <v>2</v>
      </c>
      <c r="M54" s="212">
        <v>16.3</v>
      </c>
      <c r="N54" s="203">
        <f t="shared" si="61"/>
        <v>32.6</v>
      </c>
      <c r="O54" s="212" t="s">
        <v>137</v>
      </c>
      <c r="P54" s="212" t="s">
        <v>13</v>
      </c>
      <c r="Q54" s="212" t="s">
        <v>148</v>
      </c>
      <c r="R54" s="212"/>
      <c r="S54" s="212"/>
      <c r="T54" s="203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2</v>
      </c>
      <c r="U54" s="203">
        <f t="shared" ca="1" si="62"/>
        <v>0</v>
      </c>
      <c r="V54" s="203">
        <f t="shared" ca="1" si="63"/>
        <v>1</v>
      </c>
      <c r="W54" s="212"/>
      <c r="X54" s="212"/>
      <c r="Y54" s="212"/>
      <c r="Z54" s="212"/>
      <c r="AA54" s="212"/>
      <c r="AB54" s="212"/>
      <c r="AC54" s="214" t="s">
        <v>196</v>
      </c>
      <c r="AD54" s="215" t="s">
        <v>2039</v>
      </c>
      <c r="AE54" s="148"/>
      <c r="AF54" s="212" t="str">
        <f t="shared" si="2"/>
        <v>AMC2-S1</v>
      </c>
      <c r="AG54" s="212">
        <f t="shared" si="3"/>
        <v>1</v>
      </c>
      <c r="AH54" s="203">
        <f t="shared" si="64"/>
        <v>2</v>
      </c>
      <c r="AI54" s="203">
        <f t="shared" ca="1" si="65"/>
        <v>2</v>
      </c>
      <c r="AJ54" s="203">
        <f t="shared" ca="1" si="66"/>
        <v>0</v>
      </c>
      <c r="AK54" s="212" t="str">
        <f t="shared" si="4"/>
        <v>N/A</v>
      </c>
      <c r="AL54" s="212">
        <f t="shared" si="5"/>
        <v>0</v>
      </c>
      <c r="AM54" s="203">
        <f t="shared" si="67"/>
        <v>0</v>
      </c>
      <c r="AN54" s="203">
        <f t="shared" ca="1" si="68"/>
        <v>0</v>
      </c>
      <c r="AO54" s="203">
        <f t="shared" ca="1" si="69"/>
        <v>0</v>
      </c>
      <c r="AP54" s="212" t="str">
        <f t="shared" si="6"/>
        <v>N/A</v>
      </c>
      <c r="AQ54" s="212">
        <f t="shared" si="7"/>
        <v>0</v>
      </c>
      <c r="AR54" s="203">
        <f t="shared" si="70"/>
        <v>0</v>
      </c>
      <c r="AS54" s="203">
        <f t="shared" ca="1" si="71"/>
        <v>0</v>
      </c>
      <c r="AT54" s="203">
        <f t="shared" ca="1" si="72"/>
        <v>0</v>
      </c>
      <c r="AU54" s="212" t="str">
        <f t="shared" si="8"/>
        <v>N/A</v>
      </c>
      <c r="AV54" s="212">
        <f t="shared" si="9"/>
        <v>0</v>
      </c>
      <c r="AW54" s="203">
        <f t="shared" si="73"/>
        <v>0</v>
      </c>
      <c r="AX54" s="203">
        <f t="shared" ca="1" si="74"/>
        <v>0</v>
      </c>
      <c r="AY54" s="203">
        <f t="shared" ca="1" si="75"/>
        <v>0</v>
      </c>
      <c r="AZ54" s="212"/>
      <c r="BA54" s="213" t="s">
        <v>141</v>
      </c>
      <c r="BB54" s="213" t="s">
        <v>140</v>
      </c>
      <c r="BC54" s="213" t="s">
        <v>140</v>
      </c>
      <c r="BD54" s="213" t="s">
        <v>140</v>
      </c>
      <c r="BE54" s="148"/>
      <c r="BF54" s="212" t="s">
        <v>1789</v>
      </c>
      <c r="BG54" s="117"/>
      <c r="BH54" s="155"/>
      <c r="BI54" s="216"/>
      <c r="BJ54" s="216"/>
      <c r="BK54" s="216"/>
      <c r="BL54" s="149"/>
      <c r="BM54" s="149"/>
      <c r="BN54" s="149"/>
      <c r="BO54" s="149"/>
      <c r="BP54" s="149"/>
      <c r="BQ54" s="149"/>
      <c r="BR54" s="117">
        <v>1</v>
      </c>
      <c r="BS54" s="117">
        <v>0</v>
      </c>
      <c r="BT54" s="117">
        <v>0</v>
      </c>
      <c r="BU54" s="117">
        <v>0</v>
      </c>
      <c r="BV54" s="117">
        <v>0</v>
      </c>
      <c r="BW54" s="117">
        <v>0</v>
      </c>
      <c r="BX54" s="117">
        <v>0</v>
      </c>
      <c r="BY54" s="117" t="s">
        <v>1790</v>
      </c>
      <c r="BZ54" s="117" t="s">
        <v>1303</v>
      </c>
      <c r="CA54" s="117">
        <v>2</v>
      </c>
      <c r="CB54" s="149">
        <v>46206</v>
      </c>
      <c r="CC54" s="155"/>
      <c r="CD54" s="117"/>
      <c r="CE54" s="217"/>
      <c r="CF54" s="148">
        <f t="shared" si="76"/>
        <v>0</v>
      </c>
    </row>
    <row r="55" spans="1:84" ht="17.25" hidden="1" customHeight="1">
      <c r="A55" s="117"/>
      <c r="B55" s="209" t="s">
        <v>2036</v>
      </c>
      <c r="C55" s="209" t="s">
        <v>2212</v>
      </c>
      <c r="D55" s="209" t="s">
        <v>1296</v>
      </c>
      <c r="E55" s="209" t="s">
        <v>1941</v>
      </c>
      <c r="F55" s="209" t="s">
        <v>1328</v>
      </c>
      <c r="G55" s="209" t="s">
        <v>1329</v>
      </c>
      <c r="H55" s="210">
        <v>784</v>
      </c>
      <c r="I55" s="211" t="s">
        <v>147</v>
      </c>
      <c r="J55" s="144">
        <v>1</v>
      </c>
      <c r="K55" s="145">
        <f t="shared" si="1"/>
        <v>1</v>
      </c>
      <c r="L55" s="202">
        <f t="shared" si="60"/>
        <v>1</v>
      </c>
      <c r="M55" s="212">
        <v>21.8</v>
      </c>
      <c r="N55" s="203">
        <f t="shared" si="61"/>
        <v>21.8</v>
      </c>
      <c r="O55" s="212" t="s">
        <v>137</v>
      </c>
      <c r="P55" s="212" t="s">
        <v>13</v>
      </c>
      <c r="Q55" s="212" t="s">
        <v>148</v>
      </c>
      <c r="R55" s="212"/>
      <c r="S55" s="212"/>
      <c r="T55" s="203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1</v>
      </c>
      <c r="U55" s="203">
        <f t="shared" ca="1" si="62"/>
        <v>0</v>
      </c>
      <c r="V55" s="203">
        <f t="shared" ca="1" si="63"/>
        <v>1</v>
      </c>
      <c r="W55" s="212"/>
      <c r="X55" s="212"/>
      <c r="Y55" s="212"/>
      <c r="Z55" s="212"/>
      <c r="AA55" s="212"/>
      <c r="AB55" s="212"/>
      <c r="AC55" s="214" t="s">
        <v>196</v>
      </c>
      <c r="AD55" s="215" t="s">
        <v>2039</v>
      </c>
      <c r="AE55" s="148"/>
      <c r="AF55" s="212" t="str">
        <f t="shared" si="2"/>
        <v>AMC2-S1</v>
      </c>
      <c r="AG55" s="212">
        <f t="shared" si="3"/>
        <v>1</v>
      </c>
      <c r="AH55" s="203">
        <f t="shared" si="64"/>
        <v>1</v>
      </c>
      <c r="AI55" s="203">
        <f t="shared" ca="1" si="65"/>
        <v>1</v>
      </c>
      <c r="AJ55" s="203">
        <f t="shared" ca="1" si="66"/>
        <v>0</v>
      </c>
      <c r="AK55" s="212" t="str">
        <f t="shared" si="4"/>
        <v>N/A</v>
      </c>
      <c r="AL55" s="212">
        <f t="shared" si="5"/>
        <v>0</v>
      </c>
      <c r="AM55" s="203">
        <f t="shared" si="67"/>
        <v>0</v>
      </c>
      <c r="AN55" s="203">
        <f t="shared" ca="1" si="68"/>
        <v>0</v>
      </c>
      <c r="AO55" s="203">
        <f t="shared" ca="1" si="69"/>
        <v>0</v>
      </c>
      <c r="AP55" s="212" t="str">
        <f t="shared" si="6"/>
        <v>N/A</v>
      </c>
      <c r="AQ55" s="212">
        <f t="shared" si="7"/>
        <v>0</v>
      </c>
      <c r="AR55" s="203">
        <f t="shared" si="70"/>
        <v>0</v>
      </c>
      <c r="AS55" s="203">
        <f t="shared" ca="1" si="71"/>
        <v>0</v>
      </c>
      <c r="AT55" s="203">
        <f t="shared" ca="1" si="72"/>
        <v>0</v>
      </c>
      <c r="AU55" s="212" t="str">
        <f t="shared" si="8"/>
        <v>N/A</v>
      </c>
      <c r="AV55" s="212">
        <f t="shared" si="9"/>
        <v>0</v>
      </c>
      <c r="AW55" s="203">
        <f t="shared" si="73"/>
        <v>0</v>
      </c>
      <c r="AX55" s="203">
        <f t="shared" ca="1" si="74"/>
        <v>0</v>
      </c>
      <c r="AY55" s="203">
        <f t="shared" ca="1" si="75"/>
        <v>0</v>
      </c>
      <c r="AZ55" s="212"/>
      <c r="BA55" s="213" t="s">
        <v>141</v>
      </c>
      <c r="BB55" s="213" t="s">
        <v>140</v>
      </c>
      <c r="BC55" s="213" t="s">
        <v>140</v>
      </c>
      <c r="BD55" s="213" t="s">
        <v>140</v>
      </c>
      <c r="BE55" s="148"/>
      <c r="BF55" s="212" t="s">
        <v>1789</v>
      </c>
      <c r="BG55" s="117"/>
      <c r="BH55" s="155"/>
      <c r="BI55" s="216"/>
      <c r="BJ55" s="216"/>
      <c r="BK55" s="216"/>
      <c r="BL55" s="149"/>
      <c r="BM55" s="149"/>
      <c r="BN55" s="149"/>
      <c r="BO55" s="149"/>
      <c r="BP55" s="149"/>
      <c r="BQ55" s="149"/>
      <c r="BR55" s="117">
        <v>1</v>
      </c>
      <c r="BS55" s="117">
        <v>0</v>
      </c>
      <c r="BT55" s="117">
        <v>0</v>
      </c>
      <c r="BU55" s="117">
        <v>0</v>
      </c>
      <c r="BV55" s="117">
        <v>0</v>
      </c>
      <c r="BW55" s="117">
        <v>0</v>
      </c>
      <c r="BX55" s="117">
        <v>0</v>
      </c>
      <c r="BY55" s="117" t="s">
        <v>1790</v>
      </c>
      <c r="BZ55" s="117" t="s">
        <v>1303</v>
      </c>
      <c r="CA55" s="117">
        <v>1</v>
      </c>
      <c r="CB55" s="149">
        <v>46206</v>
      </c>
      <c r="CC55" s="155"/>
      <c r="CD55" s="117"/>
      <c r="CE55" s="217"/>
      <c r="CF55" s="148">
        <f t="shared" si="76"/>
        <v>0</v>
      </c>
    </row>
    <row r="56" spans="1:84" ht="17.25" hidden="1" customHeight="1">
      <c r="A56" s="162">
        <v>178</v>
      </c>
      <c r="B56" s="177" t="s">
        <v>2042</v>
      </c>
      <c r="C56" s="177" t="s">
        <v>2213</v>
      </c>
      <c r="D56" s="177" t="s">
        <v>2043</v>
      </c>
      <c r="E56" s="177"/>
      <c r="F56" s="177"/>
      <c r="G56" s="177" t="s">
        <v>2044</v>
      </c>
      <c r="H56" s="178"/>
      <c r="I56" s="179"/>
      <c r="J56" s="160"/>
      <c r="K56" s="180">
        <f>+AG56+AL56+AQ56+AV56</f>
        <v>1</v>
      </c>
      <c r="L56" s="160"/>
      <c r="M56" s="181">
        <v>10433.700000000001</v>
      </c>
      <c r="N56" s="181">
        <v>10433.700000000001</v>
      </c>
      <c r="O56" s="181" t="s">
        <v>137</v>
      </c>
      <c r="P56" s="181"/>
      <c r="Q56" s="181"/>
      <c r="R56" s="181"/>
      <c r="S56" s="181"/>
      <c r="T56" s="181"/>
      <c r="U56" s="181"/>
      <c r="V56" s="181"/>
      <c r="W56" s="181">
        <f>_xlfn.MINIFS(V:V,C:C,C56,AE:AE,"",AB:AB,"")</f>
        <v>0</v>
      </c>
      <c r="X56" s="181" t="e">
        <f>SUMIFS(T:T,C:C,C56,AE:AE,"")/SUMIFS(L:L,C:C,C56,AE:AE,"",AB:AB,"")</f>
        <v>#DIV/0!</v>
      </c>
      <c r="Y56" s="181"/>
      <c r="Z56" s="181"/>
      <c r="AA56" s="181"/>
      <c r="AB56" s="181"/>
      <c r="AC56" s="228" t="s">
        <v>196</v>
      </c>
      <c r="AD56" s="184" t="s">
        <v>2039</v>
      </c>
      <c r="AE56" s="162" t="s">
        <v>143</v>
      </c>
      <c r="AF56" s="181" t="s">
        <v>1783</v>
      </c>
      <c r="AG56" s="181">
        <v>1</v>
      </c>
      <c r="AH56" s="181"/>
      <c r="AI56" s="181"/>
      <c r="AJ56" s="181"/>
      <c r="AK56" s="181" t="s">
        <v>138</v>
      </c>
      <c r="AL56" s="181">
        <v>0</v>
      </c>
      <c r="AM56" s="181"/>
      <c r="AN56" s="181"/>
      <c r="AO56" s="181"/>
      <c r="AP56" s="181" t="s">
        <v>138</v>
      </c>
      <c r="AQ56" s="181">
        <v>0</v>
      </c>
      <c r="AR56" s="181"/>
      <c r="AS56" s="181"/>
      <c r="AT56" s="181"/>
      <c r="AU56" s="181" t="s">
        <v>138</v>
      </c>
      <c r="AV56" s="181">
        <v>0</v>
      </c>
      <c r="AW56" s="181"/>
      <c r="AX56" s="181"/>
      <c r="AY56" s="181"/>
      <c r="AZ56" s="181"/>
      <c r="BA56" s="182" t="s">
        <v>141</v>
      </c>
      <c r="BB56" s="182" t="s">
        <v>140</v>
      </c>
      <c r="BC56" s="182" t="s">
        <v>140</v>
      </c>
      <c r="BD56" s="182" t="s">
        <v>140</v>
      </c>
      <c r="BE56" s="162"/>
      <c r="BF56" s="181"/>
      <c r="BG56" s="161"/>
      <c r="BH56" s="161"/>
      <c r="BI56" s="163"/>
      <c r="BJ56" s="163"/>
      <c r="BK56" s="163"/>
      <c r="BL56" s="163"/>
      <c r="BM56" s="163"/>
      <c r="BN56" s="163"/>
      <c r="BO56" s="163"/>
      <c r="BP56" s="163"/>
      <c r="BQ56" s="163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3"/>
      <c r="CC56" s="161"/>
      <c r="CD56" s="161"/>
      <c r="CE56" s="185"/>
      <c r="CF56" s="185"/>
    </row>
    <row r="57" spans="1:84" ht="17.25" hidden="1" customHeight="1">
      <c r="A57" s="186"/>
      <c r="B57" s="187" t="s">
        <v>2042</v>
      </c>
      <c r="C57" s="187" t="s">
        <v>2172</v>
      </c>
      <c r="D57" s="187"/>
      <c r="E57" s="187"/>
      <c r="F57" s="187"/>
      <c r="G57" s="187" t="s">
        <v>1946</v>
      </c>
      <c r="H57" s="188"/>
      <c r="I57" s="189"/>
      <c r="J57" s="190"/>
      <c r="K57" s="191">
        <f t="shared" ref="K57:K94" si="77">K56</f>
        <v>1</v>
      </c>
      <c r="L57" s="190"/>
      <c r="M57" s="192">
        <v>2300</v>
      </c>
      <c r="N57" s="192">
        <v>2300</v>
      </c>
      <c r="O57" s="192" t="s">
        <v>137</v>
      </c>
      <c r="P57" s="192"/>
      <c r="Q57" s="192"/>
      <c r="R57" s="192"/>
      <c r="S57" s="192"/>
      <c r="T57" s="192"/>
      <c r="U57" s="192"/>
      <c r="V57" s="192"/>
      <c r="W57" s="192">
        <f ca="1">_xlfn.MINIFS(V:V,C:C,C57,AE:AE,"",AB:AB,"")</f>
        <v>0</v>
      </c>
      <c r="X57" s="192">
        <f ca="1">SUMIFS(T:T,C:C,C57,AE:AE,"")/SUMIFS(L:L,C:C,C57,AE:AE,"",AB:AB,"")</f>
        <v>0.61403508771929827</v>
      </c>
      <c r="Y57" s="192"/>
      <c r="Z57" s="192"/>
      <c r="AA57" s="192"/>
      <c r="AB57" s="192"/>
      <c r="AC57" s="194" t="s">
        <v>196</v>
      </c>
      <c r="AD57" s="195" t="s">
        <v>2039</v>
      </c>
      <c r="AE57" s="196" t="s">
        <v>1787</v>
      </c>
      <c r="AF57" s="192" t="str">
        <f t="shared" ref="AF57:AF94" si="78">AF56</f>
        <v>AMC2-S1</v>
      </c>
      <c r="AG57" s="192">
        <f t="shared" ref="AG57:AG94" si="79">AG56</f>
        <v>1</v>
      </c>
      <c r="AH57" s="192"/>
      <c r="AI57" s="192"/>
      <c r="AJ57" s="192"/>
      <c r="AK57" s="192" t="str">
        <f t="shared" ref="AK57:AK94" si="80">AK56</f>
        <v>N/A</v>
      </c>
      <c r="AL57" s="192">
        <f t="shared" ref="AL57:AL94" si="81">AL56</f>
        <v>0</v>
      </c>
      <c r="AM57" s="192"/>
      <c r="AN57" s="192"/>
      <c r="AO57" s="192"/>
      <c r="AP57" s="192" t="str">
        <f t="shared" ref="AP57:AP94" si="82">AP56</f>
        <v>N/A</v>
      </c>
      <c r="AQ57" s="192">
        <f t="shared" ref="AQ57:AQ94" si="83">AQ56</f>
        <v>0</v>
      </c>
      <c r="AR57" s="192"/>
      <c r="AS57" s="192"/>
      <c r="AT57" s="192"/>
      <c r="AU57" s="192" t="str">
        <f t="shared" ref="AU57:AU94" si="84">AU56</f>
        <v>N/A</v>
      </c>
      <c r="AV57" s="192">
        <f t="shared" ref="AV57:AV94" si="85">AV56</f>
        <v>0</v>
      </c>
      <c r="AW57" s="192"/>
      <c r="AX57" s="192"/>
      <c r="AY57" s="192"/>
      <c r="AZ57" s="192"/>
      <c r="BA57" s="193" t="s">
        <v>141</v>
      </c>
      <c r="BB57" s="193" t="s">
        <v>140</v>
      </c>
      <c r="BC57" s="193" t="s">
        <v>140</v>
      </c>
      <c r="BD57" s="193" t="s">
        <v>140</v>
      </c>
      <c r="BE57" s="196" t="s">
        <v>741</v>
      </c>
      <c r="BF57" s="192"/>
      <c r="BG57" s="186"/>
      <c r="BH57" s="186"/>
      <c r="BI57" s="197"/>
      <c r="BJ57" s="197"/>
      <c r="BK57" s="197"/>
      <c r="BL57" s="197"/>
      <c r="BM57" s="197"/>
      <c r="BN57" s="197"/>
      <c r="BO57" s="197"/>
      <c r="BP57" s="197"/>
      <c r="BQ57" s="197"/>
      <c r="BR57" s="186"/>
      <c r="BS57" s="186"/>
      <c r="BT57" s="186"/>
      <c r="BU57" s="186"/>
      <c r="BV57" s="186"/>
      <c r="BW57" s="186"/>
      <c r="BX57" s="186"/>
      <c r="BY57" s="186"/>
      <c r="BZ57" s="186"/>
      <c r="CA57" s="186"/>
      <c r="CB57" s="197"/>
      <c r="CC57" s="186"/>
      <c r="CD57" s="186"/>
      <c r="CE57" s="198"/>
      <c r="CF57" s="198"/>
    </row>
    <row r="58" spans="1:84" ht="17.25" hidden="1" customHeight="1">
      <c r="A58" s="117"/>
      <c r="B58" s="209" t="s">
        <v>2042</v>
      </c>
      <c r="C58" s="209" t="s">
        <v>2172</v>
      </c>
      <c r="D58" s="209" t="s">
        <v>1084</v>
      </c>
      <c r="E58" s="209" t="s">
        <v>1788</v>
      </c>
      <c r="F58" s="209" t="s">
        <v>1394</v>
      </c>
      <c r="G58" s="209" t="s">
        <v>1395</v>
      </c>
      <c r="H58" s="210">
        <v>4023</v>
      </c>
      <c r="I58" s="211" t="s">
        <v>147</v>
      </c>
      <c r="J58" s="144">
        <v>2</v>
      </c>
      <c r="K58" s="145">
        <f t="shared" si="77"/>
        <v>1</v>
      </c>
      <c r="L58" s="202">
        <f t="shared" ref="L58:L68" si="86">+J58*K58</f>
        <v>2</v>
      </c>
      <c r="M58" s="212">
        <v>182.2</v>
      </c>
      <c r="N58" s="203">
        <f t="shared" ref="N58:N68" si="87">+M58*L58</f>
        <v>364.4</v>
      </c>
      <c r="O58" s="212" t="s">
        <v>137</v>
      </c>
      <c r="P58" s="212" t="s">
        <v>13</v>
      </c>
      <c r="Q58" s="212" t="s">
        <v>154</v>
      </c>
      <c r="R58" s="212"/>
      <c r="S58" s="212"/>
      <c r="T58" s="203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2</v>
      </c>
      <c r="U58" s="203">
        <f t="shared" ref="U58:U68" ca="1" si="88">+L58-T58</f>
        <v>0</v>
      </c>
      <c r="V58" s="203">
        <f t="shared" ref="V58:V68" ca="1" si="89">ROUNDDOWN(T58/J58,0)</f>
        <v>1</v>
      </c>
      <c r="W58" s="212"/>
      <c r="X58" s="212"/>
      <c r="Y58" s="212"/>
      <c r="Z58" s="212"/>
      <c r="AA58" s="212"/>
      <c r="AB58" s="212"/>
      <c r="AC58" s="214" t="s">
        <v>196</v>
      </c>
      <c r="AD58" s="215" t="s">
        <v>2039</v>
      </c>
      <c r="AE58" s="148"/>
      <c r="AF58" s="212" t="str">
        <f t="shared" si="78"/>
        <v>AMC2-S1</v>
      </c>
      <c r="AG58" s="212">
        <f t="shared" si="79"/>
        <v>1</v>
      </c>
      <c r="AH58" s="203">
        <f t="shared" ref="AH58:AH68" si="90">+AG58*J58</f>
        <v>2</v>
      </c>
      <c r="AI58" s="203">
        <f t="shared" ref="AI58:AI68" ca="1" si="91">MIN(T58,AH58)</f>
        <v>2</v>
      </c>
      <c r="AJ58" s="203">
        <f t="shared" ref="AJ58:AJ68" ca="1" si="92">+AH58-AI58</f>
        <v>0</v>
      </c>
      <c r="AK58" s="212" t="str">
        <f t="shared" si="80"/>
        <v>N/A</v>
      </c>
      <c r="AL58" s="212">
        <f t="shared" si="81"/>
        <v>0</v>
      </c>
      <c r="AM58" s="203">
        <f t="shared" ref="AM58:AM68" si="93">+AL58*J58</f>
        <v>0</v>
      </c>
      <c r="AN58" s="203">
        <f t="shared" ref="AN58:AN68" ca="1" si="94">MIN(T58-AI58,AL58)</f>
        <v>0</v>
      </c>
      <c r="AO58" s="203">
        <f t="shared" ref="AO58:AO68" ca="1" si="95">+AM58-AN58</f>
        <v>0</v>
      </c>
      <c r="AP58" s="212" t="str">
        <f t="shared" si="82"/>
        <v>N/A</v>
      </c>
      <c r="AQ58" s="212">
        <f t="shared" si="83"/>
        <v>0</v>
      </c>
      <c r="AR58" s="203">
        <f t="shared" ref="AR58:AR68" si="96">+AQ58*J58</f>
        <v>0</v>
      </c>
      <c r="AS58" s="203">
        <f t="shared" ref="AS58:AS68" ca="1" si="97">MIN(T58-AI58-AN58,AR58)</f>
        <v>0</v>
      </c>
      <c r="AT58" s="203">
        <f t="shared" ref="AT58:AT68" ca="1" si="98">+AR58-AS58</f>
        <v>0</v>
      </c>
      <c r="AU58" s="212" t="str">
        <f t="shared" si="84"/>
        <v>N/A</v>
      </c>
      <c r="AV58" s="212">
        <f t="shared" si="85"/>
        <v>0</v>
      </c>
      <c r="AW58" s="203">
        <f t="shared" ref="AW58:AW68" si="99">+AV58*J58</f>
        <v>0</v>
      </c>
      <c r="AX58" s="203">
        <f t="shared" ref="AX58:AX68" ca="1" si="100">MIN(T58-AI58-AN58-AS58,AW58)</f>
        <v>0</v>
      </c>
      <c r="AY58" s="203">
        <f t="shared" ref="AY58:AY68" ca="1" si="101">+AW58-AX58</f>
        <v>0</v>
      </c>
      <c r="AZ58" s="212"/>
      <c r="BA58" s="213" t="s">
        <v>141</v>
      </c>
      <c r="BB58" s="213" t="s">
        <v>140</v>
      </c>
      <c r="BC58" s="213" t="s">
        <v>140</v>
      </c>
      <c r="BD58" s="213" t="s">
        <v>140</v>
      </c>
      <c r="BE58" s="148"/>
      <c r="BF58" s="212" t="s">
        <v>1789</v>
      </c>
      <c r="BG58" s="117"/>
      <c r="BH58" s="155"/>
      <c r="BI58" s="216"/>
      <c r="BJ58" s="216"/>
      <c r="BK58" s="216"/>
      <c r="BL58" s="149"/>
      <c r="BM58" s="149"/>
      <c r="BN58" s="149"/>
      <c r="BO58" s="149"/>
      <c r="BP58" s="149"/>
      <c r="BQ58" s="149"/>
      <c r="BR58" s="117">
        <v>0</v>
      </c>
      <c r="BS58" s="117">
        <v>1</v>
      </c>
      <c r="BT58" s="117">
        <v>0</v>
      </c>
      <c r="BU58" s="117">
        <v>1</v>
      </c>
      <c r="BV58" s="117">
        <v>0</v>
      </c>
      <c r="BW58" s="117">
        <v>0</v>
      </c>
      <c r="BX58" s="117">
        <v>0</v>
      </c>
      <c r="BY58" s="117" t="s">
        <v>1790</v>
      </c>
      <c r="BZ58" s="117" t="s">
        <v>57</v>
      </c>
      <c r="CA58" s="117">
        <v>2</v>
      </c>
      <c r="CB58" s="149"/>
      <c r="CC58" s="155"/>
      <c r="CD58" s="155"/>
      <c r="CE58" s="217"/>
      <c r="CF58" s="148">
        <f t="shared" ref="CF58:CF68" si="102">+L58-CA58</f>
        <v>0</v>
      </c>
    </row>
    <row r="59" spans="1:84" ht="17.25" hidden="1" customHeight="1">
      <c r="A59" s="141"/>
      <c r="B59" s="199" t="s">
        <v>2042</v>
      </c>
      <c r="C59" s="199" t="s">
        <v>2172</v>
      </c>
      <c r="D59" s="199" t="s">
        <v>1084</v>
      </c>
      <c r="E59" s="199" t="s">
        <v>1791</v>
      </c>
      <c r="F59" s="199" t="s">
        <v>1396</v>
      </c>
      <c r="G59" s="199" t="s">
        <v>1397</v>
      </c>
      <c r="H59" s="200">
        <v>1930</v>
      </c>
      <c r="I59" s="201" t="s">
        <v>147</v>
      </c>
      <c r="J59" s="165">
        <v>1</v>
      </c>
      <c r="K59" s="202">
        <f t="shared" si="77"/>
        <v>1</v>
      </c>
      <c r="L59" s="202">
        <f t="shared" si="86"/>
        <v>1</v>
      </c>
      <c r="M59" s="203">
        <v>98</v>
      </c>
      <c r="N59" s="203">
        <f t="shared" si="87"/>
        <v>98</v>
      </c>
      <c r="O59" s="203" t="s">
        <v>137</v>
      </c>
      <c r="P59" s="203" t="s">
        <v>13</v>
      </c>
      <c r="Q59" s="203" t="s">
        <v>154</v>
      </c>
      <c r="R59" s="203"/>
      <c r="S59" s="203"/>
      <c r="T59" s="203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1</v>
      </c>
      <c r="U59" s="203">
        <f t="shared" ca="1" si="88"/>
        <v>0</v>
      </c>
      <c r="V59" s="203">
        <f t="shared" ca="1" si="89"/>
        <v>1</v>
      </c>
      <c r="W59" s="203"/>
      <c r="X59" s="203"/>
      <c r="Y59" s="203"/>
      <c r="Z59" s="203"/>
      <c r="AA59" s="203"/>
      <c r="AB59" s="203"/>
      <c r="AC59" s="205" t="s">
        <v>196</v>
      </c>
      <c r="AD59" s="206" t="s">
        <v>2039</v>
      </c>
      <c r="AE59" s="166"/>
      <c r="AF59" s="203" t="str">
        <f t="shared" si="78"/>
        <v>AMC2-S1</v>
      </c>
      <c r="AG59" s="203">
        <f t="shared" si="79"/>
        <v>1</v>
      </c>
      <c r="AH59" s="203">
        <f t="shared" si="90"/>
        <v>1</v>
      </c>
      <c r="AI59" s="203">
        <f t="shared" ca="1" si="91"/>
        <v>1</v>
      </c>
      <c r="AJ59" s="203">
        <f t="shared" ca="1" si="92"/>
        <v>0</v>
      </c>
      <c r="AK59" s="203" t="str">
        <f t="shared" si="80"/>
        <v>N/A</v>
      </c>
      <c r="AL59" s="203">
        <f t="shared" si="81"/>
        <v>0</v>
      </c>
      <c r="AM59" s="203">
        <f t="shared" si="93"/>
        <v>0</v>
      </c>
      <c r="AN59" s="203">
        <f t="shared" ca="1" si="94"/>
        <v>0</v>
      </c>
      <c r="AO59" s="203">
        <f t="shared" ca="1" si="95"/>
        <v>0</v>
      </c>
      <c r="AP59" s="203" t="str">
        <f t="shared" si="82"/>
        <v>N/A</v>
      </c>
      <c r="AQ59" s="203">
        <f t="shared" si="83"/>
        <v>0</v>
      </c>
      <c r="AR59" s="203">
        <f t="shared" si="96"/>
        <v>0</v>
      </c>
      <c r="AS59" s="203">
        <f t="shared" ca="1" si="97"/>
        <v>0</v>
      </c>
      <c r="AT59" s="203">
        <f t="shared" ca="1" si="98"/>
        <v>0</v>
      </c>
      <c r="AU59" s="203" t="str">
        <f t="shared" si="84"/>
        <v>N/A</v>
      </c>
      <c r="AV59" s="203">
        <f t="shared" si="85"/>
        <v>0</v>
      </c>
      <c r="AW59" s="203">
        <f t="shared" si="99"/>
        <v>0</v>
      </c>
      <c r="AX59" s="203">
        <f t="shared" ca="1" si="100"/>
        <v>0</v>
      </c>
      <c r="AY59" s="203">
        <f t="shared" ca="1" si="101"/>
        <v>0</v>
      </c>
      <c r="AZ59" s="203"/>
      <c r="BA59" s="204" t="s">
        <v>141</v>
      </c>
      <c r="BB59" s="204" t="s">
        <v>140</v>
      </c>
      <c r="BC59" s="204" t="s">
        <v>140</v>
      </c>
      <c r="BD59" s="204" t="s">
        <v>140</v>
      </c>
      <c r="BE59" s="166"/>
      <c r="BF59" s="203" t="s">
        <v>1789</v>
      </c>
      <c r="BG59" s="141"/>
      <c r="BH59" s="152"/>
      <c r="BI59" s="207"/>
      <c r="BJ59" s="230" t="s">
        <v>1940</v>
      </c>
      <c r="BK59" s="230"/>
      <c r="BL59" s="153" t="s">
        <v>1932</v>
      </c>
      <c r="BM59" s="153"/>
      <c r="BN59" s="153"/>
      <c r="BO59" s="153"/>
      <c r="BP59" s="153"/>
      <c r="BQ59" s="153"/>
      <c r="BR59" s="141">
        <v>0</v>
      </c>
      <c r="BS59" s="141">
        <v>1</v>
      </c>
      <c r="BT59" s="141">
        <v>0</v>
      </c>
      <c r="BU59" s="141">
        <v>1</v>
      </c>
      <c r="BV59" s="141">
        <v>0</v>
      </c>
      <c r="BW59" s="141">
        <v>0</v>
      </c>
      <c r="BX59" s="141">
        <v>0</v>
      </c>
      <c r="BY59" s="141" t="s">
        <v>1790</v>
      </c>
      <c r="BZ59" s="141" t="s">
        <v>1398</v>
      </c>
      <c r="CA59" s="141">
        <v>2</v>
      </c>
      <c r="CB59" s="153">
        <v>46186</v>
      </c>
      <c r="CC59" s="152"/>
      <c r="CD59" s="152"/>
      <c r="CE59" s="208"/>
      <c r="CF59" s="166">
        <f t="shared" si="102"/>
        <v>-1</v>
      </c>
    </row>
    <row r="60" spans="1:84" ht="17.25" hidden="1" customHeight="1">
      <c r="A60" s="117"/>
      <c r="B60" s="209" t="s">
        <v>2042</v>
      </c>
      <c r="C60" s="209" t="s">
        <v>2172</v>
      </c>
      <c r="D60" s="209" t="s">
        <v>1084</v>
      </c>
      <c r="E60" s="209" t="s">
        <v>1947</v>
      </c>
      <c r="F60" s="209" t="s">
        <v>1399</v>
      </c>
      <c r="G60" s="209" t="s">
        <v>1397</v>
      </c>
      <c r="H60" s="210">
        <v>1930</v>
      </c>
      <c r="I60" s="211" t="s">
        <v>147</v>
      </c>
      <c r="J60" s="144">
        <v>1</v>
      </c>
      <c r="K60" s="145">
        <f t="shared" si="77"/>
        <v>1</v>
      </c>
      <c r="L60" s="202">
        <f t="shared" si="86"/>
        <v>1</v>
      </c>
      <c r="M60" s="212">
        <v>98</v>
      </c>
      <c r="N60" s="203">
        <f t="shared" si="87"/>
        <v>98</v>
      </c>
      <c r="O60" s="212" t="s">
        <v>137</v>
      </c>
      <c r="P60" s="212" t="s">
        <v>13</v>
      </c>
      <c r="Q60" s="212" t="s">
        <v>154</v>
      </c>
      <c r="R60" s="212"/>
      <c r="S60" s="212"/>
      <c r="T60" s="203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1</v>
      </c>
      <c r="U60" s="203">
        <f t="shared" ca="1" si="88"/>
        <v>0</v>
      </c>
      <c r="V60" s="203">
        <f t="shared" ca="1" si="89"/>
        <v>1</v>
      </c>
      <c r="W60" s="212"/>
      <c r="X60" s="212"/>
      <c r="Y60" s="212"/>
      <c r="Z60" s="212"/>
      <c r="AA60" s="212"/>
      <c r="AB60" s="212"/>
      <c r="AC60" s="214" t="s">
        <v>196</v>
      </c>
      <c r="AD60" s="215" t="s">
        <v>2039</v>
      </c>
      <c r="AE60" s="148"/>
      <c r="AF60" s="212" t="str">
        <f t="shared" si="78"/>
        <v>AMC2-S1</v>
      </c>
      <c r="AG60" s="212">
        <f t="shared" si="79"/>
        <v>1</v>
      </c>
      <c r="AH60" s="203">
        <f t="shared" si="90"/>
        <v>1</v>
      </c>
      <c r="AI60" s="203">
        <f t="shared" ca="1" si="91"/>
        <v>1</v>
      </c>
      <c r="AJ60" s="203">
        <f t="shared" ca="1" si="92"/>
        <v>0</v>
      </c>
      <c r="AK60" s="212" t="str">
        <f t="shared" si="80"/>
        <v>N/A</v>
      </c>
      <c r="AL60" s="212">
        <f t="shared" si="81"/>
        <v>0</v>
      </c>
      <c r="AM60" s="203">
        <f t="shared" si="93"/>
        <v>0</v>
      </c>
      <c r="AN60" s="203">
        <f t="shared" ca="1" si="94"/>
        <v>0</v>
      </c>
      <c r="AO60" s="203">
        <f t="shared" ca="1" si="95"/>
        <v>0</v>
      </c>
      <c r="AP60" s="212" t="str">
        <f t="shared" si="82"/>
        <v>N/A</v>
      </c>
      <c r="AQ60" s="212">
        <f t="shared" si="83"/>
        <v>0</v>
      </c>
      <c r="AR60" s="203">
        <f t="shared" si="96"/>
        <v>0</v>
      </c>
      <c r="AS60" s="203">
        <f t="shared" ca="1" si="97"/>
        <v>0</v>
      </c>
      <c r="AT60" s="203">
        <f t="shared" ca="1" si="98"/>
        <v>0</v>
      </c>
      <c r="AU60" s="212" t="str">
        <f t="shared" si="84"/>
        <v>N/A</v>
      </c>
      <c r="AV60" s="212">
        <f t="shared" si="85"/>
        <v>0</v>
      </c>
      <c r="AW60" s="203">
        <f t="shared" si="99"/>
        <v>0</v>
      </c>
      <c r="AX60" s="203">
        <f t="shared" ca="1" si="100"/>
        <v>0</v>
      </c>
      <c r="AY60" s="203">
        <f t="shared" ca="1" si="101"/>
        <v>0</v>
      </c>
      <c r="AZ60" s="212"/>
      <c r="BA60" s="213" t="s">
        <v>141</v>
      </c>
      <c r="BB60" s="213" t="s">
        <v>140</v>
      </c>
      <c r="BC60" s="213" t="s">
        <v>140</v>
      </c>
      <c r="BD60" s="213" t="s">
        <v>140</v>
      </c>
      <c r="BE60" s="148"/>
      <c r="BF60" s="212" t="s">
        <v>1789</v>
      </c>
      <c r="BG60" s="117"/>
      <c r="BH60" s="155"/>
      <c r="BI60" s="216"/>
      <c r="BJ60" s="229" t="s">
        <v>1948</v>
      </c>
      <c r="BK60" s="229"/>
      <c r="BL60" s="149"/>
      <c r="BM60" s="149"/>
      <c r="BN60" s="149"/>
      <c r="BO60" s="149"/>
      <c r="BP60" s="149"/>
      <c r="BQ60" s="149"/>
      <c r="BR60" s="117">
        <v>0</v>
      </c>
      <c r="BS60" s="117">
        <v>1</v>
      </c>
      <c r="BT60" s="117">
        <v>0</v>
      </c>
      <c r="BU60" s="117">
        <v>1</v>
      </c>
      <c r="BV60" s="117">
        <v>0</v>
      </c>
      <c r="BW60" s="117">
        <v>0</v>
      </c>
      <c r="BX60" s="117">
        <v>0</v>
      </c>
      <c r="BY60" s="117" t="s">
        <v>1790</v>
      </c>
      <c r="BZ60" s="117"/>
      <c r="CA60" s="117"/>
      <c r="CB60" s="149"/>
      <c r="CC60" s="155"/>
      <c r="CD60" s="155"/>
      <c r="CE60" s="217"/>
      <c r="CF60" s="166">
        <f t="shared" si="102"/>
        <v>1</v>
      </c>
    </row>
    <row r="61" spans="1:84" ht="17.25" hidden="1" customHeight="1">
      <c r="A61" s="117"/>
      <c r="B61" s="209" t="s">
        <v>2042</v>
      </c>
      <c r="C61" s="209" t="s">
        <v>2172</v>
      </c>
      <c r="D61" s="209" t="s">
        <v>1084</v>
      </c>
      <c r="E61" s="209" t="s">
        <v>1792</v>
      </c>
      <c r="F61" s="209" t="s">
        <v>1400</v>
      </c>
      <c r="G61" s="209" t="s">
        <v>1397</v>
      </c>
      <c r="H61" s="210">
        <v>5608</v>
      </c>
      <c r="I61" s="211" t="s">
        <v>147</v>
      </c>
      <c r="J61" s="144">
        <v>1</v>
      </c>
      <c r="K61" s="145">
        <f t="shared" si="77"/>
        <v>1</v>
      </c>
      <c r="L61" s="202">
        <f t="shared" si="86"/>
        <v>1</v>
      </c>
      <c r="M61" s="212">
        <v>326.2</v>
      </c>
      <c r="N61" s="203">
        <f t="shared" si="87"/>
        <v>326.2</v>
      </c>
      <c r="O61" s="212" t="s">
        <v>137</v>
      </c>
      <c r="P61" s="212" t="s">
        <v>13</v>
      </c>
      <c r="Q61" s="212" t="s">
        <v>154</v>
      </c>
      <c r="R61" s="212"/>
      <c r="S61" s="212"/>
      <c r="T61" s="203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1</v>
      </c>
      <c r="U61" s="203">
        <f t="shared" ca="1" si="88"/>
        <v>0</v>
      </c>
      <c r="V61" s="203">
        <f t="shared" ca="1" si="89"/>
        <v>1</v>
      </c>
      <c r="W61" s="212"/>
      <c r="X61" s="212"/>
      <c r="Y61" s="212"/>
      <c r="Z61" s="212"/>
      <c r="AA61" s="212"/>
      <c r="AB61" s="212"/>
      <c r="AC61" s="214" t="s">
        <v>196</v>
      </c>
      <c r="AD61" s="215" t="s">
        <v>2039</v>
      </c>
      <c r="AE61" s="148"/>
      <c r="AF61" s="212" t="str">
        <f t="shared" si="78"/>
        <v>AMC2-S1</v>
      </c>
      <c r="AG61" s="212">
        <f t="shared" si="79"/>
        <v>1</v>
      </c>
      <c r="AH61" s="203">
        <f t="shared" si="90"/>
        <v>1</v>
      </c>
      <c r="AI61" s="203">
        <f t="shared" ca="1" si="91"/>
        <v>1</v>
      </c>
      <c r="AJ61" s="203">
        <f t="shared" ca="1" si="92"/>
        <v>0</v>
      </c>
      <c r="AK61" s="212" t="str">
        <f t="shared" si="80"/>
        <v>N/A</v>
      </c>
      <c r="AL61" s="212">
        <f t="shared" si="81"/>
        <v>0</v>
      </c>
      <c r="AM61" s="203">
        <f t="shared" si="93"/>
        <v>0</v>
      </c>
      <c r="AN61" s="203">
        <f t="shared" ca="1" si="94"/>
        <v>0</v>
      </c>
      <c r="AO61" s="203">
        <f t="shared" ca="1" si="95"/>
        <v>0</v>
      </c>
      <c r="AP61" s="212" t="str">
        <f t="shared" si="82"/>
        <v>N/A</v>
      </c>
      <c r="AQ61" s="212">
        <f t="shared" si="83"/>
        <v>0</v>
      </c>
      <c r="AR61" s="203">
        <f t="shared" si="96"/>
        <v>0</v>
      </c>
      <c r="AS61" s="203">
        <f t="shared" ca="1" si="97"/>
        <v>0</v>
      </c>
      <c r="AT61" s="203">
        <f t="shared" ca="1" si="98"/>
        <v>0</v>
      </c>
      <c r="AU61" s="212" t="str">
        <f t="shared" si="84"/>
        <v>N/A</v>
      </c>
      <c r="AV61" s="212">
        <f t="shared" si="85"/>
        <v>0</v>
      </c>
      <c r="AW61" s="203">
        <f t="shared" si="99"/>
        <v>0</v>
      </c>
      <c r="AX61" s="203">
        <f t="shared" ca="1" si="100"/>
        <v>0</v>
      </c>
      <c r="AY61" s="203">
        <f t="shared" ca="1" si="101"/>
        <v>0</v>
      </c>
      <c r="AZ61" s="212"/>
      <c r="BA61" s="213" t="s">
        <v>141</v>
      </c>
      <c r="BB61" s="213" t="s">
        <v>140</v>
      </c>
      <c r="BC61" s="213" t="s">
        <v>140</v>
      </c>
      <c r="BD61" s="213" t="s">
        <v>140</v>
      </c>
      <c r="BE61" s="148"/>
      <c r="BF61" s="212" t="s">
        <v>1789</v>
      </c>
      <c r="BG61" s="117"/>
      <c r="BH61" s="155"/>
      <c r="BI61" s="216"/>
      <c r="BJ61" s="216"/>
      <c r="BK61" s="216"/>
      <c r="BL61" s="149"/>
      <c r="BM61" s="149"/>
      <c r="BN61" s="149"/>
      <c r="BO61" s="149"/>
      <c r="BP61" s="149"/>
      <c r="BQ61" s="149"/>
      <c r="BR61" s="117">
        <v>0</v>
      </c>
      <c r="BS61" s="117">
        <v>1</v>
      </c>
      <c r="BT61" s="117">
        <v>0</v>
      </c>
      <c r="BU61" s="117">
        <v>1</v>
      </c>
      <c r="BV61" s="117">
        <v>0</v>
      </c>
      <c r="BW61" s="117">
        <v>0</v>
      </c>
      <c r="BX61" s="117">
        <v>0</v>
      </c>
      <c r="BY61" s="117" t="s">
        <v>1790</v>
      </c>
      <c r="BZ61" s="117" t="s">
        <v>57</v>
      </c>
      <c r="CA61" s="117">
        <v>1</v>
      </c>
      <c r="CB61" s="149"/>
      <c r="CC61" s="155"/>
      <c r="CD61" s="155"/>
      <c r="CE61" s="217"/>
      <c r="CF61" s="148">
        <f t="shared" si="102"/>
        <v>0</v>
      </c>
    </row>
    <row r="62" spans="1:84" ht="17.25" hidden="1" customHeight="1">
      <c r="A62" s="117"/>
      <c r="B62" s="209" t="s">
        <v>2042</v>
      </c>
      <c r="C62" s="209" t="s">
        <v>2172</v>
      </c>
      <c r="D62" s="209" t="s">
        <v>1084</v>
      </c>
      <c r="E62" s="209" t="s">
        <v>1949</v>
      </c>
      <c r="F62" s="209" t="s">
        <v>1401</v>
      </c>
      <c r="G62" s="209" t="s">
        <v>1397</v>
      </c>
      <c r="H62" s="210">
        <v>5608</v>
      </c>
      <c r="I62" s="211" t="s">
        <v>147</v>
      </c>
      <c r="J62" s="144">
        <v>1</v>
      </c>
      <c r="K62" s="145">
        <f t="shared" si="77"/>
        <v>1</v>
      </c>
      <c r="L62" s="202">
        <f t="shared" si="86"/>
        <v>1</v>
      </c>
      <c r="M62" s="212">
        <v>326.2</v>
      </c>
      <c r="N62" s="203">
        <f t="shared" si="87"/>
        <v>326.2</v>
      </c>
      <c r="O62" s="212" t="s">
        <v>137</v>
      </c>
      <c r="P62" s="212" t="s">
        <v>13</v>
      </c>
      <c r="Q62" s="212" t="s">
        <v>154</v>
      </c>
      <c r="R62" s="212"/>
      <c r="S62" s="212"/>
      <c r="T62" s="203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1</v>
      </c>
      <c r="U62" s="203">
        <f t="shared" ca="1" si="88"/>
        <v>0</v>
      </c>
      <c r="V62" s="203">
        <f t="shared" ca="1" si="89"/>
        <v>1</v>
      </c>
      <c r="W62" s="212"/>
      <c r="X62" s="212"/>
      <c r="Y62" s="212"/>
      <c r="Z62" s="212"/>
      <c r="AA62" s="212"/>
      <c r="AB62" s="212"/>
      <c r="AC62" s="214" t="s">
        <v>196</v>
      </c>
      <c r="AD62" s="215" t="s">
        <v>2039</v>
      </c>
      <c r="AE62" s="148"/>
      <c r="AF62" s="212" t="str">
        <f t="shared" si="78"/>
        <v>AMC2-S1</v>
      </c>
      <c r="AG62" s="212">
        <f t="shared" si="79"/>
        <v>1</v>
      </c>
      <c r="AH62" s="203">
        <f t="shared" si="90"/>
        <v>1</v>
      </c>
      <c r="AI62" s="203">
        <f t="shared" ca="1" si="91"/>
        <v>1</v>
      </c>
      <c r="AJ62" s="203">
        <f t="shared" ca="1" si="92"/>
        <v>0</v>
      </c>
      <c r="AK62" s="212" t="str">
        <f t="shared" si="80"/>
        <v>N/A</v>
      </c>
      <c r="AL62" s="212">
        <f t="shared" si="81"/>
        <v>0</v>
      </c>
      <c r="AM62" s="203">
        <f t="shared" si="93"/>
        <v>0</v>
      </c>
      <c r="AN62" s="203">
        <f t="shared" ca="1" si="94"/>
        <v>0</v>
      </c>
      <c r="AO62" s="203">
        <f t="shared" ca="1" si="95"/>
        <v>0</v>
      </c>
      <c r="AP62" s="212" t="str">
        <f t="shared" si="82"/>
        <v>N/A</v>
      </c>
      <c r="AQ62" s="212">
        <f t="shared" si="83"/>
        <v>0</v>
      </c>
      <c r="AR62" s="203">
        <f t="shared" si="96"/>
        <v>0</v>
      </c>
      <c r="AS62" s="203">
        <f t="shared" ca="1" si="97"/>
        <v>0</v>
      </c>
      <c r="AT62" s="203">
        <f t="shared" ca="1" si="98"/>
        <v>0</v>
      </c>
      <c r="AU62" s="212" t="str">
        <f t="shared" si="84"/>
        <v>N/A</v>
      </c>
      <c r="AV62" s="212">
        <f t="shared" si="85"/>
        <v>0</v>
      </c>
      <c r="AW62" s="203">
        <f t="shared" si="99"/>
        <v>0</v>
      </c>
      <c r="AX62" s="203">
        <f t="shared" ca="1" si="100"/>
        <v>0</v>
      </c>
      <c r="AY62" s="203">
        <f t="shared" ca="1" si="101"/>
        <v>0</v>
      </c>
      <c r="AZ62" s="212"/>
      <c r="BA62" s="213" t="s">
        <v>141</v>
      </c>
      <c r="BB62" s="213" t="s">
        <v>140</v>
      </c>
      <c r="BC62" s="213" t="s">
        <v>140</v>
      </c>
      <c r="BD62" s="213" t="s">
        <v>140</v>
      </c>
      <c r="BE62" s="148"/>
      <c r="BF62" s="212" t="s">
        <v>1789</v>
      </c>
      <c r="BG62" s="117"/>
      <c r="BH62" s="155"/>
      <c r="BI62" s="216"/>
      <c r="BJ62" s="216"/>
      <c r="BK62" s="216"/>
      <c r="BL62" s="149"/>
      <c r="BM62" s="149"/>
      <c r="BN62" s="149"/>
      <c r="BO62" s="149"/>
      <c r="BP62" s="149"/>
      <c r="BQ62" s="149"/>
      <c r="BR62" s="117">
        <v>0</v>
      </c>
      <c r="BS62" s="117">
        <v>1</v>
      </c>
      <c r="BT62" s="117">
        <v>0</v>
      </c>
      <c r="BU62" s="117">
        <v>1</v>
      </c>
      <c r="BV62" s="117">
        <v>0</v>
      </c>
      <c r="BW62" s="117">
        <v>0</v>
      </c>
      <c r="BX62" s="117">
        <v>0</v>
      </c>
      <c r="BY62" s="117" t="s">
        <v>1790</v>
      </c>
      <c r="BZ62" s="117" t="s">
        <v>57</v>
      </c>
      <c r="CA62" s="117">
        <v>1</v>
      </c>
      <c r="CB62" s="149"/>
      <c r="CC62" s="155"/>
      <c r="CD62" s="155"/>
      <c r="CE62" s="217"/>
      <c r="CF62" s="148">
        <f t="shared" si="102"/>
        <v>0</v>
      </c>
    </row>
    <row r="63" spans="1:84" ht="17.25" hidden="1" customHeight="1">
      <c r="A63" s="117"/>
      <c r="B63" s="209" t="s">
        <v>2042</v>
      </c>
      <c r="C63" s="209" t="s">
        <v>2172</v>
      </c>
      <c r="D63" s="209" t="s">
        <v>1296</v>
      </c>
      <c r="E63" s="209" t="s">
        <v>1793</v>
      </c>
      <c r="F63" s="209" t="s">
        <v>1402</v>
      </c>
      <c r="G63" s="209" t="s">
        <v>1157</v>
      </c>
      <c r="H63" s="210">
        <v>11521</v>
      </c>
      <c r="I63" s="211" t="s">
        <v>147</v>
      </c>
      <c r="J63" s="144">
        <v>2</v>
      </c>
      <c r="K63" s="145">
        <f t="shared" si="77"/>
        <v>1</v>
      </c>
      <c r="L63" s="202">
        <f t="shared" si="86"/>
        <v>2</v>
      </c>
      <c r="M63" s="212">
        <v>434.1</v>
      </c>
      <c r="N63" s="203">
        <f t="shared" si="87"/>
        <v>868.2</v>
      </c>
      <c r="O63" s="212" t="s">
        <v>137</v>
      </c>
      <c r="P63" s="212" t="s">
        <v>13</v>
      </c>
      <c r="Q63" s="212" t="s">
        <v>148</v>
      </c>
      <c r="R63" s="212"/>
      <c r="S63" s="212"/>
      <c r="T63" s="203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2</v>
      </c>
      <c r="U63" s="203">
        <f t="shared" ca="1" si="88"/>
        <v>0</v>
      </c>
      <c r="V63" s="203">
        <f t="shared" ca="1" si="89"/>
        <v>1</v>
      </c>
      <c r="W63" s="212"/>
      <c r="X63" s="212"/>
      <c r="Y63" s="212"/>
      <c r="Z63" s="212"/>
      <c r="AA63" s="212"/>
      <c r="AB63" s="212"/>
      <c r="AC63" s="214" t="s">
        <v>196</v>
      </c>
      <c r="AD63" s="215" t="s">
        <v>2039</v>
      </c>
      <c r="AE63" s="148"/>
      <c r="AF63" s="212" t="str">
        <f t="shared" si="78"/>
        <v>AMC2-S1</v>
      </c>
      <c r="AG63" s="212">
        <f t="shared" si="79"/>
        <v>1</v>
      </c>
      <c r="AH63" s="203">
        <f t="shared" si="90"/>
        <v>2</v>
      </c>
      <c r="AI63" s="203">
        <f t="shared" ca="1" si="91"/>
        <v>2</v>
      </c>
      <c r="AJ63" s="203">
        <f t="shared" ca="1" si="92"/>
        <v>0</v>
      </c>
      <c r="AK63" s="212" t="str">
        <f t="shared" si="80"/>
        <v>N/A</v>
      </c>
      <c r="AL63" s="212">
        <f t="shared" si="81"/>
        <v>0</v>
      </c>
      <c r="AM63" s="203">
        <f t="shared" si="93"/>
        <v>0</v>
      </c>
      <c r="AN63" s="203">
        <f t="shared" ca="1" si="94"/>
        <v>0</v>
      </c>
      <c r="AO63" s="203">
        <f t="shared" ca="1" si="95"/>
        <v>0</v>
      </c>
      <c r="AP63" s="212" t="str">
        <f t="shared" si="82"/>
        <v>N/A</v>
      </c>
      <c r="AQ63" s="212">
        <f t="shared" si="83"/>
        <v>0</v>
      </c>
      <c r="AR63" s="203">
        <f t="shared" si="96"/>
        <v>0</v>
      </c>
      <c r="AS63" s="203">
        <f t="shared" ca="1" si="97"/>
        <v>0</v>
      </c>
      <c r="AT63" s="203">
        <f t="shared" ca="1" si="98"/>
        <v>0</v>
      </c>
      <c r="AU63" s="212" t="str">
        <f t="shared" si="84"/>
        <v>N/A</v>
      </c>
      <c r="AV63" s="212">
        <f t="shared" si="85"/>
        <v>0</v>
      </c>
      <c r="AW63" s="203">
        <f t="shared" si="99"/>
        <v>0</v>
      </c>
      <c r="AX63" s="203">
        <f t="shared" ca="1" si="100"/>
        <v>0</v>
      </c>
      <c r="AY63" s="203">
        <f t="shared" ca="1" si="101"/>
        <v>0</v>
      </c>
      <c r="AZ63" s="212"/>
      <c r="BA63" s="213" t="s">
        <v>141</v>
      </c>
      <c r="BB63" s="213" t="s">
        <v>140</v>
      </c>
      <c r="BC63" s="213" t="s">
        <v>140</v>
      </c>
      <c r="BD63" s="213" t="s">
        <v>140</v>
      </c>
      <c r="BE63" s="148"/>
      <c r="BF63" s="212" t="s">
        <v>1789</v>
      </c>
      <c r="BG63" s="117"/>
      <c r="BH63" s="155"/>
      <c r="BI63" s="216"/>
      <c r="BJ63" s="216"/>
      <c r="BK63" s="216"/>
      <c r="BL63" s="149"/>
      <c r="BM63" s="149"/>
      <c r="BN63" s="149"/>
      <c r="BO63" s="149"/>
      <c r="BP63" s="149"/>
      <c r="BQ63" s="149"/>
      <c r="BR63" s="117">
        <v>0</v>
      </c>
      <c r="BS63" s="117">
        <v>0</v>
      </c>
      <c r="BT63" s="117">
        <v>0</v>
      </c>
      <c r="BU63" s="117">
        <v>0</v>
      </c>
      <c r="BV63" s="117">
        <v>0</v>
      </c>
      <c r="BW63" s="117">
        <v>0</v>
      </c>
      <c r="BX63" s="117">
        <v>0</v>
      </c>
      <c r="BY63" s="117" t="s">
        <v>1790</v>
      </c>
      <c r="BZ63" s="117" t="s">
        <v>1303</v>
      </c>
      <c r="CA63" s="117">
        <v>2</v>
      </c>
      <c r="CB63" s="149">
        <v>46206</v>
      </c>
      <c r="CC63" s="155"/>
      <c r="CD63" s="117"/>
      <c r="CE63" s="217"/>
      <c r="CF63" s="148">
        <f t="shared" si="102"/>
        <v>0</v>
      </c>
    </row>
    <row r="64" spans="1:84" ht="17.25" hidden="1" customHeight="1">
      <c r="A64" s="117"/>
      <c r="B64" s="209" t="s">
        <v>2042</v>
      </c>
      <c r="C64" s="209" t="s">
        <v>2172</v>
      </c>
      <c r="D64" s="209" t="s">
        <v>1296</v>
      </c>
      <c r="E64" s="209" t="s">
        <v>1794</v>
      </c>
      <c r="F64" s="209" t="s">
        <v>1403</v>
      </c>
      <c r="G64" s="209" t="s">
        <v>1163</v>
      </c>
      <c r="H64" s="210">
        <v>400</v>
      </c>
      <c r="I64" s="211" t="s">
        <v>147</v>
      </c>
      <c r="J64" s="144">
        <v>6</v>
      </c>
      <c r="K64" s="145">
        <f t="shared" si="77"/>
        <v>1</v>
      </c>
      <c r="L64" s="202">
        <f t="shared" si="86"/>
        <v>6</v>
      </c>
      <c r="M64" s="212">
        <v>4.5</v>
      </c>
      <c r="N64" s="203">
        <f t="shared" si="87"/>
        <v>27</v>
      </c>
      <c r="O64" s="212" t="s">
        <v>137</v>
      </c>
      <c r="P64" s="212" t="s">
        <v>13</v>
      </c>
      <c r="Q64" s="212" t="s">
        <v>148</v>
      </c>
      <c r="R64" s="212"/>
      <c r="S64" s="212"/>
      <c r="T64" s="203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6</v>
      </c>
      <c r="U64" s="203">
        <f t="shared" ca="1" si="88"/>
        <v>0</v>
      </c>
      <c r="V64" s="203">
        <f t="shared" ca="1" si="89"/>
        <v>1</v>
      </c>
      <c r="W64" s="212"/>
      <c r="X64" s="212"/>
      <c r="Y64" s="212"/>
      <c r="Z64" s="212"/>
      <c r="AA64" s="212"/>
      <c r="AB64" s="212"/>
      <c r="AC64" s="214" t="s">
        <v>196</v>
      </c>
      <c r="AD64" s="215" t="s">
        <v>2039</v>
      </c>
      <c r="AE64" s="148"/>
      <c r="AF64" s="212" t="str">
        <f t="shared" si="78"/>
        <v>AMC2-S1</v>
      </c>
      <c r="AG64" s="212">
        <f t="shared" si="79"/>
        <v>1</v>
      </c>
      <c r="AH64" s="203">
        <f t="shared" si="90"/>
        <v>6</v>
      </c>
      <c r="AI64" s="203">
        <f t="shared" ca="1" si="91"/>
        <v>6</v>
      </c>
      <c r="AJ64" s="203">
        <f t="shared" ca="1" si="92"/>
        <v>0</v>
      </c>
      <c r="AK64" s="212" t="str">
        <f t="shared" si="80"/>
        <v>N/A</v>
      </c>
      <c r="AL64" s="212">
        <f t="shared" si="81"/>
        <v>0</v>
      </c>
      <c r="AM64" s="203">
        <f t="shared" si="93"/>
        <v>0</v>
      </c>
      <c r="AN64" s="203">
        <f t="shared" ca="1" si="94"/>
        <v>0</v>
      </c>
      <c r="AO64" s="203">
        <f t="shared" ca="1" si="95"/>
        <v>0</v>
      </c>
      <c r="AP64" s="212" t="str">
        <f t="shared" si="82"/>
        <v>N/A</v>
      </c>
      <c r="AQ64" s="212">
        <f t="shared" si="83"/>
        <v>0</v>
      </c>
      <c r="AR64" s="203">
        <f t="shared" si="96"/>
        <v>0</v>
      </c>
      <c r="AS64" s="203">
        <f t="shared" ca="1" si="97"/>
        <v>0</v>
      </c>
      <c r="AT64" s="203">
        <f t="shared" ca="1" si="98"/>
        <v>0</v>
      </c>
      <c r="AU64" s="212" t="str">
        <f t="shared" si="84"/>
        <v>N/A</v>
      </c>
      <c r="AV64" s="212">
        <f t="shared" si="85"/>
        <v>0</v>
      </c>
      <c r="AW64" s="203">
        <f t="shared" si="99"/>
        <v>0</v>
      </c>
      <c r="AX64" s="203">
        <f t="shared" ca="1" si="100"/>
        <v>0</v>
      </c>
      <c r="AY64" s="203">
        <f t="shared" ca="1" si="101"/>
        <v>0</v>
      </c>
      <c r="AZ64" s="212"/>
      <c r="BA64" s="213" t="s">
        <v>141</v>
      </c>
      <c r="BB64" s="213" t="s">
        <v>140</v>
      </c>
      <c r="BC64" s="213" t="s">
        <v>140</v>
      </c>
      <c r="BD64" s="213" t="s">
        <v>140</v>
      </c>
      <c r="BE64" s="148"/>
      <c r="BF64" s="212" t="s">
        <v>1789</v>
      </c>
      <c r="BG64" s="117"/>
      <c r="BH64" s="155"/>
      <c r="BI64" s="216"/>
      <c r="BJ64" s="216"/>
      <c r="BK64" s="216"/>
      <c r="BL64" s="149"/>
      <c r="BM64" s="149"/>
      <c r="BN64" s="149"/>
      <c r="BO64" s="149"/>
      <c r="BP64" s="149"/>
      <c r="BQ64" s="149"/>
      <c r="BR64" s="117">
        <v>0</v>
      </c>
      <c r="BS64" s="117">
        <v>0</v>
      </c>
      <c r="BT64" s="117">
        <v>0</v>
      </c>
      <c r="BU64" s="117">
        <v>0</v>
      </c>
      <c r="BV64" s="117">
        <v>0</v>
      </c>
      <c r="BW64" s="117">
        <v>0</v>
      </c>
      <c r="BX64" s="117">
        <v>0</v>
      </c>
      <c r="BY64" s="117" t="s">
        <v>1790</v>
      </c>
      <c r="BZ64" s="117" t="s">
        <v>989</v>
      </c>
      <c r="CA64" s="117">
        <v>6</v>
      </c>
      <c r="CB64" s="149">
        <v>46186</v>
      </c>
      <c r="CC64" s="155"/>
      <c r="CD64" s="117"/>
      <c r="CE64" s="217"/>
      <c r="CF64" s="148">
        <f t="shared" si="102"/>
        <v>0</v>
      </c>
    </row>
    <row r="65" spans="1:84" ht="17.25" hidden="1" customHeight="1">
      <c r="A65" s="117"/>
      <c r="B65" s="209" t="s">
        <v>2042</v>
      </c>
      <c r="C65" s="209" t="s">
        <v>2172</v>
      </c>
      <c r="D65" s="209" t="s">
        <v>1296</v>
      </c>
      <c r="E65" s="209" t="s">
        <v>1795</v>
      </c>
      <c r="F65" s="209" t="s">
        <v>1404</v>
      </c>
      <c r="G65" s="209" t="s">
        <v>1090</v>
      </c>
      <c r="H65" s="210">
        <v>460</v>
      </c>
      <c r="I65" s="211" t="s">
        <v>147</v>
      </c>
      <c r="J65" s="144">
        <v>6</v>
      </c>
      <c r="K65" s="145">
        <f t="shared" si="77"/>
        <v>1</v>
      </c>
      <c r="L65" s="202">
        <f t="shared" si="86"/>
        <v>6</v>
      </c>
      <c r="M65" s="212">
        <v>5.5</v>
      </c>
      <c r="N65" s="203">
        <f t="shared" si="87"/>
        <v>33</v>
      </c>
      <c r="O65" s="212" t="s">
        <v>137</v>
      </c>
      <c r="P65" s="212" t="s">
        <v>13</v>
      </c>
      <c r="Q65" s="212" t="s">
        <v>148</v>
      </c>
      <c r="R65" s="212"/>
      <c r="S65" s="212"/>
      <c r="T65" s="203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6</v>
      </c>
      <c r="U65" s="203">
        <f t="shared" ca="1" si="88"/>
        <v>0</v>
      </c>
      <c r="V65" s="203">
        <f t="shared" ca="1" si="89"/>
        <v>1</v>
      </c>
      <c r="W65" s="212"/>
      <c r="X65" s="212"/>
      <c r="Y65" s="212"/>
      <c r="Z65" s="212"/>
      <c r="AA65" s="212"/>
      <c r="AB65" s="212"/>
      <c r="AC65" s="214" t="s">
        <v>196</v>
      </c>
      <c r="AD65" s="215" t="s">
        <v>2039</v>
      </c>
      <c r="AE65" s="148"/>
      <c r="AF65" s="212" t="str">
        <f t="shared" si="78"/>
        <v>AMC2-S1</v>
      </c>
      <c r="AG65" s="212">
        <f t="shared" si="79"/>
        <v>1</v>
      </c>
      <c r="AH65" s="203">
        <f t="shared" si="90"/>
        <v>6</v>
      </c>
      <c r="AI65" s="203">
        <f t="shared" ca="1" si="91"/>
        <v>6</v>
      </c>
      <c r="AJ65" s="203">
        <f t="shared" ca="1" si="92"/>
        <v>0</v>
      </c>
      <c r="AK65" s="212" t="str">
        <f t="shared" si="80"/>
        <v>N/A</v>
      </c>
      <c r="AL65" s="212">
        <f t="shared" si="81"/>
        <v>0</v>
      </c>
      <c r="AM65" s="203">
        <f t="shared" si="93"/>
        <v>0</v>
      </c>
      <c r="AN65" s="203">
        <f t="shared" ca="1" si="94"/>
        <v>0</v>
      </c>
      <c r="AO65" s="203">
        <f t="shared" ca="1" si="95"/>
        <v>0</v>
      </c>
      <c r="AP65" s="212" t="str">
        <f t="shared" si="82"/>
        <v>N/A</v>
      </c>
      <c r="AQ65" s="212">
        <f t="shared" si="83"/>
        <v>0</v>
      </c>
      <c r="AR65" s="203">
        <f t="shared" si="96"/>
        <v>0</v>
      </c>
      <c r="AS65" s="203">
        <f t="shared" ca="1" si="97"/>
        <v>0</v>
      </c>
      <c r="AT65" s="203">
        <f t="shared" ca="1" si="98"/>
        <v>0</v>
      </c>
      <c r="AU65" s="212" t="str">
        <f t="shared" si="84"/>
        <v>N/A</v>
      </c>
      <c r="AV65" s="212">
        <f t="shared" si="85"/>
        <v>0</v>
      </c>
      <c r="AW65" s="203">
        <f t="shared" si="99"/>
        <v>0</v>
      </c>
      <c r="AX65" s="203">
        <f t="shared" ca="1" si="100"/>
        <v>0</v>
      </c>
      <c r="AY65" s="203">
        <f t="shared" ca="1" si="101"/>
        <v>0</v>
      </c>
      <c r="AZ65" s="212"/>
      <c r="BA65" s="213" t="s">
        <v>141</v>
      </c>
      <c r="BB65" s="213" t="s">
        <v>140</v>
      </c>
      <c r="BC65" s="213" t="s">
        <v>140</v>
      </c>
      <c r="BD65" s="213" t="s">
        <v>140</v>
      </c>
      <c r="BE65" s="148"/>
      <c r="BF65" s="212" t="s">
        <v>1789</v>
      </c>
      <c r="BG65" s="117"/>
      <c r="BH65" s="155"/>
      <c r="BI65" s="216"/>
      <c r="BJ65" s="216"/>
      <c r="BK65" s="216"/>
      <c r="BL65" s="149"/>
      <c r="BM65" s="149"/>
      <c r="BN65" s="149"/>
      <c r="BO65" s="149"/>
      <c r="BP65" s="149"/>
      <c r="BQ65" s="149"/>
      <c r="BR65" s="117">
        <v>0</v>
      </c>
      <c r="BS65" s="117">
        <v>0</v>
      </c>
      <c r="BT65" s="117">
        <v>0</v>
      </c>
      <c r="BU65" s="117">
        <v>0</v>
      </c>
      <c r="BV65" s="117">
        <v>0</v>
      </c>
      <c r="BW65" s="117">
        <v>0</v>
      </c>
      <c r="BX65" s="117">
        <v>0</v>
      </c>
      <c r="BY65" s="117" t="s">
        <v>1790</v>
      </c>
      <c r="BZ65" s="117" t="s">
        <v>989</v>
      </c>
      <c r="CA65" s="117">
        <v>6</v>
      </c>
      <c r="CB65" s="149">
        <v>46186</v>
      </c>
      <c r="CC65" s="155"/>
      <c r="CD65" s="117"/>
      <c r="CE65" s="217"/>
      <c r="CF65" s="148">
        <f t="shared" si="102"/>
        <v>0</v>
      </c>
    </row>
    <row r="66" spans="1:84" ht="17.25" hidden="1" customHeight="1">
      <c r="A66" s="117"/>
      <c r="B66" s="209" t="s">
        <v>2042</v>
      </c>
      <c r="C66" s="209" t="s">
        <v>2172</v>
      </c>
      <c r="D66" s="209" t="s">
        <v>1296</v>
      </c>
      <c r="E66" s="209" t="s">
        <v>1796</v>
      </c>
      <c r="F66" s="209" t="s">
        <v>1405</v>
      </c>
      <c r="G66" s="209" t="s">
        <v>1406</v>
      </c>
      <c r="H66" s="210">
        <v>506</v>
      </c>
      <c r="I66" s="211" t="s">
        <v>147</v>
      </c>
      <c r="J66" s="144">
        <v>6</v>
      </c>
      <c r="K66" s="145">
        <f t="shared" si="77"/>
        <v>1</v>
      </c>
      <c r="L66" s="202">
        <f t="shared" si="86"/>
        <v>6</v>
      </c>
      <c r="M66" s="212">
        <v>6.5</v>
      </c>
      <c r="N66" s="203">
        <f t="shared" si="87"/>
        <v>39</v>
      </c>
      <c r="O66" s="212" t="s">
        <v>137</v>
      </c>
      <c r="P66" s="212" t="s">
        <v>13</v>
      </c>
      <c r="Q66" s="212" t="s">
        <v>148</v>
      </c>
      <c r="R66" s="212"/>
      <c r="S66" s="212"/>
      <c r="T66" s="203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6</v>
      </c>
      <c r="U66" s="203">
        <f t="shared" ca="1" si="88"/>
        <v>0</v>
      </c>
      <c r="V66" s="203">
        <f t="shared" ca="1" si="89"/>
        <v>1</v>
      </c>
      <c r="W66" s="212"/>
      <c r="X66" s="212"/>
      <c r="Y66" s="212"/>
      <c r="Z66" s="212"/>
      <c r="AA66" s="212"/>
      <c r="AB66" s="212"/>
      <c r="AC66" s="214" t="s">
        <v>196</v>
      </c>
      <c r="AD66" s="215" t="s">
        <v>2039</v>
      </c>
      <c r="AE66" s="148"/>
      <c r="AF66" s="212" t="str">
        <f t="shared" si="78"/>
        <v>AMC2-S1</v>
      </c>
      <c r="AG66" s="212">
        <f t="shared" si="79"/>
        <v>1</v>
      </c>
      <c r="AH66" s="203">
        <f t="shared" si="90"/>
        <v>6</v>
      </c>
      <c r="AI66" s="203">
        <f t="shared" ca="1" si="91"/>
        <v>6</v>
      </c>
      <c r="AJ66" s="203">
        <f t="shared" ca="1" si="92"/>
        <v>0</v>
      </c>
      <c r="AK66" s="212" t="str">
        <f t="shared" si="80"/>
        <v>N/A</v>
      </c>
      <c r="AL66" s="212">
        <f t="shared" si="81"/>
        <v>0</v>
      </c>
      <c r="AM66" s="203">
        <f t="shared" si="93"/>
        <v>0</v>
      </c>
      <c r="AN66" s="203">
        <f t="shared" ca="1" si="94"/>
        <v>0</v>
      </c>
      <c r="AO66" s="203">
        <f t="shared" ca="1" si="95"/>
        <v>0</v>
      </c>
      <c r="AP66" s="212" t="str">
        <f t="shared" si="82"/>
        <v>N/A</v>
      </c>
      <c r="AQ66" s="212">
        <f t="shared" si="83"/>
        <v>0</v>
      </c>
      <c r="AR66" s="203">
        <f t="shared" si="96"/>
        <v>0</v>
      </c>
      <c r="AS66" s="203">
        <f t="shared" ca="1" si="97"/>
        <v>0</v>
      </c>
      <c r="AT66" s="203">
        <f t="shared" ca="1" si="98"/>
        <v>0</v>
      </c>
      <c r="AU66" s="212" t="str">
        <f t="shared" si="84"/>
        <v>N/A</v>
      </c>
      <c r="AV66" s="212">
        <f t="shared" si="85"/>
        <v>0</v>
      </c>
      <c r="AW66" s="203">
        <f t="shared" si="99"/>
        <v>0</v>
      </c>
      <c r="AX66" s="203">
        <f t="shared" ca="1" si="100"/>
        <v>0</v>
      </c>
      <c r="AY66" s="203">
        <f t="shared" ca="1" si="101"/>
        <v>0</v>
      </c>
      <c r="AZ66" s="212"/>
      <c r="BA66" s="213" t="s">
        <v>141</v>
      </c>
      <c r="BB66" s="213" t="s">
        <v>140</v>
      </c>
      <c r="BC66" s="213" t="s">
        <v>140</v>
      </c>
      <c r="BD66" s="213" t="s">
        <v>140</v>
      </c>
      <c r="BE66" s="148"/>
      <c r="BF66" s="212" t="s">
        <v>1789</v>
      </c>
      <c r="BG66" s="117"/>
      <c r="BH66" s="155"/>
      <c r="BI66" s="216"/>
      <c r="BJ66" s="216"/>
      <c r="BK66" s="216"/>
      <c r="BL66" s="149"/>
      <c r="BM66" s="149"/>
      <c r="BN66" s="149"/>
      <c r="BO66" s="149"/>
      <c r="BP66" s="149"/>
      <c r="BQ66" s="149"/>
      <c r="BR66" s="117">
        <v>0</v>
      </c>
      <c r="BS66" s="117">
        <v>0</v>
      </c>
      <c r="BT66" s="117">
        <v>0</v>
      </c>
      <c r="BU66" s="117">
        <v>1</v>
      </c>
      <c r="BV66" s="117">
        <v>0</v>
      </c>
      <c r="BW66" s="117">
        <v>0</v>
      </c>
      <c r="BX66" s="117">
        <v>0</v>
      </c>
      <c r="BY66" s="117" t="s">
        <v>1790</v>
      </c>
      <c r="BZ66" s="117" t="s">
        <v>1022</v>
      </c>
      <c r="CA66" s="144">
        <v>6</v>
      </c>
      <c r="CB66" s="149">
        <v>46206</v>
      </c>
      <c r="CC66" s="155"/>
      <c r="CD66" s="155"/>
      <c r="CE66" s="217"/>
      <c r="CF66" s="148">
        <f t="shared" si="102"/>
        <v>0</v>
      </c>
    </row>
    <row r="67" spans="1:84" ht="17.25" hidden="1" customHeight="1">
      <c r="A67" s="117"/>
      <c r="B67" s="209" t="s">
        <v>2042</v>
      </c>
      <c r="C67" s="209" t="s">
        <v>2172</v>
      </c>
      <c r="D67" s="209" t="s">
        <v>1296</v>
      </c>
      <c r="E67" s="209" t="s">
        <v>1797</v>
      </c>
      <c r="F67" s="209" t="s">
        <v>1407</v>
      </c>
      <c r="G67" s="209" t="s">
        <v>1408</v>
      </c>
      <c r="H67" s="210">
        <v>645</v>
      </c>
      <c r="I67" s="211" t="s">
        <v>147</v>
      </c>
      <c r="J67" s="144">
        <v>6</v>
      </c>
      <c r="K67" s="145">
        <f t="shared" si="77"/>
        <v>1</v>
      </c>
      <c r="L67" s="202">
        <f t="shared" si="86"/>
        <v>6</v>
      </c>
      <c r="M67" s="212">
        <v>9.6</v>
      </c>
      <c r="N67" s="203">
        <f t="shared" si="87"/>
        <v>57.599999999999994</v>
      </c>
      <c r="O67" s="212" t="s">
        <v>137</v>
      </c>
      <c r="P67" s="212" t="s">
        <v>13</v>
      </c>
      <c r="Q67" s="212" t="s">
        <v>148</v>
      </c>
      <c r="R67" s="212"/>
      <c r="S67" s="212"/>
      <c r="T67" s="203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6</v>
      </c>
      <c r="U67" s="203">
        <f t="shared" ca="1" si="88"/>
        <v>0</v>
      </c>
      <c r="V67" s="203">
        <f t="shared" ca="1" si="89"/>
        <v>1</v>
      </c>
      <c r="W67" s="212"/>
      <c r="X67" s="212"/>
      <c r="Y67" s="212"/>
      <c r="Z67" s="212"/>
      <c r="AA67" s="212"/>
      <c r="AB67" s="212"/>
      <c r="AC67" s="214" t="s">
        <v>196</v>
      </c>
      <c r="AD67" s="215" t="s">
        <v>2039</v>
      </c>
      <c r="AE67" s="148"/>
      <c r="AF67" s="212" t="str">
        <f t="shared" si="78"/>
        <v>AMC2-S1</v>
      </c>
      <c r="AG67" s="212">
        <f t="shared" si="79"/>
        <v>1</v>
      </c>
      <c r="AH67" s="203">
        <f t="shared" si="90"/>
        <v>6</v>
      </c>
      <c r="AI67" s="203">
        <f t="shared" ca="1" si="91"/>
        <v>6</v>
      </c>
      <c r="AJ67" s="203">
        <f t="shared" ca="1" si="92"/>
        <v>0</v>
      </c>
      <c r="AK67" s="212" t="str">
        <f t="shared" si="80"/>
        <v>N/A</v>
      </c>
      <c r="AL67" s="212">
        <f t="shared" si="81"/>
        <v>0</v>
      </c>
      <c r="AM67" s="203">
        <f t="shared" si="93"/>
        <v>0</v>
      </c>
      <c r="AN67" s="203">
        <f t="shared" ca="1" si="94"/>
        <v>0</v>
      </c>
      <c r="AO67" s="203">
        <f t="shared" ca="1" si="95"/>
        <v>0</v>
      </c>
      <c r="AP67" s="212" t="str">
        <f t="shared" si="82"/>
        <v>N/A</v>
      </c>
      <c r="AQ67" s="212">
        <f t="shared" si="83"/>
        <v>0</v>
      </c>
      <c r="AR67" s="203">
        <f t="shared" si="96"/>
        <v>0</v>
      </c>
      <c r="AS67" s="203">
        <f t="shared" ca="1" si="97"/>
        <v>0</v>
      </c>
      <c r="AT67" s="203">
        <f t="shared" ca="1" si="98"/>
        <v>0</v>
      </c>
      <c r="AU67" s="212" t="str">
        <f t="shared" si="84"/>
        <v>N/A</v>
      </c>
      <c r="AV67" s="212">
        <f t="shared" si="85"/>
        <v>0</v>
      </c>
      <c r="AW67" s="203">
        <f t="shared" si="99"/>
        <v>0</v>
      </c>
      <c r="AX67" s="203">
        <f t="shared" ca="1" si="100"/>
        <v>0</v>
      </c>
      <c r="AY67" s="203">
        <f t="shared" ca="1" si="101"/>
        <v>0</v>
      </c>
      <c r="AZ67" s="212"/>
      <c r="BA67" s="213" t="s">
        <v>141</v>
      </c>
      <c r="BB67" s="213" t="s">
        <v>140</v>
      </c>
      <c r="BC67" s="213" t="s">
        <v>140</v>
      </c>
      <c r="BD67" s="213" t="s">
        <v>140</v>
      </c>
      <c r="BE67" s="148"/>
      <c r="BF67" s="212" t="s">
        <v>1789</v>
      </c>
      <c r="BG67" s="117"/>
      <c r="BH67" s="155"/>
      <c r="BI67" s="216"/>
      <c r="BJ67" s="216"/>
      <c r="BK67" s="216"/>
      <c r="BL67" s="149"/>
      <c r="BM67" s="149"/>
      <c r="BN67" s="149"/>
      <c r="BO67" s="149"/>
      <c r="BP67" s="149"/>
      <c r="BQ67" s="149"/>
      <c r="BR67" s="117">
        <v>0</v>
      </c>
      <c r="BS67" s="117">
        <v>0</v>
      </c>
      <c r="BT67" s="117">
        <v>0</v>
      </c>
      <c r="BU67" s="117">
        <v>1</v>
      </c>
      <c r="BV67" s="117">
        <v>0</v>
      </c>
      <c r="BW67" s="117">
        <v>0</v>
      </c>
      <c r="BX67" s="117">
        <v>0</v>
      </c>
      <c r="BY67" s="117" t="s">
        <v>1790</v>
      </c>
      <c r="BZ67" s="117" t="s">
        <v>1022</v>
      </c>
      <c r="CA67" s="144">
        <v>6</v>
      </c>
      <c r="CB67" s="149">
        <v>46206</v>
      </c>
      <c r="CC67" s="155"/>
      <c r="CD67" s="155"/>
      <c r="CE67" s="217"/>
      <c r="CF67" s="148">
        <f t="shared" si="102"/>
        <v>0</v>
      </c>
    </row>
    <row r="68" spans="1:84" ht="17.25" hidden="1" customHeight="1">
      <c r="A68" s="117"/>
      <c r="B68" s="209" t="s">
        <v>2042</v>
      </c>
      <c r="C68" s="209" t="s">
        <v>2172</v>
      </c>
      <c r="D68" s="209" t="s">
        <v>1076</v>
      </c>
      <c r="E68" s="209" t="s">
        <v>1802</v>
      </c>
      <c r="F68" s="209" t="s">
        <v>1393</v>
      </c>
      <c r="G68" s="209" t="s">
        <v>1075</v>
      </c>
      <c r="H68" s="210">
        <v>812</v>
      </c>
      <c r="I68" s="211" t="s">
        <v>1077</v>
      </c>
      <c r="J68" s="144">
        <v>6</v>
      </c>
      <c r="K68" s="145">
        <f t="shared" si="77"/>
        <v>1</v>
      </c>
      <c r="L68" s="202">
        <f t="shared" si="86"/>
        <v>6</v>
      </c>
      <c r="M68" s="212">
        <v>13.05696</v>
      </c>
      <c r="N68" s="203">
        <f t="shared" si="87"/>
        <v>78.341759999999994</v>
      </c>
      <c r="O68" s="212" t="s">
        <v>137</v>
      </c>
      <c r="P68" s="212" t="s">
        <v>11</v>
      </c>
      <c r="Q68" s="212" t="s">
        <v>148</v>
      </c>
      <c r="R68" s="212"/>
      <c r="S68" s="212"/>
      <c r="T68" s="203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6</v>
      </c>
      <c r="U68" s="203">
        <f t="shared" ca="1" si="88"/>
        <v>0</v>
      </c>
      <c r="V68" s="203">
        <f t="shared" ca="1" si="89"/>
        <v>1</v>
      </c>
      <c r="W68" s="212"/>
      <c r="X68" s="212"/>
      <c r="Y68" s="212"/>
      <c r="Z68" s="212"/>
      <c r="AA68" s="212"/>
      <c r="AB68" s="212"/>
      <c r="AC68" s="214" t="s">
        <v>196</v>
      </c>
      <c r="AD68" s="215" t="s">
        <v>2039</v>
      </c>
      <c r="AE68" s="148"/>
      <c r="AF68" s="212" t="str">
        <f t="shared" si="78"/>
        <v>AMC2-S1</v>
      </c>
      <c r="AG68" s="212">
        <f t="shared" si="79"/>
        <v>1</v>
      </c>
      <c r="AH68" s="203">
        <f t="shared" si="90"/>
        <v>6</v>
      </c>
      <c r="AI68" s="203">
        <f t="shared" ca="1" si="91"/>
        <v>6</v>
      </c>
      <c r="AJ68" s="203">
        <f t="shared" ca="1" si="92"/>
        <v>0</v>
      </c>
      <c r="AK68" s="212" t="str">
        <f t="shared" si="80"/>
        <v>N/A</v>
      </c>
      <c r="AL68" s="212">
        <f t="shared" si="81"/>
        <v>0</v>
      </c>
      <c r="AM68" s="203">
        <f t="shared" si="93"/>
        <v>0</v>
      </c>
      <c r="AN68" s="203">
        <f t="shared" ca="1" si="94"/>
        <v>0</v>
      </c>
      <c r="AO68" s="203">
        <f t="shared" ca="1" si="95"/>
        <v>0</v>
      </c>
      <c r="AP68" s="212" t="str">
        <f t="shared" si="82"/>
        <v>N/A</v>
      </c>
      <c r="AQ68" s="212">
        <f t="shared" si="83"/>
        <v>0</v>
      </c>
      <c r="AR68" s="203">
        <f t="shared" si="96"/>
        <v>0</v>
      </c>
      <c r="AS68" s="203">
        <f t="shared" ca="1" si="97"/>
        <v>0</v>
      </c>
      <c r="AT68" s="203">
        <f t="shared" ca="1" si="98"/>
        <v>0</v>
      </c>
      <c r="AU68" s="212" t="str">
        <f t="shared" si="84"/>
        <v>N/A</v>
      </c>
      <c r="AV68" s="212">
        <f t="shared" si="85"/>
        <v>0</v>
      </c>
      <c r="AW68" s="203">
        <f t="shared" si="99"/>
        <v>0</v>
      </c>
      <c r="AX68" s="203">
        <f t="shared" ca="1" si="100"/>
        <v>0</v>
      </c>
      <c r="AY68" s="203">
        <f t="shared" ca="1" si="101"/>
        <v>0</v>
      </c>
      <c r="AZ68" s="212"/>
      <c r="BA68" s="213" t="s">
        <v>141</v>
      </c>
      <c r="BB68" s="213" t="s">
        <v>140</v>
      </c>
      <c r="BC68" s="213" t="s">
        <v>140</v>
      </c>
      <c r="BD68" s="213" t="s">
        <v>140</v>
      </c>
      <c r="BE68" s="148"/>
      <c r="BF68" s="212" t="s">
        <v>1789</v>
      </c>
      <c r="BG68" s="117"/>
      <c r="BH68" s="155"/>
      <c r="BI68" s="216"/>
      <c r="BJ68" s="216"/>
      <c r="BK68" s="216"/>
      <c r="BL68" s="149"/>
      <c r="BM68" s="149"/>
      <c r="BN68" s="149"/>
      <c r="BO68" s="149"/>
      <c r="BP68" s="149"/>
      <c r="BQ68" s="149"/>
      <c r="BR68" s="117">
        <v>0</v>
      </c>
      <c r="BS68" s="117">
        <v>0</v>
      </c>
      <c r="BT68" s="117">
        <v>0</v>
      </c>
      <c r="BU68" s="117">
        <v>1</v>
      </c>
      <c r="BV68" s="117">
        <v>0</v>
      </c>
      <c r="BW68" s="117">
        <v>0</v>
      </c>
      <c r="BX68" s="117">
        <v>0</v>
      </c>
      <c r="BY68" s="117" t="s">
        <v>1790</v>
      </c>
      <c r="BZ68" s="117" t="s">
        <v>1289</v>
      </c>
      <c r="CA68" s="117">
        <v>6</v>
      </c>
      <c r="CB68" s="149">
        <v>46185</v>
      </c>
      <c r="CC68" s="155"/>
      <c r="CD68" s="155"/>
      <c r="CE68" s="217"/>
      <c r="CF68" s="148">
        <f t="shared" si="102"/>
        <v>0</v>
      </c>
    </row>
    <row r="69" spans="1:84" ht="17.25" hidden="1" customHeight="1">
      <c r="A69" s="186"/>
      <c r="B69" s="187" t="s">
        <v>2042</v>
      </c>
      <c r="C69" s="187" t="s">
        <v>2174</v>
      </c>
      <c r="D69" s="187"/>
      <c r="E69" s="187"/>
      <c r="F69" s="187"/>
      <c r="G69" s="187" t="s">
        <v>1950</v>
      </c>
      <c r="H69" s="188"/>
      <c r="I69" s="189"/>
      <c r="J69" s="190"/>
      <c r="K69" s="191">
        <f t="shared" si="77"/>
        <v>1</v>
      </c>
      <c r="L69" s="190"/>
      <c r="M69" s="192">
        <v>2888.1</v>
      </c>
      <c r="N69" s="192">
        <v>2888.1</v>
      </c>
      <c r="O69" s="192" t="s">
        <v>137</v>
      </c>
      <c r="P69" s="192"/>
      <c r="Q69" s="192"/>
      <c r="R69" s="192"/>
      <c r="S69" s="192"/>
      <c r="T69" s="192"/>
      <c r="U69" s="192"/>
      <c r="V69" s="192"/>
      <c r="W69" s="192">
        <f ca="1">_xlfn.MINIFS(V:V,C:C,C69,AE:AE,"",AB:AB,"")</f>
        <v>0</v>
      </c>
      <c r="X69" s="192">
        <f ca="1">SUMIFS(T:T,C:C,C69,AE:AE,"")/SUMIFS(L:L,C:C,C69,AE:AE,"",AB:AB,"")</f>
        <v>0.70370370370370372</v>
      </c>
      <c r="Y69" s="192"/>
      <c r="Z69" s="192"/>
      <c r="AA69" s="192"/>
      <c r="AB69" s="192"/>
      <c r="AC69" s="194" t="s">
        <v>196</v>
      </c>
      <c r="AD69" s="195" t="s">
        <v>2039</v>
      </c>
      <c r="AE69" s="196" t="s">
        <v>1787</v>
      </c>
      <c r="AF69" s="192" t="str">
        <f t="shared" si="78"/>
        <v>AMC2-S1</v>
      </c>
      <c r="AG69" s="192">
        <f t="shared" si="79"/>
        <v>1</v>
      </c>
      <c r="AH69" s="192"/>
      <c r="AI69" s="192"/>
      <c r="AJ69" s="192"/>
      <c r="AK69" s="192" t="str">
        <f t="shared" si="80"/>
        <v>N/A</v>
      </c>
      <c r="AL69" s="192">
        <f t="shared" si="81"/>
        <v>0</v>
      </c>
      <c r="AM69" s="192"/>
      <c r="AN69" s="192"/>
      <c r="AO69" s="192"/>
      <c r="AP69" s="192" t="str">
        <f t="shared" si="82"/>
        <v>N/A</v>
      </c>
      <c r="AQ69" s="192">
        <f t="shared" si="83"/>
        <v>0</v>
      </c>
      <c r="AR69" s="192"/>
      <c r="AS69" s="192"/>
      <c r="AT69" s="192"/>
      <c r="AU69" s="192" t="str">
        <f t="shared" si="84"/>
        <v>N/A</v>
      </c>
      <c r="AV69" s="192">
        <f t="shared" si="85"/>
        <v>0</v>
      </c>
      <c r="AW69" s="192"/>
      <c r="AX69" s="192"/>
      <c r="AY69" s="192"/>
      <c r="AZ69" s="192"/>
      <c r="BA69" s="193" t="s">
        <v>141</v>
      </c>
      <c r="BB69" s="193" t="s">
        <v>140</v>
      </c>
      <c r="BC69" s="193" t="s">
        <v>140</v>
      </c>
      <c r="BD69" s="193" t="s">
        <v>140</v>
      </c>
      <c r="BE69" s="196" t="s">
        <v>741</v>
      </c>
      <c r="BF69" s="192"/>
      <c r="BG69" s="186"/>
      <c r="BH69" s="186"/>
      <c r="BI69" s="197"/>
      <c r="BJ69" s="197"/>
      <c r="BK69" s="197"/>
      <c r="BL69" s="197"/>
      <c r="BM69" s="197"/>
      <c r="BN69" s="197"/>
      <c r="BO69" s="197"/>
      <c r="BP69" s="197"/>
      <c r="BQ69" s="197"/>
      <c r="BR69" s="186"/>
      <c r="BS69" s="186"/>
      <c r="BT69" s="186"/>
      <c r="BU69" s="186"/>
      <c r="BV69" s="186"/>
      <c r="BW69" s="186"/>
      <c r="BX69" s="186"/>
      <c r="BY69" s="186"/>
      <c r="BZ69" s="186"/>
      <c r="CA69" s="186"/>
      <c r="CB69" s="197"/>
      <c r="CC69" s="186"/>
      <c r="CD69" s="186"/>
      <c r="CE69" s="198"/>
      <c r="CF69" s="198"/>
    </row>
    <row r="70" spans="1:84" ht="17.25" hidden="1" customHeight="1">
      <c r="A70" s="117"/>
      <c r="B70" s="209" t="s">
        <v>2042</v>
      </c>
      <c r="C70" s="209" t="s">
        <v>2174</v>
      </c>
      <c r="D70" s="209" t="s">
        <v>1084</v>
      </c>
      <c r="E70" s="209" t="s">
        <v>1798</v>
      </c>
      <c r="F70" s="209" t="s">
        <v>1445</v>
      </c>
      <c r="G70" s="209" t="s">
        <v>1429</v>
      </c>
      <c r="H70" s="210">
        <v>4023</v>
      </c>
      <c r="I70" s="211" t="s">
        <v>147</v>
      </c>
      <c r="J70" s="144">
        <v>1</v>
      </c>
      <c r="K70" s="145">
        <f t="shared" si="77"/>
        <v>1</v>
      </c>
      <c r="L70" s="202">
        <f t="shared" ref="L70:L74" si="103">+J70*K70</f>
        <v>1</v>
      </c>
      <c r="M70" s="212">
        <v>863.8</v>
      </c>
      <c r="N70" s="203">
        <f t="shared" ref="N70:N74" si="104">+M70*L70</f>
        <v>863.8</v>
      </c>
      <c r="O70" s="212" t="s">
        <v>137</v>
      </c>
      <c r="P70" s="212" t="s">
        <v>13</v>
      </c>
      <c r="Q70" s="212" t="s">
        <v>154</v>
      </c>
      <c r="R70" s="212"/>
      <c r="S70" s="212"/>
      <c r="T70" s="203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1</v>
      </c>
      <c r="U70" s="203">
        <f t="shared" ref="U70:U74" ca="1" si="105">+L70-T70</f>
        <v>0</v>
      </c>
      <c r="V70" s="203">
        <f t="shared" ref="V70:V74" ca="1" si="106">ROUNDDOWN(T70/J70,0)</f>
        <v>1</v>
      </c>
      <c r="W70" s="212"/>
      <c r="X70" s="212"/>
      <c r="Y70" s="212"/>
      <c r="Z70" s="212"/>
      <c r="AA70" s="212"/>
      <c r="AB70" s="212"/>
      <c r="AC70" s="214" t="s">
        <v>196</v>
      </c>
      <c r="AD70" s="215" t="s">
        <v>2039</v>
      </c>
      <c r="AE70" s="148"/>
      <c r="AF70" s="212" t="str">
        <f t="shared" si="78"/>
        <v>AMC2-S1</v>
      </c>
      <c r="AG70" s="212">
        <f t="shared" si="79"/>
        <v>1</v>
      </c>
      <c r="AH70" s="203">
        <f t="shared" ref="AH70:AH74" si="107">+AG70*J70</f>
        <v>1</v>
      </c>
      <c r="AI70" s="203">
        <f t="shared" ref="AI70:AI74" ca="1" si="108">MIN(T70,AH70)</f>
        <v>1</v>
      </c>
      <c r="AJ70" s="203">
        <f t="shared" ref="AJ70:AJ74" ca="1" si="109">+AH70-AI70</f>
        <v>0</v>
      </c>
      <c r="AK70" s="212" t="str">
        <f t="shared" si="80"/>
        <v>N/A</v>
      </c>
      <c r="AL70" s="212">
        <f t="shared" si="81"/>
        <v>0</v>
      </c>
      <c r="AM70" s="203">
        <f t="shared" ref="AM70:AM74" si="110">+AL70*J70</f>
        <v>0</v>
      </c>
      <c r="AN70" s="203">
        <f t="shared" ref="AN70:AN74" ca="1" si="111">MIN(T70-AI70,AL70)</f>
        <v>0</v>
      </c>
      <c r="AO70" s="203">
        <f t="shared" ref="AO70:AO74" ca="1" si="112">+AM70-AN70</f>
        <v>0</v>
      </c>
      <c r="AP70" s="212" t="str">
        <f t="shared" si="82"/>
        <v>N/A</v>
      </c>
      <c r="AQ70" s="212">
        <f t="shared" si="83"/>
        <v>0</v>
      </c>
      <c r="AR70" s="203">
        <f t="shared" ref="AR70:AR74" si="113">+AQ70*J70</f>
        <v>0</v>
      </c>
      <c r="AS70" s="203">
        <f t="shared" ref="AS70:AS74" ca="1" si="114">MIN(T70-AI70-AN70,AR70)</f>
        <v>0</v>
      </c>
      <c r="AT70" s="203">
        <f t="shared" ref="AT70:AT74" ca="1" si="115">+AR70-AS70</f>
        <v>0</v>
      </c>
      <c r="AU70" s="212" t="str">
        <f t="shared" si="84"/>
        <v>N/A</v>
      </c>
      <c r="AV70" s="212">
        <f t="shared" si="85"/>
        <v>0</v>
      </c>
      <c r="AW70" s="203">
        <f t="shared" ref="AW70:AW74" si="116">+AV70*J70</f>
        <v>0</v>
      </c>
      <c r="AX70" s="203">
        <f t="shared" ref="AX70:AX74" ca="1" si="117">MIN(T70-AI70-AN70-AS70,AW70)</f>
        <v>0</v>
      </c>
      <c r="AY70" s="203">
        <f t="shared" ref="AY70:AY74" ca="1" si="118">+AW70-AX70</f>
        <v>0</v>
      </c>
      <c r="AZ70" s="212"/>
      <c r="BA70" s="213" t="s">
        <v>141</v>
      </c>
      <c r="BB70" s="213" t="s">
        <v>140</v>
      </c>
      <c r="BC70" s="213" t="s">
        <v>140</v>
      </c>
      <c r="BD70" s="213" t="s">
        <v>140</v>
      </c>
      <c r="BE70" s="148"/>
      <c r="BF70" s="212" t="s">
        <v>1789</v>
      </c>
      <c r="BG70" s="117"/>
      <c r="BH70" s="155"/>
      <c r="BI70" s="216"/>
      <c r="BJ70" s="216"/>
      <c r="BK70" s="216"/>
      <c r="BL70" s="149"/>
      <c r="BM70" s="149"/>
      <c r="BN70" s="149"/>
      <c r="BO70" s="149"/>
      <c r="BP70" s="149"/>
      <c r="BQ70" s="149"/>
      <c r="BR70" s="117">
        <v>0</v>
      </c>
      <c r="BS70" s="117">
        <v>1</v>
      </c>
      <c r="BT70" s="117">
        <v>0</v>
      </c>
      <c r="BU70" s="117">
        <v>1</v>
      </c>
      <c r="BV70" s="117">
        <v>0</v>
      </c>
      <c r="BW70" s="117">
        <v>0</v>
      </c>
      <c r="BX70" s="117">
        <v>0</v>
      </c>
      <c r="BY70" s="117" t="s">
        <v>1790</v>
      </c>
      <c r="BZ70" s="117" t="s">
        <v>57</v>
      </c>
      <c r="CA70" s="117">
        <v>1</v>
      </c>
      <c r="CB70" s="149"/>
      <c r="CC70" s="155"/>
      <c r="CD70" s="155"/>
      <c r="CE70" s="217"/>
      <c r="CF70" s="148">
        <f>+L70-CA70</f>
        <v>0</v>
      </c>
    </row>
    <row r="71" spans="1:84" ht="17.25" hidden="1" customHeight="1">
      <c r="A71" s="141"/>
      <c r="B71" s="199" t="s">
        <v>2042</v>
      </c>
      <c r="C71" s="199" t="s">
        <v>2174</v>
      </c>
      <c r="D71" s="199" t="s">
        <v>1084</v>
      </c>
      <c r="E71" s="199" t="s">
        <v>1799</v>
      </c>
      <c r="F71" s="199" t="s">
        <v>1441</v>
      </c>
      <c r="G71" s="199" t="s">
        <v>1410</v>
      </c>
      <c r="H71" s="200">
        <v>2635</v>
      </c>
      <c r="I71" s="201" t="s">
        <v>147</v>
      </c>
      <c r="J71" s="165">
        <v>1</v>
      </c>
      <c r="K71" s="202">
        <f t="shared" si="77"/>
        <v>1</v>
      </c>
      <c r="L71" s="202">
        <f t="shared" si="103"/>
        <v>1</v>
      </c>
      <c r="M71" s="203">
        <v>441.5</v>
      </c>
      <c r="N71" s="203">
        <f t="shared" si="104"/>
        <v>441.5</v>
      </c>
      <c r="O71" s="203" t="s">
        <v>137</v>
      </c>
      <c r="P71" s="203" t="s">
        <v>13</v>
      </c>
      <c r="Q71" s="203" t="s">
        <v>154</v>
      </c>
      <c r="R71" s="203"/>
      <c r="S71" s="203"/>
      <c r="T71" s="203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</v>
      </c>
      <c r="U71" s="203">
        <f t="shared" ca="1" si="105"/>
        <v>0</v>
      </c>
      <c r="V71" s="203">
        <f t="shared" ca="1" si="106"/>
        <v>1</v>
      </c>
      <c r="W71" s="203"/>
      <c r="X71" s="203"/>
      <c r="Y71" s="203"/>
      <c r="Z71" s="203"/>
      <c r="AA71" s="203"/>
      <c r="AB71" s="203"/>
      <c r="AC71" s="205" t="s">
        <v>196</v>
      </c>
      <c r="AD71" s="206" t="s">
        <v>2039</v>
      </c>
      <c r="AE71" s="166"/>
      <c r="AF71" s="203" t="str">
        <f t="shared" si="78"/>
        <v>AMC2-S1</v>
      </c>
      <c r="AG71" s="203">
        <f t="shared" si="79"/>
        <v>1</v>
      </c>
      <c r="AH71" s="203">
        <f t="shared" si="107"/>
        <v>1</v>
      </c>
      <c r="AI71" s="203">
        <f t="shared" ca="1" si="108"/>
        <v>1</v>
      </c>
      <c r="AJ71" s="203">
        <f t="shared" ca="1" si="109"/>
        <v>0</v>
      </c>
      <c r="AK71" s="203" t="str">
        <f t="shared" si="80"/>
        <v>N/A</v>
      </c>
      <c r="AL71" s="203">
        <f t="shared" si="81"/>
        <v>0</v>
      </c>
      <c r="AM71" s="203">
        <f t="shared" si="110"/>
        <v>0</v>
      </c>
      <c r="AN71" s="203">
        <f t="shared" ca="1" si="111"/>
        <v>0</v>
      </c>
      <c r="AO71" s="203">
        <f t="shared" ca="1" si="112"/>
        <v>0</v>
      </c>
      <c r="AP71" s="203" t="str">
        <f t="shared" si="82"/>
        <v>N/A</v>
      </c>
      <c r="AQ71" s="203">
        <f t="shared" si="83"/>
        <v>0</v>
      </c>
      <c r="AR71" s="203">
        <f t="shared" si="113"/>
        <v>0</v>
      </c>
      <c r="AS71" s="203">
        <f t="shared" ca="1" si="114"/>
        <v>0</v>
      </c>
      <c r="AT71" s="203">
        <f t="shared" ca="1" si="115"/>
        <v>0</v>
      </c>
      <c r="AU71" s="203" t="str">
        <f t="shared" si="84"/>
        <v>N/A</v>
      </c>
      <c r="AV71" s="203">
        <f t="shared" si="85"/>
        <v>0</v>
      </c>
      <c r="AW71" s="203">
        <f t="shared" si="116"/>
        <v>0</v>
      </c>
      <c r="AX71" s="203">
        <f t="shared" ca="1" si="117"/>
        <v>0</v>
      </c>
      <c r="AY71" s="203">
        <f t="shared" ca="1" si="118"/>
        <v>0</v>
      </c>
      <c r="AZ71" s="203"/>
      <c r="BA71" s="204" t="s">
        <v>141</v>
      </c>
      <c r="BB71" s="204" t="s">
        <v>140</v>
      </c>
      <c r="BC71" s="204" t="s">
        <v>140</v>
      </c>
      <c r="BD71" s="204" t="s">
        <v>140</v>
      </c>
      <c r="BE71" s="166"/>
      <c r="BF71" s="203" t="s">
        <v>1789</v>
      </c>
      <c r="BG71" s="141"/>
      <c r="BH71" s="141"/>
      <c r="BI71" s="153"/>
      <c r="BJ71" s="153"/>
      <c r="BK71" s="153"/>
      <c r="BL71" s="153" t="s">
        <v>1932</v>
      </c>
      <c r="BM71" s="153"/>
      <c r="BN71" s="153"/>
      <c r="BO71" s="153"/>
      <c r="BP71" s="153"/>
      <c r="BQ71" s="153"/>
      <c r="BR71" s="141">
        <v>0</v>
      </c>
      <c r="BS71" s="141">
        <v>1</v>
      </c>
      <c r="BT71" s="141">
        <v>0</v>
      </c>
      <c r="BU71" s="141">
        <v>1</v>
      </c>
      <c r="BV71" s="141">
        <v>0</v>
      </c>
      <c r="BW71" s="141">
        <v>0</v>
      </c>
      <c r="BX71" s="141">
        <v>0</v>
      </c>
      <c r="BY71" s="141" t="s">
        <v>1790</v>
      </c>
      <c r="BZ71" s="141" t="s">
        <v>1398</v>
      </c>
      <c r="CA71" s="141">
        <v>1</v>
      </c>
      <c r="CB71" s="153">
        <v>46186</v>
      </c>
      <c r="CC71" s="141"/>
      <c r="CD71" s="141"/>
      <c r="CE71" s="166"/>
      <c r="CF71" s="166">
        <f>+L71-CA71</f>
        <v>0</v>
      </c>
    </row>
    <row r="72" spans="1:84" ht="17.25" hidden="1" customHeight="1">
      <c r="A72" s="117"/>
      <c r="B72" s="209" t="s">
        <v>2042</v>
      </c>
      <c r="C72" s="209" t="s">
        <v>2174</v>
      </c>
      <c r="D72" s="209" t="s">
        <v>1084</v>
      </c>
      <c r="E72" s="209" t="s">
        <v>1800</v>
      </c>
      <c r="F72" s="209" t="s">
        <v>1442</v>
      </c>
      <c r="G72" s="209" t="s">
        <v>1412</v>
      </c>
      <c r="H72" s="210">
        <v>5608</v>
      </c>
      <c r="I72" s="211" t="s">
        <v>147</v>
      </c>
      <c r="J72" s="144">
        <v>1</v>
      </c>
      <c r="K72" s="145">
        <f t="shared" si="77"/>
        <v>1</v>
      </c>
      <c r="L72" s="202">
        <f t="shared" si="103"/>
        <v>1</v>
      </c>
      <c r="M72" s="212">
        <v>1388.4</v>
      </c>
      <c r="N72" s="203">
        <f t="shared" si="104"/>
        <v>1388.4</v>
      </c>
      <c r="O72" s="212" t="s">
        <v>137</v>
      </c>
      <c r="P72" s="212" t="s">
        <v>13</v>
      </c>
      <c r="Q72" s="212" t="s">
        <v>154</v>
      </c>
      <c r="R72" s="212"/>
      <c r="S72" s="212"/>
      <c r="T72" s="203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1</v>
      </c>
      <c r="U72" s="203">
        <f t="shared" ca="1" si="105"/>
        <v>0</v>
      </c>
      <c r="V72" s="203">
        <f t="shared" ca="1" si="106"/>
        <v>1</v>
      </c>
      <c r="W72" s="212"/>
      <c r="X72" s="212"/>
      <c r="Y72" s="212"/>
      <c r="Z72" s="212"/>
      <c r="AA72" s="212"/>
      <c r="AB72" s="212"/>
      <c r="AC72" s="214" t="s">
        <v>196</v>
      </c>
      <c r="AD72" s="215" t="s">
        <v>2039</v>
      </c>
      <c r="AE72" s="148"/>
      <c r="AF72" s="212" t="str">
        <f t="shared" si="78"/>
        <v>AMC2-S1</v>
      </c>
      <c r="AG72" s="212">
        <f t="shared" si="79"/>
        <v>1</v>
      </c>
      <c r="AH72" s="203">
        <f t="shared" si="107"/>
        <v>1</v>
      </c>
      <c r="AI72" s="203">
        <f t="shared" ca="1" si="108"/>
        <v>1</v>
      </c>
      <c r="AJ72" s="203">
        <f t="shared" ca="1" si="109"/>
        <v>0</v>
      </c>
      <c r="AK72" s="212" t="str">
        <f t="shared" si="80"/>
        <v>N/A</v>
      </c>
      <c r="AL72" s="212">
        <f t="shared" si="81"/>
        <v>0</v>
      </c>
      <c r="AM72" s="203">
        <f t="shared" si="110"/>
        <v>0</v>
      </c>
      <c r="AN72" s="203">
        <f t="shared" ca="1" si="111"/>
        <v>0</v>
      </c>
      <c r="AO72" s="203">
        <f t="shared" ca="1" si="112"/>
        <v>0</v>
      </c>
      <c r="AP72" s="212" t="str">
        <f t="shared" si="82"/>
        <v>N/A</v>
      </c>
      <c r="AQ72" s="212">
        <f t="shared" si="83"/>
        <v>0</v>
      </c>
      <c r="AR72" s="203">
        <f t="shared" si="113"/>
        <v>0</v>
      </c>
      <c r="AS72" s="203">
        <f t="shared" ca="1" si="114"/>
        <v>0</v>
      </c>
      <c r="AT72" s="203">
        <f t="shared" ca="1" si="115"/>
        <v>0</v>
      </c>
      <c r="AU72" s="212" t="str">
        <f t="shared" si="84"/>
        <v>N/A</v>
      </c>
      <c r="AV72" s="212">
        <f t="shared" si="85"/>
        <v>0</v>
      </c>
      <c r="AW72" s="203">
        <f t="shared" si="116"/>
        <v>0</v>
      </c>
      <c r="AX72" s="203">
        <f t="shared" ca="1" si="117"/>
        <v>0</v>
      </c>
      <c r="AY72" s="203">
        <f t="shared" ca="1" si="118"/>
        <v>0</v>
      </c>
      <c r="AZ72" s="212"/>
      <c r="BA72" s="213" t="s">
        <v>141</v>
      </c>
      <c r="BB72" s="213" t="s">
        <v>140</v>
      </c>
      <c r="BC72" s="213" t="s">
        <v>140</v>
      </c>
      <c r="BD72" s="213" t="s">
        <v>140</v>
      </c>
      <c r="BE72" s="148"/>
      <c r="BF72" s="212" t="s">
        <v>1789</v>
      </c>
      <c r="BG72" s="117"/>
      <c r="BH72" s="155"/>
      <c r="BI72" s="216"/>
      <c r="BJ72" s="216"/>
      <c r="BK72" s="216"/>
      <c r="BL72" s="149"/>
      <c r="BM72" s="149"/>
      <c r="BN72" s="149"/>
      <c r="BO72" s="149"/>
      <c r="BP72" s="149"/>
      <c r="BQ72" s="149"/>
      <c r="BR72" s="117">
        <v>0</v>
      </c>
      <c r="BS72" s="117">
        <v>1</v>
      </c>
      <c r="BT72" s="117">
        <v>0</v>
      </c>
      <c r="BU72" s="117">
        <v>1</v>
      </c>
      <c r="BV72" s="117">
        <v>0</v>
      </c>
      <c r="BW72" s="117">
        <v>0</v>
      </c>
      <c r="BX72" s="117">
        <v>0</v>
      </c>
      <c r="BY72" s="117" t="s">
        <v>1790</v>
      </c>
      <c r="BZ72" s="117" t="s">
        <v>57</v>
      </c>
      <c r="CA72" s="117">
        <v>1</v>
      </c>
      <c r="CB72" s="149"/>
      <c r="CC72" s="155"/>
      <c r="CD72" s="155"/>
      <c r="CE72" s="217"/>
      <c r="CF72" s="148">
        <f>+L72-CA72</f>
        <v>0</v>
      </c>
    </row>
    <row r="73" spans="1:84" ht="17.25" hidden="1" customHeight="1">
      <c r="A73" s="117"/>
      <c r="B73" s="209" t="s">
        <v>2042</v>
      </c>
      <c r="C73" s="209" t="s">
        <v>2174</v>
      </c>
      <c r="D73" s="209" t="s">
        <v>1296</v>
      </c>
      <c r="E73" s="209" t="s">
        <v>1801</v>
      </c>
      <c r="F73" s="209" t="s">
        <v>1443</v>
      </c>
      <c r="G73" s="209" t="s">
        <v>1414</v>
      </c>
      <c r="H73" s="210">
        <v>2225</v>
      </c>
      <c r="I73" s="211" t="s">
        <v>147</v>
      </c>
      <c r="J73" s="144">
        <v>3</v>
      </c>
      <c r="K73" s="145">
        <f t="shared" si="77"/>
        <v>1</v>
      </c>
      <c r="L73" s="202">
        <f t="shared" si="103"/>
        <v>3</v>
      </c>
      <c r="M73" s="212">
        <v>31.8</v>
      </c>
      <c r="N73" s="203">
        <f t="shared" si="104"/>
        <v>95.4</v>
      </c>
      <c r="O73" s="212" t="s">
        <v>137</v>
      </c>
      <c r="P73" s="212" t="s">
        <v>13</v>
      </c>
      <c r="Q73" s="212" t="s">
        <v>154</v>
      </c>
      <c r="R73" s="212"/>
      <c r="S73" s="212"/>
      <c r="T73" s="203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3</v>
      </c>
      <c r="U73" s="203">
        <f t="shared" ca="1" si="105"/>
        <v>0</v>
      </c>
      <c r="V73" s="203">
        <f t="shared" ca="1" si="106"/>
        <v>1</v>
      </c>
      <c r="W73" s="212"/>
      <c r="X73" s="212"/>
      <c r="Y73" s="212"/>
      <c r="Z73" s="212"/>
      <c r="AA73" s="212"/>
      <c r="AB73" s="212"/>
      <c r="AC73" s="214" t="s">
        <v>196</v>
      </c>
      <c r="AD73" s="215" t="s">
        <v>2039</v>
      </c>
      <c r="AE73" s="148"/>
      <c r="AF73" s="212" t="str">
        <f t="shared" si="78"/>
        <v>AMC2-S1</v>
      </c>
      <c r="AG73" s="212">
        <f t="shared" si="79"/>
        <v>1</v>
      </c>
      <c r="AH73" s="203">
        <f t="shared" si="107"/>
        <v>3</v>
      </c>
      <c r="AI73" s="203">
        <f t="shared" ca="1" si="108"/>
        <v>3</v>
      </c>
      <c r="AJ73" s="203">
        <f t="shared" ca="1" si="109"/>
        <v>0</v>
      </c>
      <c r="AK73" s="212" t="str">
        <f t="shared" si="80"/>
        <v>N/A</v>
      </c>
      <c r="AL73" s="212">
        <f t="shared" si="81"/>
        <v>0</v>
      </c>
      <c r="AM73" s="203">
        <f t="shared" si="110"/>
        <v>0</v>
      </c>
      <c r="AN73" s="203">
        <f t="shared" ca="1" si="111"/>
        <v>0</v>
      </c>
      <c r="AO73" s="203">
        <f t="shared" ca="1" si="112"/>
        <v>0</v>
      </c>
      <c r="AP73" s="212" t="str">
        <f t="shared" si="82"/>
        <v>N/A</v>
      </c>
      <c r="AQ73" s="212">
        <f t="shared" si="83"/>
        <v>0</v>
      </c>
      <c r="AR73" s="203">
        <f t="shared" si="113"/>
        <v>0</v>
      </c>
      <c r="AS73" s="203">
        <f t="shared" ca="1" si="114"/>
        <v>0</v>
      </c>
      <c r="AT73" s="203">
        <f t="shared" ca="1" si="115"/>
        <v>0</v>
      </c>
      <c r="AU73" s="212" t="str">
        <f t="shared" si="84"/>
        <v>N/A</v>
      </c>
      <c r="AV73" s="212">
        <f t="shared" si="85"/>
        <v>0</v>
      </c>
      <c r="AW73" s="203">
        <f t="shared" si="116"/>
        <v>0</v>
      </c>
      <c r="AX73" s="203">
        <f t="shared" ca="1" si="117"/>
        <v>0</v>
      </c>
      <c r="AY73" s="203">
        <f t="shared" ca="1" si="118"/>
        <v>0</v>
      </c>
      <c r="AZ73" s="212"/>
      <c r="BA73" s="213" t="s">
        <v>141</v>
      </c>
      <c r="BB73" s="213" t="s">
        <v>140</v>
      </c>
      <c r="BC73" s="213" t="s">
        <v>140</v>
      </c>
      <c r="BD73" s="213" t="s">
        <v>140</v>
      </c>
      <c r="BE73" s="148"/>
      <c r="BF73" s="212" t="s">
        <v>1789</v>
      </c>
      <c r="BG73" s="117"/>
      <c r="BH73" s="155"/>
      <c r="BI73" s="216"/>
      <c r="BJ73" s="216"/>
      <c r="BK73" s="216"/>
      <c r="BL73" s="149"/>
      <c r="BM73" s="149"/>
      <c r="BN73" s="149"/>
      <c r="BO73" s="149"/>
      <c r="BP73" s="149"/>
      <c r="BQ73" s="149"/>
      <c r="BR73" s="117">
        <v>0</v>
      </c>
      <c r="BS73" s="117">
        <v>1</v>
      </c>
      <c r="BT73" s="117">
        <v>0</v>
      </c>
      <c r="BU73" s="117">
        <v>1</v>
      </c>
      <c r="BV73" s="117">
        <v>0</v>
      </c>
      <c r="BW73" s="117">
        <v>0</v>
      </c>
      <c r="BX73" s="117">
        <v>0</v>
      </c>
      <c r="BY73" s="117" t="s">
        <v>1790</v>
      </c>
      <c r="BZ73" s="117" t="s">
        <v>1022</v>
      </c>
      <c r="CA73" s="144">
        <v>3</v>
      </c>
      <c r="CB73" s="149">
        <v>46206</v>
      </c>
      <c r="CC73" s="155"/>
      <c r="CD73" s="155"/>
      <c r="CE73" s="217"/>
      <c r="CF73" s="148">
        <f>+L73-CA73</f>
        <v>0</v>
      </c>
    </row>
    <row r="74" spans="1:84" ht="17.25" hidden="1" customHeight="1">
      <c r="A74" s="117"/>
      <c r="B74" s="209" t="s">
        <v>2042</v>
      </c>
      <c r="C74" s="209" t="s">
        <v>2174</v>
      </c>
      <c r="D74" s="209" t="s">
        <v>1296</v>
      </c>
      <c r="E74" s="209" t="s">
        <v>1815</v>
      </c>
      <c r="F74" s="209" t="s">
        <v>1444</v>
      </c>
      <c r="G74" s="209" t="s">
        <v>1416</v>
      </c>
      <c r="H74" s="210">
        <v>2562</v>
      </c>
      <c r="I74" s="211" t="s">
        <v>147</v>
      </c>
      <c r="J74" s="144">
        <v>3</v>
      </c>
      <c r="K74" s="145">
        <f t="shared" si="77"/>
        <v>1</v>
      </c>
      <c r="L74" s="202">
        <f t="shared" si="103"/>
        <v>3</v>
      </c>
      <c r="M74" s="212">
        <v>41.9</v>
      </c>
      <c r="N74" s="203">
        <f t="shared" si="104"/>
        <v>125.69999999999999</v>
      </c>
      <c r="O74" s="212" t="s">
        <v>137</v>
      </c>
      <c r="P74" s="212" t="s">
        <v>13</v>
      </c>
      <c r="Q74" s="212" t="s">
        <v>154</v>
      </c>
      <c r="R74" s="212"/>
      <c r="S74" s="212"/>
      <c r="T74" s="203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3</v>
      </c>
      <c r="U74" s="203">
        <f t="shared" ca="1" si="105"/>
        <v>0</v>
      </c>
      <c r="V74" s="203">
        <f t="shared" ca="1" si="106"/>
        <v>1</v>
      </c>
      <c r="W74" s="212"/>
      <c r="X74" s="212"/>
      <c r="Y74" s="212"/>
      <c r="Z74" s="212"/>
      <c r="AA74" s="212"/>
      <c r="AB74" s="212"/>
      <c r="AC74" s="214" t="s">
        <v>196</v>
      </c>
      <c r="AD74" s="215" t="s">
        <v>2039</v>
      </c>
      <c r="AE74" s="148"/>
      <c r="AF74" s="212" t="str">
        <f t="shared" si="78"/>
        <v>AMC2-S1</v>
      </c>
      <c r="AG74" s="212">
        <f t="shared" si="79"/>
        <v>1</v>
      </c>
      <c r="AH74" s="203">
        <f t="shared" si="107"/>
        <v>3</v>
      </c>
      <c r="AI74" s="203">
        <f t="shared" ca="1" si="108"/>
        <v>3</v>
      </c>
      <c r="AJ74" s="203">
        <f t="shared" ca="1" si="109"/>
        <v>0</v>
      </c>
      <c r="AK74" s="212" t="str">
        <f t="shared" si="80"/>
        <v>N/A</v>
      </c>
      <c r="AL74" s="212">
        <f t="shared" si="81"/>
        <v>0</v>
      </c>
      <c r="AM74" s="203">
        <f t="shared" si="110"/>
        <v>0</v>
      </c>
      <c r="AN74" s="203">
        <f t="shared" ca="1" si="111"/>
        <v>0</v>
      </c>
      <c r="AO74" s="203">
        <f t="shared" ca="1" si="112"/>
        <v>0</v>
      </c>
      <c r="AP74" s="212" t="str">
        <f t="shared" si="82"/>
        <v>N/A</v>
      </c>
      <c r="AQ74" s="212">
        <f t="shared" si="83"/>
        <v>0</v>
      </c>
      <c r="AR74" s="203">
        <f t="shared" si="113"/>
        <v>0</v>
      </c>
      <c r="AS74" s="203">
        <f t="shared" ca="1" si="114"/>
        <v>0</v>
      </c>
      <c r="AT74" s="203">
        <f t="shared" ca="1" si="115"/>
        <v>0</v>
      </c>
      <c r="AU74" s="212" t="str">
        <f t="shared" si="84"/>
        <v>N/A</v>
      </c>
      <c r="AV74" s="212">
        <f t="shared" si="85"/>
        <v>0</v>
      </c>
      <c r="AW74" s="203">
        <f t="shared" si="116"/>
        <v>0</v>
      </c>
      <c r="AX74" s="203">
        <f t="shared" ca="1" si="117"/>
        <v>0</v>
      </c>
      <c r="AY74" s="203">
        <f t="shared" ca="1" si="118"/>
        <v>0</v>
      </c>
      <c r="AZ74" s="212"/>
      <c r="BA74" s="213" t="s">
        <v>141</v>
      </c>
      <c r="BB74" s="213" t="s">
        <v>140</v>
      </c>
      <c r="BC74" s="213" t="s">
        <v>140</v>
      </c>
      <c r="BD74" s="213" t="s">
        <v>140</v>
      </c>
      <c r="BE74" s="148"/>
      <c r="BF74" s="212" t="s">
        <v>1789</v>
      </c>
      <c r="BG74" s="117"/>
      <c r="BH74" s="155"/>
      <c r="BI74" s="216"/>
      <c r="BJ74" s="216"/>
      <c r="BK74" s="216"/>
      <c r="BL74" s="149"/>
      <c r="BM74" s="149"/>
      <c r="BN74" s="149"/>
      <c r="BO74" s="149"/>
      <c r="BP74" s="149"/>
      <c r="BQ74" s="149"/>
      <c r="BR74" s="117">
        <v>0</v>
      </c>
      <c r="BS74" s="117">
        <v>1</v>
      </c>
      <c r="BT74" s="117">
        <v>0</v>
      </c>
      <c r="BU74" s="117">
        <v>1</v>
      </c>
      <c r="BV74" s="117">
        <v>0</v>
      </c>
      <c r="BW74" s="117">
        <v>0</v>
      </c>
      <c r="BX74" s="117">
        <v>0</v>
      </c>
      <c r="BY74" s="117" t="s">
        <v>1790</v>
      </c>
      <c r="BZ74" s="117" t="s">
        <v>1022</v>
      </c>
      <c r="CA74" s="144">
        <v>3</v>
      </c>
      <c r="CB74" s="149">
        <v>46206</v>
      </c>
      <c r="CC74" s="155"/>
      <c r="CD74" s="155"/>
      <c r="CE74" s="217"/>
      <c r="CF74" s="148">
        <f>+L74-CA74</f>
        <v>0</v>
      </c>
    </row>
    <row r="75" spans="1:84" ht="17.25" hidden="1" customHeight="1">
      <c r="A75" s="186"/>
      <c r="B75" s="187" t="s">
        <v>2042</v>
      </c>
      <c r="C75" s="187" t="s">
        <v>2175</v>
      </c>
      <c r="D75" s="187"/>
      <c r="E75" s="187"/>
      <c r="F75" s="187"/>
      <c r="G75" s="187" t="s">
        <v>1951</v>
      </c>
      <c r="H75" s="188"/>
      <c r="I75" s="189"/>
      <c r="J75" s="190"/>
      <c r="K75" s="191">
        <f t="shared" si="77"/>
        <v>1</v>
      </c>
      <c r="L75" s="190"/>
      <c r="M75" s="192">
        <v>2335.1999999999998</v>
      </c>
      <c r="N75" s="192">
        <v>2335.1999999999998</v>
      </c>
      <c r="O75" s="192" t="s">
        <v>137</v>
      </c>
      <c r="P75" s="192"/>
      <c r="Q75" s="192"/>
      <c r="R75" s="192"/>
      <c r="S75" s="192"/>
      <c r="T75" s="192"/>
      <c r="U75" s="192"/>
      <c r="V75" s="192"/>
      <c r="W75" s="192">
        <f ca="1">_xlfn.MINIFS(V:V,C:C,C75,AE:AE,"",AB:AB,"")</f>
        <v>0</v>
      </c>
      <c r="X75" s="192">
        <f ca="1">SUMIFS(T:T,C:C,C75,AE:AE,"")/SUMIFS(L:L,C:C,C75,AE:AE,"",AB:AB,"")</f>
        <v>0.69230769230769229</v>
      </c>
      <c r="Y75" s="192"/>
      <c r="Z75" s="192"/>
      <c r="AA75" s="192"/>
      <c r="AB75" s="192"/>
      <c r="AC75" s="194" t="s">
        <v>196</v>
      </c>
      <c r="AD75" s="195" t="s">
        <v>2039</v>
      </c>
      <c r="AE75" s="196" t="s">
        <v>1787</v>
      </c>
      <c r="AF75" s="192" t="str">
        <f t="shared" si="78"/>
        <v>AMC2-S1</v>
      </c>
      <c r="AG75" s="192">
        <f t="shared" si="79"/>
        <v>1</v>
      </c>
      <c r="AH75" s="192"/>
      <c r="AI75" s="192"/>
      <c r="AJ75" s="192"/>
      <c r="AK75" s="192" t="str">
        <f t="shared" si="80"/>
        <v>N/A</v>
      </c>
      <c r="AL75" s="192">
        <f t="shared" si="81"/>
        <v>0</v>
      </c>
      <c r="AM75" s="192"/>
      <c r="AN75" s="192"/>
      <c r="AO75" s="192"/>
      <c r="AP75" s="192" t="str">
        <f t="shared" si="82"/>
        <v>N/A</v>
      </c>
      <c r="AQ75" s="192">
        <f t="shared" si="83"/>
        <v>0</v>
      </c>
      <c r="AR75" s="192"/>
      <c r="AS75" s="192"/>
      <c r="AT75" s="192"/>
      <c r="AU75" s="192" t="str">
        <f t="shared" si="84"/>
        <v>N/A</v>
      </c>
      <c r="AV75" s="192">
        <f t="shared" si="85"/>
        <v>0</v>
      </c>
      <c r="AW75" s="192"/>
      <c r="AX75" s="192"/>
      <c r="AY75" s="192"/>
      <c r="AZ75" s="192"/>
      <c r="BA75" s="193" t="s">
        <v>141</v>
      </c>
      <c r="BB75" s="193" t="s">
        <v>140</v>
      </c>
      <c r="BC75" s="193" t="s">
        <v>140</v>
      </c>
      <c r="BD75" s="193" t="s">
        <v>140</v>
      </c>
      <c r="BE75" s="196" t="s">
        <v>741</v>
      </c>
      <c r="BF75" s="192"/>
      <c r="BG75" s="186"/>
      <c r="BH75" s="186"/>
      <c r="BI75" s="197"/>
      <c r="BJ75" s="197"/>
      <c r="BK75" s="197"/>
      <c r="BL75" s="197"/>
      <c r="BM75" s="197"/>
      <c r="BN75" s="197"/>
      <c r="BO75" s="197"/>
      <c r="BP75" s="197"/>
      <c r="BQ75" s="197"/>
      <c r="BR75" s="186"/>
      <c r="BS75" s="186"/>
      <c r="BT75" s="186"/>
      <c r="BU75" s="186"/>
      <c r="BV75" s="186"/>
      <c r="BW75" s="186"/>
      <c r="BX75" s="186"/>
      <c r="BY75" s="186"/>
      <c r="BZ75" s="186"/>
      <c r="CA75" s="186"/>
      <c r="CB75" s="197"/>
      <c r="CC75" s="186"/>
      <c r="CD75" s="186"/>
      <c r="CE75" s="198"/>
      <c r="CF75" s="198"/>
    </row>
    <row r="76" spans="1:84" ht="17.25" hidden="1" customHeight="1">
      <c r="A76" s="117"/>
      <c r="B76" s="209" t="s">
        <v>2042</v>
      </c>
      <c r="C76" s="209" t="s">
        <v>2175</v>
      </c>
      <c r="D76" s="209" t="s">
        <v>1084</v>
      </c>
      <c r="E76" s="209" t="s">
        <v>1805</v>
      </c>
      <c r="F76" s="209" t="s">
        <v>1430</v>
      </c>
      <c r="G76" s="209" t="s">
        <v>1088</v>
      </c>
      <c r="H76" s="210">
        <v>4023</v>
      </c>
      <c r="I76" s="211" t="s">
        <v>147</v>
      </c>
      <c r="J76" s="144">
        <v>1</v>
      </c>
      <c r="K76" s="145">
        <f t="shared" si="77"/>
        <v>1</v>
      </c>
      <c r="L76" s="202">
        <f t="shared" ref="L76:L82" si="119">+J76*K76</f>
        <v>1</v>
      </c>
      <c r="M76" s="212">
        <v>690.9</v>
      </c>
      <c r="N76" s="203">
        <f t="shared" ref="N76:N82" si="120">+M76*L76</f>
        <v>690.9</v>
      </c>
      <c r="O76" s="212" t="s">
        <v>137</v>
      </c>
      <c r="P76" s="212" t="s">
        <v>13</v>
      </c>
      <c r="Q76" s="212" t="s">
        <v>154</v>
      </c>
      <c r="R76" s="212"/>
      <c r="S76" s="212"/>
      <c r="T76" s="203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203">
        <f t="shared" ref="U76:U82" ca="1" si="121">+L76-T76</f>
        <v>0</v>
      </c>
      <c r="V76" s="203">
        <f t="shared" ref="V76:V82" ca="1" si="122">ROUNDDOWN(T76/J76,0)</f>
        <v>1</v>
      </c>
      <c r="W76" s="212"/>
      <c r="X76" s="212"/>
      <c r="Y76" s="212"/>
      <c r="Z76" s="212"/>
      <c r="AA76" s="212"/>
      <c r="AB76" s="212"/>
      <c r="AC76" s="214" t="s">
        <v>196</v>
      </c>
      <c r="AD76" s="215" t="s">
        <v>2039</v>
      </c>
      <c r="AE76" s="148"/>
      <c r="AF76" s="212" t="str">
        <f t="shared" si="78"/>
        <v>AMC2-S1</v>
      </c>
      <c r="AG76" s="212">
        <f t="shared" si="79"/>
        <v>1</v>
      </c>
      <c r="AH76" s="203">
        <f t="shared" ref="AH76:AH82" si="123">+AG76*J76</f>
        <v>1</v>
      </c>
      <c r="AI76" s="203">
        <f t="shared" ref="AI76:AI82" ca="1" si="124">MIN(T76,AH76)</f>
        <v>1</v>
      </c>
      <c r="AJ76" s="203">
        <f t="shared" ref="AJ76:AJ82" ca="1" si="125">+AH76-AI76</f>
        <v>0</v>
      </c>
      <c r="AK76" s="212" t="str">
        <f t="shared" si="80"/>
        <v>N/A</v>
      </c>
      <c r="AL76" s="212">
        <f t="shared" si="81"/>
        <v>0</v>
      </c>
      <c r="AM76" s="203">
        <f t="shared" ref="AM76:AM82" si="126">+AL76*J76</f>
        <v>0</v>
      </c>
      <c r="AN76" s="203">
        <f t="shared" ref="AN76:AN82" ca="1" si="127">MIN(T76-AI76,AL76)</f>
        <v>0</v>
      </c>
      <c r="AO76" s="203">
        <f t="shared" ref="AO76:AO82" ca="1" si="128">+AM76-AN76</f>
        <v>0</v>
      </c>
      <c r="AP76" s="212" t="str">
        <f t="shared" si="82"/>
        <v>N/A</v>
      </c>
      <c r="AQ76" s="212">
        <f t="shared" si="83"/>
        <v>0</v>
      </c>
      <c r="AR76" s="203">
        <f t="shared" ref="AR76:AR82" si="129">+AQ76*J76</f>
        <v>0</v>
      </c>
      <c r="AS76" s="203">
        <f t="shared" ref="AS76:AS82" ca="1" si="130">MIN(T76-AI76-AN76,AR76)</f>
        <v>0</v>
      </c>
      <c r="AT76" s="203">
        <f t="shared" ref="AT76:AT82" ca="1" si="131">+AR76-AS76</f>
        <v>0</v>
      </c>
      <c r="AU76" s="212" t="str">
        <f t="shared" si="84"/>
        <v>N/A</v>
      </c>
      <c r="AV76" s="212">
        <f t="shared" si="85"/>
        <v>0</v>
      </c>
      <c r="AW76" s="203">
        <f t="shared" ref="AW76:AW82" si="132">+AV76*J76</f>
        <v>0</v>
      </c>
      <c r="AX76" s="203">
        <f t="shared" ref="AX76:AX82" ca="1" si="133">MIN(T76-AI76-AN76-AS76,AW76)</f>
        <v>0</v>
      </c>
      <c r="AY76" s="203">
        <f t="shared" ref="AY76:AY82" ca="1" si="134">+AW76-AX76</f>
        <v>0</v>
      </c>
      <c r="AZ76" s="212"/>
      <c r="BA76" s="213" t="s">
        <v>141</v>
      </c>
      <c r="BB76" s="213" t="s">
        <v>140</v>
      </c>
      <c r="BC76" s="213" t="s">
        <v>140</v>
      </c>
      <c r="BD76" s="213" t="s">
        <v>140</v>
      </c>
      <c r="BE76" s="148"/>
      <c r="BF76" s="212" t="s">
        <v>1789</v>
      </c>
      <c r="BG76" s="117"/>
      <c r="BH76" s="155"/>
      <c r="BI76" s="216"/>
      <c r="BJ76" s="216"/>
      <c r="BK76" s="216"/>
      <c r="BL76" s="149"/>
      <c r="BM76" s="149"/>
      <c r="BN76" s="149"/>
      <c r="BO76" s="149"/>
      <c r="BP76" s="149"/>
      <c r="BQ76" s="149"/>
      <c r="BR76" s="117">
        <v>0</v>
      </c>
      <c r="BS76" s="117">
        <v>1</v>
      </c>
      <c r="BT76" s="117">
        <v>0</v>
      </c>
      <c r="BU76" s="117">
        <v>1</v>
      </c>
      <c r="BV76" s="117">
        <v>0</v>
      </c>
      <c r="BW76" s="117">
        <v>0</v>
      </c>
      <c r="BX76" s="117">
        <v>0</v>
      </c>
      <c r="BY76" s="117" t="s">
        <v>1790</v>
      </c>
      <c r="BZ76" s="117" t="s">
        <v>57</v>
      </c>
      <c r="CA76" s="117">
        <v>1</v>
      </c>
      <c r="CB76" s="149"/>
      <c r="CC76" s="155"/>
      <c r="CD76" s="155"/>
      <c r="CE76" s="217"/>
      <c r="CF76" s="148">
        <f t="shared" ref="CF76:CF82" si="135">+L76-CA76</f>
        <v>0</v>
      </c>
    </row>
    <row r="77" spans="1:84" ht="17.25" hidden="1" customHeight="1">
      <c r="A77" s="141"/>
      <c r="B77" s="199" t="s">
        <v>2042</v>
      </c>
      <c r="C77" s="199" t="s">
        <v>2175</v>
      </c>
      <c r="D77" s="199" t="s">
        <v>1084</v>
      </c>
      <c r="E77" s="199" t="s">
        <v>1816</v>
      </c>
      <c r="F77" s="199" t="s">
        <v>1431</v>
      </c>
      <c r="G77" s="199" t="s">
        <v>1432</v>
      </c>
      <c r="H77" s="200">
        <v>2103</v>
      </c>
      <c r="I77" s="201" t="s">
        <v>147</v>
      </c>
      <c r="J77" s="165">
        <v>1</v>
      </c>
      <c r="K77" s="202">
        <f t="shared" si="77"/>
        <v>1</v>
      </c>
      <c r="L77" s="202">
        <f t="shared" si="119"/>
        <v>1</v>
      </c>
      <c r="M77" s="203">
        <v>358.1</v>
      </c>
      <c r="N77" s="203">
        <f t="shared" si="120"/>
        <v>358.1</v>
      </c>
      <c r="O77" s="203" t="s">
        <v>137</v>
      </c>
      <c r="P77" s="203" t="s">
        <v>13</v>
      </c>
      <c r="Q77" s="203" t="s">
        <v>154</v>
      </c>
      <c r="R77" s="203"/>
      <c r="S77" s="203"/>
      <c r="T77" s="203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1</v>
      </c>
      <c r="U77" s="203">
        <f t="shared" ca="1" si="121"/>
        <v>0</v>
      </c>
      <c r="V77" s="203">
        <f t="shared" ca="1" si="122"/>
        <v>1</v>
      </c>
      <c r="W77" s="203"/>
      <c r="X77" s="203"/>
      <c r="Y77" s="203"/>
      <c r="Z77" s="203"/>
      <c r="AA77" s="203"/>
      <c r="AB77" s="203"/>
      <c r="AC77" s="205" t="s">
        <v>196</v>
      </c>
      <c r="AD77" s="206" t="s">
        <v>2039</v>
      </c>
      <c r="AE77" s="166"/>
      <c r="AF77" s="203" t="str">
        <f t="shared" si="78"/>
        <v>AMC2-S1</v>
      </c>
      <c r="AG77" s="203">
        <f t="shared" si="79"/>
        <v>1</v>
      </c>
      <c r="AH77" s="203">
        <f t="shared" si="123"/>
        <v>1</v>
      </c>
      <c r="AI77" s="203">
        <f t="shared" ca="1" si="124"/>
        <v>1</v>
      </c>
      <c r="AJ77" s="203">
        <f t="shared" ca="1" si="125"/>
        <v>0</v>
      </c>
      <c r="AK77" s="203" t="str">
        <f t="shared" si="80"/>
        <v>N/A</v>
      </c>
      <c r="AL77" s="203">
        <f t="shared" si="81"/>
        <v>0</v>
      </c>
      <c r="AM77" s="203">
        <f t="shared" si="126"/>
        <v>0</v>
      </c>
      <c r="AN77" s="203">
        <f t="shared" ca="1" si="127"/>
        <v>0</v>
      </c>
      <c r="AO77" s="203">
        <f t="shared" ca="1" si="128"/>
        <v>0</v>
      </c>
      <c r="AP77" s="203" t="str">
        <f t="shared" si="82"/>
        <v>N/A</v>
      </c>
      <c r="AQ77" s="203">
        <f t="shared" si="83"/>
        <v>0</v>
      </c>
      <c r="AR77" s="203">
        <f t="shared" si="129"/>
        <v>0</v>
      </c>
      <c r="AS77" s="203">
        <f t="shared" ca="1" si="130"/>
        <v>0</v>
      </c>
      <c r="AT77" s="203">
        <f t="shared" ca="1" si="131"/>
        <v>0</v>
      </c>
      <c r="AU77" s="203" t="str">
        <f t="shared" si="84"/>
        <v>N/A</v>
      </c>
      <c r="AV77" s="203">
        <f t="shared" si="85"/>
        <v>0</v>
      </c>
      <c r="AW77" s="203">
        <f t="shared" si="132"/>
        <v>0</v>
      </c>
      <c r="AX77" s="203">
        <f t="shared" ca="1" si="133"/>
        <v>0</v>
      </c>
      <c r="AY77" s="203">
        <f t="shared" ca="1" si="134"/>
        <v>0</v>
      </c>
      <c r="AZ77" s="203"/>
      <c r="BA77" s="204" t="s">
        <v>141</v>
      </c>
      <c r="BB77" s="204" t="s">
        <v>140</v>
      </c>
      <c r="BC77" s="204" t="s">
        <v>140</v>
      </c>
      <c r="BD77" s="204" t="s">
        <v>140</v>
      </c>
      <c r="BE77" s="166"/>
      <c r="BF77" s="203" t="s">
        <v>1789</v>
      </c>
      <c r="BG77" s="141"/>
      <c r="BH77" s="141"/>
      <c r="BI77" s="153"/>
      <c r="BJ77" s="153"/>
      <c r="BK77" s="153"/>
      <c r="BL77" s="153" t="s">
        <v>1932</v>
      </c>
      <c r="BM77" s="153"/>
      <c r="BN77" s="153"/>
      <c r="BO77" s="153"/>
      <c r="BP77" s="153"/>
      <c r="BQ77" s="153"/>
      <c r="BR77" s="141">
        <v>0</v>
      </c>
      <c r="BS77" s="141">
        <v>1</v>
      </c>
      <c r="BT77" s="141">
        <v>0</v>
      </c>
      <c r="BU77" s="141">
        <v>1</v>
      </c>
      <c r="BV77" s="141">
        <v>0</v>
      </c>
      <c r="BW77" s="141">
        <v>0</v>
      </c>
      <c r="BX77" s="141">
        <v>0</v>
      </c>
      <c r="BY77" s="141" t="s">
        <v>1790</v>
      </c>
      <c r="BZ77" s="141" t="s">
        <v>1398</v>
      </c>
      <c r="CA77" s="141">
        <v>1</v>
      </c>
      <c r="CB77" s="153">
        <v>46186</v>
      </c>
      <c r="CC77" s="141"/>
      <c r="CD77" s="141"/>
      <c r="CE77" s="166"/>
      <c r="CF77" s="166">
        <f t="shared" si="135"/>
        <v>0</v>
      </c>
    </row>
    <row r="78" spans="1:84" ht="17.25" hidden="1" customHeight="1">
      <c r="A78" s="117"/>
      <c r="B78" s="209" t="s">
        <v>2042</v>
      </c>
      <c r="C78" s="209" t="s">
        <v>2175</v>
      </c>
      <c r="D78" s="209" t="s">
        <v>1084</v>
      </c>
      <c r="E78" s="209" t="s">
        <v>1817</v>
      </c>
      <c r="F78" s="209" t="s">
        <v>1433</v>
      </c>
      <c r="G78" s="209" t="s">
        <v>1434</v>
      </c>
      <c r="H78" s="210">
        <v>5608</v>
      </c>
      <c r="I78" s="211" t="s">
        <v>147</v>
      </c>
      <c r="J78" s="144">
        <v>1</v>
      </c>
      <c r="K78" s="145">
        <f t="shared" si="77"/>
        <v>1</v>
      </c>
      <c r="L78" s="202">
        <f t="shared" si="119"/>
        <v>1</v>
      </c>
      <c r="M78" s="212">
        <v>1110.3</v>
      </c>
      <c r="N78" s="203">
        <f t="shared" si="120"/>
        <v>1110.3</v>
      </c>
      <c r="O78" s="212" t="s">
        <v>137</v>
      </c>
      <c r="P78" s="212" t="s">
        <v>13</v>
      </c>
      <c r="Q78" s="212" t="s">
        <v>154</v>
      </c>
      <c r="R78" s="212"/>
      <c r="S78" s="212"/>
      <c r="T78" s="203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1</v>
      </c>
      <c r="U78" s="203">
        <f t="shared" ca="1" si="121"/>
        <v>0</v>
      </c>
      <c r="V78" s="203">
        <f t="shared" ca="1" si="122"/>
        <v>1</v>
      </c>
      <c r="W78" s="212"/>
      <c r="X78" s="212"/>
      <c r="Y78" s="212"/>
      <c r="Z78" s="212"/>
      <c r="AA78" s="212"/>
      <c r="AB78" s="212"/>
      <c r="AC78" s="214" t="s">
        <v>196</v>
      </c>
      <c r="AD78" s="215" t="s">
        <v>2039</v>
      </c>
      <c r="AE78" s="148"/>
      <c r="AF78" s="212" t="str">
        <f t="shared" si="78"/>
        <v>AMC2-S1</v>
      </c>
      <c r="AG78" s="212">
        <f t="shared" si="79"/>
        <v>1</v>
      </c>
      <c r="AH78" s="203">
        <f t="shared" si="123"/>
        <v>1</v>
      </c>
      <c r="AI78" s="203">
        <f t="shared" ca="1" si="124"/>
        <v>1</v>
      </c>
      <c r="AJ78" s="203">
        <f t="shared" ca="1" si="125"/>
        <v>0</v>
      </c>
      <c r="AK78" s="212" t="str">
        <f t="shared" si="80"/>
        <v>N/A</v>
      </c>
      <c r="AL78" s="212">
        <f t="shared" si="81"/>
        <v>0</v>
      </c>
      <c r="AM78" s="203">
        <f t="shared" si="126"/>
        <v>0</v>
      </c>
      <c r="AN78" s="203">
        <f t="shared" ca="1" si="127"/>
        <v>0</v>
      </c>
      <c r="AO78" s="203">
        <f t="shared" ca="1" si="128"/>
        <v>0</v>
      </c>
      <c r="AP78" s="212" t="str">
        <f t="shared" si="82"/>
        <v>N/A</v>
      </c>
      <c r="AQ78" s="212">
        <f t="shared" si="83"/>
        <v>0</v>
      </c>
      <c r="AR78" s="203">
        <f t="shared" si="129"/>
        <v>0</v>
      </c>
      <c r="AS78" s="203">
        <f t="shared" ca="1" si="130"/>
        <v>0</v>
      </c>
      <c r="AT78" s="203">
        <f t="shared" ca="1" si="131"/>
        <v>0</v>
      </c>
      <c r="AU78" s="212" t="str">
        <f t="shared" si="84"/>
        <v>N/A</v>
      </c>
      <c r="AV78" s="212">
        <f t="shared" si="85"/>
        <v>0</v>
      </c>
      <c r="AW78" s="203">
        <f t="shared" si="132"/>
        <v>0</v>
      </c>
      <c r="AX78" s="203">
        <f t="shared" ca="1" si="133"/>
        <v>0</v>
      </c>
      <c r="AY78" s="203">
        <f t="shared" ca="1" si="134"/>
        <v>0</v>
      </c>
      <c r="AZ78" s="212"/>
      <c r="BA78" s="213" t="s">
        <v>141</v>
      </c>
      <c r="BB78" s="213" t="s">
        <v>140</v>
      </c>
      <c r="BC78" s="213" t="s">
        <v>140</v>
      </c>
      <c r="BD78" s="213" t="s">
        <v>140</v>
      </c>
      <c r="BE78" s="148"/>
      <c r="BF78" s="212" t="s">
        <v>1789</v>
      </c>
      <c r="BG78" s="117"/>
      <c r="BH78" s="155"/>
      <c r="BI78" s="216"/>
      <c r="BJ78" s="216"/>
      <c r="BK78" s="216"/>
      <c r="BL78" s="149"/>
      <c r="BM78" s="149"/>
      <c r="BN78" s="149"/>
      <c r="BO78" s="149"/>
      <c r="BP78" s="149"/>
      <c r="BQ78" s="149"/>
      <c r="BR78" s="117">
        <v>0</v>
      </c>
      <c r="BS78" s="117">
        <v>1</v>
      </c>
      <c r="BT78" s="117">
        <v>0</v>
      </c>
      <c r="BU78" s="117">
        <v>1</v>
      </c>
      <c r="BV78" s="117">
        <v>0</v>
      </c>
      <c r="BW78" s="117">
        <v>0</v>
      </c>
      <c r="BX78" s="117">
        <v>0</v>
      </c>
      <c r="BY78" s="117" t="s">
        <v>1790</v>
      </c>
      <c r="BZ78" s="117" t="s">
        <v>57</v>
      </c>
      <c r="CA78" s="117">
        <v>1</v>
      </c>
      <c r="CB78" s="149"/>
      <c r="CC78" s="155"/>
      <c r="CD78" s="155"/>
      <c r="CE78" s="217"/>
      <c r="CF78" s="148">
        <f t="shared" si="135"/>
        <v>0</v>
      </c>
    </row>
    <row r="79" spans="1:84" ht="17.25" hidden="1" customHeight="1">
      <c r="A79" s="117"/>
      <c r="B79" s="209" t="s">
        <v>2042</v>
      </c>
      <c r="C79" s="209" t="s">
        <v>2175</v>
      </c>
      <c r="D79" s="209" t="s">
        <v>1296</v>
      </c>
      <c r="E79" s="209" t="s">
        <v>1806</v>
      </c>
      <c r="F79" s="209" t="s">
        <v>1435</v>
      </c>
      <c r="G79" s="209" t="s">
        <v>1436</v>
      </c>
      <c r="H79" s="210">
        <v>1867</v>
      </c>
      <c r="I79" s="211" t="s">
        <v>147</v>
      </c>
      <c r="J79" s="144">
        <v>3</v>
      </c>
      <c r="K79" s="145">
        <f t="shared" si="77"/>
        <v>1</v>
      </c>
      <c r="L79" s="202">
        <f t="shared" si="119"/>
        <v>3</v>
      </c>
      <c r="M79" s="212">
        <v>25.4</v>
      </c>
      <c r="N79" s="203">
        <f t="shared" si="120"/>
        <v>76.199999999999989</v>
      </c>
      <c r="O79" s="212" t="s">
        <v>137</v>
      </c>
      <c r="P79" s="212" t="s">
        <v>13</v>
      </c>
      <c r="Q79" s="212" t="s">
        <v>148</v>
      </c>
      <c r="R79" s="212"/>
      <c r="S79" s="212"/>
      <c r="T79" s="203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3</v>
      </c>
      <c r="U79" s="203">
        <f t="shared" ca="1" si="121"/>
        <v>0</v>
      </c>
      <c r="V79" s="203">
        <f t="shared" ca="1" si="122"/>
        <v>1</v>
      </c>
      <c r="W79" s="212"/>
      <c r="X79" s="212"/>
      <c r="Y79" s="212"/>
      <c r="Z79" s="212"/>
      <c r="AA79" s="212"/>
      <c r="AB79" s="212"/>
      <c r="AC79" s="214" t="s">
        <v>196</v>
      </c>
      <c r="AD79" s="215" t="s">
        <v>2039</v>
      </c>
      <c r="AE79" s="148"/>
      <c r="AF79" s="212" t="str">
        <f t="shared" si="78"/>
        <v>AMC2-S1</v>
      </c>
      <c r="AG79" s="212">
        <f t="shared" si="79"/>
        <v>1</v>
      </c>
      <c r="AH79" s="203">
        <f t="shared" si="123"/>
        <v>3</v>
      </c>
      <c r="AI79" s="203">
        <f t="shared" ca="1" si="124"/>
        <v>3</v>
      </c>
      <c r="AJ79" s="203">
        <f t="shared" ca="1" si="125"/>
        <v>0</v>
      </c>
      <c r="AK79" s="212" t="str">
        <f t="shared" si="80"/>
        <v>N/A</v>
      </c>
      <c r="AL79" s="212">
        <f t="shared" si="81"/>
        <v>0</v>
      </c>
      <c r="AM79" s="203">
        <f t="shared" si="126"/>
        <v>0</v>
      </c>
      <c r="AN79" s="203">
        <f t="shared" ca="1" si="127"/>
        <v>0</v>
      </c>
      <c r="AO79" s="203">
        <f t="shared" ca="1" si="128"/>
        <v>0</v>
      </c>
      <c r="AP79" s="212" t="str">
        <f t="shared" si="82"/>
        <v>N/A</v>
      </c>
      <c r="AQ79" s="212">
        <f t="shared" si="83"/>
        <v>0</v>
      </c>
      <c r="AR79" s="203">
        <f t="shared" si="129"/>
        <v>0</v>
      </c>
      <c r="AS79" s="203">
        <f t="shared" ca="1" si="130"/>
        <v>0</v>
      </c>
      <c r="AT79" s="203">
        <f t="shared" ca="1" si="131"/>
        <v>0</v>
      </c>
      <c r="AU79" s="212" t="str">
        <f t="shared" si="84"/>
        <v>N/A</v>
      </c>
      <c r="AV79" s="212">
        <f t="shared" si="85"/>
        <v>0</v>
      </c>
      <c r="AW79" s="203">
        <f t="shared" si="132"/>
        <v>0</v>
      </c>
      <c r="AX79" s="203">
        <f t="shared" ca="1" si="133"/>
        <v>0</v>
      </c>
      <c r="AY79" s="203">
        <f t="shared" ca="1" si="134"/>
        <v>0</v>
      </c>
      <c r="AZ79" s="212"/>
      <c r="BA79" s="213" t="s">
        <v>141</v>
      </c>
      <c r="BB79" s="213" t="s">
        <v>140</v>
      </c>
      <c r="BC79" s="213" t="s">
        <v>140</v>
      </c>
      <c r="BD79" s="213" t="s">
        <v>140</v>
      </c>
      <c r="BE79" s="148"/>
      <c r="BF79" s="212" t="s">
        <v>1789</v>
      </c>
      <c r="BG79" s="117"/>
      <c r="BH79" s="155"/>
      <c r="BI79" s="216"/>
      <c r="BJ79" s="216"/>
      <c r="BK79" s="216"/>
      <c r="BL79" s="149"/>
      <c r="BM79" s="149"/>
      <c r="BN79" s="149"/>
      <c r="BO79" s="149"/>
      <c r="BP79" s="149"/>
      <c r="BQ79" s="149"/>
      <c r="BR79" s="117">
        <v>0</v>
      </c>
      <c r="BS79" s="117">
        <v>0</v>
      </c>
      <c r="BT79" s="117">
        <v>0</v>
      </c>
      <c r="BU79" s="117">
        <v>1</v>
      </c>
      <c r="BV79" s="117">
        <v>0</v>
      </c>
      <c r="BW79" s="117">
        <v>0</v>
      </c>
      <c r="BX79" s="117">
        <v>0</v>
      </c>
      <c r="BY79" s="117" t="s">
        <v>1790</v>
      </c>
      <c r="BZ79" s="117" t="s">
        <v>1022</v>
      </c>
      <c r="CA79" s="144">
        <v>3</v>
      </c>
      <c r="CB79" s="149">
        <v>46206</v>
      </c>
      <c r="CC79" s="155"/>
      <c r="CD79" s="155"/>
      <c r="CE79" s="217"/>
      <c r="CF79" s="148">
        <f t="shared" si="135"/>
        <v>0</v>
      </c>
    </row>
    <row r="80" spans="1:84" ht="17.25" hidden="1" customHeight="1">
      <c r="A80" s="117"/>
      <c r="B80" s="209" t="s">
        <v>2042</v>
      </c>
      <c r="C80" s="209" t="s">
        <v>2175</v>
      </c>
      <c r="D80" s="209" t="s">
        <v>1296</v>
      </c>
      <c r="E80" s="209" t="s">
        <v>1807</v>
      </c>
      <c r="F80" s="209" t="s">
        <v>1437</v>
      </c>
      <c r="G80" s="209" t="s">
        <v>1438</v>
      </c>
      <c r="H80" s="210">
        <v>2149</v>
      </c>
      <c r="I80" s="211" t="s">
        <v>147</v>
      </c>
      <c r="J80" s="144">
        <v>3</v>
      </c>
      <c r="K80" s="145">
        <f t="shared" si="77"/>
        <v>1</v>
      </c>
      <c r="L80" s="202">
        <f t="shared" si="119"/>
        <v>3</v>
      </c>
      <c r="M80" s="212">
        <v>33.5</v>
      </c>
      <c r="N80" s="203">
        <f t="shared" si="120"/>
        <v>100.5</v>
      </c>
      <c r="O80" s="212" t="s">
        <v>137</v>
      </c>
      <c r="P80" s="212" t="s">
        <v>13</v>
      </c>
      <c r="Q80" s="212" t="s">
        <v>148</v>
      </c>
      <c r="R80" s="212"/>
      <c r="S80" s="212"/>
      <c r="T80" s="203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3</v>
      </c>
      <c r="U80" s="203">
        <f t="shared" ca="1" si="121"/>
        <v>0</v>
      </c>
      <c r="V80" s="203">
        <f t="shared" ca="1" si="122"/>
        <v>1</v>
      </c>
      <c r="W80" s="212"/>
      <c r="X80" s="212"/>
      <c r="Y80" s="212"/>
      <c r="Z80" s="212"/>
      <c r="AA80" s="212"/>
      <c r="AB80" s="212"/>
      <c r="AC80" s="214" t="s">
        <v>196</v>
      </c>
      <c r="AD80" s="215" t="s">
        <v>2039</v>
      </c>
      <c r="AE80" s="148"/>
      <c r="AF80" s="212" t="str">
        <f t="shared" si="78"/>
        <v>AMC2-S1</v>
      </c>
      <c r="AG80" s="212">
        <f t="shared" si="79"/>
        <v>1</v>
      </c>
      <c r="AH80" s="203">
        <f t="shared" si="123"/>
        <v>3</v>
      </c>
      <c r="AI80" s="203">
        <f t="shared" ca="1" si="124"/>
        <v>3</v>
      </c>
      <c r="AJ80" s="203">
        <f t="shared" ca="1" si="125"/>
        <v>0</v>
      </c>
      <c r="AK80" s="212" t="str">
        <f t="shared" si="80"/>
        <v>N/A</v>
      </c>
      <c r="AL80" s="212">
        <f t="shared" si="81"/>
        <v>0</v>
      </c>
      <c r="AM80" s="203">
        <f t="shared" si="126"/>
        <v>0</v>
      </c>
      <c r="AN80" s="203">
        <f t="shared" ca="1" si="127"/>
        <v>0</v>
      </c>
      <c r="AO80" s="203">
        <f t="shared" ca="1" si="128"/>
        <v>0</v>
      </c>
      <c r="AP80" s="212" t="str">
        <f t="shared" si="82"/>
        <v>N/A</v>
      </c>
      <c r="AQ80" s="212">
        <f t="shared" si="83"/>
        <v>0</v>
      </c>
      <c r="AR80" s="203">
        <f t="shared" si="129"/>
        <v>0</v>
      </c>
      <c r="AS80" s="203">
        <f t="shared" ca="1" si="130"/>
        <v>0</v>
      </c>
      <c r="AT80" s="203">
        <f t="shared" ca="1" si="131"/>
        <v>0</v>
      </c>
      <c r="AU80" s="212" t="str">
        <f t="shared" si="84"/>
        <v>N/A</v>
      </c>
      <c r="AV80" s="212">
        <f t="shared" si="85"/>
        <v>0</v>
      </c>
      <c r="AW80" s="203">
        <f t="shared" si="132"/>
        <v>0</v>
      </c>
      <c r="AX80" s="203">
        <f t="shared" ca="1" si="133"/>
        <v>0</v>
      </c>
      <c r="AY80" s="203">
        <f t="shared" ca="1" si="134"/>
        <v>0</v>
      </c>
      <c r="AZ80" s="212"/>
      <c r="BA80" s="213" t="s">
        <v>141</v>
      </c>
      <c r="BB80" s="213" t="s">
        <v>140</v>
      </c>
      <c r="BC80" s="213" t="s">
        <v>140</v>
      </c>
      <c r="BD80" s="213" t="s">
        <v>140</v>
      </c>
      <c r="BE80" s="148"/>
      <c r="BF80" s="212" t="s">
        <v>1789</v>
      </c>
      <c r="BG80" s="117"/>
      <c r="BH80" s="155"/>
      <c r="BI80" s="216"/>
      <c r="BJ80" s="216"/>
      <c r="BK80" s="216"/>
      <c r="BL80" s="149"/>
      <c r="BM80" s="149"/>
      <c r="BN80" s="149"/>
      <c r="BO80" s="149"/>
      <c r="BP80" s="149"/>
      <c r="BQ80" s="149"/>
      <c r="BR80" s="117">
        <v>0</v>
      </c>
      <c r="BS80" s="117">
        <v>0</v>
      </c>
      <c r="BT80" s="117">
        <v>0</v>
      </c>
      <c r="BU80" s="117">
        <v>1</v>
      </c>
      <c r="BV80" s="117">
        <v>0</v>
      </c>
      <c r="BW80" s="117">
        <v>0</v>
      </c>
      <c r="BX80" s="117">
        <v>0</v>
      </c>
      <c r="BY80" s="117" t="s">
        <v>1790</v>
      </c>
      <c r="BZ80" s="117" t="s">
        <v>1022</v>
      </c>
      <c r="CA80" s="144">
        <v>3</v>
      </c>
      <c r="CB80" s="149">
        <v>46206</v>
      </c>
      <c r="CC80" s="155"/>
      <c r="CD80" s="155"/>
      <c r="CE80" s="217"/>
      <c r="CF80" s="148">
        <f t="shared" si="135"/>
        <v>0</v>
      </c>
    </row>
    <row r="81" spans="1:84" ht="17.25" hidden="1" customHeight="1">
      <c r="A81" s="117"/>
      <c r="B81" s="209" t="s">
        <v>2042</v>
      </c>
      <c r="C81" s="209" t="s">
        <v>2175</v>
      </c>
      <c r="D81" s="209" t="s">
        <v>1296</v>
      </c>
      <c r="E81" s="209" t="s">
        <v>1818</v>
      </c>
      <c r="F81" s="209" t="s">
        <v>1439</v>
      </c>
      <c r="G81" s="209" t="s">
        <v>1125</v>
      </c>
      <c r="H81" s="210">
        <v>200</v>
      </c>
      <c r="I81" s="211" t="s">
        <v>147</v>
      </c>
      <c r="J81" s="144">
        <v>2</v>
      </c>
      <c r="K81" s="145">
        <f t="shared" si="77"/>
        <v>1</v>
      </c>
      <c r="L81" s="202">
        <f t="shared" si="119"/>
        <v>2</v>
      </c>
      <c r="M81" s="212">
        <v>5.5</v>
      </c>
      <c r="N81" s="203">
        <f t="shared" si="120"/>
        <v>11</v>
      </c>
      <c r="O81" s="212" t="s">
        <v>137</v>
      </c>
      <c r="P81" s="212" t="s">
        <v>13</v>
      </c>
      <c r="Q81" s="212" t="s">
        <v>148</v>
      </c>
      <c r="R81" s="212"/>
      <c r="S81" s="212"/>
      <c r="T81" s="203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2</v>
      </c>
      <c r="U81" s="203">
        <f t="shared" ca="1" si="121"/>
        <v>0</v>
      </c>
      <c r="V81" s="203">
        <f t="shared" ca="1" si="122"/>
        <v>1</v>
      </c>
      <c r="W81" s="212"/>
      <c r="X81" s="212"/>
      <c r="Y81" s="212"/>
      <c r="Z81" s="212"/>
      <c r="AA81" s="212"/>
      <c r="AB81" s="212"/>
      <c r="AC81" s="214" t="s">
        <v>196</v>
      </c>
      <c r="AD81" s="215" t="s">
        <v>2039</v>
      </c>
      <c r="AE81" s="148"/>
      <c r="AF81" s="212" t="str">
        <f t="shared" si="78"/>
        <v>AMC2-S1</v>
      </c>
      <c r="AG81" s="212">
        <f t="shared" si="79"/>
        <v>1</v>
      </c>
      <c r="AH81" s="203">
        <f t="shared" si="123"/>
        <v>2</v>
      </c>
      <c r="AI81" s="203">
        <f t="shared" ca="1" si="124"/>
        <v>2</v>
      </c>
      <c r="AJ81" s="203">
        <f t="shared" ca="1" si="125"/>
        <v>0</v>
      </c>
      <c r="AK81" s="212" t="str">
        <f t="shared" si="80"/>
        <v>N/A</v>
      </c>
      <c r="AL81" s="212">
        <f t="shared" si="81"/>
        <v>0</v>
      </c>
      <c r="AM81" s="203">
        <f t="shared" si="126"/>
        <v>0</v>
      </c>
      <c r="AN81" s="203">
        <f t="shared" ca="1" si="127"/>
        <v>0</v>
      </c>
      <c r="AO81" s="203">
        <f t="shared" ca="1" si="128"/>
        <v>0</v>
      </c>
      <c r="AP81" s="212" t="str">
        <f t="shared" si="82"/>
        <v>N/A</v>
      </c>
      <c r="AQ81" s="212">
        <f t="shared" si="83"/>
        <v>0</v>
      </c>
      <c r="AR81" s="203">
        <f t="shared" si="129"/>
        <v>0</v>
      </c>
      <c r="AS81" s="203">
        <f t="shared" ca="1" si="130"/>
        <v>0</v>
      </c>
      <c r="AT81" s="203">
        <f t="shared" ca="1" si="131"/>
        <v>0</v>
      </c>
      <c r="AU81" s="212" t="str">
        <f t="shared" si="84"/>
        <v>N/A</v>
      </c>
      <c r="AV81" s="212">
        <f t="shared" si="85"/>
        <v>0</v>
      </c>
      <c r="AW81" s="203">
        <f t="shared" si="132"/>
        <v>0</v>
      </c>
      <c r="AX81" s="203">
        <f t="shared" ca="1" si="133"/>
        <v>0</v>
      </c>
      <c r="AY81" s="203">
        <f t="shared" ca="1" si="134"/>
        <v>0</v>
      </c>
      <c r="AZ81" s="212"/>
      <c r="BA81" s="213" t="s">
        <v>141</v>
      </c>
      <c r="BB81" s="213" t="s">
        <v>140</v>
      </c>
      <c r="BC81" s="213" t="s">
        <v>140</v>
      </c>
      <c r="BD81" s="213" t="s">
        <v>140</v>
      </c>
      <c r="BE81" s="148"/>
      <c r="BF81" s="212" t="s">
        <v>1789</v>
      </c>
      <c r="BG81" s="117"/>
      <c r="BH81" s="155"/>
      <c r="BI81" s="216"/>
      <c r="BJ81" s="216"/>
      <c r="BK81" s="216"/>
      <c r="BL81" s="149"/>
      <c r="BM81" s="149"/>
      <c r="BN81" s="149"/>
      <c r="BO81" s="149"/>
      <c r="BP81" s="149"/>
      <c r="BQ81" s="149"/>
      <c r="BR81" s="117">
        <v>1</v>
      </c>
      <c r="BS81" s="117">
        <v>0</v>
      </c>
      <c r="BT81" s="117">
        <v>0</v>
      </c>
      <c r="BU81" s="117">
        <v>0</v>
      </c>
      <c r="BV81" s="117">
        <v>0</v>
      </c>
      <c r="BW81" s="117">
        <v>0</v>
      </c>
      <c r="BX81" s="117">
        <v>0</v>
      </c>
      <c r="BY81" s="117" t="s">
        <v>1790</v>
      </c>
      <c r="BZ81" s="117" t="s">
        <v>1303</v>
      </c>
      <c r="CA81" s="117">
        <v>2</v>
      </c>
      <c r="CB81" s="149">
        <v>46206</v>
      </c>
      <c r="CC81" s="155"/>
      <c r="CD81" s="117"/>
      <c r="CE81" s="217"/>
      <c r="CF81" s="148">
        <f t="shared" si="135"/>
        <v>0</v>
      </c>
    </row>
    <row r="82" spans="1:84" ht="17.25" hidden="1" customHeight="1">
      <c r="A82" s="117"/>
      <c r="B82" s="209" t="s">
        <v>2042</v>
      </c>
      <c r="C82" s="209" t="s">
        <v>2175</v>
      </c>
      <c r="D82" s="209" t="s">
        <v>1296</v>
      </c>
      <c r="E82" s="209" t="s">
        <v>1819</v>
      </c>
      <c r="F82" s="209" t="s">
        <v>1440</v>
      </c>
      <c r="G82" s="209" t="s">
        <v>1123</v>
      </c>
      <c r="H82" s="210">
        <v>320</v>
      </c>
      <c r="I82" s="211" t="s">
        <v>147</v>
      </c>
      <c r="J82" s="144">
        <v>2</v>
      </c>
      <c r="K82" s="145">
        <f t="shared" si="77"/>
        <v>1</v>
      </c>
      <c r="L82" s="202">
        <f t="shared" si="119"/>
        <v>2</v>
      </c>
      <c r="M82" s="212">
        <v>7.6</v>
      </c>
      <c r="N82" s="203">
        <f t="shared" si="120"/>
        <v>15.2</v>
      </c>
      <c r="O82" s="212" t="s">
        <v>137</v>
      </c>
      <c r="P82" s="212" t="s">
        <v>13</v>
      </c>
      <c r="Q82" s="212" t="s">
        <v>148</v>
      </c>
      <c r="R82" s="212"/>
      <c r="S82" s="212"/>
      <c r="T82" s="203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2</v>
      </c>
      <c r="U82" s="203">
        <f t="shared" ca="1" si="121"/>
        <v>0</v>
      </c>
      <c r="V82" s="203">
        <f t="shared" ca="1" si="122"/>
        <v>1</v>
      </c>
      <c r="W82" s="212"/>
      <c r="X82" s="212"/>
      <c r="Y82" s="212"/>
      <c r="Z82" s="212"/>
      <c r="AA82" s="212"/>
      <c r="AB82" s="212"/>
      <c r="AC82" s="214" t="s">
        <v>196</v>
      </c>
      <c r="AD82" s="215" t="s">
        <v>2039</v>
      </c>
      <c r="AE82" s="148"/>
      <c r="AF82" s="212" t="str">
        <f t="shared" si="78"/>
        <v>AMC2-S1</v>
      </c>
      <c r="AG82" s="212">
        <f t="shared" si="79"/>
        <v>1</v>
      </c>
      <c r="AH82" s="203">
        <f t="shared" si="123"/>
        <v>2</v>
      </c>
      <c r="AI82" s="203">
        <f t="shared" ca="1" si="124"/>
        <v>2</v>
      </c>
      <c r="AJ82" s="203">
        <f t="shared" ca="1" si="125"/>
        <v>0</v>
      </c>
      <c r="AK82" s="212" t="str">
        <f t="shared" si="80"/>
        <v>N/A</v>
      </c>
      <c r="AL82" s="212">
        <f t="shared" si="81"/>
        <v>0</v>
      </c>
      <c r="AM82" s="203">
        <f t="shared" si="126"/>
        <v>0</v>
      </c>
      <c r="AN82" s="203">
        <f t="shared" ca="1" si="127"/>
        <v>0</v>
      </c>
      <c r="AO82" s="203">
        <f t="shared" ca="1" si="128"/>
        <v>0</v>
      </c>
      <c r="AP82" s="212" t="str">
        <f t="shared" si="82"/>
        <v>N/A</v>
      </c>
      <c r="AQ82" s="212">
        <f t="shared" si="83"/>
        <v>0</v>
      </c>
      <c r="AR82" s="203">
        <f t="shared" si="129"/>
        <v>0</v>
      </c>
      <c r="AS82" s="203">
        <f t="shared" ca="1" si="130"/>
        <v>0</v>
      </c>
      <c r="AT82" s="203">
        <f t="shared" ca="1" si="131"/>
        <v>0</v>
      </c>
      <c r="AU82" s="212" t="str">
        <f t="shared" si="84"/>
        <v>N/A</v>
      </c>
      <c r="AV82" s="212">
        <f t="shared" si="85"/>
        <v>0</v>
      </c>
      <c r="AW82" s="203">
        <f t="shared" si="132"/>
        <v>0</v>
      </c>
      <c r="AX82" s="203">
        <f t="shared" ca="1" si="133"/>
        <v>0</v>
      </c>
      <c r="AY82" s="203">
        <f t="shared" ca="1" si="134"/>
        <v>0</v>
      </c>
      <c r="AZ82" s="212"/>
      <c r="BA82" s="213" t="s">
        <v>141</v>
      </c>
      <c r="BB82" s="213" t="s">
        <v>140</v>
      </c>
      <c r="BC82" s="213" t="s">
        <v>140</v>
      </c>
      <c r="BD82" s="213" t="s">
        <v>140</v>
      </c>
      <c r="BE82" s="148"/>
      <c r="BF82" s="212" t="s">
        <v>1789</v>
      </c>
      <c r="BG82" s="117"/>
      <c r="BH82" s="155"/>
      <c r="BI82" s="216"/>
      <c r="BJ82" s="216"/>
      <c r="BK82" s="216"/>
      <c r="BL82" s="149"/>
      <c r="BM82" s="149"/>
      <c r="BN82" s="149"/>
      <c r="BO82" s="149"/>
      <c r="BP82" s="149"/>
      <c r="BQ82" s="149"/>
      <c r="BR82" s="117">
        <v>1</v>
      </c>
      <c r="BS82" s="117">
        <v>0</v>
      </c>
      <c r="BT82" s="117">
        <v>0</v>
      </c>
      <c r="BU82" s="117">
        <v>0</v>
      </c>
      <c r="BV82" s="117">
        <v>0</v>
      </c>
      <c r="BW82" s="117">
        <v>0</v>
      </c>
      <c r="BX82" s="117">
        <v>0</v>
      </c>
      <c r="BY82" s="117" t="s">
        <v>1790</v>
      </c>
      <c r="BZ82" s="117" t="s">
        <v>1307</v>
      </c>
      <c r="CA82" s="117">
        <v>2</v>
      </c>
      <c r="CB82" s="234">
        <v>46242</v>
      </c>
      <c r="CC82" s="155"/>
      <c r="CD82" s="117"/>
      <c r="CE82" s="217"/>
      <c r="CF82" s="148">
        <f t="shared" si="135"/>
        <v>0</v>
      </c>
    </row>
    <row r="83" spans="1:84" ht="17.25" hidden="1" customHeight="1">
      <c r="A83" s="186"/>
      <c r="B83" s="187" t="s">
        <v>2042</v>
      </c>
      <c r="C83" s="187" t="s">
        <v>2214</v>
      </c>
      <c r="D83" s="187"/>
      <c r="E83" s="187"/>
      <c r="F83" s="187"/>
      <c r="G83" s="187" t="s">
        <v>2045</v>
      </c>
      <c r="H83" s="188"/>
      <c r="I83" s="189"/>
      <c r="J83" s="190"/>
      <c r="K83" s="191">
        <f t="shared" si="77"/>
        <v>1</v>
      </c>
      <c r="L83" s="190"/>
      <c r="M83" s="192">
        <v>2910.4</v>
      </c>
      <c r="N83" s="192">
        <v>2910.4</v>
      </c>
      <c r="O83" s="192" t="s">
        <v>137</v>
      </c>
      <c r="P83" s="192"/>
      <c r="Q83" s="192"/>
      <c r="R83" s="192"/>
      <c r="S83" s="192"/>
      <c r="T83" s="192"/>
      <c r="U83" s="192"/>
      <c r="V83" s="192"/>
      <c r="W83" s="192">
        <f ca="1">_xlfn.MINIFS(V:V,C:C,C83,AE:AE,"",AB:AB,"")</f>
        <v>1</v>
      </c>
      <c r="X83" s="192">
        <f ca="1">SUMIFS(T:T,C:C,C83,AE:AE,"")/SUMIFS(L:L,C:C,C83,AE:AE,"",AB:AB,"")</f>
        <v>1</v>
      </c>
      <c r="Y83" s="192"/>
      <c r="Z83" s="192"/>
      <c r="AA83" s="192"/>
      <c r="AB83" s="192"/>
      <c r="AC83" s="194" t="s">
        <v>196</v>
      </c>
      <c r="AD83" s="195" t="s">
        <v>2039</v>
      </c>
      <c r="AE83" s="196" t="s">
        <v>1787</v>
      </c>
      <c r="AF83" s="192" t="str">
        <f t="shared" si="78"/>
        <v>AMC2-S1</v>
      </c>
      <c r="AG83" s="192">
        <f t="shared" si="79"/>
        <v>1</v>
      </c>
      <c r="AH83" s="192"/>
      <c r="AI83" s="192"/>
      <c r="AJ83" s="192"/>
      <c r="AK83" s="192" t="str">
        <f t="shared" si="80"/>
        <v>N/A</v>
      </c>
      <c r="AL83" s="192">
        <f t="shared" si="81"/>
        <v>0</v>
      </c>
      <c r="AM83" s="192"/>
      <c r="AN83" s="192"/>
      <c r="AO83" s="192"/>
      <c r="AP83" s="192" t="str">
        <f t="shared" si="82"/>
        <v>N/A</v>
      </c>
      <c r="AQ83" s="192">
        <f t="shared" si="83"/>
        <v>0</v>
      </c>
      <c r="AR83" s="192"/>
      <c r="AS83" s="192"/>
      <c r="AT83" s="192"/>
      <c r="AU83" s="192" t="str">
        <f t="shared" si="84"/>
        <v>N/A</v>
      </c>
      <c r="AV83" s="192">
        <f t="shared" si="85"/>
        <v>0</v>
      </c>
      <c r="AW83" s="192"/>
      <c r="AX83" s="192"/>
      <c r="AY83" s="192"/>
      <c r="AZ83" s="192"/>
      <c r="BA83" s="193" t="s">
        <v>141</v>
      </c>
      <c r="BB83" s="193" t="s">
        <v>140</v>
      </c>
      <c r="BC83" s="193" t="s">
        <v>140</v>
      </c>
      <c r="BD83" s="193" t="s">
        <v>140</v>
      </c>
      <c r="BE83" s="196" t="s">
        <v>741</v>
      </c>
      <c r="BF83" s="192"/>
      <c r="BG83" s="186"/>
      <c r="BH83" s="186"/>
      <c r="BI83" s="197"/>
      <c r="BJ83" s="197"/>
      <c r="BK83" s="197"/>
      <c r="BL83" s="197"/>
      <c r="BM83" s="197"/>
      <c r="BN83" s="197"/>
      <c r="BO83" s="197"/>
      <c r="BP83" s="197"/>
      <c r="BQ83" s="197"/>
      <c r="BR83" s="186"/>
      <c r="BS83" s="186"/>
      <c r="BT83" s="186"/>
      <c r="BU83" s="186"/>
      <c r="BV83" s="186"/>
      <c r="BW83" s="186"/>
      <c r="BX83" s="186"/>
      <c r="BY83" s="186"/>
      <c r="BZ83" s="186"/>
      <c r="CA83" s="186"/>
      <c r="CB83" s="197"/>
      <c r="CC83" s="186"/>
      <c r="CD83" s="186"/>
      <c r="CE83" s="198"/>
      <c r="CF83" s="198"/>
    </row>
    <row r="84" spans="1:84" ht="17.25" hidden="1" customHeight="1">
      <c r="A84" s="117"/>
      <c r="B84" s="209" t="s">
        <v>2042</v>
      </c>
      <c r="C84" s="209" t="s">
        <v>2214</v>
      </c>
      <c r="D84" s="209" t="s">
        <v>1084</v>
      </c>
      <c r="E84" s="209" t="s">
        <v>1798</v>
      </c>
      <c r="F84" s="209" t="s">
        <v>1428</v>
      </c>
      <c r="G84" s="209" t="s">
        <v>1429</v>
      </c>
      <c r="H84" s="210">
        <v>4023</v>
      </c>
      <c r="I84" s="211" t="s">
        <v>147</v>
      </c>
      <c r="J84" s="144">
        <v>1</v>
      </c>
      <c r="K84" s="145">
        <f t="shared" si="77"/>
        <v>1</v>
      </c>
      <c r="L84" s="202">
        <f t="shared" ref="L84:L94" si="136">+J84*K84</f>
        <v>1</v>
      </c>
      <c r="M84" s="212">
        <v>863.8</v>
      </c>
      <c r="N84" s="203">
        <f t="shared" ref="N84:N94" si="137">+M84*L84</f>
        <v>863.8</v>
      </c>
      <c r="O84" s="212" t="s">
        <v>137</v>
      </c>
      <c r="P84" s="212" t="s">
        <v>13</v>
      </c>
      <c r="Q84" s="212" t="s">
        <v>154</v>
      </c>
      <c r="R84" s="212"/>
      <c r="S84" s="212"/>
      <c r="T84" s="203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203">
        <f t="shared" ref="U84:U94" ca="1" si="138">+L84-T84</f>
        <v>0</v>
      </c>
      <c r="V84" s="203">
        <f t="shared" ref="V84:V94" ca="1" si="139">ROUNDDOWN(T84/J84,0)</f>
        <v>1</v>
      </c>
      <c r="W84" s="212"/>
      <c r="X84" s="212"/>
      <c r="Y84" s="212"/>
      <c r="Z84" s="212"/>
      <c r="AA84" s="212"/>
      <c r="AB84" s="212"/>
      <c r="AC84" s="214" t="s">
        <v>196</v>
      </c>
      <c r="AD84" s="215" t="s">
        <v>2039</v>
      </c>
      <c r="AE84" s="148"/>
      <c r="AF84" s="212" t="str">
        <f t="shared" si="78"/>
        <v>AMC2-S1</v>
      </c>
      <c r="AG84" s="212">
        <f t="shared" si="79"/>
        <v>1</v>
      </c>
      <c r="AH84" s="203">
        <f>+AG84*J84</f>
        <v>1</v>
      </c>
      <c r="AI84" s="203">
        <f t="shared" ref="AI84:AI94" ca="1" si="140">MIN(T84,AH84)</f>
        <v>1</v>
      </c>
      <c r="AJ84" s="203">
        <f t="shared" ref="AJ84:AJ94" ca="1" si="141">+AH84-AI84</f>
        <v>0</v>
      </c>
      <c r="AK84" s="212" t="str">
        <f t="shared" si="80"/>
        <v>N/A</v>
      </c>
      <c r="AL84" s="212">
        <f t="shared" si="81"/>
        <v>0</v>
      </c>
      <c r="AM84" s="203">
        <f t="shared" ref="AM84:AM94" si="142">+AL84*J84</f>
        <v>0</v>
      </c>
      <c r="AN84" s="203">
        <f t="shared" ref="AN84:AN94" ca="1" si="143">MIN(T84-AI84,AL84)</f>
        <v>0</v>
      </c>
      <c r="AO84" s="203">
        <f t="shared" ref="AO84:AO94" ca="1" si="144">+AM84-AN84</f>
        <v>0</v>
      </c>
      <c r="AP84" s="212" t="str">
        <f t="shared" si="82"/>
        <v>N/A</v>
      </c>
      <c r="AQ84" s="212">
        <f t="shared" si="83"/>
        <v>0</v>
      </c>
      <c r="AR84" s="203">
        <f t="shared" ref="AR84:AR94" si="145">+AQ84*J84</f>
        <v>0</v>
      </c>
      <c r="AS84" s="203">
        <f t="shared" ref="AS84:AS94" ca="1" si="146">MIN(T84-AI84-AN84,AR84)</f>
        <v>0</v>
      </c>
      <c r="AT84" s="203">
        <f t="shared" ref="AT84:AT94" ca="1" si="147">+AR84-AS84</f>
        <v>0</v>
      </c>
      <c r="AU84" s="212" t="str">
        <f t="shared" si="84"/>
        <v>N/A</v>
      </c>
      <c r="AV84" s="212">
        <f t="shared" si="85"/>
        <v>0</v>
      </c>
      <c r="AW84" s="203">
        <f t="shared" ref="AW84:AW94" si="148">+AV84*J84</f>
        <v>0</v>
      </c>
      <c r="AX84" s="203">
        <f t="shared" ref="AX84:AX94" ca="1" si="149">MIN(T84-AI84-AN84-AS84,AW84)</f>
        <v>0</v>
      </c>
      <c r="AY84" s="203">
        <f t="shared" ref="AY84:AY94" ca="1" si="150">+AW84-AX84</f>
        <v>0</v>
      </c>
      <c r="AZ84" s="212"/>
      <c r="BA84" s="213" t="s">
        <v>141</v>
      </c>
      <c r="BB84" s="213" t="s">
        <v>140</v>
      </c>
      <c r="BC84" s="213" t="s">
        <v>140</v>
      </c>
      <c r="BD84" s="213" t="s">
        <v>140</v>
      </c>
      <c r="BE84" s="148"/>
      <c r="BF84" s="212" t="s">
        <v>1789</v>
      </c>
      <c r="BG84" s="117"/>
      <c r="BH84" s="155"/>
      <c r="BI84" s="216"/>
      <c r="BJ84" s="216"/>
      <c r="BK84" s="216"/>
      <c r="BL84" s="149"/>
      <c r="BM84" s="149"/>
      <c r="BN84" s="149"/>
      <c r="BO84" s="149"/>
      <c r="BP84" s="149"/>
      <c r="BQ84" s="149"/>
      <c r="BR84" s="117">
        <v>0</v>
      </c>
      <c r="BS84" s="117">
        <v>1</v>
      </c>
      <c r="BT84" s="117">
        <v>0</v>
      </c>
      <c r="BU84" s="117">
        <v>1</v>
      </c>
      <c r="BV84" s="117">
        <v>0</v>
      </c>
      <c r="BW84" s="117">
        <v>0</v>
      </c>
      <c r="BX84" s="117">
        <v>0</v>
      </c>
      <c r="BY84" s="117" t="s">
        <v>1790</v>
      </c>
      <c r="BZ84" s="117" t="s">
        <v>57</v>
      </c>
      <c r="CA84" s="117">
        <v>1</v>
      </c>
      <c r="CB84" s="149"/>
      <c r="CC84" s="155"/>
      <c r="CD84" s="155"/>
      <c r="CE84" s="217"/>
      <c r="CF84" s="148">
        <f t="shared" ref="CF84:CF94" si="151">+L84-CA84</f>
        <v>0</v>
      </c>
    </row>
    <row r="85" spans="1:84" ht="17.25" hidden="1" customHeight="1">
      <c r="A85" s="141"/>
      <c r="B85" s="199" t="s">
        <v>2042</v>
      </c>
      <c r="C85" s="199" t="s">
        <v>2214</v>
      </c>
      <c r="D85" s="199" t="s">
        <v>1084</v>
      </c>
      <c r="E85" s="199" t="s">
        <v>1799</v>
      </c>
      <c r="F85" s="199" t="s">
        <v>1409</v>
      </c>
      <c r="G85" s="199" t="s">
        <v>1410</v>
      </c>
      <c r="H85" s="200">
        <v>2635</v>
      </c>
      <c r="I85" s="201" t="s">
        <v>147</v>
      </c>
      <c r="J85" s="165">
        <v>1</v>
      </c>
      <c r="K85" s="202">
        <f t="shared" si="77"/>
        <v>1</v>
      </c>
      <c r="L85" s="202">
        <f t="shared" si="136"/>
        <v>1</v>
      </c>
      <c r="M85" s="203">
        <v>441.5</v>
      </c>
      <c r="N85" s="203">
        <f t="shared" si="137"/>
        <v>441.5</v>
      </c>
      <c r="O85" s="203" t="s">
        <v>137</v>
      </c>
      <c r="P85" s="203" t="s">
        <v>13</v>
      </c>
      <c r="Q85" s="203" t="s">
        <v>154</v>
      </c>
      <c r="R85" s="203"/>
      <c r="S85" s="203"/>
      <c r="T85" s="203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1</v>
      </c>
      <c r="U85" s="203">
        <f t="shared" ca="1" si="138"/>
        <v>0</v>
      </c>
      <c r="V85" s="203">
        <f t="shared" ca="1" si="139"/>
        <v>1</v>
      </c>
      <c r="W85" s="203"/>
      <c r="X85" s="203"/>
      <c r="Y85" s="203"/>
      <c r="Z85" s="203"/>
      <c r="AA85" s="203"/>
      <c r="AB85" s="203"/>
      <c r="AC85" s="205" t="s">
        <v>196</v>
      </c>
      <c r="AD85" s="206" t="s">
        <v>2039</v>
      </c>
      <c r="AE85" s="166"/>
      <c r="AF85" s="203" t="str">
        <f t="shared" si="78"/>
        <v>AMC2-S1</v>
      </c>
      <c r="AG85" s="203">
        <f t="shared" si="79"/>
        <v>1</v>
      </c>
      <c r="AH85" s="203">
        <f t="shared" ref="AH85:AH94" si="152">+AG85*J85</f>
        <v>1</v>
      </c>
      <c r="AI85" s="203">
        <f t="shared" ca="1" si="140"/>
        <v>1</v>
      </c>
      <c r="AJ85" s="203">
        <f t="shared" ca="1" si="141"/>
        <v>0</v>
      </c>
      <c r="AK85" s="203" t="str">
        <f t="shared" si="80"/>
        <v>N/A</v>
      </c>
      <c r="AL85" s="203">
        <f t="shared" si="81"/>
        <v>0</v>
      </c>
      <c r="AM85" s="203">
        <f t="shared" si="142"/>
        <v>0</v>
      </c>
      <c r="AN85" s="203">
        <f t="shared" ca="1" si="143"/>
        <v>0</v>
      </c>
      <c r="AO85" s="203">
        <f t="shared" ca="1" si="144"/>
        <v>0</v>
      </c>
      <c r="AP85" s="203" t="str">
        <f t="shared" si="82"/>
        <v>N/A</v>
      </c>
      <c r="AQ85" s="203">
        <f t="shared" si="83"/>
        <v>0</v>
      </c>
      <c r="AR85" s="203">
        <f t="shared" si="145"/>
        <v>0</v>
      </c>
      <c r="AS85" s="203">
        <f t="shared" ca="1" si="146"/>
        <v>0</v>
      </c>
      <c r="AT85" s="203">
        <f t="shared" ca="1" si="147"/>
        <v>0</v>
      </c>
      <c r="AU85" s="203" t="str">
        <f t="shared" si="84"/>
        <v>N/A</v>
      </c>
      <c r="AV85" s="203">
        <f t="shared" si="85"/>
        <v>0</v>
      </c>
      <c r="AW85" s="203">
        <f t="shared" si="148"/>
        <v>0</v>
      </c>
      <c r="AX85" s="203">
        <f t="shared" ca="1" si="149"/>
        <v>0</v>
      </c>
      <c r="AY85" s="203">
        <f t="shared" ca="1" si="150"/>
        <v>0</v>
      </c>
      <c r="AZ85" s="203"/>
      <c r="BA85" s="204" t="s">
        <v>141</v>
      </c>
      <c r="BB85" s="204" t="s">
        <v>140</v>
      </c>
      <c r="BC85" s="204" t="s">
        <v>140</v>
      </c>
      <c r="BD85" s="204" t="s">
        <v>140</v>
      </c>
      <c r="BE85" s="166"/>
      <c r="BF85" s="203" t="s">
        <v>1789</v>
      </c>
      <c r="BG85" s="141"/>
      <c r="BH85" s="141"/>
      <c r="BI85" s="153"/>
      <c r="BJ85" s="153"/>
      <c r="BK85" s="153"/>
      <c r="BL85" s="153" t="s">
        <v>1932</v>
      </c>
      <c r="BM85" s="153"/>
      <c r="BN85" s="153"/>
      <c r="BO85" s="153"/>
      <c r="BP85" s="153"/>
      <c r="BQ85" s="153"/>
      <c r="BR85" s="141">
        <v>0</v>
      </c>
      <c r="BS85" s="141">
        <v>1</v>
      </c>
      <c r="BT85" s="141">
        <v>0</v>
      </c>
      <c r="BU85" s="141">
        <v>1</v>
      </c>
      <c r="BV85" s="141">
        <v>0</v>
      </c>
      <c r="BW85" s="141">
        <v>0</v>
      </c>
      <c r="BX85" s="141">
        <v>0</v>
      </c>
      <c r="BY85" s="141" t="s">
        <v>1790</v>
      </c>
      <c r="BZ85" s="141" t="s">
        <v>1398</v>
      </c>
      <c r="CA85" s="141">
        <v>1</v>
      </c>
      <c r="CB85" s="153">
        <v>46186</v>
      </c>
      <c r="CC85" s="141"/>
      <c r="CD85" s="141"/>
      <c r="CE85" s="166"/>
      <c r="CF85" s="166">
        <f t="shared" si="151"/>
        <v>0</v>
      </c>
    </row>
    <row r="86" spans="1:84" ht="17.25" hidden="1" customHeight="1">
      <c r="A86" s="117"/>
      <c r="B86" s="209" t="s">
        <v>2042</v>
      </c>
      <c r="C86" s="209" t="s">
        <v>2214</v>
      </c>
      <c r="D86" s="209" t="s">
        <v>1084</v>
      </c>
      <c r="E86" s="209" t="s">
        <v>1800</v>
      </c>
      <c r="F86" s="209" t="s">
        <v>1411</v>
      </c>
      <c r="G86" s="209" t="s">
        <v>1412</v>
      </c>
      <c r="H86" s="210">
        <v>5608</v>
      </c>
      <c r="I86" s="211" t="s">
        <v>147</v>
      </c>
      <c r="J86" s="144">
        <v>1</v>
      </c>
      <c r="K86" s="145">
        <f t="shared" si="77"/>
        <v>1</v>
      </c>
      <c r="L86" s="202">
        <f t="shared" si="136"/>
        <v>1</v>
      </c>
      <c r="M86" s="212">
        <v>1388.4</v>
      </c>
      <c r="N86" s="203">
        <f t="shared" si="137"/>
        <v>1388.4</v>
      </c>
      <c r="O86" s="212" t="s">
        <v>137</v>
      </c>
      <c r="P86" s="212" t="s">
        <v>13</v>
      </c>
      <c r="Q86" s="212" t="s">
        <v>154</v>
      </c>
      <c r="R86" s="212"/>
      <c r="S86" s="212"/>
      <c r="T86" s="203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</v>
      </c>
      <c r="U86" s="203">
        <f t="shared" ca="1" si="138"/>
        <v>0</v>
      </c>
      <c r="V86" s="203">
        <f t="shared" ca="1" si="139"/>
        <v>1</v>
      </c>
      <c r="W86" s="212"/>
      <c r="X86" s="212"/>
      <c r="Y86" s="212"/>
      <c r="Z86" s="212"/>
      <c r="AA86" s="212"/>
      <c r="AB86" s="212"/>
      <c r="AC86" s="214" t="s">
        <v>196</v>
      </c>
      <c r="AD86" s="215" t="s">
        <v>2039</v>
      </c>
      <c r="AE86" s="148"/>
      <c r="AF86" s="212" t="str">
        <f t="shared" si="78"/>
        <v>AMC2-S1</v>
      </c>
      <c r="AG86" s="212">
        <f t="shared" si="79"/>
        <v>1</v>
      </c>
      <c r="AH86" s="203">
        <f t="shared" si="152"/>
        <v>1</v>
      </c>
      <c r="AI86" s="203">
        <f t="shared" ca="1" si="140"/>
        <v>1</v>
      </c>
      <c r="AJ86" s="203">
        <f t="shared" ca="1" si="141"/>
        <v>0</v>
      </c>
      <c r="AK86" s="212" t="str">
        <f t="shared" si="80"/>
        <v>N/A</v>
      </c>
      <c r="AL86" s="212">
        <f t="shared" si="81"/>
        <v>0</v>
      </c>
      <c r="AM86" s="203">
        <f t="shared" si="142"/>
        <v>0</v>
      </c>
      <c r="AN86" s="203">
        <f t="shared" ca="1" si="143"/>
        <v>0</v>
      </c>
      <c r="AO86" s="203">
        <f t="shared" ca="1" si="144"/>
        <v>0</v>
      </c>
      <c r="AP86" s="212" t="str">
        <f t="shared" si="82"/>
        <v>N/A</v>
      </c>
      <c r="AQ86" s="212">
        <f t="shared" si="83"/>
        <v>0</v>
      </c>
      <c r="AR86" s="203">
        <f t="shared" si="145"/>
        <v>0</v>
      </c>
      <c r="AS86" s="203">
        <f t="shared" ca="1" si="146"/>
        <v>0</v>
      </c>
      <c r="AT86" s="203">
        <f t="shared" ca="1" si="147"/>
        <v>0</v>
      </c>
      <c r="AU86" s="212" t="str">
        <f t="shared" si="84"/>
        <v>N/A</v>
      </c>
      <c r="AV86" s="212">
        <f t="shared" si="85"/>
        <v>0</v>
      </c>
      <c r="AW86" s="203">
        <f t="shared" si="148"/>
        <v>0</v>
      </c>
      <c r="AX86" s="203">
        <f t="shared" ca="1" si="149"/>
        <v>0</v>
      </c>
      <c r="AY86" s="203">
        <f t="shared" ca="1" si="150"/>
        <v>0</v>
      </c>
      <c r="AZ86" s="212"/>
      <c r="BA86" s="213" t="s">
        <v>141</v>
      </c>
      <c r="BB86" s="213" t="s">
        <v>140</v>
      </c>
      <c r="BC86" s="213" t="s">
        <v>140</v>
      </c>
      <c r="BD86" s="213" t="s">
        <v>140</v>
      </c>
      <c r="BE86" s="148"/>
      <c r="BF86" s="212" t="s">
        <v>1789</v>
      </c>
      <c r="BG86" s="117"/>
      <c r="BH86" s="155"/>
      <c r="BI86" s="216"/>
      <c r="BJ86" s="216"/>
      <c r="BK86" s="216"/>
      <c r="BL86" s="149"/>
      <c r="BM86" s="149"/>
      <c r="BN86" s="149"/>
      <c r="BO86" s="149"/>
      <c r="BP86" s="149"/>
      <c r="BQ86" s="149"/>
      <c r="BR86" s="117">
        <v>0</v>
      </c>
      <c r="BS86" s="117">
        <v>1</v>
      </c>
      <c r="BT86" s="117">
        <v>0</v>
      </c>
      <c r="BU86" s="117">
        <v>1</v>
      </c>
      <c r="BV86" s="117">
        <v>0</v>
      </c>
      <c r="BW86" s="117">
        <v>0</v>
      </c>
      <c r="BX86" s="117">
        <v>0</v>
      </c>
      <c r="BY86" s="117" t="s">
        <v>1790</v>
      </c>
      <c r="BZ86" s="117" t="s">
        <v>57</v>
      </c>
      <c r="CA86" s="117">
        <v>1</v>
      </c>
      <c r="CB86" s="149"/>
      <c r="CC86" s="155"/>
      <c r="CD86" s="155"/>
      <c r="CE86" s="217"/>
      <c r="CF86" s="148">
        <f t="shared" si="151"/>
        <v>0</v>
      </c>
    </row>
    <row r="87" spans="1:84" ht="17.25" hidden="1" customHeight="1">
      <c r="A87" s="141"/>
      <c r="B87" s="199" t="s">
        <v>2042</v>
      </c>
      <c r="C87" s="199" t="s">
        <v>2214</v>
      </c>
      <c r="D87" s="199" t="s">
        <v>1296</v>
      </c>
      <c r="E87" s="199" t="s">
        <v>1801</v>
      </c>
      <c r="F87" s="199" t="s">
        <v>1413</v>
      </c>
      <c r="G87" s="199" t="s">
        <v>1414</v>
      </c>
      <c r="H87" s="200">
        <v>2225</v>
      </c>
      <c r="I87" s="201" t="s">
        <v>147</v>
      </c>
      <c r="J87" s="165">
        <v>1</v>
      </c>
      <c r="K87" s="202">
        <f t="shared" si="77"/>
        <v>1</v>
      </c>
      <c r="L87" s="202">
        <f t="shared" si="136"/>
        <v>1</v>
      </c>
      <c r="M87" s="203">
        <v>31.8</v>
      </c>
      <c r="N87" s="203">
        <f t="shared" si="137"/>
        <v>31.8</v>
      </c>
      <c r="O87" s="203" t="s">
        <v>137</v>
      </c>
      <c r="P87" s="203" t="s">
        <v>13</v>
      </c>
      <c r="Q87" s="203" t="s">
        <v>148</v>
      </c>
      <c r="R87" s="203"/>
      <c r="S87" s="203"/>
      <c r="T87" s="203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1</v>
      </c>
      <c r="U87" s="203">
        <f t="shared" ca="1" si="138"/>
        <v>0</v>
      </c>
      <c r="V87" s="203">
        <f t="shared" ca="1" si="139"/>
        <v>1</v>
      </c>
      <c r="W87" s="203"/>
      <c r="X87" s="203"/>
      <c r="Y87" s="203"/>
      <c r="Z87" s="203"/>
      <c r="AA87" s="203"/>
      <c r="AB87" s="203"/>
      <c r="AC87" s="205" t="s">
        <v>196</v>
      </c>
      <c r="AD87" s="206" t="s">
        <v>2039</v>
      </c>
      <c r="AE87" s="166"/>
      <c r="AF87" s="203" t="str">
        <f t="shared" si="78"/>
        <v>AMC2-S1</v>
      </c>
      <c r="AG87" s="203">
        <f t="shared" si="79"/>
        <v>1</v>
      </c>
      <c r="AH87" s="203">
        <f t="shared" si="152"/>
        <v>1</v>
      </c>
      <c r="AI87" s="203">
        <f t="shared" ca="1" si="140"/>
        <v>1</v>
      </c>
      <c r="AJ87" s="203">
        <f t="shared" ca="1" si="141"/>
        <v>0</v>
      </c>
      <c r="AK87" s="203" t="str">
        <f t="shared" si="80"/>
        <v>N/A</v>
      </c>
      <c r="AL87" s="203">
        <f t="shared" si="81"/>
        <v>0</v>
      </c>
      <c r="AM87" s="203">
        <f t="shared" si="142"/>
        <v>0</v>
      </c>
      <c r="AN87" s="203">
        <f t="shared" ca="1" si="143"/>
        <v>0</v>
      </c>
      <c r="AO87" s="203">
        <f t="shared" ca="1" si="144"/>
        <v>0</v>
      </c>
      <c r="AP87" s="203" t="str">
        <f t="shared" si="82"/>
        <v>N/A</v>
      </c>
      <c r="AQ87" s="203">
        <f t="shared" si="83"/>
        <v>0</v>
      </c>
      <c r="AR87" s="203">
        <f t="shared" si="145"/>
        <v>0</v>
      </c>
      <c r="AS87" s="203">
        <f t="shared" ca="1" si="146"/>
        <v>0</v>
      </c>
      <c r="AT87" s="203">
        <f t="shared" ca="1" si="147"/>
        <v>0</v>
      </c>
      <c r="AU87" s="203" t="str">
        <f t="shared" si="84"/>
        <v>N/A</v>
      </c>
      <c r="AV87" s="203">
        <f t="shared" si="85"/>
        <v>0</v>
      </c>
      <c r="AW87" s="203">
        <f t="shared" si="148"/>
        <v>0</v>
      </c>
      <c r="AX87" s="203">
        <f t="shared" ca="1" si="149"/>
        <v>0</v>
      </c>
      <c r="AY87" s="203">
        <f t="shared" ca="1" si="150"/>
        <v>0</v>
      </c>
      <c r="AZ87" s="203"/>
      <c r="BA87" s="204" t="s">
        <v>141</v>
      </c>
      <c r="BB87" s="204" t="s">
        <v>140</v>
      </c>
      <c r="BC87" s="204" t="s">
        <v>140</v>
      </c>
      <c r="BD87" s="204" t="s">
        <v>140</v>
      </c>
      <c r="BE87" s="166"/>
      <c r="BF87" s="203" t="s">
        <v>1789</v>
      </c>
      <c r="BG87" s="141"/>
      <c r="BH87" s="152"/>
      <c r="BI87" s="207"/>
      <c r="BJ87" s="207"/>
      <c r="BK87" s="207"/>
      <c r="BL87" s="153" t="s">
        <v>1932</v>
      </c>
      <c r="BM87" s="153"/>
      <c r="BN87" s="153"/>
      <c r="BO87" s="153"/>
      <c r="BP87" s="153"/>
      <c r="BQ87" s="153"/>
      <c r="BR87" s="141">
        <v>0</v>
      </c>
      <c r="BS87" s="141">
        <v>0</v>
      </c>
      <c r="BT87" s="141">
        <v>0</v>
      </c>
      <c r="BU87" s="141">
        <v>1</v>
      </c>
      <c r="BV87" s="141">
        <v>0</v>
      </c>
      <c r="BW87" s="141">
        <v>0</v>
      </c>
      <c r="BX87" s="141">
        <v>0</v>
      </c>
      <c r="BY87" s="141" t="s">
        <v>1790</v>
      </c>
      <c r="BZ87" s="141" t="s">
        <v>1022</v>
      </c>
      <c r="CA87" s="165">
        <v>1</v>
      </c>
      <c r="CB87" s="153">
        <v>46206</v>
      </c>
      <c r="CC87" s="152"/>
      <c r="CD87" s="152"/>
      <c r="CE87" s="208"/>
      <c r="CF87" s="166">
        <f t="shared" si="151"/>
        <v>0</v>
      </c>
    </row>
    <row r="88" spans="1:84" ht="17.25" hidden="1" customHeight="1">
      <c r="A88" s="141"/>
      <c r="B88" s="199" t="s">
        <v>2042</v>
      </c>
      <c r="C88" s="199" t="s">
        <v>2214</v>
      </c>
      <c r="D88" s="199" t="s">
        <v>1296</v>
      </c>
      <c r="E88" s="199" t="s">
        <v>1815</v>
      </c>
      <c r="F88" s="199" t="s">
        <v>1415</v>
      </c>
      <c r="G88" s="199" t="s">
        <v>1416</v>
      </c>
      <c r="H88" s="200">
        <v>2562</v>
      </c>
      <c r="I88" s="201" t="s">
        <v>147</v>
      </c>
      <c r="J88" s="165">
        <v>2</v>
      </c>
      <c r="K88" s="202">
        <f t="shared" si="77"/>
        <v>1</v>
      </c>
      <c r="L88" s="202">
        <f t="shared" si="136"/>
        <v>2</v>
      </c>
      <c r="M88" s="203">
        <v>41.9</v>
      </c>
      <c r="N88" s="203">
        <f t="shared" si="137"/>
        <v>83.8</v>
      </c>
      <c r="O88" s="203" t="s">
        <v>137</v>
      </c>
      <c r="P88" s="203" t="s">
        <v>13</v>
      </c>
      <c r="Q88" s="203" t="s">
        <v>148</v>
      </c>
      <c r="R88" s="203"/>
      <c r="S88" s="203"/>
      <c r="T88" s="203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2</v>
      </c>
      <c r="U88" s="203">
        <f t="shared" ca="1" si="138"/>
        <v>0</v>
      </c>
      <c r="V88" s="203">
        <f t="shared" ca="1" si="139"/>
        <v>1</v>
      </c>
      <c r="W88" s="203"/>
      <c r="X88" s="203"/>
      <c r="Y88" s="203"/>
      <c r="Z88" s="203"/>
      <c r="AA88" s="203"/>
      <c r="AB88" s="203"/>
      <c r="AC88" s="205" t="s">
        <v>196</v>
      </c>
      <c r="AD88" s="206" t="s">
        <v>2039</v>
      </c>
      <c r="AE88" s="166"/>
      <c r="AF88" s="203" t="str">
        <f t="shared" si="78"/>
        <v>AMC2-S1</v>
      </c>
      <c r="AG88" s="203">
        <f t="shared" si="79"/>
        <v>1</v>
      </c>
      <c r="AH88" s="203">
        <f t="shared" si="152"/>
        <v>2</v>
      </c>
      <c r="AI88" s="203">
        <f t="shared" ca="1" si="140"/>
        <v>2</v>
      </c>
      <c r="AJ88" s="203">
        <f t="shared" ca="1" si="141"/>
        <v>0</v>
      </c>
      <c r="AK88" s="203" t="str">
        <f t="shared" si="80"/>
        <v>N/A</v>
      </c>
      <c r="AL88" s="203">
        <f t="shared" si="81"/>
        <v>0</v>
      </c>
      <c r="AM88" s="203">
        <f t="shared" si="142"/>
        <v>0</v>
      </c>
      <c r="AN88" s="203">
        <f t="shared" ca="1" si="143"/>
        <v>0</v>
      </c>
      <c r="AO88" s="203">
        <f t="shared" ca="1" si="144"/>
        <v>0</v>
      </c>
      <c r="AP88" s="203" t="str">
        <f t="shared" si="82"/>
        <v>N/A</v>
      </c>
      <c r="AQ88" s="203">
        <f t="shared" si="83"/>
        <v>0</v>
      </c>
      <c r="AR88" s="203">
        <f t="shared" si="145"/>
        <v>0</v>
      </c>
      <c r="AS88" s="203">
        <f t="shared" ca="1" si="146"/>
        <v>0</v>
      </c>
      <c r="AT88" s="203">
        <f t="shared" ca="1" si="147"/>
        <v>0</v>
      </c>
      <c r="AU88" s="203" t="str">
        <f t="shared" si="84"/>
        <v>N/A</v>
      </c>
      <c r="AV88" s="203">
        <f t="shared" si="85"/>
        <v>0</v>
      </c>
      <c r="AW88" s="203">
        <f t="shared" si="148"/>
        <v>0</v>
      </c>
      <c r="AX88" s="203">
        <f t="shared" ca="1" si="149"/>
        <v>0</v>
      </c>
      <c r="AY88" s="203">
        <f t="shared" ca="1" si="150"/>
        <v>0</v>
      </c>
      <c r="AZ88" s="203"/>
      <c r="BA88" s="204" t="s">
        <v>141</v>
      </c>
      <c r="BB88" s="204" t="s">
        <v>140</v>
      </c>
      <c r="BC88" s="204" t="s">
        <v>140</v>
      </c>
      <c r="BD88" s="204" t="s">
        <v>140</v>
      </c>
      <c r="BE88" s="166"/>
      <c r="BF88" s="203" t="s">
        <v>1789</v>
      </c>
      <c r="BG88" s="141"/>
      <c r="BH88" s="152"/>
      <c r="BI88" s="207"/>
      <c r="BJ88" s="207"/>
      <c r="BK88" s="207"/>
      <c r="BL88" s="153" t="s">
        <v>1932</v>
      </c>
      <c r="BM88" s="153"/>
      <c r="BN88" s="153"/>
      <c r="BO88" s="153"/>
      <c r="BP88" s="153"/>
      <c r="BQ88" s="153"/>
      <c r="BR88" s="141">
        <v>0</v>
      </c>
      <c r="BS88" s="141">
        <v>0</v>
      </c>
      <c r="BT88" s="141">
        <v>0</v>
      </c>
      <c r="BU88" s="141">
        <v>1</v>
      </c>
      <c r="BV88" s="141">
        <v>0</v>
      </c>
      <c r="BW88" s="141">
        <v>0</v>
      </c>
      <c r="BX88" s="141">
        <v>0</v>
      </c>
      <c r="BY88" s="141" t="s">
        <v>1790</v>
      </c>
      <c r="BZ88" s="141" t="s">
        <v>1022</v>
      </c>
      <c r="CA88" s="165">
        <v>2</v>
      </c>
      <c r="CB88" s="153">
        <v>46206</v>
      </c>
      <c r="CC88" s="152"/>
      <c r="CD88" s="152"/>
      <c r="CE88" s="208"/>
      <c r="CF88" s="166">
        <f t="shared" si="151"/>
        <v>0</v>
      </c>
    </row>
    <row r="89" spans="1:84" ht="17.25" hidden="1" customHeight="1">
      <c r="A89" s="117"/>
      <c r="B89" s="209" t="s">
        <v>2042</v>
      </c>
      <c r="C89" s="209" t="s">
        <v>2214</v>
      </c>
      <c r="D89" s="209" t="s">
        <v>1296</v>
      </c>
      <c r="E89" s="209" t="s">
        <v>1820</v>
      </c>
      <c r="F89" s="209" t="s">
        <v>1417</v>
      </c>
      <c r="G89" s="209" t="s">
        <v>1418</v>
      </c>
      <c r="H89" s="210">
        <v>1011</v>
      </c>
      <c r="I89" s="211" t="s">
        <v>147</v>
      </c>
      <c r="J89" s="144">
        <v>2</v>
      </c>
      <c r="K89" s="145">
        <f t="shared" si="77"/>
        <v>1</v>
      </c>
      <c r="L89" s="202">
        <f t="shared" si="136"/>
        <v>2</v>
      </c>
      <c r="M89" s="212">
        <v>12.8</v>
      </c>
      <c r="N89" s="203">
        <f t="shared" si="137"/>
        <v>25.6</v>
      </c>
      <c r="O89" s="212" t="s">
        <v>137</v>
      </c>
      <c r="P89" s="212" t="s">
        <v>13</v>
      </c>
      <c r="Q89" s="212" t="s">
        <v>148</v>
      </c>
      <c r="R89" s="212"/>
      <c r="S89" s="212"/>
      <c r="T89" s="203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2</v>
      </c>
      <c r="U89" s="203">
        <f t="shared" ca="1" si="138"/>
        <v>0</v>
      </c>
      <c r="V89" s="203">
        <f t="shared" ca="1" si="139"/>
        <v>1</v>
      </c>
      <c r="W89" s="212"/>
      <c r="X89" s="212"/>
      <c r="Y89" s="212"/>
      <c r="Z89" s="212"/>
      <c r="AA89" s="212"/>
      <c r="AB89" s="212"/>
      <c r="AC89" s="214" t="s">
        <v>196</v>
      </c>
      <c r="AD89" s="215" t="s">
        <v>2039</v>
      </c>
      <c r="AE89" s="148"/>
      <c r="AF89" s="212" t="str">
        <f t="shared" si="78"/>
        <v>AMC2-S1</v>
      </c>
      <c r="AG89" s="212">
        <f t="shared" si="79"/>
        <v>1</v>
      </c>
      <c r="AH89" s="203">
        <f t="shared" si="152"/>
        <v>2</v>
      </c>
      <c r="AI89" s="203">
        <f t="shared" ca="1" si="140"/>
        <v>2</v>
      </c>
      <c r="AJ89" s="203">
        <f t="shared" ca="1" si="141"/>
        <v>0</v>
      </c>
      <c r="AK89" s="212" t="str">
        <f t="shared" si="80"/>
        <v>N/A</v>
      </c>
      <c r="AL89" s="212">
        <f t="shared" si="81"/>
        <v>0</v>
      </c>
      <c r="AM89" s="203">
        <f t="shared" si="142"/>
        <v>0</v>
      </c>
      <c r="AN89" s="203">
        <f t="shared" ca="1" si="143"/>
        <v>0</v>
      </c>
      <c r="AO89" s="203">
        <f t="shared" ca="1" si="144"/>
        <v>0</v>
      </c>
      <c r="AP89" s="212" t="str">
        <f t="shared" si="82"/>
        <v>N/A</v>
      </c>
      <c r="AQ89" s="212">
        <f t="shared" si="83"/>
        <v>0</v>
      </c>
      <c r="AR89" s="203">
        <f t="shared" si="145"/>
        <v>0</v>
      </c>
      <c r="AS89" s="203">
        <f t="shared" ca="1" si="146"/>
        <v>0</v>
      </c>
      <c r="AT89" s="203">
        <f t="shared" ca="1" si="147"/>
        <v>0</v>
      </c>
      <c r="AU89" s="212" t="str">
        <f t="shared" si="84"/>
        <v>N/A</v>
      </c>
      <c r="AV89" s="212">
        <f t="shared" si="85"/>
        <v>0</v>
      </c>
      <c r="AW89" s="203">
        <f t="shared" si="148"/>
        <v>0</v>
      </c>
      <c r="AX89" s="203">
        <f t="shared" ca="1" si="149"/>
        <v>0</v>
      </c>
      <c r="AY89" s="203">
        <f t="shared" ca="1" si="150"/>
        <v>0</v>
      </c>
      <c r="AZ89" s="212"/>
      <c r="BA89" s="213" t="s">
        <v>141</v>
      </c>
      <c r="BB89" s="213" t="s">
        <v>140</v>
      </c>
      <c r="BC89" s="213" t="s">
        <v>140</v>
      </c>
      <c r="BD89" s="213" t="s">
        <v>140</v>
      </c>
      <c r="BE89" s="148"/>
      <c r="BF89" s="212" t="s">
        <v>1789</v>
      </c>
      <c r="BG89" s="117"/>
      <c r="BH89" s="155"/>
      <c r="BI89" s="216"/>
      <c r="BJ89" s="216"/>
      <c r="BK89" s="216"/>
      <c r="BL89" s="149"/>
      <c r="BM89" s="149"/>
      <c r="BN89" s="149"/>
      <c r="BO89" s="149"/>
      <c r="BP89" s="149"/>
      <c r="BQ89" s="149"/>
      <c r="BR89" s="117">
        <v>0</v>
      </c>
      <c r="BS89" s="117">
        <v>0</v>
      </c>
      <c r="BT89" s="117">
        <v>0</v>
      </c>
      <c r="BU89" s="117">
        <v>1</v>
      </c>
      <c r="BV89" s="117">
        <v>0</v>
      </c>
      <c r="BW89" s="117">
        <v>0</v>
      </c>
      <c r="BX89" s="117">
        <v>0</v>
      </c>
      <c r="BY89" s="117" t="s">
        <v>1790</v>
      </c>
      <c r="BZ89" s="117" t="s">
        <v>1022</v>
      </c>
      <c r="CA89" s="144">
        <v>2</v>
      </c>
      <c r="CB89" s="149">
        <v>46206</v>
      </c>
      <c r="CC89" s="155"/>
      <c r="CD89" s="155"/>
      <c r="CE89" s="217"/>
      <c r="CF89" s="148">
        <f t="shared" si="151"/>
        <v>0</v>
      </c>
    </row>
    <row r="90" spans="1:84" ht="17.25" hidden="1" customHeight="1">
      <c r="A90" s="117"/>
      <c r="B90" s="209" t="s">
        <v>2042</v>
      </c>
      <c r="C90" s="209" t="s">
        <v>2214</v>
      </c>
      <c r="D90" s="209" t="s">
        <v>1296</v>
      </c>
      <c r="E90" s="209" t="s">
        <v>1808</v>
      </c>
      <c r="F90" s="209" t="s">
        <v>1419</v>
      </c>
      <c r="G90" s="209" t="s">
        <v>1420</v>
      </c>
      <c r="H90" s="210">
        <v>951</v>
      </c>
      <c r="I90" s="211" t="s">
        <v>147</v>
      </c>
      <c r="J90" s="144">
        <v>2</v>
      </c>
      <c r="K90" s="145">
        <f t="shared" si="77"/>
        <v>1</v>
      </c>
      <c r="L90" s="202">
        <f t="shared" si="136"/>
        <v>2</v>
      </c>
      <c r="M90" s="212">
        <v>12</v>
      </c>
      <c r="N90" s="203">
        <f t="shared" si="137"/>
        <v>24</v>
      </c>
      <c r="O90" s="212" t="s">
        <v>137</v>
      </c>
      <c r="P90" s="212" t="s">
        <v>13</v>
      </c>
      <c r="Q90" s="212" t="s">
        <v>148</v>
      </c>
      <c r="R90" s="212"/>
      <c r="S90" s="212"/>
      <c r="T90" s="203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2</v>
      </c>
      <c r="U90" s="203">
        <f t="shared" ca="1" si="138"/>
        <v>0</v>
      </c>
      <c r="V90" s="203">
        <f t="shared" ca="1" si="139"/>
        <v>1</v>
      </c>
      <c r="W90" s="212"/>
      <c r="X90" s="212"/>
      <c r="Y90" s="212"/>
      <c r="Z90" s="212"/>
      <c r="AA90" s="212"/>
      <c r="AB90" s="212"/>
      <c r="AC90" s="214" t="s">
        <v>196</v>
      </c>
      <c r="AD90" s="215" t="s">
        <v>2039</v>
      </c>
      <c r="AE90" s="148"/>
      <c r="AF90" s="212" t="str">
        <f t="shared" si="78"/>
        <v>AMC2-S1</v>
      </c>
      <c r="AG90" s="212">
        <f t="shared" si="79"/>
        <v>1</v>
      </c>
      <c r="AH90" s="203">
        <f t="shared" si="152"/>
        <v>2</v>
      </c>
      <c r="AI90" s="203">
        <f t="shared" ca="1" si="140"/>
        <v>2</v>
      </c>
      <c r="AJ90" s="203">
        <f t="shared" ca="1" si="141"/>
        <v>0</v>
      </c>
      <c r="AK90" s="212" t="str">
        <f t="shared" si="80"/>
        <v>N/A</v>
      </c>
      <c r="AL90" s="212">
        <f t="shared" si="81"/>
        <v>0</v>
      </c>
      <c r="AM90" s="203">
        <f t="shared" si="142"/>
        <v>0</v>
      </c>
      <c r="AN90" s="203">
        <f t="shared" ca="1" si="143"/>
        <v>0</v>
      </c>
      <c r="AO90" s="203">
        <f t="shared" ca="1" si="144"/>
        <v>0</v>
      </c>
      <c r="AP90" s="212" t="str">
        <f t="shared" si="82"/>
        <v>N/A</v>
      </c>
      <c r="AQ90" s="212">
        <f t="shared" si="83"/>
        <v>0</v>
      </c>
      <c r="AR90" s="203">
        <f t="shared" si="145"/>
        <v>0</v>
      </c>
      <c r="AS90" s="203">
        <f t="shared" ca="1" si="146"/>
        <v>0</v>
      </c>
      <c r="AT90" s="203">
        <f t="shared" ca="1" si="147"/>
        <v>0</v>
      </c>
      <c r="AU90" s="212" t="str">
        <f t="shared" si="84"/>
        <v>N/A</v>
      </c>
      <c r="AV90" s="212">
        <f t="shared" si="85"/>
        <v>0</v>
      </c>
      <c r="AW90" s="203">
        <f t="shared" si="148"/>
        <v>0</v>
      </c>
      <c r="AX90" s="203">
        <f t="shared" ca="1" si="149"/>
        <v>0</v>
      </c>
      <c r="AY90" s="203">
        <f t="shared" ca="1" si="150"/>
        <v>0</v>
      </c>
      <c r="AZ90" s="212"/>
      <c r="BA90" s="213" t="s">
        <v>141</v>
      </c>
      <c r="BB90" s="213" t="s">
        <v>140</v>
      </c>
      <c r="BC90" s="213" t="s">
        <v>140</v>
      </c>
      <c r="BD90" s="213" t="s">
        <v>140</v>
      </c>
      <c r="BE90" s="148"/>
      <c r="BF90" s="212" t="s">
        <v>1789</v>
      </c>
      <c r="BG90" s="117"/>
      <c r="BH90" s="155"/>
      <c r="BI90" s="216"/>
      <c r="BJ90" s="216"/>
      <c r="BK90" s="216"/>
      <c r="BL90" s="149"/>
      <c r="BM90" s="149"/>
      <c r="BN90" s="149"/>
      <c r="BO90" s="149"/>
      <c r="BP90" s="149"/>
      <c r="BQ90" s="149"/>
      <c r="BR90" s="117">
        <v>0</v>
      </c>
      <c r="BS90" s="117">
        <v>0</v>
      </c>
      <c r="BT90" s="117">
        <v>0</v>
      </c>
      <c r="BU90" s="117">
        <v>1</v>
      </c>
      <c r="BV90" s="117">
        <v>0</v>
      </c>
      <c r="BW90" s="117">
        <v>0</v>
      </c>
      <c r="BX90" s="117">
        <v>0</v>
      </c>
      <c r="BY90" s="117" t="s">
        <v>1790</v>
      </c>
      <c r="BZ90" s="117" t="s">
        <v>1022</v>
      </c>
      <c r="CA90" s="144">
        <v>2</v>
      </c>
      <c r="CB90" s="149">
        <v>46206</v>
      </c>
      <c r="CC90" s="155"/>
      <c r="CD90" s="155"/>
      <c r="CE90" s="217"/>
      <c r="CF90" s="148">
        <f t="shared" si="151"/>
        <v>0</v>
      </c>
    </row>
    <row r="91" spans="1:84" ht="17.25" hidden="1" customHeight="1">
      <c r="A91" s="117"/>
      <c r="B91" s="209" t="s">
        <v>2042</v>
      </c>
      <c r="C91" s="209" t="s">
        <v>2214</v>
      </c>
      <c r="D91" s="209" t="s">
        <v>1296</v>
      </c>
      <c r="E91" s="209" t="s">
        <v>1811</v>
      </c>
      <c r="F91" s="209" t="s">
        <v>1421</v>
      </c>
      <c r="G91" s="209" t="s">
        <v>1422</v>
      </c>
      <c r="H91" s="210">
        <v>530</v>
      </c>
      <c r="I91" s="211" t="s">
        <v>147</v>
      </c>
      <c r="J91" s="144">
        <v>2</v>
      </c>
      <c r="K91" s="145">
        <f t="shared" si="77"/>
        <v>1</v>
      </c>
      <c r="L91" s="202">
        <f t="shared" si="136"/>
        <v>2</v>
      </c>
      <c r="M91" s="212">
        <v>14.5</v>
      </c>
      <c r="N91" s="203">
        <f t="shared" si="137"/>
        <v>29</v>
      </c>
      <c r="O91" s="212" t="s">
        <v>137</v>
      </c>
      <c r="P91" s="212" t="s">
        <v>13</v>
      </c>
      <c r="Q91" s="212" t="s">
        <v>148</v>
      </c>
      <c r="R91" s="212"/>
      <c r="S91" s="212"/>
      <c r="T91" s="203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2</v>
      </c>
      <c r="U91" s="203">
        <f t="shared" ca="1" si="138"/>
        <v>0</v>
      </c>
      <c r="V91" s="203">
        <f t="shared" ca="1" si="139"/>
        <v>1</v>
      </c>
      <c r="W91" s="212"/>
      <c r="X91" s="212"/>
      <c r="Y91" s="212"/>
      <c r="Z91" s="212"/>
      <c r="AA91" s="212"/>
      <c r="AB91" s="212"/>
      <c r="AC91" s="214" t="s">
        <v>196</v>
      </c>
      <c r="AD91" s="215" t="s">
        <v>2039</v>
      </c>
      <c r="AE91" s="148"/>
      <c r="AF91" s="212" t="str">
        <f t="shared" si="78"/>
        <v>AMC2-S1</v>
      </c>
      <c r="AG91" s="212">
        <f t="shared" si="79"/>
        <v>1</v>
      </c>
      <c r="AH91" s="203">
        <f t="shared" si="152"/>
        <v>2</v>
      </c>
      <c r="AI91" s="203">
        <f t="shared" ca="1" si="140"/>
        <v>2</v>
      </c>
      <c r="AJ91" s="203">
        <f t="shared" ca="1" si="141"/>
        <v>0</v>
      </c>
      <c r="AK91" s="212" t="str">
        <f t="shared" si="80"/>
        <v>N/A</v>
      </c>
      <c r="AL91" s="212">
        <f t="shared" si="81"/>
        <v>0</v>
      </c>
      <c r="AM91" s="203">
        <f t="shared" si="142"/>
        <v>0</v>
      </c>
      <c r="AN91" s="203">
        <f t="shared" ca="1" si="143"/>
        <v>0</v>
      </c>
      <c r="AO91" s="203">
        <f t="shared" ca="1" si="144"/>
        <v>0</v>
      </c>
      <c r="AP91" s="212" t="str">
        <f t="shared" si="82"/>
        <v>N/A</v>
      </c>
      <c r="AQ91" s="212">
        <f t="shared" si="83"/>
        <v>0</v>
      </c>
      <c r="AR91" s="203">
        <f t="shared" si="145"/>
        <v>0</v>
      </c>
      <c r="AS91" s="203">
        <f t="shared" ca="1" si="146"/>
        <v>0</v>
      </c>
      <c r="AT91" s="203">
        <f t="shared" ca="1" si="147"/>
        <v>0</v>
      </c>
      <c r="AU91" s="212" t="str">
        <f t="shared" si="84"/>
        <v>N/A</v>
      </c>
      <c r="AV91" s="212">
        <f t="shared" si="85"/>
        <v>0</v>
      </c>
      <c r="AW91" s="203">
        <f t="shared" si="148"/>
        <v>0</v>
      </c>
      <c r="AX91" s="203">
        <f t="shared" ca="1" si="149"/>
        <v>0</v>
      </c>
      <c r="AY91" s="203">
        <f t="shared" ca="1" si="150"/>
        <v>0</v>
      </c>
      <c r="AZ91" s="212"/>
      <c r="BA91" s="213" t="s">
        <v>141</v>
      </c>
      <c r="BB91" s="213" t="s">
        <v>140</v>
      </c>
      <c r="BC91" s="213" t="s">
        <v>140</v>
      </c>
      <c r="BD91" s="213" t="s">
        <v>140</v>
      </c>
      <c r="BE91" s="148"/>
      <c r="BF91" s="212" t="s">
        <v>1789</v>
      </c>
      <c r="BG91" s="117"/>
      <c r="BH91" s="155"/>
      <c r="BI91" s="216"/>
      <c r="BJ91" s="216"/>
      <c r="BK91" s="216"/>
      <c r="BL91" s="149"/>
      <c r="BM91" s="149"/>
      <c r="BN91" s="149"/>
      <c r="BO91" s="149"/>
      <c r="BP91" s="149"/>
      <c r="BQ91" s="149"/>
      <c r="BR91" s="117">
        <v>1</v>
      </c>
      <c r="BS91" s="117">
        <v>0</v>
      </c>
      <c r="BT91" s="117">
        <v>0</v>
      </c>
      <c r="BU91" s="117">
        <v>0</v>
      </c>
      <c r="BV91" s="117">
        <v>0</v>
      </c>
      <c r="BW91" s="117">
        <v>0</v>
      </c>
      <c r="BX91" s="117">
        <v>0</v>
      </c>
      <c r="BY91" s="117" t="s">
        <v>1790</v>
      </c>
      <c r="BZ91" s="117" t="s">
        <v>1303</v>
      </c>
      <c r="CA91" s="117">
        <v>2</v>
      </c>
      <c r="CB91" s="149">
        <v>46206</v>
      </c>
      <c r="CC91" s="155"/>
      <c r="CD91" s="117"/>
      <c r="CE91" s="217"/>
      <c r="CF91" s="148">
        <f t="shared" si="151"/>
        <v>0</v>
      </c>
    </row>
    <row r="92" spans="1:84" ht="17.25" hidden="1" customHeight="1">
      <c r="A92" s="117"/>
      <c r="B92" s="209" t="s">
        <v>2042</v>
      </c>
      <c r="C92" s="209" t="s">
        <v>2214</v>
      </c>
      <c r="D92" s="209" t="s">
        <v>1296</v>
      </c>
      <c r="E92" s="209" t="s">
        <v>1821</v>
      </c>
      <c r="F92" s="209" t="s">
        <v>1423</v>
      </c>
      <c r="G92" s="209" t="s">
        <v>1424</v>
      </c>
      <c r="H92" s="210">
        <v>1122</v>
      </c>
      <c r="I92" s="211" t="s">
        <v>147</v>
      </c>
      <c r="J92" s="144">
        <v>1</v>
      </c>
      <c r="K92" s="145">
        <f t="shared" si="77"/>
        <v>1</v>
      </c>
      <c r="L92" s="202">
        <f t="shared" si="136"/>
        <v>1</v>
      </c>
      <c r="M92" s="212">
        <v>16.2</v>
      </c>
      <c r="N92" s="203">
        <f t="shared" si="137"/>
        <v>16.2</v>
      </c>
      <c r="O92" s="212" t="s">
        <v>137</v>
      </c>
      <c r="P92" s="212" t="s">
        <v>13</v>
      </c>
      <c r="Q92" s="212" t="s">
        <v>148</v>
      </c>
      <c r="R92" s="212"/>
      <c r="S92" s="212"/>
      <c r="T92" s="203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203">
        <f t="shared" ca="1" si="138"/>
        <v>0</v>
      </c>
      <c r="V92" s="203">
        <f t="shared" ca="1" si="139"/>
        <v>1</v>
      </c>
      <c r="W92" s="212"/>
      <c r="X92" s="212"/>
      <c r="Y92" s="212"/>
      <c r="Z92" s="212"/>
      <c r="AA92" s="212"/>
      <c r="AB92" s="212"/>
      <c r="AC92" s="214" t="s">
        <v>196</v>
      </c>
      <c r="AD92" s="215" t="s">
        <v>2039</v>
      </c>
      <c r="AE92" s="148"/>
      <c r="AF92" s="212" t="str">
        <f t="shared" si="78"/>
        <v>AMC2-S1</v>
      </c>
      <c r="AG92" s="212">
        <f t="shared" si="79"/>
        <v>1</v>
      </c>
      <c r="AH92" s="203">
        <f t="shared" si="152"/>
        <v>1</v>
      </c>
      <c r="AI92" s="203">
        <f t="shared" ca="1" si="140"/>
        <v>1</v>
      </c>
      <c r="AJ92" s="203">
        <f t="shared" ca="1" si="141"/>
        <v>0</v>
      </c>
      <c r="AK92" s="212" t="str">
        <f t="shared" si="80"/>
        <v>N/A</v>
      </c>
      <c r="AL92" s="212">
        <f t="shared" si="81"/>
        <v>0</v>
      </c>
      <c r="AM92" s="203">
        <f t="shared" si="142"/>
        <v>0</v>
      </c>
      <c r="AN92" s="203">
        <f t="shared" ca="1" si="143"/>
        <v>0</v>
      </c>
      <c r="AO92" s="203">
        <f t="shared" ca="1" si="144"/>
        <v>0</v>
      </c>
      <c r="AP92" s="212" t="str">
        <f t="shared" si="82"/>
        <v>N/A</v>
      </c>
      <c r="AQ92" s="212">
        <f t="shared" si="83"/>
        <v>0</v>
      </c>
      <c r="AR92" s="203">
        <f t="shared" si="145"/>
        <v>0</v>
      </c>
      <c r="AS92" s="203">
        <f t="shared" ca="1" si="146"/>
        <v>0</v>
      </c>
      <c r="AT92" s="203">
        <f t="shared" ca="1" si="147"/>
        <v>0</v>
      </c>
      <c r="AU92" s="212" t="str">
        <f t="shared" si="84"/>
        <v>N/A</v>
      </c>
      <c r="AV92" s="212">
        <f t="shared" si="85"/>
        <v>0</v>
      </c>
      <c r="AW92" s="203">
        <f t="shared" si="148"/>
        <v>0</v>
      </c>
      <c r="AX92" s="203">
        <f t="shared" ca="1" si="149"/>
        <v>0</v>
      </c>
      <c r="AY92" s="203">
        <f t="shared" ca="1" si="150"/>
        <v>0</v>
      </c>
      <c r="AZ92" s="212"/>
      <c r="BA92" s="213" t="s">
        <v>141</v>
      </c>
      <c r="BB92" s="213" t="s">
        <v>140</v>
      </c>
      <c r="BC92" s="213" t="s">
        <v>140</v>
      </c>
      <c r="BD92" s="213" t="s">
        <v>140</v>
      </c>
      <c r="BE92" s="148"/>
      <c r="BF92" s="212" t="s">
        <v>1789</v>
      </c>
      <c r="BG92" s="117"/>
      <c r="BH92" s="155"/>
      <c r="BI92" s="216"/>
      <c r="BJ92" s="216"/>
      <c r="BK92" s="216"/>
      <c r="BL92" s="149"/>
      <c r="BM92" s="149"/>
      <c r="BN92" s="149"/>
      <c r="BO92" s="149"/>
      <c r="BP92" s="149"/>
      <c r="BQ92" s="149"/>
      <c r="BR92" s="117">
        <v>0</v>
      </c>
      <c r="BS92" s="117">
        <v>0</v>
      </c>
      <c r="BT92" s="117">
        <v>0</v>
      </c>
      <c r="BU92" s="117">
        <v>1</v>
      </c>
      <c r="BV92" s="117">
        <v>0</v>
      </c>
      <c r="BW92" s="117">
        <v>0</v>
      </c>
      <c r="BX92" s="117">
        <v>0</v>
      </c>
      <c r="BY92" s="117" t="s">
        <v>1790</v>
      </c>
      <c r="BZ92" s="117" t="s">
        <v>1022</v>
      </c>
      <c r="CA92" s="144">
        <v>1</v>
      </c>
      <c r="CB92" s="149">
        <v>46206</v>
      </c>
      <c r="CC92" s="155"/>
      <c r="CD92" s="155"/>
      <c r="CE92" s="217"/>
      <c r="CF92" s="148">
        <f t="shared" si="151"/>
        <v>0</v>
      </c>
    </row>
    <row r="93" spans="1:84" ht="17.25" hidden="1" customHeight="1">
      <c r="A93" s="117"/>
      <c r="B93" s="209" t="s">
        <v>2042</v>
      </c>
      <c r="C93" s="209" t="s">
        <v>2214</v>
      </c>
      <c r="D93" s="209" t="s">
        <v>1296</v>
      </c>
      <c r="E93" s="209" t="s">
        <v>1822</v>
      </c>
      <c r="F93" s="209" t="s">
        <v>1425</v>
      </c>
      <c r="G93" s="209" t="s">
        <v>1426</v>
      </c>
      <c r="H93" s="210">
        <v>1198</v>
      </c>
      <c r="I93" s="211" t="s">
        <v>147</v>
      </c>
      <c r="J93" s="144">
        <v>1</v>
      </c>
      <c r="K93" s="145">
        <f t="shared" si="77"/>
        <v>1</v>
      </c>
      <c r="L93" s="202">
        <f t="shared" si="136"/>
        <v>1</v>
      </c>
      <c r="M93" s="212">
        <v>17.399999999999999</v>
      </c>
      <c r="N93" s="203">
        <f t="shared" si="137"/>
        <v>17.399999999999999</v>
      </c>
      <c r="O93" s="212" t="s">
        <v>137</v>
      </c>
      <c r="P93" s="212" t="s">
        <v>13</v>
      </c>
      <c r="Q93" s="212" t="s">
        <v>148</v>
      </c>
      <c r="R93" s="212"/>
      <c r="S93" s="212"/>
      <c r="T93" s="203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203">
        <f t="shared" ca="1" si="138"/>
        <v>0</v>
      </c>
      <c r="V93" s="203">
        <f t="shared" ca="1" si="139"/>
        <v>1</v>
      </c>
      <c r="W93" s="212"/>
      <c r="X93" s="212"/>
      <c r="Y93" s="212"/>
      <c r="Z93" s="212"/>
      <c r="AA93" s="212"/>
      <c r="AB93" s="212"/>
      <c r="AC93" s="214" t="s">
        <v>196</v>
      </c>
      <c r="AD93" s="215" t="s">
        <v>2039</v>
      </c>
      <c r="AE93" s="148"/>
      <c r="AF93" s="212" t="str">
        <f t="shared" si="78"/>
        <v>AMC2-S1</v>
      </c>
      <c r="AG93" s="212">
        <f t="shared" si="79"/>
        <v>1</v>
      </c>
      <c r="AH93" s="203">
        <f t="shared" si="152"/>
        <v>1</v>
      </c>
      <c r="AI93" s="203">
        <f t="shared" ca="1" si="140"/>
        <v>1</v>
      </c>
      <c r="AJ93" s="203">
        <f t="shared" ca="1" si="141"/>
        <v>0</v>
      </c>
      <c r="AK93" s="212" t="str">
        <f t="shared" si="80"/>
        <v>N/A</v>
      </c>
      <c r="AL93" s="212">
        <f t="shared" si="81"/>
        <v>0</v>
      </c>
      <c r="AM93" s="203">
        <f t="shared" si="142"/>
        <v>0</v>
      </c>
      <c r="AN93" s="203">
        <f t="shared" ca="1" si="143"/>
        <v>0</v>
      </c>
      <c r="AO93" s="203">
        <f t="shared" ca="1" si="144"/>
        <v>0</v>
      </c>
      <c r="AP93" s="212" t="str">
        <f t="shared" si="82"/>
        <v>N/A</v>
      </c>
      <c r="AQ93" s="212">
        <f t="shared" si="83"/>
        <v>0</v>
      </c>
      <c r="AR93" s="203">
        <f t="shared" si="145"/>
        <v>0</v>
      </c>
      <c r="AS93" s="203">
        <f t="shared" ca="1" si="146"/>
        <v>0</v>
      </c>
      <c r="AT93" s="203">
        <f t="shared" ca="1" si="147"/>
        <v>0</v>
      </c>
      <c r="AU93" s="212" t="str">
        <f t="shared" si="84"/>
        <v>N/A</v>
      </c>
      <c r="AV93" s="212">
        <f t="shared" si="85"/>
        <v>0</v>
      </c>
      <c r="AW93" s="203">
        <f t="shared" si="148"/>
        <v>0</v>
      </c>
      <c r="AX93" s="203">
        <f t="shared" ca="1" si="149"/>
        <v>0</v>
      </c>
      <c r="AY93" s="203">
        <f t="shared" ca="1" si="150"/>
        <v>0</v>
      </c>
      <c r="AZ93" s="212"/>
      <c r="BA93" s="213" t="s">
        <v>141</v>
      </c>
      <c r="BB93" s="213" t="s">
        <v>140</v>
      </c>
      <c r="BC93" s="213" t="s">
        <v>140</v>
      </c>
      <c r="BD93" s="213" t="s">
        <v>140</v>
      </c>
      <c r="BE93" s="148"/>
      <c r="BF93" s="212" t="s">
        <v>1789</v>
      </c>
      <c r="BG93" s="117"/>
      <c r="BH93" s="155"/>
      <c r="BI93" s="216"/>
      <c r="BJ93" s="216"/>
      <c r="BK93" s="216"/>
      <c r="BL93" s="149"/>
      <c r="BM93" s="149"/>
      <c r="BN93" s="149"/>
      <c r="BO93" s="149"/>
      <c r="BP93" s="149"/>
      <c r="BQ93" s="149"/>
      <c r="BR93" s="117">
        <v>0</v>
      </c>
      <c r="BS93" s="117">
        <v>0</v>
      </c>
      <c r="BT93" s="117">
        <v>0</v>
      </c>
      <c r="BU93" s="117">
        <v>1</v>
      </c>
      <c r="BV93" s="117">
        <v>0</v>
      </c>
      <c r="BW93" s="117">
        <v>0</v>
      </c>
      <c r="BX93" s="117">
        <v>0</v>
      </c>
      <c r="BY93" s="117" t="s">
        <v>1790</v>
      </c>
      <c r="BZ93" s="117" t="s">
        <v>1022</v>
      </c>
      <c r="CA93" s="144">
        <v>1</v>
      </c>
      <c r="CB93" s="149">
        <v>46206</v>
      </c>
      <c r="CC93" s="155"/>
      <c r="CD93" s="155"/>
      <c r="CE93" s="217"/>
      <c r="CF93" s="148">
        <f t="shared" si="151"/>
        <v>0</v>
      </c>
    </row>
    <row r="94" spans="1:84" ht="17.25" hidden="1" customHeight="1">
      <c r="A94" s="117"/>
      <c r="B94" s="209" t="s">
        <v>2042</v>
      </c>
      <c r="C94" s="209" t="s">
        <v>2214</v>
      </c>
      <c r="D94" s="209" t="s">
        <v>1296</v>
      </c>
      <c r="E94" s="209" t="s">
        <v>1809</v>
      </c>
      <c r="F94" s="209" t="s">
        <v>1427</v>
      </c>
      <c r="G94" s="209" t="s">
        <v>1327</v>
      </c>
      <c r="H94" s="210">
        <v>546</v>
      </c>
      <c r="I94" s="211" t="s">
        <v>147</v>
      </c>
      <c r="J94" s="144">
        <v>1</v>
      </c>
      <c r="K94" s="145">
        <f t="shared" si="77"/>
        <v>1</v>
      </c>
      <c r="L94" s="202">
        <f t="shared" si="136"/>
        <v>1</v>
      </c>
      <c r="M94" s="212">
        <v>16.3</v>
      </c>
      <c r="N94" s="203">
        <f t="shared" si="137"/>
        <v>16.3</v>
      </c>
      <c r="O94" s="212" t="s">
        <v>137</v>
      </c>
      <c r="P94" s="212" t="s">
        <v>13</v>
      </c>
      <c r="Q94" s="212" t="s">
        <v>148</v>
      </c>
      <c r="R94" s="212"/>
      <c r="S94" s="212"/>
      <c r="T94" s="203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203">
        <f t="shared" ca="1" si="138"/>
        <v>0</v>
      </c>
      <c r="V94" s="203">
        <f t="shared" ca="1" si="139"/>
        <v>1</v>
      </c>
      <c r="W94" s="212"/>
      <c r="X94" s="212"/>
      <c r="Y94" s="212"/>
      <c r="Z94" s="212"/>
      <c r="AA94" s="212"/>
      <c r="AB94" s="212"/>
      <c r="AC94" s="214" t="s">
        <v>196</v>
      </c>
      <c r="AD94" s="215" t="s">
        <v>2039</v>
      </c>
      <c r="AE94" s="148"/>
      <c r="AF94" s="212" t="str">
        <f t="shared" si="78"/>
        <v>AMC2-S1</v>
      </c>
      <c r="AG94" s="212">
        <f t="shared" si="79"/>
        <v>1</v>
      </c>
      <c r="AH94" s="203">
        <f t="shared" si="152"/>
        <v>1</v>
      </c>
      <c r="AI94" s="203">
        <f t="shared" ca="1" si="140"/>
        <v>1</v>
      </c>
      <c r="AJ94" s="203">
        <f t="shared" ca="1" si="141"/>
        <v>0</v>
      </c>
      <c r="AK94" s="212" t="str">
        <f t="shared" si="80"/>
        <v>N/A</v>
      </c>
      <c r="AL94" s="212">
        <f t="shared" si="81"/>
        <v>0</v>
      </c>
      <c r="AM94" s="203">
        <f t="shared" si="142"/>
        <v>0</v>
      </c>
      <c r="AN94" s="203">
        <f t="shared" ca="1" si="143"/>
        <v>0</v>
      </c>
      <c r="AO94" s="203">
        <f t="shared" ca="1" si="144"/>
        <v>0</v>
      </c>
      <c r="AP94" s="212" t="str">
        <f t="shared" si="82"/>
        <v>N/A</v>
      </c>
      <c r="AQ94" s="212">
        <f t="shared" si="83"/>
        <v>0</v>
      </c>
      <c r="AR94" s="203">
        <f t="shared" si="145"/>
        <v>0</v>
      </c>
      <c r="AS94" s="203">
        <f t="shared" ca="1" si="146"/>
        <v>0</v>
      </c>
      <c r="AT94" s="203">
        <f t="shared" ca="1" si="147"/>
        <v>0</v>
      </c>
      <c r="AU94" s="212" t="str">
        <f t="shared" si="84"/>
        <v>N/A</v>
      </c>
      <c r="AV94" s="212">
        <f t="shared" si="85"/>
        <v>0</v>
      </c>
      <c r="AW94" s="203">
        <f t="shared" si="148"/>
        <v>0</v>
      </c>
      <c r="AX94" s="203">
        <f t="shared" ca="1" si="149"/>
        <v>0</v>
      </c>
      <c r="AY94" s="203">
        <f t="shared" ca="1" si="150"/>
        <v>0</v>
      </c>
      <c r="AZ94" s="212"/>
      <c r="BA94" s="213" t="s">
        <v>141</v>
      </c>
      <c r="BB94" s="213" t="s">
        <v>140</v>
      </c>
      <c r="BC94" s="213" t="s">
        <v>140</v>
      </c>
      <c r="BD94" s="213" t="s">
        <v>140</v>
      </c>
      <c r="BE94" s="148"/>
      <c r="BF94" s="212" t="s">
        <v>1789</v>
      </c>
      <c r="BG94" s="117"/>
      <c r="BH94" s="155"/>
      <c r="BI94" s="216"/>
      <c r="BJ94" s="216"/>
      <c r="BK94" s="216"/>
      <c r="BL94" s="149"/>
      <c r="BM94" s="149"/>
      <c r="BN94" s="149"/>
      <c r="BO94" s="149"/>
      <c r="BP94" s="149"/>
      <c r="BQ94" s="149"/>
      <c r="BR94" s="117">
        <v>1</v>
      </c>
      <c r="BS94" s="117">
        <v>0</v>
      </c>
      <c r="BT94" s="117">
        <v>0</v>
      </c>
      <c r="BU94" s="117">
        <v>0</v>
      </c>
      <c r="BV94" s="117">
        <v>0</v>
      </c>
      <c r="BW94" s="117">
        <v>0</v>
      </c>
      <c r="BX94" s="117">
        <v>0</v>
      </c>
      <c r="BY94" s="117" t="s">
        <v>1790</v>
      </c>
      <c r="BZ94" s="117" t="s">
        <v>1303</v>
      </c>
      <c r="CA94" s="117">
        <v>1</v>
      </c>
      <c r="CB94" s="149">
        <v>46206</v>
      </c>
      <c r="CC94" s="155"/>
      <c r="CD94" s="117"/>
      <c r="CE94" s="217"/>
      <c r="CF94" s="148">
        <f t="shared" si="151"/>
        <v>0</v>
      </c>
    </row>
    <row r="95" spans="1:84" ht="17.25" hidden="1" customHeight="1">
      <c r="A95" s="162">
        <v>179</v>
      </c>
      <c r="B95" s="177" t="s">
        <v>2046</v>
      </c>
      <c r="C95" s="177" t="s">
        <v>2215</v>
      </c>
      <c r="D95" s="177" t="s">
        <v>2047</v>
      </c>
      <c r="E95" s="177"/>
      <c r="F95" s="177"/>
      <c r="G95" s="177" t="s">
        <v>2048</v>
      </c>
      <c r="H95" s="178"/>
      <c r="I95" s="179"/>
      <c r="J95" s="160"/>
      <c r="K95" s="180">
        <f>+AG95+AL95+AQ95+AV95</f>
        <v>1</v>
      </c>
      <c r="L95" s="160"/>
      <c r="M95" s="181">
        <v>8572.6</v>
      </c>
      <c r="N95" s="181">
        <v>8572.6</v>
      </c>
      <c r="O95" s="181" t="s">
        <v>137</v>
      </c>
      <c r="P95" s="181"/>
      <c r="Q95" s="181"/>
      <c r="R95" s="181"/>
      <c r="S95" s="181"/>
      <c r="T95" s="181"/>
      <c r="U95" s="181"/>
      <c r="V95" s="181"/>
      <c r="W95" s="181">
        <f>_xlfn.MINIFS(V:V,C:C,C95,AE:AE,"",AB:AB,"")</f>
        <v>0</v>
      </c>
      <c r="X95" s="181" t="e">
        <f>SUMIFS(T:T,C:C,C95,AE:AE,"")/SUMIFS(L:L,C:C,C95,AE:AE,"",AB:AB,"")</f>
        <v>#DIV/0!</v>
      </c>
      <c r="Y95" s="181"/>
      <c r="Z95" s="181"/>
      <c r="AA95" s="181"/>
      <c r="AB95" s="181"/>
      <c r="AC95" s="228" t="s">
        <v>196</v>
      </c>
      <c r="AD95" s="184" t="s">
        <v>2039</v>
      </c>
      <c r="AE95" s="162" t="s">
        <v>143</v>
      </c>
      <c r="AF95" s="181" t="s">
        <v>1783</v>
      </c>
      <c r="AG95" s="181">
        <v>1</v>
      </c>
      <c r="AH95" s="181"/>
      <c r="AI95" s="181"/>
      <c r="AJ95" s="181"/>
      <c r="AK95" s="181" t="s">
        <v>138</v>
      </c>
      <c r="AL95" s="181">
        <v>0</v>
      </c>
      <c r="AM95" s="181"/>
      <c r="AN95" s="181"/>
      <c r="AO95" s="181"/>
      <c r="AP95" s="181" t="s">
        <v>138</v>
      </c>
      <c r="AQ95" s="181">
        <v>0</v>
      </c>
      <c r="AR95" s="181"/>
      <c r="AS95" s="181"/>
      <c r="AT95" s="181"/>
      <c r="AU95" s="181" t="s">
        <v>138</v>
      </c>
      <c r="AV95" s="181">
        <v>0</v>
      </c>
      <c r="AW95" s="181"/>
      <c r="AX95" s="181"/>
      <c r="AY95" s="181"/>
      <c r="AZ95" s="181"/>
      <c r="BA95" s="182" t="s">
        <v>141</v>
      </c>
      <c r="BB95" s="182" t="s">
        <v>140</v>
      </c>
      <c r="BC95" s="182" t="s">
        <v>140</v>
      </c>
      <c r="BD95" s="182" t="s">
        <v>140</v>
      </c>
      <c r="BE95" s="162"/>
      <c r="BF95" s="181"/>
      <c r="BG95" s="161"/>
      <c r="BH95" s="161"/>
      <c r="BI95" s="163"/>
      <c r="BJ95" s="163"/>
      <c r="BK95" s="163"/>
      <c r="BL95" s="163"/>
      <c r="BM95" s="163"/>
      <c r="BN95" s="163"/>
      <c r="BO95" s="163"/>
      <c r="BP95" s="163"/>
      <c r="BQ95" s="163"/>
      <c r="BR95" s="161"/>
      <c r="BS95" s="161"/>
      <c r="BT95" s="161"/>
      <c r="BU95" s="161"/>
      <c r="BV95" s="161"/>
      <c r="BW95" s="161"/>
      <c r="BX95" s="161"/>
      <c r="BY95" s="161"/>
      <c r="BZ95" s="161"/>
      <c r="CA95" s="161"/>
      <c r="CB95" s="163"/>
      <c r="CC95" s="161"/>
      <c r="CD95" s="161"/>
      <c r="CE95" s="185"/>
      <c r="CF95" s="185"/>
    </row>
    <row r="96" spans="1:84" ht="17.25" hidden="1" customHeight="1">
      <c r="A96" s="186"/>
      <c r="B96" s="187" t="s">
        <v>2046</v>
      </c>
      <c r="C96" s="187" t="s">
        <v>2178</v>
      </c>
      <c r="D96" s="187"/>
      <c r="E96" s="187"/>
      <c r="F96" s="187"/>
      <c r="G96" s="187" t="s">
        <v>1956</v>
      </c>
      <c r="H96" s="188"/>
      <c r="I96" s="189"/>
      <c r="J96" s="190"/>
      <c r="K96" s="191">
        <f t="shared" ref="K96:K142" si="153">K95</f>
        <v>1</v>
      </c>
      <c r="L96" s="190"/>
      <c r="M96" s="192">
        <v>2224.6999999999998</v>
      </c>
      <c r="N96" s="192">
        <v>2224.6999999999998</v>
      </c>
      <c r="O96" s="192" t="s">
        <v>137</v>
      </c>
      <c r="P96" s="192"/>
      <c r="Q96" s="192"/>
      <c r="R96" s="192"/>
      <c r="S96" s="192"/>
      <c r="T96" s="192"/>
      <c r="U96" s="192"/>
      <c r="V96" s="192"/>
      <c r="W96" s="192">
        <f ca="1">_xlfn.MINIFS(V:V,C:C,C96,AE:AE,"",AB:AB,"")</f>
        <v>0</v>
      </c>
      <c r="X96" s="192">
        <f ca="1">SUMIFS(T:T,C:C,C96,AE:AE,"")/SUMIFS(L:L,C:C,C96,AE:AE,"",AB:AB,"")</f>
        <v>0.64516129032258063</v>
      </c>
      <c r="Y96" s="192"/>
      <c r="Z96" s="192"/>
      <c r="AA96" s="192"/>
      <c r="AB96" s="192"/>
      <c r="AC96" s="194" t="s">
        <v>196</v>
      </c>
      <c r="AD96" s="195" t="s">
        <v>2039</v>
      </c>
      <c r="AE96" s="196" t="s">
        <v>1787</v>
      </c>
      <c r="AF96" s="192" t="str">
        <f t="shared" ref="AF96:AF142" si="154">AF95</f>
        <v>AMC2-S1</v>
      </c>
      <c r="AG96" s="192">
        <f t="shared" ref="AG96:AG142" si="155">AG95</f>
        <v>1</v>
      </c>
      <c r="AH96" s="192"/>
      <c r="AI96" s="192"/>
      <c r="AJ96" s="192"/>
      <c r="AK96" s="192" t="str">
        <f t="shared" ref="AK96:AK142" si="156">AK95</f>
        <v>N/A</v>
      </c>
      <c r="AL96" s="192">
        <f t="shared" ref="AL96:AL142" si="157">AL95</f>
        <v>0</v>
      </c>
      <c r="AM96" s="192"/>
      <c r="AN96" s="192"/>
      <c r="AO96" s="192"/>
      <c r="AP96" s="192" t="str">
        <f t="shared" ref="AP96:AP142" si="158">AP95</f>
        <v>N/A</v>
      </c>
      <c r="AQ96" s="192">
        <f t="shared" ref="AQ96:AQ142" si="159">AQ95</f>
        <v>0</v>
      </c>
      <c r="AR96" s="192"/>
      <c r="AS96" s="192"/>
      <c r="AT96" s="192"/>
      <c r="AU96" s="192" t="str">
        <f t="shared" ref="AU96:AU142" si="160">AU95</f>
        <v>N/A</v>
      </c>
      <c r="AV96" s="192">
        <f t="shared" ref="AV96:AV142" si="161">AV95</f>
        <v>0</v>
      </c>
      <c r="AW96" s="192"/>
      <c r="AX96" s="192"/>
      <c r="AY96" s="192"/>
      <c r="AZ96" s="192"/>
      <c r="BA96" s="193" t="s">
        <v>141</v>
      </c>
      <c r="BB96" s="193" t="s">
        <v>140</v>
      </c>
      <c r="BC96" s="193" t="s">
        <v>140</v>
      </c>
      <c r="BD96" s="193" t="s">
        <v>140</v>
      </c>
      <c r="BE96" s="196" t="s">
        <v>741</v>
      </c>
      <c r="BF96" s="192"/>
      <c r="BG96" s="186"/>
      <c r="BH96" s="186"/>
      <c r="BI96" s="197"/>
      <c r="BJ96" s="197"/>
      <c r="BK96" s="197"/>
      <c r="BL96" s="197"/>
      <c r="BM96" s="197"/>
      <c r="BN96" s="197"/>
      <c r="BO96" s="197"/>
      <c r="BP96" s="197"/>
      <c r="BQ96" s="197"/>
      <c r="BR96" s="186"/>
      <c r="BS96" s="186"/>
      <c r="BT96" s="186"/>
      <c r="BU96" s="186"/>
      <c r="BV96" s="186"/>
      <c r="BW96" s="186"/>
      <c r="BX96" s="186"/>
      <c r="BY96" s="186"/>
      <c r="BZ96" s="186"/>
      <c r="CA96" s="186"/>
      <c r="CB96" s="197"/>
      <c r="CC96" s="186"/>
      <c r="CD96" s="186"/>
      <c r="CE96" s="198"/>
      <c r="CF96" s="198"/>
    </row>
    <row r="97" spans="1:84" ht="17.25" hidden="1" customHeight="1">
      <c r="A97" s="117"/>
      <c r="B97" s="209" t="s">
        <v>2046</v>
      </c>
      <c r="C97" s="209" t="s">
        <v>2178</v>
      </c>
      <c r="D97" s="209" t="s">
        <v>1084</v>
      </c>
      <c r="E97" s="209" t="s">
        <v>1788</v>
      </c>
      <c r="F97" s="209" t="s">
        <v>1476</v>
      </c>
      <c r="G97" s="209" t="s">
        <v>1477</v>
      </c>
      <c r="H97" s="210">
        <v>3622</v>
      </c>
      <c r="I97" s="211" t="s">
        <v>147</v>
      </c>
      <c r="J97" s="144">
        <v>1</v>
      </c>
      <c r="K97" s="145">
        <f t="shared" si="153"/>
        <v>1</v>
      </c>
      <c r="L97" s="202">
        <f t="shared" ref="L97:L112" si="162">+J97*K97</f>
        <v>1</v>
      </c>
      <c r="M97" s="212">
        <v>493.5</v>
      </c>
      <c r="N97" s="203">
        <f t="shared" ref="N97:N112" si="163">+M97*L97</f>
        <v>493.5</v>
      </c>
      <c r="O97" s="212" t="s">
        <v>137</v>
      </c>
      <c r="P97" s="212" t="s">
        <v>13</v>
      </c>
      <c r="Q97" s="212" t="s">
        <v>154</v>
      </c>
      <c r="R97" s="212"/>
      <c r="S97" s="212"/>
      <c r="T97" s="203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1</v>
      </c>
      <c r="U97" s="203">
        <f t="shared" ref="U97:U112" ca="1" si="164">+L97-T97</f>
        <v>0</v>
      </c>
      <c r="V97" s="203">
        <f t="shared" ref="V97:V112" ca="1" si="165">ROUNDDOWN(T97/J97,0)</f>
        <v>1</v>
      </c>
      <c r="W97" s="212"/>
      <c r="X97" s="212"/>
      <c r="Y97" s="212"/>
      <c r="Z97" s="212"/>
      <c r="AA97" s="212"/>
      <c r="AB97" s="212"/>
      <c r="AC97" s="214" t="s">
        <v>196</v>
      </c>
      <c r="AD97" s="215" t="s">
        <v>2039</v>
      </c>
      <c r="AE97" s="148"/>
      <c r="AF97" s="212" t="str">
        <f t="shared" si="154"/>
        <v>AMC2-S1</v>
      </c>
      <c r="AG97" s="212">
        <f t="shared" si="155"/>
        <v>1</v>
      </c>
      <c r="AH97" s="203">
        <f t="shared" ref="AH97:AH112" si="166">+AG97*J97</f>
        <v>1</v>
      </c>
      <c r="AI97" s="203">
        <f t="shared" ref="AI97:AI112" ca="1" si="167">MIN(T97,AH97)</f>
        <v>1</v>
      </c>
      <c r="AJ97" s="203">
        <f t="shared" ref="AJ97:AJ112" ca="1" si="168">+AH97-AI97</f>
        <v>0</v>
      </c>
      <c r="AK97" s="212" t="str">
        <f t="shared" si="156"/>
        <v>N/A</v>
      </c>
      <c r="AL97" s="212">
        <f t="shared" si="157"/>
        <v>0</v>
      </c>
      <c r="AM97" s="203">
        <f t="shared" ref="AM97:AM112" si="169">+AL97*J97</f>
        <v>0</v>
      </c>
      <c r="AN97" s="203">
        <f t="shared" ref="AN97:AN112" ca="1" si="170">MIN(T97-AI97,AL97)</f>
        <v>0</v>
      </c>
      <c r="AO97" s="203">
        <f t="shared" ref="AO97:AO112" ca="1" si="171">+AM97-AN97</f>
        <v>0</v>
      </c>
      <c r="AP97" s="212" t="str">
        <f t="shared" si="158"/>
        <v>N/A</v>
      </c>
      <c r="AQ97" s="212">
        <f t="shared" si="159"/>
        <v>0</v>
      </c>
      <c r="AR97" s="203">
        <f t="shared" ref="AR97:AR112" si="172">+AQ97*J97</f>
        <v>0</v>
      </c>
      <c r="AS97" s="203">
        <f t="shared" ref="AS97:AS112" ca="1" si="173">MIN(T97-AI97-AN97,AR97)</f>
        <v>0</v>
      </c>
      <c r="AT97" s="203">
        <f t="shared" ref="AT97:AT112" ca="1" si="174">+AR97-AS97</f>
        <v>0</v>
      </c>
      <c r="AU97" s="212" t="str">
        <f t="shared" si="160"/>
        <v>N/A</v>
      </c>
      <c r="AV97" s="212">
        <f t="shared" si="161"/>
        <v>0</v>
      </c>
      <c r="AW97" s="203">
        <f t="shared" ref="AW97:AW112" si="175">+AV97*J97</f>
        <v>0</v>
      </c>
      <c r="AX97" s="203">
        <f t="shared" ref="AX97:AX112" ca="1" si="176">MIN(T97-AI97-AN97-AS97,AW97)</f>
        <v>0</v>
      </c>
      <c r="AY97" s="203">
        <f t="shared" ref="AY97:AY112" ca="1" si="177">+AW97-AX97</f>
        <v>0</v>
      </c>
      <c r="AZ97" s="212"/>
      <c r="BA97" s="213" t="s">
        <v>141</v>
      </c>
      <c r="BB97" s="213" t="s">
        <v>140</v>
      </c>
      <c r="BC97" s="213" t="s">
        <v>140</v>
      </c>
      <c r="BD97" s="213" t="s">
        <v>140</v>
      </c>
      <c r="BE97" s="148"/>
      <c r="BF97" s="212" t="s">
        <v>1789</v>
      </c>
      <c r="BG97" s="117"/>
      <c r="BH97" s="155"/>
      <c r="BI97" s="216"/>
      <c r="BJ97" s="216"/>
      <c r="BK97" s="216"/>
      <c r="BL97" s="149"/>
      <c r="BM97" s="149"/>
      <c r="BN97" s="149"/>
      <c r="BO97" s="149"/>
      <c r="BP97" s="149"/>
      <c r="BQ97" s="149"/>
      <c r="BR97" s="117">
        <v>0</v>
      </c>
      <c r="BS97" s="117">
        <v>1</v>
      </c>
      <c r="BT97" s="117">
        <v>0</v>
      </c>
      <c r="BU97" s="117">
        <v>1</v>
      </c>
      <c r="BV97" s="117">
        <v>0</v>
      </c>
      <c r="BW97" s="117">
        <v>0</v>
      </c>
      <c r="BX97" s="117">
        <v>0</v>
      </c>
      <c r="BY97" s="117" t="s">
        <v>1790</v>
      </c>
      <c r="BZ97" s="117" t="s">
        <v>57</v>
      </c>
      <c r="CA97" s="144">
        <v>1</v>
      </c>
      <c r="CB97" s="149"/>
      <c r="CC97" s="155"/>
      <c r="CD97" s="155"/>
      <c r="CE97" s="217"/>
      <c r="CF97" s="148">
        <f t="shared" ref="CF97:CF112" si="178">+L97-CA97</f>
        <v>0</v>
      </c>
    </row>
    <row r="98" spans="1:84" ht="17.25" hidden="1" customHeight="1">
      <c r="A98" s="141"/>
      <c r="B98" s="199" t="s">
        <v>2046</v>
      </c>
      <c r="C98" s="199" t="s">
        <v>2178</v>
      </c>
      <c r="D98" s="199" t="s">
        <v>1296</v>
      </c>
      <c r="E98" s="199" t="s">
        <v>1791</v>
      </c>
      <c r="F98" s="199" t="s">
        <v>1485</v>
      </c>
      <c r="G98" s="199" t="s">
        <v>1228</v>
      </c>
      <c r="H98" s="200">
        <v>1712</v>
      </c>
      <c r="I98" s="201" t="s">
        <v>147</v>
      </c>
      <c r="J98" s="165">
        <v>1</v>
      </c>
      <c r="K98" s="202">
        <f t="shared" si="153"/>
        <v>1</v>
      </c>
      <c r="L98" s="202">
        <f t="shared" si="162"/>
        <v>1</v>
      </c>
      <c r="M98" s="203">
        <v>86</v>
      </c>
      <c r="N98" s="203">
        <f t="shared" si="163"/>
        <v>86</v>
      </c>
      <c r="O98" s="203" t="s">
        <v>137</v>
      </c>
      <c r="P98" s="203" t="s">
        <v>13</v>
      </c>
      <c r="Q98" s="203" t="s">
        <v>154</v>
      </c>
      <c r="R98" s="203"/>
      <c r="S98" s="203"/>
      <c r="T98" s="203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203">
        <f t="shared" ca="1" si="164"/>
        <v>0</v>
      </c>
      <c r="V98" s="203">
        <f t="shared" ca="1" si="165"/>
        <v>1</v>
      </c>
      <c r="W98" s="203"/>
      <c r="X98" s="203"/>
      <c r="Y98" s="203"/>
      <c r="Z98" s="203"/>
      <c r="AA98" s="203"/>
      <c r="AB98" s="203"/>
      <c r="AC98" s="205" t="s">
        <v>196</v>
      </c>
      <c r="AD98" s="206" t="s">
        <v>2039</v>
      </c>
      <c r="AE98" s="166"/>
      <c r="AF98" s="203" t="str">
        <f t="shared" si="154"/>
        <v>AMC2-S1</v>
      </c>
      <c r="AG98" s="203">
        <f t="shared" si="155"/>
        <v>1</v>
      </c>
      <c r="AH98" s="203">
        <f t="shared" si="166"/>
        <v>1</v>
      </c>
      <c r="AI98" s="203">
        <f t="shared" ca="1" si="167"/>
        <v>1</v>
      </c>
      <c r="AJ98" s="203">
        <f t="shared" ca="1" si="168"/>
        <v>0</v>
      </c>
      <c r="AK98" s="203" t="str">
        <f t="shared" si="156"/>
        <v>N/A</v>
      </c>
      <c r="AL98" s="203">
        <f t="shared" si="157"/>
        <v>0</v>
      </c>
      <c r="AM98" s="203">
        <f t="shared" si="169"/>
        <v>0</v>
      </c>
      <c r="AN98" s="203">
        <f t="shared" ca="1" si="170"/>
        <v>0</v>
      </c>
      <c r="AO98" s="203">
        <f t="shared" ca="1" si="171"/>
        <v>0</v>
      </c>
      <c r="AP98" s="203" t="str">
        <f t="shared" si="158"/>
        <v>N/A</v>
      </c>
      <c r="AQ98" s="203">
        <f t="shared" si="159"/>
        <v>0</v>
      </c>
      <c r="AR98" s="203">
        <f t="shared" si="172"/>
        <v>0</v>
      </c>
      <c r="AS98" s="203">
        <f t="shared" ca="1" si="173"/>
        <v>0</v>
      </c>
      <c r="AT98" s="203">
        <f t="shared" ca="1" si="174"/>
        <v>0</v>
      </c>
      <c r="AU98" s="203" t="str">
        <f t="shared" si="160"/>
        <v>N/A</v>
      </c>
      <c r="AV98" s="203">
        <f t="shared" si="161"/>
        <v>0</v>
      </c>
      <c r="AW98" s="203">
        <f t="shared" si="175"/>
        <v>0</v>
      </c>
      <c r="AX98" s="203">
        <f t="shared" ca="1" si="176"/>
        <v>0</v>
      </c>
      <c r="AY98" s="203">
        <f t="shared" ca="1" si="177"/>
        <v>0</v>
      </c>
      <c r="AZ98" s="203"/>
      <c r="BA98" s="204" t="s">
        <v>141</v>
      </c>
      <c r="BB98" s="204" t="s">
        <v>140</v>
      </c>
      <c r="BC98" s="204" t="s">
        <v>140</v>
      </c>
      <c r="BD98" s="204" t="s">
        <v>140</v>
      </c>
      <c r="BE98" s="166"/>
      <c r="BF98" s="203" t="s">
        <v>1789</v>
      </c>
      <c r="BG98" s="141"/>
      <c r="BH98" s="152"/>
      <c r="BI98" s="207"/>
      <c r="BJ98" s="207"/>
      <c r="BK98" s="207"/>
      <c r="BL98" s="153" t="s">
        <v>1932</v>
      </c>
      <c r="BM98" s="153"/>
      <c r="BN98" s="153"/>
      <c r="BO98" s="153"/>
      <c r="BP98" s="153"/>
      <c r="BQ98" s="153"/>
      <c r="BR98" s="141">
        <v>0</v>
      </c>
      <c r="BS98" s="141">
        <v>1</v>
      </c>
      <c r="BT98" s="141">
        <v>0</v>
      </c>
      <c r="BU98" s="141">
        <v>0</v>
      </c>
      <c r="BV98" s="141">
        <v>0</v>
      </c>
      <c r="BW98" s="141">
        <v>0</v>
      </c>
      <c r="BX98" s="141">
        <v>0</v>
      </c>
      <c r="BY98" s="141" t="s">
        <v>1790</v>
      </c>
      <c r="BZ98" s="141" t="s">
        <v>1063</v>
      </c>
      <c r="CA98" s="141">
        <v>1</v>
      </c>
      <c r="CB98" s="153">
        <v>46206</v>
      </c>
      <c r="CC98" s="152"/>
      <c r="CD98" s="141"/>
      <c r="CE98" s="208"/>
      <c r="CF98" s="166">
        <f t="shared" si="178"/>
        <v>0</v>
      </c>
    </row>
    <row r="99" spans="1:84" ht="17.25" hidden="1" customHeight="1">
      <c r="A99" s="117"/>
      <c r="B99" s="209" t="s">
        <v>2046</v>
      </c>
      <c r="C99" s="209" t="s">
        <v>2178</v>
      </c>
      <c r="D99" s="209" t="s">
        <v>1296</v>
      </c>
      <c r="E99" s="209" t="s">
        <v>1792</v>
      </c>
      <c r="F99" s="209" t="s">
        <v>1486</v>
      </c>
      <c r="G99" s="209" t="s">
        <v>1487</v>
      </c>
      <c r="H99" s="210">
        <v>1805</v>
      </c>
      <c r="I99" s="211" t="s">
        <v>147</v>
      </c>
      <c r="J99" s="144">
        <v>2</v>
      </c>
      <c r="K99" s="145">
        <f t="shared" si="153"/>
        <v>1</v>
      </c>
      <c r="L99" s="202">
        <f t="shared" si="162"/>
        <v>2</v>
      </c>
      <c r="M99" s="212">
        <v>54.9</v>
      </c>
      <c r="N99" s="203">
        <f t="shared" si="163"/>
        <v>109.8</v>
      </c>
      <c r="O99" s="212" t="s">
        <v>137</v>
      </c>
      <c r="P99" s="212" t="s">
        <v>13</v>
      </c>
      <c r="Q99" s="212" t="s">
        <v>148</v>
      </c>
      <c r="R99" s="212"/>
      <c r="S99" s="212"/>
      <c r="T99" s="203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2</v>
      </c>
      <c r="U99" s="203">
        <f t="shared" ca="1" si="164"/>
        <v>0</v>
      </c>
      <c r="V99" s="203">
        <f t="shared" ca="1" si="165"/>
        <v>1</v>
      </c>
      <c r="W99" s="212"/>
      <c r="X99" s="212"/>
      <c r="Y99" s="212"/>
      <c r="Z99" s="212"/>
      <c r="AA99" s="212"/>
      <c r="AB99" s="212"/>
      <c r="AC99" s="214" t="s">
        <v>196</v>
      </c>
      <c r="AD99" s="215" t="s">
        <v>2039</v>
      </c>
      <c r="AE99" s="148"/>
      <c r="AF99" s="212" t="str">
        <f t="shared" si="154"/>
        <v>AMC2-S1</v>
      </c>
      <c r="AG99" s="212">
        <f t="shared" si="155"/>
        <v>1</v>
      </c>
      <c r="AH99" s="203">
        <f t="shared" si="166"/>
        <v>2</v>
      </c>
      <c r="AI99" s="203">
        <f t="shared" ca="1" si="167"/>
        <v>2</v>
      </c>
      <c r="AJ99" s="203">
        <f t="shared" ca="1" si="168"/>
        <v>0</v>
      </c>
      <c r="AK99" s="212" t="str">
        <f t="shared" si="156"/>
        <v>N/A</v>
      </c>
      <c r="AL99" s="212">
        <f t="shared" si="157"/>
        <v>0</v>
      </c>
      <c r="AM99" s="203">
        <f t="shared" si="169"/>
        <v>0</v>
      </c>
      <c r="AN99" s="203">
        <f t="shared" ca="1" si="170"/>
        <v>0</v>
      </c>
      <c r="AO99" s="203">
        <f t="shared" ca="1" si="171"/>
        <v>0</v>
      </c>
      <c r="AP99" s="212" t="str">
        <f t="shared" si="158"/>
        <v>N/A</v>
      </c>
      <c r="AQ99" s="212">
        <f t="shared" si="159"/>
        <v>0</v>
      </c>
      <c r="AR99" s="203">
        <f t="shared" si="172"/>
        <v>0</v>
      </c>
      <c r="AS99" s="203">
        <f t="shared" ca="1" si="173"/>
        <v>0</v>
      </c>
      <c r="AT99" s="203">
        <f t="shared" ca="1" si="174"/>
        <v>0</v>
      </c>
      <c r="AU99" s="212" t="str">
        <f t="shared" si="160"/>
        <v>N/A</v>
      </c>
      <c r="AV99" s="212">
        <f t="shared" si="161"/>
        <v>0</v>
      </c>
      <c r="AW99" s="203">
        <f t="shared" si="175"/>
        <v>0</v>
      </c>
      <c r="AX99" s="203">
        <f t="shared" ca="1" si="176"/>
        <v>0</v>
      </c>
      <c r="AY99" s="203">
        <f t="shared" ca="1" si="177"/>
        <v>0</v>
      </c>
      <c r="AZ99" s="212"/>
      <c r="BA99" s="213" t="s">
        <v>141</v>
      </c>
      <c r="BB99" s="213" t="s">
        <v>140</v>
      </c>
      <c r="BC99" s="213" t="s">
        <v>140</v>
      </c>
      <c r="BD99" s="213" t="s">
        <v>140</v>
      </c>
      <c r="BE99" s="148"/>
      <c r="BF99" s="212" t="s">
        <v>1789</v>
      </c>
      <c r="BG99" s="117"/>
      <c r="BH99" s="155"/>
      <c r="BI99" s="216"/>
      <c r="BJ99" s="216"/>
      <c r="BK99" s="216"/>
      <c r="BL99" s="149"/>
      <c r="BM99" s="149"/>
      <c r="BN99" s="149"/>
      <c r="BO99" s="149"/>
      <c r="BP99" s="149"/>
      <c r="BQ99" s="149"/>
      <c r="BR99" s="117">
        <v>0</v>
      </c>
      <c r="BS99" s="117">
        <v>0</v>
      </c>
      <c r="BT99" s="117">
        <v>0</v>
      </c>
      <c r="BU99" s="117">
        <v>0</v>
      </c>
      <c r="BV99" s="117">
        <v>0</v>
      </c>
      <c r="BW99" s="117">
        <v>0</v>
      </c>
      <c r="BX99" s="117">
        <v>0</v>
      </c>
      <c r="BY99" s="117" t="s">
        <v>1790</v>
      </c>
      <c r="BZ99" s="117" t="s">
        <v>1307</v>
      </c>
      <c r="CA99" s="117">
        <v>2</v>
      </c>
      <c r="CB99" s="234">
        <v>46242</v>
      </c>
      <c r="CC99" s="155"/>
      <c r="CD99" s="117"/>
      <c r="CE99" s="217"/>
      <c r="CF99" s="148">
        <f t="shared" si="178"/>
        <v>0</v>
      </c>
    </row>
    <row r="100" spans="1:84" ht="17.25" hidden="1" customHeight="1">
      <c r="A100" s="117"/>
      <c r="B100" s="209" t="s">
        <v>2046</v>
      </c>
      <c r="C100" s="209" t="s">
        <v>2178</v>
      </c>
      <c r="D100" s="209" t="s">
        <v>1296</v>
      </c>
      <c r="E100" s="209" t="s">
        <v>1793</v>
      </c>
      <c r="F100" s="209" t="s">
        <v>1488</v>
      </c>
      <c r="G100" s="209" t="s">
        <v>1489</v>
      </c>
      <c r="H100" s="210">
        <v>200</v>
      </c>
      <c r="I100" s="211" t="s">
        <v>147</v>
      </c>
      <c r="J100" s="144">
        <v>3</v>
      </c>
      <c r="K100" s="145">
        <f t="shared" si="153"/>
        <v>1</v>
      </c>
      <c r="L100" s="202">
        <f t="shared" si="162"/>
        <v>3</v>
      </c>
      <c r="M100" s="212">
        <v>8</v>
      </c>
      <c r="N100" s="203">
        <f t="shared" si="163"/>
        <v>24</v>
      </c>
      <c r="O100" s="212" t="s">
        <v>137</v>
      </c>
      <c r="P100" s="212" t="s">
        <v>13</v>
      </c>
      <c r="Q100" s="212" t="s">
        <v>148</v>
      </c>
      <c r="R100" s="212"/>
      <c r="S100" s="212"/>
      <c r="T100" s="203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3</v>
      </c>
      <c r="U100" s="203">
        <f t="shared" ca="1" si="164"/>
        <v>0</v>
      </c>
      <c r="V100" s="203">
        <f t="shared" ca="1" si="165"/>
        <v>1</v>
      </c>
      <c r="W100" s="212"/>
      <c r="X100" s="212"/>
      <c r="Y100" s="212"/>
      <c r="Z100" s="212"/>
      <c r="AA100" s="212"/>
      <c r="AB100" s="212"/>
      <c r="AC100" s="214" t="s">
        <v>196</v>
      </c>
      <c r="AD100" s="215" t="s">
        <v>2039</v>
      </c>
      <c r="AE100" s="148"/>
      <c r="AF100" s="212" t="str">
        <f t="shared" si="154"/>
        <v>AMC2-S1</v>
      </c>
      <c r="AG100" s="212">
        <f t="shared" si="155"/>
        <v>1</v>
      </c>
      <c r="AH100" s="203">
        <f t="shared" si="166"/>
        <v>3</v>
      </c>
      <c r="AI100" s="203">
        <f t="shared" ca="1" si="167"/>
        <v>3</v>
      </c>
      <c r="AJ100" s="203">
        <f t="shared" ca="1" si="168"/>
        <v>0</v>
      </c>
      <c r="AK100" s="212" t="str">
        <f t="shared" si="156"/>
        <v>N/A</v>
      </c>
      <c r="AL100" s="212">
        <f t="shared" si="157"/>
        <v>0</v>
      </c>
      <c r="AM100" s="203">
        <f t="shared" si="169"/>
        <v>0</v>
      </c>
      <c r="AN100" s="203">
        <f t="shared" ca="1" si="170"/>
        <v>0</v>
      </c>
      <c r="AO100" s="203">
        <f t="shared" ca="1" si="171"/>
        <v>0</v>
      </c>
      <c r="AP100" s="212" t="str">
        <f t="shared" si="158"/>
        <v>N/A</v>
      </c>
      <c r="AQ100" s="212">
        <f t="shared" si="159"/>
        <v>0</v>
      </c>
      <c r="AR100" s="203">
        <f t="shared" si="172"/>
        <v>0</v>
      </c>
      <c r="AS100" s="203">
        <f t="shared" ca="1" si="173"/>
        <v>0</v>
      </c>
      <c r="AT100" s="203">
        <f t="shared" ca="1" si="174"/>
        <v>0</v>
      </c>
      <c r="AU100" s="212" t="str">
        <f t="shared" si="160"/>
        <v>N/A</v>
      </c>
      <c r="AV100" s="212">
        <f t="shared" si="161"/>
        <v>0</v>
      </c>
      <c r="AW100" s="203">
        <f t="shared" si="175"/>
        <v>0</v>
      </c>
      <c r="AX100" s="203">
        <f t="shared" ca="1" si="176"/>
        <v>0</v>
      </c>
      <c r="AY100" s="203">
        <f t="shared" ca="1" si="177"/>
        <v>0</v>
      </c>
      <c r="AZ100" s="212"/>
      <c r="BA100" s="213" t="s">
        <v>141</v>
      </c>
      <c r="BB100" s="213" t="s">
        <v>140</v>
      </c>
      <c r="BC100" s="213" t="s">
        <v>140</v>
      </c>
      <c r="BD100" s="213" t="s">
        <v>140</v>
      </c>
      <c r="BE100" s="148"/>
      <c r="BF100" s="212" t="s">
        <v>1789</v>
      </c>
      <c r="BG100" s="117"/>
      <c r="BH100" s="155"/>
      <c r="BI100" s="216"/>
      <c r="BJ100" s="216"/>
      <c r="BK100" s="216"/>
      <c r="BL100" s="149"/>
      <c r="BM100" s="149"/>
      <c r="BN100" s="149"/>
      <c r="BO100" s="149"/>
      <c r="BP100" s="149"/>
      <c r="BQ100" s="149"/>
      <c r="BR100" s="117">
        <v>0</v>
      </c>
      <c r="BS100" s="117">
        <v>0</v>
      </c>
      <c r="BT100" s="117">
        <v>0</v>
      </c>
      <c r="BU100" s="117">
        <v>0</v>
      </c>
      <c r="BV100" s="117">
        <v>0</v>
      </c>
      <c r="BW100" s="117">
        <v>0</v>
      </c>
      <c r="BX100" s="117">
        <v>0</v>
      </c>
      <c r="BY100" s="117" t="s">
        <v>1790</v>
      </c>
      <c r="BZ100" s="117" t="s">
        <v>1307</v>
      </c>
      <c r="CA100" s="117">
        <v>3</v>
      </c>
      <c r="CB100" s="234">
        <v>46242</v>
      </c>
      <c r="CC100" s="155"/>
      <c r="CD100" s="117"/>
      <c r="CE100" s="217"/>
      <c r="CF100" s="148">
        <f t="shared" si="178"/>
        <v>0</v>
      </c>
    </row>
    <row r="101" spans="1:84" ht="17.25" hidden="1" customHeight="1">
      <c r="A101" s="117"/>
      <c r="B101" s="209" t="s">
        <v>2046</v>
      </c>
      <c r="C101" s="209" t="s">
        <v>2178</v>
      </c>
      <c r="D101" s="209" t="s">
        <v>1296</v>
      </c>
      <c r="E101" s="209" t="s">
        <v>1957</v>
      </c>
      <c r="F101" s="209" t="s">
        <v>1490</v>
      </c>
      <c r="G101" s="209" t="s">
        <v>1489</v>
      </c>
      <c r="H101" s="210">
        <v>200</v>
      </c>
      <c r="I101" s="211" t="s">
        <v>147</v>
      </c>
      <c r="J101" s="144">
        <v>1</v>
      </c>
      <c r="K101" s="145">
        <f t="shared" si="153"/>
        <v>1</v>
      </c>
      <c r="L101" s="202">
        <f t="shared" si="162"/>
        <v>1</v>
      </c>
      <c r="M101" s="212">
        <v>8</v>
      </c>
      <c r="N101" s="203">
        <f t="shared" si="163"/>
        <v>8</v>
      </c>
      <c r="O101" s="212" t="s">
        <v>137</v>
      </c>
      <c r="P101" s="212" t="s">
        <v>13</v>
      </c>
      <c r="Q101" s="212" t="s">
        <v>148</v>
      </c>
      <c r="R101" s="212"/>
      <c r="S101" s="212"/>
      <c r="T101" s="203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1</v>
      </c>
      <c r="U101" s="203">
        <f t="shared" ca="1" si="164"/>
        <v>0</v>
      </c>
      <c r="V101" s="203">
        <f t="shared" ca="1" si="165"/>
        <v>1</v>
      </c>
      <c r="W101" s="212"/>
      <c r="X101" s="212"/>
      <c r="Y101" s="212"/>
      <c r="Z101" s="212"/>
      <c r="AA101" s="212"/>
      <c r="AB101" s="212"/>
      <c r="AC101" s="214" t="s">
        <v>196</v>
      </c>
      <c r="AD101" s="215" t="s">
        <v>2039</v>
      </c>
      <c r="AE101" s="148"/>
      <c r="AF101" s="212" t="str">
        <f t="shared" si="154"/>
        <v>AMC2-S1</v>
      </c>
      <c r="AG101" s="212">
        <f t="shared" si="155"/>
        <v>1</v>
      </c>
      <c r="AH101" s="203">
        <f t="shared" si="166"/>
        <v>1</v>
      </c>
      <c r="AI101" s="203">
        <f t="shared" ca="1" si="167"/>
        <v>1</v>
      </c>
      <c r="AJ101" s="203">
        <f t="shared" ca="1" si="168"/>
        <v>0</v>
      </c>
      <c r="AK101" s="212" t="str">
        <f t="shared" si="156"/>
        <v>N/A</v>
      </c>
      <c r="AL101" s="212">
        <f t="shared" si="157"/>
        <v>0</v>
      </c>
      <c r="AM101" s="203">
        <f t="shared" si="169"/>
        <v>0</v>
      </c>
      <c r="AN101" s="203">
        <f t="shared" ca="1" si="170"/>
        <v>0</v>
      </c>
      <c r="AO101" s="203">
        <f t="shared" ca="1" si="171"/>
        <v>0</v>
      </c>
      <c r="AP101" s="212" t="str">
        <f t="shared" si="158"/>
        <v>N/A</v>
      </c>
      <c r="AQ101" s="212">
        <f t="shared" si="159"/>
        <v>0</v>
      </c>
      <c r="AR101" s="203">
        <f t="shared" si="172"/>
        <v>0</v>
      </c>
      <c r="AS101" s="203">
        <f t="shared" ca="1" si="173"/>
        <v>0</v>
      </c>
      <c r="AT101" s="203">
        <f t="shared" ca="1" si="174"/>
        <v>0</v>
      </c>
      <c r="AU101" s="212" t="str">
        <f t="shared" si="160"/>
        <v>N/A</v>
      </c>
      <c r="AV101" s="212">
        <f t="shared" si="161"/>
        <v>0</v>
      </c>
      <c r="AW101" s="203">
        <f t="shared" si="175"/>
        <v>0</v>
      </c>
      <c r="AX101" s="203">
        <f t="shared" ca="1" si="176"/>
        <v>0</v>
      </c>
      <c r="AY101" s="203">
        <f t="shared" ca="1" si="177"/>
        <v>0</v>
      </c>
      <c r="AZ101" s="212"/>
      <c r="BA101" s="213" t="s">
        <v>141</v>
      </c>
      <c r="BB101" s="213" t="s">
        <v>140</v>
      </c>
      <c r="BC101" s="213" t="s">
        <v>140</v>
      </c>
      <c r="BD101" s="213" t="s">
        <v>140</v>
      </c>
      <c r="BE101" s="148"/>
      <c r="BF101" s="212" t="s">
        <v>1789</v>
      </c>
      <c r="BG101" s="117"/>
      <c r="BH101" s="155"/>
      <c r="BI101" s="216"/>
      <c r="BJ101" s="216"/>
      <c r="BK101" s="216"/>
      <c r="BL101" s="149"/>
      <c r="BM101" s="149"/>
      <c r="BN101" s="149"/>
      <c r="BO101" s="149"/>
      <c r="BP101" s="149"/>
      <c r="BQ101" s="149"/>
      <c r="BR101" s="117">
        <v>0</v>
      </c>
      <c r="BS101" s="117">
        <v>0</v>
      </c>
      <c r="BT101" s="117">
        <v>0</v>
      </c>
      <c r="BU101" s="117">
        <v>0</v>
      </c>
      <c r="BV101" s="117">
        <v>0</v>
      </c>
      <c r="BW101" s="117">
        <v>0</v>
      </c>
      <c r="BX101" s="117">
        <v>0</v>
      </c>
      <c r="BY101" s="117" t="s">
        <v>1790</v>
      </c>
      <c r="BZ101" s="117" t="s">
        <v>1307</v>
      </c>
      <c r="CA101" s="117">
        <v>1</v>
      </c>
      <c r="CB101" s="234">
        <v>46242</v>
      </c>
      <c r="CC101" s="155"/>
      <c r="CD101" s="117"/>
      <c r="CE101" s="217"/>
      <c r="CF101" s="148">
        <f t="shared" si="178"/>
        <v>0</v>
      </c>
    </row>
    <row r="102" spans="1:84" ht="17.25" hidden="1" customHeight="1">
      <c r="A102" s="117"/>
      <c r="B102" s="209" t="s">
        <v>2046</v>
      </c>
      <c r="C102" s="209" t="s">
        <v>2178</v>
      </c>
      <c r="D102" s="209" t="s">
        <v>1296</v>
      </c>
      <c r="E102" s="209" t="s">
        <v>1794</v>
      </c>
      <c r="F102" s="209" t="s">
        <v>1491</v>
      </c>
      <c r="G102" s="209" t="s">
        <v>1199</v>
      </c>
      <c r="H102" s="210">
        <v>640</v>
      </c>
      <c r="I102" s="211" t="s">
        <v>147</v>
      </c>
      <c r="J102" s="144">
        <v>1</v>
      </c>
      <c r="K102" s="145">
        <f t="shared" si="153"/>
        <v>1</v>
      </c>
      <c r="L102" s="202">
        <f t="shared" si="162"/>
        <v>1</v>
      </c>
      <c r="M102" s="212">
        <v>36.200000000000003</v>
      </c>
      <c r="N102" s="203">
        <f t="shared" si="163"/>
        <v>36.200000000000003</v>
      </c>
      <c r="O102" s="212" t="s">
        <v>137</v>
      </c>
      <c r="P102" s="212" t="s">
        <v>13</v>
      </c>
      <c r="Q102" s="212" t="s">
        <v>148</v>
      </c>
      <c r="R102" s="212"/>
      <c r="S102" s="212"/>
      <c r="T102" s="203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203">
        <f t="shared" ca="1" si="164"/>
        <v>0</v>
      </c>
      <c r="V102" s="203">
        <f t="shared" ca="1" si="165"/>
        <v>1</v>
      </c>
      <c r="W102" s="212"/>
      <c r="X102" s="212"/>
      <c r="Y102" s="212"/>
      <c r="Z102" s="212"/>
      <c r="AA102" s="212"/>
      <c r="AB102" s="212"/>
      <c r="AC102" s="214" t="s">
        <v>196</v>
      </c>
      <c r="AD102" s="215" t="s">
        <v>2039</v>
      </c>
      <c r="AE102" s="148"/>
      <c r="AF102" s="212" t="str">
        <f t="shared" si="154"/>
        <v>AMC2-S1</v>
      </c>
      <c r="AG102" s="212">
        <f t="shared" si="155"/>
        <v>1</v>
      </c>
      <c r="AH102" s="203">
        <f t="shared" si="166"/>
        <v>1</v>
      </c>
      <c r="AI102" s="203">
        <f t="shared" ca="1" si="167"/>
        <v>1</v>
      </c>
      <c r="AJ102" s="203">
        <f t="shared" ca="1" si="168"/>
        <v>0</v>
      </c>
      <c r="AK102" s="212" t="str">
        <f t="shared" si="156"/>
        <v>N/A</v>
      </c>
      <c r="AL102" s="212">
        <f t="shared" si="157"/>
        <v>0</v>
      </c>
      <c r="AM102" s="203">
        <f t="shared" si="169"/>
        <v>0</v>
      </c>
      <c r="AN102" s="203">
        <f t="shared" ca="1" si="170"/>
        <v>0</v>
      </c>
      <c r="AO102" s="203">
        <f t="shared" ca="1" si="171"/>
        <v>0</v>
      </c>
      <c r="AP102" s="212" t="str">
        <f t="shared" si="158"/>
        <v>N/A</v>
      </c>
      <c r="AQ102" s="212">
        <f t="shared" si="159"/>
        <v>0</v>
      </c>
      <c r="AR102" s="203">
        <f t="shared" si="172"/>
        <v>0</v>
      </c>
      <c r="AS102" s="203">
        <f t="shared" ca="1" si="173"/>
        <v>0</v>
      </c>
      <c r="AT102" s="203">
        <f t="shared" ca="1" si="174"/>
        <v>0</v>
      </c>
      <c r="AU102" s="212" t="str">
        <f t="shared" si="160"/>
        <v>N/A</v>
      </c>
      <c r="AV102" s="212">
        <f t="shared" si="161"/>
        <v>0</v>
      </c>
      <c r="AW102" s="203">
        <f t="shared" si="175"/>
        <v>0</v>
      </c>
      <c r="AX102" s="203">
        <f t="shared" ca="1" si="176"/>
        <v>0</v>
      </c>
      <c r="AY102" s="203">
        <f t="shared" ca="1" si="177"/>
        <v>0</v>
      </c>
      <c r="AZ102" s="212"/>
      <c r="BA102" s="213" t="s">
        <v>141</v>
      </c>
      <c r="BB102" s="213" t="s">
        <v>140</v>
      </c>
      <c r="BC102" s="213" t="s">
        <v>140</v>
      </c>
      <c r="BD102" s="213" t="s">
        <v>140</v>
      </c>
      <c r="BE102" s="148"/>
      <c r="BF102" s="212" t="s">
        <v>1789</v>
      </c>
      <c r="BG102" s="117"/>
      <c r="BH102" s="155"/>
      <c r="BI102" s="216"/>
      <c r="BJ102" s="216"/>
      <c r="BK102" s="216"/>
      <c r="BL102" s="149"/>
      <c r="BM102" s="149"/>
      <c r="BN102" s="149"/>
      <c r="BO102" s="149"/>
      <c r="BP102" s="149"/>
      <c r="BQ102" s="149"/>
      <c r="BR102" s="117">
        <v>1</v>
      </c>
      <c r="BS102" s="117">
        <v>0</v>
      </c>
      <c r="BT102" s="117">
        <v>0</v>
      </c>
      <c r="BU102" s="117">
        <v>0</v>
      </c>
      <c r="BV102" s="117">
        <v>0</v>
      </c>
      <c r="BW102" s="117">
        <v>0</v>
      </c>
      <c r="BX102" s="117">
        <v>0</v>
      </c>
      <c r="BY102" s="117" t="s">
        <v>1790</v>
      </c>
      <c r="BZ102" s="117" t="s">
        <v>1060</v>
      </c>
      <c r="CA102" s="117">
        <v>1</v>
      </c>
      <c r="CB102" s="149">
        <v>46186</v>
      </c>
      <c r="CC102" s="155"/>
      <c r="CD102" s="155"/>
      <c r="CE102" s="217"/>
      <c r="CF102" s="148">
        <f t="shared" si="178"/>
        <v>0</v>
      </c>
    </row>
    <row r="103" spans="1:84" ht="17.25" hidden="1" customHeight="1">
      <c r="A103" s="117"/>
      <c r="B103" s="209" t="s">
        <v>2046</v>
      </c>
      <c r="C103" s="209" t="s">
        <v>2178</v>
      </c>
      <c r="D103" s="209" t="s">
        <v>1296</v>
      </c>
      <c r="E103" s="209" t="s">
        <v>1795</v>
      </c>
      <c r="F103" s="209" t="s">
        <v>1492</v>
      </c>
      <c r="G103" s="209" t="s">
        <v>1493</v>
      </c>
      <c r="H103" s="210">
        <v>1768</v>
      </c>
      <c r="I103" s="211" t="s">
        <v>147</v>
      </c>
      <c r="J103" s="144">
        <v>1</v>
      </c>
      <c r="K103" s="145">
        <f t="shared" si="153"/>
        <v>1</v>
      </c>
      <c r="L103" s="202">
        <f t="shared" si="162"/>
        <v>1</v>
      </c>
      <c r="M103" s="212">
        <v>20.3</v>
      </c>
      <c r="N103" s="203">
        <f t="shared" si="163"/>
        <v>20.3</v>
      </c>
      <c r="O103" s="212" t="s">
        <v>137</v>
      </c>
      <c r="P103" s="212" t="s">
        <v>13</v>
      </c>
      <c r="Q103" s="212" t="s">
        <v>148</v>
      </c>
      <c r="R103" s="212"/>
      <c r="S103" s="212"/>
      <c r="T103" s="203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203">
        <f t="shared" ca="1" si="164"/>
        <v>0</v>
      </c>
      <c r="V103" s="203">
        <f t="shared" ca="1" si="165"/>
        <v>1</v>
      </c>
      <c r="W103" s="212"/>
      <c r="X103" s="212"/>
      <c r="Y103" s="212"/>
      <c r="Z103" s="212"/>
      <c r="AA103" s="212"/>
      <c r="AB103" s="212"/>
      <c r="AC103" s="214" t="s">
        <v>196</v>
      </c>
      <c r="AD103" s="215" t="s">
        <v>2039</v>
      </c>
      <c r="AE103" s="148"/>
      <c r="AF103" s="212" t="str">
        <f t="shared" si="154"/>
        <v>AMC2-S1</v>
      </c>
      <c r="AG103" s="212">
        <f t="shared" si="155"/>
        <v>1</v>
      </c>
      <c r="AH103" s="203">
        <f t="shared" si="166"/>
        <v>1</v>
      </c>
      <c r="AI103" s="203">
        <f t="shared" ca="1" si="167"/>
        <v>1</v>
      </c>
      <c r="AJ103" s="203">
        <f t="shared" ca="1" si="168"/>
        <v>0</v>
      </c>
      <c r="AK103" s="212" t="str">
        <f t="shared" si="156"/>
        <v>N/A</v>
      </c>
      <c r="AL103" s="212">
        <f t="shared" si="157"/>
        <v>0</v>
      </c>
      <c r="AM103" s="203">
        <f t="shared" si="169"/>
        <v>0</v>
      </c>
      <c r="AN103" s="203">
        <f t="shared" ca="1" si="170"/>
        <v>0</v>
      </c>
      <c r="AO103" s="203">
        <f t="shared" ca="1" si="171"/>
        <v>0</v>
      </c>
      <c r="AP103" s="212" t="str">
        <f t="shared" si="158"/>
        <v>N/A</v>
      </c>
      <c r="AQ103" s="212">
        <f t="shared" si="159"/>
        <v>0</v>
      </c>
      <c r="AR103" s="203">
        <f t="shared" si="172"/>
        <v>0</v>
      </c>
      <c r="AS103" s="203">
        <f t="shared" ca="1" si="173"/>
        <v>0</v>
      </c>
      <c r="AT103" s="203">
        <f t="shared" ca="1" si="174"/>
        <v>0</v>
      </c>
      <c r="AU103" s="212" t="str">
        <f t="shared" si="160"/>
        <v>N/A</v>
      </c>
      <c r="AV103" s="212">
        <f t="shared" si="161"/>
        <v>0</v>
      </c>
      <c r="AW103" s="203">
        <f t="shared" si="175"/>
        <v>0</v>
      </c>
      <c r="AX103" s="203">
        <f t="shared" ca="1" si="176"/>
        <v>0</v>
      </c>
      <c r="AY103" s="203">
        <f t="shared" ca="1" si="177"/>
        <v>0</v>
      </c>
      <c r="AZ103" s="212"/>
      <c r="BA103" s="213" t="s">
        <v>141</v>
      </c>
      <c r="BB103" s="213" t="s">
        <v>140</v>
      </c>
      <c r="BC103" s="213" t="s">
        <v>140</v>
      </c>
      <c r="BD103" s="213" t="s">
        <v>140</v>
      </c>
      <c r="BE103" s="148"/>
      <c r="BF103" s="212" t="s">
        <v>1789</v>
      </c>
      <c r="BG103" s="117"/>
      <c r="BH103" s="155"/>
      <c r="BI103" s="216"/>
      <c r="BJ103" s="216"/>
      <c r="BK103" s="216"/>
      <c r="BL103" s="149"/>
      <c r="BM103" s="149"/>
      <c r="BN103" s="149"/>
      <c r="BO103" s="149"/>
      <c r="BP103" s="149"/>
      <c r="BQ103" s="149"/>
      <c r="BR103" s="117">
        <v>0</v>
      </c>
      <c r="BS103" s="117">
        <v>0</v>
      </c>
      <c r="BT103" s="117">
        <v>0</v>
      </c>
      <c r="BU103" s="117">
        <v>1</v>
      </c>
      <c r="BV103" s="117">
        <v>0</v>
      </c>
      <c r="BW103" s="117">
        <v>0</v>
      </c>
      <c r="BX103" s="117">
        <v>0</v>
      </c>
      <c r="BY103" s="117" t="s">
        <v>1790</v>
      </c>
      <c r="BZ103" s="117" t="s">
        <v>1063</v>
      </c>
      <c r="CA103" s="117">
        <v>1</v>
      </c>
      <c r="CB103" s="149">
        <v>46206</v>
      </c>
      <c r="CC103" s="155"/>
      <c r="CD103" s="117"/>
      <c r="CE103" s="217"/>
      <c r="CF103" s="148">
        <f t="shared" si="178"/>
        <v>0</v>
      </c>
    </row>
    <row r="104" spans="1:84" ht="17.25" hidden="1" customHeight="1">
      <c r="A104" s="141"/>
      <c r="B104" s="199" t="s">
        <v>2046</v>
      </c>
      <c r="C104" s="199" t="s">
        <v>2178</v>
      </c>
      <c r="D104" s="199" t="s">
        <v>1084</v>
      </c>
      <c r="E104" s="199" t="s">
        <v>1796</v>
      </c>
      <c r="F104" s="199" t="s">
        <v>1494</v>
      </c>
      <c r="G104" s="199" t="s">
        <v>1495</v>
      </c>
      <c r="H104" s="200">
        <v>2391</v>
      </c>
      <c r="I104" s="201" t="s">
        <v>147</v>
      </c>
      <c r="J104" s="165">
        <v>1</v>
      </c>
      <c r="K104" s="202">
        <f t="shared" si="153"/>
        <v>1</v>
      </c>
      <c r="L104" s="202">
        <f t="shared" si="162"/>
        <v>1</v>
      </c>
      <c r="M104" s="203">
        <v>254.7</v>
      </c>
      <c r="N104" s="203">
        <f t="shared" si="163"/>
        <v>254.7</v>
      </c>
      <c r="O104" s="203" t="s">
        <v>137</v>
      </c>
      <c r="P104" s="203" t="s">
        <v>13</v>
      </c>
      <c r="Q104" s="203" t="s">
        <v>154</v>
      </c>
      <c r="R104" s="203"/>
      <c r="S104" s="203"/>
      <c r="T104" s="203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</v>
      </c>
      <c r="U104" s="203">
        <f t="shared" ca="1" si="164"/>
        <v>0</v>
      </c>
      <c r="V104" s="203">
        <f t="shared" ca="1" si="165"/>
        <v>1</v>
      </c>
      <c r="W104" s="203"/>
      <c r="X104" s="203"/>
      <c r="Y104" s="203"/>
      <c r="Z104" s="203"/>
      <c r="AA104" s="203"/>
      <c r="AB104" s="203"/>
      <c r="AC104" s="205" t="s">
        <v>196</v>
      </c>
      <c r="AD104" s="206" t="s">
        <v>2039</v>
      </c>
      <c r="AE104" s="166"/>
      <c r="AF104" s="203" t="str">
        <f t="shared" si="154"/>
        <v>AMC2-S1</v>
      </c>
      <c r="AG104" s="203">
        <f t="shared" si="155"/>
        <v>1</v>
      </c>
      <c r="AH104" s="203">
        <f t="shared" si="166"/>
        <v>1</v>
      </c>
      <c r="AI104" s="203">
        <f t="shared" ca="1" si="167"/>
        <v>1</v>
      </c>
      <c r="AJ104" s="203">
        <f t="shared" ca="1" si="168"/>
        <v>0</v>
      </c>
      <c r="AK104" s="203" t="str">
        <f t="shared" si="156"/>
        <v>N/A</v>
      </c>
      <c r="AL104" s="203">
        <f t="shared" si="157"/>
        <v>0</v>
      </c>
      <c r="AM104" s="203">
        <f t="shared" si="169"/>
        <v>0</v>
      </c>
      <c r="AN104" s="203">
        <f t="shared" ca="1" si="170"/>
        <v>0</v>
      </c>
      <c r="AO104" s="203">
        <f t="shared" ca="1" si="171"/>
        <v>0</v>
      </c>
      <c r="AP104" s="203" t="str">
        <f t="shared" si="158"/>
        <v>N/A</v>
      </c>
      <c r="AQ104" s="203">
        <f t="shared" si="159"/>
        <v>0</v>
      </c>
      <c r="AR104" s="203">
        <f t="shared" si="172"/>
        <v>0</v>
      </c>
      <c r="AS104" s="203">
        <f t="shared" ca="1" si="173"/>
        <v>0</v>
      </c>
      <c r="AT104" s="203">
        <f t="shared" ca="1" si="174"/>
        <v>0</v>
      </c>
      <c r="AU104" s="203" t="str">
        <f t="shared" si="160"/>
        <v>N/A</v>
      </c>
      <c r="AV104" s="203">
        <f t="shared" si="161"/>
        <v>0</v>
      </c>
      <c r="AW104" s="203">
        <f t="shared" si="175"/>
        <v>0</v>
      </c>
      <c r="AX104" s="203">
        <f t="shared" ca="1" si="176"/>
        <v>0</v>
      </c>
      <c r="AY104" s="203">
        <f t="shared" ca="1" si="177"/>
        <v>0</v>
      </c>
      <c r="AZ104" s="203"/>
      <c r="BA104" s="204" t="s">
        <v>141</v>
      </c>
      <c r="BB104" s="204" t="s">
        <v>140</v>
      </c>
      <c r="BC104" s="204" t="s">
        <v>140</v>
      </c>
      <c r="BD104" s="204" t="s">
        <v>140</v>
      </c>
      <c r="BE104" s="166"/>
      <c r="BF104" s="203" t="s">
        <v>1789</v>
      </c>
      <c r="BG104" s="141"/>
      <c r="BH104" s="152"/>
      <c r="BI104" s="207"/>
      <c r="BJ104" s="207"/>
      <c r="BK104" s="207"/>
      <c r="BL104" s="153" t="s">
        <v>1932</v>
      </c>
      <c r="BM104" s="153"/>
      <c r="BN104" s="153"/>
      <c r="BO104" s="153"/>
      <c r="BP104" s="153"/>
      <c r="BQ104" s="153"/>
      <c r="BR104" s="141">
        <v>0</v>
      </c>
      <c r="BS104" s="141">
        <v>1</v>
      </c>
      <c r="BT104" s="141">
        <v>0</v>
      </c>
      <c r="BU104" s="141">
        <v>1</v>
      </c>
      <c r="BV104" s="141">
        <v>0</v>
      </c>
      <c r="BW104" s="141">
        <v>0</v>
      </c>
      <c r="BX104" s="141">
        <v>0</v>
      </c>
      <c r="BY104" s="141" t="s">
        <v>1790</v>
      </c>
      <c r="BZ104" s="141" t="s">
        <v>57</v>
      </c>
      <c r="CA104" s="141">
        <v>1</v>
      </c>
      <c r="CB104" s="153"/>
      <c r="CC104" s="152"/>
      <c r="CD104" s="152"/>
      <c r="CE104" s="208"/>
      <c r="CF104" s="166">
        <f t="shared" si="178"/>
        <v>0</v>
      </c>
    </row>
    <row r="105" spans="1:84" ht="17.25" hidden="1" customHeight="1">
      <c r="A105" s="117"/>
      <c r="B105" s="209" t="s">
        <v>2046</v>
      </c>
      <c r="C105" s="209" t="s">
        <v>2178</v>
      </c>
      <c r="D105" s="209" t="s">
        <v>1296</v>
      </c>
      <c r="E105" s="209" t="s">
        <v>1797</v>
      </c>
      <c r="F105" s="209" t="s">
        <v>1496</v>
      </c>
      <c r="G105" s="209" t="s">
        <v>1497</v>
      </c>
      <c r="H105" s="210">
        <v>852</v>
      </c>
      <c r="I105" s="211" t="s">
        <v>147</v>
      </c>
      <c r="J105" s="144">
        <v>1</v>
      </c>
      <c r="K105" s="145">
        <f t="shared" si="153"/>
        <v>1</v>
      </c>
      <c r="L105" s="202">
        <f t="shared" si="162"/>
        <v>1</v>
      </c>
      <c r="M105" s="212">
        <v>9.1999999999999993</v>
      </c>
      <c r="N105" s="203">
        <f t="shared" si="163"/>
        <v>9.1999999999999993</v>
      </c>
      <c r="O105" s="212" t="s">
        <v>137</v>
      </c>
      <c r="P105" s="212" t="s">
        <v>13</v>
      </c>
      <c r="Q105" s="212" t="s">
        <v>148</v>
      </c>
      <c r="R105" s="212"/>
      <c r="S105" s="212"/>
      <c r="T105" s="203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1</v>
      </c>
      <c r="U105" s="203">
        <f t="shared" ca="1" si="164"/>
        <v>0</v>
      </c>
      <c r="V105" s="203">
        <f t="shared" ca="1" si="165"/>
        <v>1</v>
      </c>
      <c r="W105" s="212"/>
      <c r="X105" s="212"/>
      <c r="Y105" s="212"/>
      <c r="Z105" s="212"/>
      <c r="AA105" s="212"/>
      <c r="AB105" s="212"/>
      <c r="AC105" s="214" t="s">
        <v>196</v>
      </c>
      <c r="AD105" s="215" t="s">
        <v>2039</v>
      </c>
      <c r="AE105" s="148"/>
      <c r="AF105" s="212" t="str">
        <f t="shared" si="154"/>
        <v>AMC2-S1</v>
      </c>
      <c r="AG105" s="212">
        <f t="shared" si="155"/>
        <v>1</v>
      </c>
      <c r="AH105" s="203">
        <f t="shared" si="166"/>
        <v>1</v>
      </c>
      <c r="AI105" s="203">
        <f t="shared" ca="1" si="167"/>
        <v>1</v>
      </c>
      <c r="AJ105" s="203">
        <f t="shared" ca="1" si="168"/>
        <v>0</v>
      </c>
      <c r="AK105" s="212" t="str">
        <f t="shared" si="156"/>
        <v>N/A</v>
      </c>
      <c r="AL105" s="212">
        <f t="shared" si="157"/>
        <v>0</v>
      </c>
      <c r="AM105" s="203">
        <f t="shared" si="169"/>
        <v>0</v>
      </c>
      <c r="AN105" s="203">
        <f t="shared" ca="1" si="170"/>
        <v>0</v>
      </c>
      <c r="AO105" s="203">
        <f t="shared" ca="1" si="171"/>
        <v>0</v>
      </c>
      <c r="AP105" s="212" t="str">
        <f t="shared" si="158"/>
        <v>N/A</v>
      </c>
      <c r="AQ105" s="212">
        <f t="shared" si="159"/>
        <v>0</v>
      </c>
      <c r="AR105" s="203">
        <f t="shared" si="172"/>
        <v>0</v>
      </c>
      <c r="AS105" s="203">
        <f t="shared" ca="1" si="173"/>
        <v>0</v>
      </c>
      <c r="AT105" s="203">
        <f t="shared" ca="1" si="174"/>
        <v>0</v>
      </c>
      <c r="AU105" s="212" t="str">
        <f t="shared" si="160"/>
        <v>N/A</v>
      </c>
      <c r="AV105" s="212">
        <f t="shared" si="161"/>
        <v>0</v>
      </c>
      <c r="AW105" s="203">
        <f t="shared" si="175"/>
        <v>0</v>
      </c>
      <c r="AX105" s="203">
        <f t="shared" ca="1" si="176"/>
        <v>0</v>
      </c>
      <c r="AY105" s="203">
        <f t="shared" ca="1" si="177"/>
        <v>0</v>
      </c>
      <c r="AZ105" s="212"/>
      <c r="BA105" s="213" t="s">
        <v>141</v>
      </c>
      <c r="BB105" s="213" t="s">
        <v>140</v>
      </c>
      <c r="BC105" s="213" t="s">
        <v>140</v>
      </c>
      <c r="BD105" s="213" t="s">
        <v>140</v>
      </c>
      <c r="BE105" s="148"/>
      <c r="BF105" s="212" t="s">
        <v>1789</v>
      </c>
      <c r="BG105" s="117"/>
      <c r="BH105" s="155"/>
      <c r="BI105" s="216"/>
      <c r="BJ105" s="216"/>
      <c r="BK105" s="216"/>
      <c r="BL105" s="149"/>
      <c r="BM105" s="149"/>
      <c r="BN105" s="149"/>
      <c r="BO105" s="149"/>
      <c r="BP105" s="149"/>
      <c r="BQ105" s="149"/>
      <c r="BR105" s="117">
        <v>0</v>
      </c>
      <c r="BS105" s="117">
        <v>0</v>
      </c>
      <c r="BT105" s="117">
        <v>0</v>
      </c>
      <c r="BU105" s="117">
        <v>0</v>
      </c>
      <c r="BV105" s="117">
        <v>0</v>
      </c>
      <c r="BW105" s="117">
        <v>0</v>
      </c>
      <c r="BX105" s="117">
        <v>0</v>
      </c>
      <c r="BY105" s="117" t="s">
        <v>1790</v>
      </c>
      <c r="BZ105" s="117" t="s">
        <v>1063</v>
      </c>
      <c r="CA105" s="117">
        <v>1</v>
      </c>
      <c r="CB105" s="149">
        <v>46206</v>
      </c>
      <c r="CC105" s="155"/>
      <c r="CD105" s="117"/>
      <c r="CE105" s="217"/>
      <c r="CF105" s="148">
        <f t="shared" si="178"/>
        <v>0</v>
      </c>
    </row>
    <row r="106" spans="1:84" ht="17.25" hidden="1" customHeight="1">
      <c r="A106" s="117"/>
      <c r="B106" s="209" t="s">
        <v>2046</v>
      </c>
      <c r="C106" s="209" t="s">
        <v>2178</v>
      </c>
      <c r="D106" s="209" t="s">
        <v>1076</v>
      </c>
      <c r="E106" s="209" t="s">
        <v>1798</v>
      </c>
      <c r="F106" s="209" t="s">
        <v>1498</v>
      </c>
      <c r="G106" s="209" t="s">
        <v>1157</v>
      </c>
      <c r="H106" s="210">
        <v>7104</v>
      </c>
      <c r="I106" s="211" t="s">
        <v>147</v>
      </c>
      <c r="J106" s="144">
        <v>2</v>
      </c>
      <c r="K106" s="145">
        <f t="shared" si="153"/>
        <v>1</v>
      </c>
      <c r="L106" s="202">
        <f t="shared" si="162"/>
        <v>2</v>
      </c>
      <c r="M106" s="212">
        <v>267.7</v>
      </c>
      <c r="N106" s="203">
        <f t="shared" si="163"/>
        <v>535.4</v>
      </c>
      <c r="O106" s="212" t="s">
        <v>137</v>
      </c>
      <c r="P106" s="212" t="s">
        <v>13</v>
      </c>
      <c r="Q106" s="212" t="s">
        <v>148</v>
      </c>
      <c r="R106" s="212"/>
      <c r="S106" s="212"/>
      <c r="T106" s="203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2</v>
      </c>
      <c r="U106" s="203">
        <f t="shared" ca="1" si="164"/>
        <v>0</v>
      </c>
      <c r="V106" s="203">
        <f t="shared" ca="1" si="165"/>
        <v>1</v>
      </c>
      <c r="W106" s="212"/>
      <c r="X106" s="212"/>
      <c r="Y106" s="212"/>
      <c r="Z106" s="212"/>
      <c r="AA106" s="212"/>
      <c r="AB106" s="212"/>
      <c r="AC106" s="214" t="s">
        <v>196</v>
      </c>
      <c r="AD106" s="215" t="s">
        <v>2039</v>
      </c>
      <c r="AE106" s="148"/>
      <c r="AF106" s="212" t="str">
        <f t="shared" si="154"/>
        <v>AMC2-S1</v>
      </c>
      <c r="AG106" s="212">
        <f t="shared" si="155"/>
        <v>1</v>
      </c>
      <c r="AH106" s="203">
        <f t="shared" si="166"/>
        <v>2</v>
      </c>
      <c r="AI106" s="203">
        <f t="shared" ca="1" si="167"/>
        <v>2</v>
      </c>
      <c r="AJ106" s="203">
        <f t="shared" ca="1" si="168"/>
        <v>0</v>
      </c>
      <c r="AK106" s="212" t="str">
        <f t="shared" si="156"/>
        <v>N/A</v>
      </c>
      <c r="AL106" s="212">
        <f t="shared" si="157"/>
        <v>0</v>
      </c>
      <c r="AM106" s="203">
        <f t="shared" si="169"/>
        <v>0</v>
      </c>
      <c r="AN106" s="203">
        <f t="shared" ca="1" si="170"/>
        <v>0</v>
      </c>
      <c r="AO106" s="203">
        <f t="shared" ca="1" si="171"/>
        <v>0</v>
      </c>
      <c r="AP106" s="212" t="str">
        <f t="shared" si="158"/>
        <v>N/A</v>
      </c>
      <c r="AQ106" s="212">
        <f t="shared" si="159"/>
        <v>0</v>
      </c>
      <c r="AR106" s="203">
        <f t="shared" si="172"/>
        <v>0</v>
      </c>
      <c r="AS106" s="203">
        <f t="shared" ca="1" si="173"/>
        <v>0</v>
      </c>
      <c r="AT106" s="203">
        <f t="shared" ca="1" si="174"/>
        <v>0</v>
      </c>
      <c r="AU106" s="212" t="str">
        <f t="shared" si="160"/>
        <v>N/A</v>
      </c>
      <c r="AV106" s="212">
        <f t="shared" si="161"/>
        <v>0</v>
      </c>
      <c r="AW106" s="203">
        <f t="shared" si="175"/>
        <v>0</v>
      </c>
      <c r="AX106" s="203">
        <f t="shared" ca="1" si="176"/>
        <v>0</v>
      </c>
      <c r="AY106" s="203">
        <f t="shared" ca="1" si="177"/>
        <v>0</v>
      </c>
      <c r="AZ106" s="212"/>
      <c r="BA106" s="213" t="s">
        <v>141</v>
      </c>
      <c r="BB106" s="213" t="s">
        <v>140</v>
      </c>
      <c r="BC106" s="213" t="s">
        <v>140</v>
      </c>
      <c r="BD106" s="213" t="s">
        <v>140</v>
      </c>
      <c r="BE106" s="148"/>
      <c r="BF106" s="212" t="s">
        <v>1789</v>
      </c>
      <c r="BG106" s="117"/>
      <c r="BH106" s="117"/>
      <c r="BI106" s="149"/>
      <c r="BJ106" s="149"/>
      <c r="BK106" s="149"/>
      <c r="BL106" s="149"/>
      <c r="BM106" s="149"/>
      <c r="BN106" s="149"/>
      <c r="BO106" s="149"/>
      <c r="BP106" s="149"/>
      <c r="BQ106" s="149"/>
      <c r="BR106" s="117">
        <v>0</v>
      </c>
      <c r="BS106" s="117">
        <v>0</v>
      </c>
      <c r="BT106" s="117">
        <v>0</v>
      </c>
      <c r="BU106" s="117">
        <v>0</v>
      </c>
      <c r="BV106" s="117">
        <v>0</v>
      </c>
      <c r="BW106" s="117">
        <v>0</v>
      </c>
      <c r="BX106" s="117">
        <v>0</v>
      </c>
      <c r="BY106" s="117" t="s">
        <v>1790</v>
      </c>
      <c r="BZ106" s="117" t="s">
        <v>1303</v>
      </c>
      <c r="CA106" s="117">
        <v>2</v>
      </c>
      <c r="CB106" s="149">
        <v>46206</v>
      </c>
      <c r="CC106" s="117"/>
      <c r="CD106" s="117"/>
      <c r="CE106" s="148"/>
      <c r="CF106" s="148">
        <f t="shared" si="178"/>
        <v>0</v>
      </c>
    </row>
    <row r="107" spans="1:84" ht="17.25" hidden="1" customHeight="1">
      <c r="A107" s="117"/>
      <c r="B107" s="209" t="s">
        <v>2046</v>
      </c>
      <c r="C107" s="209" t="s">
        <v>2178</v>
      </c>
      <c r="D107" s="209" t="s">
        <v>1084</v>
      </c>
      <c r="E107" s="209" t="s">
        <v>1799</v>
      </c>
      <c r="F107" s="209" t="s">
        <v>1478</v>
      </c>
      <c r="G107" s="209" t="s">
        <v>1479</v>
      </c>
      <c r="H107" s="210">
        <v>5089</v>
      </c>
      <c r="I107" s="211" t="s">
        <v>147</v>
      </c>
      <c r="J107" s="144">
        <v>1</v>
      </c>
      <c r="K107" s="145">
        <f t="shared" si="153"/>
        <v>1</v>
      </c>
      <c r="L107" s="202">
        <f t="shared" si="162"/>
        <v>1</v>
      </c>
      <c r="M107" s="212">
        <v>325.5</v>
      </c>
      <c r="N107" s="203">
        <f t="shared" si="163"/>
        <v>325.5</v>
      </c>
      <c r="O107" s="212" t="s">
        <v>137</v>
      </c>
      <c r="P107" s="212" t="s">
        <v>13</v>
      </c>
      <c r="Q107" s="212" t="s">
        <v>154</v>
      </c>
      <c r="R107" s="212"/>
      <c r="S107" s="212"/>
      <c r="T107" s="203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203">
        <f t="shared" ca="1" si="164"/>
        <v>0</v>
      </c>
      <c r="V107" s="203">
        <f t="shared" ca="1" si="165"/>
        <v>1</v>
      </c>
      <c r="W107" s="212"/>
      <c r="X107" s="212"/>
      <c r="Y107" s="212"/>
      <c r="Z107" s="212"/>
      <c r="AA107" s="212"/>
      <c r="AB107" s="212"/>
      <c r="AC107" s="214" t="s">
        <v>196</v>
      </c>
      <c r="AD107" s="215" t="s">
        <v>2039</v>
      </c>
      <c r="AE107" s="148"/>
      <c r="AF107" s="212" t="str">
        <f t="shared" si="154"/>
        <v>AMC2-S1</v>
      </c>
      <c r="AG107" s="212">
        <f t="shared" si="155"/>
        <v>1</v>
      </c>
      <c r="AH107" s="203">
        <f t="shared" si="166"/>
        <v>1</v>
      </c>
      <c r="AI107" s="203">
        <f t="shared" ca="1" si="167"/>
        <v>1</v>
      </c>
      <c r="AJ107" s="203">
        <f t="shared" ca="1" si="168"/>
        <v>0</v>
      </c>
      <c r="AK107" s="212" t="str">
        <f t="shared" si="156"/>
        <v>N/A</v>
      </c>
      <c r="AL107" s="212">
        <f t="shared" si="157"/>
        <v>0</v>
      </c>
      <c r="AM107" s="203">
        <f t="shared" si="169"/>
        <v>0</v>
      </c>
      <c r="AN107" s="203">
        <f t="shared" ca="1" si="170"/>
        <v>0</v>
      </c>
      <c r="AO107" s="203">
        <f t="shared" ca="1" si="171"/>
        <v>0</v>
      </c>
      <c r="AP107" s="212" t="str">
        <f t="shared" si="158"/>
        <v>N/A</v>
      </c>
      <c r="AQ107" s="212">
        <f t="shared" si="159"/>
        <v>0</v>
      </c>
      <c r="AR107" s="203">
        <f t="shared" si="172"/>
        <v>0</v>
      </c>
      <c r="AS107" s="203">
        <f t="shared" ca="1" si="173"/>
        <v>0</v>
      </c>
      <c r="AT107" s="203">
        <f t="shared" ca="1" si="174"/>
        <v>0</v>
      </c>
      <c r="AU107" s="212" t="str">
        <f t="shared" si="160"/>
        <v>N/A</v>
      </c>
      <c r="AV107" s="212">
        <f t="shared" si="161"/>
        <v>0</v>
      </c>
      <c r="AW107" s="203">
        <f t="shared" si="175"/>
        <v>0</v>
      </c>
      <c r="AX107" s="203">
        <f t="shared" ca="1" si="176"/>
        <v>0</v>
      </c>
      <c r="AY107" s="203">
        <f t="shared" ca="1" si="177"/>
        <v>0</v>
      </c>
      <c r="AZ107" s="212"/>
      <c r="BA107" s="213" t="s">
        <v>141</v>
      </c>
      <c r="BB107" s="213" t="s">
        <v>140</v>
      </c>
      <c r="BC107" s="213" t="s">
        <v>140</v>
      </c>
      <c r="BD107" s="213" t="s">
        <v>140</v>
      </c>
      <c r="BE107" s="148"/>
      <c r="BF107" s="212" t="s">
        <v>1789</v>
      </c>
      <c r="BG107" s="117"/>
      <c r="BH107" s="155"/>
      <c r="BI107" s="230" t="s">
        <v>1958</v>
      </c>
      <c r="BJ107" s="230"/>
      <c r="BK107" s="229"/>
      <c r="BL107" s="149"/>
      <c r="BM107" s="149"/>
      <c r="BN107" s="149"/>
      <c r="BO107" s="149"/>
      <c r="BP107" s="149"/>
      <c r="BQ107" s="149"/>
      <c r="BR107" s="117">
        <v>0</v>
      </c>
      <c r="BS107" s="117">
        <v>1</v>
      </c>
      <c r="BT107" s="117">
        <v>0</v>
      </c>
      <c r="BU107" s="117">
        <v>1</v>
      </c>
      <c r="BV107" s="117">
        <v>0</v>
      </c>
      <c r="BW107" s="117">
        <v>0</v>
      </c>
      <c r="BX107" s="117">
        <v>0</v>
      </c>
      <c r="BY107" s="117" t="s">
        <v>1790</v>
      </c>
      <c r="BZ107" s="117" t="s">
        <v>57</v>
      </c>
      <c r="CA107" s="117">
        <v>1</v>
      </c>
      <c r="CB107" s="149"/>
      <c r="CC107" s="155"/>
      <c r="CD107" s="155"/>
      <c r="CE107" s="217"/>
      <c r="CF107" s="148">
        <f t="shared" si="178"/>
        <v>0</v>
      </c>
    </row>
    <row r="108" spans="1:84" ht="17.25" hidden="1" customHeight="1">
      <c r="A108" s="117"/>
      <c r="B108" s="209" t="s">
        <v>2046</v>
      </c>
      <c r="C108" s="209" t="s">
        <v>2178</v>
      </c>
      <c r="D108" s="209" t="s">
        <v>1084</v>
      </c>
      <c r="E108" s="209" t="s">
        <v>1836</v>
      </c>
      <c r="F108" s="209" t="s">
        <v>1480</v>
      </c>
      <c r="G108" s="209" t="s">
        <v>1479</v>
      </c>
      <c r="H108" s="210">
        <v>5089</v>
      </c>
      <c r="I108" s="211" t="s">
        <v>147</v>
      </c>
      <c r="J108" s="144">
        <v>1</v>
      </c>
      <c r="K108" s="145">
        <f t="shared" si="153"/>
        <v>1</v>
      </c>
      <c r="L108" s="202">
        <f t="shared" si="162"/>
        <v>1</v>
      </c>
      <c r="M108" s="212">
        <v>325.5</v>
      </c>
      <c r="N108" s="203">
        <f t="shared" si="163"/>
        <v>325.5</v>
      </c>
      <c r="O108" s="212" t="s">
        <v>137</v>
      </c>
      <c r="P108" s="212" t="s">
        <v>13</v>
      </c>
      <c r="Q108" s="212" t="s">
        <v>154</v>
      </c>
      <c r="R108" s="212"/>
      <c r="S108" s="212"/>
      <c r="T108" s="203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1</v>
      </c>
      <c r="U108" s="203">
        <f t="shared" ca="1" si="164"/>
        <v>0</v>
      </c>
      <c r="V108" s="203">
        <f t="shared" ca="1" si="165"/>
        <v>1</v>
      </c>
      <c r="W108" s="212"/>
      <c r="X108" s="212"/>
      <c r="Y108" s="212"/>
      <c r="Z108" s="212"/>
      <c r="AA108" s="212"/>
      <c r="AB108" s="212"/>
      <c r="AC108" s="214" t="s">
        <v>196</v>
      </c>
      <c r="AD108" s="215" t="s">
        <v>2039</v>
      </c>
      <c r="AE108" s="148"/>
      <c r="AF108" s="212" t="str">
        <f t="shared" si="154"/>
        <v>AMC2-S1</v>
      </c>
      <c r="AG108" s="212">
        <f t="shared" si="155"/>
        <v>1</v>
      </c>
      <c r="AH108" s="203">
        <f t="shared" si="166"/>
        <v>1</v>
      </c>
      <c r="AI108" s="203">
        <f t="shared" ca="1" si="167"/>
        <v>1</v>
      </c>
      <c r="AJ108" s="203">
        <f t="shared" ca="1" si="168"/>
        <v>0</v>
      </c>
      <c r="AK108" s="212" t="str">
        <f t="shared" si="156"/>
        <v>N/A</v>
      </c>
      <c r="AL108" s="212">
        <f t="shared" si="157"/>
        <v>0</v>
      </c>
      <c r="AM108" s="203">
        <f t="shared" si="169"/>
        <v>0</v>
      </c>
      <c r="AN108" s="203">
        <f t="shared" ca="1" si="170"/>
        <v>0</v>
      </c>
      <c r="AO108" s="203">
        <f t="shared" ca="1" si="171"/>
        <v>0</v>
      </c>
      <c r="AP108" s="212" t="str">
        <f t="shared" si="158"/>
        <v>N/A</v>
      </c>
      <c r="AQ108" s="212">
        <f t="shared" si="159"/>
        <v>0</v>
      </c>
      <c r="AR108" s="203">
        <f t="shared" si="172"/>
        <v>0</v>
      </c>
      <c r="AS108" s="203">
        <f t="shared" ca="1" si="173"/>
        <v>0</v>
      </c>
      <c r="AT108" s="203">
        <f t="shared" ca="1" si="174"/>
        <v>0</v>
      </c>
      <c r="AU108" s="212" t="str">
        <f t="shared" si="160"/>
        <v>N/A</v>
      </c>
      <c r="AV108" s="212">
        <f t="shared" si="161"/>
        <v>0</v>
      </c>
      <c r="AW108" s="203">
        <f t="shared" si="175"/>
        <v>0</v>
      </c>
      <c r="AX108" s="203">
        <f t="shared" ca="1" si="176"/>
        <v>0</v>
      </c>
      <c r="AY108" s="203">
        <f t="shared" ca="1" si="177"/>
        <v>0</v>
      </c>
      <c r="AZ108" s="212"/>
      <c r="BA108" s="213" t="s">
        <v>141</v>
      </c>
      <c r="BB108" s="213" t="s">
        <v>140</v>
      </c>
      <c r="BC108" s="213" t="s">
        <v>140</v>
      </c>
      <c r="BD108" s="213" t="s">
        <v>140</v>
      </c>
      <c r="BE108" s="148"/>
      <c r="BF108" s="212" t="s">
        <v>1789</v>
      </c>
      <c r="BG108" s="117"/>
      <c r="BH108" s="155"/>
      <c r="BI108" s="216"/>
      <c r="BJ108" s="216"/>
      <c r="BK108" s="216"/>
      <c r="BL108" s="149"/>
      <c r="BM108" s="149"/>
      <c r="BN108" s="149"/>
      <c r="BO108" s="149"/>
      <c r="BP108" s="149"/>
      <c r="BQ108" s="149"/>
      <c r="BR108" s="117">
        <v>0</v>
      </c>
      <c r="BS108" s="117">
        <v>1</v>
      </c>
      <c r="BT108" s="117">
        <v>0</v>
      </c>
      <c r="BU108" s="117">
        <v>1</v>
      </c>
      <c r="BV108" s="117">
        <v>0</v>
      </c>
      <c r="BW108" s="117">
        <v>0</v>
      </c>
      <c r="BX108" s="117">
        <v>0</v>
      </c>
      <c r="BY108" s="117" t="s">
        <v>1790</v>
      </c>
      <c r="BZ108" s="117" t="s">
        <v>57</v>
      </c>
      <c r="CA108" s="117">
        <v>1</v>
      </c>
      <c r="CB108" s="149"/>
      <c r="CC108" s="155"/>
      <c r="CD108" s="155"/>
      <c r="CE108" s="217"/>
      <c r="CF108" s="148">
        <f t="shared" si="178"/>
        <v>0</v>
      </c>
    </row>
    <row r="109" spans="1:84" ht="17.25" hidden="1" customHeight="1">
      <c r="A109" s="117"/>
      <c r="B109" s="209" t="s">
        <v>2046</v>
      </c>
      <c r="C109" s="209" t="s">
        <v>2178</v>
      </c>
      <c r="D109" s="209" t="s">
        <v>1296</v>
      </c>
      <c r="E109" s="209" t="s">
        <v>1800</v>
      </c>
      <c r="F109" s="209" t="s">
        <v>1481</v>
      </c>
      <c r="G109" s="209" t="s">
        <v>1482</v>
      </c>
      <c r="H109" s="210">
        <v>630</v>
      </c>
      <c r="I109" s="211" t="s">
        <v>147</v>
      </c>
      <c r="J109" s="144">
        <v>3</v>
      </c>
      <c r="K109" s="145">
        <f t="shared" si="153"/>
        <v>1</v>
      </c>
      <c r="L109" s="202">
        <f t="shared" si="162"/>
        <v>3</v>
      </c>
      <c r="M109" s="212">
        <v>8.1</v>
      </c>
      <c r="N109" s="203">
        <f t="shared" si="163"/>
        <v>24.299999999999997</v>
      </c>
      <c r="O109" s="212" t="s">
        <v>137</v>
      </c>
      <c r="P109" s="212" t="s">
        <v>13</v>
      </c>
      <c r="Q109" s="212" t="s">
        <v>148</v>
      </c>
      <c r="R109" s="212"/>
      <c r="S109" s="212"/>
      <c r="T109" s="203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3</v>
      </c>
      <c r="U109" s="203">
        <f t="shared" ca="1" si="164"/>
        <v>0</v>
      </c>
      <c r="V109" s="203">
        <f t="shared" ca="1" si="165"/>
        <v>1</v>
      </c>
      <c r="W109" s="212"/>
      <c r="X109" s="212"/>
      <c r="Y109" s="212"/>
      <c r="Z109" s="212"/>
      <c r="AA109" s="212"/>
      <c r="AB109" s="212"/>
      <c r="AC109" s="214" t="s">
        <v>196</v>
      </c>
      <c r="AD109" s="215" t="s">
        <v>2039</v>
      </c>
      <c r="AE109" s="148"/>
      <c r="AF109" s="212" t="str">
        <f t="shared" si="154"/>
        <v>AMC2-S1</v>
      </c>
      <c r="AG109" s="212">
        <f t="shared" si="155"/>
        <v>1</v>
      </c>
      <c r="AH109" s="203">
        <f t="shared" si="166"/>
        <v>3</v>
      </c>
      <c r="AI109" s="203">
        <f t="shared" ca="1" si="167"/>
        <v>3</v>
      </c>
      <c r="AJ109" s="203">
        <f t="shared" ca="1" si="168"/>
        <v>0</v>
      </c>
      <c r="AK109" s="212" t="str">
        <f t="shared" si="156"/>
        <v>N/A</v>
      </c>
      <c r="AL109" s="212">
        <f t="shared" si="157"/>
        <v>0</v>
      </c>
      <c r="AM109" s="203">
        <f t="shared" si="169"/>
        <v>0</v>
      </c>
      <c r="AN109" s="203">
        <f t="shared" ca="1" si="170"/>
        <v>0</v>
      </c>
      <c r="AO109" s="203">
        <f t="shared" ca="1" si="171"/>
        <v>0</v>
      </c>
      <c r="AP109" s="212" t="str">
        <f t="shared" si="158"/>
        <v>N/A</v>
      </c>
      <c r="AQ109" s="212">
        <f t="shared" si="159"/>
        <v>0</v>
      </c>
      <c r="AR109" s="203">
        <f t="shared" si="172"/>
        <v>0</v>
      </c>
      <c r="AS109" s="203">
        <f t="shared" ca="1" si="173"/>
        <v>0</v>
      </c>
      <c r="AT109" s="203">
        <f t="shared" ca="1" si="174"/>
        <v>0</v>
      </c>
      <c r="AU109" s="212" t="str">
        <f t="shared" si="160"/>
        <v>N/A</v>
      </c>
      <c r="AV109" s="212">
        <f t="shared" si="161"/>
        <v>0</v>
      </c>
      <c r="AW109" s="203">
        <f t="shared" si="175"/>
        <v>0</v>
      </c>
      <c r="AX109" s="203">
        <f t="shared" ca="1" si="176"/>
        <v>0</v>
      </c>
      <c r="AY109" s="203">
        <f t="shared" ca="1" si="177"/>
        <v>0</v>
      </c>
      <c r="AZ109" s="212"/>
      <c r="BA109" s="213" t="s">
        <v>141</v>
      </c>
      <c r="BB109" s="213" t="s">
        <v>140</v>
      </c>
      <c r="BC109" s="213" t="s">
        <v>140</v>
      </c>
      <c r="BD109" s="213" t="s">
        <v>140</v>
      </c>
      <c r="BE109" s="148"/>
      <c r="BF109" s="212" t="s">
        <v>1789</v>
      </c>
      <c r="BG109" s="117"/>
      <c r="BH109" s="155"/>
      <c r="BI109" s="216"/>
      <c r="BJ109" s="229" t="s">
        <v>1959</v>
      </c>
      <c r="BK109" s="229"/>
      <c r="BL109" s="149"/>
      <c r="BM109" s="149"/>
      <c r="BN109" s="149"/>
      <c r="BO109" s="149"/>
      <c r="BP109" s="149"/>
      <c r="BQ109" s="149"/>
      <c r="BR109" s="117">
        <v>0</v>
      </c>
      <c r="BS109" s="117">
        <v>0</v>
      </c>
      <c r="BT109" s="117">
        <v>0</v>
      </c>
      <c r="BU109" s="117">
        <v>1</v>
      </c>
      <c r="BV109" s="117">
        <v>0</v>
      </c>
      <c r="BW109" s="117">
        <v>0</v>
      </c>
      <c r="BX109" s="117">
        <v>0</v>
      </c>
      <c r="BY109" s="117" t="s">
        <v>1790</v>
      </c>
      <c r="BZ109" s="117" t="s">
        <v>1022</v>
      </c>
      <c r="CA109" s="144">
        <v>3</v>
      </c>
      <c r="CB109" s="149">
        <v>46206</v>
      </c>
      <c r="CC109" s="155"/>
      <c r="CD109" s="155"/>
      <c r="CE109" s="217"/>
      <c r="CF109" s="148">
        <f t="shared" si="178"/>
        <v>0</v>
      </c>
    </row>
    <row r="110" spans="1:84" ht="17.25" hidden="1" customHeight="1">
      <c r="A110" s="117"/>
      <c r="B110" s="209" t="s">
        <v>2046</v>
      </c>
      <c r="C110" s="209" t="s">
        <v>2178</v>
      </c>
      <c r="D110" s="209" t="s">
        <v>1296</v>
      </c>
      <c r="E110" s="209" t="s">
        <v>1930</v>
      </c>
      <c r="F110" s="209" t="s">
        <v>1483</v>
      </c>
      <c r="G110" s="209" t="s">
        <v>1482</v>
      </c>
      <c r="H110" s="210">
        <v>630</v>
      </c>
      <c r="I110" s="211" t="s">
        <v>147</v>
      </c>
      <c r="J110" s="144">
        <v>3</v>
      </c>
      <c r="K110" s="145">
        <f t="shared" si="153"/>
        <v>1</v>
      </c>
      <c r="L110" s="202">
        <f t="shared" si="162"/>
        <v>3</v>
      </c>
      <c r="M110" s="212">
        <v>8.1</v>
      </c>
      <c r="N110" s="203">
        <f t="shared" si="163"/>
        <v>24.299999999999997</v>
      </c>
      <c r="O110" s="212" t="s">
        <v>137</v>
      </c>
      <c r="P110" s="212" t="s">
        <v>13</v>
      </c>
      <c r="Q110" s="212" t="s">
        <v>148</v>
      </c>
      <c r="R110" s="212"/>
      <c r="S110" s="212"/>
      <c r="T110" s="203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3</v>
      </c>
      <c r="U110" s="203">
        <f t="shared" ca="1" si="164"/>
        <v>0</v>
      </c>
      <c r="V110" s="203">
        <f t="shared" ca="1" si="165"/>
        <v>1</v>
      </c>
      <c r="W110" s="212"/>
      <c r="X110" s="212"/>
      <c r="Y110" s="212"/>
      <c r="Z110" s="212"/>
      <c r="AA110" s="212"/>
      <c r="AB110" s="212"/>
      <c r="AC110" s="214" t="s">
        <v>196</v>
      </c>
      <c r="AD110" s="215" t="s">
        <v>2039</v>
      </c>
      <c r="AE110" s="148"/>
      <c r="AF110" s="212" t="str">
        <f t="shared" si="154"/>
        <v>AMC2-S1</v>
      </c>
      <c r="AG110" s="212">
        <f t="shared" si="155"/>
        <v>1</v>
      </c>
      <c r="AH110" s="203">
        <f t="shared" si="166"/>
        <v>3</v>
      </c>
      <c r="AI110" s="203">
        <f t="shared" ca="1" si="167"/>
        <v>3</v>
      </c>
      <c r="AJ110" s="203">
        <f t="shared" ca="1" si="168"/>
        <v>0</v>
      </c>
      <c r="AK110" s="212" t="str">
        <f t="shared" si="156"/>
        <v>N/A</v>
      </c>
      <c r="AL110" s="212">
        <f t="shared" si="157"/>
        <v>0</v>
      </c>
      <c r="AM110" s="203">
        <f t="shared" si="169"/>
        <v>0</v>
      </c>
      <c r="AN110" s="203">
        <f t="shared" ca="1" si="170"/>
        <v>0</v>
      </c>
      <c r="AO110" s="203">
        <f t="shared" ca="1" si="171"/>
        <v>0</v>
      </c>
      <c r="AP110" s="212" t="str">
        <f t="shared" si="158"/>
        <v>N/A</v>
      </c>
      <c r="AQ110" s="212">
        <f t="shared" si="159"/>
        <v>0</v>
      </c>
      <c r="AR110" s="203">
        <f t="shared" si="172"/>
        <v>0</v>
      </c>
      <c r="AS110" s="203">
        <f t="shared" ca="1" si="173"/>
        <v>0</v>
      </c>
      <c r="AT110" s="203">
        <f t="shared" ca="1" si="174"/>
        <v>0</v>
      </c>
      <c r="AU110" s="212" t="str">
        <f t="shared" si="160"/>
        <v>N/A</v>
      </c>
      <c r="AV110" s="212">
        <f t="shared" si="161"/>
        <v>0</v>
      </c>
      <c r="AW110" s="203">
        <f t="shared" si="175"/>
        <v>0</v>
      </c>
      <c r="AX110" s="203">
        <f t="shared" ca="1" si="176"/>
        <v>0</v>
      </c>
      <c r="AY110" s="203">
        <f t="shared" ca="1" si="177"/>
        <v>0</v>
      </c>
      <c r="AZ110" s="212"/>
      <c r="BA110" s="213" t="s">
        <v>141</v>
      </c>
      <c r="BB110" s="213" t="s">
        <v>140</v>
      </c>
      <c r="BC110" s="213" t="s">
        <v>140</v>
      </c>
      <c r="BD110" s="213" t="s">
        <v>140</v>
      </c>
      <c r="BE110" s="148"/>
      <c r="BF110" s="212" t="s">
        <v>1789</v>
      </c>
      <c r="BG110" s="117"/>
      <c r="BH110" s="155"/>
      <c r="BI110" s="216"/>
      <c r="BJ110" s="229" t="s">
        <v>1931</v>
      </c>
      <c r="BK110" s="229"/>
      <c r="BL110" s="149"/>
      <c r="BM110" s="149"/>
      <c r="BN110" s="149"/>
      <c r="BO110" s="149"/>
      <c r="BP110" s="149"/>
      <c r="BQ110" s="149"/>
      <c r="BR110" s="117">
        <v>0</v>
      </c>
      <c r="BS110" s="117">
        <v>0</v>
      </c>
      <c r="BT110" s="117">
        <v>0</v>
      </c>
      <c r="BU110" s="117">
        <v>0</v>
      </c>
      <c r="BV110" s="117">
        <v>0</v>
      </c>
      <c r="BW110" s="117">
        <v>0</v>
      </c>
      <c r="BX110" s="117">
        <v>0</v>
      </c>
      <c r="BY110" s="117" t="s">
        <v>1790</v>
      </c>
      <c r="BZ110" s="117" t="s">
        <v>1022</v>
      </c>
      <c r="CA110" s="144">
        <v>3</v>
      </c>
      <c r="CB110" s="149">
        <v>46206</v>
      </c>
      <c r="CC110" s="155"/>
      <c r="CD110" s="155"/>
      <c r="CE110" s="217"/>
      <c r="CF110" s="148">
        <f t="shared" si="178"/>
        <v>0</v>
      </c>
    </row>
    <row r="111" spans="1:84" ht="17.25" hidden="1" customHeight="1">
      <c r="A111" s="117"/>
      <c r="B111" s="209" t="s">
        <v>2046</v>
      </c>
      <c r="C111" s="209" t="s">
        <v>2178</v>
      </c>
      <c r="D111" s="209" t="s">
        <v>1296</v>
      </c>
      <c r="E111" s="209" t="s">
        <v>1801</v>
      </c>
      <c r="F111" s="209" t="s">
        <v>1484</v>
      </c>
      <c r="G111" s="209" t="s">
        <v>1163</v>
      </c>
      <c r="H111" s="210">
        <v>400</v>
      </c>
      <c r="I111" s="211" t="s">
        <v>147</v>
      </c>
      <c r="J111" s="144">
        <v>6</v>
      </c>
      <c r="K111" s="145">
        <f t="shared" si="153"/>
        <v>1</v>
      </c>
      <c r="L111" s="202">
        <f t="shared" si="162"/>
        <v>6</v>
      </c>
      <c r="M111" s="212">
        <v>4.5</v>
      </c>
      <c r="N111" s="203">
        <f t="shared" si="163"/>
        <v>27</v>
      </c>
      <c r="O111" s="212" t="s">
        <v>137</v>
      </c>
      <c r="P111" s="212" t="s">
        <v>13</v>
      </c>
      <c r="Q111" s="212" t="s">
        <v>148</v>
      </c>
      <c r="R111" s="212"/>
      <c r="S111" s="212"/>
      <c r="T111" s="203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6</v>
      </c>
      <c r="U111" s="203">
        <f t="shared" ca="1" si="164"/>
        <v>0</v>
      </c>
      <c r="V111" s="203">
        <f t="shared" ca="1" si="165"/>
        <v>1</v>
      </c>
      <c r="W111" s="212"/>
      <c r="X111" s="212"/>
      <c r="Y111" s="212"/>
      <c r="Z111" s="212"/>
      <c r="AA111" s="212"/>
      <c r="AB111" s="212"/>
      <c r="AC111" s="214" t="s">
        <v>196</v>
      </c>
      <c r="AD111" s="215" t="s">
        <v>2039</v>
      </c>
      <c r="AE111" s="148"/>
      <c r="AF111" s="212" t="str">
        <f t="shared" si="154"/>
        <v>AMC2-S1</v>
      </c>
      <c r="AG111" s="212">
        <f t="shared" si="155"/>
        <v>1</v>
      </c>
      <c r="AH111" s="203">
        <f t="shared" si="166"/>
        <v>6</v>
      </c>
      <c r="AI111" s="203">
        <f t="shared" ca="1" si="167"/>
        <v>6</v>
      </c>
      <c r="AJ111" s="203">
        <f t="shared" ca="1" si="168"/>
        <v>0</v>
      </c>
      <c r="AK111" s="212" t="str">
        <f t="shared" si="156"/>
        <v>N/A</v>
      </c>
      <c r="AL111" s="212">
        <f t="shared" si="157"/>
        <v>0</v>
      </c>
      <c r="AM111" s="203">
        <f t="shared" si="169"/>
        <v>0</v>
      </c>
      <c r="AN111" s="203">
        <f t="shared" ca="1" si="170"/>
        <v>0</v>
      </c>
      <c r="AO111" s="203">
        <f t="shared" ca="1" si="171"/>
        <v>0</v>
      </c>
      <c r="AP111" s="212" t="str">
        <f t="shared" si="158"/>
        <v>N/A</v>
      </c>
      <c r="AQ111" s="212">
        <f t="shared" si="159"/>
        <v>0</v>
      </c>
      <c r="AR111" s="203">
        <f t="shared" si="172"/>
        <v>0</v>
      </c>
      <c r="AS111" s="203">
        <f t="shared" ca="1" si="173"/>
        <v>0</v>
      </c>
      <c r="AT111" s="203">
        <f t="shared" ca="1" si="174"/>
        <v>0</v>
      </c>
      <c r="AU111" s="212" t="str">
        <f t="shared" si="160"/>
        <v>N/A</v>
      </c>
      <c r="AV111" s="212">
        <f t="shared" si="161"/>
        <v>0</v>
      </c>
      <c r="AW111" s="203">
        <f t="shared" si="175"/>
        <v>0</v>
      </c>
      <c r="AX111" s="203">
        <f t="shared" ca="1" si="176"/>
        <v>0</v>
      </c>
      <c r="AY111" s="203">
        <f t="shared" ca="1" si="177"/>
        <v>0</v>
      </c>
      <c r="AZ111" s="212"/>
      <c r="BA111" s="213" t="s">
        <v>141</v>
      </c>
      <c r="BB111" s="213" t="s">
        <v>140</v>
      </c>
      <c r="BC111" s="213" t="s">
        <v>140</v>
      </c>
      <c r="BD111" s="213" t="s">
        <v>140</v>
      </c>
      <c r="BE111" s="148"/>
      <c r="BF111" s="212" t="s">
        <v>1789</v>
      </c>
      <c r="BG111" s="117"/>
      <c r="BH111" s="155"/>
      <c r="BI111" s="216"/>
      <c r="BJ111" s="216"/>
      <c r="BK111" s="216"/>
      <c r="BL111" s="149"/>
      <c r="BM111" s="149"/>
      <c r="BN111" s="149"/>
      <c r="BO111" s="149"/>
      <c r="BP111" s="149"/>
      <c r="BQ111" s="149"/>
      <c r="BR111" s="117">
        <v>0</v>
      </c>
      <c r="BS111" s="117">
        <v>0</v>
      </c>
      <c r="BT111" s="117">
        <v>0</v>
      </c>
      <c r="BU111" s="117">
        <v>0</v>
      </c>
      <c r="BV111" s="117">
        <v>0</v>
      </c>
      <c r="BW111" s="117">
        <v>0</v>
      </c>
      <c r="BX111" s="117">
        <v>0</v>
      </c>
      <c r="BY111" s="117" t="s">
        <v>1790</v>
      </c>
      <c r="BZ111" s="117" t="s">
        <v>989</v>
      </c>
      <c r="CA111" s="117">
        <v>6</v>
      </c>
      <c r="CB111" s="149">
        <v>46186</v>
      </c>
      <c r="CC111" s="155"/>
      <c r="CD111" s="117"/>
      <c r="CE111" s="217"/>
      <c r="CF111" s="148">
        <f t="shared" si="178"/>
        <v>0</v>
      </c>
    </row>
    <row r="112" spans="1:84" ht="17.25" hidden="1" customHeight="1">
      <c r="A112" s="117"/>
      <c r="B112" s="209" t="s">
        <v>2046</v>
      </c>
      <c r="C112" s="209" t="s">
        <v>2178</v>
      </c>
      <c r="D112" s="209" t="s">
        <v>1076</v>
      </c>
      <c r="E112" s="209" t="s">
        <v>1802</v>
      </c>
      <c r="F112" s="209" t="s">
        <v>1475</v>
      </c>
      <c r="G112" s="209" t="s">
        <v>1075</v>
      </c>
      <c r="H112" s="210">
        <v>812</v>
      </c>
      <c r="I112" s="211" t="s">
        <v>1077</v>
      </c>
      <c r="J112" s="144">
        <v>3</v>
      </c>
      <c r="K112" s="145">
        <f t="shared" si="153"/>
        <v>1</v>
      </c>
      <c r="L112" s="202">
        <f t="shared" si="162"/>
        <v>3</v>
      </c>
      <c r="M112" s="212">
        <v>13.05696</v>
      </c>
      <c r="N112" s="203">
        <f t="shared" si="163"/>
        <v>39.170879999999997</v>
      </c>
      <c r="O112" s="212" t="s">
        <v>137</v>
      </c>
      <c r="P112" s="212" t="s">
        <v>11</v>
      </c>
      <c r="Q112" s="212" t="s">
        <v>148</v>
      </c>
      <c r="R112" s="212"/>
      <c r="S112" s="212"/>
      <c r="T112" s="203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3</v>
      </c>
      <c r="U112" s="203">
        <f t="shared" ca="1" si="164"/>
        <v>0</v>
      </c>
      <c r="V112" s="203">
        <f t="shared" ca="1" si="165"/>
        <v>1</v>
      </c>
      <c r="W112" s="212"/>
      <c r="X112" s="212"/>
      <c r="Y112" s="212"/>
      <c r="Z112" s="212"/>
      <c r="AA112" s="212"/>
      <c r="AB112" s="212"/>
      <c r="AC112" s="214" t="s">
        <v>196</v>
      </c>
      <c r="AD112" s="215" t="s">
        <v>2039</v>
      </c>
      <c r="AE112" s="148"/>
      <c r="AF112" s="212" t="str">
        <f t="shared" si="154"/>
        <v>AMC2-S1</v>
      </c>
      <c r="AG112" s="212">
        <f t="shared" si="155"/>
        <v>1</v>
      </c>
      <c r="AH112" s="203">
        <f t="shared" si="166"/>
        <v>3</v>
      </c>
      <c r="AI112" s="203">
        <f t="shared" ca="1" si="167"/>
        <v>3</v>
      </c>
      <c r="AJ112" s="203">
        <f t="shared" ca="1" si="168"/>
        <v>0</v>
      </c>
      <c r="AK112" s="212" t="str">
        <f t="shared" si="156"/>
        <v>N/A</v>
      </c>
      <c r="AL112" s="212">
        <f t="shared" si="157"/>
        <v>0</v>
      </c>
      <c r="AM112" s="203">
        <f t="shared" si="169"/>
        <v>0</v>
      </c>
      <c r="AN112" s="203">
        <f t="shared" ca="1" si="170"/>
        <v>0</v>
      </c>
      <c r="AO112" s="203">
        <f t="shared" ca="1" si="171"/>
        <v>0</v>
      </c>
      <c r="AP112" s="212" t="str">
        <f t="shared" si="158"/>
        <v>N/A</v>
      </c>
      <c r="AQ112" s="212">
        <f t="shared" si="159"/>
        <v>0</v>
      </c>
      <c r="AR112" s="203">
        <f t="shared" si="172"/>
        <v>0</v>
      </c>
      <c r="AS112" s="203">
        <f t="shared" ca="1" si="173"/>
        <v>0</v>
      </c>
      <c r="AT112" s="203">
        <f t="shared" ca="1" si="174"/>
        <v>0</v>
      </c>
      <c r="AU112" s="212" t="str">
        <f t="shared" si="160"/>
        <v>N/A</v>
      </c>
      <c r="AV112" s="212">
        <f t="shared" si="161"/>
        <v>0</v>
      </c>
      <c r="AW112" s="203">
        <f t="shared" si="175"/>
        <v>0</v>
      </c>
      <c r="AX112" s="203">
        <f t="shared" ca="1" si="176"/>
        <v>0</v>
      </c>
      <c r="AY112" s="203">
        <f t="shared" ca="1" si="177"/>
        <v>0</v>
      </c>
      <c r="AZ112" s="212"/>
      <c r="BA112" s="213" t="s">
        <v>141</v>
      </c>
      <c r="BB112" s="213" t="s">
        <v>140</v>
      </c>
      <c r="BC112" s="213" t="s">
        <v>140</v>
      </c>
      <c r="BD112" s="213" t="s">
        <v>140</v>
      </c>
      <c r="BE112" s="148"/>
      <c r="BF112" s="212" t="s">
        <v>1789</v>
      </c>
      <c r="BG112" s="117"/>
      <c r="BH112" s="155"/>
      <c r="BI112" s="216"/>
      <c r="BJ112" s="216"/>
      <c r="BK112" s="216"/>
      <c r="BL112" s="149"/>
      <c r="BM112" s="149"/>
      <c r="BN112" s="149"/>
      <c r="BO112" s="149"/>
      <c r="BP112" s="149"/>
      <c r="BQ112" s="149"/>
      <c r="BR112" s="117">
        <v>0</v>
      </c>
      <c r="BS112" s="117">
        <v>0</v>
      </c>
      <c r="BT112" s="117">
        <v>0</v>
      </c>
      <c r="BU112" s="117">
        <v>1</v>
      </c>
      <c r="BV112" s="117">
        <v>0</v>
      </c>
      <c r="BW112" s="117">
        <v>0</v>
      </c>
      <c r="BX112" s="117">
        <v>0</v>
      </c>
      <c r="BY112" s="117" t="s">
        <v>1790</v>
      </c>
      <c r="BZ112" s="117" t="s">
        <v>1289</v>
      </c>
      <c r="CA112" s="117">
        <v>3</v>
      </c>
      <c r="CB112" s="149">
        <v>46185</v>
      </c>
      <c r="CC112" s="155"/>
      <c r="CD112" s="155"/>
      <c r="CE112" s="217"/>
      <c r="CF112" s="148">
        <f t="shared" si="178"/>
        <v>0</v>
      </c>
    </row>
    <row r="113" spans="1:84" ht="17.25" hidden="1" customHeight="1">
      <c r="A113" s="186"/>
      <c r="B113" s="187" t="s">
        <v>2046</v>
      </c>
      <c r="C113" s="187" t="s">
        <v>2180</v>
      </c>
      <c r="D113" s="187"/>
      <c r="E113" s="187"/>
      <c r="F113" s="187"/>
      <c r="G113" s="187" t="s">
        <v>1960</v>
      </c>
      <c r="H113" s="188"/>
      <c r="I113" s="189"/>
      <c r="J113" s="190"/>
      <c r="K113" s="191">
        <f t="shared" si="153"/>
        <v>1</v>
      </c>
      <c r="L113" s="190"/>
      <c r="M113" s="192">
        <v>2110</v>
      </c>
      <c r="N113" s="192">
        <v>2110</v>
      </c>
      <c r="O113" s="192" t="s">
        <v>137</v>
      </c>
      <c r="P113" s="192"/>
      <c r="Q113" s="192"/>
      <c r="R113" s="192"/>
      <c r="S113" s="192"/>
      <c r="T113" s="192"/>
      <c r="U113" s="192"/>
      <c r="V113" s="192"/>
      <c r="W113" s="192">
        <f ca="1">_xlfn.MINIFS(V:V,C:C,C113,AE:AE,"",AB:AB,"")</f>
        <v>0</v>
      </c>
      <c r="X113" s="192">
        <f ca="1">SUMIFS(T:T,C:C,C113,AE:AE,"")/SUMIFS(L:L,C:C,C113,AE:AE,"",AB:AB,"")</f>
        <v>0.73333333333333328</v>
      </c>
      <c r="Y113" s="192"/>
      <c r="Z113" s="192"/>
      <c r="AA113" s="192"/>
      <c r="AB113" s="192"/>
      <c r="AC113" s="194" t="s">
        <v>196</v>
      </c>
      <c r="AD113" s="195" t="s">
        <v>2039</v>
      </c>
      <c r="AE113" s="196" t="s">
        <v>1787</v>
      </c>
      <c r="AF113" s="192" t="str">
        <f t="shared" si="154"/>
        <v>AMC2-S1</v>
      </c>
      <c r="AG113" s="192">
        <f t="shared" si="155"/>
        <v>1</v>
      </c>
      <c r="AH113" s="192"/>
      <c r="AI113" s="192"/>
      <c r="AJ113" s="192"/>
      <c r="AK113" s="192" t="str">
        <f t="shared" si="156"/>
        <v>N/A</v>
      </c>
      <c r="AL113" s="192">
        <f t="shared" si="157"/>
        <v>0</v>
      </c>
      <c r="AM113" s="192"/>
      <c r="AN113" s="192"/>
      <c r="AO113" s="192"/>
      <c r="AP113" s="192" t="str">
        <f t="shared" si="158"/>
        <v>N/A</v>
      </c>
      <c r="AQ113" s="192">
        <f t="shared" si="159"/>
        <v>0</v>
      </c>
      <c r="AR113" s="192"/>
      <c r="AS113" s="192"/>
      <c r="AT113" s="192"/>
      <c r="AU113" s="192" t="str">
        <f t="shared" si="160"/>
        <v>N/A</v>
      </c>
      <c r="AV113" s="192">
        <f t="shared" si="161"/>
        <v>0</v>
      </c>
      <c r="AW113" s="192"/>
      <c r="AX113" s="192"/>
      <c r="AY113" s="192"/>
      <c r="AZ113" s="192"/>
      <c r="BA113" s="193" t="s">
        <v>141</v>
      </c>
      <c r="BB113" s="193" t="s">
        <v>140</v>
      </c>
      <c r="BC113" s="193" t="s">
        <v>140</v>
      </c>
      <c r="BD113" s="193" t="s">
        <v>140</v>
      </c>
      <c r="BE113" s="196" t="s">
        <v>741</v>
      </c>
      <c r="BF113" s="192"/>
      <c r="BG113" s="186"/>
      <c r="BH113" s="186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86"/>
      <c r="BS113" s="186"/>
      <c r="BT113" s="186"/>
      <c r="BU113" s="186"/>
      <c r="BV113" s="186"/>
      <c r="BW113" s="186"/>
      <c r="BX113" s="186"/>
      <c r="BY113" s="186"/>
      <c r="BZ113" s="186"/>
      <c r="CA113" s="186"/>
      <c r="CB113" s="197"/>
      <c r="CC113" s="186"/>
      <c r="CD113" s="186"/>
      <c r="CE113" s="198"/>
      <c r="CF113" s="198"/>
    </row>
    <row r="114" spans="1:84" ht="17.25" hidden="1" customHeight="1">
      <c r="A114" s="117"/>
      <c r="B114" s="209" t="s">
        <v>2046</v>
      </c>
      <c r="C114" s="209" t="s">
        <v>2180</v>
      </c>
      <c r="D114" s="209" t="s">
        <v>1084</v>
      </c>
      <c r="E114" s="209" t="s">
        <v>1788</v>
      </c>
      <c r="F114" s="209" t="s">
        <v>1530</v>
      </c>
      <c r="G114" s="209" t="s">
        <v>1477</v>
      </c>
      <c r="H114" s="210">
        <v>3622</v>
      </c>
      <c r="I114" s="211" t="s">
        <v>147</v>
      </c>
      <c r="J114" s="144">
        <v>1</v>
      </c>
      <c r="K114" s="145">
        <f t="shared" si="153"/>
        <v>1</v>
      </c>
      <c r="L114" s="202">
        <f t="shared" ref="L114:L120" si="179">+J114*K114</f>
        <v>1</v>
      </c>
      <c r="M114" s="212">
        <v>493.5</v>
      </c>
      <c r="N114" s="203">
        <f t="shared" ref="N114:N120" si="180">+M114*L114</f>
        <v>493.5</v>
      </c>
      <c r="O114" s="212" t="s">
        <v>137</v>
      </c>
      <c r="P114" s="212" t="s">
        <v>13</v>
      </c>
      <c r="Q114" s="212" t="s">
        <v>154</v>
      </c>
      <c r="R114" s="212"/>
      <c r="S114" s="212"/>
      <c r="T114" s="203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1</v>
      </c>
      <c r="U114" s="203">
        <f t="shared" ref="U114:U120" ca="1" si="181">+L114-T114</f>
        <v>0</v>
      </c>
      <c r="V114" s="203">
        <f t="shared" ref="V114:V120" ca="1" si="182">ROUNDDOWN(T114/J114,0)</f>
        <v>1</v>
      </c>
      <c r="W114" s="212"/>
      <c r="X114" s="212"/>
      <c r="Y114" s="212"/>
      <c r="Z114" s="212"/>
      <c r="AA114" s="212"/>
      <c r="AB114" s="212"/>
      <c r="AC114" s="214" t="s">
        <v>196</v>
      </c>
      <c r="AD114" s="215" t="s">
        <v>2039</v>
      </c>
      <c r="AE114" s="148"/>
      <c r="AF114" s="212" t="str">
        <f t="shared" si="154"/>
        <v>AMC2-S1</v>
      </c>
      <c r="AG114" s="212">
        <f t="shared" si="155"/>
        <v>1</v>
      </c>
      <c r="AH114" s="203">
        <f t="shared" ref="AH114:AH120" si="183">+AG114*J114</f>
        <v>1</v>
      </c>
      <c r="AI114" s="203">
        <f t="shared" ref="AI114:AI120" ca="1" si="184">MIN(T114,AH114)</f>
        <v>1</v>
      </c>
      <c r="AJ114" s="203">
        <f t="shared" ref="AJ114:AJ120" ca="1" si="185">+AH114-AI114</f>
        <v>0</v>
      </c>
      <c r="AK114" s="212" t="str">
        <f t="shared" si="156"/>
        <v>N/A</v>
      </c>
      <c r="AL114" s="212">
        <f t="shared" si="157"/>
        <v>0</v>
      </c>
      <c r="AM114" s="203">
        <f t="shared" ref="AM114:AM120" si="186">+AL114*J114</f>
        <v>0</v>
      </c>
      <c r="AN114" s="203">
        <f t="shared" ref="AN114:AN120" ca="1" si="187">MIN(T114-AI114,AL114)</f>
        <v>0</v>
      </c>
      <c r="AO114" s="203">
        <f t="shared" ref="AO114:AO120" ca="1" si="188">+AM114-AN114</f>
        <v>0</v>
      </c>
      <c r="AP114" s="212" t="str">
        <f t="shared" si="158"/>
        <v>N/A</v>
      </c>
      <c r="AQ114" s="212">
        <f t="shared" si="159"/>
        <v>0</v>
      </c>
      <c r="AR114" s="203">
        <f t="shared" ref="AR114:AR120" si="189">+AQ114*J114</f>
        <v>0</v>
      </c>
      <c r="AS114" s="203">
        <f t="shared" ref="AS114:AS120" ca="1" si="190">MIN(T114-AI114-AN114,AR114)</f>
        <v>0</v>
      </c>
      <c r="AT114" s="203">
        <f t="shared" ref="AT114:AT120" ca="1" si="191">+AR114-AS114</f>
        <v>0</v>
      </c>
      <c r="AU114" s="212" t="str">
        <f t="shared" si="160"/>
        <v>N/A</v>
      </c>
      <c r="AV114" s="212">
        <f t="shared" si="161"/>
        <v>0</v>
      </c>
      <c r="AW114" s="203">
        <f t="shared" ref="AW114:AW120" si="192">+AV114*J114</f>
        <v>0</v>
      </c>
      <c r="AX114" s="203">
        <f t="shared" ref="AX114:AX120" ca="1" si="193">MIN(T114-AI114-AN114-AS114,AW114)</f>
        <v>0</v>
      </c>
      <c r="AY114" s="203">
        <f t="shared" ref="AY114:AY120" ca="1" si="194">+AW114-AX114</f>
        <v>0</v>
      </c>
      <c r="AZ114" s="212"/>
      <c r="BA114" s="213" t="s">
        <v>141</v>
      </c>
      <c r="BB114" s="213" t="s">
        <v>140</v>
      </c>
      <c r="BC114" s="213" t="s">
        <v>140</v>
      </c>
      <c r="BD114" s="213" t="s">
        <v>140</v>
      </c>
      <c r="BE114" s="148"/>
      <c r="BF114" s="212" t="s">
        <v>1789</v>
      </c>
      <c r="BG114" s="117"/>
      <c r="BH114" s="155"/>
      <c r="BI114" s="216"/>
      <c r="BJ114" s="216"/>
      <c r="BK114" s="216"/>
      <c r="BL114" s="149"/>
      <c r="BM114" s="149"/>
      <c r="BN114" s="149"/>
      <c r="BO114" s="149"/>
      <c r="BP114" s="149"/>
      <c r="BQ114" s="149"/>
      <c r="BR114" s="117">
        <v>0</v>
      </c>
      <c r="BS114" s="117">
        <v>1</v>
      </c>
      <c r="BT114" s="117">
        <v>0</v>
      </c>
      <c r="BU114" s="117">
        <v>1</v>
      </c>
      <c r="BV114" s="117">
        <v>0</v>
      </c>
      <c r="BW114" s="117">
        <v>0</v>
      </c>
      <c r="BX114" s="117">
        <v>0</v>
      </c>
      <c r="BY114" s="117" t="s">
        <v>1790</v>
      </c>
      <c r="BZ114" s="117" t="s">
        <v>57</v>
      </c>
      <c r="CA114" s="144">
        <v>1</v>
      </c>
      <c r="CB114" s="149"/>
      <c r="CC114" s="155"/>
      <c r="CD114" s="155"/>
      <c r="CE114" s="217"/>
      <c r="CF114" s="148">
        <f t="shared" ref="CF114:CF120" si="195">+L114-CA114</f>
        <v>0</v>
      </c>
    </row>
    <row r="115" spans="1:84" ht="17.25" hidden="1" customHeight="1">
      <c r="A115" s="117"/>
      <c r="B115" s="209" t="s">
        <v>2046</v>
      </c>
      <c r="C115" s="209" t="s">
        <v>2180</v>
      </c>
      <c r="D115" s="209" t="s">
        <v>1296</v>
      </c>
      <c r="E115" s="209" t="s">
        <v>1795</v>
      </c>
      <c r="F115" s="209" t="s">
        <v>1536</v>
      </c>
      <c r="G115" s="209" t="s">
        <v>1493</v>
      </c>
      <c r="H115" s="210">
        <v>1768</v>
      </c>
      <c r="I115" s="211" t="s">
        <v>147</v>
      </c>
      <c r="J115" s="144">
        <v>1</v>
      </c>
      <c r="K115" s="145">
        <f t="shared" si="153"/>
        <v>1</v>
      </c>
      <c r="L115" s="202">
        <f t="shared" si="179"/>
        <v>1</v>
      </c>
      <c r="M115" s="212">
        <v>20.3</v>
      </c>
      <c r="N115" s="203">
        <f t="shared" si="180"/>
        <v>20.3</v>
      </c>
      <c r="O115" s="212" t="s">
        <v>137</v>
      </c>
      <c r="P115" s="212" t="s">
        <v>13</v>
      </c>
      <c r="Q115" s="212" t="s">
        <v>148</v>
      </c>
      <c r="R115" s="212"/>
      <c r="S115" s="212"/>
      <c r="T115" s="203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203">
        <f t="shared" ca="1" si="181"/>
        <v>0</v>
      </c>
      <c r="V115" s="203">
        <f t="shared" ca="1" si="182"/>
        <v>1</v>
      </c>
      <c r="W115" s="212"/>
      <c r="X115" s="212"/>
      <c r="Y115" s="212"/>
      <c r="Z115" s="212"/>
      <c r="AA115" s="212"/>
      <c r="AB115" s="212"/>
      <c r="AC115" s="214" t="s">
        <v>196</v>
      </c>
      <c r="AD115" s="215" t="s">
        <v>2039</v>
      </c>
      <c r="AE115" s="148"/>
      <c r="AF115" s="212" t="str">
        <f t="shared" si="154"/>
        <v>AMC2-S1</v>
      </c>
      <c r="AG115" s="212">
        <f t="shared" si="155"/>
        <v>1</v>
      </c>
      <c r="AH115" s="203">
        <f t="shared" si="183"/>
        <v>1</v>
      </c>
      <c r="AI115" s="203">
        <f t="shared" ca="1" si="184"/>
        <v>1</v>
      </c>
      <c r="AJ115" s="203">
        <f t="shared" ca="1" si="185"/>
        <v>0</v>
      </c>
      <c r="AK115" s="212" t="str">
        <f t="shared" si="156"/>
        <v>N/A</v>
      </c>
      <c r="AL115" s="212">
        <f t="shared" si="157"/>
        <v>0</v>
      </c>
      <c r="AM115" s="203">
        <f t="shared" si="186"/>
        <v>0</v>
      </c>
      <c r="AN115" s="203">
        <f t="shared" ca="1" si="187"/>
        <v>0</v>
      </c>
      <c r="AO115" s="203">
        <f t="shared" ca="1" si="188"/>
        <v>0</v>
      </c>
      <c r="AP115" s="212" t="str">
        <f t="shared" si="158"/>
        <v>N/A</v>
      </c>
      <c r="AQ115" s="212">
        <f t="shared" si="159"/>
        <v>0</v>
      </c>
      <c r="AR115" s="203">
        <f t="shared" si="189"/>
        <v>0</v>
      </c>
      <c r="AS115" s="203">
        <f t="shared" ca="1" si="190"/>
        <v>0</v>
      </c>
      <c r="AT115" s="203">
        <f t="shared" ca="1" si="191"/>
        <v>0</v>
      </c>
      <c r="AU115" s="212" t="str">
        <f t="shared" si="160"/>
        <v>N/A</v>
      </c>
      <c r="AV115" s="212">
        <f t="shared" si="161"/>
        <v>0</v>
      </c>
      <c r="AW115" s="203">
        <f t="shared" si="192"/>
        <v>0</v>
      </c>
      <c r="AX115" s="203">
        <f t="shared" ca="1" si="193"/>
        <v>0</v>
      </c>
      <c r="AY115" s="203">
        <f t="shared" ca="1" si="194"/>
        <v>0</v>
      </c>
      <c r="AZ115" s="212"/>
      <c r="BA115" s="213" t="s">
        <v>141</v>
      </c>
      <c r="BB115" s="213" t="s">
        <v>140</v>
      </c>
      <c r="BC115" s="213" t="s">
        <v>140</v>
      </c>
      <c r="BD115" s="213" t="s">
        <v>140</v>
      </c>
      <c r="BE115" s="148"/>
      <c r="BF115" s="212" t="s">
        <v>1789</v>
      </c>
      <c r="BG115" s="117"/>
      <c r="BH115" s="155"/>
      <c r="BI115" s="216"/>
      <c r="BJ115" s="216"/>
      <c r="BK115" s="216"/>
      <c r="BL115" s="149"/>
      <c r="BM115" s="149"/>
      <c r="BN115" s="149"/>
      <c r="BO115" s="149"/>
      <c r="BP115" s="149"/>
      <c r="BQ115" s="149"/>
      <c r="BR115" s="117">
        <v>0</v>
      </c>
      <c r="BS115" s="117">
        <v>0</v>
      </c>
      <c r="BT115" s="117">
        <v>0</v>
      </c>
      <c r="BU115" s="117">
        <v>1</v>
      </c>
      <c r="BV115" s="117">
        <v>0</v>
      </c>
      <c r="BW115" s="117">
        <v>0</v>
      </c>
      <c r="BX115" s="117">
        <v>0</v>
      </c>
      <c r="BY115" s="117" t="s">
        <v>1790</v>
      </c>
      <c r="BZ115" s="117" t="s">
        <v>1063</v>
      </c>
      <c r="CA115" s="117">
        <v>1</v>
      </c>
      <c r="CB115" s="149">
        <v>46206</v>
      </c>
      <c r="CC115" s="155"/>
      <c r="CD115" s="117"/>
      <c r="CE115" s="217"/>
      <c r="CF115" s="148">
        <f t="shared" si="195"/>
        <v>0</v>
      </c>
    </row>
    <row r="116" spans="1:84" ht="17.25" hidden="1" customHeight="1">
      <c r="A116" s="117"/>
      <c r="B116" s="209" t="s">
        <v>2046</v>
      </c>
      <c r="C116" s="209" t="s">
        <v>2180</v>
      </c>
      <c r="D116" s="209" t="s">
        <v>1296</v>
      </c>
      <c r="E116" s="209" t="s">
        <v>1815</v>
      </c>
      <c r="F116" s="209" t="s">
        <v>1531</v>
      </c>
      <c r="G116" s="209" t="s">
        <v>1501</v>
      </c>
      <c r="H116" s="210">
        <v>640</v>
      </c>
      <c r="I116" s="211" t="s">
        <v>147</v>
      </c>
      <c r="J116" s="144">
        <v>1</v>
      </c>
      <c r="K116" s="145">
        <f t="shared" si="153"/>
        <v>1</v>
      </c>
      <c r="L116" s="202">
        <f t="shared" si="179"/>
        <v>1</v>
      </c>
      <c r="M116" s="212">
        <v>19.5</v>
      </c>
      <c r="N116" s="203">
        <f t="shared" si="180"/>
        <v>19.5</v>
      </c>
      <c r="O116" s="212" t="s">
        <v>137</v>
      </c>
      <c r="P116" s="212" t="s">
        <v>13</v>
      </c>
      <c r="Q116" s="212" t="s">
        <v>148</v>
      </c>
      <c r="R116" s="212"/>
      <c r="S116" s="212"/>
      <c r="T116" s="203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203">
        <f t="shared" ca="1" si="181"/>
        <v>0</v>
      </c>
      <c r="V116" s="203">
        <f t="shared" ca="1" si="182"/>
        <v>1</v>
      </c>
      <c r="W116" s="212"/>
      <c r="X116" s="212"/>
      <c r="Y116" s="212"/>
      <c r="Z116" s="212"/>
      <c r="AA116" s="212"/>
      <c r="AB116" s="212"/>
      <c r="AC116" s="214" t="s">
        <v>196</v>
      </c>
      <c r="AD116" s="215" t="s">
        <v>2039</v>
      </c>
      <c r="AE116" s="148"/>
      <c r="AF116" s="212" t="str">
        <f t="shared" si="154"/>
        <v>AMC2-S1</v>
      </c>
      <c r="AG116" s="212">
        <f t="shared" si="155"/>
        <v>1</v>
      </c>
      <c r="AH116" s="203">
        <f t="shared" si="183"/>
        <v>1</v>
      </c>
      <c r="AI116" s="203">
        <f t="shared" ca="1" si="184"/>
        <v>1</v>
      </c>
      <c r="AJ116" s="203">
        <f t="shared" ca="1" si="185"/>
        <v>0</v>
      </c>
      <c r="AK116" s="212" t="str">
        <f t="shared" si="156"/>
        <v>N/A</v>
      </c>
      <c r="AL116" s="212">
        <f t="shared" si="157"/>
        <v>0</v>
      </c>
      <c r="AM116" s="203">
        <f t="shared" si="186"/>
        <v>0</v>
      </c>
      <c r="AN116" s="203">
        <f t="shared" ca="1" si="187"/>
        <v>0</v>
      </c>
      <c r="AO116" s="203">
        <f t="shared" ca="1" si="188"/>
        <v>0</v>
      </c>
      <c r="AP116" s="212" t="str">
        <f t="shared" si="158"/>
        <v>N/A</v>
      </c>
      <c r="AQ116" s="212">
        <f t="shared" si="159"/>
        <v>0</v>
      </c>
      <c r="AR116" s="203">
        <f t="shared" si="189"/>
        <v>0</v>
      </c>
      <c r="AS116" s="203">
        <f t="shared" ca="1" si="190"/>
        <v>0</v>
      </c>
      <c r="AT116" s="203">
        <f t="shared" ca="1" si="191"/>
        <v>0</v>
      </c>
      <c r="AU116" s="212" t="str">
        <f t="shared" si="160"/>
        <v>N/A</v>
      </c>
      <c r="AV116" s="212">
        <f t="shared" si="161"/>
        <v>0</v>
      </c>
      <c r="AW116" s="203">
        <f t="shared" si="192"/>
        <v>0</v>
      </c>
      <c r="AX116" s="203">
        <f t="shared" ca="1" si="193"/>
        <v>0</v>
      </c>
      <c r="AY116" s="203">
        <f t="shared" ca="1" si="194"/>
        <v>0</v>
      </c>
      <c r="AZ116" s="212"/>
      <c r="BA116" s="213" t="s">
        <v>141</v>
      </c>
      <c r="BB116" s="213" t="s">
        <v>140</v>
      </c>
      <c r="BC116" s="213" t="s">
        <v>140</v>
      </c>
      <c r="BD116" s="213" t="s">
        <v>140</v>
      </c>
      <c r="BE116" s="148"/>
      <c r="BF116" s="212" t="s">
        <v>1789</v>
      </c>
      <c r="BG116" s="117"/>
      <c r="BH116" s="155"/>
      <c r="BI116" s="216"/>
      <c r="BJ116" s="216"/>
      <c r="BK116" s="216"/>
      <c r="BL116" s="149"/>
      <c r="BM116" s="149"/>
      <c r="BN116" s="149"/>
      <c r="BO116" s="149"/>
      <c r="BP116" s="149"/>
      <c r="BQ116" s="149"/>
      <c r="BR116" s="117">
        <v>1</v>
      </c>
      <c r="BS116" s="117">
        <v>0</v>
      </c>
      <c r="BT116" s="117">
        <v>0</v>
      </c>
      <c r="BU116" s="117">
        <v>0</v>
      </c>
      <c r="BV116" s="117">
        <v>0</v>
      </c>
      <c r="BW116" s="117">
        <v>0</v>
      </c>
      <c r="BX116" s="117">
        <v>0</v>
      </c>
      <c r="BY116" s="117" t="s">
        <v>1790</v>
      </c>
      <c r="BZ116" s="117" t="s">
        <v>1063</v>
      </c>
      <c r="CA116" s="117">
        <v>1</v>
      </c>
      <c r="CB116" s="149">
        <v>46206</v>
      </c>
      <c r="CC116" s="155"/>
      <c r="CD116" s="117"/>
      <c r="CE116" s="217"/>
      <c r="CF116" s="148">
        <f t="shared" si="195"/>
        <v>0</v>
      </c>
    </row>
    <row r="117" spans="1:84" ht="17.25" hidden="1" customHeight="1">
      <c r="A117" s="117"/>
      <c r="B117" s="209" t="s">
        <v>2046</v>
      </c>
      <c r="C117" s="209" t="s">
        <v>2180</v>
      </c>
      <c r="D117" s="209" t="s">
        <v>1296</v>
      </c>
      <c r="E117" s="209" t="s">
        <v>1805</v>
      </c>
      <c r="F117" s="209" t="s">
        <v>1532</v>
      </c>
      <c r="G117" s="209" t="s">
        <v>1503</v>
      </c>
      <c r="H117" s="210">
        <v>1805</v>
      </c>
      <c r="I117" s="211" t="s">
        <v>147</v>
      </c>
      <c r="J117" s="144">
        <v>2</v>
      </c>
      <c r="K117" s="145">
        <f t="shared" si="153"/>
        <v>1</v>
      </c>
      <c r="L117" s="202">
        <f t="shared" si="179"/>
        <v>2</v>
      </c>
      <c r="M117" s="212">
        <v>48.1</v>
      </c>
      <c r="N117" s="203">
        <f t="shared" si="180"/>
        <v>96.2</v>
      </c>
      <c r="O117" s="212" t="s">
        <v>137</v>
      </c>
      <c r="P117" s="212" t="s">
        <v>13</v>
      </c>
      <c r="Q117" s="212" t="s">
        <v>148</v>
      </c>
      <c r="R117" s="212"/>
      <c r="S117" s="212"/>
      <c r="T117" s="203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2</v>
      </c>
      <c r="U117" s="203">
        <f t="shared" ca="1" si="181"/>
        <v>0</v>
      </c>
      <c r="V117" s="203">
        <f t="shared" ca="1" si="182"/>
        <v>1</v>
      </c>
      <c r="W117" s="212"/>
      <c r="X117" s="212"/>
      <c r="Y117" s="212"/>
      <c r="Z117" s="212"/>
      <c r="AA117" s="212"/>
      <c r="AB117" s="212"/>
      <c r="AC117" s="214" t="s">
        <v>196</v>
      </c>
      <c r="AD117" s="215" t="s">
        <v>2039</v>
      </c>
      <c r="AE117" s="148"/>
      <c r="AF117" s="212" t="str">
        <f t="shared" si="154"/>
        <v>AMC2-S1</v>
      </c>
      <c r="AG117" s="212">
        <f t="shared" si="155"/>
        <v>1</v>
      </c>
      <c r="AH117" s="203">
        <f t="shared" si="183"/>
        <v>2</v>
      </c>
      <c r="AI117" s="203">
        <f t="shared" ca="1" si="184"/>
        <v>2</v>
      </c>
      <c r="AJ117" s="203">
        <f t="shared" ca="1" si="185"/>
        <v>0</v>
      </c>
      <c r="AK117" s="212" t="str">
        <f t="shared" si="156"/>
        <v>N/A</v>
      </c>
      <c r="AL117" s="212">
        <f t="shared" si="157"/>
        <v>0</v>
      </c>
      <c r="AM117" s="203">
        <f t="shared" si="186"/>
        <v>0</v>
      </c>
      <c r="AN117" s="203">
        <f t="shared" ca="1" si="187"/>
        <v>0</v>
      </c>
      <c r="AO117" s="203">
        <f t="shared" ca="1" si="188"/>
        <v>0</v>
      </c>
      <c r="AP117" s="212" t="str">
        <f t="shared" si="158"/>
        <v>N/A</v>
      </c>
      <c r="AQ117" s="212">
        <f t="shared" si="159"/>
        <v>0</v>
      </c>
      <c r="AR117" s="203">
        <f t="shared" si="189"/>
        <v>0</v>
      </c>
      <c r="AS117" s="203">
        <f t="shared" ca="1" si="190"/>
        <v>0</v>
      </c>
      <c r="AT117" s="203">
        <f t="shared" ca="1" si="191"/>
        <v>0</v>
      </c>
      <c r="AU117" s="212" t="str">
        <f t="shared" si="160"/>
        <v>N/A</v>
      </c>
      <c r="AV117" s="212">
        <f t="shared" si="161"/>
        <v>0</v>
      </c>
      <c r="AW117" s="203">
        <f t="shared" si="192"/>
        <v>0</v>
      </c>
      <c r="AX117" s="203">
        <f t="shared" ca="1" si="193"/>
        <v>0</v>
      </c>
      <c r="AY117" s="203">
        <f t="shared" ca="1" si="194"/>
        <v>0</v>
      </c>
      <c r="AZ117" s="212"/>
      <c r="BA117" s="213" t="s">
        <v>141</v>
      </c>
      <c r="BB117" s="213" t="s">
        <v>140</v>
      </c>
      <c r="BC117" s="213" t="s">
        <v>140</v>
      </c>
      <c r="BD117" s="213" t="s">
        <v>140</v>
      </c>
      <c r="BE117" s="148"/>
      <c r="BF117" s="212" t="s">
        <v>1789</v>
      </c>
      <c r="BG117" s="117"/>
      <c r="BH117" s="155"/>
      <c r="BI117" s="216"/>
      <c r="BJ117" s="216"/>
      <c r="BK117" s="216"/>
      <c r="BL117" s="149"/>
      <c r="BM117" s="149"/>
      <c r="BN117" s="149"/>
      <c r="BO117" s="149"/>
      <c r="BP117" s="149"/>
      <c r="BQ117" s="149"/>
      <c r="BR117" s="117">
        <v>0</v>
      </c>
      <c r="BS117" s="117">
        <v>0</v>
      </c>
      <c r="BT117" s="117">
        <v>0</v>
      </c>
      <c r="BU117" s="117">
        <v>1</v>
      </c>
      <c r="BV117" s="117">
        <v>0</v>
      </c>
      <c r="BW117" s="117">
        <v>0</v>
      </c>
      <c r="BX117" s="117">
        <v>0</v>
      </c>
      <c r="BY117" s="117" t="s">
        <v>1790</v>
      </c>
      <c r="BZ117" s="117" t="s">
        <v>1307</v>
      </c>
      <c r="CA117" s="117">
        <v>2</v>
      </c>
      <c r="CB117" s="234">
        <v>46242</v>
      </c>
      <c r="CC117" s="155"/>
      <c r="CD117" s="117"/>
      <c r="CE117" s="217"/>
      <c r="CF117" s="148">
        <f t="shared" si="195"/>
        <v>0</v>
      </c>
    </row>
    <row r="118" spans="1:84" ht="17.25" hidden="1" customHeight="1">
      <c r="A118" s="117"/>
      <c r="B118" s="209" t="s">
        <v>2046</v>
      </c>
      <c r="C118" s="209" t="s">
        <v>2180</v>
      </c>
      <c r="D118" s="209" t="s">
        <v>1084</v>
      </c>
      <c r="E118" s="209" t="s">
        <v>1816</v>
      </c>
      <c r="F118" s="209" t="s">
        <v>1533</v>
      </c>
      <c r="G118" s="209" t="s">
        <v>1505</v>
      </c>
      <c r="H118" s="210">
        <v>2664</v>
      </c>
      <c r="I118" s="211" t="s">
        <v>147</v>
      </c>
      <c r="J118" s="144">
        <v>1</v>
      </c>
      <c r="K118" s="145">
        <f t="shared" si="153"/>
        <v>1</v>
      </c>
      <c r="L118" s="202">
        <f t="shared" si="179"/>
        <v>1</v>
      </c>
      <c r="M118" s="212">
        <v>428.3</v>
      </c>
      <c r="N118" s="203">
        <f t="shared" si="180"/>
        <v>428.3</v>
      </c>
      <c r="O118" s="212" t="s">
        <v>137</v>
      </c>
      <c r="P118" s="212" t="s">
        <v>13</v>
      </c>
      <c r="Q118" s="212" t="s">
        <v>154</v>
      </c>
      <c r="R118" s="212"/>
      <c r="S118" s="212"/>
      <c r="T118" s="203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203">
        <f t="shared" ca="1" si="181"/>
        <v>0</v>
      </c>
      <c r="V118" s="203">
        <f t="shared" ca="1" si="182"/>
        <v>1</v>
      </c>
      <c r="W118" s="212"/>
      <c r="X118" s="212"/>
      <c r="Y118" s="212"/>
      <c r="Z118" s="212"/>
      <c r="AA118" s="212"/>
      <c r="AB118" s="212"/>
      <c r="AC118" s="214" t="s">
        <v>196</v>
      </c>
      <c r="AD118" s="215" t="s">
        <v>2039</v>
      </c>
      <c r="AE118" s="148"/>
      <c r="AF118" s="212" t="str">
        <f t="shared" si="154"/>
        <v>AMC2-S1</v>
      </c>
      <c r="AG118" s="212">
        <f t="shared" si="155"/>
        <v>1</v>
      </c>
      <c r="AH118" s="203">
        <f t="shared" si="183"/>
        <v>1</v>
      </c>
      <c r="AI118" s="203">
        <f t="shared" ca="1" si="184"/>
        <v>1</v>
      </c>
      <c r="AJ118" s="203">
        <f t="shared" ca="1" si="185"/>
        <v>0</v>
      </c>
      <c r="AK118" s="212" t="str">
        <f t="shared" si="156"/>
        <v>N/A</v>
      </c>
      <c r="AL118" s="212">
        <f t="shared" si="157"/>
        <v>0</v>
      </c>
      <c r="AM118" s="203">
        <f t="shared" si="186"/>
        <v>0</v>
      </c>
      <c r="AN118" s="203">
        <f t="shared" ca="1" si="187"/>
        <v>0</v>
      </c>
      <c r="AO118" s="203">
        <f t="shared" ca="1" si="188"/>
        <v>0</v>
      </c>
      <c r="AP118" s="212" t="str">
        <f t="shared" si="158"/>
        <v>N/A</v>
      </c>
      <c r="AQ118" s="212">
        <f t="shared" si="159"/>
        <v>0</v>
      </c>
      <c r="AR118" s="203">
        <f t="shared" si="189"/>
        <v>0</v>
      </c>
      <c r="AS118" s="203">
        <f t="shared" ca="1" si="190"/>
        <v>0</v>
      </c>
      <c r="AT118" s="203">
        <f t="shared" ca="1" si="191"/>
        <v>0</v>
      </c>
      <c r="AU118" s="212" t="str">
        <f t="shared" si="160"/>
        <v>N/A</v>
      </c>
      <c r="AV118" s="212">
        <f t="shared" si="161"/>
        <v>0</v>
      </c>
      <c r="AW118" s="203">
        <f t="shared" si="192"/>
        <v>0</v>
      </c>
      <c r="AX118" s="203">
        <f t="shared" ca="1" si="193"/>
        <v>0</v>
      </c>
      <c r="AY118" s="203">
        <f t="shared" ca="1" si="194"/>
        <v>0</v>
      </c>
      <c r="AZ118" s="212"/>
      <c r="BA118" s="213" t="s">
        <v>141</v>
      </c>
      <c r="BB118" s="213" t="s">
        <v>140</v>
      </c>
      <c r="BC118" s="213" t="s">
        <v>140</v>
      </c>
      <c r="BD118" s="213" t="s">
        <v>140</v>
      </c>
      <c r="BE118" s="148"/>
      <c r="BF118" s="212" t="s">
        <v>1789</v>
      </c>
      <c r="BG118" s="117"/>
      <c r="BH118" s="155"/>
      <c r="BI118" s="216"/>
      <c r="BJ118" s="216"/>
      <c r="BK118" s="216"/>
      <c r="BL118" s="149"/>
      <c r="BM118" s="149"/>
      <c r="BN118" s="149"/>
      <c r="BO118" s="149"/>
      <c r="BP118" s="149"/>
      <c r="BQ118" s="149"/>
      <c r="BR118" s="117">
        <v>0</v>
      </c>
      <c r="BS118" s="117">
        <v>1</v>
      </c>
      <c r="BT118" s="117">
        <v>0</v>
      </c>
      <c r="BU118" s="117">
        <v>1</v>
      </c>
      <c r="BV118" s="117">
        <v>0</v>
      </c>
      <c r="BW118" s="117">
        <v>0</v>
      </c>
      <c r="BX118" s="117">
        <v>0</v>
      </c>
      <c r="BY118" s="117" t="s">
        <v>1790</v>
      </c>
      <c r="BZ118" s="117" t="s">
        <v>57</v>
      </c>
      <c r="CA118" s="117">
        <v>1</v>
      </c>
      <c r="CB118" s="149"/>
      <c r="CC118" s="155"/>
      <c r="CD118" s="155"/>
      <c r="CE118" s="217"/>
      <c r="CF118" s="148">
        <f t="shared" si="195"/>
        <v>0</v>
      </c>
    </row>
    <row r="119" spans="1:84" ht="17.25" hidden="1" customHeight="1">
      <c r="A119" s="117"/>
      <c r="B119" s="209" t="s">
        <v>2046</v>
      </c>
      <c r="C119" s="209" t="s">
        <v>2180</v>
      </c>
      <c r="D119" s="209" t="s">
        <v>1084</v>
      </c>
      <c r="E119" s="209" t="s">
        <v>1817</v>
      </c>
      <c r="F119" s="209" t="s">
        <v>1534</v>
      </c>
      <c r="G119" s="209" t="s">
        <v>1495</v>
      </c>
      <c r="H119" s="210">
        <v>5089</v>
      </c>
      <c r="I119" s="211" t="s">
        <v>147</v>
      </c>
      <c r="J119" s="144">
        <v>1</v>
      </c>
      <c r="K119" s="145">
        <f t="shared" si="153"/>
        <v>1</v>
      </c>
      <c r="L119" s="202">
        <f t="shared" si="179"/>
        <v>1</v>
      </c>
      <c r="M119" s="212">
        <v>983.4</v>
      </c>
      <c r="N119" s="203">
        <f t="shared" si="180"/>
        <v>983.4</v>
      </c>
      <c r="O119" s="212" t="s">
        <v>137</v>
      </c>
      <c r="P119" s="212" t="s">
        <v>13</v>
      </c>
      <c r="Q119" s="212" t="s">
        <v>154</v>
      </c>
      <c r="R119" s="212"/>
      <c r="S119" s="212"/>
      <c r="T119" s="203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203">
        <f t="shared" ca="1" si="181"/>
        <v>0</v>
      </c>
      <c r="V119" s="203">
        <f t="shared" ca="1" si="182"/>
        <v>1</v>
      </c>
      <c r="W119" s="212"/>
      <c r="X119" s="212"/>
      <c r="Y119" s="212"/>
      <c r="Z119" s="212"/>
      <c r="AA119" s="212"/>
      <c r="AB119" s="212"/>
      <c r="AC119" s="214" t="s">
        <v>196</v>
      </c>
      <c r="AD119" s="215" t="s">
        <v>2039</v>
      </c>
      <c r="AE119" s="148"/>
      <c r="AF119" s="212" t="str">
        <f t="shared" si="154"/>
        <v>AMC2-S1</v>
      </c>
      <c r="AG119" s="212">
        <f t="shared" si="155"/>
        <v>1</v>
      </c>
      <c r="AH119" s="203">
        <f t="shared" si="183"/>
        <v>1</v>
      </c>
      <c r="AI119" s="203">
        <f t="shared" ca="1" si="184"/>
        <v>1</v>
      </c>
      <c r="AJ119" s="203">
        <f t="shared" ca="1" si="185"/>
        <v>0</v>
      </c>
      <c r="AK119" s="212" t="str">
        <f t="shared" si="156"/>
        <v>N/A</v>
      </c>
      <c r="AL119" s="212">
        <f t="shared" si="157"/>
        <v>0</v>
      </c>
      <c r="AM119" s="203">
        <f t="shared" si="186"/>
        <v>0</v>
      </c>
      <c r="AN119" s="203">
        <f t="shared" ca="1" si="187"/>
        <v>0</v>
      </c>
      <c r="AO119" s="203">
        <f t="shared" ca="1" si="188"/>
        <v>0</v>
      </c>
      <c r="AP119" s="212" t="str">
        <f t="shared" si="158"/>
        <v>N/A</v>
      </c>
      <c r="AQ119" s="212">
        <f t="shared" si="159"/>
        <v>0</v>
      </c>
      <c r="AR119" s="203">
        <f t="shared" si="189"/>
        <v>0</v>
      </c>
      <c r="AS119" s="203">
        <f t="shared" ca="1" si="190"/>
        <v>0</v>
      </c>
      <c r="AT119" s="203">
        <f t="shared" ca="1" si="191"/>
        <v>0</v>
      </c>
      <c r="AU119" s="212" t="str">
        <f t="shared" si="160"/>
        <v>N/A</v>
      </c>
      <c r="AV119" s="212">
        <f t="shared" si="161"/>
        <v>0</v>
      </c>
      <c r="AW119" s="203">
        <f t="shared" si="192"/>
        <v>0</v>
      </c>
      <c r="AX119" s="203">
        <f t="shared" ca="1" si="193"/>
        <v>0</v>
      </c>
      <c r="AY119" s="203">
        <f t="shared" ca="1" si="194"/>
        <v>0</v>
      </c>
      <c r="AZ119" s="212"/>
      <c r="BA119" s="213" t="s">
        <v>141</v>
      </c>
      <c r="BB119" s="213" t="s">
        <v>140</v>
      </c>
      <c r="BC119" s="213" t="s">
        <v>140</v>
      </c>
      <c r="BD119" s="213" t="s">
        <v>140</v>
      </c>
      <c r="BE119" s="148"/>
      <c r="BF119" s="212" t="s">
        <v>1789</v>
      </c>
      <c r="BG119" s="117"/>
      <c r="BH119" s="155"/>
      <c r="BI119" s="216"/>
      <c r="BJ119" s="216"/>
      <c r="BK119" s="216"/>
      <c r="BL119" s="149"/>
      <c r="BM119" s="149"/>
      <c r="BN119" s="149"/>
      <c r="BO119" s="149"/>
      <c r="BP119" s="149"/>
      <c r="BQ119" s="149"/>
      <c r="BR119" s="117">
        <v>0</v>
      </c>
      <c r="BS119" s="117">
        <v>1</v>
      </c>
      <c r="BT119" s="117">
        <v>0</v>
      </c>
      <c r="BU119" s="117">
        <v>1</v>
      </c>
      <c r="BV119" s="117">
        <v>0</v>
      </c>
      <c r="BW119" s="117">
        <v>0</v>
      </c>
      <c r="BX119" s="117">
        <v>0</v>
      </c>
      <c r="BY119" s="117" t="s">
        <v>1790</v>
      </c>
      <c r="BZ119" s="117" t="s">
        <v>57</v>
      </c>
      <c r="CA119" s="117">
        <v>1</v>
      </c>
      <c r="CB119" s="149"/>
      <c r="CC119" s="155"/>
      <c r="CD119" s="155"/>
      <c r="CE119" s="217"/>
      <c r="CF119" s="148">
        <f t="shared" si="195"/>
        <v>0</v>
      </c>
    </row>
    <row r="120" spans="1:84" ht="17.25" hidden="1" customHeight="1">
      <c r="A120" s="117"/>
      <c r="B120" s="209" t="s">
        <v>2046</v>
      </c>
      <c r="C120" s="209" t="s">
        <v>2180</v>
      </c>
      <c r="D120" s="209" t="s">
        <v>1296</v>
      </c>
      <c r="E120" s="209" t="s">
        <v>1806</v>
      </c>
      <c r="F120" s="209" t="s">
        <v>1535</v>
      </c>
      <c r="G120" s="209" t="s">
        <v>1508</v>
      </c>
      <c r="H120" s="210">
        <v>2053</v>
      </c>
      <c r="I120" s="211" t="s">
        <v>147</v>
      </c>
      <c r="J120" s="144">
        <v>3</v>
      </c>
      <c r="K120" s="145">
        <f t="shared" si="153"/>
        <v>1</v>
      </c>
      <c r="L120" s="202">
        <f t="shared" si="179"/>
        <v>3</v>
      </c>
      <c r="M120" s="212">
        <v>28.6</v>
      </c>
      <c r="N120" s="203">
        <f t="shared" si="180"/>
        <v>85.800000000000011</v>
      </c>
      <c r="O120" s="212" t="s">
        <v>137</v>
      </c>
      <c r="P120" s="212" t="s">
        <v>13</v>
      </c>
      <c r="Q120" s="212" t="s">
        <v>148</v>
      </c>
      <c r="R120" s="212"/>
      <c r="S120" s="212"/>
      <c r="T120" s="203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3</v>
      </c>
      <c r="U120" s="203">
        <f t="shared" ca="1" si="181"/>
        <v>0</v>
      </c>
      <c r="V120" s="203">
        <f t="shared" ca="1" si="182"/>
        <v>1</v>
      </c>
      <c r="W120" s="212"/>
      <c r="X120" s="212"/>
      <c r="Y120" s="212"/>
      <c r="Z120" s="212"/>
      <c r="AA120" s="212"/>
      <c r="AB120" s="212"/>
      <c r="AC120" s="214" t="s">
        <v>196</v>
      </c>
      <c r="AD120" s="215" t="s">
        <v>2039</v>
      </c>
      <c r="AE120" s="148"/>
      <c r="AF120" s="212" t="str">
        <f t="shared" si="154"/>
        <v>AMC2-S1</v>
      </c>
      <c r="AG120" s="212">
        <f t="shared" si="155"/>
        <v>1</v>
      </c>
      <c r="AH120" s="203">
        <f t="shared" si="183"/>
        <v>3</v>
      </c>
      <c r="AI120" s="203">
        <f t="shared" ca="1" si="184"/>
        <v>3</v>
      </c>
      <c r="AJ120" s="203">
        <f t="shared" ca="1" si="185"/>
        <v>0</v>
      </c>
      <c r="AK120" s="212" t="str">
        <f t="shared" si="156"/>
        <v>N/A</v>
      </c>
      <c r="AL120" s="212">
        <f t="shared" si="157"/>
        <v>0</v>
      </c>
      <c r="AM120" s="203">
        <f t="shared" si="186"/>
        <v>0</v>
      </c>
      <c r="AN120" s="203">
        <f t="shared" ca="1" si="187"/>
        <v>0</v>
      </c>
      <c r="AO120" s="203">
        <f t="shared" ca="1" si="188"/>
        <v>0</v>
      </c>
      <c r="AP120" s="212" t="str">
        <f t="shared" si="158"/>
        <v>N/A</v>
      </c>
      <c r="AQ120" s="212">
        <f t="shared" si="159"/>
        <v>0</v>
      </c>
      <c r="AR120" s="203">
        <f t="shared" si="189"/>
        <v>0</v>
      </c>
      <c r="AS120" s="203">
        <f t="shared" ca="1" si="190"/>
        <v>0</v>
      </c>
      <c r="AT120" s="203">
        <f t="shared" ca="1" si="191"/>
        <v>0</v>
      </c>
      <c r="AU120" s="212" t="str">
        <f t="shared" si="160"/>
        <v>N/A</v>
      </c>
      <c r="AV120" s="212">
        <f t="shared" si="161"/>
        <v>0</v>
      </c>
      <c r="AW120" s="203">
        <f t="shared" si="192"/>
        <v>0</v>
      </c>
      <c r="AX120" s="203">
        <f t="shared" ca="1" si="193"/>
        <v>0</v>
      </c>
      <c r="AY120" s="203">
        <f t="shared" ca="1" si="194"/>
        <v>0</v>
      </c>
      <c r="AZ120" s="212"/>
      <c r="BA120" s="213" t="s">
        <v>141</v>
      </c>
      <c r="BB120" s="213" t="s">
        <v>140</v>
      </c>
      <c r="BC120" s="213" t="s">
        <v>140</v>
      </c>
      <c r="BD120" s="213" t="s">
        <v>140</v>
      </c>
      <c r="BE120" s="148"/>
      <c r="BF120" s="212" t="s">
        <v>1789</v>
      </c>
      <c r="BG120" s="117"/>
      <c r="BH120" s="155"/>
      <c r="BI120" s="216"/>
      <c r="BJ120" s="216"/>
      <c r="BK120" s="216"/>
      <c r="BL120" s="149"/>
      <c r="BM120" s="149"/>
      <c r="BN120" s="149"/>
      <c r="BO120" s="149"/>
      <c r="BP120" s="149"/>
      <c r="BQ120" s="149"/>
      <c r="BR120" s="117">
        <v>0</v>
      </c>
      <c r="BS120" s="117">
        <v>0</v>
      </c>
      <c r="BT120" s="117">
        <v>0</v>
      </c>
      <c r="BU120" s="117">
        <v>1</v>
      </c>
      <c r="BV120" s="117">
        <v>0</v>
      </c>
      <c r="BW120" s="117">
        <v>0</v>
      </c>
      <c r="BX120" s="117">
        <v>0</v>
      </c>
      <c r="BY120" s="117" t="s">
        <v>1790</v>
      </c>
      <c r="BZ120" s="117" t="s">
        <v>1022</v>
      </c>
      <c r="CA120" s="144">
        <v>3</v>
      </c>
      <c r="CB120" s="149">
        <v>46206</v>
      </c>
      <c r="CC120" s="155"/>
      <c r="CD120" s="155"/>
      <c r="CE120" s="217"/>
      <c r="CF120" s="148">
        <f t="shared" si="195"/>
        <v>0</v>
      </c>
    </row>
    <row r="121" spans="1:84" ht="17.25" hidden="1" customHeight="1">
      <c r="A121" s="186"/>
      <c r="B121" s="187" t="s">
        <v>2046</v>
      </c>
      <c r="C121" s="187" t="s">
        <v>2181</v>
      </c>
      <c r="D121" s="187"/>
      <c r="E121" s="187"/>
      <c r="F121" s="187"/>
      <c r="G121" s="187" t="s">
        <v>1961</v>
      </c>
      <c r="H121" s="188"/>
      <c r="I121" s="189"/>
      <c r="J121" s="190"/>
      <c r="K121" s="191">
        <f t="shared" si="153"/>
        <v>1</v>
      </c>
      <c r="L121" s="190"/>
      <c r="M121" s="192">
        <v>2113.8000000000002</v>
      </c>
      <c r="N121" s="192">
        <v>2113.8000000000002</v>
      </c>
      <c r="O121" s="192" t="s">
        <v>137</v>
      </c>
      <c r="P121" s="192"/>
      <c r="Q121" s="192"/>
      <c r="R121" s="192"/>
      <c r="S121" s="192"/>
      <c r="T121" s="192"/>
      <c r="U121" s="192"/>
      <c r="V121" s="192"/>
      <c r="W121" s="192">
        <f ca="1">_xlfn.MINIFS(V:V,C:C,C121,AE:AE,"",AB:AB,"")</f>
        <v>0</v>
      </c>
      <c r="X121" s="192">
        <f ca="1">SUMIFS(T:T,C:C,C121,AE:AE,"")/SUMIFS(L:L,C:C,C121,AE:AE,"",AB:AB,"")</f>
        <v>0.69230769230769229</v>
      </c>
      <c r="Y121" s="192"/>
      <c r="Z121" s="192"/>
      <c r="AA121" s="192"/>
      <c r="AB121" s="192"/>
      <c r="AC121" s="194" t="s">
        <v>196</v>
      </c>
      <c r="AD121" s="195" t="s">
        <v>2039</v>
      </c>
      <c r="AE121" s="196" t="s">
        <v>1787</v>
      </c>
      <c r="AF121" s="192" t="str">
        <f t="shared" si="154"/>
        <v>AMC2-S1</v>
      </c>
      <c r="AG121" s="192">
        <f t="shared" si="155"/>
        <v>1</v>
      </c>
      <c r="AH121" s="192"/>
      <c r="AI121" s="192"/>
      <c r="AJ121" s="192"/>
      <c r="AK121" s="192" t="str">
        <f t="shared" si="156"/>
        <v>N/A</v>
      </c>
      <c r="AL121" s="192">
        <f t="shared" si="157"/>
        <v>0</v>
      </c>
      <c r="AM121" s="192"/>
      <c r="AN121" s="192"/>
      <c r="AO121" s="192"/>
      <c r="AP121" s="192" t="str">
        <f t="shared" si="158"/>
        <v>N/A</v>
      </c>
      <c r="AQ121" s="192">
        <f t="shared" si="159"/>
        <v>0</v>
      </c>
      <c r="AR121" s="192"/>
      <c r="AS121" s="192"/>
      <c r="AT121" s="192"/>
      <c r="AU121" s="192" t="str">
        <f t="shared" si="160"/>
        <v>N/A</v>
      </c>
      <c r="AV121" s="192">
        <f t="shared" si="161"/>
        <v>0</v>
      </c>
      <c r="AW121" s="192"/>
      <c r="AX121" s="192"/>
      <c r="AY121" s="192"/>
      <c r="AZ121" s="192"/>
      <c r="BA121" s="193" t="s">
        <v>141</v>
      </c>
      <c r="BB121" s="193" t="s">
        <v>140</v>
      </c>
      <c r="BC121" s="193" t="s">
        <v>140</v>
      </c>
      <c r="BD121" s="193" t="s">
        <v>140</v>
      </c>
      <c r="BE121" s="196" t="s">
        <v>741</v>
      </c>
      <c r="BF121" s="192"/>
      <c r="BG121" s="186"/>
      <c r="BH121" s="186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86"/>
      <c r="BS121" s="186"/>
      <c r="BT121" s="186"/>
      <c r="BU121" s="186"/>
      <c r="BV121" s="186"/>
      <c r="BW121" s="186"/>
      <c r="BX121" s="186"/>
      <c r="BY121" s="186"/>
      <c r="BZ121" s="186"/>
      <c r="CA121" s="186"/>
      <c r="CB121" s="197"/>
      <c r="CC121" s="186"/>
      <c r="CD121" s="186"/>
      <c r="CE121" s="198"/>
      <c r="CF121" s="198"/>
    </row>
    <row r="122" spans="1:84" ht="17.25" hidden="1" customHeight="1">
      <c r="A122" s="117"/>
      <c r="B122" s="209" t="s">
        <v>2046</v>
      </c>
      <c r="C122" s="209" t="s">
        <v>2181</v>
      </c>
      <c r="D122" s="209" t="s">
        <v>1084</v>
      </c>
      <c r="E122" s="209" t="s">
        <v>1788</v>
      </c>
      <c r="F122" s="209" t="s">
        <v>1520</v>
      </c>
      <c r="G122" s="209" t="s">
        <v>1477</v>
      </c>
      <c r="H122" s="210">
        <v>3622</v>
      </c>
      <c r="I122" s="211" t="s">
        <v>147</v>
      </c>
      <c r="J122" s="144">
        <v>1</v>
      </c>
      <c r="K122" s="145">
        <f t="shared" si="153"/>
        <v>1</v>
      </c>
      <c r="L122" s="202">
        <f t="shared" ref="L122:L129" si="196">+J122*K122</f>
        <v>1</v>
      </c>
      <c r="M122" s="212">
        <v>493.5</v>
      </c>
      <c r="N122" s="203">
        <f t="shared" ref="N122:N129" si="197">+M122*L122</f>
        <v>493.5</v>
      </c>
      <c r="O122" s="212" t="s">
        <v>137</v>
      </c>
      <c r="P122" s="212" t="s">
        <v>13</v>
      </c>
      <c r="Q122" s="212" t="s">
        <v>154</v>
      </c>
      <c r="R122" s="212"/>
      <c r="S122" s="212"/>
      <c r="T122" s="203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203">
        <f t="shared" ref="U122:U129" ca="1" si="198">+L122-T122</f>
        <v>0</v>
      </c>
      <c r="V122" s="203">
        <f t="shared" ref="V122:V129" ca="1" si="199">ROUNDDOWN(T122/J122,0)</f>
        <v>1</v>
      </c>
      <c r="W122" s="212"/>
      <c r="X122" s="212"/>
      <c r="Y122" s="212"/>
      <c r="Z122" s="212"/>
      <c r="AA122" s="212"/>
      <c r="AB122" s="212"/>
      <c r="AC122" s="214" t="s">
        <v>196</v>
      </c>
      <c r="AD122" s="215" t="s">
        <v>2039</v>
      </c>
      <c r="AE122" s="148"/>
      <c r="AF122" s="212" t="str">
        <f t="shared" si="154"/>
        <v>AMC2-S1</v>
      </c>
      <c r="AG122" s="212">
        <f t="shared" si="155"/>
        <v>1</v>
      </c>
      <c r="AH122" s="203">
        <f t="shared" ref="AH122:AH129" si="200">+AG122*J122</f>
        <v>1</v>
      </c>
      <c r="AI122" s="203">
        <f t="shared" ref="AI122:AI129" ca="1" si="201">MIN(T122,AH122)</f>
        <v>1</v>
      </c>
      <c r="AJ122" s="203">
        <f t="shared" ref="AJ122:AJ129" ca="1" si="202">+AH122-AI122</f>
        <v>0</v>
      </c>
      <c r="AK122" s="212" t="str">
        <f t="shared" si="156"/>
        <v>N/A</v>
      </c>
      <c r="AL122" s="212">
        <f t="shared" si="157"/>
        <v>0</v>
      </c>
      <c r="AM122" s="203">
        <f t="shared" ref="AM122:AM129" si="203">+AL122*J122</f>
        <v>0</v>
      </c>
      <c r="AN122" s="203">
        <f t="shared" ref="AN122:AN129" ca="1" si="204">MIN(T122-AI122,AL122)</f>
        <v>0</v>
      </c>
      <c r="AO122" s="203">
        <f t="shared" ref="AO122:AO129" ca="1" si="205">+AM122-AN122</f>
        <v>0</v>
      </c>
      <c r="AP122" s="212" t="str">
        <f t="shared" si="158"/>
        <v>N/A</v>
      </c>
      <c r="AQ122" s="212">
        <f t="shared" si="159"/>
        <v>0</v>
      </c>
      <c r="AR122" s="203">
        <f t="shared" ref="AR122:AR129" si="206">+AQ122*J122</f>
        <v>0</v>
      </c>
      <c r="AS122" s="203">
        <f t="shared" ref="AS122:AS129" ca="1" si="207">MIN(T122-AI122-AN122,AR122)</f>
        <v>0</v>
      </c>
      <c r="AT122" s="203">
        <f t="shared" ref="AT122:AT129" ca="1" si="208">+AR122-AS122</f>
        <v>0</v>
      </c>
      <c r="AU122" s="212" t="str">
        <f t="shared" si="160"/>
        <v>N/A</v>
      </c>
      <c r="AV122" s="212">
        <f t="shared" si="161"/>
        <v>0</v>
      </c>
      <c r="AW122" s="203">
        <f t="shared" ref="AW122:AW129" si="209">+AV122*J122</f>
        <v>0</v>
      </c>
      <c r="AX122" s="203">
        <f t="shared" ref="AX122:AX129" ca="1" si="210">MIN(T122-AI122-AN122-AS122,AW122)</f>
        <v>0</v>
      </c>
      <c r="AY122" s="203">
        <f t="shared" ref="AY122:AY129" ca="1" si="211">+AW122-AX122</f>
        <v>0</v>
      </c>
      <c r="AZ122" s="212"/>
      <c r="BA122" s="213" t="s">
        <v>141</v>
      </c>
      <c r="BB122" s="213" t="s">
        <v>140</v>
      </c>
      <c r="BC122" s="213" t="s">
        <v>140</v>
      </c>
      <c r="BD122" s="213" t="s">
        <v>140</v>
      </c>
      <c r="BE122" s="148"/>
      <c r="BF122" s="212" t="s">
        <v>1789</v>
      </c>
      <c r="BG122" s="117"/>
      <c r="BH122" s="155"/>
      <c r="BI122" s="216"/>
      <c r="BJ122" s="216"/>
      <c r="BK122" s="216"/>
      <c r="BL122" s="149"/>
      <c r="BM122" s="149"/>
      <c r="BN122" s="149"/>
      <c r="BO122" s="149"/>
      <c r="BP122" s="149"/>
      <c r="BQ122" s="149"/>
      <c r="BR122" s="117">
        <v>0</v>
      </c>
      <c r="BS122" s="117">
        <v>1</v>
      </c>
      <c r="BT122" s="117">
        <v>0</v>
      </c>
      <c r="BU122" s="117">
        <v>1</v>
      </c>
      <c r="BV122" s="117">
        <v>0</v>
      </c>
      <c r="BW122" s="117">
        <v>0</v>
      </c>
      <c r="BX122" s="117">
        <v>0</v>
      </c>
      <c r="BY122" s="117" t="s">
        <v>1790</v>
      </c>
      <c r="BZ122" s="117" t="s">
        <v>57</v>
      </c>
      <c r="CA122" s="144">
        <v>1</v>
      </c>
      <c r="CB122" s="149"/>
      <c r="CC122" s="155"/>
      <c r="CD122" s="155"/>
      <c r="CE122" s="217"/>
      <c r="CF122" s="148">
        <f t="shared" ref="CF122:CF129" si="212">+L122-CA122</f>
        <v>0</v>
      </c>
    </row>
    <row r="123" spans="1:84" ht="17.25" hidden="1" customHeight="1">
      <c r="A123" s="117"/>
      <c r="B123" s="209" t="s">
        <v>2046</v>
      </c>
      <c r="C123" s="209" t="s">
        <v>2181</v>
      </c>
      <c r="D123" s="209" t="s">
        <v>1296</v>
      </c>
      <c r="E123" s="209" t="s">
        <v>1795</v>
      </c>
      <c r="F123" s="209" t="s">
        <v>1529</v>
      </c>
      <c r="G123" s="209" t="s">
        <v>1493</v>
      </c>
      <c r="H123" s="210">
        <v>1768</v>
      </c>
      <c r="I123" s="211" t="s">
        <v>147</v>
      </c>
      <c r="J123" s="144">
        <v>1</v>
      </c>
      <c r="K123" s="145">
        <f t="shared" si="153"/>
        <v>1</v>
      </c>
      <c r="L123" s="202">
        <f t="shared" si="196"/>
        <v>1</v>
      </c>
      <c r="M123" s="212">
        <v>20.3</v>
      </c>
      <c r="N123" s="203">
        <f t="shared" si="197"/>
        <v>20.3</v>
      </c>
      <c r="O123" s="212" t="s">
        <v>137</v>
      </c>
      <c r="P123" s="212" t="s">
        <v>13</v>
      </c>
      <c r="Q123" s="212" t="s">
        <v>148</v>
      </c>
      <c r="R123" s="212"/>
      <c r="S123" s="212"/>
      <c r="T123" s="203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</v>
      </c>
      <c r="U123" s="203">
        <f t="shared" ca="1" si="198"/>
        <v>0</v>
      </c>
      <c r="V123" s="203">
        <f t="shared" ca="1" si="199"/>
        <v>1</v>
      </c>
      <c r="W123" s="212"/>
      <c r="X123" s="212"/>
      <c r="Y123" s="212"/>
      <c r="Z123" s="212"/>
      <c r="AA123" s="212"/>
      <c r="AB123" s="212"/>
      <c r="AC123" s="214" t="s">
        <v>196</v>
      </c>
      <c r="AD123" s="215" t="s">
        <v>2039</v>
      </c>
      <c r="AE123" s="148"/>
      <c r="AF123" s="212" t="str">
        <f t="shared" si="154"/>
        <v>AMC2-S1</v>
      </c>
      <c r="AG123" s="212">
        <f t="shared" si="155"/>
        <v>1</v>
      </c>
      <c r="AH123" s="203">
        <f t="shared" si="200"/>
        <v>1</v>
      </c>
      <c r="AI123" s="203">
        <f t="shared" ca="1" si="201"/>
        <v>1</v>
      </c>
      <c r="AJ123" s="203">
        <f t="shared" ca="1" si="202"/>
        <v>0</v>
      </c>
      <c r="AK123" s="212" t="str">
        <f t="shared" si="156"/>
        <v>N/A</v>
      </c>
      <c r="AL123" s="212">
        <f t="shared" si="157"/>
        <v>0</v>
      </c>
      <c r="AM123" s="203">
        <f t="shared" si="203"/>
        <v>0</v>
      </c>
      <c r="AN123" s="203">
        <f t="shared" ca="1" si="204"/>
        <v>0</v>
      </c>
      <c r="AO123" s="203">
        <f t="shared" ca="1" si="205"/>
        <v>0</v>
      </c>
      <c r="AP123" s="212" t="str">
        <f t="shared" si="158"/>
        <v>N/A</v>
      </c>
      <c r="AQ123" s="212">
        <f t="shared" si="159"/>
        <v>0</v>
      </c>
      <c r="AR123" s="203">
        <f t="shared" si="206"/>
        <v>0</v>
      </c>
      <c r="AS123" s="203">
        <f t="shared" ca="1" si="207"/>
        <v>0</v>
      </c>
      <c r="AT123" s="203">
        <f t="shared" ca="1" si="208"/>
        <v>0</v>
      </c>
      <c r="AU123" s="212" t="str">
        <f t="shared" si="160"/>
        <v>N/A</v>
      </c>
      <c r="AV123" s="212">
        <f t="shared" si="161"/>
        <v>0</v>
      </c>
      <c r="AW123" s="203">
        <f t="shared" si="209"/>
        <v>0</v>
      </c>
      <c r="AX123" s="203">
        <f t="shared" ca="1" si="210"/>
        <v>0</v>
      </c>
      <c r="AY123" s="203">
        <f t="shared" ca="1" si="211"/>
        <v>0</v>
      </c>
      <c r="AZ123" s="212"/>
      <c r="BA123" s="213" t="s">
        <v>141</v>
      </c>
      <c r="BB123" s="213" t="s">
        <v>140</v>
      </c>
      <c r="BC123" s="213" t="s">
        <v>140</v>
      </c>
      <c r="BD123" s="213" t="s">
        <v>140</v>
      </c>
      <c r="BE123" s="148"/>
      <c r="BF123" s="212" t="s">
        <v>1789</v>
      </c>
      <c r="BG123" s="117"/>
      <c r="BH123" s="155"/>
      <c r="BI123" s="216"/>
      <c r="BJ123" s="216"/>
      <c r="BK123" s="216"/>
      <c r="BL123" s="149"/>
      <c r="BM123" s="149"/>
      <c r="BN123" s="149"/>
      <c r="BO123" s="149"/>
      <c r="BP123" s="149"/>
      <c r="BQ123" s="149"/>
      <c r="BR123" s="117">
        <v>0</v>
      </c>
      <c r="BS123" s="117">
        <v>0</v>
      </c>
      <c r="BT123" s="117">
        <v>0</v>
      </c>
      <c r="BU123" s="117">
        <v>1</v>
      </c>
      <c r="BV123" s="117">
        <v>0</v>
      </c>
      <c r="BW123" s="117">
        <v>0</v>
      </c>
      <c r="BX123" s="117">
        <v>0</v>
      </c>
      <c r="BY123" s="117" t="s">
        <v>1790</v>
      </c>
      <c r="BZ123" s="117" t="s">
        <v>1063</v>
      </c>
      <c r="CA123" s="117">
        <v>1</v>
      </c>
      <c r="CB123" s="149">
        <v>46206</v>
      </c>
      <c r="CC123" s="155"/>
      <c r="CD123" s="117"/>
      <c r="CE123" s="217"/>
      <c r="CF123" s="148">
        <f t="shared" si="212"/>
        <v>0</v>
      </c>
    </row>
    <row r="124" spans="1:84" ht="17.25" hidden="1" customHeight="1">
      <c r="A124" s="117"/>
      <c r="B124" s="209" t="s">
        <v>2046</v>
      </c>
      <c r="C124" s="209" t="s">
        <v>2181</v>
      </c>
      <c r="D124" s="209" t="s">
        <v>1084</v>
      </c>
      <c r="E124" s="209" t="s">
        <v>1817</v>
      </c>
      <c r="F124" s="209" t="s">
        <v>1521</v>
      </c>
      <c r="G124" s="209" t="s">
        <v>1495</v>
      </c>
      <c r="H124" s="210">
        <v>5089</v>
      </c>
      <c r="I124" s="211" t="s">
        <v>147</v>
      </c>
      <c r="J124" s="144">
        <v>1</v>
      </c>
      <c r="K124" s="145">
        <f t="shared" si="153"/>
        <v>1</v>
      </c>
      <c r="L124" s="202">
        <f t="shared" si="196"/>
        <v>1</v>
      </c>
      <c r="M124" s="212">
        <v>983.4</v>
      </c>
      <c r="N124" s="203">
        <f t="shared" si="197"/>
        <v>983.4</v>
      </c>
      <c r="O124" s="212" t="s">
        <v>137</v>
      </c>
      <c r="P124" s="212" t="s">
        <v>13</v>
      </c>
      <c r="Q124" s="212" t="s">
        <v>154</v>
      </c>
      <c r="R124" s="212"/>
      <c r="S124" s="212"/>
      <c r="T124" s="203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1</v>
      </c>
      <c r="U124" s="203">
        <f t="shared" ca="1" si="198"/>
        <v>0</v>
      </c>
      <c r="V124" s="203">
        <f t="shared" ca="1" si="199"/>
        <v>1</v>
      </c>
      <c r="W124" s="212"/>
      <c r="X124" s="212"/>
      <c r="Y124" s="212"/>
      <c r="Z124" s="212"/>
      <c r="AA124" s="212"/>
      <c r="AB124" s="212"/>
      <c r="AC124" s="214" t="s">
        <v>196</v>
      </c>
      <c r="AD124" s="215" t="s">
        <v>2039</v>
      </c>
      <c r="AE124" s="148"/>
      <c r="AF124" s="212" t="str">
        <f t="shared" si="154"/>
        <v>AMC2-S1</v>
      </c>
      <c r="AG124" s="212">
        <f t="shared" si="155"/>
        <v>1</v>
      </c>
      <c r="AH124" s="203">
        <f t="shared" si="200"/>
        <v>1</v>
      </c>
      <c r="AI124" s="203">
        <f t="shared" ca="1" si="201"/>
        <v>1</v>
      </c>
      <c r="AJ124" s="203">
        <f t="shared" ca="1" si="202"/>
        <v>0</v>
      </c>
      <c r="AK124" s="212" t="str">
        <f t="shared" si="156"/>
        <v>N/A</v>
      </c>
      <c r="AL124" s="212">
        <f t="shared" si="157"/>
        <v>0</v>
      </c>
      <c r="AM124" s="203">
        <f t="shared" si="203"/>
        <v>0</v>
      </c>
      <c r="AN124" s="203">
        <f t="shared" ca="1" si="204"/>
        <v>0</v>
      </c>
      <c r="AO124" s="203">
        <f t="shared" ca="1" si="205"/>
        <v>0</v>
      </c>
      <c r="AP124" s="212" t="str">
        <f t="shared" si="158"/>
        <v>N/A</v>
      </c>
      <c r="AQ124" s="212">
        <f t="shared" si="159"/>
        <v>0</v>
      </c>
      <c r="AR124" s="203">
        <f t="shared" si="206"/>
        <v>0</v>
      </c>
      <c r="AS124" s="203">
        <f t="shared" ca="1" si="207"/>
        <v>0</v>
      </c>
      <c r="AT124" s="203">
        <f t="shared" ca="1" si="208"/>
        <v>0</v>
      </c>
      <c r="AU124" s="212" t="str">
        <f t="shared" si="160"/>
        <v>N/A</v>
      </c>
      <c r="AV124" s="212">
        <f t="shared" si="161"/>
        <v>0</v>
      </c>
      <c r="AW124" s="203">
        <f t="shared" si="209"/>
        <v>0</v>
      </c>
      <c r="AX124" s="203">
        <f t="shared" ca="1" si="210"/>
        <v>0</v>
      </c>
      <c r="AY124" s="203">
        <f t="shared" ca="1" si="211"/>
        <v>0</v>
      </c>
      <c r="AZ124" s="212"/>
      <c r="BA124" s="213" t="s">
        <v>141</v>
      </c>
      <c r="BB124" s="213" t="s">
        <v>140</v>
      </c>
      <c r="BC124" s="213" t="s">
        <v>140</v>
      </c>
      <c r="BD124" s="213" t="s">
        <v>140</v>
      </c>
      <c r="BE124" s="148"/>
      <c r="BF124" s="212" t="s">
        <v>1789</v>
      </c>
      <c r="BG124" s="117"/>
      <c r="BH124" s="155"/>
      <c r="BI124" s="216"/>
      <c r="BJ124" s="216"/>
      <c r="BK124" s="216"/>
      <c r="BL124" s="149"/>
      <c r="BM124" s="149"/>
      <c r="BN124" s="149"/>
      <c r="BO124" s="149"/>
      <c r="BP124" s="149"/>
      <c r="BQ124" s="149"/>
      <c r="BR124" s="117">
        <v>0</v>
      </c>
      <c r="BS124" s="117">
        <v>1</v>
      </c>
      <c r="BT124" s="117">
        <v>0</v>
      </c>
      <c r="BU124" s="117">
        <v>1</v>
      </c>
      <c r="BV124" s="117">
        <v>0</v>
      </c>
      <c r="BW124" s="117">
        <v>0</v>
      </c>
      <c r="BX124" s="117">
        <v>0</v>
      </c>
      <c r="BY124" s="117" t="s">
        <v>1790</v>
      </c>
      <c r="BZ124" s="117" t="s">
        <v>57</v>
      </c>
      <c r="CA124" s="117">
        <v>1</v>
      </c>
      <c r="CB124" s="149"/>
      <c r="CC124" s="155"/>
      <c r="CD124" s="155"/>
      <c r="CE124" s="217"/>
      <c r="CF124" s="148">
        <f t="shared" si="212"/>
        <v>0</v>
      </c>
    </row>
    <row r="125" spans="1:84" ht="17.25" hidden="1" customHeight="1">
      <c r="A125" s="117"/>
      <c r="B125" s="209" t="s">
        <v>2046</v>
      </c>
      <c r="C125" s="209" t="s">
        <v>2181</v>
      </c>
      <c r="D125" s="209" t="s">
        <v>1296</v>
      </c>
      <c r="E125" s="209" t="s">
        <v>1806</v>
      </c>
      <c r="F125" s="209" t="s">
        <v>1522</v>
      </c>
      <c r="G125" s="209" t="s">
        <v>1508</v>
      </c>
      <c r="H125" s="210">
        <v>2053</v>
      </c>
      <c r="I125" s="211" t="s">
        <v>147</v>
      </c>
      <c r="J125" s="144">
        <v>3</v>
      </c>
      <c r="K125" s="145">
        <f t="shared" si="153"/>
        <v>1</v>
      </c>
      <c r="L125" s="202">
        <f t="shared" si="196"/>
        <v>3</v>
      </c>
      <c r="M125" s="212">
        <v>28.6</v>
      </c>
      <c r="N125" s="203">
        <f t="shared" si="197"/>
        <v>85.800000000000011</v>
      </c>
      <c r="O125" s="212" t="s">
        <v>137</v>
      </c>
      <c r="P125" s="212" t="s">
        <v>13</v>
      </c>
      <c r="Q125" s="212" t="s">
        <v>148</v>
      </c>
      <c r="R125" s="212"/>
      <c r="S125" s="212"/>
      <c r="T125" s="203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3</v>
      </c>
      <c r="U125" s="203">
        <f t="shared" ca="1" si="198"/>
        <v>0</v>
      </c>
      <c r="V125" s="203">
        <f t="shared" ca="1" si="199"/>
        <v>1</v>
      </c>
      <c r="W125" s="212"/>
      <c r="X125" s="212"/>
      <c r="Y125" s="212"/>
      <c r="Z125" s="212"/>
      <c r="AA125" s="212"/>
      <c r="AB125" s="212"/>
      <c r="AC125" s="214" t="s">
        <v>196</v>
      </c>
      <c r="AD125" s="215" t="s">
        <v>2039</v>
      </c>
      <c r="AE125" s="148"/>
      <c r="AF125" s="212" t="str">
        <f t="shared" si="154"/>
        <v>AMC2-S1</v>
      </c>
      <c r="AG125" s="212">
        <f t="shared" si="155"/>
        <v>1</v>
      </c>
      <c r="AH125" s="203">
        <f t="shared" si="200"/>
        <v>3</v>
      </c>
      <c r="AI125" s="203">
        <f t="shared" ca="1" si="201"/>
        <v>3</v>
      </c>
      <c r="AJ125" s="203">
        <f t="shared" ca="1" si="202"/>
        <v>0</v>
      </c>
      <c r="AK125" s="212" t="str">
        <f t="shared" si="156"/>
        <v>N/A</v>
      </c>
      <c r="AL125" s="212">
        <f t="shared" si="157"/>
        <v>0</v>
      </c>
      <c r="AM125" s="203">
        <f t="shared" si="203"/>
        <v>0</v>
      </c>
      <c r="AN125" s="203">
        <f t="shared" ca="1" si="204"/>
        <v>0</v>
      </c>
      <c r="AO125" s="203">
        <f t="shared" ca="1" si="205"/>
        <v>0</v>
      </c>
      <c r="AP125" s="212" t="str">
        <f t="shared" si="158"/>
        <v>N/A</v>
      </c>
      <c r="AQ125" s="212">
        <f t="shared" si="159"/>
        <v>0</v>
      </c>
      <c r="AR125" s="203">
        <f t="shared" si="206"/>
        <v>0</v>
      </c>
      <c r="AS125" s="203">
        <f t="shared" ca="1" si="207"/>
        <v>0</v>
      </c>
      <c r="AT125" s="203">
        <f t="shared" ca="1" si="208"/>
        <v>0</v>
      </c>
      <c r="AU125" s="212" t="str">
        <f t="shared" si="160"/>
        <v>N/A</v>
      </c>
      <c r="AV125" s="212">
        <f t="shared" si="161"/>
        <v>0</v>
      </c>
      <c r="AW125" s="203">
        <f t="shared" si="209"/>
        <v>0</v>
      </c>
      <c r="AX125" s="203">
        <f t="shared" ca="1" si="210"/>
        <v>0</v>
      </c>
      <c r="AY125" s="203">
        <f t="shared" ca="1" si="211"/>
        <v>0</v>
      </c>
      <c r="AZ125" s="212"/>
      <c r="BA125" s="213" t="s">
        <v>141</v>
      </c>
      <c r="BB125" s="213" t="s">
        <v>140</v>
      </c>
      <c r="BC125" s="213" t="s">
        <v>140</v>
      </c>
      <c r="BD125" s="213" t="s">
        <v>140</v>
      </c>
      <c r="BE125" s="148"/>
      <c r="BF125" s="212" t="s">
        <v>1789</v>
      </c>
      <c r="BG125" s="117"/>
      <c r="BH125" s="155"/>
      <c r="BI125" s="216"/>
      <c r="BJ125" s="216"/>
      <c r="BK125" s="216"/>
      <c r="BL125" s="149"/>
      <c r="BM125" s="149"/>
      <c r="BN125" s="149"/>
      <c r="BO125" s="149"/>
      <c r="BP125" s="149"/>
      <c r="BQ125" s="149"/>
      <c r="BR125" s="117">
        <v>0</v>
      </c>
      <c r="BS125" s="117">
        <v>0</v>
      </c>
      <c r="BT125" s="117">
        <v>0</v>
      </c>
      <c r="BU125" s="117">
        <v>1</v>
      </c>
      <c r="BV125" s="117">
        <v>0</v>
      </c>
      <c r="BW125" s="117">
        <v>0</v>
      </c>
      <c r="BX125" s="117">
        <v>0</v>
      </c>
      <c r="BY125" s="117" t="s">
        <v>1790</v>
      </c>
      <c r="BZ125" s="117" t="s">
        <v>1022</v>
      </c>
      <c r="CA125" s="144">
        <v>3</v>
      </c>
      <c r="CB125" s="149">
        <v>46206</v>
      </c>
      <c r="CC125" s="155"/>
      <c r="CD125" s="155"/>
      <c r="CE125" s="217"/>
      <c r="CF125" s="148">
        <f t="shared" si="212"/>
        <v>0</v>
      </c>
    </row>
    <row r="126" spans="1:84" ht="17.25" hidden="1" customHeight="1">
      <c r="A126" s="117"/>
      <c r="B126" s="209" t="s">
        <v>2046</v>
      </c>
      <c r="C126" s="209" t="s">
        <v>2181</v>
      </c>
      <c r="D126" s="209" t="s">
        <v>1296</v>
      </c>
      <c r="E126" s="209" t="s">
        <v>1807</v>
      </c>
      <c r="F126" s="209" t="s">
        <v>1523</v>
      </c>
      <c r="G126" s="209" t="s">
        <v>1524</v>
      </c>
      <c r="H126" s="210">
        <v>1805</v>
      </c>
      <c r="I126" s="211" t="s">
        <v>147</v>
      </c>
      <c r="J126" s="144">
        <v>2</v>
      </c>
      <c r="K126" s="145">
        <f t="shared" si="153"/>
        <v>1</v>
      </c>
      <c r="L126" s="202">
        <f t="shared" si="196"/>
        <v>2</v>
      </c>
      <c r="M126" s="212">
        <v>48.7</v>
      </c>
      <c r="N126" s="203">
        <f t="shared" si="197"/>
        <v>97.4</v>
      </c>
      <c r="O126" s="212" t="s">
        <v>137</v>
      </c>
      <c r="P126" s="212" t="s">
        <v>13</v>
      </c>
      <c r="Q126" s="212" t="s">
        <v>148</v>
      </c>
      <c r="R126" s="212"/>
      <c r="S126" s="212"/>
      <c r="T126" s="203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2</v>
      </c>
      <c r="U126" s="203">
        <f t="shared" ca="1" si="198"/>
        <v>0</v>
      </c>
      <c r="V126" s="203">
        <f t="shared" ca="1" si="199"/>
        <v>1</v>
      </c>
      <c r="W126" s="212"/>
      <c r="X126" s="212"/>
      <c r="Y126" s="212"/>
      <c r="Z126" s="212"/>
      <c r="AA126" s="212"/>
      <c r="AB126" s="212"/>
      <c r="AC126" s="214" t="s">
        <v>196</v>
      </c>
      <c r="AD126" s="215" t="s">
        <v>2039</v>
      </c>
      <c r="AE126" s="148"/>
      <c r="AF126" s="212" t="str">
        <f t="shared" si="154"/>
        <v>AMC2-S1</v>
      </c>
      <c r="AG126" s="212">
        <f t="shared" si="155"/>
        <v>1</v>
      </c>
      <c r="AH126" s="203">
        <f t="shared" si="200"/>
        <v>2</v>
      </c>
      <c r="AI126" s="203">
        <f t="shared" ca="1" si="201"/>
        <v>2</v>
      </c>
      <c r="AJ126" s="203">
        <f t="shared" ca="1" si="202"/>
        <v>0</v>
      </c>
      <c r="AK126" s="212" t="str">
        <f t="shared" si="156"/>
        <v>N/A</v>
      </c>
      <c r="AL126" s="212">
        <f t="shared" si="157"/>
        <v>0</v>
      </c>
      <c r="AM126" s="203">
        <f t="shared" si="203"/>
        <v>0</v>
      </c>
      <c r="AN126" s="203">
        <f t="shared" ca="1" si="204"/>
        <v>0</v>
      </c>
      <c r="AO126" s="203">
        <f t="shared" ca="1" si="205"/>
        <v>0</v>
      </c>
      <c r="AP126" s="212" t="str">
        <f t="shared" si="158"/>
        <v>N/A</v>
      </c>
      <c r="AQ126" s="212">
        <f t="shared" si="159"/>
        <v>0</v>
      </c>
      <c r="AR126" s="203">
        <f t="shared" si="206"/>
        <v>0</v>
      </c>
      <c r="AS126" s="203">
        <f t="shared" ca="1" si="207"/>
        <v>0</v>
      </c>
      <c r="AT126" s="203">
        <f t="shared" ca="1" si="208"/>
        <v>0</v>
      </c>
      <c r="AU126" s="212" t="str">
        <f t="shared" si="160"/>
        <v>N/A</v>
      </c>
      <c r="AV126" s="212">
        <f t="shared" si="161"/>
        <v>0</v>
      </c>
      <c r="AW126" s="203">
        <f t="shared" si="209"/>
        <v>0</v>
      </c>
      <c r="AX126" s="203">
        <f t="shared" ca="1" si="210"/>
        <v>0</v>
      </c>
      <c r="AY126" s="203">
        <f t="shared" ca="1" si="211"/>
        <v>0</v>
      </c>
      <c r="AZ126" s="212"/>
      <c r="BA126" s="213" t="s">
        <v>141</v>
      </c>
      <c r="BB126" s="213" t="s">
        <v>140</v>
      </c>
      <c r="BC126" s="213" t="s">
        <v>140</v>
      </c>
      <c r="BD126" s="213" t="s">
        <v>140</v>
      </c>
      <c r="BE126" s="148"/>
      <c r="BF126" s="212" t="s">
        <v>1789</v>
      </c>
      <c r="BG126" s="117"/>
      <c r="BH126" s="155"/>
      <c r="BI126" s="216"/>
      <c r="BJ126" s="216"/>
      <c r="BK126" s="216"/>
      <c r="BL126" s="149"/>
      <c r="BM126" s="149"/>
      <c r="BN126" s="149"/>
      <c r="BO126" s="149"/>
      <c r="BP126" s="149"/>
      <c r="BQ126" s="149"/>
      <c r="BR126" s="117">
        <v>0</v>
      </c>
      <c r="BS126" s="117">
        <v>0</v>
      </c>
      <c r="BT126" s="117">
        <v>0</v>
      </c>
      <c r="BU126" s="117">
        <v>0</v>
      </c>
      <c r="BV126" s="117">
        <v>0</v>
      </c>
      <c r="BW126" s="117">
        <v>0</v>
      </c>
      <c r="BX126" s="117">
        <v>0</v>
      </c>
      <c r="BY126" s="117" t="s">
        <v>1790</v>
      </c>
      <c r="BZ126" s="117" t="s">
        <v>1307</v>
      </c>
      <c r="CA126" s="117">
        <v>2</v>
      </c>
      <c r="CB126" s="234">
        <v>46242</v>
      </c>
      <c r="CC126" s="155"/>
      <c r="CD126" s="117"/>
      <c r="CE126" s="217"/>
      <c r="CF126" s="148">
        <f t="shared" si="212"/>
        <v>0</v>
      </c>
    </row>
    <row r="127" spans="1:84" ht="17.25" hidden="1" customHeight="1">
      <c r="A127" s="117"/>
      <c r="B127" s="209" t="s">
        <v>2046</v>
      </c>
      <c r="C127" s="209" t="s">
        <v>2181</v>
      </c>
      <c r="D127" s="209" t="s">
        <v>1084</v>
      </c>
      <c r="E127" s="209" t="s">
        <v>1818</v>
      </c>
      <c r="F127" s="209" t="s">
        <v>1525</v>
      </c>
      <c r="G127" s="209" t="s">
        <v>1526</v>
      </c>
      <c r="H127" s="210">
        <v>2550</v>
      </c>
      <c r="I127" s="211" t="s">
        <v>147</v>
      </c>
      <c r="J127" s="144">
        <v>1</v>
      </c>
      <c r="K127" s="145">
        <f t="shared" si="153"/>
        <v>1</v>
      </c>
      <c r="L127" s="202">
        <f t="shared" si="196"/>
        <v>1</v>
      </c>
      <c r="M127" s="212">
        <v>434.1</v>
      </c>
      <c r="N127" s="203">
        <f t="shared" si="197"/>
        <v>434.1</v>
      </c>
      <c r="O127" s="212" t="s">
        <v>137</v>
      </c>
      <c r="P127" s="212" t="s">
        <v>13</v>
      </c>
      <c r="Q127" s="212" t="s">
        <v>154</v>
      </c>
      <c r="R127" s="212"/>
      <c r="S127" s="212"/>
      <c r="T127" s="203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</v>
      </c>
      <c r="U127" s="203">
        <f t="shared" ca="1" si="198"/>
        <v>0</v>
      </c>
      <c r="V127" s="203">
        <f t="shared" ca="1" si="199"/>
        <v>1</v>
      </c>
      <c r="W127" s="212"/>
      <c r="X127" s="212"/>
      <c r="Y127" s="212"/>
      <c r="Z127" s="212"/>
      <c r="AA127" s="212"/>
      <c r="AB127" s="212"/>
      <c r="AC127" s="214" t="s">
        <v>196</v>
      </c>
      <c r="AD127" s="215" t="s">
        <v>2039</v>
      </c>
      <c r="AE127" s="148"/>
      <c r="AF127" s="212" t="str">
        <f t="shared" si="154"/>
        <v>AMC2-S1</v>
      </c>
      <c r="AG127" s="212">
        <f t="shared" si="155"/>
        <v>1</v>
      </c>
      <c r="AH127" s="203">
        <f t="shared" si="200"/>
        <v>1</v>
      </c>
      <c r="AI127" s="203">
        <f t="shared" ca="1" si="201"/>
        <v>1</v>
      </c>
      <c r="AJ127" s="203">
        <f t="shared" ca="1" si="202"/>
        <v>0</v>
      </c>
      <c r="AK127" s="212" t="str">
        <f t="shared" si="156"/>
        <v>N/A</v>
      </c>
      <c r="AL127" s="212">
        <f t="shared" si="157"/>
        <v>0</v>
      </c>
      <c r="AM127" s="203">
        <f t="shared" si="203"/>
        <v>0</v>
      </c>
      <c r="AN127" s="203">
        <f t="shared" ca="1" si="204"/>
        <v>0</v>
      </c>
      <c r="AO127" s="203">
        <f t="shared" ca="1" si="205"/>
        <v>0</v>
      </c>
      <c r="AP127" s="212" t="str">
        <f t="shared" si="158"/>
        <v>N/A</v>
      </c>
      <c r="AQ127" s="212">
        <f t="shared" si="159"/>
        <v>0</v>
      </c>
      <c r="AR127" s="203">
        <f t="shared" si="206"/>
        <v>0</v>
      </c>
      <c r="AS127" s="203">
        <f t="shared" ca="1" si="207"/>
        <v>0</v>
      </c>
      <c r="AT127" s="203">
        <f t="shared" ca="1" si="208"/>
        <v>0</v>
      </c>
      <c r="AU127" s="212" t="str">
        <f t="shared" si="160"/>
        <v>N/A</v>
      </c>
      <c r="AV127" s="212">
        <f t="shared" si="161"/>
        <v>0</v>
      </c>
      <c r="AW127" s="203">
        <f t="shared" si="209"/>
        <v>0</v>
      </c>
      <c r="AX127" s="203">
        <f t="shared" ca="1" si="210"/>
        <v>0</v>
      </c>
      <c r="AY127" s="203">
        <f t="shared" ca="1" si="211"/>
        <v>0</v>
      </c>
      <c r="AZ127" s="212"/>
      <c r="BA127" s="213" t="s">
        <v>141</v>
      </c>
      <c r="BB127" s="213" t="s">
        <v>140</v>
      </c>
      <c r="BC127" s="213" t="s">
        <v>140</v>
      </c>
      <c r="BD127" s="213" t="s">
        <v>140</v>
      </c>
      <c r="BE127" s="148"/>
      <c r="BF127" s="212" t="s">
        <v>1789</v>
      </c>
      <c r="BG127" s="117"/>
      <c r="BH127" s="155"/>
      <c r="BI127" s="216"/>
      <c r="BJ127" s="216"/>
      <c r="BK127" s="216"/>
      <c r="BL127" s="149"/>
      <c r="BM127" s="149"/>
      <c r="BN127" s="149"/>
      <c r="BO127" s="149"/>
      <c r="BP127" s="149"/>
      <c r="BQ127" s="149"/>
      <c r="BR127" s="117">
        <v>0</v>
      </c>
      <c r="BS127" s="117">
        <v>1</v>
      </c>
      <c r="BT127" s="117">
        <v>0</v>
      </c>
      <c r="BU127" s="117">
        <v>1</v>
      </c>
      <c r="BV127" s="117">
        <v>0</v>
      </c>
      <c r="BW127" s="117">
        <v>0</v>
      </c>
      <c r="BX127" s="117">
        <v>0</v>
      </c>
      <c r="BY127" s="117" t="s">
        <v>1790</v>
      </c>
      <c r="BZ127" s="117" t="s">
        <v>57</v>
      </c>
      <c r="CA127" s="117">
        <v>1</v>
      </c>
      <c r="CB127" s="149"/>
      <c r="CC127" s="155"/>
      <c r="CD127" s="155"/>
      <c r="CE127" s="217"/>
      <c r="CF127" s="148">
        <f t="shared" si="212"/>
        <v>0</v>
      </c>
    </row>
    <row r="128" spans="1:84" ht="17.25" hidden="1" customHeight="1">
      <c r="A128" s="117"/>
      <c r="B128" s="209" t="s">
        <v>2046</v>
      </c>
      <c r="C128" s="209" t="s">
        <v>2181</v>
      </c>
      <c r="D128" s="209" t="s">
        <v>1296</v>
      </c>
      <c r="E128" s="209" t="s">
        <v>1819</v>
      </c>
      <c r="F128" s="209" t="s">
        <v>1527</v>
      </c>
      <c r="G128" s="209" t="s">
        <v>1125</v>
      </c>
      <c r="H128" s="210">
        <v>200</v>
      </c>
      <c r="I128" s="211" t="s">
        <v>147</v>
      </c>
      <c r="J128" s="144">
        <v>2</v>
      </c>
      <c r="K128" s="145">
        <f t="shared" si="153"/>
        <v>1</v>
      </c>
      <c r="L128" s="202">
        <f t="shared" si="196"/>
        <v>2</v>
      </c>
      <c r="M128" s="212">
        <v>5.5</v>
      </c>
      <c r="N128" s="203">
        <f t="shared" si="197"/>
        <v>11</v>
      </c>
      <c r="O128" s="212" t="s">
        <v>137</v>
      </c>
      <c r="P128" s="212" t="s">
        <v>13</v>
      </c>
      <c r="Q128" s="212" t="s">
        <v>148</v>
      </c>
      <c r="R128" s="212"/>
      <c r="S128" s="212"/>
      <c r="T128" s="203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2</v>
      </c>
      <c r="U128" s="203">
        <f t="shared" ca="1" si="198"/>
        <v>0</v>
      </c>
      <c r="V128" s="203">
        <f t="shared" ca="1" si="199"/>
        <v>1</v>
      </c>
      <c r="W128" s="212"/>
      <c r="X128" s="212"/>
      <c r="Y128" s="212"/>
      <c r="Z128" s="212"/>
      <c r="AA128" s="212"/>
      <c r="AB128" s="212"/>
      <c r="AC128" s="214" t="s">
        <v>196</v>
      </c>
      <c r="AD128" s="215" t="s">
        <v>2039</v>
      </c>
      <c r="AE128" s="148"/>
      <c r="AF128" s="212" t="str">
        <f t="shared" si="154"/>
        <v>AMC2-S1</v>
      </c>
      <c r="AG128" s="212">
        <f t="shared" si="155"/>
        <v>1</v>
      </c>
      <c r="AH128" s="203">
        <f t="shared" si="200"/>
        <v>2</v>
      </c>
      <c r="AI128" s="203">
        <f t="shared" ca="1" si="201"/>
        <v>2</v>
      </c>
      <c r="AJ128" s="203">
        <f t="shared" ca="1" si="202"/>
        <v>0</v>
      </c>
      <c r="AK128" s="212" t="str">
        <f t="shared" si="156"/>
        <v>N/A</v>
      </c>
      <c r="AL128" s="212">
        <f t="shared" si="157"/>
        <v>0</v>
      </c>
      <c r="AM128" s="203">
        <f t="shared" si="203"/>
        <v>0</v>
      </c>
      <c r="AN128" s="203">
        <f t="shared" ca="1" si="204"/>
        <v>0</v>
      </c>
      <c r="AO128" s="203">
        <f t="shared" ca="1" si="205"/>
        <v>0</v>
      </c>
      <c r="AP128" s="212" t="str">
        <f t="shared" si="158"/>
        <v>N/A</v>
      </c>
      <c r="AQ128" s="212">
        <f t="shared" si="159"/>
        <v>0</v>
      </c>
      <c r="AR128" s="203">
        <f t="shared" si="206"/>
        <v>0</v>
      </c>
      <c r="AS128" s="203">
        <f t="shared" ca="1" si="207"/>
        <v>0</v>
      </c>
      <c r="AT128" s="203">
        <f t="shared" ca="1" si="208"/>
        <v>0</v>
      </c>
      <c r="AU128" s="212" t="str">
        <f t="shared" si="160"/>
        <v>N/A</v>
      </c>
      <c r="AV128" s="212">
        <f t="shared" si="161"/>
        <v>0</v>
      </c>
      <c r="AW128" s="203">
        <f t="shared" si="209"/>
        <v>0</v>
      </c>
      <c r="AX128" s="203">
        <f t="shared" ca="1" si="210"/>
        <v>0</v>
      </c>
      <c r="AY128" s="203">
        <f t="shared" ca="1" si="211"/>
        <v>0</v>
      </c>
      <c r="AZ128" s="212"/>
      <c r="BA128" s="213" t="s">
        <v>141</v>
      </c>
      <c r="BB128" s="213" t="s">
        <v>140</v>
      </c>
      <c r="BC128" s="213" t="s">
        <v>140</v>
      </c>
      <c r="BD128" s="213" t="s">
        <v>140</v>
      </c>
      <c r="BE128" s="148"/>
      <c r="BF128" s="212" t="s">
        <v>1789</v>
      </c>
      <c r="BG128" s="117"/>
      <c r="BH128" s="155"/>
      <c r="BI128" s="216"/>
      <c r="BJ128" s="216"/>
      <c r="BK128" s="216"/>
      <c r="BL128" s="149"/>
      <c r="BM128" s="149"/>
      <c r="BN128" s="149"/>
      <c r="BO128" s="149"/>
      <c r="BP128" s="149"/>
      <c r="BQ128" s="149"/>
      <c r="BR128" s="117">
        <v>1</v>
      </c>
      <c r="BS128" s="117">
        <v>0</v>
      </c>
      <c r="BT128" s="117">
        <v>0</v>
      </c>
      <c r="BU128" s="117">
        <v>0</v>
      </c>
      <c r="BV128" s="117">
        <v>0</v>
      </c>
      <c r="BW128" s="117">
        <v>0</v>
      </c>
      <c r="BX128" s="117">
        <v>0</v>
      </c>
      <c r="BY128" s="117" t="s">
        <v>1790</v>
      </c>
      <c r="BZ128" s="117" t="s">
        <v>1303</v>
      </c>
      <c r="CA128" s="117">
        <v>2</v>
      </c>
      <c r="CB128" s="149">
        <v>46206</v>
      </c>
      <c r="CC128" s="155"/>
      <c r="CD128" s="117"/>
      <c r="CE128" s="217"/>
      <c r="CF128" s="148">
        <f t="shared" si="212"/>
        <v>0</v>
      </c>
    </row>
    <row r="129" spans="1:84" ht="17.25" hidden="1" customHeight="1">
      <c r="A129" s="117"/>
      <c r="B129" s="209" t="s">
        <v>2046</v>
      </c>
      <c r="C129" s="209" t="s">
        <v>2181</v>
      </c>
      <c r="D129" s="209" t="s">
        <v>1296</v>
      </c>
      <c r="E129" s="209" t="s">
        <v>1820</v>
      </c>
      <c r="F129" s="209" t="s">
        <v>1528</v>
      </c>
      <c r="G129" s="209" t="s">
        <v>1123</v>
      </c>
      <c r="H129" s="210">
        <v>320</v>
      </c>
      <c r="I129" s="211" t="s">
        <v>147</v>
      </c>
      <c r="J129" s="144">
        <v>2</v>
      </c>
      <c r="K129" s="145">
        <f t="shared" si="153"/>
        <v>1</v>
      </c>
      <c r="L129" s="202">
        <f t="shared" si="196"/>
        <v>2</v>
      </c>
      <c r="M129" s="212">
        <v>7.6</v>
      </c>
      <c r="N129" s="203">
        <f t="shared" si="197"/>
        <v>15.2</v>
      </c>
      <c r="O129" s="212" t="s">
        <v>137</v>
      </c>
      <c r="P129" s="212" t="s">
        <v>13</v>
      </c>
      <c r="Q129" s="212" t="s">
        <v>148</v>
      </c>
      <c r="R129" s="212"/>
      <c r="S129" s="212"/>
      <c r="T129" s="203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</v>
      </c>
      <c r="U129" s="203">
        <f t="shared" ca="1" si="198"/>
        <v>0</v>
      </c>
      <c r="V129" s="203">
        <f t="shared" ca="1" si="199"/>
        <v>1</v>
      </c>
      <c r="W129" s="212"/>
      <c r="X129" s="212"/>
      <c r="Y129" s="212"/>
      <c r="Z129" s="212"/>
      <c r="AA129" s="212"/>
      <c r="AB129" s="212"/>
      <c r="AC129" s="214" t="s">
        <v>196</v>
      </c>
      <c r="AD129" s="215" t="s">
        <v>2039</v>
      </c>
      <c r="AE129" s="148"/>
      <c r="AF129" s="212" t="str">
        <f t="shared" si="154"/>
        <v>AMC2-S1</v>
      </c>
      <c r="AG129" s="212">
        <f t="shared" si="155"/>
        <v>1</v>
      </c>
      <c r="AH129" s="203">
        <f t="shared" si="200"/>
        <v>2</v>
      </c>
      <c r="AI129" s="203">
        <f t="shared" ca="1" si="201"/>
        <v>2</v>
      </c>
      <c r="AJ129" s="203">
        <f t="shared" ca="1" si="202"/>
        <v>0</v>
      </c>
      <c r="AK129" s="212" t="str">
        <f t="shared" si="156"/>
        <v>N/A</v>
      </c>
      <c r="AL129" s="212">
        <f t="shared" si="157"/>
        <v>0</v>
      </c>
      <c r="AM129" s="203">
        <f t="shared" si="203"/>
        <v>0</v>
      </c>
      <c r="AN129" s="203">
        <f t="shared" ca="1" si="204"/>
        <v>0</v>
      </c>
      <c r="AO129" s="203">
        <f t="shared" ca="1" si="205"/>
        <v>0</v>
      </c>
      <c r="AP129" s="212" t="str">
        <f t="shared" si="158"/>
        <v>N/A</v>
      </c>
      <c r="AQ129" s="212">
        <f t="shared" si="159"/>
        <v>0</v>
      </c>
      <c r="AR129" s="203">
        <f t="shared" si="206"/>
        <v>0</v>
      </c>
      <c r="AS129" s="203">
        <f t="shared" ca="1" si="207"/>
        <v>0</v>
      </c>
      <c r="AT129" s="203">
        <f t="shared" ca="1" si="208"/>
        <v>0</v>
      </c>
      <c r="AU129" s="212" t="str">
        <f t="shared" si="160"/>
        <v>N/A</v>
      </c>
      <c r="AV129" s="212">
        <f t="shared" si="161"/>
        <v>0</v>
      </c>
      <c r="AW129" s="203">
        <f t="shared" si="209"/>
        <v>0</v>
      </c>
      <c r="AX129" s="203">
        <f t="shared" ca="1" si="210"/>
        <v>0</v>
      </c>
      <c r="AY129" s="203">
        <f t="shared" ca="1" si="211"/>
        <v>0</v>
      </c>
      <c r="AZ129" s="212"/>
      <c r="BA129" s="213" t="s">
        <v>141</v>
      </c>
      <c r="BB129" s="213" t="s">
        <v>140</v>
      </c>
      <c r="BC129" s="213" t="s">
        <v>140</v>
      </c>
      <c r="BD129" s="213" t="s">
        <v>140</v>
      </c>
      <c r="BE129" s="148"/>
      <c r="BF129" s="212" t="s">
        <v>1789</v>
      </c>
      <c r="BG129" s="117"/>
      <c r="BH129" s="155"/>
      <c r="BI129" s="216"/>
      <c r="BJ129" s="216"/>
      <c r="BK129" s="216"/>
      <c r="BL129" s="149"/>
      <c r="BM129" s="149"/>
      <c r="BN129" s="149"/>
      <c r="BO129" s="149"/>
      <c r="BP129" s="149"/>
      <c r="BQ129" s="149"/>
      <c r="BR129" s="117">
        <v>1</v>
      </c>
      <c r="BS129" s="117">
        <v>0</v>
      </c>
      <c r="BT129" s="117">
        <v>0</v>
      </c>
      <c r="BU129" s="117">
        <v>0</v>
      </c>
      <c r="BV129" s="117">
        <v>0</v>
      </c>
      <c r="BW129" s="117">
        <v>0</v>
      </c>
      <c r="BX129" s="117">
        <v>0</v>
      </c>
      <c r="BY129" s="117" t="s">
        <v>1790</v>
      </c>
      <c r="BZ129" s="117" t="s">
        <v>1307</v>
      </c>
      <c r="CA129" s="117">
        <v>2</v>
      </c>
      <c r="CB129" s="234">
        <v>46242</v>
      </c>
      <c r="CC129" s="155"/>
      <c r="CD129" s="117"/>
      <c r="CE129" s="217"/>
      <c r="CF129" s="148">
        <f t="shared" si="212"/>
        <v>0</v>
      </c>
    </row>
    <row r="130" spans="1:84" ht="17.25" hidden="1" customHeight="1">
      <c r="A130" s="186"/>
      <c r="B130" s="187" t="s">
        <v>2046</v>
      </c>
      <c r="C130" s="187" t="s">
        <v>2216</v>
      </c>
      <c r="D130" s="187"/>
      <c r="E130" s="187"/>
      <c r="F130" s="187"/>
      <c r="G130" s="187" t="s">
        <v>2049</v>
      </c>
      <c r="H130" s="188"/>
      <c r="I130" s="189"/>
      <c r="J130" s="190"/>
      <c r="K130" s="191">
        <f t="shared" si="153"/>
        <v>1</v>
      </c>
      <c r="L130" s="190"/>
      <c r="M130" s="192">
        <v>2124.1</v>
      </c>
      <c r="N130" s="192">
        <v>2124.1</v>
      </c>
      <c r="O130" s="192" t="s">
        <v>137</v>
      </c>
      <c r="P130" s="192"/>
      <c r="Q130" s="192"/>
      <c r="R130" s="192"/>
      <c r="S130" s="192"/>
      <c r="T130" s="192"/>
      <c r="U130" s="192"/>
      <c r="V130" s="192"/>
      <c r="W130" s="192">
        <f ca="1">_xlfn.MINIFS(V:V,C:C,C130,AE:AE,"",AB:AB,"")</f>
        <v>1</v>
      </c>
      <c r="X130" s="192">
        <f ca="1">SUMIFS(T:T,C:C,C130,AE:AE,"")/SUMIFS(L:L,C:C,C130,AE:AE,"",AB:AB,"")</f>
        <v>1</v>
      </c>
      <c r="Y130" s="192"/>
      <c r="Z130" s="192"/>
      <c r="AA130" s="192"/>
      <c r="AB130" s="192"/>
      <c r="AC130" s="194" t="s">
        <v>196</v>
      </c>
      <c r="AD130" s="195" t="s">
        <v>2039</v>
      </c>
      <c r="AE130" s="196" t="s">
        <v>1787</v>
      </c>
      <c r="AF130" s="192" t="str">
        <f t="shared" si="154"/>
        <v>AMC2-S1</v>
      </c>
      <c r="AG130" s="192">
        <f t="shared" si="155"/>
        <v>1</v>
      </c>
      <c r="AH130" s="192"/>
      <c r="AI130" s="192"/>
      <c r="AJ130" s="192"/>
      <c r="AK130" s="192" t="str">
        <f t="shared" si="156"/>
        <v>N/A</v>
      </c>
      <c r="AL130" s="192">
        <f t="shared" si="157"/>
        <v>0</v>
      </c>
      <c r="AM130" s="192"/>
      <c r="AN130" s="192"/>
      <c r="AO130" s="192"/>
      <c r="AP130" s="192" t="str">
        <f t="shared" si="158"/>
        <v>N/A</v>
      </c>
      <c r="AQ130" s="192">
        <f t="shared" si="159"/>
        <v>0</v>
      </c>
      <c r="AR130" s="192"/>
      <c r="AS130" s="192"/>
      <c r="AT130" s="192"/>
      <c r="AU130" s="192" t="str">
        <f t="shared" si="160"/>
        <v>N/A</v>
      </c>
      <c r="AV130" s="192">
        <f t="shared" si="161"/>
        <v>0</v>
      </c>
      <c r="AW130" s="192"/>
      <c r="AX130" s="192"/>
      <c r="AY130" s="192"/>
      <c r="AZ130" s="192"/>
      <c r="BA130" s="193" t="s">
        <v>141</v>
      </c>
      <c r="BB130" s="193" t="s">
        <v>140</v>
      </c>
      <c r="BC130" s="193" t="s">
        <v>140</v>
      </c>
      <c r="BD130" s="193" t="s">
        <v>140</v>
      </c>
      <c r="BE130" s="196" t="s">
        <v>741</v>
      </c>
      <c r="BF130" s="192"/>
      <c r="BG130" s="186"/>
      <c r="BH130" s="186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86"/>
      <c r="BS130" s="186"/>
      <c r="BT130" s="186"/>
      <c r="BU130" s="186"/>
      <c r="BV130" s="186"/>
      <c r="BW130" s="186"/>
      <c r="BX130" s="186"/>
      <c r="BY130" s="186"/>
      <c r="BZ130" s="186"/>
      <c r="CA130" s="186"/>
      <c r="CB130" s="197"/>
      <c r="CC130" s="186"/>
      <c r="CD130" s="186"/>
      <c r="CE130" s="198"/>
      <c r="CF130" s="198"/>
    </row>
    <row r="131" spans="1:84" ht="17.25" hidden="1" customHeight="1">
      <c r="A131" s="117"/>
      <c r="B131" s="209" t="s">
        <v>2046</v>
      </c>
      <c r="C131" s="209" t="s">
        <v>2216</v>
      </c>
      <c r="D131" s="209" t="s">
        <v>1084</v>
      </c>
      <c r="E131" s="209" t="s">
        <v>1788</v>
      </c>
      <c r="F131" s="209" t="s">
        <v>1499</v>
      </c>
      <c r="G131" s="209" t="s">
        <v>1477</v>
      </c>
      <c r="H131" s="210">
        <v>3622</v>
      </c>
      <c r="I131" s="211" t="s">
        <v>147</v>
      </c>
      <c r="J131" s="144">
        <v>1</v>
      </c>
      <c r="K131" s="145">
        <f t="shared" si="153"/>
        <v>1</v>
      </c>
      <c r="L131" s="202">
        <f t="shared" ref="L131:L142" si="213">+J131*K131</f>
        <v>1</v>
      </c>
      <c r="M131" s="212">
        <v>493.5</v>
      </c>
      <c r="N131" s="203">
        <f t="shared" ref="N131:N142" si="214">+M131*L131</f>
        <v>493.5</v>
      </c>
      <c r="O131" s="212" t="s">
        <v>137</v>
      </c>
      <c r="P131" s="212" t="s">
        <v>13</v>
      </c>
      <c r="Q131" s="212" t="s">
        <v>154</v>
      </c>
      <c r="R131" s="212"/>
      <c r="S131" s="212"/>
      <c r="T131" s="203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1</v>
      </c>
      <c r="U131" s="203">
        <f t="shared" ref="U131:U142" ca="1" si="215">+L131-T131</f>
        <v>0</v>
      </c>
      <c r="V131" s="203">
        <f t="shared" ref="V131:V142" ca="1" si="216">ROUNDDOWN(T131/J131,0)</f>
        <v>1</v>
      </c>
      <c r="W131" s="212"/>
      <c r="X131" s="212"/>
      <c r="Y131" s="212"/>
      <c r="Z131" s="212"/>
      <c r="AA131" s="212"/>
      <c r="AB131" s="212"/>
      <c r="AC131" s="214" t="s">
        <v>196</v>
      </c>
      <c r="AD131" s="215" t="s">
        <v>2039</v>
      </c>
      <c r="AE131" s="148"/>
      <c r="AF131" s="212" t="str">
        <f t="shared" si="154"/>
        <v>AMC2-S1</v>
      </c>
      <c r="AG131" s="212">
        <f t="shared" si="155"/>
        <v>1</v>
      </c>
      <c r="AH131" s="203">
        <f t="shared" ref="AH131:AH142" si="217">+AG131*J131</f>
        <v>1</v>
      </c>
      <c r="AI131" s="203">
        <f t="shared" ref="AI131:AI142" ca="1" si="218">MIN(T131,AH131)</f>
        <v>1</v>
      </c>
      <c r="AJ131" s="203">
        <f t="shared" ref="AJ131:AJ142" ca="1" si="219">+AH131-AI131</f>
        <v>0</v>
      </c>
      <c r="AK131" s="212" t="str">
        <f t="shared" si="156"/>
        <v>N/A</v>
      </c>
      <c r="AL131" s="212">
        <f t="shared" si="157"/>
        <v>0</v>
      </c>
      <c r="AM131" s="203">
        <f t="shared" ref="AM131:AM142" si="220">+AL131*J131</f>
        <v>0</v>
      </c>
      <c r="AN131" s="203">
        <f t="shared" ref="AN131:AN142" ca="1" si="221">MIN(T131-AI131,AL131)</f>
        <v>0</v>
      </c>
      <c r="AO131" s="203">
        <f t="shared" ref="AO131:AO142" ca="1" si="222">+AM131-AN131</f>
        <v>0</v>
      </c>
      <c r="AP131" s="212" t="str">
        <f t="shared" si="158"/>
        <v>N/A</v>
      </c>
      <c r="AQ131" s="212">
        <f t="shared" si="159"/>
        <v>0</v>
      </c>
      <c r="AR131" s="203">
        <f t="shared" ref="AR131:AR142" si="223">+AQ131*J131</f>
        <v>0</v>
      </c>
      <c r="AS131" s="203">
        <f t="shared" ref="AS131:AS142" ca="1" si="224">MIN(T131-AI131-AN131,AR131)</f>
        <v>0</v>
      </c>
      <c r="AT131" s="203">
        <f t="shared" ref="AT131:AT142" ca="1" si="225">+AR131-AS131</f>
        <v>0</v>
      </c>
      <c r="AU131" s="212" t="str">
        <f t="shared" si="160"/>
        <v>N/A</v>
      </c>
      <c r="AV131" s="212">
        <f t="shared" si="161"/>
        <v>0</v>
      </c>
      <c r="AW131" s="203">
        <f t="shared" ref="AW131:AW142" si="226">+AV131*J131</f>
        <v>0</v>
      </c>
      <c r="AX131" s="203">
        <f t="shared" ref="AX131:AX142" ca="1" si="227">MIN(T131-AI131-AN131-AS131,AW131)</f>
        <v>0</v>
      </c>
      <c r="AY131" s="203">
        <f t="shared" ref="AY131:AY142" ca="1" si="228">+AW131-AX131</f>
        <v>0</v>
      </c>
      <c r="AZ131" s="212"/>
      <c r="BA131" s="213" t="s">
        <v>141</v>
      </c>
      <c r="BB131" s="213" t="s">
        <v>140</v>
      </c>
      <c r="BC131" s="213" t="s">
        <v>140</v>
      </c>
      <c r="BD131" s="213" t="s">
        <v>140</v>
      </c>
      <c r="BE131" s="148"/>
      <c r="BF131" s="212" t="s">
        <v>1789</v>
      </c>
      <c r="BG131" s="117"/>
      <c r="BH131" s="155"/>
      <c r="BI131" s="216"/>
      <c r="BJ131" s="216"/>
      <c r="BK131" s="216"/>
      <c r="BL131" s="149"/>
      <c r="BM131" s="149"/>
      <c r="BN131" s="149"/>
      <c r="BO131" s="149"/>
      <c r="BP131" s="149"/>
      <c r="BQ131" s="149"/>
      <c r="BR131" s="117">
        <v>0</v>
      </c>
      <c r="BS131" s="117">
        <v>1</v>
      </c>
      <c r="BT131" s="117">
        <v>0</v>
      </c>
      <c r="BU131" s="117">
        <v>1</v>
      </c>
      <c r="BV131" s="117">
        <v>0</v>
      </c>
      <c r="BW131" s="117">
        <v>0</v>
      </c>
      <c r="BX131" s="117">
        <v>0</v>
      </c>
      <c r="BY131" s="117" t="s">
        <v>1790</v>
      </c>
      <c r="BZ131" s="117" t="s">
        <v>57</v>
      </c>
      <c r="CA131" s="144">
        <v>1</v>
      </c>
      <c r="CB131" s="149"/>
      <c r="CC131" s="155"/>
      <c r="CD131" s="155"/>
      <c r="CE131" s="217"/>
      <c r="CF131" s="148">
        <f t="shared" ref="CF131:CF142" si="229">+L131-CA131</f>
        <v>0</v>
      </c>
    </row>
    <row r="132" spans="1:84" ht="17.25" hidden="1" customHeight="1">
      <c r="A132" s="117"/>
      <c r="B132" s="209" t="s">
        <v>2046</v>
      </c>
      <c r="C132" s="209" t="s">
        <v>2216</v>
      </c>
      <c r="D132" s="209" t="s">
        <v>1296</v>
      </c>
      <c r="E132" s="209" t="s">
        <v>1815</v>
      </c>
      <c r="F132" s="209" t="s">
        <v>1500</v>
      </c>
      <c r="G132" s="209" t="s">
        <v>1501</v>
      </c>
      <c r="H132" s="210">
        <v>640</v>
      </c>
      <c r="I132" s="211" t="s">
        <v>147</v>
      </c>
      <c r="J132" s="144">
        <v>1</v>
      </c>
      <c r="K132" s="145">
        <f t="shared" si="153"/>
        <v>1</v>
      </c>
      <c r="L132" s="202">
        <f t="shared" si="213"/>
        <v>1</v>
      </c>
      <c r="M132" s="212">
        <v>19.5</v>
      </c>
      <c r="N132" s="203">
        <f t="shared" si="214"/>
        <v>19.5</v>
      </c>
      <c r="O132" s="212" t="s">
        <v>137</v>
      </c>
      <c r="P132" s="212" t="s">
        <v>13</v>
      </c>
      <c r="Q132" s="212" t="s">
        <v>148</v>
      </c>
      <c r="R132" s="212"/>
      <c r="S132" s="212"/>
      <c r="T132" s="203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1</v>
      </c>
      <c r="U132" s="203">
        <f t="shared" ca="1" si="215"/>
        <v>0</v>
      </c>
      <c r="V132" s="203">
        <f t="shared" ca="1" si="216"/>
        <v>1</v>
      </c>
      <c r="W132" s="212"/>
      <c r="X132" s="212"/>
      <c r="Y132" s="212"/>
      <c r="Z132" s="212"/>
      <c r="AA132" s="212"/>
      <c r="AB132" s="212"/>
      <c r="AC132" s="214" t="s">
        <v>196</v>
      </c>
      <c r="AD132" s="215" t="s">
        <v>2039</v>
      </c>
      <c r="AE132" s="148"/>
      <c r="AF132" s="212" t="str">
        <f t="shared" si="154"/>
        <v>AMC2-S1</v>
      </c>
      <c r="AG132" s="212">
        <f t="shared" si="155"/>
        <v>1</v>
      </c>
      <c r="AH132" s="203">
        <f t="shared" si="217"/>
        <v>1</v>
      </c>
      <c r="AI132" s="203">
        <f t="shared" ca="1" si="218"/>
        <v>1</v>
      </c>
      <c r="AJ132" s="203">
        <f t="shared" ca="1" si="219"/>
        <v>0</v>
      </c>
      <c r="AK132" s="212" t="str">
        <f t="shared" si="156"/>
        <v>N/A</v>
      </c>
      <c r="AL132" s="212">
        <f t="shared" si="157"/>
        <v>0</v>
      </c>
      <c r="AM132" s="203">
        <f t="shared" si="220"/>
        <v>0</v>
      </c>
      <c r="AN132" s="203">
        <f t="shared" ca="1" si="221"/>
        <v>0</v>
      </c>
      <c r="AO132" s="203">
        <f t="shared" ca="1" si="222"/>
        <v>0</v>
      </c>
      <c r="AP132" s="212" t="str">
        <f t="shared" si="158"/>
        <v>N/A</v>
      </c>
      <c r="AQ132" s="212">
        <f t="shared" si="159"/>
        <v>0</v>
      </c>
      <c r="AR132" s="203">
        <f t="shared" si="223"/>
        <v>0</v>
      </c>
      <c r="AS132" s="203">
        <f t="shared" ca="1" si="224"/>
        <v>0</v>
      </c>
      <c r="AT132" s="203">
        <f t="shared" ca="1" si="225"/>
        <v>0</v>
      </c>
      <c r="AU132" s="212" t="str">
        <f t="shared" si="160"/>
        <v>N/A</v>
      </c>
      <c r="AV132" s="212">
        <f t="shared" si="161"/>
        <v>0</v>
      </c>
      <c r="AW132" s="203">
        <f t="shared" si="226"/>
        <v>0</v>
      </c>
      <c r="AX132" s="203">
        <f t="shared" ca="1" si="227"/>
        <v>0</v>
      </c>
      <c r="AY132" s="203">
        <f t="shared" ca="1" si="228"/>
        <v>0</v>
      </c>
      <c r="AZ132" s="212"/>
      <c r="BA132" s="213" t="s">
        <v>141</v>
      </c>
      <c r="BB132" s="213" t="s">
        <v>140</v>
      </c>
      <c r="BC132" s="213" t="s">
        <v>140</v>
      </c>
      <c r="BD132" s="213" t="s">
        <v>140</v>
      </c>
      <c r="BE132" s="148"/>
      <c r="BF132" s="212" t="s">
        <v>1789</v>
      </c>
      <c r="BG132" s="117"/>
      <c r="BH132" s="155"/>
      <c r="BI132" s="216"/>
      <c r="BJ132" s="216"/>
      <c r="BK132" s="216"/>
      <c r="BL132" s="149"/>
      <c r="BM132" s="149"/>
      <c r="BN132" s="149"/>
      <c r="BO132" s="149"/>
      <c r="BP132" s="149"/>
      <c r="BQ132" s="149"/>
      <c r="BR132" s="117">
        <v>1</v>
      </c>
      <c r="BS132" s="117">
        <v>0</v>
      </c>
      <c r="BT132" s="117">
        <v>0</v>
      </c>
      <c r="BU132" s="117">
        <v>0</v>
      </c>
      <c r="BV132" s="117">
        <v>0</v>
      </c>
      <c r="BW132" s="117">
        <v>0</v>
      </c>
      <c r="BX132" s="117">
        <v>0</v>
      </c>
      <c r="BY132" s="117" t="s">
        <v>1790</v>
      </c>
      <c r="BZ132" s="117" t="s">
        <v>1063</v>
      </c>
      <c r="CA132" s="117">
        <v>1</v>
      </c>
      <c r="CB132" s="149">
        <v>46206</v>
      </c>
      <c r="CC132" s="155"/>
      <c r="CD132" s="117"/>
      <c r="CE132" s="217"/>
      <c r="CF132" s="148">
        <f t="shared" si="229"/>
        <v>0</v>
      </c>
    </row>
    <row r="133" spans="1:84" ht="17.25" hidden="1" customHeight="1">
      <c r="A133" s="117"/>
      <c r="B133" s="209" t="s">
        <v>2046</v>
      </c>
      <c r="C133" s="209" t="s">
        <v>2216</v>
      </c>
      <c r="D133" s="209" t="s">
        <v>1296</v>
      </c>
      <c r="E133" s="209" t="s">
        <v>1805</v>
      </c>
      <c r="F133" s="209" t="s">
        <v>1502</v>
      </c>
      <c r="G133" s="209" t="s">
        <v>1503</v>
      </c>
      <c r="H133" s="210">
        <v>1805</v>
      </c>
      <c r="I133" s="211" t="s">
        <v>147</v>
      </c>
      <c r="J133" s="144">
        <v>2</v>
      </c>
      <c r="K133" s="145">
        <f t="shared" si="153"/>
        <v>1</v>
      </c>
      <c r="L133" s="202">
        <f t="shared" si="213"/>
        <v>2</v>
      </c>
      <c r="M133" s="212">
        <v>48.1</v>
      </c>
      <c r="N133" s="203">
        <f t="shared" si="214"/>
        <v>96.2</v>
      </c>
      <c r="O133" s="212" t="s">
        <v>137</v>
      </c>
      <c r="P133" s="212" t="s">
        <v>13</v>
      </c>
      <c r="Q133" s="212" t="s">
        <v>148</v>
      </c>
      <c r="R133" s="212"/>
      <c r="S133" s="212"/>
      <c r="T133" s="203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2</v>
      </c>
      <c r="U133" s="203">
        <f t="shared" ca="1" si="215"/>
        <v>0</v>
      </c>
      <c r="V133" s="203">
        <f t="shared" ca="1" si="216"/>
        <v>1</v>
      </c>
      <c r="W133" s="212"/>
      <c r="X133" s="212"/>
      <c r="Y133" s="212"/>
      <c r="Z133" s="212"/>
      <c r="AA133" s="212"/>
      <c r="AB133" s="212"/>
      <c r="AC133" s="214" t="s">
        <v>196</v>
      </c>
      <c r="AD133" s="215" t="s">
        <v>2039</v>
      </c>
      <c r="AE133" s="148"/>
      <c r="AF133" s="212" t="str">
        <f t="shared" si="154"/>
        <v>AMC2-S1</v>
      </c>
      <c r="AG133" s="212">
        <f t="shared" si="155"/>
        <v>1</v>
      </c>
      <c r="AH133" s="203">
        <f t="shared" si="217"/>
        <v>2</v>
      </c>
      <c r="AI133" s="203">
        <f t="shared" ca="1" si="218"/>
        <v>2</v>
      </c>
      <c r="AJ133" s="203">
        <f t="shared" ca="1" si="219"/>
        <v>0</v>
      </c>
      <c r="AK133" s="212" t="str">
        <f t="shared" si="156"/>
        <v>N/A</v>
      </c>
      <c r="AL133" s="212">
        <f t="shared" si="157"/>
        <v>0</v>
      </c>
      <c r="AM133" s="203">
        <f t="shared" si="220"/>
        <v>0</v>
      </c>
      <c r="AN133" s="203">
        <f t="shared" ca="1" si="221"/>
        <v>0</v>
      </c>
      <c r="AO133" s="203">
        <f t="shared" ca="1" si="222"/>
        <v>0</v>
      </c>
      <c r="AP133" s="212" t="str">
        <f t="shared" si="158"/>
        <v>N/A</v>
      </c>
      <c r="AQ133" s="212">
        <f t="shared" si="159"/>
        <v>0</v>
      </c>
      <c r="AR133" s="203">
        <f t="shared" si="223"/>
        <v>0</v>
      </c>
      <c r="AS133" s="203">
        <f t="shared" ca="1" si="224"/>
        <v>0</v>
      </c>
      <c r="AT133" s="203">
        <f t="shared" ca="1" si="225"/>
        <v>0</v>
      </c>
      <c r="AU133" s="212" t="str">
        <f t="shared" si="160"/>
        <v>N/A</v>
      </c>
      <c r="AV133" s="212">
        <f t="shared" si="161"/>
        <v>0</v>
      </c>
      <c r="AW133" s="203">
        <f t="shared" si="226"/>
        <v>0</v>
      </c>
      <c r="AX133" s="203">
        <f t="shared" ca="1" si="227"/>
        <v>0</v>
      </c>
      <c r="AY133" s="203">
        <f t="shared" ca="1" si="228"/>
        <v>0</v>
      </c>
      <c r="AZ133" s="212"/>
      <c r="BA133" s="213" t="s">
        <v>141</v>
      </c>
      <c r="BB133" s="213" t="s">
        <v>140</v>
      </c>
      <c r="BC133" s="213" t="s">
        <v>140</v>
      </c>
      <c r="BD133" s="213" t="s">
        <v>140</v>
      </c>
      <c r="BE133" s="148"/>
      <c r="BF133" s="212" t="s">
        <v>1789</v>
      </c>
      <c r="BG133" s="117"/>
      <c r="BH133" s="155"/>
      <c r="BI133" s="216"/>
      <c r="BJ133" s="216"/>
      <c r="BK133" s="216"/>
      <c r="BL133" s="149"/>
      <c r="BM133" s="149"/>
      <c r="BN133" s="149"/>
      <c r="BO133" s="149"/>
      <c r="BP133" s="149"/>
      <c r="BQ133" s="149"/>
      <c r="BR133" s="117">
        <v>0</v>
      </c>
      <c r="BS133" s="117">
        <v>0</v>
      </c>
      <c r="BT133" s="117">
        <v>0</v>
      </c>
      <c r="BU133" s="117">
        <v>1</v>
      </c>
      <c r="BV133" s="117">
        <v>0</v>
      </c>
      <c r="BW133" s="117">
        <v>0</v>
      </c>
      <c r="BX133" s="117">
        <v>0</v>
      </c>
      <c r="BY133" s="117" t="s">
        <v>1790</v>
      </c>
      <c r="BZ133" s="117" t="s">
        <v>1307</v>
      </c>
      <c r="CA133" s="117">
        <v>2</v>
      </c>
      <c r="CB133" s="234">
        <v>46242</v>
      </c>
      <c r="CC133" s="155"/>
      <c r="CD133" s="117"/>
      <c r="CE133" s="217"/>
      <c r="CF133" s="148">
        <f t="shared" si="229"/>
        <v>0</v>
      </c>
    </row>
    <row r="134" spans="1:84" ht="17.25" hidden="1" customHeight="1">
      <c r="A134" s="117"/>
      <c r="B134" s="209" t="s">
        <v>2046</v>
      </c>
      <c r="C134" s="209" t="s">
        <v>2216</v>
      </c>
      <c r="D134" s="209" t="s">
        <v>1084</v>
      </c>
      <c r="E134" s="209" t="s">
        <v>1816</v>
      </c>
      <c r="F134" s="209" t="s">
        <v>1504</v>
      </c>
      <c r="G134" s="209" t="s">
        <v>1505</v>
      </c>
      <c r="H134" s="210">
        <v>2664</v>
      </c>
      <c r="I134" s="211" t="s">
        <v>147</v>
      </c>
      <c r="J134" s="144">
        <v>1</v>
      </c>
      <c r="K134" s="145">
        <f t="shared" si="153"/>
        <v>1</v>
      </c>
      <c r="L134" s="202">
        <f t="shared" si="213"/>
        <v>1</v>
      </c>
      <c r="M134" s="212">
        <v>428.3</v>
      </c>
      <c r="N134" s="203">
        <f t="shared" si="214"/>
        <v>428.3</v>
      </c>
      <c r="O134" s="212" t="s">
        <v>137</v>
      </c>
      <c r="P134" s="212" t="s">
        <v>13</v>
      </c>
      <c r="Q134" s="212" t="s">
        <v>154</v>
      </c>
      <c r="R134" s="212"/>
      <c r="S134" s="212"/>
      <c r="T134" s="203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203">
        <f t="shared" ca="1" si="215"/>
        <v>0</v>
      </c>
      <c r="V134" s="203">
        <f t="shared" ca="1" si="216"/>
        <v>1</v>
      </c>
      <c r="W134" s="212"/>
      <c r="X134" s="212"/>
      <c r="Y134" s="212"/>
      <c r="Z134" s="212"/>
      <c r="AA134" s="212"/>
      <c r="AB134" s="212"/>
      <c r="AC134" s="214" t="s">
        <v>196</v>
      </c>
      <c r="AD134" s="215" t="s">
        <v>2039</v>
      </c>
      <c r="AE134" s="148"/>
      <c r="AF134" s="212" t="str">
        <f t="shared" si="154"/>
        <v>AMC2-S1</v>
      </c>
      <c r="AG134" s="212">
        <f t="shared" si="155"/>
        <v>1</v>
      </c>
      <c r="AH134" s="203">
        <f t="shared" si="217"/>
        <v>1</v>
      </c>
      <c r="AI134" s="203">
        <f t="shared" ca="1" si="218"/>
        <v>1</v>
      </c>
      <c r="AJ134" s="203">
        <f t="shared" ca="1" si="219"/>
        <v>0</v>
      </c>
      <c r="AK134" s="212" t="str">
        <f t="shared" si="156"/>
        <v>N/A</v>
      </c>
      <c r="AL134" s="212">
        <f t="shared" si="157"/>
        <v>0</v>
      </c>
      <c r="AM134" s="203">
        <f t="shared" si="220"/>
        <v>0</v>
      </c>
      <c r="AN134" s="203">
        <f t="shared" ca="1" si="221"/>
        <v>0</v>
      </c>
      <c r="AO134" s="203">
        <f t="shared" ca="1" si="222"/>
        <v>0</v>
      </c>
      <c r="AP134" s="212" t="str">
        <f t="shared" si="158"/>
        <v>N/A</v>
      </c>
      <c r="AQ134" s="212">
        <f t="shared" si="159"/>
        <v>0</v>
      </c>
      <c r="AR134" s="203">
        <f t="shared" si="223"/>
        <v>0</v>
      </c>
      <c r="AS134" s="203">
        <f t="shared" ca="1" si="224"/>
        <v>0</v>
      </c>
      <c r="AT134" s="203">
        <f t="shared" ca="1" si="225"/>
        <v>0</v>
      </c>
      <c r="AU134" s="212" t="str">
        <f t="shared" si="160"/>
        <v>N/A</v>
      </c>
      <c r="AV134" s="212">
        <f t="shared" si="161"/>
        <v>0</v>
      </c>
      <c r="AW134" s="203">
        <f t="shared" si="226"/>
        <v>0</v>
      </c>
      <c r="AX134" s="203">
        <f t="shared" ca="1" si="227"/>
        <v>0</v>
      </c>
      <c r="AY134" s="203">
        <f t="shared" ca="1" si="228"/>
        <v>0</v>
      </c>
      <c r="AZ134" s="212"/>
      <c r="BA134" s="213" t="s">
        <v>141</v>
      </c>
      <c r="BB134" s="213" t="s">
        <v>140</v>
      </c>
      <c r="BC134" s="213" t="s">
        <v>140</v>
      </c>
      <c r="BD134" s="213" t="s">
        <v>140</v>
      </c>
      <c r="BE134" s="148"/>
      <c r="BF134" s="212" t="s">
        <v>1789</v>
      </c>
      <c r="BG134" s="117"/>
      <c r="BH134" s="155"/>
      <c r="BI134" s="216"/>
      <c r="BJ134" s="216"/>
      <c r="BK134" s="216"/>
      <c r="BL134" s="149"/>
      <c r="BM134" s="149"/>
      <c r="BN134" s="149"/>
      <c r="BO134" s="149"/>
      <c r="BP134" s="149"/>
      <c r="BQ134" s="149"/>
      <c r="BR134" s="117">
        <v>0</v>
      </c>
      <c r="BS134" s="117">
        <v>1</v>
      </c>
      <c r="BT134" s="117">
        <v>0</v>
      </c>
      <c r="BU134" s="117">
        <v>1</v>
      </c>
      <c r="BV134" s="117">
        <v>0</v>
      </c>
      <c r="BW134" s="117">
        <v>0</v>
      </c>
      <c r="BX134" s="117">
        <v>0</v>
      </c>
      <c r="BY134" s="117" t="s">
        <v>1790</v>
      </c>
      <c r="BZ134" s="117" t="s">
        <v>57</v>
      </c>
      <c r="CA134" s="117">
        <v>1</v>
      </c>
      <c r="CB134" s="149"/>
      <c r="CC134" s="155"/>
      <c r="CD134" s="155"/>
      <c r="CE134" s="217"/>
      <c r="CF134" s="148">
        <f t="shared" si="229"/>
        <v>0</v>
      </c>
    </row>
    <row r="135" spans="1:84" ht="17.25" hidden="1" customHeight="1">
      <c r="A135" s="117"/>
      <c r="B135" s="209" t="s">
        <v>2046</v>
      </c>
      <c r="C135" s="209" t="s">
        <v>2216</v>
      </c>
      <c r="D135" s="209" t="s">
        <v>1084</v>
      </c>
      <c r="E135" s="209" t="s">
        <v>1817</v>
      </c>
      <c r="F135" s="209" t="s">
        <v>1506</v>
      </c>
      <c r="G135" s="209" t="s">
        <v>1495</v>
      </c>
      <c r="H135" s="210">
        <v>5089</v>
      </c>
      <c r="I135" s="211" t="s">
        <v>147</v>
      </c>
      <c r="J135" s="144">
        <v>1</v>
      </c>
      <c r="K135" s="145">
        <f t="shared" si="153"/>
        <v>1</v>
      </c>
      <c r="L135" s="202">
        <f t="shared" si="213"/>
        <v>1</v>
      </c>
      <c r="M135" s="212">
        <v>983.4</v>
      </c>
      <c r="N135" s="203">
        <f t="shared" si="214"/>
        <v>983.4</v>
      </c>
      <c r="O135" s="212" t="s">
        <v>137</v>
      </c>
      <c r="P135" s="212" t="s">
        <v>13</v>
      </c>
      <c r="Q135" s="212" t="s">
        <v>154</v>
      </c>
      <c r="R135" s="212"/>
      <c r="S135" s="212"/>
      <c r="T135" s="203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1</v>
      </c>
      <c r="U135" s="203">
        <f t="shared" ca="1" si="215"/>
        <v>0</v>
      </c>
      <c r="V135" s="203">
        <f t="shared" ca="1" si="216"/>
        <v>1</v>
      </c>
      <c r="W135" s="212"/>
      <c r="X135" s="212"/>
      <c r="Y135" s="212"/>
      <c r="Z135" s="212"/>
      <c r="AA135" s="212"/>
      <c r="AB135" s="212"/>
      <c r="AC135" s="214" t="s">
        <v>196</v>
      </c>
      <c r="AD135" s="215" t="s">
        <v>2039</v>
      </c>
      <c r="AE135" s="148"/>
      <c r="AF135" s="212" t="str">
        <f t="shared" si="154"/>
        <v>AMC2-S1</v>
      </c>
      <c r="AG135" s="212">
        <f t="shared" si="155"/>
        <v>1</v>
      </c>
      <c r="AH135" s="203">
        <f t="shared" si="217"/>
        <v>1</v>
      </c>
      <c r="AI135" s="203">
        <f t="shared" ca="1" si="218"/>
        <v>1</v>
      </c>
      <c r="AJ135" s="203">
        <f t="shared" ca="1" si="219"/>
        <v>0</v>
      </c>
      <c r="AK135" s="212" t="str">
        <f t="shared" si="156"/>
        <v>N/A</v>
      </c>
      <c r="AL135" s="212">
        <f t="shared" si="157"/>
        <v>0</v>
      </c>
      <c r="AM135" s="203">
        <f t="shared" si="220"/>
        <v>0</v>
      </c>
      <c r="AN135" s="203">
        <f t="shared" ca="1" si="221"/>
        <v>0</v>
      </c>
      <c r="AO135" s="203">
        <f t="shared" ca="1" si="222"/>
        <v>0</v>
      </c>
      <c r="AP135" s="212" t="str">
        <f t="shared" si="158"/>
        <v>N/A</v>
      </c>
      <c r="AQ135" s="212">
        <f t="shared" si="159"/>
        <v>0</v>
      </c>
      <c r="AR135" s="203">
        <f t="shared" si="223"/>
        <v>0</v>
      </c>
      <c r="AS135" s="203">
        <f t="shared" ca="1" si="224"/>
        <v>0</v>
      </c>
      <c r="AT135" s="203">
        <f t="shared" ca="1" si="225"/>
        <v>0</v>
      </c>
      <c r="AU135" s="212" t="str">
        <f t="shared" si="160"/>
        <v>N/A</v>
      </c>
      <c r="AV135" s="212">
        <f t="shared" si="161"/>
        <v>0</v>
      </c>
      <c r="AW135" s="203">
        <f t="shared" si="226"/>
        <v>0</v>
      </c>
      <c r="AX135" s="203">
        <f t="shared" ca="1" si="227"/>
        <v>0</v>
      </c>
      <c r="AY135" s="203">
        <f t="shared" ca="1" si="228"/>
        <v>0</v>
      </c>
      <c r="AZ135" s="212"/>
      <c r="BA135" s="213" t="s">
        <v>141</v>
      </c>
      <c r="BB135" s="213" t="s">
        <v>140</v>
      </c>
      <c r="BC135" s="213" t="s">
        <v>140</v>
      </c>
      <c r="BD135" s="213" t="s">
        <v>140</v>
      </c>
      <c r="BE135" s="148"/>
      <c r="BF135" s="212" t="s">
        <v>1789</v>
      </c>
      <c r="BG135" s="117"/>
      <c r="BH135" s="155"/>
      <c r="BI135" s="216"/>
      <c r="BJ135" s="216"/>
      <c r="BK135" s="216"/>
      <c r="BL135" s="149"/>
      <c r="BM135" s="149"/>
      <c r="BN135" s="149"/>
      <c r="BO135" s="149"/>
      <c r="BP135" s="149"/>
      <c r="BQ135" s="149"/>
      <c r="BR135" s="117">
        <v>0</v>
      </c>
      <c r="BS135" s="117">
        <v>1</v>
      </c>
      <c r="BT135" s="117">
        <v>0</v>
      </c>
      <c r="BU135" s="117">
        <v>1</v>
      </c>
      <c r="BV135" s="117">
        <v>0</v>
      </c>
      <c r="BW135" s="117">
        <v>0</v>
      </c>
      <c r="BX135" s="117">
        <v>0</v>
      </c>
      <c r="BY135" s="117" t="s">
        <v>1790</v>
      </c>
      <c r="BZ135" s="117" t="s">
        <v>57</v>
      </c>
      <c r="CA135" s="117">
        <v>1</v>
      </c>
      <c r="CB135" s="149"/>
      <c r="CC135" s="155"/>
      <c r="CD135" s="155"/>
      <c r="CE135" s="217"/>
      <c r="CF135" s="148">
        <f t="shared" si="229"/>
        <v>0</v>
      </c>
    </row>
    <row r="136" spans="1:84" ht="17.25" hidden="1" customHeight="1">
      <c r="A136" s="117"/>
      <c r="B136" s="209" t="s">
        <v>2046</v>
      </c>
      <c r="C136" s="209" t="s">
        <v>2216</v>
      </c>
      <c r="D136" s="209" t="s">
        <v>1296</v>
      </c>
      <c r="E136" s="209" t="s">
        <v>1806</v>
      </c>
      <c r="F136" s="209" t="s">
        <v>1507</v>
      </c>
      <c r="G136" s="209" t="s">
        <v>1508</v>
      </c>
      <c r="H136" s="210">
        <v>2053</v>
      </c>
      <c r="I136" s="211" t="s">
        <v>147</v>
      </c>
      <c r="J136" s="144">
        <v>2</v>
      </c>
      <c r="K136" s="145">
        <f t="shared" si="153"/>
        <v>1</v>
      </c>
      <c r="L136" s="202">
        <f t="shared" si="213"/>
        <v>2</v>
      </c>
      <c r="M136" s="212">
        <v>28.6</v>
      </c>
      <c r="N136" s="203">
        <f t="shared" si="214"/>
        <v>57.2</v>
      </c>
      <c r="O136" s="212" t="s">
        <v>137</v>
      </c>
      <c r="P136" s="212" t="s">
        <v>13</v>
      </c>
      <c r="Q136" s="212" t="s">
        <v>148</v>
      </c>
      <c r="R136" s="212"/>
      <c r="S136" s="212"/>
      <c r="T136" s="203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2</v>
      </c>
      <c r="U136" s="203">
        <f t="shared" ca="1" si="215"/>
        <v>0</v>
      </c>
      <c r="V136" s="203">
        <f t="shared" ca="1" si="216"/>
        <v>1</v>
      </c>
      <c r="W136" s="212"/>
      <c r="X136" s="212"/>
      <c r="Y136" s="212"/>
      <c r="Z136" s="212"/>
      <c r="AA136" s="212"/>
      <c r="AB136" s="212"/>
      <c r="AC136" s="214" t="s">
        <v>196</v>
      </c>
      <c r="AD136" s="215" t="s">
        <v>2039</v>
      </c>
      <c r="AE136" s="148"/>
      <c r="AF136" s="212" t="str">
        <f t="shared" si="154"/>
        <v>AMC2-S1</v>
      </c>
      <c r="AG136" s="212">
        <f t="shared" si="155"/>
        <v>1</v>
      </c>
      <c r="AH136" s="203">
        <f t="shared" si="217"/>
        <v>2</v>
      </c>
      <c r="AI136" s="203">
        <f t="shared" ca="1" si="218"/>
        <v>2</v>
      </c>
      <c r="AJ136" s="203">
        <f t="shared" ca="1" si="219"/>
        <v>0</v>
      </c>
      <c r="AK136" s="212" t="str">
        <f t="shared" si="156"/>
        <v>N/A</v>
      </c>
      <c r="AL136" s="212">
        <f t="shared" si="157"/>
        <v>0</v>
      </c>
      <c r="AM136" s="203">
        <f t="shared" si="220"/>
        <v>0</v>
      </c>
      <c r="AN136" s="203">
        <f t="shared" ca="1" si="221"/>
        <v>0</v>
      </c>
      <c r="AO136" s="203">
        <f t="shared" ca="1" si="222"/>
        <v>0</v>
      </c>
      <c r="AP136" s="212" t="str">
        <f t="shared" si="158"/>
        <v>N/A</v>
      </c>
      <c r="AQ136" s="212">
        <f t="shared" si="159"/>
        <v>0</v>
      </c>
      <c r="AR136" s="203">
        <f t="shared" si="223"/>
        <v>0</v>
      </c>
      <c r="AS136" s="203">
        <f t="shared" ca="1" si="224"/>
        <v>0</v>
      </c>
      <c r="AT136" s="203">
        <f t="shared" ca="1" si="225"/>
        <v>0</v>
      </c>
      <c r="AU136" s="212" t="str">
        <f t="shared" si="160"/>
        <v>N/A</v>
      </c>
      <c r="AV136" s="212">
        <f t="shared" si="161"/>
        <v>0</v>
      </c>
      <c r="AW136" s="203">
        <f t="shared" si="226"/>
        <v>0</v>
      </c>
      <c r="AX136" s="203">
        <f t="shared" ca="1" si="227"/>
        <v>0</v>
      </c>
      <c r="AY136" s="203">
        <f t="shared" ca="1" si="228"/>
        <v>0</v>
      </c>
      <c r="AZ136" s="212"/>
      <c r="BA136" s="213" t="s">
        <v>141</v>
      </c>
      <c r="BB136" s="213" t="s">
        <v>140</v>
      </c>
      <c r="BC136" s="213" t="s">
        <v>140</v>
      </c>
      <c r="BD136" s="213" t="s">
        <v>140</v>
      </c>
      <c r="BE136" s="148"/>
      <c r="BF136" s="212" t="s">
        <v>1789</v>
      </c>
      <c r="BG136" s="117"/>
      <c r="BH136" s="155"/>
      <c r="BI136" s="216"/>
      <c r="BJ136" s="216"/>
      <c r="BK136" s="216"/>
      <c r="BL136" s="149"/>
      <c r="BM136" s="149"/>
      <c r="BN136" s="149"/>
      <c r="BO136" s="149"/>
      <c r="BP136" s="149"/>
      <c r="BQ136" s="149"/>
      <c r="BR136" s="117">
        <v>0</v>
      </c>
      <c r="BS136" s="117">
        <v>0</v>
      </c>
      <c r="BT136" s="117">
        <v>0</v>
      </c>
      <c r="BU136" s="117">
        <v>1</v>
      </c>
      <c r="BV136" s="117">
        <v>0</v>
      </c>
      <c r="BW136" s="117">
        <v>0</v>
      </c>
      <c r="BX136" s="117">
        <v>0</v>
      </c>
      <c r="BY136" s="117" t="s">
        <v>1790</v>
      </c>
      <c r="BZ136" s="117" t="s">
        <v>1022</v>
      </c>
      <c r="CA136" s="144">
        <v>2</v>
      </c>
      <c r="CB136" s="149">
        <v>46206</v>
      </c>
      <c r="CC136" s="155"/>
      <c r="CD136" s="155"/>
      <c r="CE136" s="217"/>
      <c r="CF136" s="148">
        <f t="shared" si="229"/>
        <v>0</v>
      </c>
    </row>
    <row r="137" spans="1:84" ht="17.25" hidden="1" customHeight="1">
      <c r="A137" s="117"/>
      <c r="B137" s="209" t="s">
        <v>2046</v>
      </c>
      <c r="C137" s="209" t="s">
        <v>2216</v>
      </c>
      <c r="D137" s="209" t="s">
        <v>1296</v>
      </c>
      <c r="E137" s="209" t="s">
        <v>1808</v>
      </c>
      <c r="F137" s="209" t="s">
        <v>1509</v>
      </c>
      <c r="G137" s="209" t="s">
        <v>1510</v>
      </c>
      <c r="H137" s="210">
        <v>688</v>
      </c>
      <c r="I137" s="211" t="s">
        <v>147</v>
      </c>
      <c r="J137" s="144">
        <v>1</v>
      </c>
      <c r="K137" s="145">
        <f t="shared" si="153"/>
        <v>1</v>
      </c>
      <c r="L137" s="202">
        <f t="shared" si="213"/>
        <v>1</v>
      </c>
      <c r="M137" s="212">
        <v>7.1</v>
      </c>
      <c r="N137" s="203">
        <f t="shared" si="214"/>
        <v>7.1</v>
      </c>
      <c r="O137" s="212" t="s">
        <v>137</v>
      </c>
      <c r="P137" s="212" t="s">
        <v>13</v>
      </c>
      <c r="Q137" s="212" t="s">
        <v>148</v>
      </c>
      <c r="R137" s="212"/>
      <c r="S137" s="212"/>
      <c r="T137" s="203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1</v>
      </c>
      <c r="U137" s="203">
        <f t="shared" ca="1" si="215"/>
        <v>0</v>
      </c>
      <c r="V137" s="203">
        <f t="shared" ca="1" si="216"/>
        <v>1</v>
      </c>
      <c r="W137" s="212"/>
      <c r="X137" s="212"/>
      <c r="Y137" s="212"/>
      <c r="Z137" s="212"/>
      <c r="AA137" s="212"/>
      <c r="AB137" s="212"/>
      <c r="AC137" s="214" t="s">
        <v>196</v>
      </c>
      <c r="AD137" s="215" t="s">
        <v>2039</v>
      </c>
      <c r="AE137" s="148"/>
      <c r="AF137" s="212" t="str">
        <f t="shared" si="154"/>
        <v>AMC2-S1</v>
      </c>
      <c r="AG137" s="212">
        <f t="shared" si="155"/>
        <v>1</v>
      </c>
      <c r="AH137" s="203">
        <f t="shared" si="217"/>
        <v>1</v>
      </c>
      <c r="AI137" s="203">
        <f t="shared" ca="1" si="218"/>
        <v>1</v>
      </c>
      <c r="AJ137" s="203">
        <f t="shared" ca="1" si="219"/>
        <v>0</v>
      </c>
      <c r="AK137" s="212" t="str">
        <f t="shared" si="156"/>
        <v>N/A</v>
      </c>
      <c r="AL137" s="212">
        <f t="shared" si="157"/>
        <v>0</v>
      </c>
      <c r="AM137" s="203">
        <f t="shared" si="220"/>
        <v>0</v>
      </c>
      <c r="AN137" s="203">
        <f t="shared" ca="1" si="221"/>
        <v>0</v>
      </c>
      <c r="AO137" s="203">
        <f t="shared" ca="1" si="222"/>
        <v>0</v>
      </c>
      <c r="AP137" s="212" t="str">
        <f t="shared" si="158"/>
        <v>N/A</v>
      </c>
      <c r="AQ137" s="212">
        <f t="shared" si="159"/>
        <v>0</v>
      </c>
      <c r="AR137" s="203">
        <f t="shared" si="223"/>
        <v>0</v>
      </c>
      <c r="AS137" s="203">
        <f t="shared" ca="1" si="224"/>
        <v>0</v>
      </c>
      <c r="AT137" s="203">
        <f t="shared" ca="1" si="225"/>
        <v>0</v>
      </c>
      <c r="AU137" s="212" t="str">
        <f t="shared" si="160"/>
        <v>N/A</v>
      </c>
      <c r="AV137" s="212">
        <f t="shared" si="161"/>
        <v>0</v>
      </c>
      <c r="AW137" s="203">
        <f t="shared" si="226"/>
        <v>0</v>
      </c>
      <c r="AX137" s="203">
        <f t="shared" ca="1" si="227"/>
        <v>0</v>
      </c>
      <c r="AY137" s="203">
        <f t="shared" ca="1" si="228"/>
        <v>0</v>
      </c>
      <c r="AZ137" s="212"/>
      <c r="BA137" s="213" t="s">
        <v>141</v>
      </c>
      <c r="BB137" s="213" t="s">
        <v>140</v>
      </c>
      <c r="BC137" s="213" t="s">
        <v>140</v>
      </c>
      <c r="BD137" s="213" t="s">
        <v>140</v>
      </c>
      <c r="BE137" s="148"/>
      <c r="BF137" s="212" t="s">
        <v>1789</v>
      </c>
      <c r="BG137" s="117"/>
      <c r="BH137" s="155"/>
      <c r="BI137" s="216"/>
      <c r="BJ137" s="216"/>
      <c r="BK137" s="216"/>
      <c r="BL137" s="149"/>
      <c r="BM137" s="149"/>
      <c r="BN137" s="149"/>
      <c r="BO137" s="149"/>
      <c r="BP137" s="149"/>
      <c r="BQ137" s="149"/>
      <c r="BR137" s="117">
        <v>0</v>
      </c>
      <c r="BS137" s="117">
        <v>0</v>
      </c>
      <c r="BT137" s="117">
        <v>0</v>
      </c>
      <c r="BU137" s="117">
        <v>1</v>
      </c>
      <c r="BV137" s="117">
        <v>0</v>
      </c>
      <c r="BW137" s="117">
        <v>0</v>
      </c>
      <c r="BX137" s="117">
        <v>0</v>
      </c>
      <c r="BY137" s="117" t="s">
        <v>1790</v>
      </c>
      <c r="BZ137" s="117" t="s">
        <v>1063</v>
      </c>
      <c r="CA137" s="117">
        <v>1</v>
      </c>
      <c r="CB137" s="149">
        <v>46206</v>
      </c>
      <c r="CC137" s="155"/>
      <c r="CD137" s="117"/>
      <c r="CE137" s="217"/>
      <c r="CF137" s="148">
        <f t="shared" si="229"/>
        <v>0</v>
      </c>
    </row>
    <row r="138" spans="1:84" ht="17.25" hidden="1" customHeight="1">
      <c r="A138" s="117"/>
      <c r="B138" s="209" t="s">
        <v>2046</v>
      </c>
      <c r="C138" s="209" t="s">
        <v>2216</v>
      </c>
      <c r="D138" s="209" t="s">
        <v>1296</v>
      </c>
      <c r="E138" s="209" t="s">
        <v>1811</v>
      </c>
      <c r="F138" s="209" t="s">
        <v>1511</v>
      </c>
      <c r="G138" s="209" t="s">
        <v>1512</v>
      </c>
      <c r="H138" s="210">
        <v>737</v>
      </c>
      <c r="I138" s="211" t="s">
        <v>147</v>
      </c>
      <c r="J138" s="144">
        <v>1</v>
      </c>
      <c r="K138" s="145">
        <f t="shared" si="153"/>
        <v>1</v>
      </c>
      <c r="L138" s="202">
        <f t="shared" si="213"/>
        <v>1</v>
      </c>
      <c r="M138" s="212">
        <v>7.6</v>
      </c>
      <c r="N138" s="203">
        <f t="shared" si="214"/>
        <v>7.6</v>
      </c>
      <c r="O138" s="212" t="s">
        <v>137</v>
      </c>
      <c r="P138" s="212" t="s">
        <v>13</v>
      </c>
      <c r="Q138" s="212" t="s">
        <v>148</v>
      </c>
      <c r="R138" s="212"/>
      <c r="S138" s="212"/>
      <c r="T138" s="203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</v>
      </c>
      <c r="U138" s="203">
        <f t="shared" ca="1" si="215"/>
        <v>0</v>
      </c>
      <c r="V138" s="203">
        <f t="shared" ca="1" si="216"/>
        <v>1</v>
      </c>
      <c r="W138" s="212"/>
      <c r="X138" s="212"/>
      <c r="Y138" s="212"/>
      <c r="Z138" s="212"/>
      <c r="AA138" s="212"/>
      <c r="AB138" s="212"/>
      <c r="AC138" s="214" t="s">
        <v>196</v>
      </c>
      <c r="AD138" s="215" t="s">
        <v>2039</v>
      </c>
      <c r="AE138" s="148"/>
      <c r="AF138" s="212" t="str">
        <f t="shared" si="154"/>
        <v>AMC2-S1</v>
      </c>
      <c r="AG138" s="212">
        <f t="shared" si="155"/>
        <v>1</v>
      </c>
      <c r="AH138" s="203">
        <f t="shared" si="217"/>
        <v>1</v>
      </c>
      <c r="AI138" s="203">
        <f t="shared" ca="1" si="218"/>
        <v>1</v>
      </c>
      <c r="AJ138" s="203">
        <f t="shared" ca="1" si="219"/>
        <v>0</v>
      </c>
      <c r="AK138" s="212" t="str">
        <f t="shared" si="156"/>
        <v>N/A</v>
      </c>
      <c r="AL138" s="212">
        <f t="shared" si="157"/>
        <v>0</v>
      </c>
      <c r="AM138" s="203">
        <f t="shared" si="220"/>
        <v>0</v>
      </c>
      <c r="AN138" s="203">
        <f t="shared" ca="1" si="221"/>
        <v>0</v>
      </c>
      <c r="AO138" s="203">
        <f t="shared" ca="1" si="222"/>
        <v>0</v>
      </c>
      <c r="AP138" s="212" t="str">
        <f t="shared" si="158"/>
        <v>N/A</v>
      </c>
      <c r="AQ138" s="212">
        <f t="shared" si="159"/>
        <v>0</v>
      </c>
      <c r="AR138" s="203">
        <f t="shared" si="223"/>
        <v>0</v>
      </c>
      <c r="AS138" s="203">
        <f t="shared" ca="1" si="224"/>
        <v>0</v>
      </c>
      <c r="AT138" s="203">
        <f t="shared" ca="1" si="225"/>
        <v>0</v>
      </c>
      <c r="AU138" s="212" t="str">
        <f t="shared" si="160"/>
        <v>N/A</v>
      </c>
      <c r="AV138" s="212">
        <f t="shared" si="161"/>
        <v>0</v>
      </c>
      <c r="AW138" s="203">
        <f t="shared" si="226"/>
        <v>0</v>
      </c>
      <c r="AX138" s="203">
        <f t="shared" ca="1" si="227"/>
        <v>0</v>
      </c>
      <c r="AY138" s="203">
        <f t="shared" ca="1" si="228"/>
        <v>0</v>
      </c>
      <c r="AZ138" s="212"/>
      <c r="BA138" s="213" t="s">
        <v>141</v>
      </c>
      <c r="BB138" s="213" t="s">
        <v>140</v>
      </c>
      <c r="BC138" s="213" t="s">
        <v>140</v>
      </c>
      <c r="BD138" s="213" t="s">
        <v>140</v>
      </c>
      <c r="BE138" s="148"/>
      <c r="BF138" s="212" t="s">
        <v>1789</v>
      </c>
      <c r="BG138" s="117"/>
      <c r="BH138" s="155"/>
      <c r="BI138" s="216"/>
      <c r="BJ138" s="216"/>
      <c r="BK138" s="216"/>
      <c r="BL138" s="149"/>
      <c r="BM138" s="149"/>
      <c r="BN138" s="149"/>
      <c r="BO138" s="149"/>
      <c r="BP138" s="149"/>
      <c r="BQ138" s="149"/>
      <c r="BR138" s="117">
        <v>0</v>
      </c>
      <c r="BS138" s="117">
        <v>0</v>
      </c>
      <c r="BT138" s="117">
        <v>0</v>
      </c>
      <c r="BU138" s="117">
        <v>1</v>
      </c>
      <c r="BV138" s="117">
        <v>0</v>
      </c>
      <c r="BW138" s="117">
        <v>0</v>
      </c>
      <c r="BX138" s="117">
        <v>0</v>
      </c>
      <c r="BY138" s="117" t="s">
        <v>1790</v>
      </c>
      <c r="BZ138" s="117" t="s">
        <v>1063</v>
      </c>
      <c r="CA138" s="117">
        <v>1</v>
      </c>
      <c r="CB138" s="149">
        <v>46206</v>
      </c>
      <c r="CC138" s="155"/>
      <c r="CD138" s="117"/>
      <c r="CE138" s="217"/>
      <c r="CF138" s="148">
        <f t="shared" si="229"/>
        <v>0</v>
      </c>
    </row>
    <row r="139" spans="1:84" ht="17.25" hidden="1" customHeight="1">
      <c r="A139" s="117"/>
      <c r="B139" s="209" t="s">
        <v>2046</v>
      </c>
      <c r="C139" s="209" t="s">
        <v>2216</v>
      </c>
      <c r="D139" s="209" t="s">
        <v>1296</v>
      </c>
      <c r="E139" s="209" t="s">
        <v>1821</v>
      </c>
      <c r="F139" s="209" t="s">
        <v>1513</v>
      </c>
      <c r="G139" s="209" t="s">
        <v>1514</v>
      </c>
      <c r="H139" s="210">
        <v>515</v>
      </c>
      <c r="I139" s="211" t="s">
        <v>147</v>
      </c>
      <c r="J139" s="144">
        <v>1</v>
      </c>
      <c r="K139" s="145">
        <f t="shared" si="153"/>
        <v>1</v>
      </c>
      <c r="L139" s="202">
        <f t="shared" si="213"/>
        <v>1</v>
      </c>
      <c r="M139" s="212">
        <v>12.9</v>
      </c>
      <c r="N139" s="203">
        <f t="shared" si="214"/>
        <v>12.9</v>
      </c>
      <c r="O139" s="212" t="s">
        <v>137</v>
      </c>
      <c r="P139" s="212" t="s">
        <v>13</v>
      </c>
      <c r="Q139" s="212" t="s">
        <v>148</v>
      </c>
      <c r="R139" s="212"/>
      <c r="S139" s="212"/>
      <c r="T139" s="203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1</v>
      </c>
      <c r="U139" s="203">
        <f t="shared" ca="1" si="215"/>
        <v>0</v>
      </c>
      <c r="V139" s="203">
        <f t="shared" ca="1" si="216"/>
        <v>1</v>
      </c>
      <c r="W139" s="212"/>
      <c r="X139" s="212"/>
      <c r="Y139" s="212"/>
      <c r="Z139" s="212"/>
      <c r="AA139" s="212"/>
      <c r="AB139" s="212"/>
      <c r="AC139" s="214" t="s">
        <v>196</v>
      </c>
      <c r="AD139" s="215" t="s">
        <v>2039</v>
      </c>
      <c r="AE139" s="148"/>
      <c r="AF139" s="212" t="str">
        <f t="shared" si="154"/>
        <v>AMC2-S1</v>
      </c>
      <c r="AG139" s="212">
        <f t="shared" si="155"/>
        <v>1</v>
      </c>
      <c r="AH139" s="203">
        <f t="shared" si="217"/>
        <v>1</v>
      </c>
      <c r="AI139" s="203">
        <f t="shared" ca="1" si="218"/>
        <v>1</v>
      </c>
      <c r="AJ139" s="203">
        <f t="shared" ca="1" si="219"/>
        <v>0</v>
      </c>
      <c r="AK139" s="212" t="str">
        <f t="shared" si="156"/>
        <v>N/A</v>
      </c>
      <c r="AL139" s="212">
        <f t="shared" si="157"/>
        <v>0</v>
      </c>
      <c r="AM139" s="203">
        <f t="shared" si="220"/>
        <v>0</v>
      </c>
      <c r="AN139" s="203">
        <f t="shared" ca="1" si="221"/>
        <v>0</v>
      </c>
      <c r="AO139" s="203">
        <f t="shared" ca="1" si="222"/>
        <v>0</v>
      </c>
      <c r="AP139" s="212" t="str">
        <f t="shared" si="158"/>
        <v>N/A</v>
      </c>
      <c r="AQ139" s="212">
        <f t="shared" si="159"/>
        <v>0</v>
      </c>
      <c r="AR139" s="203">
        <f t="shared" si="223"/>
        <v>0</v>
      </c>
      <c r="AS139" s="203">
        <f t="shared" ca="1" si="224"/>
        <v>0</v>
      </c>
      <c r="AT139" s="203">
        <f t="shared" ca="1" si="225"/>
        <v>0</v>
      </c>
      <c r="AU139" s="212" t="str">
        <f t="shared" si="160"/>
        <v>N/A</v>
      </c>
      <c r="AV139" s="212">
        <f t="shared" si="161"/>
        <v>0</v>
      </c>
      <c r="AW139" s="203">
        <f t="shared" si="226"/>
        <v>0</v>
      </c>
      <c r="AX139" s="203">
        <f t="shared" ca="1" si="227"/>
        <v>0</v>
      </c>
      <c r="AY139" s="203">
        <f t="shared" ca="1" si="228"/>
        <v>0</v>
      </c>
      <c r="AZ139" s="212"/>
      <c r="BA139" s="213" t="s">
        <v>141</v>
      </c>
      <c r="BB139" s="213" t="s">
        <v>140</v>
      </c>
      <c r="BC139" s="213" t="s">
        <v>140</v>
      </c>
      <c r="BD139" s="213" t="s">
        <v>140</v>
      </c>
      <c r="BE139" s="148"/>
      <c r="BF139" s="212" t="s">
        <v>1789</v>
      </c>
      <c r="BG139" s="117"/>
      <c r="BH139" s="155"/>
      <c r="BI139" s="216"/>
      <c r="BJ139" s="216"/>
      <c r="BK139" s="216"/>
      <c r="BL139" s="149"/>
      <c r="BM139" s="149"/>
      <c r="BN139" s="149"/>
      <c r="BO139" s="149"/>
      <c r="BP139" s="149"/>
      <c r="BQ139" s="149"/>
      <c r="BR139" s="117">
        <v>1</v>
      </c>
      <c r="BS139" s="117">
        <v>0</v>
      </c>
      <c r="BT139" s="117">
        <v>0</v>
      </c>
      <c r="BU139" s="117">
        <v>0</v>
      </c>
      <c r="BV139" s="117">
        <v>0</v>
      </c>
      <c r="BW139" s="117">
        <v>0</v>
      </c>
      <c r="BX139" s="117">
        <v>0</v>
      </c>
      <c r="BY139" s="117" t="s">
        <v>1790</v>
      </c>
      <c r="BZ139" s="117" t="s">
        <v>1303</v>
      </c>
      <c r="CA139" s="117">
        <v>1</v>
      </c>
      <c r="CB139" s="149">
        <v>46206</v>
      </c>
      <c r="CC139" s="155"/>
      <c r="CD139" s="117"/>
      <c r="CE139" s="217"/>
      <c r="CF139" s="148">
        <f t="shared" si="229"/>
        <v>0</v>
      </c>
    </row>
    <row r="140" spans="1:84" ht="17.25" hidden="1" customHeight="1">
      <c r="A140" s="117"/>
      <c r="B140" s="209" t="s">
        <v>2046</v>
      </c>
      <c r="C140" s="209" t="s">
        <v>2216</v>
      </c>
      <c r="D140" s="209" t="s">
        <v>1296</v>
      </c>
      <c r="E140" s="209" t="s">
        <v>1822</v>
      </c>
      <c r="F140" s="209" t="s">
        <v>1515</v>
      </c>
      <c r="G140" s="209" t="s">
        <v>1516</v>
      </c>
      <c r="H140" s="210">
        <v>830</v>
      </c>
      <c r="I140" s="211" t="s">
        <v>147</v>
      </c>
      <c r="J140" s="144">
        <v>1</v>
      </c>
      <c r="K140" s="145">
        <f t="shared" si="153"/>
        <v>1</v>
      </c>
      <c r="L140" s="202">
        <f t="shared" si="213"/>
        <v>1</v>
      </c>
      <c r="M140" s="212">
        <v>10.4</v>
      </c>
      <c r="N140" s="203">
        <f t="shared" si="214"/>
        <v>10.4</v>
      </c>
      <c r="O140" s="212" t="s">
        <v>137</v>
      </c>
      <c r="P140" s="212" t="s">
        <v>13</v>
      </c>
      <c r="Q140" s="212" t="s">
        <v>148</v>
      </c>
      <c r="R140" s="212"/>
      <c r="S140" s="212"/>
      <c r="T140" s="203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1</v>
      </c>
      <c r="U140" s="203">
        <f t="shared" ca="1" si="215"/>
        <v>0</v>
      </c>
      <c r="V140" s="203">
        <f t="shared" ca="1" si="216"/>
        <v>1</v>
      </c>
      <c r="W140" s="212"/>
      <c r="X140" s="212"/>
      <c r="Y140" s="212"/>
      <c r="Z140" s="212"/>
      <c r="AA140" s="212"/>
      <c r="AB140" s="212"/>
      <c r="AC140" s="214" t="s">
        <v>196</v>
      </c>
      <c r="AD140" s="215" t="s">
        <v>2039</v>
      </c>
      <c r="AE140" s="148"/>
      <c r="AF140" s="212" t="str">
        <f t="shared" si="154"/>
        <v>AMC2-S1</v>
      </c>
      <c r="AG140" s="212">
        <f t="shared" si="155"/>
        <v>1</v>
      </c>
      <c r="AH140" s="203">
        <f t="shared" si="217"/>
        <v>1</v>
      </c>
      <c r="AI140" s="203">
        <f t="shared" ca="1" si="218"/>
        <v>1</v>
      </c>
      <c r="AJ140" s="203">
        <f t="shared" ca="1" si="219"/>
        <v>0</v>
      </c>
      <c r="AK140" s="212" t="str">
        <f t="shared" si="156"/>
        <v>N/A</v>
      </c>
      <c r="AL140" s="212">
        <f t="shared" si="157"/>
        <v>0</v>
      </c>
      <c r="AM140" s="203">
        <f t="shared" si="220"/>
        <v>0</v>
      </c>
      <c r="AN140" s="203">
        <f t="shared" ca="1" si="221"/>
        <v>0</v>
      </c>
      <c r="AO140" s="203">
        <f t="shared" ca="1" si="222"/>
        <v>0</v>
      </c>
      <c r="AP140" s="212" t="str">
        <f t="shared" si="158"/>
        <v>N/A</v>
      </c>
      <c r="AQ140" s="212">
        <f t="shared" si="159"/>
        <v>0</v>
      </c>
      <c r="AR140" s="203">
        <f t="shared" si="223"/>
        <v>0</v>
      </c>
      <c r="AS140" s="203">
        <f t="shared" ca="1" si="224"/>
        <v>0</v>
      </c>
      <c r="AT140" s="203">
        <f t="shared" ca="1" si="225"/>
        <v>0</v>
      </c>
      <c r="AU140" s="212" t="str">
        <f t="shared" si="160"/>
        <v>N/A</v>
      </c>
      <c r="AV140" s="212">
        <f t="shared" si="161"/>
        <v>0</v>
      </c>
      <c r="AW140" s="203">
        <f t="shared" si="226"/>
        <v>0</v>
      </c>
      <c r="AX140" s="203">
        <f t="shared" ca="1" si="227"/>
        <v>0</v>
      </c>
      <c r="AY140" s="203">
        <f t="shared" ca="1" si="228"/>
        <v>0</v>
      </c>
      <c r="AZ140" s="212"/>
      <c r="BA140" s="213" t="s">
        <v>141</v>
      </c>
      <c r="BB140" s="213" t="s">
        <v>140</v>
      </c>
      <c r="BC140" s="213" t="s">
        <v>140</v>
      </c>
      <c r="BD140" s="213" t="s">
        <v>140</v>
      </c>
      <c r="BE140" s="148"/>
      <c r="BF140" s="212" t="s">
        <v>1789</v>
      </c>
      <c r="BG140" s="117"/>
      <c r="BH140" s="155"/>
      <c r="BI140" s="216"/>
      <c r="BJ140" s="216"/>
      <c r="BK140" s="216"/>
      <c r="BL140" s="149"/>
      <c r="BM140" s="149"/>
      <c r="BN140" s="149"/>
      <c r="BO140" s="149"/>
      <c r="BP140" s="149"/>
      <c r="BQ140" s="149"/>
      <c r="BR140" s="117">
        <v>0</v>
      </c>
      <c r="BS140" s="117">
        <v>0</v>
      </c>
      <c r="BT140" s="117">
        <v>0</v>
      </c>
      <c r="BU140" s="117">
        <v>1</v>
      </c>
      <c r="BV140" s="117">
        <v>0</v>
      </c>
      <c r="BW140" s="117">
        <v>0</v>
      </c>
      <c r="BX140" s="117">
        <v>0</v>
      </c>
      <c r="BY140" s="117" t="s">
        <v>1790</v>
      </c>
      <c r="BZ140" s="117" t="s">
        <v>1022</v>
      </c>
      <c r="CA140" s="117">
        <v>1</v>
      </c>
      <c r="CB140" s="149">
        <v>46206</v>
      </c>
      <c r="CC140" s="155"/>
      <c r="CD140" s="155"/>
      <c r="CE140" s="217"/>
      <c r="CF140" s="148">
        <f t="shared" si="229"/>
        <v>0</v>
      </c>
    </row>
    <row r="141" spans="1:84" ht="17.25" hidden="1" customHeight="1">
      <c r="A141" s="117"/>
      <c r="B141" s="209" t="s">
        <v>2046</v>
      </c>
      <c r="C141" s="209" t="s">
        <v>2216</v>
      </c>
      <c r="D141" s="209" t="s">
        <v>1296</v>
      </c>
      <c r="E141" s="209" t="s">
        <v>1809</v>
      </c>
      <c r="F141" s="209" t="s">
        <v>1517</v>
      </c>
      <c r="G141" s="209" t="s">
        <v>1518</v>
      </c>
      <c r="H141" s="210">
        <v>892</v>
      </c>
      <c r="I141" s="211" t="s">
        <v>147</v>
      </c>
      <c r="J141" s="144">
        <v>1</v>
      </c>
      <c r="K141" s="145">
        <f t="shared" si="153"/>
        <v>1</v>
      </c>
      <c r="L141" s="202">
        <f t="shared" si="213"/>
        <v>1</v>
      </c>
      <c r="M141" s="212">
        <v>11.2</v>
      </c>
      <c r="N141" s="203">
        <f t="shared" si="214"/>
        <v>11.2</v>
      </c>
      <c r="O141" s="212" t="s">
        <v>137</v>
      </c>
      <c r="P141" s="212" t="s">
        <v>13</v>
      </c>
      <c r="Q141" s="212" t="s">
        <v>148</v>
      </c>
      <c r="R141" s="212"/>
      <c r="S141" s="212"/>
      <c r="T141" s="203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1</v>
      </c>
      <c r="U141" s="203">
        <f t="shared" ca="1" si="215"/>
        <v>0</v>
      </c>
      <c r="V141" s="203">
        <f t="shared" ca="1" si="216"/>
        <v>1</v>
      </c>
      <c r="W141" s="212"/>
      <c r="X141" s="212"/>
      <c r="Y141" s="212"/>
      <c r="Z141" s="212"/>
      <c r="AA141" s="212"/>
      <c r="AB141" s="212"/>
      <c r="AC141" s="214" t="s">
        <v>196</v>
      </c>
      <c r="AD141" s="215" t="s">
        <v>2039</v>
      </c>
      <c r="AE141" s="148"/>
      <c r="AF141" s="212" t="str">
        <f t="shared" si="154"/>
        <v>AMC2-S1</v>
      </c>
      <c r="AG141" s="212">
        <f t="shared" si="155"/>
        <v>1</v>
      </c>
      <c r="AH141" s="203">
        <f t="shared" si="217"/>
        <v>1</v>
      </c>
      <c r="AI141" s="203">
        <f t="shared" ca="1" si="218"/>
        <v>1</v>
      </c>
      <c r="AJ141" s="203">
        <f t="shared" ca="1" si="219"/>
        <v>0</v>
      </c>
      <c r="AK141" s="212" t="str">
        <f t="shared" si="156"/>
        <v>N/A</v>
      </c>
      <c r="AL141" s="212">
        <f t="shared" si="157"/>
        <v>0</v>
      </c>
      <c r="AM141" s="203">
        <f t="shared" si="220"/>
        <v>0</v>
      </c>
      <c r="AN141" s="203">
        <f t="shared" ca="1" si="221"/>
        <v>0</v>
      </c>
      <c r="AO141" s="203">
        <f t="shared" ca="1" si="222"/>
        <v>0</v>
      </c>
      <c r="AP141" s="212" t="str">
        <f t="shared" si="158"/>
        <v>N/A</v>
      </c>
      <c r="AQ141" s="212">
        <f t="shared" si="159"/>
        <v>0</v>
      </c>
      <c r="AR141" s="203">
        <f t="shared" si="223"/>
        <v>0</v>
      </c>
      <c r="AS141" s="203">
        <f t="shared" ca="1" si="224"/>
        <v>0</v>
      </c>
      <c r="AT141" s="203">
        <f t="shared" ca="1" si="225"/>
        <v>0</v>
      </c>
      <c r="AU141" s="212" t="str">
        <f t="shared" si="160"/>
        <v>N/A</v>
      </c>
      <c r="AV141" s="212">
        <f t="shared" si="161"/>
        <v>0</v>
      </c>
      <c r="AW141" s="203">
        <f t="shared" si="226"/>
        <v>0</v>
      </c>
      <c r="AX141" s="203">
        <f t="shared" ca="1" si="227"/>
        <v>0</v>
      </c>
      <c r="AY141" s="203">
        <f t="shared" ca="1" si="228"/>
        <v>0</v>
      </c>
      <c r="AZ141" s="212"/>
      <c r="BA141" s="213" t="s">
        <v>141</v>
      </c>
      <c r="BB141" s="213" t="s">
        <v>140</v>
      </c>
      <c r="BC141" s="213" t="s">
        <v>140</v>
      </c>
      <c r="BD141" s="213" t="s">
        <v>140</v>
      </c>
      <c r="BE141" s="148"/>
      <c r="BF141" s="212" t="s">
        <v>1789</v>
      </c>
      <c r="BG141" s="117"/>
      <c r="BH141" s="155"/>
      <c r="BI141" s="216"/>
      <c r="BJ141" s="216"/>
      <c r="BK141" s="216"/>
      <c r="BL141" s="149"/>
      <c r="BM141" s="149"/>
      <c r="BN141" s="149"/>
      <c r="BO141" s="149"/>
      <c r="BP141" s="149"/>
      <c r="BQ141" s="149"/>
      <c r="BR141" s="117">
        <v>0</v>
      </c>
      <c r="BS141" s="117">
        <v>0</v>
      </c>
      <c r="BT141" s="117">
        <v>0</v>
      </c>
      <c r="BU141" s="117">
        <v>1</v>
      </c>
      <c r="BV141" s="117">
        <v>0</v>
      </c>
      <c r="BW141" s="117">
        <v>0</v>
      </c>
      <c r="BX141" s="117">
        <v>0</v>
      </c>
      <c r="BY141" s="117" t="s">
        <v>1790</v>
      </c>
      <c r="BZ141" s="117" t="s">
        <v>1022</v>
      </c>
      <c r="CA141" s="117">
        <v>1</v>
      </c>
      <c r="CB141" s="149">
        <v>46206</v>
      </c>
      <c r="CC141" s="155"/>
      <c r="CD141" s="155"/>
      <c r="CE141" s="217"/>
      <c r="CF141" s="148">
        <f t="shared" si="229"/>
        <v>0</v>
      </c>
    </row>
    <row r="142" spans="1:84" ht="17.25" hidden="1" customHeight="1">
      <c r="A142" s="117"/>
      <c r="B142" s="209" t="s">
        <v>2046</v>
      </c>
      <c r="C142" s="209" t="s">
        <v>2216</v>
      </c>
      <c r="D142" s="209" t="s">
        <v>1296</v>
      </c>
      <c r="E142" s="209" t="s">
        <v>1812</v>
      </c>
      <c r="F142" s="209" t="s">
        <v>1519</v>
      </c>
      <c r="G142" s="209" t="s">
        <v>1422</v>
      </c>
      <c r="H142" s="210">
        <v>530</v>
      </c>
      <c r="I142" s="211" t="s">
        <v>147</v>
      </c>
      <c r="J142" s="144">
        <v>1</v>
      </c>
      <c r="K142" s="145">
        <f t="shared" si="153"/>
        <v>1</v>
      </c>
      <c r="L142" s="202">
        <f t="shared" si="213"/>
        <v>1</v>
      </c>
      <c r="M142" s="212">
        <v>14.5</v>
      </c>
      <c r="N142" s="203">
        <f t="shared" si="214"/>
        <v>14.5</v>
      </c>
      <c r="O142" s="212" t="s">
        <v>137</v>
      </c>
      <c r="P142" s="212" t="s">
        <v>13</v>
      </c>
      <c r="Q142" s="212" t="s">
        <v>148</v>
      </c>
      <c r="R142" s="212"/>
      <c r="S142" s="212"/>
      <c r="T142" s="203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1</v>
      </c>
      <c r="U142" s="203">
        <f t="shared" ca="1" si="215"/>
        <v>0</v>
      </c>
      <c r="V142" s="203">
        <f t="shared" ca="1" si="216"/>
        <v>1</v>
      </c>
      <c r="W142" s="212"/>
      <c r="X142" s="212"/>
      <c r="Y142" s="212"/>
      <c r="Z142" s="212"/>
      <c r="AA142" s="212"/>
      <c r="AB142" s="212"/>
      <c r="AC142" s="214" t="s">
        <v>196</v>
      </c>
      <c r="AD142" s="215" t="s">
        <v>2039</v>
      </c>
      <c r="AE142" s="148"/>
      <c r="AF142" s="212" t="str">
        <f t="shared" si="154"/>
        <v>AMC2-S1</v>
      </c>
      <c r="AG142" s="212">
        <f t="shared" si="155"/>
        <v>1</v>
      </c>
      <c r="AH142" s="203">
        <f t="shared" si="217"/>
        <v>1</v>
      </c>
      <c r="AI142" s="203">
        <f t="shared" ca="1" si="218"/>
        <v>1</v>
      </c>
      <c r="AJ142" s="203">
        <f t="shared" ca="1" si="219"/>
        <v>0</v>
      </c>
      <c r="AK142" s="212" t="str">
        <f t="shared" si="156"/>
        <v>N/A</v>
      </c>
      <c r="AL142" s="212">
        <f t="shared" si="157"/>
        <v>0</v>
      </c>
      <c r="AM142" s="203">
        <f t="shared" si="220"/>
        <v>0</v>
      </c>
      <c r="AN142" s="203">
        <f t="shared" ca="1" si="221"/>
        <v>0</v>
      </c>
      <c r="AO142" s="203">
        <f t="shared" ca="1" si="222"/>
        <v>0</v>
      </c>
      <c r="AP142" s="212" t="str">
        <f t="shared" si="158"/>
        <v>N/A</v>
      </c>
      <c r="AQ142" s="212">
        <f t="shared" si="159"/>
        <v>0</v>
      </c>
      <c r="AR142" s="203">
        <f t="shared" si="223"/>
        <v>0</v>
      </c>
      <c r="AS142" s="203">
        <f t="shared" ca="1" si="224"/>
        <v>0</v>
      </c>
      <c r="AT142" s="203">
        <f t="shared" ca="1" si="225"/>
        <v>0</v>
      </c>
      <c r="AU142" s="212" t="str">
        <f t="shared" si="160"/>
        <v>N/A</v>
      </c>
      <c r="AV142" s="212">
        <f t="shared" si="161"/>
        <v>0</v>
      </c>
      <c r="AW142" s="203">
        <f t="shared" si="226"/>
        <v>0</v>
      </c>
      <c r="AX142" s="203">
        <f t="shared" ca="1" si="227"/>
        <v>0</v>
      </c>
      <c r="AY142" s="203">
        <f t="shared" ca="1" si="228"/>
        <v>0</v>
      </c>
      <c r="AZ142" s="212"/>
      <c r="BA142" s="213" t="s">
        <v>141</v>
      </c>
      <c r="BB142" s="213" t="s">
        <v>140</v>
      </c>
      <c r="BC142" s="213" t="s">
        <v>140</v>
      </c>
      <c r="BD142" s="213" t="s">
        <v>140</v>
      </c>
      <c r="BE142" s="148"/>
      <c r="BF142" s="212" t="s">
        <v>1789</v>
      </c>
      <c r="BG142" s="117"/>
      <c r="BH142" s="155"/>
      <c r="BI142" s="216"/>
      <c r="BJ142" s="216"/>
      <c r="BK142" s="216"/>
      <c r="BL142" s="149"/>
      <c r="BM142" s="149"/>
      <c r="BN142" s="149"/>
      <c r="BO142" s="149"/>
      <c r="BP142" s="149"/>
      <c r="BQ142" s="149"/>
      <c r="BR142" s="117">
        <v>1</v>
      </c>
      <c r="BS142" s="117">
        <v>0</v>
      </c>
      <c r="BT142" s="117">
        <v>0</v>
      </c>
      <c r="BU142" s="117">
        <v>0</v>
      </c>
      <c r="BV142" s="117">
        <v>0</v>
      </c>
      <c r="BW142" s="117">
        <v>0</v>
      </c>
      <c r="BX142" s="117">
        <v>0</v>
      </c>
      <c r="BY142" s="117" t="s">
        <v>1790</v>
      </c>
      <c r="BZ142" s="117" t="s">
        <v>1303</v>
      </c>
      <c r="CA142" s="117">
        <v>1</v>
      </c>
      <c r="CB142" s="149">
        <v>46206</v>
      </c>
      <c r="CC142" s="155"/>
      <c r="CD142" s="117"/>
      <c r="CE142" s="217"/>
      <c r="CF142" s="148">
        <f t="shared" si="229"/>
        <v>0</v>
      </c>
    </row>
    <row r="143" spans="1:84" ht="17.25" hidden="1" customHeight="1">
      <c r="A143" s="162">
        <v>180</v>
      </c>
      <c r="B143" s="177" t="s">
        <v>2050</v>
      </c>
      <c r="C143" s="177" t="s">
        <v>2217</v>
      </c>
      <c r="D143" s="177" t="s">
        <v>2051</v>
      </c>
      <c r="E143" s="177"/>
      <c r="F143" s="177"/>
      <c r="G143" s="177" t="s">
        <v>2052</v>
      </c>
      <c r="H143" s="178"/>
      <c r="I143" s="179"/>
      <c r="J143" s="160"/>
      <c r="K143" s="180">
        <f>+AG143+AL143+AQ143+AV143</f>
        <v>1</v>
      </c>
      <c r="L143" s="160"/>
      <c r="M143" s="181">
        <v>7227.7</v>
      </c>
      <c r="N143" s="181">
        <v>7227.7</v>
      </c>
      <c r="O143" s="181" t="s">
        <v>137</v>
      </c>
      <c r="P143" s="181"/>
      <c r="Q143" s="181"/>
      <c r="R143" s="181"/>
      <c r="S143" s="181"/>
      <c r="T143" s="181"/>
      <c r="U143" s="181"/>
      <c r="V143" s="181"/>
      <c r="W143" s="181">
        <f>_xlfn.MINIFS(V:V,C:C,C143,AE:AE,"",AB:AB,"")</f>
        <v>0</v>
      </c>
      <c r="X143" s="181" t="e">
        <f>SUMIFS(T:T,C:C,C143,AE:AE,"")/SUMIFS(L:L,C:C,C143,AE:AE,"",AB:AB,"")</f>
        <v>#DIV/0!</v>
      </c>
      <c r="Y143" s="181"/>
      <c r="Z143" s="181"/>
      <c r="AA143" s="181"/>
      <c r="AB143" s="181"/>
      <c r="AC143" s="228" t="s">
        <v>196</v>
      </c>
      <c r="AD143" s="184" t="s">
        <v>2039</v>
      </c>
      <c r="AE143" s="162" t="s">
        <v>143</v>
      </c>
      <c r="AF143" s="181" t="s">
        <v>1783</v>
      </c>
      <c r="AG143" s="181">
        <v>1</v>
      </c>
      <c r="AH143" s="181"/>
      <c r="AI143" s="181"/>
      <c r="AJ143" s="181"/>
      <c r="AK143" s="181" t="s">
        <v>138</v>
      </c>
      <c r="AL143" s="181">
        <v>0</v>
      </c>
      <c r="AM143" s="181"/>
      <c r="AN143" s="181"/>
      <c r="AO143" s="181"/>
      <c r="AP143" s="181" t="s">
        <v>138</v>
      </c>
      <c r="AQ143" s="181">
        <v>0</v>
      </c>
      <c r="AR143" s="181"/>
      <c r="AS143" s="181"/>
      <c r="AT143" s="181"/>
      <c r="AU143" s="181" t="s">
        <v>138</v>
      </c>
      <c r="AV143" s="181">
        <v>0</v>
      </c>
      <c r="AW143" s="181"/>
      <c r="AX143" s="181"/>
      <c r="AY143" s="181"/>
      <c r="AZ143" s="181"/>
      <c r="BA143" s="182" t="s">
        <v>141</v>
      </c>
      <c r="BB143" s="182" t="s">
        <v>140</v>
      </c>
      <c r="BC143" s="182" t="s">
        <v>140</v>
      </c>
      <c r="BD143" s="182" t="s">
        <v>140</v>
      </c>
      <c r="BE143" s="162"/>
      <c r="BF143" s="181"/>
      <c r="BG143" s="161"/>
      <c r="BH143" s="161"/>
      <c r="BI143" s="163"/>
      <c r="BJ143" s="163"/>
      <c r="BK143" s="163"/>
      <c r="BL143" s="163"/>
      <c r="BM143" s="163"/>
      <c r="BN143" s="163"/>
      <c r="BO143" s="163"/>
      <c r="BP143" s="163"/>
      <c r="BQ143" s="163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3"/>
      <c r="CC143" s="161"/>
      <c r="CD143" s="161"/>
      <c r="CE143" s="185"/>
      <c r="CF143" s="185"/>
    </row>
    <row r="144" spans="1:84" ht="17.25" hidden="1" customHeight="1">
      <c r="A144" s="186"/>
      <c r="B144" s="187" t="s">
        <v>2050</v>
      </c>
      <c r="C144" s="187" t="s">
        <v>2184</v>
      </c>
      <c r="D144" s="187"/>
      <c r="E144" s="187"/>
      <c r="F144" s="187"/>
      <c r="G144" s="187" t="s">
        <v>1965</v>
      </c>
      <c r="H144" s="188"/>
      <c r="I144" s="189"/>
      <c r="J144" s="190"/>
      <c r="K144" s="191">
        <f t="shared" ref="K144:K164" si="230">K143</f>
        <v>1</v>
      </c>
      <c r="L144" s="190"/>
      <c r="M144" s="192">
        <v>2505.5</v>
      </c>
      <c r="N144" s="192">
        <v>2505.5</v>
      </c>
      <c r="O144" s="192" t="s">
        <v>137</v>
      </c>
      <c r="P144" s="192"/>
      <c r="Q144" s="192"/>
      <c r="R144" s="192"/>
      <c r="S144" s="192"/>
      <c r="T144" s="192"/>
      <c r="U144" s="192"/>
      <c r="V144" s="192"/>
      <c r="W144" s="192">
        <f ca="1">_xlfn.MINIFS(V:V,C:C,C144,AE:AE,"",AB:AB,"")</f>
        <v>1</v>
      </c>
      <c r="X144" s="192">
        <f ca="1">SUMIFS(T:T,C:C,C144,AE:AE,"")/SUMIFS(L:L,C:C,C144,AE:AE,"",AB:AB,"")</f>
        <v>0.67543859649122806</v>
      </c>
      <c r="Y144" s="192"/>
      <c r="Z144" s="192"/>
      <c r="AA144" s="192"/>
      <c r="AB144" s="192"/>
      <c r="AC144" s="194" t="s">
        <v>196</v>
      </c>
      <c r="AD144" s="195" t="s">
        <v>2039</v>
      </c>
      <c r="AE144" s="196" t="s">
        <v>1787</v>
      </c>
      <c r="AF144" s="192" t="str">
        <f t="shared" ref="AF144:AF164" si="231">AF143</f>
        <v>AMC2-S1</v>
      </c>
      <c r="AG144" s="192">
        <f t="shared" ref="AG144:AG164" si="232">AG143</f>
        <v>1</v>
      </c>
      <c r="AH144" s="192"/>
      <c r="AI144" s="192"/>
      <c r="AJ144" s="192"/>
      <c r="AK144" s="192" t="str">
        <f t="shared" ref="AK144:AK164" si="233">AK143</f>
        <v>N/A</v>
      </c>
      <c r="AL144" s="192">
        <f t="shared" ref="AL144:AL164" si="234">AL143</f>
        <v>0</v>
      </c>
      <c r="AM144" s="192"/>
      <c r="AN144" s="192"/>
      <c r="AO144" s="192"/>
      <c r="AP144" s="192" t="str">
        <f t="shared" ref="AP144:AP164" si="235">AP143</f>
        <v>N/A</v>
      </c>
      <c r="AQ144" s="192">
        <f t="shared" ref="AQ144:AQ164" si="236">AQ143</f>
        <v>0</v>
      </c>
      <c r="AR144" s="192"/>
      <c r="AS144" s="192"/>
      <c r="AT144" s="192"/>
      <c r="AU144" s="192" t="str">
        <f t="shared" ref="AU144:AU164" si="237">AU143</f>
        <v>N/A</v>
      </c>
      <c r="AV144" s="192">
        <f t="shared" ref="AV144:AV164" si="238">AV143</f>
        <v>0</v>
      </c>
      <c r="AW144" s="192"/>
      <c r="AX144" s="192"/>
      <c r="AY144" s="192"/>
      <c r="AZ144" s="192"/>
      <c r="BA144" s="193" t="s">
        <v>141</v>
      </c>
      <c r="BB144" s="193" t="s">
        <v>140</v>
      </c>
      <c r="BC144" s="193" t="s">
        <v>140</v>
      </c>
      <c r="BD144" s="193" t="s">
        <v>140</v>
      </c>
      <c r="BE144" s="196" t="s">
        <v>741</v>
      </c>
      <c r="BF144" s="192"/>
      <c r="BG144" s="186"/>
      <c r="BH144" s="186"/>
      <c r="BI144" s="197"/>
      <c r="BJ144" s="197"/>
      <c r="BK144" s="197"/>
      <c r="BL144" s="197"/>
      <c r="BM144" s="197"/>
      <c r="BN144" s="197"/>
      <c r="BO144" s="197"/>
      <c r="BP144" s="197"/>
      <c r="BQ144" s="197"/>
      <c r="BR144" s="186"/>
      <c r="BS144" s="186"/>
      <c r="BT144" s="186"/>
      <c r="BU144" s="186"/>
      <c r="BV144" s="186"/>
      <c r="BW144" s="186"/>
      <c r="BX144" s="186"/>
      <c r="BY144" s="186"/>
      <c r="BZ144" s="186"/>
      <c r="CA144" s="186"/>
      <c r="CB144" s="197"/>
      <c r="CC144" s="186"/>
      <c r="CD144" s="186"/>
      <c r="CE144" s="198"/>
      <c r="CF144" s="198"/>
    </row>
    <row r="145" spans="1:84" ht="17.25" hidden="1" customHeight="1">
      <c r="A145" s="117"/>
      <c r="B145" s="209" t="s">
        <v>2050</v>
      </c>
      <c r="C145" s="209" t="s">
        <v>2184</v>
      </c>
      <c r="D145" s="209" t="s">
        <v>1084</v>
      </c>
      <c r="E145" s="209" t="s">
        <v>1788</v>
      </c>
      <c r="F145" s="209" t="s">
        <v>1576</v>
      </c>
      <c r="G145" s="209" t="s">
        <v>1577</v>
      </c>
      <c r="H145" s="210">
        <v>11920</v>
      </c>
      <c r="I145" s="211" t="s">
        <v>147</v>
      </c>
      <c r="J145" s="144">
        <v>1</v>
      </c>
      <c r="K145" s="145">
        <f t="shared" si="230"/>
        <v>1</v>
      </c>
      <c r="L145" s="202">
        <f t="shared" ref="L145:L151" si="239">+J145*K145</f>
        <v>1</v>
      </c>
      <c r="M145" s="212">
        <v>1381.3</v>
      </c>
      <c r="N145" s="203">
        <f t="shared" ref="N145:N151" si="240">+M145*L145</f>
        <v>1381.3</v>
      </c>
      <c r="O145" s="212" t="s">
        <v>137</v>
      </c>
      <c r="P145" s="212" t="s">
        <v>13</v>
      </c>
      <c r="Q145" s="212" t="s">
        <v>154</v>
      </c>
      <c r="R145" s="212"/>
      <c r="S145" s="212"/>
      <c r="T145" s="203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1</v>
      </c>
      <c r="U145" s="203">
        <f t="shared" ref="U145:U151" ca="1" si="241">+L145-T145</f>
        <v>0</v>
      </c>
      <c r="V145" s="203">
        <f t="shared" ref="V145:V151" ca="1" si="242">ROUNDDOWN(T145/J145,0)</f>
        <v>1</v>
      </c>
      <c r="W145" s="212"/>
      <c r="X145" s="212"/>
      <c r="Y145" s="212"/>
      <c r="Z145" s="212"/>
      <c r="AA145" s="212"/>
      <c r="AB145" s="212"/>
      <c r="AC145" s="214" t="s">
        <v>196</v>
      </c>
      <c r="AD145" s="215" t="s">
        <v>2039</v>
      </c>
      <c r="AE145" s="148"/>
      <c r="AF145" s="212" t="str">
        <f t="shared" si="231"/>
        <v>AMC2-S1</v>
      </c>
      <c r="AG145" s="212">
        <f t="shared" si="232"/>
        <v>1</v>
      </c>
      <c r="AH145" s="203">
        <f t="shared" ref="AH145:AH151" si="243">+AG145*J145</f>
        <v>1</v>
      </c>
      <c r="AI145" s="203">
        <f t="shared" ref="AI145:AI151" ca="1" si="244">MIN(T145,AH145)</f>
        <v>1</v>
      </c>
      <c r="AJ145" s="203">
        <f t="shared" ref="AJ145:AJ151" ca="1" si="245">+AH145-AI145</f>
        <v>0</v>
      </c>
      <c r="AK145" s="212" t="str">
        <f t="shared" si="233"/>
        <v>N/A</v>
      </c>
      <c r="AL145" s="212">
        <f t="shared" si="234"/>
        <v>0</v>
      </c>
      <c r="AM145" s="203">
        <f t="shared" ref="AM145:AM151" si="246">+AL145*J145</f>
        <v>0</v>
      </c>
      <c r="AN145" s="203">
        <f t="shared" ref="AN145:AN151" ca="1" si="247">MIN(T145-AI145,AL145)</f>
        <v>0</v>
      </c>
      <c r="AO145" s="203">
        <f t="shared" ref="AO145:AO151" ca="1" si="248">+AM145-AN145</f>
        <v>0</v>
      </c>
      <c r="AP145" s="212" t="str">
        <f t="shared" si="235"/>
        <v>N/A</v>
      </c>
      <c r="AQ145" s="212">
        <f t="shared" si="236"/>
        <v>0</v>
      </c>
      <c r="AR145" s="203">
        <f t="shared" ref="AR145:AR151" si="249">+AQ145*J145</f>
        <v>0</v>
      </c>
      <c r="AS145" s="203">
        <f t="shared" ref="AS145:AS151" ca="1" si="250">MIN(T145-AI145-AN145,AR145)</f>
        <v>0</v>
      </c>
      <c r="AT145" s="203">
        <f t="shared" ref="AT145:AT151" ca="1" si="251">+AR145-AS145</f>
        <v>0</v>
      </c>
      <c r="AU145" s="212" t="str">
        <f t="shared" si="237"/>
        <v>N/A</v>
      </c>
      <c r="AV145" s="212">
        <f t="shared" si="238"/>
        <v>0</v>
      </c>
      <c r="AW145" s="203">
        <f t="shared" ref="AW145:AW151" si="252">+AV145*J145</f>
        <v>0</v>
      </c>
      <c r="AX145" s="203">
        <f t="shared" ref="AX145:AX151" ca="1" si="253">MIN(T145-AI145-AN145-AS145,AW145)</f>
        <v>0</v>
      </c>
      <c r="AY145" s="203">
        <f t="shared" ref="AY145:AY151" ca="1" si="254">+AW145-AX145</f>
        <v>0</v>
      </c>
      <c r="AZ145" s="212"/>
      <c r="BA145" s="213" t="s">
        <v>141</v>
      </c>
      <c r="BB145" s="213" t="s">
        <v>140</v>
      </c>
      <c r="BC145" s="213" t="s">
        <v>140</v>
      </c>
      <c r="BD145" s="213" t="s">
        <v>140</v>
      </c>
      <c r="BE145" s="148"/>
      <c r="BF145" s="212" t="s">
        <v>1789</v>
      </c>
      <c r="BG145" s="117"/>
      <c r="BH145" s="155"/>
      <c r="BI145" s="216"/>
      <c r="BJ145" s="216"/>
      <c r="BK145" s="216"/>
      <c r="BL145" s="149"/>
      <c r="BM145" s="149"/>
      <c r="BN145" s="149"/>
      <c r="BO145" s="149"/>
      <c r="BP145" s="149"/>
      <c r="BQ145" s="150" t="s">
        <v>2185</v>
      </c>
      <c r="BR145" s="117">
        <v>0</v>
      </c>
      <c r="BS145" s="117">
        <v>1</v>
      </c>
      <c r="BT145" s="117">
        <v>0</v>
      </c>
      <c r="BU145" s="117">
        <v>1</v>
      </c>
      <c r="BV145" s="117">
        <v>0</v>
      </c>
      <c r="BW145" s="117">
        <v>0</v>
      </c>
      <c r="BX145" s="117">
        <v>0</v>
      </c>
      <c r="BY145" s="117" t="s">
        <v>1790</v>
      </c>
      <c r="BZ145" s="117" t="s">
        <v>57</v>
      </c>
      <c r="CA145" s="144">
        <v>1</v>
      </c>
      <c r="CB145" s="149"/>
      <c r="CC145" s="155"/>
      <c r="CD145" s="155"/>
      <c r="CE145" s="217"/>
      <c r="CF145" s="148">
        <f t="shared" ref="CF145:CF151" si="255">+L145-CA145</f>
        <v>0</v>
      </c>
    </row>
    <row r="146" spans="1:84" ht="17.25" hidden="1" customHeight="1">
      <c r="A146" s="117"/>
      <c r="B146" s="209" t="s">
        <v>2050</v>
      </c>
      <c r="C146" s="209" t="s">
        <v>2184</v>
      </c>
      <c r="D146" s="209" t="s">
        <v>1296</v>
      </c>
      <c r="E146" s="209" t="s">
        <v>1791</v>
      </c>
      <c r="F146" s="209" t="s">
        <v>1578</v>
      </c>
      <c r="G146" s="209" t="s">
        <v>1157</v>
      </c>
      <c r="H146" s="210">
        <v>11770</v>
      </c>
      <c r="I146" s="211" t="s">
        <v>147</v>
      </c>
      <c r="J146" s="144">
        <v>2</v>
      </c>
      <c r="K146" s="145">
        <f t="shared" si="230"/>
        <v>1</v>
      </c>
      <c r="L146" s="202">
        <f t="shared" si="239"/>
        <v>2</v>
      </c>
      <c r="M146" s="212">
        <v>443.5</v>
      </c>
      <c r="N146" s="203">
        <f t="shared" si="240"/>
        <v>887</v>
      </c>
      <c r="O146" s="212" t="s">
        <v>137</v>
      </c>
      <c r="P146" s="212" t="s">
        <v>13</v>
      </c>
      <c r="Q146" s="212" t="s">
        <v>148</v>
      </c>
      <c r="R146" s="212"/>
      <c r="S146" s="212"/>
      <c r="T146" s="203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2</v>
      </c>
      <c r="U146" s="203">
        <f t="shared" ca="1" si="241"/>
        <v>0</v>
      </c>
      <c r="V146" s="203">
        <f t="shared" ca="1" si="242"/>
        <v>1</v>
      </c>
      <c r="W146" s="212"/>
      <c r="X146" s="212"/>
      <c r="Y146" s="212"/>
      <c r="Z146" s="212"/>
      <c r="AA146" s="212"/>
      <c r="AB146" s="212"/>
      <c r="AC146" s="214" t="s">
        <v>196</v>
      </c>
      <c r="AD146" s="215" t="s">
        <v>2039</v>
      </c>
      <c r="AE146" s="148"/>
      <c r="AF146" s="212" t="str">
        <f t="shared" si="231"/>
        <v>AMC2-S1</v>
      </c>
      <c r="AG146" s="212">
        <f t="shared" si="232"/>
        <v>1</v>
      </c>
      <c r="AH146" s="203">
        <f t="shared" si="243"/>
        <v>2</v>
      </c>
      <c r="AI146" s="203">
        <f t="shared" ca="1" si="244"/>
        <v>2</v>
      </c>
      <c r="AJ146" s="203">
        <f t="shared" ca="1" si="245"/>
        <v>0</v>
      </c>
      <c r="AK146" s="212" t="str">
        <f t="shared" si="233"/>
        <v>N/A</v>
      </c>
      <c r="AL146" s="212">
        <f t="shared" si="234"/>
        <v>0</v>
      </c>
      <c r="AM146" s="203">
        <f t="shared" si="246"/>
        <v>0</v>
      </c>
      <c r="AN146" s="203">
        <f t="shared" ca="1" si="247"/>
        <v>0</v>
      </c>
      <c r="AO146" s="203">
        <f t="shared" ca="1" si="248"/>
        <v>0</v>
      </c>
      <c r="AP146" s="212" t="str">
        <f t="shared" si="235"/>
        <v>N/A</v>
      </c>
      <c r="AQ146" s="212">
        <f t="shared" si="236"/>
        <v>0</v>
      </c>
      <c r="AR146" s="203">
        <f t="shared" si="249"/>
        <v>0</v>
      </c>
      <c r="AS146" s="203">
        <f t="shared" ca="1" si="250"/>
        <v>0</v>
      </c>
      <c r="AT146" s="203">
        <f t="shared" ca="1" si="251"/>
        <v>0</v>
      </c>
      <c r="AU146" s="212" t="str">
        <f t="shared" si="237"/>
        <v>N/A</v>
      </c>
      <c r="AV146" s="212">
        <f t="shared" si="238"/>
        <v>0</v>
      </c>
      <c r="AW146" s="203">
        <f t="shared" si="252"/>
        <v>0</v>
      </c>
      <c r="AX146" s="203">
        <f t="shared" ca="1" si="253"/>
        <v>0</v>
      </c>
      <c r="AY146" s="203">
        <f t="shared" ca="1" si="254"/>
        <v>0</v>
      </c>
      <c r="AZ146" s="212"/>
      <c r="BA146" s="213" t="s">
        <v>141</v>
      </c>
      <c r="BB146" s="213" t="s">
        <v>140</v>
      </c>
      <c r="BC146" s="213" t="s">
        <v>140</v>
      </c>
      <c r="BD146" s="213" t="s">
        <v>140</v>
      </c>
      <c r="BE146" s="148"/>
      <c r="BF146" s="212" t="s">
        <v>1789</v>
      </c>
      <c r="BG146" s="117"/>
      <c r="BH146" s="155"/>
      <c r="BI146" s="216"/>
      <c r="BJ146" s="216"/>
      <c r="BK146" s="216"/>
      <c r="BL146" s="149"/>
      <c r="BM146" s="149"/>
      <c r="BN146" s="149"/>
      <c r="BO146" s="149"/>
      <c r="BP146" s="149"/>
      <c r="BQ146" s="149"/>
      <c r="BR146" s="117">
        <v>0</v>
      </c>
      <c r="BS146" s="117">
        <v>0</v>
      </c>
      <c r="BT146" s="117">
        <v>0</v>
      </c>
      <c r="BU146" s="117">
        <v>0</v>
      </c>
      <c r="BV146" s="117">
        <v>0</v>
      </c>
      <c r="BW146" s="117">
        <v>0</v>
      </c>
      <c r="BX146" s="117">
        <v>0</v>
      </c>
      <c r="BY146" s="117" t="s">
        <v>1790</v>
      </c>
      <c r="BZ146" s="117" t="s">
        <v>1303</v>
      </c>
      <c r="CA146" s="117">
        <v>2</v>
      </c>
      <c r="CB146" s="149">
        <v>46206</v>
      </c>
      <c r="CC146" s="155"/>
      <c r="CD146" s="117"/>
      <c r="CE146" s="217"/>
      <c r="CF146" s="148">
        <f t="shared" si="255"/>
        <v>0</v>
      </c>
    </row>
    <row r="147" spans="1:84" ht="17.25" hidden="1" customHeight="1">
      <c r="A147" s="117"/>
      <c r="B147" s="209" t="s">
        <v>2050</v>
      </c>
      <c r="C147" s="209" t="s">
        <v>2184</v>
      </c>
      <c r="D147" s="209" t="s">
        <v>1296</v>
      </c>
      <c r="E147" s="209" t="s">
        <v>1792</v>
      </c>
      <c r="F147" s="209" t="s">
        <v>1579</v>
      </c>
      <c r="G147" s="209" t="s">
        <v>1497</v>
      </c>
      <c r="H147" s="210">
        <v>852</v>
      </c>
      <c r="I147" s="211" t="s">
        <v>147</v>
      </c>
      <c r="J147" s="144">
        <v>1</v>
      </c>
      <c r="K147" s="145">
        <f t="shared" si="230"/>
        <v>1</v>
      </c>
      <c r="L147" s="202">
        <f t="shared" si="239"/>
        <v>1</v>
      </c>
      <c r="M147" s="212">
        <v>9.1999999999999993</v>
      </c>
      <c r="N147" s="203">
        <f t="shared" si="240"/>
        <v>9.1999999999999993</v>
      </c>
      <c r="O147" s="212" t="s">
        <v>137</v>
      </c>
      <c r="P147" s="212" t="s">
        <v>13</v>
      </c>
      <c r="Q147" s="212" t="s">
        <v>148</v>
      </c>
      <c r="R147" s="212"/>
      <c r="S147" s="212"/>
      <c r="T147" s="203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1</v>
      </c>
      <c r="U147" s="203">
        <f t="shared" ca="1" si="241"/>
        <v>0</v>
      </c>
      <c r="V147" s="203">
        <f t="shared" ca="1" si="242"/>
        <v>1</v>
      </c>
      <c r="W147" s="212"/>
      <c r="X147" s="212"/>
      <c r="Y147" s="212"/>
      <c r="Z147" s="212"/>
      <c r="AA147" s="212"/>
      <c r="AB147" s="212"/>
      <c r="AC147" s="214" t="s">
        <v>196</v>
      </c>
      <c r="AD147" s="215" t="s">
        <v>2039</v>
      </c>
      <c r="AE147" s="148"/>
      <c r="AF147" s="212" t="str">
        <f t="shared" si="231"/>
        <v>AMC2-S1</v>
      </c>
      <c r="AG147" s="212">
        <f t="shared" si="232"/>
        <v>1</v>
      </c>
      <c r="AH147" s="203">
        <f t="shared" si="243"/>
        <v>1</v>
      </c>
      <c r="AI147" s="203">
        <f t="shared" ca="1" si="244"/>
        <v>1</v>
      </c>
      <c r="AJ147" s="203">
        <f t="shared" ca="1" si="245"/>
        <v>0</v>
      </c>
      <c r="AK147" s="212" t="str">
        <f t="shared" si="233"/>
        <v>N/A</v>
      </c>
      <c r="AL147" s="212">
        <f t="shared" si="234"/>
        <v>0</v>
      </c>
      <c r="AM147" s="203">
        <f t="shared" si="246"/>
        <v>0</v>
      </c>
      <c r="AN147" s="203">
        <f t="shared" ca="1" si="247"/>
        <v>0</v>
      </c>
      <c r="AO147" s="203">
        <f t="shared" ca="1" si="248"/>
        <v>0</v>
      </c>
      <c r="AP147" s="212" t="str">
        <f t="shared" si="235"/>
        <v>N/A</v>
      </c>
      <c r="AQ147" s="212">
        <f t="shared" si="236"/>
        <v>0</v>
      </c>
      <c r="AR147" s="203">
        <f t="shared" si="249"/>
        <v>0</v>
      </c>
      <c r="AS147" s="203">
        <f t="shared" ca="1" si="250"/>
        <v>0</v>
      </c>
      <c r="AT147" s="203">
        <f t="shared" ca="1" si="251"/>
        <v>0</v>
      </c>
      <c r="AU147" s="212" t="str">
        <f t="shared" si="237"/>
        <v>N/A</v>
      </c>
      <c r="AV147" s="212">
        <f t="shared" si="238"/>
        <v>0</v>
      </c>
      <c r="AW147" s="203">
        <f t="shared" si="252"/>
        <v>0</v>
      </c>
      <c r="AX147" s="203">
        <f t="shared" ca="1" si="253"/>
        <v>0</v>
      </c>
      <c r="AY147" s="203">
        <f t="shared" ca="1" si="254"/>
        <v>0</v>
      </c>
      <c r="AZ147" s="212"/>
      <c r="BA147" s="213" t="s">
        <v>141</v>
      </c>
      <c r="BB147" s="213" t="s">
        <v>140</v>
      </c>
      <c r="BC147" s="213" t="s">
        <v>140</v>
      </c>
      <c r="BD147" s="213" t="s">
        <v>140</v>
      </c>
      <c r="BE147" s="148"/>
      <c r="BF147" s="212" t="s">
        <v>1789</v>
      </c>
      <c r="BG147" s="117"/>
      <c r="BH147" s="155"/>
      <c r="BI147" s="216"/>
      <c r="BJ147" s="216"/>
      <c r="BK147" s="216"/>
      <c r="BL147" s="149"/>
      <c r="BM147" s="149"/>
      <c r="BN147" s="149"/>
      <c r="BO147" s="149"/>
      <c r="BP147" s="149"/>
      <c r="BQ147" s="149"/>
      <c r="BR147" s="117">
        <v>0</v>
      </c>
      <c r="BS147" s="117">
        <v>0</v>
      </c>
      <c r="BT147" s="117">
        <v>0</v>
      </c>
      <c r="BU147" s="117">
        <v>0</v>
      </c>
      <c r="BV147" s="117">
        <v>0</v>
      </c>
      <c r="BW147" s="117">
        <v>0</v>
      </c>
      <c r="BX147" s="117">
        <v>0</v>
      </c>
      <c r="BY147" s="117" t="s">
        <v>1790</v>
      </c>
      <c r="BZ147" s="117" t="s">
        <v>1063</v>
      </c>
      <c r="CA147" s="117">
        <v>1</v>
      </c>
      <c r="CB147" s="149">
        <v>46206</v>
      </c>
      <c r="CC147" s="155"/>
      <c r="CD147" s="117"/>
      <c r="CE147" s="217"/>
      <c r="CF147" s="148">
        <f t="shared" si="255"/>
        <v>0</v>
      </c>
    </row>
    <row r="148" spans="1:84" ht="17.25" hidden="1" customHeight="1">
      <c r="A148" s="117"/>
      <c r="B148" s="209" t="s">
        <v>2050</v>
      </c>
      <c r="C148" s="209" t="s">
        <v>2184</v>
      </c>
      <c r="D148" s="209" t="s">
        <v>1296</v>
      </c>
      <c r="E148" s="209" t="s">
        <v>1793</v>
      </c>
      <c r="F148" s="209" t="s">
        <v>1580</v>
      </c>
      <c r="G148" s="209" t="s">
        <v>1581</v>
      </c>
      <c r="H148" s="210">
        <v>794</v>
      </c>
      <c r="I148" s="211" t="s">
        <v>147</v>
      </c>
      <c r="J148" s="144">
        <v>7</v>
      </c>
      <c r="K148" s="145">
        <f t="shared" si="230"/>
        <v>1</v>
      </c>
      <c r="L148" s="202">
        <f t="shared" si="239"/>
        <v>7</v>
      </c>
      <c r="M148" s="212">
        <v>8.5</v>
      </c>
      <c r="N148" s="203">
        <f t="shared" si="240"/>
        <v>59.5</v>
      </c>
      <c r="O148" s="212" t="s">
        <v>137</v>
      </c>
      <c r="P148" s="212" t="s">
        <v>13</v>
      </c>
      <c r="Q148" s="212" t="s">
        <v>148</v>
      </c>
      <c r="R148" s="212"/>
      <c r="S148" s="212"/>
      <c r="T148" s="203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7</v>
      </c>
      <c r="U148" s="203">
        <f t="shared" ca="1" si="241"/>
        <v>0</v>
      </c>
      <c r="V148" s="203">
        <f t="shared" ca="1" si="242"/>
        <v>1</v>
      </c>
      <c r="W148" s="212"/>
      <c r="X148" s="212"/>
      <c r="Y148" s="212"/>
      <c r="Z148" s="212"/>
      <c r="AA148" s="212"/>
      <c r="AB148" s="212"/>
      <c r="AC148" s="214" t="s">
        <v>196</v>
      </c>
      <c r="AD148" s="215" t="s">
        <v>2039</v>
      </c>
      <c r="AE148" s="148"/>
      <c r="AF148" s="212" t="str">
        <f t="shared" si="231"/>
        <v>AMC2-S1</v>
      </c>
      <c r="AG148" s="212">
        <f t="shared" si="232"/>
        <v>1</v>
      </c>
      <c r="AH148" s="203">
        <f t="shared" si="243"/>
        <v>7</v>
      </c>
      <c r="AI148" s="203">
        <f t="shared" ca="1" si="244"/>
        <v>7</v>
      </c>
      <c r="AJ148" s="203">
        <f t="shared" ca="1" si="245"/>
        <v>0</v>
      </c>
      <c r="AK148" s="212" t="str">
        <f t="shared" si="233"/>
        <v>N/A</v>
      </c>
      <c r="AL148" s="212">
        <f t="shared" si="234"/>
        <v>0</v>
      </c>
      <c r="AM148" s="203">
        <f t="shared" si="246"/>
        <v>0</v>
      </c>
      <c r="AN148" s="203">
        <f t="shared" ca="1" si="247"/>
        <v>0</v>
      </c>
      <c r="AO148" s="203">
        <f t="shared" ca="1" si="248"/>
        <v>0</v>
      </c>
      <c r="AP148" s="212" t="str">
        <f t="shared" si="235"/>
        <v>N/A</v>
      </c>
      <c r="AQ148" s="212">
        <f t="shared" si="236"/>
        <v>0</v>
      </c>
      <c r="AR148" s="203">
        <f t="shared" si="249"/>
        <v>0</v>
      </c>
      <c r="AS148" s="203">
        <f t="shared" ca="1" si="250"/>
        <v>0</v>
      </c>
      <c r="AT148" s="203">
        <f t="shared" ca="1" si="251"/>
        <v>0</v>
      </c>
      <c r="AU148" s="212" t="str">
        <f t="shared" si="237"/>
        <v>N/A</v>
      </c>
      <c r="AV148" s="212">
        <f t="shared" si="238"/>
        <v>0</v>
      </c>
      <c r="AW148" s="203">
        <f t="shared" si="252"/>
        <v>0</v>
      </c>
      <c r="AX148" s="203">
        <f t="shared" ca="1" si="253"/>
        <v>0</v>
      </c>
      <c r="AY148" s="203">
        <f t="shared" ca="1" si="254"/>
        <v>0</v>
      </c>
      <c r="AZ148" s="212"/>
      <c r="BA148" s="213" t="s">
        <v>141</v>
      </c>
      <c r="BB148" s="213" t="s">
        <v>140</v>
      </c>
      <c r="BC148" s="213" t="s">
        <v>140</v>
      </c>
      <c r="BD148" s="213" t="s">
        <v>140</v>
      </c>
      <c r="BE148" s="148"/>
      <c r="BF148" s="212" t="s">
        <v>1789</v>
      </c>
      <c r="BG148" s="117"/>
      <c r="BH148" s="155"/>
      <c r="BI148" s="216"/>
      <c r="BJ148" s="216"/>
      <c r="BK148" s="216"/>
      <c r="BL148" s="149"/>
      <c r="BM148" s="149"/>
      <c r="BN148" s="149"/>
      <c r="BO148" s="149"/>
      <c r="BP148" s="149"/>
      <c r="BQ148" s="149"/>
      <c r="BR148" s="117">
        <v>0</v>
      </c>
      <c r="BS148" s="117">
        <v>0</v>
      </c>
      <c r="BT148" s="117">
        <v>0</v>
      </c>
      <c r="BU148" s="117">
        <v>1</v>
      </c>
      <c r="BV148" s="117">
        <v>0</v>
      </c>
      <c r="BW148" s="117">
        <v>0</v>
      </c>
      <c r="BX148" s="117">
        <v>0</v>
      </c>
      <c r="BY148" s="117" t="s">
        <v>1790</v>
      </c>
      <c r="BZ148" s="117" t="s">
        <v>1063</v>
      </c>
      <c r="CA148" s="117">
        <v>7</v>
      </c>
      <c r="CB148" s="149">
        <v>46206</v>
      </c>
      <c r="CC148" s="155"/>
      <c r="CD148" s="117"/>
      <c r="CE148" s="217"/>
      <c r="CF148" s="148">
        <f t="shared" si="255"/>
        <v>0</v>
      </c>
    </row>
    <row r="149" spans="1:84" ht="17.25" hidden="1" customHeight="1">
      <c r="A149" s="117"/>
      <c r="B149" s="209" t="s">
        <v>2050</v>
      </c>
      <c r="C149" s="209" t="s">
        <v>2184</v>
      </c>
      <c r="D149" s="209" t="s">
        <v>1296</v>
      </c>
      <c r="E149" s="209" t="s">
        <v>1957</v>
      </c>
      <c r="F149" s="209" t="s">
        <v>1582</v>
      </c>
      <c r="G149" s="209" t="s">
        <v>1581</v>
      </c>
      <c r="H149" s="210">
        <v>794</v>
      </c>
      <c r="I149" s="211" t="s">
        <v>147</v>
      </c>
      <c r="J149" s="144">
        <v>7</v>
      </c>
      <c r="K149" s="145">
        <f t="shared" si="230"/>
        <v>1</v>
      </c>
      <c r="L149" s="202">
        <f t="shared" si="239"/>
        <v>7</v>
      </c>
      <c r="M149" s="212">
        <v>8.5</v>
      </c>
      <c r="N149" s="203">
        <f t="shared" si="240"/>
        <v>59.5</v>
      </c>
      <c r="O149" s="212" t="s">
        <v>137</v>
      </c>
      <c r="P149" s="212" t="s">
        <v>13</v>
      </c>
      <c r="Q149" s="212" t="s">
        <v>148</v>
      </c>
      <c r="R149" s="212"/>
      <c r="S149" s="212"/>
      <c r="T149" s="203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7</v>
      </c>
      <c r="U149" s="203">
        <f t="shared" ca="1" si="241"/>
        <v>0</v>
      </c>
      <c r="V149" s="203">
        <f t="shared" ca="1" si="242"/>
        <v>1</v>
      </c>
      <c r="W149" s="212"/>
      <c r="X149" s="212"/>
      <c r="Y149" s="212"/>
      <c r="Z149" s="212"/>
      <c r="AA149" s="212"/>
      <c r="AB149" s="212"/>
      <c r="AC149" s="214" t="s">
        <v>196</v>
      </c>
      <c r="AD149" s="215" t="s">
        <v>2039</v>
      </c>
      <c r="AE149" s="148"/>
      <c r="AF149" s="212" t="str">
        <f t="shared" si="231"/>
        <v>AMC2-S1</v>
      </c>
      <c r="AG149" s="212">
        <f t="shared" si="232"/>
        <v>1</v>
      </c>
      <c r="AH149" s="203">
        <f t="shared" si="243"/>
        <v>7</v>
      </c>
      <c r="AI149" s="203">
        <f t="shared" ca="1" si="244"/>
        <v>7</v>
      </c>
      <c r="AJ149" s="203">
        <f t="shared" ca="1" si="245"/>
        <v>0</v>
      </c>
      <c r="AK149" s="212" t="str">
        <f t="shared" si="233"/>
        <v>N/A</v>
      </c>
      <c r="AL149" s="212">
        <f t="shared" si="234"/>
        <v>0</v>
      </c>
      <c r="AM149" s="203">
        <f t="shared" si="246"/>
        <v>0</v>
      </c>
      <c r="AN149" s="203">
        <f t="shared" ca="1" si="247"/>
        <v>0</v>
      </c>
      <c r="AO149" s="203">
        <f t="shared" ca="1" si="248"/>
        <v>0</v>
      </c>
      <c r="AP149" s="212" t="str">
        <f t="shared" si="235"/>
        <v>N/A</v>
      </c>
      <c r="AQ149" s="212">
        <f t="shared" si="236"/>
        <v>0</v>
      </c>
      <c r="AR149" s="203">
        <f t="shared" si="249"/>
        <v>0</v>
      </c>
      <c r="AS149" s="203">
        <f t="shared" ca="1" si="250"/>
        <v>0</v>
      </c>
      <c r="AT149" s="203">
        <f t="shared" ca="1" si="251"/>
        <v>0</v>
      </c>
      <c r="AU149" s="212" t="str">
        <f t="shared" si="237"/>
        <v>N/A</v>
      </c>
      <c r="AV149" s="212">
        <f t="shared" si="238"/>
        <v>0</v>
      </c>
      <c r="AW149" s="203">
        <f t="shared" si="252"/>
        <v>0</v>
      </c>
      <c r="AX149" s="203">
        <f t="shared" ca="1" si="253"/>
        <v>0</v>
      </c>
      <c r="AY149" s="203">
        <f t="shared" ca="1" si="254"/>
        <v>0</v>
      </c>
      <c r="AZ149" s="212"/>
      <c r="BA149" s="213" t="s">
        <v>141</v>
      </c>
      <c r="BB149" s="213" t="s">
        <v>140</v>
      </c>
      <c r="BC149" s="213" t="s">
        <v>140</v>
      </c>
      <c r="BD149" s="213" t="s">
        <v>140</v>
      </c>
      <c r="BE149" s="148"/>
      <c r="BF149" s="212" t="s">
        <v>1789</v>
      </c>
      <c r="BG149" s="117"/>
      <c r="BH149" s="155"/>
      <c r="BI149" s="216"/>
      <c r="BJ149" s="216"/>
      <c r="BK149" s="216"/>
      <c r="BL149" s="149"/>
      <c r="BM149" s="149"/>
      <c r="BN149" s="149"/>
      <c r="BO149" s="149"/>
      <c r="BP149" s="149"/>
      <c r="BQ149" s="149"/>
      <c r="BR149" s="117">
        <v>0</v>
      </c>
      <c r="BS149" s="117">
        <v>0</v>
      </c>
      <c r="BT149" s="117">
        <v>0</v>
      </c>
      <c r="BU149" s="117">
        <v>0</v>
      </c>
      <c r="BV149" s="117">
        <v>0</v>
      </c>
      <c r="BW149" s="117">
        <v>0</v>
      </c>
      <c r="BX149" s="117">
        <v>0</v>
      </c>
      <c r="BY149" s="117" t="s">
        <v>1790</v>
      </c>
      <c r="BZ149" s="117" t="s">
        <v>1063</v>
      </c>
      <c r="CA149" s="117">
        <v>7</v>
      </c>
      <c r="CB149" s="149">
        <v>46206</v>
      </c>
      <c r="CC149" s="155"/>
      <c r="CD149" s="117"/>
      <c r="CE149" s="217"/>
      <c r="CF149" s="148">
        <f t="shared" si="255"/>
        <v>0</v>
      </c>
    </row>
    <row r="150" spans="1:84" ht="17.25" hidden="1" customHeight="1">
      <c r="A150" s="117"/>
      <c r="B150" s="209" t="s">
        <v>2050</v>
      </c>
      <c r="C150" s="209" t="s">
        <v>2184</v>
      </c>
      <c r="D150" s="209" t="s">
        <v>1296</v>
      </c>
      <c r="E150" s="209" t="s">
        <v>1794</v>
      </c>
      <c r="F150" s="209" t="s">
        <v>1583</v>
      </c>
      <c r="G150" s="209" t="s">
        <v>1584</v>
      </c>
      <c r="H150" s="210">
        <v>337</v>
      </c>
      <c r="I150" s="211" t="s">
        <v>147</v>
      </c>
      <c r="J150" s="144">
        <v>14</v>
      </c>
      <c r="K150" s="145">
        <f t="shared" si="230"/>
        <v>1</v>
      </c>
      <c r="L150" s="202">
        <f t="shared" si="239"/>
        <v>14</v>
      </c>
      <c r="M150" s="212">
        <v>3.5</v>
      </c>
      <c r="N150" s="203">
        <f t="shared" si="240"/>
        <v>49</v>
      </c>
      <c r="O150" s="212" t="s">
        <v>137</v>
      </c>
      <c r="P150" s="212" t="s">
        <v>13</v>
      </c>
      <c r="Q150" s="212" t="s">
        <v>148</v>
      </c>
      <c r="R150" s="212"/>
      <c r="S150" s="212"/>
      <c r="T150" s="203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14</v>
      </c>
      <c r="U150" s="203">
        <f t="shared" ca="1" si="241"/>
        <v>0</v>
      </c>
      <c r="V150" s="203">
        <f t="shared" ca="1" si="242"/>
        <v>1</v>
      </c>
      <c r="W150" s="212"/>
      <c r="X150" s="212"/>
      <c r="Y150" s="212"/>
      <c r="Z150" s="212"/>
      <c r="AA150" s="212"/>
      <c r="AB150" s="212"/>
      <c r="AC150" s="214" t="s">
        <v>196</v>
      </c>
      <c r="AD150" s="215" t="s">
        <v>2039</v>
      </c>
      <c r="AE150" s="148"/>
      <c r="AF150" s="212" t="str">
        <f t="shared" si="231"/>
        <v>AMC2-S1</v>
      </c>
      <c r="AG150" s="212">
        <f t="shared" si="232"/>
        <v>1</v>
      </c>
      <c r="AH150" s="203">
        <f t="shared" si="243"/>
        <v>14</v>
      </c>
      <c r="AI150" s="203">
        <f t="shared" ca="1" si="244"/>
        <v>14</v>
      </c>
      <c r="AJ150" s="203">
        <f t="shared" ca="1" si="245"/>
        <v>0</v>
      </c>
      <c r="AK150" s="212" t="str">
        <f t="shared" si="233"/>
        <v>N/A</v>
      </c>
      <c r="AL150" s="212">
        <f t="shared" si="234"/>
        <v>0</v>
      </c>
      <c r="AM150" s="203">
        <f t="shared" si="246"/>
        <v>0</v>
      </c>
      <c r="AN150" s="203">
        <f t="shared" ca="1" si="247"/>
        <v>0</v>
      </c>
      <c r="AO150" s="203">
        <f t="shared" ca="1" si="248"/>
        <v>0</v>
      </c>
      <c r="AP150" s="212" t="str">
        <f t="shared" si="235"/>
        <v>N/A</v>
      </c>
      <c r="AQ150" s="212">
        <f t="shared" si="236"/>
        <v>0</v>
      </c>
      <c r="AR150" s="203">
        <f t="shared" si="249"/>
        <v>0</v>
      </c>
      <c r="AS150" s="203">
        <f t="shared" ca="1" si="250"/>
        <v>0</v>
      </c>
      <c r="AT150" s="203">
        <f t="shared" ca="1" si="251"/>
        <v>0</v>
      </c>
      <c r="AU150" s="212" t="str">
        <f t="shared" si="237"/>
        <v>N/A</v>
      </c>
      <c r="AV150" s="212">
        <f t="shared" si="238"/>
        <v>0</v>
      </c>
      <c r="AW150" s="203">
        <f t="shared" si="252"/>
        <v>0</v>
      </c>
      <c r="AX150" s="203">
        <f t="shared" ca="1" si="253"/>
        <v>0</v>
      </c>
      <c r="AY150" s="203">
        <f t="shared" ca="1" si="254"/>
        <v>0</v>
      </c>
      <c r="AZ150" s="212"/>
      <c r="BA150" s="213" t="s">
        <v>141</v>
      </c>
      <c r="BB150" s="213" t="s">
        <v>140</v>
      </c>
      <c r="BC150" s="213" t="s">
        <v>140</v>
      </c>
      <c r="BD150" s="213" t="s">
        <v>140</v>
      </c>
      <c r="BE150" s="148"/>
      <c r="BF150" s="212" t="s">
        <v>1789</v>
      </c>
      <c r="BG150" s="117"/>
      <c r="BH150" s="155"/>
      <c r="BI150" s="216"/>
      <c r="BJ150" s="216"/>
      <c r="BK150" s="216"/>
      <c r="BL150" s="149"/>
      <c r="BM150" s="149"/>
      <c r="BN150" s="149"/>
      <c r="BO150" s="149"/>
      <c r="BP150" s="149"/>
      <c r="BQ150" s="149"/>
      <c r="BR150" s="117">
        <v>0</v>
      </c>
      <c r="BS150" s="117">
        <v>0</v>
      </c>
      <c r="BT150" s="117">
        <v>0</v>
      </c>
      <c r="BU150" s="117">
        <v>0</v>
      </c>
      <c r="BV150" s="117">
        <v>0</v>
      </c>
      <c r="BW150" s="117">
        <v>0</v>
      </c>
      <c r="BX150" s="117">
        <v>0</v>
      </c>
      <c r="BY150" s="117" t="s">
        <v>1790</v>
      </c>
      <c r="BZ150" s="117" t="s">
        <v>989</v>
      </c>
      <c r="CA150" s="117">
        <v>14</v>
      </c>
      <c r="CB150" s="149">
        <v>46186</v>
      </c>
      <c r="CC150" s="155"/>
      <c r="CD150" s="117"/>
      <c r="CE150" s="217"/>
      <c r="CF150" s="148">
        <f t="shared" si="255"/>
        <v>0</v>
      </c>
    </row>
    <row r="151" spans="1:84" ht="17.25" hidden="1" customHeight="1">
      <c r="A151" s="117"/>
      <c r="B151" s="209" t="s">
        <v>2050</v>
      </c>
      <c r="C151" s="209" t="s">
        <v>2184</v>
      </c>
      <c r="D151" s="209" t="s">
        <v>1076</v>
      </c>
      <c r="E151" s="209" t="s">
        <v>1802</v>
      </c>
      <c r="F151" s="209" t="s">
        <v>1575</v>
      </c>
      <c r="G151" s="209" t="s">
        <v>1075</v>
      </c>
      <c r="H151" s="210">
        <v>812</v>
      </c>
      <c r="I151" s="211" t="s">
        <v>1077</v>
      </c>
      <c r="J151" s="144">
        <v>6</v>
      </c>
      <c r="K151" s="145">
        <f t="shared" si="230"/>
        <v>1</v>
      </c>
      <c r="L151" s="202">
        <f t="shared" si="239"/>
        <v>6</v>
      </c>
      <c r="M151" s="212">
        <v>13.05696</v>
      </c>
      <c r="N151" s="203">
        <f t="shared" si="240"/>
        <v>78.341759999999994</v>
      </c>
      <c r="O151" s="212" t="s">
        <v>137</v>
      </c>
      <c r="P151" s="212" t="s">
        <v>11</v>
      </c>
      <c r="Q151" s="212" t="s">
        <v>148</v>
      </c>
      <c r="R151" s="212"/>
      <c r="S151" s="212"/>
      <c r="T151" s="203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6</v>
      </c>
      <c r="U151" s="203">
        <f t="shared" ca="1" si="241"/>
        <v>0</v>
      </c>
      <c r="V151" s="203">
        <f t="shared" ca="1" si="242"/>
        <v>1</v>
      </c>
      <c r="W151" s="212"/>
      <c r="X151" s="212"/>
      <c r="Y151" s="212"/>
      <c r="Z151" s="212"/>
      <c r="AA151" s="212"/>
      <c r="AB151" s="212"/>
      <c r="AC151" s="214" t="s">
        <v>196</v>
      </c>
      <c r="AD151" s="215" t="s">
        <v>2039</v>
      </c>
      <c r="AE151" s="148"/>
      <c r="AF151" s="212" t="str">
        <f t="shared" si="231"/>
        <v>AMC2-S1</v>
      </c>
      <c r="AG151" s="212">
        <f t="shared" si="232"/>
        <v>1</v>
      </c>
      <c r="AH151" s="203">
        <f t="shared" si="243"/>
        <v>6</v>
      </c>
      <c r="AI151" s="203">
        <f t="shared" ca="1" si="244"/>
        <v>6</v>
      </c>
      <c r="AJ151" s="203">
        <f t="shared" ca="1" si="245"/>
        <v>0</v>
      </c>
      <c r="AK151" s="212" t="str">
        <f t="shared" si="233"/>
        <v>N/A</v>
      </c>
      <c r="AL151" s="212">
        <f t="shared" si="234"/>
        <v>0</v>
      </c>
      <c r="AM151" s="203">
        <f t="shared" si="246"/>
        <v>0</v>
      </c>
      <c r="AN151" s="203">
        <f t="shared" ca="1" si="247"/>
        <v>0</v>
      </c>
      <c r="AO151" s="203">
        <f t="shared" ca="1" si="248"/>
        <v>0</v>
      </c>
      <c r="AP151" s="212" t="str">
        <f t="shared" si="235"/>
        <v>N/A</v>
      </c>
      <c r="AQ151" s="212">
        <f t="shared" si="236"/>
        <v>0</v>
      </c>
      <c r="AR151" s="203">
        <f t="shared" si="249"/>
        <v>0</v>
      </c>
      <c r="AS151" s="203">
        <f t="shared" ca="1" si="250"/>
        <v>0</v>
      </c>
      <c r="AT151" s="203">
        <f t="shared" ca="1" si="251"/>
        <v>0</v>
      </c>
      <c r="AU151" s="212" t="str">
        <f t="shared" si="237"/>
        <v>N/A</v>
      </c>
      <c r="AV151" s="212">
        <f t="shared" si="238"/>
        <v>0</v>
      </c>
      <c r="AW151" s="203">
        <f t="shared" si="252"/>
        <v>0</v>
      </c>
      <c r="AX151" s="203">
        <f t="shared" ca="1" si="253"/>
        <v>0</v>
      </c>
      <c r="AY151" s="203">
        <f t="shared" ca="1" si="254"/>
        <v>0</v>
      </c>
      <c r="AZ151" s="212"/>
      <c r="BA151" s="213" t="s">
        <v>141</v>
      </c>
      <c r="BB151" s="213" t="s">
        <v>140</v>
      </c>
      <c r="BC151" s="213" t="s">
        <v>140</v>
      </c>
      <c r="BD151" s="213" t="s">
        <v>140</v>
      </c>
      <c r="BE151" s="148"/>
      <c r="BF151" s="212" t="s">
        <v>1789</v>
      </c>
      <c r="BG151" s="117"/>
      <c r="BH151" s="155"/>
      <c r="BI151" s="216"/>
      <c r="BJ151" s="216"/>
      <c r="BK151" s="216"/>
      <c r="BL151" s="149"/>
      <c r="BM151" s="149"/>
      <c r="BN151" s="149"/>
      <c r="BO151" s="149"/>
      <c r="BP151" s="149"/>
      <c r="BQ151" s="149"/>
      <c r="BR151" s="117">
        <v>0</v>
      </c>
      <c r="BS151" s="117">
        <v>0</v>
      </c>
      <c r="BT151" s="117">
        <v>0</v>
      </c>
      <c r="BU151" s="117">
        <v>1</v>
      </c>
      <c r="BV151" s="117">
        <v>0</v>
      </c>
      <c r="BW151" s="117">
        <v>0</v>
      </c>
      <c r="BX151" s="117">
        <v>0</v>
      </c>
      <c r="BY151" s="117" t="s">
        <v>1790</v>
      </c>
      <c r="BZ151" s="117" t="s">
        <v>1289</v>
      </c>
      <c r="CA151" s="117">
        <v>6</v>
      </c>
      <c r="CB151" s="149">
        <v>46185</v>
      </c>
      <c r="CC151" s="155"/>
      <c r="CD151" s="155"/>
      <c r="CE151" s="217"/>
      <c r="CF151" s="148">
        <f t="shared" si="255"/>
        <v>0</v>
      </c>
    </row>
    <row r="152" spans="1:84" ht="17.25" hidden="1" customHeight="1">
      <c r="A152" s="186"/>
      <c r="B152" s="187" t="s">
        <v>2050</v>
      </c>
      <c r="C152" s="187" t="s">
        <v>2186</v>
      </c>
      <c r="D152" s="187"/>
      <c r="E152" s="187"/>
      <c r="F152" s="187"/>
      <c r="G152" s="187" t="s">
        <v>1966</v>
      </c>
      <c r="H152" s="188"/>
      <c r="I152" s="189"/>
      <c r="J152" s="190"/>
      <c r="K152" s="191">
        <f t="shared" si="230"/>
        <v>1</v>
      </c>
      <c r="L152" s="190"/>
      <c r="M152" s="192">
        <v>2347.1</v>
      </c>
      <c r="N152" s="192">
        <v>2347.1</v>
      </c>
      <c r="O152" s="192" t="s">
        <v>137</v>
      </c>
      <c r="P152" s="192"/>
      <c r="Q152" s="192"/>
      <c r="R152" s="192"/>
      <c r="S152" s="192"/>
      <c r="T152" s="192"/>
      <c r="U152" s="192"/>
      <c r="V152" s="192"/>
      <c r="W152" s="192">
        <f ca="1">_xlfn.MINIFS(V:V,C:C,C152,AE:AE,"",AB:AB,"")</f>
        <v>1</v>
      </c>
      <c r="X152" s="192">
        <f ca="1">SUMIFS(T:T,C:C,C152,AE:AE,"")/SUMIFS(L:L,C:C,C152,AE:AE,"",AB:AB,"")</f>
        <v>0.73333333333333328</v>
      </c>
      <c r="Y152" s="192"/>
      <c r="Z152" s="192"/>
      <c r="AA152" s="192"/>
      <c r="AB152" s="192"/>
      <c r="AC152" s="194" t="s">
        <v>196</v>
      </c>
      <c r="AD152" s="195" t="s">
        <v>2039</v>
      </c>
      <c r="AE152" s="196" t="s">
        <v>1787</v>
      </c>
      <c r="AF152" s="192" t="str">
        <f t="shared" si="231"/>
        <v>AMC2-S1</v>
      </c>
      <c r="AG152" s="192">
        <f t="shared" si="232"/>
        <v>1</v>
      </c>
      <c r="AH152" s="192"/>
      <c r="AI152" s="192"/>
      <c r="AJ152" s="192"/>
      <c r="AK152" s="192" t="str">
        <f t="shared" si="233"/>
        <v>N/A</v>
      </c>
      <c r="AL152" s="192">
        <f t="shared" si="234"/>
        <v>0</v>
      </c>
      <c r="AM152" s="192"/>
      <c r="AN152" s="192"/>
      <c r="AO152" s="192"/>
      <c r="AP152" s="192" t="str">
        <f t="shared" si="235"/>
        <v>N/A</v>
      </c>
      <c r="AQ152" s="192">
        <f t="shared" si="236"/>
        <v>0</v>
      </c>
      <c r="AR152" s="192"/>
      <c r="AS152" s="192"/>
      <c r="AT152" s="192"/>
      <c r="AU152" s="192" t="str">
        <f t="shared" si="237"/>
        <v>N/A</v>
      </c>
      <c r="AV152" s="192">
        <f t="shared" si="238"/>
        <v>0</v>
      </c>
      <c r="AW152" s="192"/>
      <c r="AX152" s="192"/>
      <c r="AY152" s="192"/>
      <c r="AZ152" s="192"/>
      <c r="BA152" s="193" t="s">
        <v>141</v>
      </c>
      <c r="BB152" s="193" t="s">
        <v>140</v>
      </c>
      <c r="BC152" s="193" t="s">
        <v>140</v>
      </c>
      <c r="BD152" s="193" t="s">
        <v>140</v>
      </c>
      <c r="BE152" s="196" t="s">
        <v>741</v>
      </c>
      <c r="BF152" s="192"/>
      <c r="BG152" s="186"/>
      <c r="BH152" s="186"/>
      <c r="BI152" s="197"/>
      <c r="BJ152" s="197"/>
      <c r="BK152" s="197"/>
      <c r="BL152" s="197"/>
      <c r="BM152" s="197"/>
      <c r="BN152" s="197"/>
      <c r="BO152" s="197"/>
      <c r="BP152" s="197"/>
      <c r="BQ152" s="197"/>
      <c r="BR152" s="186"/>
      <c r="BS152" s="186"/>
      <c r="BT152" s="186"/>
      <c r="BU152" s="186"/>
      <c r="BV152" s="186"/>
      <c r="BW152" s="186"/>
      <c r="BX152" s="186"/>
      <c r="BY152" s="186"/>
      <c r="BZ152" s="186"/>
      <c r="CA152" s="186"/>
      <c r="CB152" s="197"/>
      <c r="CC152" s="186"/>
      <c r="CD152" s="186"/>
      <c r="CE152" s="198"/>
      <c r="CF152" s="198"/>
    </row>
    <row r="153" spans="1:84" ht="17.25" hidden="1" customHeight="1">
      <c r="A153" s="117"/>
      <c r="B153" s="209" t="s">
        <v>2050</v>
      </c>
      <c r="C153" s="209" t="s">
        <v>2186</v>
      </c>
      <c r="D153" s="209" t="s">
        <v>1084</v>
      </c>
      <c r="E153" s="209" t="s">
        <v>1795</v>
      </c>
      <c r="F153" s="209" t="s">
        <v>1595</v>
      </c>
      <c r="G153" s="209" t="s">
        <v>1577</v>
      </c>
      <c r="H153" s="210">
        <v>11920</v>
      </c>
      <c r="I153" s="211" t="s">
        <v>147</v>
      </c>
      <c r="J153" s="144">
        <v>1</v>
      </c>
      <c r="K153" s="145">
        <f t="shared" si="230"/>
        <v>1</v>
      </c>
      <c r="L153" s="202">
        <f t="shared" ref="L153:L156" si="256">+J153*K153</f>
        <v>1</v>
      </c>
      <c r="M153" s="212">
        <v>2165.5</v>
      </c>
      <c r="N153" s="203">
        <f t="shared" ref="N153:N156" si="257">+M153*L153</f>
        <v>2165.5</v>
      </c>
      <c r="O153" s="212" t="s">
        <v>137</v>
      </c>
      <c r="P153" s="212" t="s">
        <v>13</v>
      </c>
      <c r="Q153" s="212" t="s">
        <v>154</v>
      </c>
      <c r="R153" s="212"/>
      <c r="S153" s="212"/>
      <c r="T153" s="203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1</v>
      </c>
      <c r="U153" s="203">
        <f t="shared" ref="U153:U156" ca="1" si="258">+L153-T153</f>
        <v>0</v>
      </c>
      <c r="V153" s="203">
        <f t="shared" ref="V153:V156" ca="1" si="259">ROUNDDOWN(T153/J153,0)</f>
        <v>1</v>
      </c>
      <c r="W153" s="212"/>
      <c r="X153" s="212"/>
      <c r="Y153" s="212"/>
      <c r="Z153" s="212"/>
      <c r="AA153" s="212"/>
      <c r="AB153" s="212"/>
      <c r="AC153" s="214" t="s">
        <v>196</v>
      </c>
      <c r="AD153" s="215" t="s">
        <v>2039</v>
      </c>
      <c r="AE153" s="148"/>
      <c r="AF153" s="212" t="str">
        <f t="shared" si="231"/>
        <v>AMC2-S1</v>
      </c>
      <c r="AG153" s="212">
        <f t="shared" si="232"/>
        <v>1</v>
      </c>
      <c r="AH153" s="203">
        <f t="shared" ref="AH153:AH156" si="260">+AG153*J153</f>
        <v>1</v>
      </c>
      <c r="AI153" s="203">
        <f t="shared" ref="AI153:AI156" ca="1" si="261">MIN(T153,AH153)</f>
        <v>1</v>
      </c>
      <c r="AJ153" s="203">
        <f t="shared" ref="AJ153:AJ156" ca="1" si="262">+AH153-AI153</f>
        <v>0</v>
      </c>
      <c r="AK153" s="212" t="str">
        <f t="shared" si="233"/>
        <v>N/A</v>
      </c>
      <c r="AL153" s="212">
        <f t="shared" si="234"/>
        <v>0</v>
      </c>
      <c r="AM153" s="203">
        <f t="shared" ref="AM153:AM156" si="263">+AL153*J153</f>
        <v>0</v>
      </c>
      <c r="AN153" s="203">
        <f t="shared" ref="AN153:AN156" ca="1" si="264">MIN(T153-AI153,AL153)</f>
        <v>0</v>
      </c>
      <c r="AO153" s="203">
        <f t="shared" ref="AO153:AO156" ca="1" si="265">+AM153-AN153</f>
        <v>0</v>
      </c>
      <c r="AP153" s="212" t="str">
        <f t="shared" si="235"/>
        <v>N/A</v>
      </c>
      <c r="AQ153" s="212">
        <f t="shared" si="236"/>
        <v>0</v>
      </c>
      <c r="AR153" s="203">
        <f t="shared" ref="AR153:AR156" si="266">+AQ153*J153</f>
        <v>0</v>
      </c>
      <c r="AS153" s="203">
        <f t="shared" ref="AS153:AS156" ca="1" si="267">MIN(T153-AI153-AN153,AR153)</f>
        <v>0</v>
      </c>
      <c r="AT153" s="203">
        <f t="shared" ref="AT153:AT156" ca="1" si="268">+AR153-AS153</f>
        <v>0</v>
      </c>
      <c r="AU153" s="212" t="str">
        <f t="shared" si="237"/>
        <v>N/A</v>
      </c>
      <c r="AV153" s="212">
        <f t="shared" si="238"/>
        <v>0</v>
      </c>
      <c r="AW153" s="203">
        <f t="shared" ref="AW153:AW156" si="269">+AV153*J153</f>
        <v>0</v>
      </c>
      <c r="AX153" s="203">
        <f t="shared" ref="AX153:AX156" ca="1" si="270">MIN(T153-AI153-AN153-AS153,AW153)</f>
        <v>0</v>
      </c>
      <c r="AY153" s="203">
        <f t="shared" ref="AY153:AY156" ca="1" si="271">+AW153-AX153</f>
        <v>0</v>
      </c>
      <c r="AZ153" s="212"/>
      <c r="BA153" s="213" t="s">
        <v>141</v>
      </c>
      <c r="BB153" s="213" t="s">
        <v>140</v>
      </c>
      <c r="BC153" s="213" t="s">
        <v>140</v>
      </c>
      <c r="BD153" s="213" t="s">
        <v>140</v>
      </c>
      <c r="BE153" s="148"/>
      <c r="BF153" s="212" t="s">
        <v>1789</v>
      </c>
      <c r="BG153" s="117"/>
      <c r="BH153" s="155"/>
      <c r="BI153" s="216"/>
      <c r="BJ153" s="216"/>
      <c r="BK153" s="216"/>
      <c r="BL153" s="149"/>
      <c r="BM153" s="149"/>
      <c r="BN153" s="149"/>
      <c r="BO153" s="149"/>
      <c r="BP153" s="149"/>
      <c r="BQ153" s="150" t="s">
        <v>2185</v>
      </c>
      <c r="BR153" s="117">
        <v>0</v>
      </c>
      <c r="BS153" s="117">
        <v>1</v>
      </c>
      <c r="BT153" s="117">
        <v>0</v>
      </c>
      <c r="BU153" s="117">
        <v>1</v>
      </c>
      <c r="BV153" s="117">
        <v>0</v>
      </c>
      <c r="BW153" s="117">
        <v>0</v>
      </c>
      <c r="BX153" s="117">
        <v>0</v>
      </c>
      <c r="BY153" s="117" t="s">
        <v>1790</v>
      </c>
      <c r="BZ153" s="117" t="s">
        <v>57</v>
      </c>
      <c r="CA153" s="144">
        <v>1</v>
      </c>
      <c r="CB153" s="149"/>
      <c r="CC153" s="155"/>
      <c r="CD153" s="155"/>
      <c r="CE153" s="217"/>
      <c r="CF153" s="148">
        <f>+L153-CA153</f>
        <v>0</v>
      </c>
    </row>
    <row r="154" spans="1:84" ht="17.25" hidden="1" customHeight="1">
      <c r="A154" s="117"/>
      <c r="B154" s="209" t="s">
        <v>2050</v>
      </c>
      <c r="C154" s="209" t="s">
        <v>2186</v>
      </c>
      <c r="D154" s="209" t="s">
        <v>1296</v>
      </c>
      <c r="E154" s="209" t="s">
        <v>1796</v>
      </c>
      <c r="F154" s="209" t="s">
        <v>1596</v>
      </c>
      <c r="G154" s="209" t="s">
        <v>1592</v>
      </c>
      <c r="H154" s="210">
        <v>2165</v>
      </c>
      <c r="I154" s="211" t="s">
        <v>147</v>
      </c>
      <c r="J154" s="144">
        <v>7</v>
      </c>
      <c r="K154" s="145">
        <f t="shared" si="230"/>
        <v>1</v>
      </c>
      <c r="L154" s="202">
        <f t="shared" si="256"/>
        <v>7</v>
      </c>
      <c r="M154" s="212">
        <v>27.2</v>
      </c>
      <c r="N154" s="203">
        <f t="shared" si="257"/>
        <v>190.4</v>
      </c>
      <c r="O154" s="212" t="s">
        <v>137</v>
      </c>
      <c r="P154" s="212" t="s">
        <v>13</v>
      </c>
      <c r="Q154" s="212" t="s">
        <v>148</v>
      </c>
      <c r="R154" s="212"/>
      <c r="S154" s="212"/>
      <c r="T154" s="203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7</v>
      </c>
      <c r="U154" s="203">
        <f t="shared" ca="1" si="258"/>
        <v>0</v>
      </c>
      <c r="V154" s="203">
        <f t="shared" ca="1" si="259"/>
        <v>1</v>
      </c>
      <c r="W154" s="212"/>
      <c r="X154" s="212"/>
      <c r="Y154" s="212"/>
      <c r="Z154" s="212"/>
      <c r="AA154" s="212"/>
      <c r="AB154" s="212"/>
      <c r="AC154" s="214" t="s">
        <v>196</v>
      </c>
      <c r="AD154" s="215" t="s">
        <v>2039</v>
      </c>
      <c r="AE154" s="148"/>
      <c r="AF154" s="212" t="str">
        <f t="shared" si="231"/>
        <v>AMC2-S1</v>
      </c>
      <c r="AG154" s="212">
        <f t="shared" si="232"/>
        <v>1</v>
      </c>
      <c r="AH154" s="203">
        <f t="shared" si="260"/>
        <v>7</v>
      </c>
      <c r="AI154" s="203">
        <f t="shared" ca="1" si="261"/>
        <v>7</v>
      </c>
      <c r="AJ154" s="203">
        <f t="shared" ca="1" si="262"/>
        <v>0</v>
      </c>
      <c r="AK154" s="212" t="str">
        <f t="shared" si="233"/>
        <v>N/A</v>
      </c>
      <c r="AL154" s="212">
        <f t="shared" si="234"/>
        <v>0</v>
      </c>
      <c r="AM154" s="203">
        <f t="shared" si="263"/>
        <v>0</v>
      </c>
      <c r="AN154" s="203">
        <f t="shared" ca="1" si="264"/>
        <v>0</v>
      </c>
      <c r="AO154" s="203">
        <f t="shared" ca="1" si="265"/>
        <v>0</v>
      </c>
      <c r="AP154" s="212" t="str">
        <f t="shared" si="235"/>
        <v>N/A</v>
      </c>
      <c r="AQ154" s="212">
        <f t="shared" si="236"/>
        <v>0</v>
      </c>
      <c r="AR154" s="203">
        <f t="shared" si="266"/>
        <v>0</v>
      </c>
      <c r="AS154" s="203">
        <f t="shared" ca="1" si="267"/>
        <v>0</v>
      </c>
      <c r="AT154" s="203">
        <f t="shared" ca="1" si="268"/>
        <v>0</v>
      </c>
      <c r="AU154" s="212" t="str">
        <f t="shared" si="237"/>
        <v>N/A</v>
      </c>
      <c r="AV154" s="212">
        <f t="shared" si="238"/>
        <v>0</v>
      </c>
      <c r="AW154" s="203">
        <f t="shared" si="269"/>
        <v>0</v>
      </c>
      <c r="AX154" s="203">
        <f t="shared" ca="1" si="270"/>
        <v>0</v>
      </c>
      <c r="AY154" s="203">
        <f t="shared" ca="1" si="271"/>
        <v>0</v>
      </c>
      <c r="AZ154" s="212"/>
      <c r="BA154" s="213" t="s">
        <v>141</v>
      </c>
      <c r="BB154" s="213" t="s">
        <v>140</v>
      </c>
      <c r="BC154" s="213" t="s">
        <v>140</v>
      </c>
      <c r="BD154" s="213" t="s">
        <v>140</v>
      </c>
      <c r="BE154" s="148"/>
      <c r="BF154" s="212" t="s">
        <v>1789</v>
      </c>
      <c r="BG154" s="117"/>
      <c r="BH154" s="155"/>
      <c r="BI154" s="216"/>
      <c r="BJ154" s="216"/>
      <c r="BK154" s="216"/>
      <c r="BL154" s="149"/>
      <c r="BM154" s="149"/>
      <c r="BN154" s="149"/>
      <c r="BO154" s="149"/>
      <c r="BP154" s="149"/>
      <c r="BQ154" s="149"/>
      <c r="BR154" s="117">
        <v>0</v>
      </c>
      <c r="BS154" s="117">
        <v>0</v>
      </c>
      <c r="BT154" s="117">
        <v>0</v>
      </c>
      <c r="BU154" s="117">
        <v>1</v>
      </c>
      <c r="BV154" s="117">
        <v>0</v>
      </c>
      <c r="BW154" s="117">
        <v>0</v>
      </c>
      <c r="BX154" s="117">
        <v>0</v>
      </c>
      <c r="BY154" s="117" t="s">
        <v>1790</v>
      </c>
      <c r="BZ154" s="117" t="s">
        <v>1063</v>
      </c>
      <c r="CA154" s="117">
        <v>7</v>
      </c>
      <c r="CB154" s="149">
        <v>46206</v>
      </c>
      <c r="CC154" s="155"/>
      <c r="CD154" s="117"/>
      <c r="CE154" s="217"/>
      <c r="CF154" s="148">
        <f>+L154-CA154</f>
        <v>0</v>
      </c>
    </row>
    <row r="155" spans="1:84" ht="17.25" hidden="1" customHeight="1">
      <c r="A155" s="117"/>
      <c r="B155" s="209" t="s">
        <v>2050</v>
      </c>
      <c r="C155" s="209" t="s">
        <v>2186</v>
      </c>
      <c r="D155" s="209" t="s">
        <v>1296</v>
      </c>
      <c r="E155" s="209" t="s">
        <v>1797</v>
      </c>
      <c r="F155" s="209" t="s">
        <v>1597</v>
      </c>
      <c r="G155" s="209" t="s">
        <v>1125</v>
      </c>
      <c r="H155" s="210">
        <v>200</v>
      </c>
      <c r="I155" s="211" t="s">
        <v>147</v>
      </c>
      <c r="J155" s="144">
        <v>1</v>
      </c>
      <c r="K155" s="145">
        <f t="shared" si="230"/>
        <v>1</v>
      </c>
      <c r="L155" s="202">
        <f t="shared" si="256"/>
        <v>1</v>
      </c>
      <c r="M155" s="212">
        <v>5.5</v>
      </c>
      <c r="N155" s="203">
        <f t="shared" si="257"/>
        <v>5.5</v>
      </c>
      <c r="O155" s="212" t="s">
        <v>137</v>
      </c>
      <c r="P155" s="212" t="s">
        <v>13</v>
      </c>
      <c r="Q155" s="212" t="s">
        <v>148</v>
      </c>
      <c r="R155" s="212"/>
      <c r="S155" s="212"/>
      <c r="T155" s="203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1</v>
      </c>
      <c r="U155" s="203">
        <f t="shared" ca="1" si="258"/>
        <v>0</v>
      </c>
      <c r="V155" s="203">
        <f t="shared" ca="1" si="259"/>
        <v>1</v>
      </c>
      <c r="W155" s="212"/>
      <c r="X155" s="212"/>
      <c r="Y155" s="212"/>
      <c r="Z155" s="212"/>
      <c r="AA155" s="212"/>
      <c r="AB155" s="212"/>
      <c r="AC155" s="214" t="s">
        <v>196</v>
      </c>
      <c r="AD155" s="215" t="s">
        <v>2039</v>
      </c>
      <c r="AE155" s="148"/>
      <c r="AF155" s="212" t="str">
        <f t="shared" si="231"/>
        <v>AMC2-S1</v>
      </c>
      <c r="AG155" s="212">
        <f t="shared" si="232"/>
        <v>1</v>
      </c>
      <c r="AH155" s="203">
        <f t="shared" si="260"/>
        <v>1</v>
      </c>
      <c r="AI155" s="203">
        <f t="shared" ca="1" si="261"/>
        <v>1</v>
      </c>
      <c r="AJ155" s="203">
        <f t="shared" ca="1" si="262"/>
        <v>0</v>
      </c>
      <c r="AK155" s="212" t="str">
        <f t="shared" si="233"/>
        <v>N/A</v>
      </c>
      <c r="AL155" s="212">
        <f t="shared" si="234"/>
        <v>0</v>
      </c>
      <c r="AM155" s="203">
        <f t="shared" si="263"/>
        <v>0</v>
      </c>
      <c r="AN155" s="203">
        <f t="shared" ca="1" si="264"/>
        <v>0</v>
      </c>
      <c r="AO155" s="203">
        <f t="shared" ca="1" si="265"/>
        <v>0</v>
      </c>
      <c r="AP155" s="212" t="str">
        <f t="shared" si="235"/>
        <v>N/A</v>
      </c>
      <c r="AQ155" s="212">
        <f t="shared" si="236"/>
        <v>0</v>
      </c>
      <c r="AR155" s="203">
        <f t="shared" si="266"/>
        <v>0</v>
      </c>
      <c r="AS155" s="203">
        <f t="shared" ca="1" si="267"/>
        <v>0</v>
      </c>
      <c r="AT155" s="203">
        <f t="shared" ca="1" si="268"/>
        <v>0</v>
      </c>
      <c r="AU155" s="212" t="str">
        <f t="shared" si="237"/>
        <v>N/A</v>
      </c>
      <c r="AV155" s="212">
        <f t="shared" si="238"/>
        <v>0</v>
      </c>
      <c r="AW155" s="203">
        <f t="shared" si="269"/>
        <v>0</v>
      </c>
      <c r="AX155" s="203">
        <f t="shared" ca="1" si="270"/>
        <v>0</v>
      </c>
      <c r="AY155" s="203">
        <f t="shared" ca="1" si="271"/>
        <v>0</v>
      </c>
      <c r="AZ155" s="212"/>
      <c r="BA155" s="213" t="s">
        <v>141</v>
      </c>
      <c r="BB155" s="213" t="s">
        <v>140</v>
      </c>
      <c r="BC155" s="213" t="s">
        <v>140</v>
      </c>
      <c r="BD155" s="213" t="s">
        <v>140</v>
      </c>
      <c r="BE155" s="148"/>
      <c r="BF155" s="212" t="s">
        <v>1789</v>
      </c>
      <c r="BG155" s="117"/>
      <c r="BH155" s="155"/>
      <c r="BI155" s="216"/>
      <c r="BJ155" s="216"/>
      <c r="BK155" s="216"/>
      <c r="BL155" s="149"/>
      <c r="BM155" s="149"/>
      <c r="BN155" s="149"/>
      <c r="BO155" s="149"/>
      <c r="BP155" s="149"/>
      <c r="BQ155" s="149"/>
      <c r="BR155" s="117">
        <v>1</v>
      </c>
      <c r="BS155" s="117">
        <v>0</v>
      </c>
      <c r="BT155" s="117">
        <v>0</v>
      </c>
      <c r="BU155" s="117">
        <v>0</v>
      </c>
      <c r="BV155" s="117">
        <v>0</v>
      </c>
      <c r="BW155" s="117">
        <v>0</v>
      </c>
      <c r="BX155" s="117">
        <v>0</v>
      </c>
      <c r="BY155" s="117" t="s">
        <v>1790</v>
      </c>
      <c r="BZ155" s="117" t="s">
        <v>1303</v>
      </c>
      <c r="CA155" s="117">
        <v>1</v>
      </c>
      <c r="CB155" s="149">
        <v>46206</v>
      </c>
      <c r="CC155" s="155"/>
      <c r="CD155" s="117"/>
      <c r="CE155" s="217"/>
      <c r="CF155" s="148">
        <f>+L155-CA155</f>
        <v>0</v>
      </c>
    </row>
    <row r="156" spans="1:84" ht="17.25" hidden="1" customHeight="1">
      <c r="A156" s="117"/>
      <c r="B156" s="209" t="s">
        <v>2050</v>
      </c>
      <c r="C156" s="209" t="s">
        <v>2186</v>
      </c>
      <c r="D156" s="209" t="s">
        <v>1296</v>
      </c>
      <c r="E156" s="209" t="s">
        <v>1798</v>
      </c>
      <c r="F156" s="209" t="s">
        <v>1598</v>
      </c>
      <c r="G156" s="209" t="s">
        <v>1123</v>
      </c>
      <c r="H156" s="210">
        <v>320</v>
      </c>
      <c r="I156" s="211" t="s">
        <v>147</v>
      </c>
      <c r="J156" s="144">
        <v>1</v>
      </c>
      <c r="K156" s="145">
        <f t="shared" si="230"/>
        <v>1</v>
      </c>
      <c r="L156" s="202">
        <f t="shared" si="256"/>
        <v>1</v>
      </c>
      <c r="M156" s="212">
        <v>7.6</v>
      </c>
      <c r="N156" s="203">
        <f t="shared" si="257"/>
        <v>7.6</v>
      </c>
      <c r="O156" s="212" t="s">
        <v>137</v>
      </c>
      <c r="P156" s="212" t="s">
        <v>13</v>
      </c>
      <c r="Q156" s="212" t="s">
        <v>148</v>
      </c>
      <c r="R156" s="212"/>
      <c r="S156" s="212"/>
      <c r="T156" s="203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1</v>
      </c>
      <c r="U156" s="203">
        <f t="shared" ca="1" si="258"/>
        <v>0</v>
      </c>
      <c r="V156" s="203">
        <f t="shared" ca="1" si="259"/>
        <v>1</v>
      </c>
      <c r="W156" s="212"/>
      <c r="X156" s="212"/>
      <c r="Y156" s="212"/>
      <c r="Z156" s="212"/>
      <c r="AA156" s="212"/>
      <c r="AB156" s="212"/>
      <c r="AC156" s="214" t="s">
        <v>196</v>
      </c>
      <c r="AD156" s="215" t="s">
        <v>2039</v>
      </c>
      <c r="AE156" s="148"/>
      <c r="AF156" s="212" t="str">
        <f t="shared" si="231"/>
        <v>AMC2-S1</v>
      </c>
      <c r="AG156" s="212">
        <f t="shared" si="232"/>
        <v>1</v>
      </c>
      <c r="AH156" s="203">
        <f t="shared" si="260"/>
        <v>1</v>
      </c>
      <c r="AI156" s="203">
        <f t="shared" ca="1" si="261"/>
        <v>1</v>
      </c>
      <c r="AJ156" s="203">
        <f t="shared" ca="1" si="262"/>
        <v>0</v>
      </c>
      <c r="AK156" s="212" t="str">
        <f t="shared" si="233"/>
        <v>N/A</v>
      </c>
      <c r="AL156" s="212">
        <f t="shared" si="234"/>
        <v>0</v>
      </c>
      <c r="AM156" s="203">
        <f t="shared" si="263"/>
        <v>0</v>
      </c>
      <c r="AN156" s="203">
        <f t="shared" ca="1" si="264"/>
        <v>0</v>
      </c>
      <c r="AO156" s="203">
        <f t="shared" ca="1" si="265"/>
        <v>0</v>
      </c>
      <c r="AP156" s="212" t="str">
        <f t="shared" si="235"/>
        <v>N/A</v>
      </c>
      <c r="AQ156" s="212">
        <f t="shared" si="236"/>
        <v>0</v>
      </c>
      <c r="AR156" s="203">
        <f t="shared" si="266"/>
        <v>0</v>
      </c>
      <c r="AS156" s="203">
        <f t="shared" ca="1" si="267"/>
        <v>0</v>
      </c>
      <c r="AT156" s="203">
        <f t="shared" ca="1" si="268"/>
        <v>0</v>
      </c>
      <c r="AU156" s="212" t="str">
        <f t="shared" si="237"/>
        <v>N/A</v>
      </c>
      <c r="AV156" s="212">
        <f t="shared" si="238"/>
        <v>0</v>
      </c>
      <c r="AW156" s="203">
        <f t="shared" si="269"/>
        <v>0</v>
      </c>
      <c r="AX156" s="203">
        <f t="shared" ca="1" si="270"/>
        <v>0</v>
      </c>
      <c r="AY156" s="203">
        <f t="shared" ca="1" si="271"/>
        <v>0</v>
      </c>
      <c r="AZ156" s="212"/>
      <c r="BA156" s="213" t="s">
        <v>141</v>
      </c>
      <c r="BB156" s="213" t="s">
        <v>140</v>
      </c>
      <c r="BC156" s="213" t="s">
        <v>140</v>
      </c>
      <c r="BD156" s="213" t="s">
        <v>140</v>
      </c>
      <c r="BE156" s="148"/>
      <c r="BF156" s="212" t="s">
        <v>1789</v>
      </c>
      <c r="BG156" s="117"/>
      <c r="BH156" s="155"/>
      <c r="BI156" s="216"/>
      <c r="BJ156" s="216"/>
      <c r="BK156" s="216"/>
      <c r="BL156" s="149"/>
      <c r="BM156" s="149"/>
      <c r="BN156" s="149"/>
      <c r="BO156" s="149"/>
      <c r="BP156" s="149"/>
      <c r="BQ156" s="149"/>
      <c r="BR156" s="117">
        <v>1</v>
      </c>
      <c r="BS156" s="117">
        <v>0</v>
      </c>
      <c r="BT156" s="117">
        <v>0</v>
      </c>
      <c r="BU156" s="117">
        <v>0</v>
      </c>
      <c r="BV156" s="117">
        <v>0</v>
      </c>
      <c r="BW156" s="117">
        <v>0</v>
      </c>
      <c r="BX156" s="117">
        <v>0</v>
      </c>
      <c r="BY156" s="117" t="s">
        <v>1790</v>
      </c>
      <c r="BZ156" s="117" t="s">
        <v>1307</v>
      </c>
      <c r="CA156" s="117">
        <v>1</v>
      </c>
      <c r="CB156" s="234">
        <v>46242</v>
      </c>
      <c r="CC156" s="155"/>
      <c r="CD156" s="117"/>
      <c r="CE156" s="217"/>
      <c r="CF156" s="148">
        <f>+L156-CA156</f>
        <v>0</v>
      </c>
    </row>
    <row r="157" spans="1:84" ht="17.25" hidden="1" customHeight="1">
      <c r="A157" s="186"/>
      <c r="B157" s="187" t="s">
        <v>2050</v>
      </c>
      <c r="C157" s="187" t="s">
        <v>2218</v>
      </c>
      <c r="D157" s="187"/>
      <c r="E157" s="187"/>
      <c r="F157" s="187"/>
      <c r="G157" s="187" t="s">
        <v>2053</v>
      </c>
      <c r="H157" s="188"/>
      <c r="I157" s="189"/>
      <c r="J157" s="190"/>
      <c r="K157" s="191">
        <f t="shared" si="230"/>
        <v>1</v>
      </c>
      <c r="L157" s="190"/>
      <c r="M157" s="192">
        <v>2375.1</v>
      </c>
      <c r="N157" s="192">
        <v>2375.1</v>
      </c>
      <c r="O157" s="192" t="s">
        <v>137</v>
      </c>
      <c r="P157" s="192"/>
      <c r="Q157" s="192"/>
      <c r="R157" s="192"/>
      <c r="S157" s="192"/>
      <c r="T157" s="192"/>
      <c r="U157" s="192"/>
      <c r="V157" s="192"/>
      <c r="W157" s="192">
        <f ca="1">_xlfn.MINIFS(V:V,C:C,C157,AE:AE,"",AB:AB,"")</f>
        <v>1</v>
      </c>
      <c r="X157" s="192">
        <f ca="1">SUMIFS(T:T,C:C,C157,AE:AE,"")/SUMIFS(L:L,C:C,C157,AE:AE,"",AB:AB,"")</f>
        <v>1</v>
      </c>
      <c r="Y157" s="192"/>
      <c r="Z157" s="192"/>
      <c r="AA157" s="192"/>
      <c r="AB157" s="192"/>
      <c r="AC157" s="194" t="s">
        <v>196</v>
      </c>
      <c r="AD157" s="195" t="s">
        <v>2039</v>
      </c>
      <c r="AE157" s="196" t="s">
        <v>1787</v>
      </c>
      <c r="AF157" s="192" t="str">
        <f t="shared" si="231"/>
        <v>AMC2-S1</v>
      </c>
      <c r="AG157" s="192">
        <f t="shared" si="232"/>
        <v>1</v>
      </c>
      <c r="AH157" s="192"/>
      <c r="AI157" s="192"/>
      <c r="AJ157" s="192"/>
      <c r="AK157" s="192" t="str">
        <f t="shared" si="233"/>
        <v>N/A</v>
      </c>
      <c r="AL157" s="192">
        <f t="shared" si="234"/>
        <v>0</v>
      </c>
      <c r="AM157" s="192"/>
      <c r="AN157" s="192"/>
      <c r="AO157" s="192"/>
      <c r="AP157" s="192" t="str">
        <f t="shared" si="235"/>
        <v>N/A</v>
      </c>
      <c r="AQ157" s="192">
        <f t="shared" si="236"/>
        <v>0</v>
      </c>
      <c r="AR157" s="192"/>
      <c r="AS157" s="192"/>
      <c r="AT157" s="192"/>
      <c r="AU157" s="192" t="str">
        <f t="shared" si="237"/>
        <v>N/A</v>
      </c>
      <c r="AV157" s="192">
        <f t="shared" si="238"/>
        <v>0</v>
      </c>
      <c r="AW157" s="192"/>
      <c r="AX157" s="192"/>
      <c r="AY157" s="192"/>
      <c r="AZ157" s="192"/>
      <c r="BA157" s="193" t="s">
        <v>141</v>
      </c>
      <c r="BB157" s="193" t="s">
        <v>140</v>
      </c>
      <c r="BC157" s="193" t="s">
        <v>140</v>
      </c>
      <c r="BD157" s="193" t="s">
        <v>140</v>
      </c>
      <c r="BE157" s="196" t="s">
        <v>741</v>
      </c>
      <c r="BF157" s="192"/>
      <c r="BG157" s="186"/>
      <c r="BH157" s="186"/>
      <c r="BI157" s="197"/>
      <c r="BJ157" s="197"/>
      <c r="BK157" s="197"/>
      <c r="BL157" s="197"/>
      <c r="BM157" s="197"/>
      <c r="BN157" s="197"/>
      <c r="BO157" s="197"/>
      <c r="BP157" s="197"/>
      <c r="BQ157" s="197"/>
      <c r="BR157" s="186"/>
      <c r="BS157" s="186"/>
      <c r="BT157" s="186"/>
      <c r="BU157" s="186"/>
      <c r="BV157" s="186"/>
      <c r="BW157" s="186"/>
      <c r="BX157" s="186"/>
      <c r="BY157" s="186"/>
      <c r="BZ157" s="186"/>
      <c r="CA157" s="186"/>
      <c r="CB157" s="197"/>
      <c r="CC157" s="186"/>
      <c r="CD157" s="186"/>
      <c r="CE157" s="198"/>
      <c r="CF157" s="198"/>
    </row>
    <row r="158" spans="1:84" ht="17.25" hidden="1" customHeight="1">
      <c r="A158" s="117"/>
      <c r="B158" s="209" t="s">
        <v>2050</v>
      </c>
      <c r="C158" s="209" t="s">
        <v>2218</v>
      </c>
      <c r="D158" s="209" t="s">
        <v>1084</v>
      </c>
      <c r="E158" s="209" t="s">
        <v>1795</v>
      </c>
      <c r="F158" s="209" t="s">
        <v>1590</v>
      </c>
      <c r="G158" s="209" t="s">
        <v>1577</v>
      </c>
      <c r="H158" s="210">
        <v>11920</v>
      </c>
      <c r="I158" s="211" t="s">
        <v>147</v>
      </c>
      <c r="J158" s="144">
        <v>1</v>
      </c>
      <c r="K158" s="145">
        <f t="shared" si="230"/>
        <v>1</v>
      </c>
      <c r="L158" s="202">
        <f t="shared" ref="L158:L164" si="272">+J158*K158</f>
        <v>1</v>
      </c>
      <c r="M158" s="212">
        <v>2165.5</v>
      </c>
      <c r="N158" s="203">
        <f t="shared" ref="N158:N164" si="273">+M158*L158</f>
        <v>2165.5</v>
      </c>
      <c r="O158" s="212" t="s">
        <v>137</v>
      </c>
      <c r="P158" s="212" t="s">
        <v>13</v>
      </c>
      <c r="Q158" s="212" t="s">
        <v>154</v>
      </c>
      <c r="R158" s="212"/>
      <c r="S158" s="212"/>
      <c r="T158" s="203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203">
        <f t="shared" ref="U158:U164" ca="1" si="274">+L158-T158</f>
        <v>0</v>
      </c>
      <c r="V158" s="203">
        <f t="shared" ref="V158:V164" ca="1" si="275">ROUNDDOWN(T158/J158,0)</f>
        <v>1</v>
      </c>
      <c r="W158" s="212"/>
      <c r="X158" s="212"/>
      <c r="Y158" s="212"/>
      <c r="Z158" s="212"/>
      <c r="AA158" s="212"/>
      <c r="AB158" s="212"/>
      <c r="AC158" s="214" t="s">
        <v>196</v>
      </c>
      <c r="AD158" s="215" t="s">
        <v>2039</v>
      </c>
      <c r="AE158" s="148"/>
      <c r="AF158" s="212" t="str">
        <f t="shared" si="231"/>
        <v>AMC2-S1</v>
      </c>
      <c r="AG158" s="212">
        <f t="shared" si="232"/>
        <v>1</v>
      </c>
      <c r="AH158" s="203">
        <f t="shared" ref="AH158:AH164" si="276">+AG158*J158</f>
        <v>1</v>
      </c>
      <c r="AI158" s="203">
        <f t="shared" ref="AI158:AI164" ca="1" si="277">MIN(T158,AH158)</f>
        <v>1</v>
      </c>
      <c r="AJ158" s="203">
        <f t="shared" ref="AJ158:AJ164" ca="1" si="278">+AH158-AI158</f>
        <v>0</v>
      </c>
      <c r="AK158" s="212" t="str">
        <f t="shared" si="233"/>
        <v>N/A</v>
      </c>
      <c r="AL158" s="212">
        <f t="shared" si="234"/>
        <v>0</v>
      </c>
      <c r="AM158" s="203">
        <f t="shared" ref="AM158:AM164" si="279">+AL158*J158</f>
        <v>0</v>
      </c>
      <c r="AN158" s="203">
        <f t="shared" ref="AN158:AN164" ca="1" si="280">MIN(T158-AI158,AL158)</f>
        <v>0</v>
      </c>
      <c r="AO158" s="203">
        <f t="shared" ref="AO158:AO164" ca="1" si="281">+AM158-AN158</f>
        <v>0</v>
      </c>
      <c r="AP158" s="212" t="str">
        <f t="shared" si="235"/>
        <v>N/A</v>
      </c>
      <c r="AQ158" s="212">
        <f t="shared" si="236"/>
        <v>0</v>
      </c>
      <c r="AR158" s="203">
        <f t="shared" ref="AR158:AR164" si="282">+AQ158*J158</f>
        <v>0</v>
      </c>
      <c r="AS158" s="203">
        <f t="shared" ref="AS158:AS164" ca="1" si="283">MIN(T158-AI158-AN158,AR158)</f>
        <v>0</v>
      </c>
      <c r="AT158" s="203">
        <f t="shared" ref="AT158:AT164" ca="1" si="284">+AR158-AS158</f>
        <v>0</v>
      </c>
      <c r="AU158" s="212" t="str">
        <f t="shared" si="237"/>
        <v>N/A</v>
      </c>
      <c r="AV158" s="212">
        <f t="shared" si="238"/>
        <v>0</v>
      </c>
      <c r="AW158" s="203">
        <f t="shared" ref="AW158:AW164" si="285">+AV158*J158</f>
        <v>0</v>
      </c>
      <c r="AX158" s="203">
        <f t="shared" ref="AX158:AX164" ca="1" si="286">MIN(T158-AI158-AN158-AS158,AW158)</f>
        <v>0</v>
      </c>
      <c r="AY158" s="203">
        <f t="shared" ref="AY158:AY164" ca="1" si="287">+AW158-AX158</f>
        <v>0</v>
      </c>
      <c r="AZ158" s="212"/>
      <c r="BA158" s="213" t="s">
        <v>141</v>
      </c>
      <c r="BB158" s="213" t="s">
        <v>140</v>
      </c>
      <c r="BC158" s="213" t="s">
        <v>140</v>
      </c>
      <c r="BD158" s="213" t="s">
        <v>140</v>
      </c>
      <c r="BE158" s="148"/>
      <c r="BF158" s="212" t="s">
        <v>1789</v>
      </c>
      <c r="BG158" s="117"/>
      <c r="BH158" s="155"/>
      <c r="BI158" s="216"/>
      <c r="BJ158" s="216"/>
      <c r="BK158" s="216"/>
      <c r="BL158" s="149"/>
      <c r="BM158" s="149"/>
      <c r="BN158" s="149"/>
      <c r="BO158" s="149"/>
      <c r="BP158" s="149"/>
      <c r="BQ158" s="150" t="s">
        <v>2185</v>
      </c>
      <c r="BR158" s="117">
        <v>0</v>
      </c>
      <c r="BS158" s="117">
        <v>1</v>
      </c>
      <c r="BT158" s="117">
        <v>0</v>
      </c>
      <c r="BU158" s="117">
        <v>1</v>
      </c>
      <c r="BV158" s="117">
        <v>0</v>
      </c>
      <c r="BW158" s="117">
        <v>0</v>
      </c>
      <c r="BX158" s="117">
        <v>0</v>
      </c>
      <c r="BY158" s="117" t="s">
        <v>1790</v>
      </c>
      <c r="BZ158" s="117" t="s">
        <v>57</v>
      </c>
      <c r="CA158" s="144">
        <v>1</v>
      </c>
      <c r="CB158" s="149"/>
      <c r="CC158" s="155"/>
      <c r="CD158" s="155"/>
      <c r="CE158" s="217"/>
      <c r="CF158" s="148">
        <f t="shared" ref="CF158:CF164" si="288">+L158-CA158</f>
        <v>0</v>
      </c>
    </row>
    <row r="159" spans="1:84" ht="17.25" hidden="1" customHeight="1">
      <c r="A159" s="117"/>
      <c r="B159" s="209" t="s">
        <v>2050</v>
      </c>
      <c r="C159" s="209" t="s">
        <v>2218</v>
      </c>
      <c r="D159" s="209" t="s">
        <v>1296</v>
      </c>
      <c r="E159" s="209" t="s">
        <v>1796</v>
      </c>
      <c r="F159" s="209" t="s">
        <v>1591</v>
      </c>
      <c r="G159" s="209" t="s">
        <v>1592</v>
      </c>
      <c r="H159" s="210">
        <v>2165</v>
      </c>
      <c r="I159" s="211" t="s">
        <v>147</v>
      </c>
      <c r="J159" s="144">
        <v>3</v>
      </c>
      <c r="K159" s="145">
        <f t="shared" si="230"/>
        <v>1</v>
      </c>
      <c r="L159" s="202">
        <f t="shared" si="272"/>
        <v>3</v>
      </c>
      <c r="M159" s="212">
        <v>27.2</v>
      </c>
      <c r="N159" s="203">
        <f t="shared" si="273"/>
        <v>81.599999999999994</v>
      </c>
      <c r="O159" s="212" t="s">
        <v>137</v>
      </c>
      <c r="P159" s="212" t="s">
        <v>13</v>
      </c>
      <c r="Q159" s="212" t="s">
        <v>148</v>
      </c>
      <c r="R159" s="212"/>
      <c r="S159" s="212"/>
      <c r="T159" s="203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3</v>
      </c>
      <c r="U159" s="203">
        <f t="shared" ca="1" si="274"/>
        <v>0</v>
      </c>
      <c r="V159" s="203">
        <f t="shared" ca="1" si="275"/>
        <v>1</v>
      </c>
      <c r="W159" s="212"/>
      <c r="X159" s="212"/>
      <c r="Y159" s="212"/>
      <c r="Z159" s="212"/>
      <c r="AA159" s="212"/>
      <c r="AB159" s="212"/>
      <c r="AC159" s="214" t="s">
        <v>196</v>
      </c>
      <c r="AD159" s="215" t="s">
        <v>2039</v>
      </c>
      <c r="AE159" s="148"/>
      <c r="AF159" s="212" t="str">
        <f t="shared" si="231"/>
        <v>AMC2-S1</v>
      </c>
      <c r="AG159" s="212">
        <f t="shared" si="232"/>
        <v>1</v>
      </c>
      <c r="AH159" s="203">
        <f t="shared" si="276"/>
        <v>3</v>
      </c>
      <c r="AI159" s="203">
        <f t="shared" ca="1" si="277"/>
        <v>3</v>
      </c>
      <c r="AJ159" s="203">
        <f t="shared" ca="1" si="278"/>
        <v>0</v>
      </c>
      <c r="AK159" s="212" t="str">
        <f t="shared" si="233"/>
        <v>N/A</v>
      </c>
      <c r="AL159" s="212">
        <f t="shared" si="234"/>
        <v>0</v>
      </c>
      <c r="AM159" s="203">
        <f t="shared" si="279"/>
        <v>0</v>
      </c>
      <c r="AN159" s="203">
        <f t="shared" ca="1" si="280"/>
        <v>0</v>
      </c>
      <c r="AO159" s="203">
        <f t="shared" ca="1" si="281"/>
        <v>0</v>
      </c>
      <c r="AP159" s="212" t="str">
        <f t="shared" si="235"/>
        <v>N/A</v>
      </c>
      <c r="AQ159" s="212">
        <f t="shared" si="236"/>
        <v>0</v>
      </c>
      <c r="AR159" s="203">
        <f t="shared" si="282"/>
        <v>0</v>
      </c>
      <c r="AS159" s="203">
        <f t="shared" ca="1" si="283"/>
        <v>0</v>
      </c>
      <c r="AT159" s="203">
        <f t="shared" ca="1" si="284"/>
        <v>0</v>
      </c>
      <c r="AU159" s="212" t="str">
        <f t="shared" si="237"/>
        <v>N/A</v>
      </c>
      <c r="AV159" s="212">
        <f t="shared" si="238"/>
        <v>0</v>
      </c>
      <c r="AW159" s="203">
        <f t="shared" si="285"/>
        <v>0</v>
      </c>
      <c r="AX159" s="203">
        <f t="shared" ca="1" si="286"/>
        <v>0</v>
      </c>
      <c r="AY159" s="203">
        <f t="shared" ca="1" si="287"/>
        <v>0</v>
      </c>
      <c r="AZ159" s="212"/>
      <c r="BA159" s="213" t="s">
        <v>141</v>
      </c>
      <c r="BB159" s="213" t="s">
        <v>140</v>
      </c>
      <c r="BC159" s="213" t="s">
        <v>140</v>
      </c>
      <c r="BD159" s="213" t="s">
        <v>140</v>
      </c>
      <c r="BE159" s="148"/>
      <c r="BF159" s="212" t="s">
        <v>1789</v>
      </c>
      <c r="BG159" s="117"/>
      <c r="BH159" s="155"/>
      <c r="BI159" s="216"/>
      <c r="BJ159" s="216"/>
      <c r="BK159" s="216"/>
      <c r="BL159" s="149"/>
      <c r="BM159" s="149"/>
      <c r="BN159" s="149"/>
      <c r="BO159" s="149"/>
      <c r="BP159" s="149"/>
      <c r="BQ159" s="149"/>
      <c r="BR159" s="117">
        <v>0</v>
      </c>
      <c r="BS159" s="117">
        <v>0</v>
      </c>
      <c r="BT159" s="117">
        <v>0</v>
      </c>
      <c r="BU159" s="117">
        <v>1</v>
      </c>
      <c r="BV159" s="117">
        <v>0</v>
      </c>
      <c r="BW159" s="117">
        <v>0</v>
      </c>
      <c r="BX159" s="117">
        <v>0</v>
      </c>
      <c r="BY159" s="117" t="s">
        <v>1790</v>
      </c>
      <c r="BZ159" s="117" t="s">
        <v>1063</v>
      </c>
      <c r="CA159" s="117">
        <v>3</v>
      </c>
      <c r="CB159" s="149">
        <v>46206</v>
      </c>
      <c r="CC159" s="155"/>
      <c r="CD159" s="117"/>
      <c r="CE159" s="217"/>
      <c r="CF159" s="148">
        <f t="shared" si="288"/>
        <v>0</v>
      </c>
    </row>
    <row r="160" spans="1:84" ht="17.25" hidden="1" customHeight="1">
      <c r="A160" s="117"/>
      <c r="B160" s="209" t="s">
        <v>2050</v>
      </c>
      <c r="C160" s="209" t="s">
        <v>2218</v>
      </c>
      <c r="D160" s="209" t="s">
        <v>1296</v>
      </c>
      <c r="E160" s="209" t="s">
        <v>1797</v>
      </c>
      <c r="F160" s="209" t="s">
        <v>1593</v>
      </c>
      <c r="G160" s="209" t="s">
        <v>1125</v>
      </c>
      <c r="H160" s="210">
        <v>200</v>
      </c>
      <c r="I160" s="211" t="s">
        <v>147</v>
      </c>
      <c r="J160" s="144">
        <v>1</v>
      </c>
      <c r="K160" s="145">
        <f t="shared" si="230"/>
        <v>1</v>
      </c>
      <c r="L160" s="202">
        <f t="shared" si="272"/>
        <v>1</v>
      </c>
      <c r="M160" s="212">
        <v>5.5</v>
      </c>
      <c r="N160" s="203">
        <f t="shared" si="273"/>
        <v>5.5</v>
      </c>
      <c r="O160" s="212" t="s">
        <v>137</v>
      </c>
      <c r="P160" s="212" t="s">
        <v>13</v>
      </c>
      <c r="Q160" s="212" t="s">
        <v>148</v>
      </c>
      <c r="R160" s="212"/>
      <c r="S160" s="212"/>
      <c r="T160" s="203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1</v>
      </c>
      <c r="U160" s="203">
        <f t="shared" ca="1" si="274"/>
        <v>0</v>
      </c>
      <c r="V160" s="203">
        <f t="shared" ca="1" si="275"/>
        <v>1</v>
      </c>
      <c r="W160" s="212"/>
      <c r="X160" s="212"/>
      <c r="Y160" s="212"/>
      <c r="Z160" s="212"/>
      <c r="AA160" s="212"/>
      <c r="AB160" s="212"/>
      <c r="AC160" s="214" t="s">
        <v>196</v>
      </c>
      <c r="AD160" s="215" t="s">
        <v>2039</v>
      </c>
      <c r="AE160" s="148"/>
      <c r="AF160" s="212" t="str">
        <f t="shared" si="231"/>
        <v>AMC2-S1</v>
      </c>
      <c r="AG160" s="212">
        <f t="shared" si="232"/>
        <v>1</v>
      </c>
      <c r="AH160" s="203">
        <f t="shared" si="276"/>
        <v>1</v>
      </c>
      <c r="AI160" s="203">
        <f t="shared" ca="1" si="277"/>
        <v>1</v>
      </c>
      <c r="AJ160" s="203">
        <f t="shared" ca="1" si="278"/>
        <v>0</v>
      </c>
      <c r="AK160" s="212" t="str">
        <f t="shared" si="233"/>
        <v>N/A</v>
      </c>
      <c r="AL160" s="212">
        <f t="shared" si="234"/>
        <v>0</v>
      </c>
      <c r="AM160" s="203">
        <f t="shared" si="279"/>
        <v>0</v>
      </c>
      <c r="AN160" s="203">
        <f t="shared" ca="1" si="280"/>
        <v>0</v>
      </c>
      <c r="AO160" s="203">
        <f t="shared" ca="1" si="281"/>
        <v>0</v>
      </c>
      <c r="AP160" s="212" t="str">
        <f t="shared" si="235"/>
        <v>N/A</v>
      </c>
      <c r="AQ160" s="212">
        <f t="shared" si="236"/>
        <v>0</v>
      </c>
      <c r="AR160" s="203">
        <f t="shared" si="282"/>
        <v>0</v>
      </c>
      <c r="AS160" s="203">
        <f t="shared" ca="1" si="283"/>
        <v>0</v>
      </c>
      <c r="AT160" s="203">
        <f t="shared" ca="1" si="284"/>
        <v>0</v>
      </c>
      <c r="AU160" s="212" t="str">
        <f t="shared" si="237"/>
        <v>N/A</v>
      </c>
      <c r="AV160" s="212">
        <f t="shared" si="238"/>
        <v>0</v>
      </c>
      <c r="AW160" s="203">
        <f t="shared" si="285"/>
        <v>0</v>
      </c>
      <c r="AX160" s="203">
        <f t="shared" ca="1" si="286"/>
        <v>0</v>
      </c>
      <c r="AY160" s="203">
        <f t="shared" ca="1" si="287"/>
        <v>0</v>
      </c>
      <c r="AZ160" s="212"/>
      <c r="BA160" s="213" t="s">
        <v>141</v>
      </c>
      <c r="BB160" s="213" t="s">
        <v>140</v>
      </c>
      <c r="BC160" s="213" t="s">
        <v>140</v>
      </c>
      <c r="BD160" s="213" t="s">
        <v>140</v>
      </c>
      <c r="BE160" s="148"/>
      <c r="BF160" s="212" t="s">
        <v>1789</v>
      </c>
      <c r="BG160" s="117"/>
      <c r="BH160" s="155"/>
      <c r="BI160" s="216"/>
      <c r="BJ160" s="216"/>
      <c r="BK160" s="216"/>
      <c r="BL160" s="149"/>
      <c r="BM160" s="149"/>
      <c r="BN160" s="149"/>
      <c r="BO160" s="149"/>
      <c r="BP160" s="149"/>
      <c r="BQ160" s="149"/>
      <c r="BR160" s="117">
        <v>1</v>
      </c>
      <c r="BS160" s="117">
        <v>0</v>
      </c>
      <c r="BT160" s="117">
        <v>0</v>
      </c>
      <c r="BU160" s="117">
        <v>0</v>
      </c>
      <c r="BV160" s="117">
        <v>0</v>
      </c>
      <c r="BW160" s="117">
        <v>0</v>
      </c>
      <c r="BX160" s="117">
        <v>0</v>
      </c>
      <c r="BY160" s="117" t="s">
        <v>1790</v>
      </c>
      <c r="BZ160" s="117" t="s">
        <v>1303</v>
      </c>
      <c r="CA160" s="117">
        <v>1</v>
      </c>
      <c r="CB160" s="149">
        <v>46206</v>
      </c>
      <c r="CC160" s="155"/>
      <c r="CD160" s="117"/>
      <c r="CE160" s="217"/>
      <c r="CF160" s="148">
        <f t="shared" si="288"/>
        <v>0</v>
      </c>
    </row>
    <row r="161" spans="1:84" ht="17.25" hidden="1" customHeight="1">
      <c r="A161" s="117"/>
      <c r="B161" s="209" t="s">
        <v>2050</v>
      </c>
      <c r="C161" s="209" t="s">
        <v>2218</v>
      </c>
      <c r="D161" s="209" t="s">
        <v>1296</v>
      </c>
      <c r="E161" s="209" t="s">
        <v>1798</v>
      </c>
      <c r="F161" s="209" t="s">
        <v>1594</v>
      </c>
      <c r="G161" s="209" t="s">
        <v>1123</v>
      </c>
      <c r="H161" s="210">
        <v>320</v>
      </c>
      <c r="I161" s="211" t="s">
        <v>147</v>
      </c>
      <c r="J161" s="144">
        <v>1</v>
      </c>
      <c r="K161" s="145">
        <f t="shared" si="230"/>
        <v>1</v>
      </c>
      <c r="L161" s="202">
        <f t="shared" si="272"/>
        <v>1</v>
      </c>
      <c r="M161" s="212">
        <v>7.6</v>
      </c>
      <c r="N161" s="203">
        <f t="shared" si="273"/>
        <v>7.6</v>
      </c>
      <c r="O161" s="212" t="s">
        <v>137</v>
      </c>
      <c r="P161" s="212" t="s">
        <v>13</v>
      </c>
      <c r="Q161" s="212" t="s">
        <v>148</v>
      </c>
      <c r="R161" s="212"/>
      <c r="S161" s="212"/>
      <c r="T161" s="203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1</v>
      </c>
      <c r="U161" s="203">
        <f t="shared" ca="1" si="274"/>
        <v>0</v>
      </c>
      <c r="V161" s="203">
        <f t="shared" ca="1" si="275"/>
        <v>1</v>
      </c>
      <c r="W161" s="212"/>
      <c r="X161" s="212"/>
      <c r="Y161" s="212"/>
      <c r="Z161" s="212"/>
      <c r="AA161" s="212"/>
      <c r="AB161" s="212"/>
      <c r="AC161" s="214" t="s">
        <v>196</v>
      </c>
      <c r="AD161" s="215" t="s">
        <v>2039</v>
      </c>
      <c r="AE161" s="148"/>
      <c r="AF161" s="212" t="str">
        <f t="shared" si="231"/>
        <v>AMC2-S1</v>
      </c>
      <c r="AG161" s="212">
        <f t="shared" si="232"/>
        <v>1</v>
      </c>
      <c r="AH161" s="203">
        <f t="shared" si="276"/>
        <v>1</v>
      </c>
      <c r="AI161" s="203">
        <f t="shared" ca="1" si="277"/>
        <v>1</v>
      </c>
      <c r="AJ161" s="203">
        <f t="shared" ca="1" si="278"/>
        <v>0</v>
      </c>
      <c r="AK161" s="212" t="str">
        <f t="shared" si="233"/>
        <v>N/A</v>
      </c>
      <c r="AL161" s="212">
        <f t="shared" si="234"/>
        <v>0</v>
      </c>
      <c r="AM161" s="203">
        <f t="shared" si="279"/>
        <v>0</v>
      </c>
      <c r="AN161" s="203">
        <f t="shared" ca="1" si="280"/>
        <v>0</v>
      </c>
      <c r="AO161" s="203">
        <f t="shared" ca="1" si="281"/>
        <v>0</v>
      </c>
      <c r="AP161" s="212" t="str">
        <f t="shared" si="235"/>
        <v>N/A</v>
      </c>
      <c r="AQ161" s="212">
        <f t="shared" si="236"/>
        <v>0</v>
      </c>
      <c r="AR161" s="203">
        <f t="shared" si="282"/>
        <v>0</v>
      </c>
      <c r="AS161" s="203">
        <f t="shared" ca="1" si="283"/>
        <v>0</v>
      </c>
      <c r="AT161" s="203">
        <f t="shared" ca="1" si="284"/>
        <v>0</v>
      </c>
      <c r="AU161" s="212" t="str">
        <f t="shared" si="237"/>
        <v>N/A</v>
      </c>
      <c r="AV161" s="212">
        <f t="shared" si="238"/>
        <v>0</v>
      </c>
      <c r="AW161" s="203">
        <f t="shared" si="285"/>
        <v>0</v>
      </c>
      <c r="AX161" s="203">
        <f t="shared" ca="1" si="286"/>
        <v>0</v>
      </c>
      <c r="AY161" s="203">
        <f t="shared" ca="1" si="287"/>
        <v>0</v>
      </c>
      <c r="AZ161" s="212"/>
      <c r="BA161" s="213" t="s">
        <v>141</v>
      </c>
      <c r="BB161" s="213" t="s">
        <v>140</v>
      </c>
      <c r="BC161" s="213" t="s">
        <v>140</v>
      </c>
      <c r="BD161" s="213" t="s">
        <v>140</v>
      </c>
      <c r="BE161" s="148"/>
      <c r="BF161" s="212" t="s">
        <v>1789</v>
      </c>
      <c r="BG161" s="117"/>
      <c r="BH161" s="155"/>
      <c r="BI161" s="216"/>
      <c r="BJ161" s="216"/>
      <c r="BK161" s="216"/>
      <c r="BL161" s="149"/>
      <c r="BM161" s="149"/>
      <c r="BN161" s="149"/>
      <c r="BO161" s="149"/>
      <c r="BP161" s="149"/>
      <c r="BQ161" s="149"/>
      <c r="BR161" s="117">
        <v>1</v>
      </c>
      <c r="BS161" s="117">
        <v>0</v>
      </c>
      <c r="BT161" s="117">
        <v>0</v>
      </c>
      <c r="BU161" s="117">
        <v>0</v>
      </c>
      <c r="BV161" s="117">
        <v>0</v>
      </c>
      <c r="BW161" s="117">
        <v>0</v>
      </c>
      <c r="BX161" s="117">
        <v>0</v>
      </c>
      <c r="BY161" s="117" t="s">
        <v>1790</v>
      </c>
      <c r="BZ161" s="117" t="s">
        <v>1307</v>
      </c>
      <c r="CA161" s="117">
        <v>1</v>
      </c>
      <c r="CB161" s="234">
        <v>46242</v>
      </c>
      <c r="CC161" s="155"/>
      <c r="CD161" s="117"/>
      <c r="CE161" s="217"/>
      <c r="CF161" s="148">
        <f t="shared" si="288"/>
        <v>0</v>
      </c>
    </row>
    <row r="162" spans="1:84" ht="17.25" hidden="1" customHeight="1">
      <c r="A162" s="117"/>
      <c r="B162" s="209" t="s">
        <v>2050</v>
      </c>
      <c r="C162" s="209" t="s">
        <v>2218</v>
      </c>
      <c r="D162" s="209" t="s">
        <v>1296</v>
      </c>
      <c r="E162" s="209" t="s">
        <v>1799</v>
      </c>
      <c r="F162" s="209" t="s">
        <v>1585</v>
      </c>
      <c r="G162" s="209" t="s">
        <v>1586</v>
      </c>
      <c r="H162" s="210">
        <v>1595</v>
      </c>
      <c r="I162" s="211" t="s">
        <v>147</v>
      </c>
      <c r="J162" s="144">
        <v>4</v>
      </c>
      <c r="K162" s="145">
        <f t="shared" si="230"/>
        <v>1</v>
      </c>
      <c r="L162" s="202">
        <f t="shared" si="272"/>
        <v>4</v>
      </c>
      <c r="M162" s="212">
        <v>17.8</v>
      </c>
      <c r="N162" s="203">
        <f t="shared" si="273"/>
        <v>71.2</v>
      </c>
      <c r="O162" s="212" t="s">
        <v>137</v>
      </c>
      <c r="P162" s="212" t="s">
        <v>13</v>
      </c>
      <c r="Q162" s="212" t="s">
        <v>148</v>
      </c>
      <c r="R162" s="212"/>
      <c r="S162" s="212"/>
      <c r="T162" s="203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4</v>
      </c>
      <c r="U162" s="203">
        <f t="shared" ca="1" si="274"/>
        <v>0</v>
      </c>
      <c r="V162" s="203">
        <f t="shared" ca="1" si="275"/>
        <v>1</v>
      </c>
      <c r="W162" s="212"/>
      <c r="X162" s="212"/>
      <c r="Y162" s="212"/>
      <c r="Z162" s="212"/>
      <c r="AA162" s="212"/>
      <c r="AB162" s="212"/>
      <c r="AC162" s="214" t="s">
        <v>196</v>
      </c>
      <c r="AD162" s="215" t="s">
        <v>2039</v>
      </c>
      <c r="AE162" s="148"/>
      <c r="AF162" s="212" t="str">
        <f t="shared" si="231"/>
        <v>AMC2-S1</v>
      </c>
      <c r="AG162" s="212">
        <f t="shared" si="232"/>
        <v>1</v>
      </c>
      <c r="AH162" s="203">
        <f t="shared" si="276"/>
        <v>4</v>
      </c>
      <c r="AI162" s="203">
        <f t="shared" ca="1" si="277"/>
        <v>4</v>
      </c>
      <c r="AJ162" s="203">
        <f t="shared" ca="1" si="278"/>
        <v>0</v>
      </c>
      <c r="AK162" s="212" t="str">
        <f t="shared" si="233"/>
        <v>N/A</v>
      </c>
      <c r="AL162" s="212">
        <f t="shared" si="234"/>
        <v>0</v>
      </c>
      <c r="AM162" s="203">
        <f t="shared" si="279"/>
        <v>0</v>
      </c>
      <c r="AN162" s="203">
        <f t="shared" ca="1" si="280"/>
        <v>0</v>
      </c>
      <c r="AO162" s="203">
        <f t="shared" ca="1" si="281"/>
        <v>0</v>
      </c>
      <c r="AP162" s="212" t="str">
        <f t="shared" si="235"/>
        <v>N/A</v>
      </c>
      <c r="AQ162" s="212">
        <f t="shared" si="236"/>
        <v>0</v>
      </c>
      <c r="AR162" s="203">
        <f t="shared" si="282"/>
        <v>0</v>
      </c>
      <c r="AS162" s="203">
        <f t="shared" ca="1" si="283"/>
        <v>0</v>
      </c>
      <c r="AT162" s="203">
        <f t="shared" ca="1" si="284"/>
        <v>0</v>
      </c>
      <c r="AU162" s="212" t="str">
        <f t="shared" si="237"/>
        <v>N/A</v>
      </c>
      <c r="AV162" s="212">
        <f t="shared" si="238"/>
        <v>0</v>
      </c>
      <c r="AW162" s="203">
        <f t="shared" si="285"/>
        <v>0</v>
      </c>
      <c r="AX162" s="203">
        <f t="shared" ca="1" si="286"/>
        <v>0</v>
      </c>
      <c r="AY162" s="203">
        <f t="shared" ca="1" si="287"/>
        <v>0</v>
      </c>
      <c r="AZ162" s="212"/>
      <c r="BA162" s="213" t="s">
        <v>141</v>
      </c>
      <c r="BB162" s="213" t="s">
        <v>140</v>
      </c>
      <c r="BC162" s="213" t="s">
        <v>140</v>
      </c>
      <c r="BD162" s="213" t="s">
        <v>140</v>
      </c>
      <c r="BE162" s="148"/>
      <c r="BF162" s="212" t="s">
        <v>1789</v>
      </c>
      <c r="BG162" s="117"/>
      <c r="BH162" s="155"/>
      <c r="BI162" s="216"/>
      <c r="BJ162" s="216"/>
      <c r="BK162" s="216"/>
      <c r="BL162" s="149"/>
      <c r="BM162" s="149"/>
      <c r="BN162" s="149"/>
      <c r="BO162" s="149"/>
      <c r="BP162" s="149"/>
      <c r="BQ162" s="149"/>
      <c r="BR162" s="117">
        <v>0</v>
      </c>
      <c r="BS162" s="117">
        <v>0</v>
      </c>
      <c r="BT162" s="117">
        <v>0</v>
      </c>
      <c r="BU162" s="117">
        <v>1</v>
      </c>
      <c r="BV162" s="117">
        <v>0</v>
      </c>
      <c r="BW162" s="117">
        <v>0</v>
      </c>
      <c r="BX162" s="117">
        <v>0</v>
      </c>
      <c r="BY162" s="117" t="s">
        <v>1790</v>
      </c>
      <c r="BZ162" s="117" t="s">
        <v>1063</v>
      </c>
      <c r="CA162" s="117">
        <v>4</v>
      </c>
      <c r="CB162" s="149">
        <v>46206</v>
      </c>
      <c r="CC162" s="155"/>
      <c r="CD162" s="117"/>
      <c r="CE162" s="217"/>
      <c r="CF162" s="148">
        <f t="shared" si="288"/>
        <v>0</v>
      </c>
    </row>
    <row r="163" spans="1:84" ht="17.25" hidden="1" customHeight="1">
      <c r="A163" s="117"/>
      <c r="B163" s="209" t="s">
        <v>2050</v>
      </c>
      <c r="C163" s="209" t="s">
        <v>2218</v>
      </c>
      <c r="D163" s="209" t="s">
        <v>1296</v>
      </c>
      <c r="E163" s="209" t="s">
        <v>1800</v>
      </c>
      <c r="F163" s="209" t="s">
        <v>1587</v>
      </c>
      <c r="G163" s="209" t="s">
        <v>1588</v>
      </c>
      <c r="H163" s="210">
        <v>367</v>
      </c>
      <c r="I163" s="211" t="s">
        <v>147</v>
      </c>
      <c r="J163" s="144">
        <v>4</v>
      </c>
      <c r="K163" s="145">
        <f t="shared" si="230"/>
        <v>1</v>
      </c>
      <c r="L163" s="202">
        <f t="shared" si="272"/>
        <v>4</v>
      </c>
      <c r="M163" s="212">
        <v>3.6</v>
      </c>
      <c r="N163" s="203">
        <f t="shared" si="273"/>
        <v>14.4</v>
      </c>
      <c r="O163" s="212" t="s">
        <v>137</v>
      </c>
      <c r="P163" s="212" t="s">
        <v>13</v>
      </c>
      <c r="Q163" s="212" t="s">
        <v>148</v>
      </c>
      <c r="R163" s="212"/>
      <c r="S163" s="212"/>
      <c r="T163" s="203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4</v>
      </c>
      <c r="U163" s="203">
        <f t="shared" ca="1" si="274"/>
        <v>0</v>
      </c>
      <c r="V163" s="203">
        <f t="shared" ca="1" si="275"/>
        <v>1</v>
      </c>
      <c r="W163" s="212"/>
      <c r="X163" s="212"/>
      <c r="Y163" s="212"/>
      <c r="Z163" s="212"/>
      <c r="AA163" s="212"/>
      <c r="AB163" s="212"/>
      <c r="AC163" s="214" t="s">
        <v>196</v>
      </c>
      <c r="AD163" s="215" t="s">
        <v>2039</v>
      </c>
      <c r="AE163" s="148"/>
      <c r="AF163" s="212" t="str">
        <f t="shared" si="231"/>
        <v>AMC2-S1</v>
      </c>
      <c r="AG163" s="212">
        <f t="shared" si="232"/>
        <v>1</v>
      </c>
      <c r="AH163" s="203">
        <f t="shared" si="276"/>
        <v>4</v>
      </c>
      <c r="AI163" s="203">
        <f t="shared" ca="1" si="277"/>
        <v>4</v>
      </c>
      <c r="AJ163" s="203">
        <f t="shared" ca="1" si="278"/>
        <v>0</v>
      </c>
      <c r="AK163" s="212" t="str">
        <f t="shared" si="233"/>
        <v>N/A</v>
      </c>
      <c r="AL163" s="212">
        <f t="shared" si="234"/>
        <v>0</v>
      </c>
      <c r="AM163" s="203">
        <f t="shared" si="279"/>
        <v>0</v>
      </c>
      <c r="AN163" s="203">
        <f t="shared" ca="1" si="280"/>
        <v>0</v>
      </c>
      <c r="AO163" s="203">
        <f t="shared" ca="1" si="281"/>
        <v>0</v>
      </c>
      <c r="AP163" s="212" t="str">
        <f t="shared" si="235"/>
        <v>N/A</v>
      </c>
      <c r="AQ163" s="212">
        <f t="shared" si="236"/>
        <v>0</v>
      </c>
      <c r="AR163" s="203">
        <f t="shared" si="282"/>
        <v>0</v>
      </c>
      <c r="AS163" s="203">
        <f t="shared" ca="1" si="283"/>
        <v>0</v>
      </c>
      <c r="AT163" s="203">
        <f t="shared" ca="1" si="284"/>
        <v>0</v>
      </c>
      <c r="AU163" s="212" t="str">
        <f t="shared" si="237"/>
        <v>N/A</v>
      </c>
      <c r="AV163" s="212">
        <f t="shared" si="238"/>
        <v>0</v>
      </c>
      <c r="AW163" s="203">
        <f t="shared" si="285"/>
        <v>0</v>
      </c>
      <c r="AX163" s="203">
        <f t="shared" ca="1" si="286"/>
        <v>0</v>
      </c>
      <c r="AY163" s="203">
        <f t="shared" ca="1" si="287"/>
        <v>0</v>
      </c>
      <c r="AZ163" s="212"/>
      <c r="BA163" s="213" t="s">
        <v>141</v>
      </c>
      <c r="BB163" s="213" t="s">
        <v>140</v>
      </c>
      <c r="BC163" s="213" t="s">
        <v>140</v>
      </c>
      <c r="BD163" s="213" t="s">
        <v>140</v>
      </c>
      <c r="BE163" s="148"/>
      <c r="BF163" s="212" t="s">
        <v>1789</v>
      </c>
      <c r="BG163" s="117"/>
      <c r="BH163" s="155"/>
      <c r="BI163" s="216"/>
      <c r="BJ163" s="216"/>
      <c r="BK163" s="216"/>
      <c r="BL163" s="149"/>
      <c r="BM163" s="149"/>
      <c r="BN163" s="149"/>
      <c r="BO163" s="149"/>
      <c r="BP163" s="149"/>
      <c r="BQ163" s="149"/>
      <c r="BR163" s="117">
        <v>0</v>
      </c>
      <c r="BS163" s="117">
        <v>0</v>
      </c>
      <c r="BT163" s="117">
        <v>0</v>
      </c>
      <c r="BU163" s="117">
        <v>1</v>
      </c>
      <c r="BV163" s="117">
        <v>0</v>
      </c>
      <c r="BW163" s="117">
        <v>0</v>
      </c>
      <c r="BX163" s="117">
        <v>0</v>
      </c>
      <c r="BY163" s="117" t="s">
        <v>1790</v>
      </c>
      <c r="BZ163" s="117" t="s">
        <v>1063</v>
      </c>
      <c r="CA163" s="117">
        <v>4</v>
      </c>
      <c r="CB163" s="149">
        <v>46206</v>
      </c>
      <c r="CC163" s="155"/>
      <c r="CD163" s="117"/>
      <c r="CE163" s="217"/>
      <c r="CF163" s="148">
        <f t="shared" si="288"/>
        <v>0</v>
      </c>
    </row>
    <row r="164" spans="1:84" ht="17.25" hidden="1" customHeight="1">
      <c r="A164" s="117"/>
      <c r="B164" s="209" t="s">
        <v>2050</v>
      </c>
      <c r="C164" s="209" t="s">
        <v>2218</v>
      </c>
      <c r="D164" s="209" t="s">
        <v>1296</v>
      </c>
      <c r="E164" s="209" t="s">
        <v>1801</v>
      </c>
      <c r="F164" s="209" t="s">
        <v>1589</v>
      </c>
      <c r="G164" s="209" t="s">
        <v>1514</v>
      </c>
      <c r="H164" s="210">
        <v>515</v>
      </c>
      <c r="I164" s="211" t="s">
        <v>147</v>
      </c>
      <c r="J164" s="144">
        <v>4</v>
      </c>
      <c r="K164" s="145">
        <f t="shared" si="230"/>
        <v>1</v>
      </c>
      <c r="L164" s="202">
        <f t="shared" si="272"/>
        <v>4</v>
      </c>
      <c r="M164" s="212">
        <v>12.9</v>
      </c>
      <c r="N164" s="203">
        <f t="shared" si="273"/>
        <v>51.6</v>
      </c>
      <c r="O164" s="212" t="s">
        <v>137</v>
      </c>
      <c r="P164" s="212" t="s">
        <v>13</v>
      </c>
      <c r="Q164" s="212" t="s">
        <v>148</v>
      </c>
      <c r="R164" s="212"/>
      <c r="S164" s="212"/>
      <c r="T164" s="203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4</v>
      </c>
      <c r="U164" s="203">
        <f t="shared" ca="1" si="274"/>
        <v>0</v>
      </c>
      <c r="V164" s="203">
        <f t="shared" ca="1" si="275"/>
        <v>1</v>
      </c>
      <c r="W164" s="212"/>
      <c r="X164" s="212"/>
      <c r="Y164" s="212"/>
      <c r="Z164" s="212"/>
      <c r="AA164" s="212"/>
      <c r="AB164" s="212"/>
      <c r="AC164" s="214" t="s">
        <v>196</v>
      </c>
      <c r="AD164" s="215" t="s">
        <v>2039</v>
      </c>
      <c r="AE164" s="148"/>
      <c r="AF164" s="212" t="str">
        <f t="shared" si="231"/>
        <v>AMC2-S1</v>
      </c>
      <c r="AG164" s="212">
        <f t="shared" si="232"/>
        <v>1</v>
      </c>
      <c r="AH164" s="203">
        <f t="shared" si="276"/>
        <v>4</v>
      </c>
      <c r="AI164" s="203">
        <f t="shared" ca="1" si="277"/>
        <v>4</v>
      </c>
      <c r="AJ164" s="203">
        <f t="shared" ca="1" si="278"/>
        <v>0</v>
      </c>
      <c r="AK164" s="212" t="str">
        <f t="shared" si="233"/>
        <v>N/A</v>
      </c>
      <c r="AL164" s="212">
        <f t="shared" si="234"/>
        <v>0</v>
      </c>
      <c r="AM164" s="203">
        <f t="shared" si="279"/>
        <v>0</v>
      </c>
      <c r="AN164" s="203">
        <f t="shared" ca="1" si="280"/>
        <v>0</v>
      </c>
      <c r="AO164" s="203">
        <f t="shared" ca="1" si="281"/>
        <v>0</v>
      </c>
      <c r="AP164" s="212" t="str">
        <f t="shared" si="235"/>
        <v>N/A</v>
      </c>
      <c r="AQ164" s="212">
        <f t="shared" si="236"/>
        <v>0</v>
      </c>
      <c r="AR164" s="203">
        <f t="shared" si="282"/>
        <v>0</v>
      </c>
      <c r="AS164" s="203">
        <f t="shared" ca="1" si="283"/>
        <v>0</v>
      </c>
      <c r="AT164" s="203">
        <f t="shared" ca="1" si="284"/>
        <v>0</v>
      </c>
      <c r="AU164" s="212" t="str">
        <f t="shared" si="237"/>
        <v>N/A</v>
      </c>
      <c r="AV164" s="212">
        <f t="shared" si="238"/>
        <v>0</v>
      </c>
      <c r="AW164" s="203">
        <f t="shared" si="285"/>
        <v>0</v>
      </c>
      <c r="AX164" s="203">
        <f t="shared" ca="1" si="286"/>
        <v>0</v>
      </c>
      <c r="AY164" s="203">
        <f t="shared" ca="1" si="287"/>
        <v>0</v>
      </c>
      <c r="AZ164" s="212"/>
      <c r="BA164" s="213" t="s">
        <v>141</v>
      </c>
      <c r="BB164" s="213" t="s">
        <v>140</v>
      </c>
      <c r="BC164" s="213" t="s">
        <v>140</v>
      </c>
      <c r="BD164" s="213" t="s">
        <v>140</v>
      </c>
      <c r="BE164" s="148"/>
      <c r="BF164" s="212" t="s">
        <v>1789</v>
      </c>
      <c r="BG164" s="117"/>
      <c r="BH164" s="155"/>
      <c r="BI164" s="216"/>
      <c r="BJ164" s="216"/>
      <c r="BK164" s="216"/>
      <c r="BL164" s="149"/>
      <c r="BM164" s="149"/>
      <c r="BN164" s="149"/>
      <c r="BO164" s="149"/>
      <c r="BP164" s="149"/>
      <c r="BQ164" s="149"/>
      <c r="BR164" s="117">
        <v>1</v>
      </c>
      <c r="BS164" s="117">
        <v>0</v>
      </c>
      <c r="BT164" s="117">
        <v>0</v>
      </c>
      <c r="BU164" s="117">
        <v>0</v>
      </c>
      <c r="BV164" s="117">
        <v>0</v>
      </c>
      <c r="BW164" s="117">
        <v>0</v>
      </c>
      <c r="BX164" s="117">
        <v>0</v>
      </c>
      <c r="BY164" s="117" t="s">
        <v>1790</v>
      </c>
      <c r="BZ164" s="117" t="s">
        <v>1303</v>
      </c>
      <c r="CA164" s="117">
        <v>4</v>
      </c>
      <c r="CB164" s="149">
        <v>46206</v>
      </c>
      <c r="CC164" s="155"/>
      <c r="CD164" s="117"/>
      <c r="CE164" s="217"/>
      <c r="CF164" s="148">
        <f t="shared" si="288"/>
        <v>0</v>
      </c>
    </row>
    <row r="165" spans="1:84" ht="17.25" hidden="1" customHeight="1">
      <c r="A165" s="162">
        <v>181</v>
      </c>
      <c r="B165" s="177" t="s">
        <v>2054</v>
      </c>
      <c r="C165" s="177" t="s">
        <v>2219</v>
      </c>
      <c r="D165" s="177" t="s">
        <v>2055</v>
      </c>
      <c r="E165" s="177"/>
      <c r="F165" s="177"/>
      <c r="G165" s="177" t="s">
        <v>2056</v>
      </c>
      <c r="H165" s="178"/>
      <c r="I165" s="179"/>
      <c r="J165" s="160"/>
      <c r="K165" s="180">
        <f>+AG165+AL165+AQ165+AV165</f>
        <v>1</v>
      </c>
      <c r="L165" s="160"/>
      <c r="M165" s="181">
        <v>6398.9</v>
      </c>
      <c r="N165" s="181">
        <v>6398.9</v>
      </c>
      <c r="O165" s="181" t="s">
        <v>137</v>
      </c>
      <c r="P165" s="181"/>
      <c r="Q165" s="181"/>
      <c r="R165" s="181"/>
      <c r="S165" s="181"/>
      <c r="T165" s="181"/>
      <c r="U165" s="181"/>
      <c r="V165" s="181"/>
      <c r="W165" s="181">
        <f ca="1">_xlfn.MINIFS(V:V,C:C,C165,AE:AE,"",AB:AB,"")</f>
        <v>1</v>
      </c>
      <c r="X165" s="181">
        <f ca="1">SUMIFS(T:T,C:C,C165,AE:AE,"")/SUMIFS(L:L,C:C,C165,AE:AE,"",AB:AB,"")</f>
        <v>1</v>
      </c>
      <c r="Y165" s="181"/>
      <c r="Z165" s="181"/>
      <c r="AA165" s="181"/>
      <c r="AB165" s="181"/>
      <c r="AC165" s="228" t="s">
        <v>196</v>
      </c>
      <c r="AD165" s="184" t="s">
        <v>2039</v>
      </c>
      <c r="AE165" s="162" t="s">
        <v>143</v>
      </c>
      <c r="AF165" s="181" t="s">
        <v>1970</v>
      </c>
      <c r="AG165" s="181">
        <v>1</v>
      </c>
      <c r="AH165" s="181"/>
      <c r="AI165" s="181"/>
      <c r="AJ165" s="181"/>
      <c r="AK165" s="181" t="s">
        <v>138</v>
      </c>
      <c r="AL165" s="181">
        <v>0</v>
      </c>
      <c r="AM165" s="181"/>
      <c r="AN165" s="181"/>
      <c r="AO165" s="181"/>
      <c r="AP165" s="181" t="s">
        <v>138</v>
      </c>
      <c r="AQ165" s="181">
        <v>0</v>
      </c>
      <c r="AR165" s="181"/>
      <c r="AS165" s="181"/>
      <c r="AT165" s="181"/>
      <c r="AU165" s="181" t="s">
        <v>138</v>
      </c>
      <c r="AV165" s="181">
        <v>0</v>
      </c>
      <c r="AW165" s="181"/>
      <c r="AX165" s="181"/>
      <c r="AY165" s="181"/>
      <c r="AZ165" s="181"/>
      <c r="BA165" s="182" t="s">
        <v>141</v>
      </c>
      <c r="BB165" s="182" t="s">
        <v>140</v>
      </c>
      <c r="BC165" s="182" t="s">
        <v>140</v>
      </c>
      <c r="BD165" s="182" t="s">
        <v>140</v>
      </c>
      <c r="BE165" s="162" t="s">
        <v>741</v>
      </c>
      <c r="BF165" s="181"/>
      <c r="BG165" s="161"/>
      <c r="BH165" s="161"/>
      <c r="BI165" s="163"/>
      <c r="BJ165" s="163"/>
      <c r="BK165" s="163"/>
      <c r="BL165" s="163"/>
      <c r="BM165" s="163"/>
      <c r="BN165" s="163"/>
      <c r="BO165" s="163"/>
      <c r="BP165" s="163"/>
      <c r="BQ165" s="163"/>
      <c r="BR165" s="161"/>
      <c r="BS165" s="161"/>
      <c r="BT165" s="161"/>
      <c r="BU165" s="161"/>
      <c r="BV165" s="161"/>
      <c r="BW165" s="161"/>
      <c r="BX165" s="161"/>
      <c r="BY165" s="161"/>
      <c r="BZ165" s="161"/>
      <c r="CA165" s="161"/>
      <c r="CB165" s="163"/>
      <c r="CC165" s="161"/>
      <c r="CD165" s="161"/>
      <c r="CE165" s="185"/>
      <c r="CF165" s="185"/>
    </row>
    <row r="166" spans="1:84" ht="17.25" hidden="1" customHeight="1">
      <c r="A166" s="117"/>
      <c r="B166" s="209" t="s">
        <v>2054</v>
      </c>
      <c r="C166" s="209" t="s">
        <v>2219</v>
      </c>
      <c r="D166" s="209" t="s">
        <v>1195</v>
      </c>
      <c r="E166" s="209" t="s">
        <v>1788</v>
      </c>
      <c r="F166" s="209" t="s">
        <v>1615</v>
      </c>
      <c r="G166" s="209" t="s">
        <v>1194</v>
      </c>
      <c r="H166" s="210">
        <v>9403</v>
      </c>
      <c r="I166" s="211" t="s">
        <v>147</v>
      </c>
      <c r="J166" s="144">
        <v>1</v>
      </c>
      <c r="K166" s="145">
        <f t="shared" ref="K166:K189" si="289">K165</f>
        <v>1</v>
      </c>
      <c r="L166" s="202">
        <f t="shared" ref="L166:L189" si="290">+J166*K166</f>
        <v>1</v>
      </c>
      <c r="M166" s="212">
        <v>4302.8999999999996</v>
      </c>
      <c r="N166" s="203">
        <f t="shared" ref="N166:N189" si="291">+M166*L166</f>
        <v>4302.8999999999996</v>
      </c>
      <c r="O166" s="212" t="s">
        <v>137</v>
      </c>
      <c r="P166" s="212" t="s">
        <v>13</v>
      </c>
      <c r="Q166" s="212" t="s">
        <v>154</v>
      </c>
      <c r="R166" s="212"/>
      <c r="S166" s="212"/>
      <c r="T166" s="203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1</v>
      </c>
      <c r="U166" s="203">
        <f t="shared" ref="U166:U189" ca="1" si="292">+L166-T166</f>
        <v>0</v>
      </c>
      <c r="V166" s="203">
        <f t="shared" ref="V166:V189" ca="1" si="293">ROUNDDOWN(T166/J166,0)</f>
        <v>1</v>
      </c>
      <c r="W166" s="212"/>
      <c r="X166" s="212"/>
      <c r="Y166" s="212"/>
      <c r="Z166" s="212"/>
      <c r="AA166" s="212"/>
      <c r="AB166" s="212"/>
      <c r="AC166" s="232" t="s">
        <v>196</v>
      </c>
      <c r="AD166" s="226" t="s">
        <v>2039</v>
      </c>
      <c r="AE166" s="148"/>
      <c r="AF166" s="212" t="str">
        <f t="shared" ref="AF166:AF189" si="294">AF165</f>
        <v>AMC2-S2</v>
      </c>
      <c r="AG166" s="212">
        <f t="shared" ref="AG166:AG189" si="295">AG165</f>
        <v>1</v>
      </c>
      <c r="AH166" s="203">
        <f t="shared" ref="AH166:AH189" si="296">+AG166*J166</f>
        <v>1</v>
      </c>
      <c r="AI166" s="203">
        <f t="shared" ref="AI166:AI189" ca="1" si="297">MIN(T166,AH166)</f>
        <v>1</v>
      </c>
      <c r="AJ166" s="203">
        <f t="shared" ref="AJ166:AJ189" ca="1" si="298">+AH166-AI166</f>
        <v>0</v>
      </c>
      <c r="AK166" s="212" t="str">
        <f t="shared" ref="AK166:AK189" si="299">AK165</f>
        <v>N/A</v>
      </c>
      <c r="AL166" s="212">
        <f t="shared" ref="AL166:AL189" si="300">AL165</f>
        <v>0</v>
      </c>
      <c r="AM166" s="203">
        <f t="shared" ref="AM166:AM189" si="301">+AL166*J166</f>
        <v>0</v>
      </c>
      <c r="AN166" s="203">
        <f t="shared" ref="AN166:AN189" ca="1" si="302">MIN(T166-AI166,AL166)</f>
        <v>0</v>
      </c>
      <c r="AO166" s="203">
        <f t="shared" ref="AO166:AO189" ca="1" si="303">+AM166-AN166</f>
        <v>0</v>
      </c>
      <c r="AP166" s="212" t="str">
        <f t="shared" ref="AP166:AP189" si="304">AP165</f>
        <v>N/A</v>
      </c>
      <c r="AQ166" s="212">
        <f t="shared" ref="AQ166:AQ189" si="305">AQ165</f>
        <v>0</v>
      </c>
      <c r="AR166" s="203">
        <f t="shared" ref="AR166:AR189" si="306">+AQ166*J166</f>
        <v>0</v>
      </c>
      <c r="AS166" s="203">
        <f t="shared" ref="AS166:AS189" ca="1" si="307">MIN(T166-AI166-AN166,AR166)</f>
        <v>0</v>
      </c>
      <c r="AT166" s="203">
        <f t="shared" ref="AT166:AT189" ca="1" si="308">+AR166-AS166</f>
        <v>0</v>
      </c>
      <c r="AU166" s="212" t="str">
        <f t="shared" ref="AU166:AU189" si="309">AU165</f>
        <v>N/A</v>
      </c>
      <c r="AV166" s="212">
        <f t="shared" ref="AV166:AV189" si="310">AV165</f>
        <v>0</v>
      </c>
      <c r="AW166" s="203">
        <f t="shared" ref="AW166:AW189" si="311">+AV166*J166</f>
        <v>0</v>
      </c>
      <c r="AX166" s="203">
        <f t="shared" ref="AX166:AX189" ca="1" si="312">MIN(T166-AI166-AN166-AS166,AW166)</f>
        <v>0</v>
      </c>
      <c r="AY166" s="203">
        <f t="shared" ref="AY166:AY189" ca="1" si="313">+AW166-AX166</f>
        <v>0</v>
      </c>
      <c r="AZ166" s="212"/>
      <c r="BA166" s="213" t="s">
        <v>141</v>
      </c>
      <c r="BB166" s="213" t="s">
        <v>140</v>
      </c>
      <c r="BC166" s="213" t="s">
        <v>140</v>
      </c>
      <c r="BD166" s="213" t="s">
        <v>140</v>
      </c>
      <c r="BE166" s="148"/>
      <c r="BF166" s="212" t="s">
        <v>1789</v>
      </c>
      <c r="BG166" s="117"/>
      <c r="BH166" s="117"/>
      <c r="BI166" s="149"/>
      <c r="BJ166" s="149"/>
      <c r="BK166" s="149"/>
      <c r="BL166" s="149"/>
      <c r="BM166" s="149"/>
      <c r="BN166" s="149"/>
      <c r="BO166" s="149"/>
      <c r="BP166" s="149"/>
      <c r="BQ166" s="149"/>
      <c r="BR166" s="117">
        <v>0</v>
      </c>
      <c r="BS166" s="117">
        <v>1</v>
      </c>
      <c r="BT166" s="117">
        <v>0</v>
      </c>
      <c r="BU166" s="117">
        <v>1</v>
      </c>
      <c r="BV166" s="117">
        <v>0</v>
      </c>
      <c r="BW166" s="117">
        <v>0</v>
      </c>
      <c r="BX166" s="117">
        <v>0</v>
      </c>
      <c r="BY166" s="117" t="s">
        <v>1790</v>
      </c>
      <c r="BZ166" s="117" t="s">
        <v>57</v>
      </c>
      <c r="CA166" s="144">
        <v>1</v>
      </c>
      <c r="CB166" s="149"/>
      <c r="CC166" s="117"/>
      <c r="CD166" s="117"/>
      <c r="CE166" s="148"/>
      <c r="CF166" s="148">
        <f t="shared" ref="CF166:CF189" si="314">+L166-CA166</f>
        <v>0</v>
      </c>
    </row>
    <row r="167" spans="1:84" ht="17.25" hidden="1" customHeight="1">
      <c r="A167" s="117"/>
      <c r="B167" s="209" t="s">
        <v>2054</v>
      </c>
      <c r="C167" s="209" t="s">
        <v>2219</v>
      </c>
      <c r="D167" s="209" t="s">
        <v>1195</v>
      </c>
      <c r="E167" s="209" t="s">
        <v>1791</v>
      </c>
      <c r="F167" s="209" t="s">
        <v>1634</v>
      </c>
      <c r="G167" s="209" t="s">
        <v>1635</v>
      </c>
      <c r="H167" s="210">
        <v>6086</v>
      </c>
      <c r="I167" s="211" t="s">
        <v>147</v>
      </c>
      <c r="J167" s="144">
        <v>1</v>
      </c>
      <c r="K167" s="145">
        <f t="shared" si="289"/>
        <v>1</v>
      </c>
      <c r="L167" s="202">
        <f t="shared" si="290"/>
        <v>1</v>
      </c>
      <c r="M167" s="212">
        <v>987.1</v>
      </c>
      <c r="N167" s="203">
        <f t="shared" si="291"/>
        <v>987.1</v>
      </c>
      <c r="O167" s="212" t="s">
        <v>137</v>
      </c>
      <c r="P167" s="212" t="s">
        <v>13</v>
      </c>
      <c r="Q167" s="212" t="s">
        <v>154</v>
      </c>
      <c r="R167" s="212"/>
      <c r="S167" s="212"/>
      <c r="T167" s="203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203">
        <f t="shared" ca="1" si="292"/>
        <v>0</v>
      </c>
      <c r="V167" s="203">
        <f t="shared" ca="1" si="293"/>
        <v>1</v>
      </c>
      <c r="W167" s="212"/>
      <c r="X167" s="212"/>
      <c r="Y167" s="212"/>
      <c r="Z167" s="212"/>
      <c r="AA167" s="212"/>
      <c r="AB167" s="212"/>
      <c r="AC167" s="232" t="s">
        <v>196</v>
      </c>
      <c r="AD167" s="226" t="s">
        <v>2039</v>
      </c>
      <c r="AE167" s="148"/>
      <c r="AF167" s="212" t="str">
        <f t="shared" si="294"/>
        <v>AMC2-S2</v>
      </c>
      <c r="AG167" s="212">
        <f t="shared" si="295"/>
        <v>1</v>
      </c>
      <c r="AH167" s="203">
        <f t="shared" si="296"/>
        <v>1</v>
      </c>
      <c r="AI167" s="203">
        <f t="shared" ca="1" si="297"/>
        <v>1</v>
      </c>
      <c r="AJ167" s="203">
        <f t="shared" ca="1" si="298"/>
        <v>0</v>
      </c>
      <c r="AK167" s="212" t="str">
        <f t="shared" si="299"/>
        <v>N/A</v>
      </c>
      <c r="AL167" s="212">
        <f t="shared" si="300"/>
        <v>0</v>
      </c>
      <c r="AM167" s="203">
        <f t="shared" si="301"/>
        <v>0</v>
      </c>
      <c r="AN167" s="203">
        <f t="shared" ca="1" si="302"/>
        <v>0</v>
      </c>
      <c r="AO167" s="203">
        <f t="shared" ca="1" si="303"/>
        <v>0</v>
      </c>
      <c r="AP167" s="212" t="str">
        <f t="shared" si="304"/>
        <v>N/A</v>
      </c>
      <c r="AQ167" s="212">
        <f t="shared" si="305"/>
        <v>0</v>
      </c>
      <c r="AR167" s="203">
        <f t="shared" si="306"/>
        <v>0</v>
      </c>
      <c r="AS167" s="203">
        <f t="shared" ca="1" si="307"/>
        <v>0</v>
      </c>
      <c r="AT167" s="203">
        <f t="shared" ca="1" si="308"/>
        <v>0</v>
      </c>
      <c r="AU167" s="212" t="str">
        <f t="shared" si="309"/>
        <v>N/A</v>
      </c>
      <c r="AV167" s="212">
        <f t="shared" si="310"/>
        <v>0</v>
      </c>
      <c r="AW167" s="203">
        <f t="shared" si="311"/>
        <v>0</v>
      </c>
      <c r="AX167" s="203">
        <f t="shared" ca="1" si="312"/>
        <v>0</v>
      </c>
      <c r="AY167" s="203">
        <f t="shared" ca="1" si="313"/>
        <v>0</v>
      </c>
      <c r="AZ167" s="212"/>
      <c r="BA167" s="213" t="s">
        <v>141</v>
      </c>
      <c r="BB167" s="213" t="s">
        <v>140</v>
      </c>
      <c r="BC167" s="213" t="s">
        <v>140</v>
      </c>
      <c r="BD167" s="213" t="s">
        <v>140</v>
      </c>
      <c r="BE167" s="148"/>
      <c r="BF167" s="212" t="s">
        <v>1789</v>
      </c>
      <c r="BG167" s="117"/>
      <c r="BH167" s="117"/>
      <c r="BI167" s="149"/>
      <c r="BJ167" s="149"/>
      <c r="BK167" s="149"/>
      <c r="BL167" s="149"/>
      <c r="BM167" s="149"/>
      <c r="BN167" s="149"/>
      <c r="BO167" s="149"/>
      <c r="BP167" s="149"/>
      <c r="BQ167" s="149"/>
      <c r="BR167" s="117">
        <v>0</v>
      </c>
      <c r="BS167" s="117">
        <v>1</v>
      </c>
      <c r="BT167" s="117">
        <v>0</v>
      </c>
      <c r="BU167" s="117">
        <v>1</v>
      </c>
      <c r="BV167" s="117">
        <v>0</v>
      </c>
      <c r="BW167" s="117">
        <v>0</v>
      </c>
      <c r="BX167" s="117">
        <v>0</v>
      </c>
      <c r="BY167" s="117" t="s">
        <v>1790</v>
      </c>
      <c r="BZ167" s="117" t="s">
        <v>57</v>
      </c>
      <c r="CA167" s="144">
        <v>1</v>
      </c>
      <c r="CB167" s="149"/>
      <c r="CC167" s="117"/>
      <c r="CD167" s="117"/>
      <c r="CE167" s="148"/>
      <c r="CF167" s="148">
        <f t="shared" si="314"/>
        <v>0</v>
      </c>
    </row>
    <row r="168" spans="1:84" ht="17.25" hidden="1" customHeight="1">
      <c r="A168" s="117"/>
      <c r="B168" s="209" t="s">
        <v>2054</v>
      </c>
      <c r="C168" s="209" t="s">
        <v>2219</v>
      </c>
      <c r="D168" s="209" t="s">
        <v>1204</v>
      </c>
      <c r="E168" s="209" t="s">
        <v>1792</v>
      </c>
      <c r="F168" s="209" t="s">
        <v>1642</v>
      </c>
      <c r="G168" s="209" t="s">
        <v>1637</v>
      </c>
      <c r="H168" s="210">
        <v>2260</v>
      </c>
      <c r="I168" s="211" t="s">
        <v>147</v>
      </c>
      <c r="J168" s="144">
        <v>1</v>
      </c>
      <c r="K168" s="145">
        <f t="shared" si="289"/>
        <v>1</v>
      </c>
      <c r="L168" s="202">
        <f t="shared" si="290"/>
        <v>1</v>
      </c>
      <c r="M168" s="212">
        <v>46.7</v>
      </c>
      <c r="N168" s="203">
        <f t="shared" si="291"/>
        <v>46.7</v>
      </c>
      <c r="O168" s="212" t="s">
        <v>137</v>
      </c>
      <c r="P168" s="212" t="s">
        <v>13</v>
      </c>
      <c r="Q168" s="212" t="s">
        <v>148</v>
      </c>
      <c r="R168" s="212"/>
      <c r="S168" s="212"/>
      <c r="T168" s="203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1</v>
      </c>
      <c r="U168" s="203">
        <f t="shared" ca="1" si="292"/>
        <v>0</v>
      </c>
      <c r="V168" s="203">
        <f t="shared" ca="1" si="293"/>
        <v>1</v>
      </c>
      <c r="W168" s="212"/>
      <c r="X168" s="212"/>
      <c r="Y168" s="212"/>
      <c r="Z168" s="212"/>
      <c r="AA168" s="212"/>
      <c r="AB168" s="212"/>
      <c r="AC168" s="232" t="s">
        <v>196</v>
      </c>
      <c r="AD168" s="226" t="s">
        <v>2039</v>
      </c>
      <c r="AE168" s="148"/>
      <c r="AF168" s="212" t="str">
        <f t="shared" si="294"/>
        <v>AMC2-S2</v>
      </c>
      <c r="AG168" s="212">
        <f t="shared" si="295"/>
        <v>1</v>
      </c>
      <c r="AH168" s="203">
        <f t="shared" si="296"/>
        <v>1</v>
      </c>
      <c r="AI168" s="203">
        <f t="shared" ca="1" si="297"/>
        <v>1</v>
      </c>
      <c r="AJ168" s="203">
        <f t="shared" ca="1" si="298"/>
        <v>0</v>
      </c>
      <c r="AK168" s="212" t="str">
        <f t="shared" si="299"/>
        <v>N/A</v>
      </c>
      <c r="AL168" s="212">
        <f t="shared" si="300"/>
        <v>0</v>
      </c>
      <c r="AM168" s="203">
        <f t="shared" si="301"/>
        <v>0</v>
      </c>
      <c r="AN168" s="203">
        <f t="shared" ca="1" si="302"/>
        <v>0</v>
      </c>
      <c r="AO168" s="203">
        <f t="shared" ca="1" si="303"/>
        <v>0</v>
      </c>
      <c r="AP168" s="212" t="str">
        <f t="shared" si="304"/>
        <v>N/A</v>
      </c>
      <c r="AQ168" s="212">
        <f t="shared" si="305"/>
        <v>0</v>
      </c>
      <c r="AR168" s="203">
        <f t="shared" si="306"/>
        <v>0</v>
      </c>
      <c r="AS168" s="203">
        <f t="shared" ca="1" si="307"/>
        <v>0</v>
      </c>
      <c r="AT168" s="203">
        <f t="shared" ca="1" si="308"/>
        <v>0</v>
      </c>
      <c r="AU168" s="212" t="str">
        <f t="shared" si="309"/>
        <v>N/A</v>
      </c>
      <c r="AV168" s="212">
        <f t="shared" si="310"/>
        <v>0</v>
      </c>
      <c r="AW168" s="203">
        <f t="shared" si="311"/>
        <v>0</v>
      </c>
      <c r="AX168" s="203">
        <f t="shared" ca="1" si="312"/>
        <v>0</v>
      </c>
      <c r="AY168" s="203">
        <f t="shared" ca="1" si="313"/>
        <v>0</v>
      </c>
      <c r="AZ168" s="212"/>
      <c r="BA168" s="213" t="s">
        <v>141</v>
      </c>
      <c r="BB168" s="213" t="s">
        <v>140</v>
      </c>
      <c r="BC168" s="213" t="s">
        <v>140</v>
      </c>
      <c r="BD168" s="213" t="s">
        <v>140</v>
      </c>
      <c r="BE168" s="148"/>
      <c r="BF168" s="212" t="s">
        <v>1789</v>
      </c>
      <c r="BG168" s="117"/>
      <c r="BH168" s="117"/>
      <c r="BI168" s="149"/>
      <c r="BJ168" s="149"/>
      <c r="BK168" s="149"/>
      <c r="BL168" s="149"/>
      <c r="BM168" s="149"/>
      <c r="BN168" s="149"/>
      <c r="BO168" s="149"/>
      <c r="BP168" s="149"/>
      <c r="BQ168" s="149"/>
      <c r="BR168" s="117">
        <v>0</v>
      </c>
      <c r="BS168" s="117">
        <v>0</v>
      </c>
      <c r="BT168" s="117">
        <v>0</v>
      </c>
      <c r="BU168" s="117">
        <v>1</v>
      </c>
      <c r="BV168" s="117">
        <v>0</v>
      </c>
      <c r="BW168" s="117">
        <v>0</v>
      </c>
      <c r="BX168" s="117">
        <v>0</v>
      </c>
      <c r="BY168" s="117" t="s">
        <v>1790</v>
      </c>
      <c r="BZ168" s="117" t="s">
        <v>57</v>
      </c>
      <c r="CA168" s="144">
        <v>1</v>
      </c>
      <c r="CB168" s="149"/>
      <c r="CC168" s="117"/>
      <c r="CD168" s="117"/>
      <c r="CE168" s="148"/>
      <c r="CF168" s="148">
        <f t="shared" si="314"/>
        <v>0</v>
      </c>
    </row>
    <row r="169" spans="1:84" ht="17.25" hidden="1" customHeight="1">
      <c r="A169" s="117"/>
      <c r="B169" s="209" t="s">
        <v>2054</v>
      </c>
      <c r="C169" s="209" t="s">
        <v>2219</v>
      </c>
      <c r="D169" s="209" t="s">
        <v>1204</v>
      </c>
      <c r="E169" s="209" t="s">
        <v>1793</v>
      </c>
      <c r="F169" s="209" t="s">
        <v>1643</v>
      </c>
      <c r="G169" s="209" t="s">
        <v>1644</v>
      </c>
      <c r="H169" s="210">
        <v>969</v>
      </c>
      <c r="I169" s="211" t="s">
        <v>147</v>
      </c>
      <c r="J169" s="144">
        <v>1</v>
      </c>
      <c r="K169" s="145">
        <f t="shared" si="289"/>
        <v>1</v>
      </c>
      <c r="L169" s="202">
        <f t="shared" si="290"/>
        <v>1</v>
      </c>
      <c r="M169" s="212">
        <v>10</v>
      </c>
      <c r="N169" s="203">
        <f t="shared" si="291"/>
        <v>10</v>
      </c>
      <c r="O169" s="212" t="s">
        <v>137</v>
      </c>
      <c r="P169" s="212" t="s">
        <v>13</v>
      </c>
      <c r="Q169" s="212" t="s">
        <v>148</v>
      </c>
      <c r="R169" s="212"/>
      <c r="S169" s="212"/>
      <c r="T169" s="203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1</v>
      </c>
      <c r="U169" s="203">
        <f t="shared" ca="1" si="292"/>
        <v>0</v>
      </c>
      <c r="V169" s="203">
        <f t="shared" ca="1" si="293"/>
        <v>1</v>
      </c>
      <c r="W169" s="212"/>
      <c r="X169" s="212"/>
      <c r="Y169" s="212"/>
      <c r="Z169" s="212"/>
      <c r="AA169" s="212"/>
      <c r="AB169" s="212"/>
      <c r="AC169" s="232" t="s">
        <v>196</v>
      </c>
      <c r="AD169" s="226" t="s">
        <v>2039</v>
      </c>
      <c r="AE169" s="148"/>
      <c r="AF169" s="212" t="str">
        <f t="shared" si="294"/>
        <v>AMC2-S2</v>
      </c>
      <c r="AG169" s="212">
        <f t="shared" si="295"/>
        <v>1</v>
      </c>
      <c r="AH169" s="203">
        <f t="shared" si="296"/>
        <v>1</v>
      </c>
      <c r="AI169" s="203">
        <f t="shared" ca="1" si="297"/>
        <v>1</v>
      </c>
      <c r="AJ169" s="203">
        <f t="shared" ca="1" si="298"/>
        <v>0</v>
      </c>
      <c r="AK169" s="212" t="str">
        <f t="shared" si="299"/>
        <v>N/A</v>
      </c>
      <c r="AL169" s="212">
        <f t="shared" si="300"/>
        <v>0</v>
      </c>
      <c r="AM169" s="203">
        <f t="shared" si="301"/>
        <v>0</v>
      </c>
      <c r="AN169" s="203">
        <f t="shared" ca="1" si="302"/>
        <v>0</v>
      </c>
      <c r="AO169" s="203">
        <f t="shared" ca="1" si="303"/>
        <v>0</v>
      </c>
      <c r="AP169" s="212" t="str">
        <f t="shared" si="304"/>
        <v>N/A</v>
      </c>
      <c r="AQ169" s="212">
        <f t="shared" si="305"/>
        <v>0</v>
      </c>
      <c r="AR169" s="203">
        <f t="shared" si="306"/>
        <v>0</v>
      </c>
      <c r="AS169" s="203">
        <f t="shared" ca="1" si="307"/>
        <v>0</v>
      </c>
      <c r="AT169" s="203">
        <f t="shared" ca="1" si="308"/>
        <v>0</v>
      </c>
      <c r="AU169" s="212" t="str">
        <f t="shared" si="309"/>
        <v>N/A</v>
      </c>
      <c r="AV169" s="212">
        <f t="shared" si="310"/>
        <v>0</v>
      </c>
      <c r="AW169" s="203">
        <f t="shared" si="311"/>
        <v>0</v>
      </c>
      <c r="AX169" s="203">
        <f t="shared" ca="1" si="312"/>
        <v>0</v>
      </c>
      <c r="AY169" s="203">
        <f t="shared" ca="1" si="313"/>
        <v>0</v>
      </c>
      <c r="AZ169" s="212"/>
      <c r="BA169" s="213" t="s">
        <v>141</v>
      </c>
      <c r="BB169" s="213" t="s">
        <v>140</v>
      </c>
      <c r="BC169" s="213" t="s">
        <v>140</v>
      </c>
      <c r="BD169" s="213" t="s">
        <v>140</v>
      </c>
      <c r="BE169" s="148"/>
      <c r="BF169" s="212" t="s">
        <v>1789</v>
      </c>
      <c r="BG169" s="117"/>
      <c r="BH169" s="117"/>
      <c r="BI169" s="149"/>
      <c r="BJ169" s="149"/>
      <c r="BK169" s="149"/>
      <c r="BL169" s="149"/>
      <c r="BM169" s="149"/>
      <c r="BN169" s="149"/>
      <c r="BO169" s="149"/>
      <c r="BP169" s="149"/>
      <c r="BQ169" s="149"/>
      <c r="BR169" s="117">
        <v>0</v>
      </c>
      <c r="BS169" s="117">
        <v>0</v>
      </c>
      <c r="BT169" s="117">
        <v>0</v>
      </c>
      <c r="BU169" s="117">
        <v>1</v>
      </c>
      <c r="BV169" s="117">
        <v>0</v>
      </c>
      <c r="BW169" s="117">
        <v>0</v>
      </c>
      <c r="BX169" s="117">
        <v>0</v>
      </c>
      <c r="BY169" s="117" t="s">
        <v>1790</v>
      </c>
      <c r="BZ169" s="117" t="s">
        <v>1063</v>
      </c>
      <c r="CA169" s="117">
        <v>1</v>
      </c>
      <c r="CB169" s="149">
        <v>46206</v>
      </c>
      <c r="CC169" s="117"/>
      <c r="CD169" s="117"/>
      <c r="CE169" s="148"/>
      <c r="CF169" s="148">
        <f t="shared" si="314"/>
        <v>0</v>
      </c>
    </row>
    <row r="170" spans="1:84" ht="17.25" hidden="1" customHeight="1">
      <c r="A170" s="117"/>
      <c r="B170" s="209" t="s">
        <v>2054</v>
      </c>
      <c r="C170" s="209" t="s">
        <v>2219</v>
      </c>
      <c r="D170" s="209" t="s">
        <v>13</v>
      </c>
      <c r="E170" s="209" t="s">
        <v>1794</v>
      </c>
      <c r="F170" s="209" t="s">
        <v>1645</v>
      </c>
      <c r="G170" s="209" t="s">
        <v>1646</v>
      </c>
      <c r="H170" s="210">
        <v>516</v>
      </c>
      <c r="I170" s="211" t="s">
        <v>147</v>
      </c>
      <c r="J170" s="144">
        <v>1</v>
      </c>
      <c r="K170" s="145">
        <f t="shared" si="289"/>
        <v>1</v>
      </c>
      <c r="L170" s="202">
        <f t="shared" si="290"/>
        <v>1</v>
      </c>
      <c r="M170" s="212">
        <v>14.3</v>
      </c>
      <c r="N170" s="203">
        <f t="shared" si="291"/>
        <v>14.3</v>
      </c>
      <c r="O170" s="212" t="s">
        <v>137</v>
      </c>
      <c r="P170" s="212" t="s">
        <v>13</v>
      </c>
      <c r="Q170" s="212" t="s">
        <v>148</v>
      </c>
      <c r="R170" s="212"/>
      <c r="S170" s="212"/>
      <c r="T170" s="203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1</v>
      </c>
      <c r="U170" s="203">
        <f t="shared" ca="1" si="292"/>
        <v>0</v>
      </c>
      <c r="V170" s="203">
        <f t="shared" ca="1" si="293"/>
        <v>1</v>
      </c>
      <c r="W170" s="212"/>
      <c r="X170" s="212"/>
      <c r="Y170" s="212"/>
      <c r="Z170" s="212"/>
      <c r="AA170" s="212"/>
      <c r="AB170" s="212"/>
      <c r="AC170" s="232" t="s">
        <v>196</v>
      </c>
      <c r="AD170" s="226" t="s">
        <v>2039</v>
      </c>
      <c r="AE170" s="148"/>
      <c r="AF170" s="212" t="str">
        <f t="shared" si="294"/>
        <v>AMC2-S2</v>
      </c>
      <c r="AG170" s="212">
        <f t="shared" si="295"/>
        <v>1</v>
      </c>
      <c r="AH170" s="203">
        <f t="shared" si="296"/>
        <v>1</v>
      </c>
      <c r="AI170" s="203">
        <f t="shared" ca="1" si="297"/>
        <v>1</v>
      </c>
      <c r="AJ170" s="203">
        <f t="shared" ca="1" si="298"/>
        <v>0</v>
      </c>
      <c r="AK170" s="212" t="str">
        <f t="shared" si="299"/>
        <v>N/A</v>
      </c>
      <c r="AL170" s="212">
        <f t="shared" si="300"/>
        <v>0</v>
      </c>
      <c r="AM170" s="203">
        <f t="shared" si="301"/>
        <v>0</v>
      </c>
      <c r="AN170" s="203">
        <f t="shared" ca="1" si="302"/>
        <v>0</v>
      </c>
      <c r="AO170" s="203">
        <f t="shared" ca="1" si="303"/>
        <v>0</v>
      </c>
      <c r="AP170" s="212" t="str">
        <f t="shared" si="304"/>
        <v>N/A</v>
      </c>
      <c r="AQ170" s="212">
        <f t="shared" si="305"/>
        <v>0</v>
      </c>
      <c r="AR170" s="203">
        <f t="shared" si="306"/>
        <v>0</v>
      </c>
      <c r="AS170" s="203">
        <f t="shared" ca="1" si="307"/>
        <v>0</v>
      </c>
      <c r="AT170" s="203">
        <f t="shared" ca="1" si="308"/>
        <v>0</v>
      </c>
      <c r="AU170" s="212" t="str">
        <f t="shared" si="309"/>
        <v>N/A</v>
      </c>
      <c r="AV170" s="212">
        <f t="shared" si="310"/>
        <v>0</v>
      </c>
      <c r="AW170" s="203">
        <f t="shared" si="311"/>
        <v>0</v>
      </c>
      <c r="AX170" s="203">
        <f t="shared" ca="1" si="312"/>
        <v>0</v>
      </c>
      <c r="AY170" s="203">
        <f t="shared" ca="1" si="313"/>
        <v>0</v>
      </c>
      <c r="AZ170" s="212"/>
      <c r="BA170" s="213" t="s">
        <v>141</v>
      </c>
      <c r="BB170" s="213" t="s">
        <v>140</v>
      </c>
      <c r="BC170" s="213" t="s">
        <v>140</v>
      </c>
      <c r="BD170" s="213" t="s">
        <v>140</v>
      </c>
      <c r="BE170" s="148"/>
      <c r="BF170" s="212" t="s">
        <v>1789</v>
      </c>
      <c r="BG170" s="117"/>
      <c r="BH170" s="117"/>
      <c r="BI170" s="149"/>
      <c r="BJ170" s="149"/>
      <c r="BK170" s="149"/>
      <c r="BL170" s="149"/>
      <c r="BM170" s="149"/>
      <c r="BN170" s="149"/>
      <c r="BO170" s="149"/>
      <c r="BP170" s="149"/>
      <c r="BQ170" s="149"/>
      <c r="BR170" s="117">
        <v>1</v>
      </c>
      <c r="BS170" s="117">
        <v>0</v>
      </c>
      <c r="BT170" s="117">
        <v>0</v>
      </c>
      <c r="BU170" s="117">
        <v>0</v>
      </c>
      <c r="BV170" s="117">
        <v>0</v>
      </c>
      <c r="BW170" s="117">
        <v>0</v>
      </c>
      <c r="BX170" s="117">
        <v>0</v>
      </c>
      <c r="BY170" s="117" t="s">
        <v>1790</v>
      </c>
      <c r="BZ170" s="117" t="s">
        <v>1303</v>
      </c>
      <c r="CA170" s="117">
        <v>1</v>
      </c>
      <c r="CB170" s="149">
        <v>46206</v>
      </c>
      <c r="CC170" s="117"/>
      <c r="CD170" s="117"/>
      <c r="CE170" s="148"/>
      <c r="CF170" s="148">
        <f t="shared" si="314"/>
        <v>0</v>
      </c>
    </row>
    <row r="171" spans="1:84" ht="17.25" hidden="1" customHeight="1">
      <c r="A171" s="117"/>
      <c r="B171" s="209" t="s">
        <v>2054</v>
      </c>
      <c r="C171" s="209" t="s">
        <v>2219</v>
      </c>
      <c r="D171" s="209" t="s">
        <v>13</v>
      </c>
      <c r="E171" s="209" t="s">
        <v>1795</v>
      </c>
      <c r="F171" s="209" t="s">
        <v>1647</v>
      </c>
      <c r="G171" s="209" t="s">
        <v>1157</v>
      </c>
      <c r="H171" s="210">
        <v>3516</v>
      </c>
      <c r="I171" s="211" t="s">
        <v>147</v>
      </c>
      <c r="J171" s="144">
        <v>2</v>
      </c>
      <c r="K171" s="145">
        <f t="shared" si="289"/>
        <v>1</v>
      </c>
      <c r="L171" s="202">
        <f t="shared" si="290"/>
        <v>2</v>
      </c>
      <c r="M171" s="212">
        <v>132.5</v>
      </c>
      <c r="N171" s="203">
        <f t="shared" si="291"/>
        <v>265</v>
      </c>
      <c r="O171" s="212" t="s">
        <v>137</v>
      </c>
      <c r="P171" s="212" t="s">
        <v>13</v>
      </c>
      <c r="Q171" s="212" t="s">
        <v>148</v>
      </c>
      <c r="R171" s="212"/>
      <c r="S171" s="212"/>
      <c r="T171" s="203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203">
        <f t="shared" ca="1" si="292"/>
        <v>0</v>
      </c>
      <c r="V171" s="203">
        <f t="shared" ca="1" si="293"/>
        <v>1</v>
      </c>
      <c r="W171" s="212"/>
      <c r="X171" s="212"/>
      <c r="Y171" s="212"/>
      <c r="Z171" s="212"/>
      <c r="AA171" s="212"/>
      <c r="AB171" s="212"/>
      <c r="AC171" s="232" t="s">
        <v>196</v>
      </c>
      <c r="AD171" s="226" t="s">
        <v>2039</v>
      </c>
      <c r="AE171" s="148"/>
      <c r="AF171" s="212" t="str">
        <f t="shared" si="294"/>
        <v>AMC2-S2</v>
      </c>
      <c r="AG171" s="212">
        <f t="shared" si="295"/>
        <v>1</v>
      </c>
      <c r="AH171" s="203">
        <f t="shared" si="296"/>
        <v>2</v>
      </c>
      <c r="AI171" s="203">
        <f t="shared" ca="1" si="297"/>
        <v>2</v>
      </c>
      <c r="AJ171" s="203">
        <f t="shared" ca="1" si="298"/>
        <v>0</v>
      </c>
      <c r="AK171" s="212" t="str">
        <f t="shared" si="299"/>
        <v>N/A</v>
      </c>
      <c r="AL171" s="212">
        <f t="shared" si="300"/>
        <v>0</v>
      </c>
      <c r="AM171" s="203">
        <f t="shared" si="301"/>
        <v>0</v>
      </c>
      <c r="AN171" s="203">
        <f t="shared" ca="1" si="302"/>
        <v>0</v>
      </c>
      <c r="AO171" s="203">
        <f t="shared" ca="1" si="303"/>
        <v>0</v>
      </c>
      <c r="AP171" s="212" t="str">
        <f t="shared" si="304"/>
        <v>N/A</v>
      </c>
      <c r="AQ171" s="212">
        <f t="shared" si="305"/>
        <v>0</v>
      </c>
      <c r="AR171" s="203">
        <f t="shared" si="306"/>
        <v>0</v>
      </c>
      <c r="AS171" s="203">
        <f t="shared" ca="1" si="307"/>
        <v>0</v>
      </c>
      <c r="AT171" s="203">
        <f t="shared" ca="1" si="308"/>
        <v>0</v>
      </c>
      <c r="AU171" s="212" t="str">
        <f t="shared" si="309"/>
        <v>N/A</v>
      </c>
      <c r="AV171" s="212">
        <f t="shared" si="310"/>
        <v>0</v>
      </c>
      <c r="AW171" s="203">
        <f t="shared" si="311"/>
        <v>0</v>
      </c>
      <c r="AX171" s="203">
        <f t="shared" ca="1" si="312"/>
        <v>0</v>
      </c>
      <c r="AY171" s="203">
        <f t="shared" ca="1" si="313"/>
        <v>0</v>
      </c>
      <c r="AZ171" s="212"/>
      <c r="BA171" s="213" t="s">
        <v>141</v>
      </c>
      <c r="BB171" s="213" t="s">
        <v>140</v>
      </c>
      <c r="BC171" s="213" t="s">
        <v>140</v>
      </c>
      <c r="BD171" s="213" t="s">
        <v>140</v>
      </c>
      <c r="BE171" s="148"/>
      <c r="BF171" s="212" t="s">
        <v>1789</v>
      </c>
      <c r="BG171" s="117"/>
      <c r="BH171" s="117"/>
      <c r="BI171" s="149"/>
      <c r="BJ171" s="149"/>
      <c r="BK171" s="149"/>
      <c r="BL171" s="149"/>
      <c r="BM171" s="149"/>
      <c r="BN171" s="149"/>
      <c r="BO171" s="149"/>
      <c r="BP171" s="149"/>
      <c r="BQ171" s="149"/>
      <c r="BR171" s="117">
        <v>0</v>
      </c>
      <c r="BS171" s="117">
        <v>0</v>
      </c>
      <c r="BT171" s="117">
        <v>0</v>
      </c>
      <c r="BU171" s="117">
        <v>0</v>
      </c>
      <c r="BV171" s="117">
        <v>0</v>
      </c>
      <c r="BW171" s="117">
        <v>0</v>
      </c>
      <c r="BX171" s="117">
        <v>0</v>
      </c>
      <c r="BY171" s="117" t="s">
        <v>1790</v>
      </c>
      <c r="BZ171" s="117" t="s">
        <v>1303</v>
      </c>
      <c r="CA171" s="117">
        <v>2</v>
      </c>
      <c r="CB171" s="149">
        <v>46206</v>
      </c>
      <c r="CC171" s="117"/>
      <c r="CD171" s="117"/>
      <c r="CE171" s="148"/>
      <c r="CF171" s="148">
        <f t="shared" si="314"/>
        <v>0</v>
      </c>
    </row>
    <row r="172" spans="1:84" ht="17.25" hidden="1" customHeight="1">
      <c r="A172" s="117"/>
      <c r="B172" s="209" t="s">
        <v>2054</v>
      </c>
      <c r="C172" s="209" t="s">
        <v>2219</v>
      </c>
      <c r="D172" s="209" t="s">
        <v>1204</v>
      </c>
      <c r="E172" s="209" t="s">
        <v>1796</v>
      </c>
      <c r="F172" s="209" t="s">
        <v>1648</v>
      </c>
      <c r="G172" s="209" t="s">
        <v>1649</v>
      </c>
      <c r="H172" s="210">
        <v>2260</v>
      </c>
      <c r="I172" s="211" t="s">
        <v>147</v>
      </c>
      <c r="J172" s="144">
        <v>1</v>
      </c>
      <c r="K172" s="145">
        <f t="shared" si="289"/>
        <v>1</v>
      </c>
      <c r="L172" s="202">
        <f t="shared" si="290"/>
        <v>1</v>
      </c>
      <c r="M172" s="212">
        <v>54.7</v>
      </c>
      <c r="N172" s="203">
        <f t="shared" si="291"/>
        <v>54.7</v>
      </c>
      <c r="O172" s="212" t="s">
        <v>137</v>
      </c>
      <c r="P172" s="212" t="s">
        <v>13</v>
      </c>
      <c r="Q172" s="212" t="s">
        <v>148</v>
      </c>
      <c r="R172" s="212"/>
      <c r="S172" s="212"/>
      <c r="T172" s="203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1</v>
      </c>
      <c r="U172" s="203">
        <f t="shared" ca="1" si="292"/>
        <v>0</v>
      </c>
      <c r="V172" s="203">
        <f t="shared" ca="1" si="293"/>
        <v>1</v>
      </c>
      <c r="W172" s="212"/>
      <c r="X172" s="212"/>
      <c r="Y172" s="212"/>
      <c r="Z172" s="212"/>
      <c r="AA172" s="212"/>
      <c r="AB172" s="212"/>
      <c r="AC172" s="232" t="s">
        <v>196</v>
      </c>
      <c r="AD172" s="226" t="s">
        <v>2039</v>
      </c>
      <c r="AE172" s="148"/>
      <c r="AF172" s="212" t="str">
        <f t="shared" si="294"/>
        <v>AMC2-S2</v>
      </c>
      <c r="AG172" s="212">
        <f t="shared" si="295"/>
        <v>1</v>
      </c>
      <c r="AH172" s="203">
        <f t="shared" si="296"/>
        <v>1</v>
      </c>
      <c r="AI172" s="203">
        <f t="shared" ca="1" si="297"/>
        <v>1</v>
      </c>
      <c r="AJ172" s="203">
        <f t="shared" ca="1" si="298"/>
        <v>0</v>
      </c>
      <c r="AK172" s="212" t="str">
        <f t="shared" si="299"/>
        <v>N/A</v>
      </c>
      <c r="AL172" s="212">
        <f t="shared" si="300"/>
        <v>0</v>
      </c>
      <c r="AM172" s="203">
        <f t="shared" si="301"/>
        <v>0</v>
      </c>
      <c r="AN172" s="203">
        <f t="shared" ca="1" si="302"/>
        <v>0</v>
      </c>
      <c r="AO172" s="203">
        <f t="shared" ca="1" si="303"/>
        <v>0</v>
      </c>
      <c r="AP172" s="212" t="str">
        <f t="shared" si="304"/>
        <v>N/A</v>
      </c>
      <c r="AQ172" s="212">
        <f t="shared" si="305"/>
        <v>0</v>
      </c>
      <c r="AR172" s="203">
        <f t="shared" si="306"/>
        <v>0</v>
      </c>
      <c r="AS172" s="203">
        <f t="shared" ca="1" si="307"/>
        <v>0</v>
      </c>
      <c r="AT172" s="203">
        <f t="shared" ca="1" si="308"/>
        <v>0</v>
      </c>
      <c r="AU172" s="212" t="str">
        <f t="shared" si="309"/>
        <v>N/A</v>
      </c>
      <c r="AV172" s="212">
        <f t="shared" si="310"/>
        <v>0</v>
      </c>
      <c r="AW172" s="203">
        <f t="shared" si="311"/>
        <v>0</v>
      </c>
      <c r="AX172" s="203">
        <f t="shared" ca="1" si="312"/>
        <v>0</v>
      </c>
      <c r="AY172" s="203">
        <f t="shared" ca="1" si="313"/>
        <v>0</v>
      </c>
      <c r="AZ172" s="212"/>
      <c r="BA172" s="213" t="s">
        <v>141</v>
      </c>
      <c r="BB172" s="213" t="s">
        <v>140</v>
      </c>
      <c r="BC172" s="213" t="s">
        <v>140</v>
      </c>
      <c r="BD172" s="213" t="s">
        <v>140</v>
      </c>
      <c r="BE172" s="148"/>
      <c r="BF172" s="212" t="s">
        <v>1789</v>
      </c>
      <c r="BG172" s="117"/>
      <c r="BH172" s="117"/>
      <c r="BI172" s="149"/>
      <c r="BJ172" s="149"/>
      <c r="BK172" s="149"/>
      <c r="BL172" s="149" t="s">
        <v>1932</v>
      </c>
      <c r="BM172" s="149"/>
      <c r="BN172" s="149"/>
      <c r="BO172" s="149"/>
      <c r="BP172" s="149"/>
      <c r="BQ172" s="149"/>
      <c r="BR172" s="117">
        <v>0</v>
      </c>
      <c r="BS172" s="117">
        <v>0</v>
      </c>
      <c r="BT172" s="117">
        <v>0</v>
      </c>
      <c r="BU172" s="117">
        <v>0</v>
      </c>
      <c r="BV172" s="117">
        <v>0</v>
      </c>
      <c r="BW172" s="117">
        <v>0</v>
      </c>
      <c r="BX172" s="117">
        <v>0</v>
      </c>
      <c r="BY172" s="117" t="s">
        <v>1790</v>
      </c>
      <c r="BZ172" s="117" t="s">
        <v>57</v>
      </c>
      <c r="CA172" s="144">
        <v>1</v>
      </c>
      <c r="CB172" s="149"/>
      <c r="CC172" s="117"/>
      <c r="CD172" s="117"/>
      <c r="CE172" s="148"/>
      <c r="CF172" s="148">
        <f t="shared" si="314"/>
        <v>0</v>
      </c>
    </row>
    <row r="173" spans="1:84" ht="17.25" hidden="1" customHeight="1">
      <c r="A173" s="117"/>
      <c r="B173" s="209" t="s">
        <v>2054</v>
      </c>
      <c r="C173" s="209" t="s">
        <v>2219</v>
      </c>
      <c r="D173" s="209" t="s">
        <v>13</v>
      </c>
      <c r="E173" s="209" t="s">
        <v>1797</v>
      </c>
      <c r="F173" s="209" t="s">
        <v>1650</v>
      </c>
      <c r="G173" s="209" t="s">
        <v>1651</v>
      </c>
      <c r="H173" s="210">
        <v>852</v>
      </c>
      <c r="I173" s="211" t="s">
        <v>147</v>
      </c>
      <c r="J173" s="144">
        <v>2</v>
      </c>
      <c r="K173" s="145">
        <f t="shared" si="289"/>
        <v>1</v>
      </c>
      <c r="L173" s="202">
        <f t="shared" si="290"/>
        <v>2</v>
      </c>
      <c r="M173" s="212">
        <v>9.3000000000000007</v>
      </c>
      <c r="N173" s="203">
        <f t="shared" si="291"/>
        <v>18.600000000000001</v>
      </c>
      <c r="O173" s="212" t="s">
        <v>137</v>
      </c>
      <c r="P173" s="212" t="s">
        <v>13</v>
      </c>
      <c r="Q173" s="212" t="s">
        <v>148</v>
      </c>
      <c r="R173" s="212"/>
      <c r="S173" s="212"/>
      <c r="T173" s="203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203">
        <f t="shared" ca="1" si="292"/>
        <v>0</v>
      </c>
      <c r="V173" s="203">
        <f t="shared" ca="1" si="293"/>
        <v>1</v>
      </c>
      <c r="W173" s="212"/>
      <c r="X173" s="212"/>
      <c r="Y173" s="212"/>
      <c r="Z173" s="212"/>
      <c r="AA173" s="212"/>
      <c r="AB173" s="212"/>
      <c r="AC173" s="232" t="s">
        <v>196</v>
      </c>
      <c r="AD173" s="226" t="s">
        <v>2039</v>
      </c>
      <c r="AE173" s="148"/>
      <c r="AF173" s="212" t="str">
        <f t="shared" si="294"/>
        <v>AMC2-S2</v>
      </c>
      <c r="AG173" s="212">
        <f t="shared" si="295"/>
        <v>1</v>
      </c>
      <c r="AH173" s="203">
        <f t="shared" si="296"/>
        <v>2</v>
      </c>
      <c r="AI173" s="203">
        <f t="shared" ca="1" si="297"/>
        <v>2</v>
      </c>
      <c r="AJ173" s="203">
        <f t="shared" ca="1" si="298"/>
        <v>0</v>
      </c>
      <c r="AK173" s="212" t="str">
        <f t="shared" si="299"/>
        <v>N/A</v>
      </c>
      <c r="AL173" s="212">
        <f t="shared" si="300"/>
        <v>0</v>
      </c>
      <c r="AM173" s="203">
        <f t="shared" si="301"/>
        <v>0</v>
      </c>
      <c r="AN173" s="203">
        <f t="shared" ca="1" si="302"/>
        <v>0</v>
      </c>
      <c r="AO173" s="203">
        <f t="shared" ca="1" si="303"/>
        <v>0</v>
      </c>
      <c r="AP173" s="212" t="str">
        <f t="shared" si="304"/>
        <v>N/A</v>
      </c>
      <c r="AQ173" s="212">
        <f t="shared" si="305"/>
        <v>0</v>
      </c>
      <c r="AR173" s="203">
        <f t="shared" si="306"/>
        <v>0</v>
      </c>
      <c r="AS173" s="203">
        <f t="shared" ca="1" si="307"/>
        <v>0</v>
      </c>
      <c r="AT173" s="203">
        <f t="shared" ca="1" si="308"/>
        <v>0</v>
      </c>
      <c r="AU173" s="212" t="str">
        <f t="shared" si="309"/>
        <v>N/A</v>
      </c>
      <c r="AV173" s="212">
        <f t="shared" si="310"/>
        <v>0</v>
      </c>
      <c r="AW173" s="203">
        <f t="shared" si="311"/>
        <v>0</v>
      </c>
      <c r="AX173" s="203">
        <f t="shared" ca="1" si="312"/>
        <v>0</v>
      </c>
      <c r="AY173" s="203">
        <f t="shared" ca="1" si="313"/>
        <v>0</v>
      </c>
      <c r="AZ173" s="212"/>
      <c r="BA173" s="213" t="s">
        <v>141</v>
      </c>
      <c r="BB173" s="213" t="s">
        <v>140</v>
      </c>
      <c r="BC173" s="213" t="s">
        <v>140</v>
      </c>
      <c r="BD173" s="213" t="s">
        <v>140</v>
      </c>
      <c r="BE173" s="148"/>
      <c r="BF173" s="212" t="s">
        <v>1789</v>
      </c>
      <c r="BG173" s="117"/>
      <c r="BH173" s="117"/>
      <c r="BI173" s="149"/>
      <c r="BJ173" s="149"/>
      <c r="BK173" s="149"/>
      <c r="BL173" s="149"/>
      <c r="BM173" s="149"/>
      <c r="BN173" s="149"/>
      <c r="BO173" s="149"/>
      <c r="BP173" s="149"/>
      <c r="BQ173" s="149"/>
      <c r="BR173" s="117">
        <v>0</v>
      </c>
      <c r="BS173" s="117">
        <v>0</v>
      </c>
      <c r="BT173" s="117">
        <v>0</v>
      </c>
      <c r="BU173" s="117">
        <v>0</v>
      </c>
      <c r="BV173" s="117">
        <v>0</v>
      </c>
      <c r="BW173" s="117">
        <v>0</v>
      </c>
      <c r="BX173" s="117">
        <v>0</v>
      </c>
      <c r="BY173" s="117" t="s">
        <v>1790</v>
      </c>
      <c r="BZ173" s="117" t="s">
        <v>1063</v>
      </c>
      <c r="CA173" s="117">
        <v>2</v>
      </c>
      <c r="CB173" s="149">
        <v>46206</v>
      </c>
      <c r="CC173" s="117"/>
      <c r="CD173" s="117"/>
      <c r="CE173" s="148"/>
      <c r="CF173" s="148">
        <f t="shared" si="314"/>
        <v>0</v>
      </c>
    </row>
    <row r="174" spans="1:84" ht="17.25" hidden="1" customHeight="1">
      <c r="A174" s="117"/>
      <c r="B174" s="209" t="s">
        <v>2054</v>
      </c>
      <c r="C174" s="209" t="s">
        <v>2219</v>
      </c>
      <c r="D174" s="209" t="s">
        <v>13</v>
      </c>
      <c r="E174" s="209" t="s">
        <v>1798</v>
      </c>
      <c r="F174" s="209" t="s">
        <v>1652</v>
      </c>
      <c r="G174" s="209" t="s">
        <v>1653</v>
      </c>
      <c r="H174" s="210">
        <v>275</v>
      </c>
      <c r="I174" s="211" t="s">
        <v>147</v>
      </c>
      <c r="J174" s="144">
        <v>4</v>
      </c>
      <c r="K174" s="145">
        <f t="shared" si="289"/>
        <v>1</v>
      </c>
      <c r="L174" s="202">
        <f t="shared" si="290"/>
        <v>4</v>
      </c>
      <c r="M174" s="212">
        <v>3</v>
      </c>
      <c r="N174" s="203">
        <f t="shared" si="291"/>
        <v>12</v>
      </c>
      <c r="O174" s="212" t="s">
        <v>137</v>
      </c>
      <c r="P174" s="212" t="s">
        <v>13</v>
      </c>
      <c r="Q174" s="212" t="s">
        <v>148</v>
      </c>
      <c r="R174" s="212"/>
      <c r="S174" s="212"/>
      <c r="T174" s="203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4</v>
      </c>
      <c r="U174" s="203">
        <f t="shared" ca="1" si="292"/>
        <v>0</v>
      </c>
      <c r="V174" s="203">
        <f t="shared" ca="1" si="293"/>
        <v>1</v>
      </c>
      <c r="W174" s="212"/>
      <c r="X174" s="212"/>
      <c r="Y174" s="212"/>
      <c r="Z174" s="212"/>
      <c r="AA174" s="212"/>
      <c r="AB174" s="212"/>
      <c r="AC174" s="232" t="s">
        <v>196</v>
      </c>
      <c r="AD174" s="226" t="s">
        <v>2039</v>
      </c>
      <c r="AE174" s="148"/>
      <c r="AF174" s="212" t="str">
        <f t="shared" si="294"/>
        <v>AMC2-S2</v>
      </c>
      <c r="AG174" s="212">
        <f t="shared" si="295"/>
        <v>1</v>
      </c>
      <c r="AH174" s="203">
        <f t="shared" si="296"/>
        <v>4</v>
      </c>
      <c r="AI174" s="203">
        <f t="shared" ca="1" si="297"/>
        <v>4</v>
      </c>
      <c r="AJ174" s="203">
        <f t="shared" ca="1" si="298"/>
        <v>0</v>
      </c>
      <c r="AK174" s="212" t="str">
        <f t="shared" si="299"/>
        <v>N/A</v>
      </c>
      <c r="AL174" s="212">
        <f t="shared" si="300"/>
        <v>0</v>
      </c>
      <c r="AM174" s="203">
        <f t="shared" si="301"/>
        <v>0</v>
      </c>
      <c r="AN174" s="203">
        <f t="shared" ca="1" si="302"/>
        <v>0</v>
      </c>
      <c r="AO174" s="203">
        <f t="shared" ca="1" si="303"/>
        <v>0</v>
      </c>
      <c r="AP174" s="212" t="str">
        <f t="shared" si="304"/>
        <v>N/A</v>
      </c>
      <c r="AQ174" s="212">
        <f t="shared" si="305"/>
        <v>0</v>
      </c>
      <c r="AR174" s="203">
        <f t="shared" si="306"/>
        <v>0</v>
      </c>
      <c r="AS174" s="203">
        <f t="shared" ca="1" si="307"/>
        <v>0</v>
      </c>
      <c r="AT174" s="203">
        <f t="shared" ca="1" si="308"/>
        <v>0</v>
      </c>
      <c r="AU174" s="212" t="str">
        <f t="shared" si="309"/>
        <v>N/A</v>
      </c>
      <c r="AV174" s="212">
        <f t="shared" si="310"/>
        <v>0</v>
      </c>
      <c r="AW174" s="203">
        <f t="shared" si="311"/>
        <v>0</v>
      </c>
      <c r="AX174" s="203">
        <f t="shared" ca="1" si="312"/>
        <v>0</v>
      </c>
      <c r="AY174" s="203">
        <f t="shared" ca="1" si="313"/>
        <v>0</v>
      </c>
      <c r="AZ174" s="212"/>
      <c r="BA174" s="213" t="s">
        <v>141</v>
      </c>
      <c r="BB174" s="213" t="s">
        <v>140</v>
      </c>
      <c r="BC174" s="213" t="s">
        <v>140</v>
      </c>
      <c r="BD174" s="213" t="s">
        <v>140</v>
      </c>
      <c r="BE174" s="148"/>
      <c r="BF174" s="212" t="s">
        <v>1789</v>
      </c>
      <c r="BG174" s="117"/>
      <c r="BH174" s="117"/>
      <c r="BI174" s="149"/>
      <c r="BJ174" s="149"/>
      <c r="BK174" s="149"/>
      <c r="BL174" s="149"/>
      <c r="BM174" s="149"/>
      <c r="BN174" s="149"/>
      <c r="BO174" s="149"/>
      <c r="BP174" s="149"/>
      <c r="BQ174" s="149"/>
      <c r="BR174" s="117">
        <v>0</v>
      </c>
      <c r="BS174" s="117">
        <v>0</v>
      </c>
      <c r="BT174" s="117">
        <v>0</v>
      </c>
      <c r="BU174" s="117">
        <v>0</v>
      </c>
      <c r="BV174" s="117">
        <v>0</v>
      </c>
      <c r="BW174" s="117">
        <v>0</v>
      </c>
      <c r="BX174" s="117">
        <v>0</v>
      </c>
      <c r="BY174" s="117" t="s">
        <v>1790</v>
      </c>
      <c r="BZ174" s="117" t="s">
        <v>989</v>
      </c>
      <c r="CA174" s="117">
        <v>4</v>
      </c>
      <c r="CB174" s="149">
        <v>46186</v>
      </c>
      <c r="CC174" s="117"/>
      <c r="CD174" s="117"/>
      <c r="CE174" s="148"/>
      <c r="CF174" s="148">
        <f t="shared" si="314"/>
        <v>0</v>
      </c>
    </row>
    <row r="175" spans="1:84" ht="17.25" hidden="1" customHeight="1">
      <c r="A175" s="117"/>
      <c r="B175" s="209" t="s">
        <v>2054</v>
      </c>
      <c r="C175" s="209" t="s">
        <v>2219</v>
      </c>
      <c r="D175" s="209" t="s">
        <v>1210</v>
      </c>
      <c r="E175" s="209" t="s">
        <v>1799</v>
      </c>
      <c r="F175" s="209" t="s">
        <v>1616</v>
      </c>
      <c r="G175" s="209" t="s">
        <v>1123</v>
      </c>
      <c r="H175" s="210">
        <v>320</v>
      </c>
      <c r="I175" s="211" t="s">
        <v>147</v>
      </c>
      <c r="J175" s="144">
        <v>2</v>
      </c>
      <c r="K175" s="145">
        <f t="shared" si="289"/>
        <v>1</v>
      </c>
      <c r="L175" s="202">
        <f t="shared" si="290"/>
        <v>2</v>
      </c>
      <c r="M175" s="212">
        <v>7.6</v>
      </c>
      <c r="N175" s="203">
        <f t="shared" si="291"/>
        <v>15.2</v>
      </c>
      <c r="O175" s="212" t="s">
        <v>137</v>
      </c>
      <c r="P175" s="212" t="s">
        <v>13</v>
      </c>
      <c r="Q175" s="212" t="s">
        <v>148</v>
      </c>
      <c r="R175" s="212"/>
      <c r="S175" s="212"/>
      <c r="T175" s="203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2</v>
      </c>
      <c r="U175" s="203">
        <f t="shared" ca="1" si="292"/>
        <v>0</v>
      </c>
      <c r="V175" s="203">
        <f t="shared" ca="1" si="293"/>
        <v>1</v>
      </c>
      <c r="W175" s="212"/>
      <c r="X175" s="212"/>
      <c r="Y175" s="212"/>
      <c r="Z175" s="212"/>
      <c r="AA175" s="212"/>
      <c r="AB175" s="212"/>
      <c r="AC175" s="232" t="s">
        <v>196</v>
      </c>
      <c r="AD175" s="226" t="s">
        <v>2039</v>
      </c>
      <c r="AE175" s="148"/>
      <c r="AF175" s="212" t="str">
        <f t="shared" si="294"/>
        <v>AMC2-S2</v>
      </c>
      <c r="AG175" s="212">
        <f t="shared" si="295"/>
        <v>1</v>
      </c>
      <c r="AH175" s="203">
        <f t="shared" si="296"/>
        <v>2</v>
      </c>
      <c r="AI175" s="203">
        <f t="shared" ca="1" si="297"/>
        <v>2</v>
      </c>
      <c r="AJ175" s="203">
        <f t="shared" ca="1" si="298"/>
        <v>0</v>
      </c>
      <c r="AK175" s="212" t="str">
        <f t="shared" si="299"/>
        <v>N/A</v>
      </c>
      <c r="AL175" s="212">
        <f t="shared" si="300"/>
        <v>0</v>
      </c>
      <c r="AM175" s="203">
        <f t="shared" si="301"/>
        <v>0</v>
      </c>
      <c r="AN175" s="203">
        <f t="shared" ca="1" si="302"/>
        <v>0</v>
      </c>
      <c r="AO175" s="203">
        <f t="shared" ca="1" si="303"/>
        <v>0</v>
      </c>
      <c r="AP175" s="212" t="str">
        <f t="shared" si="304"/>
        <v>N/A</v>
      </c>
      <c r="AQ175" s="212">
        <f t="shared" si="305"/>
        <v>0</v>
      </c>
      <c r="AR175" s="203">
        <f t="shared" si="306"/>
        <v>0</v>
      </c>
      <c r="AS175" s="203">
        <f t="shared" ca="1" si="307"/>
        <v>0</v>
      </c>
      <c r="AT175" s="203">
        <f t="shared" ca="1" si="308"/>
        <v>0</v>
      </c>
      <c r="AU175" s="212" t="str">
        <f t="shared" si="309"/>
        <v>N/A</v>
      </c>
      <c r="AV175" s="212">
        <f t="shared" si="310"/>
        <v>0</v>
      </c>
      <c r="AW175" s="203">
        <f t="shared" si="311"/>
        <v>0</v>
      </c>
      <c r="AX175" s="203">
        <f t="shared" ca="1" si="312"/>
        <v>0</v>
      </c>
      <c r="AY175" s="203">
        <f t="shared" ca="1" si="313"/>
        <v>0</v>
      </c>
      <c r="AZ175" s="212"/>
      <c r="BA175" s="213" t="s">
        <v>141</v>
      </c>
      <c r="BB175" s="213" t="s">
        <v>140</v>
      </c>
      <c r="BC175" s="213" t="s">
        <v>140</v>
      </c>
      <c r="BD175" s="213" t="s">
        <v>140</v>
      </c>
      <c r="BE175" s="148"/>
      <c r="BF175" s="212" t="s">
        <v>1789</v>
      </c>
      <c r="BG175" s="117"/>
      <c r="BH175" s="117"/>
      <c r="BI175" s="149"/>
      <c r="BJ175" s="149"/>
      <c r="BK175" s="149"/>
      <c r="BL175" s="149"/>
      <c r="BM175" s="149"/>
      <c r="BN175" s="149"/>
      <c r="BO175" s="149"/>
      <c r="BP175" s="149"/>
      <c r="BQ175" s="149"/>
      <c r="BR175" s="117">
        <v>1</v>
      </c>
      <c r="BS175" s="117">
        <v>0</v>
      </c>
      <c r="BT175" s="117">
        <v>0</v>
      </c>
      <c r="BU175" s="117">
        <v>0</v>
      </c>
      <c r="BV175" s="117">
        <v>0</v>
      </c>
      <c r="BW175" s="117">
        <v>0</v>
      </c>
      <c r="BX175" s="117">
        <v>0</v>
      </c>
      <c r="BY175" s="117" t="s">
        <v>1790</v>
      </c>
      <c r="BZ175" s="117" t="s">
        <v>1307</v>
      </c>
      <c r="CA175" s="117">
        <v>2</v>
      </c>
      <c r="CB175" s="234">
        <v>46242</v>
      </c>
      <c r="CC175" s="117"/>
      <c r="CD175" s="117"/>
      <c r="CE175" s="148"/>
      <c r="CF175" s="148">
        <f t="shared" si="314"/>
        <v>0</v>
      </c>
    </row>
    <row r="176" spans="1:84" ht="17.25" hidden="1" customHeight="1">
      <c r="A176" s="117"/>
      <c r="B176" s="209" t="s">
        <v>2054</v>
      </c>
      <c r="C176" s="209" t="s">
        <v>2219</v>
      </c>
      <c r="D176" s="209" t="s">
        <v>1212</v>
      </c>
      <c r="E176" s="209" t="s">
        <v>1800</v>
      </c>
      <c r="F176" s="209" t="s">
        <v>1617</v>
      </c>
      <c r="G176" s="209" t="s">
        <v>1125</v>
      </c>
      <c r="H176" s="210">
        <v>200</v>
      </c>
      <c r="I176" s="211" t="s">
        <v>147</v>
      </c>
      <c r="J176" s="144">
        <v>2</v>
      </c>
      <c r="K176" s="145">
        <f t="shared" si="289"/>
        <v>1</v>
      </c>
      <c r="L176" s="202">
        <f t="shared" si="290"/>
        <v>2</v>
      </c>
      <c r="M176" s="212">
        <v>2.6</v>
      </c>
      <c r="N176" s="203">
        <f t="shared" si="291"/>
        <v>5.2</v>
      </c>
      <c r="O176" s="212" t="s">
        <v>137</v>
      </c>
      <c r="P176" s="212" t="s">
        <v>13</v>
      </c>
      <c r="Q176" s="212" t="s">
        <v>148</v>
      </c>
      <c r="R176" s="212"/>
      <c r="S176" s="212"/>
      <c r="T176" s="203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2</v>
      </c>
      <c r="U176" s="203">
        <f t="shared" ca="1" si="292"/>
        <v>0</v>
      </c>
      <c r="V176" s="203">
        <f t="shared" ca="1" si="293"/>
        <v>1</v>
      </c>
      <c r="W176" s="212"/>
      <c r="X176" s="212"/>
      <c r="Y176" s="212"/>
      <c r="Z176" s="212"/>
      <c r="AA176" s="212"/>
      <c r="AB176" s="212"/>
      <c r="AC176" s="232" t="s">
        <v>196</v>
      </c>
      <c r="AD176" s="226" t="s">
        <v>2039</v>
      </c>
      <c r="AE176" s="148"/>
      <c r="AF176" s="212" t="str">
        <f t="shared" si="294"/>
        <v>AMC2-S2</v>
      </c>
      <c r="AG176" s="212">
        <f t="shared" si="295"/>
        <v>1</v>
      </c>
      <c r="AH176" s="203">
        <f t="shared" si="296"/>
        <v>2</v>
      </c>
      <c r="AI176" s="203">
        <f t="shared" ca="1" si="297"/>
        <v>2</v>
      </c>
      <c r="AJ176" s="203">
        <f t="shared" ca="1" si="298"/>
        <v>0</v>
      </c>
      <c r="AK176" s="212" t="str">
        <f t="shared" si="299"/>
        <v>N/A</v>
      </c>
      <c r="AL176" s="212">
        <f t="shared" si="300"/>
        <v>0</v>
      </c>
      <c r="AM176" s="203">
        <f t="shared" si="301"/>
        <v>0</v>
      </c>
      <c r="AN176" s="203">
        <f t="shared" ca="1" si="302"/>
        <v>0</v>
      </c>
      <c r="AO176" s="203">
        <f t="shared" ca="1" si="303"/>
        <v>0</v>
      </c>
      <c r="AP176" s="212" t="str">
        <f t="shared" si="304"/>
        <v>N/A</v>
      </c>
      <c r="AQ176" s="212">
        <f t="shared" si="305"/>
        <v>0</v>
      </c>
      <c r="AR176" s="203">
        <f t="shared" si="306"/>
        <v>0</v>
      </c>
      <c r="AS176" s="203">
        <f t="shared" ca="1" si="307"/>
        <v>0</v>
      </c>
      <c r="AT176" s="203">
        <f t="shared" ca="1" si="308"/>
        <v>0</v>
      </c>
      <c r="AU176" s="212" t="str">
        <f t="shared" si="309"/>
        <v>N/A</v>
      </c>
      <c r="AV176" s="212">
        <f t="shared" si="310"/>
        <v>0</v>
      </c>
      <c r="AW176" s="203">
        <f t="shared" si="311"/>
        <v>0</v>
      </c>
      <c r="AX176" s="203">
        <f t="shared" ca="1" si="312"/>
        <v>0</v>
      </c>
      <c r="AY176" s="203">
        <f t="shared" ca="1" si="313"/>
        <v>0</v>
      </c>
      <c r="AZ176" s="212"/>
      <c r="BA176" s="213" t="s">
        <v>141</v>
      </c>
      <c r="BB176" s="213" t="s">
        <v>140</v>
      </c>
      <c r="BC176" s="213" t="s">
        <v>140</v>
      </c>
      <c r="BD176" s="213" t="s">
        <v>140</v>
      </c>
      <c r="BE176" s="148"/>
      <c r="BF176" s="212" t="s">
        <v>1789</v>
      </c>
      <c r="BG176" s="117"/>
      <c r="BH176" s="117"/>
      <c r="BI176" s="153" t="s">
        <v>2057</v>
      </c>
      <c r="BJ176" s="153"/>
      <c r="BK176" s="149"/>
      <c r="BL176" s="149"/>
      <c r="BM176" s="149"/>
      <c r="BN176" s="149"/>
      <c r="BO176" s="149"/>
      <c r="BP176" s="149"/>
      <c r="BQ176" s="149"/>
      <c r="BR176" s="117">
        <v>1</v>
      </c>
      <c r="BS176" s="117">
        <v>0</v>
      </c>
      <c r="BT176" s="117">
        <v>0</v>
      </c>
      <c r="BU176" s="117">
        <v>0</v>
      </c>
      <c r="BV176" s="117">
        <v>0</v>
      </c>
      <c r="BW176" s="117">
        <v>0</v>
      </c>
      <c r="BX176" s="117">
        <v>0</v>
      </c>
      <c r="BY176" s="117" t="s">
        <v>1790</v>
      </c>
      <c r="BZ176" s="117" t="s">
        <v>1303</v>
      </c>
      <c r="CA176" s="117">
        <v>2</v>
      </c>
      <c r="CB176" s="149">
        <v>46206</v>
      </c>
      <c r="CC176" s="117"/>
      <c r="CD176" s="117"/>
      <c r="CE176" s="148"/>
      <c r="CF176" s="148">
        <f t="shared" si="314"/>
        <v>0</v>
      </c>
    </row>
    <row r="177" spans="1:84" ht="17.25" hidden="1" customHeight="1">
      <c r="A177" s="117"/>
      <c r="B177" s="209" t="s">
        <v>2054</v>
      </c>
      <c r="C177" s="209" t="s">
        <v>2219</v>
      </c>
      <c r="D177" s="209" t="s">
        <v>13</v>
      </c>
      <c r="E177" s="209" t="s">
        <v>1801</v>
      </c>
      <c r="F177" s="209" t="s">
        <v>1618</v>
      </c>
      <c r="G177" s="209" t="s">
        <v>1222</v>
      </c>
      <c r="H177" s="210">
        <v>516</v>
      </c>
      <c r="I177" s="211" t="s">
        <v>147</v>
      </c>
      <c r="J177" s="144">
        <v>2</v>
      </c>
      <c r="K177" s="145">
        <f t="shared" si="289"/>
        <v>1</v>
      </c>
      <c r="L177" s="202">
        <f t="shared" si="290"/>
        <v>2</v>
      </c>
      <c r="M177" s="212">
        <v>13.2</v>
      </c>
      <c r="N177" s="203">
        <f t="shared" si="291"/>
        <v>26.4</v>
      </c>
      <c r="O177" s="212" t="s">
        <v>137</v>
      </c>
      <c r="P177" s="212" t="s">
        <v>13</v>
      </c>
      <c r="Q177" s="212" t="s">
        <v>148</v>
      </c>
      <c r="R177" s="212"/>
      <c r="S177" s="212"/>
      <c r="T177" s="203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2</v>
      </c>
      <c r="U177" s="203">
        <f t="shared" ca="1" si="292"/>
        <v>0</v>
      </c>
      <c r="V177" s="203">
        <f t="shared" ca="1" si="293"/>
        <v>1</v>
      </c>
      <c r="W177" s="212"/>
      <c r="X177" s="212"/>
      <c r="Y177" s="212"/>
      <c r="Z177" s="212"/>
      <c r="AA177" s="212"/>
      <c r="AB177" s="212"/>
      <c r="AC177" s="232" t="s">
        <v>196</v>
      </c>
      <c r="AD177" s="226" t="s">
        <v>2039</v>
      </c>
      <c r="AE177" s="148"/>
      <c r="AF177" s="212" t="str">
        <f t="shared" si="294"/>
        <v>AMC2-S2</v>
      </c>
      <c r="AG177" s="212">
        <f t="shared" si="295"/>
        <v>1</v>
      </c>
      <c r="AH177" s="203">
        <f t="shared" si="296"/>
        <v>2</v>
      </c>
      <c r="AI177" s="203">
        <f t="shared" ca="1" si="297"/>
        <v>2</v>
      </c>
      <c r="AJ177" s="203">
        <f t="shared" ca="1" si="298"/>
        <v>0</v>
      </c>
      <c r="AK177" s="212" t="str">
        <f t="shared" si="299"/>
        <v>N/A</v>
      </c>
      <c r="AL177" s="212">
        <f t="shared" si="300"/>
        <v>0</v>
      </c>
      <c r="AM177" s="203">
        <f t="shared" si="301"/>
        <v>0</v>
      </c>
      <c r="AN177" s="203">
        <f t="shared" ca="1" si="302"/>
        <v>0</v>
      </c>
      <c r="AO177" s="203">
        <f t="shared" ca="1" si="303"/>
        <v>0</v>
      </c>
      <c r="AP177" s="212" t="str">
        <f t="shared" si="304"/>
        <v>N/A</v>
      </c>
      <c r="AQ177" s="212">
        <f t="shared" si="305"/>
        <v>0</v>
      </c>
      <c r="AR177" s="203">
        <f t="shared" si="306"/>
        <v>0</v>
      </c>
      <c r="AS177" s="203">
        <f t="shared" ca="1" si="307"/>
        <v>0</v>
      </c>
      <c r="AT177" s="203">
        <f t="shared" ca="1" si="308"/>
        <v>0</v>
      </c>
      <c r="AU177" s="212" t="str">
        <f t="shared" si="309"/>
        <v>N/A</v>
      </c>
      <c r="AV177" s="212">
        <f t="shared" si="310"/>
        <v>0</v>
      </c>
      <c r="AW177" s="203">
        <f t="shared" si="311"/>
        <v>0</v>
      </c>
      <c r="AX177" s="203">
        <f t="shared" ca="1" si="312"/>
        <v>0</v>
      </c>
      <c r="AY177" s="203">
        <f t="shared" ca="1" si="313"/>
        <v>0</v>
      </c>
      <c r="AZ177" s="212"/>
      <c r="BA177" s="213" t="s">
        <v>141</v>
      </c>
      <c r="BB177" s="213" t="s">
        <v>140</v>
      </c>
      <c r="BC177" s="213" t="s">
        <v>140</v>
      </c>
      <c r="BD177" s="213" t="s">
        <v>140</v>
      </c>
      <c r="BE177" s="148"/>
      <c r="BF177" s="212" t="s">
        <v>1789</v>
      </c>
      <c r="BG177" s="117"/>
      <c r="BH177" s="117"/>
      <c r="BI177" s="149"/>
      <c r="BJ177" s="149"/>
      <c r="BK177" s="149"/>
      <c r="BL177" s="149"/>
      <c r="BM177" s="149"/>
      <c r="BN177" s="149"/>
      <c r="BO177" s="149"/>
      <c r="BP177" s="149"/>
      <c r="BQ177" s="149"/>
      <c r="BR177" s="117">
        <v>1</v>
      </c>
      <c r="BS177" s="117">
        <v>0</v>
      </c>
      <c r="BT177" s="117">
        <v>0</v>
      </c>
      <c r="BU177" s="117">
        <v>0</v>
      </c>
      <c r="BV177" s="117">
        <v>0</v>
      </c>
      <c r="BW177" s="117">
        <v>0</v>
      </c>
      <c r="BX177" s="117">
        <v>0</v>
      </c>
      <c r="BY177" s="117" t="s">
        <v>1790</v>
      </c>
      <c r="BZ177" s="117" t="s">
        <v>1303</v>
      </c>
      <c r="CA177" s="117">
        <v>2</v>
      </c>
      <c r="CB177" s="149">
        <v>46206</v>
      </c>
      <c r="CC177" s="117"/>
      <c r="CD177" s="117"/>
      <c r="CE177" s="148"/>
      <c r="CF177" s="148">
        <f t="shared" si="314"/>
        <v>0</v>
      </c>
    </row>
    <row r="178" spans="1:84" ht="17.25" hidden="1" customHeight="1">
      <c r="A178" s="117"/>
      <c r="B178" s="209" t="s">
        <v>2054</v>
      </c>
      <c r="C178" s="209" t="s">
        <v>2219</v>
      </c>
      <c r="D178" s="209" t="s">
        <v>1204</v>
      </c>
      <c r="E178" s="209" t="s">
        <v>1815</v>
      </c>
      <c r="F178" s="209" t="s">
        <v>1619</v>
      </c>
      <c r="G178" s="209" t="s">
        <v>1620</v>
      </c>
      <c r="H178" s="210">
        <v>2260</v>
      </c>
      <c r="I178" s="211" t="s">
        <v>147</v>
      </c>
      <c r="J178" s="144">
        <v>1</v>
      </c>
      <c r="K178" s="145">
        <f t="shared" si="289"/>
        <v>1</v>
      </c>
      <c r="L178" s="202">
        <f t="shared" si="290"/>
        <v>1</v>
      </c>
      <c r="M178" s="212">
        <v>58.4</v>
      </c>
      <c r="N178" s="203">
        <f t="shared" si="291"/>
        <v>58.4</v>
      </c>
      <c r="O178" s="212" t="s">
        <v>137</v>
      </c>
      <c r="P178" s="212" t="s">
        <v>13</v>
      </c>
      <c r="Q178" s="212" t="s">
        <v>148</v>
      </c>
      <c r="R178" s="212"/>
      <c r="S178" s="212"/>
      <c r="T178" s="203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1</v>
      </c>
      <c r="U178" s="203">
        <f t="shared" ca="1" si="292"/>
        <v>0</v>
      </c>
      <c r="V178" s="203">
        <f t="shared" ca="1" si="293"/>
        <v>1</v>
      </c>
      <c r="W178" s="212"/>
      <c r="X178" s="212"/>
      <c r="Y178" s="212"/>
      <c r="Z178" s="212"/>
      <c r="AA178" s="212"/>
      <c r="AB178" s="212"/>
      <c r="AC178" s="232" t="s">
        <v>196</v>
      </c>
      <c r="AD178" s="226" t="s">
        <v>2039</v>
      </c>
      <c r="AE178" s="148"/>
      <c r="AF178" s="212" t="str">
        <f t="shared" si="294"/>
        <v>AMC2-S2</v>
      </c>
      <c r="AG178" s="212">
        <f t="shared" si="295"/>
        <v>1</v>
      </c>
      <c r="AH178" s="203">
        <f t="shared" si="296"/>
        <v>1</v>
      </c>
      <c r="AI178" s="203">
        <f t="shared" ca="1" si="297"/>
        <v>1</v>
      </c>
      <c r="AJ178" s="203">
        <f t="shared" ca="1" si="298"/>
        <v>0</v>
      </c>
      <c r="AK178" s="212" t="str">
        <f t="shared" si="299"/>
        <v>N/A</v>
      </c>
      <c r="AL178" s="212">
        <f t="shared" si="300"/>
        <v>0</v>
      </c>
      <c r="AM178" s="203">
        <f t="shared" si="301"/>
        <v>0</v>
      </c>
      <c r="AN178" s="203">
        <f t="shared" ca="1" si="302"/>
        <v>0</v>
      </c>
      <c r="AO178" s="203">
        <f t="shared" ca="1" si="303"/>
        <v>0</v>
      </c>
      <c r="AP178" s="212" t="str">
        <f t="shared" si="304"/>
        <v>N/A</v>
      </c>
      <c r="AQ178" s="212">
        <f t="shared" si="305"/>
        <v>0</v>
      </c>
      <c r="AR178" s="203">
        <f t="shared" si="306"/>
        <v>0</v>
      </c>
      <c r="AS178" s="203">
        <f t="shared" ca="1" si="307"/>
        <v>0</v>
      </c>
      <c r="AT178" s="203">
        <f t="shared" ca="1" si="308"/>
        <v>0</v>
      </c>
      <c r="AU178" s="212" t="str">
        <f t="shared" si="309"/>
        <v>N/A</v>
      </c>
      <c r="AV178" s="212">
        <f t="shared" si="310"/>
        <v>0</v>
      </c>
      <c r="AW178" s="203">
        <f t="shared" si="311"/>
        <v>0</v>
      </c>
      <c r="AX178" s="203">
        <f t="shared" ca="1" si="312"/>
        <v>0</v>
      </c>
      <c r="AY178" s="203">
        <f t="shared" ca="1" si="313"/>
        <v>0</v>
      </c>
      <c r="AZ178" s="212"/>
      <c r="BA178" s="213" t="s">
        <v>141</v>
      </c>
      <c r="BB178" s="213" t="s">
        <v>140</v>
      </c>
      <c r="BC178" s="213" t="s">
        <v>140</v>
      </c>
      <c r="BD178" s="213" t="s">
        <v>140</v>
      </c>
      <c r="BE178" s="148"/>
      <c r="BF178" s="212" t="s">
        <v>1789</v>
      </c>
      <c r="BG178" s="117"/>
      <c r="BH178" s="117"/>
      <c r="BI178" s="149"/>
      <c r="BJ178" s="149"/>
      <c r="BK178" s="149"/>
      <c r="BL178" s="149"/>
      <c r="BM178" s="149"/>
      <c r="BN178" s="149"/>
      <c r="BO178" s="149"/>
      <c r="BP178" s="149"/>
      <c r="BQ178" s="149"/>
      <c r="BR178" s="117">
        <v>0</v>
      </c>
      <c r="BS178" s="117">
        <v>0</v>
      </c>
      <c r="BT178" s="117">
        <v>0</v>
      </c>
      <c r="BU178" s="117">
        <v>1</v>
      </c>
      <c r="BV178" s="117">
        <v>0</v>
      </c>
      <c r="BW178" s="117">
        <v>0</v>
      </c>
      <c r="BX178" s="117">
        <v>0</v>
      </c>
      <c r="BY178" s="117" t="s">
        <v>1790</v>
      </c>
      <c r="BZ178" s="117" t="s">
        <v>57</v>
      </c>
      <c r="CA178" s="144">
        <v>1</v>
      </c>
      <c r="CB178" s="149"/>
      <c r="CC178" s="117"/>
      <c r="CD178" s="117"/>
      <c r="CE178" s="148"/>
      <c r="CF178" s="148">
        <f t="shared" si="314"/>
        <v>0</v>
      </c>
    </row>
    <row r="179" spans="1:84" ht="17.25" hidden="1" customHeight="1">
      <c r="A179" s="117"/>
      <c r="B179" s="209" t="s">
        <v>2054</v>
      </c>
      <c r="C179" s="209" t="s">
        <v>2219</v>
      </c>
      <c r="D179" s="209" t="s">
        <v>1204</v>
      </c>
      <c r="E179" s="209" t="s">
        <v>1805</v>
      </c>
      <c r="F179" s="209" t="s">
        <v>1621</v>
      </c>
      <c r="G179" s="209" t="s">
        <v>1622</v>
      </c>
      <c r="H179" s="210">
        <v>2450</v>
      </c>
      <c r="I179" s="211" t="s">
        <v>147</v>
      </c>
      <c r="J179" s="144">
        <v>1</v>
      </c>
      <c r="K179" s="145">
        <f t="shared" si="289"/>
        <v>1</v>
      </c>
      <c r="L179" s="202">
        <f t="shared" si="290"/>
        <v>1</v>
      </c>
      <c r="M179" s="212">
        <v>183.9</v>
      </c>
      <c r="N179" s="203">
        <f t="shared" si="291"/>
        <v>183.9</v>
      </c>
      <c r="O179" s="212" t="s">
        <v>137</v>
      </c>
      <c r="P179" s="212" t="s">
        <v>13</v>
      </c>
      <c r="Q179" s="212" t="s">
        <v>148</v>
      </c>
      <c r="R179" s="212"/>
      <c r="S179" s="212"/>
      <c r="T179" s="203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1</v>
      </c>
      <c r="U179" s="203">
        <f t="shared" ca="1" si="292"/>
        <v>0</v>
      </c>
      <c r="V179" s="203">
        <f t="shared" ca="1" si="293"/>
        <v>1</v>
      </c>
      <c r="W179" s="212"/>
      <c r="X179" s="212"/>
      <c r="Y179" s="212"/>
      <c r="Z179" s="212"/>
      <c r="AA179" s="212"/>
      <c r="AB179" s="212"/>
      <c r="AC179" s="232" t="s">
        <v>196</v>
      </c>
      <c r="AD179" s="226" t="s">
        <v>2039</v>
      </c>
      <c r="AE179" s="148"/>
      <c r="AF179" s="212" t="str">
        <f t="shared" si="294"/>
        <v>AMC2-S2</v>
      </c>
      <c r="AG179" s="212">
        <f t="shared" si="295"/>
        <v>1</v>
      </c>
      <c r="AH179" s="203">
        <f t="shared" si="296"/>
        <v>1</v>
      </c>
      <c r="AI179" s="203">
        <f t="shared" ca="1" si="297"/>
        <v>1</v>
      </c>
      <c r="AJ179" s="203">
        <f t="shared" ca="1" si="298"/>
        <v>0</v>
      </c>
      <c r="AK179" s="212" t="str">
        <f t="shared" si="299"/>
        <v>N/A</v>
      </c>
      <c r="AL179" s="212">
        <f t="shared" si="300"/>
        <v>0</v>
      </c>
      <c r="AM179" s="203">
        <f t="shared" si="301"/>
        <v>0</v>
      </c>
      <c r="AN179" s="203">
        <f t="shared" ca="1" si="302"/>
        <v>0</v>
      </c>
      <c r="AO179" s="203">
        <f t="shared" ca="1" si="303"/>
        <v>0</v>
      </c>
      <c r="AP179" s="212" t="str">
        <f t="shared" si="304"/>
        <v>N/A</v>
      </c>
      <c r="AQ179" s="212">
        <f t="shared" si="305"/>
        <v>0</v>
      </c>
      <c r="AR179" s="203">
        <f t="shared" si="306"/>
        <v>0</v>
      </c>
      <c r="AS179" s="203">
        <f t="shared" ca="1" si="307"/>
        <v>0</v>
      </c>
      <c r="AT179" s="203">
        <f t="shared" ca="1" si="308"/>
        <v>0</v>
      </c>
      <c r="AU179" s="212" t="str">
        <f t="shared" si="309"/>
        <v>N/A</v>
      </c>
      <c r="AV179" s="212">
        <f t="shared" si="310"/>
        <v>0</v>
      </c>
      <c r="AW179" s="203">
        <f t="shared" si="311"/>
        <v>0</v>
      </c>
      <c r="AX179" s="203">
        <f t="shared" ca="1" si="312"/>
        <v>0</v>
      </c>
      <c r="AY179" s="203">
        <f t="shared" ca="1" si="313"/>
        <v>0</v>
      </c>
      <c r="AZ179" s="212"/>
      <c r="BA179" s="213" t="s">
        <v>141</v>
      </c>
      <c r="BB179" s="213" t="s">
        <v>140</v>
      </c>
      <c r="BC179" s="213" t="s">
        <v>140</v>
      </c>
      <c r="BD179" s="213" t="s">
        <v>140</v>
      </c>
      <c r="BE179" s="148"/>
      <c r="BF179" s="212" t="s">
        <v>1789</v>
      </c>
      <c r="BG179" s="117"/>
      <c r="BH179" s="117"/>
      <c r="BI179" s="149"/>
      <c r="BJ179" s="149" t="s">
        <v>2058</v>
      </c>
      <c r="BK179" s="149"/>
      <c r="BL179" s="149"/>
      <c r="BM179" s="149"/>
      <c r="BN179" s="149"/>
      <c r="BO179" s="149"/>
      <c r="BP179" s="149"/>
      <c r="BQ179" s="149"/>
      <c r="BR179" s="117">
        <v>0</v>
      </c>
      <c r="BS179" s="117">
        <v>0</v>
      </c>
      <c r="BT179" s="117">
        <v>0</v>
      </c>
      <c r="BU179" s="117">
        <v>0</v>
      </c>
      <c r="BV179" s="117">
        <v>0</v>
      </c>
      <c r="BW179" s="117">
        <v>0</v>
      </c>
      <c r="BX179" s="117">
        <v>0</v>
      </c>
      <c r="BY179" s="117" t="s">
        <v>1790</v>
      </c>
      <c r="BZ179" s="117" t="s">
        <v>57</v>
      </c>
      <c r="CA179" s="144">
        <v>1</v>
      </c>
      <c r="CB179" s="149"/>
      <c r="CC179" s="117"/>
      <c r="CD179" s="117"/>
      <c r="CE179" s="148"/>
      <c r="CF179" s="148">
        <f t="shared" si="314"/>
        <v>0</v>
      </c>
    </row>
    <row r="180" spans="1:84" ht="17.25" hidden="1" customHeight="1">
      <c r="A180" s="117"/>
      <c r="B180" s="209" t="s">
        <v>2054</v>
      </c>
      <c r="C180" s="209" t="s">
        <v>2219</v>
      </c>
      <c r="D180" s="209" t="s">
        <v>1212</v>
      </c>
      <c r="E180" s="209" t="s">
        <v>1816</v>
      </c>
      <c r="F180" s="209" t="s">
        <v>1623</v>
      </c>
      <c r="G180" s="209" t="s">
        <v>1624</v>
      </c>
      <c r="H180" s="210">
        <v>2338</v>
      </c>
      <c r="I180" s="211" t="s">
        <v>147</v>
      </c>
      <c r="J180" s="144">
        <v>1</v>
      </c>
      <c r="K180" s="145">
        <f t="shared" si="289"/>
        <v>1</v>
      </c>
      <c r="L180" s="202">
        <f t="shared" si="290"/>
        <v>1</v>
      </c>
      <c r="M180" s="212">
        <v>73.400000000000006</v>
      </c>
      <c r="N180" s="203">
        <f t="shared" si="291"/>
        <v>73.400000000000006</v>
      </c>
      <c r="O180" s="212" t="s">
        <v>137</v>
      </c>
      <c r="P180" s="212" t="s">
        <v>13</v>
      </c>
      <c r="Q180" s="212" t="s">
        <v>154</v>
      </c>
      <c r="R180" s="212"/>
      <c r="S180" s="212"/>
      <c r="T180" s="203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1</v>
      </c>
      <c r="U180" s="203">
        <f t="shared" ca="1" si="292"/>
        <v>0</v>
      </c>
      <c r="V180" s="203">
        <f t="shared" ca="1" si="293"/>
        <v>1</v>
      </c>
      <c r="W180" s="212"/>
      <c r="X180" s="212"/>
      <c r="Y180" s="212"/>
      <c r="Z180" s="212"/>
      <c r="AA180" s="212"/>
      <c r="AB180" s="212"/>
      <c r="AC180" s="232" t="s">
        <v>196</v>
      </c>
      <c r="AD180" s="226" t="s">
        <v>2039</v>
      </c>
      <c r="AE180" s="148"/>
      <c r="AF180" s="212" t="str">
        <f t="shared" si="294"/>
        <v>AMC2-S2</v>
      </c>
      <c r="AG180" s="212">
        <f t="shared" si="295"/>
        <v>1</v>
      </c>
      <c r="AH180" s="203">
        <f t="shared" si="296"/>
        <v>1</v>
      </c>
      <c r="AI180" s="203">
        <f t="shared" ca="1" si="297"/>
        <v>1</v>
      </c>
      <c r="AJ180" s="203">
        <f t="shared" ca="1" si="298"/>
        <v>0</v>
      </c>
      <c r="AK180" s="212" t="str">
        <f t="shared" si="299"/>
        <v>N/A</v>
      </c>
      <c r="AL180" s="212">
        <f t="shared" si="300"/>
        <v>0</v>
      </c>
      <c r="AM180" s="203">
        <f t="shared" si="301"/>
        <v>0</v>
      </c>
      <c r="AN180" s="203">
        <f t="shared" ca="1" si="302"/>
        <v>0</v>
      </c>
      <c r="AO180" s="203">
        <f t="shared" ca="1" si="303"/>
        <v>0</v>
      </c>
      <c r="AP180" s="212" t="str">
        <f t="shared" si="304"/>
        <v>N/A</v>
      </c>
      <c r="AQ180" s="212">
        <f t="shared" si="305"/>
        <v>0</v>
      </c>
      <c r="AR180" s="203">
        <f t="shared" si="306"/>
        <v>0</v>
      </c>
      <c r="AS180" s="203">
        <f t="shared" ca="1" si="307"/>
        <v>0</v>
      </c>
      <c r="AT180" s="203">
        <f t="shared" ca="1" si="308"/>
        <v>0</v>
      </c>
      <c r="AU180" s="212" t="str">
        <f t="shared" si="309"/>
        <v>N/A</v>
      </c>
      <c r="AV180" s="212">
        <f t="shared" si="310"/>
        <v>0</v>
      </c>
      <c r="AW180" s="203">
        <f t="shared" si="311"/>
        <v>0</v>
      </c>
      <c r="AX180" s="203">
        <f t="shared" ca="1" si="312"/>
        <v>0</v>
      </c>
      <c r="AY180" s="203">
        <f t="shared" ca="1" si="313"/>
        <v>0</v>
      </c>
      <c r="AZ180" s="212"/>
      <c r="BA180" s="213" t="s">
        <v>141</v>
      </c>
      <c r="BB180" s="213" t="s">
        <v>140</v>
      </c>
      <c r="BC180" s="213" t="s">
        <v>140</v>
      </c>
      <c r="BD180" s="213" t="s">
        <v>140</v>
      </c>
      <c r="BE180" s="148"/>
      <c r="BF180" s="212" t="s">
        <v>1789</v>
      </c>
      <c r="BG180" s="117"/>
      <c r="BH180" s="117"/>
      <c r="BI180" s="149"/>
      <c r="BJ180" s="149"/>
      <c r="BK180" s="149"/>
      <c r="BL180" s="149"/>
      <c r="BM180" s="149"/>
      <c r="BN180" s="149"/>
      <c r="BO180" s="149"/>
      <c r="BP180" s="149"/>
      <c r="BQ180" s="149"/>
      <c r="BR180" s="117">
        <v>0</v>
      </c>
      <c r="BS180" s="117">
        <v>1</v>
      </c>
      <c r="BT180" s="117">
        <v>0</v>
      </c>
      <c r="BU180" s="117">
        <v>0</v>
      </c>
      <c r="BV180" s="117">
        <v>0</v>
      </c>
      <c r="BW180" s="117">
        <v>0</v>
      </c>
      <c r="BX180" s="117">
        <v>0</v>
      </c>
      <c r="BY180" s="117" t="s">
        <v>1790</v>
      </c>
      <c r="BZ180" s="117" t="s">
        <v>1063</v>
      </c>
      <c r="CA180" s="117">
        <v>1</v>
      </c>
      <c r="CB180" s="149">
        <v>46206</v>
      </c>
      <c r="CC180" s="117"/>
      <c r="CD180" s="117"/>
      <c r="CE180" s="148"/>
      <c r="CF180" s="148">
        <f t="shared" si="314"/>
        <v>0</v>
      </c>
    </row>
    <row r="181" spans="1:84" ht="17.25" hidden="1" customHeight="1">
      <c r="A181" s="117"/>
      <c r="B181" s="209" t="s">
        <v>2054</v>
      </c>
      <c r="C181" s="209" t="s">
        <v>2219</v>
      </c>
      <c r="D181" s="209" t="s">
        <v>13</v>
      </c>
      <c r="E181" s="209" t="s">
        <v>1817</v>
      </c>
      <c r="F181" s="209" t="s">
        <v>1625</v>
      </c>
      <c r="G181" s="209" t="s">
        <v>1626</v>
      </c>
      <c r="H181" s="210">
        <v>254</v>
      </c>
      <c r="I181" s="211" t="s">
        <v>147</v>
      </c>
      <c r="J181" s="144">
        <v>2</v>
      </c>
      <c r="K181" s="145">
        <f t="shared" si="289"/>
        <v>1</v>
      </c>
      <c r="L181" s="202">
        <f t="shared" si="290"/>
        <v>2</v>
      </c>
      <c r="M181" s="212">
        <v>7.2</v>
      </c>
      <c r="N181" s="203">
        <f t="shared" si="291"/>
        <v>14.4</v>
      </c>
      <c r="O181" s="212" t="s">
        <v>137</v>
      </c>
      <c r="P181" s="212" t="s">
        <v>13</v>
      </c>
      <c r="Q181" s="212" t="s">
        <v>148</v>
      </c>
      <c r="R181" s="212"/>
      <c r="S181" s="212"/>
      <c r="T181" s="203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2</v>
      </c>
      <c r="U181" s="203">
        <f t="shared" ca="1" si="292"/>
        <v>0</v>
      </c>
      <c r="V181" s="203">
        <f t="shared" ca="1" si="293"/>
        <v>1</v>
      </c>
      <c r="W181" s="212"/>
      <c r="X181" s="212"/>
      <c r="Y181" s="212"/>
      <c r="Z181" s="212"/>
      <c r="AA181" s="212"/>
      <c r="AB181" s="212"/>
      <c r="AC181" s="232" t="s">
        <v>196</v>
      </c>
      <c r="AD181" s="226" t="s">
        <v>2039</v>
      </c>
      <c r="AE181" s="148"/>
      <c r="AF181" s="212" t="str">
        <f t="shared" si="294"/>
        <v>AMC2-S2</v>
      </c>
      <c r="AG181" s="212">
        <f t="shared" si="295"/>
        <v>1</v>
      </c>
      <c r="AH181" s="203">
        <f t="shared" si="296"/>
        <v>2</v>
      </c>
      <c r="AI181" s="203">
        <f t="shared" ca="1" si="297"/>
        <v>2</v>
      </c>
      <c r="AJ181" s="203">
        <f t="shared" ca="1" si="298"/>
        <v>0</v>
      </c>
      <c r="AK181" s="212" t="str">
        <f t="shared" si="299"/>
        <v>N/A</v>
      </c>
      <c r="AL181" s="212">
        <f t="shared" si="300"/>
        <v>0</v>
      </c>
      <c r="AM181" s="203">
        <f t="shared" si="301"/>
        <v>0</v>
      </c>
      <c r="AN181" s="203">
        <f t="shared" ca="1" si="302"/>
        <v>0</v>
      </c>
      <c r="AO181" s="203">
        <f t="shared" ca="1" si="303"/>
        <v>0</v>
      </c>
      <c r="AP181" s="212" t="str">
        <f t="shared" si="304"/>
        <v>N/A</v>
      </c>
      <c r="AQ181" s="212">
        <f t="shared" si="305"/>
        <v>0</v>
      </c>
      <c r="AR181" s="203">
        <f t="shared" si="306"/>
        <v>0</v>
      </c>
      <c r="AS181" s="203">
        <f t="shared" ca="1" si="307"/>
        <v>0</v>
      </c>
      <c r="AT181" s="203">
        <f t="shared" ca="1" si="308"/>
        <v>0</v>
      </c>
      <c r="AU181" s="212" t="str">
        <f t="shared" si="309"/>
        <v>N/A</v>
      </c>
      <c r="AV181" s="212">
        <f t="shared" si="310"/>
        <v>0</v>
      </c>
      <c r="AW181" s="203">
        <f t="shared" si="311"/>
        <v>0</v>
      </c>
      <c r="AX181" s="203">
        <f t="shared" ca="1" si="312"/>
        <v>0</v>
      </c>
      <c r="AY181" s="203">
        <f t="shared" ca="1" si="313"/>
        <v>0</v>
      </c>
      <c r="AZ181" s="212"/>
      <c r="BA181" s="213" t="s">
        <v>141</v>
      </c>
      <c r="BB181" s="213" t="s">
        <v>140</v>
      </c>
      <c r="BC181" s="213" t="s">
        <v>140</v>
      </c>
      <c r="BD181" s="213" t="s">
        <v>140</v>
      </c>
      <c r="BE181" s="148"/>
      <c r="BF181" s="212" t="s">
        <v>1789</v>
      </c>
      <c r="BG181" s="117"/>
      <c r="BH181" s="117"/>
      <c r="BI181" s="149"/>
      <c r="BJ181" s="149"/>
      <c r="BK181" s="149"/>
      <c r="BL181" s="149"/>
      <c r="BM181" s="149"/>
      <c r="BN181" s="149"/>
      <c r="BO181" s="149"/>
      <c r="BP181" s="149"/>
      <c r="BQ181" s="149"/>
      <c r="BR181" s="117">
        <v>0</v>
      </c>
      <c r="BS181" s="117">
        <v>0</v>
      </c>
      <c r="BT181" s="117">
        <v>0</v>
      </c>
      <c r="BU181" s="117">
        <v>0</v>
      </c>
      <c r="BV181" s="117">
        <v>0</v>
      </c>
      <c r="BW181" s="117">
        <v>0</v>
      </c>
      <c r="BX181" s="117">
        <v>0</v>
      </c>
      <c r="BY181" s="117" t="s">
        <v>1790</v>
      </c>
      <c r="BZ181" s="117" t="s">
        <v>1307</v>
      </c>
      <c r="CA181" s="117">
        <v>2</v>
      </c>
      <c r="CB181" s="234">
        <v>46242</v>
      </c>
      <c r="CC181" s="117"/>
      <c r="CD181" s="117"/>
      <c r="CE181" s="148"/>
      <c r="CF181" s="148">
        <f t="shared" si="314"/>
        <v>0</v>
      </c>
    </row>
    <row r="182" spans="1:84" ht="17.25" hidden="1" customHeight="1">
      <c r="A182" s="117"/>
      <c r="B182" s="209" t="s">
        <v>2054</v>
      </c>
      <c r="C182" s="209" t="s">
        <v>2219</v>
      </c>
      <c r="D182" s="209" t="s">
        <v>13</v>
      </c>
      <c r="E182" s="209" t="s">
        <v>1806</v>
      </c>
      <c r="F182" s="209" t="s">
        <v>1627</v>
      </c>
      <c r="G182" s="209" t="s">
        <v>1628</v>
      </c>
      <c r="H182" s="210">
        <v>400</v>
      </c>
      <c r="I182" s="211" t="s">
        <v>147</v>
      </c>
      <c r="J182" s="144">
        <v>1</v>
      </c>
      <c r="K182" s="145">
        <f t="shared" si="289"/>
        <v>1</v>
      </c>
      <c r="L182" s="202">
        <f t="shared" si="290"/>
        <v>1</v>
      </c>
      <c r="M182" s="212">
        <v>7.5</v>
      </c>
      <c r="N182" s="203">
        <f t="shared" si="291"/>
        <v>7.5</v>
      </c>
      <c r="O182" s="212" t="s">
        <v>137</v>
      </c>
      <c r="P182" s="212" t="s">
        <v>13</v>
      </c>
      <c r="Q182" s="212" t="s">
        <v>148</v>
      </c>
      <c r="R182" s="212"/>
      <c r="S182" s="212"/>
      <c r="T182" s="203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1</v>
      </c>
      <c r="U182" s="203">
        <f t="shared" ca="1" si="292"/>
        <v>0</v>
      </c>
      <c r="V182" s="203">
        <f t="shared" ca="1" si="293"/>
        <v>1</v>
      </c>
      <c r="W182" s="212"/>
      <c r="X182" s="212"/>
      <c r="Y182" s="212"/>
      <c r="Z182" s="212"/>
      <c r="AA182" s="212"/>
      <c r="AB182" s="212"/>
      <c r="AC182" s="232" t="s">
        <v>196</v>
      </c>
      <c r="AD182" s="226" t="s">
        <v>2039</v>
      </c>
      <c r="AE182" s="148"/>
      <c r="AF182" s="212" t="str">
        <f t="shared" si="294"/>
        <v>AMC2-S2</v>
      </c>
      <c r="AG182" s="212">
        <f t="shared" si="295"/>
        <v>1</v>
      </c>
      <c r="AH182" s="203">
        <f t="shared" si="296"/>
        <v>1</v>
      </c>
      <c r="AI182" s="203">
        <f t="shared" ca="1" si="297"/>
        <v>1</v>
      </c>
      <c r="AJ182" s="203">
        <f t="shared" ca="1" si="298"/>
        <v>0</v>
      </c>
      <c r="AK182" s="212" t="str">
        <f t="shared" si="299"/>
        <v>N/A</v>
      </c>
      <c r="AL182" s="212">
        <f t="shared" si="300"/>
        <v>0</v>
      </c>
      <c r="AM182" s="203">
        <f t="shared" si="301"/>
        <v>0</v>
      </c>
      <c r="AN182" s="203">
        <f t="shared" ca="1" si="302"/>
        <v>0</v>
      </c>
      <c r="AO182" s="203">
        <f t="shared" ca="1" si="303"/>
        <v>0</v>
      </c>
      <c r="AP182" s="212" t="str">
        <f t="shared" si="304"/>
        <v>N/A</v>
      </c>
      <c r="AQ182" s="212">
        <f t="shared" si="305"/>
        <v>0</v>
      </c>
      <c r="AR182" s="203">
        <f t="shared" si="306"/>
        <v>0</v>
      </c>
      <c r="AS182" s="203">
        <f t="shared" ca="1" si="307"/>
        <v>0</v>
      </c>
      <c r="AT182" s="203">
        <f t="shared" ca="1" si="308"/>
        <v>0</v>
      </c>
      <c r="AU182" s="212" t="str">
        <f t="shared" si="309"/>
        <v>N/A</v>
      </c>
      <c r="AV182" s="212">
        <f t="shared" si="310"/>
        <v>0</v>
      </c>
      <c r="AW182" s="203">
        <f t="shared" si="311"/>
        <v>0</v>
      </c>
      <c r="AX182" s="203">
        <f t="shared" ca="1" si="312"/>
        <v>0</v>
      </c>
      <c r="AY182" s="203">
        <f t="shared" ca="1" si="313"/>
        <v>0</v>
      </c>
      <c r="AZ182" s="212"/>
      <c r="BA182" s="213" t="s">
        <v>141</v>
      </c>
      <c r="BB182" s="213" t="s">
        <v>140</v>
      </c>
      <c r="BC182" s="213" t="s">
        <v>140</v>
      </c>
      <c r="BD182" s="213" t="s">
        <v>140</v>
      </c>
      <c r="BE182" s="148"/>
      <c r="BF182" s="212" t="s">
        <v>1789</v>
      </c>
      <c r="BG182" s="117"/>
      <c r="BH182" s="117"/>
      <c r="BI182" s="149"/>
      <c r="BJ182" s="149"/>
      <c r="BK182" s="149"/>
      <c r="BL182" s="149"/>
      <c r="BM182" s="149"/>
      <c r="BN182" s="149"/>
      <c r="BO182" s="149"/>
      <c r="BP182" s="149"/>
      <c r="BQ182" s="149"/>
      <c r="BR182" s="117">
        <v>1</v>
      </c>
      <c r="BS182" s="117">
        <v>0</v>
      </c>
      <c r="BT182" s="117">
        <v>0</v>
      </c>
      <c r="BU182" s="117">
        <v>0</v>
      </c>
      <c r="BV182" s="117">
        <v>0</v>
      </c>
      <c r="BW182" s="117">
        <v>0</v>
      </c>
      <c r="BX182" s="117">
        <v>0</v>
      </c>
      <c r="BY182" s="117" t="s">
        <v>1790</v>
      </c>
      <c r="BZ182" s="117" t="s">
        <v>1063</v>
      </c>
      <c r="CA182" s="117">
        <v>1</v>
      </c>
      <c r="CB182" s="149">
        <v>46206</v>
      </c>
      <c r="CC182" s="117"/>
      <c r="CD182" s="117"/>
      <c r="CE182" s="148"/>
      <c r="CF182" s="148">
        <f t="shared" si="314"/>
        <v>0</v>
      </c>
    </row>
    <row r="183" spans="1:84" ht="17.25" hidden="1" customHeight="1">
      <c r="A183" s="117"/>
      <c r="B183" s="209" t="s">
        <v>2054</v>
      </c>
      <c r="C183" s="209" t="s">
        <v>2219</v>
      </c>
      <c r="D183" s="209" t="s">
        <v>13</v>
      </c>
      <c r="E183" s="209" t="s">
        <v>1807</v>
      </c>
      <c r="F183" s="209" t="s">
        <v>1629</v>
      </c>
      <c r="G183" s="209" t="s">
        <v>1630</v>
      </c>
      <c r="H183" s="210">
        <v>390</v>
      </c>
      <c r="I183" s="211" t="s">
        <v>652</v>
      </c>
      <c r="J183" s="144">
        <v>1</v>
      </c>
      <c r="K183" s="145">
        <f t="shared" si="289"/>
        <v>1</v>
      </c>
      <c r="L183" s="202">
        <f t="shared" si="290"/>
        <v>1</v>
      </c>
      <c r="M183" s="212">
        <v>2.12</v>
      </c>
      <c r="N183" s="203">
        <f t="shared" si="291"/>
        <v>2.12</v>
      </c>
      <c r="O183" s="212" t="s">
        <v>137</v>
      </c>
      <c r="P183" s="212" t="s">
        <v>13</v>
      </c>
      <c r="Q183" s="212" t="s">
        <v>148</v>
      </c>
      <c r="R183" s="212"/>
      <c r="S183" s="212"/>
      <c r="T183" s="203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1</v>
      </c>
      <c r="U183" s="203">
        <f t="shared" ca="1" si="292"/>
        <v>0</v>
      </c>
      <c r="V183" s="203">
        <f t="shared" ca="1" si="293"/>
        <v>1</v>
      </c>
      <c r="W183" s="212"/>
      <c r="X183" s="212"/>
      <c r="Y183" s="212"/>
      <c r="Z183" s="212"/>
      <c r="AA183" s="212"/>
      <c r="AB183" s="212"/>
      <c r="AC183" s="232" t="s">
        <v>196</v>
      </c>
      <c r="AD183" s="226" t="s">
        <v>2039</v>
      </c>
      <c r="AE183" s="148"/>
      <c r="AF183" s="212" t="str">
        <f t="shared" si="294"/>
        <v>AMC2-S2</v>
      </c>
      <c r="AG183" s="212">
        <f t="shared" si="295"/>
        <v>1</v>
      </c>
      <c r="AH183" s="203">
        <f t="shared" si="296"/>
        <v>1</v>
      </c>
      <c r="AI183" s="203">
        <f t="shared" ca="1" si="297"/>
        <v>1</v>
      </c>
      <c r="AJ183" s="203">
        <f t="shared" ca="1" si="298"/>
        <v>0</v>
      </c>
      <c r="AK183" s="212" t="str">
        <f t="shared" si="299"/>
        <v>N/A</v>
      </c>
      <c r="AL183" s="212">
        <f t="shared" si="300"/>
        <v>0</v>
      </c>
      <c r="AM183" s="203">
        <f t="shared" si="301"/>
        <v>0</v>
      </c>
      <c r="AN183" s="203">
        <f t="shared" ca="1" si="302"/>
        <v>0</v>
      </c>
      <c r="AO183" s="203">
        <f t="shared" ca="1" si="303"/>
        <v>0</v>
      </c>
      <c r="AP183" s="212" t="str">
        <f t="shared" si="304"/>
        <v>N/A</v>
      </c>
      <c r="AQ183" s="212">
        <f t="shared" si="305"/>
        <v>0</v>
      </c>
      <c r="AR183" s="203">
        <f t="shared" si="306"/>
        <v>0</v>
      </c>
      <c r="AS183" s="203">
        <f t="shared" ca="1" si="307"/>
        <v>0</v>
      </c>
      <c r="AT183" s="203">
        <f t="shared" ca="1" si="308"/>
        <v>0</v>
      </c>
      <c r="AU183" s="212" t="str">
        <f t="shared" si="309"/>
        <v>N/A</v>
      </c>
      <c r="AV183" s="212">
        <f t="shared" si="310"/>
        <v>0</v>
      </c>
      <c r="AW183" s="203">
        <f t="shared" si="311"/>
        <v>0</v>
      </c>
      <c r="AX183" s="203">
        <f t="shared" ca="1" si="312"/>
        <v>0</v>
      </c>
      <c r="AY183" s="203">
        <f t="shared" ca="1" si="313"/>
        <v>0</v>
      </c>
      <c r="AZ183" s="212"/>
      <c r="BA183" s="213" t="s">
        <v>141</v>
      </c>
      <c r="BB183" s="213" t="s">
        <v>140</v>
      </c>
      <c r="BC183" s="213" t="s">
        <v>140</v>
      </c>
      <c r="BD183" s="213" t="s">
        <v>140</v>
      </c>
      <c r="BE183" s="148"/>
      <c r="BF183" s="212"/>
      <c r="BG183" s="117"/>
      <c r="BH183" s="117"/>
      <c r="BI183" s="149"/>
      <c r="BJ183" s="149"/>
      <c r="BK183" s="149"/>
      <c r="BL183" s="149"/>
      <c r="BM183" s="149"/>
      <c r="BN183" s="149"/>
      <c r="BO183" s="149"/>
      <c r="BP183" s="149"/>
      <c r="BQ183" s="149"/>
      <c r="BR183" s="117">
        <v>1</v>
      </c>
      <c r="BS183" s="117">
        <v>0</v>
      </c>
      <c r="BT183" s="117">
        <v>0</v>
      </c>
      <c r="BU183" s="117">
        <v>0</v>
      </c>
      <c r="BV183" s="117">
        <v>0</v>
      </c>
      <c r="BW183" s="117">
        <v>0</v>
      </c>
      <c r="BX183" s="117">
        <v>0</v>
      </c>
      <c r="BY183" s="117" t="s">
        <v>1790</v>
      </c>
      <c r="BZ183" s="117" t="s">
        <v>1632</v>
      </c>
      <c r="CA183" s="117">
        <v>1</v>
      </c>
      <c r="CB183" s="149">
        <v>46186</v>
      </c>
      <c r="CC183" s="117"/>
      <c r="CD183" s="117"/>
      <c r="CE183" s="148"/>
      <c r="CF183" s="148">
        <f t="shared" si="314"/>
        <v>0</v>
      </c>
    </row>
    <row r="184" spans="1:84" ht="17.25" hidden="1" customHeight="1">
      <c r="A184" s="117"/>
      <c r="B184" s="209" t="s">
        <v>2054</v>
      </c>
      <c r="C184" s="209" t="s">
        <v>2219</v>
      </c>
      <c r="D184" s="209" t="s">
        <v>13</v>
      </c>
      <c r="E184" s="209" t="s">
        <v>1818</v>
      </c>
      <c r="F184" s="209" t="s">
        <v>1633</v>
      </c>
      <c r="G184" s="209" t="s">
        <v>1157</v>
      </c>
      <c r="H184" s="210">
        <v>3750</v>
      </c>
      <c r="I184" s="211" t="s">
        <v>147</v>
      </c>
      <c r="J184" s="144">
        <v>2</v>
      </c>
      <c r="K184" s="145">
        <f t="shared" si="289"/>
        <v>1</v>
      </c>
      <c r="L184" s="202">
        <f t="shared" si="290"/>
        <v>2</v>
      </c>
      <c r="M184" s="212">
        <v>141.30000000000001</v>
      </c>
      <c r="N184" s="203">
        <f t="shared" si="291"/>
        <v>282.60000000000002</v>
      </c>
      <c r="O184" s="212" t="s">
        <v>137</v>
      </c>
      <c r="P184" s="212" t="s">
        <v>13</v>
      </c>
      <c r="Q184" s="212" t="s">
        <v>148</v>
      </c>
      <c r="R184" s="212"/>
      <c r="S184" s="212"/>
      <c r="T184" s="203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2</v>
      </c>
      <c r="U184" s="203">
        <f t="shared" ca="1" si="292"/>
        <v>0</v>
      </c>
      <c r="V184" s="203">
        <f t="shared" ca="1" si="293"/>
        <v>1</v>
      </c>
      <c r="W184" s="212"/>
      <c r="X184" s="212"/>
      <c r="Y184" s="212"/>
      <c r="Z184" s="212"/>
      <c r="AA184" s="212"/>
      <c r="AB184" s="212"/>
      <c r="AC184" s="232" t="s">
        <v>196</v>
      </c>
      <c r="AD184" s="226" t="s">
        <v>2039</v>
      </c>
      <c r="AE184" s="148"/>
      <c r="AF184" s="212" t="str">
        <f t="shared" si="294"/>
        <v>AMC2-S2</v>
      </c>
      <c r="AG184" s="212">
        <f t="shared" si="295"/>
        <v>1</v>
      </c>
      <c r="AH184" s="203">
        <f t="shared" si="296"/>
        <v>2</v>
      </c>
      <c r="AI184" s="203">
        <f t="shared" ca="1" si="297"/>
        <v>2</v>
      </c>
      <c r="AJ184" s="203">
        <f t="shared" ca="1" si="298"/>
        <v>0</v>
      </c>
      <c r="AK184" s="212" t="str">
        <f t="shared" si="299"/>
        <v>N/A</v>
      </c>
      <c r="AL184" s="212">
        <f t="shared" si="300"/>
        <v>0</v>
      </c>
      <c r="AM184" s="203">
        <f t="shared" si="301"/>
        <v>0</v>
      </c>
      <c r="AN184" s="203">
        <f t="shared" ca="1" si="302"/>
        <v>0</v>
      </c>
      <c r="AO184" s="203">
        <f t="shared" ca="1" si="303"/>
        <v>0</v>
      </c>
      <c r="AP184" s="212" t="str">
        <f t="shared" si="304"/>
        <v>N/A</v>
      </c>
      <c r="AQ184" s="212">
        <f t="shared" si="305"/>
        <v>0</v>
      </c>
      <c r="AR184" s="203">
        <f t="shared" si="306"/>
        <v>0</v>
      </c>
      <c r="AS184" s="203">
        <f t="shared" ca="1" si="307"/>
        <v>0</v>
      </c>
      <c r="AT184" s="203">
        <f t="shared" ca="1" si="308"/>
        <v>0</v>
      </c>
      <c r="AU184" s="212" t="str">
        <f t="shared" si="309"/>
        <v>N/A</v>
      </c>
      <c r="AV184" s="212">
        <f t="shared" si="310"/>
        <v>0</v>
      </c>
      <c r="AW184" s="203">
        <f t="shared" si="311"/>
        <v>0</v>
      </c>
      <c r="AX184" s="203">
        <f t="shared" ca="1" si="312"/>
        <v>0</v>
      </c>
      <c r="AY184" s="203">
        <f t="shared" ca="1" si="313"/>
        <v>0</v>
      </c>
      <c r="AZ184" s="212"/>
      <c r="BA184" s="213" t="s">
        <v>141</v>
      </c>
      <c r="BB184" s="213" t="s">
        <v>140</v>
      </c>
      <c r="BC184" s="213" t="s">
        <v>140</v>
      </c>
      <c r="BD184" s="213" t="s">
        <v>140</v>
      </c>
      <c r="BE184" s="148"/>
      <c r="BF184" s="212" t="s">
        <v>1789</v>
      </c>
      <c r="BG184" s="117"/>
      <c r="BH184" s="117"/>
      <c r="BI184" s="149"/>
      <c r="BJ184" s="149"/>
      <c r="BK184" s="149"/>
      <c r="BL184" s="149"/>
      <c r="BM184" s="149"/>
      <c r="BN184" s="149"/>
      <c r="BO184" s="149"/>
      <c r="BP184" s="149"/>
      <c r="BQ184" s="149"/>
      <c r="BR184" s="117">
        <v>0</v>
      </c>
      <c r="BS184" s="117">
        <v>0</v>
      </c>
      <c r="BT184" s="117">
        <v>0</v>
      </c>
      <c r="BU184" s="117">
        <v>0</v>
      </c>
      <c r="BV184" s="117">
        <v>0</v>
      </c>
      <c r="BW184" s="117">
        <v>0</v>
      </c>
      <c r="BX184" s="117">
        <v>0</v>
      </c>
      <c r="BY184" s="117" t="s">
        <v>1790</v>
      </c>
      <c r="BZ184" s="117" t="s">
        <v>1303</v>
      </c>
      <c r="CA184" s="117">
        <v>2</v>
      </c>
      <c r="CB184" s="149">
        <v>46206</v>
      </c>
      <c r="CC184" s="117"/>
      <c r="CD184" s="117"/>
      <c r="CE184" s="148"/>
      <c r="CF184" s="148">
        <f t="shared" si="314"/>
        <v>0</v>
      </c>
    </row>
    <row r="185" spans="1:84" ht="17.25" hidden="1" customHeight="1">
      <c r="A185" s="117"/>
      <c r="B185" s="209" t="s">
        <v>2054</v>
      </c>
      <c r="C185" s="209" t="s">
        <v>2219</v>
      </c>
      <c r="D185" s="209" t="s">
        <v>13</v>
      </c>
      <c r="E185" s="209" t="s">
        <v>1819</v>
      </c>
      <c r="F185" s="209" t="s">
        <v>1636</v>
      </c>
      <c r="G185" s="209" t="s">
        <v>1637</v>
      </c>
      <c r="H185" s="210">
        <v>2260</v>
      </c>
      <c r="I185" s="211" t="s">
        <v>147</v>
      </c>
      <c r="J185" s="144">
        <v>1</v>
      </c>
      <c r="K185" s="145">
        <f t="shared" si="289"/>
        <v>1</v>
      </c>
      <c r="L185" s="202">
        <f t="shared" si="290"/>
        <v>1</v>
      </c>
      <c r="M185" s="212">
        <v>40.9</v>
      </c>
      <c r="N185" s="203">
        <f t="shared" si="291"/>
        <v>40.9</v>
      </c>
      <c r="O185" s="212" t="s">
        <v>137</v>
      </c>
      <c r="P185" s="212" t="s">
        <v>13</v>
      </c>
      <c r="Q185" s="212" t="s">
        <v>148</v>
      </c>
      <c r="R185" s="212"/>
      <c r="S185" s="212"/>
      <c r="T185" s="203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</v>
      </c>
      <c r="U185" s="203">
        <f t="shared" ca="1" si="292"/>
        <v>0</v>
      </c>
      <c r="V185" s="203">
        <f t="shared" ca="1" si="293"/>
        <v>1</v>
      </c>
      <c r="W185" s="212"/>
      <c r="X185" s="212"/>
      <c r="Y185" s="212"/>
      <c r="Z185" s="212"/>
      <c r="AA185" s="212"/>
      <c r="AB185" s="212"/>
      <c r="AC185" s="232" t="s">
        <v>196</v>
      </c>
      <c r="AD185" s="226" t="s">
        <v>2039</v>
      </c>
      <c r="AE185" s="148"/>
      <c r="AF185" s="212" t="str">
        <f t="shared" si="294"/>
        <v>AMC2-S2</v>
      </c>
      <c r="AG185" s="212">
        <f t="shared" si="295"/>
        <v>1</v>
      </c>
      <c r="AH185" s="203">
        <f t="shared" si="296"/>
        <v>1</v>
      </c>
      <c r="AI185" s="203">
        <f t="shared" ca="1" si="297"/>
        <v>1</v>
      </c>
      <c r="AJ185" s="203">
        <f t="shared" ca="1" si="298"/>
        <v>0</v>
      </c>
      <c r="AK185" s="212" t="str">
        <f t="shared" si="299"/>
        <v>N/A</v>
      </c>
      <c r="AL185" s="212">
        <f t="shared" si="300"/>
        <v>0</v>
      </c>
      <c r="AM185" s="203">
        <f t="shared" si="301"/>
        <v>0</v>
      </c>
      <c r="AN185" s="203">
        <f t="shared" ca="1" si="302"/>
        <v>0</v>
      </c>
      <c r="AO185" s="203">
        <f t="shared" ca="1" si="303"/>
        <v>0</v>
      </c>
      <c r="AP185" s="212" t="str">
        <f t="shared" si="304"/>
        <v>N/A</v>
      </c>
      <c r="AQ185" s="212">
        <f t="shared" si="305"/>
        <v>0</v>
      </c>
      <c r="AR185" s="203">
        <f t="shared" si="306"/>
        <v>0</v>
      </c>
      <c r="AS185" s="203">
        <f t="shared" ca="1" si="307"/>
        <v>0</v>
      </c>
      <c r="AT185" s="203">
        <f t="shared" ca="1" si="308"/>
        <v>0</v>
      </c>
      <c r="AU185" s="212" t="str">
        <f t="shared" si="309"/>
        <v>N/A</v>
      </c>
      <c r="AV185" s="212">
        <f t="shared" si="310"/>
        <v>0</v>
      </c>
      <c r="AW185" s="203">
        <f t="shared" si="311"/>
        <v>0</v>
      </c>
      <c r="AX185" s="203">
        <f t="shared" ca="1" si="312"/>
        <v>0</v>
      </c>
      <c r="AY185" s="203">
        <f t="shared" ca="1" si="313"/>
        <v>0</v>
      </c>
      <c r="AZ185" s="212"/>
      <c r="BA185" s="213" t="s">
        <v>141</v>
      </c>
      <c r="BB185" s="213" t="s">
        <v>140</v>
      </c>
      <c r="BC185" s="213" t="s">
        <v>140</v>
      </c>
      <c r="BD185" s="213" t="s">
        <v>140</v>
      </c>
      <c r="BE185" s="148"/>
      <c r="BF185" s="212" t="s">
        <v>1789</v>
      </c>
      <c r="BG185" s="117"/>
      <c r="BH185" s="117"/>
      <c r="BI185" s="149"/>
      <c r="BJ185" s="149"/>
      <c r="BK185" s="149"/>
      <c r="BL185" s="149"/>
      <c r="BM185" s="149"/>
      <c r="BN185" s="149"/>
      <c r="BO185" s="149"/>
      <c r="BP185" s="149"/>
      <c r="BQ185" s="149"/>
      <c r="BR185" s="117">
        <v>0</v>
      </c>
      <c r="BS185" s="117">
        <v>0</v>
      </c>
      <c r="BT185" s="117">
        <v>0</v>
      </c>
      <c r="BU185" s="117">
        <v>1</v>
      </c>
      <c r="BV185" s="117">
        <v>0</v>
      </c>
      <c r="BW185" s="117">
        <v>0</v>
      </c>
      <c r="BX185" s="117">
        <v>0</v>
      </c>
      <c r="BY185" s="117" t="s">
        <v>1790</v>
      </c>
      <c r="BZ185" s="117" t="s">
        <v>57</v>
      </c>
      <c r="CA185" s="144">
        <v>1</v>
      </c>
      <c r="CB185" s="149"/>
      <c r="CC185" s="117"/>
      <c r="CD185" s="117"/>
      <c r="CE185" s="148"/>
      <c r="CF185" s="148">
        <f t="shared" si="314"/>
        <v>0</v>
      </c>
    </row>
    <row r="186" spans="1:84" ht="17.25" hidden="1" customHeight="1">
      <c r="A186" s="117"/>
      <c r="B186" s="209" t="s">
        <v>2054</v>
      </c>
      <c r="C186" s="209" t="s">
        <v>2219</v>
      </c>
      <c r="D186" s="209" t="s">
        <v>13</v>
      </c>
      <c r="E186" s="209" t="s">
        <v>1820</v>
      </c>
      <c r="F186" s="209" t="s">
        <v>1638</v>
      </c>
      <c r="G186" s="209" t="s">
        <v>1639</v>
      </c>
      <c r="H186" s="210">
        <v>969</v>
      </c>
      <c r="I186" s="211" t="s">
        <v>147</v>
      </c>
      <c r="J186" s="144">
        <v>1</v>
      </c>
      <c r="K186" s="145">
        <f t="shared" si="289"/>
        <v>1</v>
      </c>
      <c r="L186" s="202">
        <f t="shared" si="290"/>
        <v>1</v>
      </c>
      <c r="M186" s="212">
        <v>8.8000000000000007</v>
      </c>
      <c r="N186" s="203">
        <f t="shared" si="291"/>
        <v>8.8000000000000007</v>
      </c>
      <c r="O186" s="212" t="s">
        <v>137</v>
      </c>
      <c r="P186" s="212" t="s">
        <v>13</v>
      </c>
      <c r="Q186" s="212" t="s">
        <v>148</v>
      </c>
      <c r="R186" s="212"/>
      <c r="S186" s="212"/>
      <c r="T186" s="203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1</v>
      </c>
      <c r="U186" s="203">
        <f t="shared" ca="1" si="292"/>
        <v>0</v>
      </c>
      <c r="V186" s="203">
        <f t="shared" ca="1" si="293"/>
        <v>1</v>
      </c>
      <c r="W186" s="212"/>
      <c r="X186" s="212"/>
      <c r="Y186" s="212"/>
      <c r="Z186" s="212"/>
      <c r="AA186" s="212"/>
      <c r="AB186" s="212"/>
      <c r="AC186" s="232" t="s">
        <v>196</v>
      </c>
      <c r="AD186" s="226" t="s">
        <v>2039</v>
      </c>
      <c r="AE186" s="148"/>
      <c r="AF186" s="212" t="str">
        <f t="shared" si="294"/>
        <v>AMC2-S2</v>
      </c>
      <c r="AG186" s="212">
        <f t="shared" si="295"/>
        <v>1</v>
      </c>
      <c r="AH186" s="203">
        <f t="shared" si="296"/>
        <v>1</v>
      </c>
      <c r="AI186" s="203">
        <f t="shared" ca="1" si="297"/>
        <v>1</v>
      </c>
      <c r="AJ186" s="203">
        <f t="shared" ca="1" si="298"/>
        <v>0</v>
      </c>
      <c r="AK186" s="212" t="str">
        <f t="shared" si="299"/>
        <v>N/A</v>
      </c>
      <c r="AL186" s="212">
        <f t="shared" si="300"/>
        <v>0</v>
      </c>
      <c r="AM186" s="203">
        <f t="shared" si="301"/>
        <v>0</v>
      </c>
      <c r="AN186" s="203">
        <f t="shared" ca="1" si="302"/>
        <v>0</v>
      </c>
      <c r="AO186" s="203">
        <f t="shared" ca="1" si="303"/>
        <v>0</v>
      </c>
      <c r="AP186" s="212" t="str">
        <f t="shared" si="304"/>
        <v>N/A</v>
      </c>
      <c r="AQ186" s="212">
        <f t="shared" si="305"/>
        <v>0</v>
      </c>
      <c r="AR186" s="203">
        <f t="shared" si="306"/>
        <v>0</v>
      </c>
      <c r="AS186" s="203">
        <f t="shared" ca="1" si="307"/>
        <v>0</v>
      </c>
      <c r="AT186" s="203">
        <f t="shared" ca="1" si="308"/>
        <v>0</v>
      </c>
      <c r="AU186" s="212" t="str">
        <f t="shared" si="309"/>
        <v>N/A</v>
      </c>
      <c r="AV186" s="212">
        <f t="shared" si="310"/>
        <v>0</v>
      </c>
      <c r="AW186" s="203">
        <f t="shared" si="311"/>
        <v>0</v>
      </c>
      <c r="AX186" s="203">
        <f t="shared" ca="1" si="312"/>
        <v>0</v>
      </c>
      <c r="AY186" s="203">
        <f t="shared" ca="1" si="313"/>
        <v>0</v>
      </c>
      <c r="AZ186" s="212"/>
      <c r="BA186" s="213" t="s">
        <v>141</v>
      </c>
      <c r="BB186" s="213" t="s">
        <v>140</v>
      </c>
      <c r="BC186" s="213" t="s">
        <v>140</v>
      </c>
      <c r="BD186" s="213" t="s">
        <v>140</v>
      </c>
      <c r="BE186" s="148"/>
      <c r="BF186" s="212" t="s">
        <v>1789</v>
      </c>
      <c r="BG186" s="117"/>
      <c r="BH186" s="117"/>
      <c r="BI186" s="149"/>
      <c r="BJ186" s="149"/>
      <c r="BK186" s="149"/>
      <c r="BL186" s="149"/>
      <c r="BM186" s="149"/>
      <c r="BN186" s="149"/>
      <c r="BO186" s="149"/>
      <c r="BP186" s="149"/>
      <c r="BQ186" s="149"/>
      <c r="BR186" s="117">
        <v>0</v>
      </c>
      <c r="BS186" s="117">
        <v>0</v>
      </c>
      <c r="BT186" s="117">
        <v>0</v>
      </c>
      <c r="BU186" s="117">
        <v>1</v>
      </c>
      <c r="BV186" s="117">
        <v>0</v>
      </c>
      <c r="BW186" s="117">
        <v>0</v>
      </c>
      <c r="BX186" s="117">
        <v>0</v>
      </c>
      <c r="BY186" s="117" t="s">
        <v>1790</v>
      </c>
      <c r="BZ186" s="117" t="s">
        <v>1063</v>
      </c>
      <c r="CA186" s="117">
        <v>1</v>
      </c>
      <c r="CB186" s="149">
        <v>46206</v>
      </c>
      <c r="CC186" s="117"/>
      <c r="CD186" s="117"/>
      <c r="CE186" s="148"/>
      <c r="CF186" s="148">
        <f t="shared" si="314"/>
        <v>0</v>
      </c>
    </row>
    <row r="187" spans="1:84" ht="17.25" hidden="1" customHeight="1">
      <c r="A187" s="117"/>
      <c r="B187" s="209" t="s">
        <v>2054</v>
      </c>
      <c r="C187" s="209" t="s">
        <v>2219</v>
      </c>
      <c r="D187" s="209" t="s">
        <v>13</v>
      </c>
      <c r="E187" s="209" t="s">
        <v>1808</v>
      </c>
      <c r="F187" s="209" t="s">
        <v>1640</v>
      </c>
      <c r="G187" s="209" t="s">
        <v>1641</v>
      </c>
      <c r="H187" s="210">
        <v>289</v>
      </c>
      <c r="I187" s="211" t="s">
        <v>147</v>
      </c>
      <c r="J187" s="144">
        <v>2</v>
      </c>
      <c r="K187" s="145">
        <f t="shared" si="289"/>
        <v>1</v>
      </c>
      <c r="L187" s="202">
        <f t="shared" si="290"/>
        <v>2</v>
      </c>
      <c r="M187" s="212">
        <v>2.7</v>
      </c>
      <c r="N187" s="203">
        <f t="shared" si="291"/>
        <v>5.4</v>
      </c>
      <c r="O187" s="212" t="s">
        <v>137</v>
      </c>
      <c r="P187" s="212" t="s">
        <v>13</v>
      </c>
      <c r="Q187" s="212" t="s">
        <v>148</v>
      </c>
      <c r="R187" s="212"/>
      <c r="S187" s="212"/>
      <c r="T187" s="203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2</v>
      </c>
      <c r="U187" s="203">
        <f t="shared" ca="1" si="292"/>
        <v>0</v>
      </c>
      <c r="V187" s="203">
        <f t="shared" ca="1" si="293"/>
        <v>1</v>
      </c>
      <c r="W187" s="212"/>
      <c r="X187" s="212"/>
      <c r="Y187" s="212"/>
      <c r="Z187" s="212"/>
      <c r="AA187" s="212"/>
      <c r="AB187" s="212"/>
      <c r="AC187" s="232" t="s">
        <v>196</v>
      </c>
      <c r="AD187" s="226" t="s">
        <v>2039</v>
      </c>
      <c r="AE187" s="148"/>
      <c r="AF187" s="212" t="str">
        <f t="shared" si="294"/>
        <v>AMC2-S2</v>
      </c>
      <c r="AG187" s="212">
        <f t="shared" si="295"/>
        <v>1</v>
      </c>
      <c r="AH187" s="203">
        <f t="shared" si="296"/>
        <v>2</v>
      </c>
      <c r="AI187" s="203">
        <f t="shared" ca="1" si="297"/>
        <v>2</v>
      </c>
      <c r="AJ187" s="203">
        <f t="shared" ca="1" si="298"/>
        <v>0</v>
      </c>
      <c r="AK187" s="212" t="str">
        <f t="shared" si="299"/>
        <v>N/A</v>
      </c>
      <c r="AL187" s="212">
        <f t="shared" si="300"/>
        <v>0</v>
      </c>
      <c r="AM187" s="203">
        <f t="shared" si="301"/>
        <v>0</v>
      </c>
      <c r="AN187" s="203">
        <f t="shared" ca="1" si="302"/>
        <v>0</v>
      </c>
      <c r="AO187" s="203">
        <f t="shared" ca="1" si="303"/>
        <v>0</v>
      </c>
      <c r="AP187" s="212" t="str">
        <f t="shared" si="304"/>
        <v>N/A</v>
      </c>
      <c r="AQ187" s="212">
        <f t="shared" si="305"/>
        <v>0</v>
      </c>
      <c r="AR187" s="203">
        <f t="shared" si="306"/>
        <v>0</v>
      </c>
      <c r="AS187" s="203">
        <f t="shared" ca="1" si="307"/>
        <v>0</v>
      </c>
      <c r="AT187" s="203">
        <f t="shared" ca="1" si="308"/>
        <v>0</v>
      </c>
      <c r="AU187" s="212" t="str">
        <f t="shared" si="309"/>
        <v>N/A</v>
      </c>
      <c r="AV187" s="212">
        <f t="shared" si="310"/>
        <v>0</v>
      </c>
      <c r="AW187" s="203">
        <f t="shared" si="311"/>
        <v>0</v>
      </c>
      <c r="AX187" s="203">
        <f t="shared" ca="1" si="312"/>
        <v>0</v>
      </c>
      <c r="AY187" s="203">
        <f t="shared" ca="1" si="313"/>
        <v>0</v>
      </c>
      <c r="AZ187" s="212"/>
      <c r="BA187" s="213" t="s">
        <v>141</v>
      </c>
      <c r="BB187" s="213" t="s">
        <v>140</v>
      </c>
      <c r="BC187" s="213" t="s">
        <v>140</v>
      </c>
      <c r="BD187" s="213" t="s">
        <v>140</v>
      </c>
      <c r="BE187" s="148"/>
      <c r="BF187" s="212" t="s">
        <v>1789</v>
      </c>
      <c r="BG187" s="117"/>
      <c r="BH187" s="117"/>
      <c r="BI187" s="149"/>
      <c r="BJ187" s="149"/>
      <c r="BK187" s="149"/>
      <c r="BL187" s="149"/>
      <c r="BM187" s="149"/>
      <c r="BN187" s="149"/>
      <c r="BO187" s="149"/>
      <c r="BP187" s="149"/>
      <c r="BQ187" s="149"/>
      <c r="BR187" s="117">
        <v>0</v>
      </c>
      <c r="BS187" s="117">
        <v>0</v>
      </c>
      <c r="BT187" s="117">
        <v>0</v>
      </c>
      <c r="BU187" s="117">
        <v>0</v>
      </c>
      <c r="BV187" s="117">
        <v>0</v>
      </c>
      <c r="BW187" s="117">
        <v>0</v>
      </c>
      <c r="BX187" s="117">
        <v>0</v>
      </c>
      <c r="BY187" s="117" t="s">
        <v>1790</v>
      </c>
      <c r="BZ187" s="117" t="s">
        <v>989</v>
      </c>
      <c r="CA187" s="117">
        <v>2</v>
      </c>
      <c r="CB187" s="149">
        <v>46186</v>
      </c>
      <c r="CC187" s="117"/>
      <c r="CD187" s="117"/>
      <c r="CE187" s="148"/>
      <c r="CF187" s="148">
        <f t="shared" si="314"/>
        <v>0</v>
      </c>
    </row>
    <row r="188" spans="1:84" ht="17.25" hidden="1" customHeight="1">
      <c r="A188" s="117"/>
      <c r="B188" s="209" t="s">
        <v>2054</v>
      </c>
      <c r="C188" s="209" t="s">
        <v>2219</v>
      </c>
      <c r="D188" s="209" t="s">
        <v>1010</v>
      </c>
      <c r="E188" s="209" t="s">
        <v>1802</v>
      </c>
      <c r="F188" s="209" t="s">
        <v>1614</v>
      </c>
      <c r="G188" s="209" t="s">
        <v>1075</v>
      </c>
      <c r="H188" s="210">
        <v>812</v>
      </c>
      <c r="I188" s="211" t="s">
        <v>1077</v>
      </c>
      <c r="J188" s="144">
        <v>2</v>
      </c>
      <c r="K188" s="145">
        <f t="shared" si="289"/>
        <v>1</v>
      </c>
      <c r="L188" s="202">
        <f t="shared" si="290"/>
        <v>2</v>
      </c>
      <c r="M188" s="212">
        <v>13.1</v>
      </c>
      <c r="N188" s="203">
        <f t="shared" si="291"/>
        <v>26.2</v>
      </c>
      <c r="O188" s="212" t="s">
        <v>137</v>
      </c>
      <c r="P188" s="212" t="s">
        <v>11</v>
      </c>
      <c r="Q188" s="212" t="s">
        <v>148</v>
      </c>
      <c r="R188" s="212"/>
      <c r="S188" s="212"/>
      <c r="T188" s="203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2</v>
      </c>
      <c r="U188" s="203">
        <f t="shared" ca="1" si="292"/>
        <v>0</v>
      </c>
      <c r="V188" s="203">
        <f t="shared" ca="1" si="293"/>
        <v>1</v>
      </c>
      <c r="W188" s="212"/>
      <c r="X188" s="212"/>
      <c r="Y188" s="212"/>
      <c r="Z188" s="212"/>
      <c r="AA188" s="212"/>
      <c r="AB188" s="212"/>
      <c r="AC188" s="232" t="s">
        <v>196</v>
      </c>
      <c r="AD188" s="226" t="s">
        <v>2039</v>
      </c>
      <c r="AE188" s="148"/>
      <c r="AF188" s="212" t="str">
        <f t="shared" si="294"/>
        <v>AMC2-S2</v>
      </c>
      <c r="AG188" s="212">
        <f t="shared" si="295"/>
        <v>1</v>
      </c>
      <c r="AH188" s="203">
        <f t="shared" si="296"/>
        <v>2</v>
      </c>
      <c r="AI188" s="203">
        <f t="shared" ca="1" si="297"/>
        <v>2</v>
      </c>
      <c r="AJ188" s="203">
        <f t="shared" ca="1" si="298"/>
        <v>0</v>
      </c>
      <c r="AK188" s="212" t="str">
        <f t="shared" si="299"/>
        <v>N/A</v>
      </c>
      <c r="AL188" s="212">
        <f t="shared" si="300"/>
        <v>0</v>
      </c>
      <c r="AM188" s="203">
        <f t="shared" si="301"/>
        <v>0</v>
      </c>
      <c r="AN188" s="203">
        <f t="shared" ca="1" si="302"/>
        <v>0</v>
      </c>
      <c r="AO188" s="203">
        <f t="shared" ca="1" si="303"/>
        <v>0</v>
      </c>
      <c r="AP188" s="212" t="str">
        <f t="shared" si="304"/>
        <v>N/A</v>
      </c>
      <c r="AQ188" s="212">
        <f t="shared" si="305"/>
        <v>0</v>
      </c>
      <c r="AR188" s="203">
        <f t="shared" si="306"/>
        <v>0</v>
      </c>
      <c r="AS188" s="203">
        <f t="shared" ca="1" si="307"/>
        <v>0</v>
      </c>
      <c r="AT188" s="203">
        <f t="shared" ca="1" si="308"/>
        <v>0</v>
      </c>
      <c r="AU188" s="212" t="str">
        <f t="shared" si="309"/>
        <v>N/A</v>
      </c>
      <c r="AV188" s="212">
        <f t="shared" si="310"/>
        <v>0</v>
      </c>
      <c r="AW188" s="203">
        <f t="shared" si="311"/>
        <v>0</v>
      </c>
      <c r="AX188" s="203">
        <f t="shared" ca="1" si="312"/>
        <v>0</v>
      </c>
      <c r="AY188" s="203">
        <f t="shared" ca="1" si="313"/>
        <v>0</v>
      </c>
      <c r="AZ188" s="212"/>
      <c r="BA188" s="213" t="s">
        <v>141</v>
      </c>
      <c r="BB188" s="213" t="s">
        <v>140</v>
      </c>
      <c r="BC188" s="213" t="s">
        <v>140</v>
      </c>
      <c r="BD188" s="213" t="s">
        <v>140</v>
      </c>
      <c r="BE188" s="148"/>
      <c r="BF188" s="212" t="s">
        <v>1789</v>
      </c>
      <c r="BG188" s="117"/>
      <c r="BH188" s="117"/>
      <c r="BI188" s="149"/>
      <c r="BJ188" s="149"/>
      <c r="BK188" s="149"/>
      <c r="BL188" s="149"/>
      <c r="BM188" s="149"/>
      <c r="BN188" s="149"/>
      <c r="BO188" s="149"/>
      <c r="BP188" s="149"/>
      <c r="BQ188" s="149"/>
      <c r="BR188" s="117">
        <v>0</v>
      </c>
      <c r="BS188" s="117">
        <v>0</v>
      </c>
      <c r="BT188" s="117">
        <v>0</v>
      </c>
      <c r="BU188" s="117">
        <v>1</v>
      </c>
      <c r="BV188" s="117">
        <v>0</v>
      </c>
      <c r="BW188" s="117">
        <v>0</v>
      </c>
      <c r="BX188" s="117">
        <v>0</v>
      </c>
      <c r="BY188" s="117" t="s">
        <v>1790</v>
      </c>
      <c r="BZ188" s="117" t="s">
        <v>1289</v>
      </c>
      <c r="CA188" s="117">
        <v>2</v>
      </c>
      <c r="CB188" s="149">
        <v>46185</v>
      </c>
      <c r="CC188" s="117"/>
      <c r="CD188" s="117"/>
      <c r="CE188" s="148"/>
      <c r="CF188" s="148">
        <f t="shared" si="314"/>
        <v>0</v>
      </c>
    </row>
    <row r="189" spans="1:84" ht="17.25" hidden="1" customHeight="1">
      <c r="A189" s="151"/>
      <c r="B189" s="219" t="s">
        <v>2054</v>
      </c>
      <c r="C189" s="219" t="s">
        <v>2219</v>
      </c>
      <c r="D189" s="219" t="s">
        <v>1204</v>
      </c>
      <c r="E189" s="219" t="s">
        <v>1811</v>
      </c>
      <c r="F189" s="219" t="s">
        <v>2086</v>
      </c>
      <c r="G189" s="219" t="s">
        <v>1649</v>
      </c>
      <c r="H189" s="220">
        <v>2260</v>
      </c>
      <c r="I189" s="221" t="s">
        <v>147</v>
      </c>
      <c r="J189" s="168">
        <v>1</v>
      </c>
      <c r="K189" s="222">
        <f t="shared" si="289"/>
        <v>1</v>
      </c>
      <c r="L189" s="202">
        <f t="shared" si="290"/>
        <v>1</v>
      </c>
      <c r="M189" s="223">
        <v>62.4</v>
      </c>
      <c r="N189" s="203">
        <f t="shared" si="291"/>
        <v>62.4</v>
      </c>
      <c r="O189" s="223" t="s">
        <v>137</v>
      </c>
      <c r="P189" s="223" t="s">
        <v>13</v>
      </c>
      <c r="Q189" s="223" t="s">
        <v>148</v>
      </c>
      <c r="R189" s="223"/>
      <c r="S189" s="223"/>
      <c r="T189" s="203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1</v>
      </c>
      <c r="U189" s="203">
        <f t="shared" ca="1" si="292"/>
        <v>0</v>
      </c>
      <c r="V189" s="203">
        <f t="shared" ca="1" si="293"/>
        <v>1</v>
      </c>
      <c r="W189" s="223"/>
      <c r="X189" s="223"/>
      <c r="Y189" s="223"/>
      <c r="Z189" s="223"/>
      <c r="AA189" s="223"/>
      <c r="AB189" s="223"/>
      <c r="AC189" s="237" t="s">
        <v>196</v>
      </c>
      <c r="AD189" s="224" t="s">
        <v>2039</v>
      </c>
      <c r="AE189" s="218"/>
      <c r="AF189" s="223" t="str">
        <f t="shared" si="294"/>
        <v>AMC2-S2</v>
      </c>
      <c r="AG189" s="223">
        <f t="shared" si="295"/>
        <v>1</v>
      </c>
      <c r="AH189" s="203">
        <f t="shared" si="296"/>
        <v>1</v>
      </c>
      <c r="AI189" s="203">
        <f t="shared" ca="1" si="297"/>
        <v>1</v>
      </c>
      <c r="AJ189" s="203">
        <f t="shared" ca="1" si="298"/>
        <v>0</v>
      </c>
      <c r="AK189" s="223" t="str">
        <f t="shared" si="299"/>
        <v>N/A</v>
      </c>
      <c r="AL189" s="223">
        <f t="shared" si="300"/>
        <v>0</v>
      </c>
      <c r="AM189" s="203">
        <f t="shared" si="301"/>
        <v>0</v>
      </c>
      <c r="AN189" s="203">
        <f t="shared" ca="1" si="302"/>
        <v>0</v>
      </c>
      <c r="AO189" s="203">
        <f t="shared" ca="1" si="303"/>
        <v>0</v>
      </c>
      <c r="AP189" s="223" t="str">
        <f t="shared" si="304"/>
        <v>N/A</v>
      </c>
      <c r="AQ189" s="223">
        <f t="shared" si="305"/>
        <v>0</v>
      </c>
      <c r="AR189" s="203">
        <f t="shared" si="306"/>
        <v>0</v>
      </c>
      <c r="AS189" s="203">
        <f t="shared" ca="1" si="307"/>
        <v>0</v>
      </c>
      <c r="AT189" s="203">
        <f t="shared" ca="1" si="308"/>
        <v>0</v>
      </c>
      <c r="AU189" s="223" t="str">
        <f t="shared" si="309"/>
        <v>N/A</v>
      </c>
      <c r="AV189" s="223">
        <f t="shared" si="310"/>
        <v>0</v>
      </c>
      <c r="AW189" s="203">
        <f t="shared" si="311"/>
        <v>0</v>
      </c>
      <c r="AX189" s="203">
        <f t="shared" ca="1" si="312"/>
        <v>0</v>
      </c>
      <c r="AY189" s="203">
        <f t="shared" ca="1" si="313"/>
        <v>0</v>
      </c>
      <c r="AZ189" s="223"/>
      <c r="BA189" s="236" t="s">
        <v>141</v>
      </c>
      <c r="BB189" s="236" t="s">
        <v>140</v>
      </c>
      <c r="BC189" s="236" t="s">
        <v>140</v>
      </c>
      <c r="BD189" s="236" t="s">
        <v>140</v>
      </c>
      <c r="BE189" s="218"/>
      <c r="BF189" s="223" t="s">
        <v>1789</v>
      </c>
      <c r="BG189" s="151"/>
      <c r="BH189" s="151"/>
      <c r="BI189" s="150"/>
      <c r="BJ189" s="150"/>
      <c r="BK189" s="150"/>
      <c r="BL189" s="150"/>
      <c r="BM189" s="150"/>
      <c r="BN189" s="150"/>
      <c r="BO189" s="150"/>
      <c r="BP189" s="150"/>
      <c r="BQ189" s="150" t="s">
        <v>2041</v>
      </c>
      <c r="BR189" s="151">
        <v>0</v>
      </c>
      <c r="BS189" s="151">
        <v>0</v>
      </c>
      <c r="BT189" s="151">
        <v>0</v>
      </c>
      <c r="BU189" s="151">
        <v>0</v>
      </c>
      <c r="BV189" s="151">
        <v>0</v>
      </c>
      <c r="BW189" s="151">
        <v>0</v>
      </c>
      <c r="BX189" s="151">
        <v>0</v>
      </c>
      <c r="BY189" s="151" t="s">
        <v>1790</v>
      </c>
      <c r="BZ189" s="151"/>
      <c r="CA189" s="168"/>
      <c r="CB189" s="150"/>
      <c r="CC189" s="151"/>
      <c r="CD189" s="151"/>
      <c r="CE189" s="218"/>
      <c r="CF189" s="218">
        <f t="shared" si="314"/>
        <v>1</v>
      </c>
    </row>
    <row r="190" spans="1:84" ht="17.25" hidden="1" customHeight="1">
      <c r="A190" s="162">
        <v>182</v>
      </c>
      <c r="B190" s="177" t="s">
        <v>2059</v>
      </c>
      <c r="C190" s="177" t="s">
        <v>2220</v>
      </c>
      <c r="D190" s="177" t="s">
        <v>2060</v>
      </c>
      <c r="E190" s="177"/>
      <c r="F190" s="177"/>
      <c r="G190" s="177" t="s">
        <v>2061</v>
      </c>
      <c r="H190" s="178"/>
      <c r="I190" s="179"/>
      <c r="J190" s="160"/>
      <c r="K190" s="180">
        <f>+AG190+AL190+AQ190+AV190</f>
        <v>1</v>
      </c>
      <c r="L190" s="160"/>
      <c r="M190" s="181">
        <v>5097.2</v>
      </c>
      <c r="N190" s="181">
        <v>5097.2</v>
      </c>
      <c r="O190" s="181" t="s">
        <v>137</v>
      </c>
      <c r="P190" s="181"/>
      <c r="Q190" s="181"/>
      <c r="R190" s="181"/>
      <c r="S190" s="181"/>
      <c r="T190" s="181"/>
      <c r="U190" s="181"/>
      <c r="V190" s="181"/>
      <c r="W190" s="181">
        <f ca="1">_xlfn.MINIFS(V:V,C:C,C190,AE:AE,"",AB:AB,"")</f>
        <v>1</v>
      </c>
      <c r="X190" s="181">
        <f ca="1">SUMIFS(T:T,C:C,C190,AE:AE,"")/SUMIFS(L:L,C:C,C190,AE:AE,"",AB:AB,"")</f>
        <v>1</v>
      </c>
      <c r="Y190" s="181"/>
      <c r="Z190" s="181"/>
      <c r="AA190" s="181"/>
      <c r="AB190" s="181"/>
      <c r="AC190" s="228" t="s">
        <v>196</v>
      </c>
      <c r="AD190" s="184" t="s">
        <v>2039</v>
      </c>
      <c r="AE190" s="162" t="s">
        <v>143</v>
      </c>
      <c r="AF190" s="181" t="s">
        <v>1970</v>
      </c>
      <c r="AG190" s="181">
        <v>1</v>
      </c>
      <c r="AH190" s="181"/>
      <c r="AI190" s="181"/>
      <c r="AJ190" s="181"/>
      <c r="AK190" s="181" t="s">
        <v>138</v>
      </c>
      <c r="AL190" s="181">
        <v>0</v>
      </c>
      <c r="AM190" s="181"/>
      <c r="AN190" s="181"/>
      <c r="AO190" s="181"/>
      <c r="AP190" s="181" t="s">
        <v>138</v>
      </c>
      <c r="AQ190" s="181">
        <v>0</v>
      </c>
      <c r="AR190" s="181"/>
      <c r="AS190" s="181"/>
      <c r="AT190" s="181"/>
      <c r="AU190" s="181" t="s">
        <v>138</v>
      </c>
      <c r="AV190" s="181">
        <v>0</v>
      </c>
      <c r="AW190" s="181"/>
      <c r="AX190" s="181"/>
      <c r="AY190" s="181"/>
      <c r="AZ190" s="181"/>
      <c r="BA190" s="182" t="s">
        <v>141</v>
      </c>
      <c r="BB190" s="182" t="s">
        <v>140</v>
      </c>
      <c r="BC190" s="182" t="s">
        <v>140</v>
      </c>
      <c r="BD190" s="182" t="s">
        <v>140</v>
      </c>
      <c r="BE190" s="162" t="s">
        <v>741</v>
      </c>
      <c r="BF190" s="181"/>
      <c r="BG190" s="161"/>
      <c r="BH190" s="161"/>
      <c r="BI190" s="163"/>
      <c r="BJ190" s="163"/>
      <c r="BK190" s="163"/>
      <c r="BL190" s="163"/>
      <c r="BM190" s="163"/>
      <c r="BN190" s="163"/>
      <c r="BO190" s="163"/>
      <c r="BP190" s="163"/>
      <c r="BQ190" s="163"/>
      <c r="BR190" s="161"/>
      <c r="BS190" s="161"/>
      <c r="BT190" s="161"/>
      <c r="BU190" s="161"/>
      <c r="BV190" s="161"/>
      <c r="BW190" s="161"/>
      <c r="BX190" s="161"/>
      <c r="BY190" s="161"/>
      <c r="BZ190" s="161"/>
      <c r="CA190" s="161"/>
      <c r="CB190" s="163"/>
      <c r="CC190" s="161"/>
      <c r="CD190" s="161"/>
      <c r="CE190" s="185"/>
      <c r="CF190" s="185"/>
    </row>
    <row r="191" spans="1:84" ht="17.25" hidden="1" customHeight="1">
      <c r="A191" s="141"/>
      <c r="B191" s="199" t="s">
        <v>2059</v>
      </c>
      <c r="C191" s="199" t="s">
        <v>2220</v>
      </c>
      <c r="D191" s="199" t="s">
        <v>1195</v>
      </c>
      <c r="E191" s="199" t="s">
        <v>1788</v>
      </c>
      <c r="F191" s="199" t="s">
        <v>1675</v>
      </c>
      <c r="G191" s="199" t="s">
        <v>1676</v>
      </c>
      <c r="H191" s="200">
        <v>3797</v>
      </c>
      <c r="I191" s="201" t="s">
        <v>147</v>
      </c>
      <c r="J191" s="165">
        <v>1</v>
      </c>
      <c r="K191" s="202">
        <f t="shared" ref="K191:K208" si="315">K190</f>
        <v>1</v>
      </c>
      <c r="L191" s="202">
        <f t="shared" ref="L191:L208" si="316">+J191*K191</f>
        <v>1</v>
      </c>
      <c r="M191" s="203">
        <v>854.3</v>
      </c>
      <c r="N191" s="203">
        <f t="shared" ref="N191:N208" si="317">+M191*L191</f>
        <v>854.3</v>
      </c>
      <c r="O191" s="203" t="s">
        <v>137</v>
      </c>
      <c r="P191" s="203" t="s">
        <v>13</v>
      </c>
      <c r="Q191" s="203" t="s">
        <v>154</v>
      </c>
      <c r="R191" s="203"/>
      <c r="S191" s="203"/>
      <c r="T191" s="203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1</v>
      </c>
      <c r="U191" s="203">
        <f t="shared" ref="U191:U208" ca="1" si="318">+L191-T191</f>
        <v>0</v>
      </c>
      <c r="V191" s="203">
        <f t="shared" ref="V191:V208" ca="1" si="319">ROUNDDOWN(T191/J191,0)</f>
        <v>1</v>
      </c>
      <c r="W191" s="203"/>
      <c r="X191" s="203"/>
      <c r="Y191" s="203"/>
      <c r="Z191" s="203"/>
      <c r="AA191" s="203"/>
      <c r="AB191" s="203"/>
      <c r="AC191" s="231" t="s">
        <v>196</v>
      </c>
      <c r="AD191" s="225" t="s">
        <v>2039</v>
      </c>
      <c r="AE191" s="166"/>
      <c r="AF191" s="203" t="str">
        <f t="shared" ref="AF191:AF208" si="320">AF190</f>
        <v>AMC2-S2</v>
      </c>
      <c r="AG191" s="203">
        <f t="shared" ref="AG191:AG208" si="321">AG190</f>
        <v>1</v>
      </c>
      <c r="AH191" s="203">
        <f t="shared" ref="AH191:AH208" si="322">+AG191*J191</f>
        <v>1</v>
      </c>
      <c r="AI191" s="203">
        <f t="shared" ref="AI191:AI208" ca="1" si="323">MIN(T191,AH191)</f>
        <v>1</v>
      </c>
      <c r="AJ191" s="203">
        <f t="shared" ref="AJ191:AJ208" ca="1" si="324">+AH191-AI191</f>
        <v>0</v>
      </c>
      <c r="AK191" s="203" t="str">
        <f t="shared" ref="AK191:AK208" si="325">AK190</f>
        <v>N/A</v>
      </c>
      <c r="AL191" s="203">
        <f t="shared" ref="AL191:AL208" si="326">AL190</f>
        <v>0</v>
      </c>
      <c r="AM191" s="203">
        <f t="shared" ref="AM191:AM208" si="327">+AL191*J191</f>
        <v>0</v>
      </c>
      <c r="AN191" s="203">
        <f t="shared" ref="AN191:AN208" ca="1" si="328">MIN(T191-AI191,AL191)</f>
        <v>0</v>
      </c>
      <c r="AO191" s="203">
        <f t="shared" ref="AO191:AO208" ca="1" si="329">+AM191-AN191</f>
        <v>0</v>
      </c>
      <c r="AP191" s="203" t="str">
        <f t="shared" ref="AP191:AP208" si="330">AP190</f>
        <v>N/A</v>
      </c>
      <c r="AQ191" s="203">
        <f t="shared" ref="AQ191:AQ208" si="331">AQ190</f>
        <v>0</v>
      </c>
      <c r="AR191" s="203">
        <f t="shared" ref="AR191:AR208" si="332">+AQ191*J191</f>
        <v>0</v>
      </c>
      <c r="AS191" s="203">
        <f t="shared" ref="AS191:AS208" ca="1" si="333">MIN(T191-AI191-AN191,AR191)</f>
        <v>0</v>
      </c>
      <c r="AT191" s="203">
        <f t="shared" ref="AT191:AT208" ca="1" si="334">+AR191-AS191</f>
        <v>0</v>
      </c>
      <c r="AU191" s="203" t="str">
        <f t="shared" ref="AU191:AU208" si="335">AU190</f>
        <v>N/A</v>
      </c>
      <c r="AV191" s="203">
        <f t="shared" ref="AV191:AV208" si="336">AV190</f>
        <v>0</v>
      </c>
      <c r="AW191" s="203">
        <f t="shared" ref="AW191:AW208" si="337">+AV191*J191</f>
        <v>0</v>
      </c>
      <c r="AX191" s="203">
        <f t="shared" ref="AX191:AX208" ca="1" si="338">MIN(T191-AI191-AN191-AS191,AW191)</f>
        <v>0</v>
      </c>
      <c r="AY191" s="203">
        <f t="shared" ref="AY191:AY208" ca="1" si="339">+AW191-AX191</f>
        <v>0</v>
      </c>
      <c r="AZ191" s="203"/>
      <c r="BA191" s="204" t="s">
        <v>141</v>
      </c>
      <c r="BB191" s="204" t="s">
        <v>140</v>
      </c>
      <c r="BC191" s="204" t="s">
        <v>140</v>
      </c>
      <c r="BD191" s="204" t="s">
        <v>140</v>
      </c>
      <c r="BE191" s="166"/>
      <c r="BF191" s="203" t="s">
        <v>1789</v>
      </c>
      <c r="BG191" s="141"/>
      <c r="BH191" s="141"/>
      <c r="BI191" s="153"/>
      <c r="BJ191" s="153"/>
      <c r="BK191" s="153"/>
      <c r="BL191" s="153" t="s">
        <v>1932</v>
      </c>
      <c r="BM191" s="153"/>
      <c r="BN191" s="153"/>
      <c r="BO191" s="153"/>
      <c r="BP191" s="153"/>
      <c r="BQ191" s="153"/>
      <c r="BR191" s="141">
        <v>0</v>
      </c>
      <c r="BS191" s="141">
        <v>1</v>
      </c>
      <c r="BT191" s="141">
        <v>0</v>
      </c>
      <c r="BU191" s="141">
        <v>1</v>
      </c>
      <c r="BV191" s="141">
        <v>0</v>
      </c>
      <c r="BW191" s="141">
        <v>0</v>
      </c>
      <c r="BX191" s="141">
        <v>0</v>
      </c>
      <c r="BY191" s="141" t="s">
        <v>1790</v>
      </c>
      <c r="BZ191" s="141" t="s">
        <v>57</v>
      </c>
      <c r="CA191" s="141">
        <v>1</v>
      </c>
      <c r="CB191" s="153"/>
      <c r="CC191" s="141"/>
      <c r="CD191" s="141"/>
      <c r="CE191" s="166"/>
      <c r="CF191" s="166">
        <f t="shared" ref="CF191:CF208" si="340">+L191-CA191</f>
        <v>0</v>
      </c>
    </row>
    <row r="192" spans="1:84" ht="17.25" hidden="1" customHeight="1">
      <c r="A192" s="117"/>
      <c r="B192" s="209" t="s">
        <v>2059</v>
      </c>
      <c r="C192" s="209" t="s">
        <v>2220</v>
      </c>
      <c r="D192" s="209" t="s">
        <v>1195</v>
      </c>
      <c r="E192" s="209" t="s">
        <v>1791</v>
      </c>
      <c r="F192" s="209" t="s">
        <v>1687</v>
      </c>
      <c r="G192" s="209" t="s">
        <v>1688</v>
      </c>
      <c r="H192" s="210">
        <v>5291</v>
      </c>
      <c r="I192" s="211" t="s">
        <v>147</v>
      </c>
      <c r="J192" s="144">
        <v>1</v>
      </c>
      <c r="K192" s="145">
        <f t="shared" si="315"/>
        <v>1</v>
      </c>
      <c r="L192" s="202">
        <f t="shared" si="316"/>
        <v>1</v>
      </c>
      <c r="M192" s="212">
        <v>1214.4000000000001</v>
      </c>
      <c r="N192" s="203">
        <f t="shared" si="317"/>
        <v>1214.4000000000001</v>
      </c>
      <c r="O192" s="212" t="s">
        <v>137</v>
      </c>
      <c r="P192" s="212" t="s">
        <v>13</v>
      </c>
      <c r="Q192" s="212" t="s">
        <v>154</v>
      </c>
      <c r="R192" s="212"/>
      <c r="S192" s="212"/>
      <c r="T192" s="203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1</v>
      </c>
      <c r="U192" s="203">
        <f t="shared" ca="1" si="318"/>
        <v>0</v>
      </c>
      <c r="V192" s="203">
        <f t="shared" ca="1" si="319"/>
        <v>1</v>
      </c>
      <c r="W192" s="212"/>
      <c r="X192" s="212"/>
      <c r="Y192" s="212"/>
      <c r="Z192" s="212"/>
      <c r="AA192" s="212"/>
      <c r="AB192" s="212"/>
      <c r="AC192" s="232" t="s">
        <v>196</v>
      </c>
      <c r="AD192" s="226" t="s">
        <v>2039</v>
      </c>
      <c r="AE192" s="148"/>
      <c r="AF192" s="212" t="str">
        <f t="shared" si="320"/>
        <v>AMC2-S2</v>
      </c>
      <c r="AG192" s="212">
        <f t="shared" si="321"/>
        <v>1</v>
      </c>
      <c r="AH192" s="203">
        <f t="shared" si="322"/>
        <v>1</v>
      </c>
      <c r="AI192" s="203">
        <f t="shared" ca="1" si="323"/>
        <v>1</v>
      </c>
      <c r="AJ192" s="203">
        <f t="shared" ca="1" si="324"/>
        <v>0</v>
      </c>
      <c r="AK192" s="212" t="str">
        <f t="shared" si="325"/>
        <v>N/A</v>
      </c>
      <c r="AL192" s="212">
        <f t="shared" si="326"/>
        <v>0</v>
      </c>
      <c r="AM192" s="203">
        <f t="shared" si="327"/>
        <v>0</v>
      </c>
      <c r="AN192" s="203">
        <f t="shared" ca="1" si="328"/>
        <v>0</v>
      </c>
      <c r="AO192" s="203">
        <f t="shared" ca="1" si="329"/>
        <v>0</v>
      </c>
      <c r="AP192" s="212" t="str">
        <f t="shared" si="330"/>
        <v>N/A</v>
      </c>
      <c r="AQ192" s="212">
        <f t="shared" si="331"/>
        <v>0</v>
      </c>
      <c r="AR192" s="203">
        <f t="shared" si="332"/>
        <v>0</v>
      </c>
      <c r="AS192" s="203">
        <f t="shared" ca="1" si="333"/>
        <v>0</v>
      </c>
      <c r="AT192" s="203">
        <f t="shared" ca="1" si="334"/>
        <v>0</v>
      </c>
      <c r="AU192" s="212" t="str">
        <f t="shared" si="335"/>
        <v>N/A</v>
      </c>
      <c r="AV192" s="212">
        <f t="shared" si="336"/>
        <v>0</v>
      </c>
      <c r="AW192" s="203">
        <f t="shared" si="337"/>
        <v>0</v>
      </c>
      <c r="AX192" s="203">
        <f t="shared" ca="1" si="338"/>
        <v>0</v>
      </c>
      <c r="AY192" s="203">
        <f t="shared" ca="1" si="339"/>
        <v>0</v>
      </c>
      <c r="AZ192" s="212"/>
      <c r="BA192" s="213" t="s">
        <v>141</v>
      </c>
      <c r="BB192" s="213" t="s">
        <v>140</v>
      </c>
      <c r="BC192" s="213" t="s">
        <v>140</v>
      </c>
      <c r="BD192" s="213" t="s">
        <v>140</v>
      </c>
      <c r="BE192" s="148"/>
      <c r="BF192" s="212" t="s">
        <v>1789</v>
      </c>
      <c r="BG192" s="117"/>
      <c r="BH192" s="117"/>
      <c r="BI192" s="149"/>
      <c r="BJ192" s="149"/>
      <c r="BK192" s="149"/>
      <c r="BL192" s="149"/>
      <c r="BM192" s="149"/>
      <c r="BN192" s="149"/>
      <c r="BO192" s="149"/>
      <c r="BP192" s="149"/>
      <c r="BQ192" s="149"/>
      <c r="BR192" s="117">
        <v>0</v>
      </c>
      <c r="BS192" s="117">
        <v>1</v>
      </c>
      <c r="BT192" s="117">
        <v>0</v>
      </c>
      <c r="BU192" s="117">
        <v>1</v>
      </c>
      <c r="BV192" s="117">
        <v>0</v>
      </c>
      <c r="BW192" s="117">
        <v>0</v>
      </c>
      <c r="BX192" s="117">
        <v>0</v>
      </c>
      <c r="BY192" s="117" t="s">
        <v>1790</v>
      </c>
      <c r="BZ192" s="117" t="s">
        <v>57</v>
      </c>
      <c r="CA192" s="144">
        <v>1</v>
      </c>
      <c r="CB192" s="149"/>
      <c r="CC192" s="117"/>
      <c r="CD192" s="117"/>
      <c r="CE192" s="148"/>
      <c r="CF192" s="148">
        <f t="shared" si="340"/>
        <v>0</v>
      </c>
    </row>
    <row r="193" spans="1:84" ht="17.25" hidden="1" customHeight="1">
      <c r="A193" s="117"/>
      <c r="B193" s="209" t="s">
        <v>2059</v>
      </c>
      <c r="C193" s="209" t="s">
        <v>2220</v>
      </c>
      <c r="D193" s="209" t="s">
        <v>1195</v>
      </c>
      <c r="E193" s="209" t="s">
        <v>1792</v>
      </c>
      <c r="F193" s="209" t="s">
        <v>1689</v>
      </c>
      <c r="G193" s="209" t="s">
        <v>1690</v>
      </c>
      <c r="H193" s="210">
        <v>5462</v>
      </c>
      <c r="I193" s="211" t="s">
        <v>147</v>
      </c>
      <c r="J193" s="144">
        <v>1</v>
      </c>
      <c r="K193" s="145">
        <f t="shared" si="315"/>
        <v>1</v>
      </c>
      <c r="L193" s="202">
        <f t="shared" si="316"/>
        <v>1</v>
      </c>
      <c r="M193" s="212">
        <v>1828.4</v>
      </c>
      <c r="N193" s="203">
        <f t="shared" si="317"/>
        <v>1828.4</v>
      </c>
      <c r="O193" s="212" t="s">
        <v>137</v>
      </c>
      <c r="P193" s="212" t="s">
        <v>13</v>
      </c>
      <c r="Q193" s="212" t="s">
        <v>154</v>
      </c>
      <c r="R193" s="212"/>
      <c r="S193" s="212"/>
      <c r="T193" s="203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1</v>
      </c>
      <c r="U193" s="203">
        <f t="shared" ca="1" si="318"/>
        <v>0</v>
      </c>
      <c r="V193" s="203">
        <f t="shared" ca="1" si="319"/>
        <v>1</v>
      </c>
      <c r="W193" s="212"/>
      <c r="X193" s="212"/>
      <c r="Y193" s="212"/>
      <c r="Z193" s="212"/>
      <c r="AA193" s="212"/>
      <c r="AB193" s="212"/>
      <c r="AC193" s="232" t="s">
        <v>196</v>
      </c>
      <c r="AD193" s="226" t="s">
        <v>2039</v>
      </c>
      <c r="AE193" s="148"/>
      <c r="AF193" s="212" t="str">
        <f t="shared" si="320"/>
        <v>AMC2-S2</v>
      </c>
      <c r="AG193" s="212">
        <f t="shared" si="321"/>
        <v>1</v>
      </c>
      <c r="AH193" s="203">
        <f t="shared" si="322"/>
        <v>1</v>
      </c>
      <c r="AI193" s="203">
        <f t="shared" ca="1" si="323"/>
        <v>1</v>
      </c>
      <c r="AJ193" s="203">
        <f t="shared" ca="1" si="324"/>
        <v>0</v>
      </c>
      <c r="AK193" s="212" t="str">
        <f t="shared" si="325"/>
        <v>N/A</v>
      </c>
      <c r="AL193" s="212">
        <f t="shared" si="326"/>
        <v>0</v>
      </c>
      <c r="AM193" s="203">
        <f t="shared" si="327"/>
        <v>0</v>
      </c>
      <c r="AN193" s="203">
        <f t="shared" ca="1" si="328"/>
        <v>0</v>
      </c>
      <c r="AO193" s="203">
        <f t="shared" ca="1" si="329"/>
        <v>0</v>
      </c>
      <c r="AP193" s="212" t="str">
        <f t="shared" si="330"/>
        <v>N/A</v>
      </c>
      <c r="AQ193" s="212">
        <f t="shared" si="331"/>
        <v>0</v>
      </c>
      <c r="AR193" s="203">
        <f t="shared" si="332"/>
        <v>0</v>
      </c>
      <c r="AS193" s="203">
        <f t="shared" ca="1" si="333"/>
        <v>0</v>
      </c>
      <c r="AT193" s="203">
        <f t="shared" ca="1" si="334"/>
        <v>0</v>
      </c>
      <c r="AU193" s="212" t="str">
        <f t="shared" si="335"/>
        <v>N/A</v>
      </c>
      <c r="AV193" s="212">
        <f t="shared" si="336"/>
        <v>0</v>
      </c>
      <c r="AW193" s="203">
        <f t="shared" si="337"/>
        <v>0</v>
      </c>
      <c r="AX193" s="203">
        <f t="shared" ca="1" si="338"/>
        <v>0</v>
      </c>
      <c r="AY193" s="203">
        <f t="shared" ca="1" si="339"/>
        <v>0</v>
      </c>
      <c r="AZ193" s="212"/>
      <c r="BA193" s="213" t="s">
        <v>141</v>
      </c>
      <c r="BB193" s="213" t="s">
        <v>140</v>
      </c>
      <c r="BC193" s="213" t="s">
        <v>140</v>
      </c>
      <c r="BD193" s="213" t="s">
        <v>140</v>
      </c>
      <c r="BE193" s="148"/>
      <c r="BF193" s="212" t="s">
        <v>1789</v>
      </c>
      <c r="BG193" s="117"/>
      <c r="BH193" s="117"/>
      <c r="BI193" s="149"/>
      <c r="BJ193" s="149"/>
      <c r="BK193" s="149"/>
      <c r="BL193" s="149"/>
      <c r="BM193" s="149"/>
      <c r="BN193" s="149"/>
      <c r="BO193" s="149"/>
      <c r="BP193" s="149"/>
      <c r="BQ193" s="149"/>
      <c r="BR193" s="117">
        <v>0</v>
      </c>
      <c r="BS193" s="117">
        <v>1</v>
      </c>
      <c r="BT193" s="117">
        <v>0</v>
      </c>
      <c r="BU193" s="117">
        <v>1</v>
      </c>
      <c r="BV193" s="117">
        <v>0</v>
      </c>
      <c r="BW193" s="117">
        <v>0</v>
      </c>
      <c r="BX193" s="117">
        <v>0</v>
      </c>
      <c r="BY193" s="117" t="s">
        <v>1790</v>
      </c>
      <c r="BZ193" s="117" t="s">
        <v>57</v>
      </c>
      <c r="CA193" s="144">
        <v>1</v>
      </c>
      <c r="CB193" s="149"/>
      <c r="CC193" s="117"/>
      <c r="CD193" s="117"/>
      <c r="CE193" s="148"/>
      <c r="CF193" s="148">
        <f t="shared" si="340"/>
        <v>0</v>
      </c>
    </row>
    <row r="194" spans="1:84" ht="17.25" hidden="1" customHeight="1">
      <c r="A194" s="117"/>
      <c r="B194" s="209" t="s">
        <v>2059</v>
      </c>
      <c r="C194" s="209" t="s">
        <v>2220</v>
      </c>
      <c r="D194" s="209" t="s">
        <v>1204</v>
      </c>
      <c r="E194" s="209" t="s">
        <v>1793</v>
      </c>
      <c r="F194" s="209" t="s">
        <v>1691</v>
      </c>
      <c r="G194" s="209" t="s">
        <v>1692</v>
      </c>
      <c r="H194" s="210">
        <v>1616</v>
      </c>
      <c r="I194" s="211" t="s">
        <v>147</v>
      </c>
      <c r="J194" s="144">
        <v>2</v>
      </c>
      <c r="K194" s="145">
        <f t="shared" si="315"/>
        <v>1</v>
      </c>
      <c r="L194" s="202">
        <f t="shared" si="316"/>
        <v>2</v>
      </c>
      <c r="M194" s="212">
        <v>27.4</v>
      </c>
      <c r="N194" s="203">
        <f t="shared" si="317"/>
        <v>54.8</v>
      </c>
      <c r="O194" s="212" t="s">
        <v>137</v>
      </c>
      <c r="P194" s="212" t="s">
        <v>13</v>
      </c>
      <c r="Q194" s="212" t="s">
        <v>148</v>
      </c>
      <c r="R194" s="212"/>
      <c r="S194" s="212"/>
      <c r="T194" s="203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2</v>
      </c>
      <c r="U194" s="203">
        <f t="shared" ca="1" si="318"/>
        <v>0</v>
      </c>
      <c r="V194" s="203">
        <f t="shared" ca="1" si="319"/>
        <v>1</v>
      </c>
      <c r="W194" s="212"/>
      <c r="X194" s="212"/>
      <c r="Y194" s="212"/>
      <c r="Z194" s="212"/>
      <c r="AA194" s="212"/>
      <c r="AB194" s="212"/>
      <c r="AC194" s="232" t="s">
        <v>196</v>
      </c>
      <c r="AD194" s="226" t="s">
        <v>2039</v>
      </c>
      <c r="AE194" s="148"/>
      <c r="AF194" s="212" t="str">
        <f t="shared" si="320"/>
        <v>AMC2-S2</v>
      </c>
      <c r="AG194" s="212">
        <f t="shared" si="321"/>
        <v>1</v>
      </c>
      <c r="AH194" s="203">
        <f t="shared" si="322"/>
        <v>2</v>
      </c>
      <c r="AI194" s="203">
        <f t="shared" ca="1" si="323"/>
        <v>2</v>
      </c>
      <c r="AJ194" s="203">
        <f t="shared" ca="1" si="324"/>
        <v>0</v>
      </c>
      <c r="AK194" s="212" t="str">
        <f t="shared" si="325"/>
        <v>N/A</v>
      </c>
      <c r="AL194" s="212">
        <f t="shared" si="326"/>
        <v>0</v>
      </c>
      <c r="AM194" s="203">
        <f t="shared" si="327"/>
        <v>0</v>
      </c>
      <c r="AN194" s="203">
        <f t="shared" ca="1" si="328"/>
        <v>0</v>
      </c>
      <c r="AO194" s="203">
        <f t="shared" ca="1" si="329"/>
        <v>0</v>
      </c>
      <c r="AP194" s="212" t="str">
        <f t="shared" si="330"/>
        <v>N/A</v>
      </c>
      <c r="AQ194" s="212">
        <f t="shared" si="331"/>
        <v>0</v>
      </c>
      <c r="AR194" s="203">
        <f t="shared" si="332"/>
        <v>0</v>
      </c>
      <c r="AS194" s="203">
        <f t="shared" ca="1" si="333"/>
        <v>0</v>
      </c>
      <c r="AT194" s="203">
        <f t="shared" ca="1" si="334"/>
        <v>0</v>
      </c>
      <c r="AU194" s="212" t="str">
        <f t="shared" si="335"/>
        <v>N/A</v>
      </c>
      <c r="AV194" s="212">
        <f t="shared" si="336"/>
        <v>0</v>
      </c>
      <c r="AW194" s="203">
        <f t="shared" si="337"/>
        <v>0</v>
      </c>
      <c r="AX194" s="203">
        <f t="shared" ca="1" si="338"/>
        <v>0</v>
      </c>
      <c r="AY194" s="203">
        <f t="shared" ca="1" si="339"/>
        <v>0</v>
      </c>
      <c r="AZ194" s="212"/>
      <c r="BA194" s="213" t="s">
        <v>141</v>
      </c>
      <c r="BB194" s="213" t="s">
        <v>140</v>
      </c>
      <c r="BC194" s="213" t="s">
        <v>140</v>
      </c>
      <c r="BD194" s="213" t="s">
        <v>140</v>
      </c>
      <c r="BE194" s="148"/>
      <c r="BF194" s="212" t="s">
        <v>1789</v>
      </c>
      <c r="BG194" s="117"/>
      <c r="BH194" s="117"/>
      <c r="BI194" s="149"/>
      <c r="BJ194" s="149"/>
      <c r="BK194" s="149"/>
      <c r="BL194" s="149"/>
      <c r="BM194" s="149"/>
      <c r="BN194" s="149"/>
      <c r="BO194" s="149"/>
      <c r="BP194" s="149"/>
      <c r="BQ194" s="149"/>
      <c r="BR194" s="117">
        <v>0</v>
      </c>
      <c r="BS194" s="117">
        <v>0</v>
      </c>
      <c r="BT194" s="117">
        <v>0</v>
      </c>
      <c r="BU194" s="117">
        <v>0</v>
      </c>
      <c r="BV194" s="117">
        <v>0</v>
      </c>
      <c r="BW194" s="117">
        <v>0</v>
      </c>
      <c r="BX194" s="117">
        <v>0</v>
      </c>
      <c r="BY194" s="117" t="s">
        <v>1790</v>
      </c>
      <c r="BZ194" s="117" t="s">
        <v>57</v>
      </c>
      <c r="CA194" s="117">
        <v>2</v>
      </c>
      <c r="CB194" s="149"/>
      <c r="CC194" s="117"/>
      <c r="CD194" s="117"/>
      <c r="CE194" s="148"/>
      <c r="CF194" s="148">
        <f t="shared" si="340"/>
        <v>0</v>
      </c>
    </row>
    <row r="195" spans="1:84" ht="17.25" hidden="1" customHeight="1">
      <c r="A195" s="141"/>
      <c r="B195" s="199" t="s">
        <v>2059</v>
      </c>
      <c r="C195" s="199" t="s">
        <v>2220</v>
      </c>
      <c r="D195" s="199" t="s">
        <v>1204</v>
      </c>
      <c r="E195" s="199" t="s">
        <v>1794</v>
      </c>
      <c r="F195" s="199" t="s">
        <v>1693</v>
      </c>
      <c r="G195" s="199" t="s">
        <v>1692</v>
      </c>
      <c r="H195" s="200">
        <v>1616</v>
      </c>
      <c r="I195" s="201" t="s">
        <v>147</v>
      </c>
      <c r="J195" s="165">
        <v>1</v>
      </c>
      <c r="K195" s="202">
        <f t="shared" si="315"/>
        <v>1</v>
      </c>
      <c r="L195" s="202">
        <f t="shared" si="316"/>
        <v>1</v>
      </c>
      <c r="M195" s="203">
        <v>24.2</v>
      </c>
      <c r="N195" s="203">
        <f t="shared" si="317"/>
        <v>24.2</v>
      </c>
      <c r="O195" s="203" t="s">
        <v>137</v>
      </c>
      <c r="P195" s="203" t="s">
        <v>13</v>
      </c>
      <c r="Q195" s="203" t="s">
        <v>148</v>
      </c>
      <c r="R195" s="203"/>
      <c r="S195" s="203"/>
      <c r="T195" s="203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1</v>
      </c>
      <c r="U195" s="203">
        <f t="shared" ca="1" si="318"/>
        <v>0</v>
      </c>
      <c r="V195" s="203">
        <f t="shared" ca="1" si="319"/>
        <v>1</v>
      </c>
      <c r="W195" s="203"/>
      <c r="X195" s="203"/>
      <c r="Y195" s="203"/>
      <c r="Z195" s="203"/>
      <c r="AA195" s="203"/>
      <c r="AB195" s="203"/>
      <c r="AC195" s="231" t="s">
        <v>196</v>
      </c>
      <c r="AD195" s="225" t="s">
        <v>2039</v>
      </c>
      <c r="AE195" s="166"/>
      <c r="AF195" s="203" t="str">
        <f t="shared" si="320"/>
        <v>AMC2-S2</v>
      </c>
      <c r="AG195" s="203">
        <f t="shared" si="321"/>
        <v>1</v>
      </c>
      <c r="AH195" s="203">
        <f t="shared" si="322"/>
        <v>1</v>
      </c>
      <c r="AI195" s="203">
        <f t="shared" ca="1" si="323"/>
        <v>1</v>
      </c>
      <c r="AJ195" s="203">
        <f t="shared" ca="1" si="324"/>
        <v>0</v>
      </c>
      <c r="AK195" s="203" t="str">
        <f t="shared" si="325"/>
        <v>N/A</v>
      </c>
      <c r="AL195" s="203">
        <f t="shared" si="326"/>
        <v>0</v>
      </c>
      <c r="AM195" s="203">
        <f t="shared" si="327"/>
        <v>0</v>
      </c>
      <c r="AN195" s="203">
        <f t="shared" ca="1" si="328"/>
        <v>0</v>
      </c>
      <c r="AO195" s="203">
        <f t="shared" ca="1" si="329"/>
        <v>0</v>
      </c>
      <c r="AP195" s="203" t="str">
        <f t="shared" si="330"/>
        <v>N/A</v>
      </c>
      <c r="AQ195" s="203">
        <f t="shared" si="331"/>
        <v>0</v>
      </c>
      <c r="AR195" s="203">
        <f t="shared" si="332"/>
        <v>0</v>
      </c>
      <c r="AS195" s="203">
        <f t="shared" ca="1" si="333"/>
        <v>0</v>
      </c>
      <c r="AT195" s="203">
        <f t="shared" ca="1" si="334"/>
        <v>0</v>
      </c>
      <c r="AU195" s="203" t="str">
        <f t="shared" si="335"/>
        <v>N/A</v>
      </c>
      <c r="AV195" s="203">
        <f t="shared" si="336"/>
        <v>0</v>
      </c>
      <c r="AW195" s="203">
        <f t="shared" si="337"/>
        <v>0</v>
      </c>
      <c r="AX195" s="203">
        <f t="shared" ca="1" si="338"/>
        <v>0</v>
      </c>
      <c r="AY195" s="203">
        <f t="shared" ca="1" si="339"/>
        <v>0</v>
      </c>
      <c r="AZ195" s="203"/>
      <c r="BA195" s="204" t="s">
        <v>141</v>
      </c>
      <c r="BB195" s="204" t="s">
        <v>140</v>
      </c>
      <c r="BC195" s="204" t="s">
        <v>140</v>
      </c>
      <c r="BD195" s="204" t="s">
        <v>140</v>
      </c>
      <c r="BE195" s="166"/>
      <c r="BF195" s="203" t="s">
        <v>1789</v>
      </c>
      <c r="BG195" s="141"/>
      <c r="BH195" s="141"/>
      <c r="BI195" s="153"/>
      <c r="BJ195" s="153"/>
      <c r="BK195" s="153"/>
      <c r="BL195" s="153" t="s">
        <v>1932</v>
      </c>
      <c r="BM195" s="153"/>
      <c r="BN195" s="153"/>
      <c r="BO195" s="153"/>
      <c r="BP195" s="153"/>
      <c r="BQ195" s="153"/>
      <c r="BR195" s="141">
        <v>0</v>
      </c>
      <c r="BS195" s="141">
        <v>0</v>
      </c>
      <c r="BT195" s="141">
        <v>0</v>
      </c>
      <c r="BU195" s="141">
        <v>0</v>
      </c>
      <c r="BV195" s="141">
        <v>0</v>
      </c>
      <c r="BW195" s="141">
        <v>0</v>
      </c>
      <c r="BX195" s="141">
        <v>0</v>
      </c>
      <c r="BY195" s="141" t="s">
        <v>1790</v>
      </c>
      <c r="BZ195" s="141" t="s">
        <v>57</v>
      </c>
      <c r="CA195" s="141">
        <v>1</v>
      </c>
      <c r="CB195" s="153"/>
      <c r="CC195" s="141"/>
      <c r="CD195" s="141"/>
      <c r="CE195" s="166"/>
      <c r="CF195" s="166">
        <f t="shared" si="340"/>
        <v>0</v>
      </c>
    </row>
    <row r="196" spans="1:84" ht="17.25" hidden="1" customHeight="1">
      <c r="A196" s="117"/>
      <c r="B196" s="209" t="s">
        <v>2059</v>
      </c>
      <c r="C196" s="209" t="s">
        <v>2220</v>
      </c>
      <c r="D196" s="209" t="s">
        <v>1204</v>
      </c>
      <c r="E196" s="209" t="s">
        <v>1795</v>
      </c>
      <c r="F196" s="209" t="s">
        <v>1694</v>
      </c>
      <c r="G196" s="209" t="s">
        <v>1649</v>
      </c>
      <c r="H196" s="210">
        <v>2260</v>
      </c>
      <c r="I196" s="211" t="s">
        <v>147</v>
      </c>
      <c r="J196" s="144">
        <v>1</v>
      </c>
      <c r="K196" s="145">
        <f t="shared" si="315"/>
        <v>1</v>
      </c>
      <c r="L196" s="202">
        <f t="shared" si="316"/>
        <v>1</v>
      </c>
      <c r="M196" s="212">
        <v>62.4</v>
      </c>
      <c r="N196" s="203">
        <f t="shared" si="317"/>
        <v>62.4</v>
      </c>
      <c r="O196" s="212" t="s">
        <v>137</v>
      </c>
      <c r="P196" s="212" t="s">
        <v>13</v>
      </c>
      <c r="Q196" s="212" t="s">
        <v>148</v>
      </c>
      <c r="R196" s="212"/>
      <c r="S196" s="212"/>
      <c r="T196" s="203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1</v>
      </c>
      <c r="U196" s="203">
        <f t="shared" ca="1" si="318"/>
        <v>0</v>
      </c>
      <c r="V196" s="203">
        <f t="shared" ca="1" si="319"/>
        <v>1</v>
      </c>
      <c r="W196" s="212"/>
      <c r="X196" s="212"/>
      <c r="Y196" s="212"/>
      <c r="Z196" s="212"/>
      <c r="AA196" s="212"/>
      <c r="AB196" s="212"/>
      <c r="AC196" s="232" t="s">
        <v>196</v>
      </c>
      <c r="AD196" s="226" t="s">
        <v>2039</v>
      </c>
      <c r="AE196" s="148"/>
      <c r="AF196" s="212" t="str">
        <f t="shared" si="320"/>
        <v>AMC2-S2</v>
      </c>
      <c r="AG196" s="212">
        <f t="shared" si="321"/>
        <v>1</v>
      </c>
      <c r="AH196" s="203">
        <f t="shared" si="322"/>
        <v>1</v>
      </c>
      <c r="AI196" s="203">
        <f t="shared" ca="1" si="323"/>
        <v>1</v>
      </c>
      <c r="AJ196" s="203">
        <f t="shared" ca="1" si="324"/>
        <v>0</v>
      </c>
      <c r="AK196" s="212" t="str">
        <f t="shared" si="325"/>
        <v>N/A</v>
      </c>
      <c r="AL196" s="212">
        <f t="shared" si="326"/>
        <v>0</v>
      </c>
      <c r="AM196" s="203">
        <f t="shared" si="327"/>
        <v>0</v>
      </c>
      <c r="AN196" s="203">
        <f t="shared" ca="1" si="328"/>
        <v>0</v>
      </c>
      <c r="AO196" s="203">
        <f t="shared" ca="1" si="329"/>
        <v>0</v>
      </c>
      <c r="AP196" s="212" t="str">
        <f t="shared" si="330"/>
        <v>N/A</v>
      </c>
      <c r="AQ196" s="212">
        <f t="shared" si="331"/>
        <v>0</v>
      </c>
      <c r="AR196" s="203">
        <f t="shared" si="332"/>
        <v>0</v>
      </c>
      <c r="AS196" s="203">
        <f t="shared" ca="1" si="333"/>
        <v>0</v>
      </c>
      <c r="AT196" s="203">
        <f t="shared" ca="1" si="334"/>
        <v>0</v>
      </c>
      <c r="AU196" s="212" t="str">
        <f t="shared" si="335"/>
        <v>N/A</v>
      </c>
      <c r="AV196" s="212">
        <f t="shared" si="336"/>
        <v>0</v>
      </c>
      <c r="AW196" s="203">
        <f t="shared" si="337"/>
        <v>0</v>
      </c>
      <c r="AX196" s="203">
        <f t="shared" ca="1" si="338"/>
        <v>0</v>
      </c>
      <c r="AY196" s="203">
        <f t="shared" ca="1" si="339"/>
        <v>0</v>
      </c>
      <c r="AZ196" s="212"/>
      <c r="BA196" s="213" t="s">
        <v>141</v>
      </c>
      <c r="BB196" s="213" t="s">
        <v>140</v>
      </c>
      <c r="BC196" s="213" t="s">
        <v>140</v>
      </c>
      <c r="BD196" s="213" t="s">
        <v>140</v>
      </c>
      <c r="BE196" s="148"/>
      <c r="BF196" s="212" t="s">
        <v>1789</v>
      </c>
      <c r="BG196" s="117"/>
      <c r="BH196" s="117"/>
      <c r="BI196" s="149"/>
      <c r="BJ196" s="149"/>
      <c r="BK196" s="149"/>
      <c r="BL196" s="149"/>
      <c r="BM196" s="149"/>
      <c r="BN196" s="149"/>
      <c r="BO196" s="149"/>
      <c r="BP196" s="149"/>
      <c r="BQ196" s="149"/>
      <c r="BR196" s="117">
        <v>0</v>
      </c>
      <c r="BS196" s="117">
        <v>0</v>
      </c>
      <c r="BT196" s="117">
        <v>0</v>
      </c>
      <c r="BU196" s="117">
        <v>0</v>
      </c>
      <c r="BV196" s="117">
        <v>0</v>
      </c>
      <c r="BW196" s="117">
        <v>0</v>
      </c>
      <c r="BX196" s="117">
        <v>0</v>
      </c>
      <c r="BY196" s="117" t="s">
        <v>1790</v>
      </c>
      <c r="BZ196" s="117" t="s">
        <v>57</v>
      </c>
      <c r="CA196" s="144">
        <v>1</v>
      </c>
      <c r="CB196" s="149"/>
      <c r="CC196" s="117"/>
      <c r="CD196" s="117"/>
      <c r="CE196" s="148"/>
      <c r="CF196" s="148">
        <f t="shared" si="340"/>
        <v>0</v>
      </c>
    </row>
    <row r="197" spans="1:84" ht="17.25" hidden="1" customHeight="1">
      <c r="A197" s="117"/>
      <c r="B197" s="209" t="s">
        <v>2059</v>
      </c>
      <c r="C197" s="209" t="s">
        <v>2220</v>
      </c>
      <c r="D197" s="209" t="s">
        <v>1204</v>
      </c>
      <c r="E197" s="209" t="s">
        <v>1796</v>
      </c>
      <c r="F197" s="209" t="s">
        <v>1695</v>
      </c>
      <c r="G197" s="209" t="s">
        <v>1649</v>
      </c>
      <c r="H197" s="210">
        <v>2260</v>
      </c>
      <c r="I197" s="211" t="s">
        <v>147</v>
      </c>
      <c r="J197" s="144">
        <v>1</v>
      </c>
      <c r="K197" s="145">
        <f t="shared" si="315"/>
        <v>1</v>
      </c>
      <c r="L197" s="202">
        <f t="shared" si="316"/>
        <v>1</v>
      </c>
      <c r="M197" s="212">
        <v>54.6</v>
      </c>
      <c r="N197" s="203">
        <f t="shared" si="317"/>
        <v>54.6</v>
      </c>
      <c r="O197" s="212" t="s">
        <v>137</v>
      </c>
      <c r="P197" s="212" t="s">
        <v>13</v>
      </c>
      <c r="Q197" s="212" t="s">
        <v>148</v>
      </c>
      <c r="R197" s="212"/>
      <c r="S197" s="212"/>
      <c r="T197" s="203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1</v>
      </c>
      <c r="U197" s="203">
        <f t="shared" ca="1" si="318"/>
        <v>0</v>
      </c>
      <c r="V197" s="203">
        <f t="shared" ca="1" si="319"/>
        <v>1</v>
      </c>
      <c r="W197" s="212"/>
      <c r="X197" s="212"/>
      <c r="Y197" s="212"/>
      <c r="Z197" s="212"/>
      <c r="AA197" s="212"/>
      <c r="AB197" s="212"/>
      <c r="AC197" s="232" t="s">
        <v>196</v>
      </c>
      <c r="AD197" s="226" t="s">
        <v>2039</v>
      </c>
      <c r="AE197" s="148"/>
      <c r="AF197" s="212" t="str">
        <f t="shared" si="320"/>
        <v>AMC2-S2</v>
      </c>
      <c r="AG197" s="212">
        <f t="shared" si="321"/>
        <v>1</v>
      </c>
      <c r="AH197" s="203">
        <f t="shared" si="322"/>
        <v>1</v>
      </c>
      <c r="AI197" s="203">
        <f t="shared" ca="1" si="323"/>
        <v>1</v>
      </c>
      <c r="AJ197" s="203">
        <f t="shared" ca="1" si="324"/>
        <v>0</v>
      </c>
      <c r="AK197" s="212" t="str">
        <f t="shared" si="325"/>
        <v>N/A</v>
      </c>
      <c r="AL197" s="212">
        <f t="shared" si="326"/>
        <v>0</v>
      </c>
      <c r="AM197" s="203">
        <f t="shared" si="327"/>
        <v>0</v>
      </c>
      <c r="AN197" s="203">
        <f t="shared" ca="1" si="328"/>
        <v>0</v>
      </c>
      <c r="AO197" s="203">
        <f t="shared" ca="1" si="329"/>
        <v>0</v>
      </c>
      <c r="AP197" s="212" t="str">
        <f t="shared" si="330"/>
        <v>N/A</v>
      </c>
      <c r="AQ197" s="212">
        <f t="shared" si="331"/>
        <v>0</v>
      </c>
      <c r="AR197" s="203">
        <f t="shared" si="332"/>
        <v>0</v>
      </c>
      <c r="AS197" s="203">
        <f t="shared" ca="1" si="333"/>
        <v>0</v>
      </c>
      <c r="AT197" s="203">
        <f t="shared" ca="1" si="334"/>
        <v>0</v>
      </c>
      <c r="AU197" s="212" t="str">
        <f t="shared" si="335"/>
        <v>N/A</v>
      </c>
      <c r="AV197" s="212">
        <f t="shared" si="336"/>
        <v>0</v>
      </c>
      <c r="AW197" s="203">
        <f t="shared" si="337"/>
        <v>0</v>
      </c>
      <c r="AX197" s="203">
        <f t="shared" ca="1" si="338"/>
        <v>0</v>
      </c>
      <c r="AY197" s="203">
        <f t="shared" ca="1" si="339"/>
        <v>0</v>
      </c>
      <c r="AZ197" s="212"/>
      <c r="BA197" s="213" t="s">
        <v>141</v>
      </c>
      <c r="BB197" s="213" t="s">
        <v>140</v>
      </c>
      <c r="BC197" s="213" t="s">
        <v>140</v>
      </c>
      <c r="BD197" s="213" t="s">
        <v>140</v>
      </c>
      <c r="BE197" s="148"/>
      <c r="BF197" s="212" t="s">
        <v>1789</v>
      </c>
      <c r="BG197" s="117"/>
      <c r="BH197" s="117"/>
      <c r="BI197" s="149"/>
      <c r="BJ197" s="149"/>
      <c r="BK197" s="149"/>
      <c r="BL197" s="149"/>
      <c r="BM197" s="149"/>
      <c r="BN197" s="149"/>
      <c r="BO197" s="149"/>
      <c r="BP197" s="149"/>
      <c r="BQ197" s="149"/>
      <c r="BR197" s="117">
        <v>0</v>
      </c>
      <c r="BS197" s="117">
        <v>0</v>
      </c>
      <c r="BT197" s="117">
        <v>0</v>
      </c>
      <c r="BU197" s="117">
        <v>0</v>
      </c>
      <c r="BV197" s="117">
        <v>0</v>
      </c>
      <c r="BW197" s="117">
        <v>0</v>
      </c>
      <c r="BX197" s="117">
        <v>0</v>
      </c>
      <c r="BY197" s="117" t="s">
        <v>1790</v>
      </c>
      <c r="BZ197" s="117" t="s">
        <v>57</v>
      </c>
      <c r="CA197" s="144">
        <v>1</v>
      </c>
      <c r="CB197" s="149"/>
      <c r="CC197" s="117"/>
      <c r="CD197" s="117"/>
      <c r="CE197" s="148"/>
      <c r="CF197" s="148">
        <f t="shared" si="340"/>
        <v>0</v>
      </c>
    </row>
    <row r="198" spans="1:84" ht="17.25" hidden="1" customHeight="1">
      <c r="A198" s="117"/>
      <c r="B198" s="209" t="s">
        <v>2059</v>
      </c>
      <c r="C198" s="209" t="s">
        <v>2220</v>
      </c>
      <c r="D198" s="209" t="s">
        <v>1204</v>
      </c>
      <c r="E198" s="209" t="s">
        <v>1797</v>
      </c>
      <c r="F198" s="209" t="s">
        <v>1696</v>
      </c>
      <c r="G198" s="209" t="s">
        <v>1697</v>
      </c>
      <c r="H198" s="210">
        <v>2825</v>
      </c>
      <c r="I198" s="211" t="s">
        <v>147</v>
      </c>
      <c r="J198" s="144">
        <v>1</v>
      </c>
      <c r="K198" s="145">
        <f t="shared" si="315"/>
        <v>1</v>
      </c>
      <c r="L198" s="202">
        <f t="shared" si="316"/>
        <v>1</v>
      </c>
      <c r="M198" s="212">
        <v>63.9</v>
      </c>
      <c r="N198" s="203">
        <f t="shared" si="317"/>
        <v>63.9</v>
      </c>
      <c r="O198" s="212" t="s">
        <v>137</v>
      </c>
      <c r="P198" s="212" t="s">
        <v>13</v>
      </c>
      <c r="Q198" s="212" t="s">
        <v>148</v>
      </c>
      <c r="R198" s="212"/>
      <c r="S198" s="212"/>
      <c r="T198" s="203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1</v>
      </c>
      <c r="U198" s="203">
        <f t="shared" ca="1" si="318"/>
        <v>0</v>
      </c>
      <c r="V198" s="203">
        <f t="shared" ca="1" si="319"/>
        <v>1</v>
      </c>
      <c r="W198" s="212"/>
      <c r="X198" s="212"/>
      <c r="Y198" s="212"/>
      <c r="Z198" s="212"/>
      <c r="AA198" s="212"/>
      <c r="AB198" s="212"/>
      <c r="AC198" s="232" t="s">
        <v>196</v>
      </c>
      <c r="AD198" s="226" t="s">
        <v>2039</v>
      </c>
      <c r="AE198" s="148"/>
      <c r="AF198" s="212" t="str">
        <f t="shared" si="320"/>
        <v>AMC2-S2</v>
      </c>
      <c r="AG198" s="212">
        <f t="shared" si="321"/>
        <v>1</v>
      </c>
      <c r="AH198" s="203">
        <f t="shared" si="322"/>
        <v>1</v>
      </c>
      <c r="AI198" s="203">
        <f t="shared" ca="1" si="323"/>
        <v>1</v>
      </c>
      <c r="AJ198" s="203">
        <f t="shared" ca="1" si="324"/>
        <v>0</v>
      </c>
      <c r="AK198" s="212" t="str">
        <f t="shared" si="325"/>
        <v>N/A</v>
      </c>
      <c r="AL198" s="212">
        <f t="shared" si="326"/>
        <v>0</v>
      </c>
      <c r="AM198" s="203">
        <f t="shared" si="327"/>
        <v>0</v>
      </c>
      <c r="AN198" s="203">
        <f t="shared" ca="1" si="328"/>
        <v>0</v>
      </c>
      <c r="AO198" s="203">
        <f t="shared" ca="1" si="329"/>
        <v>0</v>
      </c>
      <c r="AP198" s="212" t="str">
        <f t="shared" si="330"/>
        <v>N/A</v>
      </c>
      <c r="AQ198" s="212">
        <f t="shared" si="331"/>
        <v>0</v>
      </c>
      <c r="AR198" s="203">
        <f t="shared" si="332"/>
        <v>0</v>
      </c>
      <c r="AS198" s="203">
        <f t="shared" ca="1" si="333"/>
        <v>0</v>
      </c>
      <c r="AT198" s="203">
        <f t="shared" ca="1" si="334"/>
        <v>0</v>
      </c>
      <c r="AU198" s="212" t="str">
        <f t="shared" si="335"/>
        <v>N/A</v>
      </c>
      <c r="AV198" s="212">
        <f t="shared" si="336"/>
        <v>0</v>
      </c>
      <c r="AW198" s="203">
        <f t="shared" si="337"/>
        <v>0</v>
      </c>
      <c r="AX198" s="203">
        <f t="shared" ca="1" si="338"/>
        <v>0</v>
      </c>
      <c r="AY198" s="203">
        <f t="shared" ca="1" si="339"/>
        <v>0</v>
      </c>
      <c r="AZ198" s="212"/>
      <c r="BA198" s="213" t="s">
        <v>141</v>
      </c>
      <c r="BB198" s="213" t="s">
        <v>140</v>
      </c>
      <c r="BC198" s="213" t="s">
        <v>140</v>
      </c>
      <c r="BD198" s="213" t="s">
        <v>140</v>
      </c>
      <c r="BE198" s="148"/>
      <c r="BF198" s="212" t="s">
        <v>1789</v>
      </c>
      <c r="BG198" s="117"/>
      <c r="BH198" s="117"/>
      <c r="BI198" s="149"/>
      <c r="BJ198" s="149"/>
      <c r="BK198" s="149"/>
      <c r="BL198" s="149"/>
      <c r="BM198" s="149"/>
      <c r="BN198" s="149"/>
      <c r="BO198" s="149"/>
      <c r="BP198" s="149"/>
      <c r="BQ198" s="149"/>
      <c r="BR198" s="117">
        <v>0</v>
      </c>
      <c r="BS198" s="117">
        <v>0</v>
      </c>
      <c r="BT198" s="117">
        <v>0</v>
      </c>
      <c r="BU198" s="117">
        <v>1</v>
      </c>
      <c r="BV198" s="117">
        <v>0</v>
      </c>
      <c r="BW198" s="117">
        <v>0</v>
      </c>
      <c r="BX198" s="117">
        <v>0</v>
      </c>
      <c r="BY198" s="117" t="s">
        <v>1790</v>
      </c>
      <c r="BZ198" s="117" t="s">
        <v>57</v>
      </c>
      <c r="CA198" s="144">
        <v>1</v>
      </c>
      <c r="CB198" s="149"/>
      <c r="CC198" s="117"/>
      <c r="CD198" s="117"/>
      <c r="CE198" s="148"/>
      <c r="CF198" s="148">
        <f t="shared" si="340"/>
        <v>0</v>
      </c>
    </row>
    <row r="199" spans="1:84" ht="17.25" hidden="1" customHeight="1">
      <c r="A199" s="117"/>
      <c r="B199" s="209" t="s">
        <v>2059</v>
      </c>
      <c r="C199" s="209" t="s">
        <v>2220</v>
      </c>
      <c r="D199" s="209" t="s">
        <v>1204</v>
      </c>
      <c r="E199" s="209" t="s">
        <v>1798</v>
      </c>
      <c r="F199" s="209" t="s">
        <v>1698</v>
      </c>
      <c r="G199" s="209" t="s">
        <v>1699</v>
      </c>
      <c r="H199" s="210">
        <v>1211</v>
      </c>
      <c r="I199" s="211" t="s">
        <v>147</v>
      </c>
      <c r="J199" s="144">
        <v>1</v>
      </c>
      <c r="K199" s="145">
        <f t="shared" si="315"/>
        <v>1</v>
      </c>
      <c r="L199" s="202">
        <f t="shared" si="316"/>
        <v>1</v>
      </c>
      <c r="M199" s="212">
        <v>13.8</v>
      </c>
      <c r="N199" s="203">
        <f t="shared" si="317"/>
        <v>13.8</v>
      </c>
      <c r="O199" s="212" t="s">
        <v>137</v>
      </c>
      <c r="P199" s="212" t="s">
        <v>13</v>
      </c>
      <c r="Q199" s="212" t="s">
        <v>148</v>
      </c>
      <c r="R199" s="212"/>
      <c r="S199" s="212"/>
      <c r="T199" s="203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1</v>
      </c>
      <c r="U199" s="203">
        <f t="shared" ca="1" si="318"/>
        <v>0</v>
      </c>
      <c r="V199" s="203">
        <f t="shared" ca="1" si="319"/>
        <v>1</v>
      </c>
      <c r="W199" s="212"/>
      <c r="X199" s="212"/>
      <c r="Y199" s="212"/>
      <c r="Z199" s="212"/>
      <c r="AA199" s="212"/>
      <c r="AB199" s="212"/>
      <c r="AC199" s="232" t="s">
        <v>196</v>
      </c>
      <c r="AD199" s="226" t="s">
        <v>2039</v>
      </c>
      <c r="AE199" s="148"/>
      <c r="AF199" s="212" t="str">
        <f t="shared" si="320"/>
        <v>AMC2-S2</v>
      </c>
      <c r="AG199" s="212">
        <f t="shared" si="321"/>
        <v>1</v>
      </c>
      <c r="AH199" s="203">
        <f t="shared" si="322"/>
        <v>1</v>
      </c>
      <c r="AI199" s="203">
        <f t="shared" ca="1" si="323"/>
        <v>1</v>
      </c>
      <c r="AJ199" s="203">
        <f t="shared" ca="1" si="324"/>
        <v>0</v>
      </c>
      <c r="AK199" s="212" t="str">
        <f t="shared" si="325"/>
        <v>N/A</v>
      </c>
      <c r="AL199" s="212">
        <f t="shared" si="326"/>
        <v>0</v>
      </c>
      <c r="AM199" s="203">
        <f t="shared" si="327"/>
        <v>0</v>
      </c>
      <c r="AN199" s="203">
        <f t="shared" ca="1" si="328"/>
        <v>0</v>
      </c>
      <c r="AO199" s="203">
        <f t="shared" ca="1" si="329"/>
        <v>0</v>
      </c>
      <c r="AP199" s="212" t="str">
        <f t="shared" si="330"/>
        <v>N/A</v>
      </c>
      <c r="AQ199" s="212">
        <f t="shared" si="331"/>
        <v>0</v>
      </c>
      <c r="AR199" s="203">
        <f t="shared" si="332"/>
        <v>0</v>
      </c>
      <c r="AS199" s="203">
        <f t="shared" ca="1" si="333"/>
        <v>0</v>
      </c>
      <c r="AT199" s="203">
        <f t="shared" ca="1" si="334"/>
        <v>0</v>
      </c>
      <c r="AU199" s="212" t="str">
        <f t="shared" si="335"/>
        <v>N/A</v>
      </c>
      <c r="AV199" s="212">
        <f t="shared" si="336"/>
        <v>0</v>
      </c>
      <c r="AW199" s="203">
        <f t="shared" si="337"/>
        <v>0</v>
      </c>
      <c r="AX199" s="203">
        <f t="shared" ca="1" si="338"/>
        <v>0</v>
      </c>
      <c r="AY199" s="203">
        <f t="shared" ca="1" si="339"/>
        <v>0</v>
      </c>
      <c r="AZ199" s="212"/>
      <c r="BA199" s="213" t="s">
        <v>141</v>
      </c>
      <c r="BB199" s="213" t="s">
        <v>140</v>
      </c>
      <c r="BC199" s="213" t="s">
        <v>140</v>
      </c>
      <c r="BD199" s="213" t="s">
        <v>140</v>
      </c>
      <c r="BE199" s="148"/>
      <c r="BF199" s="212" t="s">
        <v>1789</v>
      </c>
      <c r="BG199" s="117"/>
      <c r="BH199" s="117"/>
      <c r="BI199" s="149"/>
      <c r="BJ199" s="149"/>
      <c r="BK199" s="149"/>
      <c r="BL199" s="149"/>
      <c r="BM199" s="149"/>
      <c r="BN199" s="149"/>
      <c r="BO199" s="149"/>
      <c r="BP199" s="149"/>
      <c r="BQ199" s="149"/>
      <c r="BR199" s="117">
        <v>0</v>
      </c>
      <c r="BS199" s="117">
        <v>0</v>
      </c>
      <c r="BT199" s="117">
        <v>0</v>
      </c>
      <c r="BU199" s="117">
        <v>1</v>
      </c>
      <c r="BV199" s="117">
        <v>0</v>
      </c>
      <c r="BW199" s="117">
        <v>0</v>
      </c>
      <c r="BX199" s="117">
        <v>0</v>
      </c>
      <c r="BY199" s="117" t="s">
        <v>1790</v>
      </c>
      <c r="BZ199" s="117" t="s">
        <v>1063</v>
      </c>
      <c r="CA199" s="117">
        <v>1</v>
      </c>
      <c r="CB199" s="149">
        <v>46206</v>
      </c>
      <c r="CC199" s="117"/>
      <c r="CD199" s="117"/>
      <c r="CE199" s="148"/>
      <c r="CF199" s="148">
        <f t="shared" si="340"/>
        <v>0</v>
      </c>
    </row>
    <row r="200" spans="1:84" ht="17.25" hidden="1" customHeight="1">
      <c r="A200" s="117"/>
      <c r="B200" s="209" t="s">
        <v>2059</v>
      </c>
      <c r="C200" s="209" t="s">
        <v>2220</v>
      </c>
      <c r="D200" s="209" t="s">
        <v>13</v>
      </c>
      <c r="E200" s="209" t="s">
        <v>1799</v>
      </c>
      <c r="F200" s="209" t="s">
        <v>1677</v>
      </c>
      <c r="G200" s="209" t="s">
        <v>1254</v>
      </c>
      <c r="H200" s="210">
        <v>520</v>
      </c>
      <c r="I200" s="211" t="s">
        <v>147</v>
      </c>
      <c r="J200" s="144">
        <v>2</v>
      </c>
      <c r="K200" s="145">
        <f t="shared" si="315"/>
        <v>1</v>
      </c>
      <c r="L200" s="202">
        <f t="shared" si="316"/>
        <v>2</v>
      </c>
      <c r="M200" s="212">
        <v>7.8</v>
      </c>
      <c r="N200" s="203">
        <f t="shared" si="317"/>
        <v>15.6</v>
      </c>
      <c r="O200" s="212" t="s">
        <v>137</v>
      </c>
      <c r="P200" s="212" t="s">
        <v>13</v>
      </c>
      <c r="Q200" s="212" t="s">
        <v>148</v>
      </c>
      <c r="R200" s="212"/>
      <c r="S200" s="212"/>
      <c r="T200" s="203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2</v>
      </c>
      <c r="U200" s="203">
        <f t="shared" ca="1" si="318"/>
        <v>0</v>
      </c>
      <c r="V200" s="203">
        <f t="shared" ca="1" si="319"/>
        <v>1</v>
      </c>
      <c r="W200" s="212"/>
      <c r="X200" s="212"/>
      <c r="Y200" s="212"/>
      <c r="Z200" s="212"/>
      <c r="AA200" s="212"/>
      <c r="AB200" s="212"/>
      <c r="AC200" s="232" t="s">
        <v>196</v>
      </c>
      <c r="AD200" s="226" t="s">
        <v>2039</v>
      </c>
      <c r="AE200" s="148"/>
      <c r="AF200" s="212" t="str">
        <f t="shared" si="320"/>
        <v>AMC2-S2</v>
      </c>
      <c r="AG200" s="212">
        <f t="shared" si="321"/>
        <v>1</v>
      </c>
      <c r="AH200" s="203">
        <f t="shared" si="322"/>
        <v>2</v>
      </c>
      <c r="AI200" s="203">
        <f t="shared" ca="1" si="323"/>
        <v>2</v>
      </c>
      <c r="AJ200" s="203">
        <f t="shared" ca="1" si="324"/>
        <v>0</v>
      </c>
      <c r="AK200" s="212" t="str">
        <f t="shared" si="325"/>
        <v>N/A</v>
      </c>
      <c r="AL200" s="212">
        <f t="shared" si="326"/>
        <v>0</v>
      </c>
      <c r="AM200" s="203">
        <f t="shared" si="327"/>
        <v>0</v>
      </c>
      <c r="AN200" s="203">
        <f t="shared" ca="1" si="328"/>
        <v>0</v>
      </c>
      <c r="AO200" s="203">
        <f t="shared" ca="1" si="329"/>
        <v>0</v>
      </c>
      <c r="AP200" s="212" t="str">
        <f t="shared" si="330"/>
        <v>N/A</v>
      </c>
      <c r="AQ200" s="212">
        <f t="shared" si="331"/>
        <v>0</v>
      </c>
      <c r="AR200" s="203">
        <f t="shared" si="332"/>
        <v>0</v>
      </c>
      <c r="AS200" s="203">
        <f t="shared" ca="1" si="333"/>
        <v>0</v>
      </c>
      <c r="AT200" s="203">
        <f t="shared" ca="1" si="334"/>
        <v>0</v>
      </c>
      <c r="AU200" s="212" t="str">
        <f t="shared" si="335"/>
        <v>N/A</v>
      </c>
      <c r="AV200" s="212">
        <f t="shared" si="336"/>
        <v>0</v>
      </c>
      <c r="AW200" s="203">
        <f t="shared" si="337"/>
        <v>0</v>
      </c>
      <c r="AX200" s="203">
        <f t="shared" ca="1" si="338"/>
        <v>0</v>
      </c>
      <c r="AY200" s="203">
        <f t="shared" ca="1" si="339"/>
        <v>0</v>
      </c>
      <c r="AZ200" s="212"/>
      <c r="BA200" s="213" t="s">
        <v>141</v>
      </c>
      <c r="BB200" s="213" t="s">
        <v>140</v>
      </c>
      <c r="BC200" s="213" t="s">
        <v>140</v>
      </c>
      <c r="BD200" s="213" t="s">
        <v>140</v>
      </c>
      <c r="BE200" s="148"/>
      <c r="BF200" s="212" t="s">
        <v>1789</v>
      </c>
      <c r="BG200" s="117"/>
      <c r="BH200" s="117"/>
      <c r="BI200" s="149"/>
      <c r="BJ200" s="149"/>
      <c r="BK200" s="149"/>
      <c r="BL200" s="149"/>
      <c r="BM200" s="149"/>
      <c r="BN200" s="149"/>
      <c r="BO200" s="149"/>
      <c r="BP200" s="149"/>
      <c r="BQ200" s="149"/>
      <c r="BR200" s="117">
        <v>1</v>
      </c>
      <c r="BS200" s="117">
        <v>0</v>
      </c>
      <c r="BT200" s="117">
        <v>0</v>
      </c>
      <c r="BU200" s="117">
        <v>1</v>
      </c>
      <c r="BV200" s="117">
        <v>0</v>
      </c>
      <c r="BW200" s="117">
        <v>0</v>
      </c>
      <c r="BX200" s="117">
        <v>0</v>
      </c>
      <c r="BY200" s="117" t="s">
        <v>1790</v>
      </c>
      <c r="BZ200" s="117" t="s">
        <v>1303</v>
      </c>
      <c r="CA200" s="117">
        <v>2</v>
      </c>
      <c r="CB200" s="149">
        <v>46206</v>
      </c>
      <c r="CC200" s="117"/>
      <c r="CD200" s="117"/>
      <c r="CE200" s="148"/>
      <c r="CF200" s="148">
        <f t="shared" si="340"/>
        <v>0</v>
      </c>
    </row>
    <row r="201" spans="1:84" ht="17.25" hidden="1" customHeight="1">
      <c r="A201" s="117"/>
      <c r="B201" s="209" t="s">
        <v>2059</v>
      </c>
      <c r="C201" s="209" t="s">
        <v>2220</v>
      </c>
      <c r="D201" s="209" t="s">
        <v>13</v>
      </c>
      <c r="E201" s="209" t="s">
        <v>1800</v>
      </c>
      <c r="F201" s="209" t="s">
        <v>1678</v>
      </c>
      <c r="G201" s="209" t="s">
        <v>1157</v>
      </c>
      <c r="H201" s="210">
        <v>11512</v>
      </c>
      <c r="I201" s="211" t="s">
        <v>147</v>
      </c>
      <c r="J201" s="144">
        <v>2</v>
      </c>
      <c r="K201" s="145">
        <f t="shared" si="315"/>
        <v>1</v>
      </c>
      <c r="L201" s="202">
        <f t="shared" si="316"/>
        <v>2</v>
      </c>
      <c r="M201" s="212">
        <v>433.8</v>
      </c>
      <c r="N201" s="203">
        <f t="shared" si="317"/>
        <v>867.6</v>
      </c>
      <c r="O201" s="212" t="s">
        <v>137</v>
      </c>
      <c r="P201" s="212" t="s">
        <v>13</v>
      </c>
      <c r="Q201" s="212" t="s">
        <v>148</v>
      </c>
      <c r="R201" s="212"/>
      <c r="S201" s="212"/>
      <c r="T201" s="203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2</v>
      </c>
      <c r="U201" s="203">
        <f t="shared" ca="1" si="318"/>
        <v>0</v>
      </c>
      <c r="V201" s="203">
        <f t="shared" ca="1" si="319"/>
        <v>1</v>
      </c>
      <c r="W201" s="212"/>
      <c r="X201" s="212"/>
      <c r="Y201" s="212"/>
      <c r="Z201" s="212"/>
      <c r="AA201" s="212"/>
      <c r="AB201" s="212"/>
      <c r="AC201" s="232" t="s">
        <v>196</v>
      </c>
      <c r="AD201" s="226" t="s">
        <v>2039</v>
      </c>
      <c r="AE201" s="148"/>
      <c r="AF201" s="212" t="str">
        <f t="shared" si="320"/>
        <v>AMC2-S2</v>
      </c>
      <c r="AG201" s="212">
        <f t="shared" si="321"/>
        <v>1</v>
      </c>
      <c r="AH201" s="203">
        <f t="shared" si="322"/>
        <v>2</v>
      </c>
      <c r="AI201" s="203">
        <f t="shared" ca="1" si="323"/>
        <v>2</v>
      </c>
      <c r="AJ201" s="203">
        <f t="shared" ca="1" si="324"/>
        <v>0</v>
      </c>
      <c r="AK201" s="212" t="str">
        <f t="shared" si="325"/>
        <v>N/A</v>
      </c>
      <c r="AL201" s="212">
        <f t="shared" si="326"/>
        <v>0</v>
      </c>
      <c r="AM201" s="203">
        <f t="shared" si="327"/>
        <v>0</v>
      </c>
      <c r="AN201" s="203">
        <f t="shared" ca="1" si="328"/>
        <v>0</v>
      </c>
      <c r="AO201" s="203">
        <f t="shared" ca="1" si="329"/>
        <v>0</v>
      </c>
      <c r="AP201" s="212" t="str">
        <f t="shared" si="330"/>
        <v>N/A</v>
      </c>
      <c r="AQ201" s="212">
        <f t="shared" si="331"/>
        <v>0</v>
      </c>
      <c r="AR201" s="203">
        <f t="shared" si="332"/>
        <v>0</v>
      </c>
      <c r="AS201" s="203">
        <f t="shared" ca="1" si="333"/>
        <v>0</v>
      </c>
      <c r="AT201" s="203">
        <f t="shared" ca="1" si="334"/>
        <v>0</v>
      </c>
      <c r="AU201" s="212" t="str">
        <f t="shared" si="335"/>
        <v>N/A</v>
      </c>
      <c r="AV201" s="212">
        <f t="shared" si="336"/>
        <v>0</v>
      </c>
      <c r="AW201" s="203">
        <f t="shared" si="337"/>
        <v>0</v>
      </c>
      <c r="AX201" s="203">
        <f t="shared" ca="1" si="338"/>
        <v>0</v>
      </c>
      <c r="AY201" s="203">
        <f t="shared" ca="1" si="339"/>
        <v>0</v>
      </c>
      <c r="AZ201" s="212"/>
      <c r="BA201" s="213" t="s">
        <v>141</v>
      </c>
      <c r="BB201" s="213" t="s">
        <v>140</v>
      </c>
      <c r="BC201" s="213" t="s">
        <v>140</v>
      </c>
      <c r="BD201" s="213" t="s">
        <v>140</v>
      </c>
      <c r="BE201" s="148"/>
      <c r="BF201" s="212" t="s">
        <v>1789</v>
      </c>
      <c r="BG201" s="117"/>
      <c r="BH201" s="117"/>
      <c r="BI201" s="149"/>
      <c r="BJ201" s="149"/>
      <c r="BK201" s="149"/>
      <c r="BL201" s="149"/>
      <c r="BM201" s="149"/>
      <c r="BN201" s="149"/>
      <c r="BO201" s="149"/>
      <c r="BP201" s="149"/>
      <c r="BQ201" s="149"/>
      <c r="BR201" s="117">
        <v>0</v>
      </c>
      <c r="BS201" s="117">
        <v>0</v>
      </c>
      <c r="BT201" s="117">
        <v>0</v>
      </c>
      <c r="BU201" s="117">
        <v>0</v>
      </c>
      <c r="BV201" s="117">
        <v>0</v>
      </c>
      <c r="BW201" s="117">
        <v>0</v>
      </c>
      <c r="BX201" s="117">
        <v>0</v>
      </c>
      <c r="BY201" s="117" t="s">
        <v>1790</v>
      </c>
      <c r="BZ201" s="117" t="s">
        <v>1303</v>
      </c>
      <c r="CA201" s="117">
        <v>2</v>
      </c>
      <c r="CB201" s="149">
        <v>46206</v>
      </c>
      <c r="CC201" s="117"/>
      <c r="CD201" s="117"/>
      <c r="CE201" s="148"/>
      <c r="CF201" s="148">
        <f t="shared" si="340"/>
        <v>0</v>
      </c>
    </row>
    <row r="202" spans="1:84" ht="17.25" hidden="1" customHeight="1">
      <c r="A202" s="117"/>
      <c r="B202" s="209" t="s">
        <v>2059</v>
      </c>
      <c r="C202" s="209" t="s">
        <v>2220</v>
      </c>
      <c r="D202" s="209" t="s">
        <v>13</v>
      </c>
      <c r="E202" s="209" t="s">
        <v>1801</v>
      </c>
      <c r="F202" s="209" t="s">
        <v>1679</v>
      </c>
      <c r="G202" s="209" t="s">
        <v>1680</v>
      </c>
      <c r="H202" s="210">
        <v>174</v>
      </c>
      <c r="I202" s="211" t="s">
        <v>147</v>
      </c>
      <c r="J202" s="144">
        <v>4</v>
      </c>
      <c r="K202" s="145">
        <f t="shared" si="315"/>
        <v>1</v>
      </c>
      <c r="L202" s="202">
        <f t="shared" si="316"/>
        <v>4</v>
      </c>
      <c r="M202" s="212">
        <v>1.3</v>
      </c>
      <c r="N202" s="203">
        <f t="shared" si="317"/>
        <v>5.2</v>
      </c>
      <c r="O202" s="212" t="s">
        <v>137</v>
      </c>
      <c r="P202" s="212" t="s">
        <v>13</v>
      </c>
      <c r="Q202" s="212" t="s">
        <v>148</v>
      </c>
      <c r="R202" s="212"/>
      <c r="S202" s="212"/>
      <c r="T202" s="203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4</v>
      </c>
      <c r="U202" s="203">
        <f t="shared" ca="1" si="318"/>
        <v>0</v>
      </c>
      <c r="V202" s="203">
        <f t="shared" ca="1" si="319"/>
        <v>1</v>
      </c>
      <c r="W202" s="212"/>
      <c r="X202" s="212"/>
      <c r="Y202" s="212"/>
      <c r="Z202" s="212"/>
      <c r="AA202" s="212"/>
      <c r="AB202" s="212"/>
      <c r="AC202" s="232" t="s">
        <v>196</v>
      </c>
      <c r="AD202" s="226" t="s">
        <v>2039</v>
      </c>
      <c r="AE202" s="148"/>
      <c r="AF202" s="212" t="str">
        <f t="shared" si="320"/>
        <v>AMC2-S2</v>
      </c>
      <c r="AG202" s="212">
        <f t="shared" si="321"/>
        <v>1</v>
      </c>
      <c r="AH202" s="203">
        <f t="shared" si="322"/>
        <v>4</v>
      </c>
      <c r="AI202" s="203">
        <f t="shared" ca="1" si="323"/>
        <v>4</v>
      </c>
      <c r="AJ202" s="203">
        <f t="shared" ca="1" si="324"/>
        <v>0</v>
      </c>
      <c r="AK202" s="212" t="str">
        <f t="shared" si="325"/>
        <v>N/A</v>
      </c>
      <c r="AL202" s="212">
        <f t="shared" si="326"/>
        <v>0</v>
      </c>
      <c r="AM202" s="203">
        <f t="shared" si="327"/>
        <v>0</v>
      </c>
      <c r="AN202" s="203">
        <f t="shared" ca="1" si="328"/>
        <v>0</v>
      </c>
      <c r="AO202" s="203">
        <f t="shared" ca="1" si="329"/>
        <v>0</v>
      </c>
      <c r="AP202" s="212" t="str">
        <f t="shared" si="330"/>
        <v>N/A</v>
      </c>
      <c r="AQ202" s="212">
        <f t="shared" si="331"/>
        <v>0</v>
      </c>
      <c r="AR202" s="203">
        <f t="shared" si="332"/>
        <v>0</v>
      </c>
      <c r="AS202" s="203">
        <f t="shared" ca="1" si="333"/>
        <v>0</v>
      </c>
      <c r="AT202" s="203">
        <f t="shared" ca="1" si="334"/>
        <v>0</v>
      </c>
      <c r="AU202" s="212" t="str">
        <f t="shared" si="335"/>
        <v>N/A</v>
      </c>
      <c r="AV202" s="212">
        <f t="shared" si="336"/>
        <v>0</v>
      </c>
      <c r="AW202" s="203">
        <f t="shared" si="337"/>
        <v>0</v>
      </c>
      <c r="AX202" s="203">
        <f t="shared" ca="1" si="338"/>
        <v>0</v>
      </c>
      <c r="AY202" s="203">
        <f t="shared" ca="1" si="339"/>
        <v>0</v>
      </c>
      <c r="AZ202" s="212"/>
      <c r="BA202" s="213" t="s">
        <v>141</v>
      </c>
      <c r="BB202" s="213" t="s">
        <v>140</v>
      </c>
      <c r="BC202" s="213" t="s">
        <v>140</v>
      </c>
      <c r="BD202" s="213" t="s">
        <v>140</v>
      </c>
      <c r="BE202" s="148"/>
      <c r="BF202" s="212" t="s">
        <v>1789</v>
      </c>
      <c r="BG202" s="117"/>
      <c r="BH202" s="117"/>
      <c r="BI202" s="149"/>
      <c r="BJ202" s="149"/>
      <c r="BK202" s="149"/>
      <c r="BL202" s="149"/>
      <c r="BM202" s="149"/>
      <c r="BN202" s="149"/>
      <c r="BO202" s="149"/>
      <c r="BP202" s="149"/>
      <c r="BQ202" s="149"/>
      <c r="BR202" s="117">
        <v>0</v>
      </c>
      <c r="BS202" s="117">
        <v>0</v>
      </c>
      <c r="BT202" s="117">
        <v>0</v>
      </c>
      <c r="BU202" s="117">
        <v>0</v>
      </c>
      <c r="BV202" s="117">
        <v>0</v>
      </c>
      <c r="BW202" s="117">
        <v>0</v>
      </c>
      <c r="BX202" s="117">
        <v>0</v>
      </c>
      <c r="BY202" s="117" t="s">
        <v>1790</v>
      </c>
      <c r="BZ202" s="117" t="s">
        <v>989</v>
      </c>
      <c r="CA202" s="117">
        <v>4</v>
      </c>
      <c r="CB202" s="149">
        <v>46186</v>
      </c>
      <c r="CC202" s="117"/>
      <c r="CD202" s="117"/>
      <c r="CE202" s="148"/>
      <c r="CF202" s="148">
        <f t="shared" si="340"/>
        <v>0</v>
      </c>
    </row>
    <row r="203" spans="1:84" ht="17.25" hidden="1" customHeight="1">
      <c r="A203" s="117"/>
      <c r="B203" s="209" t="s">
        <v>2059</v>
      </c>
      <c r="C203" s="209" t="s">
        <v>2220</v>
      </c>
      <c r="D203" s="209" t="s">
        <v>13</v>
      </c>
      <c r="E203" s="209" t="s">
        <v>1815</v>
      </c>
      <c r="F203" s="209" t="s">
        <v>1681</v>
      </c>
      <c r="G203" s="209" t="s">
        <v>1680</v>
      </c>
      <c r="H203" s="210">
        <v>182</v>
      </c>
      <c r="I203" s="211" t="s">
        <v>147</v>
      </c>
      <c r="J203" s="144">
        <v>2</v>
      </c>
      <c r="K203" s="145">
        <f t="shared" si="315"/>
        <v>1</v>
      </c>
      <c r="L203" s="202">
        <f t="shared" si="316"/>
        <v>2</v>
      </c>
      <c r="M203" s="212">
        <v>1.4</v>
      </c>
      <c r="N203" s="203">
        <f t="shared" si="317"/>
        <v>2.8</v>
      </c>
      <c r="O203" s="212" t="s">
        <v>137</v>
      </c>
      <c r="P203" s="212" t="s">
        <v>13</v>
      </c>
      <c r="Q203" s="212" t="s">
        <v>148</v>
      </c>
      <c r="R203" s="212"/>
      <c r="S203" s="212"/>
      <c r="T203" s="203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2</v>
      </c>
      <c r="U203" s="203">
        <f t="shared" ca="1" si="318"/>
        <v>0</v>
      </c>
      <c r="V203" s="203">
        <f t="shared" ca="1" si="319"/>
        <v>1</v>
      </c>
      <c r="W203" s="212"/>
      <c r="X203" s="212"/>
      <c r="Y203" s="212"/>
      <c r="Z203" s="212"/>
      <c r="AA203" s="212"/>
      <c r="AB203" s="212"/>
      <c r="AC203" s="232" t="s">
        <v>196</v>
      </c>
      <c r="AD203" s="226" t="s">
        <v>2039</v>
      </c>
      <c r="AE203" s="148"/>
      <c r="AF203" s="212" t="str">
        <f t="shared" si="320"/>
        <v>AMC2-S2</v>
      </c>
      <c r="AG203" s="212">
        <f t="shared" si="321"/>
        <v>1</v>
      </c>
      <c r="AH203" s="203">
        <f t="shared" si="322"/>
        <v>2</v>
      </c>
      <c r="AI203" s="203">
        <f t="shared" ca="1" si="323"/>
        <v>2</v>
      </c>
      <c r="AJ203" s="203">
        <f t="shared" ca="1" si="324"/>
        <v>0</v>
      </c>
      <c r="AK203" s="212" t="str">
        <f t="shared" si="325"/>
        <v>N/A</v>
      </c>
      <c r="AL203" s="212">
        <f t="shared" si="326"/>
        <v>0</v>
      </c>
      <c r="AM203" s="203">
        <f t="shared" si="327"/>
        <v>0</v>
      </c>
      <c r="AN203" s="203">
        <f t="shared" ca="1" si="328"/>
        <v>0</v>
      </c>
      <c r="AO203" s="203">
        <f t="shared" ca="1" si="329"/>
        <v>0</v>
      </c>
      <c r="AP203" s="212" t="str">
        <f t="shared" si="330"/>
        <v>N/A</v>
      </c>
      <c r="AQ203" s="212">
        <f t="shared" si="331"/>
        <v>0</v>
      </c>
      <c r="AR203" s="203">
        <f t="shared" si="332"/>
        <v>0</v>
      </c>
      <c r="AS203" s="203">
        <f t="shared" ca="1" si="333"/>
        <v>0</v>
      </c>
      <c r="AT203" s="203">
        <f t="shared" ca="1" si="334"/>
        <v>0</v>
      </c>
      <c r="AU203" s="212" t="str">
        <f t="shared" si="335"/>
        <v>N/A</v>
      </c>
      <c r="AV203" s="212">
        <f t="shared" si="336"/>
        <v>0</v>
      </c>
      <c r="AW203" s="203">
        <f t="shared" si="337"/>
        <v>0</v>
      </c>
      <c r="AX203" s="203">
        <f t="shared" ca="1" si="338"/>
        <v>0</v>
      </c>
      <c r="AY203" s="203">
        <f t="shared" ca="1" si="339"/>
        <v>0</v>
      </c>
      <c r="AZ203" s="212"/>
      <c r="BA203" s="213" t="s">
        <v>141</v>
      </c>
      <c r="BB203" s="213" t="s">
        <v>140</v>
      </c>
      <c r="BC203" s="213" t="s">
        <v>140</v>
      </c>
      <c r="BD203" s="213" t="s">
        <v>140</v>
      </c>
      <c r="BE203" s="148"/>
      <c r="BF203" s="212" t="s">
        <v>1789</v>
      </c>
      <c r="BG203" s="117"/>
      <c r="BH203" s="117"/>
      <c r="BI203" s="149"/>
      <c r="BJ203" s="149"/>
      <c r="BK203" s="149"/>
      <c r="BL203" s="149"/>
      <c r="BM203" s="149"/>
      <c r="BN203" s="149"/>
      <c r="BO203" s="149"/>
      <c r="BP203" s="149"/>
      <c r="BQ203" s="149"/>
      <c r="BR203" s="117">
        <v>0</v>
      </c>
      <c r="BS203" s="117">
        <v>0</v>
      </c>
      <c r="BT203" s="117">
        <v>0</v>
      </c>
      <c r="BU203" s="117">
        <v>0</v>
      </c>
      <c r="BV203" s="117">
        <v>0</v>
      </c>
      <c r="BW203" s="117">
        <v>0</v>
      </c>
      <c r="BX203" s="117">
        <v>0</v>
      </c>
      <c r="BY203" s="117" t="s">
        <v>1790</v>
      </c>
      <c r="BZ203" s="117" t="s">
        <v>989</v>
      </c>
      <c r="CA203" s="117">
        <v>2</v>
      </c>
      <c r="CB203" s="149">
        <v>46186</v>
      </c>
      <c r="CC203" s="117"/>
      <c r="CD203" s="117"/>
      <c r="CE203" s="148"/>
      <c r="CF203" s="148">
        <f t="shared" si="340"/>
        <v>0</v>
      </c>
    </row>
    <row r="204" spans="1:84" ht="17.25" hidden="1" customHeight="1">
      <c r="A204" s="117"/>
      <c r="B204" s="209" t="s">
        <v>2059</v>
      </c>
      <c r="C204" s="209" t="s">
        <v>2220</v>
      </c>
      <c r="D204" s="209" t="s">
        <v>13</v>
      </c>
      <c r="E204" s="209" t="s">
        <v>1805</v>
      </c>
      <c r="F204" s="209" t="s">
        <v>1682</v>
      </c>
      <c r="G204" s="209" t="s">
        <v>1683</v>
      </c>
      <c r="H204" s="210">
        <v>301</v>
      </c>
      <c r="I204" s="211" t="s">
        <v>147</v>
      </c>
      <c r="J204" s="144">
        <v>4</v>
      </c>
      <c r="K204" s="145">
        <f t="shared" si="315"/>
        <v>1</v>
      </c>
      <c r="L204" s="202">
        <f t="shared" si="316"/>
        <v>4</v>
      </c>
      <c r="M204" s="212">
        <v>3</v>
      </c>
      <c r="N204" s="203">
        <f t="shared" si="317"/>
        <v>12</v>
      </c>
      <c r="O204" s="212" t="s">
        <v>137</v>
      </c>
      <c r="P204" s="212" t="s">
        <v>13</v>
      </c>
      <c r="Q204" s="212" t="s">
        <v>148</v>
      </c>
      <c r="R204" s="212"/>
      <c r="S204" s="212"/>
      <c r="T204" s="203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4</v>
      </c>
      <c r="U204" s="203">
        <f t="shared" ca="1" si="318"/>
        <v>0</v>
      </c>
      <c r="V204" s="203">
        <f t="shared" ca="1" si="319"/>
        <v>1</v>
      </c>
      <c r="W204" s="212"/>
      <c r="X204" s="212"/>
      <c r="Y204" s="212"/>
      <c r="Z204" s="212"/>
      <c r="AA204" s="212"/>
      <c r="AB204" s="212"/>
      <c r="AC204" s="232" t="s">
        <v>196</v>
      </c>
      <c r="AD204" s="226" t="s">
        <v>2039</v>
      </c>
      <c r="AE204" s="148"/>
      <c r="AF204" s="212" t="str">
        <f t="shared" si="320"/>
        <v>AMC2-S2</v>
      </c>
      <c r="AG204" s="212">
        <f t="shared" si="321"/>
        <v>1</v>
      </c>
      <c r="AH204" s="203">
        <f t="shared" si="322"/>
        <v>4</v>
      </c>
      <c r="AI204" s="203">
        <f t="shared" ca="1" si="323"/>
        <v>4</v>
      </c>
      <c r="AJ204" s="203">
        <f t="shared" ca="1" si="324"/>
        <v>0</v>
      </c>
      <c r="AK204" s="212" t="str">
        <f t="shared" si="325"/>
        <v>N/A</v>
      </c>
      <c r="AL204" s="212">
        <f t="shared" si="326"/>
        <v>0</v>
      </c>
      <c r="AM204" s="203">
        <f t="shared" si="327"/>
        <v>0</v>
      </c>
      <c r="AN204" s="203">
        <f t="shared" ca="1" si="328"/>
        <v>0</v>
      </c>
      <c r="AO204" s="203">
        <f t="shared" ca="1" si="329"/>
        <v>0</v>
      </c>
      <c r="AP204" s="212" t="str">
        <f t="shared" si="330"/>
        <v>N/A</v>
      </c>
      <c r="AQ204" s="212">
        <f t="shared" si="331"/>
        <v>0</v>
      </c>
      <c r="AR204" s="203">
        <f t="shared" si="332"/>
        <v>0</v>
      </c>
      <c r="AS204" s="203">
        <f t="shared" ca="1" si="333"/>
        <v>0</v>
      </c>
      <c r="AT204" s="203">
        <f t="shared" ca="1" si="334"/>
        <v>0</v>
      </c>
      <c r="AU204" s="212" t="str">
        <f t="shared" si="335"/>
        <v>N/A</v>
      </c>
      <c r="AV204" s="212">
        <f t="shared" si="336"/>
        <v>0</v>
      </c>
      <c r="AW204" s="203">
        <f t="shared" si="337"/>
        <v>0</v>
      </c>
      <c r="AX204" s="203">
        <f t="shared" ca="1" si="338"/>
        <v>0</v>
      </c>
      <c r="AY204" s="203">
        <f t="shared" ca="1" si="339"/>
        <v>0</v>
      </c>
      <c r="AZ204" s="212"/>
      <c r="BA204" s="213" t="s">
        <v>141</v>
      </c>
      <c r="BB204" s="213" t="s">
        <v>140</v>
      </c>
      <c r="BC204" s="213" t="s">
        <v>140</v>
      </c>
      <c r="BD204" s="213" t="s">
        <v>140</v>
      </c>
      <c r="BE204" s="148"/>
      <c r="BF204" s="212" t="s">
        <v>1789</v>
      </c>
      <c r="BG204" s="117"/>
      <c r="BH204" s="117"/>
      <c r="BI204" s="149"/>
      <c r="BJ204" s="149"/>
      <c r="BK204" s="149"/>
      <c r="BL204" s="149"/>
      <c r="BM204" s="149"/>
      <c r="BN204" s="149"/>
      <c r="BO204" s="149"/>
      <c r="BP204" s="149"/>
      <c r="BQ204" s="149"/>
      <c r="BR204" s="117">
        <v>0</v>
      </c>
      <c r="BS204" s="117">
        <v>0</v>
      </c>
      <c r="BT204" s="117">
        <v>0</v>
      </c>
      <c r="BU204" s="117">
        <v>0</v>
      </c>
      <c r="BV204" s="117">
        <v>0</v>
      </c>
      <c r="BW204" s="117">
        <v>0</v>
      </c>
      <c r="BX204" s="117">
        <v>0</v>
      </c>
      <c r="BY204" s="117" t="s">
        <v>1790</v>
      </c>
      <c r="BZ204" s="117" t="s">
        <v>989</v>
      </c>
      <c r="CA204" s="117">
        <v>4</v>
      </c>
      <c r="CB204" s="149">
        <v>46186</v>
      </c>
      <c r="CC204" s="117"/>
      <c r="CD204" s="117"/>
      <c r="CE204" s="148"/>
      <c r="CF204" s="148">
        <f t="shared" si="340"/>
        <v>0</v>
      </c>
    </row>
    <row r="205" spans="1:84" ht="17.25" hidden="1" customHeight="1">
      <c r="A205" s="117"/>
      <c r="B205" s="209" t="s">
        <v>2059</v>
      </c>
      <c r="C205" s="209" t="s">
        <v>2220</v>
      </c>
      <c r="D205" s="209" t="s">
        <v>13</v>
      </c>
      <c r="E205" s="209" t="s">
        <v>1816</v>
      </c>
      <c r="F205" s="209" t="s">
        <v>1684</v>
      </c>
      <c r="G205" s="209" t="s">
        <v>1222</v>
      </c>
      <c r="H205" s="210">
        <v>516</v>
      </c>
      <c r="I205" s="211" t="s">
        <v>147</v>
      </c>
      <c r="J205" s="144">
        <v>1</v>
      </c>
      <c r="K205" s="145">
        <f t="shared" si="315"/>
        <v>1</v>
      </c>
      <c r="L205" s="202">
        <f t="shared" si="316"/>
        <v>1</v>
      </c>
      <c r="M205" s="212">
        <v>13.2</v>
      </c>
      <c r="N205" s="203">
        <f t="shared" si="317"/>
        <v>13.2</v>
      </c>
      <c r="O205" s="212" t="s">
        <v>137</v>
      </c>
      <c r="P205" s="212" t="s">
        <v>13</v>
      </c>
      <c r="Q205" s="212" t="s">
        <v>148</v>
      </c>
      <c r="R205" s="212"/>
      <c r="S205" s="212"/>
      <c r="T205" s="203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203">
        <f t="shared" ca="1" si="318"/>
        <v>0</v>
      </c>
      <c r="V205" s="203">
        <f t="shared" ca="1" si="319"/>
        <v>1</v>
      </c>
      <c r="W205" s="212"/>
      <c r="X205" s="212"/>
      <c r="Y205" s="212"/>
      <c r="Z205" s="212"/>
      <c r="AA205" s="212"/>
      <c r="AB205" s="212"/>
      <c r="AC205" s="232" t="s">
        <v>196</v>
      </c>
      <c r="AD205" s="226" t="s">
        <v>2039</v>
      </c>
      <c r="AE205" s="148"/>
      <c r="AF205" s="212" t="str">
        <f t="shared" si="320"/>
        <v>AMC2-S2</v>
      </c>
      <c r="AG205" s="212">
        <f t="shared" si="321"/>
        <v>1</v>
      </c>
      <c r="AH205" s="203">
        <f t="shared" si="322"/>
        <v>1</v>
      </c>
      <c r="AI205" s="203">
        <f t="shared" ca="1" si="323"/>
        <v>1</v>
      </c>
      <c r="AJ205" s="203">
        <f t="shared" ca="1" si="324"/>
        <v>0</v>
      </c>
      <c r="AK205" s="212" t="str">
        <f t="shared" si="325"/>
        <v>N/A</v>
      </c>
      <c r="AL205" s="212">
        <f t="shared" si="326"/>
        <v>0</v>
      </c>
      <c r="AM205" s="203">
        <f t="shared" si="327"/>
        <v>0</v>
      </c>
      <c r="AN205" s="203">
        <f t="shared" ca="1" si="328"/>
        <v>0</v>
      </c>
      <c r="AO205" s="203">
        <f t="shared" ca="1" si="329"/>
        <v>0</v>
      </c>
      <c r="AP205" s="212" t="str">
        <f t="shared" si="330"/>
        <v>N/A</v>
      </c>
      <c r="AQ205" s="212">
        <f t="shared" si="331"/>
        <v>0</v>
      </c>
      <c r="AR205" s="203">
        <f t="shared" si="332"/>
        <v>0</v>
      </c>
      <c r="AS205" s="203">
        <f t="shared" ca="1" si="333"/>
        <v>0</v>
      </c>
      <c r="AT205" s="203">
        <f t="shared" ca="1" si="334"/>
        <v>0</v>
      </c>
      <c r="AU205" s="212" t="str">
        <f t="shared" si="335"/>
        <v>N/A</v>
      </c>
      <c r="AV205" s="212">
        <f t="shared" si="336"/>
        <v>0</v>
      </c>
      <c r="AW205" s="203">
        <f t="shared" si="337"/>
        <v>0</v>
      </c>
      <c r="AX205" s="203">
        <f t="shared" ca="1" si="338"/>
        <v>0</v>
      </c>
      <c r="AY205" s="203">
        <f t="shared" ca="1" si="339"/>
        <v>0</v>
      </c>
      <c r="AZ205" s="212"/>
      <c r="BA205" s="213" t="s">
        <v>141</v>
      </c>
      <c r="BB205" s="213" t="s">
        <v>140</v>
      </c>
      <c r="BC205" s="213" t="s">
        <v>140</v>
      </c>
      <c r="BD205" s="213" t="s">
        <v>140</v>
      </c>
      <c r="BE205" s="148"/>
      <c r="BF205" s="212" t="s">
        <v>1789</v>
      </c>
      <c r="BG205" s="117"/>
      <c r="BH205" s="117"/>
      <c r="BI205" s="149"/>
      <c r="BJ205" s="149"/>
      <c r="BK205" s="149"/>
      <c r="BL205" s="149"/>
      <c r="BM205" s="149"/>
      <c r="BN205" s="149"/>
      <c r="BO205" s="149"/>
      <c r="BP205" s="149"/>
      <c r="BQ205" s="149"/>
      <c r="BR205" s="117">
        <v>1</v>
      </c>
      <c r="BS205" s="117">
        <v>0</v>
      </c>
      <c r="BT205" s="117">
        <v>0</v>
      </c>
      <c r="BU205" s="117">
        <v>0</v>
      </c>
      <c r="BV205" s="117">
        <v>0</v>
      </c>
      <c r="BW205" s="117">
        <v>0</v>
      </c>
      <c r="BX205" s="117">
        <v>0</v>
      </c>
      <c r="BY205" s="117" t="s">
        <v>1790</v>
      </c>
      <c r="BZ205" s="117" t="s">
        <v>1303</v>
      </c>
      <c r="CA205" s="117">
        <v>1</v>
      </c>
      <c r="CB205" s="149">
        <v>46206</v>
      </c>
      <c r="CC205" s="117"/>
      <c r="CD205" s="117"/>
      <c r="CE205" s="148"/>
      <c r="CF205" s="148">
        <f t="shared" si="340"/>
        <v>0</v>
      </c>
    </row>
    <row r="206" spans="1:84" ht="17.25" hidden="1" customHeight="1">
      <c r="A206" s="117"/>
      <c r="B206" s="209" t="s">
        <v>2059</v>
      </c>
      <c r="C206" s="209" t="s">
        <v>2220</v>
      </c>
      <c r="D206" s="209" t="s">
        <v>1210</v>
      </c>
      <c r="E206" s="209" t="s">
        <v>1817</v>
      </c>
      <c r="F206" s="209" t="s">
        <v>1685</v>
      </c>
      <c r="G206" s="209" t="s">
        <v>1123</v>
      </c>
      <c r="H206" s="210">
        <v>320</v>
      </c>
      <c r="I206" s="211" t="s">
        <v>147</v>
      </c>
      <c r="J206" s="144">
        <v>2</v>
      </c>
      <c r="K206" s="145">
        <f t="shared" si="315"/>
        <v>1</v>
      </c>
      <c r="L206" s="202">
        <f t="shared" si="316"/>
        <v>2</v>
      </c>
      <c r="M206" s="212">
        <v>7.6</v>
      </c>
      <c r="N206" s="203">
        <f t="shared" si="317"/>
        <v>15.2</v>
      </c>
      <c r="O206" s="212" t="s">
        <v>137</v>
      </c>
      <c r="P206" s="212" t="s">
        <v>13</v>
      </c>
      <c r="Q206" s="212" t="s">
        <v>148</v>
      </c>
      <c r="R206" s="212"/>
      <c r="S206" s="212"/>
      <c r="T206" s="203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2</v>
      </c>
      <c r="U206" s="203">
        <f t="shared" ca="1" si="318"/>
        <v>0</v>
      </c>
      <c r="V206" s="203">
        <f t="shared" ca="1" si="319"/>
        <v>1</v>
      </c>
      <c r="W206" s="212"/>
      <c r="X206" s="212"/>
      <c r="Y206" s="212"/>
      <c r="Z206" s="212"/>
      <c r="AA206" s="212"/>
      <c r="AB206" s="212"/>
      <c r="AC206" s="232" t="s">
        <v>196</v>
      </c>
      <c r="AD206" s="226" t="s">
        <v>2039</v>
      </c>
      <c r="AE206" s="148"/>
      <c r="AF206" s="212" t="str">
        <f t="shared" si="320"/>
        <v>AMC2-S2</v>
      </c>
      <c r="AG206" s="212">
        <f t="shared" si="321"/>
        <v>1</v>
      </c>
      <c r="AH206" s="203">
        <f t="shared" si="322"/>
        <v>2</v>
      </c>
      <c r="AI206" s="203">
        <f t="shared" ca="1" si="323"/>
        <v>2</v>
      </c>
      <c r="AJ206" s="203">
        <f t="shared" ca="1" si="324"/>
        <v>0</v>
      </c>
      <c r="AK206" s="212" t="str">
        <f t="shared" si="325"/>
        <v>N/A</v>
      </c>
      <c r="AL206" s="212">
        <f t="shared" si="326"/>
        <v>0</v>
      </c>
      <c r="AM206" s="203">
        <f t="shared" si="327"/>
        <v>0</v>
      </c>
      <c r="AN206" s="203">
        <f t="shared" ca="1" si="328"/>
        <v>0</v>
      </c>
      <c r="AO206" s="203">
        <f t="shared" ca="1" si="329"/>
        <v>0</v>
      </c>
      <c r="AP206" s="212" t="str">
        <f t="shared" si="330"/>
        <v>N/A</v>
      </c>
      <c r="AQ206" s="212">
        <f t="shared" si="331"/>
        <v>0</v>
      </c>
      <c r="AR206" s="203">
        <f t="shared" si="332"/>
        <v>0</v>
      </c>
      <c r="AS206" s="203">
        <f t="shared" ca="1" si="333"/>
        <v>0</v>
      </c>
      <c r="AT206" s="203">
        <f t="shared" ca="1" si="334"/>
        <v>0</v>
      </c>
      <c r="AU206" s="212" t="str">
        <f t="shared" si="335"/>
        <v>N/A</v>
      </c>
      <c r="AV206" s="212">
        <f t="shared" si="336"/>
        <v>0</v>
      </c>
      <c r="AW206" s="203">
        <f t="shared" si="337"/>
        <v>0</v>
      </c>
      <c r="AX206" s="203">
        <f t="shared" ca="1" si="338"/>
        <v>0</v>
      </c>
      <c r="AY206" s="203">
        <f t="shared" ca="1" si="339"/>
        <v>0</v>
      </c>
      <c r="AZ206" s="212"/>
      <c r="BA206" s="213" t="s">
        <v>141</v>
      </c>
      <c r="BB206" s="213" t="s">
        <v>140</v>
      </c>
      <c r="BC206" s="213" t="s">
        <v>140</v>
      </c>
      <c r="BD206" s="213" t="s">
        <v>140</v>
      </c>
      <c r="BE206" s="148"/>
      <c r="BF206" s="212" t="s">
        <v>1789</v>
      </c>
      <c r="BG206" s="117"/>
      <c r="BH206" s="117"/>
      <c r="BI206" s="149"/>
      <c r="BJ206" s="149"/>
      <c r="BK206" s="149"/>
      <c r="BL206" s="149"/>
      <c r="BM206" s="149"/>
      <c r="BN206" s="149"/>
      <c r="BO206" s="149"/>
      <c r="BP206" s="149"/>
      <c r="BQ206" s="149"/>
      <c r="BR206" s="117">
        <v>1</v>
      </c>
      <c r="BS206" s="117">
        <v>0</v>
      </c>
      <c r="BT206" s="117">
        <v>0</v>
      </c>
      <c r="BU206" s="117">
        <v>0</v>
      </c>
      <c r="BV206" s="117">
        <v>0</v>
      </c>
      <c r="BW206" s="117">
        <v>0</v>
      </c>
      <c r="BX206" s="117">
        <v>0</v>
      </c>
      <c r="BY206" s="117" t="s">
        <v>1790</v>
      </c>
      <c r="BZ206" s="117" t="s">
        <v>1307</v>
      </c>
      <c r="CA206" s="117">
        <v>2</v>
      </c>
      <c r="CB206" s="234">
        <v>46242</v>
      </c>
      <c r="CC206" s="117"/>
      <c r="CD206" s="117"/>
      <c r="CE206" s="148"/>
      <c r="CF206" s="148">
        <f t="shared" si="340"/>
        <v>0</v>
      </c>
    </row>
    <row r="207" spans="1:84" ht="17.25" hidden="1" customHeight="1">
      <c r="A207" s="117"/>
      <c r="B207" s="209" t="s">
        <v>2059</v>
      </c>
      <c r="C207" s="209" t="s">
        <v>2220</v>
      </c>
      <c r="D207" s="209" t="s">
        <v>1212</v>
      </c>
      <c r="E207" s="209" t="s">
        <v>1806</v>
      </c>
      <c r="F207" s="209" t="s">
        <v>1686</v>
      </c>
      <c r="G207" s="209" t="s">
        <v>1125</v>
      </c>
      <c r="H207" s="210">
        <v>220</v>
      </c>
      <c r="I207" s="211" t="s">
        <v>147</v>
      </c>
      <c r="J207" s="144">
        <v>2</v>
      </c>
      <c r="K207" s="145">
        <f t="shared" si="315"/>
        <v>1</v>
      </c>
      <c r="L207" s="202">
        <f t="shared" si="316"/>
        <v>2</v>
      </c>
      <c r="M207" s="212">
        <v>2.6</v>
      </c>
      <c r="N207" s="203">
        <f t="shared" si="317"/>
        <v>5.2</v>
      </c>
      <c r="O207" s="212" t="s">
        <v>137</v>
      </c>
      <c r="P207" s="212" t="s">
        <v>13</v>
      </c>
      <c r="Q207" s="212" t="s">
        <v>148</v>
      </c>
      <c r="R207" s="212"/>
      <c r="S207" s="212"/>
      <c r="T207" s="203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2</v>
      </c>
      <c r="U207" s="203">
        <f t="shared" ca="1" si="318"/>
        <v>0</v>
      </c>
      <c r="V207" s="203">
        <f t="shared" ca="1" si="319"/>
        <v>1</v>
      </c>
      <c r="W207" s="212"/>
      <c r="X207" s="212"/>
      <c r="Y207" s="212"/>
      <c r="Z207" s="212"/>
      <c r="AA207" s="212"/>
      <c r="AB207" s="212"/>
      <c r="AC207" s="232" t="s">
        <v>196</v>
      </c>
      <c r="AD207" s="226" t="s">
        <v>2039</v>
      </c>
      <c r="AE207" s="148"/>
      <c r="AF207" s="212" t="str">
        <f t="shared" si="320"/>
        <v>AMC2-S2</v>
      </c>
      <c r="AG207" s="212">
        <f t="shared" si="321"/>
        <v>1</v>
      </c>
      <c r="AH207" s="203">
        <f t="shared" si="322"/>
        <v>2</v>
      </c>
      <c r="AI207" s="203">
        <f t="shared" ca="1" si="323"/>
        <v>2</v>
      </c>
      <c r="AJ207" s="203">
        <f t="shared" ca="1" si="324"/>
        <v>0</v>
      </c>
      <c r="AK207" s="212" t="str">
        <f t="shared" si="325"/>
        <v>N/A</v>
      </c>
      <c r="AL207" s="212">
        <f t="shared" si="326"/>
        <v>0</v>
      </c>
      <c r="AM207" s="203">
        <f t="shared" si="327"/>
        <v>0</v>
      </c>
      <c r="AN207" s="203">
        <f t="shared" ca="1" si="328"/>
        <v>0</v>
      </c>
      <c r="AO207" s="203">
        <f t="shared" ca="1" si="329"/>
        <v>0</v>
      </c>
      <c r="AP207" s="212" t="str">
        <f t="shared" si="330"/>
        <v>N/A</v>
      </c>
      <c r="AQ207" s="212">
        <f t="shared" si="331"/>
        <v>0</v>
      </c>
      <c r="AR207" s="203">
        <f t="shared" si="332"/>
        <v>0</v>
      </c>
      <c r="AS207" s="203">
        <f t="shared" ca="1" si="333"/>
        <v>0</v>
      </c>
      <c r="AT207" s="203">
        <f t="shared" ca="1" si="334"/>
        <v>0</v>
      </c>
      <c r="AU207" s="212" t="str">
        <f t="shared" si="335"/>
        <v>N/A</v>
      </c>
      <c r="AV207" s="212">
        <f t="shared" si="336"/>
        <v>0</v>
      </c>
      <c r="AW207" s="203">
        <f t="shared" si="337"/>
        <v>0</v>
      </c>
      <c r="AX207" s="203">
        <f t="shared" ca="1" si="338"/>
        <v>0</v>
      </c>
      <c r="AY207" s="203">
        <f t="shared" ca="1" si="339"/>
        <v>0</v>
      </c>
      <c r="AZ207" s="212"/>
      <c r="BA207" s="213" t="s">
        <v>141</v>
      </c>
      <c r="BB207" s="213" t="s">
        <v>140</v>
      </c>
      <c r="BC207" s="213" t="s">
        <v>140</v>
      </c>
      <c r="BD207" s="213" t="s">
        <v>140</v>
      </c>
      <c r="BE207" s="148"/>
      <c r="BF207" s="212" t="s">
        <v>1789</v>
      </c>
      <c r="BG207" s="117"/>
      <c r="BH207" s="117"/>
      <c r="BI207" s="149"/>
      <c r="BJ207" s="149"/>
      <c r="BK207" s="149"/>
      <c r="BL207" s="149"/>
      <c r="BM207" s="149"/>
      <c r="BN207" s="149"/>
      <c r="BO207" s="149"/>
      <c r="BP207" s="149"/>
      <c r="BQ207" s="149"/>
      <c r="BR207" s="117">
        <v>1</v>
      </c>
      <c r="BS207" s="117">
        <v>0</v>
      </c>
      <c r="BT207" s="117">
        <v>0</v>
      </c>
      <c r="BU207" s="117">
        <v>0</v>
      </c>
      <c r="BV207" s="117">
        <v>0</v>
      </c>
      <c r="BW207" s="117">
        <v>0</v>
      </c>
      <c r="BX207" s="117">
        <v>0</v>
      </c>
      <c r="BY207" s="117" t="s">
        <v>1790</v>
      </c>
      <c r="BZ207" s="117" t="s">
        <v>1303</v>
      </c>
      <c r="CA207" s="117">
        <v>2</v>
      </c>
      <c r="CB207" s="149">
        <v>46206</v>
      </c>
      <c r="CC207" s="117"/>
      <c r="CD207" s="117"/>
      <c r="CE207" s="148"/>
      <c r="CF207" s="148">
        <f t="shared" si="340"/>
        <v>0</v>
      </c>
    </row>
    <row r="208" spans="1:84" ht="17.25" hidden="1" customHeight="1">
      <c r="A208" s="117"/>
      <c r="B208" s="209" t="s">
        <v>2059</v>
      </c>
      <c r="C208" s="209" t="s">
        <v>2220</v>
      </c>
      <c r="D208" s="209" t="s">
        <v>1010</v>
      </c>
      <c r="E208" s="209" t="s">
        <v>1802</v>
      </c>
      <c r="F208" s="209" t="s">
        <v>1674</v>
      </c>
      <c r="G208" s="209" t="s">
        <v>1075</v>
      </c>
      <c r="H208" s="210">
        <v>812</v>
      </c>
      <c r="I208" s="211" t="s">
        <v>1077</v>
      </c>
      <c r="J208" s="144">
        <v>5</v>
      </c>
      <c r="K208" s="145">
        <f t="shared" si="315"/>
        <v>1</v>
      </c>
      <c r="L208" s="202">
        <f t="shared" si="316"/>
        <v>5</v>
      </c>
      <c r="M208" s="212">
        <v>13.1</v>
      </c>
      <c r="N208" s="203">
        <f t="shared" si="317"/>
        <v>65.5</v>
      </c>
      <c r="O208" s="212" t="s">
        <v>137</v>
      </c>
      <c r="P208" s="212" t="s">
        <v>11</v>
      </c>
      <c r="Q208" s="212" t="s">
        <v>148</v>
      </c>
      <c r="R208" s="212"/>
      <c r="S208" s="212"/>
      <c r="T208" s="203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5</v>
      </c>
      <c r="U208" s="203">
        <f t="shared" ca="1" si="318"/>
        <v>0</v>
      </c>
      <c r="V208" s="203">
        <f t="shared" ca="1" si="319"/>
        <v>1</v>
      </c>
      <c r="W208" s="212"/>
      <c r="X208" s="212"/>
      <c r="Y208" s="212"/>
      <c r="Z208" s="212"/>
      <c r="AA208" s="212"/>
      <c r="AB208" s="212"/>
      <c r="AC208" s="232" t="s">
        <v>196</v>
      </c>
      <c r="AD208" s="226" t="s">
        <v>2039</v>
      </c>
      <c r="AE208" s="148"/>
      <c r="AF208" s="212" t="str">
        <f t="shared" si="320"/>
        <v>AMC2-S2</v>
      </c>
      <c r="AG208" s="212">
        <f t="shared" si="321"/>
        <v>1</v>
      </c>
      <c r="AH208" s="203">
        <f t="shared" si="322"/>
        <v>5</v>
      </c>
      <c r="AI208" s="203">
        <f t="shared" ca="1" si="323"/>
        <v>5</v>
      </c>
      <c r="AJ208" s="203">
        <f t="shared" ca="1" si="324"/>
        <v>0</v>
      </c>
      <c r="AK208" s="212" t="str">
        <f t="shared" si="325"/>
        <v>N/A</v>
      </c>
      <c r="AL208" s="212">
        <f t="shared" si="326"/>
        <v>0</v>
      </c>
      <c r="AM208" s="203">
        <f t="shared" si="327"/>
        <v>0</v>
      </c>
      <c r="AN208" s="203">
        <f t="shared" ca="1" si="328"/>
        <v>0</v>
      </c>
      <c r="AO208" s="203">
        <f t="shared" ca="1" si="329"/>
        <v>0</v>
      </c>
      <c r="AP208" s="212" t="str">
        <f t="shared" si="330"/>
        <v>N/A</v>
      </c>
      <c r="AQ208" s="212">
        <f t="shared" si="331"/>
        <v>0</v>
      </c>
      <c r="AR208" s="203">
        <f t="shared" si="332"/>
        <v>0</v>
      </c>
      <c r="AS208" s="203">
        <f t="shared" ca="1" si="333"/>
        <v>0</v>
      </c>
      <c r="AT208" s="203">
        <f t="shared" ca="1" si="334"/>
        <v>0</v>
      </c>
      <c r="AU208" s="212" t="str">
        <f t="shared" si="335"/>
        <v>N/A</v>
      </c>
      <c r="AV208" s="212">
        <f t="shared" si="336"/>
        <v>0</v>
      </c>
      <c r="AW208" s="203">
        <f t="shared" si="337"/>
        <v>0</v>
      </c>
      <c r="AX208" s="203">
        <f t="shared" ca="1" si="338"/>
        <v>0</v>
      </c>
      <c r="AY208" s="203">
        <f t="shared" ca="1" si="339"/>
        <v>0</v>
      </c>
      <c r="AZ208" s="212"/>
      <c r="BA208" s="213" t="s">
        <v>141</v>
      </c>
      <c r="BB208" s="213" t="s">
        <v>140</v>
      </c>
      <c r="BC208" s="213" t="s">
        <v>140</v>
      </c>
      <c r="BD208" s="213" t="s">
        <v>140</v>
      </c>
      <c r="BE208" s="148"/>
      <c r="BF208" s="212" t="s">
        <v>1789</v>
      </c>
      <c r="BG208" s="117"/>
      <c r="BH208" s="117"/>
      <c r="BI208" s="149"/>
      <c r="BJ208" s="149"/>
      <c r="BK208" s="149"/>
      <c r="BL208" s="149"/>
      <c r="BM208" s="149"/>
      <c r="BN208" s="149"/>
      <c r="BO208" s="149"/>
      <c r="BP208" s="149"/>
      <c r="BQ208" s="149"/>
      <c r="BR208" s="117">
        <v>0</v>
      </c>
      <c r="BS208" s="117">
        <v>0</v>
      </c>
      <c r="BT208" s="117">
        <v>0</v>
      </c>
      <c r="BU208" s="117">
        <v>1</v>
      </c>
      <c r="BV208" s="117">
        <v>0</v>
      </c>
      <c r="BW208" s="117">
        <v>0</v>
      </c>
      <c r="BX208" s="117">
        <v>0</v>
      </c>
      <c r="BY208" s="117" t="s">
        <v>1790</v>
      </c>
      <c r="BZ208" s="117" t="s">
        <v>1289</v>
      </c>
      <c r="CA208" s="117">
        <v>5</v>
      </c>
      <c r="CB208" s="149">
        <v>46185</v>
      </c>
      <c r="CC208" s="117"/>
      <c r="CD208" s="117"/>
      <c r="CE208" s="148"/>
      <c r="CF208" s="148">
        <f t="shared" si="340"/>
        <v>0</v>
      </c>
    </row>
    <row r="209" spans="1:84" ht="17.25" hidden="1" customHeight="1">
      <c r="A209" s="162">
        <v>183</v>
      </c>
      <c r="B209" s="177" t="s">
        <v>2062</v>
      </c>
      <c r="C209" s="177" t="s">
        <v>2221</v>
      </c>
      <c r="D209" s="177" t="s">
        <v>2063</v>
      </c>
      <c r="E209" s="177"/>
      <c r="F209" s="177"/>
      <c r="G209" s="177" t="s">
        <v>1978</v>
      </c>
      <c r="H209" s="178"/>
      <c r="I209" s="179"/>
      <c r="J209" s="160"/>
      <c r="K209" s="180">
        <f>+AG209+AL209+AQ209+AV209</f>
        <v>1</v>
      </c>
      <c r="L209" s="160"/>
      <c r="M209" s="181">
        <v>4144.8</v>
      </c>
      <c r="N209" s="181">
        <v>4144.8</v>
      </c>
      <c r="O209" s="181" t="s">
        <v>137</v>
      </c>
      <c r="P209" s="181"/>
      <c r="Q209" s="181"/>
      <c r="R209" s="181"/>
      <c r="S209" s="181"/>
      <c r="T209" s="181"/>
      <c r="U209" s="181"/>
      <c r="V209" s="181"/>
      <c r="W209" s="181">
        <f ca="1">_xlfn.MINIFS(V:V,C:C,C209,AE:AE,"",AB:AB,"")</f>
        <v>1</v>
      </c>
      <c r="X209" s="181">
        <f ca="1">SUMIFS(T:T,C:C,C209,AE:AE,"")/SUMIFS(L:L,C:C,C209,AE:AE,"",AB:AB,"")</f>
        <v>1</v>
      </c>
      <c r="Y209" s="181"/>
      <c r="Z209" s="181"/>
      <c r="AA209" s="181"/>
      <c r="AB209" s="181"/>
      <c r="AC209" s="228" t="s">
        <v>196</v>
      </c>
      <c r="AD209" s="184" t="s">
        <v>2039</v>
      </c>
      <c r="AE209" s="162" t="s">
        <v>143</v>
      </c>
      <c r="AF209" s="181" t="s">
        <v>1970</v>
      </c>
      <c r="AG209" s="181">
        <v>1</v>
      </c>
      <c r="AH209" s="181"/>
      <c r="AI209" s="181"/>
      <c r="AJ209" s="181"/>
      <c r="AK209" s="181" t="s">
        <v>138</v>
      </c>
      <c r="AL209" s="181">
        <v>0</v>
      </c>
      <c r="AM209" s="181"/>
      <c r="AN209" s="181"/>
      <c r="AO209" s="181"/>
      <c r="AP209" s="181" t="s">
        <v>138</v>
      </c>
      <c r="AQ209" s="181">
        <v>0</v>
      </c>
      <c r="AR209" s="181"/>
      <c r="AS209" s="181"/>
      <c r="AT209" s="181"/>
      <c r="AU209" s="181" t="s">
        <v>138</v>
      </c>
      <c r="AV209" s="181">
        <v>0</v>
      </c>
      <c r="AW209" s="181"/>
      <c r="AX209" s="181"/>
      <c r="AY209" s="181"/>
      <c r="AZ209" s="181"/>
      <c r="BA209" s="182" t="s">
        <v>141</v>
      </c>
      <c r="BB209" s="182" t="s">
        <v>140</v>
      </c>
      <c r="BC209" s="182" t="s">
        <v>140</v>
      </c>
      <c r="BD209" s="182" t="s">
        <v>140</v>
      </c>
      <c r="BE209" s="162" t="s">
        <v>741</v>
      </c>
      <c r="BF209" s="181"/>
      <c r="BG209" s="161"/>
      <c r="BH209" s="161"/>
      <c r="BI209" s="163"/>
      <c r="BJ209" s="163"/>
      <c r="BK209" s="163"/>
      <c r="BL209" s="163"/>
      <c r="BM209" s="163"/>
      <c r="BN209" s="163"/>
      <c r="BO209" s="163"/>
      <c r="BP209" s="163"/>
      <c r="BQ209" s="163"/>
      <c r="BR209" s="161"/>
      <c r="BS209" s="161"/>
      <c r="BT209" s="161"/>
      <c r="BU209" s="161"/>
      <c r="BV209" s="161"/>
      <c r="BW209" s="161"/>
      <c r="BX209" s="161"/>
      <c r="BY209" s="161"/>
      <c r="BZ209" s="161"/>
      <c r="CA209" s="161"/>
      <c r="CB209" s="163"/>
      <c r="CC209" s="161"/>
      <c r="CD209" s="161"/>
      <c r="CE209" s="185"/>
      <c r="CF209" s="185"/>
    </row>
    <row r="210" spans="1:84" ht="17.25" hidden="1" customHeight="1">
      <c r="A210" s="117"/>
      <c r="B210" s="209" t="s">
        <v>2062</v>
      </c>
      <c r="C210" s="209" t="s">
        <v>2221</v>
      </c>
      <c r="D210" s="209" t="s">
        <v>1084</v>
      </c>
      <c r="E210" s="209" t="s">
        <v>1788</v>
      </c>
      <c r="F210" s="209" t="s">
        <v>1718</v>
      </c>
      <c r="G210" s="209" t="s">
        <v>1676</v>
      </c>
      <c r="H210" s="210">
        <v>11647</v>
      </c>
      <c r="I210" s="211" t="s">
        <v>147</v>
      </c>
      <c r="J210" s="144">
        <v>1</v>
      </c>
      <c r="K210" s="145">
        <f t="shared" ref="K210:K228" si="341">K209</f>
        <v>1</v>
      </c>
      <c r="L210" s="202">
        <f t="shared" ref="L210:L228" si="342">+J210*K210</f>
        <v>1</v>
      </c>
      <c r="M210" s="212">
        <v>2620.5</v>
      </c>
      <c r="N210" s="203">
        <f t="shared" ref="N210:N228" si="343">+M210*L210</f>
        <v>2620.5</v>
      </c>
      <c r="O210" s="212" t="s">
        <v>137</v>
      </c>
      <c r="P210" s="212" t="s">
        <v>13</v>
      </c>
      <c r="Q210" s="212" t="s">
        <v>154</v>
      </c>
      <c r="R210" s="212"/>
      <c r="S210" s="212"/>
      <c r="T210" s="203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1</v>
      </c>
      <c r="U210" s="203">
        <f t="shared" ref="U210:U228" ca="1" si="344">+L210-T210</f>
        <v>0</v>
      </c>
      <c r="V210" s="203">
        <f t="shared" ref="V210:V228" ca="1" si="345">ROUNDDOWN(T210/J210,0)</f>
        <v>1</v>
      </c>
      <c r="W210" s="212"/>
      <c r="X210" s="212"/>
      <c r="Y210" s="212"/>
      <c r="Z210" s="212"/>
      <c r="AA210" s="212"/>
      <c r="AB210" s="212"/>
      <c r="AC210" s="214" t="s">
        <v>196</v>
      </c>
      <c r="AD210" s="215" t="s">
        <v>2039</v>
      </c>
      <c r="AE210" s="148"/>
      <c r="AF210" s="212" t="str">
        <f t="shared" ref="AF210:AF228" si="346">AF209</f>
        <v>AMC2-S2</v>
      </c>
      <c r="AG210" s="212">
        <f t="shared" ref="AG210:AG228" si="347">AG209</f>
        <v>1</v>
      </c>
      <c r="AH210" s="203">
        <f t="shared" ref="AH210:AH228" si="348">+AG210*J210</f>
        <v>1</v>
      </c>
      <c r="AI210" s="203">
        <f t="shared" ref="AI210:AI228" ca="1" si="349">MIN(T210,AH210)</f>
        <v>1</v>
      </c>
      <c r="AJ210" s="203">
        <f t="shared" ref="AJ210:AJ228" ca="1" si="350">+AH210-AI210</f>
        <v>0</v>
      </c>
      <c r="AK210" s="212" t="str">
        <f t="shared" ref="AK210:AK228" si="351">AK209</f>
        <v>N/A</v>
      </c>
      <c r="AL210" s="212">
        <f t="shared" ref="AL210:AL228" si="352">AL209</f>
        <v>0</v>
      </c>
      <c r="AM210" s="203">
        <f t="shared" ref="AM210:AM228" si="353">+AL210*J210</f>
        <v>0</v>
      </c>
      <c r="AN210" s="203">
        <f t="shared" ref="AN210:AN228" ca="1" si="354">MIN(T210-AI210,AL210)</f>
        <v>0</v>
      </c>
      <c r="AO210" s="203">
        <f t="shared" ref="AO210:AO228" ca="1" si="355">+AM210-AN210</f>
        <v>0</v>
      </c>
      <c r="AP210" s="212" t="str">
        <f t="shared" ref="AP210:AP228" si="356">AP209</f>
        <v>N/A</v>
      </c>
      <c r="AQ210" s="212">
        <f t="shared" ref="AQ210:AQ228" si="357">AQ209</f>
        <v>0</v>
      </c>
      <c r="AR210" s="203">
        <f t="shared" ref="AR210:AR228" si="358">+AQ210*J210</f>
        <v>0</v>
      </c>
      <c r="AS210" s="203">
        <f t="shared" ref="AS210:AS228" ca="1" si="359">MIN(T210-AI210-AN210,AR210)</f>
        <v>0</v>
      </c>
      <c r="AT210" s="203">
        <f t="shared" ref="AT210:AT228" ca="1" si="360">+AR210-AS210</f>
        <v>0</v>
      </c>
      <c r="AU210" s="212" t="str">
        <f t="shared" ref="AU210:AU228" si="361">AU209</f>
        <v>N/A</v>
      </c>
      <c r="AV210" s="212">
        <f t="shared" ref="AV210:AV228" si="362">AV209</f>
        <v>0</v>
      </c>
      <c r="AW210" s="203">
        <f t="shared" ref="AW210:AW228" si="363">+AV210*J210</f>
        <v>0</v>
      </c>
      <c r="AX210" s="203">
        <f t="shared" ref="AX210:AX228" ca="1" si="364">MIN(T210-AI210-AN210-AS210,AW210)</f>
        <v>0</v>
      </c>
      <c r="AY210" s="203">
        <f t="shared" ref="AY210:AY228" ca="1" si="365">+AW210-AX210</f>
        <v>0</v>
      </c>
      <c r="AZ210" s="212"/>
      <c r="BA210" s="213" t="s">
        <v>141</v>
      </c>
      <c r="BB210" s="213" t="s">
        <v>140</v>
      </c>
      <c r="BC210" s="213" t="s">
        <v>140</v>
      </c>
      <c r="BD210" s="213" t="s">
        <v>140</v>
      </c>
      <c r="BE210" s="148"/>
      <c r="BF210" s="212" t="s">
        <v>1789</v>
      </c>
      <c r="BG210" s="117"/>
      <c r="BH210" s="155"/>
      <c r="BI210" s="216"/>
      <c r="BJ210" s="216"/>
      <c r="BK210" s="216"/>
      <c r="BL210" s="149"/>
      <c r="BM210" s="149"/>
      <c r="BN210" s="149"/>
      <c r="BO210" s="149"/>
      <c r="BP210" s="149"/>
      <c r="BQ210" s="149"/>
      <c r="BR210" s="117">
        <v>0</v>
      </c>
      <c r="BS210" s="117">
        <v>1</v>
      </c>
      <c r="BT210" s="117">
        <v>0</v>
      </c>
      <c r="BU210" s="117">
        <v>1</v>
      </c>
      <c r="BV210" s="117">
        <v>0</v>
      </c>
      <c r="BW210" s="117">
        <v>0</v>
      </c>
      <c r="BX210" s="117">
        <v>0</v>
      </c>
      <c r="BY210" s="117" t="s">
        <v>1790</v>
      </c>
      <c r="BZ210" s="117" t="s">
        <v>57</v>
      </c>
      <c r="CA210" s="117">
        <v>1</v>
      </c>
      <c r="CB210" s="149"/>
      <c r="CC210" s="155"/>
      <c r="CD210" s="155"/>
      <c r="CE210" s="217"/>
      <c r="CF210" s="148">
        <f t="shared" ref="CF210:CF228" si="366">+L210-CA210</f>
        <v>0</v>
      </c>
    </row>
    <row r="211" spans="1:84" ht="17.25" hidden="1" customHeight="1">
      <c r="A211" s="117"/>
      <c r="B211" s="209" t="s">
        <v>2062</v>
      </c>
      <c r="C211" s="209" t="s">
        <v>2221</v>
      </c>
      <c r="D211" s="209" t="s">
        <v>1296</v>
      </c>
      <c r="E211" s="209" t="s">
        <v>1791</v>
      </c>
      <c r="F211" s="209" t="s">
        <v>1730</v>
      </c>
      <c r="G211" s="209" t="s">
        <v>1157</v>
      </c>
      <c r="H211" s="210">
        <v>11547</v>
      </c>
      <c r="I211" s="211" t="s">
        <v>147</v>
      </c>
      <c r="J211" s="144">
        <v>2</v>
      </c>
      <c r="K211" s="145">
        <f t="shared" si="341"/>
        <v>1</v>
      </c>
      <c r="L211" s="202">
        <f t="shared" si="342"/>
        <v>2</v>
      </c>
      <c r="M211" s="212">
        <v>435.1</v>
      </c>
      <c r="N211" s="203">
        <f t="shared" si="343"/>
        <v>870.2</v>
      </c>
      <c r="O211" s="212" t="s">
        <v>137</v>
      </c>
      <c r="P211" s="212" t="s">
        <v>13</v>
      </c>
      <c r="Q211" s="212" t="s">
        <v>148</v>
      </c>
      <c r="R211" s="212"/>
      <c r="S211" s="212"/>
      <c r="T211" s="203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203">
        <f t="shared" ca="1" si="344"/>
        <v>0</v>
      </c>
      <c r="V211" s="203">
        <f t="shared" ca="1" si="345"/>
        <v>1</v>
      </c>
      <c r="W211" s="212"/>
      <c r="X211" s="212"/>
      <c r="Y211" s="212"/>
      <c r="Z211" s="212"/>
      <c r="AA211" s="212"/>
      <c r="AB211" s="212"/>
      <c r="AC211" s="214" t="s">
        <v>196</v>
      </c>
      <c r="AD211" s="215" t="s">
        <v>2039</v>
      </c>
      <c r="AE211" s="148"/>
      <c r="AF211" s="212" t="str">
        <f t="shared" si="346"/>
        <v>AMC2-S2</v>
      </c>
      <c r="AG211" s="212">
        <f t="shared" si="347"/>
        <v>1</v>
      </c>
      <c r="AH211" s="203">
        <f t="shared" si="348"/>
        <v>2</v>
      </c>
      <c r="AI211" s="203">
        <f t="shared" ca="1" si="349"/>
        <v>2</v>
      </c>
      <c r="AJ211" s="203">
        <f t="shared" ca="1" si="350"/>
        <v>0</v>
      </c>
      <c r="AK211" s="212" t="str">
        <f t="shared" si="351"/>
        <v>N/A</v>
      </c>
      <c r="AL211" s="212">
        <f t="shared" si="352"/>
        <v>0</v>
      </c>
      <c r="AM211" s="203">
        <f t="shared" si="353"/>
        <v>0</v>
      </c>
      <c r="AN211" s="203">
        <f t="shared" ca="1" si="354"/>
        <v>0</v>
      </c>
      <c r="AO211" s="203">
        <f t="shared" ca="1" si="355"/>
        <v>0</v>
      </c>
      <c r="AP211" s="212" t="str">
        <f t="shared" si="356"/>
        <v>N/A</v>
      </c>
      <c r="AQ211" s="212">
        <f t="shared" si="357"/>
        <v>0</v>
      </c>
      <c r="AR211" s="203">
        <f t="shared" si="358"/>
        <v>0</v>
      </c>
      <c r="AS211" s="203">
        <f t="shared" ca="1" si="359"/>
        <v>0</v>
      </c>
      <c r="AT211" s="203">
        <f t="shared" ca="1" si="360"/>
        <v>0</v>
      </c>
      <c r="AU211" s="212" t="str">
        <f t="shared" si="361"/>
        <v>N/A</v>
      </c>
      <c r="AV211" s="212">
        <f t="shared" si="362"/>
        <v>0</v>
      </c>
      <c r="AW211" s="203">
        <f t="shared" si="363"/>
        <v>0</v>
      </c>
      <c r="AX211" s="203">
        <f t="shared" ca="1" si="364"/>
        <v>0</v>
      </c>
      <c r="AY211" s="203">
        <f t="shared" ca="1" si="365"/>
        <v>0</v>
      </c>
      <c r="AZ211" s="212"/>
      <c r="BA211" s="213" t="s">
        <v>141</v>
      </c>
      <c r="BB211" s="213" t="s">
        <v>140</v>
      </c>
      <c r="BC211" s="213" t="s">
        <v>140</v>
      </c>
      <c r="BD211" s="213" t="s">
        <v>140</v>
      </c>
      <c r="BE211" s="148"/>
      <c r="BF211" s="212" t="s">
        <v>1789</v>
      </c>
      <c r="BG211" s="117"/>
      <c r="BH211" s="155"/>
      <c r="BI211" s="216"/>
      <c r="BJ211" s="216"/>
      <c r="BK211" s="216"/>
      <c r="BL211" s="149"/>
      <c r="BM211" s="149"/>
      <c r="BN211" s="149"/>
      <c r="BO211" s="149"/>
      <c r="BP211" s="149"/>
      <c r="BQ211" s="149"/>
      <c r="BR211" s="117">
        <v>0</v>
      </c>
      <c r="BS211" s="117">
        <v>0</v>
      </c>
      <c r="BT211" s="117">
        <v>0</v>
      </c>
      <c r="BU211" s="117">
        <v>0</v>
      </c>
      <c r="BV211" s="117">
        <v>0</v>
      </c>
      <c r="BW211" s="117">
        <v>0</v>
      </c>
      <c r="BX211" s="117">
        <v>0</v>
      </c>
      <c r="BY211" s="117" t="s">
        <v>1790</v>
      </c>
      <c r="BZ211" s="117" t="s">
        <v>1303</v>
      </c>
      <c r="CA211" s="117">
        <v>2</v>
      </c>
      <c r="CB211" s="149">
        <v>46206</v>
      </c>
      <c r="CC211" s="155"/>
      <c r="CD211" s="117"/>
      <c r="CE211" s="217"/>
      <c r="CF211" s="148">
        <f t="shared" si="366"/>
        <v>0</v>
      </c>
    </row>
    <row r="212" spans="1:84" ht="17.25" hidden="1" customHeight="1">
      <c r="A212" s="117"/>
      <c r="B212" s="209" t="s">
        <v>2062</v>
      </c>
      <c r="C212" s="209" t="s">
        <v>2221</v>
      </c>
      <c r="D212" s="209" t="s">
        <v>1296</v>
      </c>
      <c r="E212" s="209" t="s">
        <v>1792</v>
      </c>
      <c r="F212" s="209" t="s">
        <v>1731</v>
      </c>
      <c r="G212" s="209" t="s">
        <v>1277</v>
      </c>
      <c r="H212" s="210">
        <v>1677</v>
      </c>
      <c r="I212" s="211" t="s">
        <v>147</v>
      </c>
      <c r="J212" s="144">
        <v>1</v>
      </c>
      <c r="K212" s="145">
        <f t="shared" si="341"/>
        <v>1</v>
      </c>
      <c r="L212" s="202">
        <f t="shared" si="342"/>
        <v>1</v>
      </c>
      <c r="M212" s="212">
        <v>323.10000000000002</v>
      </c>
      <c r="N212" s="203">
        <f t="shared" si="343"/>
        <v>323.10000000000002</v>
      </c>
      <c r="O212" s="212" t="s">
        <v>137</v>
      </c>
      <c r="P212" s="212" t="s">
        <v>13</v>
      </c>
      <c r="Q212" s="212" t="s">
        <v>148</v>
      </c>
      <c r="R212" s="212"/>
      <c r="S212" s="212"/>
      <c r="T212" s="203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</v>
      </c>
      <c r="U212" s="203">
        <f t="shared" ca="1" si="344"/>
        <v>0</v>
      </c>
      <c r="V212" s="203">
        <f t="shared" ca="1" si="345"/>
        <v>1</v>
      </c>
      <c r="W212" s="212"/>
      <c r="X212" s="212"/>
      <c r="Y212" s="212"/>
      <c r="Z212" s="212"/>
      <c r="AA212" s="212"/>
      <c r="AB212" s="212"/>
      <c r="AC212" s="214" t="s">
        <v>196</v>
      </c>
      <c r="AD212" s="215" t="s">
        <v>2039</v>
      </c>
      <c r="AE212" s="148"/>
      <c r="AF212" s="212" t="str">
        <f t="shared" si="346"/>
        <v>AMC2-S2</v>
      </c>
      <c r="AG212" s="212">
        <f t="shared" si="347"/>
        <v>1</v>
      </c>
      <c r="AH212" s="203">
        <f t="shared" si="348"/>
        <v>1</v>
      </c>
      <c r="AI212" s="203">
        <f t="shared" ca="1" si="349"/>
        <v>1</v>
      </c>
      <c r="AJ212" s="203">
        <f t="shared" ca="1" si="350"/>
        <v>0</v>
      </c>
      <c r="AK212" s="212" t="str">
        <f t="shared" si="351"/>
        <v>N/A</v>
      </c>
      <c r="AL212" s="212">
        <f t="shared" si="352"/>
        <v>0</v>
      </c>
      <c r="AM212" s="203">
        <f t="shared" si="353"/>
        <v>0</v>
      </c>
      <c r="AN212" s="203">
        <f t="shared" ca="1" si="354"/>
        <v>0</v>
      </c>
      <c r="AO212" s="203">
        <f t="shared" ca="1" si="355"/>
        <v>0</v>
      </c>
      <c r="AP212" s="212" t="str">
        <f t="shared" si="356"/>
        <v>N/A</v>
      </c>
      <c r="AQ212" s="212">
        <f t="shared" si="357"/>
        <v>0</v>
      </c>
      <c r="AR212" s="203">
        <f t="shared" si="358"/>
        <v>0</v>
      </c>
      <c r="AS212" s="203">
        <f t="shared" ca="1" si="359"/>
        <v>0</v>
      </c>
      <c r="AT212" s="203">
        <f t="shared" ca="1" si="360"/>
        <v>0</v>
      </c>
      <c r="AU212" s="212" t="str">
        <f t="shared" si="361"/>
        <v>N/A</v>
      </c>
      <c r="AV212" s="212">
        <f t="shared" si="362"/>
        <v>0</v>
      </c>
      <c r="AW212" s="203">
        <f t="shared" si="363"/>
        <v>0</v>
      </c>
      <c r="AX212" s="203">
        <f t="shared" ca="1" si="364"/>
        <v>0</v>
      </c>
      <c r="AY212" s="203">
        <f t="shared" ca="1" si="365"/>
        <v>0</v>
      </c>
      <c r="AZ212" s="212"/>
      <c r="BA212" s="213" t="s">
        <v>141</v>
      </c>
      <c r="BB212" s="213" t="s">
        <v>140</v>
      </c>
      <c r="BC212" s="213" t="s">
        <v>140</v>
      </c>
      <c r="BD212" s="213" t="s">
        <v>140</v>
      </c>
      <c r="BE212" s="148"/>
      <c r="BF212" s="212" t="s">
        <v>1789</v>
      </c>
      <c r="BG212" s="117"/>
      <c r="BH212" s="155"/>
      <c r="BI212" s="216"/>
      <c r="BJ212" s="216"/>
      <c r="BK212" s="216"/>
      <c r="BL212" s="149"/>
      <c r="BM212" s="149"/>
      <c r="BN212" s="149"/>
      <c r="BO212" s="149"/>
      <c r="BP212" s="149"/>
      <c r="BQ212" s="149"/>
      <c r="BR212" s="117">
        <v>0</v>
      </c>
      <c r="BS212" s="117">
        <v>0</v>
      </c>
      <c r="BT212" s="117">
        <v>0</v>
      </c>
      <c r="BU212" s="117">
        <v>0</v>
      </c>
      <c r="BV212" s="117">
        <v>0</v>
      </c>
      <c r="BW212" s="117">
        <v>0</v>
      </c>
      <c r="BX212" s="117">
        <v>0</v>
      </c>
      <c r="BY212" s="117" t="s">
        <v>1790</v>
      </c>
      <c r="BZ212" s="117" t="s">
        <v>1307</v>
      </c>
      <c r="CA212" s="117">
        <v>1</v>
      </c>
      <c r="CB212" s="234">
        <v>46242</v>
      </c>
      <c r="CC212" s="155"/>
      <c r="CD212" s="117"/>
      <c r="CE212" s="217"/>
      <c r="CF212" s="148">
        <f t="shared" si="366"/>
        <v>0</v>
      </c>
    </row>
    <row r="213" spans="1:84" ht="17.25" hidden="1" customHeight="1">
      <c r="A213" s="117"/>
      <c r="B213" s="209" t="s">
        <v>2062</v>
      </c>
      <c r="C213" s="209" t="s">
        <v>2221</v>
      </c>
      <c r="D213" s="209" t="s">
        <v>1296</v>
      </c>
      <c r="E213" s="209" t="s">
        <v>1793</v>
      </c>
      <c r="F213" s="209" t="s">
        <v>1732</v>
      </c>
      <c r="G213" s="209" t="s">
        <v>1282</v>
      </c>
      <c r="H213" s="210">
        <v>630</v>
      </c>
      <c r="I213" s="211" t="s">
        <v>147</v>
      </c>
      <c r="J213" s="144">
        <v>3</v>
      </c>
      <c r="K213" s="145">
        <f t="shared" si="341"/>
        <v>1</v>
      </c>
      <c r="L213" s="202">
        <f t="shared" si="342"/>
        <v>3</v>
      </c>
      <c r="M213" s="212">
        <v>9.3000000000000007</v>
      </c>
      <c r="N213" s="203">
        <f t="shared" si="343"/>
        <v>27.900000000000002</v>
      </c>
      <c r="O213" s="212" t="s">
        <v>137</v>
      </c>
      <c r="P213" s="212" t="s">
        <v>13</v>
      </c>
      <c r="Q213" s="212" t="s">
        <v>148</v>
      </c>
      <c r="R213" s="212"/>
      <c r="S213" s="212"/>
      <c r="T213" s="203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3</v>
      </c>
      <c r="U213" s="203">
        <f t="shared" ca="1" si="344"/>
        <v>0</v>
      </c>
      <c r="V213" s="203">
        <f t="shared" ca="1" si="345"/>
        <v>1</v>
      </c>
      <c r="W213" s="212"/>
      <c r="X213" s="212"/>
      <c r="Y213" s="212"/>
      <c r="Z213" s="212"/>
      <c r="AA213" s="212"/>
      <c r="AB213" s="212"/>
      <c r="AC213" s="214" t="s">
        <v>196</v>
      </c>
      <c r="AD213" s="215" t="s">
        <v>2039</v>
      </c>
      <c r="AE213" s="148"/>
      <c r="AF213" s="212" t="str">
        <f t="shared" si="346"/>
        <v>AMC2-S2</v>
      </c>
      <c r="AG213" s="212">
        <f t="shared" si="347"/>
        <v>1</v>
      </c>
      <c r="AH213" s="203">
        <f t="shared" si="348"/>
        <v>3</v>
      </c>
      <c r="AI213" s="203">
        <f t="shared" ca="1" si="349"/>
        <v>3</v>
      </c>
      <c r="AJ213" s="203">
        <f t="shared" ca="1" si="350"/>
        <v>0</v>
      </c>
      <c r="AK213" s="212" t="str">
        <f t="shared" si="351"/>
        <v>N/A</v>
      </c>
      <c r="AL213" s="212">
        <f t="shared" si="352"/>
        <v>0</v>
      </c>
      <c r="AM213" s="203">
        <f t="shared" si="353"/>
        <v>0</v>
      </c>
      <c r="AN213" s="203">
        <f t="shared" ca="1" si="354"/>
        <v>0</v>
      </c>
      <c r="AO213" s="203">
        <f t="shared" ca="1" si="355"/>
        <v>0</v>
      </c>
      <c r="AP213" s="212" t="str">
        <f t="shared" si="356"/>
        <v>N/A</v>
      </c>
      <c r="AQ213" s="212">
        <f t="shared" si="357"/>
        <v>0</v>
      </c>
      <c r="AR213" s="203">
        <f t="shared" si="358"/>
        <v>0</v>
      </c>
      <c r="AS213" s="203">
        <f t="shared" ca="1" si="359"/>
        <v>0</v>
      </c>
      <c r="AT213" s="203">
        <f t="shared" ca="1" si="360"/>
        <v>0</v>
      </c>
      <c r="AU213" s="212" t="str">
        <f t="shared" si="361"/>
        <v>N/A</v>
      </c>
      <c r="AV213" s="212">
        <f t="shared" si="362"/>
        <v>0</v>
      </c>
      <c r="AW213" s="203">
        <f t="shared" si="363"/>
        <v>0</v>
      </c>
      <c r="AX213" s="203">
        <f t="shared" ca="1" si="364"/>
        <v>0</v>
      </c>
      <c r="AY213" s="203">
        <f t="shared" ca="1" si="365"/>
        <v>0</v>
      </c>
      <c r="AZ213" s="212"/>
      <c r="BA213" s="213" t="s">
        <v>141</v>
      </c>
      <c r="BB213" s="213" t="s">
        <v>140</v>
      </c>
      <c r="BC213" s="213" t="s">
        <v>140</v>
      </c>
      <c r="BD213" s="213" t="s">
        <v>140</v>
      </c>
      <c r="BE213" s="148"/>
      <c r="BF213" s="212" t="s">
        <v>1789</v>
      </c>
      <c r="BG213" s="117"/>
      <c r="BH213" s="155"/>
      <c r="BI213" s="216"/>
      <c r="BJ213" s="216"/>
      <c r="BK213" s="216"/>
      <c r="BL213" s="149"/>
      <c r="BM213" s="149"/>
      <c r="BN213" s="149"/>
      <c r="BO213" s="149"/>
      <c r="BP213" s="149"/>
      <c r="BQ213" s="149"/>
      <c r="BR213" s="117">
        <v>0</v>
      </c>
      <c r="BS213" s="117">
        <v>0</v>
      </c>
      <c r="BT213" s="117">
        <v>0</v>
      </c>
      <c r="BU213" s="117">
        <v>0</v>
      </c>
      <c r="BV213" s="117">
        <v>0</v>
      </c>
      <c r="BW213" s="117">
        <v>0</v>
      </c>
      <c r="BX213" s="117">
        <v>0</v>
      </c>
      <c r="BY213" s="117" t="s">
        <v>1790</v>
      </c>
      <c r="BZ213" s="117" t="s">
        <v>989</v>
      </c>
      <c r="CA213" s="117">
        <v>3</v>
      </c>
      <c r="CB213" s="149">
        <v>46186</v>
      </c>
      <c r="CC213" s="155"/>
      <c r="CD213" s="117"/>
      <c r="CE213" s="217"/>
      <c r="CF213" s="148">
        <f t="shared" si="366"/>
        <v>0</v>
      </c>
    </row>
    <row r="214" spans="1:84" ht="17.25" hidden="1" customHeight="1">
      <c r="A214" s="117"/>
      <c r="B214" s="209" t="s">
        <v>2062</v>
      </c>
      <c r="C214" s="209" t="s">
        <v>2221</v>
      </c>
      <c r="D214" s="209" t="s">
        <v>1296</v>
      </c>
      <c r="E214" s="209" t="s">
        <v>1794</v>
      </c>
      <c r="F214" s="209" t="s">
        <v>1733</v>
      </c>
      <c r="G214" s="209" t="s">
        <v>1280</v>
      </c>
      <c r="H214" s="210">
        <v>1100</v>
      </c>
      <c r="I214" s="211" t="s">
        <v>147</v>
      </c>
      <c r="J214" s="144">
        <v>1</v>
      </c>
      <c r="K214" s="145">
        <f t="shared" si="341"/>
        <v>1</v>
      </c>
      <c r="L214" s="202">
        <f t="shared" si="342"/>
        <v>1</v>
      </c>
      <c r="M214" s="212">
        <v>47.5</v>
      </c>
      <c r="N214" s="203">
        <f t="shared" si="343"/>
        <v>47.5</v>
      </c>
      <c r="O214" s="212" t="s">
        <v>137</v>
      </c>
      <c r="P214" s="212" t="s">
        <v>13</v>
      </c>
      <c r="Q214" s="212" t="s">
        <v>148</v>
      </c>
      <c r="R214" s="212"/>
      <c r="S214" s="212"/>
      <c r="T214" s="203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1</v>
      </c>
      <c r="U214" s="203">
        <f t="shared" ca="1" si="344"/>
        <v>0</v>
      </c>
      <c r="V214" s="203">
        <f t="shared" ca="1" si="345"/>
        <v>1</v>
      </c>
      <c r="W214" s="212"/>
      <c r="X214" s="212"/>
      <c r="Y214" s="212"/>
      <c r="Z214" s="212"/>
      <c r="AA214" s="212"/>
      <c r="AB214" s="212"/>
      <c r="AC214" s="214" t="s">
        <v>196</v>
      </c>
      <c r="AD214" s="215" t="s">
        <v>2039</v>
      </c>
      <c r="AE214" s="148"/>
      <c r="AF214" s="212" t="str">
        <f t="shared" si="346"/>
        <v>AMC2-S2</v>
      </c>
      <c r="AG214" s="212">
        <f t="shared" si="347"/>
        <v>1</v>
      </c>
      <c r="AH214" s="203">
        <f t="shared" si="348"/>
        <v>1</v>
      </c>
      <c r="AI214" s="203">
        <f t="shared" ca="1" si="349"/>
        <v>1</v>
      </c>
      <c r="AJ214" s="203">
        <f t="shared" ca="1" si="350"/>
        <v>0</v>
      </c>
      <c r="AK214" s="212" t="str">
        <f t="shared" si="351"/>
        <v>N/A</v>
      </c>
      <c r="AL214" s="212">
        <f t="shared" si="352"/>
        <v>0</v>
      </c>
      <c r="AM214" s="203">
        <f t="shared" si="353"/>
        <v>0</v>
      </c>
      <c r="AN214" s="203">
        <f t="shared" ca="1" si="354"/>
        <v>0</v>
      </c>
      <c r="AO214" s="203">
        <f t="shared" ca="1" si="355"/>
        <v>0</v>
      </c>
      <c r="AP214" s="212" t="str">
        <f t="shared" si="356"/>
        <v>N/A</v>
      </c>
      <c r="AQ214" s="212">
        <f t="shared" si="357"/>
        <v>0</v>
      </c>
      <c r="AR214" s="203">
        <f t="shared" si="358"/>
        <v>0</v>
      </c>
      <c r="AS214" s="203">
        <f t="shared" ca="1" si="359"/>
        <v>0</v>
      </c>
      <c r="AT214" s="203">
        <f t="shared" ca="1" si="360"/>
        <v>0</v>
      </c>
      <c r="AU214" s="212" t="str">
        <f t="shared" si="361"/>
        <v>N/A</v>
      </c>
      <c r="AV214" s="212">
        <f t="shared" si="362"/>
        <v>0</v>
      </c>
      <c r="AW214" s="203">
        <f t="shared" si="363"/>
        <v>0</v>
      </c>
      <c r="AX214" s="203">
        <f t="shared" ca="1" si="364"/>
        <v>0</v>
      </c>
      <c r="AY214" s="203">
        <f t="shared" ca="1" si="365"/>
        <v>0</v>
      </c>
      <c r="AZ214" s="212"/>
      <c r="BA214" s="213" t="s">
        <v>141</v>
      </c>
      <c r="BB214" s="213" t="s">
        <v>140</v>
      </c>
      <c r="BC214" s="213" t="s">
        <v>140</v>
      </c>
      <c r="BD214" s="213" t="s">
        <v>140</v>
      </c>
      <c r="BE214" s="148"/>
      <c r="BF214" s="212" t="s">
        <v>1789</v>
      </c>
      <c r="BG214" s="117"/>
      <c r="BH214" s="155"/>
      <c r="BI214" s="216"/>
      <c r="BJ214" s="216"/>
      <c r="BK214" s="216"/>
      <c r="BL214" s="149"/>
      <c r="BM214" s="149"/>
      <c r="BN214" s="149"/>
      <c r="BO214" s="149"/>
      <c r="BP214" s="149"/>
      <c r="BQ214" s="149"/>
      <c r="BR214" s="117">
        <v>0</v>
      </c>
      <c r="BS214" s="117">
        <v>0</v>
      </c>
      <c r="BT214" s="117">
        <v>0</v>
      </c>
      <c r="BU214" s="117">
        <v>0</v>
      </c>
      <c r="BV214" s="117">
        <v>0</v>
      </c>
      <c r="BW214" s="117">
        <v>0</v>
      </c>
      <c r="BX214" s="117">
        <v>0</v>
      </c>
      <c r="BY214" s="117" t="s">
        <v>1790</v>
      </c>
      <c r="BZ214" s="117" t="s">
        <v>1307</v>
      </c>
      <c r="CA214" s="117">
        <v>1</v>
      </c>
      <c r="CB214" s="234">
        <v>46242</v>
      </c>
      <c r="CC214" s="155"/>
      <c r="CD214" s="117"/>
      <c r="CE214" s="217"/>
      <c r="CF214" s="148">
        <f t="shared" si="366"/>
        <v>0</v>
      </c>
    </row>
    <row r="215" spans="1:84" ht="17.25" hidden="1" customHeight="1">
      <c r="A215" s="117"/>
      <c r="B215" s="209" t="s">
        <v>2062</v>
      </c>
      <c r="C215" s="209" t="s">
        <v>2221</v>
      </c>
      <c r="D215" s="209" t="s">
        <v>1296</v>
      </c>
      <c r="E215" s="209" t="s">
        <v>1795</v>
      </c>
      <c r="F215" s="209" t="s">
        <v>1734</v>
      </c>
      <c r="G215" s="209" t="s">
        <v>1273</v>
      </c>
      <c r="H215" s="210">
        <v>255</v>
      </c>
      <c r="I215" s="211" t="s">
        <v>652</v>
      </c>
      <c r="J215" s="144">
        <v>2</v>
      </c>
      <c r="K215" s="145">
        <f t="shared" si="341"/>
        <v>1</v>
      </c>
      <c r="L215" s="202">
        <f t="shared" si="342"/>
        <v>2</v>
      </c>
      <c r="M215" s="212">
        <v>1.9</v>
      </c>
      <c r="N215" s="203">
        <f t="shared" si="343"/>
        <v>3.8</v>
      </c>
      <c r="O215" s="212" t="s">
        <v>137</v>
      </c>
      <c r="P215" s="212" t="s">
        <v>13</v>
      </c>
      <c r="Q215" s="212" t="s">
        <v>148</v>
      </c>
      <c r="R215" s="212"/>
      <c r="S215" s="212"/>
      <c r="T215" s="203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2</v>
      </c>
      <c r="U215" s="203">
        <f t="shared" ca="1" si="344"/>
        <v>0</v>
      </c>
      <c r="V215" s="203">
        <f t="shared" ca="1" si="345"/>
        <v>1</v>
      </c>
      <c r="W215" s="212"/>
      <c r="X215" s="212"/>
      <c r="Y215" s="212"/>
      <c r="Z215" s="212"/>
      <c r="AA215" s="212"/>
      <c r="AB215" s="212"/>
      <c r="AC215" s="214" t="s">
        <v>196</v>
      </c>
      <c r="AD215" s="215" t="s">
        <v>2039</v>
      </c>
      <c r="AE215" s="148"/>
      <c r="AF215" s="212" t="str">
        <f t="shared" si="346"/>
        <v>AMC2-S2</v>
      </c>
      <c r="AG215" s="212">
        <f t="shared" si="347"/>
        <v>1</v>
      </c>
      <c r="AH215" s="203">
        <f t="shared" si="348"/>
        <v>2</v>
      </c>
      <c r="AI215" s="203">
        <f t="shared" ca="1" si="349"/>
        <v>2</v>
      </c>
      <c r="AJ215" s="203">
        <f t="shared" ca="1" si="350"/>
        <v>0</v>
      </c>
      <c r="AK215" s="212" t="str">
        <f t="shared" si="351"/>
        <v>N/A</v>
      </c>
      <c r="AL215" s="212">
        <f t="shared" si="352"/>
        <v>0</v>
      </c>
      <c r="AM215" s="203">
        <f t="shared" si="353"/>
        <v>0</v>
      </c>
      <c r="AN215" s="203">
        <f t="shared" ca="1" si="354"/>
        <v>0</v>
      </c>
      <c r="AO215" s="203">
        <f t="shared" ca="1" si="355"/>
        <v>0</v>
      </c>
      <c r="AP215" s="212" t="str">
        <f t="shared" si="356"/>
        <v>N/A</v>
      </c>
      <c r="AQ215" s="212">
        <f t="shared" si="357"/>
        <v>0</v>
      </c>
      <c r="AR215" s="203">
        <f t="shared" si="358"/>
        <v>0</v>
      </c>
      <c r="AS215" s="203">
        <f t="shared" ca="1" si="359"/>
        <v>0</v>
      </c>
      <c r="AT215" s="203">
        <f t="shared" ca="1" si="360"/>
        <v>0</v>
      </c>
      <c r="AU215" s="212" t="str">
        <f t="shared" si="361"/>
        <v>N/A</v>
      </c>
      <c r="AV215" s="212">
        <f t="shared" si="362"/>
        <v>0</v>
      </c>
      <c r="AW215" s="203">
        <f t="shared" si="363"/>
        <v>0</v>
      </c>
      <c r="AX215" s="203">
        <f t="shared" ca="1" si="364"/>
        <v>0</v>
      </c>
      <c r="AY215" s="203">
        <f t="shared" ca="1" si="365"/>
        <v>0</v>
      </c>
      <c r="AZ215" s="212"/>
      <c r="BA215" s="213" t="s">
        <v>141</v>
      </c>
      <c r="BB215" s="213" t="s">
        <v>140</v>
      </c>
      <c r="BC215" s="213" t="s">
        <v>140</v>
      </c>
      <c r="BD215" s="213" t="s">
        <v>140</v>
      </c>
      <c r="BE215" s="148"/>
      <c r="BF215" s="212"/>
      <c r="BG215" s="117"/>
      <c r="BH215" s="155"/>
      <c r="BI215" s="216"/>
      <c r="BJ215" s="216"/>
      <c r="BK215" s="216"/>
      <c r="BL215" s="149"/>
      <c r="BM215" s="149"/>
      <c r="BN215" s="149"/>
      <c r="BO215" s="149"/>
      <c r="BP215" s="149"/>
      <c r="BQ215" s="149"/>
      <c r="BR215" s="117">
        <v>0</v>
      </c>
      <c r="BS215" s="117">
        <v>0</v>
      </c>
      <c r="BT215" s="117">
        <v>0</v>
      </c>
      <c r="BU215" s="117">
        <v>0</v>
      </c>
      <c r="BV215" s="117">
        <v>0</v>
      </c>
      <c r="BW215" s="117">
        <v>0</v>
      </c>
      <c r="BX215" s="117">
        <v>0</v>
      </c>
      <c r="BY215" s="117" t="s">
        <v>1790</v>
      </c>
      <c r="BZ215" s="117" t="s">
        <v>1312</v>
      </c>
      <c r="CA215" s="117">
        <v>2</v>
      </c>
      <c r="CB215" s="149">
        <v>46186</v>
      </c>
      <c r="CC215" s="155"/>
      <c r="CD215" s="155"/>
      <c r="CE215" s="217"/>
      <c r="CF215" s="148">
        <f t="shared" si="366"/>
        <v>0</v>
      </c>
    </row>
    <row r="216" spans="1:84" ht="17.25" hidden="1" customHeight="1">
      <c r="A216" s="117"/>
      <c r="B216" s="209" t="s">
        <v>2062</v>
      </c>
      <c r="C216" s="209" t="s">
        <v>2221</v>
      </c>
      <c r="D216" s="209" t="s">
        <v>1296</v>
      </c>
      <c r="E216" s="209" t="s">
        <v>1796</v>
      </c>
      <c r="F216" s="209" t="s">
        <v>1735</v>
      </c>
      <c r="G216" s="209" t="s">
        <v>1284</v>
      </c>
      <c r="H216" s="210">
        <v>325</v>
      </c>
      <c r="I216" s="211" t="s">
        <v>147</v>
      </c>
      <c r="J216" s="144">
        <v>1</v>
      </c>
      <c r="K216" s="145">
        <f t="shared" si="341"/>
        <v>1</v>
      </c>
      <c r="L216" s="202">
        <f t="shared" si="342"/>
        <v>1</v>
      </c>
      <c r="M216" s="212">
        <v>3.3</v>
      </c>
      <c r="N216" s="203">
        <f t="shared" si="343"/>
        <v>3.3</v>
      </c>
      <c r="O216" s="212" t="s">
        <v>137</v>
      </c>
      <c r="P216" s="212" t="s">
        <v>13</v>
      </c>
      <c r="Q216" s="212" t="s">
        <v>148</v>
      </c>
      <c r="R216" s="212"/>
      <c r="S216" s="212"/>
      <c r="T216" s="203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1</v>
      </c>
      <c r="U216" s="203">
        <f t="shared" ca="1" si="344"/>
        <v>0</v>
      </c>
      <c r="V216" s="203">
        <f t="shared" ca="1" si="345"/>
        <v>1</v>
      </c>
      <c r="W216" s="212"/>
      <c r="X216" s="212"/>
      <c r="Y216" s="212"/>
      <c r="Z216" s="212"/>
      <c r="AA216" s="212"/>
      <c r="AB216" s="212"/>
      <c r="AC216" s="214" t="s">
        <v>196</v>
      </c>
      <c r="AD216" s="215" t="s">
        <v>2039</v>
      </c>
      <c r="AE216" s="148"/>
      <c r="AF216" s="212" t="str">
        <f t="shared" si="346"/>
        <v>AMC2-S2</v>
      </c>
      <c r="AG216" s="212">
        <f t="shared" si="347"/>
        <v>1</v>
      </c>
      <c r="AH216" s="203">
        <f t="shared" si="348"/>
        <v>1</v>
      </c>
      <c r="AI216" s="203">
        <f t="shared" ca="1" si="349"/>
        <v>1</v>
      </c>
      <c r="AJ216" s="203">
        <f t="shared" ca="1" si="350"/>
        <v>0</v>
      </c>
      <c r="AK216" s="212" t="str">
        <f t="shared" si="351"/>
        <v>N/A</v>
      </c>
      <c r="AL216" s="212">
        <f t="shared" si="352"/>
        <v>0</v>
      </c>
      <c r="AM216" s="203">
        <f t="shared" si="353"/>
        <v>0</v>
      </c>
      <c r="AN216" s="203">
        <f t="shared" ca="1" si="354"/>
        <v>0</v>
      </c>
      <c r="AO216" s="203">
        <f t="shared" ca="1" si="355"/>
        <v>0</v>
      </c>
      <c r="AP216" s="212" t="str">
        <f t="shared" si="356"/>
        <v>N/A</v>
      </c>
      <c r="AQ216" s="212">
        <f t="shared" si="357"/>
        <v>0</v>
      </c>
      <c r="AR216" s="203">
        <f t="shared" si="358"/>
        <v>0</v>
      </c>
      <c r="AS216" s="203">
        <f t="shared" ca="1" si="359"/>
        <v>0</v>
      </c>
      <c r="AT216" s="203">
        <f t="shared" ca="1" si="360"/>
        <v>0</v>
      </c>
      <c r="AU216" s="212" t="str">
        <f t="shared" si="361"/>
        <v>N/A</v>
      </c>
      <c r="AV216" s="212">
        <f t="shared" si="362"/>
        <v>0</v>
      </c>
      <c r="AW216" s="203">
        <f t="shared" si="363"/>
        <v>0</v>
      </c>
      <c r="AX216" s="203">
        <f t="shared" ca="1" si="364"/>
        <v>0</v>
      </c>
      <c r="AY216" s="203">
        <f t="shared" ca="1" si="365"/>
        <v>0</v>
      </c>
      <c r="AZ216" s="212"/>
      <c r="BA216" s="213" t="s">
        <v>141</v>
      </c>
      <c r="BB216" s="213" t="s">
        <v>140</v>
      </c>
      <c r="BC216" s="213" t="s">
        <v>140</v>
      </c>
      <c r="BD216" s="213" t="s">
        <v>140</v>
      </c>
      <c r="BE216" s="148"/>
      <c r="BF216" s="212" t="s">
        <v>1789</v>
      </c>
      <c r="BG216" s="117"/>
      <c r="BH216" s="155"/>
      <c r="BI216" s="216"/>
      <c r="BJ216" s="216"/>
      <c r="BK216" s="216"/>
      <c r="BL216" s="149"/>
      <c r="BM216" s="149"/>
      <c r="BN216" s="149"/>
      <c r="BO216" s="149"/>
      <c r="BP216" s="149"/>
      <c r="BQ216" s="149"/>
      <c r="BR216" s="117">
        <v>0</v>
      </c>
      <c r="BS216" s="117">
        <v>0</v>
      </c>
      <c r="BT216" s="117">
        <v>0</v>
      </c>
      <c r="BU216" s="117">
        <v>1</v>
      </c>
      <c r="BV216" s="117">
        <v>0</v>
      </c>
      <c r="BW216" s="117">
        <v>0</v>
      </c>
      <c r="BX216" s="117">
        <v>0</v>
      </c>
      <c r="BY216" s="117" t="s">
        <v>1790</v>
      </c>
      <c r="BZ216" s="117" t="s">
        <v>989</v>
      </c>
      <c r="CA216" s="117">
        <v>1</v>
      </c>
      <c r="CB216" s="149">
        <v>46186</v>
      </c>
      <c r="CC216" s="155"/>
      <c r="CD216" s="117"/>
      <c r="CE216" s="217"/>
      <c r="CF216" s="148">
        <f t="shared" si="366"/>
        <v>0</v>
      </c>
    </row>
    <row r="217" spans="1:84" ht="17.25" hidden="1" customHeight="1">
      <c r="A217" s="117"/>
      <c r="B217" s="209" t="s">
        <v>2062</v>
      </c>
      <c r="C217" s="209" t="s">
        <v>2221</v>
      </c>
      <c r="D217" s="209" t="s">
        <v>1296</v>
      </c>
      <c r="E217" s="209" t="s">
        <v>1979</v>
      </c>
      <c r="F217" s="209" t="s">
        <v>1736</v>
      </c>
      <c r="G217" s="209" t="s">
        <v>1284</v>
      </c>
      <c r="H217" s="210">
        <v>325</v>
      </c>
      <c r="I217" s="211" t="s">
        <v>147</v>
      </c>
      <c r="J217" s="144">
        <v>1</v>
      </c>
      <c r="K217" s="145">
        <f t="shared" si="341"/>
        <v>1</v>
      </c>
      <c r="L217" s="202">
        <f t="shared" si="342"/>
        <v>1</v>
      </c>
      <c r="M217" s="212">
        <v>3.3</v>
      </c>
      <c r="N217" s="203">
        <f t="shared" si="343"/>
        <v>3.3</v>
      </c>
      <c r="O217" s="212" t="s">
        <v>137</v>
      </c>
      <c r="P217" s="212" t="s">
        <v>13</v>
      </c>
      <c r="Q217" s="212" t="s">
        <v>148</v>
      </c>
      <c r="R217" s="212"/>
      <c r="S217" s="212"/>
      <c r="T217" s="203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</v>
      </c>
      <c r="U217" s="203">
        <f t="shared" ca="1" si="344"/>
        <v>0</v>
      </c>
      <c r="V217" s="203">
        <f t="shared" ca="1" si="345"/>
        <v>1</v>
      </c>
      <c r="W217" s="212"/>
      <c r="X217" s="212"/>
      <c r="Y217" s="212"/>
      <c r="Z217" s="212"/>
      <c r="AA217" s="212"/>
      <c r="AB217" s="212"/>
      <c r="AC217" s="214" t="s">
        <v>196</v>
      </c>
      <c r="AD217" s="215" t="s">
        <v>2039</v>
      </c>
      <c r="AE217" s="148"/>
      <c r="AF217" s="212" t="str">
        <f t="shared" si="346"/>
        <v>AMC2-S2</v>
      </c>
      <c r="AG217" s="212">
        <f t="shared" si="347"/>
        <v>1</v>
      </c>
      <c r="AH217" s="203">
        <f t="shared" si="348"/>
        <v>1</v>
      </c>
      <c r="AI217" s="203">
        <f t="shared" ca="1" si="349"/>
        <v>1</v>
      </c>
      <c r="AJ217" s="203">
        <f t="shared" ca="1" si="350"/>
        <v>0</v>
      </c>
      <c r="AK217" s="212" t="str">
        <f t="shared" si="351"/>
        <v>N/A</v>
      </c>
      <c r="AL217" s="212">
        <f t="shared" si="352"/>
        <v>0</v>
      </c>
      <c r="AM217" s="203">
        <f t="shared" si="353"/>
        <v>0</v>
      </c>
      <c r="AN217" s="203">
        <f t="shared" ca="1" si="354"/>
        <v>0</v>
      </c>
      <c r="AO217" s="203">
        <f t="shared" ca="1" si="355"/>
        <v>0</v>
      </c>
      <c r="AP217" s="212" t="str">
        <f t="shared" si="356"/>
        <v>N/A</v>
      </c>
      <c r="AQ217" s="212">
        <f t="shared" si="357"/>
        <v>0</v>
      </c>
      <c r="AR217" s="203">
        <f t="shared" si="358"/>
        <v>0</v>
      </c>
      <c r="AS217" s="203">
        <f t="shared" ca="1" si="359"/>
        <v>0</v>
      </c>
      <c r="AT217" s="203">
        <f t="shared" ca="1" si="360"/>
        <v>0</v>
      </c>
      <c r="AU217" s="212" t="str">
        <f t="shared" si="361"/>
        <v>N/A</v>
      </c>
      <c r="AV217" s="212">
        <f t="shared" si="362"/>
        <v>0</v>
      </c>
      <c r="AW217" s="203">
        <f t="shared" si="363"/>
        <v>0</v>
      </c>
      <c r="AX217" s="203">
        <f t="shared" ca="1" si="364"/>
        <v>0</v>
      </c>
      <c r="AY217" s="203">
        <f t="shared" ca="1" si="365"/>
        <v>0</v>
      </c>
      <c r="AZ217" s="212"/>
      <c r="BA217" s="213" t="s">
        <v>141</v>
      </c>
      <c r="BB217" s="213" t="s">
        <v>140</v>
      </c>
      <c r="BC217" s="213" t="s">
        <v>140</v>
      </c>
      <c r="BD217" s="213" t="s">
        <v>140</v>
      </c>
      <c r="BE217" s="148"/>
      <c r="BF217" s="212" t="s">
        <v>1789</v>
      </c>
      <c r="BG217" s="117"/>
      <c r="BH217" s="155"/>
      <c r="BI217" s="216"/>
      <c r="BJ217" s="216"/>
      <c r="BK217" s="216"/>
      <c r="BL217" s="149"/>
      <c r="BM217" s="149"/>
      <c r="BN217" s="149"/>
      <c r="BO217" s="149"/>
      <c r="BP217" s="149"/>
      <c r="BQ217" s="149"/>
      <c r="BR217" s="117">
        <v>0</v>
      </c>
      <c r="BS217" s="117">
        <v>0</v>
      </c>
      <c r="BT217" s="117">
        <v>0</v>
      </c>
      <c r="BU217" s="117">
        <v>1</v>
      </c>
      <c r="BV217" s="117">
        <v>0</v>
      </c>
      <c r="BW217" s="117">
        <v>0</v>
      </c>
      <c r="BX217" s="117">
        <v>0</v>
      </c>
      <c r="BY217" s="117" t="s">
        <v>1790</v>
      </c>
      <c r="BZ217" s="117" t="s">
        <v>989</v>
      </c>
      <c r="CA217" s="117">
        <v>1</v>
      </c>
      <c r="CB217" s="149">
        <v>46186</v>
      </c>
      <c r="CC217" s="155"/>
      <c r="CD217" s="117"/>
      <c r="CE217" s="217"/>
      <c r="CF217" s="148">
        <f t="shared" si="366"/>
        <v>0</v>
      </c>
    </row>
    <row r="218" spans="1:84" ht="17.25" hidden="1" customHeight="1">
      <c r="A218" s="117"/>
      <c r="B218" s="209" t="s">
        <v>2062</v>
      </c>
      <c r="C218" s="209" t="s">
        <v>2221</v>
      </c>
      <c r="D218" s="209" t="s">
        <v>1296</v>
      </c>
      <c r="E218" s="209" t="s">
        <v>1797</v>
      </c>
      <c r="F218" s="209" t="s">
        <v>1737</v>
      </c>
      <c r="G218" s="209" t="s">
        <v>1284</v>
      </c>
      <c r="H218" s="210">
        <v>100</v>
      </c>
      <c r="I218" s="211" t="s">
        <v>147</v>
      </c>
      <c r="J218" s="144">
        <v>1</v>
      </c>
      <c r="K218" s="145">
        <f t="shared" si="341"/>
        <v>1</v>
      </c>
      <c r="L218" s="202">
        <f t="shared" si="342"/>
        <v>1</v>
      </c>
      <c r="M218" s="212">
        <v>0.8</v>
      </c>
      <c r="N218" s="203">
        <f t="shared" si="343"/>
        <v>0.8</v>
      </c>
      <c r="O218" s="212" t="s">
        <v>137</v>
      </c>
      <c r="P218" s="212" t="s">
        <v>13</v>
      </c>
      <c r="Q218" s="212" t="s">
        <v>148</v>
      </c>
      <c r="R218" s="212"/>
      <c r="S218" s="212"/>
      <c r="T218" s="203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</v>
      </c>
      <c r="U218" s="203">
        <f t="shared" ca="1" si="344"/>
        <v>0</v>
      </c>
      <c r="V218" s="203">
        <f t="shared" ca="1" si="345"/>
        <v>1</v>
      </c>
      <c r="W218" s="212"/>
      <c r="X218" s="212"/>
      <c r="Y218" s="212"/>
      <c r="Z218" s="212"/>
      <c r="AA218" s="212"/>
      <c r="AB218" s="212"/>
      <c r="AC218" s="214" t="s">
        <v>196</v>
      </c>
      <c r="AD218" s="215" t="s">
        <v>2039</v>
      </c>
      <c r="AE218" s="148"/>
      <c r="AF218" s="212" t="str">
        <f t="shared" si="346"/>
        <v>AMC2-S2</v>
      </c>
      <c r="AG218" s="212">
        <f t="shared" si="347"/>
        <v>1</v>
      </c>
      <c r="AH218" s="203">
        <f t="shared" si="348"/>
        <v>1</v>
      </c>
      <c r="AI218" s="203">
        <f t="shared" ca="1" si="349"/>
        <v>1</v>
      </c>
      <c r="AJ218" s="203">
        <f t="shared" ca="1" si="350"/>
        <v>0</v>
      </c>
      <c r="AK218" s="212" t="str">
        <f t="shared" si="351"/>
        <v>N/A</v>
      </c>
      <c r="AL218" s="212">
        <f t="shared" si="352"/>
        <v>0</v>
      </c>
      <c r="AM218" s="203">
        <f t="shared" si="353"/>
        <v>0</v>
      </c>
      <c r="AN218" s="203">
        <f t="shared" ca="1" si="354"/>
        <v>0</v>
      </c>
      <c r="AO218" s="203">
        <f t="shared" ca="1" si="355"/>
        <v>0</v>
      </c>
      <c r="AP218" s="212" t="str">
        <f t="shared" si="356"/>
        <v>N/A</v>
      </c>
      <c r="AQ218" s="212">
        <f t="shared" si="357"/>
        <v>0</v>
      </c>
      <c r="AR218" s="203">
        <f t="shared" si="358"/>
        <v>0</v>
      </c>
      <c r="AS218" s="203">
        <f t="shared" ca="1" si="359"/>
        <v>0</v>
      </c>
      <c r="AT218" s="203">
        <f t="shared" ca="1" si="360"/>
        <v>0</v>
      </c>
      <c r="AU218" s="212" t="str">
        <f t="shared" si="361"/>
        <v>N/A</v>
      </c>
      <c r="AV218" s="212">
        <f t="shared" si="362"/>
        <v>0</v>
      </c>
      <c r="AW218" s="203">
        <f t="shared" si="363"/>
        <v>0</v>
      </c>
      <c r="AX218" s="203">
        <f t="shared" ca="1" si="364"/>
        <v>0</v>
      </c>
      <c r="AY218" s="203">
        <f t="shared" ca="1" si="365"/>
        <v>0</v>
      </c>
      <c r="AZ218" s="212"/>
      <c r="BA218" s="213" t="s">
        <v>141</v>
      </c>
      <c r="BB218" s="213" t="s">
        <v>140</v>
      </c>
      <c r="BC218" s="213" t="s">
        <v>140</v>
      </c>
      <c r="BD218" s="213" t="s">
        <v>140</v>
      </c>
      <c r="BE218" s="148"/>
      <c r="BF218" s="212" t="s">
        <v>1789</v>
      </c>
      <c r="BG218" s="117"/>
      <c r="BH218" s="155"/>
      <c r="BI218" s="216"/>
      <c r="BJ218" s="216"/>
      <c r="BK218" s="216"/>
      <c r="BL218" s="149"/>
      <c r="BM218" s="149"/>
      <c r="BN218" s="149"/>
      <c r="BO218" s="149"/>
      <c r="BP218" s="149"/>
      <c r="BQ218" s="149"/>
      <c r="BR218" s="117">
        <v>0</v>
      </c>
      <c r="BS218" s="117">
        <v>0</v>
      </c>
      <c r="BT218" s="117">
        <v>0</v>
      </c>
      <c r="BU218" s="117">
        <v>0</v>
      </c>
      <c r="BV218" s="117">
        <v>0</v>
      </c>
      <c r="BW218" s="117">
        <v>0</v>
      </c>
      <c r="BX218" s="117">
        <v>0</v>
      </c>
      <c r="BY218" s="117" t="s">
        <v>1790</v>
      </c>
      <c r="BZ218" s="117" t="s">
        <v>989</v>
      </c>
      <c r="CA218" s="117">
        <v>1</v>
      </c>
      <c r="CB218" s="149">
        <v>46186</v>
      </c>
      <c r="CC218" s="155"/>
      <c r="CD218" s="117"/>
      <c r="CE218" s="217"/>
      <c r="CF218" s="148">
        <f t="shared" si="366"/>
        <v>0</v>
      </c>
    </row>
    <row r="219" spans="1:84" ht="17.25" hidden="1" customHeight="1">
      <c r="A219" s="141"/>
      <c r="B219" s="199" t="s">
        <v>2062</v>
      </c>
      <c r="C219" s="199" t="s">
        <v>2221</v>
      </c>
      <c r="D219" s="199" t="s">
        <v>1296</v>
      </c>
      <c r="E219" s="199" t="s">
        <v>1798</v>
      </c>
      <c r="F219" s="199" t="s">
        <v>1738</v>
      </c>
      <c r="G219" s="199" t="s">
        <v>1739</v>
      </c>
      <c r="H219" s="200">
        <v>1616</v>
      </c>
      <c r="I219" s="201" t="s">
        <v>147</v>
      </c>
      <c r="J219" s="165">
        <v>3</v>
      </c>
      <c r="K219" s="202">
        <f t="shared" si="341"/>
        <v>1</v>
      </c>
      <c r="L219" s="202">
        <f t="shared" si="342"/>
        <v>3</v>
      </c>
      <c r="M219" s="203">
        <v>24.2</v>
      </c>
      <c r="N219" s="203">
        <f t="shared" si="343"/>
        <v>72.599999999999994</v>
      </c>
      <c r="O219" s="203" t="s">
        <v>137</v>
      </c>
      <c r="P219" s="203" t="s">
        <v>13</v>
      </c>
      <c r="Q219" s="203" t="s">
        <v>148</v>
      </c>
      <c r="R219" s="203"/>
      <c r="S219" s="203"/>
      <c r="T219" s="203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3</v>
      </c>
      <c r="U219" s="203">
        <f t="shared" ca="1" si="344"/>
        <v>0</v>
      </c>
      <c r="V219" s="203">
        <f t="shared" ca="1" si="345"/>
        <v>1</v>
      </c>
      <c r="W219" s="203"/>
      <c r="X219" s="203"/>
      <c r="Y219" s="203"/>
      <c r="Z219" s="203"/>
      <c r="AA219" s="203"/>
      <c r="AB219" s="203"/>
      <c r="AC219" s="205" t="s">
        <v>196</v>
      </c>
      <c r="AD219" s="206" t="s">
        <v>2039</v>
      </c>
      <c r="AE219" s="166"/>
      <c r="AF219" s="203" t="str">
        <f t="shared" si="346"/>
        <v>AMC2-S2</v>
      </c>
      <c r="AG219" s="203">
        <f t="shared" si="347"/>
        <v>1</v>
      </c>
      <c r="AH219" s="203">
        <f t="shared" si="348"/>
        <v>3</v>
      </c>
      <c r="AI219" s="203">
        <f t="shared" ca="1" si="349"/>
        <v>3</v>
      </c>
      <c r="AJ219" s="203">
        <f t="shared" ca="1" si="350"/>
        <v>0</v>
      </c>
      <c r="AK219" s="203" t="str">
        <f t="shared" si="351"/>
        <v>N/A</v>
      </c>
      <c r="AL219" s="203">
        <f t="shared" si="352"/>
        <v>0</v>
      </c>
      <c r="AM219" s="203">
        <f t="shared" si="353"/>
        <v>0</v>
      </c>
      <c r="AN219" s="203">
        <f t="shared" ca="1" si="354"/>
        <v>0</v>
      </c>
      <c r="AO219" s="203">
        <f t="shared" ca="1" si="355"/>
        <v>0</v>
      </c>
      <c r="AP219" s="203" t="str">
        <f t="shared" si="356"/>
        <v>N/A</v>
      </c>
      <c r="AQ219" s="203">
        <f t="shared" si="357"/>
        <v>0</v>
      </c>
      <c r="AR219" s="203">
        <f t="shared" si="358"/>
        <v>0</v>
      </c>
      <c r="AS219" s="203">
        <f t="shared" ca="1" si="359"/>
        <v>0</v>
      </c>
      <c r="AT219" s="203">
        <f t="shared" ca="1" si="360"/>
        <v>0</v>
      </c>
      <c r="AU219" s="203" t="str">
        <f t="shared" si="361"/>
        <v>N/A</v>
      </c>
      <c r="AV219" s="203">
        <f t="shared" si="362"/>
        <v>0</v>
      </c>
      <c r="AW219" s="203">
        <f t="shared" si="363"/>
        <v>0</v>
      </c>
      <c r="AX219" s="203">
        <f t="shared" ca="1" si="364"/>
        <v>0</v>
      </c>
      <c r="AY219" s="203">
        <f t="shared" ca="1" si="365"/>
        <v>0</v>
      </c>
      <c r="AZ219" s="203"/>
      <c r="BA219" s="204" t="s">
        <v>141</v>
      </c>
      <c r="BB219" s="204" t="s">
        <v>140</v>
      </c>
      <c r="BC219" s="204" t="s">
        <v>140</v>
      </c>
      <c r="BD219" s="204" t="s">
        <v>140</v>
      </c>
      <c r="BE219" s="166"/>
      <c r="BF219" s="203" t="s">
        <v>1789</v>
      </c>
      <c r="BG219" s="141"/>
      <c r="BH219" s="152"/>
      <c r="BI219" s="207"/>
      <c r="BJ219" s="230" t="s">
        <v>2064</v>
      </c>
      <c r="BK219" s="230"/>
      <c r="BL219" s="153" t="s">
        <v>1932</v>
      </c>
      <c r="BM219" s="153"/>
      <c r="BN219" s="153"/>
      <c r="BO219" s="153"/>
      <c r="BP219" s="153"/>
      <c r="BQ219" s="153"/>
      <c r="BR219" s="141">
        <v>0</v>
      </c>
      <c r="BS219" s="141">
        <v>0</v>
      </c>
      <c r="BT219" s="141">
        <v>0</v>
      </c>
      <c r="BU219" s="141">
        <v>0</v>
      </c>
      <c r="BV219" s="141">
        <v>0</v>
      </c>
      <c r="BW219" s="141">
        <v>0</v>
      </c>
      <c r="BX219" s="141">
        <v>0</v>
      </c>
      <c r="BY219" s="141" t="s">
        <v>1790</v>
      </c>
      <c r="BZ219" s="141" t="s">
        <v>57</v>
      </c>
      <c r="CA219" s="141">
        <v>3</v>
      </c>
      <c r="CB219" s="153"/>
      <c r="CC219" s="152"/>
      <c r="CD219" s="152"/>
      <c r="CE219" s="208"/>
      <c r="CF219" s="166">
        <f t="shared" si="366"/>
        <v>0</v>
      </c>
    </row>
    <row r="220" spans="1:84" ht="17.25" hidden="1" customHeight="1">
      <c r="A220" s="117"/>
      <c r="B220" s="209" t="s">
        <v>2062</v>
      </c>
      <c r="C220" s="209" t="s">
        <v>2221</v>
      </c>
      <c r="D220" s="209" t="s">
        <v>1296</v>
      </c>
      <c r="E220" s="209" t="s">
        <v>1799</v>
      </c>
      <c r="F220" s="209" t="s">
        <v>1719</v>
      </c>
      <c r="G220" s="209" t="s">
        <v>1720</v>
      </c>
      <c r="H220" s="210">
        <v>609</v>
      </c>
      <c r="I220" s="211" t="s">
        <v>147</v>
      </c>
      <c r="J220" s="144">
        <v>2</v>
      </c>
      <c r="K220" s="145">
        <f t="shared" si="341"/>
        <v>1</v>
      </c>
      <c r="L220" s="202">
        <f t="shared" si="342"/>
        <v>2</v>
      </c>
      <c r="M220" s="212">
        <v>16.8</v>
      </c>
      <c r="N220" s="203">
        <f t="shared" si="343"/>
        <v>33.6</v>
      </c>
      <c r="O220" s="212" t="s">
        <v>137</v>
      </c>
      <c r="P220" s="212" t="s">
        <v>13</v>
      </c>
      <c r="Q220" s="212" t="s">
        <v>148</v>
      </c>
      <c r="R220" s="212"/>
      <c r="S220" s="212"/>
      <c r="T220" s="203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2</v>
      </c>
      <c r="U220" s="203">
        <f t="shared" ca="1" si="344"/>
        <v>0</v>
      </c>
      <c r="V220" s="203">
        <f t="shared" ca="1" si="345"/>
        <v>1</v>
      </c>
      <c r="W220" s="212"/>
      <c r="X220" s="212"/>
      <c r="Y220" s="212"/>
      <c r="Z220" s="212"/>
      <c r="AA220" s="212"/>
      <c r="AB220" s="212"/>
      <c r="AC220" s="214" t="s">
        <v>196</v>
      </c>
      <c r="AD220" s="215" t="s">
        <v>2039</v>
      </c>
      <c r="AE220" s="148"/>
      <c r="AF220" s="212" t="str">
        <f t="shared" si="346"/>
        <v>AMC2-S2</v>
      </c>
      <c r="AG220" s="212">
        <f t="shared" si="347"/>
        <v>1</v>
      </c>
      <c r="AH220" s="203">
        <f t="shared" si="348"/>
        <v>2</v>
      </c>
      <c r="AI220" s="203">
        <f t="shared" ca="1" si="349"/>
        <v>2</v>
      </c>
      <c r="AJ220" s="203">
        <f t="shared" ca="1" si="350"/>
        <v>0</v>
      </c>
      <c r="AK220" s="212" t="str">
        <f t="shared" si="351"/>
        <v>N/A</v>
      </c>
      <c r="AL220" s="212">
        <f t="shared" si="352"/>
        <v>0</v>
      </c>
      <c r="AM220" s="203">
        <f t="shared" si="353"/>
        <v>0</v>
      </c>
      <c r="AN220" s="203">
        <f t="shared" ca="1" si="354"/>
        <v>0</v>
      </c>
      <c r="AO220" s="203">
        <f t="shared" ca="1" si="355"/>
        <v>0</v>
      </c>
      <c r="AP220" s="212" t="str">
        <f t="shared" si="356"/>
        <v>N/A</v>
      </c>
      <c r="AQ220" s="212">
        <f t="shared" si="357"/>
        <v>0</v>
      </c>
      <c r="AR220" s="203">
        <f t="shared" si="358"/>
        <v>0</v>
      </c>
      <c r="AS220" s="203">
        <f t="shared" ca="1" si="359"/>
        <v>0</v>
      </c>
      <c r="AT220" s="203">
        <f t="shared" ca="1" si="360"/>
        <v>0</v>
      </c>
      <c r="AU220" s="212" t="str">
        <f t="shared" si="361"/>
        <v>N/A</v>
      </c>
      <c r="AV220" s="212">
        <f t="shared" si="362"/>
        <v>0</v>
      </c>
      <c r="AW220" s="203">
        <f t="shared" si="363"/>
        <v>0</v>
      </c>
      <c r="AX220" s="203">
        <f t="shared" ca="1" si="364"/>
        <v>0</v>
      </c>
      <c r="AY220" s="203">
        <f t="shared" ca="1" si="365"/>
        <v>0</v>
      </c>
      <c r="AZ220" s="212"/>
      <c r="BA220" s="213" t="s">
        <v>141</v>
      </c>
      <c r="BB220" s="213" t="s">
        <v>140</v>
      </c>
      <c r="BC220" s="213" t="s">
        <v>140</v>
      </c>
      <c r="BD220" s="213" t="s">
        <v>140</v>
      </c>
      <c r="BE220" s="148"/>
      <c r="BF220" s="212" t="s">
        <v>1789</v>
      </c>
      <c r="BG220" s="117"/>
      <c r="BH220" s="155"/>
      <c r="BI220" s="216"/>
      <c r="BJ220" s="216"/>
      <c r="BK220" s="216"/>
      <c r="BL220" s="149"/>
      <c r="BM220" s="149"/>
      <c r="BN220" s="149"/>
      <c r="BO220" s="149"/>
      <c r="BP220" s="149"/>
      <c r="BQ220" s="149"/>
      <c r="BR220" s="117">
        <v>1</v>
      </c>
      <c r="BS220" s="117">
        <v>0</v>
      </c>
      <c r="BT220" s="117">
        <v>0</v>
      </c>
      <c r="BU220" s="117">
        <v>0</v>
      </c>
      <c r="BV220" s="117">
        <v>0</v>
      </c>
      <c r="BW220" s="117">
        <v>0</v>
      </c>
      <c r="BX220" s="117">
        <v>0</v>
      </c>
      <c r="BY220" s="117" t="s">
        <v>1790</v>
      </c>
      <c r="BZ220" s="117" t="s">
        <v>1303</v>
      </c>
      <c r="CA220" s="117">
        <v>2</v>
      </c>
      <c r="CB220" s="149">
        <v>46206</v>
      </c>
      <c r="CC220" s="155"/>
      <c r="CD220" s="117"/>
      <c r="CE220" s="217"/>
      <c r="CF220" s="148">
        <f t="shared" si="366"/>
        <v>0</v>
      </c>
    </row>
    <row r="221" spans="1:84" ht="17.25" hidden="1" customHeight="1">
      <c r="A221" s="117"/>
      <c r="B221" s="209" t="s">
        <v>2062</v>
      </c>
      <c r="C221" s="209" t="s">
        <v>2221</v>
      </c>
      <c r="D221" s="209" t="s">
        <v>1296</v>
      </c>
      <c r="E221" s="209" t="s">
        <v>1800</v>
      </c>
      <c r="F221" s="209" t="s">
        <v>1721</v>
      </c>
      <c r="G221" s="209" t="s">
        <v>1703</v>
      </c>
      <c r="H221" s="210">
        <v>182</v>
      </c>
      <c r="I221" s="211" t="s">
        <v>147</v>
      </c>
      <c r="J221" s="144">
        <v>10</v>
      </c>
      <c r="K221" s="145">
        <f t="shared" si="341"/>
        <v>1</v>
      </c>
      <c r="L221" s="202">
        <f t="shared" si="342"/>
        <v>10</v>
      </c>
      <c r="M221" s="212">
        <v>1.4</v>
      </c>
      <c r="N221" s="203">
        <f t="shared" si="343"/>
        <v>14</v>
      </c>
      <c r="O221" s="212" t="s">
        <v>137</v>
      </c>
      <c r="P221" s="212" t="s">
        <v>13</v>
      </c>
      <c r="Q221" s="212" t="s">
        <v>148</v>
      </c>
      <c r="R221" s="212"/>
      <c r="S221" s="212"/>
      <c r="T221" s="203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10</v>
      </c>
      <c r="U221" s="203">
        <f t="shared" ca="1" si="344"/>
        <v>0</v>
      </c>
      <c r="V221" s="203">
        <f t="shared" ca="1" si="345"/>
        <v>1</v>
      </c>
      <c r="W221" s="212"/>
      <c r="X221" s="212"/>
      <c r="Y221" s="212"/>
      <c r="Z221" s="212"/>
      <c r="AA221" s="212"/>
      <c r="AB221" s="212"/>
      <c r="AC221" s="214" t="s">
        <v>196</v>
      </c>
      <c r="AD221" s="215" t="s">
        <v>2039</v>
      </c>
      <c r="AE221" s="148"/>
      <c r="AF221" s="212" t="str">
        <f t="shared" si="346"/>
        <v>AMC2-S2</v>
      </c>
      <c r="AG221" s="212">
        <f t="shared" si="347"/>
        <v>1</v>
      </c>
      <c r="AH221" s="203">
        <f t="shared" si="348"/>
        <v>10</v>
      </c>
      <c r="AI221" s="203">
        <f t="shared" ca="1" si="349"/>
        <v>10</v>
      </c>
      <c r="AJ221" s="203">
        <f t="shared" ca="1" si="350"/>
        <v>0</v>
      </c>
      <c r="AK221" s="212" t="str">
        <f t="shared" si="351"/>
        <v>N/A</v>
      </c>
      <c r="AL221" s="212">
        <f t="shared" si="352"/>
        <v>0</v>
      </c>
      <c r="AM221" s="203">
        <f t="shared" si="353"/>
        <v>0</v>
      </c>
      <c r="AN221" s="203">
        <f t="shared" ca="1" si="354"/>
        <v>0</v>
      </c>
      <c r="AO221" s="203">
        <f t="shared" ca="1" si="355"/>
        <v>0</v>
      </c>
      <c r="AP221" s="212" t="str">
        <f t="shared" si="356"/>
        <v>N/A</v>
      </c>
      <c r="AQ221" s="212">
        <f t="shared" si="357"/>
        <v>0</v>
      </c>
      <c r="AR221" s="203">
        <f t="shared" si="358"/>
        <v>0</v>
      </c>
      <c r="AS221" s="203">
        <f t="shared" ca="1" si="359"/>
        <v>0</v>
      </c>
      <c r="AT221" s="203">
        <f t="shared" ca="1" si="360"/>
        <v>0</v>
      </c>
      <c r="AU221" s="212" t="str">
        <f t="shared" si="361"/>
        <v>N/A</v>
      </c>
      <c r="AV221" s="212">
        <f t="shared" si="362"/>
        <v>0</v>
      </c>
      <c r="AW221" s="203">
        <f t="shared" si="363"/>
        <v>0</v>
      </c>
      <c r="AX221" s="203">
        <f t="shared" ca="1" si="364"/>
        <v>0</v>
      </c>
      <c r="AY221" s="203">
        <f t="shared" ca="1" si="365"/>
        <v>0</v>
      </c>
      <c r="AZ221" s="212"/>
      <c r="BA221" s="213" t="s">
        <v>141</v>
      </c>
      <c r="BB221" s="213" t="s">
        <v>140</v>
      </c>
      <c r="BC221" s="213" t="s">
        <v>140</v>
      </c>
      <c r="BD221" s="213" t="s">
        <v>140</v>
      </c>
      <c r="BE221" s="148"/>
      <c r="BF221" s="212" t="s">
        <v>1789</v>
      </c>
      <c r="BG221" s="117"/>
      <c r="BH221" s="155"/>
      <c r="BI221" s="216"/>
      <c r="BJ221" s="216"/>
      <c r="BK221" s="216"/>
      <c r="BL221" s="149"/>
      <c r="BM221" s="149"/>
      <c r="BN221" s="149"/>
      <c r="BO221" s="149"/>
      <c r="BP221" s="149"/>
      <c r="BQ221" s="149"/>
      <c r="BR221" s="117">
        <v>0</v>
      </c>
      <c r="BS221" s="117">
        <v>0</v>
      </c>
      <c r="BT221" s="117">
        <v>0</v>
      </c>
      <c r="BU221" s="117">
        <v>0</v>
      </c>
      <c r="BV221" s="117">
        <v>0</v>
      </c>
      <c r="BW221" s="117">
        <v>0</v>
      </c>
      <c r="BX221" s="117">
        <v>0</v>
      </c>
      <c r="BY221" s="117" t="s">
        <v>1790</v>
      </c>
      <c r="BZ221" s="117" t="s">
        <v>989</v>
      </c>
      <c r="CA221" s="117">
        <v>10</v>
      </c>
      <c r="CB221" s="149">
        <v>46186</v>
      </c>
      <c r="CC221" s="155"/>
      <c r="CD221" s="117"/>
      <c r="CE221" s="217"/>
      <c r="CF221" s="148">
        <f t="shared" si="366"/>
        <v>0</v>
      </c>
    </row>
    <row r="222" spans="1:84" ht="17.25" hidden="1" customHeight="1">
      <c r="A222" s="117"/>
      <c r="B222" s="209" t="s">
        <v>2062</v>
      </c>
      <c r="C222" s="209" t="s">
        <v>2221</v>
      </c>
      <c r="D222" s="209" t="s">
        <v>1296</v>
      </c>
      <c r="E222" s="209" t="s">
        <v>1801</v>
      </c>
      <c r="F222" s="209" t="s">
        <v>1722</v>
      </c>
      <c r="G222" s="209" t="s">
        <v>1267</v>
      </c>
      <c r="H222" s="210">
        <v>520</v>
      </c>
      <c r="I222" s="211" t="s">
        <v>147</v>
      </c>
      <c r="J222" s="144">
        <v>1</v>
      </c>
      <c r="K222" s="145">
        <f t="shared" si="341"/>
        <v>1</v>
      </c>
      <c r="L222" s="202">
        <f t="shared" si="342"/>
        <v>1</v>
      </c>
      <c r="M222" s="212">
        <v>14.1</v>
      </c>
      <c r="N222" s="203">
        <f t="shared" si="343"/>
        <v>14.1</v>
      </c>
      <c r="O222" s="212" t="s">
        <v>137</v>
      </c>
      <c r="P222" s="212" t="s">
        <v>13</v>
      </c>
      <c r="Q222" s="212" t="s">
        <v>148</v>
      </c>
      <c r="R222" s="212"/>
      <c r="S222" s="212"/>
      <c r="T222" s="203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1</v>
      </c>
      <c r="U222" s="203">
        <f t="shared" ca="1" si="344"/>
        <v>0</v>
      </c>
      <c r="V222" s="203">
        <f t="shared" ca="1" si="345"/>
        <v>1</v>
      </c>
      <c r="W222" s="212"/>
      <c r="X222" s="212"/>
      <c r="Y222" s="212"/>
      <c r="Z222" s="212"/>
      <c r="AA222" s="212"/>
      <c r="AB222" s="212"/>
      <c r="AC222" s="232" t="s">
        <v>196</v>
      </c>
      <c r="AD222" s="226" t="s">
        <v>2039</v>
      </c>
      <c r="AE222" s="148"/>
      <c r="AF222" s="212" t="str">
        <f t="shared" si="346"/>
        <v>AMC2-S2</v>
      </c>
      <c r="AG222" s="212">
        <f t="shared" si="347"/>
        <v>1</v>
      </c>
      <c r="AH222" s="203">
        <f t="shared" si="348"/>
        <v>1</v>
      </c>
      <c r="AI222" s="203">
        <f t="shared" ca="1" si="349"/>
        <v>1</v>
      </c>
      <c r="AJ222" s="203">
        <f t="shared" ca="1" si="350"/>
        <v>0</v>
      </c>
      <c r="AK222" s="212" t="str">
        <f t="shared" si="351"/>
        <v>N/A</v>
      </c>
      <c r="AL222" s="212">
        <f t="shared" si="352"/>
        <v>0</v>
      </c>
      <c r="AM222" s="203">
        <f t="shared" si="353"/>
        <v>0</v>
      </c>
      <c r="AN222" s="203">
        <f t="shared" ca="1" si="354"/>
        <v>0</v>
      </c>
      <c r="AO222" s="203">
        <f t="shared" ca="1" si="355"/>
        <v>0</v>
      </c>
      <c r="AP222" s="212" t="str">
        <f t="shared" si="356"/>
        <v>N/A</v>
      </c>
      <c r="AQ222" s="212">
        <f t="shared" si="357"/>
        <v>0</v>
      </c>
      <c r="AR222" s="203">
        <f t="shared" si="358"/>
        <v>0</v>
      </c>
      <c r="AS222" s="203">
        <f t="shared" ca="1" si="359"/>
        <v>0</v>
      </c>
      <c r="AT222" s="203">
        <f t="shared" ca="1" si="360"/>
        <v>0</v>
      </c>
      <c r="AU222" s="212" t="str">
        <f t="shared" si="361"/>
        <v>N/A</v>
      </c>
      <c r="AV222" s="212">
        <f t="shared" si="362"/>
        <v>0</v>
      </c>
      <c r="AW222" s="203">
        <f t="shared" si="363"/>
        <v>0</v>
      </c>
      <c r="AX222" s="203">
        <f t="shared" ca="1" si="364"/>
        <v>0</v>
      </c>
      <c r="AY222" s="203">
        <f t="shared" ca="1" si="365"/>
        <v>0</v>
      </c>
      <c r="AZ222" s="212"/>
      <c r="BA222" s="213" t="s">
        <v>141</v>
      </c>
      <c r="BB222" s="213" t="s">
        <v>140</v>
      </c>
      <c r="BC222" s="213" t="s">
        <v>140</v>
      </c>
      <c r="BD222" s="213" t="s">
        <v>140</v>
      </c>
      <c r="BE222" s="148"/>
      <c r="BF222" s="212" t="s">
        <v>1789</v>
      </c>
      <c r="BG222" s="117"/>
      <c r="BH222" s="117"/>
      <c r="BI222" s="149"/>
      <c r="BJ222" s="149"/>
      <c r="BK222" s="149"/>
      <c r="BL222" s="149"/>
      <c r="BM222" s="149"/>
      <c r="BN222" s="149"/>
      <c r="BO222" s="149"/>
      <c r="BP222" s="149"/>
      <c r="BQ222" s="149"/>
      <c r="BR222" s="117">
        <v>1</v>
      </c>
      <c r="BS222" s="117">
        <v>0</v>
      </c>
      <c r="BT222" s="117">
        <v>0</v>
      </c>
      <c r="BU222" s="117">
        <v>0</v>
      </c>
      <c r="BV222" s="117">
        <v>0</v>
      </c>
      <c r="BW222" s="117">
        <v>0</v>
      </c>
      <c r="BX222" s="117">
        <v>0</v>
      </c>
      <c r="BY222" s="117" t="s">
        <v>1790</v>
      </c>
      <c r="BZ222" s="117" t="s">
        <v>1303</v>
      </c>
      <c r="CA222" s="117">
        <v>1</v>
      </c>
      <c r="CB222" s="149">
        <v>46206</v>
      </c>
      <c r="CC222" s="117"/>
      <c r="CD222" s="117"/>
      <c r="CE222" s="148"/>
      <c r="CF222" s="148">
        <f t="shared" si="366"/>
        <v>0</v>
      </c>
    </row>
    <row r="223" spans="1:84" ht="17.25" hidden="1" customHeight="1">
      <c r="A223" s="117"/>
      <c r="B223" s="209" t="s">
        <v>2062</v>
      </c>
      <c r="C223" s="209" t="s">
        <v>2221</v>
      </c>
      <c r="D223" s="209" t="s">
        <v>1296</v>
      </c>
      <c r="E223" s="209" t="s">
        <v>1815</v>
      </c>
      <c r="F223" s="209" t="s">
        <v>1723</v>
      </c>
      <c r="G223" s="209" t="s">
        <v>1354</v>
      </c>
      <c r="H223" s="210">
        <v>554</v>
      </c>
      <c r="I223" s="211" t="s">
        <v>147</v>
      </c>
      <c r="J223" s="144">
        <v>1</v>
      </c>
      <c r="K223" s="145">
        <f t="shared" si="341"/>
        <v>1</v>
      </c>
      <c r="L223" s="202">
        <f t="shared" si="342"/>
        <v>1</v>
      </c>
      <c r="M223" s="212">
        <v>18.399999999999999</v>
      </c>
      <c r="N223" s="203">
        <f t="shared" si="343"/>
        <v>18.399999999999999</v>
      </c>
      <c r="O223" s="212" t="s">
        <v>137</v>
      </c>
      <c r="P223" s="212" t="s">
        <v>13</v>
      </c>
      <c r="Q223" s="212" t="s">
        <v>148</v>
      </c>
      <c r="R223" s="212"/>
      <c r="S223" s="212"/>
      <c r="T223" s="203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1</v>
      </c>
      <c r="U223" s="203">
        <f t="shared" ca="1" si="344"/>
        <v>0</v>
      </c>
      <c r="V223" s="203">
        <f t="shared" ca="1" si="345"/>
        <v>1</v>
      </c>
      <c r="W223" s="212"/>
      <c r="X223" s="212"/>
      <c r="Y223" s="212"/>
      <c r="Z223" s="212"/>
      <c r="AA223" s="212"/>
      <c r="AB223" s="212"/>
      <c r="AC223" s="232" t="s">
        <v>196</v>
      </c>
      <c r="AD223" s="226" t="s">
        <v>2039</v>
      </c>
      <c r="AE223" s="148"/>
      <c r="AF223" s="212" t="str">
        <f t="shared" si="346"/>
        <v>AMC2-S2</v>
      </c>
      <c r="AG223" s="212">
        <f t="shared" si="347"/>
        <v>1</v>
      </c>
      <c r="AH223" s="203">
        <f t="shared" si="348"/>
        <v>1</v>
      </c>
      <c r="AI223" s="203">
        <f t="shared" ca="1" si="349"/>
        <v>1</v>
      </c>
      <c r="AJ223" s="203">
        <f t="shared" ca="1" si="350"/>
        <v>0</v>
      </c>
      <c r="AK223" s="212" t="str">
        <f t="shared" si="351"/>
        <v>N/A</v>
      </c>
      <c r="AL223" s="212">
        <f t="shared" si="352"/>
        <v>0</v>
      </c>
      <c r="AM223" s="203">
        <f t="shared" si="353"/>
        <v>0</v>
      </c>
      <c r="AN223" s="203">
        <f t="shared" ca="1" si="354"/>
        <v>0</v>
      </c>
      <c r="AO223" s="203">
        <f t="shared" ca="1" si="355"/>
        <v>0</v>
      </c>
      <c r="AP223" s="212" t="str">
        <f t="shared" si="356"/>
        <v>N/A</v>
      </c>
      <c r="AQ223" s="212">
        <f t="shared" si="357"/>
        <v>0</v>
      </c>
      <c r="AR223" s="203">
        <f t="shared" si="358"/>
        <v>0</v>
      </c>
      <c r="AS223" s="203">
        <f t="shared" ca="1" si="359"/>
        <v>0</v>
      </c>
      <c r="AT223" s="203">
        <f t="shared" ca="1" si="360"/>
        <v>0</v>
      </c>
      <c r="AU223" s="212" t="str">
        <f t="shared" si="361"/>
        <v>N/A</v>
      </c>
      <c r="AV223" s="212">
        <f t="shared" si="362"/>
        <v>0</v>
      </c>
      <c r="AW223" s="203">
        <f t="shared" si="363"/>
        <v>0</v>
      </c>
      <c r="AX223" s="203">
        <f t="shared" ca="1" si="364"/>
        <v>0</v>
      </c>
      <c r="AY223" s="203">
        <f t="shared" ca="1" si="365"/>
        <v>0</v>
      </c>
      <c r="AZ223" s="212"/>
      <c r="BA223" s="213" t="s">
        <v>141</v>
      </c>
      <c r="BB223" s="213" t="s">
        <v>140</v>
      </c>
      <c r="BC223" s="213" t="s">
        <v>140</v>
      </c>
      <c r="BD223" s="213" t="s">
        <v>140</v>
      </c>
      <c r="BE223" s="148"/>
      <c r="BF223" s="212" t="s">
        <v>1789</v>
      </c>
      <c r="BG223" s="117"/>
      <c r="BH223" s="117"/>
      <c r="BI223" s="149"/>
      <c r="BJ223" s="149"/>
      <c r="BK223" s="149"/>
      <c r="BL223" s="149"/>
      <c r="BM223" s="149"/>
      <c r="BN223" s="149"/>
      <c r="BO223" s="149"/>
      <c r="BP223" s="149"/>
      <c r="BQ223" s="149"/>
      <c r="BR223" s="117">
        <v>1</v>
      </c>
      <c r="BS223" s="117">
        <v>0</v>
      </c>
      <c r="BT223" s="117">
        <v>0</v>
      </c>
      <c r="BU223" s="117">
        <v>0</v>
      </c>
      <c r="BV223" s="117">
        <v>0</v>
      </c>
      <c r="BW223" s="117">
        <v>0</v>
      </c>
      <c r="BX223" s="117">
        <v>0</v>
      </c>
      <c r="BY223" s="117" t="s">
        <v>1790</v>
      </c>
      <c r="BZ223" s="117" t="s">
        <v>1303</v>
      </c>
      <c r="CA223" s="117">
        <v>1</v>
      </c>
      <c r="CB223" s="149">
        <v>46206</v>
      </c>
      <c r="CC223" s="117"/>
      <c r="CD223" s="117"/>
      <c r="CE223" s="148"/>
      <c r="CF223" s="148">
        <f t="shared" si="366"/>
        <v>0</v>
      </c>
    </row>
    <row r="224" spans="1:84" ht="17.25" hidden="1" customHeight="1">
      <c r="A224" s="141"/>
      <c r="B224" s="199" t="s">
        <v>2062</v>
      </c>
      <c r="C224" s="199" t="s">
        <v>2221</v>
      </c>
      <c r="D224" s="199" t="s">
        <v>1296</v>
      </c>
      <c r="E224" s="199" t="s">
        <v>1805</v>
      </c>
      <c r="F224" s="199" t="s">
        <v>1724</v>
      </c>
      <c r="G224" s="199" t="s">
        <v>1725</v>
      </c>
      <c r="H224" s="200">
        <v>1616</v>
      </c>
      <c r="I224" s="201" t="s">
        <v>147</v>
      </c>
      <c r="J224" s="165">
        <v>2</v>
      </c>
      <c r="K224" s="202">
        <f t="shared" si="341"/>
        <v>1</v>
      </c>
      <c r="L224" s="202">
        <f t="shared" si="342"/>
        <v>2</v>
      </c>
      <c r="M224" s="203">
        <v>18.100000000000001</v>
      </c>
      <c r="N224" s="203">
        <f t="shared" si="343"/>
        <v>36.200000000000003</v>
      </c>
      <c r="O224" s="203" t="s">
        <v>137</v>
      </c>
      <c r="P224" s="203" t="s">
        <v>13</v>
      </c>
      <c r="Q224" s="203" t="s">
        <v>148</v>
      </c>
      <c r="R224" s="203"/>
      <c r="S224" s="203"/>
      <c r="T224" s="203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2</v>
      </c>
      <c r="U224" s="203">
        <f t="shared" ca="1" si="344"/>
        <v>0</v>
      </c>
      <c r="V224" s="203">
        <f t="shared" ca="1" si="345"/>
        <v>1</v>
      </c>
      <c r="W224" s="203"/>
      <c r="X224" s="203"/>
      <c r="Y224" s="203"/>
      <c r="Z224" s="203"/>
      <c r="AA224" s="203"/>
      <c r="AB224" s="203"/>
      <c r="AC224" s="231" t="s">
        <v>196</v>
      </c>
      <c r="AD224" s="225" t="s">
        <v>2039</v>
      </c>
      <c r="AE224" s="166"/>
      <c r="AF224" s="203" t="str">
        <f t="shared" si="346"/>
        <v>AMC2-S2</v>
      </c>
      <c r="AG224" s="203">
        <f t="shared" si="347"/>
        <v>1</v>
      </c>
      <c r="AH224" s="203">
        <f t="shared" si="348"/>
        <v>2</v>
      </c>
      <c r="AI224" s="203">
        <f t="shared" ca="1" si="349"/>
        <v>2</v>
      </c>
      <c r="AJ224" s="203">
        <f t="shared" ca="1" si="350"/>
        <v>0</v>
      </c>
      <c r="AK224" s="203" t="str">
        <f t="shared" si="351"/>
        <v>N/A</v>
      </c>
      <c r="AL224" s="203">
        <f t="shared" si="352"/>
        <v>0</v>
      </c>
      <c r="AM224" s="203">
        <f t="shared" si="353"/>
        <v>0</v>
      </c>
      <c r="AN224" s="203">
        <f t="shared" ca="1" si="354"/>
        <v>0</v>
      </c>
      <c r="AO224" s="203">
        <f t="shared" ca="1" si="355"/>
        <v>0</v>
      </c>
      <c r="AP224" s="203" t="str">
        <f t="shared" si="356"/>
        <v>N/A</v>
      </c>
      <c r="AQ224" s="203">
        <f t="shared" si="357"/>
        <v>0</v>
      </c>
      <c r="AR224" s="203">
        <f t="shared" si="358"/>
        <v>0</v>
      </c>
      <c r="AS224" s="203">
        <f t="shared" ca="1" si="359"/>
        <v>0</v>
      </c>
      <c r="AT224" s="203">
        <f t="shared" ca="1" si="360"/>
        <v>0</v>
      </c>
      <c r="AU224" s="203" t="str">
        <f t="shared" si="361"/>
        <v>N/A</v>
      </c>
      <c r="AV224" s="203">
        <f t="shared" si="362"/>
        <v>0</v>
      </c>
      <c r="AW224" s="203">
        <f t="shared" si="363"/>
        <v>0</v>
      </c>
      <c r="AX224" s="203">
        <f t="shared" ca="1" si="364"/>
        <v>0</v>
      </c>
      <c r="AY224" s="203">
        <f t="shared" ca="1" si="365"/>
        <v>0</v>
      </c>
      <c r="AZ224" s="203"/>
      <c r="BA224" s="204" t="s">
        <v>141</v>
      </c>
      <c r="BB224" s="204" t="s">
        <v>140</v>
      </c>
      <c r="BC224" s="204" t="s">
        <v>140</v>
      </c>
      <c r="BD224" s="204" t="s">
        <v>140</v>
      </c>
      <c r="BE224" s="166"/>
      <c r="BF224" s="203" t="s">
        <v>1789</v>
      </c>
      <c r="BG224" s="141"/>
      <c r="BH224" s="141"/>
      <c r="BI224" s="153"/>
      <c r="BJ224" s="230" t="s">
        <v>2065</v>
      </c>
      <c r="BK224" s="230"/>
      <c r="BL224" s="153" t="s">
        <v>1932</v>
      </c>
      <c r="BM224" s="153"/>
      <c r="BN224" s="153"/>
      <c r="BO224" s="153"/>
      <c r="BP224" s="153"/>
      <c r="BQ224" s="153"/>
      <c r="BR224" s="141">
        <v>0</v>
      </c>
      <c r="BS224" s="141">
        <v>0</v>
      </c>
      <c r="BT224" s="141">
        <v>0</v>
      </c>
      <c r="BU224" s="141">
        <v>0</v>
      </c>
      <c r="BV224" s="141">
        <v>0</v>
      </c>
      <c r="BW224" s="141">
        <v>0</v>
      </c>
      <c r="BX224" s="141">
        <v>0</v>
      </c>
      <c r="BY224" s="141" t="s">
        <v>1790</v>
      </c>
      <c r="BZ224" s="141" t="s">
        <v>57</v>
      </c>
      <c r="CA224" s="141">
        <v>2</v>
      </c>
      <c r="CB224" s="153"/>
      <c r="CC224" s="141"/>
      <c r="CD224" s="141"/>
      <c r="CE224" s="166"/>
      <c r="CF224" s="166">
        <f t="shared" si="366"/>
        <v>0</v>
      </c>
    </row>
    <row r="225" spans="1:84" ht="17.25" hidden="1" customHeight="1">
      <c r="A225" s="141"/>
      <c r="B225" s="199" t="s">
        <v>2062</v>
      </c>
      <c r="C225" s="199" t="s">
        <v>2221</v>
      </c>
      <c r="D225" s="199" t="s">
        <v>1296</v>
      </c>
      <c r="E225" s="199" t="s">
        <v>1816</v>
      </c>
      <c r="F225" s="199" t="s">
        <v>1726</v>
      </c>
      <c r="G225" s="199" t="s">
        <v>1727</v>
      </c>
      <c r="H225" s="200">
        <v>503</v>
      </c>
      <c r="I225" s="201" t="s">
        <v>147</v>
      </c>
      <c r="J225" s="165">
        <v>2</v>
      </c>
      <c r="K225" s="202">
        <f t="shared" si="341"/>
        <v>1</v>
      </c>
      <c r="L225" s="202">
        <f t="shared" si="342"/>
        <v>2</v>
      </c>
      <c r="M225" s="203">
        <v>2.9</v>
      </c>
      <c r="N225" s="203">
        <f t="shared" si="343"/>
        <v>5.8</v>
      </c>
      <c r="O225" s="203" t="s">
        <v>137</v>
      </c>
      <c r="P225" s="203" t="s">
        <v>13</v>
      </c>
      <c r="Q225" s="203" t="s">
        <v>148</v>
      </c>
      <c r="R225" s="203"/>
      <c r="S225" s="203"/>
      <c r="T225" s="203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2</v>
      </c>
      <c r="U225" s="203">
        <f t="shared" ca="1" si="344"/>
        <v>0</v>
      </c>
      <c r="V225" s="203">
        <f t="shared" ca="1" si="345"/>
        <v>1</v>
      </c>
      <c r="W225" s="203"/>
      <c r="X225" s="203"/>
      <c r="Y225" s="203"/>
      <c r="Z225" s="203"/>
      <c r="AA225" s="203"/>
      <c r="AB225" s="203"/>
      <c r="AC225" s="231" t="s">
        <v>196</v>
      </c>
      <c r="AD225" s="225" t="s">
        <v>2039</v>
      </c>
      <c r="AE225" s="166"/>
      <c r="AF225" s="203" t="str">
        <f t="shared" si="346"/>
        <v>AMC2-S2</v>
      </c>
      <c r="AG225" s="203">
        <f t="shared" si="347"/>
        <v>1</v>
      </c>
      <c r="AH225" s="203">
        <f t="shared" si="348"/>
        <v>2</v>
      </c>
      <c r="AI225" s="203">
        <f t="shared" ca="1" si="349"/>
        <v>2</v>
      </c>
      <c r="AJ225" s="203">
        <f t="shared" ca="1" si="350"/>
        <v>0</v>
      </c>
      <c r="AK225" s="203" t="str">
        <f t="shared" si="351"/>
        <v>N/A</v>
      </c>
      <c r="AL225" s="203">
        <f t="shared" si="352"/>
        <v>0</v>
      </c>
      <c r="AM225" s="203">
        <f t="shared" si="353"/>
        <v>0</v>
      </c>
      <c r="AN225" s="203">
        <f t="shared" ca="1" si="354"/>
        <v>0</v>
      </c>
      <c r="AO225" s="203">
        <f t="shared" ca="1" si="355"/>
        <v>0</v>
      </c>
      <c r="AP225" s="203" t="str">
        <f t="shared" si="356"/>
        <v>N/A</v>
      </c>
      <c r="AQ225" s="203">
        <f t="shared" si="357"/>
        <v>0</v>
      </c>
      <c r="AR225" s="203">
        <f t="shared" si="358"/>
        <v>0</v>
      </c>
      <c r="AS225" s="203">
        <f t="shared" ca="1" si="359"/>
        <v>0</v>
      </c>
      <c r="AT225" s="203">
        <f t="shared" ca="1" si="360"/>
        <v>0</v>
      </c>
      <c r="AU225" s="203" t="str">
        <f t="shared" si="361"/>
        <v>N/A</v>
      </c>
      <c r="AV225" s="203">
        <f t="shared" si="362"/>
        <v>0</v>
      </c>
      <c r="AW225" s="203">
        <f t="shared" si="363"/>
        <v>0</v>
      </c>
      <c r="AX225" s="203">
        <f t="shared" ca="1" si="364"/>
        <v>0</v>
      </c>
      <c r="AY225" s="203">
        <f t="shared" ca="1" si="365"/>
        <v>0</v>
      </c>
      <c r="AZ225" s="203"/>
      <c r="BA225" s="204" t="s">
        <v>141</v>
      </c>
      <c r="BB225" s="204" t="s">
        <v>140</v>
      </c>
      <c r="BC225" s="204" t="s">
        <v>140</v>
      </c>
      <c r="BD225" s="204" t="s">
        <v>140</v>
      </c>
      <c r="BE225" s="166"/>
      <c r="BF225" s="203" t="s">
        <v>1789</v>
      </c>
      <c r="BG225" s="141"/>
      <c r="BH225" s="141"/>
      <c r="BI225" s="153"/>
      <c r="BJ225" s="230" t="s">
        <v>2065</v>
      </c>
      <c r="BK225" s="230"/>
      <c r="BL225" s="153" t="s">
        <v>1932</v>
      </c>
      <c r="BM225" s="153"/>
      <c r="BN225" s="153"/>
      <c r="BO225" s="153"/>
      <c r="BP225" s="153"/>
      <c r="BQ225" s="153"/>
      <c r="BR225" s="141">
        <v>0</v>
      </c>
      <c r="BS225" s="141">
        <v>0</v>
      </c>
      <c r="BT225" s="141">
        <v>0</v>
      </c>
      <c r="BU225" s="141">
        <v>0</v>
      </c>
      <c r="BV225" s="141">
        <v>0</v>
      </c>
      <c r="BW225" s="141">
        <v>0</v>
      </c>
      <c r="BX225" s="141">
        <v>0</v>
      </c>
      <c r="BY225" s="141" t="s">
        <v>1790</v>
      </c>
      <c r="BZ225" s="141" t="s">
        <v>1013</v>
      </c>
      <c r="CA225" s="141">
        <v>2</v>
      </c>
      <c r="CB225" s="153">
        <v>46206</v>
      </c>
      <c r="CC225" s="141"/>
      <c r="CD225" s="141"/>
      <c r="CE225" s="166"/>
      <c r="CF225" s="166">
        <f t="shared" si="366"/>
        <v>0</v>
      </c>
    </row>
    <row r="226" spans="1:84" ht="17.25" hidden="1" customHeight="1">
      <c r="A226" s="117"/>
      <c r="B226" s="209" t="s">
        <v>2062</v>
      </c>
      <c r="C226" s="209" t="s">
        <v>2221</v>
      </c>
      <c r="D226" s="209" t="s">
        <v>1296</v>
      </c>
      <c r="E226" s="209" t="s">
        <v>1817</v>
      </c>
      <c r="F226" s="209" t="s">
        <v>1728</v>
      </c>
      <c r="G226" s="209" t="s">
        <v>1123</v>
      </c>
      <c r="H226" s="210">
        <v>320</v>
      </c>
      <c r="I226" s="211" t="s">
        <v>147</v>
      </c>
      <c r="J226" s="144">
        <v>2</v>
      </c>
      <c r="K226" s="145">
        <f t="shared" si="341"/>
        <v>1</v>
      </c>
      <c r="L226" s="202">
        <f t="shared" si="342"/>
        <v>2</v>
      </c>
      <c r="M226" s="212">
        <v>7.6</v>
      </c>
      <c r="N226" s="203">
        <f t="shared" si="343"/>
        <v>15.2</v>
      </c>
      <c r="O226" s="212" t="s">
        <v>137</v>
      </c>
      <c r="P226" s="212" t="s">
        <v>13</v>
      </c>
      <c r="Q226" s="212" t="s">
        <v>148</v>
      </c>
      <c r="R226" s="212"/>
      <c r="S226" s="212"/>
      <c r="T226" s="203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2</v>
      </c>
      <c r="U226" s="203">
        <f t="shared" ca="1" si="344"/>
        <v>0</v>
      </c>
      <c r="V226" s="203">
        <f t="shared" ca="1" si="345"/>
        <v>1</v>
      </c>
      <c r="W226" s="212"/>
      <c r="X226" s="212"/>
      <c r="Y226" s="212"/>
      <c r="Z226" s="212"/>
      <c r="AA226" s="212"/>
      <c r="AB226" s="212"/>
      <c r="AC226" s="232" t="s">
        <v>196</v>
      </c>
      <c r="AD226" s="226" t="s">
        <v>2039</v>
      </c>
      <c r="AE226" s="148"/>
      <c r="AF226" s="212" t="str">
        <f t="shared" si="346"/>
        <v>AMC2-S2</v>
      </c>
      <c r="AG226" s="212">
        <f t="shared" si="347"/>
        <v>1</v>
      </c>
      <c r="AH226" s="203">
        <f t="shared" si="348"/>
        <v>2</v>
      </c>
      <c r="AI226" s="203">
        <f t="shared" ca="1" si="349"/>
        <v>2</v>
      </c>
      <c r="AJ226" s="203">
        <f t="shared" ca="1" si="350"/>
        <v>0</v>
      </c>
      <c r="AK226" s="212" t="str">
        <f t="shared" si="351"/>
        <v>N/A</v>
      </c>
      <c r="AL226" s="212">
        <f t="shared" si="352"/>
        <v>0</v>
      </c>
      <c r="AM226" s="203">
        <f t="shared" si="353"/>
        <v>0</v>
      </c>
      <c r="AN226" s="203">
        <f t="shared" ca="1" si="354"/>
        <v>0</v>
      </c>
      <c r="AO226" s="203">
        <f t="shared" ca="1" si="355"/>
        <v>0</v>
      </c>
      <c r="AP226" s="212" t="str">
        <f t="shared" si="356"/>
        <v>N/A</v>
      </c>
      <c r="AQ226" s="212">
        <f t="shared" si="357"/>
        <v>0</v>
      </c>
      <c r="AR226" s="203">
        <f t="shared" si="358"/>
        <v>0</v>
      </c>
      <c r="AS226" s="203">
        <f t="shared" ca="1" si="359"/>
        <v>0</v>
      </c>
      <c r="AT226" s="203">
        <f t="shared" ca="1" si="360"/>
        <v>0</v>
      </c>
      <c r="AU226" s="212" t="str">
        <f t="shared" si="361"/>
        <v>N/A</v>
      </c>
      <c r="AV226" s="212">
        <f t="shared" si="362"/>
        <v>0</v>
      </c>
      <c r="AW226" s="203">
        <f t="shared" si="363"/>
        <v>0</v>
      </c>
      <c r="AX226" s="203">
        <f t="shared" ca="1" si="364"/>
        <v>0</v>
      </c>
      <c r="AY226" s="203">
        <f t="shared" ca="1" si="365"/>
        <v>0</v>
      </c>
      <c r="AZ226" s="212"/>
      <c r="BA226" s="213" t="s">
        <v>141</v>
      </c>
      <c r="BB226" s="213" t="s">
        <v>140</v>
      </c>
      <c r="BC226" s="213" t="s">
        <v>140</v>
      </c>
      <c r="BD226" s="213" t="s">
        <v>140</v>
      </c>
      <c r="BE226" s="148"/>
      <c r="BF226" s="212" t="s">
        <v>1789</v>
      </c>
      <c r="BG226" s="117"/>
      <c r="BH226" s="117"/>
      <c r="BI226" s="149"/>
      <c r="BJ226" s="149"/>
      <c r="BK226" s="149"/>
      <c r="BL226" s="149"/>
      <c r="BM226" s="149"/>
      <c r="BN226" s="149"/>
      <c r="BO226" s="149"/>
      <c r="BP226" s="149"/>
      <c r="BQ226" s="149"/>
      <c r="BR226" s="117">
        <v>1</v>
      </c>
      <c r="BS226" s="117">
        <v>0</v>
      </c>
      <c r="BT226" s="117">
        <v>0</v>
      </c>
      <c r="BU226" s="117">
        <v>0</v>
      </c>
      <c r="BV226" s="117">
        <v>0</v>
      </c>
      <c r="BW226" s="117">
        <v>0</v>
      </c>
      <c r="BX226" s="117">
        <v>0</v>
      </c>
      <c r="BY226" s="117" t="s">
        <v>1790</v>
      </c>
      <c r="BZ226" s="117" t="s">
        <v>1307</v>
      </c>
      <c r="CA226" s="117">
        <v>2</v>
      </c>
      <c r="CB226" s="234">
        <v>46242</v>
      </c>
      <c r="CC226" s="117"/>
      <c r="CD226" s="117"/>
      <c r="CE226" s="148"/>
      <c r="CF226" s="148">
        <f t="shared" si="366"/>
        <v>0</v>
      </c>
    </row>
    <row r="227" spans="1:84" ht="17.25" hidden="1" customHeight="1">
      <c r="A227" s="117"/>
      <c r="B227" s="209" t="s">
        <v>2062</v>
      </c>
      <c r="C227" s="209" t="s">
        <v>2221</v>
      </c>
      <c r="D227" s="209" t="s">
        <v>1296</v>
      </c>
      <c r="E227" s="209" t="s">
        <v>1806</v>
      </c>
      <c r="F227" s="209" t="s">
        <v>1729</v>
      </c>
      <c r="G227" s="209" t="s">
        <v>1125</v>
      </c>
      <c r="H227" s="210">
        <v>200</v>
      </c>
      <c r="I227" s="211" t="s">
        <v>147</v>
      </c>
      <c r="J227" s="144">
        <v>2</v>
      </c>
      <c r="K227" s="145">
        <f t="shared" si="341"/>
        <v>1</v>
      </c>
      <c r="L227" s="202">
        <f t="shared" si="342"/>
        <v>2</v>
      </c>
      <c r="M227" s="212">
        <v>2.6</v>
      </c>
      <c r="N227" s="203">
        <f t="shared" si="343"/>
        <v>5.2</v>
      </c>
      <c r="O227" s="212" t="s">
        <v>137</v>
      </c>
      <c r="P227" s="212" t="s">
        <v>13</v>
      </c>
      <c r="Q227" s="212" t="s">
        <v>148</v>
      </c>
      <c r="R227" s="212"/>
      <c r="S227" s="212"/>
      <c r="T227" s="203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2</v>
      </c>
      <c r="U227" s="203">
        <f t="shared" ca="1" si="344"/>
        <v>0</v>
      </c>
      <c r="V227" s="203">
        <f t="shared" ca="1" si="345"/>
        <v>1</v>
      </c>
      <c r="W227" s="212"/>
      <c r="X227" s="212"/>
      <c r="Y227" s="212"/>
      <c r="Z227" s="212"/>
      <c r="AA227" s="212"/>
      <c r="AB227" s="212"/>
      <c r="AC227" s="232" t="s">
        <v>196</v>
      </c>
      <c r="AD227" s="226" t="s">
        <v>2039</v>
      </c>
      <c r="AE227" s="148"/>
      <c r="AF227" s="212" t="str">
        <f t="shared" si="346"/>
        <v>AMC2-S2</v>
      </c>
      <c r="AG227" s="212">
        <f t="shared" si="347"/>
        <v>1</v>
      </c>
      <c r="AH227" s="203">
        <f t="shared" si="348"/>
        <v>2</v>
      </c>
      <c r="AI227" s="203">
        <f t="shared" ca="1" si="349"/>
        <v>2</v>
      </c>
      <c r="AJ227" s="203">
        <f t="shared" ca="1" si="350"/>
        <v>0</v>
      </c>
      <c r="AK227" s="212" t="str">
        <f t="shared" si="351"/>
        <v>N/A</v>
      </c>
      <c r="AL227" s="212">
        <f t="shared" si="352"/>
        <v>0</v>
      </c>
      <c r="AM227" s="203">
        <f t="shared" si="353"/>
        <v>0</v>
      </c>
      <c r="AN227" s="203">
        <f t="shared" ca="1" si="354"/>
        <v>0</v>
      </c>
      <c r="AO227" s="203">
        <f t="shared" ca="1" si="355"/>
        <v>0</v>
      </c>
      <c r="AP227" s="212" t="str">
        <f t="shared" si="356"/>
        <v>N/A</v>
      </c>
      <c r="AQ227" s="212">
        <f t="shared" si="357"/>
        <v>0</v>
      </c>
      <c r="AR227" s="203">
        <f t="shared" si="358"/>
        <v>0</v>
      </c>
      <c r="AS227" s="203">
        <f t="shared" ca="1" si="359"/>
        <v>0</v>
      </c>
      <c r="AT227" s="203">
        <f t="shared" ca="1" si="360"/>
        <v>0</v>
      </c>
      <c r="AU227" s="212" t="str">
        <f t="shared" si="361"/>
        <v>N/A</v>
      </c>
      <c r="AV227" s="212">
        <f t="shared" si="362"/>
        <v>0</v>
      </c>
      <c r="AW227" s="203">
        <f t="shared" si="363"/>
        <v>0</v>
      </c>
      <c r="AX227" s="203">
        <f t="shared" ca="1" si="364"/>
        <v>0</v>
      </c>
      <c r="AY227" s="203">
        <f t="shared" ca="1" si="365"/>
        <v>0</v>
      </c>
      <c r="AZ227" s="212"/>
      <c r="BA227" s="213" t="s">
        <v>141</v>
      </c>
      <c r="BB227" s="213" t="s">
        <v>140</v>
      </c>
      <c r="BC227" s="213" t="s">
        <v>140</v>
      </c>
      <c r="BD227" s="213" t="s">
        <v>140</v>
      </c>
      <c r="BE227" s="148"/>
      <c r="BF227" s="212" t="s">
        <v>1789</v>
      </c>
      <c r="BG227" s="117"/>
      <c r="BH227" s="117"/>
      <c r="BI227" s="149"/>
      <c r="BJ227" s="149"/>
      <c r="BK227" s="149"/>
      <c r="BL227" s="149"/>
      <c r="BM227" s="149"/>
      <c r="BN227" s="149"/>
      <c r="BO227" s="149"/>
      <c r="BP227" s="149"/>
      <c r="BQ227" s="149"/>
      <c r="BR227" s="117">
        <v>1</v>
      </c>
      <c r="BS227" s="117">
        <v>0</v>
      </c>
      <c r="BT227" s="117">
        <v>0</v>
      </c>
      <c r="BU227" s="117">
        <v>0</v>
      </c>
      <c r="BV227" s="117">
        <v>0</v>
      </c>
      <c r="BW227" s="117">
        <v>0</v>
      </c>
      <c r="BX227" s="117">
        <v>0</v>
      </c>
      <c r="BY227" s="117" t="s">
        <v>1790</v>
      </c>
      <c r="BZ227" s="117" t="s">
        <v>1303</v>
      </c>
      <c r="CA227" s="117">
        <v>2</v>
      </c>
      <c r="CB227" s="149">
        <v>46206</v>
      </c>
      <c r="CC227" s="117"/>
      <c r="CD227" s="117"/>
      <c r="CE227" s="148"/>
      <c r="CF227" s="148">
        <f t="shared" si="366"/>
        <v>0</v>
      </c>
    </row>
    <row r="228" spans="1:84" ht="17.25" hidden="1" customHeight="1">
      <c r="A228" s="117"/>
      <c r="B228" s="209" t="s">
        <v>2062</v>
      </c>
      <c r="C228" s="209" t="s">
        <v>2221</v>
      </c>
      <c r="D228" s="209" t="s">
        <v>1076</v>
      </c>
      <c r="E228" s="209" t="s">
        <v>1802</v>
      </c>
      <c r="F228" s="209" t="s">
        <v>1717</v>
      </c>
      <c r="G228" s="209" t="s">
        <v>1075</v>
      </c>
      <c r="H228" s="210">
        <v>812</v>
      </c>
      <c r="I228" s="211" t="s">
        <v>1077</v>
      </c>
      <c r="J228" s="144">
        <v>5</v>
      </c>
      <c r="K228" s="145">
        <f t="shared" si="341"/>
        <v>1</v>
      </c>
      <c r="L228" s="202">
        <f t="shared" si="342"/>
        <v>5</v>
      </c>
      <c r="M228" s="212">
        <v>13.05696</v>
      </c>
      <c r="N228" s="203">
        <f t="shared" si="343"/>
        <v>65.284800000000004</v>
      </c>
      <c r="O228" s="212" t="s">
        <v>137</v>
      </c>
      <c r="P228" s="212" t="s">
        <v>11</v>
      </c>
      <c r="Q228" s="212" t="s">
        <v>148</v>
      </c>
      <c r="R228" s="212"/>
      <c r="S228" s="212"/>
      <c r="T228" s="203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5</v>
      </c>
      <c r="U228" s="203">
        <f t="shared" ca="1" si="344"/>
        <v>0</v>
      </c>
      <c r="V228" s="203">
        <f t="shared" ca="1" si="345"/>
        <v>1</v>
      </c>
      <c r="W228" s="212"/>
      <c r="X228" s="212"/>
      <c r="Y228" s="212"/>
      <c r="Z228" s="212"/>
      <c r="AA228" s="212"/>
      <c r="AB228" s="212"/>
      <c r="AC228" s="214" t="s">
        <v>196</v>
      </c>
      <c r="AD228" s="215" t="s">
        <v>2039</v>
      </c>
      <c r="AE228" s="148"/>
      <c r="AF228" s="212" t="str">
        <f t="shared" si="346"/>
        <v>AMC2-S2</v>
      </c>
      <c r="AG228" s="212">
        <f t="shared" si="347"/>
        <v>1</v>
      </c>
      <c r="AH228" s="203">
        <f t="shared" si="348"/>
        <v>5</v>
      </c>
      <c r="AI228" s="203">
        <f t="shared" ca="1" si="349"/>
        <v>5</v>
      </c>
      <c r="AJ228" s="203">
        <f t="shared" ca="1" si="350"/>
        <v>0</v>
      </c>
      <c r="AK228" s="212" t="str">
        <f t="shared" si="351"/>
        <v>N/A</v>
      </c>
      <c r="AL228" s="212">
        <f t="shared" si="352"/>
        <v>0</v>
      </c>
      <c r="AM228" s="203">
        <f t="shared" si="353"/>
        <v>0</v>
      </c>
      <c r="AN228" s="203">
        <f t="shared" ca="1" si="354"/>
        <v>0</v>
      </c>
      <c r="AO228" s="203">
        <f t="shared" ca="1" si="355"/>
        <v>0</v>
      </c>
      <c r="AP228" s="212" t="str">
        <f t="shared" si="356"/>
        <v>N/A</v>
      </c>
      <c r="AQ228" s="212">
        <f t="shared" si="357"/>
        <v>0</v>
      </c>
      <c r="AR228" s="203">
        <f t="shared" si="358"/>
        <v>0</v>
      </c>
      <c r="AS228" s="203">
        <f t="shared" ca="1" si="359"/>
        <v>0</v>
      </c>
      <c r="AT228" s="203">
        <f t="shared" ca="1" si="360"/>
        <v>0</v>
      </c>
      <c r="AU228" s="212" t="str">
        <f t="shared" si="361"/>
        <v>N/A</v>
      </c>
      <c r="AV228" s="212">
        <f t="shared" si="362"/>
        <v>0</v>
      </c>
      <c r="AW228" s="203">
        <f t="shared" si="363"/>
        <v>0</v>
      </c>
      <c r="AX228" s="203">
        <f t="shared" ca="1" si="364"/>
        <v>0</v>
      </c>
      <c r="AY228" s="203">
        <f t="shared" ca="1" si="365"/>
        <v>0</v>
      </c>
      <c r="AZ228" s="212"/>
      <c r="BA228" s="213" t="s">
        <v>141</v>
      </c>
      <c r="BB228" s="213" t="s">
        <v>140</v>
      </c>
      <c r="BC228" s="213" t="s">
        <v>140</v>
      </c>
      <c r="BD228" s="213" t="s">
        <v>140</v>
      </c>
      <c r="BE228" s="148"/>
      <c r="BF228" s="212" t="s">
        <v>1789</v>
      </c>
      <c r="BG228" s="117"/>
      <c r="BH228" s="155"/>
      <c r="BI228" s="216"/>
      <c r="BJ228" s="216"/>
      <c r="BK228" s="216"/>
      <c r="BL228" s="149"/>
      <c r="BM228" s="149"/>
      <c r="BN228" s="149"/>
      <c r="BO228" s="149"/>
      <c r="BP228" s="149"/>
      <c r="BQ228" s="149"/>
      <c r="BR228" s="117">
        <v>0</v>
      </c>
      <c r="BS228" s="117">
        <v>0</v>
      </c>
      <c r="BT228" s="117">
        <v>0</v>
      </c>
      <c r="BU228" s="117">
        <v>1</v>
      </c>
      <c r="BV228" s="117">
        <v>0</v>
      </c>
      <c r="BW228" s="117">
        <v>0</v>
      </c>
      <c r="BX228" s="117">
        <v>0</v>
      </c>
      <c r="BY228" s="117" t="s">
        <v>1790</v>
      </c>
      <c r="BZ228" s="117" t="s">
        <v>1289</v>
      </c>
      <c r="CA228" s="117">
        <v>5</v>
      </c>
      <c r="CB228" s="149">
        <v>46185</v>
      </c>
      <c r="CC228" s="155"/>
      <c r="CD228" s="155"/>
      <c r="CE228" s="217"/>
      <c r="CF228" s="148">
        <f t="shared" si="366"/>
        <v>0</v>
      </c>
    </row>
    <row r="229" spans="1:84" ht="17.25" hidden="1" customHeight="1">
      <c r="A229" s="162">
        <v>184</v>
      </c>
      <c r="B229" s="177" t="s">
        <v>1846</v>
      </c>
      <c r="C229" s="177" t="s">
        <v>2125</v>
      </c>
      <c r="D229" s="177" t="s">
        <v>1847</v>
      </c>
      <c r="E229" s="177"/>
      <c r="F229" s="177"/>
      <c r="G229" s="177" t="s">
        <v>1848</v>
      </c>
      <c r="H229" s="178"/>
      <c r="I229" s="179"/>
      <c r="J229" s="160"/>
      <c r="K229" s="180">
        <f>+AG229+AL229+AQ229+AV229</f>
        <v>4</v>
      </c>
      <c r="L229" s="160"/>
      <c r="M229" s="181">
        <v>4.9000000000000004</v>
      </c>
      <c r="N229" s="181">
        <v>19.7</v>
      </c>
      <c r="O229" s="181" t="s">
        <v>137</v>
      </c>
      <c r="P229" s="181"/>
      <c r="Q229" s="181"/>
      <c r="R229" s="181"/>
      <c r="S229" s="181"/>
      <c r="T229" s="181"/>
      <c r="U229" s="181"/>
      <c r="V229" s="181"/>
      <c r="W229" s="181">
        <f ca="1">_xlfn.MINIFS(V:V,C:C,C229,AE:AE,"",AB:AB,"")</f>
        <v>0</v>
      </c>
      <c r="X229" s="181">
        <f ca="1">SUMIFS(T:T,C:C,C229,AE:AE,"")/SUMIFS(L:L,C:C,C229,AE:AE,"",AB:AB,"")</f>
        <v>0.31818181818181818</v>
      </c>
      <c r="Y229" s="181"/>
      <c r="Z229" s="181"/>
      <c r="AA229" s="181"/>
      <c r="AB229" s="181"/>
      <c r="AC229" s="228" t="s">
        <v>196</v>
      </c>
      <c r="AD229" s="184" t="s">
        <v>2039</v>
      </c>
      <c r="AE229" s="162" t="s">
        <v>143</v>
      </c>
      <c r="AF229" s="181" t="s">
        <v>1783</v>
      </c>
      <c r="AG229" s="181">
        <v>4</v>
      </c>
      <c r="AH229" s="181"/>
      <c r="AI229" s="181"/>
      <c r="AJ229" s="181"/>
      <c r="AK229" s="181" t="s">
        <v>138</v>
      </c>
      <c r="AL229" s="181">
        <v>0</v>
      </c>
      <c r="AM229" s="181"/>
      <c r="AN229" s="181"/>
      <c r="AO229" s="181"/>
      <c r="AP229" s="181" t="s">
        <v>138</v>
      </c>
      <c r="AQ229" s="181">
        <v>0</v>
      </c>
      <c r="AR229" s="181"/>
      <c r="AS229" s="181"/>
      <c r="AT229" s="181"/>
      <c r="AU229" s="181" t="s">
        <v>138</v>
      </c>
      <c r="AV229" s="181">
        <v>0</v>
      </c>
      <c r="AW229" s="181"/>
      <c r="AX229" s="181"/>
      <c r="AY229" s="181"/>
      <c r="AZ229" s="181"/>
      <c r="BA229" s="182" t="s">
        <v>141</v>
      </c>
      <c r="BB229" s="182" t="s">
        <v>140</v>
      </c>
      <c r="BC229" s="182" t="s">
        <v>140</v>
      </c>
      <c r="BD229" s="182" t="s">
        <v>140</v>
      </c>
      <c r="BE229" s="162" t="s">
        <v>741</v>
      </c>
      <c r="BF229" s="181"/>
      <c r="BG229" s="161"/>
      <c r="BH229" s="161"/>
      <c r="BI229" s="163"/>
      <c r="BJ229" s="163"/>
      <c r="BK229" s="163"/>
      <c r="BL229" s="163"/>
      <c r="BM229" s="163"/>
      <c r="BN229" s="163"/>
      <c r="BO229" s="163"/>
      <c r="BP229" s="163"/>
      <c r="BQ229" s="163"/>
      <c r="BR229" s="161"/>
      <c r="BS229" s="161"/>
      <c r="BT229" s="161"/>
      <c r="BU229" s="161"/>
      <c r="BV229" s="161"/>
      <c r="BW229" s="161"/>
      <c r="BX229" s="161"/>
      <c r="BY229" s="161"/>
      <c r="BZ229" s="161"/>
      <c r="CA229" s="161"/>
      <c r="CB229" s="163"/>
      <c r="CC229" s="161"/>
      <c r="CD229" s="161"/>
      <c r="CE229" s="185"/>
      <c r="CF229" s="185"/>
    </row>
    <row r="230" spans="1:84" ht="17.25" hidden="1" customHeight="1">
      <c r="A230" s="117"/>
      <c r="B230" s="209" t="s">
        <v>1846</v>
      </c>
      <c r="C230" s="209" t="s">
        <v>2125</v>
      </c>
      <c r="D230" s="209" t="s">
        <v>954</v>
      </c>
      <c r="E230" s="209" t="s">
        <v>1788</v>
      </c>
      <c r="F230" s="209" t="s">
        <v>952</v>
      </c>
      <c r="G230" s="209" t="s">
        <v>953</v>
      </c>
      <c r="H230" s="210">
        <v>200</v>
      </c>
      <c r="I230" s="211" t="s">
        <v>147</v>
      </c>
      <c r="J230" s="144">
        <v>2</v>
      </c>
      <c r="K230" s="145">
        <f t="shared" ref="K230:K233" si="367">K229</f>
        <v>4</v>
      </c>
      <c r="L230" s="202">
        <f t="shared" ref="L230:L233" si="368">+J230*K230</f>
        <v>8</v>
      </c>
      <c r="M230" s="212">
        <v>0.6</v>
      </c>
      <c r="N230" s="203">
        <f t="shared" ref="N230:N233" si="369">+M230*L230</f>
        <v>4.8</v>
      </c>
      <c r="O230" s="212" t="s">
        <v>137</v>
      </c>
      <c r="P230" s="212" t="s">
        <v>13</v>
      </c>
      <c r="Q230" s="212" t="s">
        <v>148</v>
      </c>
      <c r="R230" s="212"/>
      <c r="S230" s="212"/>
      <c r="T230" s="203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8</v>
      </c>
      <c r="U230" s="203">
        <f t="shared" ref="U230:U233" ca="1" si="370">+L230-T230</f>
        <v>0</v>
      </c>
      <c r="V230" s="203">
        <f t="shared" ref="V230:V233" ca="1" si="371">ROUNDDOWN(T230/J230,0)</f>
        <v>4</v>
      </c>
      <c r="W230" s="212"/>
      <c r="X230" s="212"/>
      <c r="Y230" s="212"/>
      <c r="Z230" s="212"/>
      <c r="AA230" s="212"/>
      <c r="AB230" s="212"/>
      <c r="AC230" s="214" t="s">
        <v>196</v>
      </c>
      <c r="AD230" s="226" t="s">
        <v>2039</v>
      </c>
      <c r="AE230" s="148"/>
      <c r="AF230" s="212" t="str">
        <f t="shared" ref="AF230:AG233" si="372">AF229</f>
        <v>AMC2-S1</v>
      </c>
      <c r="AG230" s="212">
        <f t="shared" si="372"/>
        <v>4</v>
      </c>
      <c r="AH230" s="203">
        <f t="shared" ref="AH230:AH233" si="373">+AG230*J230</f>
        <v>8</v>
      </c>
      <c r="AI230" s="203">
        <f t="shared" ref="AI230:AI233" ca="1" si="374">MIN(T230,AH230)</f>
        <v>8</v>
      </c>
      <c r="AJ230" s="203">
        <f t="shared" ref="AJ230:AJ233" ca="1" si="375">+AH230-AI230</f>
        <v>0</v>
      </c>
      <c r="AK230" s="212" t="str">
        <f t="shared" ref="AK230:AL233" si="376">AK229</f>
        <v>N/A</v>
      </c>
      <c r="AL230" s="212">
        <f t="shared" si="376"/>
        <v>0</v>
      </c>
      <c r="AM230" s="203">
        <f t="shared" ref="AM230:AM233" si="377">+AL230*J230</f>
        <v>0</v>
      </c>
      <c r="AN230" s="203">
        <f t="shared" ref="AN230:AN233" ca="1" si="378">MIN(T230-AI230,AL230)</f>
        <v>0</v>
      </c>
      <c r="AO230" s="203">
        <f t="shared" ref="AO230:AO233" ca="1" si="379">+AM230-AN230</f>
        <v>0</v>
      </c>
      <c r="AP230" s="212" t="str">
        <f t="shared" ref="AP230:AQ233" si="380">AP229</f>
        <v>N/A</v>
      </c>
      <c r="AQ230" s="212">
        <f t="shared" si="380"/>
        <v>0</v>
      </c>
      <c r="AR230" s="203">
        <f t="shared" ref="AR230:AR233" si="381">+AQ230*J230</f>
        <v>0</v>
      </c>
      <c r="AS230" s="203">
        <f t="shared" ref="AS230:AS233" ca="1" si="382">MIN(T230-AI230-AN230,AR230)</f>
        <v>0</v>
      </c>
      <c r="AT230" s="203">
        <f t="shared" ref="AT230:AT233" ca="1" si="383">+AR230-AS230</f>
        <v>0</v>
      </c>
      <c r="AU230" s="212" t="str">
        <f t="shared" ref="AU230:AV233" si="384">AU229</f>
        <v>N/A</v>
      </c>
      <c r="AV230" s="212">
        <f t="shared" si="384"/>
        <v>0</v>
      </c>
      <c r="AW230" s="203">
        <f t="shared" ref="AW230:AW233" si="385">+AV230*J230</f>
        <v>0</v>
      </c>
      <c r="AX230" s="203">
        <f t="shared" ref="AX230:AX233" ca="1" si="386">MIN(T230-AI230-AN230-AS230,AW230)</f>
        <v>0</v>
      </c>
      <c r="AY230" s="203">
        <f t="shared" ref="AY230:AY233" ca="1" si="387">+AW230-AX230</f>
        <v>0</v>
      </c>
      <c r="AZ230" s="212"/>
      <c r="BA230" s="213" t="s">
        <v>141</v>
      </c>
      <c r="BB230" s="213" t="s">
        <v>140</v>
      </c>
      <c r="BC230" s="213" t="s">
        <v>140</v>
      </c>
      <c r="BD230" s="213" t="s">
        <v>140</v>
      </c>
      <c r="BE230" s="148"/>
      <c r="BF230" s="212" t="s">
        <v>1789</v>
      </c>
      <c r="BG230" s="117"/>
      <c r="BH230" s="117"/>
      <c r="BI230" s="149"/>
      <c r="BJ230" s="149"/>
      <c r="BK230" s="149"/>
      <c r="BL230" s="149"/>
      <c r="BM230" s="149"/>
      <c r="BN230" s="149"/>
      <c r="BO230" s="149"/>
      <c r="BP230" s="149"/>
      <c r="BQ230" s="149"/>
      <c r="BR230" s="117">
        <v>0</v>
      </c>
      <c r="BS230" s="117">
        <v>0</v>
      </c>
      <c r="BT230" s="117">
        <v>0</v>
      </c>
      <c r="BU230" s="117">
        <v>0</v>
      </c>
      <c r="BV230" s="117">
        <v>0</v>
      </c>
      <c r="BW230" s="117">
        <v>0</v>
      </c>
      <c r="BX230" s="117">
        <v>0</v>
      </c>
      <c r="BY230" s="117" t="s">
        <v>1790</v>
      </c>
      <c r="BZ230" s="117" t="s">
        <v>957</v>
      </c>
      <c r="CA230" s="117">
        <v>8</v>
      </c>
      <c r="CB230" s="149">
        <v>46186</v>
      </c>
      <c r="CC230" s="117"/>
      <c r="CD230" s="117"/>
      <c r="CE230" s="148"/>
      <c r="CF230" s="148">
        <f>+L230-CA230</f>
        <v>0</v>
      </c>
    </row>
    <row r="231" spans="1:84" ht="17.25" hidden="1" customHeight="1">
      <c r="A231" s="117"/>
      <c r="B231" s="209" t="s">
        <v>1846</v>
      </c>
      <c r="C231" s="209" t="s">
        <v>2125</v>
      </c>
      <c r="D231" s="209" t="s">
        <v>954</v>
      </c>
      <c r="E231" s="209" t="s">
        <v>1791</v>
      </c>
      <c r="F231" s="209" t="s">
        <v>958</v>
      </c>
      <c r="G231" s="209" t="s">
        <v>959</v>
      </c>
      <c r="H231" s="210">
        <v>200</v>
      </c>
      <c r="I231" s="211" t="s">
        <v>147</v>
      </c>
      <c r="J231" s="144">
        <v>2</v>
      </c>
      <c r="K231" s="145">
        <f t="shared" si="367"/>
        <v>4</v>
      </c>
      <c r="L231" s="202">
        <f t="shared" si="368"/>
        <v>8</v>
      </c>
      <c r="M231" s="212">
        <v>0.4</v>
      </c>
      <c r="N231" s="203">
        <f t="shared" si="369"/>
        <v>3.2</v>
      </c>
      <c r="O231" s="212" t="s">
        <v>137</v>
      </c>
      <c r="P231" s="212" t="s">
        <v>13</v>
      </c>
      <c r="Q231" s="212" t="s">
        <v>148</v>
      </c>
      <c r="R231" s="212"/>
      <c r="S231" s="212"/>
      <c r="T231" s="203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8</v>
      </c>
      <c r="U231" s="203">
        <f t="shared" ca="1" si="370"/>
        <v>0</v>
      </c>
      <c r="V231" s="203">
        <f t="shared" ca="1" si="371"/>
        <v>4</v>
      </c>
      <c r="W231" s="212"/>
      <c r="X231" s="212"/>
      <c r="Y231" s="212"/>
      <c r="Z231" s="212"/>
      <c r="AA231" s="212"/>
      <c r="AB231" s="212"/>
      <c r="AC231" s="214" t="s">
        <v>196</v>
      </c>
      <c r="AD231" s="226" t="s">
        <v>2039</v>
      </c>
      <c r="AE231" s="148"/>
      <c r="AF231" s="212" t="str">
        <f t="shared" si="372"/>
        <v>AMC2-S1</v>
      </c>
      <c r="AG231" s="212">
        <f t="shared" si="372"/>
        <v>4</v>
      </c>
      <c r="AH231" s="203">
        <f t="shared" si="373"/>
        <v>8</v>
      </c>
      <c r="AI231" s="203">
        <f t="shared" ca="1" si="374"/>
        <v>8</v>
      </c>
      <c r="AJ231" s="203">
        <f t="shared" ca="1" si="375"/>
        <v>0</v>
      </c>
      <c r="AK231" s="212" t="str">
        <f t="shared" si="376"/>
        <v>N/A</v>
      </c>
      <c r="AL231" s="212">
        <f t="shared" si="376"/>
        <v>0</v>
      </c>
      <c r="AM231" s="203">
        <f t="shared" si="377"/>
        <v>0</v>
      </c>
      <c r="AN231" s="203">
        <f t="shared" ca="1" si="378"/>
        <v>0</v>
      </c>
      <c r="AO231" s="203">
        <f t="shared" ca="1" si="379"/>
        <v>0</v>
      </c>
      <c r="AP231" s="212" t="str">
        <f t="shared" si="380"/>
        <v>N/A</v>
      </c>
      <c r="AQ231" s="212">
        <f t="shared" si="380"/>
        <v>0</v>
      </c>
      <c r="AR231" s="203">
        <f t="shared" si="381"/>
        <v>0</v>
      </c>
      <c r="AS231" s="203">
        <f t="shared" ca="1" si="382"/>
        <v>0</v>
      </c>
      <c r="AT231" s="203">
        <f t="shared" ca="1" si="383"/>
        <v>0</v>
      </c>
      <c r="AU231" s="212" t="str">
        <f t="shared" si="384"/>
        <v>N/A</v>
      </c>
      <c r="AV231" s="212">
        <f t="shared" si="384"/>
        <v>0</v>
      </c>
      <c r="AW231" s="203">
        <f t="shared" si="385"/>
        <v>0</v>
      </c>
      <c r="AX231" s="203">
        <f t="shared" ca="1" si="386"/>
        <v>0</v>
      </c>
      <c r="AY231" s="203">
        <f t="shared" ca="1" si="387"/>
        <v>0</v>
      </c>
      <c r="AZ231" s="212"/>
      <c r="BA231" s="213" t="s">
        <v>141</v>
      </c>
      <c r="BB231" s="213" t="s">
        <v>140</v>
      </c>
      <c r="BC231" s="213" t="s">
        <v>140</v>
      </c>
      <c r="BD231" s="213" t="s">
        <v>140</v>
      </c>
      <c r="BE231" s="148"/>
      <c r="BF231" s="212" t="s">
        <v>1789</v>
      </c>
      <c r="BG231" s="117"/>
      <c r="BH231" s="117"/>
      <c r="BI231" s="149"/>
      <c r="BJ231" s="149"/>
      <c r="BK231" s="149"/>
      <c r="BL231" s="149"/>
      <c r="BM231" s="149"/>
      <c r="BN231" s="149"/>
      <c r="BO231" s="149"/>
      <c r="BP231" s="149"/>
      <c r="BQ231" s="149"/>
      <c r="BR231" s="117">
        <v>0</v>
      </c>
      <c r="BS231" s="117">
        <v>0</v>
      </c>
      <c r="BT231" s="117">
        <v>0</v>
      </c>
      <c r="BU231" s="117">
        <v>0</v>
      </c>
      <c r="BV231" s="117">
        <v>0</v>
      </c>
      <c r="BW231" s="117">
        <v>0</v>
      </c>
      <c r="BX231" s="117">
        <v>0</v>
      </c>
      <c r="BY231" s="117" t="s">
        <v>1790</v>
      </c>
      <c r="BZ231" s="117" t="s">
        <v>962</v>
      </c>
      <c r="CA231" s="117">
        <v>8</v>
      </c>
      <c r="CB231" s="149">
        <v>46186</v>
      </c>
      <c r="CC231" s="117"/>
      <c r="CD231" s="117"/>
      <c r="CE231" s="148"/>
      <c r="CF231" s="148">
        <f>+L231-CA231</f>
        <v>0</v>
      </c>
    </row>
    <row r="232" spans="1:84" ht="17.25" hidden="1" customHeight="1">
      <c r="A232" s="117"/>
      <c r="B232" s="209" t="s">
        <v>1846</v>
      </c>
      <c r="C232" s="209" t="s">
        <v>2125</v>
      </c>
      <c r="D232" s="209" t="s">
        <v>954</v>
      </c>
      <c r="E232" s="209" t="s">
        <v>1792</v>
      </c>
      <c r="F232" s="209" t="s">
        <v>963</v>
      </c>
      <c r="G232" s="209" t="s">
        <v>964</v>
      </c>
      <c r="H232" s="210">
        <v>200</v>
      </c>
      <c r="I232" s="211" t="s">
        <v>147</v>
      </c>
      <c r="J232" s="144">
        <v>6</v>
      </c>
      <c r="K232" s="145">
        <f t="shared" si="367"/>
        <v>4</v>
      </c>
      <c r="L232" s="202">
        <f t="shared" si="368"/>
        <v>24</v>
      </c>
      <c r="M232" s="212">
        <v>0.2</v>
      </c>
      <c r="N232" s="203">
        <f t="shared" si="369"/>
        <v>4.8000000000000007</v>
      </c>
      <c r="O232" s="212" t="s">
        <v>137</v>
      </c>
      <c r="P232" s="212" t="s">
        <v>13</v>
      </c>
      <c r="Q232" s="212" t="s">
        <v>148</v>
      </c>
      <c r="R232" s="212"/>
      <c r="S232" s="212"/>
      <c r="T232" s="203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24</v>
      </c>
      <c r="U232" s="203">
        <f t="shared" ca="1" si="370"/>
        <v>0</v>
      </c>
      <c r="V232" s="203">
        <f t="shared" ca="1" si="371"/>
        <v>4</v>
      </c>
      <c r="W232" s="212"/>
      <c r="X232" s="212"/>
      <c r="Y232" s="212"/>
      <c r="Z232" s="212"/>
      <c r="AA232" s="212"/>
      <c r="AB232" s="212"/>
      <c r="AC232" s="214" t="s">
        <v>196</v>
      </c>
      <c r="AD232" s="226" t="s">
        <v>2039</v>
      </c>
      <c r="AE232" s="148"/>
      <c r="AF232" s="212" t="str">
        <f t="shared" si="372"/>
        <v>AMC2-S1</v>
      </c>
      <c r="AG232" s="212">
        <f t="shared" si="372"/>
        <v>4</v>
      </c>
      <c r="AH232" s="203">
        <f t="shared" si="373"/>
        <v>24</v>
      </c>
      <c r="AI232" s="203">
        <f t="shared" ca="1" si="374"/>
        <v>24</v>
      </c>
      <c r="AJ232" s="203">
        <f t="shared" ca="1" si="375"/>
        <v>0</v>
      </c>
      <c r="AK232" s="212" t="str">
        <f t="shared" si="376"/>
        <v>N/A</v>
      </c>
      <c r="AL232" s="212">
        <f t="shared" si="376"/>
        <v>0</v>
      </c>
      <c r="AM232" s="203">
        <f t="shared" si="377"/>
        <v>0</v>
      </c>
      <c r="AN232" s="203">
        <f t="shared" ca="1" si="378"/>
        <v>0</v>
      </c>
      <c r="AO232" s="203">
        <f t="shared" ca="1" si="379"/>
        <v>0</v>
      </c>
      <c r="AP232" s="212" t="str">
        <f t="shared" si="380"/>
        <v>N/A</v>
      </c>
      <c r="AQ232" s="212">
        <f t="shared" si="380"/>
        <v>0</v>
      </c>
      <c r="AR232" s="203">
        <f t="shared" si="381"/>
        <v>0</v>
      </c>
      <c r="AS232" s="203">
        <f t="shared" ca="1" si="382"/>
        <v>0</v>
      </c>
      <c r="AT232" s="203">
        <f t="shared" ca="1" si="383"/>
        <v>0</v>
      </c>
      <c r="AU232" s="212" t="str">
        <f t="shared" si="384"/>
        <v>N/A</v>
      </c>
      <c r="AV232" s="212">
        <f t="shared" si="384"/>
        <v>0</v>
      </c>
      <c r="AW232" s="203">
        <f t="shared" si="385"/>
        <v>0</v>
      </c>
      <c r="AX232" s="203">
        <f t="shared" ca="1" si="386"/>
        <v>0</v>
      </c>
      <c r="AY232" s="203">
        <f t="shared" ca="1" si="387"/>
        <v>0</v>
      </c>
      <c r="AZ232" s="212"/>
      <c r="BA232" s="213" t="s">
        <v>141</v>
      </c>
      <c r="BB232" s="213" t="s">
        <v>140</v>
      </c>
      <c r="BC232" s="213" t="s">
        <v>140</v>
      </c>
      <c r="BD232" s="213" t="s">
        <v>140</v>
      </c>
      <c r="BE232" s="148"/>
      <c r="BF232" s="212" t="s">
        <v>1789</v>
      </c>
      <c r="BG232" s="117"/>
      <c r="BH232" s="117"/>
      <c r="BI232" s="149"/>
      <c r="BJ232" s="149"/>
      <c r="BK232" s="149"/>
      <c r="BL232" s="149"/>
      <c r="BM232" s="149"/>
      <c r="BN232" s="149"/>
      <c r="BO232" s="149"/>
      <c r="BP232" s="149"/>
      <c r="BQ232" s="149"/>
      <c r="BR232" s="117">
        <v>0</v>
      </c>
      <c r="BS232" s="117">
        <v>0</v>
      </c>
      <c r="BT232" s="117">
        <v>0</v>
      </c>
      <c r="BU232" s="117">
        <v>0</v>
      </c>
      <c r="BV232" s="117">
        <v>0</v>
      </c>
      <c r="BW232" s="117">
        <v>0</v>
      </c>
      <c r="BX232" s="117">
        <v>0</v>
      </c>
      <c r="BY232" s="117" t="s">
        <v>1790</v>
      </c>
      <c r="BZ232" s="117" t="s">
        <v>967</v>
      </c>
      <c r="CA232" s="117">
        <v>24</v>
      </c>
      <c r="CB232" s="149">
        <v>46186</v>
      </c>
      <c r="CC232" s="117"/>
      <c r="CD232" s="117"/>
      <c r="CE232" s="148"/>
      <c r="CF232" s="148">
        <f>+L232-CA232</f>
        <v>0</v>
      </c>
    </row>
    <row r="233" spans="1:84" ht="17.25" hidden="1" customHeight="1">
      <c r="A233" s="117"/>
      <c r="B233" s="209" t="s">
        <v>1846</v>
      </c>
      <c r="C233" s="209" t="s">
        <v>2125</v>
      </c>
      <c r="D233" s="209" t="s">
        <v>954</v>
      </c>
      <c r="E233" s="209" t="s">
        <v>1793</v>
      </c>
      <c r="F233" s="209" t="s">
        <v>968</v>
      </c>
      <c r="G233" s="209" t="s">
        <v>969</v>
      </c>
      <c r="H233" s="210">
        <v>200</v>
      </c>
      <c r="I233" s="211" t="s">
        <v>147</v>
      </c>
      <c r="J233" s="144">
        <v>12</v>
      </c>
      <c r="K233" s="145">
        <f t="shared" si="367"/>
        <v>4</v>
      </c>
      <c r="L233" s="202">
        <f t="shared" si="368"/>
        <v>48</v>
      </c>
      <c r="M233" s="212">
        <v>0.1</v>
      </c>
      <c r="N233" s="203">
        <f t="shared" si="369"/>
        <v>4.8000000000000007</v>
      </c>
      <c r="O233" s="212" t="s">
        <v>137</v>
      </c>
      <c r="P233" s="212" t="s">
        <v>13</v>
      </c>
      <c r="Q233" s="212" t="s">
        <v>148</v>
      </c>
      <c r="R233" s="212"/>
      <c r="S233" s="212"/>
      <c r="T233" s="203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48</v>
      </c>
      <c r="U233" s="203">
        <f t="shared" ca="1" si="370"/>
        <v>0</v>
      </c>
      <c r="V233" s="203">
        <f t="shared" ca="1" si="371"/>
        <v>4</v>
      </c>
      <c r="W233" s="212"/>
      <c r="X233" s="212"/>
      <c r="Y233" s="212"/>
      <c r="Z233" s="212"/>
      <c r="AA233" s="212"/>
      <c r="AB233" s="212"/>
      <c r="AC233" s="214" t="s">
        <v>196</v>
      </c>
      <c r="AD233" s="226" t="s">
        <v>2039</v>
      </c>
      <c r="AE233" s="148"/>
      <c r="AF233" s="212" t="str">
        <f t="shared" si="372"/>
        <v>AMC2-S1</v>
      </c>
      <c r="AG233" s="212">
        <f t="shared" si="372"/>
        <v>4</v>
      </c>
      <c r="AH233" s="203">
        <f t="shared" si="373"/>
        <v>48</v>
      </c>
      <c r="AI233" s="203">
        <f t="shared" ca="1" si="374"/>
        <v>48</v>
      </c>
      <c r="AJ233" s="203">
        <f t="shared" ca="1" si="375"/>
        <v>0</v>
      </c>
      <c r="AK233" s="212" t="str">
        <f t="shared" si="376"/>
        <v>N/A</v>
      </c>
      <c r="AL233" s="212">
        <f t="shared" si="376"/>
        <v>0</v>
      </c>
      <c r="AM233" s="203">
        <f t="shared" si="377"/>
        <v>0</v>
      </c>
      <c r="AN233" s="203">
        <f t="shared" ca="1" si="378"/>
        <v>0</v>
      </c>
      <c r="AO233" s="203">
        <f t="shared" ca="1" si="379"/>
        <v>0</v>
      </c>
      <c r="AP233" s="212" t="str">
        <f t="shared" si="380"/>
        <v>N/A</v>
      </c>
      <c r="AQ233" s="212">
        <f t="shared" si="380"/>
        <v>0</v>
      </c>
      <c r="AR233" s="203">
        <f t="shared" si="381"/>
        <v>0</v>
      </c>
      <c r="AS233" s="203">
        <f t="shared" ca="1" si="382"/>
        <v>0</v>
      </c>
      <c r="AT233" s="203">
        <f t="shared" ca="1" si="383"/>
        <v>0</v>
      </c>
      <c r="AU233" s="212" t="str">
        <f t="shared" si="384"/>
        <v>N/A</v>
      </c>
      <c r="AV233" s="212">
        <f t="shared" si="384"/>
        <v>0</v>
      </c>
      <c r="AW233" s="203">
        <f t="shared" si="385"/>
        <v>0</v>
      </c>
      <c r="AX233" s="203">
        <f t="shared" ca="1" si="386"/>
        <v>0</v>
      </c>
      <c r="AY233" s="203">
        <f t="shared" ca="1" si="387"/>
        <v>0</v>
      </c>
      <c r="AZ233" s="212"/>
      <c r="BA233" s="213" t="s">
        <v>141</v>
      </c>
      <c r="BB233" s="213" t="s">
        <v>140</v>
      </c>
      <c r="BC233" s="213" t="s">
        <v>140</v>
      </c>
      <c r="BD233" s="213" t="s">
        <v>140</v>
      </c>
      <c r="BE233" s="148"/>
      <c r="BF233" s="212" t="s">
        <v>1789</v>
      </c>
      <c r="BG233" s="117"/>
      <c r="BH233" s="117"/>
      <c r="BI233" s="149"/>
      <c r="BJ233" s="149"/>
      <c r="BK233" s="149"/>
      <c r="BL233" s="149"/>
      <c r="BM233" s="149"/>
      <c r="BN233" s="149"/>
      <c r="BO233" s="149"/>
      <c r="BP233" s="149"/>
      <c r="BQ233" s="149"/>
      <c r="BR233" s="117">
        <v>0</v>
      </c>
      <c r="BS233" s="117">
        <v>0</v>
      </c>
      <c r="BT233" s="117">
        <v>0</v>
      </c>
      <c r="BU233" s="117">
        <v>0</v>
      </c>
      <c r="BV233" s="117">
        <v>0</v>
      </c>
      <c r="BW233" s="117">
        <v>0</v>
      </c>
      <c r="BX233" s="117">
        <v>0</v>
      </c>
      <c r="BY233" s="117" t="s">
        <v>1790</v>
      </c>
      <c r="BZ233" s="158" t="s">
        <v>972</v>
      </c>
      <c r="CA233" s="117">
        <v>48</v>
      </c>
      <c r="CB233" s="149">
        <v>46186</v>
      </c>
      <c r="CC233" s="117"/>
      <c r="CD233" s="117"/>
      <c r="CE233" s="148"/>
      <c r="CF233" s="148">
        <f>+L233-CA233</f>
        <v>0</v>
      </c>
    </row>
    <row r="234" spans="1:84" ht="17.25" hidden="1" customHeight="1">
      <c r="A234" s="162">
        <v>185</v>
      </c>
      <c r="B234" s="177" t="s">
        <v>1846</v>
      </c>
      <c r="C234" s="177" t="s">
        <v>2130</v>
      </c>
      <c r="D234" s="177" t="s">
        <v>1849</v>
      </c>
      <c r="E234" s="177"/>
      <c r="F234" s="177"/>
      <c r="G234" s="177" t="s">
        <v>1850</v>
      </c>
      <c r="H234" s="178"/>
      <c r="I234" s="179"/>
      <c r="J234" s="160"/>
      <c r="K234" s="180">
        <f>+AG234+AL234+AQ234+AV234</f>
        <v>4</v>
      </c>
      <c r="L234" s="160"/>
      <c r="M234" s="181">
        <v>5.8</v>
      </c>
      <c r="N234" s="181">
        <v>23.3</v>
      </c>
      <c r="O234" s="181" t="s">
        <v>137</v>
      </c>
      <c r="P234" s="181"/>
      <c r="Q234" s="181"/>
      <c r="R234" s="181"/>
      <c r="S234" s="181"/>
      <c r="T234" s="181"/>
      <c r="U234" s="181"/>
      <c r="V234" s="181"/>
      <c r="W234" s="181">
        <f ca="1">_xlfn.MINIFS(V:V,C:C,C234,AE:AE,"",AB:AB,"")</f>
        <v>0</v>
      </c>
      <c r="X234" s="181">
        <f ca="1">SUMIFS(T:T,C:C,C234,AE:AE,"")/SUMIFS(L:L,C:C,C234,AE:AE,"",AB:AB,"")</f>
        <v>0.125</v>
      </c>
      <c r="Y234" s="181"/>
      <c r="Z234" s="181"/>
      <c r="AA234" s="181"/>
      <c r="AB234" s="181"/>
      <c r="AC234" s="228" t="s">
        <v>196</v>
      </c>
      <c r="AD234" s="184" t="s">
        <v>2039</v>
      </c>
      <c r="AE234" s="162" t="s">
        <v>143</v>
      </c>
      <c r="AF234" s="181" t="s">
        <v>1783</v>
      </c>
      <c r="AG234" s="181">
        <v>4</v>
      </c>
      <c r="AH234" s="181"/>
      <c r="AI234" s="181"/>
      <c r="AJ234" s="181"/>
      <c r="AK234" s="181" t="s">
        <v>138</v>
      </c>
      <c r="AL234" s="181">
        <v>0</v>
      </c>
      <c r="AM234" s="181"/>
      <c r="AN234" s="181"/>
      <c r="AO234" s="181"/>
      <c r="AP234" s="181" t="s">
        <v>138</v>
      </c>
      <c r="AQ234" s="181">
        <v>0</v>
      </c>
      <c r="AR234" s="181"/>
      <c r="AS234" s="181"/>
      <c r="AT234" s="181"/>
      <c r="AU234" s="181" t="s">
        <v>138</v>
      </c>
      <c r="AV234" s="181">
        <v>0</v>
      </c>
      <c r="AW234" s="181"/>
      <c r="AX234" s="181"/>
      <c r="AY234" s="181"/>
      <c r="AZ234" s="181"/>
      <c r="BA234" s="182" t="s">
        <v>141</v>
      </c>
      <c r="BB234" s="182" t="s">
        <v>140</v>
      </c>
      <c r="BC234" s="182" t="s">
        <v>140</v>
      </c>
      <c r="BD234" s="182" t="s">
        <v>140</v>
      </c>
      <c r="BE234" s="162" t="s">
        <v>741</v>
      </c>
      <c r="BF234" s="181"/>
      <c r="BG234" s="161"/>
      <c r="BH234" s="161"/>
      <c r="BI234" s="163"/>
      <c r="BJ234" s="163"/>
      <c r="BK234" s="163"/>
      <c r="BL234" s="163"/>
      <c r="BM234" s="163"/>
      <c r="BN234" s="163"/>
      <c r="BO234" s="163"/>
      <c r="BP234" s="163"/>
      <c r="BQ234" s="163"/>
      <c r="BR234" s="161"/>
      <c r="BS234" s="161"/>
      <c r="BT234" s="161"/>
      <c r="BU234" s="161"/>
      <c r="BV234" s="161"/>
      <c r="BW234" s="161"/>
      <c r="BX234" s="161"/>
      <c r="BY234" s="161"/>
      <c r="BZ234" s="161"/>
      <c r="CA234" s="161"/>
      <c r="CB234" s="163"/>
      <c r="CC234" s="161"/>
      <c r="CD234" s="161"/>
      <c r="CE234" s="185"/>
      <c r="CF234" s="185"/>
    </row>
    <row r="235" spans="1:84" ht="17.25" hidden="1" customHeight="1">
      <c r="A235" s="141"/>
      <c r="B235" s="199" t="s">
        <v>1846</v>
      </c>
      <c r="C235" s="199" t="s">
        <v>2130</v>
      </c>
      <c r="D235" s="199" t="s">
        <v>979</v>
      </c>
      <c r="E235" s="199" t="s">
        <v>1851</v>
      </c>
      <c r="F235" s="199" t="s">
        <v>977</v>
      </c>
      <c r="G235" s="199" t="s">
        <v>978</v>
      </c>
      <c r="H235" s="200">
        <v>95</v>
      </c>
      <c r="I235" s="201"/>
      <c r="J235" s="165">
        <v>4</v>
      </c>
      <c r="K235" s="202">
        <f t="shared" ref="K235:K238" si="388">K234</f>
        <v>4</v>
      </c>
      <c r="L235" s="202">
        <f t="shared" ref="L235:L238" si="389">+J235*K235</f>
        <v>16</v>
      </c>
      <c r="M235" s="203">
        <v>0.3</v>
      </c>
      <c r="N235" s="203">
        <f t="shared" ref="N235:N238" si="390">+M235*L235</f>
        <v>4.8</v>
      </c>
      <c r="O235" s="203" t="s">
        <v>137</v>
      </c>
      <c r="P235" s="203" t="s">
        <v>11</v>
      </c>
      <c r="Q235" s="203" t="s">
        <v>154</v>
      </c>
      <c r="R235" s="203"/>
      <c r="S235" s="203"/>
      <c r="T235" s="203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16</v>
      </c>
      <c r="U235" s="203">
        <f t="shared" ref="U235:U238" ca="1" si="391">+L235-T235</f>
        <v>0</v>
      </c>
      <c r="V235" s="203">
        <f t="shared" ref="V235:V238" ca="1" si="392">ROUNDDOWN(T235/J235,0)</f>
        <v>4</v>
      </c>
      <c r="W235" s="203"/>
      <c r="X235" s="203"/>
      <c r="Y235" s="203"/>
      <c r="Z235" s="203"/>
      <c r="AA235" s="203"/>
      <c r="AB235" s="203"/>
      <c r="AC235" s="205" t="s">
        <v>196</v>
      </c>
      <c r="AD235" s="225" t="s">
        <v>2066</v>
      </c>
      <c r="AE235" s="166"/>
      <c r="AF235" s="203" t="str">
        <f t="shared" ref="AF235:AG238" si="393">AF234</f>
        <v>AMC2-S1</v>
      </c>
      <c r="AG235" s="203">
        <f t="shared" si="393"/>
        <v>4</v>
      </c>
      <c r="AH235" s="203">
        <f t="shared" ref="AH235:AH238" si="394">+AG235*J235</f>
        <v>16</v>
      </c>
      <c r="AI235" s="203">
        <f t="shared" ref="AI235:AI238" ca="1" si="395">MIN(T235,AH235)</f>
        <v>16</v>
      </c>
      <c r="AJ235" s="203">
        <f t="shared" ref="AJ235:AJ238" ca="1" si="396">+AH235-AI235</f>
        <v>0</v>
      </c>
      <c r="AK235" s="203" t="str">
        <f t="shared" ref="AK235:AL238" si="397">AK234</f>
        <v>N/A</v>
      </c>
      <c r="AL235" s="203">
        <f t="shared" si="397"/>
        <v>0</v>
      </c>
      <c r="AM235" s="203">
        <f t="shared" ref="AM235:AM238" si="398">+AL235*J235</f>
        <v>0</v>
      </c>
      <c r="AN235" s="203">
        <f t="shared" ref="AN235:AN238" ca="1" si="399">MIN(T235-AI235,AL235)</f>
        <v>0</v>
      </c>
      <c r="AO235" s="203">
        <f t="shared" ref="AO235:AO238" ca="1" si="400">+AM235-AN235</f>
        <v>0</v>
      </c>
      <c r="AP235" s="203" t="str">
        <f t="shared" ref="AP235:AQ238" si="401">AP234</f>
        <v>N/A</v>
      </c>
      <c r="AQ235" s="203">
        <f t="shared" si="401"/>
        <v>0</v>
      </c>
      <c r="AR235" s="203">
        <f t="shared" ref="AR235:AR238" si="402">+AQ235*J235</f>
        <v>0</v>
      </c>
      <c r="AS235" s="203">
        <f t="shared" ref="AS235:AS238" ca="1" si="403">MIN(T235-AI235-AN235,AR235)</f>
        <v>0</v>
      </c>
      <c r="AT235" s="203">
        <f t="shared" ref="AT235:AT238" ca="1" si="404">+AR235-AS235</f>
        <v>0</v>
      </c>
      <c r="AU235" s="203" t="str">
        <f t="shared" ref="AU235:AV238" si="405">AU234</f>
        <v>N/A</v>
      </c>
      <c r="AV235" s="203">
        <f t="shared" si="405"/>
        <v>0</v>
      </c>
      <c r="AW235" s="203">
        <f t="shared" ref="AW235:AW238" si="406">+AV235*J235</f>
        <v>0</v>
      </c>
      <c r="AX235" s="203">
        <f t="shared" ref="AX235:AX238" ca="1" si="407">MIN(T235-AI235-AN235-AS235,AW235)</f>
        <v>0</v>
      </c>
      <c r="AY235" s="203">
        <f t="shared" ref="AY235:AY238" ca="1" si="408">+AW235-AX235</f>
        <v>0</v>
      </c>
      <c r="AZ235" s="203"/>
      <c r="BA235" s="204" t="s">
        <v>141</v>
      </c>
      <c r="BB235" s="204" t="s">
        <v>140</v>
      </c>
      <c r="BC235" s="204" t="s">
        <v>140</v>
      </c>
      <c r="BD235" s="204" t="s">
        <v>140</v>
      </c>
      <c r="BE235" s="166"/>
      <c r="BF235" s="212" t="s">
        <v>1789</v>
      </c>
      <c r="BG235" s="141"/>
      <c r="BH235" s="141"/>
      <c r="BI235" s="153"/>
      <c r="BJ235" s="153"/>
      <c r="BK235" s="153" t="s">
        <v>1853</v>
      </c>
      <c r="BL235" s="153"/>
      <c r="BM235" s="153"/>
      <c r="BN235" s="153"/>
      <c r="BO235" s="153"/>
      <c r="BP235" s="153"/>
      <c r="BQ235" s="153"/>
      <c r="BR235" s="141">
        <v>0</v>
      </c>
      <c r="BS235" s="141">
        <v>0</v>
      </c>
      <c r="BT235" s="141">
        <v>0</v>
      </c>
      <c r="BU235" s="141">
        <v>0</v>
      </c>
      <c r="BV235" s="141">
        <v>1</v>
      </c>
      <c r="BW235" s="141">
        <v>0</v>
      </c>
      <c r="BX235" s="141">
        <v>0</v>
      </c>
      <c r="BY235" s="141" t="s">
        <v>1790</v>
      </c>
      <c r="BZ235" s="141"/>
      <c r="CA235" s="141"/>
      <c r="CB235" s="153"/>
      <c r="CC235" s="141"/>
      <c r="CD235" s="141"/>
      <c r="CE235" s="166"/>
      <c r="CF235" s="166">
        <f>+L235-CA235</f>
        <v>16</v>
      </c>
    </row>
    <row r="236" spans="1:84" ht="17.25" hidden="1" customHeight="1">
      <c r="A236" s="117"/>
      <c r="B236" s="209" t="s">
        <v>1846</v>
      </c>
      <c r="C236" s="209" t="s">
        <v>2130</v>
      </c>
      <c r="D236" s="209" t="s">
        <v>975</v>
      </c>
      <c r="E236" s="209" t="s">
        <v>1854</v>
      </c>
      <c r="F236" s="209" t="s">
        <v>973</v>
      </c>
      <c r="G236" s="209" t="s">
        <v>974</v>
      </c>
      <c r="H236" s="210"/>
      <c r="I236" s="211"/>
      <c r="J236" s="144">
        <v>4</v>
      </c>
      <c r="K236" s="145">
        <f t="shared" si="388"/>
        <v>4</v>
      </c>
      <c r="L236" s="202">
        <f t="shared" si="389"/>
        <v>16</v>
      </c>
      <c r="M236" s="212">
        <v>3.5999999999999997E-2</v>
      </c>
      <c r="N236" s="203">
        <f t="shared" si="390"/>
        <v>0.57599999999999996</v>
      </c>
      <c r="O236" s="212" t="s">
        <v>137</v>
      </c>
      <c r="P236" s="212" t="s">
        <v>14</v>
      </c>
      <c r="Q236" s="212" t="s">
        <v>976</v>
      </c>
      <c r="R236" s="212"/>
      <c r="S236" s="212"/>
      <c r="T236" s="203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203">
        <f t="shared" ca="1" si="391"/>
        <v>16</v>
      </c>
      <c r="V236" s="203">
        <f t="shared" ca="1" si="392"/>
        <v>0</v>
      </c>
      <c r="W236" s="212"/>
      <c r="X236" s="212"/>
      <c r="Y236" s="212"/>
      <c r="Z236" s="212"/>
      <c r="AA236" s="212"/>
      <c r="AB236" s="212"/>
      <c r="AC236" s="214" t="s">
        <v>196</v>
      </c>
      <c r="AD236" s="226" t="s">
        <v>2039</v>
      </c>
      <c r="AE236" s="148"/>
      <c r="AF236" s="212" t="str">
        <f t="shared" si="393"/>
        <v>AMC2-S1</v>
      </c>
      <c r="AG236" s="212">
        <f t="shared" si="393"/>
        <v>4</v>
      </c>
      <c r="AH236" s="203">
        <f t="shared" si="394"/>
        <v>16</v>
      </c>
      <c r="AI236" s="203">
        <f t="shared" ca="1" si="395"/>
        <v>0</v>
      </c>
      <c r="AJ236" s="203">
        <f t="shared" ca="1" si="396"/>
        <v>16</v>
      </c>
      <c r="AK236" s="212" t="str">
        <f t="shared" si="397"/>
        <v>N/A</v>
      </c>
      <c r="AL236" s="212">
        <f t="shared" si="397"/>
        <v>0</v>
      </c>
      <c r="AM236" s="203">
        <f t="shared" si="398"/>
        <v>0</v>
      </c>
      <c r="AN236" s="203">
        <f t="shared" ca="1" si="399"/>
        <v>0</v>
      </c>
      <c r="AO236" s="203">
        <f t="shared" ca="1" si="400"/>
        <v>0</v>
      </c>
      <c r="AP236" s="212" t="str">
        <f t="shared" si="401"/>
        <v>N/A</v>
      </c>
      <c r="AQ236" s="212">
        <f t="shared" si="401"/>
        <v>0</v>
      </c>
      <c r="AR236" s="203">
        <f t="shared" si="402"/>
        <v>0</v>
      </c>
      <c r="AS236" s="203">
        <f t="shared" ca="1" si="403"/>
        <v>0</v>
      </c>
      <c r="AT236" s="203">
        <f t="shared" ca="1" si="404"/>
        <v>0</v>
      </c>
      <c r="AU236" s="212" t="str">
        <f t="shared" si="405"/>
        <v>N/A</v>
      </c>
      <c r="AV236" s="212">
        <f t="shared" si="405"/>
        <v>0</v>
      </c>
      <c r="AW236" s="203">
        <f t="shared" si="406"/>
        <v>0</v>
      </c>
      <c r="AX236" s="203">
        <f t="shared" ca="1" si="407"/>
        <v>0</v>
      </c>
      <c r="AY236" s="203">
        <f t="shared" ca="1" si="408"/>
        <v>0</v>
      </c>
      <c r="AZ236" s="212"/>
      <c r="BA236" s="213" t="s">
        <v>141</v>
      </c>
      <c r="BB236" s="213" t="s">
        <v>140</v>
      </c>
      <c r="BC236" s="213" t="s">
        <v>140</v>
      </c>
      <c r="BD236" s="213" t="s">
        <v>140</v>
      </c>
      <c r="BE236" s="148"/>
      <c r="BF236" s="212"/>
      <c r="BG236" s="117"/>
      <c r="BH236" s="117"/>
      <c r="BI236" s="149"/>
      <c r="BJ236" s="149"/>
      <c r="BK236" s="149"/>
      <c r="BL236" s="149"/>
      <c r="BM236" s="149"/>
      <c r="BN236" s="149"/>
      <c r="BO236" s="149"/>
      <c r="BP236" s="149"/>
      <c r="BQ236" s="149"/>
      <c r="BR236" s="117" t="s">
        <v>140</v>
      </c>
      <c r="BS236" s="117" t="s">
        <v>140</v>
      </c>
      <c r="BT236" s="117" t="s">
        <v>140</v>
      </c>
      <c r="BU236" s="117" t="s">
        <v>140</v>
      </c>
      <c r="BV236" s="117" t="s">
        <v>140</v>
      </c>
      <c r="BW236" s="117" t="s">
        <v>140</v>
      </c>
      <c r="BX236" s="117" t="s">
        <v>140</v>
      </c>
      <c r="BY236" s="117" t="s">
        <v>14</v>
      </c>
      <c r="BZ236" s="117"/>
      <c r="CA236" s="117"/>
      <c r="CB236" s="149"/>
      <c r="CC236" s="117"/>
      <c r="CD236" s="117"/>
      <c r="CE236" s="148"/>
      <c r="CF236" s="148"/>
    </row>
    <row r="237" spans="1:84" ht="17.25" hidden="1" customHeight="1">
      <c r="A237" s="117"/>
      <c r="B237" s="209" t="s">
        <v>1846</v>
      </c>
      <c r="C237" s="209" t="s">
        <v>2130</v>
      </c>
      <c r="D237" s="209" t="s">
        <v>13</v>
      </c>
      <c r="E237" s="209" t="s">
        <v>1788</v>
      </c>
      <c r="F237" s="209" t="s">
        <v>985</v>
      </c>
      <c r="G237" s="209" t="s">
        <v>986</v>
      </c>
      <c r="H237" s="210">
        <v>200</v>
      </c>
      <c r="I237" s="211" t="s">
        <v>147</v>
      </c>
      <c r="J237" s="144">
        <v>1</v>
      </c>
      <c r="K237" s="145">
        <f t="shared" si="388"/>
        <v>4</v>
      </c>
      <c r="L237" s="202">
        <f t="shared" si="389"/>
        <v>4</v>
      </c>
      <c r="M237" s="212">
        <v>5</v>
      </c>
      <c r="N237" s="203">
        <f t="shared" si="390"/>
        <v>20</v>
      </c>
      <c r="O237" s="212" t="s">
        <v>137</v>
      </c>
      <c r="P237" s="212" t="s">
        <v>13</v>
      </c>
      <c r="Q237" s="212" t="s">
        <v>154</v>
      </c>
      <c r="R237" s="212"/>
      <c r="S237" s="212"/>
      <c r="T237" s="203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4</v>
      </c>
      <c r="U237" s="203">
        <f t="shared" ca="1" si="391"/>
        <v>0</v>
      </c>
      <c r="V237" s="203">
        <f t="shared" ca="1" si="392"/>
        <v>4</v>
      </c>
      <c r="W237" s="212"/>
      <c r="X237" s="212"/>
      <c r="Y237" s="212"/>
      <c r="Z237" s="212"/>
      <c r="AA237" s="212"/>
      <c r="AB237" s="212"/>
      <c r="AC237" s="214" t="s">
        <v>196</v>
      </c>
      <c r="AD237" s="226" t="s">
        <v>2039</v>
      </c>
      <c r="AE237" s="148"/>
      <c r="AF237" s="212" t="str">
        <f t="shared" si="393"/>
        <v>AMC2-S1</v>
      </c>
      <c r="AG237" s="212">
        <f t="shared" si="393"/>
        <v>4</v>
      </c>
      <c r="AH237" s="203">
        <f t="shared" si="394"/>
        <v>4</v>
      </c>
      <c r="AI237" s="203">
        <f t="shared" ca="1" si="395"/>
        <v>4</v>
      </c>
      <c r="AJ237" s="203">
        <f t="shared" ca="1" si="396"/>
        <v>0</v>
      </c>
      <c r="AK237" s="212" t="str">
        <f t="shared" si="397"/>
        <v>N/A</v>
      </c>
      <c r="AL237" s="212">
        <f t="shared" si="397"/>
        <v>0</v>
      </c>
      <c r="AM237" s="203">
        <f t="shared" si="398"/>
        <v>0</v>
      </c>
      <c r="AN237" s="203">
        <f t="shared" ca="1" si="399"/>
        <v>0</v>
      </c>
      <c r="AO237" s="203">
        <f t="shared" ca="1" si="400"/>
        <v>0</v>
      </c>
      <c r="AP237" s="212" t="str">
        <f t="shared" si="401"/>
        <v>N/A</v>
      </c>
      <c r="AQ237" s="212">
        <f t="shared" si="401"/>
        <v>0</v>
      </c>
      <c r="AR237" s="203">
        <f t="shared" si="402"/>
        <v>0</v>
      </c>
      <c r="AS237" s="203">
        <f t="shared" ca="1" si="403"/>
        <v>0</v>
      </c>
      <c r="AT237" s="203">
        <f t="shared" ca="1" si="404"/>
        <v>0</v>
      </c>
      <c r="AU237" s="212" t="str">
        <f t="shared" si="405"/>
        <v>N/A</v>
      </c>
      <c r="AV237" s="212">
        <f t="shared" si="405"/>
        <v>0</v>
      </c>
      <c r="AW237" s="203">
        <f t="shared" si="406"/>
        <v>0</v>
      </c>
      <c r="AX237" s="203">
        <f t="shared" ca="1" si="407"/>
        <v>0</v>
      </c>
      <c r="AY237" s="203">
        <f t="shared" ca="1" si="408"/>
        <v>0</v>
      </c>
      <c r="AZ237" s="212"/>
      <c r="BA237" s="213" t="s">
        <v>141</v>
      </c>
      <c r="BB237" s="213" t="s">
        <v>140</v>
      </c>
      <c r="BC237" s="213" t="s">
        <v>140</v>
      </c>
      <c r="BD237" s="213" t="s">
        <v>140</v>
      </c>
      <c r="BE237" s="148"/>
      <c r="BF237" s="212" t="s">
        <v>1789</v>
      </c>
      <c r="BG237" s="117"/>
      <c r="BH237" s="117"/>
      <c r="BI237" s="149"/>
      <c r="BJ237" s="149"/>
      <c r="BK237" s="149"/>
      <c r="BL237" s="149"/>
      <c r="BM237" s="149"/>
      <c r="BN237" s="149"/>
      <c r="BO237" s="149"/>
      <c r="BP237" s="149"/>
      <c r="BQ237" s="149"/>
      <c r="BR237" s="117">
        <v>1</v>
      </c>
      <c r="BS237" s="117">
        <v>0</v>
      </c>
      <c r="BT237" s="117">
        <v>0</v>
      </c>
      <c r="BU237" s="117">
        <v>0</v>
      </c>
      <c r="BV237" s="117">
        <v>1</v>
      </c>
      <c r="BW237" s="117">
        <v>0</v>
      </c>
      <c r="BX237" s="117">
        <v>0</v>
      </c>
      <c r="BY237" s="117" t="s">
        <v>1790</v>
      </c>
      <c r="BZ237" s="117" t="s">
        <v>989</v>
      </c>
      <c r="CA237" s="117">
        <v>4</v>
      </c>
      <c r="CB237" s="149">
        <v>46186</v>
      </c>
      <c r="CC237" s="117"/>
      <c r="CD237" s="117"/>
      <c r="CE237" s="148"/>
      <c r="CF237" s="148">
        <f>+L237-CA237</f>
        <v>0</v>
      </c>
    </row>
    <row r="238" spans="1:84" ht="17.25" hidden="1" customHeight="1">
      <c r="A238" s="117"/>
      <c r="B238" s="209" t="s">
        <v>1846</v>
      </c>
      <c r="C238" s="209" t="s">
        <v>2130</v>
      </c>
      <c r="D238" s="209" t="s">
        <v>983</v>
      </c>
      <c r="E238" s="209" t="s">
        <v>1823</v>
      </c>
      <c r="F238" s="209" t="s">
        <v>981</v>
      </c>
      <c r="G238" s="209" t="s">
        <v>982</v>
      </c>
      <c r="H238" s="210"/>
      <c r="I238" s="211" t="s">
        <v>984</v>
      </c>
      <c r="J238" s="144">
        <v>1</v>
      </c>
      <c r="K238" s="145">
        <f t="shared" si="388"/>
        <v>4</v>
      </c>
      <c r="L238" s="202">
        <f t="shared" si="389"/>
        <v>4</v>
      </c>
      <c r="M238" s="212">
        <v>0.28160000000000007</v>
      </c>
      <c r="N238" s="203">
        <f t="shared" si="390"/>
        <v>1.1264000000000003</v>
      </c>
      <c r="O238" s="212" t="s">
        <v>137</v>
      </c>
      <c r="P238" s="212" t="s">
        <v>14</v>
      </c>
      <c r="Q238" s="212" t="s">
        <v>976</v>
      </c>
      <c r="R238" s="212"/>
      <c r="S238" s="212"/>
      <c r="T238" s="203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0</v>
      </c>
      <c r="U238" s="203">
        <f t="shared" ca="1" si="391"/>
        <v>4</v>
      </c>
      <c r="V238" s="203">
        <f t="shared" ca="1" si="392"/>
        <v>0</v>
      </c>
      <c r="W238" s="212"/>
      <c r="X238" s="212"/>
      <c r="Y238" s="212"/>
      <c r="Z238" s="212"/>
      <c r="AA238" s="212"/>
      <c r="AB238" s="212"/>
      <c r="AC238" s="214" t="s">
        <v>196</v>
      </c>
      <c r="AD238" s="226" t="s">
        <v>2039</v>
      </c>
      <c r="AE238" s="148"/>
      <c r="AF238" s="212" t="str">
        <f t="shared" si="393"/>
        <v>AMC2-S1</v>
      </c>
      <c r="AG238" s="212">
        <f t="shared" si="393"/>
        <v>4</v>
      </c>
      <c r="AH238" s="203">
        <f t="shared" si="394"/>
        <v>4</v>
      </c>
      <c r="AI238" s="203">
        <f t="shared" ca="1" si="395"/>
        <v>0</v>
      </c>
      <c r="AJ238" s="203">
        <f t="shared" ca="1" si="396"/>
        <v>4</v>
      </c>
      <c r="AK238" s="212" t="str">
        <f t="shared" si="397"/>
        <v>N/A</v>
      </c>
      <c r="AL238" s="212">
        <f t="shared" si="397"/>
        <v>0</v>
      </c>
      <c r="AM238" s="203">
        <f t="shared" si="398"/>
        <v>0</v>
      </c>
      <c r="AN238" s="203">
        <f t="shared" ca="1" si="399"/>
        <v>0</v>
      </c>
      <c r="AO238" s="203">
        <f t="shared" ca="1" si="400"/>
        <v>0</v>
      </c>
      <c r="AP238" s="212" t="str">
        <f t="shared" si="401"/>
        <v>N/A</v>
      </c>
      <c r="AQ238" s="212">
        <f t="shared" si="401"/>
        <v>0</v>
      </c>
      <c r="AR238" s="203">
        <f t="shared" si="402"/>
        <v>0</v>
      </c>
      <c r="AS238" s="203">
        <f t="shared" ca="1" si="403"/>
        <v>0</v>
      </c>
      <c r="AT238" s="203">
        <f t="shared" ca="1" si="404"/>
        <v>0</v>
      </c>
      <c r="AU238" s="212" t="str">
        <f t="shared" si="405"/>
        <v>N/A</v>
      </c>
      <c r="AV238" s="212">
        <f t="shared" si="405"/>
        <v>0</v>
      </c>
      <c r="AW238" s="203">
        <f t="shared" si="406"/>
        <v>0</v>
      </c>
      <c r="AX238" s="203">
        <f t="shared" ca="1" si="407"/>
        <v>0</v>
      </c>
      <c r="AY238" s="203">
        <f t="shared" ca="1" si="408"/>
        <v>0</v>
      </c>
      <c r="AZ238" s="212"/>
      <c r="BA238" s="213" t="s">
        <v>141</v>
      </c>
      <c r="BB238" s="213" t="s">
        <v>140</v>
      </c>
      <c r="BC238" s="213" t="s">
        <v>140</v>
      </c>
      <c r="BD238" s="213" t="s">
        <v>140</v>
      </c>
      <c r="BE238" s="148"/>
      <c r="BF238" s="212"/>
      <c r="BG238" s="117"/>
      <c r="BH238" s="117"/>
      <c r="BI238" s="149"/>
      <c r="BJ238" s="149"/>
      <c r="BK238" s="149"/>
      <c r="BL238" s="149"/>
      <c r="BM238" s="149"/>
      <c r="BN238" s="149"/>
      <c r="BO238" s="149"/>
      <c r="BP238" s="149"/>
      <c r="BQ238" s="149"/>
      <c r="BR238" s="117" t="s">
        <v>140</v>
      </c>
      <c r="BS238" s="117" t="s">
        <v>140</v>
      </c>
      <c r="BT238" s="117" t="s">
        <v>140</v>
      </c>
      <c r="BU238" s="117" t="s">
        <v>140</v>
      </c>
      <c r="BV238" s="117" t="s">
        <v>140</v>
      </c>
      <c r="BW238" s="117" t="s">
        <v>140</v>
      </c>
      <c r="BX238" s="117" t="s">
        <v>140</v>
      </c>
      <c r="BY238" s="117" t="s">
        <v>14</v>
      </c>
      <c r="BZ238" s="117"/>
      <c r="CA238" s="117"/>
      <c r="CB238" s="149"/>
      <c r="CC238" s="117"/>
      <c r="CD238" s="117"/>
      <c r="CE238" s="148"/>
      <c r="CF238" s="148"/>
    </row>
    <row r="239" spans="1:84" ht="17.25" hidden="1" customHeight="1">
      <c r="A239" s="162">
        <v>186</v>
      </c>
      <c r="B239" s="177" t="s">
        <v>1846</v>
      </c>
      <c r="C239" s="177" t="s">
        <v>2132</v>
      </c>
      <c r="D239" s="177" t="s">
        <v>1855</v>
      </c>
      <c r="E239" s="177"/>
      <c r="F239" s="177"/>
      <c r="G239" s="177" t="s">
        <v>1856</v>
      </c>
      <c r="H239" s="178"/>
      <c r="I239" s="179"/>
      <c r="J239" s="160"/>
      <c r="K239" s="180">
        <f>+AG239+AL239+AQ239+AV239</f>
        <v>4</v>
      </c>
      <c r="L239" s="160"/>
      <c r="M239" s="181">
        <v>17.2</v>
      </c>
      <c r="N239" s="181">
        <v>69</v>
      </c>
      <c r="O239" s="181" t="s">
        <v>137</v>
      </c>
      <c r="P239" s="181"/>
      <c r="Q239" s="181"/>
      <c r="R239" s="181"/>
      <c r="S239" s="181"/>
      <c r="T239" s="181"/>
      <c r="U239" s="181"/>
      <c r="V239" s="181"/>
      <c r="W239" s="181">
        <f ca="1">_xlfn.MINIFS(V:V,C:C,C239,AE:AE,"",AB:AB,"")</f>
        <v>0</v>
      </c>
      <c r="X239" s="181">
        <f ca="1">SUMIFS(T:T,C:C,C239,AE:AE,"")/SUMIFS(L:L,C:C,C239,AE:AE,"",AB:AB,"")</f>
        <v>0.3125</v>
      </c>
      <c r="Y239" s="181"/>
      <c r="Z239" s="181"/>
      <c r="AA239" s="181"/>
      <c r="AB239" s="181"/>
      <c r="AC239" s="228" t="s">
        <v>196</v>
      </c>
      <c r="AD239" s="184" t="s">
        <v>2039</v>
      </c>
      <c r="AE239" s="162" t="s">
        <v>143</v>
      </c>
      <c r="AF239" s="181" t="s">
        <v>1783</v>
      </c>
      <c r="AG239" s="181">
        <v>4</v>
      </c>
      <c r="AH239" s="181"/>
      <c r="AI239" s="181"/>
      <c r="AJ239" s="181"/>
      <c r="AK239" s="181" t="s">
        <v>138</v>
      </c>
      <c r="AL239" s="181">
        <v>0</v>
      </c>
      <c r="AM239" s="181"/>
      <c r="AN239" s="181"/>
      <c r="AO239" s="181"/>
      <c r="AP239" s="181" t="s">
        <v>138</v>
      </c>
      <c r="AQ239" s="181">
        <v>0</v>
      </c>
      <c r="AR239" s="181"/>
      <c r="AS239" s="181"/>
      <c r="AT239" s="181"/>
      <c r="AU239" s="181" t="s">
        <v>138</v>
      </c>
      <c r="AV239" s="181">
        <v>0</v>
      </c>
      <c r="AW239" s="181"/>
      <c r="AX239" s="181"/>
      <c r="AY239" s="181"/>
      <c r="AZ239" s="181"/>
      <c r="BA239" s="182" t="s">
        <v>141</v>
      </c>
      <c r="BB239" s="182" t="s">
        <v>140</v>
      </c>
      <c r="BC239" s="182" t="s">
        <v>140</v>
      </c>
      <c r="BD239" s="182" t="s">
        <v>140</v>
      </c>
      <c r="BE239" s="162" t="s">
        <v>741</v>
      </c>
      <c r="BF239" s="181"/>
      <c r="BG239" s="161"/>
      <c r="BH239" s="161"/>
      <c r="BI239" s="163"/>
      <c r="BJ239" s="163"/>
      <c r="BK239" s="163"/>
      <c r="BL239" s="163"/>
      <c r="BM239" s="163"/>
      <c r="BN239" s="163"/>
      <c r="BO239" s="163"/>
      <c r="BP239" s="163"/>
      <c r="BQ239" s="163"/>
      <c r="BR239" s="161"/>
      <c r="BS239" s="161"/>
      <c r="BT239" s="161"/>
      <c r="BU239" s="161"/>
      <c r="BV239" s="161"/>
      <c r="BW239" s="161"/>
      <c r="BX239" s="161"/>
      <c r="BY239" s="161"/>
      <c r="BZ239" s="161"/>
      <c r="CA239" s="161"/>
      <c r="CB239" s="163"/>
      <c r="CC239" s="161"/>
      <c r="CD239" s="161"/>
      <c r="CE239" s="185"/>
      <c r="CF239" s="185"/>
    </row>
    <row r="240" spans="1:84" ht="17.25" hidden="1" customHeight="1">
      <c r="A240" s="117"/>
      <c r="B240" s="209" t="s">
        <v>1846</v>
      </c>
      <c r="C240" s="209" t="s">
        <v>2132</v>
      </c>
      <c r="D240" s="209" t="s">
        <v>13</v>
      </c>
      <c r="E240" s="209" t="s">
        <v>1788</v>
      </c>
      <c r="F240" s="209" t="s">
        <v>990</v>
      </c>
      <c r="G240" s="209" t="s">
        <v>991</v>
      </c>
      <c r="H240" s="210">
        <v>200</v>
      </c>
      <c r="I240" s="211" t="s">
        <v>147</v>
      </c>
      <c r="J240" s="144">
        <v>1</v>
      </c>
      <c r="K240" s="145">
        <f t="shared" ref="K240:K241" si="409">K239</f>
        <v>4</v>
      </c>
      <c r="L240" s="202">
        <f t="shared" ref="L240:L241" si="410">+J240*K240</f>
        <v>4</v>
      </c>
      <c r="M240" s="212">
        <v>9.5</v>
      </c>
      <c r="N240" s="203">
        <f t="shared" ref="N240:N241" si="411">+M240*L240</f>
        <v>38</v>
      </c>
      <c r="O240" s="212" t="s">
        <v>137</v>
      </c>
      <c r="P240" s="212" t="s">
        <v>13</v>
      </c>
      <c r="Q240" s="212" t="s">
        <v>148</v>
      </c>
      <c r="R240" s="212"/>
      <c r="S240" s="212"/>
      <c r="T240" s="203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4</v>
      </c>
      <c r="U240" s="203">
        <f t="shared" ref="U240:U241" ca="1" si="412">+L240-T240</f>
        <v>0</v>
      </c>
      <c r="V240" s="203">
        <f t="shared" ref="V240:V241" ca="1" si="413">ROUNDDOWN(T240/J240,0)</f>
        <v>4</v>
      </c>
      <c r="W240" s="212"/>
      <c r="X240" s="212"/>
      <c r="Y240" s="212"/>
      <c r="Z240" s="212"/>
      <c r="AA240" s="212"/>
      <c r="AB240" s="212"/>
      <c r="AC240" s="214" t="s">
        <v>196</v>
      </c>
      <c r="AD240" s="226" t="s">
        <v>2039</v>
      </c>
      <c r="AE240" s="148"/>
      <c r="AF240" s="212" t="str">
        <f t="shared" ref="AF240:AG241" si="414">AF239</f>
        <v>AMC2-S1</v>
      </c>
      <c r="AG240" s="212">
        <f t="shared" si="414"/>
        <v>4</v>
      </c>
      <c r="AH240" s="203">
        <f t="shared" ref="AH240:AH241" si="415">+AG240*J240</f>
        <v>4</v>
      </c>
      <c r="AI240" s="203">
        <f t="shared" ref="AI240:AI241" ca="1" si="416">MIN(T240,AH240)</f>
        <v>4</v>
      </c>
      <c r="AJ240" s="203">
        <f t="shared" ref="AJ240:AJ241" ca="1" si="417">+AH240-AI240</f>
        <v>0</v>
      </c>
      <c r="AK240" s="212" t="str">
        <f t="shared" ref="AK240:AL241" si="418">AK239</f>
        <v>N/A</v>
      </c>
      <c r="AL240" s="212">
        <f t="shared" si="418"/>
        <v>0</v>
      </c>
      <c r="AM240" s="203">
        <f t="shared" ref="AM240:AM241" si="419">+AL240*J240</f>
        <v>0</v>
      </c>
      <c r="AN240" s="203">
        <f t="shared" ref="AN240:AN241" ca="1" si="420">MIN(T240-AI240,AL240)</f>
        <v>0</v>
      </c>
      <c r="AO240" s="203">
        <f t="shared" ref="AO240:AO241" ca="1" si="421">+AM240-AN240</f>
        <v>0</v>
      </c>
      <c r="AP240" s="212" t="str">
        <f t="shared" ref="AP240:AQ241" si="422">AP239</f>
        <v>N/A</v>
      </c>
      <c r="AQ240" s="212">
        <f t="shared" si="422"/>
        <v>0</v>
      </c>
      <c r="AR240" s="203">
        <f t="shared" ref="AR240:AR241" si="423">+AQ240*J240</f>
        <v>0</v>
      </c>
      <c r="AS240" s="203">
        <f t="shared" ref="AS240:AS241" ca="1" si="424">MIN(T240-AI240-AN240,AR240)</f>
        <v>0</v>
      </c>
      <c r="AT240" s="203">
        <f t="shared" ref="AT240:AT241" ca="1" si="425">+AR240-AS240</f>
        <v>0</v>
      </c>
      <c r="AU240" s="212" t="str">
        <f t="shared" ref="AU240:AV241" si="426">AU239</f>
        <v>N/A</v>
      </c>
      <c r="AV240" s="212">
        <f t="shared" si="426"/>
        <v>0</v>
      </c>
      <c r="AW240" s="203">
        <f t="shared" ref="AW240:AW241" si="427">+AV240*J240</f>
        <v>0</v>
      </c>
      <c r="AX240" s="203">
        <f t="shared" ref="AX240:AX241" ca="1" si="428">MIN(T240-AI240-AN240-AS240,AW240)</f>
        <v>0</v>
      </c>
      <c r="AY240" s="203">
        <f t="shared" ref="AY240:AY241" ca="1" si="429">+AW240-AX240</f>
        <v>0</v>
      </c>
      <c r="AZ240" s="212"/>
      <c r="BA240" s="213" t="s">
        <v>141</v>
      </c>
      <c r="BB240" s="213" t="s">
        <v>140</v>
      </c>
      <c r="BC240" s="213" t="s">
        <v>140</v>
      </c>
      <c r="BD240" s="213" t="s">
        <v>140</v>
      </c>
      <c r="BE240" s="148"/>
      <c r="BF240" s="212" t="s">
        <v>1789</v>
      </c>
      <c r="BG240" s="117"/>
      <c r="BH240" s="117"/>
      <c r="BI240" s="149"/>
      <c r="BJ240" s="149"/>
      <c r="BK240" s="149"/>
      <c r="BL240" s="149"/>
      <c r="BM240" s="149"/>
      <c r="BN240" s="149"/>
      <c r="BO240" s="149"/>
      <c r="BP240" s="149"/>
      <c r="BQ240" s="149"/>
      <c r="BR240" s="117">
        <v>0</v>
      </c>
      <c r="BS240" s="117">
        <v>0</v>
      </c>
      <c r="BT240" s="117">
        <v>0</v>
      </c>
      <c r="BU240" s="117">
        <v>1</v>
      </c>
      <c r="BV240" s="117">
        <v>0</v>
      </c>
      <c r="BW240" s="117">
        <v>0</v>
      </c>
      <c r="BX240" s="117">
        <v>0</v>
      </c>
      <c r="BY240" s="117" t="s">
        <v>1790</v>
      </c>
      <c r="BZ240" s="117" t="s">
        <v>994</v>
      </c>
      <c r="CA240" s="117">
        <v>4</v>
      </c>
      <c r="CB240" s="149">
        <v>46186</v>
      </c>
      <c r="CC240" s="117"/>
      <c r="CD240" s="117"/>
      <c r="CE240" s="148"/>
      <c r="CF240" s="148">
        <f>+L240-CA240</f>
        <v>0</v>
      </c>
    </row>
    <row r="241" spans="1:84" ht="17.25" hidden="1" customHeight="1">
      <c r="A241" s="117"/>
      <c r="B241" s="209" t="s">
        <v>1846</v>
      </c>
      <c r="C241" s="209" t="s">
        <v>2132</v>
      </c>
      <c r="D241" s="209" t="s">
        <v>13</v>
      </c>
      <c r="E241" s="209" t="s">
        <v>1791</v>
      </c>
      <c r="F241" s="209" t="s">
        <v>995</v>
      </c>
      <c r="G241" s="209" t="s">
        <v>996</v>
      </c>
      <c r="H241" s="210">
        <v>170</v>
      </c>
      <c r="I241" s="211" t="s">
        <v>147</v>
      </c>
      <c r="J241" s="144">
        <v>1</v>
      </c>
      <c r="K241" s="145">
        <f t="shared" si="409"/>
        <v>4</v>
      </c>
      <c r="L241" s="202">
        <f t="shared" si="410"/>
        <v>4</v>
      </c>
      <c r="M241" s="212">
        <v>8</v>
      </c>
      <c r="N241" s="203">
        <f t="shared" si="411"/>
        <v>32</v>
      </c>
      <c r="O241" s="212" t="s">
        <v>137</v>
      </c>
      <c r="P241" s="212" t="s">
        <v>13</v>
      </c>
      <c r="Q241" s="212" t="s">
        <v>148</v>
      </c>
      <c r="R241" s="212"/>
      <c r="S241" s="212"/>
      <c r="T241" s="203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4</v>
      </c>
      <c r="U241" s="203">
        <f t="shared" ca="1" si="412"/>
        <v>0</v>
      </c>
      <c r="V241" s="203">
        <f t="shared" ca="1" si="413"/>
        <v>4</v>
      </c>
      <c r="W241" s="212"/>
      <c r="X241" s="212"/>
      <c r="Y241" s="212"/>
      <c r="Z241" s="212"/>
      <c r="AA241" s="212"/>
      <c r="AB241" s="212"/>
      <c r="AC241" s="214" t="s">
        <v>196</v>
      </c>
      <c r="AD241" s="226" t="s">
        <v>2039</v>
      </c>
      <c r="AE241" s="148"/>
      <c r="AF241" s="212" t="str">
        <f t="shared" si="414"/>
        <v>AMC2-S1</v>
      </c>
      <c r="AG241" s="212">
        <f t="shared" si="414"/>
        <v>4</v>
      </c>
      <c r="AH241" s="203">
        <f t="shared" si="415"/>
        <v>4</v>
      </c>
      <c r="AI241" s="203">
        <f t="shared" ca="1" si="416"/>
        <v>4</v>
      </c>
      <c r="AJ241" s="203">
        <f t="shared" ca="1" si="417"/>
        <v>0</v>
      </c>
      <c r="AK241" s="212" t="str">
        <f t="shared" si="418"/>
        <v>N/A</v>
      </c>
      <c r="AL241" s="212">
        <f t="shared" si="418"/>
        <v>0</v>
      </c>
      <c r="AM241" s="203">
        <f t="shared" si="419"/>
        <v>0</v>
      </c>
      <c r="AN241" s="203">
        <f t="shared" ca="1" si="420"/>
        <v>0</v>
      </c>
      <c r="AO241" s="203">
        <f t="shared" ca="1" si="421"/>
        <v>0</v>
      </c>
      <c r="AP241" s="212" t="str">
        <f t="shared" si="422"/>
        <v>N/A</v>
      </c>
      <c r="AQ241" s="212">
        <f t="shared" si="422"/>
        <v>0</v>
      </c>
      <c r="AR241" s="203">
        <f t="shared" si="423"/>
        <v>0</v>
      </c>
      <c r="AS241" s="203">
        <f t="shared" ca="1" si="424"/>
        <v>0</v>
      </c>
      <c r="AT241" s="203">
        <f t="shared" ca="1" si="425"/>
        <v>0</v>
      </c>
      <c r="AU241" s="212" t="str">
        <f t="shared" si="426"/>
        <v>N/A</v>
      </c>
      <c r="AV241" s="212">
        <f t="shared" si="426"/>
        <v>0</v>
      </c>
      <c r="AW241" s="203">
        <f t="shared" si="427"/>
        <v>0</v>
      </c>
      <c r="AX241" s="203">
        <f t="shared" ca="1" si="428"/>
        <v>0</v>
      </c>
      <c r="AY241" s="203">
        <f t="shared" ca="1" si="429"/>
        <v>0</v>
      </c>
      <c r="AZ241" s="212"/>
      <c r="BA241" s="213" t="s">
        <v>141</v>
      </c>
      <c r="BB241" s="213" t="s">
        <v>140</v>
      </c>
      <c r="BC241" s="213" t="s">
        <v>140</v>
      </c>
      <c r="BD241" s="213" t="s">
        <v>140</v>
      </c>
      <c r="BE241" s="148"/>
      <c r="BF241" s="212" t="s">
        <v>1789</v>
      </c>
      <c r="BG241" s="117"/>
      <c r="BH241" s="117"/>
      <c r="BI241" s="149"/>
      <c r="BJ241" s="149"/>
      <c r="BK241" s="149"/>
      <c r="BL241" s="149"/>
      <c r="BM241" s="149"/>
      <c r="BN241" s="149"/>
      <c r="BO241" s="149"/>
      <c r="BP241" s="149"/>
      <c r="BQ241" s="149"/>
      <c r="BR241" s="117">
        <v>0</v>
      </c>
      <c r="BS241" s="117">
        <v>0</v>
      </c>
      <c r="BT241" s="117">
        <v>0</v>
      </c>
      <c r="BU241" s="117">
        <v>1</v>
      </c>
      <c r="BV241" s="117">
        <v>0</v>
      </c>
      <c r="BW241" s="117">
        <v>0</v>
      </c>
      <c r="BX241" s="117">
        <v>0</v>
      </c>
      <c r="BY241" s="117" t="s">
        <v>1790</v>
      </c>
      <c r="BZ241" s="117" t="s">
        <v>994</v>
      </c>
      <c r="CA241" s="117">
        <v>4</v>
      </c>
      <c r="CB241" s="149">
        <v>46186</v>
      </c>
      <c r="CC241" s="117"/>
      <c r="CD241" s="117"/>
      <c r="CE241" s="148"/>
      <c r="CF241" s="148">
        <f>+L241-CA241</f>
        <v>0</v>
      </c>
    </row>
    <row r="242" spans="1:84" ht="17.25" hidden="1" customHeight="1">
      <c r="A242" s="162">
        <v>187</v>
      </c>
      <c r="B242" s="177" t="s">
        <v>2067</v>
      </c>
      <c r="C242" s="177" t="s">
        <v>2134</v>
      </c>
      <c r="D242" s="177" t="s">
        <v>1858</v>
      </c>
      <c r="E242" s="177"/>
      <c r="F242" s="177"/>
      <c r="G242" s="177" t="s">
        <v>1859</v>
      </c>
      <c r="H242" s="178"/>
      <c r="I242" s="179" t="s">
        <v>147</v>
      </c>
      <c r="J242" s="160"/>
      <c r="K242" s="180">
        <f t="shared" ref="K242:K244" si="430">+AG242+AL242+AQ242+AV242</f>
        <v>2</v>
      </c>
      <c r="L242" s="160"/>
      <c r="M242" s="181">
        <v>5.3</v>
      </c>
      <c r="N242" s="181">
        <v>10.6</v>
      </c>
      <c r="O242" s="181" t="s">
        <v>137</v>
      </c>
      <c r="P242" s="181"/>
      <c r="Q242" s="181"/>
      <c r="R242" s="181"/>
      <c r="S242" s="181"/>
      <c r="T242" s="181"/>
      <c r="U242" s="181"/>
      <c r="V242" s="181"/>
      <c r="W242" s="181">
        <f>_xlfn.MINIFS(V:V,C:C,C242,AE:AE,"",AB:AB,"")</f>
        <v>0</v>
      </c>
      <c r="X242" s="181" t="e">
        <f>SUMIFS(T:T,C:C,C242,AE:AE,"")/SUMIFS(L:L,C:C,C242,AE:AE,"",AB:AB,"")</f>
        <v>#DIV/0!</v>
      </c>
      <c r="Y242" s="181"/>
      <c r="Z242" s="181"/>
      <c r="AA242" s="181"/>
      <c r="AB242" s="181"/>
      <c r="AC242" s="228" t="s">
        <v>196</v>
      </c>
      <c r="AD242" s="184" t="s">
        <v>2039</v>
      </c>
      <c r="AE242" s="162" t="s">
        <v>143</v>
      </c>
      <c r="AF242" s="181" t="s">
        <v>1783</v>
      </c>
      <c r="AG242" s="181">
        <v>2</v>
      </c>
      <c r="AH242" s="181"/>
      <c r="AI242" s="181">
        <v>2</v>
      </c>
      <c r="AJ242" s="181"/>
      <c r="AK242" s="181" t="s">
        <v>138</v>
      </c>
      <c r="AL242" s="181">
        <v>0</v>
      </c>
      <c r="AM242" s="181"/>
      <c r="AN242" s="181"/>
      <c r="AO242" s="181"/>
      <c r="AP242" s="181" t="s">
        <v>138</v>
      </c>
      <c r="AQ242" s="181">
        <v>0</v>
      </c>
      <c r="AR242" s="181"/>
      <c r="AS242" s="181"/>
      <c r="AT242" s="181"/>
      <c r="AU242" s="181" t="s">
        <v>138</v>
      </c>
      <c r="AV242" s="181">
        <v>0</v>
      </c>
      <c r="AW242" s="181"/>
      <c r="AX242" s="181"/>
      <c r="AY242" s="181"/>
      <c r="AZ242" s="181"/>
      <c r="BA242" s="182" t="s">
        <v>141</v>
      </c>
      <c r="BB242" s="182" t="s">
        <v>140</v>
      </c>
      <c r="BC242" s="182" t="s">
        <v>140</v>
      </c>
      <c r="BD242" s="182" t="s">
        <v>140</v>
      </c>
      <c r="BE242" s="162" t="s">
        <v>741</v>
      </c>
      <c r="BF242" s="181"/>
      <c r="BG242" s="161"/>
      <c r="BH242" s="161"/>
      <c r="BI242" s="163"/>
      <c r="BJ242" s="163"/>
      <c r="BK242" s="163"/>
      <c r="BL242" s="163"/>
      <c r="BM242" s="163"/>
      <c r="BN242" s="163"/>
      <c r="BO242" s="163"/>
      <c r="BP242" s="163"/>
      <c r="BQ242" s="163"/>
      <c r="BR242" s="161"/>
      <c r="BS242" s="161"/>
      <c r="BT242" s="161"/>
      <c r="BU242" s="161"/>
      <c r="BV242" s="161"/>
      <c r="BW242" s="161"/>
      <c r="BX242" s="161"/>
      <c r="BY242" s="161"/>
      <c r="BZ242" s="161"/>
      <c r="CA242" s="161"/>
      <c r="CB242" s="163"/>
      <c r="CC242" s="161"/>
      <c r="CD242" s="161"/>
      <c r="CE242" s="185"/>
      <c r="CF242" s="185"/>
    </row>
    <row r="243" spans="1:84" ht="17.25" hidden="1" customHeight="1">
      <c r="A243" s="162">
        <v>188</v>
      </c>
      <c r="B243" s="177" t="s">
        <v>2067</v>
      </c>
      <c r="C243" s="177" t="s">
        <v>2135</v>
      </c>
      <c r="D243" s="177" t="s">
        <v>1858</v>
      </c>
      <c r="E243" s="177"/>
      <c r="F243" s="177"/>
      <c r="G243" s="177" t="s">
        <v>1860</v>
      </c>
      <c r="H243" s="178"/>
      <c r="I243" s="179" t="s">
        <v>147</v>
      </c>
      <c r="J243" s="160"/>
      <c r="K243" s="180">
        <f t="shared" si="430"/>
        <v>10</v>
      </c>
      <c r="L243" s="160"/>
      <c r="M243" s="181">
        <v>7.5</v>
      </c>
      <c r="N243" s="181">
        <v>75.2</v>
      </c>
      <c r="O243" s="181" t="s">
        <v>137</v>
      </c>
      <c r="P243" s="181"/>
      <c r="Q243" s="181"/>
      <c r="R243" s="181"/>
      <c r="S243" s="181"/>
      <c r="T243" s="181"/>
      <c r="U243" s="181"/>
      <c r="V243" s="181"/>
      <c r="W243" s="181">
        <f>_xlfn.MINIFS(V:V,C:C,C243,AE:AE,"",AB:AB,"")</f>
        <v>0</v>
      </c>
      <c r="X243" s="181" t="e">
        <f>SUMIFS(T:T,C:C,C243,AE:AE,"")/SUMIFS(L:L,C:C,C243,AE:AE,"",AB:AB,"")</f>
        <v>#DIV/0!</v>
      </c>
      <c r="Y243" s="181"/>
      <c r="Z243" s="181"/>
      <c r="AA243" s="181"/>
      <c r="AB243" s="181"/>
      <c r="AC243" s="228" t="s">
        <v>196</v>
      </c>
      <c r="AD243" s="184" t="s">
        <v>2039</v>
      </c>
      <c r="AE243" s="162" t="s">
        <v>143</v>
      </c>
      <c r="AF243" s="181" t="s">
        <v>1783</v>
      </c>
      <c r="AG243" s="181">
        <v>10</v>
      </c>
      <c r="AH243" s="181"/>
      <c r="AI243" s="181">
        <v>10</v>
      </c>
      <c r="AJ243" s="181"/>
      <c r="AK243" s="181" t="s">
        <v>138</v>
      </c>
      <c r="AL243" s="181">
        <v>0</v>
      </c>
      <c r="AM243" s="181"/>
      <c r="AN243" s="181"/>
      <c r="AO243" s="181"/>
      <c r="AP243" s="181" t="s">
        <v>138</v>
      </c>
      <c r="AQ243" s="181">
        <v>0</v>
      </c>
      <c r="AR243" s="181"/>
      <c r="AS243" s="181"/>
      <c r="AT243" s="181"/>
      <c r="AU243" s="181" t="s">
        <v>138</v>
      </c>
      <c r="AV243" s="181">
        <v>0</v>
      </c>
      <c r="AW243" s="181"/>
      <c r="AX243" s="181"/>
      <c r="AY243" s="181"/>
      <c r="AZ243" s="181"/>
      <c r="BA243" s="182" t="s">
        <v>141</v>
      </c>
      <c r="BB243" s="182" t="s">
        <v>140</v>
      </c>
      <c r="BC243" s="182" t="s">
        <v>140</v>
      </c>
      <c r="BD243" s="182" t="s">
        <v>140</v>
      </c>
      <c r="BE243" s="162" t="s">
        <v>741</v>
      </c>
      <c r="BF243" s="181"/>
      <c r="BG243" s="161"/>
      <c r="BH243" s="161"/>
      <c r="BI243" s="163"/>
      <c r="BJ243" s="163"/>
      <c r="BK243" s="163"/>
      <c r="BL243" s="163"/>
      <c r="BM243" s="163"/>
      <c r="BN243" s="163"/>
      <c r="BO243" s="163"/>
      <c r="BP243" s="163"/>
      <c r="BQ243" s="163"/>
      <c r="BR243" s="161"/>
      <c r="BS243" s="161"/>
      <c r="BT243" s="161"/>
      <c r="BU243" s="161"/>
      <c r="BV243" s="161"/>
      <c r="BW243" s="161"/>
      <c r="BX243" s="161"/>
      <c r="BY243" s="161"/>
      <c r="BZ243" s="161"/>
      <c r="CA243" s="161"/>
      <c r="CB243" s="163"/>
      <c r="CC243" s="161"/>
      <c r="CD243" s="161"/>
      <c r="CE243" s="185"/>
      <c r="CF243" s="185"/>
    </row>
    <row r="244" spans="1:84" ht="17.25" hidden="1" customHeight="1">
      <c r="A244" s="162">
        <v>189</v>
      </c>
      <c r="B244" s="177" t="s">
        <v>1846</v>
      </c>
      <c r="C244" s="177" t="s">
        <v>2136</v>
      </c>
      <c r="D244" s="177" t="s">
        <v>1861</v>
      </c>
      <c r="E244" s="177"/>
      <c r="F244" s="177"/>
      <c r="G244" s="177" t="s">
        <v>1862</v>
      </c>
      <c r="H244" s="178"/>
      <c r="I244" s="179" t="s">
        <v>147</v>
      </c>
      <c r="J244" s="160"/>
      <c r="K244" s="180">
        <f t="shared" si="430"/>
        <v>10</v>
      </c>
      <c r="L244" s="160"/>
      <c r="M244" s="181">
        <v>0.5</v>
      </c>
      <c r="N244" s="181">
        <v>5</v>
      </c>
      <c r="O244" s="181" t="s">
        <v>137</v>
      </c>
      <c r="P244" s="181"/>
      <c r="Q244" s="181"/>
      <c r="R244" s="181"/>
      <c r="S244" s="181"/>
      <c r="T244" s="181"/>
      <c r="U244" s="181"/>
      <c r="V244" s="181"/>
      <c r="W244" s="181">
        <f ca="1">_xlfn.MINIFS(V:V,C:C,C244,AE:AE,"",AB:AB,"")</f>
        <v>0</v>
      </c>
      <c r="X244" s="181">
        <f ca="1">SUMIFS(T:T,C:C,C244,AE:AE,"")/SUMIFS(L:L,C:C,C244,AE:AE,"",AB:AB,"")</f>
        <v>0.45454545454545453</v>
      </c>
      <c r="Y244" s="181"/>
      <c r="Z244" s="181"/>
      <c r="AA244" s="181"/>
      <c r="AB244" s="181"/>
      <c r="AC244" s="228" t="s">
        <v>196</v>
      </c>
      <c r="AD244" s="184" t="s">
        <v>2039</v>
      </c>
      <c r="AE244" s="162" t="s">
        <v>143</v>
      </c>
      <c r="AF244" s="181" t="s">
        <v>1783</v>
      </c>
      <c r="AG244" s="181">
        <v>10</v>
      </c>
      <c r="AH244" s="181"/>
      <c r="AI244" s="181"/>
      <c r="AJ244" s="181"/>
      <c r="AK244" s="181" t="s">
        <v>138</v>
      </c>
      <c r="AL244" s="181">
        <v>0</v>
      </c>
      <c r="AM244" s="181"/>
      <c r="AN244" s="181"/>
      <c r="AO244" s="181"/>
      <c r="AP244" s="181" t="s">
        <v>138</v>
      </c>
      <c r="AQ244" s="181">
        <v>0</v>
      </c>
      <c r="AR244" s="181"/>
      <c r="AS244" s="181"/>
      <c r="AT244" s="181"/>
      <c r="AU244" s="181" t="s">
        <v>138</v>
      </c>
      <c r="AV244" s="181">
        <v>0</v>
      </c>
      <c r="AW244" s="181"/>
      <c r="AX244" s="181"/>
      <c r="AY244" s="181"/>
      <c r="AZ244" s="179"/>
      <c r="BA244" s="182" t="s">
        <v>141</v>
      </c>
      <c r="BB244" s="182" t="s">
        <v>140</v>
      </c>
      <c r="BC244" s="182" t="s">
        <v>140</v>
      </c>
      <c r="BD244" s="182" t="s">
        <v>140</v>
      </c>
      <c r="BE244" s="162" t="s">
        <v>741</v>
      </c>
      <c r="BF244" s="181"/>
      <c r="BG244" s="161"/>
      <c r="BH244" s="161"/>
      <c r="BI244" s="163"/>
      <c r="BJ244" s="163"/>
      <c r="BK244" s="163"/>
      <c r="BL244" s="163"/>
      <c r="BM244" s="163"/>
      <c r="BN244" s="163"/>
      <c r="BO244" s="163"/>
      <c r="BP244" s="163"/>
      <c r="BQ244" s="163"/>
      <c r="BR244" s="161"/>
      <c r="BS244" s="161"/>
      <c r="BT244" s="161"/>
      <c r="BU244" s="161"/>
      <c r="BV244" s="161"/>
      <c r="BW244" s="161"/>
      <c r="BX244" s="161"/>
      <c r="BY244" s="161"/>
      <c r="BZ244" s="161"/>
      <c r="CA244" s="161"/>
      <c r="CB244" s="163"/>
      <c r="CC244" s="161"/>
      <c r="CD244" s="161"/>
      <c r="CE244" s="185"/>
      <c r="CF244" s="185"/>
    </row>
    <row r="245" spans="1:84" ht="17.25" hidden="1" customHeight="1">
      <c r="A245" s="117"/>
      <c r="B245" s="209" t="s">
        <v>1846</v>
      </c>
      <c r="C245" s="209" t="s">
        <v>2136</v>
      </c>
      <c r="D245" s="209" t="s">
        <v>954</v>
      </c>
      <c r="E245" s="209" t="s">
        <v>1788</v>
      </c>
      <c r="F245" s="209" t="s">
        <v>997</v>
      </c>
      <c r="G245" s="209" t="s">
        <v>998</v>
      </c>
      <c r="H245" s="210">
        <v>640</v>
      </c>
      <c r="I245" s="211" t="s">
        <v>147</v>
      </c>
      <c r="J245" s="144">
        <v>1</v>
      </c>
      <c r="K245" s="145">
        <f>K244</f>
        <v>10</v>
      </c>
      <c r="L245" s="202">
        <f>+J245*K245</f>
        <v>10</v>
      </c>
      <c r="M245" s="212">
        <v>0.5</v>
      </c>
      <c r="N245" s="203">
        <f>+M245*L245</f>
        <v>5</v>
      </c>
      <c r="O245" s="212" t="s">
        <v>137</v>
      </c>
      <c r="P245" s="212" t="s">
        <v>13</v>
      </c>
      <c r="Q245" s="212" t="s">
        <v>148</v>
      </c>
      <c r="R245" s="212"/>
      <c r="S245" s="212"/>
      <c r="T245" s="203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10</v>
      </c>
      <c r="U245" s="203">
        <f t="shared" ref="U245" ca="1" si="431">+L245-T245</f>
        <v>0</v>
      </c>
      <c r="V245" s="203">
        <f t="shared" ref="V245" ca="1" si="432">ROUNDDOWN(T245/J245,0)</f>
        <v>10</v>
      </c>
      <c r="W245" s="212"/>
      <c r="X245" s="212"/>
      <c r="Y245" s="212"/>
      <c r="Z245" s="212"/>
      <c r="AA245" s="212"/>
      <c r="AB245" s="212"/>
      <c r="AC245" s="214" t="s">
        <v>196</v>
      </c>
      <c r="AD245" s="226" t="s">
        <v>2039</v>
      </c>
      <c r="AE245" s="148"/>
      <c r="AF245" s="212" t="str">
        <f t="shared" ref="AF245:AG245" si="433">AF244</f>
        <v>AMC2-S1</v>
      </c>
      <c r="AG245" s="212">
        <f t="shared" si="433"/>
        <v>10</v>
      </c>
      <c r="AH245" s="203">
        <f>+AG245*J245</f>
        <v>10</v>
      </c>
      <c r="AI245" s="203">
        <f ca="1">MIN(T245,AH245)</f>
        <v>10</v>
      </c>
      <c r="AJ245" s="203">
        <f ca="1">+AH245-AI245</f>
        <v>0</v>
      </c>
      <c r="AK245" s="212" t="str">
        <f t="shared" ref="AK245:AL245" si="434">AK244</f>
        <v>N/A</v>
      </c>
      <c r="AL245" s="212">
        <f t="shared" si="434"/>
        <v>0</v>
      </c>
      <c r="AM245" s="203">
        <f>+AL245*J245</f>
        <v>0</v>
      </c>
      <c r="AN245" s="203">
        <f ca="1">MIN(T245-AI245,AL245)</f>
        <v>0</v>
      </c>
      <c r="AO245" s="203">
        <f ca="1">+AM245-AN245</f>
        <v>0</v>
      </c>
      <c r="AP245" s="212" t="str">
        <f t="shared" ref="AP245:AQ245" si="435">AP244</f>
        <v>N/A</v>
      </c>
      <c r="AQ245" s="212">
        <f t="shared" si="435"/>
        <v>0</v>
      </c>
      <c r="AR245" s="203">
        <f>+AQ245*J245</f>
        <v>0</v>
      </c>
      <c r="AS245" s="203">
        <f ca="1">MIN(T245-AI245-AN245,AR245)</f>
        <v>0</v>
      </c>
      <c r="AT245" s="203">
        <f ca="1">+AR245-AS245</f>
        <v>0</v>
      </c>
      <c r="AU245" s="212" t="str">
        <f t="shared" ref="AU245:AV245" si="436">AU244</f>
        <v>N/A</v>
      </c>
      <c r="AV245" s="212">
        <f t="shared" si="436"/>
        <v>0</v>
      </c>
      <c r="AW245" s="203">
        <f>+AV245*J245</f>
        <v>0</v>
      </c>
      <c r="AX245" s="203">
        <f ca="1">MIN(T245-AI245-AN245-AS245,AW245)</f>
        <v>0</v>
      </c>
      <c r="AY245" s="203">
        <f ca="1">+AW245-AX245</f>
        <v>0</v>
      </c>
      <c r="AZ245" s="212"/>
      <c r="BA245" s="213" t="s">
        <v>141</v>
      </c>
      <c r="BB245" s="213" t="s">
        <v>140</v>
      </c>
      <c r="BC245" s="213" t="s">
        <v>140</v>
      </c>
      <c r="BD245" s="213" t="s">
        <v>140</v>
      </c>
      <c r="BE245" s="148"/>
      <c r="BF245" s="212" t="s">
        <v>1789</v>
      </c>
      <c r="BG245" s="117"/>
      <c r="BH245" s="117"/>
      <c r="BI245" s="149"/>
      <c r="BJ245" s="149"/>
      <c r="BK245" s="149"/>
      <c r="BL245" s="149"/>
      <c r="BM245" s="149"/>
      <c r="BN245" s="149"/>
      <c r="BO245" s="149"/>
      <c r="BP245" s="149"/>
      <c r="BQ245" s="149"/>
      <c r="BR245" s="117">
        <v>0</v>
      </c>
      <c r="BS245" s="117">
        <v>0</v>
      </c>
      <c r="BT245" s="117">
        <v>0</v>
      </c>
      <c r="BU245" s="117">
        <v>0</v>
      </c>
      <c r="BV245" s="117">
        <v>0</v>
      </c>
      <c r="BW245" s="117">
        <v>0</v>
      </c>
      <c r="BX245" s="117">
        <v>0</v>
      </c>
      <c r="BY245" s="117" t="s">
        <v>1790</v>
      </c>
      <c r="BZ245" s="158" t="s">
        <v>999</v>
      </c>
      <c r="CA245" s="117">
        <v>10</v>
      </c>
      <c r="CB245" s="149">
        <v>46203</v>
      </c>
      <c r="CC245" s="117"/>
      <c r="CD245" s="117"/>
      <c r="CE245" s="148"/>
      <c r="CF245" s="148">
        <f>+L245-CA245</f>
        <v>0</v>
      </c>
    </row>
    <row r="246" spans="1:84" ht="17.25" hidden="1" customHeight="1">
      <c r="A246" s="162">
        <v>190</v>
      </c>
      <c r="B246" s="177" t="s">
        <v>1846</v>
      </c>
      <c r="C246" s="177" t="s">
        <v>2200</v>
      </c>
      <c r="D246" s="177" t="s">
        <v>1994</v>
      </c>
      <c r="E246" s="177"/>
      <c r="F246" s="177"/>
      <c r="G246" s="177" t="s">
        <v>1995</v>
      </c>
      <c r="H246" s="178"/>
      <c r="I246" s="179" t="s">
        <v>147</v>
      </c>
      <c r="J246" s="160"/>
      <c r="K246" s="180">
        <f t="shared" ref="K246:K247" si="437">+AG246+AL246+AQ246+AV246</f>
        <v>20</v>
      </c>
      <c r="L246" s="160"/>
      <c r="M246" s="181">
        <v>0.3</v>
      </c>
      <c r="N246" s="181">
        <v>6.6</v>
      </c>
      <c r="O246" s="181" t="s">
        <v>137</v>
      </c>
      <c r="P246" s="181"/>
      <c r="Q246" s="181"/>
      <c r="R246" s="181"/>
      <c r="S246" s="181"/>
      <c r="T246" s="181"/>
      <c r="U246" s="181"/>
      <c r="V246" s="181"/>
      <c r="W246" s="181">
        <f>_xlfn.MINIFS(V:V,C:C,C246,AE:AE,"",AB:AB,"")</f>
        <v>0</v>
      </c>
      <c r="X246" s="181" t="e">
        <f>SUMIFS(T:T,C:C,C246,AE:AE,"")/SUMIFS(L:L,C:C,C246,AE:AE,"",AB:AB,"")</f>
        <v>#DIV/0!</v>
      </c>
      <c r="Y246" s="181"/>
      <c r="Z246" s="181"/>
      <c r="AA246" s="181"/>
      <c r="AB246" s="181"/>
      <c r="AC246" s="228" t="s">
        <v>196</v>
      </c>
      <c r="AD246" s="184" t="s">
        <v>2039</v>
      </c>
      <c r="AE246" s="162" t="s">
        <v>143</v>
      </c>
      <c r="AF246" s="181" t="s">
        <v>1783</v>
      </c>
      <c r="AG246" s="181">
        <v>20</v>
      </c>
      <c r="AH246" s="181"/>
      <c r="AI246" s="181">
        <v>20</v>
      </c>
      <c r="AJ246" s="181"/>
      <c r="AK246" s="181" t="s">
        <v>138</v>
      </c>
      <c r="AL246" s="181">
        <v>0</v>
      </c>
      <c r="AM246" s="181"/>
      <c r="AN246" s="181"/>
      <c r="AO246" s="181"/>
      <c r="AP246" s="181" t="s">
        <v>138</v>
      </c>
      <c r="AQ246" s="181">
        <v>0</v>
      </c>
      <c r="AR246" s="181"/>
      <c r="AS246" s="181"/>
      <c r="AT246" s="181"/>
      <c r="AU246" s="181" t="s">
        <v>138</v>
      </c>
      <c r="AV246" s="181">
        <v>0</v>
      </c>
      <c r="AW246" s="181"/>
      <c r="AX246" s="181"/>
      <c r="AY246" s="181"/>
      <c r="AZ246" s="181"/>
      <c r="BA246" s="182" t="s">
        <v>141</v>
      </c>
      <c r="BB246" s="182" t="s">
        <v>140</v>
      </c>
      <c r="BC246" s="182" t="s">
        <v>140</v>
      </c>
      <c r="BD246" s="182" t="s">
        <v>140</v>
      </c>
      <c r="BE246" s="162" t="s">
        <v>741</v>
      </c>
      <c r="BF246" s="181"/>
      <c r="BG246" s="161"/>
      <c r="BH246" s="161"/>
      <c r="BI246" s="163"/>
      <c r="BJ246" s="163"/>
      <c r="BK246" s="163"/>
      <c r="BL246" s="163"/>
      <c r="BM246" s="163"/>
      <c r="BN246" s="163"/>
      <c r="BO246" s="163"/>
      <c r="BP246" s="163"/>
      <c r="BQ246" s="163"/>
      <c r="BR246" s="161"/>
      <c r="BS246" s="161"/>
      <c r="BT246" s="161"/>
      <c r="BU246" s="161"/>
      <c r="BV246" s="161"/>
      <c r="BW246" s="161"/>
      <c r="BX246" s="161"/>
      <c r="BY246" s="161"/>
      <c r="BZ246" s="161"/>
      <c r="CA246" s="161"/>
      <c r="CB246" s="163"/>
      <c r="CC246" s="161"/>
      <c r="CD246" s="161"/>
      <c r="CE246" s="185"/>
      <c r="CF246" s="185"/>
    </row>
    <row r="247" spans="1:84" ht="17.25" hidden="1" customHeight="1">
      <c r="A247" s="162">
        <v>191</v>
      </c>
      <c r="B247" s="177" t="s">
        <v>1846</v>
      </c>
      <c r="C247" s="177" t="s">
        <v>2201</v>
      </c>
      <c r="D247" s="177" t="s">
        <v>2000</v>
      </c>
      <c r="E247" s="177"/>
      <c r="F247" s="177"/>
      <c r="G247" s="177" t="s">
        <v>2001</v>
      </c>
      <c r="H247" s="178"/>
      <c r="I247" s="179"/>
      <c r="J247" s="160"/>
      <c r="K247" s="180">
        <f t="shared" si="437"/>
        <v>1</v>
      </c>
      <c r="L247" s="160"/>
      <c r="M247" s="181">
        <v>6</v>
      </c>
      <c r="N247" s="181">
        <v>6</v>
      </c>
      <c r="O247" s="181" t="s">
        <v>137</v>
      </c>
      <c r="P247" s="181"/>
      <c r="Q247" s="181"/>
      <c r="R247" s="181"/>
      <c r="S247" s="181"/>
      <c r="T247" s="181"/>
      <c r="U247" s="181"/>
      <c r="V247" s="181"/>
      <c r="W247" s="181">
        <f ca="1">_xlfn.MINIFS(V:V,C:C,C247,AE:AE,"",AB:AB,"")</f>
        <v>0</v>
      </c>
      <c r="X247" s="181">
        <f ca="1">SUMIFS(T:T,C:C,C247,AE:AE,"")/SUMIFS(L:L,C:C,C247,AE:AE,"",AB:AB,"")</f>
        <v>0.16666666666666666</v>
      </c>
      <c r="Y247" s="181"/>
      <c r="Z247" s="181"/>
      <c r="AA247" s="181"/>
      <c r="AB247" s="181"/>
      <c r="AC247" s="228" t="s">
        <v>196</v>
      </c>
      <c r="AD247" s="184" t="s">
        <v>2039</v>
      </c>
      <c r="AE247" s="162" t="s">
        <v>143</v>
      </c>
      <c r="AF247" s="181" t="s">
        <v>1783</v>
      </c>
      <c r="AG247" s="181">
        <v>1</v>
      </c>
      <c r="AH247" s="181"/>
      <c r="AI247" s="181"/>
      <c r="AJ247" s="181"/>
      <c r="AK247" s="181" t="s">
        <v>138</v>
      </c>
      <c r="AL247" s="181">
        <v>0</v>
      </c>
      <c r="AM247" s="181"/>
      <c r="AN247" s="181"/>
      <c r="AO247" s="181"/>
      <c r="AP247" s="181" t="s">
        <v>138</v>
      </c>
      <c r="AQ247" s="181">
        <v>0</v>
      </c>
      <c r="AR247" s="181"/>
      <c r="AS247" s="181"/>
      <c r="AT247" s="181"/>
      <c r="AU247" s="181" t="s">
        <v>138</v>
      </c>
      <c r="AV247" s="181">
        <v>0</v>
      </c>
      <c r="AW247" s="181"/>
      <c r="AX247" s="181"/>
      <c r="AY247" s="181"/>
      <c r="AZ247" s="181"/>
      <c r="BA247" s="182" t="s">
        <v>141</v>
      </c>
      <c r="BB247" s="182" t="s">
        <v>140</v>
      </c>
      <c r="BC247" s="182" t="s">
        <v>140</v>
      </c>
      <c r="BD247" s="182" t="s">
        <v>140</v>
      </c>
      <c r="BE247" s="162" t="s">
        <v>741</v>
      </c>
      <c r="BF247" s="181"/>
      <c r="BG247" s="161"/>
      <c r="BH247" s="161"/>
      <c r="BI247" s="163"/>
      <c r="BJ247" s="163"/>
      <c r="BK247" s="163"/>
      <c r="BL247" s="163"/>
      <c r="BM247" s="163"/>
      <c r="BN247" s="163"/>
      <c r="BO247" s="163"/>
      <c r="BP247" s="163"/>
      <c r="BQ247" s="163"/>
      <c r="BR247" s="161"/>
      <c r="BS247" s="161"/>
      <c r="BT247" s="161"/>
      <c r="BU247" s="161"/>
      <c r="BV247" s="161"/>
      <c r="BW247" s="161"/>
      <c r="BX247" s="161"/>
      <c r="BY247" s="161"/>
      <c r="BZ247" s="161"/>
      <c r="CA247" s="161"/>
      <c r="CB247" s="163"/>
      <c r="CC247" s="161"/>
      <c r="CD247" s="161"/>
      <c r="CE247" s="185"/>
      <c r="CF247" s="185"/>
    </row>
    <row r="248" spans="1:84" ht="17.25" hidden="1" customHeight="1">
      <c r="A248" s="117"/>
      <c r="B248" s="209" t="s">
        <v>1846</v>
      </c>
      <c r="C248" s="209" t="s">
        <v>2201</v>
      </c>
      <c r="D248" s="209" t="s">
        <v>13</v>
      </c>
      <c r="E248" s="209" t="s">
        <v>1788</v>
      </c>
      <c r="F248" s="209" t="s">
        <v>1002</v>
      </c>
      <c r="G248" s="209" t="s">
        <v>1003</v>
      </c>
      <c r="H248" s="210">
        <v>400</v>
      </c>
      <c r="I248" s="211" t="s">
        <v>147</v>
      </c>
      <c r="J248" s="144">
        <v>1</v>
      </c>
      <c r="K248" s="145">
        <f t="shared" ref="K248:K249" si="438">K247</f>
        <v>1</v>
      </c>
      <c r="L248" s="202">
        <f t="shared" ref="L248:L249" si="439">+J248*K248</f>
        <v>1</v>
      </c>
      <c r="M248" s="212">
        <v>7.5</v>
      </c>
      <c r="N248" s="203">
        <f t="shared" ref="N248:N249" si="440">+M248*L248</f>
        <v>7.5</v>
      </c>
      <c r="O248" s="212" t="s">
        <v>137</v>
      </c>
      <c r="P248" s="212" t="s">
        <v>13</v>
      </c>
      <c r="Q248" s="212" t="s">
        <v>154</v>
      </c>
      <c r="R248" s="212"/>
      <c r="S248" s="212"/>
      <c r="T248" s="203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1</v>
      </c>
      <c r="U248" s="203">
        <f t="shared" ref="U248:U249" ca="1" si="441">+L248-T248</f>
        <v>0</v>
      </c>
      <c r="V248" s="203">
        <f t="shared" ref="V248:V249" ca="1" si="442">ROUNDDOWN(T248/J248,0)</f>
        <v>1</v>
      </c>
      <c r="W248" s="212"/>
      <c r="X248" s="212"/>
      <c r="Y248" s="212"/>
      <c r="Z248" s="212"/>
      <c r="AA248" s="212"/>
      <c r="AB248" s="212"/>
      <c r="AC248" s="232" t="s">
        <v>196</v>
      </c>
      <c r="AD248" s="226" t="s">
        <v>2039</v>
      </c>
      <c r="AE248" s="148"/>
      <c r="AF248" s="212" t="str">
        <f t="shared" ref="AF248:AG249" si="443">AF247</f>
        <v>AMC2-S1</v>
      </c>
      <c r="AG248" s="212">
        <f t="shared" si="443"/>
        <v>1</v>
      </c>
      <c r="AH248" s="203">
        <f t="shared" ref="AH248:AH249" si="444">+AG248*J248</f>
        <v>1</v>
      </c>
      <c r="AI248" s="203">
        <f t="shared" ref="AI248:AI249" ca="1" si="445">MIN(T248,AH248)</f>
        <v>1</v>
      </c>
      <c r="AJ248" s="203">
        <f t="shared" ref="AJ248:AJ249" ca="1" si="446">+AH248-AI248</f>
        <v>0</v>
      </c>
      <c r="AK248" s="212" t="str">
        <f t="shared" ref="AK248:AL249" si="447">AK247</f>
        <v>N/A</v>
      </c>
      <c r="AL248" s="212">
        <f t="shared" si="447"/>
        <v>0</v>
      </c>
      <c r="AM248" s="203">
        <f t="shared" ref="AM248:AM249" si="448">+AL248*J248</f>
        <v>0</v>
      </c>
      <c r="AN248" s="203">
        <f t="shared" ref="AN248:AN249" ca="1" si="449">MIN(T248-AI248,AL248)</f>
        <v>0</v>
      </c>
      <c r="AO248" s="203">
        <f t="shared" ref="AO248:AO249" ca="1" si="450">+AM248-AN248</f>
        <v>0</v>
      </c>
      <c r="AP248" s="212" t="str">
        <f t="shared" ref="AP248:AQ249" si="451">AP247</f>
        <v>N/A</v>
      </c>
      <c r="AQ248" s="212">
        <f t="shared" si="451"/>
        <v>0</v>
      </c>
      <c r="AR248" s="203">
        <f t="shared" ref="AR248:AR249" si="452">+AQ248*J248</f>
        <v>0</v>
      </c>
      <c r="AS248" s="203">
        <f t="shared" ref="AS248:AS249" ca="1" si="453">MIN(T248-AI248-AN248,AR248)</f>
        <v>0</v>
      </c>
      <c r="AT248" s="203">
        <f t="shared" ref="AT248:AT249" ca="1" si="454">+AR248-AS248</f>
        <v>0</v>
      </c>
      <c r="AU248" s="212" t="str">
        <f t="shared" ref="AU248:AV249" si="455">AU247</f>
        <v>N/A</v>
      </c>
      <c r="AV248" s="212">
        <f t="shared" si="455"/>
        <v>0</v>
      </c>
      <c r="AW248" s="203">
        <f t="shared" ref="AW248:AW249" si="456">+AV248*J248</f>
        <v>0</v>
      </c>
      <c r="AX248" s="203">
        <f t="shared" ref="AX248:AX249" ca="1" si="457">MIN(T248-AI248-AN248-AS248,AW248)</f>
        <v>0</v>
      </c>
      <c r="AY248" s="203">
        <f t="shared" ref="AY248:AY249" ca="1" si="458">+AW248-AX248</f>
        <v>0</v>
      </c>
      <c r="AZ248" s="212"/>
      <c r="BA248" s="213" t="s">
        <v>141</v>
      </c>
      <c r="BB248" s="213" t="s">
        <v>140</v>
      </c>
      <c r="BC248" s="213" t="s">
        <v>140</v>
      </c>
      <c r="BD248" s="213" t="s">
        <v>140</v>
      </c>
      <c r="BE248" s="148"/>
      <c r="BF248" s="212" t="s">
        <v>1789</v>
      </c>
      <c r="BG248" s="117"/>
      <c r="BH248" s="117"/>
      <c r="BI248" s="149"/>
      <c r="BJ248" s="149"/>
      <c r="BK248" s="149"/>
      <c r="BL248" s="149"/>
      <c r="BM248" s="149"/>
      <c r="BN248" s="149"/>
      <c r="BO248" s="149"/>
      <c r="BP248" s="149"/>
      <c r="BQ248" s="149"/>
      <c r="BR248" s="117">
        <v>1</v>
      </c>
      <c r="BS248" s="117">
        <v>0</v>
      </c>
      <c r="BT248" s="117">
        <v>0</v>
      </c>
      <c r="BU248" s="117">
        <v>0</v>
      </c>
      <c r="BV248" s="117">
        <v>1</v>
      </c>
      <c r="BW248" s="117">
        <v>0</v>
      </c>
      <c r="BX248" s="117">
        <v>0</v>
      </c>
      <c r="BY248" s="117" t="s">
        <v>1790</v>
      </c>
      <c r="BZ248" s="117"/>
      <c r="CA248" s="117"/>
      <c r="CB248" s="149"/>
      <c r="CC248" s="117"/>
      <c r="CD248" s="117"/>
      <c r="CE248" s="148"/>
      <c r="CF248" s="148">
        <f>+L248-CA248</f>
        <v>1</v>
      </c>
    </row>
    <row r="249" spans="1:84" ht="17.25" hidden="1" customHeight="1">
      <c r="A249" s="117"/>
      <c r="B249" s="209" t="s">
        <v>1846</v>
      </c>
      <c r="C249" s="209" t="s">
        <v>2201</v>
      </c>
      <c r="D249" s="209" t="s">
        <v>983</v>
      </c>
      <c r="E249" s="209" t="s">
        <v>1823</v>
      </c>
      <c r="F249" s="209" t="s">
        <v>1000</v>
      </c>
      <c r="G249" s="209" t="s">
        <v>1001</v>
      </c>
      <c r="H249" s="210"/>
      <c r="I249" s="211" t="s">
        <v>984</v>
      </c>
      <c r="J249" s="144">
        <v>1</v>
      </c>
      <c r="K249" s="145">
        <f t="shared" si="438"/>
        <v>1</v>
      </c>
      <c r="L249" s="202">
        <f t="shared" si="439"/>
        <v>1</v>
      </c>
      <c r="M249" s="212">
        <v>0.1</v>
      </c>
      <c r="N249" s="203">
        <f t="shared" si="440"/>
        <v>0.1</v>
      </c>
      <c r="O249" s="212" t="s">
        <v>137</v>
      </c>
      <c r="P249" s="212" t="s">
        <v>14</v>
      </c>
      <c r="Q249" s="212" t="s">
        <v>976</v>
      </c>
      <c r="R249" s="212"/>
      <c r="S249" s="212"/>
      <c r="T249" s="203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0</v>
      </c>
      <c r="U249" s="203">
        <f t="shared" ca="1" si="441"/>
        <v>1</v>
      </c>
      <c r="V249" s="203">
        <f t="shared" ca="1" si="442"/>
        <v>0</v>
      </c>
      <c r="W249" s="212"/>
      <c r="X249" s="212"/>
      <c r="Y249" s="212"/>
      <c r="Z249" s="212"/>
      <c r="AA249" s="212"/>
      <c r="AB249" s="212"/>
      <c r="AC249" s="232" t="s">
        <v>196</v>
      </c>
      <c r="AD249" s="226" t="s">
        <v>2039</v>
      </c>
      <c r="AE249" s="148"/>
      <c r="AF249" s="212" t="str">
        <f t="shared" si="443"/>
        <v>AMC2-S1</v>
      </c>
      <c r="AG249" s="212">
        <f t="shared" si="443"/>
        <v>1</v>
      </c>
      <c r="AH249" s="203">
        <f t="shared" si="444"/>
        <v>1</v>
      </c>
      <c r="AI249" s="203">
        <f t="shared" ca="1" si="445"/>
        <v>0</v>
      </c>
      <c r="AJ249" s="203">
        <f t="shared" ca="1" si="446"/>
        <v>1</v>
      </c>
      <c r="AK249" s="212" t="str">
        <f t="shared" si="447"/>
        <v>N/A</v>
      </c>
      <c r="AL249" s="212">
        <f t="shared" si="447"/>
        <v>0</v>
      </c>
      <c r="AM249" s="203">
        <f t="shared" si="448"/>
        <v>0</v>
      </c>
      <c r="AN249" s="203">
        <f t="shared" ca="1" si="449"/>
        <v>0</v>
      </c>
      <c r="AO249" s="203">
        <f t="shared" ca="1" si="450"/>
        <v>0</v>
      </c>
      <c r="AP249" s="212" t="str">
        <f t="shared" si="451"/>
        <v>N/A</v>
      </c>
      <c r="AQ249" s="212">
        <f t="shared" si="451"/>
        <v>0</v>
      </c>
      <c r="AR249" s="203">
        <f t="shared" si="452"/>
        <v>0</v>
      </c>
      <c r="AS249" s="203">
        <f t="shared" ca="1" si="453"/>
        <v>0</v>
      </c>
      <c r="AT249" s="203">
        <f t="shared" ca="1" si="454"/>
        <v>0</v>
      </c>
      <c r="AU249" s="212" t="str">
        <f t="shared" si="455"/>
        <v>N/A</v>
      </c>
      <c r="AV249" s="212">
        <f t="shared" si="455"/>
        <v>0</v>
      </c>
      <c r="AW249" s="203">
        <f t="shared" si="456"/>
        <v>0</v>
      </c>
      <c r="AX249" s="203">
        <f t="shared" ca="1" si="457"/>
        <v>0</v>
      </c>
      <c r="AY249" s="203">
        <f t="shared" ca="1" si="458"/>
        <v>0</v>
      </c>
      <c r="AZ249" s="212"/>
      <c r="BA249" s="213" t="s">
        <v>141</v>
      </c>
      <c r="BB249" s="213" t="s">
        <v>140</v>
      </c>
      <c r="BC249" s="213" t="s">
        <v>140</v>
      </c>
      <c r="BD249" s="213" t="s">
        <v>140</v>
      </c>
      <c r="BE249" s="148"/>
      <c r="BF249" s="212"/>
      <c r="BG249" s="117"/>
      <c r="BH249" s="117"/>
      <c r="BI249" s="149"/>
      <c r="BJ249" s="149"/>
      <c r="BK249" s="149"/>
      <c r="BL249" s="149"/>
      <c r="BM249" s="149"/>
      <c r="BN249" s="149"/>
      <c r="BO249" s="149"/>
      <c r="BP249" s="149"/>
      <c r="BQ249" s="149"/>
      <c r="BR249" s="117" t="s">
        <v>140</v>
      </c>
      <c r="BS249" s="117" t="s">
        <v>140</v>
      </c>
      <c r="BT249" s="117" t="s">
        <v>140</v>
      </c>
      <c r="BU249" s="117" t="s">
        <v>140</v>
      </c>
      <c r="BV249" s="117" t="s">
        <v>140</v>
      </c>
      <c r="BW249" s="117" t="s">
        <v>140</v>
      </c>
      <c r="BX249" s="117" t="s">
        <v>140</v>
      </c>
      <c r="BY249" s="117" t="s">
        <v>14</v>
      </c>
      <c r="BZ249" s="117"/>
      <c r="CA249" s="117"/>
      <c r="CB249" s="149"/>
      <c r="CC249" s="117"/>
      <c r="CD249" s="117"/>
      <c r="CE249" s="148"/>
      <c r="CF249" s="148"/>
    </row>
    <row r="250" spans="1:84" ht="17.25" hidden="1" customHeight="1">
      <c r="A250" s="162">
        <v>192</v>
      </c>
      <c r="B250" s="177" t="s">
        <v>1846</v>
      </c>
      <c r="C250" s="177" t="s">
        <v>2202</v>
      </c>
      <c r="D250" s="177" t="s">
        <v>2002</v>
      </c>
      <c r="E250" s="177"/>
      <c r="F250" s="177"/>
      <c r="G250" s="177" t="s">
        <v>2003</v>
      </c>
      <c r="H250" s="178"/>
      <c r="I250" s="179" t="s">
        <v>147</v>
      </c>
      <c r="J250" s="160"/>
      <c r="K250" s="180">
        <f>+AG250+AL250+AQ250+AV250</f>
        <v>4</v>
      </c>
      <c r="L250" s="160"/>
      <c r="M250" s="181">
        <v>2.5000000000000001E-2</v>
      </c>
      <c r="N250" s="181">
        <v>0.1</v>
      </c>
      <c r="O250" s="181" t="s">
        <v>137</v>
      </c>
      <c r="P250" s="181"/>
      <c r="Q250" s="181"/>
      <c r="R250" s="181"/>
      <c r="S250" s="181"/>
      <c r="T250" s="181"/>
      <c r="U250" s="181"/>
      <c r="V250" s="181"/>
      <c r="W250" s="181">
        <f ca="1">_xlfn.MINIFS(V:V,C:C,C250,AE:AE,"",AB:AB,"")</f>
        <v>2</v>
      </c>
      <c r="X250" s="181">
        <f ca="1">SUMIFS(T:T,C:C,C250,AE:AE,"")/SUMIFS(L:L,C:C,C250,AE:AE,"",AB:AB,"")</f>
        <v>0.5</v>
      </c>
      <c r="Y250" s="181"/>
      <c r="Z250" s="181"/>
      <c r="AA250" s="181"/>
      <c r="AB250" s="181"/>
      <c r="AC250" s="228" t="s">
        <v>196</v>
      </c>
      <c r="AD250" s="184" t="s">
        <v>2039</v>
      </c>
      <c r="AE250" s="162" t="s">
        <v>143</v>
      </c>
      <c r="AF250" s="181" t="s">
        <v>1783</v>
      </c>
      <c r="AG250" s="181">
        <v>4</v>
      </c>
      <c r="AH250" s="181"/>
      <c r="AI250" s="181"/>
      <c r="AJ250" s="181"/>
      <c r="AK250" s="181" t="s">
        <v>138</v>
      </c>
      <c r="AL250" s="181">
        <v>0</v>
      </c>
      <c r="AM250" s="181"/>
      <c r="AN250" s="181"/>
      <c r="AO250" s="181"/>
      <c r="AP250" s="181" t="s">
        <v>138</v>
      </c>
      <c r="AQ250" s="181">
        <v>0</v>
      </c>
      <c r="AR250" s="181"/>
      <c r="AS250" s="181"/>
      <c r="AT250" s="181"/>
      <c r="AU250" s="181" t="s">
        <v>138</v>
      </c>
      <c r="AV250" s="181">
        <v>0</v>
      </c>
      <c r="AW250" s="181"/>
      <c r="AX250" s="181"/>
      <c r="AY250" s="181"/>
      <c r="AZ250" s="179"/>
      <c r="BA250" s="182" t="s">
        <v>141</v>
      </c>
      <c r="BB250" s="182" t="s">
        <v>140</v>
      </c>
      <c r="BC250" s="182" t="s">
        <v>140</v>
      </c>
      <c r="BD250" s="182" t="s">
        <v>140</v>
      </c>
      <c r="BE250" s="162" t="s">
        <v>741</v>
      </c>
      <c r="BF250" s="181"/>
      <c r="BG250" s="161"/>
      <c r="BH250" s="161"/>
      <c r="BI250" s="163"/>
      <c r="BJ250" s="163"/>
      <c r="BK250" s="163"/>
      <c r="BL250" s="163"/>
      <c r="BM250" s="163"/>
      <c r="BN250" s="163"/>
      <c r="BO250" s="163"/>
      <c r="BP250" s="163"/>
      <c r="BQ250" s="163"/>
      <c r="BR250" s="161"/>
      <c r="BS250" s="161"/>
      <c r="BT250" s="161"/>
      <c r="BU250" s="161"/>
      <c r="BV250" s="161"/>
      <c r="BW250" s="161"/>
      <c r="BX250" s="161"/>
      <c r="BY250" s="161"/>
      <c r="BZ250" s="161"/>
      <c r="CA250" s="161"/>
      <c r="CB250" s="163"/>
      <c r="CC250" s="161"/>
      <c r="CD250" s="161"/>
      <c r="CE250" s="185"/>
      <c r="CF250" s="185"/>
    </row>
    <row r="251" spans="1:84" ht="17.25" hidden="1" customHeight="1">
      <c r="A251" s="141"/>
      <c r="B251" s="199" t="s">
        <v>1846</v>
      </c>
      <c r="C251" s="199" t="s">
        <v>2202</v>
      </c>
      <c r="D251" s="199" t="s">
        <v>1007</v>
      </c>
      <c r="E251" s="199" t="s">
        <v>1868</v>
      </c>
      <c r="F251" s="199" t="s">
        <v>1006</v>
      </c>
      <c r="G251" s="199" t="s">
        <v>1003</v>
      </c>
      <c r="H251" s="200">
        <v>25</v>
      </c>
      <c r="I251" s="201" t="s">
        <v>147</v>
      </c>
      <c r="J251" s="165">
        <v>1</v>
      </c>
      <c r="K251" s="202">
        <f>K250</f>
        <v>4</v>
      </c>
      <c r="L251" s="202">
        <f>+J251*K251</f>
        <v>4</v>
      </c>
      <c r="M251" s="203">
        <v>2.5000000000000001E-2</v>
      </c>
      <c r="N251" s="203">
        <f>+M251*L251</f>
        <v>0.1</v>
      </c>
      <c r="O251" s="203" t="s">
        <v>137</v>
      </c>
      <c r="P251" s="203" t="s">
        <v>13</v>
      </c>
      <c r="Q251" s="203" t="s">
        <v>154</v>
      </c>
      <c r="R251" s="203"/>
      <c r="S251" s="203"/>
      <c r="T251" s="203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4</v>
      </c>
      <c r="U251" s="203">
        <f t="shared" ref="U251" ca="1" si="459">+L251-T251</f>
        <v>0</v>
      </c>
      <c r="V251" s="203">
        <f t="shared" ref="V251" ca="1" si="460">ROUNDDOWN(T251/J251,0)</f>
        <v>4</v>
      </c>
      <c r="W251" s="203"/>
      <c r="X251" s="203"/>
      <c r="Y251" s="203"/>
      <c r="Z251" s="203"/>
      <c r="AA251" s="203"/>
      <c r="AB251" s="203"/>
      <c r="AC251" s="231" t="s">
        <v>196</v>
      </c>
      <c r="AD251" s="225" t="s">
        <v>2039</v>
      </c>
      <c r="AE251" s="166"/>
      <c r="AF251" s="203" t="str">
        <f t="shared" ref="AF251:AG251" si="461">AF250</f>
        <v>AMC2-S1</v>
      </c>
      <c r="AG251" s="203">
        <f t="shared" si="461"/>
        <v>4</v>
      </c>
      <c r="AH251" s="203">
        <f>+AG251*J251</f>
        <v>4</v>
      </c>
      <c r="AI251" s="203">
        <f ca="1">MIN(T251,AH251)</f>
        <v>4</v>
      </c>
      <c r="AJ251" s="203">
        <f ca="1">+AH251-AI251</f>
        <v>0</v>
      </c>
      <c r="AK251" s="203" t="str">
        <f t="shared" ref="AK251:AL251" si="462">AK250</f>
        <v>N/A</v>
      </c>
      <c r="AL251" s="203">
        <f t="shared" si="462"/>
        <v>0</v>
      </c>
      <c r="AM251" s="203">
        <f>+AL251*J251</f>
        <v>0</v>
      </c>
      <c r="AN251" s="203">
        <f ca="1">MIN(T251-AI251,AL251)</f>
        <v>0</v>
      </c>
      <c r="AO251" s="203">
        <f ca="1">+AM251-AN251</f>
        <v>0</v>
      </c>
      <c r="AP251" s="203" t="str">
        <f t="shared" ref="AP251:AQ251" si="463">AP250</f>
        <v>N/A</v>
      </c>
      <c r="AQ251" s="203">
        <f t="shared" si="463"/>
        <v>0</v>
      </c>
      <c r="AR251" s="203">
        <f>+AQ251*J251</f>
        <v>0</v>
      </c>
      <c r="AS251" s="203">
        <f ca="1">MIN(T251-AI251-AN251,AR251)</f>
        <v>0</v>
      </c>
      <c r="AT251" s="203">
        <f ca="1">+AR251-AS251</f>
        <v>0</v>
      </c>
      <c r="AU251" s="203" t="str">
        <f t="shared" ref="AU251:AV251" si="464">AU250</f>
        <v>N/A</v>
      </c>
      <c r="AV251" s="203">
        <f t="shared" si="464"/>
        <v>0</v>
      </c>
      <c r="AW251" s="203">
        <f>+AV251*J251</f>
        <v>0</v>
      </c>
      <c r="AX251" s="203">
        <f ca="1">MIN(T251-AI251-AN251-AS251,AW251)</f>
        <v>0</v>
      </c>
      <c r="AY251" s="203">
        <f ca="1">+AW251-AX251</f>
        <v>0</v>
      </c>
      <c r="AZ251" s="203"/>
      <c r="BA251" s="204" t="s">
        <v>141</v>
      </c>
      <c r="BB251" s="204" t="s">
        <v>140</v>
      </c>
      <c r="BC251" s="204" t="s">
        <v>140</v>
      </c>
      <c r="BD251" s="204" t="s">
        <v>140</v>
      </c>
      <c r="BE251" s="166"/>
      <c r="BF251" s="203" t="s">
        <v>1789</v>
      </c>
      <c r="BG251" s="141"/>
      <c r="BH251" s="141"/>
      <c r="BI251" s="153"/>
      <c r="BJ251" s="153"/>
      <c r="BK251" s="153"/>
      <c r="BL251" s="153" t="s">
        <v>1932</v>
      </c>
      <c r="BM251" s="153"/>
      <c r="BN251" s="153"/>
      <c r="BO251" s="153"/>
      <c r="BP251" s="153"/>
      <c r="BQ251" s="153"/>
      <c r="BR251" s="141">
        <v>0</v>
      </c>
      <c r="BS251" s="141">
        <v>1</v>
      </c>
      <c r="BT251" s="141">
        <v>0</v>
      </c>
      <c r="BU251" s="141">
        <v>0</v>
      </c>
      <c r="BV251" s="141">
        <v>0</v>
      </c>
      <c r="BW251" s="141">
        <v>0</v>
      </c>
      <c r="BX251" s="141">
        <v>0</v>
      </c>
      <c r="BY251" s="141" t="s">
        <v>1790</v>
      </c>
      <c r="BZ251" s="141" t="s">
        <v>967</v>
      </c>
      <c r="CA251" s="141">
        <v>4</v>
      </c>
      <c r="CB251" s="153">
        <v>46186</v>
      </c>
      <c r="CC251" s="141"/>
      <c r="CD251" s="141"/>
      <c r="CE251" s="166"/>
      <c r="CF251" s="166">
        <f>+L251-CA251</f>
        <v>0</v>
      </c>
    </row>
    <row r="252" spans="1:84" ht="17.25" hidden="1" customHeight="1">
      <c r="A252" s="162">
        <v>193</v>
      </c>
      <c r="B252" s="177" t="s">
        <v>1863</v>
      </c>
      <c r="C252" s="177" t="s">
        <v>2137</v>
      </c>
      <c r="D252" s="177" t="s">
        <v>1864</v>
      </c>
      <c r="E252" s="177"/>
      <c r="F252" s="177"/>
      <c r="G252" s="177" t="s">
        <v>1865</v>
      </c>
      <c r="H252" s="178"/>
      <c r="I252" s="179"/>
      <c r="J252" s="160"/>
      <c r="K252" s="180">
        <f>+AG252+AL252+AQ252+AV252</f>
        <v>1</v>
      </c>
      <c r="L252" s="160"/>
      <c r="M252" s="181">
        <v>121.5</v>
      </c>
      <c r="N252" s="181">
        <v>121.5</v>
      </c>
      <c r="O252" s="181" t="s">
        <v>137</v>
      </c>
      <c r="P252" s="181"/>
      <c r="Q252" s="181"/>
      <c r="R252" s="181"/>
      <c r="S252" s="181"/>
      <c r="T252" s="181"/>
      <c r="U252" s="181"/>
      <c r="V252" s="181"/>
      <c r="W252" s="181">
        <f ca="1">_xlfn.MINIFS(V:V,C:C,C252,AE:AE,"",AB:AB,"")</f>
        <v>0</v>
      </c>
      <c r="X252" s="181">
        <f ca="1">SUMIFS(T:T,C:C,C252,AE:AE,"")/SUMIFS(L:L,C:C,C252,AE:AE,"",AB:AB,"")</f>
        <v>0.25</v>
      </c>
      <c r="Y252" s="181"/>
      <c r="Z252" s="181"/>
      <c r="AA252" s="181"/>
      <c r="AB252" s="181"/>
      <c r="AC252" s="228" t="s">
        <v>196</v>
      </c>
      <c r="AD252" s="184" t="s">
        <v>2039</v>
      </c>
      <c r="AE252" s="162" t="s">
        <v>143</v>
      </c>
      <c r="AF252" s="181" t="s">
        <v>1783</v>
      </c>
      <c r="AG252" s="181">
        <v>1</v>
      </c>
      <c r="AH252" s="181"/>
      <c r="AI252" s="181"/>
      <c r="AJ252" s="181"/>
      <c r="AK252" s="181" t="s">
        <v>138</v>
      </c>
      <c r="AL252" s="181">
        <v>0</v>
      </c>
      <c r="AM252" s="181"/>
      <c r="AN252" s="181"/>
      <c r="AO252" s="181"/>
      <c r="AP252" s="181" t="s">
        <v>138</v>
      </c>
      <c r="AQ252" s="181">
        <v>0</v>
      </c>
      <c r="AR252" s="181"/>
      <c r="AS252" s="181"/>
      <c r="AT252" s="181"/>
      <c r="AU252" s="181" t="s">
        <v>138</v>
      </c>
      <c r="AV252" s="181">
        <v>0</v>
      </c>
      <c r="AW252" s="181"/>
      <c r="AX252" s="181"/>
      <c r="AY252" s="181"/>
      <c r="AZ252" s="181"/>
      <c r="BA252" s="182" t="s">
        <v>141</v>
      </c>
      <c r="BB252" s="182" t="s">
        <v>140</v>
      </c>
      <c r="BC252" s="182" t="s">
        <v>140</v>
      </c>
      <c r="BD252" s="182" t="s">
        <v>140</v>
      </c>
      <c r="BE252" s="162" t="s">
        <v>741</v>
      </c>
      <c r="BF252" s="181"/>
      <c r="BG252" s="161"/>
      <c r="BH252" s="161"/>
      <c r="BI252" s="163"/>
      <c r="BJ252" s="163"/>
      <c r="BK252" s="163"/>
      <c r="BL252" s="163"/>
      <c r="BM252" s="163"/>
      <c r="BN252" s="163"/>
      <c r="BO252" s="163"/>
      <c r="BP252" s="163"/>
      <c r="BQ252" s="163"/>
      <c r="BR252" s="161"/>
      <c r="BS252" s="161"/>
      <c r="BT252" s="161"/>
      <c r="BU252" s="161"/>
      <c r="BV252" s="161"/>
      <c r="BW252" s="161"/>
      <c r="BX252" s="161"/>
      <c r="BY252" s="161"/>
      <c r="BZ252" s="161"/>
      <c r="CA252" s="161"/>
      <c r="CB252" s="163"/>
      <c r="CC252" s="161"/>
      <c r="CD252" s="161"/>
      <c r="CE252" s="185"/>
      <c r="CF252" s="185"/>
    </row>
    <row r="253" spans="1:84" ht="17.25" hidden="1" customHeight="1">
      <c r="A253" s="117"/>
      <c r="B253" s="209" t="s">
        <v>1863</v>
      </c>
      <c r="C253" s="209" t="s">
        <v>2137</v>
      </c>
      <c r="D253" s="209" t="s">
        <v>1016</v>
      </c>
      <c r="E253" s="209" t="s">
        <v>1823</v>
      </c>
      <c r="F253" s="209" t="s">
        <v>1014</v>
      </c>
      <c r="G253" s="209" t="s">
        <v>1015</v>
      </c>
      <c r="H253" s="210"/>
      <c r="I253" s="211" t="s">
        <v>1017</v>
      </c>
      <c r="J253" s="144">
        <v>1</v>
      </c>
      <c r="K253" s="145">
        <f t="shared" ref="K253:K255" si="465">K252</f>
        <v>1</v>
      </c>
      <c r="L253" s="202">
        <f t="shared" ref="L253:L255" si="466">+J253*K253</f>
        <v>1</v>
      </c>
      <c r="M253" s="212">
        <v>100</v>
      </c>
      <c r="N253" s="203">
        <f t="shared" ref="N253:N255" si="467">+M253*L253</f>
        <v>100</v>
      </c>
      <c r="O253" s="212" t="s">
        <v>137</v>
      </c>
      <c r="P253" s="212" t="s">
        <v>14</v>
      </c>
      <c r="Q253" s="212" t="s">
        <v>976</v>
      </c>
      <c r="R253" s="212"/>
      <c r="S253" s="212"/>
      <c r="T253" s="203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0</v>
      </c>
      <c r="U253" s="203">
        <f t="shared" ref="U253:U255" ca="1" si="468">+L253-T253</f>
        <v>1</v>
      </c>
      <c r="V253" s="203">
        <f t="shared" ref="V253:V255" ca="1" si="469">ROUNDDOWN(T253/J253,0)</f>
        <v>0</v>
      </c>
      <c r="W253" s="212"/>
      <c r="X253" s="212"/>
      <c r="Y253" s="212"/>
      <c r="Z253" s="212"/>
      <c r="AA253" s="212"/>
      <c r="AB253" s="212"/>
      <c r="AC253" s="214" t="s">
        <v>196</v>
      </c>
      <c r="AD253" s="226" t="s">
        <v>2039</v>
      </c>
      <c r="AE253" s="148"/>
      <c r="AF253" s="212" t="str">
        <f t="shared" ref="AF253:AG255" si="470">AF252</f>
        <v>AMC2-S1</v>
      </c>
      <c r="AG253" s="212">
        <f t="shared" si="470"/>
        <v>1</v>
      </c>
      <c r="AH253" s="203">
        <f t="shared" ref="AH253:AH255" si="471">+AG253*J253</f>
        <v>1</v>
      </c>
      <c r="AI253" s="203">
        <f t="shared" ref="AI253:AI255" ca="1" si="472">MIN(T253,AH253)</f>
        <v>0</v>
      </c>
      <c r="AJ253" s="203">
        <f t="shared" ref="AJ253:AJ255" ca="1" si="473">+AH253-AI253</f>
        <v>1</v>
      </c>
      <c r="AK253" s="212" t="str">
        <f t="shared" ref="AK253:AL255" si="474">AK252</f>
        <v>N/A</v>
      </c>
      <c r="AL253" s="212">
        <f t="shared" si="474"/>
        <v>0</v>
      </c>
      <c r="AM253" s="203">
        <f t="shared" ref="AM253:AM255" si="475">+AL253*J253</f>
        <v>0</v>
      </c>
      <c r="AN253" s="203">
        <f t="shared" ref="AN253:AN255" ca="1" si="476">MIN(T253-AI253,AL253)</f>
        <v>0</v>
      </c>
      <c r="AO253" s="203">
        <f t="shared" ref="AO253:AO255" ca="1" si="477">+AM253-AN253</f>
        <v>0</v>
      </c>
      <c r="AP253" s="212" t="str">
        <f t="shared" ref="AP253:AQ255" si="478">AP252</f>
        <v>N/A</v>
      </c>
      <c r="AQ253" s="212">
        <f t="shared" si="478"/>
        <v>0</v>
      </c>
      <c r="AR253" s="203">
        <f t="shared" ref="AR253:AR255" si="479">+AQ253*J253</f>
        <v>0</v>
      </c>
      <c r="AS253" s="203">
        <f t="shared" ref="AS253:AS255" ca="1" si="480">MIN(T253-AI253-AN253,AR253)</f>
        <v>0</v>
      </c>
      <c r="AT253" s="203">
        <f t="shared" ref="AT253:AT255" ca="1" si="481">+AR253-AS253</f>
        <v>0</v>
      </c>
      <c r="AU253" s="212" t="str">
        <f t="shared" ref="AU253:AV255" si="482">AU252</f>
        <v>N/A</v>
      </c>
      <c r="AV253" s="212">
        <f t="shared" si="482"/>
        <v>0</v>
      </c>
      <c r="AW253" s="203">
        <f t="shared" ref="AW253:AW255" si="483">+AV253*J253</f>
        <v>0</v>
      </c>
      <c r="AX253" s="203">
        <f t="shared" ref="AX253:AX255" ca="1" si="484">MIN(T253-AI253-AN253-AS253,AW253)</f>
        <v>0</v>
      </c>
      <c r="AY253" s="203">
        <f t="shared" ref="AY253:AY255" ca="1" si="485">+AW253-AX253</f>
        <v>0</v>
      </c>
      <c r="AZ253" s="212"/>
      <c r="BA253" s="213" t="s">
        <v>141</v>
      </c>
      <c r="BB253" s="213" t="s">
        <v>140</v>
      </c>
      <c r="BC253" s="213" t="s">
        <v>140</v>
      </c>
      <c r="BD253" s="213" t="s">
        <v>140</v>
      </c>
      <c r="BE253" s="148"/>
      <c r="BF253" s="212"/>
      <c r="BG253" s="117"/>
      <c r="BH253" s="117"/>
      <c r="BI253" s="149"/>
      <c r="BJ253" s="149"/>
      <c r="BK253" s="149"/>
      <c r="BL253" s="149"/>
      <c r="BM253" s="149"/>
      <c r="BN253" s="149"/>
      <c r="BO253" s="149"/>
      <c r="BP253" s="149"/>
      <c r="BQ253" s="149"/>
      <c r="BR253" s="117" t="s">
        <v>140</v>
      </c>
      <c r="BS253" s="117" t="s">
        <v>140</v>
      </c>
      <c r="BT253" s="117" t="s">
        <v>140</v>
      </c>
      <c r="BU253" s="117" t="s">
        <v>140</v>
      </c>
      <c r="BV253" s="117" t="s">
        <v>140</v>
      </c>
      <c r="BW253" s="117" t="s">
        <v>140</v>
      </c>
      <c r="BX253" s="117" t="s">
        <v>140</v>
      </c>
      <c r="BY253" s="117" t="s">
        <v>14</v>
      </c>
      <c r="BZ253" s="117"/>
      <c r="CA253" s="117"/>
      <c r="CB253" s="149"/>
      <c r="CC253" s="117"/>
      <c r="CD253" s="117"/>
      <c r="CE253" s="148"/>
      <c r="CF253" s="148"/>
    </row>
    <row r="254" spans="1:84" ht="17.25" hidden="1" customHeight="1">
      <c r="A254" s="141"/>
      <c r="B254" s="199" t="s">
        <v>1863</v>
      </c>
      <c r="C254" s="199" t="s">
        <v>2137</v>
      </c>
      <c r="D254" s="199" t="s">
        <v>1010</v>
      </c>
      <c r="E254" s="199" t="s">
        <v>1802</v>
      </c>
      <c r="F254" s="199" t="s">
        <v>1008</v>
      </c>
      <c r="G254" s="199" t="s">
        <v>1009</v>
      </c>
      <c r="H254" s="200">
        <v>1891</v>
      </c>
      <c r="I254" s="201" t="s">
        <v>147</v>
      </c>
      <c r="J254" s="165">
        <v>1</v>
      </c>
      <c r="K254" s="202">
        <f t="shared" si="465"/>
        <v>1</v>
      </c>
      <c r="L254" s="202">
        <f t="shared" si="466"/>
        <v>1</v>
      </c>
      <c r="M254" s="203">
        <v>29.7</v>
      </c>
      <c r="N254" s="203">
        <f t="shared" si="467"/>
        <v>29.7</v>
      </c>
      <c r="O254" s="203" t="s">
        <v>137</v>
      </c>
      <c r="P254" s="203" t="s">
        <v>13</v>
      </c>
      <c r="Q254" s="203" t="s">
        <v>154</v>
      </c>
      <c r="R254" s="203"/>
      <c r="S254" s="203"/>
      <c r="T254" s="203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1</v>
      </c>
      <c r="U254" s="203">
        <f t="shared" ca="1" si="468"/>
        <v>0</v>
      </c>
      <c r="V254" s="203">
        <f t="shared" ca="1" si="469"/>
        <v>1</v>
      </c>
      <c r="W254" s="203"/>
      <c r="X254" s="203"/>
      <c r="Y254" s="203"/>
      <c r="Z254" s="203"/>
      <c r="AA254" s="203"/>
      <c r="AB254" s="203"/>
      <c r="AC254" s="205" t="s">
        <v>196</v>
      </c>
      <c r="AD254" s="225" t="s">
        <v>2039</v>
      </c>
      <c r="AE254" s="166"/>
      <c r="AF254" s="203" t="str">
        <f t="shared" si="470"/>
        <v>AMC2-S1</v>
      </c>
      <c r="AG254" s="203">
        <f t="shared" si="470"/>
        <v>1</v>
      </c>
      <c r="AH254" s="203">
        <f t="shared" si="471"/>
        <v>1</v>
      </c>
      <c r="AI254" s="203">
        <f t="shared" ca="1" si="472"/>
        <v>1</v>
      </c>
      <c r="AJ254" s="203">
        <f t="shared" ca="1" si="473"/>
        <v>0</v>
      </c>
      <c r="AK254" s="203" t="str">
        <f t="shared" si="474"/>
        <v>N/A</v>
      </c>
      <c r="AL254" s="203">
        <f t="shared" si="474"/>
        <v>0</v>
      </c>
      <c r="AM254" s="203">
        <f t="shared" si="475"/>
        <v>0</v>
      </c>
      <c r="AN254" s="203">
        <f t="shared" ca="1" si="476"/>
        <v>0</v>
      </c>
      <c r="AO254" s="203">
        <f t="shared" ca="1" si="477"/>
        <v>0</v>
      </c>
      <c r="AP254" s="203" t="str">
        <f t="shared" si="478"/>
        <v>N/A</v>
      </c>
      <c r="AQ254" s="203">
        <f t="shared" si="478"/>
        <v>0</v>
      </c>
      <c r="AR254" s="203">
        <f t="shared" si="479"/>
        <v>0</v>
      </c>
      <c r="AS254" s="203">
        <f t="shared" ca="1" si="480"/>
        <v>0</v>
      </c>
      <c r="AT254" s="203">
        <f t="shared" ca="1" si="481"/>
        <v>0</v>
      </c>
      <c r="AU254" s="203" t="str">
        <f t="shared" si="482"/>
        <v>N/A</v>
      </c>
      <c r="AV254" s="203">
        <f t="shared" si="482"/>
        <v>0</v>
      </c>
      <c r="AW254" s="203">
        <f t="shared" si="483"/>
        <v>0</v>
      </c>
      <c r="AX254" s="203">
        <f t="shared" ca="1" si="484"/>
        <v>0</v>
      </c>
      <c r="AY254" s="203">
        <f t="shared" ca="1" si="485"/>
        <v>0</v>
      </c>
      <c r="AZ254" s="203"/>
      <c r="BA254" s="204" t="s">
        <v>141</v>
      </c>
      <c r="BB254" s="204" t="s">
        <v>140</v>
      </c>
      <c r="BC254" s="204" t="s">
        <v>140</v>
      </c>
      <c r="BD254" s="204" t="s">
        <v>140</v>
      </c>
      <c r="BE254" s="166"/>
      <c r="BF254" s="203" t="s">
        <v>1789</v>
      </c>
      <c r="BG254" s="141"/>
      <c r="BH254" s="141"/>
      <c r="BI254" s="153"/>
      <c r="BJ254" s="153"/>
      <c r="BK254" s="153"/>
      <c r="BL254" s="153" t="s">
        <v>1932</v>
      </c>
      <c r="BM254" s="153"/>
      <c r="BN254" s="153"/>
      <c r="BO254" s="153"/>
      <c r="BP254" s="153"/>
      <c r="BQ254" s="153"/>
      <c r="BR254" s="141">
        <v>0</v>
      </c>
      <c r="BS254" s="141">
        <v>1</v>
      </c>
      <c r="BT254" s="141">
        <v>0</v>
      </c>
      <c r="BU254" s="141">
        <v>1</v>
      </c>
      <c r="BV254" s="141">
        <v>0</v>
      </c>
      <c r="BW254" s="141">
        <v>0</v>
      </c>
      <c r="BX254" s="141">
        <v>0</v>
      </c>
      <c r="BY254" s="141" t="s">
        <v>1790</v>
      </c>
      <c r="BZ254" s="141" t="s">
        <v>1013</v>
      </c>
      <c r="CA254" s="141">
        <v>1</v>
      </c>
      <c r="CB254" s="153">
        <v>46206</v>
      </c>
      <c r="CC254" s="141"/>
      <c r="CD254" s="141"/>
      <c r="CE254" s="166"/>
      <c r="CF254" s="166">
        <f>+L254-CA254</f>
        <v>0</v>
      </c>
    </row>
    <row r="255" spans="1:84" ht="17.25" hidden="1" customHeight="1">
      <c r="A255" s="117"/>
      <c r="B255" s="209" t="s">
        <v>1863</v>
      </c>
      <c r="C255" s="209" t="s">
        <v>2137</v>
      </c>
      <c r="D255" s="209" t="s">
        <v>13</v>
      </c>
      <c r="E255" s="209" t="s">
        <v>1788</v>
      </c>
      <c r="F255" s="209" t="s">
        <v>1018</v>
      </c>
      <c r="G255" s="209" t="s">
        <v>1019</v>
      </c>
      <c r="H255" s="210">
        <v>716</v>
      </c>
      <c r="I255" s="211" t="s">
        <v>147</v>
      </c>
      <c r="J255" s="144">
        <v>1</v>
      </c>
      <c r="K255" s="145">
        <f t="shared" si="465"/>
        <v>1</v>
      </c>
      <c r="L255" s="202">
        <f t="shared" si="466"/>
        <v>1</v>
      </c>
      <c r="M255" s="212">
        <v>6.7</v>
      </c>
      <c r="N255" s="203">
        <f t="shared" si="467"/>
        <v>6.7</v>
      </c>
      <c r="O255" s="212" t="s">
        <v>137</v>
      </c>
      <c r="P255" s="212" t="s">
        <v>13</v>
      </c>
      <c r="Q255" s="212" t="s">
        <v>154</v>
      </c>
      <c r="R255" s="212"/>
      <c r="S255" s="212"/>
      <c r="T255" s="203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1</v>
      </c>
      <c r="U255" s="203">
        <f t="shared" ca="1" si="468"/>
        <v>0</v>
      </c>
      <c r="V255" s="203">
        <f t="shared" ca="1" si="469"/>
        <v>1</v>
      </c>
      <c r="W255" s="212"/>
      <c r="X255" s="212"/>
      <c r="Y255" s="212"/>
      <c r="Z255" s="212"/>
      <c r="AA255" s="212"/>
      <c r="AB255" s="212"/>
      <c r="AC255" s="214" t="s">
        <v>196</v>
      </c>
      <c r="AD255" s="226" t="s">
        <v>2039</v>
      </c>
      <c r="AE255" s="148"/>
      <c r="AF255" s="212" t="str">
        <f t="shared" si="470"/>
        <v>AMC2-S1</v>
      </c>
      <c r="AG255" s="212">
        <f t="shared" si="470"/>
        <v>1</v>
      </c>
      <c r="AH255" s="203">
        <f t="shared" si="471"/>
        <v>1</v>
      </c>
      <c r="AI255" s="203">
        <f t="shared" ca="1" si="472"/>
        <v>1</v>
      </c>
      <c r="AJ255" s="203">
        <f t="shared" ca="1" si="473"/>
        <v>0</v>
      </c>
      <c r="AK255" s="212" t="str">
        <f t="shared" si="474"/>
        <v>N/A</v>
      </c>
      <c r="AL255" s="212">
        <f t="shared" si="474"/>
        <v>0</v>
      </c>
      <c r="AM255" s="203">
        <f t="shared" si="475"/>
        <v>0</v>
      </c>
      <c r="AN255" s="203">
        <f t="shared" ca="1" si="476"/>
        <v>0</v>
      </c>
      <c r="AO255" s="203">
        <f t="shared" ca="1" si="477"/>
        <v>0</v>
      </c>
      <c r="AP255" s="212" t="str">
        <f t="shared" si="478"/>
        <v>N/A</v>
      </c>
      <c r="AQ255" s="212">
        <f t="shared" si="478"/>
        <v>0</v>
      </c>
      <c r="AR255" s="203">
        <f t="shared" si="479"/>
        <v>0</v>
      </c>
      <c r="AS255" s="203">
        <f t="shared" ca="1" si="480"/>
        <v>0</v>
      </c>
      <c r="AT255" s="203">
        <f t="shared" ca="1" si="481"/>
        <v>0</v>
      </c>
      <c r="AU255" s="212" t="str">
        <f t="shared" si="482"/>
        <v>N/A</v>
      </c>
      <c r="AV255" s="212">
        <f t="shared" si="482"/>
        <v>0</v>
      </c>
      <c r="AW255" s="203">
        <f t="shared" si="483"/>
        <v>0</v>
      </c>
      <c r="AX255" s="203">
        <f t="shared" ca="1" si="484"/>
        <v>0</v>
      </c>
      <c r="AY255" s="203">
        <f t="shared" ca="1" si="485"/>
        <v>0</v>
      </c>
      <c r="AZ255" s="212"/>
      <c r="BA255" s="213" t="s">
        <v>141</v>
      </c>
      <c r="BB255" s="213" t="s">
        <v>140</v>
      </c>
      <c r="BC255" s="213" t="s">
        <v>140</v>
      </c>
      <c r="BD255" s="213" t="s">
        <v>140</v>
      </c>
      <c r="BE255" s="148"/>
      <c r="BF255" s="212" t="s">
        <v>1789</v>
      </c>
      <c r="BG255" s="117"/>
      <c r="BH255" s="117"/>
      <c r="BI255" s="149"/>
      <c r="BJ255" s="149" t="s">
        <v>2004</v>
      </c>
      <c r="BK255" s="149"/>
      <c r="BL255" s="149"/>
      <c r="BM255" s="149"/>
      <c r="BN255" s="149"/>
      <c r="BO255" s="149"/>
      <c r="BP255" s="149"/>
      <c r="BQ255" s="149"/>
      <c r="BR255" s="117">
        <v>1</v>
      </c>
      <c r="BS255" s="117">
        <v>0</v>
      </c>
      <c r="BT255" s="117">
        <v>1</v>
      </c>
      <c r="BU255" s="117">
        <v>0</v>
      </c>
      <c r="BV255" s="117">
        <v>0</v>
      </c>
      <c r="BW255" s="117">
        <v>0</v>
      </c>
      <c r="BX255" s="117">
        <v>0</v>
      </c>
      <c r="BY255" s="117" t="s">
        <v>1790</v>
      </c>
      <c r="BZ255" s="117" t="s">
        <v>1022</v>
      </c>
      <c r="CA255" s="117">
        <v>1</v>
      </c>
      <c r="CB255" s="149">
        <v>46206</v>
      </c>
      <c r="CC255" s="117"/>
      <c r="CD255" s="117"/>
      <c r="CE255" s="148"/>
      <c r="CF255" s="148">
        <f>+L255-CA255</f>
        <v>0</v>
      </c>
    </row>
    <row r="256" spans="1:84" ht="17.25" hidden="1" customHeight="1">
      <c r="A256" s="162">
        <v>194</v>
      </c>
      <c r="B256" s="177" t="s">
        <v>1863</v>
      </c>
      <c r="C256" s="177" t="s">
        <v>2138</v>
      </c>
      <c r="D256" s="177" t="s">
        <v>1866</v>
      </c>
      <c r="E256" s="177"/>
      <c r="F256" s="177"/>
      <c r="G256" s="177" t="s">
        <v>1867</v>
      </c>
      <c r="H256" s="178"/>
      <c r="I256" s="179"/>
      <c r="J256" s="160"/>
      <c r="K256" s="180">
        <f>+AG256+AL256+AQ256+AV256</f>
        <v>1</v>
      </c>
      <c r="L256" s="160"/>
      <c r="M256" s="181">
        <v>25.4</v>
      </c>
      <c r="N256" s="181">
        <v>25.4</v>
      </c>
      <c r="O256" s="181" t="s">
        <v>137</v>
      </c>
      <c r="P256" s="181"/>
      <c r="Q256" s="181"/>
      <c r="R256" s="181"/>
      <c r="S256" s="181"/>
      <c r="T256" s="181"/>
      <c r="U256" s="181"/>
      <c r="V256" s="181"/>
      <c r="W256" s="181">
        <f ca="1">_xlfn.MINIFS(V:V,C:C,C256,AE:AE,"",AB:AB,"")</f>
        <v>0</v>
      </c>
      <c r="X256" s="181">
        <f ca="1">SUMIFS(T:T,C:C,C256,AE:AE,"")/SUMIFS(L:L,C:C,C256,AE:AE,"",AB:AB,"")</f>
        <v>0.25</v>
      </c>
      <c r="Y256" s="181"/>
      <c r="Z256" s="181"/>
      <c r="AA256" s="181"/>
      <c r="AB256" s="181"/>
      <c r="AC256" s="228" t="s">
        <v>196</v>
      </c>
      <c r="AD256" s="184" t="s">
        <v>2039</v>
      </c>
      <c r="AE256" s="162" t="s">
        <v>143</v>
      </c>
      <c r="AF256" s="181" t="s">
        <v>1783</v>
      </c>
      <c r="AG256" s="181">
        <v>1</v>
      </c>
      <c r="AH256" s="181"/>
      <c r="AI256" s="181"/>
      <c r="AJ256" s="181"/>
      <c r="AK256" s="181" t="s">
        <v>138</v>
      </c>
      <c r="AL256" s="181">
        <v>0</v>
      </c>
      <c r="AM256" s="181"/>
      <c r="AN256" s="181"/>
      <c r="AO256" s="181"/>
      <c r="AP256" s="181" t="s">
        <v>138</v>
      </c>
      <c r="AQ256" s="181">
        <v>0</v>
      </c>
      <c r="AR256" s="181"/>
      <c r="AS256" s="181"/>
      <c r="AT256" s="181"/>
      <c r="AU256" s="181" t="s">
        <v>138</v>
      </c>
      <c r="AV256" s="181">
        <v>0</v>
      </c>
      <c r="AW256" s="181"/>
      <c r="AX256" s="181"/>
      <c r="AY256" s="181"/>
      <c r="AZ256" s="181"/>
      <c r="BA256" s="182" t="s">
        <v>141</v>
      </c>
      <c r="BB256" s="182" t="s">
        <v>140</v>
      </c>
      <c r="BC256" s="182" t="s">
        <v>140</v>
      </c>
      <c r="BD256" s="182" t="s">
        <v>140</v>
      </c>
      <c r="BE256" s="162" t="s">
        <v>741</v>
      </c>
      <c r="BF256" s="181"/>
      <c r="BG256" s="161"/>
      <c r="BH256" s="161"/>
      <c r="BI256" s="163"/>
      <c r="BJ256" s="163"/>
      <c r="BK256" s="163"/>
      <c r="BL256" s="163"/>
      <c r="BM256" s="163"/>
      <c r="BN256" s="163"/>
      <c r="BO256" s="163"/>
      <c r="BP256" s="163"/>
      <c r="BQ256" s="163"/>
      <c r="BR256" s="161"/>
      <c r="BS256" s="161"/>
      <c r="BT256" s="161"/>
      <c r="BU256" s="161"/>
      <c r="BV256" s="161"/>
      <c r="BW256" s="161"/>
      <c r="BX256" s="161"/>
      <c r="BY256" s="161"/>
      <c r="BZ256" s="161"/>
      <c r="CA256" s="161"/>
      <c r="CB256" s="163"/>
      <c r="CC256" s="161"/>
      <c r="CD256" s="161"/>
      <c r="CE256" s="185"/>
      <c r="CF256" s="185"/>
    </row>
    <row r="257" spans="1:84" ht="17.25" hidden="1" customHeight="1">
      <c r="A257" s="117"/>
      <c r="B257" s="209" t="s">
        <v>1863</v>
      </c>
      <c r="C257" s="209" t="s">
        <v>2138</v>
      </c>
      <c r="D257" s="209" t="s">
        <v>1007</v>
      </c>
      <c r="E257" s="209" t="s">
        <v>1868</v>
      </c>
      <c r="F257" s="209" t="s">
        <v>1031</v>
      </c>
      <c r="G257" s="209" t="s">
        <v>1032</v>
      </c>
      <c r="H257" s="210">
        <v>1096</v>
      </c>
      <c r="I257" s="211" t="s">
        <v>147</v>
      </c>
      <c r="J257" s="144">
        <v>1</v>
      </c>
      <c r="K257" s="145">
        <f t="shared" ref="K257:K259" si="486">K256</f>
        <v>1</v>
      </c>
      <c r="L257" s="202">
        <f t="shared" ref="L257:L259" si="487">+J257*K257</f>
        <v>1</v>
      </c>
      <c r="M257" s="212">
        <v>24.3</v>
      </c>
      <c r="N257" s="203">
        <f t="shared" ref="N257:N259" si="488">+M257*L257</f>
        <v>24.3</v>
      </c>
      <c r="O257" s="212" t="s">
        <v>137</v>
      </c>
      <c r="P257" s="212" t="s">
        <v>11</v>
      </c>
      <c r="Q257" s="212" t="s">
        <v>154</v>
      </c>
      <c r="R257" s="212"/>
      <c r="S257" s="212"/>
      <c r="T257" s="203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1</v>
      </c>
      <c r="U257" s="203">
        <f t="shared" ref="U257:U259" ca="1" si="489">+L257-T257</f>
        <v>0</v>
      </c>
      <c r="V257" s="203">
        <f t="shared" ref="V257:V259" ca="1" si="490">ROUNDDOWN(T257/J257,0)</f>
        <v>1</v>
      </c>
      <c r="W257" s="212"/>
      <c r="X257" s="212"/>
      <c r="Y257" s="212"/>
      <c r="Z257" s="212"/>
      <c r="AA257" s="212"/>
      <c r="AB257" s="212"/>
      <c r="AC257" s="214" t="s">
        <v>196</v>
      </c>
      <c r="AD257" s="226" t="s">
        <v>2039</v>
      </c>
      <c r="AE257" s="148"/>
      <c r="AF257" s="212" t="str">
        <f t="shared" ref="AF257:AG259" si="491">AF256</f>
        <v>AMC2-S1</v>
      </c>
      <c r="AG257" s="212">
        <f t="shared" si="491"/>
        <v>1</v>
      </c>
      <c r="AH257" s="203">
        <f t="shared" ref="AH257:AH259" si="492">+AG257*J257</f>
        <v>1</v>
      </c>
      <c r="AI257" s="203">
        <f t="shared" ref="AI257:AI259" ca="1" si="493">MIN(T257,AH257)</f>
        <v>1</v>
      </c>
      <c r="AJ257" s="203">
        <f t="shared" ref="AJ257:AJ259" ca="1" si="494">+AH257-AI257</f>
        <v>0</v>
      </c>
      <c r="AK257" s="212" t="str">
        <f t="shared" ref="AK257:AL259" si="495">AK256</f>
        <v>N/A</v>
      </c>
      <c r="AL257" s="212">
        <f t="shared" si="495"/>
        <v>0</v>
      </c>
      <c r="AM257" s="203">
        <f t="shared" ref="AM257:AM259" si="496">+AL257*J257</f>
        <v>0</v>
      </c>
      <c r="AN257" s="203">
        <f t="shared" ref="AN257:AN259" ca="1" si="497">MIN(T257-AI257,AL257)</f>
        <v>0</v>
      </c>
      <c r="AO257" s="203">
        <f t="shared" ref="AO257:AO259" ca="1" si="498">+AM257-AN257</f>
        <v>0</v>
      </c>
      <c r="AP257" s="212" t="str">
        <f t="shared" ref="AP257:AQ259" si="499">AP256</f>
        <v>N/A</v>
      </c>
      <c r="AQ257" s="212">
        <f t="shared" si="499"/>
        <v>0</v>
      </c>
      <c r="AR257" s="203">
        <f t="shared" ref="AR257:AR259" si="500">+AQ257*J257</f>
        <v>0</v>
      </c>
      <c r="AS257" s="203">
        <f t="shared" ref="AS257:AS259" ca="1" si="501">MIN(T257-AI257-AN257,AR257)</f>
        <v>0</v>
      </c>
      <c r="AT257" s="203">
        <f t="shared" ref="AT257:AT259" ca="1" si="502">+AR257-AS257</f>
        <v>0</v>
      </c>
      <c r="AU257" s="212" t="str">
        <f t="shared" ref="AU257:AV259" si="503">AU256</f>
        <v>N/A</v>
      </c>
      <c r="AV257" s="212">
        <f t="shared" si="503"/>
        <v>0</v>
      </c>
      <c r="AW257" s="203">
        <f t="shared" ref="AW257:AW259" si="504">+AV257*J257</f>
        <v>0</v>
      </c>
      <c r="AX257" s="203">
        <f t="shared" ref="AX257:AX259" ca="1" si="505">MIN(T257-AI257-AN257-AS257,AW257)</f>
        <v>0</v>
      </c>
      <c r="AY257" s="203">
        <f t="shared" ref="AY257:AY259" ca="1" si="506">+AW257-AX257</f>
        <v>0</v>
      </c>
      <c r="AZ257" s="212"/>
      <c r="BA257" s="213" t="s">
        <v>141</v>
      </c>
      <c r="BB257" s="213" t="s">
        <v>140</v>
      </c>
      <c r="BC257" s="213" t="s">
        <v>140</v>
      </c>
      <c r="BD257" s="213" t="s">
        <v>140</v>
      </c>
      <c r="BE257" s="148"/>
      <c r="BF257" s="212" t="s">
        <v>1789</v>
      </c>
      <c r="BG257" s="117"/>
      <c r="BH257" s="117"/>
      <c r="BI257" s="149"/>
      <c r="BJ257" s="149"/>
      <c r="BK257" s="149"/>
      <c r="BL257" s="149"/>
      <c r="BM257" s="149"/>
      <c r="BN257" s="149"/>
      <c r="BO257" s="149"/>
      <c r="BP257" s="149"/>
      <c r="BQ257" s="149"/>
      <c r="BR257" s="117">
        <v>0</v>
      </c>
      <c r="BS257" s="117">
        <v>1</v>
      </c>
      <c r="BT257" s="117">
        <v>0</v>
      </c>
      <c r="BU257" s="117">
        <v>1</v>
      </c>
      <c r="BV257" s="117">
        <v>0</v>
      </c>
      <c r="BW257" s="117">
        <v>0</v>
      </c>
      <c r="BX257" s="117">
        <v>0</v>
      </c>
      <c r="BY257" s="117" t="s">
        <v>1790</v>
      </c>
      <c r="BZ257" s="117" t="s">
        <v>1034</v>
      </c>
      <c r="CA257" s="117">
        <v>1</v>
      </c>
      <c r="CB257" s="149">
        <v>46185</v>
      </c>
      <c r="CC257" s="117"/>
      <c r="CD257" s="117"/>
      <c r="CE257" s="148"/>
      <c r="CF257" s="148">
        <f>+L257-CA257</f>
        <v>0</v>
      </c>
    </row>
    <row r="258" spans="1:84" ht="17.25" hidden="1" customHeight="1">
      <c r="A258" s="117"/>
      <c r="B258" s="209" t="s">
        <v>1863</v>
      </c>
      <c r="C258" s="209" t="s">
        <v>2138</v>
      </c>
      <c r="D258" s="209" t="s">
        <v>1025</v>
      </c>
      <c r="E258" s="209" t="s">
        <v>1869</v>
      </c>
      <c r="F258" s="209" t="s">
        <v>1023</v>
      </c>
      <c r="G258" s="209" t="s">
        <v>1024</v>
      </c>
      <c r="H258" s="210">
        <v>80</v>
      </c>
      <c r="I258" s="211" t="s">
        <v>147</v>
      </c>
      <c r="J258" s="144">
        <v>1</v>
      </c>
      <c r="K258" s="145">
        <f t="shared" si="486"/>
        <v>1</v>
      </c>
      <c r="L258" s="202">
        <f t="shared" si="487"/>
        <v>1</v>
      </c>
      <c r="M258" s="212">
        <v>1.1000000000000001</v>
      </c>
      <c r="N258" s="203">
        <f t="shared" si="488"/>
        <v>1.1000000000000001</v>
      </c>
      <c r="O258" s="212" t="s">
        <v>137</v>
      </c>
      <c r="P258" s="212" t="s">
        <v>11</v>
      </c>
      <c r="Q258" s="212" t="s">
        <v>148</v>
      </c>
      <c r="R258" s="212"/>
      <c r="S258" s="212"/>
      <c r="T258" s="203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1</v>
      </c>
      <c r="U258" s="203">
        <f t="shared" ca="1" si="489"/>
        <v>0</v>
      </c>
      <c r="V258" s="203">
        <f t="shared" ca="1" si="490"/>
        <v>1</v>
      </c>
      <c r="W258" s="212"/>
      <c r="X258" s="212"/>
      <c r="Y258" s="212"/>
      <c r="Z258" s="212"/>
      <c r="AA258" s="212"/>
      <c r="AB258" s="212"/>
      <c r="AC258" s="214" t="s">
        <v>196</v>
      </c>
      <c r="AD258" s="226" t="s">
        <v>2068</v>
      </c>
      <c r="AE258" s="148"/>
      <c r="AF258" s="212" t="str">
        <f t="shared" si="491"/>
        <v>AMC2-S1</v>
      </c>
      <c r="AG258" s="212">
        <f t="shared" si="491"/>
        <v>1</v>
      </c>
      <c r="AH258" s="203">
        <f t="shared" si="492"/>
        <v>1</v>
      </c>
      <c r="AI258" s="203">
        <f t="shared" ca="1" si="493"/>
        <v>1</v>
      </c>
      <c r="AJ258" s="203">
        <f t="shared" ca="1" si="494"/>
        <v>0</v>
      </c>
      <c r="AK258" s="212" t="str">
        <f t="shared" si="495"/>
        <v>N/A</v>
      </c>
      <c r="AL258" s="212">
        <f t="shared" si="495"/>
        <v>0</v>
      </c>
      <c r="AM258" s="203">
        <f t="shared" si="496"/>
        <v>0</v>
      </c>
      <c r="AN258" s="203">
        <f t="shared" ca="1" si="497"/>
        <v>0</v>
      </c>
      <c r="AO258" s="203">
        <f t="shared" ca="1" si="498"/>
        <v>0</v>
      </c>
      <c r="AP258" s="212" t="str">
        <f t="shared" si="499"/>
        <v>N/A</v>
      </c>
      <c r="AQ258" s="212">
        <f t="shared" si="499"/>
        <v>0</v>
      </c>
      <c r="AR258" s="203">
        <f t="shared" si="500"/>
        <v>0</v>
      </c>
      <c r="AS258" s="203">
        <f t="shared" ca="1" si="501"/>
        <v>0</v>
      </c>
      <c r="AT258" s="203">
        <f t="shared" ca="1" si="502"/>
        <v>0</v>
      </c>
      <c r="AU258" s="212" t="str">
        <f t="shared" si="503"/>
        <v>N/A</v>
      </c>
      <c r="AV258" s="212">
        <f t="shared" si="503"/>
        <v>0</v>
      </c>
      <c r="AW258" s="203">
        <f t="shared" si="504"/>
        <v>0</v>
      </c>
      <c r="AX258" s="203">
        <f t="shared" ca="1" si="505"/>
        <v>0</v>
      </c>
      <c r="AY258" s="203">
        <f t="shared" ca="1" si="506"/>
        <v>0</v>
      </c>
      <c r="AZ258" s="212"/>
      <c r="BA258" s="213" t="s">
        <v>141</v>
      </c>
      <c r="BB258" s="213" t="s">
        <v>140</v>
      </c>
      <c r="BC258" s="213" t="s">
        <v>140</v>
      </c>
      <c r="BD258" s="213" t="s">
        <v>140</v>
      </c>
      <c r="BE258" s="148"/>
      <c r="BF258" s="212" t="s">
        <v>1789</v>
      </c>
      <c r="BG258" s="117"/>
      <c r="BH258" s="117"/>
      <c r="BI258" s="149"/>
      <c r="BJ258" s="149"/>
      <c r="BK258" s="149"/>
      <c r="BL258" s="149"/>
      <c r="BM258" s="149"/>
      <c r="BN258" s="149"/>
      <c r="BO258" s="149"/>
      <c r="BP258" s="149"/>
      <c r="BQ258" s="149"/>
      <c r="BR258" s="117">
        <v>1</v>
      </c>
      <c r="BS258" s="117">
        <v>0</v>
      </c>
      <c r="BT258" s="117">
        <v>0</v>
      </c>
      <c r="BU258" s="117">
        <v>0</v>
      </c>
      <c r="BV258" s="117">
        <v>0</v>
      </c>
      <c r="BW258" s="117">
        <v>0</v>
      </c>
      <c r="BX258" s="117">
        <v>0</v>
      </c>
      <c r="BY258" s="117" t="s">
        <v>1790</v>
      </c>
      <c r="BZ258" s="117" t="s">
        <v>1028</v>
      </c>
      <c r="CA258" s="117">
        <v>1</v>
      </c>
      <c r="CB258" s="149">
        <v>46185</v>
      </c>
      <c r="CC258" s="117"/>
      <c r="CD258" s="117"/>
      <c r="CE258" s="148"/>
      <c r="CF258" s="148">
        <f>+L258-CA258</f>
        <v>0</v>
      </c>
    </row>
    <row r="259" spans="1:84" ht="17.25" hidden="1" customHeight="1">
      <c r="A259" s="117"/>
      <c r="B259" s="209" t="s">
        <v>1863</v>
      </c>
      <c r="C259" s="209" t="s">
        <v>2138</v>
      </c>
      <c r="D259" s="209" t="s">
        <v>13</v>
      </c>
      <c r="E259" s="209" t="s">
        <v>1788</v>
      </c>
      <c r="F259" s="209" t="s">
        <v>1029</v>
      </c>
      <c r="G259" s="209" t="s">
        <v>1030</v>
      </c>
      <c r="H259" s="210">
        <v>80</v>
      </c>
      <c r="I259" s="211" t="s">
        <v>147</v>
      </c>
      <c r="J259" s="144">
        <v>1</v>
      </c>
      <c r="K259" s="145">
        <f t="shared" si="486"/>
        <v>1</v>
      </c>
      <c r="L259" s="202">
        <f t="shared" si="487"/>
        <v>1</v>
      </c>
      <c r="M259" s="212">
        <v>0.2</v>
      </c>
      <c r="N259" s="203">
        <f t="shared" si="488"/>
        <v>0.2</v>
      </c>
      <c r="O259" s="212" t="s">
        <v>137</v>
      </c>
      <c r="P259" s="212" t="s">
        <v>13</v>
      </c>
      <c r="Q259" s="212" t="s">
        <v>148</v>
      </c>
      <c r="R259" s="212"/>
      <c r="S259" s="212"/>
      <c r="T259" s="203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1</v>
      </c>
      <c r="U259" s="203">
        <f t="shared" ca="1" si="489"/>
        <v>0</v>
      </c>
      <c r="V259" s="203">
        <f t="shared" ca="1" si="490"/>
        <v>1</v>
      </c>
      <c r="W259" s="212"/>
      <c r="X259" s="212"/>
      <c r="Y259" s="212"/>
      <c r="Z259" s="212"/>
      <c r="AA259" s="212"/>
      <c r="AB259" s="212"/>
      <c r="AC259" s="214" t="s">
        <v>196</v>
      </c>
      <c r="AD259" s="226" t="s">
        <v>2039</v>
      </c>
      <c r="AE259" s="148"/>
      <c r="AF259" s="212" t="str">
        <f t="shared" si="491"/>
        <v>AMC2-S1</v>
      </c>
      <c r="AG259" s="212">
        <f t="shared" si="491"/>
        <v>1</v>
      </c>
      <c r="AH259" s="203">
        <f t="shared" si="492"/>
        <v>1</v>
      </c>
      <c r="AI259" s="203">
        <f t="shared" ca="1" si="493"/>
        <v>1</v>
      </c>
      <c r="AJ259" s="203">
        <f t="shared" ca="1" si="494"/>
        <v>0</v>
      </c>
      <c r="AK259" s="212" t="str">
        <f t="shared" si="495"/>
        <v>N/A</v>
      </c>
      <c r="AL259" s="212">
        <f t="shared" si="495"/>
        <v>0</v>
      </c>
      <c r="AM259" s="203">
        <f t="shared" si="496"/>
        <v>0</v>
      </c>
      <c r="AN259" s="203">
        <f t="shared" ca="1" si="497"/>
        <v>0</v>
      </c>
      <c r="AO259" s="203">
        <f t="shared" ca="1" si="498"/>
        <v>0</v>
      </c>
      <c r="AP259" s="212" t="str">
        <f t="shared" si="499"/>
        <v>N/A</v>
      </c>
      <c r="AQ259" s="212">
        <f t="shared" si="499"/>
        <v>0</v>
      </c>
      <c r="AR259" s="203">
        <f t="shared" si="500"/>
        <v>0</v>
      </c>
      <c r="AS259" s="203">
        <f t="shared" ca="1" si="501"/>
        <v>0</v>
      </c>
      <c r="AT259" s="203">
        <f t="shared" ca="1" si="502"/>
        <v>0</v>
      </c>
      <c r="AU259" s="212" t="str">
        <f t="shared" si="503"/>
        <v>N/A</v>
      </c>
      <c r="AV259" s="212">
        <f t="shared" si="503"/>
        <v>0</v>
      </c>
      <c r="AW259" s="203">
        <f t="shared" si="504"/>
        <v>0</v>
      </c>
      <c r="AX259" s="203">
        <f t="shared" ca="1" si="505"/>
        <v>0</v>
      </c>
      <c r="AY259" s="203">
        <f t="shared" ca="1" si="506"/>
        <v>0</v>
      </c>
      <c r="AZ259" s="212"/>
      <c r="BA259" s="213" t="s">
        <v>141</v>
      </c>
      <c r="BB259" s="213" t="s">
        <v>140</v>
      </c>
      <c r="BC259" s="213" t="s">
        <v>140</v>
      </c>
      <c r="BD259" s="213" t="s">
        <v>140</v>
      </c>
      <c r="BE259" s="148"/>
      <c r="BF259" s="212" t="s">
        <v>1789</v>
      </c>
      <c r="BG259" s="117"/>
      <c r="BH259" s="117"/>
      <c r="BI259" s="149"/>
      <c r="BJ259" s="149" t="s">
        <v>2004</v>
      </c>
      <c r="BK259" s="149"/>
      <c r="BL259" s="149"/>
      <c r="BM259" s="149"/>
      <c r="BN259" s="149"/>
      <c r="BO259" s="149"/>
      <c r="BP259" s="149"/>
      <c r="BQ259" s="149"/>
      <c r="BR259" s="117">
        <v>1</v>
      </c>
      <c r="BS259" s="117">
        <v>0</v>
      </c>
      <c r="BT259" s="117">
        <v>0</v>
      </c>
      <c r="BU259" s="117">
        <v>0</v>
      </c>
      <c r="BV259" s="117">
        <v>0</v>
      </c>
      <c r="BW259" s="117">
        <v>0</v>
      </c>
      <c r="BX259" s="117">
        <v>0</v>
      </c>
      <c r="BY259" s="117" t="s">
        <v>1790</v>
      </c>
      <c r="BZ259" s="117" t="s">
        <v>1022</v>
      </c>
      <c r="CA259" s="117">
        <v>1</v>
      </c>
      <c r="CB259" s="149">
        <v>46206</v>
      </c>
      <c r="CC259" s="117"/>
      <c r="CD259" s="117"/>
      <c r="CE259" s="148"/>
      <c r="CF259" s="148">
        <f>+L259-CA259</f>
        <v>0</v>
      </c>
    </row>
    <row r="260" spans="1:84" ht="17.25" hidden="1" customHeight="1">
      <c r="A260" s="162">
        <v>195</v>
      </c>
      <c r="B260" s="177" t="s">
        <v>1863</v>
      </c>
      <c r="C260" s="177" t="s">
        <v>2141</v>
      </c>
      <c r="D260" s="177" t="s">
        <v>1871</v>
      </c>
      <c r="E260" s="177"/>
      <c r="F260" s="177"/>
      <c r="G260" s="177" t="s">
        <v>1872</v>
      </c>
      <c r="H260" s="178"/>
      <c r="I260" s="179"/>
      <c r="J260" s="160"/>
      <c r="K260" s="180">
        <f>+AG260+AL260+AQ260+AV260</f>
        <v>1</v>
      </c>
      <c r="L260" s="160"/>
      <c r="M260" s="181">
        <v>187.3</v>
      </c>
      <c r="N260" s="181">
        <v>187.3</v>
      </c>
      <c r="O260" s="181" t="s">
        <v>137</v>
      </c>
      <c r="P260" s="181"/>
      <c r="Q260" s="181"/>
      <c r="R260" s="181"/>
      <c r="S260" s="181"/>
      <c r="T260" s="181"/>
      <c r="U260" s="181"/>
      <c r="V260" s="181"/>
      <c r="W260" s="181">
        <f ca="1">_xlfn.MINIFS(V:V,C:C,C260,AE:AE,"",AB:AB,"")</f>
        <v>0</v>
      </c>
      <c r="X260" s="181">
        <f ca="1">SUMIFS(T:T,C:C,C260,AE:AE,"")/SUMIFS(L:L,C:C,C260,AE:AE,"",AB:AB,"")</f>
        <v>0.3</v>
      </c>
      <c r="Y260" s="181"/>
      <c r="Z260" s="181"/>
      <c r="AA260" s="181"/>
      <c r="AB260" s="181"/>
      <c r="AC260" s="228" t="s">
        <v>196</v>
      </c>
      <c r="AD260" s="184" t="s">
        <v>2039</v>
      </c>
      <c r="AE260" s="162" t="s">
        <v>143</v>
      </c>
      <c r="AF260" s="181" t="s">
        <v>1783</v>
      </c>
      <c r="AG260" s="181">
        <v>1</v>
      </c>
      <c r="AH260" s="181"/>
      <c r="AI260" s="181"/>
      <c r="AJ260" s="181"/>
      <c r="AK260" s="181" t="s">
        <v>138</v>
      </c>
      <c r="AL260" s="181">
        <v>0</v>
      </c>
      <c r="AM260" s="181"/>
      <c r="AN260" s="181"/>
      <c r="AO260" s="181"/>
      <c r="AP260" s="181" t="s">
        <v>138</v>
      </c>
      <c r="AQ260" s="181">
        <v>0</v>
      </c>
      <c r="AR260" s="181"/>
      <c r="AS260" s="181"/>
      <c r="AT260" s="181"/>
      <c r="AU260" s="181" t="s">
        <v>138</v>
      </c>
      <c r="AV260" s="181">
        <v>0</v>
      </c>
      <c r="AW260" s="181"/>
      <c r="AX260" s="181"/>
      <c r="AY260" s="181"/>
      <c r="AZ260" s="179"/>
      <c r="BA260" s="182" t="s">
        <v>141</v>
      </c>
      <c r="BB260" s="182" t="s">
        <v>140</v>
      </c>
      <c r="BC260" s="182" t="s">
        <v>140</v>
      </c>
      <c r="BD260" s="182" t="s">
        <v>140</v>
      </c>
      <c r="BE260" s="162" t="s">
        <v>741</v>
      </c>
      <c r="BF260" s="181"/>
      <c r="BG260" s="161"/>
      <c r="BH260" s="161"/>
      <c r="BI260" s="163"/>
      <c r="BJ260" s="163"/>
      <c r="BK260" s="163"/>
      <c r="BL260" s="163"/>
      <c r="BM260" s="163"/>
      <c r="BN260" s="163"/>
      <c r="BO260" s="163"/>
      <c r="BP260" s="163"/>
      <c r="BQ260" s="163"/>
      <c r="BR260" s="161"/>
      <c r="BS260" s="161"/>
      <c r="BT260" s="161"/>
      <c r="BU260" s="161"/>
      <c r="BV260" s="161"/>
      <c r="BW260" s="161"/>
      <c r="BX260" s="161"/>
      <c r="BY260" s="161"/>
      <c r="BZ260" s="161"/>
      <c r="CA260" s="161"/>
      <c r="CB260" s="163"/>
      <c r="CC260" s="161"/>
      <c r="CD260" s="161"/>
      <c r="CE260" s="185"/>
      <c r="CF260" s="185"/>
    </row>
    <row r="261" spans="1:84" ht="17.25" hidden="1" customHeight="1">
      <c r="A261" s="117"/>
      <c r="B261" s="209" t="s">
        <v>1863</v>
      </c>
      <c r="C261" s="209" t="s">
        <v>2141</v>
      </c>
      <c r="D261" s="209" t="s">
        <v>1873</v>
      </c>
      <c r="E261" s="209" t="s">
        <v>1823</v>
      </c>
      <c r="F261" s="209" t="s">
        <v>1035</v>
      </c>
      <c r="G261" s="209" t="s">
        <v>1874</v>
      </c>
      <c r="H261" s="210"/>
      <c r="I261" s="211" t="s">
        <v>1017</v>
      </c>
      <c r="J261" s="144">
        <v>1</v>
      </c>
      <c r="K261" s="145">
        <f t="shared" ref="K261:K264" si="507">K260</f>
        <v>1</v>
      </c>
      <c r="L261" s="202">
        <f t="shared" ref="L261:L264" si="508">+J261*K261</f>
        <v>1</v>
      </c>
      <c r="M261" s="212">
        <v>100</v>
      </c>
      <c r="N261" s="203">
        <f t="shared" ref="N261:N264" si="509">+M261*L261</f>
        <v>100</v>
      </c>
      <c r="O261" s="212" t="s">
        <v>137</v>
      </c>
      <c r="P261" s="212" t="s">
        <v>14</v>
      </c>
      <c r="Q261" s="212" t="s">
        <v>976</v>
      </c>
      <c r="R261" s="212"/>
      <c r="S261" s="212"/>
      <c r="T261" s="203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203">
        <f t="shared" ref="U261:U264" ca="1" si="510">+L261-T261</f>
        <v>1</v>
      </c>
      <c r="V261" s="203">
        <f t="shared" ref="V261:V264" ca="1" si="511">ROUNDDOWN(T261/J261,0)</f>
        <v>0</v>
      </c>
      <c r="W261" s="212"/>
      <c r="X261" s="212"/>
      <c r="Y261" s="212"/>
      <c r="Z261" s="212"/>
      <c r="AA261" s="212"/>
      <c r="AB261" s="212"/>
      <c r="AC261" s="214" t="s">
        <v>196</v>
      </c>
      <c r="AD261" s="226" t="s">
        <v>2039</v>
      </c>
      <c r="AE261" s="148"/>
      <c r="AF261" s="212" t="str">
        <f t="shared" ref="AF261:AG264" si="512">AF260</f>
        <v>AMC2-S1</v>
      </c>
      <c r="AG261" s="212">
        <f t="shared" si="512"/>
        <v>1</v>
      </c>
      <c r="AH261" s="203">
        <f t="shared" ref="AH261:AH264" si="513">+AG261*J261</f>
        <v>1</v>
      </c>
      <c r="AI261" s="203">
        <f t="shared" ref="AI261:AI264" ca="1" si="514">MIN(T261,AH261)</f>
        <v>0</v>
      </c>
      <c r="AJ261" s="203">
        <f t="shared" ref="AJ261:AJ264" ca="1" si="515">+AH261-AI261</f>
        <v>1</v>
      </c>
      <c r="AK261" s="212" t="str">
        <f t="shared" ref="AK261:AL264" si="516">AK260</f>
        <v>N/A</v>
      </c>
      <c r="AL261" s="212">
        <f t="shared" si="516"/>
        <v>0</v>
      </c>
      <c r="AM261" s="203">
        <f t="shared" ref="AM261:AM264" si="517">+AL261*J261</f>
        <v>0</v>
      </c>
      <c r="AN261" s="203">
        <f t="shared" ref="AN261:AN264" ca="1" si="518">MIN(T261-AI261,AL261)</f>
        <v>0</v>
      </c>
      <c r="AO261" s="203">
        <f t="shared" ref="AO261:AO264" ca="1" si="519">+AM261-AN261</f>
        <v>0</v>
      </c>
      <c r="AP261" s="212" t="str">
        <f t="shared" ref="AP261:AQ264" si="520">AP260</f>
        <v>N/A</v>
      </c>
      <c r="AQ261" s="212">
        <f t="shared" si="520"/>
        <v>0</v>
      </c>
      <c r="AR261" s="203">
        <f t="shared" ref="AR261:AR264" si="521">+AQ261*J261</f>
        <v>0</v>
      </c>
      <c r="AS261" s="203">
        <f t="shared" ref="AS261:AS264" ca="1" si="522">MIN(T261-AI261-AN261,AR261)</f>
        <v>0</v>
      </c>
      <c r="AT261" s="203">
        <f t="shared" ref="AT261:AT264" ca="1" si="523">+AR261-AS261</f>
        <v>0</v>
      </c>
      <c r="AU261" s="212" t="str">
        <f t="shared" ref="AU261:AV264" si="524">AU260</f>
        <v>N/A</v>
      </c>
      <c r="AV261" s="212">
        <f t="shared" si="524"/>
        <v>0</v>
      </c>
      <c r="AW261" s="203">
        <f t="shared" ref="AW261:AW264" si="525">+AV261*J261</f>
        <v>0</v>
      </c>
      <c r="AX261" s="203">
        <f t="shared" ref="AX261:AX264" ca="1" si="526">MIN(T261-AI261-AN261-AS261,AW261)</f>
        <v>0</v>
      </c>
      <c r="AY261" s="203">
        <f t="shared" ref="AY261:AY264" ca="1" si="527">+AW261-AX261</f>
        <v>0</v>
      </c>
      <c r="AZ261" s="212"/>
      <c r="BA261" s="213" t="s">
        <v>141</v>
      </c>
      <c r="BB261" s="213" t="s">
        <v>140</v>
      </c>
      <c r="BC261" s="213" t="s">
        <v>140</v>
      </c>
      <c r="BD261" s="213" t="s">
        <v>140</v>
      </c>
      <c r="BE261" s="148"/>
      <c r="BF261" s="212"/>
      <c r="BG261" s="117"/>
      <c r="BH261" s="117"/>
      <c r="BI261" s="149"/>
      <c r="BJ261" s="149"/>
      <c r="BK261" s="149"/>
      <c r="BL261" s="149"/>
      <c r="BM261" s="149"/>
      <c r="BN261" s="149"/>
      <c r="BO261" s="149"/>
      <c r="BP261" s="149"/>
      <c r="BQ261" s="149"/>
      <c r="BR261" s="117" t="s">
        <v>140</v>
      </c>
      <c r="BS261" s="117" t="s">
        <v>140</v>
      </c>
      <c r="BT261" s="117" t="s">
        <v>140</v>
      </c>
      <c r="BU261" s="117" t="s">
        <v>140</v>
      </c>
      <c r="BV261" s="117" t="s">
        <v>140</v>
      </c>
      <c r="BW261" s="117" t="s">
        <v>140</v>
      </c>
      <c r="BX261" s="117" t="s">
        <v>140</v>
      </c>
      <c r="BY261" s="117" t="s">
        <v>14</v>
      </c>
      <c r="BZ261" s="117"/>
      <c r="CA261" s="117"/>
      <c r="CB261" s="149"/>
      <c r="CC261" s="117"/>
      <c r="CD261" s="117"/>
      <c r="CE261" s="148"/>
      <c r="CF261" s="148"/>
    </row>
    <row r="262" spans="1:84" ht="17.25" hidden="1" customHeight="1">
      <c r="A262" s="117"/>
      <c r="B262" s="209" t="s">
        <v>1863</v>
      </c>
      <c r="C262" s="209" t="s">
        <v>2141</v>
      </c>
      <c r="D262" s="209" t="s">
        <v>1007</v>
      </c>
      <c r="E262" s="209" t="s">
        <v>1868</v>
      </c>
      <c r="F262" s="209" t="s">
        <v>1039</v>
      </c>
      <c r="G262" s="209" t="s">
        <v>1040</v>
      </c>
      <c r="H262" s="210">
        <v>326</v>
      </c>
      <c r="I262" s="211" t="s">
        <v>147</v>
      </c>
      <c r="J262" s="144">
        <v>2</v>
      </c>
      <c r="K262" s="145">
        <f t="shared" si="507"/>
        <v>1</v>
      </c>
      <c r="L262" s="202">
        <f t="shared" si="508"/>
        <v>2</v>
      </c>
      <c r="M262" s="212">
        <v>0.8</v>
      </c>
      <c r="N262" s="203">
        <f t="shared" si="509"/>
        <v>1.6</v>
      </c>
      <c r="O262" s="212" t="s">
        <v>137</v>
      </c>
      <c r="P262" s="212" t="s">
        <v>11</v>
      </c>
      <c r="Q262" s="212" t="s">
        <v>154</v>
      </c>
      <c r="R262" s="212"/>
      <c r="S262" s="212"/>
      <c r="T262" s="203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2</v>
      </c>
      <c r="U262" s="203">
        <f t="shared" ca="1" si="510"/>
        <v>0</v>
      </c>
      <c r="V262" s="203">
        <f t="shared" ca="1" si="511"/>
        <v>1</v>
      </c>
      <c r="W262" s="212"/>
      <c r="X262" s="212"/>
      <c r="Y262" s="212"/>
      <c r="Z262" s="212"/>
      <c r="AA262" s="212"/>
      <c r="AB262" s="212"/>
      <c r="AC262" s="214" t="s">
        <v>196</v>
      </c>
      <c r="AD262" s="226" t="s">
        <v>2039</v>
      </c>
      <c r="AE262" s="148"/>
      <c r="AF262" s="212" t="str">
        <f t="shared" si="512"/>
        <v>AMC2-S1</v>
      </c>
      <c r="AG262" s="212">
        <f t="shared" si="512"/>
        <v>1</v>
      </c>
      <c r="AH262" s="203">
        <f t="shared" si="513"/>
        <v>2</v>
      </c>
      <c r="AI262" s="203">
        <f t="shared" ca="1" si="514"/>
        <v>2</v>
      </c>
      <c r="AJ262" s="203">
        <f t="shared" ca="1" si="515"/>
        <v>0</v>
      </c>
      <c r="AK262" s="212" t="str">
        <f t="shared" si="516"/>
        <v>N/A</v>
      </c>
      <c r="AL262" s="212">
        <f t="shared" si="516"/>
        <v>0</v>
      </c>
      <c r="AM262" s="203">
        <f t="shared" si="517"/>
        <v>0</v>
      </c>
      <c r="AN262" s="203">
        <f t="shared" ca="1" si="518"/>
        <v>0</v>
      </c>
      <c r="AO262" s="203">
        <f t="shared" ca="1" si="519"/>
        <v>0</v>
      </c>
      <c r="AP262" s="212" t="str">
        <f t="shared" si="520"/>
        <v>N/A</v>
      </c>
      <c r="AQ262" s="212">
        <f t="shared" si="520"/>
        <v>0</v>
      </c>
      <c r="AR262" s="203">
        <f t="shared" si="521"/>
        <v>0</v>
      </c>
      <c r="AS262" s="203">
        <f t="shared" ca="1" si="522"/>
        <v>0</v>
      </c>
      <c r="AT262" s="203">
        <f t="shared" ca="1" si="523"/>
        <v>0</v>
      </c>
      <c r="AU262" s="212" t="str">
        <f t="shared" si="524"/>
        <v>N/A</v>
      </c>
      <c r="AV262" s="212">
        <f t="shared" si="524"/>
        <v>0</v>
      </c>
      <c r="AW262" s="203">
        <f t="shared" si="525"/>
        <v>0</v>
      </c>
      <c r="AX262" s="203">
        <f t="shared" ca="1" si="526"/>
        <v>0</v>
      </c>
      <c r="AY262" s="203">
        <f t="shared" ca="1" si="527"/>
        <v>0</v>
      </c>
      <c r="AZ262" s="212"/>
      <c r="BA262" s="213" t="s">
        <v>141</v>
      </c>
      <c r="BB262" s="213" t="s">
        <v>140</v>
      </c>
      <c r="BC262" s="213" t="s">
        <v>140</v>
      </c>
      <c r="BD262" s="213" t="s">
        <v>140</v>
      </c>
      <c r="BE262" s="148"/>
      <c r="BF262" s="212" t="s">
        <v>1789</v>
      </c>
      <c r="BG262" s="117"/>
      <c r="BH262" s="117"/>
      <c r="BI262" s="149"/>
      <c r="BJ262" s="149"/>
      <c r="BK262" s="149"/>
      <c r="BL262" s="149"/>
      <c r="BM262" s="149"/>
      <c r="BN262" s="149"/>
      <c r="BO262" s="149"/>
      <c r="BP262" s="149"/>
      <c r="BQ262" s="149"/>
      <c r="BR262" s="117">
        <v>0</v>
      </c>
      <c r="BS262" s="117">
        <v>1</v>
      </c>
      <c r="BT262" s="117">
        <v>0</v>
      </c>
      <c r="BU262" s="117">
        <v>0</v>
      </c>
      <c r="BV262" s="117">
        <v>0</v>
      </c>
      <c r="BW262" s="117">
        <v>0</v>
      </c>
      <c r="BX262" s="117">
        <v>0</v>
      </c>
      <c r="BY262" s="117" t="s">
        <v>1790</v>
      </c>
      <c r="BZ262" s="117" t="s">
        <v>1042</v>
      </c>
      <c r="CA262" s="117">
        <v>2</v>
      </c>
      <c r="CB262" s="149">
        <v>46185</v>
      </c>
      <c r="CC262" s="117"/>
      <c r="CD262" s="117"/>
      <c r="CE262" s="148"/>
      <c r="CF262" s="148">
        <f>+L262-CA262</f>
        <v>0</v>
      </c>
    </row>
    <row r="263" spans="1:84" ht="17.25" hidden="1" customHeight="1">
      <c r="A263" s="117"/>
      <c r="B263" s="209" t="s">
        <v>1863</v>
      </c>
      <c r="C263" s="209" t="s">
        <v>2141</v>
      </c>
      <c r="D263" s="209" t="s">
        <v>1007</v>
      </c>
      <c r="E263" s="209" t="s">
        <v>1875</v>
      </c>
      <c r="F263" s="209" t="s">
        <v>1043</v>
      </c>
      <c r="G263" s="209" t="s">
        <v>1044</v>
      </c>
      <c r="H263" s="210">
        <v>188</v>
      </c>
      <c r="I263" s="211" t="s">
        <v>147</v>
      </c>
      <c r="J263" s="144">
        <v>1</v>
      </c>
      <c r="K263" s="145">
        <f t="shared" si="507"/>
        <v>1</v>
      </c>
      <c r="L263" s="202">
        <f t="shared" si="508"/>
        <v>1</v>
      </c>
      <c r="M263" s="212">
        <v>0.3</v>
      </c>
      <c r="N263" s="203">
        <f t="shared" si="509"/>
        <v>0.3</v>
      </c>
      <c r="O263" s="212" t="s">
        <v>137</v>
      </c>
      <c r="P263" s="212" t="s">
        <v>11</v>
      </c>
      <c r="Q263" s="212" t="s">
        <v>154</v>
      </c>
      <c r="R263" s="212"/>
      <c r="S263" s="212"/>
      <c r="T263" s="203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1</v>
      </c>
      <c r="U263" s="203">
        <f t="shared" ca="1" si="510"/>
        <v>0</v>
      </c>
      <c r="V263" s="203">
        <f t="shared" ca="1" si="511"/>
        <v>1</v>
      </c>
      <c r="W263" s="212"/>
      <c r="X263" s="212"/>
      <c r="Y263" s="212"/>
      <c r="Z263" s="212"/>
      <c r="AA263" s="212"/>
      <c r="AB263" s="212"/>
      <c r="AC263" s="214" t="s">
        <v>196</v>
      </c>
      <c r="AD263" s="226" t="s">
        <v>2039</v>
      </c>
      <c r="AE263" s="148"/>
      <c r="AF263" s="212" t="str">
        <f t="shared" si="512"/>
        <v>AMC2-S1</v>
      </c>
      <c r="AG263" s="212">
        <f t="shared" si="512"/>
        <v>1</v>
      </c>
      <c r="AH263" s="203">
        <f t="shared" si="513"/>
        <v>1</v>
      </c>
      <c r="AI263" s="203">
        <f t="shared" ca="1" si="514"/>
        <v>1</v>
      </c>
      <c r="AJ263" s="203">
        <f t="shared" ca="1" si="515"/>
        <v>0</v>
      </c>
      <c r="AK263" s="212" t="str">
        <f t="shared" si="516"/>
        <v>N/A</v>
      </c>
      <c r="AL263" s="212">
        <f t="shared" si="516"/>
        <v>0</v>
      </c>
      <c r="AM263" s="203">
        <f t="shared" si="517"/>
        <v>0</v>
      </c>
      <c r="AN263" s="203">
        <f t="shared" ca="1" si="518"/>
        <v>0</v>
      </c>
      <c r="AO263" s="203">
        <f t="shared" ca="1" si="519"/>
        <v>0</v>
      </c>
      <c r="AP263" s="212" t="str">
        <f t="shared" si="520"/>
        <v>N/A</v>
      </c>
      <c r="AQ263" s="212">
        <f t="shared" si="520"/>
        <v>0</v>
      </c>
      <c r="AR263" s="203">
        <f t="shared" si="521"/>
        <v>0</v>
      </c>
      <c r="AS263" s="203">
        <f t="shared" ca="1" si="522"/>
        <v>0</v>
      </c>
      <c r="AT263" s="203">
        <f t="shared" ca="1" si="523"/>
        <v>0</v>
      </c>
      <c r="AU263" s="212" t="str">
        <f t="shared" si="524"/>
        <v>N/A</v>
      </c>
      <c r="AV263" s="212">
        <f t="shared" si="524"/>
        <v>0</v>
      </c>
      <c r="AW263" s="203">
        <f t="shared" si="525"/>
        <v>0</v>
      </c>
      <c r="AX263" s="203">
        <f t="shared" ca="1" si="526"/>
        <v>0</v>
      </c>
      <c r="AY263" s="203">
        <f t="shared" ca="1" si="527"/>
        <v>0</v>
      </c>
      <c r="AZ263" s="212"/>
      <c r="BA263" s="213" t="s">
        <v>141</v>
      </c>
      <c r="BB263" s="213" t="s">
        <v>140</v>
      </c>
      <c r="BC263" s="213" t="s">
        <v>140</v>
      </c>
      <c r="BD263" s="213" t="s">
        <v>140</v>
      </c>
      <c r="BE263" s="148"/>
      <c r="BF263" s="212" t="s">
        <v>1789</v>
      </c>
      <c r="BG263" s="117"/>
      <c r="BH263" s="117"/>
      <c r="BI263" s="149"/>
      <c r="BJ263" s="149"/>
      <c r="BK263" s="149"/>
      <c r="BL263" s="149"/>
      <c r="BM263" s="149"/>
      <c r="BN263" s="149"/>
      <c r="BO263" s="149"/>
      <c r="BP263" s="149"/>
      <c r="BQ263" s="149"/>
      <c r="BR263" s="117">
        <v>0</v>
      </c>
      <c r="BS263" s="117">
        <v>1</v>
      </c>
      <c r="BT263" s="117">
        <v>0</v>
      </c>
      <c r="BU263" s="117">
        <v>0</v>
      </c>
      <c r="BV263" s="117">
        <v>0</v>
      </c>
      <c r="BW263" s="117">
        <v>0</v>
      </c>
      <c r="BX263" s="117">
        <v>0</v>
      </c>
      <c r="BY263" s="117" t="s">
        <v>1790</v>
      </c>
      <c r="BZ263" s="117" t="s">
        <v>1046</v>
      </c>
      <c r="CA263" s="117">
        <v>1</v>
      </c>
      <c r="CB263" s="149">
        <v>46185</v>
      </c>
      <c r="CC263" s="117"/>
      <c r="CD263" s="117"/>
      <c r="CE263" s="148"/>
      <c r="CF263" s="148">
        <f>+L263-CA263</f>
        <v>0</v>
      </c>
    </row>
    <row r="264" spans="1:84" ht="17.25" hidden="1" customHeight="1">
      <c r="A264" s="117"/>
      <c r="B264" s="209" t="s">
        <v>1863</v>
      </c>
      <c r="C264" s="209" t="s">
        <v>2141</v>
      </c>
      <c r="D264" s="209" t="s">
        <v>1037</v>
      </c>
      <c r="E264" s="209" t="s">
        <v>1823</v>
      </c>
      <c r="F264" s="209"/>
      <c r="G264" s="209" t="s">
        <v>1036</v>
      </c>
      <c r="H264" s="210" t="s">
        <v>1038</v>
      </c>
      <c r="I264" s="211" t="s">
        <v>147</v>
      </c>
      <c r="J264" s="144">
        <v>1</v>
      </c>
      <c r="K264" s="145">
        <f t="shared" si="507"/>
        <v>1</v>
      </c>
      <c r="L264" s="202">
        <f t="shared" si="508"/>
        <v>1</v>
      </c>
      <c r="M264" s="212">
        <v>0.6</v>
      </c>
      <c r="N264" s="203">
        <f t="shared" si="509"/>
        <v>0.6</v>
      </c>
      <c r="O264" s="212" t="s">
        <v>137</v>
      </c>
      <c r="P264" s="212" t="s">
        <v>14</v>
      </c>
      <c r="Q264" s="212" t="s">
        <v>976</v>
      </c>
      <c r="R264" s="212"/>
      <c r="S264" s="212"/>
      <c r="T264" s="203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203">
        <f t="shared" ca="1" si="510"/>
        <v>1</v>
      </c>
      <c r="V264" s="203">
        <f t="shared" ca="1" si="511"/>
        <v>0</v>
      </c>
      <c r="W264" s="212"/>
      <c r="X264" s="212"/>
      <c r="Y264" s="212"/>
      <c r="Z264" s="212"/>
      <c r="AA264" s="212"/>
      <c r="AB264" s="212"/>
      <c r="AC264" s="214" t="s">
        <v>196</v>
      </c>
      <c r="AD264" s="226" t="s">
        <v>2039</v>
      </c>
      <c r="AE264" s="148"/>
      <c r="AF264" s="212" t="str">
        <f t="shared" si="512"/>
        <v>AMC2-S1</v>
      </c>
      <c r="AG264" s="212">
        <f t="shared" si="512"/>
        <v>1</v>
      </c>
      <c r="AH264" s="203">
        <f t="shared" si="513"/>
        <v>1</v>
      </c>
      <c r="AI264" s="203">
        <f t="shared" ca="1" si="514"/>
        <v>0</v>
      </c>
      <c r="AJ264" s="203">
        <f t="shared" ca="1" si="515"/>
        <v>1</v>
      </c>
      <c r="AK264" s="212" t="str">
        <f t="shared" si="516"/>
        <v>N/A</v>
      </c>
      <c r="AL264" s="212">
        <f t="shared" si="516"/>
        <v>0</v>
      </c>
      <c r="AM264" s="203">
        <f t="shared" si="517"/>
        <v>0</v>
      </c>
      <c r="AN264" s="203">
        <f t="shared" ca="1" si="518"/>
        <v>0</v>
      </c>
      <c r="AO264" s="203">
        <f t="shared" ca="1" si="519"/>
        <v>0</v>
      </c>
      <c r="AP264" s="212" t="str">
        <f t="shared" si="520"/>
        <v>N/A</v>
      </c>
      <c r="AQ264" s="212">
        <f t="shared" si="520"/>
        <v>0</v>
      </c>
      <c r="AR264" s="203">
        <f t="shared" si="521"/>
        <v>0</v>
      </c>
      <c r="AS264" s="203">
        <f t="shared" ca="1" si="522"/>
        <v>0</v>
      </c>
      <c r="AT264" s="203">
        <f t="shared" ca="1" si="523"/>
        <v>0</v>
      </c>
      <c r="AU264" s="212" t="str">
        <f t="shared" si="524"/>
        <v>N/A</v>
      </c>
      <c r="AV264" s="212">
        <f t="shared" si="524"/>
        <v>0</v>
      </c>
      <c r="AW264" s="203">
        <f t="shared" si="525"/>
        <v>0</v>
      </c>
      <c r="AX264" s="203">
        <f t="shared" ca="1" si="526"/>
        <v>0</v>
      </c>
      <c r="AY264" s="203">
        <f t="shared" ca="1" si="527"/>
        <v>0</v>
      </c>
      <c r="AZ264" s="212"/>
      <c r="BA264" s="213" t="s">
        <v>141</v>
      </c>
      <c r="BB264" s="213" t="s">
        <v>140</v>
      </c>
      <c r="BC264" s="213" t="s">
        <v>140</v>
      </c>
      <c r="BD264" s="213" t="s">
        <v>140</v>
      </c>
      <c r="BE264" s="148"/>
      <c r="BF264" s="212"/>
      <c r="BG264" s="117"/>
      <c r="BH264" s="117"/>
      <c r="BI264" s="149"/>
      <c r="BJ264" s="149"/>
      <c r="BK264" s="149"/>
      <c r="BL264" s="149"/>
      <c r="BM264" s="149"/>
      <c r="BN264" s="149"/>
      <c r="BO264" s="149"/>
      <c r="BP264" s="149"/>
      <c r="BQ264" s="149"/>
      <c r="BR264" s="117" t="s">
        <v>140</v>
      </c>
      <c r="BS264" s="117" t="s">
        <v>140</v>
      </c>
      <c r="BT264" s="117" t="s">
        <v>140</v>
      </c>
      <c r="BU264" s="117" t="s">
        <v>140</v>
      </c>
      <c r="BV264" s="117" t="s">
        <v>140</v>
      </c>
      <c r="BW264" s="117" t="s">
        <v>140</v>
      </c>
      <c r="BX264" s="117" t="s">
        <v>140</v>
      </c>
      <c r="BY264" s="117" t="s">
        <v>14</v>
      </c>
      <c r="BZ264" s="117"/>
      <c r="CA264" s="117"/>
      <c r="CB264" s="149"/>
      <c r="CC264" s="117"/>
      <c r="CD264" s="117"/>
      <c r="CE264" s="148"/>
      <c r="CF264" s="148"/>
    </row>
    <row r="265" spans="1:84" ht="17.25" hidden="1" customHeight="1">
      <c r="A265" s="162">
        <v>196</v>
      </c>
      <c r="B265" s="177" t="s">
        <v>1863</v>
      </c>
      <c r="C265" s="177" t="s">
        <v>2144</v>
      </c>
      <c r="D265" s="177" t="s">
        <v>1876</v>
      </c>
      <c r="E265" s="177"/>
      <c r="F265" s="177"/>
      <c r="G265" s="177" t="s">
        <v>1877</v>
      </c>
      <c r="H265" s="178"/>
      <c r="I265" s="179"/>
      <c r="J265" s="160"/>
      <c r="K265" s="180">
        <f>+AG265+AL265+AQ265+AV265</f>
        <v>1</v>
      </c>
      <c r="L265" s="160"/>
      <c r="M265" s="181">
        <v>305.60000000000002</v>
      </c>
      <c r="N265" s="181">
        <v>305.60000000000002</v>
      </c>
      <c r="O265" s="181" t="s">
        <v>137</v>
      </c>
      <c r="P265" s="181"/>
      <c r="Q265" s="181"/>
      <c r="R265" s="181"/>
      <c r="S265" s="181"/>
      <c r="T265" s="181"/>
      <c r="U265" s="181"/>
      <c r="V265" s="181"/>
      <c r="W265" s="181">
        <f ca="1">_xlfn.MINIFS(V:V,C:C,C265,AE:AE,"",AB:AB,"")</f>
        <v>0</v>
      </c>
      <c r="X265" s="181">
        <f ca="1">SUMIFS(T:T,C:C,C265,AE:AE,"")/SUMIFS(L:L,C:C,C265,AE:AE,"",AB:AB,"")</f>
        <v>0.39285714285714285</v>
      </c>
      <c r="Y265" s="181"/>
      <c r="Z265" s="181"/>
      <c r="AA265" s="181"/>
      <c r="AB265" s="181"/>
      <c r="AC265" s="228" t="s">
        <v>196</v>
      </c>
      <c r="AD265" s="184" t="s">
        <v>2039</v>
      </c>
      <c r="AE265" s="162" t="s">
        <v>143</v>
      </c>
      <c r="AF265" s="181" t="s">
        <v>1783</v>
      </c>
      <c r="AG265" s="181">
        <v>1</v>
      </c>
      <c r="AH265" s="181"/>
      <c r="AI265" s="181"/>
      <c r="AJ265" s="181"/>
      <c r="AK265" s="181" t="s">
        <v>138</v>
      </c>
      <c r="AL265" s="181">
        <v>0</v>
      </c>
      <c r="AM265" s="181"/>
      <c r="AN265" s="181"/>
      <c r="AO265" s="181"/>
      <c r="AP265" s="181" t="s">
        <v>138</v>
      </c>
      <c r="AQ265" s="181">
        <v>0</v>
      </c>
      <c r="AR265" s="181"/>
      <c r="AS265" s="181"/>
      <c r="AT265" s="181"/>
      <c r="AU265" s="181" t="s">
        <v>138</v>
      </c>
      <c r="AV265" s="181">
        <v>0</v>
      </c>
      <c r="AW265" s="181"/>
      <c r="AX265" s="181"/>
      <c r="AY265" s="181"/>
      <c r="AZ265" s="181"/>
      <c r="BA265" s="182" t="s">
        <v>141</v>
      </c>
      <c r="BB265" s="182" t="s">
        <v>140</v>
      </c>
      <c r="BC265" s="182" t="s">
        <v>140</v>
      </c>
      <c r="BD265" s="182" t="s">
        <v>140</v>
      </c>
      <c r="BE265" s="162" t="s">
        <v>741</v>
      </c>
      <c r="BF265" s="181"/>
      <c r="BG265" s="161"/>
      <c r="BH265" s="161"/>
      <c r="BI265" s="163"/>
      <c r="BJ265" s="163"/>
      <c r="BK265" s="163"/>
      <c r="BL265" s="163"/>
      <c r="BM265" s="163"/>
      <c r="BN265" s="163"/>
      <c r="BO265" s="163"/>
      <c r="BP265" s="163"/>
      <c r="BQ265" s="163"/>
      <c r="BR265" s="161"/>
      <c r="BS265" s="161"/>
      <c r="BT265" s="161"/>
      <c r="BU265" s="161"/>
      <c r="BV265" s="161"/>
      <c r="BW265" s="161"/>
      <c r="BX265" s="161"/>
      <c r="BY265" s="161"/>
      <c r="BZ265" s="161"/>
      <c r="CA265" s="161"/>
      <c r="CB265" s="163"/>
      <c r="CC265" s="161"/>
      <c r="CD265" s="161"/>
      <c r="CE265" s="185"/>
      <c r="CF265" s="185"/>
    </row>
    <row r="266" spans="1:84" ht="17.25" hidden="1" customHeight="1">
      <c r="A266" s="117"/>
      <c r="B266" s="209" t="s">
        <v>1863</v>
      </c>
      <c r="C266" s="209" t="s">
        <v>2144</v>
      </c>
      <c r="D266" s="209" t="s">
        <v>1016</v>
      </c>
      <c r="E266" s="209" t="s">
        <v>1823</v>
      </c>
      <c r="F266" s="209" t="s">
        <v>1052</v>
      </c>
      <c r="G266" s="209" t="s">
        <v>1053</v>
      </c>
      <c r="H266" s="210"/>
      <c r="I266" s="211" t="s">
        <v>1017</v>
      </c>
      <c r="J266" s="144">
        <v>1</v>
      </c>
      <c r="K266" s="145">
        <f t="shared" ref="K266:K271" si="528">K265</f>
        <v>1</v>
      </c>
      <c r="L266" s="202">
        <f t="shared" ref="L266:L271" si="529">+J266*K266</f>
        <v>1</v>
      </c>
      <c r="M266" s="212">
        <v>155</v>
      </c>
      <c r="N266" s="203">
        <f t="shared" ref="N266:N271" si="530">+M266*L266</f>
        <v>155</v>
      </c>
      <c r="O266" s="212" t="s">
        <v>137</v>
      </c>
      <c r="P266" s="212" t="s">
        <v>14</v>
      </c>
      <c r="Q266" s="212" t="s">
        <v>976</v>
      </c>
      <c r="R266" s="212"/>
      <c r="S266" s="212"/>
      <c r="T266" s="203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203">
        <f t="shared" ref="U266:U271" ca="1" si="531">+L266-T266</f>
        <v>1</v>
      </c>
      <c r="V266" s="203">
        <f t="shared" ref="V266:V271" ca="1" si="532">ROUNDDOWN(T266/J266,0)</f>
        <v>0</v>
      </c>
      <c r="W266" s="212"/>
      <c r="X266" s="212"/>
      <c r="Y266" s="212"/>
      <c r="Z266" s="212"/>
      <c r="AA266" s="212"/>
      <c r="AB266" s="212"/>
      <c r="AC266" s="214" t="s">
        <v>196</v>
      </c>
      <c r="AD266" s="226" t="s">
        <v>2039</v>
      </c>
      <c r="AE266" s="148"/>
      <c r="AF266" s="212" t="str">
        <f t="shared" ref="AF266:AG271" si="533">AF265</f>
        <v>AMC2-S1</v>
      </c>
      <c r="AG266" s="212">
        <f t="shared" si="533"/>
        <v>1</v>
      </c>
      <c r="AH266" s="203">
        <f t="shared" ref="AH266:AH271" si="534">+AG266*J266</f>
        <v>1</v>
      </c>
      <c r="AI266" s="203">
        <f t="shared" ref="AI266:AI271" ca="1" si="535">MIN(T266,AH266)</f>
        <v>0</v>
      </c>
      <c r="AJ266" s="203">
        <f t="shared" ref="AJ266:AJ271" ca="1" si="536">+AH266-AI266</f>
        <v>1</v>
      </c>
      <c r="AK266" s="212" t="str">
        <f t="shared" ref="AK266:AL271" si="537">AK265</f>
        <v>N/A</v>
      </c>
      <c r="AL266" s="212">
        <f t="shared" si="537"/>
        <v>0</v>
      </c>
      <c r="AM266" s="203">
        <f t="shared" ref="AM266:AM271" si="538">+AL266*J266</f>
        <v>0</v>
      </c>
      <c r="AN266" s="203">
        <f t="shared" ref="AN266:AN271" ca="1" si="539">MIN(T266-AI266,AL266)</f>
        <v>0</v>
      </c>
      <c r="AO266" s="203">
        <f t="shared" ref="AO266:AO271" ca="1" si="540">+AM266-AN266</f>
        <v>0</v>
      </c>
      <c r="AP266" s="212" t="str">
        <f t="shared" ref="AP266:AQ271" si="541">AP265</f>
        <v>N/A</v>
      </c>
      <c r="AQ266" s="212">
        <f t="shared" si="541"/>
        <v>0</v>
      </c>
      <c r="AR266" s="203">
        <f t="shared" ref="AR266:AR271" si="542">+AQ266*J266</f>
        <v>0</v>
      </c>
      <c r="AS266" s="203">
        <f t="shared" ref="AS266:AS271" ca="1" si="543">MIN(T266-AI266-AN266,AR266)</f>
        <v>0</v>
      </c>
      <c r="AT266" s="203">
        <f t="shared" ref="AT266:AT271" ca="1" si="544">+AR266-AS266</f>
        <v>0</v>
      </c>
      <c r="AU266" s="212" t="str">
        <f t="shared" ref="AU266:AV271" si="545">AU265</f>
        <v>N/A</v>
      </c>
      <c r="AV266" s="212">
        <f t="shared" si="545"/>
        <v>0</v>
      </c>
      <c r="AW266" s="203">
        <f t="shared" ref="AW266:AW271" si="546">+AV266*J266</f>
        <v>0</v>
      </c>
      <c r="AX266" s="203">
        <f t="shared" ref="AX266:AX271" ca="1" si="547">MIN(T266-AI266-AN266-AS266,AW266)</f>
        <v>0</v>
      </c>
      <c r="AY266" s="203">
        <f t="shared" ref="AY266:AY271" ca="1" si="548">+AW266-AX266</f>
        <v>0</v>
      </c>
      <c r="AZ266" s="212"/>
      <c r="BA266" s="213" t="s">
        <v>141</v>
      </c>
      <c r="BB266" s="213" t="s">
        <v>140</v>
      </c>
      <c r="BC266" s="213" t="s">
        <v>140</v>
      </c>
      <c r="BD266" s="213" t="s">
        <v>140</v>
      </c>
      <c r="BE266" s="148"/>
      <c r="BF266" s="212"/>
      <c r="BG266" s="117"/>
      <c r="BH266" s="117"/>
      <c r="BI266" s="149"/>
      <c r="BJ266" s="149"/>
      <c r="BK266" s="149"/>
      <c r="BL266" s="149"/>
      <c r="BM266" s="149"/>
      <c r="BN266" s="149"/>
      <c r="BO266" s="149"/>
      <c r="BP266" s="149"/>
      <c r="BQ266" s="149"/>
      <c r="BR266" s="117" t="s">
        <v>140</v>
      </c>
      <c r="BS266" s="117" t="s">
        <v>140</v>
      </c>
      <c r="BT266" s="117" t="s">
        <v>140</v>
      </c>
      <c r="BU266" s="117" t="s">
        <v>140</v>
      </c>
      <c r="BV266" s="117" t="s">
        <v>140</v>
      </c>
      <c r="BW266" s="117" t="s">
        <v>140</v>
      </c>
      <c r="BX266" s="117" t="s">
        <v>140</v>
      </c>
      <c r="BY266" s="117" t="s">
        <v>14</v>
      </c>
      <c r="BZ266" s="117"/>
      <c r="CA266" s="117"/>
      <c r="CB266" s="149"/>
      <c r="CC266" s="117"/>
      <c r="CD266" s="117"/>
      <c r="CE266" s="148"/>
      <c r="CF266" s="148"/>
    </row>
    <row r="267" spans="1:84" ht="17.25" hidden="1" customHeight="1">
      <c r="A267" s="117"/>
      <c r="B267" s="209" t="s">
        <v>1863</v>
      </c>
      <c r="C267" s="209" t="s">
        <v>2144</v>
      </c>
      <c r="D267" s="209" t="s">
        <v>1010</v>
      </c>
      <c r="E267" s="209" t="s">
        <v>1802</v>
      </c>
      <c r="F267" s="209" t="s">
        <v>1047</v>
      </c>
      <c r="G267" s="209" t="s">
        <v>1048</v>
      </c>
      <c r="H267" s="210">
        <v>761</v>
      </c>
      <c r="I267" s="211" t="s">
        <v>1049</v>
      </c>
      <c r="J267" s="144">
        <v>1</v>
      </c>
      <c r="K267" s="145">
        <f t="shared" si="528"/>
        <v>1</v>
      </c>
      <c r="L267" s="202">
        <f t="shared" si="529"/>
        <v>1</v>
      </c>
      <c r="M267" s="212">
        <f>164.86*H267/1000</f>
        <v>125.45846</v>
      </c>
      <c r="N267" s="203">
        <f t="shared" si="530"/>
        <v>125.45846</v>
      </c>
      <c r="O267" s="212" t="s">
        <v>137</v>
      </c>
      <c r="P267" s="212" t="s">
        <v>11</v>
      </c>
      <c r="Q267" s="212" t="s">
        <v>148</v>
      </c>
      <c r="R267" s="212"/>
      <c r="S267" s="212"/>
      <c r="T267" s="203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1</v>
      </c>
      <c r="U267" s="203">
        <f t="shared" ca="1" si="531"/>
        <v>0</v>
      </c>
      <c r="V267" s="203">
        <f t="shared" ca="1" si="532"/>
        <v>1</v>
      </c>
      <c r="W267" s="212"/>
      <c r="X267" s="212"/>
      <c r="Y267" s="212"/>
      <c r="Z267" s="212"/>
      <c r="AA267" s="212"/>
      <c r="AB267" s="212"/>
      <c r="AC267" s="214" t="s">
        <v>196</v>
      </c>
      <c r="AD267" s="226" t="s">
        <v>2039</v>
      </c>
      <c r="AE267" s="148"/>
      <c r="AF267" s="212" t="str">
        <f t="shared" si="533"/>
        <v>AMC2-S1</v>
      </c>
      <c r="AG267" s="212">
        <f t="shared" si="533"/>
        <v>1</v>
      </c>
      <c r="AH267" s="203">
        <f t="shared" si="534"/>
        <v>1</v>
      </c>
      <c r="AI267" s="203">
        <f t="shared" ca="1" si="535"/>
        <v>1</v>
      </c>
      <c r="AJ267" s="203">
        <f t="shared" ca="1" si="536"/>
        <v>0</v>
      </c>
      <c r="AK267" s="212" t="str">
        <f t="shared" si="537"/>
        <v>N/A</v>
      </c>
      <c r="AL267" s="212">
        <f t="shared" si="537"/>
        <v>0</v>
      </c>
      <c r="AM267" s="203">
        <f t="shared" si="538"/>
        <v>0</v>
      </c>
      <c r="AN267" s="203">
        <f t="shared" ca="1" si="539"/>
        <v>0</v>
      </c>
      <c r="AO267" s="203">
        <f t="shared" ca="1" si="540"/>
        <v>0</v>
      </c>
      <c r="AP267" s="212" t="str">
        <f t="shared" si="541"/>
        <v>N/A</v>
      </c>
      <c r="AQ267" s="212">
        <f t="shared" si="541"/>
        <v>0</v>
      </c>
      <c r="AR267" s="203">
        <f t="shared" si="542"/>
        <v>0</v>
      </c>
      <c r="AS267" s="203">
        <f t="shared" ca="1" si="543"/>
        <v>0</v>
      </c>
      <c r="AT267" s="203">
        <f t="shared" ca="1" si="544"/>
        <v>0</v>
      </c>
      <c r="AU267" s="212" t="str">
        <f t="shared" si="545"/>
        <v>N/A</v>
      </c>
      <c r="AV267" s="212">
        <f t="shared" si="545"/>
        <v>0</v>
      </c>
      <c r="AW267" s="203">
        <f t="shared" si="546"/>
        <v>0</v>
      </c>
      <c r="AX267" s="203">
        <f t="shared" ca="1" si="547"/>
        <v>0</v>
      </c>
      <c r="AY267" s="203">
        <f t="shared" ca="1" si="548"/>
        <v>0</v>
      </c>
      <c r="AZ267" s="212"/>
      <c r="BA267" s="213" t="s">
        <v>141</v>
      </c>
      <c r="BB267" s="213" t="s">
        <v>140</v>
      </c>
      <c r="BC267" s="213" t="s">
        <v>140</v>
      </c>
      <c r="BD267" s="213" t="s">
        <v>140</v>
      </c>
      <c r="BE267" s="148"/>
      <c r="BF267" s="212" t="s">
        <v>1789</v>
      </c>
      <c r="BG267" s="117"/>
      <c r="BH267" s="117"/>
      <c r="BI267" s="149"/>
      <c r="BJ267" s="149"/>
      <c r="BK267" s="149"/>
      <c r="BL267" s="149"/>
      <c r="BM267" s="149"/>
      <c r="BN267" s="149"/>
      <c r="BO267" s="149"/>
      <c r="BP267" s="149"/>
      <c r="BQ267" s="149"/>
      <c r="BR267" s="117">
        <v>0</v>
      </c>
      <c r="BS267" s="117">
        <v>0</v>
      </c>
      <c r="BT267" s="117">
        <v>0</v>
      </c>
      <c r="BU267" s="117">
        <v>1</v>
      </c>
      <c r="BV267" s="117">
        <v>0</v>
      </c>
      <c r="BW267" s="117">
        <v>0</v>
      </c>
      <c r="BX267" s="117">
        <v>0</v>
      </c>
      <c r="BY267" s="117" t="s">
        <v>1790</v>
      </c>
      <c r="BZ267" s="117" t="s">
        <v>1051</v>
      </c>
      <c r="CA267" s="117">
        <v>1</v>
      </c>
      <c r="CB267" s="149">
        <v>46185</v>
      </c>
      <c r="CC267" s="117"/>
      <c r="CD267" s="117"/>
      <c r="CE267" s="148"/>
      <c r="CF267" s="148">
        <f>+L267-CA267</f>
        <v>0</v>
      </c>
    </row>
    <row r="268" spans="1:84" ht="17.25" hidden="1" customHeight="1">
      <c r="A268" s="117"/>
      <c r="B268" s="209" t="s">
        <v>1863</v>
      </c>
      <c r="C268" s="209" t="s">
        <v>2144</v>
      </c>
      <c r="D268" s="209" t="s">
        <v>13</v>
      </c>
      <c r="E268" s="209" t="s">
        <v>1788</v>
      </c>
      <c r="F268" s="209" t="s">
        <v>1056</v>
      </c>
      <c r="G268" s="209" t="s">
        <v>1057</v>
      </c>
      <c r="H268" s="210">
        <v>250</v>
      </c>
      <c r="I268" s="211" t="s">
        <v>147</v>
      </c>
      <c r="J268" s="144">
        <v>1</v>
      </c>
      <c r="K268" s="145">
        <f t="shared" si="528"/>
        <v>1</v>
      </c>
      <c r="L268" s="202">
        <f t="shared" si="529"/>
        <v>1</v>
      </c>
      <c r="M268" s="212">
        <v>10.5</v>
      </c>
      <c r="N268" s="203">
        <f t="shared" si="530"/>
        <v>10.5</v>
      </c>
      <c r="O268" s="212" t="s">
        <v>137</v>
      </c>
      <c r="P268" s="212" t="s">
        <v>13</v>
      </c>
      <c r="Q268" s="212" t="s">
        <v>148</v>
      </c>
      <c r="R268" s="212"/>
      <c r="S268" s="212"/>
      <c r="T268" s="203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203">
        <f t="shared" ca="1" si="531"/>
        <v>0</v>
      </c>
      <c r="V268" s="203">
        <f t="shared" ca="1" si="532"/>
        <v>1</v>
      </c>
      <c r="W268" s="212"/>
      <c r="X268" s="212"/>
      <c r="Y268" s="212"/>
      <c r="Z268" s="212"/>
      <c r="AA268" s="212"/>
      <c r="AB268" s="212"/>
      <c r="AC268" s="214" t="s">
        <v>196</v>
      </c>
      <c r="AD268" s="226" t="s">
        <v>2039</v>
      </c>
      <c r="AE268" s="148"/>
      <c r="AF268" s="212" t="str">
        <f t="shared" si="533"/>
        <v>AMC2-S1</v>
      </c>
      <c r="AG268" s="212">
        <f t="shared" si="533"/>
        <v>1</v>
      </c>
      <c r="AH268" s="203">
        <f t="shared" si="534"/>
        <v>1</v>
      </c>
      <c r="AI268" s="203">
        <f t="shared" ca="1" si="535"/>
        <v>1</v>
      </c>
      <c r="AJ268" s="203">
        <f t="shared" ca="1" si="536"/>
        <v>0</v>
      </c>
      <c r="AK268" s="212" t="str">
        <f t="shared" si="537"/>
        <v>N/A</v>
      </c>
      <c r="AL268" s="212">
        <f t="shared" si="537"/>
        <v>0</v>
      </c>
      <c r="AM268" s="203">
        <f t="shared" si="538"/>
        <v>0</v>
      </c>
      <c r="AN268" s="203">
        <f t="shared" ca="1" si="539"/>
        <v>0</v>
      </c>
      <c r="AO268" s="203">
        <f t="shared" ca="1" si="540"/>
        <v>0</v>
      </c>
      <c r="AP268" s="212" t="str">
        <f t="shared" si="541"/>
        <v>N/A</v>
      </c>
      <c r="AQ268" s="212">
        <f t="shared" si="541"/>
        <v>0</v>
      </c>
      <c r="AR268" s="203">
        <f t="shared" si="542"/>
        <v>0</v>
      </c>
      <c r="AS268" s="203">
        <f t="shared" ca="1" si="543"/>
        <v>0</v>
      </c>
      <c r="AT268" s="203">
        <f t="shared" ca="1" si="544"/>
        <v>0</v>
      </c>
      <c r="AU268" s="212" t="str">
        <f t="shared" si="545"/>
        <v>N/A</v>
      </c>
      <c r="AV268" s="212">
        <f t="shared" si="545"/>
        <v>0</v>
      </c>
      <c r="AW268" s="203">
        <f t="shared" si="546"/>
        <v>0</v>
      </c>
      <c r="AX268" s="203">
        <f t="shared" ca="1" si="547"/>
        <v>0</v>
      </c>
      <c r="AY268" s="203">
        <f t="shared" ca="1" si="548"/>
        <v>0</v>
      </c>
      <c r="AZ268" s="212"/>
      <c r="BA268" s="213" t="s">
        <v>141</v>
      </c>
      <c r="BB268" s="213" t="s">
        <v>140</v>
      </c>
      <c r="BC268" s="213" t="s">
        <v>140</v>
      </c>
      <c r="BD268" s="213" t="s">
        <v>140</v>
      </c>
      <c r="BE268" s="148"/>
      <c r="BF268" s="212" t="s">
        <v>1789</v>
      </c>
      <c r="BG268" s="117"/>
      <c r="BH268" s="117"/>
      <c r="BI268" s="149"/>
      <c r="BJ268" s="149"/>
      <c r="BK268" s="149"/>
      <c r="BL268" s="149"/>
      <c r="BM268" s="149"/>
      <c r="BN268" s="149"/>
      <c r="BO268" s="149"/>
      <c r="BP268" s="149"/>
      <c r="BQ268" s="149"/>
      <c r="BR268" s="117">
        <v>0</v>
      </c>
      <c r="BS268" s="117">
        <v>0</v>
      </c>
      <c r="BT268" s="117">
        <v>0</v>
      </c>
      <c r="BU268" s="117">
        <v>0</v>
      </c>
      <c r="BV268" s="117">
        <v>0</v>
      </c>
      <c r="BW268" s="117">
        <v>0</v>
      </c>
      <c r="BX268" s="117">
        <v>0</v>
      </c>
      <c r="BY268" s="117" t="s">
        <v>1790</v>
      </c>
      <c r="BZ268" s="117" t="s">
        <v>1060</v>
      </c>
      <c r="CA268" s="117">
        <v>1</v>
      </c>
      <c r="CB268" s="149">
        <v>46186</v>
      </c>
      <c r="CC268" s="117"/>
      <c r="CD268" s="117"/>
      <c r="CE268" s="148"/>
      <c r="CF268" s="148">
        <f>+L268-CA268</f>
        <v>0</v>
      </c>
    </row>
    <row r="269" spans="1:84" ht="17.25" hidden="1" customHeight="1">
      <c r="A269" s="117"/>
      <c r="B269" s="209" t="s">
        <v>1863</v>
      </c>
      <c r="C269" s="209" t="s">
        <v>2144</v>
      </c>
      <c r="D269" s="209" t="s">
        <v>13</v>
      </c>
      <c r="E269" s="209" t="s">
        <v>1791</v>
      </c>
      <c r="F269" s="209" t="s">
        <v>1061</v>
      </c>
      <c r="G269" s="209" t="s">
        <v>1062</v>
      </c>
      <c r="H269" s="210">
        <v>620</v>
      </c>
      <c r="I269" s="211" t="s">
        <v>147</v>
      </c>
      <c r="J269" s="144">
        <v>2</v>
      </c>
      <c r="K269" s="145">
        <f t="shared" si="528"/>
        <v>1</v>
      </c>
      <c r="L269" s="202">
        <f t="shared" si="529"/>
        <v>2</v>
      </c>
      <c r="M269" s="212">
        <v>2.9</v>
      </c>
      <c r="N269" s="203">
        <f t="shared" si="530"/>
        <v>5.8</v>
      </c>
      <c r="O269" s="212" t="s">
        <v>137</v>
      </c>
      <c r="P269" s="212" t="s">
        <v>13</v>
      </c>
      <c r="Q269" s="212" t="s">
        <v>148</v>
      </c>
      <c r="R269" s="212"/>
      <c r="S269" s="212"/>
      <c r="T269" s="203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2</v>
      </c>
      <c r="U269" s="203">
        <f t="shared" ca="1" si="531"/>
        <v>0</v>
      </c>
      <c r="V269" s="203">
        <f t="shared" ca="1" si="532"/>
        <v>1</v>
      </c>
      <c r="W269" s="212"/>
      <c r="X269" s="212"/>
      <c r="Y269" s="212"/>
      <c r="Z269" s="212"/>
      <c r="AA269" s="212"/>
      <c r="AB269" s="212"/>
      <c r="AC269" s="214" t="s">
        <v>196</v>
      </c>
      <c r="AD269" s="226" t="s">
        <v>2039</v>
      </c>
      <c r="AE269" s="148"/>
      <c r="AF269" s="212" t="str">
        <f t="shared" si="533"/>
        <v>AMC2-S1</v>
      </c>
      <c r="AG269" s="212">
        <f t="shared" si="533"/>
        <v>1</v>
      </c>
      <c r="AH269" s="203">
        <f t="shared" si="534"/>
        <v>2</v>
      </c>
      <c r="AI269" s="203">
        <f t="shared" ca="1" si="535"/>
        <v>2</v>
      </c>
      <c r="AJ269" s="203">
        <f t="shared" ca="1" si="536"/>
        <v>0</v>
      </c>
      <c r="AK269" s="212" t="str">
        <f t="shared" si="537"/>
        <v>N/A</v>
      </c>
      <c r="AL269" s="212">
        <f t="shared" si="537"/>
        <v>0</v>
      </c>
      <c r="AM269" s="203">
        <f t="shared" si="538"/>
        <v>0</v>
      </c>
      <c r="AN269" s="203">
        <f t="shared" ca="1" si="539"/>
        <v>0</v>
      </c>
      <c r="AO269" s="203">
        <f t="shared" ca="1" si="540"/>
        <v>0</v>
      </c>
      <c r="AP269" s="212" t="str">
        <f t="shared" si="541"/>
        <v>N/A</v>
      </c>
      <c r="AQ269" s="212">
        <f t="shared" si="541"/>
        <v>0</v>
      </c>
      <c r="AR269" s="203">
        <f t="shared" si="542"/>
        <v>0</v>
      </c>
      <c r="AS269" s="203">
        <f t="shared" ca="1" si="543"/>
        <v>0</v>
      </c>
      <c r="AT269" s="203">
        <f t="shared" ca="1" si="544"/>
        <v>0</v>
      </c>
      <c r="AU269" s="212" t="str">
        <f t="shared" si="545"/>
        <v>N/A</v>
      </c>
      <c r="AV269" s="212">
        <f t="shared" si="545"/>
        <v>0</v>
      </c>
      <c r="AW269" s="203">
        <f t="shared" si="546"/>
        <v>0</v>
      </c>
      <c r="AX269" s="203">
        <f t="shared" ca="1" si="547"/>
        <v>0</v>
      </c>
      <c r="AY269" s="203">
        <f t="shared" ca="1" si="548"/>
        <v>0</v>
      </c>
      <c r="AZ269" s="212"/>
      <c r="BA269" s="213" t="s">
        <v>141</v>
      </c>
      <c r="BB269" s="213" t="s">
        <v>140</v>
      </c>
      <c r="BC269" s="213" t="s">
        <v>140</v>
      </c>
      <c r="BD269" s="213" t="s">
        <v>140</v>
      </c>
      <c r="BE269" s="148"/>
      <c r="BF269" s="212" t="s">
        <v>1789</v>
      </c>
      <c r="BG269" s="117"/>
      <c r="BH269" s="117"/>
      <c r="BI269" s="149"/>
      <c r="BJ269" s="149"/>
      <c r="BK269" s="149"/>
      <c r="BL269" s="149"/>
      <c r="BM269" s="149"/>
      <c r="BN269" s="149"/>
      <c r="BO269" s="149"/>
      <c r="BP269" s="149"/>
      <c r="BQ269" s="149"/>
      <c r="BR269" s="117">
        <v>0</v>
      </c>
      <c r="BS269" s="117">
        <v>0</v>
      </c>
      <c r="BT269" s="117">
        <v>0</v>
      </c>
      <c r="BU269" s="117">
        <v>0</v>
      </c>
      <c r="BV269" s="117">
        <v>0</v>
      </c>
      <c r="BW269" s="117">
        <v>0</v>
      </c>
      <c r="BX269" s="117">
        <v>0</v>
      </c>
      <c r="BY269" s="117" t="s">
        <v>1790</v>
      </c>
      <c r="BZ269" s="117" t="s">
        <v>1063</v>
      </c>
      <c r="CA269" s="117">
        <v>2</v>
      </c>
      <c r="CB269" s="149">
        <v>46206</v>
      </c>
      <c r="CC269" s="117"/>
      <c r="CD269" s="117"/>
      <c r="CE269" s="148"/>
      <c r="CF269" s="148">
        <f>+L269-CA269</f>
        <v>0</v>
      </c>
    </row>
    <row r="270" spans="1:84" ht="17.25" hidden="1" customHeight="1">
      <c r="A270" s="117"/>
      <c r="B270" s="209" t="s">
        <v>1863</v>
      </c>
      <c r="C270" s="209" t="s">
        <v>2144</v>
      </c>
      <c r="D270" s="209" t="s">
        <v>13</v>
      </c>
      <c r="E270" s="209" t="s">
        <v>1792</v>
      </c>
      <c r="F270" s="209" t="s">
        <v>1064</v>
      </c>
      <c r="G270" s="209" t="s">
        <v>1065</v>
      </c>
      <c r="H270" s="210">
        <v>80</v>
      </c>
      <c r="I270" s="211" t="s">
        <v>147</v>
      </c>
      <c r="J270" s="144">
        <v>1</v>
      </c>
      <c r="K270" s="145">
        <f t="shared" si="528"/>
        <v>1</v>
      </c>
      <c r="L270" s="202">
        <f t="shared" si="529"/>
        <v>1</v>
      </c>
      <c r="M270" s="212">
        <v>0.4</v>
      </c>
      <c r="N270" s="203">
        <f t="shared" si="530"/>
        <v>0.4</v>
      </c>
      <c r="O270" s="212" t="s">
        <v>137</v>
      </c>
      <c r="P270" s="212" t="s">
        <v>13</v>
      </c>
      <c r="Q270" s="212" t="s">
        <v>148</v>
      </c>
      <c r="R270" s="212"/>
      <c r="S270" s="212"/>
      <c r="T270" s="203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203">
        <f t="shared" ca="1" si="531"/>
        <v>0</v>
      </c>
      <c r="V270" s="203">
        <f t="shared" ca="1" si="532"/>
        <v>1</v>
      </c>
      <c r="W270" s="212"/>
      <c r="X270" s="212"/>
      <c r="Y270" s="212"/>
      <c r="Z270" s="212"/>
      <c r="AA270" s="212"/>
      <c r="AB270" s="212"/>
      <c r="AC270" s="214" t="s">
        <v>196</v>
      </c>
      <c r="AD270" s="226" t="s">
        <v>2039</v>
      </c>
      <c r="AE270" s="148"/>
      <c r="AF270" s="212" t="str">
        <f t="shared" si="533"/>
        <v>AMC2-S1</v>
      </c>
      <c r="AG270" s="212">
        <f t="shared" si="533"/>
        <v>1</v>
      </c>
      <c r="AH270" s="203">
        <f t="shared" si="534"/>
        <v>1</v>
      </c>
      <c r="AI270" s="203">
        <f t="shared" ca="1" si="535"/>
        <v>1</v>
      </c>
      <c r="AJ270" s="203">
        <f t="shared" ca="1" si="536"/>
        <v>0</v>
      </c>
      <c r="AK270" s="212" t="str">
        <f t="shared" si="537"/>
        <v>N/A</v>
      </c>
      <c r="AL270" s="212">
        <f t="shared" si="537"/>
        <v>0</v>
      </c>
      <c r="AM270" s="203">
        <f t="shared" si="538"/>
        <v>0</v>
      </c>
      <c r="AN270" s="203">
        <f t="shared" ca="1" si="539"/>
        <v>0</v>
      </c>
      <c r="AO270" s="203">
        <f t="shared" ca="1" si="540"/>
        <v>0</v>
      </c>
      <c r="AP270" s="212" t="str">
        <f t="shared" si="541"/>
        <v>N/A</v>
      </c>
      <c r="AQ270" s="212">
        <f t="shared" si="541"/>
        <v>0</v>
      </c>
      <c r="AR270" s="203">
        <f t="shared" si="542"/>
        <v>0</v>
      </c>
      <c r="AS270" s="203">
        <f t="shared" ca="1" si="543"/>
        <v>0</v>
      </c>
      <c r="AT270" s="203">
        <f t="shared" ca="1" si="544"/>
        <v>0</v>
      </c>
      <c r="AU270" s="212" t="str">
        <f t="shared" si="545"/>
        <v>N/A</v>
      </c>
      <c r="AV270" s="212">
        <f t="shared" si="545"/>
        <v>0</v>
      </c>
      <c r="AW270" s="203">
        <f t="shared" si="546"/>
        <v>0</v>
      </c>
      <c r="AX270" s="203">
        <f t="shared" ca="1" si="547"/>
        <v>0</v>
      </c>
      <c r="AY270" s="203">
        <f t="shared" ca="1" si="548"/>
        <v>0</v>
      </c>
      <c r="AZ270" s="212"/>
      <c r="BA270" s="213" t="s">
        <v>141</v>
      </c>
      <c r="BB270" s="213" t="s">
        <v>140</v>
      </c>
      <c r="BC270" s="213" t="s">
        <v>140</v>
      </c>
      <c r="BD270" s="213" t="s">
        <v>140</v>
      </c>
      <c r="BE270" s="148"/>
      <c r="BF270" s="212" t="s">
        <v>1789</v>
      </c>
      <c r="BG270" s="117"/>
      <c r="BH270" s="117"/>
      <c r="BI270" s="149"/>
      <c r="BJ270" s="149"/>
      <c r="BK270" s="149"/>
      <c r="BL270" s="149"/>
      <c r="BM270" s="149"/>
      <c r="BN270" s="149"/>
      <c r="BO270" s="149"/>
      <c r="BP270" s="149"/>
      <c r="BQ270" s="149"/>
      <c r="BR270" s="117">
        <v>0</v>
      </c>
      <c r="BS270" s="117">
        <v>0</v>
      </c>
      <c r="BT270" s="117">
        <v>0</v>
      </c>
      <c r="BU270" s="117">
        <v>0</v>
      </c>
      <c r="BV270" s="117">
        <v>0</v>
      </c>
      <c r="BW270" s="117">
        <v>0</v>
      </c>
      <c r="BX270" s="117">
        <v>0</v>
      </c>
      <c r="BY270" s="117" t="s">
        <v>1790</v>
      </c>
      <c r="BZ270" s="117" t="s">
        <v>1063</v>
      </c>
      <c r="CA270" s="117">
        <v>1</v>
      </c>
      <c r="CB270" s="149">
        <v>46206</v>
      </c>
      <c r="CC270" s="117"/>
      <c r="CD270" s="117"/>
      <c r="CE270" s="148"/>
      <c r="CF270" s="148">
        <f>+L270-CA270</f>
        <v>0</v>
      </c>
    </row>
    <row r="271" spans="1:84" ht="17.25" customHeight="1">
      <c r="A271" s="117"/>
      <c r="B271" s="209" t="s">
        <v>1863</v>
      </c>
      <c r="C271" s="209" t="s">
        <v>2144</v>
      </c>
      <c r="D271" s="209" t="s">
        <v>1055</v>
      </c>
      <c r="E271" s="209" t="s">
        <v>1878</v>
      </c>
      <c r="F271" s="209" t="s">
        <v>1054</v>
      </c>
      <c r="G271" s="209" t="s">
        <v>140</v>
      </c>
      <c r="H271" s="210"/>
      <c r="I271" s="211"/>
      <c r="J271" s="144">
        <v>1</v>
      </c>
      <c r="K271" s="145">
        <f t="shared" si="528"/>
        <v>1</v>
      </c>
      <c r="L271" s="202">
        <f t="shared" si="529"/>
        <v>1</v>
      </c>
      <c r="M271" s="212">
        <v>0.1</v>
      </c>
      <c r="N271" s="203">
        <f t="shared" si="530"/>
        <v>0.1</v>
      </c>
      <c r="O271" s="212" t="s">
        <v>137</v>
      </c>
      <c r="P271" s="212" t="s">
        <v>14</v>
      </c>
      <c r="Q271" s="212" t="s">
        <v>976</v>
      </c>
      <c r="R271" s="212"/>
      <c r="S271" s="212"/>
      <c r="T271" s="203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1</v>
      </c>
      <c r="U271" s="203">
        <f t="shared" ca="1" si="531"/>
        <v>0</v>
      </c>
      <c r="V271" s="203">
        <f t="shared" ca="1" si="532"/>
        <v>1</v>
      </c>
      <c r="W271" s="212"/>
      <c r="X271" s="212"/>
      <c r="Y271" s="212"/>
      <c r="Z271" s="212"/>
      <c r="AA271" s="212"/>
      <c r="AB271" s="212"/>
      <c r="AC271" s="214" t="s">
        <v>196</v>
      </c>
      <c r="AD271" s="226" t="s">
        <v>2039</v>
      </c>
      <c r="AE271" s="148"/>
      <c r="AF271" s="212" t="str">
        <f t="shared" si="533"/>
        <v>AMC2-S1</v>
      </c>
      <c r="AG271" s="212">
        <f t="shared" si="533"/>
        <v>1</v>
      </c>
      <c r="AH271" s="203">
        <f t="shared" si="534"/>
        <v>1</v>
      </c>
      <c r="AI271" s="203">
        <f t="shared" ca="1" si="535"/>
        <v>1</v>
      </c>
      <c r="AJ271" s="203">
        <f t="shared" ca="1" si="536"/>
        <v>0</v>
      </c>
      <c r="AK271" s="212" t="str">
        <f t="shared" si="537"/>
        <v>N/A</v>
      </c>
      <c r="AL271" s="212">
        <f t="shared" si="537"/>
        <v>0</v>
      </c>
      <c r="AM271" s="203">
        <f t="shared" si="538"/>
        <v>0</v>
      </c>
      <c r="AN271" s="203">
        <f t="shared" ca="1" si="539"/>
        <v>0</v>
      </c>
      <c r="AO271" s="203">
        <f t="shared" ca="1" si="540"/>
        <v>0</v>
      </c>
      <c r="AP271" s="212" t="str">
        <f t="shared" si="541"/>
        <v>N/A</v>
      </c>
      <c r="AQ271" s="212">
        <f t="shared" si="541"/>
        <v>0</v>
      </c>
      <c r="AR271" s="203">
        <f t="shared" si="542"/>
        <v>0</v>
      </c>
      <c r="AS271" s="203">
        <f t="shared" ca="1" si="543"/>
        <v>0</v>
      </c>
      <c r="AT271" s="203">
        <f t="shared" ca="1" si="544"/>
        <v>0</v>
      </c>
      <c r="AU271" s="212" t="str">
        <f t="shared" si="545"/>
        <v>N/A</v>
      </c>
      <c r="AV271" s="212">
        <f t="shared" si="545"/>
        <v>0</v>
      </c>
      <c r="AW271" s="203">
        <f t="shared" si="546"/>
        <v>0</v>
      </c>
      <c r="AX271" s="203">
        <f t="shared" ca="1" si="547"/>
        <v>0</v>
      </c>
      <c r="AY271" s="203">
        <f t="shared" ca="1" si="548"/>
        <v>0</v>
      </c>
      <c r="AZ271" s="212"/>
      <c r="BA271" s="213" t="s">
        <v>141</v>
      </c>
      <c r="BB271" s="213" t="s">
        <v>140</v>
      </c>
      <c r="BC271" s="213" t="s">
        <v>140</v>
      </c>
      <c r="BD271" s="213" t="s">
        <v>140</v>
      </c>
      <c r="BE271" s="148"/>
      <c r="BF271" s="212"/>
      <c r="BG271" s="117"/>
      <c r="BH271" s="117"/>
      <c r="BI271" s="149"/>
      <c r="BJ271" s="149"/>
      <c r="BK271" s="149"/>
      <c r="BL271" s="149"/>
      <c r="BM271" s="149"/>
      <c r="BN271" s="149"/>
      <c r="BO271" s="149"/>
      <c r="BP271" s="149"/>
      <c r="BQ271" s="149"/>
      <c r="BR271" s="117" t="s">
        <v>140</v>
      </c>
      <c r="BS271" s="117" t="s">
        <v>140</v>
      </c>
      <c r="BT271" s="117" t="s">
        <v>140</v>
      </c>
      <c r="BU271" s="117" t="s">
        <v>140</v>
      </c>
      <c r="BV271" s="117" t="s">
        <v>140</v>
      </c>
      <c r="BW271" s="117" t="s">
        <v>140</v>
      </c>
      <c r="BX271" s="117" t="s">
        <v>140</v>
      </c>
      <c r="BY271" s="117" t="s">
        <v>14</v>
      </c>
      <c r="BZ271" s="117"/>
      <c r="CA271" s="117"/>
      <c r="CB271" s="149"/>
      <c r="CC271" s="117"/>
      <c r="CD271" s="117"/>
      <c r="CE271" s="148"/>
      <c r="CF271" s="148"/>
    </row>
    <row r="272" spans="1:84" ht="17.25" hidden="1" customHeight="1">
      <c r="A272" s="162">
        <v>197</v>
      </c>
      <c r="B272" s="177" t="s">
        <v>1863</v>
      </c>
      <c r="C272" s="177" t="s">
        <v>2146</v>
      </c>
      <c r="D272" s="177" t="s">
        <v>1879</v>
      </c>
      <c r="E272" s="177"/>
      <c r="F272" s="177"/>
      <c r="G272" s="177" t="s">
        <v>1880</v>
      </c>
      <c r="H272" s="178"/>
      <c r="I272" s="179"/>
      <c r="J272" s="160"/>
      <c r="K272" s="180">
        <f>+AG272+AL272+AQ272+AV272</f>
        <v>1</v>
      </c>
      <c r="L272" s="160"/>
      <c r="M272" s="181">
        <v>250.4</v>
      </c>
      <c r="N272" s="181">
        <v>250.4</v>
      </c>
      <c r="O272" s="181" t="s">
        <v>137</v>
      </c>
      <c r="P272" s="181"/>
      <c r="Q272" s="181"/>
      <c r="R272" s="181"/>
      <c r="S272" s="181"/>
      <c r="T272" s="181"/>
      <c r="U272" s="181"/>
      <c r="V272" s="181"/>
      <c r="W272" s="181">
        <f ca="1">_xlfn.MINIFS(V:V,C:C,C272,AE:AE,"",AB:AB,"")</f>
        <v>0</v>
      </c>
      <c r="X272" s="181">
        <f ca="1">SUMIFS(T:T,C:C,C272,AE:AE,"")/SUMIFS(L:L,C:C,C272,AE:AE,"",AB:AB,"")</f>
        <v>0.3125</v>
      </c>
      <c r="Y272" s="181"/>
      <c r="Z272" s="181"/>
      <c r="AA272" s="181"/>
      <c r="AB272" s="181"/>
      <c r="AC272" s="228" t="s">
        <v>196</v>
      </c>
      <c r="AD272" s="184" t="s">
        <v>2039</v>
      </c>
      <c r="AE272" s="162" t="s">
        <v>143</v>
      </c>
      <c r="AF272" s="181" t="s">
        <v>1783</v>
      </c>
      <c r="AG272" s="181">
        <v>1</v>
      </c>
      <c r="AH272" s="181"/>
      <c r="AI272" s="181"/>
      <c r="AJ272" s="181"/>
      <c r="AK272" s="181" t="s">
        <v>138</v>
      </c>
      <c r="AL272" s="181">
        <v>0</v>
      </c>
      <c r="AM272" s="181"/>
      <c r="AN272" s="181"/>
      <c r="AO272" s="181"/>
      <c r="AP272" s="181" t="s">
        <v>138</v>
      </c>
      <c r="AQ272" s="181">
        <v>0</v>
      </c>
      <c r="AR272" s="181"/>
      <c r="AS272" s="181"/>
      <c r="AT272" s="181"/>
      <c r="AU272" s="181" t="s">
        <v>138</v>
      </c>
      <c r="AV272" s="181">
        <v>0</v>
      </c>
      <c r="AW272" s="181"/>
      <c r="AX272" s="181"/>
      <c r="AY272" s="181"/>
      <c r="AZ272" s="181"/>
      <c r="BA272" s="182" t="s">
        <v>141</v>
      </c>
      <c r="BB272" s="182" t="s">
        <v>140</v>
      </c>
      <c r="BC272" s="182" t="s">
        <v>140</v>
      </c>
      <c r="BD272" s="182" t="s">
        <v>140</v>
      </c>
      <c r="BE272" s="162" t="s">
        <v>741</v>
      </c>
      <c r="BF272" s="181"/>
      <c r="BG272" s="161"/>
      <c r="BH272" s="161"/>
      <c r="BI272" s="163"/>
      <c r="BJ272" s="163"/>
      <c r="BK272" s="163"/>
      <c r="BL272" s="163"/>
      <c r="BM272" s="163"/>
      <c r="BN272" s="163"/>
      <c r="BO272" s="163"/>
      <c r="BP272" s="163"/>
      <c r="BQ272" s="163"/>
      <c r="BR272" s="161"/>
      <c r="BS272" s="161"/>
      <c r="BT272" s="161"/>
      <c r="BU272" s="161"/>
      <c r="BV272" s="161"/>
      <c r="BW272" s="161"/>
      <c r="BX272" s="161"/>
      <c r="BY272" s="161"/>
      <c r="BZ272" s="161"/>
      <c r="CA272" s="161"/>
      <c r="CB272" s="163"/>
      <c r="CC272" s="161"/>
      <c r="CD272" s="161"/>
      <c r="CE272" s="185"/>
      <c r="CF272" s="185"/>
    </row>
    <row r="273" spans="1:84" ht="17.25" hidden="1" customHeight="1">
      <c r="A273" s="117"/>
      <c r="B273" s="209" t="s">
        <v>1863</v>
      </c>
      <c r="C273" s="209" t="s">
        <v>2146</v>
      </c>
      <c r="D273" s="209" t="s">
        <v>1016</v>
      </c>
      <c r="E273" s="209" t="s">
        <v>1823</v>
      </c>
      <c r="F273" s="209" t="s">
        <v>1067</v>
      </c>
      <c r="G273" s="209" t="s">
        <v>1053</v>
      </c>
      <c r="H273" s="210"/>
      <c r="I273" s="211" t="s">
        <v>1017</v>
      </c>
      <c r="J273" s="144">
        <v>1</v>
      </c>
      <c r="K273" s="145">
        <f t="shared" ref="K273:K276" si="549">K272</f>
        <v>1</v>
      </c>
      <c r="L273" s="202">
        <f t="shared" ref="L273:L276" si="550">+J273*K273</f>
        <v>1</v>
      </c>
      <c r="M273" s="212">
        <v>155</v>
      </c>
      <c r="N273" s="203">
        <f t="shared" ref="N273:N276" si="551">+M273*L273</f>
        <v>155</v>
      </c>
      <c r="O273" s="212" t="s">
        <v>137</v>
      </c>
      <c r="P273" s="212" t="s">
        <v>14</v>
      </c>
      <c r="Q273" s="212" t="s">
        <v>976</v>
      </c>
      <c r="R273" s="212"/>
      <c r="S273" s="212"/>
      <c r="T273" s="203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0</v>
      </c>
      <c r="U273" s="203">
        <f t="shared" ref="U273:U276" ca="1" si="552">+L273-T273</f>
        <v>1</v>
      </c>
      <c r="V273" s="203">
        <f t="shared" ref="V273:V276" ca="1" si="553">ROUNDDOWN(T273/J273,0)</f>
        <v>0</v>
      </c>
      <c r="W273" s="212"/>
      <c r="X273" s="212"/>
      <c r="Y273" s="212"/>
      <c r="Z273" s="212"/>
      <c r="AA273" s="212"/>
      <c r="AB273" s="212"/>
      <c r="AC273" s="214" t="s">
        <v>196</v>
      </c>
      <c r="AD273" s="226" t="s">
        <v>2039</v>
      </c>
      <c r="AE273" s="148"/>
      <c r="AF273" s="212" t="str">
        <f t="shared" ref="AF273:AG276" si="554">AF272</f>
        <v>AMC2-S1</v>
      </c>
      <c r="AG273" s="212">
        <f t="shared" si="554"/>
        <v>1</v>
      </c>
      <c r="AH273" s="203">
        <f t="shared" ref="AH273:AH276" si="555">+AG273*J273</f>
        <v>1</v>
      </c>
      <c r="AI273" s="203">
        <f t="shared" ref="AI273:AI276" ca="1" si="556">MIN(T273,AH273)</f>
        <v>0</v>
      </c>
      <c r="AJ273" s="203">
        <f t="shared" ref="AJ273:AJ276" ca="1" si="557">+AH273-AI273</f>
        <v>1</v>
      </c>
      <c r="AK273" s="212" t="str">
        <f t="shared" ref="AK273:AL276" si="558">AK272</f>
        <v>N/A</v>
      </c>
      <c r="AL273" s="212">
        <f t="shared" si="558"/>
        <v>0</v>
      </c>
      <c r="AM273" s="203">
        <f t="shared" ref="AM273:AM276" si="559">+AL273*J273</f>
        <v>0</v>
      </c>
      <c r="AN273" s="203">
        <f t="shared" ref="AN273:AN276" ca="1" si="560">MIN(T273-AI273,AL273)</f>
        <v>0</v>
      </c>
      <c r="AO273" s="203">
        <f t="shared" ref="AO273:AO276" ca="1" si="561">+AM273-AN273</f>
        <v>0</v>
      </c>
      <c r="AP273" s="212" t="str">
        <f t="shared" ref="AP273:AQ276" si="562">AP272</f>
        <v>N/A</v>
      </c>
      <c r="AQ273" s="212">
        <f t="shared" si="562"/>
        <v>0</v>
      </c>
      <c r="AR273" s="203">
        <f t="shared" ref="AR273:AR276" si="563">+AQ273*J273</f>
        <v>0</v>
      </c>
      <c r="AS273" s="203">
        <f t="shared" ref="AS273:AS276" ca="1" si="564">MIN(T273-AI273-AN273,AR273)</f>
        <v>0</v>
      </c>
      <c r="AT273" s="203">
        <f t="shared" ref="AT273:AT276" ca="1" si="565">+AR273-AS273</f>
        <v>0</v>
      </c>
      <c r="AU273" s="212" t="str">
        <f t="shared" ref="AU273:AV276" si="566">AU272</f>
        <v>N/A</v>
      </c>
      <c r="AV273" s="212">
        <f t="shared" si="566"/>
        <v>0</v>
      </c>
      <c r="AW273" s="203">
        <f t="shared" ref="AW273:AW276" si="567">+AV273*J273</f>
        <v>0</v>
      </c>
      <c r="AX273" s="203">
        <f t="shared" ref="AX273:AX276" ca="1" si="568">MIN(T273-AI273-AN273-AS273,AW273)</f>
        <v>0</v>
      </c>
      <c r="AY273" s="203">
        <f t="shared" ref="AY273:AY276" ca="1" si="569">+AW273-AX273</f>
        <v>0</v>
      </c>
      <c r="AZ273" s="212"/>
      <c r="BA273" s="213" t="s">
        <v>141</v>
      </c>
      <c r="BB273" s="213" t="s">
        <v>140</v>
      </c>
      <c r="BC273" s="213" t="s">
        <v>140</v>
      </c>
      <c r="BD273" s="213" t="s">
        <v>140</v>
      </c>
      <c r="BE273" s="148"/>
      <c r="BF273" s="212"/>
      <c r="BG273" s="117"/>
      <c r="BH273" s="117"/>
      <c r="BI273" s="149"/>
      <c r="BJ273" s="149"/>
      <c r="BK273" s="149"/>
      <c r="BL273" s="149"/>
      <c r="BM273" s="149"/>
      <c r="BN273" s="149"/>
      <c r="BO273" s="149"/>
      <c r="BP273" s="149"/>
      <c r="BQ273" s="149"/>
      <c r="BR273" s="117" t="s">
        <v>140</v>
      </c>
      <c r="BS273" s="117" t="s">
        <v>140</v>
      </c>
      <c r="BT273" s="117" t="s">
        <v>140</v>
      </c>
      <c r="BU273" s="117" t="s">
        <v>140</v>
      </c>
      <c r="BV273" s="117" t="s">
        <v>140</v>
      </c>
      <c r="BW273" s="117" t="s">
        <v>140</v>
      </c>
      <c r="BX273" s="117" t="s">
        <v>140</v>
      </c>
      <c r="BY273" s="117" t="s">
        <v>14</v>
      </c>
      <c r="BZ273" s="117"/>
      <c r="CA273" s="117"/>
      <c r="CB273" s="149"/>
      <c r="CC273" s="117"/>
      <c r="CD273" s="117"/>
      <c r="CE273" s="148"/>
      <c r="CF273" s="148"/>
    </row>
    <row r="274" spans="1:84" ht="17.25" hidden="1" customHeight="1">
      <c r="A274" s="117"/>
      <c r="B274" s="209" t="s">
        <v>1863</v>
      </c>
      <c r="C274" s="209" t="s">
        <v>2146</v>
      </c>
      <c r="D274" s="209" t="s">
        <v>1010</v>
      </c>
      <c r="E274" s="209" t="s">
        <v>1802</v>
      </c>
      <c r="F274" s="209" t="s">
        <v>1066</v>
      </c>
      <c r="G274" s="209" t="s">
        <v>1048</v>
      </c>
      <c r="H274" s="210">
        <v>604</v>
      </c>
      <c r="I274" s="211" t="s">
        <v>1049</v>
      </c>
      <c r="J274" s="144">
        <v>1</v>
      </c>
      <c r="K274" s="145">
        <f t="shared" si="549"/>
        <v>1</v>
      </c>
      <c r="L274" s="202">
        <f t="shared" si="550"/>
        <v>1</v>
      </c>
      <c r="M274" s="212">
        <f>164.86*H274/1000</f>
        <v>99.57544</v>
      </c>
      <c r="N274" s="203">
        <f t="shared" si="551"/>
        <v>99.57544</v>
      </c>
      <c r="O274" s="212" t="s">
        <v>137</v>
      </c>
      <c r="P274" s="212" t="s">
        <v>11</v>
      </c>
      <c r="Q274" s="212" t="s">
        <v>148</v>
      </c>
      <c r="R274" s="212"/>
      <c r="S274" s="212"/>
      <c r="T274" s="203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1</v>
      </c>
      <c r="U274" s="203">
        <f t="shared" ca="1" si="552"/>
        <v>0</v>
      </c>
      <c r="V274" s="203">
        <f t="shared" ca="1" si="553"/>
        <v>1</v>
      </c>
      <c r="W274" s="212"/>
      <c r="X274" s="212"/>
      <c r="Y274" s="212"/>
      <c r="Z274" s="212"/>
      <c r="AA274" s="212"/>
      <c r="AB274" s="212"/>
      <c r="AC274" s="214" t="s">
        <v>196</v>
      </c>
      <c r="AD274" s="226" t="s">
        <v>2039</v>
      </c>
      <c r="AE274" s="148"/>
      <c r="AF274" s="212" t="str">
        <f t="shared" si="554"/>
        <v>AMC2-S1</v>
      </c>
      <c r="AG274" s="212">
        <f t="shared" si="554"/>
        <v>1</v>
      </c>
      <c r="AH274" s="203">
        <f t="shared" si="555"/>
        <v>1</v>
      </c>
      <c r="AI274" s="203">
        <f t="shared" ca="1" si="556"/>
        <v>1</v>
      </c>
      <c r="AJ274" s="203">
        <f t="shared" ca="1" si="557"/>
        <v>0</v>
      </c>
      <c r="AK274" s="212" t="str">
        <f t="shared" si="558"/>
        <v>N/A</v>
      </c>
      <c r="AL274" s="212">
        <f t="shared" si="558"/>
        <v>0</v>
      </c>
      <c r="AM274" s="203">
        <f t="shared" si="559"/>
        <v>0</v>
      </c>
      <c r="AN274" s="203">
        <f t="shared" ca="1" si="560"/>
        <v>0</v>
      </c>
      <c r="AO274" s="203">
        <f t="shared" ca="1" si="561"/>
        <v>0</v>
      </c>
      <c r="AP274" s="212" t="str">
        <f t="shared" si="562"/>
        <v>N/A</v>
      </c>
      <c r="AQ274" s="212">
        <f t="shared" si="562"/>
        <v>0</v>
      </c>
      <c r="AR274" s="203">
        <f t="shared" si="563"/>
        <v>0</v>
      </c>
      <c r="AS274" s="203">
        <f t="shared" ca="1" si="564"/>
        <v>0</v>
      </c>
      <c r="AT274" s="203">
        <f t="shared" ca="1" si="565"/>
        <v>0</v>
      </c>
      <c r="AU274" s="212" t="str">
        <f t="shared" si="566"/>
        <v>N/A</v>
      </c>
      <c r="AV274" s="212">
        <f t="shared" si="566"/>
        <v>0</v>
      </c>
      <c r="AW274" s="203">
        <f t="shared" si="567"/>
        <v>0</v>
      </c>
      <c r="AX274" s="203">
        <f t="shared" ca="1" si="568"/>
        <v>0</v>
      </c>
      <c r="AY274" s="203">
        <f t="shared" ca="1" si="569"/>
        <v>0</v>
      </c>
      <c r="AZ274" s="212"/>
      <c r="BA274" s="213" t="s">
        <v>141</v>
      </c>
      <c r="BB274" s="213" t="s">
        <v>140</v>
      </c>
      <c r="BC274" s="213" t="s">
        <v>140</v>
      </c>
      <c r="BD274" s="213" t="s">
        <v>140</v>
      </c>
      <c r="BE274" s="148"/>
      <c r="BF274" s="212" t="s">
        <v>1789</v>
      </c>
      <c r="BG274" s="117"/>
      <c r="BH274" s="117"/>
      <c r="BI274" s="149"/>
      <c r="BJ274" s="149"/>
      <c r="BK274" s="149"/>
      <c r="BL274" s="149"/>
      <c r="BM274" s="149"/>
      <c r="BN274" s="149"/>
      <c r="BO274" s="149"/>
      <c r="BP274" s="149"/>
      <c r="BQ274" s="149"/>
      <c r="BR274" s="117">
        <v>0</v>
      </c>
      <c r="BS274" s="117">
        <v>0</v>
      </c>
      <c r="BT274" s="117">
        <v>0</v>
      </c>
      <c r="BU274" s="117">
        <v>1</v>
      </c>
      <c r="BV274" s="117">
        <v>0</v>
      </c>
      <c r="BW274" s="117">
        <v>0</v>
      </c>
      <c r="BX274" s="117">
        <v>0</v>
      </c>
      <c r="BY274" s="117" t="s">
        <v>1790</v>
      </c>
      <c r="BZ274" s="117" t="s">
        <v>1051</v>
      </c>
      <c r="CA274" s="117">
        <v>1</v>
      </c>
      <c r="CB274" s="149">
        <v>46185</v>
      </c>
      <c r="CC274" s="117"/>
      <c r="CD274" s="117"/>
      <c r="CE274" s="148"/>
      <c r="CF274" s="148">
        <f>+L274-CA274</f>
        <v>0</v>
      </c>
    </row>
    <row r="275" spans="1:84" ht="17.25" hidden="1" customHeight="1">
      <c r="A275" s="117"/>
      <c r="B275" s="209" t="s">
        <v>1863</v>
      </c>
      <c r="C275" s="209" t="s">
        <v>2146</v>
      </c>
      <c r="D275" s="209" t="s">
        <v>13</v>
      </c>
      <c r="E275" s="209" t="s">
        <v>1788</v>
      </c>
      <c r="F275" s="209" t="s">
        <v>1069</v>
      </c>
      <c r="G275" s="209" t="s">
        <v>1070</v>
      </c>
      <c r="H275" s="210">
        <v>376</v>
      </c>
      <c r="I275" s="211" t="s">
        <v>147</v>
      </c>
      <c r="J275" s="144">
        <v>1</v>
      </c>
      <c r="K275" s="145">
        <f t="shared" si="549"/>
        <v>1</v>
      </c>
      <c r="L275" s="202">
        <f t="shared" si="550"/>
        <v>1</v>
      </c>
      <c r="M275" s="212">
        <v>2.4</v>
      </c>
      <c r="N275" s="203">
        <f t="shared" si="551"/>
        <v>2.4</v>
      </c>
      <c r="O275" s="212" t="s">
        <v>137</v>
      </c>
      <c r="P275" s="212" t="s">
        <v>13</v>
      </c>
      <c r="Q275" s="212" t="s">
        <v>154</v>
      </c>
      <c r="R275" s="212"/>
      <c r="S275" s="212"/>
      <c r="T275" s="203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1</v>
      </c>
      <c r="U275" s="203">
        <f t="shared" ca="1" si="552"/>
        <v>0</v>
      </c>
      <c r="V275" s="203">
        <f t="shared" ca="1" si="553"/>
        <v>1</v>
      </c>
      <c r="W275" s="212"/>
      <c r="X275" s="212"/>
      <c r="Y275" s="212"/>
      <c r="Z275" s="212"/>
      <c r="AA275" s="212"/>
      <c r="AB275" s="212"/>
      <c r="AC275" s="214" t="s">
        <v>196</v>
      </c>
      <c r="AD275" s="226" t="s">
        <v>2039</v>
      </c>
      <c r="AE275" s="148"/>
      <c r="AF275" s="212" t="str">
        <f t="shared" si="554"/>
        <v>AMC2-S1</v>
      </c>
      <c r="AG275" s="212">
        <f t="shared" si="554"/>
        <v>1</v>
      </c>
      <c r="AH275" s="203">
        <f t="shared" si="555"/>
        <v>1</v>
      </c>
      <c r="AI275" s="203">
        <f t="shared" ca="1" si="556"/>
        <v>1</v>
      </c>
      <c r="AJ275" s="203">
        <f t="shared" ca="1" si="557"/>
        <v>0</v>
      </c>
      <c r="AK275" s="212" t="str">
        <f t="shared" si="558"/>
        <v>N/A</v>
      </c>
      <c r="AL275" s="212">
        <f t="shared" si="558"/>
        <v>0</v>
      </c>
      <c r="AM275" s="203">
        <f t="shared" si="559"/>
        <v>0</v>
      </c>
      <c r="AN275" s="203">
        <f t="shared" ca="1" si="560"/>
        <v>0</v>
      </c>
      <c r="AO275" s="203">
        <f t="shared" ca="1" si="561"/>
        <v>0</v>
      </c>
      <c r="AP275" s="212" t="str">
        <f t="shared" si="562"/>
        <v>N/A</v>
      </c>
      <c r="AQ275" s="212">
        <f t="shared" si="562"/>
        <v>0</v>
      </c>
      <c r="AR275" s="203">
        <f t="shared" si="563"/>
        <v>0</v>
      </c>
      <c r="AS275" s="203">
        <f t="shared" ca="1" si="564"/>
        <v>0</v>
      </c>
      <c r="AT275" s="203">
        <f t="shared" ca="1" si="565"/>
        <v>0</v>
      </c>
      <c r="AU275" s="212" t="str">
        <f t="shared" si="566"/>
        <v>N/A</v>
      </c>
      <c r="AV275" s="212">
        <f t="shared" si="566"/>
        <v>0</v>
      </c>
      <c r="AW275" s="203">
        <f t="shared" si="567"/>
        <v>0</v>
      </c>
      <c r="AX275" s="203">
        <f t="shared" ca="1" si="568"/>
        <v>0</v>
      </c>
      <c r="AY275" s="203">
        <f t="shared" ca="1" si="569"/>
        <v>0</v>
      </c>
      <c r="AZ275" s="212"/>
      <c r="BA275" s="213" t="s">
        <v>141</v>
      </c>
      <c r="BB275" s="213" t="s">
        <v>140</v>
      </c>
      <c r="BC275" s="213" t="s">
        <v>140</v>
      </c>
      <c r="BD275" s="213" t="s">
        <v>140</v>
      </c>
      <c r="BE275" s="148"/>
      <c r="BF275" s="212" t="s">
        <v>1789</v>
      </c>
      <c r="BG275" s="117"/>
      <c r="BH275" s="117"/>
      <c r="BI275" s="149"/>
      <c r="BJ275" s="149"/>
      <c r="BK275" s="149"/>
      <c r="BL275" s="149"/>
      <c r="BM275" s="149"/>
      <c r="BN275" s="149"/>
      <c r="BO275" s="149"/>
      <c r="BP275" s="149"/>
      <c r="BQ275" s="149"/>
      <c r="BR275" s="117">
        <v>1</v>
      </c>
      <c r="BS275" s="117">
        <v>0</v>
      </c>
      <c r="BT275" s="117">
        <v>1</v>
      </c>
      <c r="BU275" s="117">
        <v>0</v>
      </c>
      <c r="BV275" s="117">
        <v>0</v>
      </c>
      <c r="BW275" s="117">
        <v>0</v>
      </c>
      <c r="BX275" s="117">
        <v>0</v>
      </c>
      <c r="BY275" s="117" t="s">
        <v>1790</v>
      </c>
      <c r="BZ275" s="117" t="s">
        <v>1013</v>
      </c>
      <c r="CA275" s="117">
        <v>1</v>
      </c>
      <c r="CB275" s="153">
        <v>46206</v>
      </c>
      <c r="CC275" s="117"/>
      <c r="CD275" s="117"/>
      <c r="CE275" s="148"/>
      <c r="CF275" s="148">
        <f>+L275-CA275</f>
        <v>0</v>
      </c>
    </row>
    <row r="276" spans="1:84" ht="17.25" customHeight="1">
      <c r="A276" s="117"/>
      <c r="B276" s="209" t="s">
        <v>1863</v>
      </c>
      <c r="C276" s="209" t="s">
        <v>2146</v>
      </c>
      <c r="D276" s="209" t="s">
        <v>1055</v>
      </c>
      <c r="E276" s="209" t="s">
        <v>1878</v>
      </c>
      <c r="F276" s="209" t="s">
        <v>1068</v>
      </c>
      <c r="G276" s="209" t="s">
        <v>140</v>
      </c>
      <c r="H276" s="210"/>
      <c r="I276" s="211"/>
      <c r="J276" s="144">
        <v>1</v>
      </c>
      <c r="K276" s="145">
        <f t="shared" si="549"/>
        <v>1</v>
      </c>
      <c r="L276" s="202">
        <f t="shared" si="550"/>
        <v>1</v>
      </c>
      <c r="M276" s="212">
        <v>0.1</v>
      </c>
      <c r="N276" s="203">
        <f t="shared" si="551"/>
        <v>0.1</v>
      </c>
      <c r="O276" s="212" t="s">
        <v>137</v>
      </c>
      <c r="P276" s="212" t="s">
        <v>14</v>
      </c>
      <c r="Q276" s="212" t="s">
        <v>976</v>
      </c>
      <c r="R276" s="212"/>
      <c r="S276" s="212"/>
      <c r="T276" s="203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1</v>
      </c>
      <c r="U276" s="203">
        <f t="shared" ca="1" si="552"/>
        <v>0</v>
      </c>
      <c r="V276" s="203">
        <f t="shared" ca="1" si="553"/>
        <v>1</v>
      </c>
      <c r="W276" s="212"/>
      <c r="X276" s="212"/>
      <c r="Y276" s="212"/>
      <c r="Z276" s="212"/>
      <c r="AA276" s="212"/>
      <c r="AB276" s="212"/>
      <c r="AC276" s="214" t="s">
        <v>196</v>
      </c>
      <c r="AD276" s="226" t="s">
        <v>2039</v>
      </c>
      <c r="AE276" s="148"/>
      <c r="AF276" s="212" t="str">
        <f t="shared" si="554"/>
        <v>AMC2-S1</v>
      </c>
      <c r="AG276" s="212">
        <f t="shared" si="554"/>
        <v>1</v>
      </c>
      <c r="AH276" s="203">
        <f t="shared" si="555"/>
        <v>1</v>
      </c>
      <c r="AI276" s="203">
        <f t="shared" ca="1" si="556"/>
        <v>1</v>
      </c>
      <c r="AJ276" s="203">
        <f t="shared" ca="1" si="557"/>
        <v>0</v>
      </c>
      <c r="AK276" s="212" t="str">
        <f t="shared" si="558"/>
        <v>N/A</v>
      </c>
      <c r="AL276" s="212">
        <f t="shared" si="558"/>
        <v>0</v>
      </c>
      <c r="AM276" s="203">
        <f t="shared" si="559"/>
        <v>0</v>
      </c>
      <c r="AN276" s="203">
        <f t="shared" ca="1" si="560"/>
        <v>0</v>
      </c>
      <c r="AO276" s="203">
        <f t="shared" ca="1" si="561"/>
        <v>0</v>
      </c>
      <c r="AP276" s="212" t="str">
        <f t="shared" si="562"/>
        <v>N/A</v>
      </c>
      <c r="AQ276" s="212">
        <f t="shared" si="562"/>
        <v>0</v>
      </c>
      <c r="AR276" s="203">
        <f t="shared" si="563"/>
        <v>0</v>
      </c>
      <c r="AS276" s="203">
        <f t="shared" ca="1" si="564"/>
        <v>0</v>
      </c>
      <c r="AT276" s="203">
        <f t="shared" ca="1" si="565"/>
        <v>0</v>
      </c>
      <c r="AU276" s="212" t="str">
        <f t="shared" si="566"/>
        <v>N/A</v>
      </c>
      <c r="AV276" s="212">
        <f t="shared" si="566"/>
        <v>0</v>
      </c>
      <c r="AW276" s="203">
        <f t="shared" si="567"/>
        <v>0</v>
      </c>
      <c r="AX276" s="203">
        <f t="shared" ca="1" si="568"/>
        <v>0</v>
      </c>
      <c r="AY276" s="203">
        <f t="shared" ca="1" si="569"/>
        <v>0</v>
      </c>
      <c r="AZ276" s="212"/>
      <c r="BA276" s="213" t="s">
        <v>141</v>
      </c>
      <c r="BB276" s="213" t="s">
        <v>140</v>
      </c>
      <c r="BC276" s="213" t="s">
        <v>140</v>
      </c>
      <c r="BD276" s="213" t="s">
        <v>140</v>
      </c>
      <c r="BE276" s="148"/>
      <c r="BF276" s="212"/>
      <c r="BG276" s="117"/>
      <c r="BH276" s="117"/>
      <c r="BI276" s="149"/>
      <c r="BJ276" s="149"/>
      <c r="BK276" s="149"/>
      <c r="BL276" s="149"/>
      <c r="BM276" s="149"/>
      <c r="BN276" s="149"/>
      <c r="BO276" s="149"/>
      <c r="BP276" s="149"/>
      <c r="BQ276" s="149"/>
      <c r="BR276" s="117" t="s">
        <v>140</v>
      </c>
      <c r="BS276" s="117" t="s">
        <v>140</v>
      </c>
      <c r="BT276" s="117" t="s">
        <v>140</v>
      </c>
      <c r="BU276" s="117" t="s">
        <v>140</v>
      </c>
      <c r="BV276" s="117" t="s">
        <v>140</v>
      </c>
      <c r="BW276" s="117" t="s">
        <v>140</v>
      </c>
      <c r="BX276" s="117" t="s">
        <v>140</v>
      </c>
      <c r="BY276" s="117" t="s">
        <v>14</v>
      </c>
      <c r="BZ276" s="117"/>
      <c r="CA276" s="117"/>
      <c r="CB276" s="149"/>
      <c r="CC276" s="117"/>
      <c r="CD276" s="117"/>
      <c r="CE276" s="148"/>
      <c r="CF276" s="148"/>
    </row>
    <row r="277" spans="1:84" ht="17.25" hidden="1" customHeight="1">
      <c r="A277" s="162">
        <v>198</v>
      </c>
      <c r="B277" s="177" t="s">
        <v>1863</v>
      </c>
      <c r="C277" s="177" t="s">
        <v>2147</v>
      </c>
      <c r="D277" s="177" t="s">
        <v>1881</v>
      </c>
      <c r="E277" s="177"/>
      <c r="F277" s="177"/>
      <c r="G277" s="177" t="s">
        <v>1882</v>
      </c>
      <c r="H277" s="178"/>
      <c r="I277" s="179" t="s">
        <v>147</v>
      </c>
      <c r="J277" s="160"/>
      <c r="K277" s="180">
        <f>+AG277+AL277+AQ277+AV277</f>
        <v>1</v>
      </c>
      <c r="L277" s="160"/>
      <c r="M277" s="181">
        <v>0.2</v>
      </c>
      <c r="N277" s="181">
        <v>0.2</v>
      </c>
      <c r="O277" s="181" t="s">
        <v>137</v>
      </c>
      <c r="P277" s="181"/>
      <c r="Q277" s="181"/>
      <c r="R277" s="181"/>
      <c r="S277" s="181"/>
      <c r="T277" s="181"/>
      <c r="U277" s="181"/>
      <c r="V277" s="181"/>
      <c r="W277" s="181">
        <f ca="1">_xlfn.MINIFS(V:V,C:C,C277,AE:AE,"",AB:AB,"")</f>
        <v>1</v>
      </c>
      <c r="X277" s="181">
        <f ca="1">SUMIFS(T:T,C:C,C277,AE:AE,"")/SUMIFS(L:L,C:C,C277,AE:AE,"",AB:AB,"")</f>
        <v>1</v>
      </c>
      <c r="Y277" s="181"/>
      <c r="Z277" s="181"/>
      <c r="AA277" s="181"/>
      <c r="AB277" s="181"/>
      <c r="AC277" s="228" t="s">
        <v>196</v>
      </c>
      <c r="AD277" s="184" t="s">
        <v>2039</v>
      </c>
      <c r="AE277" s="162" t="s">
        <v>143</v>
      </c>
      <c r="AF277" s="181" t="s">
        <v>1783</v>
      </c>
      <c r="AG277" s="181">
        <v>1</v>
      </c>
      <c r="AH277" s="181"/>
      <c r="AI277" s="181"/>
      <c r="AJ277" s="181"/>
      <c r="AK277" s="181" t="s">
        <v>138</v>
      </c>
      <c r="AL277" s="181">
        <v>0</v>
      </c>
      <c r="AM277" s="181"/>
      <c r="AN277" s="181"/>
      <c r="AO277" s="181"/>
      <c r="AP277" s="181" t="s">
        <v>138</v>
      </c>
      <c r="AQ277" s="181">
        <v>0</v>
      </c>
      <c r="AR277" s="181"/>
      <c r="AS277" s="181"/>
      <c r="AT277" s="181"/>
      <c r="AU277" s="181" t="s">
        <v>138</v>
      </c>
      <c r="AV277" s="181">
        <v>0</v>
      </c>
      <c r="AW277" s="181"/>
      <c r="AX277" s="181"/>
      <c r="AY277" s="181"/>
      <c r="AZ277" s="179"/>
      <c r="BA277" s="182" t="s">
        <v>141</v>
      </c>
      <c r="BB277" s="182" t="s">
        <v>140</v>
      </c>
      <c r="BC277" s="182" t="s">
        <v>140</v>
      </c>
      <c r="BD277" s="182" t="s">
        <v>140</v>
      </c>
      <c r="BE277" s="162" t="s">
        <v>741</v>
      </c>
      <c r="BF277" s="181"/>
      <c r="BG277" s="161"/>
      <c r="BH277" s="161"/>
      <c r="BI277" s="163"/>
      <c r="BJ277" s="163"/>
      <c r="BK277" s="163"/>
      <c r="BL277" s="163"/>
      <c r="BM277" s="163"/>
      <c r="BN277" s="163"/>
      <c r="BO277" s="163"/>
      <c r="BP277" s="163"/>
      <c r="BQ277" s="163"/>
      <c r="BR277" s="161"/>
      <c r="BS277" s="161"/>
      <c r="BT277" s="161"/>
      <c r="BU277" s="161"/>
      <c r="BV277" s="161"/>
      <c r="BW277" s="161"/>
      <c r="BX277" s="161"/>
      <c r="BY277" s="161"/>
      <c r="BZ277" s="161"/>
      <c r="CA277" s="161"/>
      <c r="CB277" s="163"/>
      <c r="CC277" s="161"/>
      <c r="CD277" s="161"/>
      <c r="CE277" s="185"/>
      <c r="CF277" s="185"/>
    </row>
    <row r="278" spans="1:84" ht="17.25" hidden="1" customHeight="1">
      <c r="A278" s="117"/>
      <c r="B278" s="209" t="s">
        <v>1863</v>
      </c>
      <c r="C278" s="209" t="s">
        <v>2147</v>
      </c>
      <c r="D278" s="209" t="s">
        <v>1073</v>
      </c>
      <c r="E278" s="209" t="s">
        <v>1883</v>
      </c>
      <c r="F278" s="209" t="s">
        <v>1071</v>
      </c>
      <c r="G278" s="209" t="s">
        <v>1072</v>
      </c>
      <c r="H278" s="210">
        <v>80</v>
      </c>
      <c r="I278" s="211" t="s">
        <v>147</v>
      </c>
      <c r="J278" s="144">
        <v>1</v>
      </c>
      <c r="K278" s="145">
        <f>K277</f>
        <v>1</v>
      </c>
      <c r="L278" s="202">
        <f>+J278*K278</f>
        <v>1</v>
      </c>
      <c r="M278" s="212">
        <v>0.2</v>
      </c>
      <c r="N278" s="203">
        <f>+M278*L278</f>
        <v>0.2</v>
      </c>
      <c r="O278" s="212" t="s">
        <v>137</v>
      </c>
      <c r="P278" s="212" t="s">
        <v>13</v>
      </c>
      <c r="Q278" s="212" t="s">
        <v>148</v>
      </c>
      <c r="R278" s="212"/>
      <c r="S278" s="212"/>
      <c r="T278" s="203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203">
        <f t="shared" ref="U278" ca="1" si="570">+L278-T278</f>
        <v>0</v>
      </c>
      <c r="V278" s="203">
        <f t="shared" ref="V278" ca="1" si="571">ROUNDDOWN(T278/J278,0)</f>
        <v>1</v>
      </c>
      <c r="W278" s="212"/>
      <c r="X278" s="212"/>
      <c r="Y278" s="212"/>
      <c r="Z278" s="212"/>
      <c r="AA278" s="212"/>
      <c r="AB278" s="212"/>
      <c r="AC278" s="214" t="s">
        <v>196</v>
      </c>
      <c r="AD278" s="226" t="s">
        <v>2039</v>
      </c>
      <c r="AE278" s="148"/>
      <c r="AF278" s="212" t="str">
        <f t="shared" ref="AF278:AG278" si="572">AF277</f>
        <v>AMC2-S1</v>
      </c>
      <c r="AG278" s="212">
        <f t="shared" si="572"/>
        <v>1</v>
      </c>
      <c r="AH278" s="203">
        <f>+AG278*J278</f>
        <v>1</v>
      </c>
      <c r="AI278" s="203">
        <f ca="1">MIN(T278,AH278)</f>
        <v>1</v>
      </c>
      <c r="AJ278" s="203">
        <f ca="1">+AH278-AI278</f>
        <v>0</v>
      </c>
      <c r="AK278" s="212" t="str">
        <f t="shared" ref="AK278:AL278" si="573">AK277</f>
        <v>N/A</v>
      </c>
      <c r="AL278" s="212">
        <f t="shared" si="573"/>
        <v>0</v>
      </c>
      <c r="AM278" s="203">
        <f>+AL278*J278</f>
        <v>0</v>
      </c>
      <c r="AN278" s="203">
        <f ca="1">MIN(T278-AI278,AL278)</f>
        <v>0</v>
      </c>
      <c r="AO278" s="203">
        <f ca="1">+AM278-AN278</f>
        <v>0</v>
      </c>
      <c r="AP278" s="212" t="str">
        <f t="shared" ref="AP278:AQ278" si="574">AP277</f>
        <v>N/A</v>
      </c>
      <c r="AQ278" s="212">
        <f t="shared" si="574"/>
        <v>0</v>
      </c>
      <c r="AR278" s="203">
        <f>+AQ278*J278</f>
        <v>0</v>
      </c>
      <c r="AS278" s="203">
        <f ca="1">MIN(T278-AI278-AN278,AR278)</f>
        <v>0</v>
      </c>
      <c r="AT278" s="203">
        <f ca="1">+AR278-AS278</f>
        <v>0</v>
      </c>
      <c r="AU278" s="212" t="str">
        <f t="shared" ref="AU278:AV278" si="575">AU277</f>
        <v>N/A</v>
      </c>
      <c r="AV278" s="212">
        <f t="shared" si="575"/>
        <v>0</v>
      </c>
      <c r="AW278" s="203">
        <f>+AV278*J278</f>
        <v>0</v>
      </c>
      <c r="AX278" s="203">
        <f ca="1">MIN(T278-AI278-AN278-AS278,AW278)</f>
        <v>0</v>
      </c>
      <c r="AY278" s="203">
        <f ca="1">+AW278-AX278</f>
        <v>0</v>
      </c>
      <c r="AZ278" s="212"/>
      <c r="BA278" s="213" t="s">
        <v>141</v>
      </c>
      <c r="BB278" s="213" t="s">
        <v>140</v>
      </c>
      <c r="BC278" s="213" t="s">
        <v>140</v>
      </c>
      <c r="BD278" s="213" t="s">
        <v>140</v>
      </c>
      <c r="BE278" s="148"/>
      <c r="BF278" s="212" t="s">
        <v>1789</v>
      </c>
      <c r="BG278" s="117"/>
      <c r="BH278" s="117"/>
      <c r="BI278" s="149"/>
      <c r="BJ278" s="149"/>
      <c r="BK278" s="149"/>
      <c r="BL278" s="149"/>
      <c r="BM278" s="149"/>
      <c r="BN278" s="149"/>
      <c r="BO278" s="149"/>
      <c r="BP278" s="149"/>
      <c r="BQ278" s="149"/>
      <c r="BR278" s="117">
        <v>1</v>
      </c>
      <c r="BS278" s="117">
        <v>0</v>
      </c>
      <c r="BT278" s="117">
        <v>0</v>
      </c>
      <c r="BU278" s="117">
        <v>0</v>
      </c>
      <c r="BV278" s="117">
        <v>0</v>
      </c>
      <c r="BW278" s="117">
        <v>0</v>
      </c>
      <c r="BX278" s="117">
        <v>0</v>
      </c>
      <c r="BY278" s="117" t="s">
        <v>1790</v>
      </c>
      <c r="BZ278" s="117" t="s">
        <v>957</v>
      </c>
      <c r="CA278" s="117">
        <v>1</v>
      </c>
      <c r="CB278" s="149">
        <v>46186</v>
      </c>
      <c r="CC278" s="117"/>
      <c r="CD278" s="117"/>
      <c r="CE278" s="148"/>
      <c r="CF278" s="148">
        <f>+L278-CA278</f>
        <v>0</v>
      </c>
    </row>
    <row r="279" spans="1:84" ht="17.25" hidden="1" customHeight="1">
      <c r="A279" s="162">
        <v>199</v>
      </c>
      <c r="B279" s="177" t="s">
        <v>2067</v>
      </c>
      <c r="C279" s="177" t="s">
        <v>2148</v>
      </c>
      <c r="D279" s="177" t="s">
        <v>1884</v>
      </c>
      <c r="E279" s="177"/>
      <c r="F279" s="177"/>
      <c r="G279" s="177" t="s">
        <v>1885</v>
      </c>
      <c r="H279" s="227">
        <v>3000</v>
      </c>
      <c r="I279" s="179" t="s">
        <v>147</v>
      </c>
      <c r="J279" s="160"/>
      <c r="K279" s="180">
        <f t="shared" ref="K279:K295" si="576">+AG279+AL279+AQ279+AV279</f>
        <v>21</v>
      </c>
      <c r="L279" s="160"/>
      <c r="M279" s="181">
        <v>25</v>
      </c>
      <c r="N279" s="181">
        <v>524.70000000000005</v>
      </c>
      <c r="O279" s="181" t="s">
        <v>137</v>
      </c>
      <c r="P279" s="181"/>
      <c r="Q279" s="181"/>
      <c r="R279" s="181"/>
      <c r="S279" s="181"/>
      <c r="T279" s="181"/>
      <c r="U279" s="181"/>
      <c r="V279" s="181"/>
      <c r="W279" s="181">
        <f t="shared" ref="W279:W296" si="577">_xlfn.MINIFS(V:V,C:C,C279,AE:AE,"",AB:AB,"")</f>
        <v>0</v>
      </c>
      <c r="X279" s="181" t="e">
        <f t="shared" ref="X279:X296" si="578">SUMIFS(T:T,C:C,C279,AE:AE,"")/SUMIFS(L:L,C:C,C279,AE:AE,"",AB:AB,"")</f>
        <v>#DIV/0!</v>
      </c>
      <c r="Y279" s="181"/>
      <c r="Z279" s="181"/>
      <c r="AA279" s="181"/>
      <c r="AB279" s="181"/>
      <c r="AC279" s="228" t="s">
        <v>196</v>
      </c>
      <c r="AD279" s="184" t="s">
        <v>2039</v>
      </c>
      <c r="AE279" s="162" t="s">
        <v>143</v>
      </c>
      <c r="AF279" s="181" t="s">
        <v>1783</v>
      </c>
      <c r="AG279" s="181">
        <v>21</v>
      </c>
      <c r="AH279" s="181">
        <f>+AG279</f>
        <v>21</v>
      </c>
      <c r="AI279" s="181">
        <v>21</v>
      </c>
      <c r="AJ279" s="181">
        <f>+AH279-AI279</f>
        <v>0</v>
      </c>
      <c r="AK279" s="181" t="s">
        <v>138</v>
      </c>
      <c r="AL279" s="181">
        <v>0</v>
      </c>
      <c r="AM279" s="181"/>
      <c r="AN279" s="181"/>
      <c r="AO279" s="181"/>
      <c r="AP279" s="181" t="s">
        <v>138</v>
      </c>
      <c r="AQ279" s="181">
        <v>0</v>
      </c>
      <c r="AR279" s="181"/>
      <c r="AS279" s="181"/>
      <c r="AT279" s="181"/>
      <c r="AU279" s="181" t="s">
        <v>138</v>
      </c>
      <c r="AV279" s="181">
        <v>0</v>
      </c>
      <c r="AW279" s="181"/>
      <c r="AX279" s="181"/>
      <c r="AY279" s="181"/>
      <c r="AZ279" s="179"/>
      <c r="BA279" s="182" t="s">
        <v>141</v>
      </c>
      <c r="BB279" s="182" t="s">
        <v>140</v>
      </c>
      <c r="BC279" s="182" t="s">
        <v>140</v>
      </c>
      <c r="BD279" s="182" t="s">
        <v>140</v>
      </c>
      <c r="BE279" s="162" t="s">
        <v>741</v>
      </c>
      <c r="BF279" s="181"/>
      <c r="BG279" s="161"/>
      <c r="BH279" s="161"/>
      <c r="BI279" s="163"/>
      <c r="BJ279" s="163"/>
      <c r="BK279" s="163"/>
      <c r="BL279" s="163"/>
      <c r="BM279" s="163"/>
      <c r="BN279" s="163"/>
      <c r="BO279" s="163"/>
      <c r="BP279" s="163"/>
      <c r="BQ279" s="163"/>
      <c r="BR279" s="161"/>
      <c r="BS279" s="161"/>
      <c r="BT279" s="161"/>
      <c r="BU279" s="161"/>
      <c r="BV279" s="161"/>
      <c r="BW279" s="161"/>
      <c r="BX279" s="161"/>
      <c r="BY279" s="161"/>
      <c r="BZ279" s="161"/>
      <c r="CA279" s="161"/>
      <c r="CB279" s="163"/>
      <c r="CC279" s="161"/>
      <c r="CD279" s="161"/>
      <c r="CE279" s="185"/>
      <c r="CF279" s="185"/>
    </row>
    <row r="280" spans="1:84" ht="17.25" hidden="1" customHeight="1">
      <c r="A280" s="162">
        <v>200</v>
      </c>
      <c r="B280" s="177" t="s">
        <v>2067</v>
      </c>
      <c r="C280" s="177" t="s">
        <v>2208</v>
      </c>
      <c r="D280" s="177" t="s">
        <v>1884</v>
      </c>
      <c r="E280" s="177"/>
      <c r="F280" s="177"/>
      <c r="G280" s="177" t="s">
        <v>1885</v>
      </c>
      <c r="H280" s="227">
        <v>2455</v>
      </c>
      <c r="I280" s="179" t="s">
        <v>147</v>
      </c>
      <c r="J280" s="160"/>
      <c r="K280" s="180">
        <f t="shared" si="576"/>
        <v>1</v>
      </c>
      <c r="L280" s="160"/>
      <c r="M280" s="181">
        <v>19.600000000000001</v>
      </c>
      <c r="N280" s="181">
        <v>19.600000000000001</v>
      </c>
      <c r="O280" s="181" t="s">
        <v>137</v>
      </c>
      <c r="P280" s="181"/>
      <c r="Q280" s="181"/>
      <c r="R280" s="181"/>
      <c r="S280" s="181"/>
      <c r="T280" s="181"/>
      <c r="U280" s="181"/>
      <c r="V280" s="181"/>
      <c r="W280" s="181">
        <f t="shared" si="577"/>
        <v>0</v>
      </c>
      <c r="X280" s="181" t="e">
        <f t="shared" si="578"/>
        <v>#DIV/0!</v>
      </c>
      <c r="Y280" s="181"/>
      <c r="Z280" s="181"/>
      <c r="AA280" s="181"/>
      <c r="AB280" s="181"/>
      <c r="AC280" s="228" t="s">
        <v>196</v>
      </c>
      <c r="AD280" s="184" t="s">
        <v>2039</v>
      </c>
      <c r="AE280" s="162" t="s">
        <v>143</v>
      </c>
      <c r="AF280" s="181" t="s">
        <v>1783</v>
      </c>
      <c r="AG280" s="181">
        <v>1</v>
      </c>
      <c r="AH280" s="181">
        <f t="shared" ref="AH280:AH282" si="579">+AG280</f>
        <v>1</v>
      </c>
      <c r="AI280" s="181">
        <v>1</v>
      </c>
      <c r="AJ280" s="181">
        <f t="shared" ref="AJ280:AJ282" si="580">+AH280-AI280</f>
        <v>0</v>
      </c>
      <c r="AK280" s="181" t="s">
        <v>138</v>
      </c>
      <c r="AL280" s="181">
        <v>0</v>
      </c>
      <c r="AM280" s="181"/>
      <c r="AN280" s="181"/>
      <c r="AO280" s="181"/>
      <c r="AP280" s="181" t="s">
        <v>138</v>
      </c>
      <c r="AQ280" s="181">
        <v>0</v>
      </c>
      <c r="AR280" s="181"/>
      <c r="AS280" s="181"/>
      <c r="AT280" s="181"/>
      <c r="AU280" s="181" t="s">
        <v>138</v>
      </c>
      <c r="AV280" s="181">
        <v>0</v>
      </c>
      <c r="AW280" s="181"/>
      <c r="AX280" s="181"/>
      <c r="AY280" s="181"/>
      <c r="AZ280" s="179"/>
      <c r="BA280" s="182" t="s">
        <v>141</v>
      </c>
      <c r="BB280" s="182" t="s">
        <v>140</v>
      </c>
      <c r="BC280" s="182" t="s">
        <v>140</v>
      </c>
      <c r="BD280" s="182" t="s">
        <v>140</v>
      </c>
      <c r="BE280" s="162" t="s">
        <v>741</v>
      </c>
      <c r="BF280" s="181"/>
      <c r="BG280" s="161"/>
      <c r="BH280" s="161"/>
      <c r="BI280" s="163"/>
      <c r="BJ280" s="163"/>
      <c r="BK280" s="163"/>
      <c r="BL280" s="163"/>
      <c r="BM280" s="163"/>
      <c r="BN280" s="163"/>
      <c r="BO280" s="163"/>
      <c r="BP280" s="163"/>
      <c r="BQ280" s="163"/>
      <c r="BR280" s="161"/>
      <c r="BS280" s="161"/>
      <c r="BT280" s="161"/>
      <c r="BU280" s="161"/>
      <c r="BV280" s="161"/>
      <c r="BW280" s="161"/>
      <c r="BX280" s="161"/>
      <c r="BY280" s="161"/>
      <c r="BZ280" s="161"/>
      <c r="CA280" s="161"/>
      <c r="CB280" s="163"/>
      <c r="CC280" s="161"/>
      <c r="CD280" s="161"/>
      <c r="CE280" s="185"/>
      <c r="CF280" s="185"/>
    </row>
    <row r="281" spans="1:84" ht="17.25" hidden="1" customHeight="1">
      <c r="A281" s="162">
        <v>201</v>
      </c>
      <c r="B281" s="177" t="s">
        <v>2067</v>
      </c>
      <c r="C281" s="177" t="s">
        <v>2209</v>
      </c>
      <c r="D281" s="177" t="s">
        <v>1884</v>
      </c>
      <c r="E281" s="177"/>
      <c r="F281" s="177"/>
      <c r="G281" s="177" t="s">
        <v>1885</v>
      </c>
      <c r="H281" s="227">
        <v>2418</v>
      </c>
      <c r="I281" s="179" t="s">
        <v>147</v>
      </c>
      <c r="J281" s="160"/>
      <c r="K281" s="180">
        <f t="shared" si="576"/>
        <v>1</v>
      </c>
      <c r="L281" s="160"/>
      <c r="M281" s="181">
        <v>19.3</v>
      </c>
      <c r="N281" s="181">
        <v>19.3</v>
      </c>
      <c r="O281" s="181" t="s">
        <v>137</v>
      </c>
      <c r="P281" s="181"/>
      <c r="Q281" s="181"/>
      <c r="R281" s="181"/>
      <c r="S281" s="181"/>
      <c r="T281" s="181"/>
      <c r="U281" s="181"/>
      <c r="V281" s="181"/>
      <c r="W281" s="181">
        <f t="shared" si="577"/>
        <v>0</v>
      </c>
      <c r="X281" s="181" t="e">
        <f t="shared" si="578"/>
        <v>#DIV/0!</v>
      </c>
      <c r="Y281" s="181"/>
      <c r="Z281" s="181"/>
      <c r="AA281" s="181"/>
      <c r="AB281" s="181"/>
      <c r="AC281" s="228" t="s">
        <v>196</v>
      </c>
      <c r="AD281" s="184" t="s">
        <v>2039</v>
      </c>
      <c r="AE281" s="162" t="s">
        <v>143</v>
      </c>
      <c r="AF281" s="181" t="s">
        <v>1783</v>
      </c>
      <c r="AG281" s="181">
        <v>1</v>
      </c>
      <c r="AH281" s="181">
        <f t="shared" si="579"/>
        <v>1</v>
      </c>
      <c r="AI281" s="181">
        <v>1</v>
      </c>
      <c r="AJ281" s="181">
        <f t="shared" si="580"/>
        <v>0</v>
      </c>
      <c r="AK281" s="181" t="s">
        <v>138</v>
      </c>
      <c r="AL281" s="181">
        <v>0</v>
      </c>
      <c r="AM281" s="181"/>
      <c r="AN281" s="181"/>
      <c r="AO281" s="181"/>
      <c r="AP281" s="181" t="s">
        <v>138</v>
      </c>
      <c r="AQ281" s="181">
        <v>0</v>
      </c>
      <c r="AR281" s="181"/>
      <c r="AS281" s="181"/>
      <c r="AT281" s="181"/>
      <c r="AU281" s="181" t="s">
        <v>138</v>
      </c>
      <c r="AV281" s="181">
        <v>0</v>
      </c>
      <c r="AW281" s="181"/>
      <c r="AX281" s="181"/>
      <c r="AY281" s="181"/>
      <c r="AZ281" s="179"/>
      <c r="BA281" s="182" t="s">
        <v>141</v>
      </c>
      <c r="BB281" s="182" t="s">
        <v>140</v>
      </c>
      <c r="BC281" s="182" t="s">
        <v>140</v>
      </c>
      <c r="BD281" s="182" t="s">
        <v>140</v>
      </c>
      <c r="BE281" s="162" t="s">
        <v>741</v>
      </c>
      <c r="BF281" s="181"/>
      <c r="BG281" s="161"/>
      <c r="BH281" s="161"/>
      <c r="BI281" s="163"/>
      <c r="BJ281" s="163"/>
      <c r="BK281" s="163"/>
      <c r="BL281" s="163"/>
      <c r="BM281" s="163"/>
      <c r="BN281" s="163"/>
      <c r="BO281" s="163"/>
      <c r="BP281" s="163"/>
      <c r="BQ281" s="163"/>
      <c r="BR281" s="161"/>
      <c r="BS281" s="161"/>
      <c r="BT281" s="161"/>
      <c r="BU281" s="161"/>
      <c r="BV281" s="161"/>
      <c r="BW281" s="161"/>
      <c r="BX281" s="161"/>
      <c r="BY281" s="161"/>
      <c r="BZ281" s="161"/>
      <c r="CA281" s="161"/>
      <c r="CB281" s="163"/>
      <c r="CC281" s="161"/>
      <c r="CD281" s="161"/>
      <c r="CE281" s="185"/>
      <c r="CF281" s="185"/>
    </row>
    <row r="282" spans="1:84" ht="17.25" hidden="1" customHeight="1">
      <c r="A282" s="162">
        <v>202</v>
      </c>
      <c r="B282" s="177" t="s">
        <v>2067</v>
      </c>
      <c r="C282" s="177" t="s">
        <v>2210</v>
      </c>
      <c r="D282" s="177" t="s">
        <v>1884</v>
      </c>
      <c r="E282" s="177"/>
      <c r="F282" s="177"/>
      <c r="G282" s="177" t="s">
        <v>1885</v>
      </c>
      <c r="H282" s="227">
        <v>590</v>
      </c>
      <c r="I282" s="179" t="s">
        <v>147</v>
      </c>
      <c r="J282" s="160"/>
      <c r="K282" s="180">
        <f t="shared" si="576"/>
        <v>1</v>
      </c>
      <c r="L282" s="160"/>
      <c r="M282" s="181">
        <v>4.0999999999999996</v>
      </c>
      <c r="N282" s="181">
        <v>4.0999999999999996</v>
      </c>
      <c r="O282" s="181" t="s">
        <v>137</v>
      </c>
      <c r="P282" s="181"/>
      <c r="Q282" s="181"/>
      <c r="R282" s="181"/>
      <c r="S282" s="181"/>
      <c r="T282" s="181"/>
      <c r="U282" s="181"/>
      <c r="V282" s="181"/>
      <c r="W282" s="181">
        <f t="shared" si="577"/>
        <v>0</v>
      </c>
      <c r="X282" s="181" t="e">
        <f t="shared" si="578"/>
        <v>#DIV/0!</v>
      </c>
      <c r="Y282" s="181"/>
      <c r="Z282" s="181"/>
      <c r="AA282" s="181"/>
      <c r="AB282" s="181"/>
      <c r="AC282" s="228" t="s">
        <v>196</v>
      </c>
      <c r="AD282" s="184" t="s">
        <v>2039</v>
      </c>
      <c r="AE282" s="162" t="s">
        <v>143</v>
      </c>
      <c r="AF282" s="181" t="s">
        <v>1783</v>
      </c>
      <c r="AG282" s="181">
        <v>1</v>
      </c>
      <c r="AH282" s="181">
        <f t="shared" si="579"/>
        <v>1</v>
      </c>
      <c r="AI282" s="181">
        <v>1</v>
      </c>
      <c r="AJ282" s="181">
        <f t="shared" si="580"/>
        <v>0</v>
      </c>
      <c r="AK282" s="181" t="s">
        <v>138</v>
      </c>
      <c r="AL282" s="181">
        <v>0</v>
      </c>
      <c r="AM282" s="181"/>
      <c r="AN282" s="181"/>
      <c r="AO282" s="181"/>
      <c r="AP282" s="181" t="s">
        <v>138</v>
      </c>
      <c r="AQ282" s="181">
        <v>0</v>
      </c>
      <c r="AR282" s="181"/>
      <c r="AS282" s="181"/>
      <c r="AT282" s="181"/>
      <c r="AU282" s="181" t="s">
        <v>138</v>
      </c>
      <c r="AV282" s="181">
        <v>0</v>
      </c>
      <c r="AW282" s="181"/>
      <c r="AX282" s="181"/>
      <c r="AY282" s="181"/>
      <c r="AZ282" s="179"/>
      <c r="BA282" s="182" t="s">
        <v>141</v>
      </c>
      <c r="BB282" s="182" t="s">
        <v>140</v>
      </c>
      <c r="BC282" s="182" t="s">
        <v>140</v>
      </c>
      <c r="BD282" s="182" t="s">
        <v>140</v>
      </c>
      <c r="BE282" s="162" t="s">
        <v>741</v>
      </c>
      <c r="BF282" s="181"/>
      <c r="BG282" s="161"/>
      <c r="BH282" s="161"/>
      <c r="BI282" s="163"/>
      <c r="BJ282" s="163"/>
      <c r="BK282" s="163"/>
      <c r="BL282" s="163"/>
      <c r="BM282" s="163"/>
      <c r="BN282" s="163"/>
      <c r="BO282" s="163"/>
      <c r="BP282" s="163"/>
      <c r="BQ282" s="163"/>
      <c r="BR282" s="161"/>
      <c r="BS282" s="161"/>
      <c r="BT282" s="161"/>
      <c r="BU282" s="161"/>
      <c r="BV282" s="161"/>
      <c r="BW282" s="161"/>
      <c r="BX282" s="161"/>
      <c r="BY282" s="161"/>
      <c r="BZ282" s="161"/>
      <c r="CA282" s="161"/>
      <c r="CB282" s="163"/>
      <c r="CC282" s="161"/>
      <c r="CD282" s="161"/>
      <c r="CE282" s="185"/>
      <c r="CF282" s="185"/>
    </row>
    <row r="283" spans="1:84" ht="17.25" hidden="1" customHeight="1">
      <c r="A283" s="162">
        <v>203</v>
      </c>
      <c r="B283" s="177" t="s">
        <v>2067</v>
      </c>
      <c r="C283" s="177" t="s">
        <v>2151</v>
      </c>
      <c r="D283" s="177" t="s">
        <v>1886</v>
      </c>
      <c r="E283" s="177"/>
      <c r="F283" s="177"/>
      <c r="G283" s="177" t="s">
        <v>1887</v>
      </c>
      <c r="H283" s="178">
        <v>100</v>
      </c>
      <c r="I283" s="179" t="s">
        <v>147</v>
      </c>
      <c r="J283" s="160"/>
      <c r="K283" s="180">
        <f t="shared" si="576"/>
        <v>1</v>
      </c>
      <c r="L283" s="160"/>
      <c r="M283" s="181">
        <v>0.1</v>
      </c>
      <c r="N283" s="181">
        <v>0.1</v>
      </c>
      <c r="O283" s="181" t="s">
        <v>137</v>
      </c>
      <c r="P283" s="181"/>
      <c r="Q283" s="181"/>
      <c r="R283" s="181"/>
      <c r="S283" s="181"/>
      <c r="T283" s="181"/>
      <c r="U283" s="181"/>
      <c r="V283" s="181"/>
      <c r="W283" s="181">
        <f t="shared" si="577"/>
        <v>0</v>
      </c>
      <c r="X283" s="181" t="e">
        <f t="shared" si="578"/>
        <v>#DIV/0!</v>
      </c>
      <c r="Y283" s="181"/>
      <c r="Z283" s="181"/>
      <c r="AA283" s="181"/>
      <c r="AB283" s="181"/>
      <c r="AC283" s="228" t="s">
        <v>196</v>
      </c>
      <c r="AD283" s="184" t="s">
        <v>2039</v>
      </c>
      <c r="AE283" s="162" t="s">
        <v>143</v>
      </c>
      <c r="AF283" s="181" t="s">
        <v>1783</v>
      </c>
      <c r="AG283" s="181">
        <v>1</v>
      </c>
      <c r="AH283" s="181"/>
      <c r="AI283" s="181"/>
      <c r="AJ283" s="181"/>
      <c r="AK283" s="181" t="s">
        <v>138</v>
      </c>
      <c r="AL283" s="181">
        <v>0</v>
      </c>
      <c r="AM283" s="181"/>
      <c r="AN283" s="181"/>
      <c r="AO283" s="181"/>
      <c r="AP283" s="181" t="s">
        <v>138</v>
      </c>
      <c r="AQ283" s="181">
        <v>0</v>
      </c>
      <c r="AR283" s="181"/>
      <c r="AS283" s="181"/>
      <c r="AT283" s="181"/>
      <c r="AU283" s="181" t="s">
        <v>138</v>
      </c>
      <c r="AV283" s="181">
        <v>0</v>
      </c>
      <c r="AW283" s="181"/>
      <c r="AX283" s="181"/>
      <c r="AY283" s="181"/>
      <c r="AZ283" s="179"/>
      <c r="BA283" s="182" t="s">
        <v>141</v>
      </c>
      <c r="BB283" s="182" t="s">
        <v>140</v>
      </c>
      <c r="BC283" s="182" t="s">
        <v>140</v>
      </c>
      <c r="BD283" s="182" t="s">
        <v>140</v>
      </c>
      <c r="BE283" s="162" t="s">
        <v>741</v>
      </c>
      <c r="BF283" s="181"/>
      <c r="BG283" s="161"/>
      <c r="BH283" s="161"/>
      <c r="BI283" s="163"/>
      <c r="BJ283" s="163"/>
      <c r="BK283" s="163"/>
      <c r="BL283" s="163"/>
      <c r="BM283" s="163"/>
      <c r="BN283" s="163"/>
      <c r="BO283" s="163"/>
      <c r="BP283" s="163"/>
      <c r="BQ283" s="163"/>
      <c r="BR283" s="161"/>
      <c r="BS283" s="161"/>
      <c r="BT283" s="161"/>
      <c r="BU283" s="161"/>
      <c r="BV283" s="161"/>
      <c r="BW283" s="161"/>
      <c r="BX283" s="161"/>
      <c r="BY283" s="161"/>
      <c r="BZ283" s="161"/>
      <c r="CA283" s="161"/>
      <c r="CB283" s="163"/>
      <c r="CC283" s="161"/>
      <c r="CD283" s="161"/>
      <c r="CE283" s="185"/>
      <c r="CF283" s="185"/>
    </row>
    <row r="284" spans="1:84" ht="17.25" hidden="1" customHeight="1">
      <c r="A284" s="162">
        <v>204</v>
      </c>
      <c r="B284" s="177" t="s">
        <v>2067</v>
      </c>
      <c r="C284" s="177" t="s">
        <v>1892</v>
      </c>
      <c r="D284" s="177" t="s">
        <v>1893</v>
      </c>
      <c r="E284" s="177"/>
      <c r="F284" s="177"/>
      <c r="G284" s="177" t="s">
        <v>1894</v>
      </c>
      <c r="H284" s="178"/>
      <c r="I284" s="179" t="s">
        <v>1895</v>
      </c>
      <c r="J284" s="160"/>
      <c r="K284" s="180">
        <f t="shared" si="576"/>
        <v>1</v>
      </c>
      <c r="L284" s="160"/>
      <c r="M284" s="181">
        <v>1.7</v>
      </c>
      <c r="N284" s="181">
        <v>1.7</v>
      </c>
      <c r="O284" s="181" t="s">
        <v>137</v>
      </c>
      <c r="P284" s="181"/>
      <c r="Q284" s="181"/>
      <c r="R284" s="181"/>
      <c r="S284" s="181"/>
      <c r="T284" s="181"/>
      <c r="U284" s="181"/>
      <c r="V284" s="181"/>
      <c r="W284" s="181">
        <f t="shared" si="577"/>
        <v>0</v>
      </c>
      <c r="X284" s="181" t="e">
        <f t="shared" si="578"/>
        <v>#DIV/0!</v>
      </c>
      <c r="Y284" s="181"/>
      <c r="Z284" s="181"/>
      <c r="AA284" s="181"/>
      <c r="AB284" s="181"/>
      <c r="AC284" s="228" t="s">
        <v>196</v>
      </c>
      <c r="AD284" s="184" t="s">
        <v>2039</v>
      </c>
      <c r="AE284" s="162" t="s">
        <v>143</v>
      </c>
      <c r="AF284" s="181" t="s">
        <v>1783</v>
      </c>
      <c r="AG284" s="181">
        <v>1</v>
      </c>
      <c r="AH284" s="181"/>
      <c r="AI284" s="181"/>
      <c r="AJ284" s="181"/>
      <c r="AK284" s="181" t="s">
        <v>138</v>
      </c>
      <c r="AL284" s="181">
        <v>0</v>
      </c>
      <c r="AM284" s="181"/>
      <c r="AN284" s="181"/>
      <c r="AO284" s="181"/>
      <c r="AP284" s="181" t="s">
        <v>138</v>
      </c>
      <c r="AQ284" s="181">
        <v>0</v>
      </c>
      <c r="AR284" s="181"/>
      <c r="AS284" s="181"/>
      <c r="AT284" s="181"/>
      <c r="AU284" s="181" t="s">
        <v>138</v>
      </c>
      <c r="AV284" s="181">
        <v>0</v>
      </c>
      <c r="AW284" s="181"/>
      <c r="AX284" s="181"/>
      <c r="AY284" s="181"/>
      <c r="AZ284" s="179"/>
      <c r="BA284" s="182" t="s">
        <v>141</v>
      </c>
      <c r="BB284" s="182" t="s">
        <v>140</v>
      </c>
      <c r="BC284" s="182" t="s">
        <v>140</v>
      </c>
      <c r="BD284" s="182" t="s">
        <v>140</v>
      </c>
      <c r="BE284" s="162" t="s">
        <v>741</v>
      </c>
      <c r="BF284" s="181"/>
      <c r="BG284" s="161"/>
      <c r="BH284" s="161"/>
      <c r="BI284" s="163"/>
      <c r="BJ284" s="163"/>
      <c r="BK284" s="163"/>
      <c r="BL284" s="163"/>
      <c r="BM284" s="163"/>
      <c r="BN284" s="163"/>
      <c r="BO284" s="163"/>
      <c r="BP284" s="163"/>
      <c r="BQ284" s="163"/>
      <c r="BR284" s="161"/>
      <c r="BS284" s="161"/>
      <c r="BT284" s="161"/>
      <c r="BU284" s="161"/>
      <c r="BV284" s="161"/>
      <c r="BW284" s="161"/>
      <c r="BX284" s="161"/>
      <c r="BY284" s="161" t="s">
        <v>14</v>
      </c>
      <c r="BZ284" s="161"/>
      <c r="CA284" s="161"/>
      <c r="CB284" s="163"/>
      <c r="CC284" s="161"/>
      <c r="CD284" s="161"/>
      <c r="CE284" s="185"/>
      <c r="CF284" s="185"/>
    </row>
    <row r="285" spans="1:84" ht="17.25" hidden="1" customHeight="1">
      <c r="A285" s="162">
        <v>205</v>
      </c>
      <c r="B285" s="177" t="s">
        <v>2067</v>
      </c>
      <c r="C285" s="177" t="s">
        <v>1896</v>
      </c>
      <c r="D285" s="177" t="s">
        <v>1897</v>
      </c>
      <c r="E285" s="177"/>
      <c r="F285" s="177"/>
      <c r="G285" s="177" t="s">
        <v>1898</v>
      </c>
      <c r="H285" s="178"/>
      <c r="I285" s="179" t="s">
        <v>1899</v>
      </c>
      <c r="J285" s="160"/>
      <c r="K285" s="180">
        <f t="shared" si="576"/>
        <v>1</v>
      </c>
      <c r="L285" s="160"/>
      <c r="M285" s="181">
        <v>1.5</v>
      </c>
      <c r="N285" s="181">
        <v>1.5</v>
      </c>
      <c r="O285" s="181" t="s">
        <v>137</v>
      </c>
      <c r="P285" s="181"/>
      <c r="Q285" s="181"/>
      <c r="R285" s="181"/>
      <c r="S285" s="181"/>
      <c r="T285" s="181"/>
      <c r="U285" s="181"/>
      <c r="V285" s="181"/>
      <c r="W285" s="181">
        <f t="shared" si="577"/>
        <v>0</v>
      </c>
      <c r="X285" s="181" t="e">
        <f t="shared" si="578"/>
        <v>#DIV/0!</v>
      </c>
      <c r="Y285" s="181"/>
      <c r="Z285" s="181"/>
      <c r="AA285" s="181"/>
      <c r="AB285" s="181"/>
      <c r="AC285" s="228" t="s">
        <v>196</v>
      </c>
      <c r="AD285" s="184" t="s">
        <v>2039</v>
      </c>
      <c r="AE285" s="162" t="s">
        <v>143</v>
      </c>
      <c r="AF285" s="181" t="s">
        <v>1783</v>
      </c>
      <c r="AG285" s="181">
        <v>1</v>
      </c>
      <c r="AH285" s="181"/>
      <c r="AI285" s="181"/>
      <c r="AJ285" s="181"/>
      <c r="AK285" s="181" t="s">
        <v>138</v>
      </c>
      <c r="AL285" s="181">
        <v>0</v>
      </c>
      <c r="AM285" s="181"/>
      <c r="AN285" s="181"/>
      <c r="AO285" s="181"/>
      <c r="AP285" s="181" t="s">
        <v>138</v>
      </c>
      <c r="AQ285" s="181">
        <v>0</v>
      </c>
      <c r="AR285" s="181"/>
      <c r="AS285" s="181"/>
      <c r="AT285" s="181"/>
      <c r="AU285" s="181" t="s">
        <v>138</v>
      </c>
      <c r="AV285" s="181">
        <v>0</v>
      </c>
      <c r="AW285" s="181"/>
      <c r="AX285" s="181"/>
      <c r="AY285" s="181"/>
      <c r="AZ285" s="179"/>
      <c r="BA285" s="182" t="s">
        <v>141</v>
      </c>
      <c r="BB285" s="182" t="s">
        <v>140</v>
      </c>
      <c r="BC285" s="182" t="s">
        <v>140</v>
      </c>
      <c r="BD285" s="182" t="s">
        <v>140</v>
      </c>
      <c r="BE285" s="162" t="s">
        <v>741</v>
      </c>
      <c r="BF285" s="181"/>
      <c r="BG285" s="161"/>
      <c r="BH285" s="161"/>
      <c r="BI285" s="163"/>
      <c r="BJ285" s="163"/>
      <c r="BK285" s="163"/>
      <c r="BL285" s="163"/>
      <c r="BM285" s="163"/>
      <c r="BN285" s="163"/>
      <c r="BO285" s="163"/>
      <c r="BP285" s="163"/>
      <c r="BQ285" s="163"/>
      <c r="BR285" s="161"/>
      <c r="BS285" s="161"/>
      <c r="BT285" s="161"/>
      <c r="BU285" s="161"/>
      <c r="BV285" s="161"/>
      <c r="BW285" s="161"/>
      <c r="BX285" s="161"/>
      <c r="BY285" s="161" t="s">
        <v>14</v>
      </c>
      <c r="BZ285" s="161"/>
      <c r="CA285" s="161"/>
      <c r="CB285" s="163"/>
      <c r="CC285" s="161"/>
      <c r="CD285" s="161"/>
      <c r="CE285" s="185"/>
      <c r="CF285" s="185"/>
    </row>
    <row r="286" spans="1:84" ht="17.25" hidden="1" customHeight="1">
      <c r="A286" s="162">
        <v>206</v>
      </c>
      <c r="B286" s="177" t="s">
        <v>2067</v>
      </c>
      <c r="C286" s="177" t="s">
        <v>2010</v>
      </c>
      <c r="D286" s="177" t="s">
        <v>2011</v>
      </c>
      <c r="E286" s="177"/>
      <c r="F286" s="177"/>
      <c r="G286" s="177" t="s">
        <v>1890</v>
      </c>
      <c r="H286" s="178"/>
      <c r="I286" s="179" t="s">
        <v>1903</v>
      </c>
      <c r="J286" s="160"/>
      <c r="K286" s="180">
        <f t="shared" si="576"/>
        <v>10</v>
      </c>
      <c r="L286" s="160"/>
      <c r="M286" s="181">
        <v>0.5</v>
      </c>
      <c r="N286" s="181">
        <v>4.8</v>
      </c>
      <c r="O286" s="181" t="s">
        <v>137</v>
      </c>
      <c r="P286" s="181"/>
      <c r="Q286" s="181"/>
      <c r="R286" s="181"/>
      <c r="S286" s="181"/>
      <c r="T286" s="181"/>
      <c r="U286" s="181"/>
      <c r="V286" s="181"/>
      <c r="W286" s="181">
        <f t="shared" si="577"/>
        <v>0</v>
      </c>
      <c r="X286" s="181" t="e">
        <f t="shared" si="578"/>
        <v>#DIV/0!</v>
      </c>
      <c r="Y286" s="181"/>
      <c r="Z286" s="181"/>
      <c r="AA286" s="181"/>
      <c r="AB286" s="181"/>
      <c r="AC286" s="228" t="s">
        <v>196</v>
      </c>
      <c r="AD286" s="184" t="s">
        <v>2039</v>
      </c>
      <c r="AE286" s="162" t="s">
        <v>143</v>
      </c>
      <c r="AF286" s="181" t="s">
        <v>1783</v>
      </c>
      <c r="AG286" s="181">
        <v>10</v>
      </c>
      <c r="AH286" s="181"/>
      <c r="AI286" s="181"/>
      <c r="AJ286" s="181"/>
      <c r="AK286" s="181" t="s">
        <v>138</v>
      </c>
      <c r="AL286" s="181">
        <v>0</v>
      </c>
      <c r="AM286" s="181"/>
      <c r="AN286" s="181"/>
      <c r="AO286" s="181"/>
      <c r="AP286" s="181" t="s">
        <v>138</v>
      </c>
      <c r="AQ286" s="181">
        <v>0</v>
      </c>
      <c r="AR286" s="181"/>
      <c r="AS286" s="181"/>
      <c r="AT286" s="181"/>
      <c r="AU286" s="181" t="s">
        <v>138</v>
      </c>
      <c r="AV286" s="181">
        <v>0</v>
      </c>
      <c r="AW286" s="181"/>
      <c r="AX286" s="181"/>
      <c r="AY286" s="181"/>
      <c r="AZ286" s="179"/>
      <c r="BA286" s="182" t="s">
        <v>141</v>
      </c>
      <c r="BB286" s="182" t="s">
        <v>140</v>
      </c>
      <c r="BC286" s="182" t="s">
        <v>140</v>
      </c>
      <c r="BD286" s="182" t="s">
        <v>140</v>
      </c>
      <c r="BE286" s="162" t="s">
        <v>741</v>
      </c>
      <c r="BF286" s="181"/>
      <c r="BG286" s="161"/>
      <c r="BH286" s="161"/>
      <c r="BI286" s="163"/>
      <c r="BJ286" s="163"/>
      <c r="BK286" s="163"/>
      <c r="BL286" s="163"/>
      <c r="BM286" s="163"/>
      <c r="BN286" s="163"/>
      <c r="BO286" s="163"/>
      <c r="BP286" s="163"/>
      <c r="BQ286" s="163"/>
      <c r="BR286" s="161"/>
      <c r="BS286" s="161"/>
      <c r="BT286" s="161"/>
      <c r="BU286" s="161"/>
      <c r="BV286" s="161"/>
      <c r="BW286" s="161"/>
      <c r="BX286" s="161"/>
      <c r="BY286" s="161" t="s">
        <v>14</v>
      </c>
      <c r="BZ286" s="161"/>
      <c r="CA286" s="161"/>
      <c r="CB286" s="163"/>
      <c r="CC286" s="161"/>
      <c r="CD286" s="161"/>
      <c r="CE286" s="185"/>
      <c r="CF286" s="185"/>
    </row>
    <row r="287" spans="1:84" ht="17.25" hidden="1" customHeight="1">
      <c r="A287" s="162">
        <v>207</v>
      </c>
      <c r="B287" s="177" t="s">
        <v>2067</v>
      </c>
      <c r="C287" s="177" t="s">
        <v>1900</v>
      </c>
      <c r="D287" s="177" t="s">
        <v>1901</v>
      </c>
      <c r="E287" s="177"/>
      <c r="F287" s="177"/>
      <c r="G287" s="177" t="s">
        <v>1902</v>
      </c>
      <c r="H287" s="178"/>
      <c r="I287" s="179" t="s">
        <v>1903</v>
      </c>
      <c r="J287" s="160"/>
      <c r="K287" s="180">
        <f t="shared" si="576"/>
        <v>20</v>
      </c>
      <c r="L287" s="160"/>
      <c r="M287" s="181">
        <v>1.2</v>
      </c>
      <c r="N287" s="181">
        <v>23</v>
      </c>
      <c r="O287" s="181" t="s">
        <v>137</v>
      </c>
      <c r="P287" s="181"/>
      <c r="Q287" s="181"/>
      <c r="R287" s="181"/>
      <c r="S287" s="181"/>
      <c r="T287" s="181"/>
      <c r="U287" s="181"/>
      <c r="V287" s="181"/>
      <c r="W287" s="181">
        <f t="shared" si="577"/>
        <v>0</v>
      </c>
      <c r="X287" s="181" t="e">
        <f t="shared" si="578"/>
        <v>#DIV/0!</v>
      </c>
      <c r="Y287" s="181"/>
      <c r="Z287" s="181"/>
      <c r="AA287" s="181"/>
      <c r="AB287" s="181"/>
      <c r="AC287" s="228" t="s">
        <v>196</v>
      </c>
      <c r="AD287" s="184" t="s">
        <v>2039</v>
      </c>
      <c r="AE287" s="162" t="s">
        <v>143</v>
      </c>
      <c r="AF287" s="181" t="s">
        <v>1783</v>
      </c>
      <c r="AG287" s="181">
        <v>20</v>
      </c>
      <c r="AH287" s="181"/>
      <c r="AI287" s="181"/>
      <c r="AJ287" s="181"/>
      <c r="AK287" s="181" t="s">
        <v>138</v>
      </c>
      <c r="AL287" s="181">
        <v>0</v>
      </c>
      <c r="AM287" s="181"/>
      <c r="AN287" s="181"/>
      <c r="AO287" s="181"/>
      <c r="AP287" s="181" t="s">
        <v>138</v>
      </c>
      <c r="AQ287" s="181">
        <v>0</v>
      </c>
      <c r="AR287" s="181"/>
      <c r="AS287" s="181"/>
      <c r="AT287" s="181"/>
      <c r="AU287" s="181" t="s">
        <v>138</v>
      </c>
      <c r="AV287" s="181">
        <v>0</v>
      </c>
      <c r="AW287" s="181"/>
      <c r="AX287" s="181"/>
      <c r="AY287" s="181"/>
      <c r="AZ287" s="179"/>
      <c r="BA287" s="182" t="s">
        <v>141</v>
      </c>
      <c r="BB287" s="182" t="s">
        <v>140</v>
      </c>
      <c r="BC287" s="182" t="s">
        <v>140</v>
      </c>
      <c r="BD287" s="182" t="s">
        <v>140</v>
      </c>
      <c r="BE287" s="162" t="s">
        <v>741</v>
      </c>
      <c r="BF287" s="181"/>
      <c r="BG287" s="161"/>
      <c r="BH287" s="161"/>
      <c r="BI287" s="163"/>
      <c r="BJ287" s="163"/>
      <c r="BK287" s="163"/>
      <c r="BL287" s="163"/>
      <c r="BM287" s="163"/>
      <c r="BN287" s="163"/>
      <c r="BO287" s="163"/>
      <c r="BP287" s="163"/>
      <c r="BQ287" s="163"/>
      <c r="BR287" s="161"/>
      <c r="BS287" s="161"/>
      <c r="BT287" s="161"/>
      <c r="BU287" s="161"/>
      <c r="BV287" s="161"/>
      <c r="BW287" s="161"/>
      <c r="BX287" s="161"/>
      <c r="BY287" s="161" t="s">
        <v>14</v>
      </c>
      <c r="BZ287" s="161"/>
      <c r="CA287" s="161"/>
      <c r="CB287" s="163"/>
      <c r="CC287" s="161"/>
      <c r="CD287" s="161"/>
      <c r="CE287" s="185"/>
      <c r="CF287" s="185"/>
    </row>
    <row r="288" spans="1:84" ht="17.25" hidden="1" customHeight="1">
      <c r="A288" s="162">
        <v>208</v>
      </c>
      <c r="B288" s="177" t="s">
        <v>2067</v>
      </c>
      <c r="C288" s="177" t="s">
        <v>1904</v>
      </c>
      <c r="D288" s="177" t="s">
        <v>1901</v>
      </c>
      <c r="E288" s="177"/>
      <c r="F288" s="177"/>
      <c r="G288" s="177" t="s">
        <v>1905</v>
      </c>
      <c r="H288" s="178"/>
      <c r="I288" s="179" t="s">
        <v>1903</v>
      </c>
      <c r="J288" s="160"/>
      <c r="K288" s="180">
        <f t="shared" si="576"/>
        <v>28</v>
      </c>
      <c r="L288" s="160"/>
      <c r="M288" s="181">
        <v>1.5</v>
      </c>
      <c r="N288" s="181">
        <v>41.6</v>
      </c>
      <c r="O288" s="181" t="s">
        <v>137</v>
      </c>
      <c r="P288" s="181"/>
      <c r="Q288" s="181"/>
      <c r="R288" s="181"/>
      <c r="S288" s="181"/>
      <c r="T288" s="181"/>
      <c r="U288" s="181"/>
      <c r="V288" s="181"/>
      <c r="W288" s="181">
        <f t="shared" si="577"/>
        <v>0</v>
      </c>
      <c r="X288" s="181" t="e">
        <f t="shared" si="578"/>
        <v>#DIV/0!</v>
      </c>
      <c r="Y288" s="181"/>
      <c r="Z288" s="181"/>
      <c r="AA288" s="181"/>
      <c r="AB288" s="181"/>
      <c r="AC288" s="228" t="s">
        <v>196</v>
      </c>
      <c r="AD288" s="184" t="s">
        <v>2039</v>
      </c>
      <c r="AE288" s="162" t="s">
        <v>143</v>
      </c>
      <c r="AF288" s="181" t="s">
        <v>1783</v>
      </c>
      <c r="AG288" s="181">
        <v>28</v>
      </c>
      <c r="AH288" s="181"/>
      <c r="AI288" s="181"/>
      <c r="AJ288" s="181"/>
      <c r="AK288" s="181" t="s">
        <v>138</v>
      </c>
      <c r="AL288" s="181">
        <v>0</v>
      </c>
      <c r="AM288" s="181"/>
      <c r="AN288" s="181"/>
      <c r="AO288" s="181"/>
      <c r="AP288" s="181" t="s">
        <v>138</v>
      </c>
      <c r="AQ288" s="181">
        <v>0</v>
      </c>
      <c r="AR288" s="181"/>
      <c r="AS288" s="181"/>
      <c r="AT288" s="181"/>
      <c r="AU288" s="181" t="s">
        <v>138</v>
      </c>
      <c r="AV288" s="181">
        <v>0</v>
      </c>
      <c r="AW288" s="181"/>
      <c r="AX288" s="181"/>
      <c r="AY288" s="181"/>
      <c r="AZ288" s="179"/>
      <c r="BA288" s="182" t="s">
        <v>141</v>
      </c>
      <c r="BB288" s="182" t="s">
        <v>140</v>
      </c>
      <c r="BC288" s="182" t="s">
        <v>140</v>
      </c>
      <c r="BD288" s="182" t="s">
        <v>140</v>
      </c>
      <c r="BE288" s="162" t="s">
        <v>741</v>
      </c>
      <c r="BF288" s="181"/>
      <c r="BG288" s="161"/>
      <c r="BH288" s="161"/>
      <c r="BI288" s="163"/>
      <c r="BJ288" s="163"/>
      <c r="BK288" s="163"/>
      <c r="BL288" s="163"/>
      <c r="BM288" s="163"/>
      <c r="BN288" s="163"/>
      <c r="BO288" s="163"/>
      <c r="BP288" s="163"/>
      <c r="BQ288" s="163"/>
      <c r="BR288" s="161"/>
      <c r="BS288" s="161"/>
      <c r="BT288" s="161"/>
      <c r="BU288" s="161"/>
      <c r="BV288" s="161"/>
      <c r="BW288" s="161"/>
      <c r="BX288" s="161"/>
      <c r="BY288" s="161" t="s">
        <v>14</v>
      </c>
      <c r="BZ288" s="161"/>
      <c r="CA288" s="161"/>
      <c r="CB288" s="163"/>
      <c r="CC288" s="161"/>
      <c r="CD288" s="161"/>
      <c r="CE288" s="185"/>
      <c r="CF288" s="185"/>
    </row>
    <row r="289" spans="1:84" ht="17.25" hidden="1" customHeight="1">
      <c r="A289" s="162">
        <v>209</v>
      </c>
      <c r="B289" s="177" t="s">
        <v>2067</v>
      </c>
      <c r="C289" s="177" t="s">
        <v>1906</v>
      </c>
      <c r="D289" s="177" t="s">
        <v>1907</v>
      </c>
      <c r="E289" s="177"/>
      <c r="F289" s="177"/>
      <c r="G289" s="177" t="s">
        <v>1908</v>
      </c>
      <c r="H289" s="178"/>
      <c r="I289" s="179" t="s">
        <v>1912</v>
      </c>
      <c r="J289" s="160"/>
      <c r="K289" s="180">
        <f t="shared" si="576"/>
        <v>28</v>
      </c>
      <c r="L289" s="160"/>
      <c r="M289" s="181">
        <v>0.1</v>
      </c>
      <c r="N289" s="181">
        <v>3.3</v>
      </c>
      <c r="O289" s="181" t="s">
        <v>137</v>
      </c>
      <c r="P289" s="181"/>
      <c r="Q289" s="181"/>
      <c r="R289" s="181"/>
      <c r="S289" s="181"/>
      <c r="T289" s="181"/>
      <c r="U289" s="181"/>
      <c r="V289" s="181"/>
      <c r="W289" s="181">
        <f t="shared" si="577"/>
        <v>0</v>
      </c>
      <c r="X289" s="181" t="e">
        <f t="shared" si="578"/>
        <v>#DIV/0!</v>
      </c>
      <c r="Y289" s="181"/>
      <c r="Z289" s="181"/>
      <c r="AA289" s="181"/>
      <c r="AB289" s="181"/>
      <c r="AC289" s="228" t="s">
        <v>196</v>
      </c>
      <c r="AD289" s="184" t="s">
        <v>2039</v>
      </c>
      <c r="AE289" s="162" t="s">
        <v>143</v>
      </c>
      <c r="AF289" s="181" t="s">
        <v>1783</v>
      </c>
      <c r="AG289" s="181">
        <v>28</v>
      </c>
      <c r="AH289" s="181"/>
      <c r="AI289" s="181"/>
      <c r="AJ289" s="181"/>
      <c r="AK289" s="181" t="s">
        <v>138</v>
      </c>
      <c r="AL289" s="181">
        <v>0</v>
      </c>
      <c r="AM289" s="181"/>
      <c r="AN289" s="181"/>
      <c r="AO289" s="181"/>
      <c r="AP289" s="181" t="s">
        <v>138</v>
      </c>
      <c r="AQ289" s="181">
        <v>0</v>
      </c>
      <c r="AR289" s="181"/>
      <c r="AS289" s="181"/>
      <c r="AT289" s="181"/>
      <c r="AU289" s="181" t="s">
        <v>138</v>
      </c>
      <c r="AV289" s="181">
        <v>0</v>
      </c>
      <c r="AW289" s="181"/>
      <c r="AX289" s="181"/>
      <c r="AY289" s="181"/>
      <c r="AZ289" s="179"/>
      <c r="BA289" s="182" t="s">
        <v>141</v>
      </c>
      <c r="BB289" s="182" t="s">
        <v>140</v>
      </c>
      <c r="BC289" s="182" t="s">
        <v>140</v>
      </c>
      <c r="BD289" s="182" t="s">
        <v>140</v>
      </c>
      <c r="BE289" s="162" t="s">
        <v>741</v>
      </c>
      <c r="BF289" s="181"/>
      <c r="BG289" s="161"/>
      <c r="BH289" s="161"/>
      <c r="BI289" s="163"/>
      <c r="BJ289" s="163"/>
      <c r="BK289" s="163"/>
      <c r="BL289" s="163"/>
      <c r="BM289" s="163"/>
      <c r="BN289" s="163"/>
      <c r="BO289" s="163"/>
      <c r="BP289" s="163"/>
      <c r="BQ289" s="163"/>
      <c r="BR289" s="161"/>
      <c r="BS289" s="161"/>
      <c r="BT289" s="161"/>
      <c r="BU289" s="161"/>
      <c r="BV289" s="161"/>
      <c r="BW289" s="161"/>
      <c r="BX289" s="161"/>
      <c r="BY289" s="161" t="s">
        <v>14</v>
      </c>
      <c r="BZ289" s="161"/>
      <c r="CA289" s="161"/>
      <c r="CB289" s="163"/>
      <c r="CC289" s="161"/>
      <c r="CD289" s="161"/>
      <c r="CE289" s="185"/>
      <c r="CF289" s="185"/>
    </row>
    <row r="290" spans="1:84" ht="17.25" hidden="1" customHeight="1">
      <c r="A290" s="162">
        <v>210</v>
      </c>
      <c r="B290" s="177" t="s">
        <v>2067</v>
      </c>
      <c r="C290" s="177" t="s">
        <v>1910</v>
      </c>
      <c r="D290" s="177" t="s">
        <v>1907</v>
      </c>
      <c r="E290" s="177"/>
      <c r="F290" s="177"/>
      <c r="G290" s="177" t="s">
        <v>1911</v>
      </c>
      <c r="H290" s="178"/>
      <c r="I290" s="179" t="s">
        <v>1912</v>
      </c>
      <c r="J290" s="160"/>
      <c r="K290" s="180">
        <f t="shared" si="576"/>
        <v>52</v>
      </c>
      <c r="L290" s="160"/>
      <c r="M290" s="181">
        <v>0.3</v>
      </c>
      <c r="N290" s="181">
        <v>15.6</v>
      </c>
      <c r="O290" s="181" t="s">
        <v>137</v>
      </c>
      <c r="P290" s="181"/>
      <c r="Q290" s="181"/>
      <c r="R290" s="181"/>
      <c r="S290" s="181"/>
      <c r="T290" s="181"/>
      <c r="U290" s="181"/>
      <c r="V290" s="181"/>
      <c r="W290" s="181">
        <f t="shared" si="577"/>
        <v>0</v>
      </c>
      <c r="X290" s="181" t="e">
        <f t="shared" si="578"/>
        <v>#DIV/0!</v>
      </c>
      <c r="Y290" s="181"/>
      <c r="Z290" s="181"/>
      <c r="AA290" s="181"/>
      <c r="AB290" s="181"/>
      <c r="AC290" s="228" t="s">
        <v>196</v>
      </c>
      <c r="AD290" s="184" t="s">
        <v>2039</v>
      </c>
      <c r="AE290" s="162" t="s">
        <v>143</v>
      </c>
      <c r="AF290" s="181" t="s">
        <v>1783</v>
      </c>
      <c r="AG290" s="181">
        <v>52</v>
      </c>
      <c r="AH290" s="181"/>
      <c r="AI290" s="181"/>
      <c r="AJ290" s="181"/>
      <c r="AK290" s="181" t="s">
        <v>138</v>
      </c>
      <c r="AL290" s="181">
        <v>0</v>
      </c>
      <c r="AM290" s="181"/>
      <c r="AN290" s="181"/>
      <c r="AO290" s="181"/>
      <c r="AP290" s="181" t="s">
        <v>138</v>
      </c>
      <c r="AQ290" s="181">
        <v>0</v>
      </c>
      <c r="AR290" s="181"/>
      <c r="AS290" s="181"/>
      <c r="AT290" s="181"/>
      <c r="AU290" s="181" t="s">
        <v>138</v>
      </c>
      <c r="AV290" s="181">
        <v>0</v>
      </c>
      <c r="AW290" s="181"/>
      <c r="AX290" s="181"/>
      <c r="AY290" s="181"/>
      <c r="AZ290" s="179"/>
      <c r="BA290" s="182" t="s">
        <v>141</v>
      </c>
      <c r="BB290" s="182" t="s">
        <v>140</v>
      </c>
      <c r="BC290" s="182" t="s">
        <v>140</v>
      </c>
      <c r="BD290" s="182" t="s">
        <v>140</v>
      </c>
      <c r="BE290" s="162" t="s">
        <v>741</v>
      </c>
      <c r="BF290" s="181"/>
      <c r="BG290" s="161"/>
      <c r="BH290" s="161"/>
      <c r="BI290" s="163"/>
      <c r="BJ290" s="163"/>
      <c r="BK290" s="163"/>
      <c r="BL290" s="163"/>
      <c r="BM290" s="163"/>
      <c r="BN290" s="163"/>
      <c r="BO290" s="163"/>
      <c r="BP290" s="163"/>
      <c r="BQ290" s="163"/>
      <c r="BR290" s="161"/>
      <c r="BS290" s="161"/>
      <c r="BT290" s="161"/>
      <c r="BU290" s="161"/>
      <c r="BV290" s="161"/>
      <c r="BW290" s="161"/>
      <c r="BX290" s="161"/>
      <c r="BY290" s="161" t="s">
        <v>14</v>
      </c>
      <c r="BZ290" s="161"/>
      <c r="CA290" s="161"/>
      <c r="CB290" s="163"/>
      <c r="CC290" s="161"/>
      <c r="CD290" s="161"/>
      <c r="CE290" s="185"/>
      <c r="CF290" s="185"/>
    </row>
    <row r="291" spans="1:84" ht="17.25" hidden="1" customHeight="1">
      <c r="A291" s="162">
        <v>211</v>
      </c>
      <c r="B291" s="177" t="s">
        <v>2067</v>
      </c>
      <c r="C291" s="177" t="s">
        <v>1913</v>
      </c>
      <c r="D291" s="177" t="s">
        <v>1907</v>
      </c>
      <c r="E291" s="177"/>
      <c r="F291" s="177"/>
      <c r="G291" s="177" t="s">
        <v>1914</v>
      </c>
      <c r="H291" s="178"/>
      <c r="I291" s="179" t="s">
        <v>1912</v>
      </c>
      <c r="J291" s="160"/>
      <c r="K291" s="180">
        <f t="shared" si="576"/>
        <v>3</v>
      </c>
      <c r="L291" s="160"/>
      <c r="M291" s="181">
        <v>0.1</v>
      </c>
      <c r="N291" s="181">
        <v>0.3</v>
      </c>
      <c r="O291" s="181" t="s">
        <v>137</v>
      </c>
      <c r="P291" s="181"/>
      <c r="Q291" s="181"/>
      <c r="R291" s="181"/>
      <c r="S291" s="181"/>
      <c r="T291" s="181"/>
      <c r="U291" s="181"/>
      <c r="V291" s="181"/>
      <c r="W291" s="181">
        <f t="shared" si="577"/>
        <v>0</v>
      </c>
      <c r="X291" s="181" t="e">
        <f t="shared" si="578"/>
        <v>#DIV/0!</v>
      </c>
      <c r="Y291" s="181"/>
      <c r="Z291" s="181"/>
      <c r="AA291" s="181"/>
      <c r="AB291" s="181"/>
      <c r="AC291" s="228" t="s">
        <v>196</v>
      </c>
      <c r="AD291" s="184" t="s">
        <v>2039</v>
      </c>
      <c r="AE291" s="162" t="s">
        <v>143</v>
      </c>
      <c r="AF291" s="181" t="s">
        <v>1783</v>
      </c>
      <c r="AG291" s="181">
        <v>3</v>
      </c>
      <c r="AH291" s="181"/>
      <c r="AI291" s="181"/>
      <c r="AJ291" s="181"/>
      <c r="AK291" s="181" t="s">
        <v>138</v>
      </c>
      <c r="AL291" s="181">
        <v>0</v>
      </c>
      <c r="AM291" s="181"/>
      <c r="AN291" s="181"/>
      <c r="AO291" s="181"/>
      <c r="AP291" s="181" t="s">
        <v>138</v>
      </c>
      <c r="AQ291" s="181">
        <v>0</v>
      </c>
      <c r="AR291" s="181"/>
      <c r="AS291" s="181"/>
      <c r="AT291" s="181"/>
      <c r="AU291" s="181" t="s">
        <v>138</v>
      </c>
      <c r="AV291" s="181">
        <v>0</v>
      </c>
      <c r="AW291" s="181"/>
      <c r="AX291" s="181"/>
      <c r="AY291" s="181"/>
      <c r="AZ291" s="179"/>
      <c r="BA291" s="182" t="s">
        <v>141</v>
      </c>
      <c r="BB291" s="182" t="s">
        <v>140</v>
      </c>
      <c r="BC291" s="182" t="s">
        <v>140</v>
      </c>
      <c r="BD291" s="182" t="s">
        <v>140</v>
      </c>
      <c r="BE291" s="162" t="s">
        <v>741</v>
      </c>
      <c r="BF291" s="181"/>
      <c r="BG291" s="161"/>
      <c r="BH291" s="161"/>
      <c r="BI291" s="163"/>
      <c r="BJ291" s="163"/>
      <c r="BK291" s="163"/>
      <c r="BL291" s="163"/>
      <c r="BM291" s="163"/>
      <c r="BN291" s="163"/>
      <c r="BO291" s="163"/>
      <c r="BP291" s="163"/>
      <c r="BQ291" s="163"/>
      <c r="BR291" s="161"/>
      <c r="BS291" s="161"/>
      <c r="BT291" s="161"/>
      <c r="BU291" s="161"/>
      <c r="BV291" s="161"/>
      <c r="BW291" s="161"/>
      <c r="BX291" s="161"/>
      <c r="BY291" s="161" t="s">
        <v>14</v>
      </c>
      <c r="BZ291" s="161"/>
      <c r="CA291" s="161"/>
      <c r="CB291" s="163"/>
      <c r="CC291" s="161"/>
      <c r="CD291" s="161"/>
      <c r="CE291" s="185"/>
      <c r="CF291" s="185"/>
    </row>
    <row r="292" spans="1:84" ht="17.25" hidden="1" customHeight="1">
      <c r="A292" s="162">
        <v>212</v>
      </c>
      <c r="B292" s="177" t="s">
        <v>2067</v>
      </c>
      <c r="C292" s="177" t="s">
        <v>1915</v>
      </c>
      <c r="D292" s="177" t="s">
        <v>1073</v>
      </c>
      <c r="E292" s="177"/>
      <c r="F292" s="177"/>
      <c r="G292" s="177" t="s">
        <v>1914</v>
      </c>
      <c r="H292" s="178"/>
      <c r="I292" s="179" t="s">
        <v>1916</v>
      </c>
      <c r="J292" s="160"/>
      <c r="K292" s="180">
        <f t="shared" si="576"/>
        <v>2</v>
      </c>
      <c r="L292" s="160"/>
      <c r="M292" s="181">
        <v>0.1</v>
      </c>
      <c r="N292" s="181">
        <v>0.2</v>
      </c>
      <c r="O292" s="181" t="s">
        <v>137</v>
      </c>
      <c r="P292" s="181"/>
      <c r="Q292" s="181"/>
      <c r="R292" s="181"/>
      <c r="S292" s="181"/>
      <c r="T292" s="181"/>
      <c r="U292" s="181"/>
      <c r="V292" s="181"/>
      <c r="W292" s="181">
        <f t="shared" si="577"/>
        <v>0</v>
      </c>
      <c r="X292" s="181" t="e">
        <f t="shared" si="578"/>
        <v>#DIV/0!</v>
      </c>
      <c r="Y292" s="181"/>
      <c r="Z292" s="181"/>
      <c r="AA292" s="181"/>
      <c r="AB292" s="181"/>
      <c r="AC292" s="228" t="s">
        <v>196</v>
      </c>
      <c r="AD292" s="184" t="s">
        <v>2039</v>
      </c>
      <c r="AE292" s="162" t="s">
        <v>143</v>
      </c>
      <c r="AF292" s="181" t="s">
        <v>1783</v>
      </c>
      <c r="AG292" s="181">
        <v>2</v>
      </c>
      <c r="AH292" s="181"/>
      <c r="AI292" s="181"/>
      <c r="AJ292" s="181"/>
      <c r="AK292" s="181" t="s">
        <v>138</v>
      </c>
      <c r="AL292" s="181">
        <v>0</v>
      </c>
      <c r="AM292" s="181"/>
      <c r="AN292" s="181"/>
      <c r="AO292" s="181"/>
      <c r="AP292" s="181" t="s">
        <v>138</v>
      </c>
      <c r="AQ292" s="181">
        <v>0</v>
      </c>
      <c r="AR292" s="181"/>
      <c r="AS292" s="181"/>
      <c r="AT292" s="181"/>
      <c r="AU292" s="181" t="s">
        <v>138</v>
      </c>
      <c r="AV292" s="181">
        <v>0</v>
      </c>
      <c r="AW292" s="181"/>
      <c r="AX292" s="181"/>
      <c r="AY292" s="181"/>
      <c r="AZ292" s="179"/>
      <c r="BA292" s="182" t="s">
        <v>141</v>
      </c>
      <c r="BB292" s="182" t="s">
        <v>140</v>
      </c>
      <c r="BC292" s="182" t="s">
        <v>140</v>
      </c>
      <c r="BD292" s="182" t="s">
        <v>140</v>
      </c>
      <c r="BE292" s="162" t="s">
        <v>741</v>
      </c>
      <c r="BF292" s="181"/>
      <c r="BG292" s="161"/>
      <c r="BH292" s="161"/>
      <c r="BI292" s="163"/>
      <c r="BJ292" s="163"/>
      <c r="BK292" s="163"/>
      <c r="BL292" s="163"/>
      <c r="BM292" s="163"/>
      <c r="BN292" s="163"/>
      <c r="BO292" s="163"/>
      <c r="BP292" s="163"/>
      <c r="BQ292" s="163"/>
      <c r="BR292" s="161"/>
      <c r="BS292" s="161"/>
      <c r="BT292" s="161"/>
      <c r="BU292" s="161"/>
      <c r="BV292" s="161"/>
      <c r="BW292" s="161"/>
      <c r="BX292" s="161"/>
      <c r="BY292" s="161" t="s">
        <v>14</v>
      </c>
      <c r="BZ292" s="161"/>
      <c r="CA292" s="161"/>
      <c r="CB292" s="163"/>
      <c r="CC292" s="161"/>
      <c r="CD292" s="161"/>
      <c r="CE292" s="185"/>
      <c r="CF292" s="185"/>
    </row>
    <row r="293" spans="1:84" ht="17.25" hidden="1" customHeight="1">
      <c r="A293" s="162">
        <v>213</v>
      </c>
      <c r="B293" s="177" t="s">
        <v>2067</v>
      </c>
      <c r="C293" s="177" t="s">
        <v>1917</v>
      </c>
      <c r="D293" s="177" t="s">
        <v>1073</v>
      </c>
      <c r="E293" s="177"/>
      <c r="F293" s="177"/>
      <c r="G293" s="177" t="s">
        <v>1908</v>
      </c>
      <c r="H293" s="178"/>
      <c r="I293" s="179" t="s">
        <v>1916</v>
      </c>
      <c r="J293" s="160"/>
      <c r="K293" s="180">
        <f t="shared" si="576"/>
        <v>36</v>
      </c>
      <c r="L293" s="160"/>
      <c r="M293" s="181">
        <v>3.3333333333333333E-2</v>
      </c>
      <c r="N293" s="181">
        <v>1.2</v>
      </c>
      <c r="O293" s="181" t="s">
        <v>137</v>
      </c>
      <c r="P293" s="181"/>
      <c r="Q293" s="181"/>
      <c r="R293" s="181"/>
      <c r="S293" s="181"/>
      <c r="T293" s="181"/>
      <c r="U293" s="181"/>
      <c r="V293" s="181"/>
      <c r="W293" s="181">
        <f t="shared" si="577"/>
        <v>0</v>
      </c>
      <c r="X293" s="181" t="e">
        <f t="shared" si="578"/>
        <v>#DIV/0!</v>
      </c>
      <c r="Y293" s="181"/>
      <c r="Z293" s="181"/>
      <c r="AA293" s="181"/>
      <c r="AB293" s="181"/>
      <c r="AC293" s="228" t="s">
        <v>196</v>
      </c>
      <c r="AD293" s="184" t="s">
        <v>2039</v>
      </c>
      <c r="AE293" s="162" t="s">
        <v>143</v>
      </c>
      <c r="AF293" s="181" t="s">
        <v>1783</v>
      </c>
      <c r="AG293" s="181">
        <v>36</v>
      </c>
      <c r="AH293" s="181"/>
      <c r="AI293" s="181"/>
      <c r="AJ293" s="181"/>
      <c r="AK293" s="181" t="s">
        <v>138</v>
      </c>
      <c r="AL293" s="181">
        <v>0</v>
      </c>
      <c r="AM293" s="181"/>
      <c r="AN293" s="181"/>
      <c r="AO293" s="181"/>
      <c r="AP293" s="181" t="s">
        <v>138</v>
      </c>
      <c r="AQ293" s="181">
        <v>0</v>
      </c>
      <c r="AR293" s="181"/>
      <c r="AS293" s="181"/>
      <c r="AT293" s="181"/>
      <c r="AU293" s="181" t="s">
        <v>138</v>
      </c>
      <c r="AV293" s="181">
        <v>0</v>
      </c>
      <c r="AW293" s="181"/>
      <c r="AX293" s="181"/>
      <c r="AY293" s="181"/>
      <c r="AZ293" s="179"/>
      <c r="BA293" s="182" t="s">
        <v>141</v>
      </c>
      <c r="BB293" s="182" t="s">
        <v>140</v>
      </c>
      <c r="BC293" s="182" t="s">
        <v>140</v>
      </c>
      <c r="BD293" s="182" t="s">
        <v>140</v>
      </c>
      <c r="BE293" s="162" t="s">
        <v>741</v>
      </c>
      <c r="BF293" s="181"/>
      <c r="BG293" s="161"/>
      <c r="BH293" s="161"/>
      <c r="BI293" s="163"/>
      <c r="BJ293" s="163"/>
      <c r="BK293" s="163"/>
      <c r="BL293" s="163"/>
      <c r="BM293" s="163"/>
      <c r="BN293" s="163"/>
      <c r="BO293" s="163"/>
      <c r="BP293" s="163"/>
      <c r="BQ293" s="163"/>
      <c r="BR293" s="161"/>
      <c r="BS293" s="161"/>
      <c r="BT293" s="161"/>
      <c r="BU293" s="161"/>
      <c r="BV293" s="161"/>
      <c r="BW293" s="161"/>
      <c r="BX293" s="161"/>
      <c r="BY293" s="161" t="s">
        <v>14</v>
      </c>
      <c r="BZ293" s="161"/>
      <c r="CA293" s="161"/>
      <c r="CB293" s="163"/>
      <c r="CC293" s="161"/>
      <c r="CD293" s="161"/>
      <c r="CE293" s="185"/>
      <c r="CF293" s="185"/>
    </row>
    <row r="294" spans="1:84" ht="17.25" hidden="1" customHeight="1">
      <c r="A294" s="162">
        <v>214</v>
      </c>
      <c r="B294" s="177" t="s">
        <v>2067</v>
      </c>
      <c r="C294" s="177" t="s">
        <v>1918</v>
      </c>
      <c r="D294" s="177" t="s">
        <v>1073</v>
      </c>
      <c r="E294" s="177"/>
      <c r="F294" s="177"/>
      <c r="G294" s="177" t="s">
        <v>1911</v>
      </c>
      <c r="H294" s="178"/>
      <c r="I294" s="179" t="s">
        <v>1916</v>
      </c>
      <c r="J294" s="160"/>
      <c r="K294" s="180">
        <f t="shared" si="576"/>
        <v>96</v>
      </c>
      <c r="L294" s="160"/>
      <c r="M294" s="181">
        <v>0.1</v>
      </c>
      <c r="N294" s="181">
        <v>5.0999999999999996</v>
      </c>
      <c r="O294" s="181" t="s">
        <v>137</v>
      </c>
      <c r="P294" s="181"/>
      <c r="Q294" s="181"/>
      <c r="R294" s="181"/>
      <c r="S294" s="181"/>
      <c r="T294" s="181"/>
      <c r="U294" s="181"/>
      <c r="V294" s="181"/>
      <c r="W294" s="181">
        <f t="shared" si="577"/>
        <v>0</v>
      </c>
      <c r="X294" s="181" t="e">
        <f t="shared" si="578"/>
        <v>#DIV/0!</v>
      </c>
      <c r="Y294" s="181"/>
      <c r="Z294" s="181"/>
      <c r="AA294" s="181"/>
      <c r="AB294" s="181"/>
      <c r="AC294" s="228" t="s">
        <v>196</v>
      </c>
      <c r="AD294" s="184" t="s">
        <v>2039</v>
      </c>
      <c r="AE294" s="162" t="s">
        <v>143</v>
      </c>
      <c r="AF294" s="181" t="s">
        <v>1783</v>
      </c>
      <c r="AG294" s="181">
        <v>96</v>
      </c>
      <c r="AH294" s="181"/>
      <c r="AI294" s="181"/>
      <c r="AJ294" s="181"/>
      <c r="AK294" s="181" t="s">
        <v>138</v>
      </c>
      <c r="AL294" s="181">
        <v>0</v>
      </c>
      <c r="AM294" s="181"/>
      <c r="AN294" s="181"/>
      <c r="AO294" s="181"/>
      <c r="AP294" s="181" t="s">
        <v>138</v>
      </c>
      <c r="AQ294" s="181">
        <v>0</v>
      </c>
      <c r="AR294" s="181"/>
      <c r="AS294" s="181"/>
      <c r="AT294" s="181"/>
      <c r="AU294" s="181" t="s">
        <v>138</v>
      </c>
      <c r="AV294" s="181">
        <v>0</v>
      </c>
      <c r="AW294" s="181"/>
      <c r="AX294" s="181"/>
      <c r="AY294" s="181"/>
      <c r="AZ294" s="179"/>
      <c r="BA294" s="182" t="s">
        <v>141</v>
      </c>
      <c r="BB294" s="182" t="s">
        <v>140</v>
      </c>
      <c r="BC294" s="182" t="s">
        <v>140</v>
      </c>
      <c r="BD294" s="182" t="s">
        <v>140</v>
      </c>
      <c r="BE294" s="162" t="s">
        <v>741</v>
      </c>
      <c r="BF294" s="181"/>
      <c r="BG294" s="161"/>
      <c r="BH294" s="161"/>
      <c r="BI294" s="163"/>
      <c r="BJ294" s="163"/>
      <c r="BK294" s="163"/>
      <c r="BL294" s="163"/>
      <c r="BM294" s="163"/>
      <c r="BN294" s="163"/>
      <c r="BO294" s="163"/>
      <c r="BP294" s="163"/>
      <c r="BQ294" s="163"/>
      <c r="BR294" s="161"/>
      <c r="BS294" s="161"/>
      <c r="BT294" s="161"/>
      <c r="BU294" s="161"/>
      <c r="BV294" s="161"/>
      <c r="BW294" s="161"/>
      <c r="BX294" s="161"/>
      <c r="BY294" s="161" t="s">
        <v>14</v>
      </c>
      <c r="BZ294" s="161"/>
      <c r="CA294" s="161"/>
      <c r="CB294" s="163"/>
      <c r="CC294" s="161"/>
      <c r="CD294" s="161"/>
      <c r="CE294" s="185"/>
      <c r="CF294" s="185"/>
    </row>
    <row r="295" spans="1:84" ht="36" hidden="1">
      <c r="A295" s="162">
        <v>138</v>
      </c>
      <c r="B295" s="177" t="s">
        <v>1919</v>
      </c>
      <c r="C295" s="177" t="s">
        <v>2152</v>
      </c>
      <c r="D295" s="177" t="s">
        <v>1920</v>
      </c>
      <c r="E295" s="177"/>
      <c r="F295" s="177"/>
      <c r="G295" s="177" t="s">
        <v>1921</v>
      </c>
      <c r="H295" s="178"/>
      <c r="I295" s="179"/>
      <c r="J295" s="160"/>
      <c r="K295" s="180">
        <f t="shared" si="576"/>
        <v>2</v>
      </c>
      <c r="L295" s="160"/>
      <c r="M295" s="181">
        <v>8656.4</v>
      </c>
      <c r="N295" s="181">
        <v>34625.599999999999</v>
      </c>
      <c r="O295" s="181" t="s">
        <v>137</v>
      </c>
      <c r="P295" s="181"/>
      <c r="Q295" s="181"/>
      <c r="R295" s="181"/>
      <c r="S295" s="181"/>
      <c r="T295" s="181"/>
      <c r="U295" s="181"/>
      <c r="V295" s="181"/>
      <c r="W295" s="181">
        <f t="shared" si="577"/>
        <v>0</v>
      </c>
      <c r="X295" s="181" t="e">
        <f t="shared" si="578"/>
        <v>#DIV/0!</v>
      </c>
      <c r="Y295" s="181"/>
      <c r="Z295" s="181"/>
      <c r="AA295" s="181"/>
      <c r="AB295" s="181"/>
      <c r="AC295" s="228" t="s">
        <v>1923</v>
      </c>
      <c r="AD295" s="184" t="s">
        <v>1924</v>
      </c>
      <c r="AE295" s="162" t="s">
        <v>143</v>
      </c>
      <c r="AF295" s="181" t="s">
        <v>138</v>
      </c>
      <c r="AG295" s="181">
        <v>0</v>
      </c>
      <c r="AH295" s="181"/>
      <c r="AI295" s="181"/>
      <c r="AJ295" s="181"/>
      <c r="AK295" s="181" t="s">
        <v>1783</v>
      </c>
      <c r="AL295" s="181">
        <v>1</v>
      </c>
      <c r="AM295" s="181"/>
      <c r="AN295" s="181"/>
      <c r="AO295" s="181"/>
      <c r="AP295" s="181" t="s">
        <v>1922</v>
      </c>
      <c r="AQ295" s="181">
        <v>1</v>
      </c>
      <c r="AR295" s="181"/>
      <c r="AS295" s="181"/>
      <c r="AT295" s="181"/>
      <c r="AU295" s="181" t="s">
        <v>138</v>
      </c>
      <c r="AV295" s="181">
        <v>0</v>
      </c>
      <c r="AW295" s="181"/>
      <c r="AX295" s="181"/>
      <c r="AY295" s="181"/>
      <c r="AZ295" s="181"/>
      <c r="BA295" s="182" t="s">
        <v>1925</v>
      </c>
      <c r="BB295" s="182" t="s">
        <v>1926</v>
      </c>
      <c r="BC295" s="182" t="s">
        <v>1927</v>
      </c>
      <c r="BD295" s="182" t="s">
        <v>140</v>
      </c>
      <c r="BE295" s="162"/>
      <c r="BF295" s="181"/>
      <c r="BG295" s="161"/>
      <c r="BH295" s="161"/>
      <c r="BI295" s="163"/>
      <c r="BJ295" s="163"/>
      <c r="BK295" s="163"/>
      <c r="BL295" s="163"/>
      <c r="BM295" s="163"/>
      <c r="BN295" s="163"/>
      <c r="BO295" s="163"/>
      <c r="BP295" s="163"/>
      <c r="BQ295" s="163"/>
      <c r="BR295" s="161"/>
      <c r="BS295" s="161"/>
      <c r="BT295" s="161"/>
      <c r="BU295" s="161"/>
      <c r="BV295" s="161"/>
      <c r="BW295" s="161"/>
      <c r="BX295" s="161"/>
      <c r="BY295" s="161"/>
      <c r="BZ295" s="161"/>
      <c r="CA295" s="161"/>
      <c r="CB295" s="163"/>
      <c r="CC295" s="161"/>
      <c r="CD295" s="161"/>
      <c r="CE295" s="185"/>
      <c r="CF295" s="185"/>
    </row>
    <row r="296" spans="1:84" ht="36" hidden="1">
      <c r="A296" s="186"/>
      <c r="B296" s="187" t="s">
        <v>1919</v>
      </c>
      <c r="C296" s="187" t="s">
        <v>2153</v>
      </c>
      <c r="D296" s="187"/>
      <c r="E296" s="187"/>
      <c r="F296" s="187"/>
      <c r="G296" s="187" t="s">
        <v>1928</v>
      </c>
      <c r="H296" s="188"/>
      <c r="I296" s="189"/>
      <c r="J296" s="190"/>
      <c r="K296" s="191">
        <f t="shared" ref="K296:K337" si="581">K295</f>
        <v>2</v>
      </c>
      <c r="L296" s="190"/>
      <c r="M296" s="192">
        <v>2279.3000000000002</v>
      </c>
      <c r="N296" s="192">
        <v>9117.2000000000007</v>
      </c>
      <c r="O296" s="192" t="s">
        <v>137</v>
      </c>
      <c r="P296" s="192"/>
      <c r="Q296" s="192"/>
      <c r="R296" s="192"/>
      <c r="S296" s="192"/>
      <c r="T296" s="192"/>
      <c r="U296" s="192"/>
      <c r="V296" s="192"/>
      <c r="W296" s="192">
        <f t="shared" ca="1" si="577"/>
        <v>0</v>
      </c>
      <c r="X296" s="192">
        <f t="shared" ca="1" si="578"/>
        <v>0.6495726495726496</v>
      </c>
      <c r="Y296" s="192"/>
      <c r="Z296" s="192"/>
      <c r="AA296" s="192"/>
      <c r="AB296" s="192"/>
      <c r="AC296" s="194" t="s">
        <v>1923</v>
      </c>
      <c r="AD296" s="195" t="s">
        <v>1924</v>
      </c>
      <c r="AE296" s="196" t="s">
        <v>1787</v>
      </c>
      <c r="AF296" s="192" t="str">
        <f t="shared" ref="AF296:AG311" si="582">AF295</f>
        <v>N/A</v>
      </c>
      <c r="AG296" s="192">
        <f t="shared" si="582"/>
        <v>0</v>
      </c>
      <c r="AH296" s="192"/>
      <c r="AI296" s="192"/>
      <c r="AJ296" s="192"/>
      <c r="AK296" s="192" t="str">
        <f t="shared" ref="AK296:AL311" si="583">AK295</f>
        <v>AMC2-S1</v>
      </c>
      <c r="AL296" s="192">
        <f t="shared" si="583"/>
        <v>1</v>
      </c>
      <c r="AM296" s="192"/>
      <c r="AN296" s="192"/>
      <c r="AO296" s="192"/>
      <c r="AP296" s="192" t="str">
        <f t="shared" ref="AP296:AQ311" si="584">AP295</f>
        <v>AMC2-S4</v>
      </c>
      <c r="AQ296" s="192">
        <f t="shared" si="584"/>
        <v>1</v>
      </c>
      <c r="AR296" s="192"/>
      <c r="AS296" s="192"/>
      <c r="AT296" s="192"/>
      <c r="AU296" s="192" t="str">
        <f t="shared" ref="AU296:AV311" si="585">AU295</f>
        <v>N/A</v>
      </c>
      <c r="AV296" s="192">
        <f t="shared" si="585"/>
        <v>0</v>
      </c>
      <c r="AW296" s="192"/>
      <c r="AX296" s="192"/>
      <c r="AY296" s="192"/>
      <c r="AZ296" s="192"/>
      <c r="BA296" s="193" t="s">
        <v>1925</v>
      </c>
      <c r="BB296" s="193" t="s">
        <v>1926</v>
      </c>
      <c r="BC296" s="193" t="s">
        <v>1927</v>
      </c>
      <c r="BD296" s="193" t="s">
        <v>140</v>
      </c>
      <c r="BE296" s="196" t="s">
        <v>741</v>
      </c>
      <c r="BF296" s="192"/>
      <c r="BG296" s="186"/>
      <c r="BH296" s="186"/>
      <c r="BI296" s="197"/>
      <c r="BJ296" s="197"/>
      <c r="BK296" s="197"/>
      <c r="BL296" s="197"/>
      <c r="BM296" s="197"/>
      <c r="BN296" s="197"/>
      <c r="BO296" s="197"/>
      <c r="BP296" s="197"/>
      <c r="BQ296" s="197"/>
      <c r="BR296" s="186"/>
      <c r="BS296" s="186"/>
      <c r="BT296" s="186"/>
      <c r="BU296" s="186"/>
      <c r="BV296" s="186"/>
      <c r="BW296" s="186"/>
      <c r="BX296" s="186"/>
      <c r="BY296" s="186"/>
      <c r="BZ296" s="186"/>
      <c r="CA296" s="186"/>
      <c r="CB296" s="197"/>
      <c r="CC296" s="186"/>
      <c r="CD296" s="186"/>
      <c r="CE296" s="198"/>
      <c r="CF296" s="198"/>
    </row>
    <row r="297" spans="1:84" ht="36" hidden="1">
      <c r="A297" s="117"/>
      <c r="B297" s="209" t="s">
        <v>1919</v>
      </c>
      <c r="C297" s="209" t="s">
        <v>2153</v>
      </c>
      <c r="D297" s="209" t="s">
        <v>1084</v>
      </c>
      <c r="E297" s="209" t="s">
        <v>1788</v>
      </c>
      <c r="F297" s="209" t="s">
        <v>1358</v>
      </c>
      <c r="G297" s="209" t="s">
        <v>1293</v>
      </c>
      <c r="H297" s="210">
        <v>8216</v>
      </c>
      <c r="I297" s="211" t="s">
        <v>147</v>
      </c>
      <c r="J297" s="144">
        <v>1</v>
      </c>
      <c r="K297" s="145">
        <f t="shared" si="581"/>
        <v>2</v>
      </c>
      <c r="L297" s="202">
        <f t="shared" ref="L297:L311" si="586">+J297*K297</f>
        <v>2</v>
      </c>
      <c r="M297" s="212">
        <v>1195.8</v>
      </c>
      <c r="N297" s="203">
        <f t="shared" ref="N297:N311" si="587">+M297*L297</f>
        <v>2391.6</v>
      </c>
      <c r="O297" s="212" t="s">
        <v>137</v>
      </c>
      <c r="P297" s="212" t="s">
        <v>13</v>
      </c>
      <c r="Q297" s="212" t="s">
        <v>154</v>
      </c>
      <c r="R297" s="212"/>
      <c r="S297" s="212"/>
      <c r="T297" s="203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0</v>
      </c>
      <c r="U297" s="203">
        <f t="shared" ref="U297:U311" ca="1" si="588">+L297-T297</f>
        <v>2</v>
      </c>
      <c r="V297" s="203">
        <f t="shared" ref="V297:V311" ca="1" si="589">ROUNDDOWN(T297/J297,0)</f>
        <v>0</v>
      </c>
      <c r="W297" s="212"/>
      <c r="X297" s="212"/>
      <c r="Y297" s="212"/>
      <c r="Z297" s="212"/>
      <c r="AA297" s="212"/>
      <c r="AB297" s="212"/>
      <c r="AC297" s="214" t="s">
        <v>1923</v>
      </c>
      <c r="AD297" s="215" t="s">
        <v>1924</v>
      </c>
      <c r="AE297" s="148"/>
      <c r="AF297" s="212" t="str">
        <f t="shared" si="582"/>
        <v>N/A</v>
      </c>
      <c r="AG297" s="212">
        <f t="shared" si="582"/>
        <v>0</v>
      </c>
      <c r="AH297" s="203">
        <f t="shared" ref="AH297:AH311" si="590">+AG297*J297</f>
        <v>0</v>
      </c>
      <c r="AI297" s="203">
        <f t="shared" ref="AI297:AI311" ca="1" si="591">MIN(T297,AH297)</f>
        <v>0</v>
      </c>
      <c r="AJ297" s="203">
        <f t="shared" ref="AJ297:AJ311" ca="1" si="592">+AH297-AI297</f>
        <v>0</v>
      </c>
      <c r="AK297" s="212" t="str">
        <f t="shared" si="583"/>
        <v>AMC2-S1</v>
      </c>
      <c r="AL297" s="212">
        <f t="shared" si="583"/>
        <v>1</v>
      </c>
      <c r="AM297" s="203">
        <f t="shared" ref="AM297:AM311" si="593">+AL297*J297</f>
        <v>1</v>
      </c>
      <c r="AN297" s="203">
        <f t="shared" ref="AN297:AN311" ca="1" si="594">MIN(T297-AI297,AL297)</f>
        <v>0</v>
      </c>
      <c r="AO297" s="203">
        <f t="shared" ref="AO297:AO311" ca="1" si="595">+AM297-AN297</f>
        <v>1</v>
      </c>
      <c r="AP297" s="212" t="str">
        <f t="shared" si="584"/>
        <v>AMC2-S4</v>
      </c>
      <c r="AQ297" s="212">
        <f t="shared" si="584"/>
        <v>1</v>
      </c>
      <c r="AR297" s="203">
        <f t="shared" ref="AR297:AR311" si="596">+AQ297*J297</f>
        <v>1</v>
      </c>
      <c r="AS297" s="203">
        <f t="shared" ref="AS297:AS311" ca="1" si="597">MIN(T297-AI297-AN297,AR297)</f>
        <v>0</v>
      </c>
      <c r="AT297" s="203">
        <f t="shared" ref="AT297:AT311" ca="1" si="598">+AR297-AS297</f>
        <v>1</v>
      </c>
      <c r="AU297" s="212" t="str">
        <f t="shared" si="585"/>
        <v>N/A</v>
      </c>
      <c r="AV297" s="212">
        <f t="shared" si="585"/>
        <v>0</v>
      </c>
      <c r="AW297" s="203">
        <f t="shared" ref="AW297:AW311" si="599">+AV297*J297</f>
        <v>0</v>
      </c>
      <c r="AX297" s="203">
        <f t="shared" ref="AX297:AX311" ca="1" si="600">MIN(T297-AI297-AN297-AS297,AW297)</f>
        <v>0</v>
      </c>
      <c r="AY297" s="203">
        <f t="shared" ref="AY297:AY311" ca="1" si="601">+AW297-AX297</f>
        <v>0</v>
      </c>
      <c r="AZ297" s="212"/>
      <c r="BA297" s="213" t="s">
        <v>1925</v>
      </c>
      <c r="BB297" s="213" t="s">
        <v>1926</v>
      </c>
      <c r="BC297" s="213" t="s">
        <v>1927</v>
      </c>
      <c r="BD297" s="213" t="s">
        <v>140</v>
      </c>
      <c r="BE297" s="148"/>
      <c r="BF297" s="212" t="s">
        <v>1789</v>
      </c>
      <c r="BG297" s="117"/>
      <c r="BH297" s="155"/>
      <c r="BI297" s="216"/>
      <c r="BJ297" s="216"/>
      <c r="BK297" s="216"/>
      <c r="BL297" s="149"/>
      <c r="BM297" s="149"/>
      <c r="BN297" s="149"/>
      <c r="BO297" s="149"/>
      <c r="BP297" s="149"/>
      <c r="BQ297" s="149"/>
      <c r="BR297" s="117">
        <v>0</v>
      </c>
      <c r="BS297" s="117">
        <v>1</v>
      </c>
      <c r="BT297" s="117">
        <v>0</v>
      </c>
      <c r="BU297" s="117">
        <v>1</v>
      </c>
      <c r="BV297" s="117">
        <v>0</v>
      </c>
      <c r="BW297" s="117">
        <v>0</v>
      </c>
      <c r="BX297" s="117">
        <v>0</v>
      </c>
      <c r="BY297" s="117" t="s">
        <v>1790</v>
      </c>
      <c r="BZ297" s="158" t="s">
        <v>57</v>
      </c>
      <c r="CA297" s="158">
        <v>4</v>
      </c>
      <c r="CB297" s="234"/>
      <c r="CC297" s="155"/>
      <c r="CD297" s="155"/>
      <c r="CE297" s="217"/>
      <c r="CF297" s="166">
        <f t="shared" ref="CF297:CF311" si="602">+L297-CA297</f>
        <v>-2</v>
      </c>
    </row>
    <row r="298" spans="1:84" ht="36" hidden="1">
      <c r="A298" s="117"/>
      <c r="B298" s="209" t="s">
        <v>1919</v>
      </c>
      <c r="C298" s="209" t="s">
        <v>2153</v>
      </c>
      <c r="D298" s="209" t="s">
        <v>1296</v>
      </c>
      <c r="E298" s="209" t="s">
        <v>1791</v>
      </c>
      <c r="F298" s="209" t="s">
        <v>1363</v>
      </c>
      <c r="G298" s="209" t="s">
        <v>1302</v>
      </c>
      <c r="H298" s="210">
        <v>7926</v>
      </c>
      <c r="I298" s="211" t="s">
        <v>147</v>
      </c>
      <c r="J298" s="144">
        <v>2</v>
      </c>
      <c r="K298" s="145">
        <f t="shared" si="581"/>
        <v>2</v>
      </c>
      <c r="L298" s="202">
        <f t="shared" si="586"/>
        <v>4</v>
      </c>
      <c r="M298" s="212">
        <v>336</v>
      </c>
      <c r="N298" s="203">
        <f t="shared" si="587"/>
        <v>1344</v>
      </c>
      <c r="O298" s="212" t="s">
        <v>137</v>
      </c>
      <c r="P298" s="212" t="s">
        <v>13</v>
      </c>
      <c r="Q298" s="212" t="s">
        <v>148</v>
      </c>
      <c r="R298" s="212"/>
      <c r="S298" s="212"/>
      <c r="T298" s="203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2</v>
      </c>
      <c r="U298" s="203">
        <f t="shared" ca="1" si="588"/>
        <v>2</v>
      </c>
      <c r="V298" s="203">
        <f t="shared" ca="1" si="589"/>
        <v>1</v>
      </c>
      <c r="W298" s="212"/>
      <c r="X298" s="212"/>
      <c r="Y298" s="212"/>
      <c r="Z298" s="212"/>
      <c r="AA298" s="212"/>
      <c r="AB298" s="212"/>
      <c r="AC298" s="214" t="s">
        <v>1923</v>
      </c>
      <c r="AD298" s="215" t="s">
        <v>1924</v>
      </c>
      <c r="AE298" s="148"/>
      <c r="AF298" s="212" t="str">
        <f t="shared" si="582"/>
        <v>N/A</v>
      </c>
      <c r="AG298" s="212">
        <f t="shared" si="582"/>
        <v>0</v>
      </c>
      <c r="AH298" s="203">
        <f t="shared" si="590"/>
        <v>0</v>
      </c>
      <c r="AI298" s="203">
        <f t="shared" ca="1" si="591"/>
        <v>0</v>
      </c>
      <c r="AJ298" s="203">
        <f t="shared" ca="1" si="592"/>
        <v>0</v>
      </c>
      <c r="AK298" s="212" t="str">
        <f t="shared" si="583"/>
        <v>AMC2-S1</v>
      </c>
      <c r="AL298" s="212">
        <f t="shared" si="583"/>
        <v>1</v>
      </c>
      <c r="AM298" s="203">
        <f t="shared" si="593"/>
        <v>2</v>
      </c>
      <c r="AN298" s="203">
        <f t="shared" ca="1" si="594"/>
        <v>1</v>
      </c>
      <c r="AO298" s="203">
        <f t="shared" ca="1" si="595"/>
        <v>1</v>
      </c>
      <c r="AP298" s="212" t="str">
        <f t="shared" si="584"/>
        <v>AMC2-S4</v>
      </c>
      <c r="AQ298" s="212">
        <f t="shared" si="584"/>
        <v>1</v>
      </c>
      <c r="AR298" s="203">
        <f t="shared" si="596"/>
        <v>2</v>
      </c>
      <c r="AS298" s="203">
        <f t="shared" ca="1" si="597"/>
        <v>1</v>
      </c>
      <c r="AT298" s="203">
        <f t="shared" ca="1" si="598"/>
        <v>1</v>
      </c>
      <c r="AU298" s="212" t="str">
        <f t="shared" si="585"/>
        <v>N/A</v>
      </c>
      <c r="AV298" s="212">
        <f t="shared" si="585"/>
        <v>0</v>
      </c>
      <c r="AW298" s="203">
        <f t="shared" si="599"/>
        <v>0</v>
      </c>
      <c r="AX298" s="203">
        <f t="shared" ca="1" si="600"/>
        <v>0</v>
      </c>
      <c r="AY298" s="203">
        <f t="shared" ca="1" si="601"/>
        <v>0</v>
      </c>
      <c r="AZ298" s="212"/>
      <c r="BA298" s="213" t="s">
        <v>1925</v>
      </c>
      <c r="BB298" s="213" t="s">
        <v>1926</v>
      </c>
      <c r="BC298" s="213" t="s">
        <v>1927</v>
      </c>
      <c r="BD298" s="213" t="s">
        <v>140</v>
      </c>
      <c r="BE298" s="148"/>
      <c r="BF298" s="212" t="s">
        <v>1789</v>
      </c>
      <c r="BG298" s="117"/>
      <c r="BH298" s="155"/>
      <c r="BI298" s="216"/>
      <c r="BJ298" s="216"/>
      <c r="BK298" s="216"/>
      <c r="BL298" s="149"/>
      <c r="BM298" s="149"/>
      <c r="BN298" s="149"/>
      <c r="BO298" s="149"/>
      <c r="BP298" s="149"/>
      <c r="BQ298" s="149"/>
      <c r="BR298" s="117">
        <v>0</v>
      </c>
      <c r="BS298" s="117">
        <v>0</v>
      </c>
      <c r="BT298" s="117">
        <v>0</v>
      </c>
      <c r="BU298" s="117">
        <v>0</v>
      </c>
      <c r="BV298" s="117">
        <v>0</v>
      </c>
      <c r="BW298" s="117">
        <v>0</v>
      </c>
      <c r="BX298" s="117">
        <v>0</v>
      </c>
      <c r="BY298" s="117" t="s">
        <v>1790</v>
      </c>
      <c r="BZ298" s="158" t="s">
        <v>2155</v>
      </c>
      <c r="CA298" s="144">
        <v>8</v>
      </c>
      <c r="CB298" s="235">
        <v>46231</v>
      </c>
      <c r="CC298" s="155"/>
      <c r="CD298" s="141"/>
      <c r="CE298" s="217"/>
      <c r="CF298" s="166">
        <f t="shared" si="602"/>
        <v>-4</v>
      </c>
    </row>
    <row r="299" spans="1:84" ht="36" hidden="1">
      <c r="A299" s="117"/>
      <c r="B299" s="209" t="s">
        <v>1919</v>
      </c>
      <c r="C299" s="209" t="s">
        <v>2153</v>
      </c>
      <c r="D299" s="209" t="s">
        <v>1296</v>
      </c>
      <c r="E299" s="209" t="s">
        <v>1792</v>
      </c>
      <c r="F299" s="209" t="s">
        <v>1364</v>
      </c>
      <c r="G299" s="209" t="s">
        <v>1096</v>
      </c>
      <c r="H299" s="210">
        <v>2343</v>
      </c>
      <c r="I299" s="211" t="s">
        <v>147</v>
      </c>
      <c r="J299" s="144">
        <v>1</v>
      </c>
      <c r="K299" s="145">
        <f t="shared" si="581"/>
        <v>2</v>
      </c>
      <c r="L299" s="202">
        <f t="shared" si="586"/>
        <v>2</v>
      </c>
      <c r="M299" s="212">
        <v>33.1</v>
      </c>
      <c r="N299" s="203">
        <f t="shared" si="587"/>
        <v>66.2</v>
      </c>
      <c r="O299" s="212" t="s">
        <v>137</v>
      </c>
      <c r="P299" s="212" t="s">
        <v>13</v>
      </c>
      <c r="Q299" s="212" t="s">
        <v>154</v>
      </c>
      <c r="R299" s="212"/>
      <c r="S299" s="212"/>
      <c r="T299" s="203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1</v>
      </c>
      <c r="U299" s="203">
        <f t="shared" ca="1" si="588"/>
        <v>1</v>
      </c>
      <c r="V299" s="203">
        <f t="shared" ca="1" si="589"/>
        <v>1</v>
      </c>
      <c r="W299" s="212"/>
      <c r="X299" s="212"/>
      <c r="Y299" s="212"/>
      <c r="Z299" s="212"/>
      <c r="AA299" s="212"/>
      <c r="AB299" s="212"/>
      <c r="AC299" s="214" t="s">
        <v>1923</v>
      </c>
      <c r="AD299" s="215" t="s">
        <v>1924</v>
      </c>
      <c r="AE299" s="148"/>
      <c r="AF299" s="212" t="str">
        <f t="shared" si="582"/>
        <v>N/A</v>
      </c>
      <c r="AG299" s="212">
        <f t="shared" si="582"/>
        <v>0</v>
      </c>
      <c r="AH299" s="203">
        <f t="shared" si="590"/>
        <v>0</v>
      </c>
      <c r="AI299" s="203">
        <f t="shared" ca="1" si="591"/>
        <v>0</v>
      </c>
      <c r="AJ299" s="203">
        <f t="shared" ca="1" si="592"/>
        <v>0</v>
      </c>
      <c r="AK299" s="212" t="str">
        <f t="shared" si="583"/>
        <v>AMC2-S1</v>
      </c>
      <c r="AL299" s="212">
        <f t="shared" si="583"/>
        <v>1</v>
      </c>
      <c r="AM299" s="203">
        <f t="shared" si="593"/>
        <v>1</v>
      </c>
      <c r="AN299" s="203">
        <f t="shared" ca="1" si="594"/>
        <v>1</v>
      </c>
      <c r="AO299" s="203">
        <f t="shared" ca="1" si="595"/>
        <v>0</v>
      </c>
      <c r="AP299" s="212" t="str">
        <f t="shared" si="584"/>
        <v>AMC2-S4</v>
      </c>
      <c r="AQ299" s="212">
        <f t="shared" si="584"/>
        <v>1</v>
      </c>
      <c r="AR299" s="203">
        <f t="shared" si="596"/>
        <v>1</v>
      </c>
      <c r="AS299" s="203">
        <f t="shared" ca="1" si="597"/>
        <v>0</v>
      </c>
      <c r="AT299" s="203">
        <f t="shared" ca="1" si="598"/>
        <v>1</v>
      </c>
      <c r="AU299" s="212" t="str">
        <f t="shared" si="585"/>
        <v>N/A</v>
      </c>
      <c r="AV299" s="212">
        <f t="shared" si="585"/>
        <v>0</v>
      </c>
      <c r="AW299" s="203">
        <f t="shared" si="599"/>
        <v>0</v>
      </c>
      <c r="AX299" s="203">
        <f t="shared" ca="1" si="600"/>
        <v>0</v>
      </c>
      <c r="AY299" s="203">
        <f t="shared" ca="1" si="601"/>
        <v>0</v>
      </c>
      <c r="AZ299" s="212"/>
      <c r="BA299" s="213" t="s">
        <v>1925</v>
      </c>
      <c r="BB299" s="213" t="s">
        <v>1926</v>
      </c>
      <c r="BC299" s="213" t="s">
        <v>1927</v>
      </c>
      <c r="BD299" s="213" t="s">
        <v>140</v>
      </c>
      <c r="BE299" s="148"/>
      <c r="BF299" s="212" t="s">
        <v>1789</v>
      </c>
      <c r="BG299" s="117"/>
      <c r="BH299" s="155"/>
      <c r="BI299" s="216"/>
      <c r="BJ299" s="216"/>
      <c r="BK299" s="216"/>
      <c r="BL299" s="149"/>
      <c r="BM299" s="149"/>
      <c r="BN299" s="149"/>
      <c r="BO299" s="149"/>
      <c r="BP299" s="149"/>
      <c r="BQ299" s="149"/>
      <c r="BR299" s="117">
        <v>0</v>
      </c>
      <c r="BS299" s="117">
        <v>1</v>
      </c>
      <c r="BT299" s="117">
        <v>0</v>
      </c>
      <c r="BU299" s="117">
        <v>0</v>
      </c>
      <c r="BV299" s="117">
        <v>0</v>
      </c>
      <c r="BW299" s="117">
        <v>0</v>
      </c>
      <c r="BX299" s="117">
        <v>0</v>
      </c>
      <c r="BY299" s="117" t="s">
        <v>1790</v>
      </c>
      <c r="BZ299" s="158" t="s">
        <v>2156</v>
      </c>
      <c r="CA299" s="158">
        <v>4</v>
      </c>
      <c r="CB299" s="234">
        <v>46213</v>
      </c>
      <c r="CC299" s="155"/>
      <c r="CD299" s="141"/>
      <c r="CE299" s="217"/>
      <c r="CF299" s="166">
        <f t="shared" si="602"/>
        <v>-2</v>
      </c>
    </row>
    <row r="300" spans="1:84" ht="36" hidden="1">
      <c r="A300" s="117"/>
      <c r="B300" s="209" t="s">
        <v>1919</v>
      </c>
      <c r="C300" s="209" t="s">
        <v>2153</v>
      </c>
      <c r="D300" s="209" t="s">
        <v>1296</v>
      </c>
      <c r="E300" s="209" t="s">
        <v>1793</v>
      </c>
      <c r="F300" s="209" t="s">
        <v>1365</v>
      </c>
      <c r="G300" s="209" t="s">
        <v>1306</v>
      </c>
      <c r="H300" s="210">
        <v>2308</v>
      </c>
      <c r="I300" s="211" t="s">
        <v>147</v>
      </c>
      <c r="J300" s="144">
        <v>1</v>
      </c>
      <c r="K300" s="145">
        <f t="shared" si="581"/>
        <v>2</v>
      </c>
      <c r="L300" s="202">
        <f t="shared" si="586"/>
        <v>2</v>
      </c>
      <c r="M300" s="212">
        <v>83.6</v>
      </c>
      <c r="N300" s="203">
        <f t="shared" si="587"/>
        <v>167.2</v>
      </c>
      <c r="O300" s="212" t="s">
        <v>137</v>
      </c>
      <c r="P300" s="212" t="s">
        <v>13</v>
      </c>
      <c r="Q300" s="212" t="s">
        <v>148</v>
      </c>
      <c r="R300" s="212"/>
      <c r="S300" s="212"/>
      <c r="T300" s="203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1</v>
      </c>
      <c r="U300" s="203">
        <f t="shared" ca="1" si="588"/>
        <v>1</v>
      </c>
      <c r="V300" s="203">
        <f t="shared" ca="1" si="589"/>
        <v>1</v>
      </c>
      <c r="W300" s="212"/>
      <c r="X300" s="212"/>
      <c r="Y300" s="212"/>
      <c r="Z300" s="212"/>
      <c r="AA300" s="212"/>
      <c r="AB300" s="212"/>
      <c r="AC300" s="214" t="s">
        <v>1923</v>
      </c>
      <c r="AD300" s="215" t="s">
        <v>1924</v>
      </c>
      <c r="AE300" s="148"/>
      <c r="AF300" s="212" t="str">
        <f t="shared" si="582"/>
        <v>N/A</v>
      </c>
      <c r="AG300" s="212">
        <f t="shared" si="582"/>
        <v>0</v>
      </c>
      <c r="AH300" s="203">
        <f t="shared" si="590"/>
        <v>0</v>
      </c>
      <c r="AI300" s="203">
        <f t="shared" ca="1" si="591"/>
        <v>0</v>
      </c>
      <c r="AJ300" s="203">
        <f t="shared" ca="1" si="592"/>
        <v>0</v>
      </c>
      <c r="AK300" s="212" t="str">
        <f t="shared" si="583"/>
        <v>AMC2-S1</v>
      </c>
      <c r="AL300" s="212">
        <f t="shared" si="583"/>
        <v>1</v>
      </c>
      <c r="AM300" s="203">
        <f t="shared" si="593"/>
        <v>1</v>
      </c>
      <c r="AN300" s="203">
        <f t="shared" ca="1" si="594"/>
        <v>1</v>
      </c>
      <c r="AO300" s="203">
        <f t="shared" ca="1" si="595"/>
        <v>0</v>
      </c>
      <c r="AP300" s="212" t="str">
        <f t="shared" si="584"/>
        <v>AMC2-S4</v>
      </c>
      <c r="AQ300" s="212">
        <f t="shared" si="584"/>
        <v>1</v>
      </c>
      <c r="AR300" s="203">
        <f t="shared" si="596"/>
        <v>1</v>
      </c>
      <c r="AS300" s="203">
        <f t="shared" ca="1" si="597"/>
        <v>0</v>
      </c>
      <c r="AT300" s="203">
        <f t="shared" ca="1" si="598"/>
        <v>1</v>
      </c>
      <c r="AU300" s="212" t="str">
        <f t="shared" si="585"/>
        <v>N/A</v>
      </c>
      <c r="AV300" s="212">
        <f t="shared" si="585"/>
        <v>0</v>
      </c>
      <c r="AW300" s="203">
        <f t="shared" si="599"/>
        <v>0</v>
      </c>
      <c r="AX300" s="203">
        <f t="shared" ca="1" si="600"/>
        <v>0</v>
      </c>
      <c r="AY300" s="203">
        <f t="shared" ca="1" si="601"/>
        <v>0</v>
      </c>
      <c r="AZ300" s="212"/>
      <c r="BA300" s="213" t="s">
        <v>1925</v>
      </c>
      <c r="BB300" s="213" t="s">
        <v>1926</v>
      </c>
      <c r="BC300" s="213" t="s">
        <v>1927</v>
      </c>
      <c r="BD300" s="213" t="s">
        <v>140</v>
      </c>
      <c r="BE300" s="148"/>
      <c r="BF300" s="212" t="s">
        <v>1789</v>
      </c>
      <c r="BG300" s="117"/>
      <c r="BH300" s="155"/>
      <c r="BI300" s="216"/>
      <c r="BJ300" s="216"/>
      <c r="BK300" s="216"/>
      <c r="BL300" s="149"/>
      <c r="BM300" s="149"/>
      <c r="BN300" s="149"/>
      <c r="BO300" s="149"/>
      <c r="BP300" s="149"/>
      <c r="BQ300" s="149"/>
      <c r="BR300" s="117">
        <v>0</v>
      </c>
      <c r="BS300" s="117">
        <v>0</v>
      </c>
      <c r="BT300" s="117">
        <v>0</v>
      </c>
      <c r="BU300" s="117">
        <v>0</v>
      </c>
      <c r="BV300" s="117">
        <v>0</v>
      </c>
      <c r="BW300" s="117">
        <v>0</v>
      </c>
      <c r="BX300" s="117">
        <v>0</v>
      </c>
      <c r="BY300" s="117" t="s">
        <v>1790</v>
      </c>
      <c r="BZ300" s="158" t="s">
        <v>2157</v>
      </c>
      <c r="CA300" s="144">
        <v>4</v>
      </c>
      <c r="CB300" s="234">
        <v>46242</v>
      </c>
      <c r="CC300" s="155"/>
      <c r="CD300" s="117"/>
      <c r="CE300" s="217"/>
      <c r="CF300" s="166">
        <f t="shared" si="602"/>
        <v>-2</v>
      </c>
    </row>
    <row r="301" spans="1:84" ht="36" hidden="1">
      <c r="A301" s="117"/>
      <c r="B301" s="209" t="s">
        <v>1919</v>
      </c>
      <c r="C301" s="209" t="s">
        <v>2153</v>
      </c>
      <c r="D301" s="209" t="s">
        <v>1296</v>
      </c>
      <c r="E301" s="209" t="s">
        <v>1794</v>
      </c>
      <c r="F301" s="209" t="s">
        <v>1366</v>
      </c>
      <c r="G301" s="209" t="s">
        <v>1104</v>
      </c>
      <c r="H301" s="210">
        <v>1100</v>
      </c>
      <c r="I301" s="211" t="s">
        <v>147</v>
      </c>
      <c r="J301" s="144">
        <v>1</v>
      </c>
      <c r="K301" s="145">
        <f t="shared" si="581"/>
        <v>2</v>
      </c>
      <c r="L301" s="202">
        <f t="shared" si="586"/>
        <v>2</v>
      </c>
      <c r="M301" s="212">
        <v>34.5</v>
      </c>
      <c r="N301" s="203">
        <f t="shared" si="587"/>
        <v>69</v>
      </c>
      <c r="O301" s="212" t="s">
        <v>137</v>
      </c>
      <c r="P301" s="212" t="s">
        <v>13</v>
      </c>
      <c r="Q301" s="212" t="s">
        <v>148</v>
      </c>
      <c r="R301" s="212"/>
      <c r="S301" s="212"/>
      <c r="T301" s="203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1</v>
      </c>
      <c r="U301" s="203">
        <f t="shared" ca="1" si="588"/>
        <v>1</v>
      </c>
      <c r="V301" s="203">
        <f t="shared" ca="1" si="589"/>
        <v>1</v>
      </c>
      <c r="W301" s="212"/>
      <c r="X301" s="212"/>
      <c r="Y301" s="212"/>
      <c r="Z301" s="212"/>
      <c r="AA301" s="212"/>
      <c r="AB301" s="212"/>
      <c r="AC301" s="214" t="s">
        <v>1923</v>
      </c>
      <c r="AD301" s="215" t="s">
        <v>1924</v>
      </c>
      <c r="AE301" s="148"/>
      <c r="AF301" s="212" t="str">
        <f t="shared" si="582"/>
        <v>N/A</v>
      </c>
      <c r="AG301" s="212">
        <f t="shared" si="582"/>
        <v>0</v>
      </c>
      <c r="AH301" s="203">
        <f t="shared" si="590"/>
        <v>0</v>
      </c>
      <c r="AI301" s="203">
        <f t="shared" ca="1" si="591"/>
        <v>0</v>
      </c>
      <c r="AJ301" s="203">
        <f t="shared" ca="1" si="592"/>
        <v>0</v>
      </c>
      <c r="AK301" s="212" t="str">
        <f t="shared" si="583"/>
        <v>AMC2-S1</v>
      </c>
      <c r="AL301" s="212">
        <f t="shared" si="583"/>
        <v>1</v>
      </c>
      <c r="AM301" s="203">
        <f t="shared" si="593"/>
        <v>1</v>
      </c>
      <c r="AN301" s="203">
        <f t="shared" ca="1" si="594"/>
        <v>1</v>
      </c>
      <c r="AO301" s="203">
        <f t="shared" ca="1" si="595"/>
        <v>0</v>
      </c>
      <c r="AP301" s="212" t="str">
        <f t="shared" si="584"/>
        <v>AMC2-S4</v>
      </c>
      <c r="AQ301" s="212">
        <f t="shared" si="584"/>
        <v>1</v>
      </c>
      <c r="AR301" s="203">
        <f t="shared" si="596"/>
        <v>1</v>
      </c>
      <c r="AS301" s="203">
        <f t="shared" ca="1" si="597"/>
        <v>0</v>
      </c>
      <c r="AT301" s="203">
        <f t="shared" ca="1" si="598"/>
        <v>1</v>
      </c>
      <c r="AU301" s="212" t="str">
        <f t="shared" si="585"/>
        <v>N/A</v>
      </c>
      <c r="AV301" s="212">
        <f t="shared" si="585"/>
        <v>0</v>
      </c>
      <c r="AW301" s="203">
        <f t="shared" si="599"/>
        <v>0</v>
      </c>
      <c r="AX301" s="203">
        <f t="shared" ca="1" si="600"/>
        <v>0</v>
      </c>
      <c r="AY301" s="203">
        <f t="shared" ca="1" si="601"/>
        <v>0</v>
      </c>
      <c r="AZ301" s="212"/>
      <c r="BA301" s="213" t="s">
        <v>1925</v>
      </c>
      <c r="BB301" s="213" t="s">
        <v>1926</v>
      </c>
      <c r="BC301" s="213" t="s">
        <v>1927</v>
      </c>
      <c r="BD301" s="213" t="s">
        <v>140</v>
      </c>
      <c r="BE301" s="148"/>
      <c r="BF301" s="212" t="s">
        <v>1789</v>
      </c>
      <c r="BG301" s="117"/>
      <c r="BH301" s="155"/>
      <c r="BI301" s="216"/>
      <c r="BJ301" s="216"/>
      <c r="BK301" s="216"/>
      <c r="BL301" s="149"/>
      <c r="BM301" s="149"/>
      <c r="BN301" s="149"/>
      <c r="BO301" s="149"/>
      <c r="BP301" s="149"/>
      <c r="BQ301" s="149"/>
      <c r="BR301" s="117">
        <v>0</v>
      </c>
      <c r="BS301" s="117">
        <v>0</v>
      </c>
      <c r="BT301" s="117">
        <v>0</v>
      </c>
      <c r="BU301" s="117">
        <v>0</v>
      </c>
      <c r="BV301" s="117">
        <v>0</v>
      </c>
      <c r="BW301" s="117">
        <v>0</v>
      </c>
      <c r="BX301" s="117">
        <v>0</v>
      </c>
      <c r="BY301" s="117" t="s">
        <v>1790</v>
      </c>
      <c r="BZ301" s="158" t="s">
        <v>2157</v>
      </c>
      <c r="CA301" s="144">
        <v>4</v>
      </c>
      <c r="CB301" s="234">
        <v>46242</v>
      </c>
      <c r="CC301" s="155"/>
      <c r="CD301" s="117"/>
      <c r="CE301" s="217"/>
      <c r="CF301" s="166">
        <f t="shared" si="602"/>
        <v>-2</v>
      </c>
    </row>
    <row r="302" spans="1:84" ht="36" hidden="1">
      <c r="A302" s="117"/>
      <c r="B302" s="209" t="s">
        <v>1919</v>
      </c>
      <c r="C302" s="209" t="s">
        <v>2153</v>
      </c>
      <c r="D302" s="209" t="s">
        <v>1296</v>
      </c>
      <c r="E302" s="209" t="s">
        <v>1795</v>
      </c>
      <c r="F302" s="209" t="s">
        <v>1367</v>
      </c>
      <c r="G302" s="209" t="s">
        <v>1310</v>
      </c>
      <c r="H302" s="210">
        <v>852</v>
      </c>
      <c r="I302" s="211" t="s">
        <v>147</v>
      </c>
      <c r="J302" s="144">
        <v>1</v>
      </c>
      <c r="K302" s="145">
        <f t="shared" si="581"/>
        <v>2</v>
      </c>
      <c r="L302" s="202">
        <f t="shared" si="586"/>
        <v>2</v>
      </c>
      <c r="M302" s="212">
        <v>8.9</v>
      </c>
      <c r="N302" s="203">
        <f t="shared" si="587"/>
        <v>17.8</v>
      </c>
      <c r="O302" s="212" t="s">
        <v>137</v>
      </c>
      <c r="P302" s="212" t="s">
        <v>13</v>
      </c>
      <c r="Q302" s="212" t="s">
        <v>148</v>
      </c>
      <c r="R302" s="212"/>
      <c r="S302" s="212"/>
      <c r="T302" s="203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1</v>
      </c>
      <c r="U302" s="203">
        <f t="shared" ca="1" si="588"/>
        <v>1</v>
      </c>
      <c r="V302" s="203">
        <f t="shared" ca="1" si="589"/>
        <v>1</v>
      </c>
      <c r="W302" s="212"/>
      <c r="X302" s="212"/>
      <c r="Y302" s="212"/>
      <c r="Z302" s="212"/>
      <c r="AA302" s="212"/>
      <c r="AB302" s="212"/>
      <c r="AC302" s="214" t="s">
        <v>1923</v>
      </c>
      <c r="AD302" s="215" t="s">
        <v>1924</v>
      </c>
      <c r="AE302" s="148"/>
      <c r="AF302" s="212" t="str">
        <f t="shared" si="582"/>
        <v>N/A</v>
      </c>
      <c r="AG302" s="212">
        <f t="shared" si="582"/>
        <v>0</v>
      </c>
      <c r="AH302" s="203">
        <f t="shared" si="590"/>
        <v>0</v>
      </c>
      <c r="AI302" s="203">
        <f t="shared" ca="1" si="591"/>
        <v>0</v>
      </c>
      <c r="AJ302" s="203">
        <f t="shared" ca="1" si="592"/>
        <v>0</v>
      </c>
      <c r="AK302" s="212" t="str">
        <f t="shared" si="583"/>
        <v>AMC2-S1</v>
      </c>
      <c r="AL302" s="212">
        <f t="shared" si="583"/>
        <v>1</v>
      </c>
      <c r="AM302" s="203">
        <f t="shared" si="593"/>
        <v>1</v>
      </c>
      <c r="AN302" s="203">
        <f t="shared" ca="1" si="594"/>
        <v>1</v>
      </c>
      <c r="AO302" s="203">
        <f t="shared" ca="1" si="595"/>
        <v>0</v>
      </c>
      <c r="AP302" s="212" t="str">
        <f t="shared" si="584"/>
        <v>AMC2-S4</v>
      </c>
      <c r="AQ302" s="212">
        <f t="shared" si="584"/>
        <v>1</v>
      </c>
      <c r="AR302" s="203">
        <f t="shared" si="596"/>
        <v>1</v>
      </c>
      <c r="AS302" s="203">
        <f t="shared" ca="1" si="597"/>
        <v>0</v>
      </c>
      <c r="AT302" s="203">
        <f t="shared" ca="1" si="598"/>
        <v>1</v>
      </c>
      <c r="AU302" s="212" t="str">
        <f t="shared" si="585"/>
        <v>N/A</v>
      </c>
      <c r="AV302" s="212">
        <f t="shared" si="585"/>
        <v>0</v>
      </c>
      <c r="AW302" s="203">
        <f t="shared" si="599"/>
        <v>0</v>
      </c>
      <c r="AX302" s="203">
        <f t="shared" ca="1" si="600"/>
        <v>0</v>
      </c>
      <c r="AY302" s="203">
        <f t="shared" ca="1" si="601"/>
        <v>0</v>
      </c>
      <c r="AZ302" s="212"/>
      <c r="BA302" s="213" t="s">
        <v>1925</v>
      </c>
      <c r="BB302" s="213" t="s">
        <v>1926</v>
      </c>
      <c r="BC302" s="213" t="s">
        <v>1927</v>
      </c>
      <c r="BD302" s="213" t="s">
        <v>140</v>
      </c>
      <c r="BE302" s="148"/>
      <c r="BF302" s="212" t="s">
        <v>1789</v>
      </c>
      <c r="BG302" s="117"/>
      <c r="BH302" s="155"/>
      <c r="BI302" s="216"/>
      <c r="BJ302" s="216"/>
      <c r="BK302" s="216"/>
      <c r="BL302" s="149"/>
      <c r="BM302" s="149"/>
      <c r="BN302" s="149"/>
      <c r="BO302" s="149"/>
      <c r="BP302" s="149"/>
      <c r="BQ302" s="149"/>
      <c r="BR302" s="117">
        <v>0</v>
      </c>
      <c r="BS302" s="117">
        <v>0</v>
      </c>
      <c r="BT302" s="117">
        <v>0</v>
      </c>
      <c r="BU302" s="117">
        <v>0</v>
      </c>
      <c r="BV302" s="117">
        <v>0</v>
      </c>
      <c r="BW302" s="117">
        <v>0</v>
      </c>
      <c r="BX302" s="117">
        <v>0</v>
      </c>
      <c r="BY302" s="117" t="s">
        <v>1790</v>
      </c>
      <c r="BZ302" s="158" t="s">
        <v>2156</v>
      </c>
      <c r="CA302" s="158">
        <v>4</v>
      </c>
      <c r="CB302" s="234">
        <v>46213</v>
      </c>
      <c r="CC302" s="155"/>
      <c r="CD302" s="141"/>
      <c r="CE302" s="217"/>
      <c r="CF302" s="166">
        <f t="shared" si="602"/>
        <v>-2</v>
      </c>
    </row>
    <row r="303" spans="1:84" ht="36" hidden="1">
      <c r="A303" s="117"/>
      <c r="B303" s="209" t="s">
        <v>1919</v>
      </c>
      <c r="C303" s="209" t="s">
        <v>2153</v>
      </c>
      <c r="D303" s="209" t="s">
        <v>1296</v>
      </c>
      <c r="E303" s="209" t="s">
        <v>1796</v>
      </c>
      <c r="F303" s="209" t="s">
        <v>1368</v>
      </c>
      <c r="G303" s="209" t="s">
        <v>1106</v>
      </c>
      <c r="H303" s="210">
        <v>190</v>
      </c>
      <c r="I303" s="211" t="s">
        <v>652</v>
      </c>
      <c r="J303" s="144">
        <v>2</v>
      </c>
      <c r="K303" s="145">
        <f t="shared" si="581"/>
        <v>2</v>
      </c>
      <c r="L303" s="202">
        <f t="shared" si="586"/>
        <v>4</v>
      </c>
      <c r="M303" s="212">
        <v>1.3</v>
      </c>
      <c r="N303" s="203">
        <f t="shared" si="587"/>
        <v>5.2</v>
      </c>
      <c r="O303" s="212" t="s">
        <v>137</v>
      </c>
      <c r="P303" s="212" t="s">
        <v>13</v>
      </c>
      <c r="Q303" s="212" t="s">
        <v>148</v>
      </c>
      <c r="R303" s="212"/>
      <c r="S303" s="212"/>
      <c r="T303" s="203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203">
        <f t="shared" ca="1" si="588"/>
        <v>4</v>
      </c>
      <c r="V303" s="203">
        <f t="shared" ca="1" si="589"/>
        <v>0</v>
      </c>
      <c r="W303" s="212"/>
      <c r="X303" s="212"/>
      <c r="Y303" s="212"/>
      <c r="Z303" s="212"/>
      <c r="AA303" s="212"/>
      <c r="AB303" s="212"/>
      <c r="AC303" s="214" t="s">
        <v>1923</v>
      </c>
      <c r="AD303" s="215" t="s">
        <v>1924</v>
      </c>
      <c r="AE303" s="148"/>
      <c r="AF303" s="212" t="str">
        <f t="shared" si="582"/>
        <v>N/A</v>
      </c>
      <c r="AG303" s="212">
        <f t="shared" si="582"/>
        <v>0</v>
      </c>
      <c r="AH303" s="203">
        <f t="shared" si="590"/>
        <v>0</v>
      </c>
      <c r="AI303" s="203">
        <f t="shared" ca="1" si="591"/>
        <v>0</v>
      </c>
      <c r="AJ303" s="203">
        <f t="shared" ca="1" si="592"/>
        <v>0</v>
      </c>
      <c r="AK303" s="212" t="str">
        <f t="shared" si="583"/>
        <v>AMC2-S1</v>
      </c>
      <c r="AL303" s="212">
        <f t="shared" si="583"/>
        <v>1</v>
      </c>
      <c r="AM303" s="203">
        <f t="shared" si="593"/>
        <v>2</v>
      </c>
      <c r="AN303" s="203">
        <f t="shared" ca="1" si="594"/>
        <v>0</v>
      </c>
      <c r="AO303" s="203">
        <f t="shared" ca="1" si="595"/>
        <v>2</v>
      </c>
      <c r="AP303" s="212" t="str">
        <f t="shared" si="584"/>
        <v>AMC2-S4</v>
      </c>
      <c r="AQ303" s="212">
        <f t="shared" si="584"/>
        <v>1</v>
      </c>
      <c r="AR303" s="203">
        <f t="shared" si="596"/>
        <v>2</v>
      </c>
      <c r="AS303" s="203">
        <f t="shared" ca="1" si="597"/>
        <v>0</v>
      </c>
      <c r="AT303" s="203">
        <f t="shared" ca="1" si="598"/>
        <v>2</v>
      </c>
      <c r="AU303" s="212" t="str">
        <f t="shared" si="585"/>
        <v>N/A</v>
      </c>
      <c r="AV303" s="212">
        <f t="shared" si="585"/>
        <v>0</v>
      </c>
      <c r="AW303" s="203">
        <f t="shared" si="599"/>
        <v>0</v>
      </c>
      <c r="AX303" s="203">
        <f t="shared" ca="1" si="600"/>
        <v>0</v>
      </c>
      <c r="AY303" s="203">
        <f t="shared" ca="1" si="601"/>
        <v>0</v>
      </c>
      <c r="AZ303" s="212"/>
      <c r="BA303" s="213" t="s">
        <v>1925</v>
      </c>
      <c r="BB303" s="213" t="s">
        <v>1926</v>
      </c>
      <c r="BC303" s="213" t="s">
        <v>1927</v>
      </c>
      <c r="BD303" s="213" t="s">
        <v>140</v>
      </c>
      <c r="BE303" s="148"/>
      <c r="BF303" s="212"/>
      <c r="BG303" s="117"/>
      <c r="BH303" s="155"/>
      <c r="BI303" s="216"/>
      <c r="BJ303" s="216"/>
      <c r="BK303" s="216"/>
      <c r="BL303" s="149"/>
      <c r="BM303" s="149"/>
      <c r="BN303" s="149"/>
      <c r="BO303" s="149"/>
      <c r="BP303" s="149"/>
      <c r="BQ303" s="149"/>
      <c r="BR303" s="117">
        <v>0</v>
      </c>
      <c r="BS303" s="117">
        <v>0</v>
      </c>
      <c r="BT303" s="117">
        <v>0</v>
      </c>
      <c r="BU303" s="117">
        <v>0</v>
      </c>
      <c r="BV303" s="117">
        <v>0</v>
      </c>
      <c r="BW303" s="117">
        <v>0</v>
      </c>
      <c r="BX303" s="117">
        <v>0</v>
      </c>
      <c r="BY303" s="117" t="s">
        <v>1790</v>
      </c>
      <c r="BZ303" s="158" t="s">
        <v>2158</v>
      </c>
      <c r="CA303" s="158">
        <v>8</v>
      </c>
      <c r="CB303" s="234">
        <v>46213</v>
      </c>
      <c r="CC303" s="155"/>
      <c r="CD303" s="155"/>
      <c r="CE303" s="217"/>
      <c r="CF303" s="166">
        <f t="shared" si="602"/>
        <v>-4</v>
      </c>
    </row>
    <row r="304" spans="1:84" ht="36" hidden="1">
      <c r="A304" s="117"/>
      <c r="B304" s="209" t="s">
        <v>1919</v>
      </c>
      <c r="C304" s="209" t="s">
        <v>2153</v>
      </c>
      <c r="D304" s="209" t="s">
        <v>1296</v>
      </c>
      <c r="E304" s="209" t="s">
        <v>1797</v>
      </c>
      <c r="F304" s="209" t="s">
        <v>1369</v>
      </c>
      <c r="G304" s="209" t="s">
        <v>1030</v>
      </c>
      <c r="H304" s="210">
        <v>300</v>
      </c>
      <c r="I304" s="211" t="s">
        <v>147</v>
      </c>
      <c r="J304" s="144">
        <v>4</v>
      </c>
      <c r="K304" s="145">
        <f t="shared" si="581"/>
        <v>2</v>
      </c>
      <c r="L304" s="202">
        <f t="shared" si="586"/>
        <v>8</v>
      </c>
      <c r="M304" s="212">
        <v>2.2999999999999998</v>
      </c>
      <c r="N304" s="203">
        <f t="shared" si="587"/>
        <v>18.399999999999999</v>
      </c>
      <c r="O304" s="212" t="s">
        <v>137</v>
      </c>
      <c r="P304" s="212" t="s">
        <v>13</v>
      </c>
      <c r="Q304" s="212" t="s">
        <v>148</v>
      </c>
      <c r="R304" s="212"/>
      <c r="S304" s="212"/>
      <c r="T304" s="203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4</v>
      </c>
      <c r="U304" s="203">
        <f t="shared" ca="1" si="588"/>
        <v>4</v>
      </c>
      <c r="V304" s="203">
        <f t="shared" ca="1" si="589"/>
        <v>1</v>
      </c>
      <c r="W304" s="212"/>
      <c r="X304" s="212"/>
      <c r="Y304" s="212"/>
      <c r="Z304" s="212"/>
      <c r="AA304" s="212"/>
      <c r="AB304" s="212"/>
      <c r="AC304" s="214" t="s">
        <v>1923</v>
      </c>
      <c r="AD304" s="215" t="s">
        <v>1924</v>
      </c>
      <c r="AE304" s="148"/>
      <c r="AF304" s="212" t="str">
        <f t="shared" si="582"/>
        <v>N/A</v>
      </c>
      <c r="AG304" s="212">
        <f t="shared" si="582"/>
        <v>0</v>
      </c>
      <c r="AH304" s="203">
        <f t="shared" si="590"/>
        <v>0</v>
      </c>
      <c r="AI304" s="203">
        <f t="shared" ca="1" si="591"/>
        <v>0</v>
      </c>
      <c r="AJ304" s="203">
        <f t="shared" ca="1" si="592"/>
        <v>0</v>
      </c>
      <c r="AK304" s="212" t="str">
        <f t="shared" si="583"/>
        <v>AMC2-S1</v>
      </c>
      <c r="AL304" s="212">
        <f t="shared" si="583"/>
        <v>1</v>
      </c>
      <c r="AM304" s="203">
        <f t="shared" si="593"/>
        <v>4</v>
      </c>
      <c r="AN304" s="203">
        <f t="shared" ca="1" si="594"/>
        <v>1</v>
      </c>
      <c r="AO304" s="203">
        <f t="shared" ca="1" si="595"/>
        <v>3</v>
      </c>
      <c r="AP304" s="212" t="str">
        <f t="shared" si="584"/>
        <v>AMC2-S4</v>
      </c>
      <c r="AQ304" s="212">
        <f t="shared" si="584"/>
        <v>1</v>
      </c>
      <c r="AR304" s="203">
        <f t="shared" si="596"/>
        <v>4</v>
      </c>
      <c r="AS304" s="203">
        <f t="shared" ca="1" si="597"/>
        <v>3</v>
      </c>
      <c r="AT304" s="203">
        <f t="shared" ca="1" si="598"/>
        <v>1</v>
      </c>
      <c r="AU304" s="212" t="str">
        <f t="shared" si="585"/>
        <v>N/A</v>
      </c>
      <c r="AV304" s="212">
        <f t="shared" si="585"/>
        <v>0</v>
      </c>
      <c r="AW304" s="203">
        <f t="shared" si="599"/>
        <v>0</v>
      </c>
      <c r="AX304" s="203">
        <f t="shared" ca="1" si="600"/>
        <v>0</v>
      </c>
      <c r="AY304" s="203">
        <f t="shared" ca="1" si="601"/>
        <v>0</v>
      </c>
      <c r="AZ304" s="212"/>
      <c r="BA304" s="213" t="s">
        <v>1925</v>
      </c>
      <c r="BB304" s="213" t="s">
        <v>1926</v>
      </c>
      <c r="BC304" s="213" t="s">
        <v>1927</v>
      </c>
      <c r="BD304" s="213" t="s">
        <v>140</v>
      </c>
      <c r="BE304" s="148"/>
      <c r="BF304" s="212" t="s">
        <v>1789</v>
      </c>
      <c r="BG304" s="117"/>
      <c r="BH304" s="155"/>
      <c r="BI304" s="216"/>
      <c r="BJ304" s="216"/>
      <c r="BK304" s="216"/>
      <c r="BL304" s="149"/>
      <c r="BM304" s="149"/>
      <c r="BN304" s="149"/>
      <c r="BO304" s="149"/>
      <c r="BP304" s="149"/>
      <c r="BQ304" s="149"/>
      <c r="BR304" s="117">
        <v>0</v>
      </c>
      <c r="BS304" s="117">
        <v>0</v>
      </c>
      <c r="BT304" s="117">
        <v>0</v>
      </c>
      <c r="BU304" s="117">
        <v>0</v>
      </c>
      <c r="BV304" s="117">
        <v>0</v>
      </c>
      <c r="BW304" s="117">
        <v>0</v>
      </c>
      <c r="BX304" s="117">
        <v>0</v>
      </c>
      <c r="BY304" s="117" t="s">
        <v>1790</v>
      </c>
      <c r="BZ304" s="158" t="s">
        <v>2159</v>
      </c>
      <c r="CA304" s="144">
        <v>16</v>
      </c>
      <c r="CB304" s="234">
        <v>46213</v>
      </c>
      <c r="CC304" s="155"/>
      <c r="CD304" s="117"/>
      <c r="CE304" s="217"/>
      <c r="CF304" s="166">
        <f t="shared" si="602"/>
        <v>-8</v>
      </c>
    </row>
    <row r="305" spans="1:84" ht="36" hidden="1">
      <c r="A305" s="117"/>
      <c r="B305" s="209" t="s">
        <v>1919</v>
      </c>
      <c r="C305" s="209" t="s">
        <v>2153</v>
      </c>
      <c r="D305" s="209" t="s">
        <v>1076</v>
      </c>
      <c r="E305" s="209" t="s">
        <v>1798</v>
      </c>
      <c r="F305" s="209" t="s">
        <v>1370</v>
      </c>
      <c r="G305" s="209" t="s">
        <v>1030</v>
      </c>
      <c r="H305" s="210">
        <v>231</v>
      </c>
      <c r="I305" s="211" t="s">
        <v>147</v>
      </c>
      <c r="J305" s="144">
        <v>2</v>
      </c>
      <c r="K305" s="145">
        <f t="shared" si="581"/>
        <v>2</v>
      </c>
      <c r="L305" s="202">
        <f t="shared" si="586"/>
        <v>4</v>
      </c>
      <c r="M305" s="212">
        <v>1.7</v>
      </c>
      <c r="N305" s="203">
        <f t="shared" si="587"/>
        <v>6.8</v>
      </c>
      <c r="O305" s="212" t="s">
        <v>137</v>
      </c>
      <c r="P305" s="212" t="s">
        <v>13</v>
      </c>
      <c r="Q305" s="212" t="s">
        <v>148</v>
      </c>
      <c r="R305" s="212"/>
      <c r="S305" s="212"/>
      <c r="T305" s="203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2</v>
      </c>
      <c r="U305" s="203">
        <f t="shared" ca="1" si="588"/>
        <v>2</v>
      </c>
      <c r="V305" s="203">
        <f t="shared" ca="1" si="589"/>
        <v>1</v>
      </c>
      <c r="W305" s="212"/>
      <c r="X305" s="212"/>
      <c r="Y305" s="212"/>
      <c r="Z305" s="212"/>
      <c r="AA305" s="212"/>
      <c r="AB305" s="212"/>
      <c r="AC305" s="214" t="s">
        <v>1923</v>
      </c>
      <c r="AD305" s="215" t="s">
        <v>1924</v>
      </c>
      <c r="AE305" s="148"/>
      <c r="AF305" s="212" t="str">
        <f t="shared" si="582"/>
        <v>N/A</v>
      </c>
      <c r="AG305" s="212">
        <f t="shared" si="582"/>
        <v>0</v>
      </c>
      <c r="AH305" s="203">
        <f t="shared" si="590"/>
        <v>0</v>
      </c>
      <c r="AI305" s="203">
        <f t="shared" ca="1" si="591"/>
        <v>0</v>
      </c>
      <c r="AJ305" s="203">
        <f t="shared" ca="1" si="592"/>
        <v>0</v>
      </c>
      <c r="AK305" s="212" t="str">
        <f t="shared" si="583"/>
        <v>AMC2-S1</v>
      </c>
      <c r="AL305" s="212">
        <f t="shared" si="583"/>
        <v>1</v>
      </c>
      <c r="AM305" s="203">
        <f t="shared" si="593"/>
        <v>2</v>
      </c>
      <c r="AN305" s="203">
        <f t="shared" ca="1" si="594"/>
        <v>1</v>
      </c>
      <c r="AO305" s="203">
        <f t="shared" ca="1" si="595"/>
        <v>1</v>
      </c>
      <c r="AP305" s="212" t="str">
        <f t="shared" si="584"/>
        <v>AMC2-S4</v>
      </c>
      <c r="AQ305" s="212">
        <f t="shared" si="584"/>
        <v>1</v>
      </c>
      <c r="AR305" s="203">
        <f t="shared" si="596"/>
        <v>2</v>
      </c>
      <c r="AS305" s="203">
        <f t="shared" ca="1" si="597"/>
        <v>1</v>
      </c>
      <c r="AT305" s="203">
        <f t="shared" ca="1" si="598"/>
        <v>1</v>
      </c>
      <c r="AU305" s="212" t="str">
        <f t="shared" si="585"/>
        <v>N/A</v>
      </c>
      <c r="AV305" s="212">
        <f t="shared" si="585"/>
        <v>0</v>
      </c>
      <c r="AW305" s="203">
        <f t="shared" si="599"/>
        <v>0</v>
      </c>
      <c r="AX305" s="203">
        <f t="shared" ca="1" si="600"/>
        <v>0</v>
      </c>
      <c r="AY305" s="203">
        <f t="shared" ca="1" si="601"/>
        <v>0</v>
      </c>
      <c r="AZ305" s="212"/>
      <c r="BA305" s="213" t="s">
        <v>1925</v>
      </c>
      <c r="BB305" s="213" t="s">
        <v>1926</v>
      </c>
      <c r="BC305" s="213" t="s">
        <v>1927</v>
      </c>
      <c r="BD305" s="213" t="s">
        <v>140</v>
      </c>
      <c r="BE305" s="148"/>
      <c r="BF305" s="212" t="s">
        <v>1789</v>
      </c>
      <c r="BG305" s="117"/>
      <c r="BH305" s="155"/>
      <c r="BI305" s="216"/>
      <c r="BJ305" s="216"/>
      <c r="BK305" s="216"/>
      <c r="BL305" s="149"/>
      <c r="BM305" s="149"/>
      <c r="BN305" s="149"/>
      <c r="BO305" s="149"/>
      <c r="BP305" s="149"/>
      <c r="BQ305" s="149"/>
      <c r="BR305" s="117">
        <v>0</v>
      </c>
      <c r="BS305" s="117">
        <v>0</v>
      </c>
      <c r="BT305" s="117">
        <v>0</v>
      </c>
      <c r="BU305" s="117">
        <v>0</v>
      </c>
      <c r="BV305" s="117">
        <v>0</v>
      </c>
      <c r="BW305" s="117">
        <v>0</v>
      </c>
      <c r="BX305" s="117">
        <v>0</v>
      </c>
      <c r="BY305" s="117" t="s">
        <v>1790</v>
      </c>
      <c r="BZ305" s="158" t="s">
        <v>2159</v>
      </c>
      <c r="CA305" s="144">
        <v>8</v>
      </c>
      <c r="CB305" s="234">
        <v>46213</v>
      </c>
      <c r="CC305" s="155"/>
      <c r="CD305" s="117"/>
      <c r="CE305" s="217"/>
      <c r="CF305" s="166">
        <f t="shared" si="602"/>
        <v>-4</v>
      </c>
    </row>
    <row r="306" spans="1:84" ht="36" hidden="1">
      <c r="A306" s="117"/>
      <c r="B306" s="209" t="s">
        <v>1919</v>
      </c>
      <c r="C306" s="209" t="s">
        <v>2153</v>
      </c>
      <c r="D306" s="209" t="s">
        <v>1296</v>
      </c>
      <c r="E306" s="209" t="s">
        <v>1799</v>
      </c>
      <c r="F306" s="209" t="s">
        <v>1359</v>
      </c>
      <c r="G306" s="209" t="s">
        <v>1295</v>
      </c>
      <c r="H306" s="210">
        <v>332</v>
      </c>
      <c r="I306" s="211" t="s">
        <v>147</v>
      </c>
      <c r="J306" s="144">
        <v>2</v>
      </c>
      <c r="K306" s="145">
        <f t="shared" si="581"/>
        <v>2</v>
      </c>
      <c r="L306" s="202">
        <f t="shared" si="586"/>
        <v>4</v>
      </c>
      <c r="M306" s="212">
        <v>5.0999999999999996</v>
      </c>
      <c r="N306" s="203">
        <f t="shared" si="587"/>
        <v>20.399999999999999</v>
      </c>
      <c r="O306" s="212" t="s">
        <v>137</v>
      </c>
      <c r="P306" s="212" t="s">
        <v>13</v>
      </c>
      <c r="Q306" s="212" t="s">
        <v>148</v>
      </c>
      <c r="R306" s="212"/>
      <c r="S306" s="212"/>
      <c r="T306" s="203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3</v>
      </c>
      <c r="U306" s="203">
        <f t="shared" ca="1" si="588"/>
        <v>1</v>
      </c>
      <c r="V306" s="203">
        <f t="shared" ca="1" si="589"/>
        <v>1</v>
      </c>
      <c r="W306" s="212"/>
      <c r="X306" s="212"/>
      <c r="Y306" s="212"/>
      <c r="Z306" s="212"/>
      <c r="AA306" s="212"/>
      <c r="AB306" s="212"/>
      <c r="AC306" s="214" t="s">
        <v>1923</v>
      </c>
      <c r="AD306" s="215" t="s">
        <v>1924</v>
      </c>
      <c r="AE306" s="148"/>
      <c r="AF306" s="212" t="str">
        <f t="shared" si="582"/>
        <v>N/A</v>
      </c>
      <c r="AG306" s="212">
        <f t="shared" si="582"/>
        <v>0</v>
      </c>
      <c r="AH306" s="203">
        <f t="shared" si="590"/>
        <v>0</v>
      </c>
      <c r="AI306" s="203">
        <f t="shared" ca="1" si="591"/>
        <v>0</v>
      </c>
      <c r="AJ306" s="203">
        <f t="shared" ca="1" si="592"/>
        <v>0</v>
      </c>
      <c r="AK306" s="212" t="str">
        <f t="shared" si="583"/>
        <v>AMC2-S1</v>
      </c>
      <c r="AL306" s="212">
        <f t="shared" si="583"/>
        <v>1</v>
      </c>
      <c r="AM306" s="203">
        <f t="shared" si="593"/>
        <v>2</v>
      </c>
      <c r="AN306" s="203">
        <f t="shared" ca="1" si="594"/>
        <v>1</v>
      </c>
      <c r="AO306" s="203">
        <f t="shared" ca="1" si="595"/>
        <v>1</v>
      </c>
      <c r="AP306" s="212" t="str">
        <f t="shared" si="584"/>
        <v>AMC2-S4</v>
      </c>
      <c r="AQ306" s="212">
        <f t="shared" si="584"/>
        <v>1</v>
      </c>
      <c r="AR306" s="203">
        <f t="shared" si="596"/>
        <v>2</v>
      </c>
      <c r="AS306" s="203">
        <f t="shared" ca="1" si="597"/>
        <v>2</v>
      </c>
      <c r="AT306" s="203">
        <f t="shared" ca="1" si="598"/>
        <v>0</v>
      </c>
      <c r="AU306" s="212" t="str">
        <f t="shared" si="585"/>
        <v>N/A</v>
      </c>
      <c r="AV306" s="212">
        <f t="shared" si="585"/>
        <v>0</v>
      </c>
      <c r="AW306" s="203">
        <f t="shared" si="599"/>
        <v>0</v>
      </c>
      <c r="AX306" s="203">
        <f t="shared" ca="1" si="600"/>
        <v>0</v>
      </c>
      <c r="AY306" s="203">
        <f t="shared" ca="1" si="601"/>
        <v>0</v>
      </c>
      <c r="AZ306" s="212"/>
      <c r="BA306" s="213" t="s">
        <v>1925</v>
      </c>
      <c r="BB306" s="213" t="s">
        <v>1926</v>
      </c>
      <c r="BC306" s="213" t="s">
        <v>1927</v>
      </c>
      <c r="BD306" s="213" t="s">
        <v>140</v>
      </c>
      <c r="BE306" s="148"/>
      <c r="BF306" s="212" t="s">
        <v>1789</v>
      </c>
      <c r="BG306" s="117"/>
      <c r="BH306" s="155"/>
      <c r="BI306" s="216"/>
      <c r="BJ306" s="216"/>
      <c r="BK306" s="216"/>
      <c r="BL306" s="149"/>
      <c r="BM306" s="149"/>
      <c r="BN306" s="149"/>
      <c r="BO306" s="149"/>
      <c r="BP306" s="149"/>
      <c r="BQ306" s="149"/>
      <c r="BR306" s="117">
        <v>1</v>
      </c>
      <c r="BS306" s="117">
        <v>0</v>
      </c>
      <c r="BT306" s="117">
        <v>0</v>
      </c>
      <c r="BU306" s="117">
        <v>0</v>
      </c>
      <c r="BV306" s="117">
        <v>0</v>
      </c>
      <c r="BW306" s="117">
        <v>0</v>
      </c>
      <c r="BX306" s="117">
        <v>0</v>
      </c>
      <c r="BY306" s="117" t="s">
        <v>1790</v>
      </c>
      <c r="BZ306" s="158" t="s">
        <v>2156</v>
      </c>
      <c r="CA306" s="158">
        <v>8</v>
      </c>
      <c r="CB306" s="234">
        <v>46213</v>
      </c>
      <c r="CC306" s="155"/>
      <c r="CD306" s="141"/>
      <c r="CE306" s="217"/>
      <c r="CF306" s="166">
        <f t="shared" si="602"/>
        <v>-4</v>
      </c>
    </row>
    <row r="307" spans="1:84" ht="36" hidden="1">
      <c r="A307" s="117"/>
      <c r="B307" s="209" t="s">
        <v>1919</v>
      </c>
      <c r="C307" s="209" t="s">
        <v>2153</v>
      </c>
      <c r="D307" s="209" t="s">
        <v>1296</v>
      </c>
      <c r="E307" s="209" t="s">
        <v>1800</v>
      </c>
      <c r="F307" s="209" t="s">
        <v>1360</v>
      </c>
      <c r="G307" s="209" t="s">
        <v>1298</v>
      </c>
      <c r="H307" s="210">
        <v>787</v>
      </c>
      <c r="I307" s="211" t="s">
        <v>147</v>
      </c>
      <c r="J307" s="144">
        <v>4</v>
      </c>
      <c r="K307" s="145">
        <f t="shared" si="581"/>
        <v>2</v>
      </c>
      <c r="L307" s="202">
        <f t="shared" si="586"/>
        <v>8</v>
      </c>
      <c r="M307" s="212">
        <v>11.6</v>
      </c>
      <c r="N307" s="203">
        <f t="shared" si="587"/>
        <v>92.8</v>
      </c>
      <c r="O307" s="212" t="s">
        <v>137</v>
      </c>
      <c r="P307" s="212" t="s">
        <v>13</v>
      </c>
      <c r="Q307" s="212" t="s">
        <v>148</v>
      </c>
      <c r="R307" s="212"/>
      <c r="S307" s="212"/>
      <c r="T307" s="203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4</v>
      </c>
      <c r="U307" s="203">
        <f t="shared" ca="1" si="588"/>
        <v>4</v>
      </c>
      <c r="V307" s="203">
        <f t="shared" ca="1" si="589"/>
        <v>1</v>
      </c>
      <c r="W307" s="212"/>
      <c r="X307" s="212"/>
      <c r="Y307" s="212"/>
      <c r="Z307" s="212"/>
      <c r="AA307" s="212"/>
      <c r="AB307" s="212"/>
      <c r="AC307" s="214" t="s">
        <v>1923</v>
      </c>
      <c r="AD307" s="215" t="s">
        <v>1924</v>
      </c>
      <c r="AE307" s="148"/>
      <c r="AF307" s="212" t="str">
        <f t="shared" si="582"/>
        <v>N/A</v>
      </c>
      <c r="AG307" s="212">
        <f t="shared" si="582"/>
        <v>0</v>
      </c>
      <c r="AH307" s="203">
        <f t="shared" si="590"/>
        <v>0</v>
      </c>
      <c r="AI307" s="203">
        <f t="shared" ca="1" si="591"/>
        <v>0</v>
      </c>
      <c r="AJ307" s="203">
        <f t="shared" ca="1" si="592"/>
        <v>0</v>
      </c>
      <c r="AK307" s="212" t="str">
        <f t="shared" si="583"/>
        <v>AMC2-S1</v>
      </c>
      <c r="AL307" s="212">
        <f t="shared" si="583"/>
        <v>1</v>
      </c>
      <c r="AM307" s="203">
        <f t="shared" si="593"/>
        <v>4</v>
      </c>
      <c r="AN307" s="203">
        <f t="shared" ca="1" si="594"/>
        <v>1</v>
      </c>
      <c r="AO307" s="203">
        <f t="shared" ca="1" si="595"/>
        <v>3</v>
      </c>
      <c r="AP307" s="212" t="str">
        <f t="shared" si="584"/>
        <v>AMC2-S4</v>
      </c>
      <c r="AQ307" s="212">
        <f t="shared" si="584"/>
        <v>1</v>
      </c>
      <c r="AR307" s="203">
        <f t="shared" si="596"/>
        <v>4</v>
      </c>
      <c r="AS307" s="203">
        <f t="shared" ca="1" si="597"/>
        <v>3</v>
      </c>
      <c r="AT307" s="203">
        <f t="shared" ca="1" si="598"/>
        <v>1</v>
      </c>
      <c r="AU307" s="212" t="str">
        <f t="shared" si="585"/>
        <v>N/A</v>
      </c>
      <c r="AV307" s="212">
        <f t="shared" si="585"/>
        <v>0</v>
      </c>
      <c r="AW307" s="203">
        <f t="shared" si="599"/>
        <v>0</v>
      </c>
      <c r="AX307" s="203">
        <f t="shared" ca="1" si="600"/>
        <v>0</v>
      </c>
      <c r="AY307" s="203">
        <f t="shared" ca="1" si="601"/>
        <v>0</v>
      </c>
      <c r="AZ307" s="212"/>
      <c r="BA307" s="213" t="s">
        <v>1925</v>
      </c>
      <c r="BB307" s="213" t="s">
        <v>1926</v>
      </c>
      <c r="BC307" s="213" t="s">
        <v>1927</v>
      </c>
      <c r="BD307" s="213" t="s">
        <v>140</v>
      </c>
      <c r="BE307" s="148"/>
      <c r="BF307" s="212" t="s">
        <v>1789</v>
      </c>
      <c r="BG307" s="117"/>
      <c r="BH307" s="155"/>
      <c r="BI307" s="216"/>
      <c r="BJ307" s="229" t="s">
        <v>1929</v>
      </c>
      <c r="BK307" s="229"/>
      <c r="BL307" s="149"/>
      <c r="BM307" s="149"/>
      <c r="BN307" s="149"/>
      <c r="BO307" s="149"/>
      <c r="BP307" s="149"/>
      <c r="BQ307" s="149"/>
      <c r="BR307" s="117">
        <v>0</v>
      </c>
      <c r="BS307" s="117">
        <v>0</v>
      </c>
      <c r="BT307" s="117">
        <v>0</v>
      </c>
      <c r="BU307" s="117">
        <v>1</v>
      </c>
      <c r="BV307" s="117">
        <v>0</v>
      </c>
      <c r="BW307" s="117">
        <v>0</v>
      </c>
      <c r="BX307" s="117">
        <v>0</v>
      </c>
      <c r="BY307" s="117" t="s">
        <v>1790</v>
      </c>
      <c r="BZ307" s="158" t="s">
        <v>2159</v>
      </c>
      <c r="CA307" s="144">
        <v>16</v>
      </c>
      <c r="CB307" s="234">
        <v>46213</v>
      </c>
      <c r="CC307" s="155"/>
      <c r="CD307" s="117"/>
      <c r="CE307" s="217"/>
      <c r="CF307" s="166">
        <f t="shared" si="602"/>
        <v>-8</v>
      </c>
    </row>
    <row r="308" spans="1:84" ht="36" hidden="1">
      <c r="A308" s="141"/>
      <c r="B308" s="199" t="s">
        <v>1919</v>
      </c>
      <c r="C308" s="199" t="s">
        <v>2153</v>
      </c>
      <c r="D308" s="199" t="s">
        <v>1296</v>
      </c>
      <c r="E308" s="199" t="s">
        <v>1930</v>
      </c>
      <c r="F308" s="199" t="s">
        <v>1361</v>
      </c>
      <c r="G308" s="199" t="s">
        <v>1298</v>
      </c>
      <c r="H308" s="200">
        <v>787</v>
      </c>
      <c r="I308" s="201" t="s">
        <v>147</v>
      </c>
      <c r="J308" s="165">
        <v>4</v>
      </c>
      <c r="K308" s="202">
        <f t="shared" si="581"/>
        <v>2</v>
      </c>
      <c r="L308" s="202">
        <f t="shared" si="586"/>
        <v>8</v>
      </c>
      <c r="M308" s="203">
        <v>11.6</v>
      </c>
      <c r="N308" s="203">
        <f t="shared" si="587"/>
        <v>92.8</v>
      </c>
      <c r="O308" s="203" t="s">
        <v>137</v>
      </c>
      <c r="P308" s="203" t="s">
        <v>13</v>
      </c>
      <c r="Q308" s="203" t="s">
        <v>148</v>
      </c>
      <c r="R308" s="203"/>
      <c r="S308" s="203"/>
      <c r="T308" s="203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4</v>
      </c>
      <c r="U308" s="203">
        <f t="shared" ca="1" si="588"/>
        <v>4</v>
      </c>
      <c r="V308" s="203">
        <f t="shared" ca="1" si="589"/>
        <v>1</v>
      </c>
      <c r="W308" s="203"/>
      <c r="X308" s="203"/>
      <c r="Y308" s="203"/>
      <c r="Z308" s="203"/>
      <c r="AA308" s="203"/>
      <c r="AB308" s="203"/>
      <c r="AC308" s="205" t="s">
        <v>1923</v>
      </c>
      <c r="AD308" s="206" t="s">
        <v>1924</v>
      </c>
      <c r="AE308" s="166"/>
      <c r="AF308" s="203" t="str">
        <f t="shared" si="582"/>
        <v>N/A</v>
      </c>
      <c r="AG308" s="203">
        <f t="shared" si="582"/>
        <v>0</v>
      </c>
      <c r="AH308" s="203">
        <f t="shared" si="590"/>
        <v>0</v>
      </c>
      <c r="AI308" s="203">
        <f t="shared" ca="1" si="591"/>
        <v>0</v>
      </c>
      <c r="AJ308" s="203">
        <f t="shared" ca="1" si="592"/>
        <v>0</v>
      </c>
      <c r="AK308" s="203" t="str">
        <f t="shared" si="583"/>
        <v>AMC2-S1</v>
      </c>
      <c r="AL308" s="203">
        <f t="shared" si="583"/>
        <v>1</v>
      </c>
      <c r="AM308" s="203">
        <f t="shared" si="593"/>
        <v>4</v>
      </c>
      <c r="AN308" s="203">
        <f t="shared" ca="1" si="594"/>
        <v>1</v>
      </c>
      <c r="AO308" s="203">
        <f t="shared" ca="1" si="595"/>
        <v>3</v>
      </c>
      <c r="AP308" s="203" t="str">
        <f t="shared" si="584"/>
        <v>AMC2-S4</v>
      </c>
      <c r="AQ308" s="203">
        <f t="shared" si="584"/>
        <v>1</v>
      </c>
      <c r="AR308" s="203">
        <f t="shared" si="596"/>
        <v>4</v>
      </c>
      <c r="AS308" s="203">
        <f t="shared" ca="1" si="597"/>
        <v>3</v>
      </c>
      <c r="AT308" s="203">
        <f t="shared" ca="1" si="598"/>
        <v>1</v>
      </c>
      <c r="AU308" s="203" t="str">
        <f t="shared" si="585"/>
        <v>N/A</v>
      </c>
      <c r="AV308" s="203">
        <f t="shared" si="585"/>
        <v>0</v>
      </c>
      <c r="AW308" s="203">
        <f t="shared" si="599"/>
        <v>0</v>
      </c>
      <c r="AX308" s="203">
        <f t="shared" ca="1" si="600"/>
        <v>0</v>
      </c>
      <c r="AY308" s="203">
        <f t="shared" ca="1" si="601"/>
        <v>0</v>
      </c>
      <c r="AZ308" s="203"/>
      <c r="BA308" s="204" t="s">
        <v>1925</v>
      </c>
      <c r="BB308" s="204" t="s">
        <v>1926</v>
      </c>
      <c r="BC308" s="204" t="s">
        <v>1927</v>
      </c>
      <c r="BD308" s="204" t="s">
        <v>140</v>
      </c>
      <c r="BE308" s="166"/>
      <c r="BF308" s="203" t="s">
        <v>1789</v>
      </c>
      <c r="BG308" s="141"/>
      <c r="BH308" s="152"/>
      <c r="BI308" s="207"/>
      <c r="BJ308" s="230" t="s">
        <v>1931</v>
      </c>
      <c r="BK308" s="230"/>
      <c r="BL308" s="153" t="s">
        <v>1932</v>
      </c>
      <c r="BM308" s="153"/>
      <c r="BN308" s="153"/>
      <c r="BO308" s="153"/>
      <c r="BP308" s="153"/>
      <c r="BQ308" s="153"/>
      <c r="BR308" s="141">
        <v>0</v>
      </c>
      <c r="BS308" s="141">
        <v>0</v>
      </c>
      <c r="BT308" s="141">
        <v>0</v>
      </c>
      <c r="BU308" s="141">
        <v>1</v>
      </c>
      <c r="BV308" s="141">
        <v>0</v>
      </c>
      <c r="BW308" s="141">
        <v>0</v>
      </c>
      <c r="BX308" s="141">
        <v>0</v>
      </c>
      <c r="BY308" s="141" t="s">
        <v>1790</v>
      </c>
      <c r="BZ308" s="158" t="s">
        <v>2159</v>
      </c>
      <c r="CA308" s="165">
        <v>16</v>
      </c>
      <c r="CB308" s="235">
        <v>46213</v>
      </c>
      <c r="CC308" s="152"/>
      <c r="CD308" s="141"/>
      <c r="CE308" s="208"/>
      <c r="CF308" s="166">
        <f t="shared" si="602"/>
        <v>-8</v>
      </c>
    </row>
    <row r="309" spans="1:84" ht="36" hidden="1">
      <c r="A309" s="117"/>
      <c r="B309" s="209" t="s">
        <v>1919</v>
      </c>
      <c r="C309" s="209" t="s">
        <v>2153</v>
      </c>
      <c r="D309" s="209" t="s">
        <v>1296</v>
      </c>
      <c r="E309" s="209" t="s">
        <v>1801</v>
      </c>
      <c r="F309" s="209" t="s">
        <v>1362</v>
      </c>
      <c r="G309" s="209" t="s">
        <v>1090</v>
      </c>
      <c r="H309" s="210">
        <v>460</v>
      </c>
      <c r="I309" s="211" t="s">
        <v>147</v>
      </c>
      <c r="J309" s="144">
        <v>8</v>
      </c>
      <c r="K309" s="145">
        <f t="shared" si="581"/>
        <v>2</v>
      </c>
      <c r="L309" s="202">
        <f t="shared" si="586"/>
        <v>16</v>
      </c>
      <c r="M309" s="212">
        <v>5.5</v>
      </c>
      <c r="N309" s="203">
        <f t="shared" si="587"/>
        <v>88</v>
      </c>
      <c r="O309" s="212" t="s">
        <v>137</v>
      </c>
      <c r="P309" s="212" t="s">
        <v>13</v>
      </c>
      <c r="Q309" s="212" t="s">
        <v>148</v>
      </c>
      <c r="R309" s="212"/>
      <c r="S309" s="212"/>
      <c r="T309" s="203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8</v>
      </c>
      <c r="U309" s="203">
        <f t="shared" ca="1" si="588"/>
        <v>8</v>
      </c>
      <c r="V309" s="203">
        <f t="shared" ca="1" si="589"/>
        <v>1</v>
      </c>
      <c r="W309" s="212"/>
      <c r="X309" s="212"/>
      <c r="Y309" s="212"/>
      <c r="Z309" s="212"/>
      <c r="AA309" s="212"/>
      <c r="AB309" s="212"/>
      <c r="AC309" s="214" t="s">
        <v>1923</v>
      </c>
      <c r="AD309" s="215" t="s">
        <v>1924</v>
      </c>
      <c r="AE309" s="148"/>
      <c r="AF309" s="212" t="str">
        <f t="shared" si="582"/>
        <v>N/A</v>
      </c>
      <c r="AG309" s="212">
        <f t="shared" si="582"/>
        <v>0</v>
      </c>
      <c r="AH309" s="203">
        <f t="shared" si="590"/>
        <v>0</v>
      </c>
      <c r="AI309" s="203">
        <f t="shared" ca="1" si="591"/>
        <v>0</v>
      </c>
      <c r="AJ309" s="203">
        <f t="shared" ca="1" si="592"/>
        <v>0</v>
      </c>
      <c r="AK309" s="212" t="str">
        <f t="shared" si="583"/>
        <v>AMC2-S1</v>
      </c>
      <c r="AL309" s="212">
        <f t="shared" si="583"/>
        <v>1</v>
      </c>
      <c r="AM309" s="203">
        <f t="shared" si="593"/>
        <v>8</v>
      </c>
      <c r="AN309" s="203">
        <f t="shared" ca="1" si="594"/>
        <v>1</v>
      </c>
      <c r="AO309" s="203">
        <f t="shared" ca="1" si="595"/>
        <v>7</v>
      </c>
      <c r="AP309" s="212" t="str">
        <f t="shared" si="584"/>
        <v>AMC2-S4</v>
      </c>
      <c r="AQ309" s="212">
        <f t="shared" si="584"/>
        <v>1</v>
      </c>
      <c r="AR309" s="203">
        <f t="shared" si="596"/>
        <v>8</v>
      </c>
      <c r="AS309" s="203">
        <f t="shared" ca="1" si="597"/>
        <v>7</v>
      </c>
      <c r="AT309" s="203">
        <f t="shared" ca="1" si="598"/>
        <v>1</v>
      </c>
      <c r="AU309" s="212" t="str">
        <f t="shared" si="585"/>
        <v>N/A</v>
      </c>
      <c r="AV309" s="212">
        <f t="shared" si="585"/>
        <v>0</v>
      </c>
      <c r="AW309" s="203">
        <f t="shared" si="599"/>
        <v>0</v>
      </c>
      <c r="AX309" s="203">
        <f t="shared" ca="1" si="600"/>
        <v>0</v>
      </c>
      <c r="AY309" s="203">
        <f t="shared" ca="1" si="601"/>
        <v>0</v>
      </c>
      <c r="AZ309" s="212"/>
      <c r="BA309" s="213" t="s">
        <v>1925</v>
      </c>
      <c r="BB309" s="213" t="s">
        <v>1926</v>
      </c>
      <c r="BC309" s="213" t="s">
        <v>1927</v>
      </c>
      <c r="BD309" s="213" t="s">
        <v>140</v>
      </c>
      <c r="BE309" s="148"/>
      <c r="BF309" s="212" t="s">
        <v>1789</v>
      </c>
      <c r="BG309" s="117"/>
      <c r="BH309" s="155"/>
      <c r="BI309" s="216"/>
      <c r="BJ309" s="216"/>
      <c r="BK309" s="216"/>
      <c r="BL309" s="149"/>
      <c r="BM309" s="149"/>
      <c r="BN309" s="149"/>
      <c r="BO309" s="149"/>
      <c r="BP309" s="149"/>
      <c r="BQ309" s="149"/>
      <c r="BR309" s="117">
        <v>0</v>
      </c>
      <c r="BS309" s="117">
        <v>0</v>
      </c>
      <c r="BT309" s="117">
        <v>0</v>
      </c>
      <c r="BU309" s="117">
        <v>0</v>
      </c>
      <c r="BV309" s="117">
        <v>0</v>
      </c>
      <c r="BW309" s="117">
        <v>0</v>
      </c>
      <c r="BX309" s="117">
        <v>0</v>
      </c>
      <c r="BY309" s="117" t="s">
        <v>1790</v>
      </c>
      <c r="BZ309" s="158" t="s">
        <v>2160</v>
      </c>
      <c r="CA309" s="144">
        <v>32</v>
      </c>
      <c r="CB309" s="235">
        <v>46248</v>
      </c>
      <c r="CC309" s="155"/>
      <c r="CD309" s="117"/>
      <c r="CE309" s="217"/>
      <c r="CF309" s="166">
        <f t="shared" si="602"/>
        <v>-16</v>
      </c>
    </row>
    <row r="310" spans="1:84" ht="36" hidden="1">
      <c r="A310" s="117"/>
      <c r="B310" s="209" t="s">
        <v>1919</v>
      </c>
      <c r="C310" s="209" t="s">
        <v>2153</v>
      </c>
      <c r="D310" s="209" t="s">
        <v>1076</v>
      </c>
      <c r="E310" s="209" t="s">
        <v>1802</v>
      </c>
      <c r="F310" s="209" t="s">
        <v>1356</v>
      </c>
      <c r="G310" s="209" t="s">
        <v>1075</v>
      </c>
      <c r="H310" s="210">
        <v>812</v>
      </c>
      <c r="I310" s="211" t="s">
        <v>1077</v>
      </c>
      <c r="J310" s="144">
        <v>4</v>
      </c>
      <c r="K310" s="145">
        <f t="shared" si="581"/>
        <v>2</v>
      </c>
      <c r="L310" s="202">
        <f t="shared" si="586"/>
        <v>8</v>
      </c>
      <c r="M310" s="212">
        <v>13.05696</v>
      </c>
      <c r="N310" s="203">
        <f t="shared" si="587"/>
        <v>104.45568</v>
      </c>
      <c r="O310" s="212" t="s">
        <v>137</v>
      </c>
      <c r="P310" s="212" t="s">
        <v>11</v>
      </c>
      <c r="Q310" s="212" t="s">
        <v>148</v>
      </c>
      <c r="R310" s="212"/>
      <c r="S310" s="212"/>
      <c r="T310" s="203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4</v>
      </c>
      <c r="U310" s="203">
        <f t="shared" ca="1" si="588"/>
        <v>4</v>
      </c>
      <c r="V310" s="203">
        <f t="shared" ca="1" si="589"/>
        <v>1</v>
      </c>
      <c r="W310" s="212"/>
      <c r="X310" s="212"/>
      <c r="Y310" s="212"/>
      <c r="Z310" s="212"/>
      <c r="AA310" s="212"/>
      <c r="AB310" s="212"/>
      <c r="AC310" s="214" t="s">
        <v>1923</v>
      </c>
      <c r="AD310" s="215" t="s">
        <v>1924</v>
      </c>
      <c r="AE310" s="148"/>
      <c r="AF310" s="212" t="str">
        <f t="shared" si="582"/>
        <v>N/A</v>
      </c>
      <c r="AG310" s="212">
        <f t="shared" si="582"/>
        <v>0</v>
      </c>
      <c r="AH310" s="203">
        <f t="shared" si="590"/>
        <v>0</v>
      </c>
      <c r="AI310" s="203">
        <f t="shared" ca="1" si="591"/>
        <v>0</v>
      </c>
      <c r="AJ310" s="203">
        <f t="shared" ca="1" si="592"/>
        <v>0</v>
      </c>
      <c r="AK310" s="212" t="str">
        <f t="shared" si="583"/>
        <v>AMC2-S1</v>
      </c>
      <c r="AL310" s="212">
        <f t="shared" si="583"/>
        <v>1</v>
      </c>
      <c r="AM310" s="203">
        <f t="shared" si="593"/>
        <v>4</v>
      </c>
      <c r="AN310" s="203">
        <f t="shared" ca="1" si="594"/>
        <v>1</v>
      </c>
      <c r="AO310" s="203">
        <f t="shared" ca="1" si="595"/>
        <v>3</v>
      </c>
      <c r="AP310" s="212" t="str">
        <f t="shared" si="584"/>
        <v>AMC2-S4</v>
      </c>
      <c r="AQ310" s="212">
        <f t="shared" si="584"/>
        <v>1</v>
      </c>
      <c r="AR310" s="203">
        <f t="shared" si="596"/>
        <v>4</v>
      </c>
      <c r="AS310" s="203">
        <f t="shared" ca="1" si="597"/>
        <v>3</v>
      </c>
      <c r="AT310" s="203">
        <f t="shared" ca="1" si="598"/>
        <v>1</v>
      </c>
      <c r="AU310" s="212" t="str">
        <f t="shared" si="585"/>
        <v>N/A</v>
      </c>
      <c r="AV310" s="212">
        <f t="shared" si="585"/>
        <v>0</v>
      </c>
      <c r="AW310" s="203">
        <f t="shared" si="599"/>
        <v>0</v>
      </c>
      <c r="AX310" s="203">
        <f t="shared" ca="1" si="600"/>
        <v>0</v>
      </c>
      <c r="AY310" s="203">
        <f t="shared" ca="1" si="601"/>
        <v>0</v>
      </c>
      <c r="AZ310" s="212"/>
      <c r="BA310" s="213" t="s">
        <v>1925</v>
      </c>
      <c r="BB310" s="213" t="s">
        <v>1926</v>
      </c>
      <c r="BC310" s="213" t="s">
        <v>1927</v>
      </c>
      <c r="BD310" s="213" t="s">
        <v>140</v>
      </c>
      <c r="BE310" s="148"/>
      <c r="BF310" s="212" t="s">
        <v>1789</v>
      </c>
      <c r="BG310" s="117"/>
      <c r="BH310" s="155"/>
      <c r="BI310" s="216"/>
      <c r="BJ310" s="216"/>
      <c r="BK310" s="216"/>
      <c r="BL310" s="149"/>
      <c r="BM310" s="149"/>
      <c r="BN310" s="149"/>
      <c r="BO310" s="149"/>
      <c r="BP310" s="149"/>
      <c r="BQ310" s="149"/>
      <c r="BR310" s="117">
        <v>0</v>
      </c>
      <c r="BS310" s="117">
        <v>0</v>
      </c>
      <c r="BT310" s="117">
        <v>0</v>
      </c>
      <c r="BU310" s="117">
        <v>1</v>
      </c>
      <c r="BV310" s="117">
        <v>0</v>
      </c>
      <c r="BW310" s="117">
        <v>0</v>
      </c>
      <c r="BX310" s="117">
        <v>0</v>
      </c>
      <c r="BY310" s="117" t="s">
        <v>1790</v>
      </c>
      <c r="BZ310" s="158" t="s">
        <v>2161</v>
      </c>
      <c r="CA310" s="213">
        <v>16</v>
      </c>
      <c r="CB310" s="235">
        <v>46231</v>
      </c>
      <c r="CC310" s="155"/>
      <c r="CD310" s="155"/>
      <c r="CE310" s="217"/>
      <c r="CF310" s="166">
        <f t="shared" si="602"/>
        <v>-8</v>
      </c>
    </row>
    <row r="311" spans="1:84" ht="36" hidden="1">
      <c r="A311" s="117"/>
      <c r="B311" s="209" t="s">
        <v>1919</v>
      </c>
      <c r="C311" s="209" t="s">
        <v>2153</v>
      </c>
      <c r="D311" s="209" t="s">
        <v>1076</v>
      </c>
      <c r="E311" s="199" t="s">
        <v>1803</v>
      </c>
      <c r="F311" s="199" t="s">
        <v>1357</v>
      </c>
      <c r="G311" s="209" t="s">
        <v>1080</v>
      </c>
      <c r="H311" s="210">
        <v>737</v>
      </c>
      <c r="I311" s="211" t="s">
        <v>1077</v>
      </c>
      <c r="J311" s="144">
        <v>2</v>
      </c>
      <c r="K311" s="145">
        <f t="shared" si="581"/>
        <v>2</v>
      </c>
      <c r="L311" s="202">
        <f t="shared" si="586"/>
        <v>4</v>
      </c>
      <c r="M311" s="212">
        <v>2.1</v>
      </c>
      <c r="N311" s="203">
        <f t="shared" si="587"/>
        <v>8.4</v>
      </c>
      <c r="O311" s="212" t="s">
        <v>137</v>
      </c>
      <c r="P311" s="212" t="s">
        <v>11</v>
      </c>
      <c r="Q311" s="212" t="s">
        <v>154</v>
      </c>
      <c r="R311" s="212"/>
      <c r="S311" s="212"/>
      <c r="T311" s="203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2</v>
      </c>
      <c r="U311" s="203">
        <f t="shared" ca="1" si="588"/>
        <v>2</v>
      </c>
      <c r="V311" s="203">
        <f t="shared" ca="1" si="589"/>
        <v>1</v>
      </c>
      <c r="W311" s="212"/>
      <c r="X311" s="212"/>
      <c r="Y311" s="212"/>
      <c r="Z311" s="212"/>
      <c r="AA311" s="212"/>
      <c r="AB311" s="212"/>
      <c r="AC311" s="214" t="s">
        <v>1923</v>
      </c>
      <c r="AD311" s="215" t="s">
        <v>1924</v>
      </c>
      <c r="AE311" s="148"/>
      <c r="AF311" s="212" t="str">
        <f t="shared" si="582"/>
        <v>N/A</v>
      </c>
      <c r="AG311" s="212">
        <f t="shared" si="582"/>
        <v>0</v>
      </c>
      <c r="AH311" s="203">
        <f t="shared" si="590"/>
        <v>0</v>
      </c>
      <c r="AI311" s="203">
        <f t="shared" ca="1" si="591"/>
        <v>0</v>
      </c>
      <c r="AJ311" s="203">
        <f t="shared" ca="1" si="592"/>
        <v>0</v>
      </c>
      <c r="AK311" s="212" t="str">
        <f t="shared" si="583"/>
        <v>AMC2-S1</v>
      </c>
      <c r="AL311" s="212">
        <f t="shared" si="583"/>
        <v>1</v>
      </c>
      <c r="AM311" s="203">
        <f t="shared" si="593"/>
        <v>2</v>
      </c>
      <c r="AN311" s="203">
        <f t="shared" ca="1" si="594"/>
        <v>1</v>
      </c>
      <c r="AO311" s="203">
        <f t="shared" ca="1" si="595"/>
        <v>1</v>
      </c>
      <c r="AP311" s="212" t="str">
        <f t="shared" si="584"/>
        <v>AMC2-S4</v>
      </c>
      <c r="AQ311" s="212">
        <f t="shared" si="584"/>
        <v>1</v>
      </c>
      <c r="AR311" s="203">
        <f t="shared" si="596"/>
        <v>2</v>
      </c>
      <c r="AS311" s="203">
        <f t="shared" ca="1" si="597"/>
        <v>1</v>
      </c>
      <c r="AT311" s="203">
        <f t="shared" ca="1" si="598"/>
        <v>1</v>
      </c>
      <c r="AU311" s="212" t="str">
        <f t="shared" si="585"/>
        <v>N/A</v>
      </c>
      <c r="AV311" s="212">
        <f t="shared" si="585"/>
        <v>0</v>
      </c>
      <c r="AW311" s="203">
        <f t="shared" si="599"/>
        <v>0</v>
      </c>
      <c r="AX311" s="203">
        <f t="shared" ca="1" si="600"/>
        <v>0</v>
      </c>
      <c r="AY311" s="203">
        <f t="shared" ca="1" si="601"/>
        <v>0</v>
      </c>
      <c r="AZ311" s="212"/>
      <c r="BA311" s="213" t="s">
        <v>1925</v>
      </c>
      <c r="BB311" s="213" t="s">
        <v>1926</v>
      </c>
      <c r="BC311" s="213" t="s">
        <v>1927</v>
      </c>
      <c r="BD311" s="213" t="s">
        <v>140</v>
      </c>
      <c r="BE311" s="148"/>
      <c r="BF311" s="212" t="s">
        <v>1789</v>
      </c>
      <c r="BG311" s="117"/>
      <c r="BH311" s="141" t="s">
        <v>1933</v>
      </c>
      <c r="BI311" s="216"/>
      <c r="BJ311" s="216"/>
      <c r="BK311" s="216"/>
      <c r="BL311" s="149"/>
      <c r="BM311" s="149"/>
      <c r="BN311" s="149"/>
      <c r="BO311" s="149"/>
      <c r="BP311" s="149"/>
      <c r="BQ311" s="149"/>
      <c r="BR311" s="117">
        <v>0</v>
      </c>
      <c r="BS311" s="117">
        <v>1</v>
      </c>
      <c r="BT311" s="117">
        <v>0</v>
      </c>
      <c r="BU311" s="117">
        <v>0</v>
      </c>
      <c r="BV311" s="117">
        <v>0</v>
      </c>
      <c r="BW311" s="117">
        <v>0</v>
      </c>
      <c r="BX311" s="117">
        <v>0</v>
      </c>
      <c r="BY311" s="117" t="s">
        <v>1790</v>
      </c>
      <c r="BZ311" s="158" t="s">
        <v>2162</v>
      </c>
      <c r="CA311" s="158">
        <v>8</v>
      </c>
      <c r="CB311" s="235">
        <v>46231</v>
      </c>
      <c r="CC311" s="155"/>
      <c r="CD311" s="155"/>
      <c r="CE311" s="217"/>
      <c r="CF311" s="166">
        <f t="shared" si="602"/>
        <v>-4</v>
      </c>
    </row>
    <row r="312" spans="1:84" ht="36" hidden="1">
      <c r="A312" s="186"/>
      <c r="B312" s="187" t="s">
        <v>1919</v>
      </c>
      <c r="C312" s="187" t="s">
        <v>2163</v>
      </c>
      <c r="D312" s="187"/>
      <c r="E312" s="187"/>
      <c r="F312" s="187"/>
      <c r="G312" s="187" t="s">
        <v>1934</v>
      </c>
      <c r="H312" s="188"/>
      <c r="I312" s="189"/>
      <c r="J312" s="190"/>
      <c r="K312" s="191">
        <f t="shared" si="581"/>
        <v>2</v>
      </c>
      <c r="L312" s="190"/>
      <c r="M312" s="192">
        <v>2184.1999999999998</v>
      </c>
      <c r="N312" s="192">
        <v>8736.7999999999993</v>
      </c>
      <c r="O312" s="192" t="s">
        <v>137</v>
      </c>
      <c r="P312" s="192"/>
      <c r="Q312" s="192"/>
      <c r="R312" s="192"/>
      <c r="S312" s="192"/>
      <c r="T312" s="192"/>
      <c r="U312" s="192"/>
      <c r="V312" s="192"/>
      <c r="W312" s="192">
        <f ca="1">_xlfn.MINIFS(V:V,C:C,C312,AE:AE,"",AB:AB,"")</f>
        <v>0</v>
      </c>
      <c r="X312" s="192">
        <f ca="1">SUMIFS(T:T,C:C,C312,AE:AE,"")/SUMIFS(L:L,C:C,C312,AE:AE,"",AB:AB,"")</f>
        <v>0.82539682539682535</v>
      </c>
      <c r="Y312" s="192"/>
      <c r="Z312" s="192"/>
      <c r="AA312" s="192"/>
      <c r="AB312" s="192"/>
      <c r="AC312" s="194" t="s">
        <v>1923</v>
      </c>
      <c r="AD312" s="195" t="s">
        <v>1924</v>
      </c>
      <c r="AE312" s="196" t="s">
        <v>1787</v>
      </c>
      <c r="AF312" s="192" t="str">
        <f t="shared" ref="AF312:AG327" si="603">AF311</f>
        <v>N/A</v>
      </c>
      <c r="AG312" s="192">
        <f t="shared" si="603"/>
        <v>0</v>
      </c>
      <c r="AH312" s="192"/>
      <c r="AI312" s="192"/>
      <c r="AJ312" s="192"/>
      <c r="AK312" s="192" t="str">
        <f t="shared" ref="AK312:AL327" si="604">AK311</f>
        <v>AMC2-S1</v>
      </c>
      <c r="AL312" s="192">
        <f t="shared" si="604"/>
        <v>1</v>
      </c>
      <c r="AM312" s="192"/>
      <c r="AN312" s="192"/>
      <c r="AO312" s="192"/>
      <c r="AP312" s="192" t="str">
        <f t="shared" ref="AP312:AQ327" si="605">AP311</f>
        <v>AMC2-S4</v>
      </c>
      <c r="AQ312" s="192">
        <f t="shared" si="605"/>
        <v>1</v>
      </c>
      <c r="AR312" s="192"/>
      <c r="AS312" s="192"/>
      <c r="AT312" s="192"/>
      <c r="AU312" s="192" t="str">
        <f t="shared" ref="AU312:AV327" si="606">AU311</f>
        <v>N/A</v>
      </c>
      <c r="AV312" s="192">
        <f t="shared" si="606"/>
        <v>0</v>
      </c>
      <c r="AW312" s="192"/>
      <c r="AX312" s="192"/>
      <c r="AY312" s="192"/>
      <c r="AZ312" s="192"/>
      <c r="BA312" s="193" t="s">
        <v>1925</v>
      </c>
      <c r="BB312" s="193" t="s">
        <v>1926</v>
      </c>
      <c r="BC312" s="193" t="s">
        <v>1927</v>
      </c>
      <c r="BD312" s="193" t="s">
        <v>140</v>
      </c>
      <c r="BE312" s="196" t="s">
        <v>741</v>
      </c>
      <c r="BF312" s="192"/>
      <c r="BG312" s="186"/>
      <c r="BH312" s="186"/>
      <c r="BI312" s="197"/>
      <c r="BJ312" s="197"/>
      <c r="BK312" s="197"/>
      <c r="BL312" s="197"/>
      <c r="BM312" s="197"/>
      <c r="BN312" s="197"/>
      <c r="BO312" s="197"/>
      <c r="BP312" s="197"/>
      <c r="BQ312" s="197"/>
      <c r="BR312" s="186"/>
      <c r="BS312" s="186"/>
      <c r="BT312" s="186"/>
      <c r="BU312" s="186"/>
      <c r="BV312" s="186"/>
      <c r="BW312" s="186"/>
      <c r="BX312" s="186"/>
      <c r="BY312" s="186"/>
      <c r="BZ312" s="117" t="s">
        <v>1291</v>
      </c>
      <c r="CA312" s="117">
        <v>5</v>
      </c>
      <c r="CB312" s="149">
        <v>46185</v>
      </c>
      <c r="CC312" s="186"/>
      <c r="CD312" s="186"/>
      <c r="CE312" s="198"/>
      <c r="CF312" s="198"/>
    </row>
    <row r="313" spans="1:84" ht="36" hidden="1">
      <c r="A313" s="117"/>
      <c r="B313" s="209" t="s">
        <v>1919</v>
      </c>
      <c r="C313" s="209" t="s">
        <v>2163</v>
      </c>
      <c r="D313" s="209" t="s">
        <v>1084</v>
      </c>
      <c r="E313" s="209" t="s">
        <v>1815</v>
      </c>
      <c r="F313" s="209" t="s">
        <v>1377</v>
      </c>
      <c r="G313" s="209" t="s">
        <v>1293</v>
      </c>
      <c r="H313" s="210">
        <v>8216</v>
      </c>
      <c r="I313" s="211" t="s">
        <v>147</v>
      </c>
      <c r="J313" s="144">
        <v>1</v>
      </c>
      <c r="K313" s="145">
        <f t="shared" si="581"/>
        <v>2</v>
      </c>
      <c r="L313" s="202">
        <f t="shared" ref="L313:L325" si="607">+J313*K313</f>
        <v>2</v>
      </c>
      <c r="M313" s="212">
        <v>1830.9</v>
      </c>
      <c r="N313" s="203">
        <f t="shared" ref="N313:N325" si="608">+M313*L313</f>
        <v>3661.8</v>
      </c>
      <c r="O313" s="212" t="s">
        <v>137</v>
      </c>
      <c r="P313" s="212" t="s">
        <v>13</v>
      </c>
      <c r="Q313" s="212" t="s">
        <v>154</v>
      </c>
      <c r="R313" s="212"/>
      <c r="S313" s="212"/>
      <c r="T313" s="203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2</v>
      </c>
      <c r="U313" s="203">
        <f t="shared" ref="U313:U325" ca="1" si="609">+L313-T313</f>
        <v>0</v>
      </c>
      <c r="V313" s="203">
        <f t="shared" ref="V313:V325" ca="1" si="610">ROUNDDOWN(T313/J313,0)</f>
        <v>2</v>
      </c>
      <c r="W313" s="212"/>
      <c r="X313" s="212"/>
      <c r="Y313" s="212"/>
      <c r="Z313" s="212"/>
      <c r="AA313" s="212"/>
      <c r="AB313" s="212"/>
      <c r="AC313" s="214" t="s">
        <v>1923</v>
      </c>
      <c r="AD313" s="215" t="s">
        <v>1924</v>
      </c>
      <c r="AE313" s="148"/>
      <c r="AF313" s="212" t="str">
        <f t="shared" si="603"/>
        <v>N/A</v>
      </c>
      <c r="AG313" s="212">
        <f t="shared" si="603"/>
        <v>0</v>
      </c>
      <c r="AH313" s="203">
        <f t="shared" ref="AH313:AH325" si="611">+AG313*J313</f>
        <v>0</v>
      </c>
      <c r="AI313" s="203">
        <f t="shared" ref="AI313:AI325" ca="1" si="612">MIN(T313,AH313)</f>
        <v>0</v>
      </c>
      <c r="AJ313" s="203">
        <f t="shared" ref="AJ313:AJ325" ca="1" si="613">+AH313-AI313</f>
        <v>0</v>
      </c>
      <c r="AK313" s="212" t="str">
        <f t="shared" si="604"/>
        <v>AMC2-S1</v>
      </c>
      <c r="AL313" s="212">
        <f t="shared" si="604"/>
        <v>1</v>
      </c>
      <c r="AM313" s="203">
        <f t="shared" ref="AM313:AM325" si="614">+AL313*J313</f>
        <v>1</v>
      </c>
      <c r="AN313" s="203">
        <f t="shared" ref="AN313:AN325" ca="1" si="615">MIN(T313-AI313,AL313)</f>
        <v>1</v>
      </c>
      <c r="AO313" s="203">
        <f t="shared" ref="AO313:AO325" ca="1" si="616">+AM313-AN313</f>
        <v>0</v>
      </c>
      <c r="AP313" s="212" t="str">
        <f t="shared" si="605"/>
        <v>AMC2-S4</v>
      </c>
      <c r="AQ313" s="212">
        <f t="shared" si="605"/>
        <v>1</v>
      </c>
      <c r="AR313" s="203">
        <f t="shared" ref="AR313:AR325" si="617">+AQ313*J313</f>
        <v>1</v>
      </c>
      <c r="AS313" s="203">
        <f t="shared" ref="AS313:AS325" ca="1" si="618">MIN(T313-AI313-AN313,AR313)</f>
        <v>1</v>
      </c>
      <c r="AT313" s="203">
        <f t="shared" ref="AT313:AT325" ca="1" si="619">+AR313-AS313</f>
        <v>0</v>
      </c>
      <c r="AU313" s="212" t="str">
        <f t="shared" si="606"/>
        <v>N/A</v>
      </c>
      <c r="AV313" s="212">
        <f t="shared" si="606"/>
        <v>0</v>
      </c>
      <c r="AW313" s="203">
        <f t="shared" ref="AW313:AW325" si="620">+AV313*J313</f>
        <v>0</v>
      </c>
      <c r="AX313" s="203">
        <f t="shared" ref="AX313:AX325" ca="1" si="621">MIN(T313-AI313-AN313-AS313,AW313)</f>
        <v>0</v>
      </c>
      <c r="AY313" s="203">
        <f t="shared" ref="AY313:AY325" ca="1" si="622">+AW313-AX313</f>
        <v>0</v>
      </c>
      <c r="AZ313" s="212"/>
      <c r="BA313" s="213" t="s">
        <v>1925</v>
      </c>
      <c r="BB313" s="213" t="s">
        <v>1926</v>
      </c>
      <c r="BC313" s="213" t="s">
        <v>1927</v>
      </c>
      <c r="BD313" s="213" t="s">
        <v>140</v>
      </c>
      <c r="BE313" s="148"/>
      <c r="BF313" s="212" t="s">
        <v>1789</v>
      </c>
      <c r="BG313" s="117"/>
      <c r="BH313" s="155"/>
      <c r="BI313" s="216"/>
      <c r="BJ313" s="216"/>
      <c r="BK313" s="216"/>
      <c r="BL313" s="149"/>
      <c r="BM313" s="149"/>
      <c r="BN313" s="149"/>
      <c r="BO313" s="149"/>
      <c r="BP313" s="149"/>
      <c r="BQ313" s="149"/>
      <c r="BR313" s="117">
        <v>1</v>
      </c>
      <c r="BS313" s="117">
        <v>1</v>
      </c>
      <c r="BT313" s="117">
        <v>0</v>
      </c>
      <c r="BU313" s="117">
        <v>1</v>
      </c>
      <c r="BV313" s="117">
        <v>0</v>
      </c>
      <c r="BW313" s="117">
        <v>0</v>
      </c>
      <c r="BX313" s="117">
        <v>0</v>
      </c>
      <c r="BY313" s="117" t="s">
        <v>1790</v>
      </c>
      <c r="BZ313" s="158" t="s">
        <v>57</v>
      </c>
      <c r="CA313" s="158">
        <v>4</v>
      </c>
      <c r="CB313" s="234"/>
      <c r="CC313" s="155"/>
      <c r="CD313" s="155"/>
      <c r="CE313" s="217"/>
      <c r="CF313" s="166">
        <f t="shared" ref="CF313:CF325" si="623">+L313-CA313</f>
        <v>-2</v>
      </c>
    </row>
    <row r="314" spans="1:84" ht="36" hidden="1">
      <c r="A314" s="117"/>
      <c r="B314" s="209" t="s">
        <v>1919</v>
      </c>
      <c r="C314" s="209" t="s">
        <v>2163</v>
      </c>
      <c r="D314" s="209" t="s">
        <v>1296</v>
      </c>
      <c r="E314" s="209" t="s">
        <v>1805</v>
      </c>
      <c r="F314" s="209" t="s">
        <v>1378</v>
      </c>
      <c r="G314" s="209" t="s">
        <v>1316</v>
      </c>
      <c r="H314" s="210">
        <v>2308</v>
      </c>
      <c r="I314" s="211" t="s">
        <v>147</v>
      </c>
      <c r="J314" s="144">
        <v>1</v>
      </c>
      <c r="K314" s="145">
        <f t="shared" si="581"/>
        <v>2</v>
      </c>
      <c r="L314" s="202">
        <f t="shared" si="607"/>
        <v>2</v>
      </c>
      <c r="M314" s="212">
        <v>45.5</v>
      </c>
      <c r="N314" s="203">
        <f t="shared" si="608"/>
        <v>91</v>
      </c>
      <c r="O314" s="212" t="s">
        <v>137</v>
      </c>
      <c r="P314" s="212" t="s">
        <v>13</v>
      </c>
      <c r="Q314" s="212" t="s">
        <v>148</v>
      </c>
      <c r="R314" s="212"/>
      <c r="S314" s="212"/>
      <c r="T314" s="203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1</v>
      </c>
      <c r="U314" s="203">
        <f t="shared" ca="1" si="609"/>
        <v>1</v>
      </c>
      <c r="V314" s="203">
        <f t="shared" ca="1" si="610"/>
        <v>1</v>
      </c>
      <c r="W314" s="212"/>
      <c r="X314" s="212"/>
      <c r="Y314" s="212"/>
      <c r="Z314" s="212"/>
      <c r="AA314" s="212"/>
      <c r="AB314" s="212"/>
      <c r="AC314" s="214" t="s">
        <v>1923</v>
      </c>
      <c r="AD314" s="215" t="s">
        <v>1924</v>
      </c>
      <c r="AE314" s="148"/>
      <c r="AF314" s="212" t="str">
        <f t="shared" si="603"/>
        <v>N/A</v>
      </c>
      <c r="AG314" s="212">
        <f t="shared" si="603"/>
        <v>0</v>
      </c>
      <c r="AH314" s="203">
        <f t="shared" si="611"/>
        <v>0</v>
      </c>
      <c r="AI314" s="203">
        <f t="shared" ca="1" si="612"/>
        <v>0</v>
      </c>
      <c r="AJ314" s="203">
        <f t="shared" ca="1" si="613"/>
        <v>0</v>
      </c>
      <c r="AK314" s="212" t="str">
        <f t="shared" si="604"/>
        <v>AMC2-S1</v>
      </c>
      <c r="AL314" s="212">
        <f t="shared" si="604"/>
        <v>1</v>
      </c>
      <c r="AM314" s="203">
        <f t="shared" si="614"/>
        <v>1</v>
      </c>
      <c r="AN314" s="203">
        <f t="shared" ca="1" si="615"/>
        <v>1</v>
      </c>
      <c r="AO314" s="203">
        <f t="shared" ca="1" si="616"/>
        <v>0</v>
      </c>
      <c r="AP314" s="212" t="str">
        <f t="shared" si="605"/>
        <v>AMC2-S4</v>
      </c>
      <c r="AQ314" s="212">
        <f t="shared" si="605"/>
        <v>1</v>
      </c>
      <c r="AR314" s="203">
        <f t="shared" si="617"/>
        <v>1</v>
      </c>
      <c r="AS314" s="203">
        <f t="shared" ca="1" si="618"/>
        <v>0</v>
      </c>
      <c r="AT314" s="203">
        <f t="shared" ca="1" si="619"/>
        <v>1</v>
      </c>
      <c r="AU314" s="212" t="str">
        <f t="shared" si="606"/>
        <v>N/A</v>
      </c>
      <c r="AV314" s="212">
        <f t="shared" si="606"/>
        <v>0</v>
      </c>
      <c r="AW314" s="203">
        <f t="shared" si="620"/>
        <v>0</v>
      </c>
      <c r="AX314" s="203">
        <f t="shared" ca="1" si="621"/>
        <v>0</v>
      </c>
      <c r="AY314" s="203">
        <f t="shared" ca="1" si="622"/>
        <v>0</v>
      </c>
      <c r="AZ314" s="212"/>
      <c r="BA314" s="213" t="s">
        <v>1925</v>
      </c>
      <c r="BB314" s="213" t="s">
        <v>1926</v>
      </c>
      <c r="BC314" s="213" t="s">
        <v>1927</v>
      </c>
      <c r="BD314" s="213" t="s">
        <v>140</v>
      </c>
      <c r="BE314" s="148"/>
      <c r="BF314" s="212" t="s">
        <v>1789</v>
      </c>
      <c r="BG314" s="117"/>
      <c r="BH314" s="155"/>
      <c r="BI314" s="216"/>
      <c r="BJ314" s="229" t="s">
        <v>1935</v>
      </c>
      <c r="BK314" s="229"/>
      <c r="BL314" s="149"/>
      <c r="BM314" s="149"/>
      <c r="BN314" s="149"/>
      <c r="BO314" s="149"/>
      <c r="BP314" s="149"/>
      <c r="BQ314" s="149"/>
      <c r="BR314" s="117">
        <v>0</v>
      </c>
      <c r="BS314" s="117">
        <v>0</v>
      </c>
      <c r="BT314" s="117">
        <v>0</v>
      </c>
      <c r="BU314" s="117">
        <v>1</v>
      </c>
      <c r="BV314" s="117">
        <v>0</v>
      </c>
      <c r="BW314" s="117">
        <v>0</v>
      </c>
      <c r="BX314" s="117">
        <v>0</v>
      </c>
      <c r="BY314" s="117" t="s">
        <v>1790</v>
      </c>
      <c r="BZ314" s="158" t="s">
        <v>2164</v>
      </c>
      <c r="CA314" s="144">
        <v>4</v>
      </c>
      <c r="CB314" s="234">
        <v>46242</v>
      </c>
      <c r="CC314" s="155"/>
      <c r="CD314" s="117"/>
      <c r="CE314" s="217"/>
      <c r="CF314" s="166">
        <f t="shared" si="623"/>
        <v>-2</v>
      </c>
    </row>
    <row r="315" spans="1:84" ht="36" hidden="1">
      <c r="A315" s="117"/>
      <c r="B315" s="209" t="s">
        <v>1919</v>
      </c>
      <c r="C315" s="209" t="s">
        <v>2163</v>
      </c>
      <c r="D315" s="209" t="s">
        <v>1296</v>
      </c>
      <c r="E315" s="209" t="s">
        <v>1816</v>
      </c>
      <c r="F315" s="209" t="s">
        <v>1379</v>
      </c>
      <c r="G315" s="219" t="s">
        <v>1335</v>
      </c>
      <c r="H315" s="210">
        <v>2365</v>
      </c>
      <c r="I315" s="211" t="s">
        <v>147</v>
      </c>
      <c r="J315" s="144">
        <v>4</v>
      </c>
      <c r="K315" s="145">
        <f t="shared" si="581"/>
        <v>2</v>
      </c>
      <c r="L315" s="202">
        <f t="shared" si="607"/>
        <v>8</v>
      </c>
      <c r="M315" s="223">
        <v>62.7</v>
      </c>
      <c r="N315" s="203">
        <f t="shared" si="608"/>
        <v>501.6</v>
      </c>
      <c r="O315" s="223" t="s">
        <v>137</v>
      </c>
      <c r="P315" s="223" t="s">
        <v>13</v>
      </c>
      <c r="Q315" s="223" t="s">
        <v>148</v>
      </c>
      <c r="R315" s="223"/>
      <c r="S315" s="223"/>
      <c r="T315" s="203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8</v>
      </c>
      <c r="U315" s="203">
        <f t="shared" ca="1" si="609"/>
        <v>0</v>
      </c>
      <c r="V315" s="203">
        <f t="shared" ca="1" si="610"/>
        <v>2</v>
      </c>
      <c r="W315" s="223"/>
      <c r="X315" s="223"/>
      <c r="Y315" s="223"/>
      <c r="Z315" s="223"/>
      <c r="AA315" s="223"/>
      <c r="AB315" s="223"/>
      <c r="AC315" s="214" t="s">
        <v>1923</v>
      </c>
      <c r="AD315" s="215" t="s">
        <v>1924</v>
      </c>
      <c r="AE315" s="148"/>
      <c r="AF315" s="223" t="str">
        <f t="shared" si="603"/>
        <v>N/A</v>
      </c>
      <c r="AG315" s="223">
        <f t="shared" si="603"/>
        <v>0</v>
      </c>
      <c r="AH315" s="203">
        <f t="shared" si="611"/>
        <v>0</v>
      </c>
      <c r="AI315" s="203">
        <f t="shared" ca="1" si="612"/>
        <v>0</v>
      </c>
      <c r="AJ315" s="203">
        <f t="shared" ca="1" si="613"/>
        <v>0</v>
      </c>
      <c r="AK315" s="223" t="str">
        <f t="shared" si="604"/>
        <v>AMC2-S1</v>
      </c>
      <c r="AL315" s="223">
        <f t="shared" si="604"/>
        <v>1</v>
      </c>
      <c r="AM315" s="203">
        <f t="shared" si="614"/>
        <v>4</v>
      </c>
      <c r="AN315" s="203">
        <f t="shared" ca="1" si="615"/>
        <v>1</v>
      </c>
      <c r="AO315" s="203">
        <f t="shared" ca="1" si="616"/>
        <v>3</v>
      </c>
      <c r="AP315" s="223" t="str">
        <f t="shared" si="605"/>
        <v>AMC2-S4</v>
      </c>
      <c r="AQ315" s="223">
        <f t="shared" si="605"/>
        <v>1</v>
      </c>
      <c r="AR315" s="203">
        <f t="shared" si="617"/>
        <v>4</v>
      </c>
      <c r="AS315" s="203">
        <f t="shared" ca="1" si="618"/>
        <v>4</v>
      </c>
      <c r="AT315" s="203">
        <f t="shared" ca="1" si="619"/>
        <v>0</v>
      </c>
      <c r="AU315" s="223" t="str">
        <f t="shared" si="606"/>
        <v>N/A</v>
      </c>
      <c r="AV315" s="223">
        <f t="shared" si="606"/>
        <v>0</v>
      </c>
      <c r="AW315" s="203">
        <f t="shared" si="620"/>
        <v>0</v>
      </c>
      <c r="AX315" s="203">
        <f t="shared" ca="1" si="621"/>
        <v>0</v>
      </c>
      <c r="AY315" s="203">
        <f t="shared" ca="1" si="622"/>
        <v>0</v>
      </c>
      <c r="AZ315" s="212"/>
      <c r="BA315" s="213" t="s">
        <v>1925</v>
      </c>
      <c r="BB315" s="213" t="s">
        <v>1926</v>
      </c>
      <c r="BC315" s="213" t="s">
        <v>1927</v>
      </c>
      <c r="BD315" s="213" t="s">
        <v>140</v>
      </c>
      <c r="BE315" s="148"/>
      <c r="BF315" s="212" t="s">
        <v>1789</v>
      </c>
      <c r="BG315" s="117"/>
      <c r="BH315" s="155"/>
      <c r="BI315" s="216"/>
      <c r="BJ315" s="216"/>
      <c r="BK315" s="216"/>
      <c r="BL315" s="149"/>
      <c r="BM315" s="149"/>
      <c r="BN315" s="149"/>
      <c r="BO315" s="149"/>
      <c r="BP315" s="149" t="s">
        <v>2165</v>
      </c>
      <c r="BQ315" s="149"/>
      <c r="BR315" s="117">
        <v>0</v>
      </c>
      <c r="BS315" s="117">
        <v>0</v>
      </c>
      <c r="BT315" s="117">
        <v>0</v>
      </c>
      <c r="BU315" s="117">
        <v>1</v>
      </c>
      <c r="BV315" s="117">
        <v>0</v>
      </c>
      <c r="BW315" s="117">
        <v>0</v>
      </c>
      <c r="BX315" s="117">
        <v>0</v>
      </c>
      <c r="BY315" s="117" t="s">
        <v>1790</v>
      </c>
      <c r="BZ315" s="167" t="s">
        <v>2166</v>
      </c>
      <c r="CA315" s="144">
        <v>16</v>
      </c>
      <c r="CB315" s="235">
        <v>46252</v>
      </c>
      <c r="CC315" s="155"/>
      <c r="CD315" s="117"/>
      <c r="CE315" s="217"/>
      <c r="CF315" s="166">
        <f t="shared" si="623"/>
        <v>-8</v>
      </c>
    </row>
    <row r="316" spans="1:84" ht="36" hidden="1">
      <c r="A316" s="117"/>
      <c r="B316" s="209" t="s">
        <v>1919</v>
      </c>
      <c r="C316" s="209" t="s">
        <v>2163</v>
      </c>
      <c r="D316" s="209" t="s">
        <v>1076</v>
      </c>
      <c r="E316" s="209" t="s">
        <v>1817</v>
      </c>
      <c r="F316" s="209" t="s">
        <v>1380</v>
      </c>
      <c r="G316" s="209" t="s">
        <v>1343</v>
      </c>
      <c r="H316" s="210">
        <v>1885</v>
      </c>
      <c r="I316" s="211" t="s">
        <v>147</v>
      </c>
      <c r="J316" s="144">
        <v>1</v>
      </c>
      <c r="K316" s="145">
        <f t="shared" si="581"/>
        <v>2</v>
      </c>
      <c r="L316" s="202">
        <f t="shared" si="607"/>
        <v>2</v>
      </c>
      <c r="M316" s="212">
        <v>32.700000000000003</v>
      </c>
      <c r="N316" s="203">
        <f t="shared" si="608"/>
        <v>65.400000000000006</v>
      </c>
      <c r="O316" s="212" t="s">
        <v>137</v>
      </c>
      <c r="P316" s="212" t="s">
        <v>13</v>
      </c>
      <c r="Q316" s="212" t="s">
        <v>154</v>
      </c>
      <c r="R316" s="212"/>
      <c r="S316" s="212"/>
      <c r="T316" s="203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203">
        <f t="shared" ca="1" si="609"/>
        <v>1</v>
      </c>
      <c r="V316" s="203">
        <f t="shared" ca="1" si="610"/>
        <v>1</v>
      </c>
      <c r="W316" s="212"/>
      <c r="X316" s="212"/>
      <c r="Y316" s="212"/>
      <c r="Z316" s="212"/>
      <c r="AA316" s="212"/>
      <c r="AB316" s="212"/>
      <c r="AC316" s="214" t="s">
        <v>1923</v>
      </c>
      <c r="AD316" s="215" t="s">
        <v>1924</v>
      </c>
      <c r="AE316" s="148"/>
      <c r="AF316" s="212" t="str">
        <f t="shared" si="603"/>
        <v>N/A</v>
      </c>
      <c r="AG316" s="212">
        <f t="shared" si="603"/>
        <v>0</v>
      </c>
      <c r="AH316" s="203">
        <f t="shared" si="611"/>
        <v>0</v>
      </c>
      <c r="AI316" s="203">
        <f t="shared" ca="1" si="612"/>
        <v>0</v>
      </c>
      <c r="AJ316" s="203">
        <f t="shared" ca="1" si="613"/>
        <v>0</v>
      </c>
      <c r="AK316" s="212" t="str">
        <f t="shared" si="604"/>
        <v>AMC2-S1</v>
      </c>
      <c r="AL316" s="212">
        <f t="shared" si="604"/>
        <v>1</v>
      </c>
      <c r="AM316" s="203">
        <f t="shared" si="614"/>
        <v>1</v>
      </c>
      <c r="AN316" s="203">
        <f t="shared" ca="1" si="615"/>
        <v>1</v>
      </c>
      <c r="AO316" s="203">
        <f t="shared" ca="1" si="616"/>
        <v>0</v>
      </c>
      <c r="AP316" s="212" t="str">
        <f t="shared" si="605"/>
        <v>AMC2-S4</v>
      </c>
      <c r="AQ316" s="212">
        <f t="shared" si="605"/>
        <v>1</v>
      </c>
      <c r="AR316" s="203">
        <f t="shared" si="617"/>
        <v>1</v>
      </c>
      <c r="AS316" s="203">
        <f t="shared" ca="1" si="618"/>
        <v>0</v>
      </c>
      <c r="AT316" s="203">
        <f t="shared" ca="1" si="619"/>
        <v>1</v>
      </c>
      <c r="AU316" s="212" t="str">
        <f t="shared" si="606"/>
        <v>N/A</v>
      </c>
      <c r="AV316" s="212">
        <f t="shared" si="606"/>
        <v>0</v>
      </c>
      <c r="AW316" s="203">
        <f t="shared" si="620"/>
        <v>0</v>
      </c>
      <c r="AX316" s="203">
        <f t="shared" ca="1" si="621"/>
        <v>0</v>
      </c>
      <c r="AY316" s="203">
        <f t="shared" ca="1" si="622"/>
        <v>0</v>
      </c>
      <c r="AZ316" s="212"/>
      <c r="BA316" s="213" t="s">
        <v>1925</v>
      </c>
      <c r="BB316" s="213" t="s">
        <v>1926</v>
      </c>
      <c r="BC316" s="213" t="s">
        <v>1927</v>
      </c>
      <c r="BD316" s="213" t="s">
        <v>140</v>
      </c>
      <c r="BE316" s="148"/>
      <c r="BF316" s="212" t="s">
        <v>1789</v>
      </c>
      <c r="BG316" s="117"/>
      <c r="BH316" s="155"/>
      <c r="BI316" s="216"/>
      <c r="BJ316" s="216"/>
      <c r="BK316" s="216"/>
      <c r="BL316" s="149"/>
      <c r="BM316" s="149"/>
      <c r="BN316" s="149"/>
      <c r="BO316" s="149"/>
      <c r="BP316" s="149"/>
      <c r="BQ316" s="149"/>
      <c r="BR316" s="117">
        <v>0</v>
      </c>
      <c r="BS316" s="117">
        <v>1</v>
      </c>
      <c r="BT316" s="117">
        <v>0</v>
      </c>
      <c r="BU316" s="117">
        <v>1</v>
      </c>
      <c r="BV316" s="117">
        <v>0</v>
      </c>
      <c r="BW316" s="117">
        <v>0</v>
      </c>
      <c r="BX316" s="117">
        <v>0</v>
      </c>
      <c r="BY316" s="117" t="s">
        <v>1790</v>
      </c>
      <c r="BZ316" s="158" t="s">
        <v>2167</v>
      </c>
      <c r="CA316" s="158">
        <v>4</v>
      </c>
      <c r="CB316" s="234">
        <v>46213</v>
      </c>
      <c r="CC316" s="155"/>
      <c r="CD316" s="141"/>
      <c r="CE316" s="217"/>
      <c r="CF316" s="166">
        <f t="shared" si="623"/>
        <v>-2</v>
      </c>
    </row>
    <row r="317" spans="1:84" ht="36" hidden="1">
      <c r="A317" s="117"/>
      <c r="B317" s="209" t="s">
        <v>1919</v>
      </c>
      <c r="C317" s="209" t="s">
        <v>2163</v>
      </c>
      <c r="D317" s="209" t="s">
        <v>1076</v>
      </c>
      <c r="E317" s="209" t="s">
        <v>1806</v>
      </c>
      <c r="F317" s="209" t="s">
        <v>1381</v>
      </c>
      <c r="G317" s="209" t="s">
        <v>1346</v>
      </c>
      <c r="H317" s="210">
        <v>2202</v>
      </c>
      <c r="I317" s="211" t="s">
        <v>147</v>
      </c>
      <c r="J317" s="144">
        <v>1</v>
      </c>
      <c r="K317" s="145">
        <f t="shared" si="581"/>
        <v>2</v>
      </c>
      <c r="L317" s="202">
        <f t="shared" si="607"/>
        <v>2</v>
      </c>
      <c r="M317" s="212">
        <v>42</v>
      </c>
      <c r="N317" s="203">
        <f t="shared" si="608"/>
        <v>84</v>
      </c>
      <c r="O317" s="212" t="s">
        <v>137</v>
      </c>
      <c r="P317" s="212" t="s">
        <v>13</v>
      </c>
      <c r="Q317" s="212" t="s">
        <v>154</v>
      </c>
      <c r="R317" s="212"/>
      <c r="S317" s="212"/>
      <c r="T317" s="203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2</v>
      </c>
      <c r="U317" s="203">
        <f t="shared" ca="1" si="609"/>
        <v>0</v>
      </c>
      <c r="V317" s="203">
        <f t="shared" ca="1" si="610"/>
        <v>2</v>
      </c>
      <c r="W317" s="212"/>
      <c r="X317" s="212"/>
      <c r="Y317" s="212"/>
      <c r="Z317" s="212"/>
      <c r="AA317" s="212"/>
      <c r="AB317" s="212"/>
      <c r="AC317" s="214" t="s">
        <v>1923</v>
      </c>
      <c r="AD317" s="215" t="s">
        <v>1924</v>
      </c>
      <c r="AE317" s="148"/>
      <c r="AF317" s="212" t="str">
        <f t="shared" si="603"/>
        <v>N/A</v>
      </c>
      <c r="AG317" s="212">
        <f t="shared" si="603"/>
        <v>0</v>
      </c>
      <c r="AH317" s="203">
        <f t="shared" si="611"/>
        <v>0</v>
      </c>
      <c r="AI317" s="203">
        <f t="shared" ca="1" si="612"/>
        <v>0</v>
      </c>
      <c r="AJ317" s="203">
        <f t="shared" ca="1" si="613"/>
        <v>0</v>
      </c>
      <c r="AK317" s="212" t="str">
        <f t="shared" si="604"/>
        <v>AMC2-S1</v>
      </c>
      <c r="AL317" s="212">
        <f t="shared" si="604"/>
        <v>1</v>
      </c>
      <c r="AM317" s="203">
        <f t="shared" si="614"/>
        <v>1</v>
      </c>
      <c r="AN317" s="203">
        <f t="shared" ca="1" si="615"/>
        <v>1</v>
      </c>
      <c r="AO317" s="203">
        <f t="shared" ca="1" si="616"/>
        <v>0</v>
      </c>
      <c r="AP317" s="212" t="str">
        <f t="shared" si="605"/>
        <v>AMC2-S4</v>
      </c>
      <c r="AQ317" s="212">
        <f t="shared" si="605"/>
        <v>1</v>
      </c>
      <c r="AR317" s="203">
        <f t="shared" si="617"/>
        <v>1</v>
      </c>
      <c r="AS317" s="203">
        <f t="shared" ca="1" si="618"/>
        <v>1</v>
      </c>
      <c r="AT317" s="203">
        <f t="shared" ca="1" si="619"/>
        <v>0</v>
      </c>
      <c r="AU317" s="212" t="str">
        <f t="shared" si="606"/>
        <v>N/A</v>
      </c>
      <c r="AV317" s="212">
        <f t="shared" si="606"/>
        <v>0</v>
      </c>
      <c r="AW317" s="203">
        <f t="shared" si="620"/>
        <v>0</v>
      </c>
      <c r="AX317" s="203">
        <f t="shared" ca="1" si="621"/>
        <v>0</v>
      </c>
      <c r="AY317" s="203">
        <f t="shared" ca="1" si="622"/>
        <v>0</v>
      </c>
      <c r="AZ317" s="212"/>
      <c r="BA317" s="213" t="s">
        <v>1925</v>
      </c>
      <c r="BB317" s="213" t="s">
        <v>1926</v>
      </c>
      <c r="BC317" s="213" t="s">
        <v>1927</v>
      </c>
      <c r="BD317" s="213" t="s">
        <v>140</v>
      </c>
      <c r="BE317" s="148"/>
      <c r="BF317" s="212" t="s">
        <v>1789</v>
      </c>
      <c r="BG317" s="117"/>
      <c r="BH317" s="155"/>
      <c r="BI317" s="216"/>
      <c r="BJ317" s="216"/>
      <c r="BK317" s="216"/>
      <c r="BL317" s="149"/>
      <c r="BM317" s="149"/>
      <c r="BN317" s="149"/>
      <c r="BO317" s="149"/>
      <c r="BP317" s="149"/>
      <c r="BQ317" s="149"/>
      <c r="BR317" s="117">
        <v>0</v>
      </c>
      <c r="BS317" s="117">
        <v>1</v>
      </c>
      <c r="BT317" s="117">
        <v>0</v>
      </c>
      <c r="BU317" s="117">
        <v>1</v>
      </c>
      <c r="BV317" s="117">
        <v>0</v>
      </c>
      <c r="BW317" s="117">
        <v>0</v>
      </c>
      <c r="BX317" s="117">
        <v>0</v>
      </c>
      <c r="BY317" s="117" t="s">
        <v>1790</v>
      </c>
      <c r="BZ317" s="158" t="s">
        <v>2167</v>
      </c>
      <c r="CA317" s="158">
        <v>4</v>
      </c>
      <c r="CB317" s="234">
        <v>46213</v>
      </c>
      <c r="CC317" s="155"/>
      <c r="CD317" s="141"/>
      <c r="CE317" s="217"/>
      <c r="CF317" s="166">
        <f t="shared" si="623"/>
        <v>-2</v>
      </c>
    </row>
    <row r="318" spans="1:84" ht="36" hidden="1">
      <c r="A318" s="117"/>
      <c r="B318" s="209" t="s">
        <v>1919</v>
      </c>
      <c r="C318" s="209" t="s">
        <v>2163</v>
      </c>
      <c r="D318" s="209" t="s">
        <v>1296</v>
      </c>
      <c r="E318" s="209" t="s">
        <v>1936</v>
      </c>
      <c r="F318" s="209" t="s">
        <v>1387</v>
      </c>
      <c r="G318" s="209" t="s">
        <v>1138</v>
      </c>
      <c r="H318" s="210">
        <v>1095</v>
      </c>
      <c r="I318" s="211" t="s">
        <v>147</v>
      </c>
      <c r="J318" s="144">
        <v>1</v>
      </c>
      <c r="K318" s="145">
        <f t="shared" si="581"/>
        <v>2</v>
      </c>
      <c r="L318" s="202">
        <f t="shared" si="607"/>
        <v>2</v>
      </c>
      <c r="M318" s="212">
        <v>40.799999999999997</v>
      </c>
      <c r="N318" s="203">
        <f t="shared" si="608"/>
        <v>81.599999999999994</v>
      </c>
      <c r="O318" s="212" t="s">
        <v>137</v>
      </c>
      <c r="P318" s="212" t="s">
        <v>13</v>
      </c>
      <c r="Q318" s="212" t="s">
        <v>154</v>
      </c>
      <c r="R318" s="212"/>
      <c r="S318" s="212"/>
      <c r="T318" s="203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2</v>
      </c>
      <c r="U318" s="203">
        <f t="shared" ca="1" si="609"/>
        <v>0</v>
      </c>
      <c r="V318" s="203">
        <f t="shared" ca="1" si="610"/>
        <v>2</v>
      </c>
      <c r="W318" s="212"/>
      <c r="X318" s="212"/>
      <c r="Y318" s="212"/>
      <c r="Z318" s="212"/>
      <c r="AA318" s="212"/>
      <c r="AB318" s="212"/>
      <c r="AC318" s="214" t="s">
        <v>1923</v>
      </c>
      <c r="AD318" s="215" t="s">
        <v>1924</v>
      </c>
      <c r="AE318" s="148"/>
      <c r="AF318" s="212" t="str">
        <f t="shared" si="603"/>
        <v>N/A</v>
      </c>
      <c r="AG318" s="212">
        <f t="shared" si="603"/>
        <v>0</v>
      </c>
      <c r="AH318" s="203">
        <f t="shared" si="611"/>
        <v>0</v>
      </c>
      <c r="AI318" s="203">
        <f t="shared" ca="1" si="612"/>
        <v>0</v>
      </c>
      <c r="AJ318" s="203">
        <f t="shared" ca="1" si="613"/>
        <v>0</v>
      </c>
      <c r="AK318" s="212" t="str">
        <f t="shared" si="604"/>
        <v>AMC2-S1</v>
      </c>
      <c r="AL318" s="212">
        <f t="shared" si="604"/>
        <v>1</v>
      </c>
      <c r="AM318" s="203">
        <f t="shared" si="614"/>
        <v>1</v>
      </c>
      <c r="AN318" s="203">
        <f t="shared" ca="1" si="615"/>
        <v>1</v>
      </c>
      <c r="AO318" s="203">
        <f t="shared" ca="1" si="616"/>
        <v>0</v>
      </c>
      <c r="AP318" s="212" t="str">
        <f t="shared" si="605"/>
        <v>AMC2-S4</v>
      </c>
      <c r="AQ318" s="212">
        <f t="shared" si="605"/>
        <v>1</v>
      </c>
      <c r="AR318" s="203">
        <f t="shared" si="617"/>
        <v>1</v>
      </c>
      <c r="AS318" s="203">
        <f t="shared" ca="1" si="618"/>
        <v>1</v>
      </c>
      <c r="AT318" s="203">
        <f t="shared" ca="1" si="619"/>
        <v>0</v>
      </c>
      <c r="AU318" s="212" t="str">
        <f t="shared" si="606"/>
        <v>N/A</v>
      </c>
      <c r="AV318" s="212">
        <f t="shared" si="606"/>
        <v>0</v>
      </c>
      <c r="AW318" s="203">
        <f t="shared" si="620"/>
        <v>0</v>
      </c>
      <c r="AX318" s="203">
        <f t="shared" ca="1" si="621"/>
        <v>0</v>
      </c>
      <c r="AY318" s="203">
        <f t="shared" ca="1" si="622"/>
        <v>0</v>
      </c>
      <c r="AZ318" s="212"/>
      <c r="BA318" s="213" t="s">
        <v>1925</v>
      </c>
      <c r="BB318" s="213" t="s">
        <v>1926</v>
      </c>
      <c r="BC318" s="213" t="s">
        <v>1927</v>
      </c>
      <c r="BD318" s="213" t="s">
        <v>140</v>
      </c>
      <c r="BE318" s="148"/>
      <c r="BF318" s="212" t="s">
        <v>1789</v>
      </c>
      <c r="BG318" s="117"/>
      <c r="BH318" s="155"/>
      <c r="BI318" s="216"/>
      <c r="BJ318" s="216"/>
      <c r="BK318" s="216"/>
      <c r="BL318" s="149"/>
      <c r="BM318" s="149"/>
      <c r="BN318" s="149"/>
      <c r="BO318" s="149"/>
      <c r="BP318" s="149"/>
      <c r="BQ318" s="149"/>
      <c r="BR318" s="117">
        <v>1</v>
      </c>
      <c r="BS318" s="117">
        <v>1</v>
      </c>
      <c r="BT318" s="117">
        <v>0</v>
      </c>
      <c r="BU318" s="117">
        <v>1</v>
      </c>
      <c r="BV318" s="117">
        <v>0</v>
      </c>
      <c r="BW318" s="117">
        <v>0</v>
      </c>
      <c r="BX318" s="117">
        <v>0</v>
      </c>
      <c r="BY318" s="117" t="s">
        <v>1790</v>
      </c>
      <c r="BZ318" s="158" t="s">
        <v>2156</v>
      </c>
      <c r="CA318" s="158">
        <v>4</v>
      </c>
      <c r="CB318" s="234">
        <v>46213</v>
      </c>
      <c r="CC318" s="155"/>
      <c r="CD318" s="141"/>
      <c r="CE318" s="217"/>
      <c r="CF318" s="166">
        <f t="shared" si="623"/>
        <v>-2</v>
      </c>
    </row>
    <row r="319" spans="1:84" ht="36" hidden="1">
      <c r="A319" s="117"/>
      <c r="B319" s="209" t="s">
        <v>1919</v>
      </c>
      <c r="C319" s="209" t="s">
        <v>2163</v>
      </c>
      <c r="D319" s="209" t="s">
        <v>1296</v>
      </c>
      <c r="E319" s="209" t="s">
        <v>1807</v>
      </c>
      <c r="F319" s="209" t="s">
        <v>1382</v>
      </c>
      <c r="G319" s="209" t="s">
        <v>1096</v>
      </c>
      <c r="H319" s="210">
        <v>536</v>
      </c>
      <c r="I319" s="211" t="s">
        <v>147</v>
      </c>
      <c r="J319" s="144">
        <v>1</v>
      </c>
      <c r="K319" s="145">
        <f t="shared" si="581"/>
        <v>2</v>
      </c>
      <c r="L319" s="202">
        <f t="shared" si="607"/>
        <v>2</v>
      </c>
      <c r="M319" s="212">
        <v>7.5</v>
      </c>
      <c r="N319" s="203">
        <f t="shared" si="608"/>
        <v>15</v>
      </c>
      <c r="O319" s="212" t="s">
        <v>137</v>
      </c>
      <c r="P319" s="212" t="s">
        <v>13</v>
      </c>
      <c r="Q319" s="212" t="s">
        <v>154</v>
      </c>
      <c r="R319" s="212"/>
      <c r="S319" s="212"/>
      <c r="T319" s="203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2</v>
      </c>
      <c r="U319" s="203">
        <f t="shared" ca="1" si="609"/>
        <v>0</v>
      </c>
      <c r="V319" s="203">
        <f t="shared" ca="1" si="610"/>
        <v>2</v>
      </c>
      <c r="W319" s="212"/>
      <c r="X319" s="212"/>
      <c r="Y319" s="212"/>
      <c r="Z319" s="212"/>
      <c r="AA319" s="212"/>
      <c r="AB319" s="212"/>
      <c r="AC319" s="214" t="s">
        <v>1923</v>
      </c>
      <c r="AD319" s="215" t="s">
        <v>1924</v>
      </c>
      <c r="AE319" s="148"/>
      <c r="AF319" s="212" t="str">
        <f t="shared" si="603"/>
        <v>N/A</v>
      </c>
      <c r="AG319" s="212">
        <f t="shared" si="603"/>
        <v>0</v>
      </c>
      <c r="AH319" s="203">
        <f t="shared" si="611"/>
        <v>0</v>
      </c>
      <c r="AI319" s="203">
        <f t="shared" ca="1" si="612"/>
        <v>0</v>
      </c>
      <c r="AJ319" s="203">
        <f t="shared" ca="1" si="613"/>
        <v>0</v>
      </c>
      <c r="AK319" s="212" t="str">
        <f t="shared" si="604"/>
        <v>AMC2-S1</v>
      </c>
      <c r="AL319" s="212">
        <f t="shared" si="604"/>
        <v>1</v>
      </c>
      <c r="AM319" s="203">
        <f t="shared" si="614"/>
        <v>1</v>
      </c>
      <c r="AN319" s="203">
        <f t="shared" ca="1" si="615"/>
        <v>1</v>
      </c>
      <c r="AO319" s="203">
        <f t="shared" ca="1" si="616"/>
        <v>0</v>
      </c>
      <c r="AP319" s="212" t="str">
        <f t="shared" si="605"/>
        <v>AMC2-S4</v>
      </c>
      <c r="AQ319" s="212">
        <f t="shared" si="605"/>
        <v>1</v>
      </c>
      <c r="AR319" s="203">
        <f t="shared" si="617"/>
        <v>1</v>
      </c>
      <c r="AS319" s="203">
        <f t="shared" ca="1" si="618"/>
        <v>1</v>
      </c>
      <c r="AT319" s="203">
        <f t="shared" ca="1" si="619"/>
        <v>0</v>
      </c>
      <c r="AU319" s="212" t="str">
        <f t="shared" si="606"/>
        <v>N/A</v>
      </c>
      <c r="AV319" s="212">
        <f t="shared" si="606"/>
        <v>0</v>
      </c>
      <c r="AW319" s="203">
        <f t="shared" si="620"/>
        <v>0</v>
      </c>
      <c r="AX319" s="203">
        <f t="shared" ca="1" si="621"/>
        <v>0</v>
      </c>
      <c r="AY319" s="203">
        <f t="shared" ca="1" si="622"/>
        <v>0</v>
      </c>
      <c r="AZ319" s="212"/>
      <c r="BA319" s="213" t="s">
        <v>1925</v>
      </c>
      <c r="BB319" s="213" t="s">
        <v>1926</v>
      </c>
      <c r="BC319" s="213" t="s">
        <v>1927</v>
      </c>
      <c r="BD319" s="213" t="s">
        <v>140</v>
      </c>
      <c r="BE319" s="148"/>
      <c r="BF319" s="212" t="s">
        <v>1789</v>
      </c>
      <c r="BG319" s="117"/>
      <c r="BH319" s="155"/>
      <c r="BI319" s="216"/>
      <c r="BJ319" s="216"/>
      <c r="BK319" s="216"/>
      <c r="BL319" s="149"/>
      <c r="BM319" s="149"/>
      <c r="BN319" s="149"/>
      <c r="BO319" s="149"/>
      <c r="BP319" s="149"/>
      <c r="BQ319" s="149"/>
      <c r="BR319" s="117">
        <v>0</v>
      </c>
      <c r="BS319" s="117">
        <v>1</v>
      </c>
      <c r="BT319" s="117">
        <v>0</v>
      </c>
      <c r="BU319" s="117">
        <v>0</v>
      </c>
      <c r="BV319" s="117">
        <v>0</v>
      </c>
      <c r="BW319" s="117">
        <v>0</v>
      </c>
      <c r="BX319" s="117">
        <v>0</v>
      </c>
      <c r="BY319" s="117" t="s">
        <v>1790</v>
      </c>
      <c r="BZ319" s="158" t="s">
        <v>2156</v>
      </c>
      <c r="CA319" s="158">
        <v>4</v>
      </c>
      <c r="CB319" s="234">
        <v>46213</v>
      </c>
      <c r="CC319" s="155"/>
      <c r="CD319" s="141"/>
      <c r="CE319" s="217"/>
      <c r="CF319" s="166">
        <f t="shared" si="623"/>
        <v>-2</v>
      </c>
    </row>
    <row r="320" spans="1:84" ht="36" hidden="1">
      <c r="A320" s="117"/>
      <c r="B320" s="209" t="s">
        <v>1919</v>
      </c>
      <c r="C320" s="209" t="s">
        <v>2163</v>
      </c>
      <c r="D320" s="209" t="s">
        <v>1296</v>
      </c>
      <c r="E320" s="209" t="s">
        <v>1818</v>
      </c>
      <c r="F320" s="209" t="s">
        <v>1383</v>
      </c>
      <c r="G320" s="209" t="s">
        <v>1349</v>
      </c>
      <c r="H320" s="210">
        <v>302</v>
      </c>
      <c r="I320" s="211" t="s">
        <v>147</v>
      </c>
      <c r="J320" s="144">
        <v>2</v>
      </c>
      <c r="K320" s="145">
        <f t="shared" si="581"/>
        <v>2</v>
      </c>
      <c r="L320" s="202">
        <f t="shared" si="607"/>
        <v>4</v>
      </c>
      <c r="M320" s="212">
        <v>4.5999999999999996</v>
      </c>
      <c r="N320" s="203">
        <f t="shared" si="608"/>
        <v>18.399999999999999</v>
      </c>
      <c r="O320" s="212" t="s">
        <v>137</v>
      </c>
      <c r="P320" s="212" t="s">
        <v>13</v>
      </c>
      <c r="Q320" s="212" t="s">
        <v>148</v>
      </c>
      <c r="R320" s="212"/>
      <c r="S320" s="212"/>
      <c r="T320" s="203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4</v>
      </c>
      <c r="U320" s="203">
        <f t="shared" ca="1" si="609"/>
        <v>0</v>
      </c>
      <c r="V320" s="203">
        <f t="shared" ca="1" si="610"/>
        <v>2</v>
      </c>
      <c r="W320" s="212"/>
      <c r="X320" s="212"/>
      <c r="Y320" s="212"/>
      <c r="Z320" s="212"/>
      <c r="AA320" s="212"/>
      <c r="AB320" s="212"/>
      <c r="AC320" s="214" t="s">
        <v>1923</v>
      </c>
      <c r="AD320" s="215" t="s">
        <v>1924</v>
      </c>
      <c r="AE320" s="148"/>
      <c r="AF320" s="212" t="str">
        <f t="shared" si="603"/>
        <v>N/A</v>
      </c>
      <c r="AG320" s="212">
        <f t="shared" si="603"/>
        <v>0</v>
      </c>
      <c r="AH320" s="203">
        <f t="shared" si="611"/>
        <v>0</v>
      </c>
      <c r="AI320" s="203">
        <f t="shared" ca="1" si="612"/>
        <v>0</v>
      </c>
      <c r="AJ320" s="203">
        <f t="shared" ca="1" si="613"/>
        <v>0</v>
      </c>
      <c r="AK320" s="212" t="str">
        <f t="shared" si="604"/>
        <v>AMC2-S1</v>
      </c>
      <c r="AL320" s="212">
        <f t="shared" si="604"/>
        <v>1</v>
      </c>
      <c r="AM320" s="203">
        <f t="shared" si="614"/>
        <v>2</v>
      </c>
      <c r="AN320" s="203">
        <f t="shared" ca="1" si="615"/>
        <v>1</v>
      </c>
      <c r="AO320" s="203">
        <f t="shared" ca="1" si="616"/>
        <v>1</v>
      </c>
      <c r="AP320" s="212" t="str">
        <f t="shared" si="605"/>
        <v>AMC2-S4</v>
      </c>
      <c r="AQ320" s="212">
        <f t="shared" si="605"/>
        <v>1</v>
      </c>
      <c r="AR320" s="203">
        <f t="shared" si="617"/>
        <v>2</v>
      </c>
      <c r="AS320" s="203">
        <f t="shared" ca="1" si="618"/>
        <v>2</v>
      </c>
      <c r="AT320" s="203">
        <f t="shared" ca="1" si="619"/>
        <v>0</v>
      </c>
      <c r="AU320" s="212" t="str">
        <f t="shared" si="606"/>
        <v>N/A</v>
      </c>
      <c r="AV320" s="212">
        <f t="shared" si="606"/>
        <v>0</v>
      </c>
      <c r="AW320" s="203">
        <f t="shared" si="620"/>
        <v>0</v>
      </c>
      <c r="AX320" s="203">
        <f t="shared" ca="1" si="621"/>
        <v>0</v>
      </c>
      <c r="AY320" s="203">
        <f t="shared" ca="1" si="622"/>
        <v>0</v>
      </c>
      <c r="AZ320" s="212"/>
      <c r="BA320" s="213" t="s">
        <v>1925</v>
      </c>
      <c r="BB320" s="213" t="s">
        <v>1926</v>
      </c>
      <c r="BC320" s="213" t="s">
        <v>1927</v>
      </c>
      <c r="BD320" s="213" t="s">
        <v>140</v>
      </c>
      <c r="BE320" s="148"/>
      <c r="BF320" s="212" t="s">
        <v>1789</v>
      </c>
      <c r="BG320" s="117"/>
      <c r="BH320" s="155"/>
      <c r="BI320" s="216"/>
      <c r="BJ320" s="216"/>
      <c r="BK320" s="216"/>
      <c r="BL320" s="149"/>
      <c r="BM320" s="149"/>
      <c r="BN320" s="149"/>
      <c r="BO320" s="149"/>
      <c r="BP320" s="149"/>
      <c r="BQ320" s="149"/>
      <c r="BR320" s="117">
        <v>1</v>
      </c>
      <c r="BS320" s="117">
        <v>0</v>
      </c>
      <c r="BT320" s="117">
        <v>0</v>
      </c>
      <c r="BU320" s="117">
        <v>0</v>
      </c>
      <c r="BV320" s="117">
        <v>0</v>
      </c>
      <c r="BW320" s="117">
        <v>0</v>
      </c>
      <c r="BX320" s="117">
        <v>0</v>
      </c>
      <c r="BY320" s="117" t="s">
        <v>1790</v>
      </c>
      <c r="BZ320" s="158" t="s">
        <v>2156</v>
      </c>
      <c r="CA320" s="158">
        <v>8</v>
      </c>
      <c r="CB320" s="234">
        <v>46213</v>
      </c>
      <c r="CC320" s="155"/>
      <c r="CD320" s="141"/>
      <c r="CE320" s="217"/>
      <c r="CF320" s="166">
        <f t="shared" si="623"/>
        <v>-4</v>
      </c>
    </row>
    <row r="321" spans="1:84" ht="36" hidden="1">
      <c r="A321" s="117"/>
      <c r="B321" s="209" t="s">
        <v>1919</v>
      </c>
      <c r="C321" s="209" t="s">
        <v>2163</v>
      </c>
      <c r="D321" s="209" t="s">
        <v>1296</v>
      </c>
      <c r="E321" s="209" t="s">
        <v>1819</v>
      </c>
      <c r="F321" s="209" t="s">
        <v>1384</v>
      </c>
      <c r="G321" s="209" t="s">
        <v>1134</v>
      </c>
      <c r="H321" s="210">
        <v>221</v>
      </c>
      <c r="I321" s="211" t="s">
        <v>147</v>
      </c>
      <c r="J321" s="144">
        <v>1</v>
      </c>
      <c r="K321" s="145">
        <f t="shared" si="581"/>
        <v>2</v>
      </c>
      <c r="L321" s="202">
        <f t="shared" si="607"/>
        <v>2</v>
      </c>
      <c r="M321" s="212">
        <v>1.7</v>
      </c>
      <c r="N321" s="203">
        <f t="shared" si="608"/>
        <v>3.4</v>
      </c>
      <c r="O321" s="212" t="s">
        <v>137</v>
      </c>
      <c r="P321" s="212" t="s">
        <v>13</v>
      </c>
      <c r="Q321" s="212" t="s">
        <v>148</v>
      </c>
      <c r="R321" s="212"/>
      <c r="S321" s="212"/>
      <c r="T321" s="203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2</v>
      </c>
      <c r="U321" s="203">
        <f t="shared" ca="1" si="609"/>
        <v>0</v>
      </c>
      <c r="V321" s="203">
        <f t="shared" ca="1" si="610"/>
        <v>2</v>
      </c>
      <c r="W321" s="212"/>
      <c r="X321" s="212"/>
      <c r="Y321" s="212"/>
      <c r="Z321" s="212"/>
      <c r="AA321" s="212"/>
      <c r="AB321" s="212"/>
      <c r="AC321" s="214" t="s">
        <v>1923</v>
      </c>
      <c r="AD321" s="215" t="s">
        <v>1924</v>
      </c>
      <c r="AE321" s="148"/>
      <c r="AF321" s="212" t="str">
        <f t="shared" si="603"/>
        <v>N/A</v>
      </c>
      <c r="AG321" s="212">
        <f t="shared" si="603"/>
        <v>0</v>
      </c>
      <c r="AH321" s="203">
        <f t="shared" si="611"/>
        <v>0</v>
      </c>
      <c r="AI321" s="203">
        <f t="shared" ca="1" si="612"/>
        <v>0</v>
      </c>
      <c r="AJ321" s="203">
        <f t="shared" ca="1" si="613"/>
        <v>0</v>
      </c>
      <c r="AK321" s="212" t="str">
        <f t="shared" si="604"/>
        <v>AMC2-S1</v>
      </c>
      <c r="AL321" s="212">
        <f t="shared" si="604"/>
        <v>1</v>
      </c>
      <c r="AM321" s="203">
        <f t="shared" si="614"/>
        <v>1</v>
      </c>
      <c r="AN321" s="203">
        <f t="shared" ca="1" si="615"/>
        <v>1</v>
      </c>
      <c r="AO321" s="203">
        <f t="shared" ca="1" si="616"/>
        <v>0</v>
      </c>
      <c r="AP321" s="212" t="str">
        <f t="shared" si="605"/>
        <v>AMC2-S4</v>
      </c>
      <c r="AQ321" s="212">
        <f t="shared" si="605"/>
        <v>1</v>
      </c>
      <c r="AR321" s="203">
        <f t="shared" si="617"/>
        <v>1</v>
      </c>
      <c r="AS321" s="203">
        <f t="shared" ca="1" si="618"/>
        <v>1</v>
      </c>
      <c r="AT321" s="203">
        <f t="shared" ca="1" si="619"/>
        <v>0</v>
      </c>
      <c r="AU321" s="212" t="str">
        <f t="shared" si="606"/>
        <v>N/A</v>
      </c>
      <c r="AV321" s="212">
        <f t="shared" si="606"/>
        <v>0</v>
      </c>
      <c r="AW321" s="203">
        <f t="shared" si="620"/>
        <v>0</v>
      </c>
      <c r="AX321" s="203">
        <f t="shared" ca="1" si="621"/>
        <v>0</v>
      </c>
      <c r="AY321" s="203">
        <f t="shared" ca="1" si="622"/>
        <v>0</v>
      </c>
      <c r="AZ321" s="212"/>
      <c r="BA321" s="213" t="s">
        <v>1925</v>
      </c>
      <c r="BB321" s="213" t="s">
        <v>1926</v>
      </c>
      <c r="BC321" s="213" t="s">
        <v>1927</v>
      </c>
      <c r="BD321" s="213" t="s">
        <v>140</v>
      </c>
      <c r="BE321" s="148"/>
      <c r="BF321" s="212" t="s">
        <v>1789</v>
      </c>
      <c r="BG321" s="117"/>
      <c r="BH321" s="155"/>
      <c r="BI321" s="216"/>
      <c r="BJ321" s="216"/>
      <c r="BK321" s="216"/>
      <c r="BL321" s="149"/>
      <c r="BM321" s="149"/>
      <c r="BN321" s="149"/>
      <c r="BO321" s="149"/>
      <c r="BP321" s="149"/>
      <c r="BQ321" s="149"/>
      <c r="BR321" s="117">
        <v>1</v>
      </c>
      <c r="BS321" s="117">
        <v>0</v>
      </c>
      <c r="BT321" s="117">
        <v>0</v>
      </c>
      <c r="BU321" s="117">
        <v>0</v>
      </c>
      <c r="BV321" s="117">
        <v>0</v>
      </c>
      <c r="BW321" s="117">
        <v>0</v>
      </c>
      <c r="BX321" s="117">
        <v>0</v>
      </c>
      <c r="BY321" s="117" t="s">
        <v>1790</v>
      </c>
      <c r="BZ321" s="158" t="s">
        <v>2156</v>
      </c>
      <c r="CA321" s="158">
        <v>4</v>
      </c>
      <c r="CB321" s="234">
        <v>46213</v>
      </c>
      <c r="CC321" s="155"/>
      <c r="CD321" s="141"/>
      <c r="CE321" s="217"/>
      <c r="CF321" s="166">
        <f t="shared" si="623"/>
        <v>-2</v>
      </c>
    </row>
    <row r="322" spans="1:84" ht="36" hidden="1">
      <c r="A322" s="117"/>
      <c r="B322" s="209" t="s">
        <v>1919</v>
      </c>
      <c r="C322" s="209" t="s">
        <v>2163</v>
      </c>
      <c r="D322" s="209" t="s">
        <v>1296</v>
      </c>
      <c r="E322" s="209" t="s">
        <v>1820</v>
      </c>
      <c r="F322" s="209" t="s">
        <v>1385</v>
      </c>
      <c r="G322" s="209" t="s">
        <v>1352</v>
      </c>
      <c r="H322" s="210">
        <v>875</v>
      </c>
      <c r="I322" s="211" t="s">
        <v>147</v>
      </c>
      <c r="J322" s="144">
        <v>1</v>
      </c>
      <c r="K322" s="145">
        <f t="shared" si="581"/>
        <v>2</v>
      </c>
      <c r="L322" s="202">
        <f t="shared" si="607"/>
        <v>2</v>
      </c>
      <c r="M322" s="212">
        <v>27.8</v>
      </c>
      <c r="N322" s="203">
        <f t="shared" si="608"/>
        <v>55.6</v>
      </c>
      <c r="O322" s="212" t="s">
        <v>137</v>
      </c>
      <c r="P322" s="212" t="s">
        <v>13</v>
      </c>
      <c r="Q322" s="212" t="s">
        <v>148</v>
      </c>
      <c r="R322" s="212"/>
      <c r="S322" s="212"/>
      <c r="T322" s="203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1</v>
      </c>
      <c r="U322" s="203">
        <f t="shared" ca="1" si="609"/>
        <v>1</v>
      </c>
      <c r="V322" s="203">
        <f t="shared" ca="1" si="610"/>
        <v>1</v>
      </c>
      <c r="W322" s="212"/>
      <c r="X322" s="212"/>
      <c r="Y322" s="212"/>
      <c r="Z322" s="212"/>
      <c r="AA322" s="212"/>
      <c r="AB322" s="212"/>
      <c r="AC322" s="214" t="s">
        <v>1923</v>
      </c>
      <c r="AD322" s="215" t="s">
        <v>1924</v>
      </c>
      <c r="AE322" s="148"/>
      <c r="AF322" s="212" t="str">
        <f t="shared" si="603"/>
        <v>N/A</v>
      </c>
      <c r="AG322" s="212">
        <f t="shared" si="603"/>
        <v>0</v>
      </c>
      <c r="AH322" s="203">
        <f t="shared" si="611"/>
        <v>0</v>
      </c>
      <c r="AI322" s="203">
        <f t="shared" ca="1" si="612"/>
        <v>0</v>
      </c>
      <c r="AJ322" s="203">
        <f t="shared" ca="1" si="613"/>
        <v>0</v>
      </c>
      <c r="AK322" s="212" t="str">
        <f t="shared" si="604"/>
        <v>AMC2-S1</v>
      </c>
      <c r="AL322" s="212">
        <f t="shared" si="604"/>
        <v>1</v>
      </c>
      <c r="AM322" s="203">
        <f t="shared" si="614"/>
        <v>1</v>
      </c>
      <c r="AN322" s="203">
        <f t="shared" ca="1" si="615"/>
        <v>1</v>
      </c>
      <c r="AO322" s="203">
        <f t="shared" ca="1" si="616"/>
        <v>0</v>
      </c>
      <c r="AP322" s="212" t="str">
        <f t="shared" si="605"/>
        <v>AMC2-S4</v>
      </c>
      <c r="AQ322" s="212">
        <f t="shared" si="605"/>
        <v>1</v>
      </c>
      <c r="AR322" s="203">
        <f t="shared" si="617"/>
        <v>1</v>
      </c>
      <c r="AS322" s="203">
        <f t="shared" ca="1" si="618"/>
        <v>0</v>
      </c>
      <c r="AT322" s="203">
        <f t="shared" ca="1" si="619"/>
        <v>1</v>
      </c>
      <c r="AU322" s="212" t="str">
        <f t="shared" si="606"/>
        <v>N/A</v>
      </c>
      <c r="AV322" s="212">
        <f t="shared" si="606"/>
        <v>0</v>
      </c>
      <c r="AW322" s="203">
        <f t="shared" si="620"/>
        <v>0</v>
      </c>
      <c r="AX322" s="203">
        <f t="shared" ca="1" si="621"/>
        <v>0</v>
      </c>
      <c r="AY322" s="203">
        <f t="shared" ca="1" si="622"/>
        <v>0</v>
      </c>
      <c r="AZ322" s="212"/>
      <c r="BA322" s="213" t="s">
        <v>1925</v>
      </c>
      <c r="BB322" s="213" t="s">
        <v>1926</v>
      </c>
      <c r="BC322" s="213" t="s">
        <v>1927</v>
      </c>
      <c r="BD322" s="213" t="s">
        <v>140</v>
      </c>
      <c r="BE322" s="148"/>
      <c r="BF322" s="212" t="s">
        <v>1789</v>
      </c>
      <c r="BG322" s="117"/>
      <c r="BH322" s="155"/>
      <c r="BI322" s="216"/>
      <c r="BJ322" s="216"/>
      <c r="BK322" s="216"/>
      <c r="BL322" s="149"/>
      <c r="BM322" s="149"/>
      <c r="BN322" s="149"/>
      <c r="BO322" s="149"/>
      <c r="BP322" s="149"/>
      <c r="BQ322" s="149"/>
      <c r="BR322" s="117">
        <v>1</v>
      </c>
      <c r="BS322" s="117">
        <v>0</v>
      </c>
      <c r="BT322" s="117">
        <v>0</v>
      </c>
      <c r="BU322" s="117">
        <v>0</v>
      </c>
      <c r="BV322" s="117">
        <v>0</v>
      </c>
      <c r="BW322" s="117">
        <v>0</v>
      </c>
      <c r="BX322" s="117">
        <v>0</v>
      </c>
      <c r="BY322" s="117" t="s">
        <v>1790</v>
      </c>
      <c r="BZ322" s="158" t="s">
        <v>2155</v>
      </c>
      <c r="CA322" s="144">
        <v>4</v>
      </c>
      <c r="CB322" s="235">
        <v>46231</v>
      </c>
      <c r="CC322" s="155"/>
      <c r="CD322" s="141"/>
      <c r="CE322" s="217"/>
      <c r="CF322" s="166">
        <f t="shared" si="623"/>
        <v>-2</v>
      </c>
    </row>
    <row r="323" spans="1:84" ht="36" hidden="1">
      <c r="A323" s="117"/>
      <c r="B323" s="209" t="s">
        <v>1919</v>
      </c>
      <c r="C323" s="209" t="s">
        <v>2163</v>
      </c>
      <c r="D323" s="209" t="s">
        <v>1296</v>
      </c>
      <c r="E323" s="209" t="s">
        <v>1808</v>
      </c>
      <c r="F323" s="209" t="s">
        <v>1386</v>
      </c>
      <c r="G323" s="209" t="s">
        <v>1354</v>
      </c>
      <c r="H323" s="210">
        <v>793</v>
      </c>
      <c r="I323" s="211" t="s">
        <v>147</v>
      </c>
      <c r="J323" s="144">
        <v>1</v>
      </c>
      <c r="K323" s="145">
        <f t="shared" si="581"/>
        <v>2</v>
      </c>
      <c r="L323" s="202">
        <f t="shared" si="607"/>
        <v>2</v>
      </c>
      <c r="M323" s="212">
        <v>22.8</v>
      </c>
      <c r="N323" s="203">
        <f t="shared" si="608"/>
        <v>45.6</v>
      </c>
      <c r="O323" s="212" t="s">
        <v>137</v>
      </c>
      <c r="P323" s="212" t="s">
        <v>13</v>
      </c>
      <c r="Q323" s="212" t="s">
        <v>148</v>
      </c>
      <c r="R323" s="212"/>
      <c r="S323" s="212"/>
      <c r="T323" s="203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1</v>
      </c>
      <c r="U323" s="203">
        <f t="shared" ca="1" si="609"/>
        <v>1</v>
      </c>
      <c r="V323" s="203">
        <f t="shared" ca="1" si="610"/>
        <v>1</v>
      </c>
      <c r="W323" s="212"/>
      <c r="X323" s="212"/>
      <c r="Y323" s="212"/>
      <c r="Z323" s="212"/>
      <c r="AA323" s="212"/>
      <c r="AB323" s="212"/>
      <c r="AC323" s="214" t="s">
        <v>1923</v>
      </c>
      <c r="AD323" s="215" t="s">
        <v>1924</v>
      </c>
      <c r="AE323" s="148"/>
      <c r="AF323" s="212" t="str">
        <f t="shared" si="603"/>
        <v>N/A</v>
      </c>
      <c r="AG323" s="212">
        <f t="shared" si="603"/>
        <v>0</v>
      </c>
      <c r="AH323" s="203">
        <f t="shared" si="611"/>
        <v>0</v>
      </c>
      <c r="AI323" s="203">
        <f t="shared" ca="1" si="612"/>
        <v>0</v>
      </c>
      <c r="AJ323" s="203">
        <f t="shared" ca="1" si="613"/>
        <v>0</v>
      </c>
      <c r="AK323" s="212" t="str">
        <f t="shared" si="604"/>
        <v>AMC2-S1</v>
      </c>
      <c r="AL323" s="212">
        <f t="shared" si="604"/>
        <v>1</v>
      </c>
      <c r="AM323" s="203">
        <f t="shared" si="614"/>
        <v>1</v>
      </c>
      <c r="AN323" s="203">
        <f t="shared" ca="1" si="615"/>
        <v>1</v>
      </c>
      <c r="AO323" s="203">
        <f t="shared" ca="1" si="616"/>
        <v>0</v>
      </c>
      <c r="AP323" s="212" t="str">
        <f t="shared" si="605"/>
        <v>AMC2-S4</v>
      </c>
      <c r="AQ323" s="212">
        <f t="shared" si="605"/>
        <v>1</v>
      </c>
      <c r="AR323" s="203">
        <f t="shared" si="617"/>
        <v>1</v>
      </c>
      <c r="AS323" s="203">
        <f t="shared" ca="1" si="618"/>
        <v>0</v>
      </c>
      <c r="AT323" s="203">
        <f t="shared" ca="1" si="619"/>
        <v>1</v>
      </c>
      <c r="AU323" s="212" t="str">
        <f t="shared" si="606"/>
        <v>N/A</v>
      </c>
      <c r="AV323" s="212">
        <f t="shared" si="606"/>
        <v>0</v>
      </c>
      <c r="AW323" s="203">
        <f t="shared" si="620"/>
        <v>0</v>
      </c>
      <c r="AX323" s="203">
        <f t="shared" ca="1" si="621"/>
        <v>0</v>
      </c>
      <c r="AY323" s="203">
        <f t="shared" ca="1" si="622"/>
        <v>0</v>
      </c>
      <c r="AZ323" s="212"/>
      <c r="BA323" s="213" t="s">
        <v>1925</v>
      </c>
      <c r="BB323" s="213" t="s">
        <v>1926</v>
      </c>
      <c r="BC323" s="213" t="s">
        <v>1927</v>
      </c>
      <c r="BD323" s="213" t="s">
        <v>140</v>
      </c>
      <c r="BE323" s="148"/>
      <c r="BF323" s="212" t="s">
        <v>1789</v>
      </c>
      <c r="BG323" s="117"/>
      <c r="BH323" s="155"/>
      <c r="BI323" s="216"/>
      <c r="BJ323" s="216"/>
      <c r="BK323" s="216"/>
      <c r="BL323" s="149"/>
      <c r="BM323" s="149"/>
      <c r="BN323" s="149"/>
      <c r="BO323" s="149"/>
      <c r="BP323" s="149"/>
      <c r="BQ323" s="149"/>
      <c r="BR323" s="117">
        <v>1</v>
      </c>
      <c r="BS323" s="117">
        <v>0</v>
      </c>
      <c r="BT323" s="117">
        <v>0</v>
      </c>
      <c r="BU323" s="117">
        <v>0</v>
      </c>
      <c r="BV323" s="117">
        <v>0</v>
      </c>
      <c r="BW323" s="117">
        <v>0</v>
      </c>
      <c r="BX323" s="117">
        <v>0</v>
      </c>
      <c r="BY323" s="117" t="s">
        <v>1790</v>
      </c>
      <c r="BZ323" s="158" t="s">
        <v>2155</v>
      </c>
      <c r="CA323" s="144">
        <v>4</v>
      </c>
      <c r="CB323" s="235">
        <v>46231</v>
      </c>
      <c r="CC323" s="155"/>
      <c r="CD323" s="141"/>
      <c r="CE323" s="217"/>
      <c r="CF323" s="166">
        <f t="shared" si="623"/>
        <v>-2</v>
      </c>
    </row>
    <row r="324" spans="1:84" ht="36" hidden="1">
      <c r="A324" s="117"/>
      <c r="B324" s="209" t="s">
        <v>1919</v>
      </c>
      <c r="C324" s="209" t="s">
        <v>2163</v>
      </c>
      <c r="D324" s="209" t="s">
        <v>1076</v>
      </c>
      <c r="E324" s="199" t="s">
        <v>1803</v>
      </c>
      <c r="F324" s="199" t="s">
        <v>1375</v>
      </c>
      <c r="G324" s="209" t="s">
        <v>1080</v>
      </c>
      <c r="H324" s="210">
        <v>737</v>
      </c>
      <c r="I324" s="211" t="s">
        <v>1077</v>
      </c>
      <c r="J324" s="144">
        <v>5</v>
      </c>
      <c r="K324" s="145">
        <f t="shared" si="581"/>
        <v>2</v>
      </c>
      <c r="L324" s="202">
        <f t="shared" si="607"/>
        <v>10</v>
      </c>
      <c r="M324" s="212">
        <v>2.1</v>
      </c>
      <c r="N324" s="203">
        <f t="shared" si="608"/>
        <v>21</v>
      </c>
      <c r="O324" s="212" t="s">
        <v>137</v>
      </c>
      <c r="P324" s="212" t="s">
        <v>11</v>
      </c>
      <c r="Q324" s="212" t="s">
        <v>154</v>
      </c>
      <c r="R324" s="212"/>
      <c r="S324" s="212"/>
      <c r="T324" s="203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5</v>
      </c>
      <c r="U324" s="203">
        <f t="shared" ca="1" si="609"/>
        <v>5</v>
      </c>
      <c r="V324" s="203">
        <f t="shared" ca="1" si="610"/>
        <v>1</v>
      </c>
      <c r="W324" s="212"/>
      <c r="X324" s="212"/>
      <c r="Y324" s="212"/>
      <c r="Z324" s="212"/>
      <c r="AA324" s="212"/>
      <c r="AB324" s="212"/>
      <c r="AC324" s="214" t="s">
        <v>1923</v>
      </c>
      <c r="AD324" s="215" t="s">
        <v>1924</v>
      </c>
      <c r="AE324" s="148"/>
      <c r="AF324" s="212" t="str">
        <f t="shared" si="603"/>
        <v>N/A</v>
      </c>
      <c r="AG324" s="212">
        <f t="shared" si="603"/>
        <v>0</v>
      </c>
      <c r="AH324" s="203">
        <f t="shared" si="611"/>
        <v>0</v>
      </c>
      <c r="AI324" s="203">
        <f t="shared" ca="1" si="612"/>
        <v>0</v>
      </c>
      <c r="AJ324" s="203">
        <f t="shared" ca="1" si="613"/>
        <v>0</v>
      </c>
      <c r="AK324" s="212" t="str">
        <f t="shared" si="604"/>
        <v>AMC2-S1</v>
      </c>
      <c r="AL324" s="212">
        <f t="shared" si="604"/>
        <v>1</v>
      </c>
      <c r="AM324" s="203">
        <f t="shared" si="614"/>
        <v>5</v>
      </c>
      <c r="AN324" s="203">
        <f t="shared" ca="1" si="615"/>
        <v>1</v>
      </c>
      <c r="AO324" s="203">
        <f t="shared" ca="1" si="616"/>
        <v>4</v>
      </c>
      <c r="AP324" s="212" t="str">
        <f t="shared" si="605"/>
        <v>AMC2-S4</v>
      </c>
      <c r="AQ324" s="212">
        <f t="shared" si="605"/>
        <v>1</v>
      </c>
      <c r="AR324" s="203">
        <f t="shared" si="617"/>
        <v>5</v>
      </c>
      <c r="AS324" s="203">
        <f t="shared" ca="1" si="618"/>
        <v>4</v>
      </c>
      <c r="AT324" s="203">
        <f t="shared" ca="1" si="619"/>
        <v>1</v>
      </c>
      <c r="AU324" s="212" t="str">
        <f t="shared" si="606"/>
        <v>N/A</v>
      </c>
      <c r="AV324" s="212">
        <f t="shared" si="606"/>
        <v>0</v>
      </c>
      <c r="AW324" s="203">
        <f t="shared" si="620"/>
        <v>0</v>
      </c>
      <c r="AX324" s="203">
        <f t="shared" ca="1" si="621"/>
        <v>0</v>
      </c>
      <c r="AY324" s="203">
        <f t="shared" ca="1" si="622"/>
        <v>0</v>
      </c>
      <c r="AZ324" s="212"/>
      <c r="BA324" s="213" t="s">
        <v>1925</v>
      </c>
      <c r="BB324" s="213" t="s">
        <v>1926</v>
      </c>
      <c r="BC324" s="213" t="s">
        <v>1927</v>
      </c>
      <c r="BD324" s="213" t="s">
        <v>140</v>
      </c>
      <c r="BE324" s="148"/>
      <c r="BF324" s="212" t="s">
        <v>1789</v>
      </c>
      <c r="BG324" s="117"/>
      <c r="BH324" s="141" t="s">
        <v>1933</v>
      </c>
      <c r="BI324" s="216"/>
      <c r="BJ324" s="216"/>
      <c r="BK324" s="216"/>
      <c r="BL324" s="149"/>
      <c r="BM324" s="149"/>
      <c r="BN324" s="149"/>
      <c r="BO324" s="149"/>
      <c r="BP324" s="149"/>
      <c r="BQ324" s="149"/>
      <c r="BR324" s="117">
        <v>0</v>
      </c>
      <c r="BS324" s="117">
        <v>1</v>
      </c>
      <c r="BT324" s="117">
        <v>0</v>
      </c>
      <c r="BU324" s="117">
        <v>0</v>
      </c>
      <c r="BV324" s="117">
        <v>0</v>
      </c>
      <c r="BW324" s="117">
        <v>0</v>
      </c>
      <c r="BX324" s="117">
        <v>0</v>
      </c>
      <c r="BY324" s="117" t="s">
        <v>1790</v>
      </c>
      <c r="BZ324" s="158" t="s">
        <v>2162</v>
      </c>
      <c r="CA324" s="158">
        <v>20</v>
      </c>
      <c r="CB324" s="235">
        <v>46231</v>
      </c>
      <c r="CC324" s="155"/>
      <c r="CD324" s="155"/>
      <c r="CE324" s="217"/>
      <c r="CF324" s="166">
        <f t="shared" si="623"/>
        <v>-10</v>
      </c>
    </row>
    <row r="325" spans="1:84" ht="36" hidden="1">
      <c r="A325" s="141"/>
      <c r="B325" s="199" t="s">
        <v>1919</v>
      </c>
      <c r="C325" s="199" t="s">
        <v>2163</v>
      </c>
      <c r="D325" s="199" t="s">
        <v>1129</v>
      </c>
      <c r="E325" s="199" t="s">
        <v>1823</v>
      </c>
      <c r="F325" s="199" t="s">
        <v>1376</v>
      </c>
      <c r="G325" s="199" t="s">
        <v>1128</v>
      </c>
      <c r="H325" s="200">
        <v>48</v>
      </c>
      <c r="I325" s="201" t="s">
        <v>147</v>
      </c>
      <c r="J325" s="165">
        <v>1</v>
      </c>
      <c r="K325" s="202">
        <f t="shared" si="581"/>
        <v>2</v>
      </c>
      <c r="L325" s="202">
        <f t="shared" si="607"/>
        <v>2</v>
      </c>
      <c r="M325" s="203">
        <v>0.32</v>
      </c>
      <c r="N325" s="203">
        <f t="shared" si="608"/>
        <v>0.64</v>
      </c>
      <c r="O325" s="203" t="s">
        <v>137</v>
      </c>
      <c r="P325" s="203" t="s">
        <v>11</v>
      </c>
      <c r="Q325" s="203" t="s">
        <v>154</v>
      </c>
      <c r="R325" s="203"/>
      <c r="S325" s="203"/>
      <c r="T325" s="203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0</v>
      </c>
      <c r="U325" s="203">
        <f t="shared" ca="1" si="609"/>
        <v>2</v>
      </c>
      <c r="V325" s="203">
        <f t="shared" ca="1" si="610"/>
        <v>0</v>
      </c>
      <c r="W325" s="203"/>
      <c r="X325" s="203"/>
      <c r="Y325" s="203"/>
      <c r="Z325" s="203"/>
      <c r="AA325" s="203"/>
      <c r="AB325" s="203"/>
      <c r="AC325" s="231" t="s">
        <v>1923</v>
      </c>
      <c r="AD325" s="225" t="s">
        <v>1924</v>
      </c>
      <c r="AE325" s="166"/>
      <c r="AF325" s="203" t="str">
        <f t="shared" si="603"/>
        <v>N/A</v>
      </c>
      <c r="AG325" s="203">
        <f t="shared" si="603"/>
        <v>0</v>
      </c>
      <c r="AH325" s="203">
        <f t="shared" si="611"/>
        <v>0</v>
      </c>
      <c r="AI325" s="203">
        <f t="shared" ca="1" si="612"/>
        <v>0</v>
      </c>
      <c r="AJ325" s="203">
        <f t="shared" ca="1" si="613"/>
        <v>0</v>
      </c>
      <c r="AK325" s="203" t="str">
        <f t="shared" si="604"/>
        <v>AMC2-S1</v>
      </c>
      <c r="AL325" s="203">
        <f t="shared" si="604"/>
        <v>1</v>
      </c>
      <c r="AM325" s="203">
        <f t="shared" si="614"/>
        <v>1</v>
      </c>
      <c r="AN325" s="203">
        <f t="shared" ca="1" si="615"/>
        <v>0</v>
      </c>
      <c r="AO325" s="203">
        <f t="shared" ca="1" si="616"/>
        <v>1</v>
      </c>
      <c r="AP325" s="203" t="str">
        <f t="shared" si="605"/>
        <v>AMC2-S4</v>
      </c>
      <c r="AQ325" s="203">
        <f t="shared" si="605"/>
        <v>1</v>
      </c>
      <c r="AR325" s="203">
        <f t="shared" si="617"/>
        <v>1</v>
      </c>
      <c r="AS325" s="203">
        <f t="shared" ca="1" si="618"/>
        <v>0</v>
      </c>
      <c r="AT325" s="203">
        <f t="shared" ca="1" si="619"/>
        <v>1</v>
      </c>
      <c r="AU325" s="203" t="str">
        <f t="shared" si="606"/>
        <v>N/A</v>
      </c>
      <c r="AV325" s="203">
        <f t="shared" si="606"/>
        <v>0</v>
      </c>
      <c r="AW325" s="203">
        <f t="shared" si="620"/>
        <v>0</v>
      </c>
      <c r="AX325" s="203">
        <f t="shared" ca="1" si="621"/>
        <v>0</v>
      </c>
      <c r="AY325" s="203">
        <f t="shared" ca="1" si="622"/>
        <v>0</v>
      </c>
      <c r="AZ325" s="203"/>
      <c r="BA325" s="204" t="s">
        <v>1925</v>
      </c>
      <c r="BB325" s="204" t="s">
        <v>1926</v>
      </c>
      <c r="BC325" s="204" t="s">
        <v>1927</v>
      </c>
      <c r="BD325" s="204" t="s">
        <v>140</v>
      </c>
      <c r="BE325" s="166"/>
      <c r="BF325" s="212" t="s">
        <v>1789</v>
      </c>
      <c r="BG325" s="141"/>
      <c r="BH325" s="152"/>
      <c r="BI325" s="207"/>
      <c r="BJ325" s="207"/>
      <c r="BK325" s="153" t="s">
        <v>1824</v>
      </c>
      <c r="BL325" s="153"/>
      <c r="BM325" s="153"/>
      <c r="BN325" s="153"/>
      <c r="BO325" s="153"/>
      <c r="BP325" s="153"/>
      <c r="BQ325" s="153"/>
      <c r="BR325" s="141">
        <v>0</v>
      </c>
      <c r="BS325" s="141">
        <v>0</v>
      </c>
      <c r="BT325" s="141">
        <v>0</v>
      </c>
      <c r="BU325" s="141">
        <v>0</v>
      </c>
      <c r="BV325" s="141">
        <v>1</v>
      </c>
      <c r="BW325" s="141">
        <v>0</v>
      </c>
      <c r="BX325" s="141">
        <v>0</v>
      </c>
      <c r="BY325" s="141" t="s">
        <v>1790</v>
      </c>
      <c r="BZ325" s="167" t="s">
        <v>2168</v>
      </c>
      <c r="CA325" s="167">
        <v>4</v>
      </c>
      <c r="CB325" s="235">
        <v>46231</v>
      </c>
      <c r="CC325" s="141"/>
      <c r="CD325" s="152"/>
      <c r="CE325" s="208"/>
      <c r="CF325" s="166">
        <f t="shared" si="623"/>
        <v>-2</v>
      </c>
    </row>
    <row r="326" spans="1:84" ht="36" hidden="1">
      <c r="A326" s="186"/>
      <c r="B326" s="187" t="s">
        <v>1919</v>
      </c>
      <c r="C326" s="187" t="s">
        <v>2169</v>
      </c>
      <c r="D326" s="187"/>
      <c r="E326" s="187"/>
      <c r="F326" s="187"/>
      <c r="G326" s="187" t="s">
        <v>1937</v>
      </c>
      <c r="H326" s="188"/>
      <c r="I326" s="189"/>
      <c r="J326" s="190"/>
      <c r="K326" s="191">
        <f t="shared" si="581"/>
        <v>2</v>
      </c>
      <c r="L326" s="190"/>
      <c r="M326" s="192">
        <v>2092.3000000000002</v>
      </c>
      <c r="N326" s="192">
        <v>8369.2000000000007</v>
      </c>
      <c r="O326" s="192" t="s">
        <v>137</v>
      </c>
      <c r="P326" s="192"/>
      <c r="Q326" s="192"/>
      <c r="R326" s="192"/>
      <c r="S326" s="192"/>
      <c r="T326" s="192"/>
      <c r="U326" s="192"/>
      <c r="V326" s="192"/>
      <c r="W326" s="192">
        <f ca="1">_xlfn.MINIFS(V:V,C:C,C326,AE:AE,"",AB:AB,"")</f>
        <v>1</v>
      </c>
      <c r="X326" s="192">
        <f ca="1">SUMIFS(T:T,C:C,C326,AE:AE,"")/SUMIFS(L:L,C:C,C326,AE:AE,"",AB:AB,"")</f>
        <v>0.93333333333333335</v>
      </c>
      <c r="Y326" s="192"/>
      <c r="Z326" s="192"/>
      <c r="AA326" s="192"/>
      <c r="AB326" s="192"/>
      <c r="AC326" s="194" t="s">
        <v>1923</v>
      </c>
      <c r="AD326" s="195" t="s">
        <v>1924</v>
      </c>
      <c r="AE326" s="196" t="s">
        <v>1787</v>
      </c>
      <c r="AF326" s="192" t="str">
        <f t="shared" si="603"/>
        <v>N/A</v>
      </c>
      <c r="AG326" s="192">
        <f t="shared" si="603"/>
        <v>0</v>
      </c>
      <c r="AH326" s="192"/>
      <c r="AI326" s="192"/>
      <c r="AJ326" s="192"/>
      <c r="AK326" s="192" t="str">
        <f t="shared" si="604"/>
        <v>AMC2-S1</v>
      </c>
      <c r="AL326" s="192">
        <f t="shared" si="604"/>
        <v>1</v>
      </c>
      <c r="AM326" s="192"/>
      <c r="AN326" s="192"/>
      <c r="AO326" s="192"/>
      <c r="AP326" s="192" t="str">
        <f t="shared" si="605"/>
        <v>AMC2-S4</v>
      </c>
      <c r="AQ326" s="192">
        <f t="shared" si="605"/>
        <v>1</v>
      </c>
      <c r="AR326" s="192"/>
      <c r="AS326" s="192"/>
      <c r="AT326" s="192"/>
      <c r="AU326" s="192" t="str">
        <f t="shared" si="606"/>
        <v>N/A</v>
      </c>
      <c r="AV326" s="192">
        <f t="shared" si="606"/>
        <v>0</v>
      </c>
      <c r="AW326" s="192"/>
      <c r="AX326" s="192"/>
      <c r="AY326" s="192"/>
      <c r="AZ326" s="192"/>
      <c r="BA326" s="193" t="s">
        <v>1925</v>
      </c>
      <c r="BB326" s="193" t="s">
        <v>1926</v>
      </c>
      <c r="BC326" s="193" t="s">
        <v>1927</v>
      </c>
      <c r="BD326" s="193" t="s">
        <v>140</v>
      </c>
      <c r="BE326" s="196" t="s">
        <v>741</v>
      </c>
      <c r="BF326" s="192"/>
      <c r="BG326" s="186"/>
      <c r="BH326" s="186"/>
      <c r="BI326" s="197"/>
      <c r="BJ326" s="197"/>
      <c r="BK326" s="197"/>
      <c r="BL326" s="197"/>
      <c r="BM326" s="197"/>
      <c r="BN326" s="197"/>
      <c r="BO326" s="197"/>
      <c r="BP326" s="197"/>
      <c r="BQ326" s="197"/>
      <c r="BR326" s="186"/>
      <c r="BS326" s="186"/>
      <c r="BT326" s="186"/>
      <c r="BU326" s="186"/>
      <c r="BV326" s="186"/>
      <c r="BW326" s="186"/>
      <c r="BX326" s="186"/>
      <c r="BY326" s="186"/>
      <c r="BZ326" s="186"/>
      <c r="CA326" s="186"/>
      <c r="CB326" s="197"/>
      <c r="CC326" s="186"/>
      <c r="CD326" s="186"/>
      <c r="CE326" s="198"/>
      <c r="CF326" s="198"/>
    </row>
    <row r="327" spans="1:84" ht="36" hidden="1">
      <c r="A327" s="117"/>
      <c r="B327" s="209" t="s">
        <v>1919</v>
      </c>
      <c r="C327" s="209" t="s">
        <v>2169</v>
      </c>
      <c r="D327" s="209" t="s">
        <v>1084</v>
      </c>
      <c r="E327" s="209" t="s">
        <v>1811</v>
      </c>
      <c r="F327" s="209" t="s">
        <v>1372</v>
      </c>
      <c r="G327" s="209" t="s">
        <v>1293</v>
      </c>
      <c r="H327" s="210">
        <v>8216</v>
      </c>
      <c r="I327" s="211" t="s">
        <v>147</v>
      </c>
      <c r="J327" s="144">
        <v>1</v>
      </c>
      <c r="K327" s="145">
        <f t="shared" si="581"/>
        <v>2</v>
      </c>
      <c r="L327" s="202">
        <f t="shared" ref="L327:L331" si="624">+J327*K327</f>
        <v>2</v>
      </c>
      <c r="M327" s="212">
        <v>1830.9</v>
      </c>
      <c r="N327" s="203">
        <f t="shared" ref="N327:N331" si="625">+M327*L327</f>
        <v>3661.8</v>
      </c>
      <c r="O327" s="212" t="s">
        <v>137</v>
      </c>
      <c r="P327" s="212" t="s">
        <v>13</v>
      </c>
      <c r="Q327" s="212" t="s">
        <v>154</v>
      </c>
      <c r="R327" s="212"/>
      <c r="S327" s="212"/>
      <c r="T327" s="203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2</v>
      </c>
      <c r="U327" s="203">
        <f t="shared" ref="U327:U331" ca="1" si="626">+L327-T327</f>
        <v>0</v>
      </c>
      <c r="V327" s="203">
        <f t="shared" ref="V327:V331" ca="1" si="627">ROUNDDOWN(T327/J327,0)</f>
        <v>2</v>
      </c>
      <c r="W327" s="212"/>
      <c r="X327" s="212"/>
      <c r="Y327" s="212"/>
      <c r="Z327" s="212"/>
      <c r="AA327" s="212"/>
      <c r="AB327" s="212"/>
      <c r="AC327" s="214" t="s">
        <v>1923</v>
      </c>
      <c r="AD327" s="215" t="s">
        <v>1924</v>
      </c>
      <c r="AE327" s="148"/>
      <c r="AF327" s="212" t="str">
        <f t="shared" si="603"/>
        <v>N/A</v>
      </c>
      <c r="AG327" s="212">
        <f t="shared" si="603"/>
        <v>0</v>
      </c>
      <c r="AH327" s="203">
        <f t="shared" ref="AH327:AH331" si="628">+AG327*J327</f>
        <v>0</v>
      </c>
      <c r="AI327" s="203">
        <f t="shared" ref="AI327:AI331" ca="1" si="629">MIN(T327,AH327)</f>
        <v>0</v>
      </c>
      <c r="AJ327" s="203">
        <f t="shared" ref="AJ327:AJ331" ca="1" si="630">+AH327-AI327</f>
        <v>0</v>
      </c>
      <c r="AK327" s="212" t="str">
        <f t="shared" si="604"/>
        <v>AMC2-S1</v>
      </c>
      <c r="AL327" s="212">
        <f t="shared" si="604"/>
        <v>1</v>
      </c>
      <c r="AM327" s="203">
        <f t="shared" ref="AM327:AM331" si="631">+AL327*J327</f>
        <v>1</v>
      </c>
      <c r="AN327" s="203">
        <f t="shared" ref="AN327:AN331" ca="1" si="632">MIN(T327-AI327,AL327)</f>
        <v>1</v>
      </c>
      <c r="AO327" s="203">
        <f t="shared" ref="AO327:AO331" ca="1" si="633">+AM327-AN327</f>
        <v>0</v>
      </c>
      <c r="AP327" s="212" t="str">
        <f t="shared" si="605"/>
        <v>AMC2-S4</v>
      </c>
      <c r="AQ327" s="212">
        <f t="shared" si="605"/>
        <v>1</v>
      </c>
      <c r="AR327" s="203">
        <f t="shared" ref="AR327:AR331" si="634">+AQ327*J327</f>
        <v>1</v>
      </c>
      <c r="AS327" s="203">
        <f t="shared" ref="AS327:AS331" ca="1" si="635">MIN(T327-AI327-AN327,AR327)</f>
        <v>1</v>
      </c>
      <c r="AT327" s="203">
        <f t="shared" ref="AT327:AT331" ca="1" si="636">+AR327-AS327</f>
        <v>0</v>
      </c>
      <c r="AU327" s="212" t="str">
        <f t="shared" si="606"/>
        <v>N/A</v>
      </c>
      <c r="AV327" s="212">
        <f t="shared" si="606"/>
        <v>0</v>
      </c>
      <c r="AW327" s="203">
        <f t="shared" ref="AW327:AW331" si="637">+AV327*J327</f>
        <v>0</v>
      </c>
      <c r="AX327" s="203">
        <f t="shared" ref="AX327:AX331" ca="1" si="638">MIN(T327-AI327-AN327-AS327,AW327)</f>
        <v>0</v>
      </c>
      <c r="AY327" s="203">
        <f t="shared" ref="AY327:AY331" ca="1" si="639">+AW327-AX327</f>
        <v>0</v>
      </c>
      <c r="AZ327" s="212"/>
      <c r="BA327" s="213" t="s">
        <v>1925</v>
      </c>
      <c r="BB327" s="213" t="s">
        <v>1926</v>
      </c>
      <c r="BC327" s="213" t="s">
        <v>1927</v>
      </c>
      <c r="BD327" s="213" t="s">
        <v>140</v>
      </c>
      <c r="BE327" s="148"/>
      <c r="BF327" s="212" t="s">
        <v>1789</v>
      </c>
      <c r="BG327" s="117"/>
      <c r="BH327" s="155"/>
      <c r="BI327" s="216"/>
      <c r="BJ327" s="216"/>
      <c r="BK327" s="216"/>
      <c r="BL327" s="149"/>
      <c r="BM327" s="149"/>
      <c r="BN327" s="149"/>
      <c r="BO327" s="149"/>
      <c r="BP327" s="149"/>
      <c r="BQ327" s="149"/>
      <c r="BR327" s="117">
        <v>0</v>
      </c>
      <c r="BS327" s="117">
        <v>1</v>
      </c>
      <c r="BT327" s="117">
        <v>0</v>
      </c>
      <c r="BU327" s="117">
        <v>1</v>
      </c>
      <c r="BV327" s="117">
        <v>0</v>
      </c>
      <c r="BW327" s="117">
        <v>0</v>
      </c>
      <c r="BX327" s="117">
        <v>0</v>
      </c>
      <c r="BY327" s="117" t="s">
        <v>1790</v>
      </c>
      <c r="BZ327" s="158" t="s">
        <v>57</v>
      </c>
      <c r="CA327" s="158">
        <v>4</v>
      </c>
      <c r="CB327" s="234"/>
      <c r="CC327" s="155"/>
      <c r="CD327" s="155"/>
      <c r="CE327" s="217"/>
      <c r="CF327" s="166">
        <f>+L327-CA327</f>
        <v>-2</v>
      </c>
    </row>
    <row r="328" spans="1:84" ht="36" hidden="1">
      <c r="A328" s="117"/>
      <c r="B328" s="209" t="s">
        <v>1919</v>
      </c>
      <c r="C328" s="209" t="s">
        <v>2169</v>
      </c>
      <c r="D328" s="209" t="s">
        <v>1296</v>
      </c>
      <c r="E328" s="209" t="s">
        <v>1816</v>
      </c>
      <c r="F328" s="209" t="s">
        <v>1371</v>
      </c>
      <c r="G328" s="219" t="s">
        <v>1335</v>
      </c>
      <c r="H328" s="210">
        <v>2365</v>
      </c>
      <c r="I328" s="211" t="s">
        <v>147</v>
      </c>
      <c r="J328" s="144">
        <v>4</v>
      </c>
      <c r="K328" s="145">
        <f t="shared" si="581"/>
        <v>2</v>
      </c>
      <c r="L328" s="202">
        <f t="shared" si="624"/>
        <v>8</v>
      </c>
      <c r="M328" s="223">
        <v>62.7</v>
      </c>
      <c r="N328" s="203">
        <f t="shared" si="625"/>
        <v>501.6</v>
      </c>
      <c r="O328" s="223" t="s">
        <v>137</v>
      </c>
      <c r="P328" s="223" t="s">
        <v>13</v>
      </c>
      <c r="Q328" s="223" t="s">
        <v>148</v>
      </c>
      <c r="R328" s="223"/>
      <c r="S328" s="223"/>
      <c r="T328" s="203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8</v>
      </c>
      <c r="U328" s="203">
        <f t="shared" ca="1" si="626"/>
        <v>0</v>
      </c>
      <c r="V328" s="203">
        <f t="shared" ca="1" si="627"/>
        <v>2</v>
      </c>
      <c r="W328" s="223"/>
      <c r="X328" s="223"/>
      <c r="Y328" s="223"/>
      <c r="Z328" s="223"/>
      <c r="AA328" s="223"/>
      <c r="AB328" s="223"/>
      <c r="AC328" s="214" t="s">
        <v>1923</v>
      </c>
      <c r="AD328" s="215" t="s">
        <v>1924</v>
      </c>
      <c r="AE328" s="148"/>
      <c r="AF328" s="223" t="str">
        <f t="shared" ref="AF328:AG337" si="640">AF327</f>
        <v>N/A</v>
      </c>
      <c r="AG328" s="223">
        <f t="shared" si="640"/>
        <v>0</v>
      </c>
      <c r="AH328" s="203">
        <f t="shared" si="628"/>
        <v>0</v>
      </c>
      <c r="AI328" s="203">
        <f t="shared" ca="1" si="629"/>
        <v>0</v>
      </c>
      <c r="AJ328" s="203">
        <f t="shared" ca="1" si="630"/>
        <v>0</v>
      </c>
      <c r="AK328" s="223" t="str">
        <f t="shared" ref="AK328:AL337" si="641">AK327</f>
        <v>AMC2-S1</v>
      </c>
      <c r="AL328" s="223">
        <f t="shared" si="641"/>
        <v>1</v>
      </c>
      <c r="AM328" s="203">
        <f t="shared" si="631"/>
        <v>4</v>
      </c>
      <c r="AN328" s="203">
        <f t="shared" ca="1" si="632"/>
        <v>1</v>
      </c>
      <c r="AO328" s="203">
        <f t="shared" ca="1" si="633"/>
        <v>3</v>
      </c>
      <c r="AP328" s="223" t="str">
        <f t="shared" ref="AP328:AQ337" si="642">AP327</f>
        <v>AMC2-S4</v>
      </c>
      <c r="AQ328" s="223">
        <f t="shared" si="642"/>
        <v>1</v>
      </c>
      <c r="AR328" s="203">
        <f t="shared" si="634"/>
        <v>4</v>
      </c>
      <c r="AS328" s="203">
        <f t="shared" ca="1" si="635"/>
        <v>4</v>
      </c>
      <c r="AT328" s="203">
        <f t="shared" ca="1" si="636"/>
        <v>0</v>
      </c>
      <c r="AU328" s="223" t="str">
        <f t="shared" ref="AU328:AV337" si="643">AU327</f>
        <v>N/A</v>
      </c>
      <c r="AV328" s="223">
        <f t="shared" si="643"/>
        <v>0</v>
      </c>
      <c r="AW328" s="203">
        <f t="shared" si="637"/>
        <v>0</v>
      </c>
      <c r="AX328" s="203">
        <f t="shared" ca="1" si="638"/>
        <v>0</v>
      </c>
      <c r="AY328" s="203">
        <f t="shared" ca="1" si="639"/>
        <v>0</v>
      </c>
      <c r="AZ328" s="212"/>
      <c r="BA328" s="213" t="s">
        <v>1925</v>
      </c>
      <c r="BB328" s="213" t="s">
        <v>1926</v>
      </c>
      <c r="BC328" s="213" t="s">
        <v>1927</v>
      </c>
      <c r="BD328" s="213" t="s">
        <v>140</v>
      </c>
      <c r="BE328" s="148"/>
      <c r="BF328" s="212" t="s">
        <v>1789</v>
      </c>
      <c r="BG328" s="117"/>
      <c r="BH328" s="155"/>
      <c r="BI328" s="216"/>
      <c r="BJ328" s="229" t="s">
        <v>1938</v>
      </c>
      <c r="BK328" s="229"/>
      <c r="BL328" s="149"/>
      <c r="BM328" s="149"/>
      <c r="BN328" s="149"/>
      <c r="BO328" s="149"/>
      <c r="BP328" s="149" t="s">
        <v>2165</v>
      </c>
      <c r="BQ328" s="149"/>
      <c r="BR328" s="117">
        <v>0</v>
      </c>
      <c r="BS328" s="117">
        <v>0</v>
      </c>
      <c r="BT328" s="117">
        <v>0</v>
      </c>
      <c r="BU328" s="117">
        <v>1</v>
      </c>
      <c r="BV328" s="117">
        <v>0</v>
      </c>
      <c r="BW328" s="117">
        <v>0</v>
      </c>
      <c r="BX328" s="117">
        <v>0</v>
      </c>
      <c r="BY328" s="117" t="s">
        <v>1790</v>
      </c>
      <c r="BZ328" s="167" t="s">
        <v>2166</v>
      </c>
      <c r="CA328" s="144">
        <v>16</v>
      </c>
      <c r="CB328" s="235">
        <v>46252</v>
      </c>
      <c r="CC328" s="155"/>
      <c r="CD328" s="117"/>
      <c r="CE328" s="217"/>
      <c r="CF328" s="166">
        <f>+L328-CA328</f>
        <v>-8</v>
      </c>
    </row>
    <row r="329" spans="1:84" ht="36" hidden="1">
      <c r="A329" s="117"/>
      <c r="B329" s="209" t="s">
        <v>1919</v>
      </c>
      <c r="C329" s="209" t="s">
        <v>2169</v>
      </c>
      <c r="D329" s="209" t="s">
        <v>1296</v>
      </c>
      <c r="E329" s="209" t="s">
        <v>1821</v>
      </c>
      <c r="F329" s="209" t="s">
        <v>1373</v>
      </c>
      <c r="G329" s="209" t="s">
        <v>1125</v>
      </c>
      <c r="H329" s="210">
        <v>200</v>
      </c>
      <c r="I329" s="211" t="s">
        <v>147</v>
      </c>
      <c r="J329" s="144">
        <v>2</v>
      </c>
      <c r="K329" s="145">
        <f t="shared" si="581"/>
        <v>2</v>
      </c>
      <c r="L329" s="202">
        <f t="shared" si="624"/>
        <v>4</v>
      </c>
      <c r="M329" s="212">
        <v>5.5</v>
      </c>
      <c r="N329" s="203">
        <f t="shared" si="625"/>
        <v>22</v>
      </c>
      <c r="O329" s="212" t="s">
        <v>137</v>
      </c>
      <c r="P329" s="212" t="s">
        <v>13</v>
      </c>
      <c r="Q329" s="212" t="s">
        <v>148</v>
      </c>
      <c r="R329" s="212"/>
      <c r="S329" s="212"/>
      <c r="T329" s="203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4</v>
      </c>
      <c r="U329" s="203">
        <f t="shared" ca="1" si="626"/>
        <v>0</v>
      </c>
      <c r="V329" s="203">
        <f t="shared" ca="1" si="627"/>
        <v>2</v>
      </c>
      <c r="W329" s="212"/>
      <c r="X329" s="212"/>
      <c r="Y329" s="212"/>
      <c r="Z329" s="212"/>
      <c r="AA329" s="212"/>
      <c r="AB329" s="212"/>
      <c r="AC329" s="214" t="s">
        <v>1923</v>
      </c>
      <c r="AD329" s="215" t="s">
        <v>1924</v>
      </c>
      <c r="AE329" s="148"/>
      <c r="AF329" s="212" t="str">
        <f t="shared" si="640"/>
        <v>N/A</v>
      </c>
      <c r="AG329" s="212">
        <f t="shared" si="640"/>
        <v>0</v>
      </c>
      <c r="AH329" s="203">
        <f t="shared" si="628"/>
        <v>0</v>
      </c>
      <c r="AI329" s="203">
        <f t="shared" ca="1" si="629"/>
        <v>0</v>
      </c>
      <c r="AJ329" s="203">
        <f t="shared" ca="1" si="630"/>
        <v>0</v>
      </c>
      <c r="AK329" s="212" t="str">
        <f t="shared" si="641"/>
        <v>AMC2-S1</v>
      </c>
      <c r="AL329" s="212">
        <f t="shared" si="641"/>
        <v>1</v>
      </c>
      <c r="AM329" s="203">
        <f t="shared" si="631"/>
        <v>2</v>
      </c>
      <c r="AN329" s="203">
        <f t="shared" ca="1" si="632"/>
        <v>1</v>
      </c>
      <c r="AO329" s="203">
        <f t="shared" ca="1" si="633"/>
        <v>1</v>
      </c>
      <c r="AP329" s="212" t="str">
        <f t="shared" si="642"/>
        <v>AMC2-S4</v>
      </c>
      <c r="AQ329" s="212">
        <f t="shared" si="642"/>
        <v>1</v>
      </c>
      <c r="AR329" s="203">
        <f t="shared" si="634"/>
        <v>2</v>
      </c>
      <c r="AS329" s="203">
        <f t="shared" ca="1" si="635"/>
        <v>2</v>
      </c>
      <c r="AT329" s="203">
        <f t="shared" ca="1" si="636"/>
        <v>0</v>
      </c>
      <c r="AU329" s="212" t="str">
        <f t="shared" si="643"/>
        <v>N/A</v>
      </c>
      <c r="AV329" s="212">
        <f t="shared" si="643"/>
        <v>0</v>
      </c>
      <c r="AW329" s="203">
        <f t="shared" si="637"/>
        <v>0</v>
      </c>
      <c r="AX329" s="203">
        <f t="shared" ca="1" si="638"/>
        <v>0</v>
      </c>
      <c r="AY329" s="203">
        <f t="shared" ca="1" si="639"/>
        <v>0</v>
      </c>
      <c r="AZ329" s="212"/>
      <c r="BA329" s="213" t="s">
        <v>1925</v>
      </c>
      <c r="BB329" s="213" t="s">
        <v>1926</v>
      </c>
      <c r="BC329" s="213" t="s">
        <v>1927</v>
      </c>
      <c r="BD329" s="213" t="s">
        <v>140</v>
      </c>
      <c r="BE329" s="148"/>
      <c r="BF329" s="212" t="s">
        <v>1789</v>
      </c>
      <c r="BG329" s="117"/>
      <c r="BH329" s="155"/>
      <c r="BI329" s="216"/>
      <c r="BJ329" s="216"/>
      <c r="BK329" s="216"/>
      <c r="BL329" s="149"/>
      <c r="BM329" s="149"/>
      <c r="BN329" s="149"/>
      <c r="BO329" s="149"/>
      <c r="BP329" s="149"/>
      <c r="BQ329" s="149"/>
      <c r="BR329" s="117">
        <v>1</v>
      </c>
      <c r="BS329" s="117">
        <v>0</v>
      </c>
      <c r="BT329" s="117">
        <v>0</v>
      </c>
      <c r="BU329" s="117">
        <v>0</v>
      </c>
      <c r="BV329" s="117">
        <v>0</v>
      </c>
      <c r="BW329" s="117">
        <v>0</v>
      </c>
      <c r="BX329" s="117">
        <v>0</v>
      </c>
      <c r="BY329" s="117" t="s">
        <v>1790</v>
      </c>
      <c r="BZ329" s="158" t="s">
        <v>2155</v>
      </c>
      <c r="CA329" s="144">
        <v>8</v>
      </c>
      <c r="CB329" s="235">
        <v>46231</v>
      </c>
      <c r="CC329" s="155"/>
      <c r="CD329" s="141"/>
      <c r="CE329" s="217"/>
      <c r="CF329" s="166">
        <f>+L329-CA329</f>
        <v>-4</v>
      </c>
    </row>
    <row r="330" spans="1:84" ht="36" hidden="1">
      <c r="A330" s="117"/>
      <c r="B330" s="209" t="s">
        <v>1919</v>
      </c>
      <c r="C330" s="209" t="s">
        <v>2169</v>
      </c>
      <c r="D330" s="209" t="s">
        <v>1296</v>
      </c>
      <c r="E330" s="209" t="s">
        <v>1822</v>
      </c>
      <c r="F330" s="209" t="s">
        <v>1374</v>
      </c>
      <c r="G330" s="209" t="s">
        <v>1123</v>
      </c>
      <c r="H330" s="210">
        <v>320</v>
      </c>
      <c r="I330" s="211" t="s">
        <v>147</v>
      </c>
      <c r="J330" s="144">
        <v>2</v>
      </c>
      <c r="K330" s="145">
        <f t="shared" si="581"/>
        <v>2</v>
      </c>
      <c r="L330" s="202">
        <f t="shared" si="624"/>
        <v>4</v>
      </c>
      <c r="M330" s="212">
        <v>7.6</v>
      </c>
      <c r="N330" s="203">
        <f t="shared" si="625"/>
        <v>30.4</v>
      </c>
      <c r="O330" s="212" t="s">
        <v>137</v>
      </c>
      <c r="P330" s="212" t="s">
        <v>13</v>
      </c>
      <c r="Q330" s="212" t="s">
        <v>148</v>
      </c>
      <c r="R330" s="212"/>
      <c r="S330" s="212"/>
      <c r="T330" s="203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2</v>
      </c>
      <c r="U330" s="203">
        <f t="shared" ca="1" si="626"/>
        <v>2</v>
      </c>
      <c r="V330" s="203">
        <f t="shared" ca="1" si="627"/>
        <v>1</v>
      </c>
      <c r="W330" s="212"/>
      <c r="X330" s="212"/>
      <c r="Y330" s="212"/>
      <c r="Z330" s="212"/>
      <c r="AA330" s="212"/>
      <c r="AB330" s="212"/>
      <c r="AC330" s="214" t="s">
        <v>1923</v>
      </c>
      <c r="AD330" s="215" t="s">
        <v>1924</v>
      </c>
      <c r="AE330" s="148"/>
      <c r="AF330" s="212" t="str">
        <f t="shared" si="640"/>
        <v>N/A</v>
      </c>
      <c r="AG330" s="212">
        <f t="shared" si="640"/>
        <v>0</v>
      </c>
      <c r="AH330" s="203">
        <f t="shared" si="628"/>
        <v>0</v>
      </c>
      <c r="AI330" s="203">
        <f t="shared" ca="1" si="629"/>
        <v>0</v>
      </c>
      <c r="AJ330" s="203">
        <f t="shared" ca="1" si="630"/>
        <v>0</v>
      </c>
      <c r="AK330" s="212" t="str">
        <f t="shared" si="641"/>
        <v>AMC2-S1</v>
      </c>
      <c r="AL330" s="212">
        <f t="shared" si="641"/>
        <v>1</v>
      </c>
      <c r="AM330" s="203">
        <f t="shared" si="631"/>
        <v>2</v>
      </c>
      <c r="AN330" s="203">
        <f t="shared" ca="1" si="632"/>
        <v>1</v>
      </c>
      <c r="AO330" s="203">
        <f t="shared" ca="1" si="633"/>
        <v>1</v>
      </c>
      <c r="AP330" s="212" t="str">
        <f t="shared" si="642"/>
        <v>AMC2-S4</v>
      </c>
      <c r="AQ330" s="212">
        <f t="shared" si="642"/>
        <v>1</v>
      </c>
      <c r="AR330" s="203">
        <f t="shared" si="634"/>
        <v>2</v>
      </c>
      <c r="AS330" s="203">
        <f t="shared" ca="1" si="635"/>
        <v>1</v>
      </c>
      <c r="AT330" s="203">
        <f t="shared" ca="1" si="636"/>
        <v>1</v>
      </c>
      <c r="AU330" s="212" t="str">
        <f t="shared" si="643"/>
        <v>N/A</v>
      </c>
      <c r="AV330" s="212">
        <f t="shared" si="643"/>
        <v>0</v>
      </c>
      <c r="AW330" s="203">
        <f t="shared" si="637"/>
        <v>0</v>
      </c>
      <c r="AX330" s="203">
        <f t="shared" ca="1" si="638"/>
        <v>0</v>
      </c>
      <c r="AY330" s="203">
        <f t="shared" ca="1" si="639"/>
        <v>0</v>
      </c>
      <c r="AZ330" s="212"/>
      <c r="BA330" s="213" t="s">
        <v>1925</v>
      </c>
      <c r="BB330" s="213" t="s">
        <v>1926</v>
      </c>
      <c r="BC330" s="213" t="s">
        <v>1927</v>
      </c>
      <c r="BD330" s="213" t="s">
        <v>140</v>
      </c>
      <c r="BE330" s="148"/>
      <c r="BF330" s="212" t="s">
        <v>1789</v>
      </c>
      <c r="BG330" s="117"/>
      <c r="BH330" s="155"/>
      <c r="BI330" s="216"/>
      <c r="BJ330" s="216"/>
      <c r="BK330" s="216"/>
      <c r="BL330" s="149"/>
      <c r="BM330" s="149"/>
      <c r="BN330" s="149"/>
      <c r="BO330" s="149"/>
      <c r="BP330" s="149"/>
      <c r="BQ330" s="149"/>
      <c r="BR330" s="117">
        <v>1</v>
      </c>
      <c r="BS330" s="117">
        <v>0</v>
      </c>
      <c r="BT330" s="117">
        <v>0</v>
      </c>
      <c r="BU330" s="117">
        <v>0</v>
      </c>
      <c r="BV330" s="117">
        <v>0</v>
      </c>
      <c r="BW330" s="117">
        <v>0</v>
      </c>
      <c r="BX330" s="117">
        <v>0</v>
      </c>
      <c r="BY330" s="117" t="s">
        <v>1790</v>
      </c>
      <c r="BZ330" s="158" t="s">
        <v>2157</v>
      </c>
      <c r="CA330" s="144">
        <v>8</v>
      </c>
      <c r="CB330" s="234">
        <v>46242</v>
      </c>
      <c r="CC330" s="155"/>
      <c r="CD330" s="117"/>
      <c r="CE330" s="217"/>
      <c r="CF330" s="166">
        <f>+L330-CA330</f>
        <v>-4</v>
      </c>
    </row>
    <row r="331" spans="1:84" ht="36" hidden="1">
      <c r="A331" s="117"/>
      <c r="B331" s="209" t="s">
        <v>1919</v>
      </c>
      <c r="C331" s="209" t="s">
        <v>2169</v>
      </c>
      <c r="D331" s="209" t="s">
        <v>1296</v>
      </c>
      <c r="E331" s="209" t="s">
        <v>1816</v>
      </c>
      <c r="F331" s="209" t="s">
        <v>1371</v>
      </c>
      <c r="G331" s="219" t="s">
        <v>1335</v>
      </c>
      <c r="H331" s="210">
        <v>2365</v>
      </c>
      <c r="I331" s="211" t="s">
        <v>147</v>
      </c>
      <c r="J331" s="144">
        <v>1</v>
      </c>
      <c r="K331" s="145">
        <f t="shared" si="581"/>
        <v>2</v>
      </c>
      <c r="L331" s="202">
        <f t="shared" si="624"/>
        <v>2</v>
      </c>
      <c r="M331" s="223">
        <v>62.7</v>
      </c>
      <c r="N331" s="203">
        <f t="shared" si="625"/>
        <v>125.4</v>
      </c>
      <c r="O331" s="223" t="s">
        <v>137</v>
      </c>
      <c r="P331" s="223" t="s">
        <v>13</v>
      </c>
      <c r="Q331" s="223" t="s">
        <v>148</v>
      </c>
      <c r="R331" s="223"/>
      <c r="S331" s="223"/>
      <c r="T331" s="203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2</v>
      </c>
      <c r="U331" s="203">
        <f t="shared" ca="1" si="626"/>
        <v>0</v>
      </c>
      <c r="V331" s="203">
        <f t="shared" ca="1" si="627"/>
        <v>2</v>
      </c>
      <c r="W331" s="223"/>
      <c r="X331" s="223"/>
      <c r="Y331" s="223"/>
      <c r="Z331" s="223"/>
      <c r="AA331" s="223"/>
      <c r="AB331" s="223"/>
      <c r="AC331" s="232" t="s">
        <v>1923</v>
      </c>
      <c r="AD331" s="226" t="s">
        <v>1924</v>
      </c>
      <c r="AE331" s="148"/>
      <c r="AF331" s="223" t="str">
        <f t="shared" si="640"/>
        <v>N/A</v>
      </c>
      <c r="AG331" s="223">
        <f t="shared" si="640"/>
        <v>0</v>
      </c>
      <c r="AH331" s="203">
        <f t="shared" si="628"/>
        <v>0</v>
      </c>
      <c r="AI331" s="203">
        <f t="shared" ca="1" si="629"/>
        <v>0</v>
      </c>
      <c r="AJ331" s="203">
        <f t="shared" ca="1" si="630"/>
        <v>0</v>
      </c>
      <c r="AK331" s="223" t="str">
        <f t="shared" si="641"/>
        <v>AMC2-S1</v>
      </c>
      <c r="AL331" s="223">
        <f t="shared" si="641"/>
        <v>1</v>
      </c>
      <c r="AM331" s="203">
        <f t="shared" si="631"/>
        <v>1</v>
      </c>
      <c r="AN331" s="203">
        <f t="shared" ca="1" si="632"/>
        <v>1</v>
      </c>
      <c r="AO331" s="203">
        <f t="shared" ca="1" si="633"/>
        <v>0</v>
      </c>
      <c r="AP331" s="223" t="str">
        <f t="shared" si="642"/>
        <v>AMC2-S4</v>
      </c>
      <c r="AQ331" s="223">
        <f t="shared" si="642"/>
        <v>1</v>
      </c>
      <c r="AR331" s="203">
        <f t="shared" si="634"/>
        <v>1</v>
      </c>
      <c r="AS331" s="203">
        <f t="shared" ca="1" si="635"/>
        <v>1</v>
      </c>
      <c r="AT331" s="203">
        <f t="shared" ca="1" si="636"/>
        <v>0</v>
      </c>
      <c r="AU331" s="223" t="str">
        <f t="shared" si="643"/>
        <v>N/A</v>
      </c>
      <c r="AV331" s="223">
        <f t="shared" si="643"/>
        <v>0</v>
      </c>
      <c r="AW331" s="203">
        <f t="shared" si="637"/>
        <v>0</v>
      </c>
      <c r="AX331" s="203">
        <f t="shared" ca="1" si="638"/>
        <v>0</v>
      </c>
      <c r="AY331" s="203">
        <f t="shared" ca="1" si="639"/>
        <v>0</v>
      </c>
      <c r="AZ331" s="212"/>
      <c r="BA331" s="213" t="s">
        <v>1925</v>
      </c>
      <c r="BB331" s="213" t="s">
        <v>1926</v>
      </c>
      <c r="BC331" s="213" t="s">
        <v>1927</v>
      </c>
      <c r="BD331" s="213" t="s">
        <v>140</v>
      </c>
      <c r="BE331" s="148"/>
      <c r="BF331" s="212" t="s">
        <v>1789</v>
      </c>
      <c r="BG331" s="117"/>
      <c r="BH331" s="155"/>
      <c r="BI331" s="216"/>
      <c r="BJ331" s="229"/>
      <c r="BK331" s="229"/>
      <c r="BL331" s="149"/>
      <c r="BM331" s="149"/>
      <c r="BN331" s="149"/>
      <c r="BO331" s="149"/>
      <c r="BP331" s="149" t="s">
        <v>2165</v>
      </c>
      <c r="BQ331" s="149"/>
      <c r="BR331" s="117">
        <v>0</v>
      </c>
      <c r="BS331" s="117">
        <v>0</v>
      </c>
      <c r="BT331" s="117">
        <v>0</v>
      </c>
      <c r="BU331" s="117">
        <v>1</v>
      </c>
      <c r="BV331" s="117">
        <v>0</v>
      </c>
      <c r="BW331" s="117">
        <v>0</v>
      </c>
      <c r="BX331" s="117">
        <v>0</v>
      </c>
      <c r="BY331" s="117" t="s">
        <v>1790</v>
      </c>
      <c r="BZ331" s="167" t="s">
        <v>2166</v>
      </c>
      <c r="CA331" s="144">
        <v>4</v>
      </c>
      <c r="CB331" s="235">
        <v>46252</v>
      </c>
      <c r="CC331" s="155"/>
      <c r="CD331" s="117"/>
      <c r="CE331" s="217"/>
      <c r="CF331" s="166">
        <f>+L331-CA331</f>
        <v>-2</v>
      </c>
    </row>
    <row r="332" spans="1:84" ht="36" hidden="1">
      <c r="A332" s="186"/>
      <c r="B332" s="187" t="s">
        <v>1919</v>
      </c>
      <c r="C332" s="187" t="s">
        <v>2170</v>
      </c>
      <c r="D332" s="187"/>
      <c r="E332" s="187"/>
      <c r="F332" s="187"/>
      <c r="G332" s="187" t="s">
        <v>1939</v>
      </c>
      <c r="H332" s="188"/>
      <c r="I332" s="189"/>
      <c r="J332" s="190"/>
      <c r="K332" s="191">
        <f t="shared" si="581"/>
        <v>2</v>
      </c>
      <c r="L332" s="190"/>
      <c r="M332" s="192">
        <v>2100.6</v>
      </c>
      <c r="N332" s="192">
        <v>8402.4</v>
      </c>
      <c r="O332" s="192" t="s">
        <v>137</v>
      </c>
      <c r="P332" s="192"/>
      <c r="Q332" s="192"/>
      <c r="R332" s="192"/>
      <c r="S332" s="192"/>
      <c r="T332" s="192"/>
      <c r="U332" s="192"/>
      <c r="V332" s="192"/>
      <c r="W332" s="192">
        <f ca="1">_xlfn.MINIFS(V:V,C:C,C332,AE:AE,"",AB:AB,"")</f>
        <v>1</v>
      </c>
      <c r="X332" s="192">
        <f ca="1">SUMIFS(T:T,C:C,C332,AE:AE,"")/SUMIFS(L:L,C:C,C332,AE:AE,"",AB:AB,"")</f>
        <v>0.875</v>
      </c>
      <c r="Y332" s="192"/>
      <c r="Z332" s="192"/>
      <c r="AA332" s="192"/>
      <c r="AB332" s="192"/>
      <c r="AC332" s="194" t="s">
        <v>1923</v>
      </c>
      <c r="AD332" s="195" t="s">
        <v>1924</v>
      </c>
      <c r="AE332" s="196" t="s">
        <v>1787</v>
      </c>
      <c r="AF332" s="192" t="str">
        <f t="shared" si="640"/>
        <v>N/A</v>
      </c>
      <c r="AG332" s="192">
        <f t="shared" si="640"/>
        <v>0</v>
      </c>
      <c r="AH332" s="192"/>
      <c r="AI332" s="192"/>
      <c r="AJ332" s="192"/>
      <c r="AK332" s="192" t="str">
        <f t="shared" si="641"/>
        <v>AMC2-S1</v>
      </c>
      <c r="AL332" s="192">
        <f t="shared" si="641"/>
        <v>1</v>
      </c>
      <c r="AM332" s="192"/>
      <c r="AN332" s="192"/>
      <c r="AO332" s="192"/>
      <c r="AP332" s="192" t="str">
        <f t="shared" si="642"/>
        <v>AMC2-S4</v>
      </c>
      <c r="AQ332" s="192">
        <f t="shared" si="642"/>
        <v>1</v>
      </c>
      <c r="AR332" s="192"/>
      <c r="AS332" s="192"/>
      <c r="AT332" s="192"/>
      <c r="AU332" s="192" t="str">
        <f t="shared" si="643"/>
        <v>N/A</v>
      </c>
      <c r="AV332" s="192">
        <f t="shared" si="643"/>
        <v>0</v>
      </c>
      <c r="AW332" s="192"/>
      <c r="AX332" s="192"/>
      <c r="AY332" s="192"/>
      <c r="AZ332" s="192"/>
      <c r="BA332" s="193" t="s">
        <v>1925</v>
      </c>
      <c r="BB332" s="193" t="s">
        <v>1926</v>
      </c>
      <c r="BC332" s="193" t="s">
        <v>1927</v>
      </c>
      <c r="BD332" s="193" t="s">
        <v>140</v>
      </c>
      <c r="BE332" s="196" t="s">
        <v>741</v>
      </c>
      <c r="BF332" s="192"/>
      <c r="BG332" s="186"/>
      <c r="BH332" s="186"/>
      <c r="BI332" s="197"/>
      <c r="BJ332" s="197"/>
      <c r="BK332" s="197"/>
      <c r="BL332" s="197"/>
      <c r="BM332" s="197"/>
      <c r="BN332" s="197"/>
      <c r="BO332" s="197"/>
      <c r="BP332" s="197"/>
      <c r="BQ332" s="197"/>
      <c r="BR332" s="186"/>
      <c r="BS332" s="186"/>
      <c r="BT332" s="186"/>
      <c r="BU332" s="186"/>
      <c r="BV332" s="186"/>
      <c r="BW332" s="186"/>
      <c r="BX332" s="186"/>
      <c r="BY332" s="186"/>
      <c r="BZ332" s="186"/>
      <c r="CA332" s="186"/>
      <c r="CB332" s="197"/>
      <c r="CC332" s="186"/>
      <c r="CD332" s="186"/>
      <c r="CE332" s="198"/>
      <c r="CF332" s="198"/>
    </row>
    <row r="333" spans="1:84" ht="36" hidden="1">
      <c r="A333" s="117"/>
      <c r="B333" s="209" t="s">
        <v>1919</v>
      </c>
      <c r="C333" s="209" t="s">
        <v>2170</v>
      </c>
      <c r="D333" s="209" t="s">
        <v>1084</v>
      </c>
      <c r="E333" s="209" t="s">
        <v>1811</v>
      </c>
      <c r="F333" s="209" t="s">
        <v>1391</v>
      </c>
      <c r="G333" s="209" t="s">
        <v>1293</v>
      </c>
      <c r="H333" s="210">
        <v>8216</v>
      </c>
      <c r="I333" s="211" t="s">
        <v>147</v>
      </c>
      <c r="J333" s="144">
        <v>1</v>
      </c>
      <c r="K333" s="145">
        <f t="shared" si="581"/>
        <v>2</v>
      </c>
      <c r="L333" s="202">
        <f t="shared" ref="L333:L337" si="644">+J333*K333</f>
        <v>2</v>
      </c>
      <c r="M333" s="212">
        <v>1830.9</v>
      </c>
      <c r="N333" s="203">
        <f t="shared" ref="N333:N337" si="645">+M333*L333</f>
        <v>3661.8</v>
      </c>
      <c r="O333" s="212" t="s">
        <v>137</v>
      </c>
      <c r="P333" s="212" t="s">
        <v>13</v>
      </c>
      <c r="Q333" s="212" t="s">
        <v>154</v>
      </c>
      <c r="R333" s="212"/>
      <c r="S333" s="212"/>
      <c r="T333" s="203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2</v>
      </c>
      <c r="U333" s="203">
        <f t="shared" ref="U333:U337" ca="1" si="646">+L333-T333</f>
        <v>0</v>
      </c>
      <c r="V333" s="203">
        <f t="shared" ref="V333:V337" ca="1" si="647">ROUNDDOWN(T333/J333,0)</f>
        <v>2</v>
      </c>
      <c r="W333" s="212"/>
      <c r="X333" s="212"/>
      <c r="Y333" s="212"/>
      <c r="Z333" s="212"/>
      <c r="AA333" s="212"/>
      <c r="AB333" s="212"/>
      <c r="AC333" s="214" t="s">
        <v>1923</v>
      </c>
      <c r="AD333" s="215" t="s">
        <v>1924</v>
      </c>
      <c r="AE333" s="148"/>
      <c r="AF333" s="212" t="str">
        <f t="shared" si="640"/>
        <v>N/A</v>
      </c>
      <c r="AG333" s="212">
        <f t="shared" si="640"/>
        <v>0</v>
      </c>
      <c r="AH333" s="203">
        <f t="shared" ref="AH333:AH337" si="648">+AG333*J333</f>
        <v>0</v>
      </c>
      <c r="AI333" s="203">
        <f t="shared" ref="AI333:AI337" ca="1" si="649">MIN(T333,AH333)</f>
        <v>0</v>
      </c>
      <c r="AJ333" s="203">
        <f t="shared" ref="AJ333:AJ337" ca="1" si="650">+AH333-AI333</f>
        <v>0</v>
      </c>
      <c r="AK333" s="212" t="str">
        <f t="shared" si="641"/>
        <v>AMC2-S1</v>
      </c>
      <c r="AL333" s="212">
        <f t="shared" si="641"/>
        <v>1</v>
      </c>
      <c r="AM333" s="203">
        <f t="shared" ref="AM333:AM337" si="651">+AL333*J333</f>
        <v>1</v>
      </c>
      <c r="AN333" s="203">
        <f t="shared" ref="AN333:AN337" ca="1" si="652">MIN(T333-AI333,AL333)</f>
        <v>1</v>
      </c>
      <c r="AO333" s="203">
        <f t="shared" ref="AO333:AO337" ca="1" si="653">+AM333-AN333</f>
        <v>0</v>
      </c>
      <c r="AP333" s="212" t="str">
        <f t="shared" si="642"/>
        <v>AMC2-S4</v>
      </c>
      <c r="AQ333" s="212">
        <f t="shared" si="642"/>
        <v>1</v>
      </c>
      <c r="AR333" s="203">
        <f t="shared" ref="AR333:AR337" si="654">+AQ333*J333</f>
        <v>1</v>
      </c>
      <c r="AS333" s="203">
        <f t="shared" ref="AS333:AS337" ca="1" si="655">MIN(T333-AI333-AN333,AR333)</f>
        <v>1</v>
      </c>
      <c r="AT333" s="203">
        <f t="shared" ref="AT333:AT337" ca="1" si="656">+AR333-AS333</f>
        <v>0</v>
      </c>
      <c r="AU333" s="212" t="str">
        <f t="shared" si="643"/>
        <v>N/A</v>
      </c>
      <c r="AV333" s="212">
        <f t="shared" si="643"/>
        <v>0</v>
      </c>
      <c r="AW333" s="203">
        <f t="shared" ref="AW333:AW337" si="657">+AV333*J333</f>
        <v>0</v>
      </c>
      <c r="AX333" s="203">
        <f t="shared" ref="AX333:AX337" ca="1" si="658">MIN(T333-AI333-AN333-AS333,AW333)</f>
        <v>0</v>
      </c>
      <c r="AY333" s="203">
        <f t="shared" ref="AY333:AY337" ca="1" si="659">+AW333-AX333</f>
        <v>0</v>
      </c>
      <c r="AZ333" s="212"/>
      <c r="BA333" s="213" t="s">
        <v>1925</v>
      </c>
      <c r="BB333" s="213" t="s">
        <v>1926</v>
      </c>
      <c r="BC333" s="213" t="s">
        <v>1927</v>
      </c>
      <c r="BD333" s="213" t="s">
        <v>140</v>
      </c>
      <c r="BE333" s="148"/>
      <c r="BF333" s="212" t="s">
        <v>1789</v>
      </c>
      <c r="BG333" s="117"/>
      <c r="BH333" s="155"/>
      <c r="BI333" s="216"/>
      <c r="BJ333" s="216"/>
      <c r="BK333" s="216"/>
      <c r="BL333" s="149"/>
      <c r="BM333" s="149"/>
      <c r="BN333" s="149"/>
      <c r="BO333" s="149"/>
      <c r="BP333" s="149"/>
      <c r="BQ333" s="149"/>
      <c r="BR333" s="117">
        <v>0</v>
      </c>
      <c r="BS333" s="117">
        <v>1</v>
      </c>
      <c r="BT333" s="117">
        <v>0</v>
      </c>
      <c r="BU333" s="117">
        <v>1</v>
      </c>
      <c r="BV333" s="117">
        <v>0</v>
      </c>
      <c r="BW333" s="117">
        <v>0</v>
      </c>
      <c r="BX333" s="117">
        <v>0</v>
      </c>
      <c r="BY333" s="117" t="s">
        <v>1790</v>
      </c>
      <c r="BZ333" s="158" t="s">
        <v>57</v>
      </c>
      <c r="CA333" s="158">
        <v>4</v>
      </c>
      <c r="CB333" s="234"/>
      <c r="CC333" s="155"/>
      <c r="CD333" s="155"/>
      <c r="CE333" s="217"/>
      <c r="CF333" s="166">
        <f>+L333-CA333</f>
        <v>-2</v>
      </c>
    </row>
    <row r="334" spans="1:84" ht="36" hidden="1">
      <c r="A334" s="117"/>
      <c r="B334" s="209" t="s">
        <v>1919</v>
      </c>
      <c r="C334" s="209" t="s">
        <v>2170</v>
      </c>
      <c r="D334" s="209" t="s">
        <v>1296</v>
      </c>
      <c r="E334" s="209" t="s">
        <v>1805</v>
      </c>
      <c r="F334" s="209" t="s">
        <v>1388</v>
      </c>
      <c r="G334" s="209" t="s">
        <v>1316</v>
      </c>
      <c r="H334" s="210">
        <v>2308</v>
      </c>
      <c r="I334" s="211" t="s">
        <v>147</v>
      </c>
      <c r="J334" s="144">
        <v>1</v>
      </c>
      <c r="K334" s="145">
        <f t="shared" si="581"/>
        <v>2</v>
      </c>
      <c r="L334" s="202">
        <f t="shared" si="644"/>
        <v>2</v>
      </c>
      <c r="M334" s="212">
        <v>45.5</v>
      </c>
      <c r="N334" s="203">
        <f t="shared" si="645"/>
        <v>91</v>
      </c>
      <c r="O334" s="212" t="s">
        <v>137</v>
      </c>
      <c r="P334" s="212" t="s">
        <v>13</v>
      </c>
      <c r="Q334" s="212" t="s">
        <v>148</v>
      </c>
      <c r="R334" s="212"/>
      <c r="S334" s="212"/>
      <c r="T334" s="203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1</v>
      </c>
      <c r="U334" s="203">
        <f t="shared" ca="1" si="646"/>
        <v>1</v>
      </c>
      <c r="V334" s="203">
        <f t="shared" ca="1" si="647"/>
        <v>1</v>
      </c>
      <c r="W334" s="212"/>
      <c r="X334" s="212"/>
      <c r="Y334" s="212"/>
      <c r="Z334" s="212"/>
      <c r="AA334" s="212"/>
      <c r="AB334" s="212"/>
      <c r="AC334" s="214" t="s">
        <v>1923</v>
      </c>
      <c r="AD334" s="215" t="s">
        <v>1924</v>
      </c>
      <c r="AE334" s="148"/>
      <c r="AF334" s="212" t="str">
        <f t="shared" si="640"/>
        <v>N/A</v>
      </c>
      <c r="AG334" s="212">
        <f t="shared" si="640"/>
        <v>0</v>
      </c>
      <c r="AH334" s="203">
        <f t="shared" si="648"/>
        <v>0</v>
      </c>
      <c r="AI334" s="203">
        <f t="shared" ca="1" si="649"/>
        <v>0</v>
      </c>
      <c r="AJ334" s="203">
        <f t="shared" ca="1" si="650"/>
        <v>0</v>
      </c>
      <c r="AK334" s="212" t="str">
        <f t="shared" si="641"/>
        <v>AMC2-S1</v>
      </c>
      <c r="AL334" s="212">
        <f t="shared" si="641"/>
        <v>1</v>
      </c>
      <c r="AM334" s="203">
        <f t="shared" si="651"/>
        <v>1</v>
      </c>
      <c r="AN334" s="203">
        <f t="shared" ca="1" si="652"/>
        <v>1</v>
      </c>
      <c r="AO334" s="203">
        <f t="shared" ca="1" si="653"/>
        <v>0</v>
      </c>
      <c r="AP334" s="212" t="str">
        <f t="shared" si="642"/>
        <v>AMC2-S4</v>
      </c>
      <c r="AQ334" s="212">
        <f t="shared" si="642"/>
        <v>1</v>
      </c>
      <c r="AR334" s="203">
        <f t="shared" si="654"/>
        <v>1</v>
      </c>
      <c r="AS334" s="203">
        <f t="shared" ca="1" si="655"/>
        <v>0</v>
      </c>
      <c r="AT334" s="203">
        <f t="shared" ca="1" si="656"/>
        <v>1</v>
      </c>
      <c r="AU334" s="212" t="str">
        <f t="shared" si="643"/>
        <v>N/A</v>
      </c>
      <c r="AV334" s="212">
        <f t="shared" si="643"/>
        <v>0</v>
      </c>
      <c r="AW334" s="203">
        <f t="shared" si="657"/>
        <v>0</v>
      </c>
      <c r="AX334" s="203">
        <f t="shared" ca="1" si="658"/>
        <v>0</v>
      </c>
      <c r="AY334" s="203">
        <f t="shared" ca="1" si="659"/>
        <v>0</v>
      </c>
      <c r="AZ334" s="212"/>
      <c r="BA334" s="213" t="s">
        <v>1925</v>
      </c>
      <c r="BB334" s="213" t="s">
        <v>1926</v>
      </c>
      <c r="BC334" s="213" t="s">
        <v>1927</v>
      </c>
      <c r="BD334" s="213" t="s">
        <v>140</v>
      </c>
      <c r="BE334" s="148"/>
      <c r="BF334" s="212" t="s">
        <v>1789</v>
      </c>
      <c r="BG334" s="117"/>
      <c r="BH334" s="155"/>
      <c r="BI334" s="216"/>
      <c r="BJ334" s="229" t="s">
        <v>1935</v>
      </c>
      <c r="BK334" s="229"/>
      <c r="BL334" s="149"/>
      <c r="BM334" s="149"/>
      <c r="BN334" s="149"/>
      <c r="BO334" s="149"/>
      <c r="BP334" s="149"/>
      <c r="BQ334" s="149"/>
      <c r="BR334" s="117">
        <v>0</v>
      </c>
      <c r="BS334" s="117">
        <v>0</v>
      </c>
      <c r="BT334" s="117">
        <v>0</v>
      </c>
      <c r="BU334" s="117">
        <v>1</v>
      </c>
      <c r="BV334" s="117">
        <v>0</v>
      </c>
      <c r="BW334" s="117">
        <v>0</v>
      </c>
      <c r="BX334" s="117">
        <v>0</v>
      </c>
      <c r="BY334" s="117" t="s">
        <v>1790</v>
      </c>
      <c r="BZ334" s="158" t="s">
        <v>2164</v>
      </c>
      <c r="CA334" s="144">
        <v>4</v>
      </c>
      <c r="CB334" s="234">
        <v>46242</v>
      </c>
      <c r="CC334" s="155"/>
      <c r="CD334" s="117"/>
      <c r="CE334" s="217"/>
      <c r="CF334" s="166">
        <f>+L334-CA334</f>
        <v>-2</v>
      </c>
    </row>
    <row r="335" spans="1:84" ht="36" hidden="1">
      <c r="A335" s="117"/>
      <c r="B335" s="209" t="s">
        <v>1919</v>
      </c>
      <c r="C335" s="209" t="s">
        <v>2170</v>
      </c>
      <c r="D335" s="209" t="s">
        <v>1296</v>
      </c>
      <c r="E335" s="209" t="s">
        <v>1816</v>
      </c>
      <c r="F335" s="209" t="s">
        <v>1389</v>
      </c>
      <c r="G335" s="219" t="s">
        <v>1335</v>
      </c>
      <c r="H335" s="210">
        <v>2365</v>
      </c>
      <c r="I335" s="211" t="s">
        <v>147</v>
      </c>
      <c r="J335" s="144">
        <v>4</v>
      </c>
      <c r="K335" s="145">
        <f t="shared" si="581"/>
        <v>2</v>
      </c>
      <c r="L335" s="202">
        <f t="shared" si="644"/>
        <v>8</v>
      </c>
      <c r="M335" s="223">
        <v>62.7</v>
      </c>
      <c r="N335" s="203">
        <f t="shared" si="645"/>
        <v>501.6</v>
      </c>
      <c r="O335" s="223" t="s">
        <v>137</v>
      </c>
      <c r="P335" s="223" t="s">
        <v>13</v>
      </c>
      <c r="Q335" s="223" t="s">
        <v>148</v>
      </c>
      <c r="R335" s="223"/>
      <c r="S335" s="223"/>
      <c r="T335" s="203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8</v>
      </c>
      <c r="U335" s="203">
        <f t="shared" ca="1" si="646"/>
        <v>0</v>
      </c>
      <c r="V335" s="203">
        <f t="shared" ca="1" si="647"/>
        <v>2</v>
      </c>
      <c r="W335" s="223"/>
      <c r="X335" s="223"/>
      <c r="Y335" s="223"/>
      <c r="Z335" s="223"/>
      <c r="AA335" s="223"/>
      <c r="AB335" s="223"/>
      <c r="AC335" s="214" t="s">
        <v>1923</v>
      </c>
      <c r="AD335" s="215" t="s">
        <v>1924</v>
      </c>
      <c r="AE335" s="148"/>
      <c r="AF335" s="223" t="str">
        <f t="shared" si="640"/>
        <v>N/A</v>
      </c>
      <c r="AG335" s="223">
        <f t="shared" si="640"/>
        <v>0</v>
      </c>
      <c r="AH335" s="203">
        <f t="shared" si="648"/>
        <v>0</v>
      </c>
      <c r="AI335" s="203">
        <f t="shared" ca="1" si="649"/>
        <v>0</v>
      </c>
      <c r="AJ335" s="203">
        <f t="shared" ca="1" si="650"/>
        <v>0</v>
      </c>
      <c r="AK335" s="223" t="str">
        <f t="shared" si="641"/>
        <v>AMC2-S1</v>
      </c>
      <c r="AL335" s="223">
        <f t="shared" si="641"/>
        <v>1</v>
      </c>
      <c r="AM335" s="203">
        <f t="shared" si="651"/>
        <v>4</v>
      </c>
      <c r="AN335" s="203">
        <f t="shared" ca="1" si="652"/>
        <v>1</v>
      </c>
      <c r="AO335" s="203">
        <f t="shared" ca="1" si="653"/>
        <v>3</v>
      </c>
      <c r="AP335" s="223" t="str">
        <f t="shared" si="642"/>
        <v>AMC2-S4</v>
      </c>
      <c r="AQ335" s="223">
        <f t="shared" si="642"/>
        <v>1</v>
      </c>
      <c r="AR335" s="203">
        <f t="shared" si="654"/>
        <v>4</v>
      </c>
      <c r="AS335" s="203">
        <f t="shared" ca="1" si="655"/>
        <v>4</v>
      </c>
      <c r="AT335" s="203">
        <f t="shared" ca="1" si="656"/>
        <v>0</v>
      </c>
      <c r="AU335" s="223" t="str">
        <f t="shared" si="643"/>
        <v>N/A</v>
      </c>
      <c r="AV335" s="223">
        <f t="shared" si="643"/>
        <v>0</v>
      </c>
      <c r="AW335" s="203">
        <f t="shared" si="657"/>
        <v>0</v>
      </c>
      <c r="AX335" s="203">
        <f t="shared" ca="1" si="658"/>
        <v>0</v>
      </c>
      <c r="AY335" s="203">
        <f t="shared" ca="1" si="659"/>
        <v>0</v>
      </c>
      <c r="AZ335" s="212"/>
      <c r="BA335" s="213" t="s">
        <v>1925</v>
      </c>
      <c r="BB335" s="213" t="s">
        <v>1926</v>
      </c>
      <c r="BC335" s="213" t="s">
        <v>1927</v>
      </c>
      <c r="BD335" s="213" t="s">
        <v>140</v>
      </c>
      <c r="BE335" s="148"/>
      <c r="BF335" s="212" t="s">
        <v>1789</v>
      </c>
      <c r="BG335" s="117"/>
      <c r="BH335" s="155"/>
      <c r="BI335" s="216"/>
      <c r="BJ335" s="229" t="s">
        <v>1938</v>
      </c>
      <c r="BK335" s="229"/>
      <c r="BL335" s="149"/>
      <c r="BM335" s="149"/>
      <c r="BN335" s="149"/>
      <c r="BO335" s="149"/>
      <c r="BP335" s="149" t="s">
        <v>2165</v>
      </c>
      <c r="BQ335" s="149"/>
      <c r="BR335" s="117">
        <v>0</v>
      </c>
      <c r="BS335" s="117">
        <v>0</v>
      </c>
      <c r="BT335" s="117">
        <v>0</v>
      </c>
      <c r="BU335" s="117">
        <v>1</v>
      </c>
      <c r="BV335" s="117">
        <v>0</v>
      </c>
      <c r="BW335" s="117">
        <v>0</v>
      </c>
      <c r="BX335" s="117">
        <v>0</v>
      </c>
      <c r="BY335" s="117" t="s">
        <v>1790</v>
      </c>
      <c r="BZ335" s="167" t="s">
        <v>2166</v>
      </c>
      <c r="CA335" s="144">
        <v>16</v>
      </c>
      <c r="CB335" s="235">
        <v>46252</v>
      </c>
      <c r="CC335" s="155"/>
      <c r="CD335" s="117"/>
      <c r="CE335" s="217"/>
      <c r="CF335" s="166">
        <f>+L335-CA335</f>
        <v>-8</v>
      </c>
    </row>
    <row r="336" spans="1:84" ht="36" hidden="1">
      <c r="A336" s="117"/>
      <c r="B336" s="209" t="s">
        <v>1919</v>
      </c>
      <c r="C336" s="209" t="s">
        <v>2170</v>
      </c>
      <c r="D336" s="209" t="s">
        <v>1296</v>
      </c>
      <c r="E336" s="209" t="s">
        <v>1807</v>
      </c>
      <c r="F336" s="209" t="s">
        <v>1390</v>
      </c>
      <c r="G336" s="209" t="s">
        <v>1096</v>
      </c>
      <c r="H336" s="210">
        <v>536</v>
      </c>
      <c r="I336" s="211" t="s">
        <v>147</v>
      </c>
      <c r="J336" s="144">
        <v>1</v>
      </c>
      <c r="K336" s="145">
        <f t="shared" si="581"/>
        <v>2</v>
      </c>
      <c r="L336" s="202">
        <f t="shared" si="644"/>
        <v>2</v>
      </c>
      <c r="M336" s="212">
        <v>7.5</v>
      </c>
      <c r="N336" s="203">
        <f t="shared" si="645"/>
        <v>15</v>
      </c>
      <c r="O336" s="212" t="s">
        <v>137</v>
      </c>
      <c r="P336" s="212" t="s">
        <v>13</v>
      </c>
      <c r="Q336" s="212" t="s">
        <v>154</v>
      </c>
      <c r="R336" s="212"/>
      <c r="S336" s="212"/>
      <c r="T336" s="203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1</v>
      </c>
      <c r="U336" s="203">
        <f t="shared" ca="1" si="646"/>
        <v>1</v>
      </c>
      <c r="V336" s="203">
        <f t="shared" ca="1" si="647"/>
        <v>1</v>
      </c>
      <c r="W336" s="212"/>
      <c r="X336" s="212"/>
      <c r="Y336" s="212"/>
      <c r="Z336" s="212"/>
      <c r="AA336" s="212"/>
      <c r="AB336" s="212"/>
      <c r="AC336" s="214" t="s">
        <v>1923</v>
      </c>
      <c r="AD336" s="215" t="s">
        <v>1924</v>
      </c>
      <c r="AE336" s="148"/>
      <c r="AF336" s="212" t="str">
        <f t="shared" si="640"/>
        <v>N/A</v>
      </c>
      <c r="AG336" s="212">
        <f t="shared" si="640"/>
        <v>0</v>
      </c>
      <c r="AH336" s="203">
        <f t="shared" si="648"/>
        <v>0</v>
      </c>
      <c r="AI336" s="203">
        <f t="shared" ca="1" si="649"/>
        <v>0</v>
      </c>
      <c r="AJ336" s="203">
        <f t="shared" ca="1" si="650"/>
        <v>0</v>
      </c>
      <c r="AK336" s="212" t="str">
        <f t="shared" si="641"/>
        <v>AMC2-S1</v>
      </c>
      <c r="AL336" s="212">
        <f t="shared" si="641"/>
        <v>1</v>
      </c>
      <c r="AM336" s="203">
        <f t="shared" si="651"/>
        <v>1</v>
      </c>
      <c r="AN336" s="203">
        <f t="shared" ca="1" si="652"/>
        <v>1</v>
      </c>
      <c r="AO336" s="203">
        <f t="shared" ca="1" si="653"/>
        <v>0</v>
      </c>
      <c r="AP336" s="212" t="str">
        <f t="shared" si="642"/>
        <v>AMC2-S4</v>
      </c>
      <c r="AQ336" s="212">
        <f t="shared" si="642"/>
        <v>1</v>
      </c>
      <c r="AR336" s="203">
        <f t="shared" si="654"/>
        <v>1</v>
      </c>
      <c r="AS336" s="203">
        <f t="shared" ca="1" si="655"/>
        <v>0</v>
      </c>
      <c r="AT336" s="203">
        <f t="shared" ca="1" si="656"/>
        <v>1</v>
      </c>
      <c r="AU336" s="212" t="str">
        <f t="shared" si="643"/>
        <v>N/A</v>
      </c>
      <c r="AV336" s="212">
        <f t="shared" si="643"/>
        <v>0</v>
      </c>
      <c r="AW336" s="203">
        <f t="shared" si="657"/>
        <v>0</v>
      </c>
      <c r="AX336" s="203">
        <f t="shared" ca="1" si="658"/>
        <v>0</v>
      </c>
      <c r="AY336" s="203">
        <f t="shared" ca="1" si="659"/>
        <v>0</v>
      </c>
      <c r="AZ336" s="212"/>
      <c r="BA336" s="213" t="s">
        <v>1925</v>
      </c>
      <c r="BB336" s="213" t="s">
        <v>1926</v>
      </c>
      <c r="BC336" s="213" t="s">
        <v>1927</v>
      </c>
      <c r="BD336" s="213" t="s">
        <v>140</v>
      </c>
      <c r="BE336" s="148"/>
      <c r="BF336" s="212" t="s">
        <v>1789</v>
      </c>
      <c r="BG336" s="117"/>
      <c r="BH336" s="155"/>
      <c r="BI336" s="216"/>
      <c r="BJ336" s="229" t="s">
        <v>1940</v>
      </c>
      <c r="BK336" s="229"/>
      <c r="BL336" s="149"/>
      <c r="BM336" s="149"/>
      <c r="BN336" s="149"/>
      <c r="BO336" s="149"/>
      <c r="BP336" s="149"/>
      <c r="BQ336" s="149"/>
      <c r="BR336" s="117">
        <v>0</v>
      </c>
      <c r="BS336" s="117">
        <v>1</v>
      </c>
      <c r="BT336" s="117">
        <v>0</v>
      </c>
      <c r="BU336" s="117">
        <v>0</v>
      </c>
      <c r="BV336" s="117">
        <v>0</v>
      </c>
      <c r="BW336" s="117">
        <v>0</v>
      </c>
      <c r="BX336" s="117">
        <v>0</v>
      </c>
      <c r="BY336" s="117" t="s">
        <v>1790</v>
      </c>
      <c r="BZ336" s="158" t="s">
        <v>2156</v>
      </c>
      <c r="CA336" s="158">
        <v>4</v>
      </c>
      <c r="CB336" s="234">
        <v>46213</v>
      </c>
      <c r="CC336" s="155"/>
      <c r="CD336" s="141"/>
      <c r="CE336" s="217"/>
      <c r="CF336" s="166">
        <f>+L336-CA336</f>
        <v>-2</v>
      </c>
    </row>
    <row r="337" spans="1:84" ht="36" hidden="1">
      <c r="A337" s="117"/>
      <c r="B337" s="209" t="s">
        <v>1919</v>
      </c>
      <c r="C337" s="209" t="s">
        <v>2170</v>
      </c>
      <c r="D337" s="209" t="s">
        <v>1296</v>
      </c>
      <c r="E337" s="199" t="s">
        <v>1941</v>
      </c>
      <c r="F337" s="199" t="s">
        <v>1392</v>
      </c>
      <c r="G337" s="209" t="s">
        <v>1329</v>
      </c>
      <c r="H337" s="210">
        <v>784</v>
      </c>
      <c r="I337" s="211" t="s">
        <v>147</v>
      </c>
      <c r="J337" s="144">
        <v>1</v>
      </c>
      <c r="K337" s="145">
        <f t="shared" si="581"/>
        <v>2</v>
      </c>
      <c r="L337" s="202">
        <f t="shared" si="644"/>
        <v>2</v>
      </c>
      <c r="M337" s="212">
        <v>21.8</v>
      </c>
      <c r="N337" s="203">
        <f t="shared" si="645"/>
        <v>43.6</v>
      </c>
      <c r="O337" s="212" t="s">
        <v>137</v>
      </c>
      <c r="P337" s="212" t="s">
        <v>13</v>
      </c>
      <c r="Q337" s="212" t="s">
        <v>148</v>
      </c>
      <c r="R337" s="212"/>
      <c r="S337" s="212"/>
      <c r="T337" s="203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2</v>
      </c>
      <c r="U337" s="203">
        <f t="shared" ca="1" si="646"/>
        <v>0</v>
      </c>
      <c r="V337" s="203">
        <f t="shared" ca="1" si="647"/>
        <v>2</v>
      </c>
      <c r="W337" s="212"/>
      <c r="X337" s="212"/>
      <c r="Y337" s="212"/>
      <c r="Z337" s="212"/>
      <c r="AA337" s="212"/>
      <c r="AB337" s="212"/>
      <c r="AC337" s="214" t="s">
        <v>1923</v>
      </c>
      <c r="AD337" s="215" t="s">
        <v>1924</v>
      </c>
      <c r="AE337" s="148"/>
      <c r="AF337" s="212" t="str">
        <f t="shared" si="640"/>
        <v>N/A</v>
      </c>
      <c r="AG337" s="212">
        <f t="shared" si="640"/>
        <v>0</v>
      </c>
      <c r="AH337" s="203">
        <f t="shared" si="648"/>
        <v>0</v>
      </c>
      <c r="AI337" s="203">
        <f t="shared" ca="1" si="649"/>
        <v>0</v>
      </c>
      <c r="AJ337" s="203">
        <f t="shared" ca="1" si="650"/>
        <v>0</v>
      </c>
      <c r="AK337" s="212" t="str">
        <f t="shared" si="641"/>
        <v>AMC2-S1</v>
      </c>
      <c r="AL337" s="212">
        <f t="shared" si="641"/>
        <v>1</v>
      </c>
      <c r="AM337" s="203">
        <f t="shared" si="651"/>
        <v>1</v>
      </c>
      <c r="AN337" s="203">
        <f t="shared" ca="1" si="652"/>
        <v>1</v>
      </c>
      <c r="AO337" s="203">
        <f t="shared" ca="1" si="653"/>
        <v>0</v>
      </c>
      <c r="AP337" s="212" t="str">
        <f t="shared" si="642"/>
        <v>AMC2-S4</v>
      </c>
      <c r="AQ337" s="212">
        <f t="shared" si="642"/>
        <v>1</v>
      </c>
      <c r="AR337" s="203">
        <f t="shared" si="654"/>
        <v>1</v>
      </c>
      <c r="AS337" s="203">
        <f t="shared" ca="1" si="655"/>
        <v>1</v>
      </c>
      <c r="AT337" s="203">
        <f t="shared" ca="1" si="656"/>
        <v>0</v>
      </c>
      <c r="AU337" s="212" t="str">
        <f t="shared" si="643"/>
        <v>N/A</v>
      </c>
      <c r="AV337" s="212">
        <f t="shared" si="643"/>
        <v>0</v>
      </c>
      <c r="AW337" s="203">
        <f t="shared" si="657"/>
        <v>0</v>
      </c>
      <c r="AX337" s="203">
        <f t="shared" ca="1" si="658"/>
        <v>0</v>
      </c>
      <c r="AY337" s="203">
        <f t="shared" ca="1" si="659"/>
        <v>0</v>
      </c>
      <c r="AZ337" s="212"/>
      <c r="BA337" s="213" t="s">
        <v>1925</v>
      </c>
      <c r="BB337" s="213" t="s">
        <v>1926</v>
      </c>
      <c r="BC337" s="213" t="s">
        <v>1927</v>
      </c>
      <c r="BD337" s="213" t="s">
        <v>140</v>
      </c>
      <c r="BE337" s="148"/>
      <c r="BF337" s="212" t="s">
        <v>1789</v>
      </c>
      <c r="BG337" s="117"/>
      <c r="BH337" s="141" t="s">
        <v>1942</v>
      </c>
      <c r="BI337" s="216"/>
      <c r="BJ337" s="216"/>
      <c r="BK337" s="216"/>
      <c r="BL337" s="149"/>
      <c r="BM337" s="149"/>
      <c r="BN337" s="149"/>
      <c r="BO337" s="149"/>
      <c r="BP337" s="149"/>
      <c r="BQ337" s="149"/>
      <c r="BR337" s="117">
        <v>1</v>
      </c>
      <c r="BS337" s="117">
        <v>0</v>
      </c>
      <c r="BT337" s="117">
        <v>0</v>
      </c>
      <c r="BU337" s="117">
        <v>0</v>
      </c>
      <c r="BV337" s="117">
        <v>0</v>
      </c>
      <c r="BW337" s="117">
        <v>0</v>
      </c>
      <c r="BX337" s="117">
        <v>0</v>
      </c>
      <c r="BY337" s="117" t="s">
        <v>1790</v>
      </c>
      <c r="BZ337" s="158" t="s">
        <v>2155</v>
      </c>
      <c r="CA337" s="144">
        <v>4</v>
      </c>
      <c r="CB337" s="235">
        <v>46231</v>
      </c>
      <c r="CC337" s="155"/>
      <c r="CD337" s="141"/>
      <c r="CE337" s="217"/>
      <c r="CF337" s="166">
        <f>+L337-CA337</f>
        <v>-2</v>
      </c>
    </row>
    <row r="338" spans="1:84" ht="36" hidden="1">
      <c r="A338" s="162">
        <v>139</v>
      </c>
      <c r="B338" s="177" t="s">
        <v>1943</v>
      </c>
      <c r="C338" s="177" t="s">
        <v>2171</v>
      </c>
      <c r="D338" s="177" t="s">
        <v>1944</v>
      </c>
      <c r="E338" s="177"/>
      <c r="F338" s="177"/>
      <c r="G338" s="177" t="s">
        <v>1945</v>
      </c>
      <c r="H338" s="178"/>
      <c r="I338" s="179"/>
      <c r="J338" s="160"/>
      <c r="K338" s="180">
        <f>+AG338+AL338+AQ338+AV338</f>
        <v>2</v>
      </c>
      <c r="L338" s="160"/>
      <c r="M338" s="181">
        <v>10411.4</v>
      </c>
      <c r="N338" s="181">
        <v>41645.599999999999</v>
      </c>
      <c r="O338" s="181" t="s">
        <v>137</v>
      </c>
      <c r="P338" s="181"/>
      <c r="Q338" s="181"/>
      <c r="R338" s="181"/>
      <c r="S338" s="181"/>
      <c r="T338" s="181"/>
      <c r="U338" s="181"/>
      <c r="V338" s="181"/>
      <c r="W338" s="181">
        <f>_xlfn.MINIFS(V:V,C:C,C338,AE:AE,"",AB:AB,"")</f>
        <v>0</v>
      </c>
      <c r="X338" s="181" t="e">
        <f>SUMIFS(T:T,C:C,C338,AE:AE,"")/SUMIFS(L:L,C:C,C338,AE:AE,"",AB:AB,"")</f>
        <v>#DIV/0!</v>
      </c>
      <c r="Y338" s="181"/>
      <c r="Z338" s="181"/>
      <c r="AA338" s="181"/>
      <c r="AB338" s="181"/>
      <c r="AC338" s="228" t="s">
        <v>1923</v>
      </c>
      <c r="AD338" s="184" t="s">
        <v>1924</v>
      </c>
      <c r="AE338" s="162" t="s">
        <v>143</v>
      </c>
      <c r="AF338" s="181" t="s">
        <v>138</v>
      </c>
      <c r="AG338" s="181">
        <v>0</v>
      </c>
      <c r="AH338" s="181"/>
      <c r="AI338" s="181"/>
      <c r="AJ338" s="181"/>
      <c r="AK338" s="181" t="s">
        <v>1783</v>
      </c>
      <c r="AL338" s="181">
        <v>1</v>
      </c>
      <c r="AM338" s="181"/>
      <c r="AN338" s="181"/>
      <c r="AO338" s="181"/>
      <c r="AP338" s="181" t="s">
        <v>1922</v>
      </c>
      <c r="AQ338" s="181">
        <v>1</v>
      </c>
      <c r="AR338" s="181"/>
      <c r="AS338" s="181"/>
      <c r="AT338" s="181"/>
      <c r="AU338" s="181" t="s">
        <v>138</v>
      </c>
      <c r="AV338" s="181">
        <v>0</v>
      </c>
      <c r="AW338" s="181"/>
      <c r="AX338" s="181"/>
      <c r="AY338" s="181"/>
      <c r="AZ338" s="181"/>
      <c r="BA338" s="182" t="s">
        <v>1925</v>
      </c>
      <c r="BB338" s="182" t="s">
        <v>1926</v>
      </c>
      <c r="BC338" s="182" t="s">
        <v>1927</v>
      </c>
      <c r="BD338" s="182" t="s">
        <v>140</v>
      </c>
      <c r="BE338" s="162"/>
      <c r="BF338" s="181"/>
      <c r="BG338" s="161"/>
      <c r="BH338" s="161"/>
      <c r="BI338" s="163"/>
      <c r="BJ338" s="163"/>
      <c r="BK338" s="163"/>
      <c r="BL338" s="163"/>
      <c r="BM338" s="163"/>
      <c r="BN338" s="163"/>
      <c r="BO338" s="163"/>
      <c r="BP338" s="163"/>
      <c r="BQ338" s="163"/>
      <c r="BR338" s="161"/>
      <c r="BS338" s="161"/>
      <c r="BT338" s="161"/>
      <c r="BU338" s="161"/>
      <c r="BV338" s="161"/>
      <c r="BW338" s="161"/>
      <c r="BX338" s="161"/>
      <c r="BY338" s="161"/>
      <c r="BZ338" s="161"/>
      <c r="CA338" s="161"/>
      <c r="CB338" s="163"/>
      <c r="CC338" s="161"/>
      <c r="CD338" s="161"/>
      <c r="CE338" s="185"/>
      <c r="CF338" s="185"/>
    </row>
    <row r="339" spans="1:84" ht="36" hidden="1">
      <c r="A339" s="186"/>
      <c r="B339" s="187" t="s">
        <v>1943</v>
      </c>
      <c r="C339" s="187" t="s">
        <v>2172</v>
      </c>
      <c r="D339" s="187"/>
      <c r="E339" s="187"/>
      <c r="F339" s="187"/>
      <c r="G339" s="187" t="s">
        <v>1946</v>
      </c>
      <c r="H339" s="188"/>
      <c r="I339" s="189"/>
      <c r="J339" s="190"/>
      <c r="K339" s="191">
        <f t="shared" ref="K339:K370" si="660">K338</f>
        <v>2</v>
      </c>
      <c r="L339" s="190"/>
      <c r="M339" s="192">
        <v>2300</v>
      </c>
      <c r="N339" s="192">
        <v>9200</v>
      </c>
      <c r="O339" s="192" t="s">
        <v>137</v>
      </c>
      <c r="P339" s="192"/>
      <c r="Q339" s="192"/>
      <c r="R339" s="192"/>
      <c r="S339" s="192"/>
      <c r="T339" s="192"/>
      <c r="U339" s="192"/>
      <c r="V339" s="192"/>
      <c r="W339" s="192">
        <f ca="1">_xlfn.MINIFS(V:V,C:C,C339,AE:AE,"",AB:AB,"")</f>
        <v>0</v>
      </c>
      <c r="X339" s="192">
        <f ca="1">SUMIFS(T:T,C:C,C339,AE:AE,"")/SUMIFS(L:L,C:C,C339,AE:AE,"",AB:AB,"")</f>
        <v>0.61403508771929827</v>
      </c>
      <c r="Y339" s="192"/>
      <c r="Z339" s="192"/>
      <c r="AA339" s="192"/>
      <c r="AB339" s="192"/>
      <c r="AC339" s="194" t="s">
        <v>1923</v>
      </c>
      <c r="AD339" s="195" t="s">
        <v>1924</v>
      </c>
      <c r="AE339" s="196" t="s">
        <v>1787</v>
      </c>
      <c r="AF339" s="192" t="str">
        <f t="shared" ref="AF339:AG354" si="661">AF338</f>
        <v>N/A</v>
      </c>
      <c r="AG339" s="192">
        <f t="shared" si="661"/>
        <v>0</v>
      </c>
      <c r="AH339" s="192"/>
      <c r="AI339" s="192"/>
      <c r="AJ339" s="192"/>
      <c r="AK339" s="192" t="str">
        <f t="shared" ref="AK339:AL354" si="662">AK338</f>
        <v>AMC2-S1</v>
      </c>
      <c r="AL339" s="192">
        <f t="shared" si="662"/>
        <v>1</v>
      </c>
      <c r="AM339" s="192"/>
      <c r="AN339" s="192"/>
      <c r="AO339" s="192"/>
      <c r="AP339" s="192" t="str">
        <f t="shared" ref="AP339:AQ354" si="663">AP338</f>
        <v>AMC2-S4</v>
      </c>
      <c r="AQ339" s="192">
        <f t="shared" si="663"/>
        <v>1</v>
      </c>
      <c r="AR339" s="192"/>
      <c r="AS339" s="192"/>
      <c r="AT339" s="192"/>
      <c r="AU339" s="192" t="str">
        <f t="shared" ref="AU339:AV354" si="664">AU338</f>
        <v>N/A</v>
      </c>
      <c r="AV339" s="192">
        <f t="shared" si="664"/>
        <v>0</v>
      </c>
      <c r="AW339" s="192"/>
      <c r="AX339" s="192"/>
      <c r="AY339" s="192"/>
      <c r="AZ339" s="192"/>
      <c r="BA339" s="193" t="s">
        <v>1925</v>
      </c>
      <c r="BB339" s="193" t="s">
        <v>1926</v>
      </c>
      <c r="BC339" s="193" t="s">
        <v>1927</v>
      </c>
      <c r="BD339" s="193" t="s">
        <v>140</v>
      </c>
      <c r="BE339" s="196" t="s">
        <v>741</v>
      </c>
      <c r="BF339" s="192"/>
      <c r="BG339" s="186"/>
      <c r="BH339" s="186"/>
      <c r="BI339" s="197"/>
      <c r="BJ339" s="197"/>
      <c r="BK339" s="197"/>
      <c r="BL339" s="197"/>
      <c r="BM339" s="197"/>
      <c r="BN339" s="197"/>
      <c r="BO339" s="197"/>
      <c r="BP339" s="197"/>
      <c r="BQ339" s="197"/>
      <c r="BR339" s="186"/>
      <c r="BS339" s="186"/>
      <c r="BT339" s="186"/>
      <c r="BU339" s="186"/>
      <c r="BV339" s="186"/>
      <c r="BW339" s="186"/>
      <c r="BX339" s="186"/>
      <c r="BY339" s="186"/>
      <c r="BZ339" s="186"/>
      <c r="CA339" s="186"/>
      <c r="CB339" s="197"/>
      <c r="CC339" s="186"/>
      <c r="CD339" s="186"/>
      <c r="CE339" s="198"/>
      <c r="CF339" s="198"/>
    </row>
    <row r="340" spans="1:84" ht="36" hidden="1">
      <c r="A340" s="117"/>
      <c r="B340" s="209" t="s">
        <v>1943</v>
      </c>
      <c r="C340" s="209" t="s">
        <v>2172</v>
      </c>
      <c r="D340" s="209" t="s">
        <v>1084</v>
      </c>
      <c r="E340" s="209" t="s">
        <v>1788</v>
      </c>
      <c r="F340" s="209" t="s">
        <v>1447</v>
      </c>
      <c r="G340" s="209" t="s">
        <v>1395</v>
      </c>
      <c r="H340" s="210">
        <v>4023</v>
      </c>
      <c r="I340" s="211" t="s">
        <v>147</v>
      </c>
      <c r="J340" s="144">
        <v>2</v>
      </c>
      <c r="K340" s="145">
        <f t="shared" si="660"/>
        <v>2</v>
      </c>
      <c r="L340" s="202">
        <f t="shared" ref="L340:L350" si="665">+J340*K340</f>
        <v>4</v>
      </c>
      <c r="M340" s="212">
        <v>182.2</v>
      </c>
      <c r="N340" s="203">
        <f t="shared" ref="N340:N350" si="666">+M340*L340</f>
        <v>728.8</v>
      </c>
      <c r="O340" s="212" t="s">
        <v>137</v>
      </c>
      <c r="P340" s="212" t="s">
        <v>13</v>
      </c>
      <c r="Q340" s="212" t="s">
        <v>154</v>
      </c>
      <c r="R340" s="212"/>
      <c r="S340" s="212"/>
      <c r="T340" s="203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0</v>
      </c>
      <c r="U340" s="203">
        <f t="shared" ref="U340:U350" ca="1" si="667">+L340-T340</f>
        <v>4</v>
      </c>
      <c r="V340" s="203">
        <f t="shared" ref="V340:V350" ca="1" si="668">ROUNDDOWN(T340/J340,0)</f>
        <v>0</v>
      </c>
      <c r="W340" s="212"/>
      <c r="X340" s="212"/>
      <c r="Y340" s="212"/>
      <c r="Z340" s="212"/>
      <c r="AA340" s="212"/>
      <c r="AB340" s="212"/>
      <c r="AC340" s="214" t="s">
        <v>1923</v>
      </c>
      <c r="AD340" s="215" t="s">
        <v>1924</v>
      </c>
      <c r="AE340" s="148"/>
      <c r="AF340" s="212" t="str">
        <f t="shared" si="661"/>
        <v>N/A</v>
      </c>
      <c r="AG340" s="212">
        <f t="shared" si="661"/>
        <v>0</v>
      </c>
      <c r="AH340" s="203">
        <f t="shared" ref="AH340:AH350" si="669">+AG340*J340</f>
        <v>0</v>
      </c>
      <c r="AI340" s="203">
        <f t="shared" ref="AI340:AI350" ca="1" si="670">MIN(T340,AH340)</f>
        <v>0</v>
      </c>
      <c r="AJ340" s="203">
        <f t="shared" ref="AJ340:AJ350" ca="1" si="671">+AH340-AI340</f>
        <v>0</v>
      </c>
      <c r="AK340" s="212" t="str">
        <f t="shared" si="662"/>
        <v>AMC2-S1</v>
      </c>
      <c r="AL340" s="212">
        <f t="shared" si="662"/>
        <v>1</v>
      </c>
      <c r="AM340" s="203">
        <f t="shared" ref="AM340:AM350" si="672">+AL340*J340</f>
        <v>2</v>
      </c>
      <c r="AN340" s="203">
        <f t="shared" ref="AN340:AN350" ca="1" si="673">MIN(T340-AI340,AL340)</f>
        <v>0</v>
      </c>
      <c r="AO340" s="203">
        <f t="shared" ref="AO340:AO350" ca="1" si="674">+AM340-AN340</f>
        <v>2</v>
      </c>
      <c r="AP340" s="212" t="str">
        <f t="shared" si="663"/>
        <v>AMC2-S4</v>
      </c>
      <c r="AQ340" s="212">
        <f t="shared" si="663"/>
        <v>1</v>
      </c>
      <c r="AR340" s="203">
        <f t="shared" ref="AR340:AR350" si="675">+AQ340*J340</f>
        <v>2</v>
      </c>
      <c r="AS340" s="203">
        <f t="shared" ref="AS340:AS350" ca="1" si="676">MIN(T340-AI340-AN340,AR340)</f>
        <v>0</v>
      </c>
      <c r="AT340" s="203">
        <f t="shared" ref="AT340:AT350" ca="1" si="677">+AR340-AS340</f>
        <v>2</v>
      </c>
      <c r="AU340" s="212" t="str">
        <f t="shared" si="664"/>
        <v>N/A</v>
      </c>
      <c r="AV340" s="212">
        <f t="shared" si="664"/>
        <v>0</v>
      </c>
      <c r="AW340" s="203">
        <f t="shared" ref="AW340:AW350" si="678">+AV340*J340</f>
        <v>0</v>
      </c>
      <c r="AX340" s="203">
        <f t="shared" ref="AX340:AX350" ca="1" si="679">MIN(T340-AI340-AN340-AS340,AW340)</f>
        <v>0</v>
      </c>
      <c r="AY340" s="203">
        <f t="shared" ref="AY340:AY350" ca="1" si="680">+AW340-AX340</f>
        <v>0</v>
      </c>
      <c r="AZ340" s="212"/>
      <c r="BA340" s="213" t="s">
        <v>1925</v>
      </c>
      <c r="BB340" s="213" t="s">
        <v>1926</v>
      </c>
      <c r="BC340" s="213" t="s">
        <v>1927</v>
      </c>
      <c r="BD340" s="213" t="s">
        <v>140</v>
      </c>
      <c r="BE340" s="148"/>
      <c r="BF340" s="212" t="s">
        <v>1789</v>
      </c>
      <c r="BG340" s="117"/>
      <c r="BH340" s="155"/>
      <c r="BI340" s="216"/>
      <c r="BJ340" s="216"/>
      <c r="BK340" s="216"/>
      <c r="BL340" s="149"/>
      <c r="BM340" s="149"/>
      <c r="BN340" s="149"/>
      <c r="BO340" s="149"/>
      <c r="BP340" s="149"/>
      <c r="BQ340" s="149"/>
      <c r="BR340" s="117">
        <v>0</v>
      </c>
      <c r="BS340" s="117">
        <v>1</v>
      </c>
      <c r="BT340" s="117">
        <v>0</v>
      </c>
      <c r="BU340" s="117">
        <v>1</v>
      </c>
      <c r="BV340" s="117">
        <v>0</v>
      </c>
      <c r="BW340" s="117">
        <v>0</v>
      </c>
      <c r="BX340" s="117">
        <v>0</v>
      </c>
      <c r="BY340" s="117" t="s">
        <v>1790</v>
      </c>
      <c r="BZ340" s="158" t="s">
        <v>57</v>
      </c>
      <c r="CA340" s="158">
        <v>8</v>
      </c>
      <c r="CB340" s="234"/>
      <c r="CC340" s="155"/>
      <c r="CD340" s="155"/>
      <c r="CE340" s="217"/>
      <c r="CF340" s="166">
        <f t="shared" ref="CF340:CF350" si="681">+L340-CA340</f>
        <v>-4</v>
      </c>
    </row>
    <row r="341" spans="1:84" ht="36" hidden="1">
      <c r="A341" s="117"/>
      <c r="B341" s="209" t="s">
        <v>1943</v>
      </c>
      <c r="C341" s="209" t="s">
        <v>2172</v>
      </c>
      <c r="D341" s="209" t="s">
        <v>1084</v>
      </c>
      <c r="E341" s="209" t="s">
        <v>1791</v>
      </c>
      <c r="F341" s="209" t="s">
        <v>1448</v>
      </c>
      <c r="G341" s="209" t="s">
        <v>1397</v>
      </c>
      <c r="H341" s="210">
        <v>1930</v>
      </c>
      <c r="I341" s="211" t="s">
        <v>147</v>
      </c>
      <c r="J341" s="144">
        <v>1</v>
      </c>
      <c r="K341" s="145">
        <f t="shared" si="660"/>
        <v>2</v>
      </c>
      <c r="L341" s="202">
        <f t="shared" si="665"/>
        <v>2</v>
      </c>
      <c r="M341" s="212">
        <v>98</v>
      </c>
      <c r="N341" s="203">
        <f t="shared" si="666"/>
        <v>196</v>
      </c>
      <c r="O341" s="212" t="s">
        <v>137</v>
      </c>
      <c r="P341" s="212" t="s">
        <v>13</v>
      </c>
      <c r="Q341" s="212" t="s">
        <v>154</v>
      </c>
      <c r="R341" s="212"/>
      <c r="S341" s="212"/>
      <c r="T341" s="203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0</v>
      </c>
      <c r="U341" s="203">
        <f t="shared" ca="1" si="667"/>
        <v>2</v>
      </c>
      <c r="V341" s="203">
        <f t="shared" ca="1" si="668"/>
        <v>0</v>
      </c>
      <c r="W341" s="212"/>
      <c r="X341" s="212"/>
      <c r="Y341" s="212"/>
      <c r="Z341" s="212"/>
      <c r="AA341" s="212"/>
      <c r="AB341" s="212"/>
      <c r="AC341" s="214" t="s">
        <v>1923</v>
      </c>
      <c r="AD341" s="215" t="s">
        <v>1924</v>
      </c>
      <c r="AE341" s="148"/>
      <c r="AF341" s="212" t="str">
        <f t="shared" si="661"/>
        <v>N/A</v>
      </c>
      <c r="AG341" s="212">
        <f t="shared" si="661"/>
        <v>0</v>
      </c>
      <c r="AH341" s="203">
        <f t="shared" si="669"/>
        <v>0</v>
      </c>
      <c r="AI341" s="203">
        <f t="shared" ca="1" si="670"/>
        <v>0</v>
      </c>
      <c r="AJ341" s="203">
        <f t="shared" ca="1" si="671"/>
        <v>0</v>
      </c>
      <c r="AK341" s="212" t="str">
        <f t="shared" si="662"/>
        <v>AMC2-S1</v>
      </c>
      <c r="AL341" s="212">
        <f t="shared" si="662"/>
        <v>1</v>
      </c>
      <c r="AM341" s="203">
        <f t="shared" si="672"/>
        <v>1</v>
      </c>
      <c r="AN341" s="203">
        <f t="shared" ca="1" si="673"/>
        <v>0</v>
      </c>
      <c r="AO341" s="203">
        <f t="shared" ca="1" si="674"/>
        <v>1</v>
      </c>
      <c r="AP341" s="212" t="str">
        <f t="shared" si="663"/>
        <v>AMC2-S4</v>
      </c>
      <c r="AQ341" s="212">
        <f t="shared" si="663"/>
        <v>1</v>
      </c>
      <c r="AR341" s="203">
        <f t="shared" si="675"/>
        <v>1</v>
      </c>
      <c r="AS341" s="203">
        <f t="shared" ca="1" si="676"/>
        <v>0</v>
      </c>
      <c r="AT341" s="203">
        <f t="shared" ca="1" si="677"/>
        <v>1</v>
      </c>
      <c r="AU341" s="212" t="str">
        <f t="shared" si="664"/>
        <v>N/A</v>
      </c>
      <c r="AV341" s="212">
        <f t="shared" si="664"/>
        <v>0</v>
      </c>
      <c r="AW341" s="203">
        <f t="shared" si="678"/>
        <v>0</v>
      </c>
      <c r="AX341" s="203">
        <f t="shared" ca="1" si="679"/>
        <v>0</v>
      </c>
      <c r="AY341" s="203">
        <f t="shared" ca="1" si="680"/>
        <v>0</v>
      </c>
      <c r="AZ341" s="212"/>
      <c r="BA341" s="213" t="s">
        <v>1925</v>
      </c>
      <c r="BB341" s="213" t="s">
        <v>1926</v>
      </c>
      <c r="BC341" s="213" t="s">
        <v>1927</v>
      </c>
      <c r="BD341" s="213" t="s">
        <v>140</v>
      </c>
      <c r="BE341" s="148"/>
      <c r="BF341" s="212" t="s">
        <v>1789</v>
      </c>
      <c r="BG341" s="117"/>
      <c r="BH341" s="155"/>
      <c r="BI341" s="216"/>
      <c r="BJ341" s="229" t="s">
        <v>1940</v>
      </c>
      <c r="BK341" s="229"/>
      <c r="BL341" s="149"/>
      <c r="BM341" s="149"/>
      <c r="BN341" s="149"/>
      <c r="BO341" s="149"/>
      <c r="BP341" s="149"/>
      <c r="BQ341" s="149"/>
      <c r="BR341" s="117">
        <v>0</v>
      </c>
      <c r="BS341" s="117">
        <v>1</v>
      </c>
      <c r="BT341" s="117">
        <v>0</v>
      </c>
      <c r="BU341" s="117">
        <v>1</v>
      </c>
      <c r="BV341" s="117">
        <v>0</v>
      </c>
      <c r="BW341" s="117">
        <v>0</v>
      </c>
      <c r="BX341" s="117">
        <v>0</v>
      </c>
      <c r="BY341" s="117" t="s">
        <v>1790</v>
      </c>
      <c r="BZ341" s="167" t="s">
        <v>1449</v>
      </c>
      <c r="CA341" s="167">
        <v>4</v>
      </c>
      <c r="CB341" s="235">
        <v>46216</v>
      </c>
      <c r="CC341" s="152"/>
      <c r="CD341" s="141"/>
      <c r="CE341" s="217"/>
      <c r="CF341" s="166">
        <f t="shared" si="681"/>
        <v>-2</v>
      </c>
    </row>
    <row r="342" spans="1:84" ht="36" hidden="1">
      <c r="A342" s="117"/>
      <c r="B342" s="209" t="s">
        <v>1943</v>
      </c>
      <c r="C342" s="209" t="s">
        <v>2172</v>
      </c>
      <c r="D342" s="209" t="s">
        <v>1084</v>
      </c>
      <c r="E342" s="209" t="s">
        <v>1947</v>
      </c>
      <c r="F342" s="209" t="s">
        <v>1450</v>
      </c>
      <c r="G342" s="209" t="s">
        <v>1397</v>
      </c>
      <c r="H342" s="210">
        <v>1930</v>
      </c>
      <c r="I342" s="211" t="s">
        <v>147</v>
      </c>
      <c r="J342" s="144">
        <v>1</v>
      </c>
      <c r="K342" s="145">
        <f t="shared" si="660"/>
        <v>2</v>
      </c>
      <c r="L342" s="202">
        <f t="shared" si="665"/>
        <v>2</v>
      </c>
      <c r="M342" s="212">
        <v>98</v>
      </c>
      <c r="N342" s="203">
        <f t="shared" si="666"/>
        <v>196</v>
      </c>
      <c r="O342" s="212" t="s">
        <v>137</v>
      </c>
      <c r="P342" s="212" t="s">
        <v>13</v>
      </c>
      <c r="Q342" s="212" t="s">
        <v>154</v>
      </c>
      <c r="R342" s="212"/>
      <c r="S342" s="212"/>
      <c r="T342" s="203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0</v>
      </c>
      <c r="U342" s="203">
        <f t="shared" ca="1" si="667"/>
        <v>2</v>
      </c>
      <c r="V342" s="203">
        <f t="shared" ca="1" si="668"/>
        <v>0</v>
      </c>
      <c r="W342" s="212"/>
      <c r="X342" s="212"/>
      <c r="Y342" s="212"/>
      <c r="Z342" s="212"/>
      <c r="AA342" s="212"/>
      <c r="AB342" s="212"/>
      <c r="AC342" s="214" t="s">
        <v>1923</v>
      </c>
      <c r="AD342" s="215" t="s">
        <v>1924</v>
      </c>
      <c r="AE342" s="148"/>
      <c r="AF342" s="212" t="str">
        <f t="shared" si="661"/>
        <v>N/A</v>
      </c>
      <c r="AG342" s="212">
        <f t="shared" si="661"/>
        <v>0</v>
      </c>
      <c r="AH342" s="203">
        <f t="shared" si="669"/>
        <v>0</v>
      </c>
      <c r="AI342" s="203">
        <f t="shared" ca="1" si="670"/>
        <v>0</v>
      </c>
      <c r="AJ342" s="203">
        <f t="shared" ca="1" si="671"/>
        <v>0</v>
      </c>
      <c r="AK342" s="212" t="str">
        <f t="shared" si="662"/>
        <v>AMC2-S1</v>
      </c>
      <c r="AL342" s="212">
        <f t="shared" si="662"/>
        <v>1</v>
      </c>
      <c r="AM342" s="203">
        <f t="shared" si="672"/>
        <v>1</v>
      </c>
      <c r="AN342" s="203">
        <f t="shared" ca="1" si="673"/>
        <v>0</v>
      </c>
      <c r="AO342" s="203">
        <f t="shared" ca="1" si="674"/>
        <v>1</v>
      </c>
      <c r="AP342" s="212" t="str">
        <f t="shared" si="663"/>
        <v>AMC2-S4</v>
      </c>
      <c r="AQ342" s="212">
        <f t="shared" si="663"/>
        <v>1</v>
      </c>
      <c r="AR342" s="203">
        <f t="shared" si="675"/>
        <v>1</v>
      </c>
      <c r="AS342" s="203">
        <f t="shared" ca="1" si="676"/>
        <v>0</v>
      </c>
      <c r="AT342" s="203">
        <f t="shared" ca="1" si="677"/>
        <v>1</v>
      </c>
      <c r="AU342" s="212" t="str">
        <f t="shared" si="664"/>
        <v>N/A</v>
      </c>
      <c r="AV342" s="212">
        <f t="shared" si="664"/>
        <v>0</v>
      </c>
      <c r="AW342" s="203">
        <f t="shared" si="678"/>
        <v>0</v>
      </c>
      <c r="AX342" s="203">
        <f t="shared" ca="1" si="679"/>
        <v>0</v>
      </c>
      <c r="AY342" s="203">
        <f t="shared" ca="1" si="680"/>
        <v>0</v>
      </c>
      <c r="AZ342" s="212"/>
      <c r="BA342" s="213" t="s">
        <v>1925</v>
      </c>
      <c r="BB342" s="213" t="s">
        <v>1926</v>
      </c>
      <c r="BC342" s="213" t="s">
        <v>1927</v>
      </c>
      <c r="BD342" s="213" t="s">
        <v>140</v>
      </c>
      <c r="BE342" s="148"/>
      <c r="BF342" s="212" t="s">
        <v>1789</v>
      </c>
      <c r="BG342" s="117"/>
      <c r="BH342" s="155"/>
      <c r="BI342" s="216"/>
      <c r="BJ342" s="229" t="s">
        <v>1948</v>
      </c>
      <c r="BK342" s="229"/>
      <c r="BL342" s="149"/>
      <c r="BM342" s="149"/>
      <c r="BN342" s="149"/>
      <c r="BO342" s="149"/>
      <c r="BP342" s="149"/>
      <c r="BQ342" s="149"/>
      <c r="BR342" s="117">
        <v>0</v>
      </c>
      <c r="BS342" s="117">
        <v>1</v>
      </c>
      <c r="BT342" s="117">
        <v>0</v>
      </c>
      <c r="BU342" s="117">
        <v>1</v>
      </c>
      <c r="BV342" s="117">
        <v>0</v>
      </c>
      <c r="BW342" s="117">
        <v>0</v>
      </c>
      <c r="BX342" s="117">
        <v>0</v>
      </c>
      <c r="BY342" s="117" t="s">
        <v>1790</v>
      </c>
      <c r="BZ342" s="158" t="s">
        <v>2173</v>
      </c>
      <c r="CA342" s="144">
        <v>4</v>
      </c>
      <c r="CB342" s="235">
        <v>46216</v>
      </c>
      <c r="CC342" s="155"/>
      <c r="CD342" s="155"/>
      <c r="CE342" s="217"/>
      <c r="CF342" s="166">
        <f t="shared" si="681"/>
        <v>-2</v>
      </c>
    </row>
    <row r="343" spans="1:84" ht="36" hidden="1">
      <c r="A343" s="117"/>
      <c r="B343" s="209" t="s">
        <v>1943</v>
      </c>
      <c r="C343" s="209" t="s">
        <v>2172</v>
      </c>
      <c r="D343" s="209" t="s">
        <v>1084</v>
      </c>
      <c r="E343" s="209" t="s">
        <v>1792</v>
      </c>
      <c r="F343" s="209" t="s">
        <v>1451</v>
      </c>
      <c r="G343" s="209" t="s">
        <v>1397</v>
      </c>
      <c r="H343" s="210">
        <v>5608</v>
      </c>
      <c r="I343" s="211" t="s">
        <v>147</v>
      </c>
      <c r="J343" s="144">
        <v>1</v>
      </c>
      <c r="K343" s="145">
        <f t="shared" si="660"/>
        <v>2</v>
      </c>
      <c r="L343" s="202">
        <f t="shared" si="665"/>
        <v>2</v>
      </c>
      <c r="M343" s="212">
        <v>326.2</v>
      </c>
      <c r="N343" s="203">
        <f t="shared" si="666"/>
        <v>652.4</v>
      </c>
      <c r="O343" s="212" t="s">
        <v>137</v>
      </c>
      <c r="P343" s="212" t="s">
        <v>13</v>
      </c>
      <c r="Q343" s="212" t="s">
        <v>154</v>
      </c>
      <c r="R343" s="212"/>
      <c r="S343" s="212"/>
      <c r="T343" s="203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0</v>
      </c>
      <c r="U343" s="203">
        <f t="shared" ca="1" si="667"/>
        <v>2</v>
      </c>
      <c r="V343" s="203">
        <f t="shared" ca="1" si="668"/>
        <v>0</v>
      </c>
      <c r="W343" s="212"/>
      <c r="X343" s="212"/>
      <c r="Y343" s="212"/>
      <c r="Z343" s="212"/>
      <c r="AA343" s="212"/>
      <c r="AB343" s="212"/>
      <c r="AC343" s="214" t="s">
        <v>1923</v>
      </c>
      <c r="AD343" s="215" t="s">
        <v>1924</v>
      </c>
      <c r="AE343" s="148"/>
      <c r="AF343" s="212" t="str">
        <f t="shared" si="661"/>
        <v>N/A</v>
      </c>
      <c r="AG343" s="212">
        <f t="shared" si="661"/>
        <v>0</v>
      </c>
      <c r="AH343" s="203">
        <f t="shared" si="669"/>
        <v>0</v>
      </c>
      <c r="AI343" s="203">
        <f t="shared" ca="1" si="670"/>
        <v>0</v>
      </c>
      <c r="AJ343" s="203">
        <f t="shared" ca="1" si="671"/>
        <v>0</v>
      </c>
      <c r="AK343" s="212" t="str">
        <f t="shared" si="662"/>
        <v>AMC2-S1</v>
      </c>
      <c r="AL343" s="212">
        <f t="shared" si="662"/>
        <v>1</v>
      </c>
      <c r="AM343" s="203">
        <f t="shared" si="672"/>
        <v>1</v>
      </c>
      <c r="AN343" s="203">
        <f t="shared" ca="1" si="673"/>
        <v>0</v>
      </c>
      <c r="AO343" s="203">
        <f t="shared" ca="1" si="674"/>
        <v>1</v>
      </c>
      <c r="AP343" s="212" t="str">
        <f t="shared" si="663"/>
        <v>AMC2-S4</v>
      </c>
      <c r="AQ343" s="212">
        <f t="shared" si="663"/>
        <v>1</v>
      </c>
      <c r="AR343" s="203">
        <f t="shared" si="675"/>
        <v>1</v>
      </c>
      <c r="AS343" s="203">
        <f t="shared" ca="1" si="676"/>
        <v>0</v>
      </c>
      <c r="AT343" s="203">
        <f t="shared" ca="1" si="677"/>
        <v>1</v>
      </c>
      <c r="AU343" s="212" t="str">
        <f t="shared" si="664"/>
        <v>N/A</v>
      </c>
      <c r="AV343" s="212">
        <f t="shared" si="664"/>
        <v>0</v>
      </c>
      <c r="AW343" s="203">
        <f t="shared" si="678"/>
        <v>0</v>
      </c>
      <c r="AX343" s="203">
        <f t="shared" ca="1" si="679"/>
        <v>0</v>
      </c>
      <c r="AY343" s="203">
        <f t="shared" ca="1" si="680"/>
        <v>0</v>
      </c>
      <c r="AZ343" s="212"/>
      <c r="BA343" s="213" t="s">
        <v>1925</v>
      </c>
      <c r="BB343" s="213" t="s">
        <v>1926</v>
      </c>
      <c r="BC343" s="213" t="s">
        <v>1927</v>
      </c>
      <c r="BD343" s="213" t="s">
        <v>140</v>
      </c>
      <c r="BE343" s="148"/>
      <c r="BF343" s="212" t="s">
        <v>1789</v>
      </c>
      <c r="BG343" s="117"/>
      <c r="BH343" s="155"/>
      <c r="BI343" s="216"/>
      <c r="BJ343" s="216"/>
      <c r="BK343" s="216"/>
      <c r="BL343" s="149"/>
      <c r="BM343" s="149"/>
      <c r="BN343" s="149"/>
      <c r="BO343" s="149"/>
      <c r="BP343" s="149"/>
      <c r="BQ343" s="149"/>
      <c r="BR343" s="117">
        <v>0</v>
      </c>
      <c r="BS343" s="117">
        <v>1</v>
      </c>
      <c r="BT343" s="117">
        <v>0</v>
      </c>
      <c r="BU343" s="117">
        <v>1</v>
      </c>
      <c r="BV343" s="117">
        <v>0</v>
      </c>
      <c r="BW343" s="117">
        <v>0</v>
      </c>
      <c r="BX343" s="117">
        <v>0</v>
      </c>
      <c r="BY343" s="117" t="s">
        <v>1790</v>
      </c>
      <c r="BZ343" s="158" t="s">
        <v>57</v>
      </c>
      <c r="CA343" s="158">
        <v>4</v>
      </c>
      <c r="CB343" s="234"/>
      <c r="CC343" s="155"/>
      <c r="CD343" s="155"/>
      <c r="CE343" s="217"/>
      <c r="CF343" s="166">
        <f t="shared" si="681"/>
        <v>-2</v>
      </c>
    </row>
    <row r="344" spans="1:84" ht="36" hidden="1">
      <c r="A344" s="117"/>
      <c r="B344" s="209" t="s">
        <v>1943</v>
      </c>
      <c r="C344" s="209" t="s">
        <v>2172</v>
      </c>
      <c r="D344" s="209" t="s">
        <v>1084</v>
      </c>
      <c r="E344" s="209" t="s">
        <v>1949</v>
      </c>
      <c r="F344" s="209" t="s">
        <v>1452</v>
      </c>
      <c r="G344" s="209" t="s">
        <v>1397</v>
      </c>
      <c r="H344" s="210">
        <v>5608</v>
      </c>
      <c r="I344" s="211" t="s">
        <v>147</v>
      </c>
      <c r="J344" s="144">
        <v>1</v>
      </c>
      <c r="K344" s="145">
        <f t="shared" si="660"/>
        <v>2</v>
      </c>
      <c r="L344" s="202">
        <f t="shared" si="665"/>
        <v>2</v>
      </c>
      <c r="M344" s="212">
        <v>326.2</v>
      </c>
      <c r="N344" s="203">
        <f t="shared" si="666"/>
        <v>652.4</v>
      </c>
      <c r="O344" s="212" t="s">
        <v>137</v>
      </c>
      <c r="P344" s="212" t="s">
        <v>13</v>
      </c>
      <c r="Q344" s="212" t="s">
        <v>154</v>
      </c>
      <c r="R344" s="212"/>
      <c r="S344" s="212"/>
      <c r="T344" s="203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0</v>
      </c>
      <c r="U344" s="203">
        <f t="shared" ca="1" si="667"/>
        <v>2</v>
      </c>
      <c r="V344" s="203">
        <f t="shared" ca="1" si="668"/>
        <v>0</v>
      </c>
      <c r="W344" s="212"/>
      <c r="X344" s="212"/>
      <c r="Y344" s="212"/>
      <c r="Z344" s="212"/>
      <c r="AA344" s="212"/>
      <c r="AB344" s="212"/>
      <c r="AC344" s="214" t="s">
        <v>1923</v>
      </c>
      <c r="AD344" s="215" t="s">
        <v>1924</v>
      </c>
      <c r="AE344" s="148"/>
      <c r="AF344" s="212" t="str">
        <f t="shared" si="661"/>
        <v>N/A</v>
      </c>
      <c r="AG344" s="212">
        <f t="shared" si="661"/>
        <v>0</v>
      </c>
      <c r="AH344" s="203">
        <f t="shared" si="669"/>
        <v>0</v>
      </c>
      <c r="AI344" s="203">
        <f t="shared" ca="1" si="670"/>
        <v>0</v>
      </c>
      <c r="AJ344" s="203">
        <f t="shared" ca="1" si="671"/>
        <v>0</v>
      </c>
      <c r="AK344" s="212" t="str">
        <f t="shared" si="662"/>
        <v>AMC2-S1</v>
      </c>
      <c r="AL344" s="212">
        <f t="shared" si="662"/>
        <v>1</v>
      </c>
      <c r="AM344" s="203">
        <f t="shared" si="672"/>
        <v>1</v>
      </c>
      <c r="AN344" s="203">
        <f t="shared" ca="1" si="673"/>
        <v>0</v>
      </c>
      <c r="AO344" s="203">
        <f t="shared" ca="1" si="674"/>
        <v>1</v>
      </c>
      <c r="AP344" s="212" t="str">
        <f t="shared" si="663"/>
        <v>AMC2-S4</v>
      </c>
      <c r="AQ344" s="212">
        <f t="shared" si="663"/>
        <v>1</v>
      </c>
      <c r="AR344" s="203">
        <f t="shared" si="675"/>
        <v>1</v>
      </c>
      <c r="AS344" s="203">
        <f t="shared" ca="1" si="676"/>
        <v>0</v>
      </c>
      <c r="AT344" s="203">
        <f t="shared" ca="1" si="677"/>
        <v>1</v>
      </c>
      <c r="AU344" s="212" t="str">
        <f t="shared" si="664"/>
        <v>N/A</v>
      </c>
      <c r="AV344" s="212">
        <f t="shared" si="664"/>
        <v>0</v>
      </c>
      <c r="AW344" s="203">
        <f t="shared" si="678"/>
        <v>0</v>
      </c>
      <c r="AX344" s="203">
        <f t="shared" ca="1" si="679"/>
        <v>0</v>
      </c>
      <c r="AY344" s="203">
        <f t="shared" ca="1" si="680"/>
        <v>0</v>
      </c>
      <c r="AZ344" s="212"/>
      <c r="BA344" s="213" t="s">
        <v>1925</v>
      </c>
      <c r="BB344" s="213" t="s">
        <v>1926</v>
      </c>
      <c r="BC344" s="213" t="s">
        <v>1927</v>
      </c>
      <c r="BD344" s="213" t="s">
        <v>140</v>
      </c>
      <c r="BE344" s="148"/>
      <c r="BF344" s="212" t="s">
        <v>1789</v>
      </c>
      <c r="BG344" s="117"/>
      <c r="BH344" s="155"/>
      <c r="BI344" s="216"/>
      <c r="BJ344" s="216"/>
      <c r="BK344" s="216"/>
      <c r="BL344" s="149"/>
      <c r="BM344" s="149"/>
      <c r="BN344" s="149"/>
      <c r="BO344" s="149"/>
      <c r="BP344" s="149"/>
      <c r="BQ344" s="149"/>
      <c r="BR344" s="117">
        <v>0</v>
      </c>
      <c r="BS344" s="117">
        <v>1</v>
      </c>
      <c r="BT344" s="117">
        <v>0</v>
      </c>
      <c r="BU344" s="117">
        <v>1</v>
      </c>
      <c r="BV344" s="117">
        <v>0</v>
      </c>
      <c r="BW344" s="117">
        <v>0</v>
      </c>
      <c r="BX344" s="117">
        <v>0</v>
      </c>
      <c r="BY344" s="117" t="s">
        <v>1790</v>
      </c>
      <c r="BZ344" s="158" t="s">
        <v>57</v>
      </c>
      <c r="CA344" s="158">
        <v>4</v>
      </c>
      <c r="CB344" s="234"/>
      <c r="CC344" s="155"/>
      <c r="CD344" s="155"/>
      <c r="CE344" s="217"/>
      <c r="CF344" s="166">
        <f t="shared" si="681"/>
        <v>-2</v>
      </c>
    </row>
    <row r="345" spans="1:84" ht="36" hidden="1">
      <c r="A345" s="117"/>
      <c r="B345" s="209" t="s">
        <v>1943</v>
      </c>
      <c r="C345" s="209" t="s">
        <v>2172</v>
      </c>
      <c r="D345" s="209" t="s">
        <v>1296</v>
      </c>
      <c r="E345" s="209" t="s">
        <v>1793</v>
      </c>
      <c r="F345" s="209" t="s">
        <v>1453</v>
      </c>
      <c r="G345" s="209" t="s">
        <v>1157</v>
      </c>
      <c r="H345" s="210">
        <v>11521</v>
      </c>
      <c r="I345" s="211" t="s">
        <v>147</v>
      </c>
      <c r="J345" s="144">
        <v>2</v>
      </c>
      <c r="K345" s="145">
        <f t="shared" si="660"/>
        <v>2</v>
      </c>
      <c r="L345" s="202">
        <f t="shared" si="665"/>
        <v>4</v>
      </c>
      <c r="M345" s="212">
        <v>434.1</v>
      </c>
      <c r="N345" s="203">
        <f t="shared" si="666"/>
        <v>1736.4</v>
      </c>
      <c r="O345" s="212" t="s">
        <v>137</v>
      </c>
      <c r="P345" s="212" t="s">
        <v>13</v>
      </c>
      <c r="Q345" s="212" t="s">
        <v>148</v>
      </c>
      <c r="R345" s="212"/>
      <c r="S345" s="212"/>
      <c r="T345" s="203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2</v>
      </c>
      <c r="U345" s="203">
        <f t="shared" ca="1" si="667"/>
        <v>2</v>
      </c>
      <c r="V345" s="203">
        <f t="shared" ca="1" si="668"/>
        <v>1</v>
      </c>
      <c r="W345" s="212"/>
      <c r="X345" s="212"/>
      <c r="Y345" s="212"/>
      <c r="Z345" s="212"/>
      <c r="AA345" s="212"/>
      <c r="AB345" s="212"/>
      <c r="AC345" s="214" t="s">
        <v>1923</v>
      </c>
      <c r="AD345" s="215" t="s">
        <v>1924</v>
      </c>
      <c r="AE345" s="148"/>
      <c r="AF345" s="212" t="str">
        <f t="shared" si="661"/>
        <v>N/A</v>
      </c>
      <c r="AG345" s="212">
        <f t="shared" si="661"/>
        <v>0</v>
      </c>
      <c r="AH345" s="203">
        <f t="shared" si="669"/>
        <v>0</v>
      </c>
      <c r="AI345" s="203">
        <f t="shared" ca="1" si="670"/>
        <v>0</v>
      </c>
      <c r="AJ345" s="203">
        <f t="shared" ca="1" si="671"/>
        <v>0</v>
      </c>
      <c r="AK345" s="212" t="str">
        <f t="shared" si="662"/>
        <v>AMC2-S1</v>
      </c>
      <c r="AL345" s="212">
        <f t="shared" si="662"/>
        <v>1</v>
      </c>
      <c r="AM345" s="203">
        <f t="shared" si="672"/>
        <v>2</v>
      </c>
      <c r="AN345" s="203">
        <f t="shared" ca="1" si="673"/>
        <v>1</v>
      </c>
      <c r="AO345" s="203">
        <f t="shared" ca="1" si="674"/>
        <v>1</v>
      </c>
      <c r="AP345" s="212" t="str">
        <f t="shared" si="663"/>
        <v>AMC2-S4</v>
      </c>
      <c r="AQ345" s="212">
        <f t="shared" si="663"/>
        <v>1</v>
      </c>
      <c r="AR345" s="203">
        <f t="shared" si="675"/>
        <v>2</v>
      </c>
      <c r="AS345" s="203">
        <f t="shared" ca="1" si="676"/>
        <v>1</v>
      </c>
      <c r="AT345" s="203">
        <f t="shared" ca="1" si="677"/>
        <v>1</v>
      </c>
      <c r="AU345" s="212" t="str">
        <f t="shared" si="664"/>
        <v>N/A</v>
      </c>
      <c r="AV345" s="212">
        <f t="shared" si="664"/>
        <v>0</v>
      </c>
      <c r="AW345" s="203">
        <f t="shared" si="678"/>
        <v>0</v>
      </c>
      <c r="AX345" s="203">
        <f t="shared" ca="1" si="679"/>
        <v>0</v>
      </c>
      <c r="AY345" s="203">
        <f t="shared" ca="1" si="680"/>
        <v>0</v>
      </c>
      <c r="AZ345" s="212"/>
      <c r="BA345" s="213" t="s">
        <v>1925</v>
      </c>
      <c r="BB345" s="213" t="s">
        <v>1926</v>
      </c>
      <c r="BC345" s="213" t="s">
        <v>1927</v>
      </c>
      <c r="BD345" s="213" t="s">
        <v>140</v>
      </c>
      <c r="BE345" s="148"/>
      <c r="BF345" s="212" t="s">
        <v>1789</v>
      </c>
      <c r="BG345" s="117"/>
      <c r="BH345" s="155"/>
      <c r="BI345" s="216"/>
      <c r="BJ345" s="216"/>
      <c r="BK345" s="216"/>
      <c r="BL345" s="149"/>
      <c r="BM345" s="149"/>
      <c r="BN345" s="149"/>
      <c r="BO345" s="149"/>
      <c r="BP345" s="149"/>
      <c r="BQ345" s="149"/>
      <c r="BR345" s="117">
        <v>0</v>
      </c>
      <c r="BS345" s="117">
        <v>0</v>
      </c>
      <c r="BT345" s="117">
        <v>0</v>
      </c>
      <c r="BU345" s="117">
        <v>0</v>
      </c>
      <c r="BV345" s="117">
        <v>0</v>
      </c>
      <c r="BW345" s="117">
        <v>0</v>
      </c>
      <c r="BX345" s="117">
        <v>0</v>
      </c>
      <c r="BY345" s="117" t="s">
        <v>1790</v>
      </c>
      <c r="BZ345" s="158" t="s">
        <v>2155</v>
      </c>
      <c r="CA345" s="144">
        <v>8</v>
      </c>
      <c r="CB345" s="235">
        <v>46231</v>
      </c>
      <c r="CC345" s="155"/>
      <c r="CD345" s="141"/>
      <c r="CE345" s="217"/>
      <c r="CF345" s="166">
        <f t="shared" si="681"/>
        <v>-4</v>
      </c>
    </row>
    <row r="346" spans="1:84" ht="36" hidden="1">
      <c r="A346" s="117"/>
      <c r="B346" s="209" t="s">
        <v>1943</v>
      </c>
      <c r="C346" s="209" t="s">
        <v>2172</v>
      </c>
      <c r="D346" s="209" t="s">
        <v>1296</v>
      </c>
      <c r="E346" s="209" t="s">
        <v>1794</v>
      </c>
      <c r="F346" s="209" t="s">
        <v>1454</v>
      </c>
      <c r="G346" s="209" t="s">
        <v>1163</v>
      </c>
      <c r="H346" s="210">
        <v>400</v>
      </c>
      <c r="I346" s="211" t="s">
        <v>147</v>
      </c>
      <c r="J346" s="144">
        <v>6</v>
      </c>
      <c r="K346" s="145">
        <f t="shared" si="660"/>
        <v>2</v>
      </c>
      <c r="L346" s="202">
        <f t="shared" si="665"/>
        <v>12</v>
      </c>
      <c r="M346" s="212">
        <v>4.5</v>
      </c>
      <c r="N346" s="203">
        <f t="shared" si="666"/>
        <v>54</v>
      </c>
      <c r="O346" s="212" t="s">
        <v>137</v>
      </c>
      <c r="P346" s="212" t="s">
        <v>13</v>
      </c>
      <c r="Q346" s="212" t="s">
        <v>148</v>
      </c>
      <c r="R346" s="212"/>
      <c r="S346" s="212"/>
      <c r="T346" s="203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6</v>
      </c>
      <c r="U346" s="203">
        <f t="shared" ca="1" si="667"/>
        <v>6</v>
      </c>
      <c r="V346" s="203">
        <f t="shared" ca="1" si="668"/>
        <v>1</v>
      </c>
      <c r="W346" s="212"/>
      <c r="X346" s="212"/>
      <c r="Y346" s="212"/>
      <c r="Z346" s="212"/>
      <c r="AA346" s="212"/>
      <c r="AB346" s="212"/>
      <c r="AC346" s="214" t="s">
        <v>1923</v>
      </c>
      <c r="AD346" s="215" t="s">
        <v>1924</v>
      </c>
      <c r="AE346" s="148"/>
      <c r="AF346" s="212" t="str">
        <f t="shared" si="661"/>
        <v>N/A</v>
      </c>
      <c r="AG346" s="212">
        <f t="shared" si="661"/>
        <v>0</v>
      </c>
      <c r="AH346" s="203">
        <f t="shared" si="669"/>
        <v>0</v>
      </c>
      <c r="AI346" s="203">
        <f t="shared" ca="1" si="670"/>
        <v>0</v>
      </c>
      <c r="AJ346" s="203">
        <f t="shared" ca="1" si="671"/>
        <v>0</v>
      </c>
      <c r="AK346" s="212" t="str">
        <f t="shared" si="662"/>
        <v>AMC2-S1</v>
      </c>
      <c r="AL346" s="212">
        <f t="shared" si="662"/>
        <v>1</v>
      </c>
      <c r="AM346" s="203">
        <f t="shared" si="672"/>
        <v>6</v>
      </c>
      <c r="AN346" s="203">
        <f t="shared" ca="1" si="673"/>
        <v>1</v>
      </c>
      <c r="AO346" s="203">
        <f t="shared" ca="1" si="674"/>
        <v>5</v>
      </c>
      <c r="AP346" s="212" t="str">
        <f t="shared" si="663"/>
        <v>AMC2-S4</v>
      </c>
      <c r="AQ346" s="212">
        <f t="shared" si="663"/>
        <v>1</v>
      </c>
      <c r="AR346" s="203">
        <f t="shared" si="675"/>
        <v>6</v>
      </c>
      <c r="AS346" s="203">
        <f t="shared" ca="1" si="676"/>
        <v>5</v>
      </c>
      <c r="AT346" s="203">
        <f t="shared" ca="1" si="677"/>
        <v>1</v>
      </c>
      <c r="AU346" s="212" t="str">
        <f t="shared" si="664"/>
        <v>N/A</v>
      </c>
      <c r="AV346" s="212">
        <f t="shared" si="664"/>
        <v>0</v>
      </c>
      <c r="AW346" s="203">
        <f t="shared" si="678"/>
        <v>0</v>
      </c>
      <c r="AX346" s="203">
        <f t="shared" ca="1" si="679"/>
        <v>0</v>
      </c>
      <c r="AY346" s="203">
        <f t="shared" ca="1" si="680"/>
        <v>0</v>
      </c>
      <c r="AZ346" s="212"/>
      <c r="BA346" s="213" t="s">
        <v>1925</v>
      </c>
      <c r="BB346" s="213" t="s">
        <v>1926</v>
      </c>
      <c r="BC346" s="213" t="s">
        <v>1927</v>
      </c>
      <c r="BD346" s="213" t="s">
        <v>140</v>
      </c>
      <c r="BE346" s="148"/>
      <c r="BF346" s="212" t="s">
        <v>1789</v>
      </c>
      <c r="BG346" s="117"/>
      <c r="BH346" s="155"/>
      <c r="BI346" s="216"/>
      <c r="BJ346" s="216"/>
      <c r="BK346" s="216"/>
      <c r="BL346" s="149"/>
      <c r="BM346" s="149"/>
      <c r="BN346" s="149"/>
      <c r="BO346" s="149"/>
      <c r="BP346" s="149"/>
      <c r="BQ346" s="149"/>
      <c r="BR346" s="117">
        <v>0</v>
      </c>
      <c r="BS346" s="117">
        <v>0</v>
      </c>
      <c r="BT346" s="117">
        <v>0</v>
      </c>
      <c r="BU346" s="117">
        <v>0</v>
      </c>
      <c r="BV346" s="117">
        <v>0</v>
      </c>
      <c r="BW346" s="117">
        <v>0</v>
      </c>
      <c r="BX346" s="117">
        <v>0</v>
      </c>
      <c r="BY346" s="117" t="s">
        <v>1790</v>
      </c>
      <c r="BZ346" s="158" t="s">
        <v>2160</v>
      </c>
      <c r="CA346" s="144">
        <v>24</v>
      </c>
      <c r="CB346" s="235">
        <v>46248</v>
      </c>
      <c r="CC346" s="155"/>
      <c r="CD346" s="117"/>
      <c r="CE346" s="217"/>
      <c r="CF346" s="166">
        <f t="shared" si="681"/>
        <v>-12</v>
      </c>
    </row>
    <row r="347" spans="1:84" ht="36" hidden="1">
      <c r="A347" s="117"/>
      <c r="B347" s="209" t="s">
        <v>1943</v>
      </c>
      <c r="C347" s="209" t="s">
        <v>2172</v>
      </c>
      <c r="D347" s="209" t="s">
        <v>1296</v>
      </c>
      <c r="E347" s="209" t="s">
        <v>1795</v>
      </c>
      <c r="F347" s="209" t="s">
        <v>1455</v>
      </c>
      <c r="G347" s="209" t="s">
        <v>1090</v>
      </c>
      <c r="H347" s="210">
        <v>460</v>
      </c>
      <c r="I347" s="211" t="s">
        <v>147</v>
      </c>
      <c r="J347" s="144">
        <v>6</v>
      </c>
      <c r="K347" s="145">
        <f t="shared" si="660"/>
        <v>2</v>
      </c>
      <c r="L347" s="202">
        <f t="shared" si="665"/>
        <v>12</v>
      </c>
      <c r="M347" s="212">
        <v>5.5</v>
      </c>
      <c r="N347" s="203">
        <f t="shared" si="666"/>
        <v>66</v>
      </c>
      <c r="O347" s="212" t="s">
        <v>137</v>
      </c>
      <c r="P347" s="212" t="s">
        <v>13</v>
      </c>
      <c r="Q347" s="212" t="s">
        <v>148</v>
      </c>
      <c r="R347" s="212"/>
      <c r="S347" s="212"/>
      <c r="T347" s="203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6</v>
      </c>
      <c r="U347" s="203">
        <f t="shared" ca="1" si="667"/>
        <v>6</v>
      </c>
      <c r="V347" s="203">
        <f t="shared" ca="1" si="668"/>
        <v>1</v>
      </c>
      <c r="W347" s="212"/>
      <c r="X347" s="212"/>
      <c r="Y347" s="212"/>
      <c r="Z347" s="212"/>
      <c r="AA347" s="212"/>
      <c r="AB347" s="212"/>
      <c r="AC347" s="214" t="s">
        <v>1923</v>
      </c>
      <c r="AD347" s="215" t="s">
        <v>1924</v>
      </c>
      <c r="AE347" s="148"/>
      <c r="AF347" s="212" t="str">
        <f t="shared" si="661"/>
        <v>N/A</v>
      </c>
      <c r="AG347" s="212">
        <f t="shared" si="661"/>
        <v>0</v>
      </c>
      <c r="AH347" s="203">
        <f t="shared" si="669"/>
        <v>0</v>
      </c>
      <c r="AI347" s="203">
        <f t="shared" ca="1" si="670"/>
        <v>0</v>
      </c>
      <c r="AJ347" s="203">
        <f t="shared" ca="1" si="671"/>
        <v>0</v>
      </c>
      <c r="AK347" s="212" t="str">
        <f t="shared" si="662"/>
        <v>AMC2-S1</v>
      </c>
      <c r="AL347" s="212">
        <f t="shared" si="662"/>
        <v>1</v>
      </c>
      <c r="AM347" s="203">
        <f t="shared" si="672"/>
        <v>6</v>
      </c>
      <c r="AN347" s="203">
        <f t="shared" ca="1" si="673"/>
        <v>1</v>
      </c>
      <c r="AO347" s="203">
        <f t="shared" ca="1" si="674"/>
        <v>5</v>
      </c>
      <c r="AP347" s="212" t="str">
        <f t="shared" si="663"/>
        <v>AMC2-S4</v>
      </c>
      <c r="AQ347" s="212">
        <f t="shared" si="663"/>
        <v>1</v>
      </c>
      <c r="AR347" s="203">
        <f t="shared" si="675"/>
        <v>6</v>
      </c>
      <c r="AS347" s="203">
        <f t="shared" ca="1" si="676"/>
        <v>5</v>
      </c>
      <c r="AT347" s="203">
        <f t="shared" ca="1" si="677"/>
        <v>1</v>
      </c>
      <c r="AU347" s="212" t="str">
        <f t="shared" si="664"/>
        <v>N/A</v>
      </c>
      <c r="AV347" s="212">
        <f t="shared" si="664"/>
        <v>0</v>
      </c>
      <c r="AW347" s="203">
        <f t="shared" si="678"/>
        <v>0</v>
      </c>
      <c r="AX347" s="203">
        <f t="shared" ca="1" si="679"/>
        <v>0</v>
      </c>
      <c r="AY347" s="203">
        <f t="shared" ca="1" si="680"/>
        <v>0</v>
      </c>
      <c r="AZ347" s="212"/>
      <c r="BA347" s="213" t="s">
        <v>1925</v>
      </c>
      <c r="BB347" s="213" t="s">
        <v>1926</v>
      </c>
      <c r="BC347" s="213" t="s">
        <v>1927</v>
      </c>
      <c r="BD347" s="213" t="s">
        <v>140</v>
      </c>
      <c r="BE347" s="148"/>
      <c r="BF347" s="212" t="s">
        <v>1789</v>
      </c>
      <c r="BG347" s="117"/>
      <c r="BH347" s="155"/>
      <c r="BI347" s="216"/>
      <c r="BJ347" s="216"/>
      <c r="BK347" s="216"/>
      <c r="BL347" s="149"/>
      <c r="BM347" s="149"/>
      <c r="BN347" s="149"/>
      <c r="BO347" s="149"/>
      <c r="BP347" s="149"/>
      <c r="BQ347" s="149"/>
      <c r="BR347" s="117">
        <v>0</v>
      </c>
      <c r="BS347" s="117">
        <v>0</v>
      </c>
      <c r="BT347" s="117">
        <v>0</v>
      </c>
      <c r="BU347" s="117">
        <v>0</v>
      </c>
      <c r="BV347" s="117">
        <v>0</v>
      </c>
      <c r="BW347" s="117">
        <v>0</v>
      </c>
      <c r="BX347" s="117">
        <v>0</v>
      </c>
      <c r="BY347" s="117" t="s">
        <v>1790</v>
      </c>
      <c r="BZ347" s="158" t="s">
        <v>2160</v>
      </c>
      <c r="CA347" s="144">
        <v>24</v>
      </c>
      <c r="CB347" s="235">
        <v>46248</v>
      </c>
      <c r="CC347" s="155"/>
      <c r="CD347" s="117"/>
      <c r="CE347" s="217"/>
      <c r="CF347" s="166">
        <f t="shared" si="681"/>
        <v>-12</v>
      </c>
    </row>
    <row r="348" spans="1:84" ht="36" hidden="1">
      <c r="A348" s="117"/>
      <c r="B348" s="209" t="s">
        <v>1943</v>
      </c>
      <c r="C348" s="209" t="s">
        <v>2172</v>
      </c>
      <c r="D348" s="209" t="s">
        <v>1296</v>
      </c>
      <c r="E348" s="209" t="s">
        <v>1796</v>
      </c>
      <c r="F348" s="209" t="s">
        <v>1456</v>
      </c>
      <c r="G348" s="209" t="s">
        <v>1406</v>
      </c>
      <c r="H348" s="210">
        <v>506</v>
      </c>
      <c r="I348" s="211" t="s">
        <v>147</v>
      </c>
      <c r="J348" s="144">
        <v>6</v>
      </c>
      <c r="K348" s="145">
        <f t="shared" si="660"/>
        <v>2</v>
      </c>
      <c r="L348" s="202">
        <f t="shared" si="665"/>
        <v>12</v>
      </c>
      <c r="M348" s="212">
        <v>6.5</v>
      </c>
      <c r="N348" s="203">
        <f t="shared" si="666"/>
        <v>78</v>
      </c>
      <c r="O348" s="212" t="s">
        <v>137</v>
      </c>
      <c r="P348" s="212" t="s">
        <v>13</v>
      </c>
      <c r="Q348" s="212" t="s">
        <v>148</v>
      </c>
      <c r="R348" s="212"/>
      <c r="S348" s="212"/>
      <c r="T348" s="203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6</v>
      </c>
      <c r="U348" s="203">
        <f t="shared" ca="1" si="667"/>
        <v>6</v>
      </c>
      <c r="V348" s="203">
        <f t="shared" ca="1" si="668"/>
        <v>1</v>
      </c>
      <c r="W348" s="212"/>
      <c r="X348" s="212"/>
      <c r="Y348" s="212"/>
      <c r="Z348" s="212"/>
      <c r="AA348" s="212"/>
      <c r="AB348" s="212"/>
      <c r="AC348" s="214" t="s">
        <v>1923</v>
      </c>
      <c r="AD348" s="215" t="s">
        <v>1924</v>
      </c>
      <c r="AE348" s="148"/>
      <c r="AF348" s="212" t="str">
        <f t="shared" si="661"/>
        <v>N/A</v>
      </c>
      <c r="AG348" s="212">
        <f t="shared" si="661"/>
        <v>0</v>
      </c>
      <c r="AH348" s="203">
        <f t="shared" si="669"/>
        <v>0</v>
      </c>
      <c r="AI348" s="203">
        <f t="shared" ca="1" si="670"/>
        <v>0</v>
      </c>
      <c r="AJ348" s="203">
        <f t="shared" ca="1" si="671"/>
        <v>0</v>
      </c>
      <c r="AK348" s="212" t="str">
        <f t="shared" si="662"/>
        <v>AMC2-S1</v>
      </c>
      <c r="AL348" s="212">
        <f t="shared" si="662"/>
        <v>1</v>
      </c>
      <c r="AM348" s="203">
        <f t="shared" si="672"/>
        <v>6</v>
      </c>
      <c r="AN348" s="203">
        <f t="shared" ca="1" si="673"/>
        <v>1</v>
      </c>
      <c r="AO348" s="203">
        <f t="shared" ca="1" si="674"/>
        <v>5</v>
      </c>
      <c r="AP348" s="212" t="str">
        <f t="shared" si="663"/>
        <v>AMC2-S4</v>
      </c>
      <c r="AQ348" s="212">
        <f t="shared" si="663"/>
        <v>1</v>
      </c>
      <c r="AR348" s="203">
        <f t="shared" si="675"/>
        <v>6</v>
      </c>
      <c r="AS348" s="203">
        <f t="shared" ca="1" si="676"/>
        <v>5</v>
      </c>
      <c r="AT348" s="203">
        <f t="shared" ca="1" si="677"/>
        <v>1</v>
      </c>
      <c r="AU348" s="212" t="str">
        <f t="shared" si="664"/>
        <v>N/A</v>
      </c>
      <c r="AV348" s="212">
        <f t="shared" si="664"/>
        <v>0</v>
      </c>
      <c r="AW348" s="203">
        <f t="shared" si="678"/>
        <v>0</v>
      </c>
      <c r="AX348" s="203">
        <f t="shared" ca="1" si="679"/>
        <v>0</v>
      </c>
      <c r="AY348" s="203">
        <f t="shared" ca="1" si="680"/>
        <v>0</v>
      </c>
      <c r="AZ348" s="212"/>
      <c r="BA348" s="213" t="s">
        <v>1925</v>
      </c>
      <c r="BB348" s="213" t="s">
        <v>1926</v>
      </c>
      <c r="BC348" s="213" t="s">
        <v>1927</v>
      </c>
      <c r="BD348" s="213" t="s">
        <v>140</v>
      </c>
      <c r="BE348" s="148"/>
      <c r="BF348" s="212" t="s">
        <v>1789</v>
      </c>
      <c r="BG348" s="117"/>
      <c r="BH348" s="155"/>
      <c r="BI348" s="216"/>
      <c r="BJ348" s="216"/>
      <c r="BK348" s="216"/>
      <c r="BL348" s="149"/>
      <c r="BM348" s="149"/>
      <c r="BN348" s="149"/>
      <c r="BO348" s="149"/>
      <c r="BP348" s="149"/>
      <c r="BQ348" s="149"/>
      <c r="BR348" s="117">
        <v>0</v>
      </c>
      <c r="BS348" s="117">
        <v>0</v>
      </c>
      <c r="BT348" s="117">
        <v>0</v>
      </c>
      <c r="BU348" s="117">
        <v>1</v>
      </c>
      <c r="BV348" s="117">
        <v>0</v>
      </c>
      <c r="BW348" s="117">
        <v>0</v>
      </c>
      <c r="BX348" s="117">
        <v>0</v>
      </c>
      <c r="BY348" s="117" t="s">
        <v>1790</v>
      </c>
      <c r="BZ348" s="158" t="s">
        <v>2159</v>
      </c>
      <c r="CA348" s="144">
        <v>24</v>
      </c>
      <c r="CB348" s="234">
        <v>46213</v>
      </c>
      <c r="CC348" s="155"/>
      <c r="CD348" s="117"/>
      <c r="CE348" s="217"/>
      <c r="CF348" s="166">
        <f t="shared" si="681"/>
        <v>-12</v>
      </c>
    </row>
    <row r="349" spans="1:84" ht="36" hidden="1">
      <c r="A349" s="117"/>
      <c r="B349" s="209" t="s">
        <v>1943</v>
      </c>
      <c r="C349" s="209" t="s">
        <v>2172</v>
      </c>
      <c r="D349" s="209" t="s">
        <v>1296</v>
      </c>
      <c r="E349" s="209" t="s">
        <v>1797</v>
      </c>
      <c r="F349" s="209" t="s">
        <v>1457</v>
      </c>
      <c r="G349" s="209" t="s">
        <v>1408</v>
      </c>
      <c r="H349" s="210">
        <v>645</v>
      </c>
      <c r="I349" s="211" t="s">
        <v>147</v>
      </c>
      <c r="J349" s="144">
        <v>6</v>
      </c>
      <c r="K349" s="145">
        <f t="shared" si="660"/>
        <v>2</v>
      </c>
      <c r="L349" s="202">
        <f t="shared" si="665"/>
        <v>12</v>
      </c>
      <c r="M349" s="212">
        <v>9.6</v>
      </c>
      <c r="N349" s="203">
        <f t="shared" si="666"/>
        <v>115.19999999999999</v>
      </c>
      <c r="O349" s="212" t="s">
        <v>137</v>
      </c>
      <c r="P349" s="212" t="s">
        <v>13</v>
      </c>
      <c r="Q349" s="212" t="s">
        <v>148</v>
      </c>
      <c r="R349" s="212"/>
      <c r="S349" s="212"/>
      <c r="T349" s="203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6</v>
      </c>
      <c r="U349" s="203">
        <f t="shared" ca="1" si="667"/>
        <v>6</v>
      </c>
      <c r="V349" s="203">
        <f t="shared" ca="1" si="668"/>
        <v>1</v>
      </c>
      <c r="W349" s="212"/>
      <c r="X349" s="212"/>
      <c r="Y349" s="212"/>
      <c r="Z349" s="212"/>
      <c r="AA349" s="212"/>
      <c r="AB349" s="212"/>
      <c r="AC349" s="214" t="s">
        <v>1923</v>
      </c>
      <c r="AD349" s="215" t="s">
        <v>1924</v>
      </c>
      <c r="AE349" s="148"/>
      <c r="AF349" s="212" t="str">
        <f t="shared" si="661"/>
        <v>N/A</v>
      </c>
      <c r="AG349" s="212">
        <f t="shared" si="661"/>
        <v>0</v>
      </c>
      <c r="AH349" s="203">
        <f t="shared" si="669"/>
        <v>0</v>
      </c>
      <c r="AI349" s="203">
        <f t="shared" ca="1" si="670"/>
        <v>0</v>
      </c>
      <c r="AJ349" s="203">
        <f t="shared" ca="1" si="671"/>
        <v>0</v>
      </c>
      <c r="AK349" s="212" t="str">
        <f t="shared" si="662"/>
        <v>AMC2-S1</v>
      </c>
      <c r="AL349" s="212">
        <f t="shared" si="662"/>
        <v>1</v>
      </c>
      <c r="AM349" s="203">
        <f t="shared" si="672"/>
        <v>6</v>
      </c>
      <c r="AN349" s="203">
        <f t="shared" ca="1" si="673"/>
        <v>1</v>
      </c>
      <c r="AO349" s="203">
        <f t="shared" ca="1" si="674"/>
        <v>5</v>
      </c>
      <c r="AP349" s="212" t="str">
        <f t="shared" si="663"/>
        <v>AMC2-S4</v>
      </c>
      <c r="AQ349" s="212">
        <f t="shared" si="663"/>
        <v>1</v>
      </c>
      <c r="AR349" s="203">
        <f t="shared" si="675"/>
        <v>6</v>
      </c>
      <c r="AS349" s="203">
        <f t="shared" ca="1" si="676"/>
        <v>5</v>
      </c>
      <c r="AT349" s="203">
        <f t="shared" ca="1" si="677"/>
        <v>1</v>
      </c>
      <c r="AU349" s="212" t="str">
        <f t="shared" si="664"/>
        <v>N/A</v>
      </c>
      <c r="AV349" s="212">
        <f t="shared" si="664"/>
        <v>0</v>
      </c>
      <c r="AW349" s="203">
        <f t="shared" si="678"/>
        <v>0</v>
      </c>
      <c r="AX349" s="203">
        <f t="shared" ca="1" si="679"/>
        <v>0</v>
      </c>
      <c r="AY349" s="203">
        <f t="shared" ca="1" si="680"/>
        <v>0</v>
      </c>
      <c r="AZ349" s="212"/>
      <c r="BA349" s="213" t="s">
        <v>1925</v>
      </c>
      <c r="BB349" s="213" t="s">
        <v>1926</v>
      </c>
      <c r="BC349" s="213" t="s">
        <v>1927</v>
      </c>
      <c r="BD349" s="213" t="s">
        <v>140</v>
      </c>
      <c r="BE349" s="148"/>
      <c r="BF349" s="212" t="s">
        <v>1789</v>
      </c>
      <c r="BG349" s="117"/>
      <c r="BH349" s="155"/>
      <c r="BI349" s="216"/>
      <c r="BJ349" s="216"/>
      <c r="BK349" s="216"/>
      <c r="BL349" s="149"/>
      <c r="BM349" s="149"/>
      <c r="BN349" s="149"/>
      <c r="BO349" s="149"/>
      <c r="BP349" s="149"/>
      <c r="BQ349" s="149"/>
      <c r="BR349" s="117">
        <v>0</v>
      </c>
      <c r="BS349" s="117">
        <v>0</v>
      </c>
      <c r="BT349" s="117">
        <v>0</v>
      </c>
      <c r="BU349" s="117">
        <v>1</v>
      </c>
      <c r="BV349" s="117">
        <v>0</v>
      </c>
      <c r="BW349" s="117">
        <v>0</v>
      </c>
      <c r="BX349" s="117">
        <v>0</v>
      </c>
      <c r="BY349" s="117" t="s">
        <v>1790</v>
      </c>
      <c r="BZ349" s="158" t="s">
        <v>2159</v>
      </c>
      <c r="CA349" s="144">
        <v>24</v>
      </c>
      <c r="CB349" s="234">
        <v>46213</v>
      </c>
      <c r="CC349" s="155"/>
      <c r="CD349" s="117"/>
      <c r="CE349" s="217"/>
      <c r="CF349" s="166">
        <f t="shared" si="681"/>
        <v>-12</v>
      </c>
    </row>
    <row r="350" spans="1:84" ht="36" hidden="1">
      <c r="A350" s="117"/>
      <c r="B350" s="209" t="s">
        <v>1943</v>
      </c>
      <c r="C350" s="209" t="s">
        <v>2172</v>
      </c>
      <c r="D350" s="209" t="s">
        <v>1076</v>
      </c>
      <c r="E350" s="209" t="s">
        <v>1802</v>
      </c>
      <c r="F350" s="209" t="s">
        <v>1446</v>
      </c>
      <c r="G350" s="209" t="s">
        <v>1075</v>
      </c>
      <c r="H350" s="210">
        <v>812</v>
      </c>
      <c r="I350" s="211" t="s">
        <v>1077</v>
      </c>
      <c r="J350" s="144">
        <v>6</v>
      </c>
      <c r="K350" s="145">
        <f t="shared" si="660"/>
        <v>2</v>
      </c>
      <c r="L350" s="202">
        <f t="shared" si="665"/>
        <v>12</v>
      </c>
      <c r="M350" s="212">
        <v>13.05696</v>
      </c>
      <c r="N350" s="203">
        <f t="shared" si="666"/>
        <v>156.68351999999999</v>
      </c>
      <c r="O350" s="212" t="s">
        <v>137</v>
      </c>
      <c r="P350" s="212" t="s">
        <v>11</v>
      </c>
      <c r="Q350" s="212" t="s">
        <v>148</v>
      </c>
      <c r="R350" s="212"/>
      <c r="S350" s="212"/>
      <c r="T350" s="203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6</v>
      </c>
      <c r="U350" s="203">
        <f t="shared" ca="1" si="667"/>
        <v>6</v>
      </c>
      <c r="V350" s="203">
        <f t="shared" ca="1" si="668"/>
        <v>1</v>
      </c>
      <c r="W350" s="212"/>
      <c r="X350" s="212"/>
      <c r="Y350" s="212"/>
      <c r="Z350" s="212"/>
      <c r="AA350" s="212"/>
      <c r="AB350" s="212"/>
      <c r="AC350" s="214" t="s">
        <v>1923</v>
      </c>
      <c r="AD350" s="215" t="s">
        <v>1924</v>
      </c>
      <c r="AE350" s="148"/>
      <c r="AF350" s="212" t="str">
        <f t="shared" si="661"/>
        <v>N/A</v>
      </c>
      <c r="AG350" s="212">
        <f t="shared" si="661"/>
        <v>0</v>
      </c>
      <c r="AH350" s="203">
        <f t="shared" si="669"/>
        <v>0</v>
      </c>
      <c r="AI350" s="203">
        <f t="shared" ca="1" si="670"/>
        <v>0</v>
      </c>
      <c r="AJ350" s="203">
        <f t="shared" ca="1" si="671"/>
        <v>0</v>
      </c>
      <c r="AK350" s="212" t="str">
        <f t="shared" si="662"/>
        <v>AMC2-S1</v>
      </c>
      <c r="AL350" s="212">
        <f t="shared" si="662"/>
        <v>1</v>
      </c>
      <c r="AM350" s="203">
        <f t="shared" si="672"/>
        <v>6</v>
      </c>
      <c r="AN350" s="203">
        <f t="shared" ca="1" si="673"/>
        <v>1</v>
      </c>
      <c r="AO350" s="203">
        <f t="shared" ca="1" si="674"/>
        <v>5</v>
      </c>
      <c r="AP350" s="212" t="str">
        <f t="shared" si="663"/>
        <v>AMC2-S4</v>
      </c>
      <c r="AQ350" s="212">
        <f t="shared" si="663"/>
        <v>1</v>
      </c>
      <c r="AR350" s="203">
        <f t="shared" si="675"/>
        <v>6</v>
      </c>
      <c r="AS350" s="203">
        <f t="shared" ca="1" si="676"/>
        <v>5</v>
      </c>
      <c r="AT350" s="203">
        <f t="shared" ca="1" si="677"/>
        <v>1</v>
      </c>
      <c r="AU350" s="212" t="str">
        <f t="shared" si="664"/>
        <v>N/A</v>
      </c>
      <c r="AV350" s="212">
        <f t="shared" si="664"/>
        <v>0</v>
      </c>
      <c r="AW350" s="203">
        <f t="shared" si="678"/>
        <v>0</v>
      </c>
      <c r="AX350" s="203">
        <f t="shared" ca="1" si="679"/>
        <v>0</v>
      </c>
      <c r="AY350" s="203">
        <f t="shared" ca="1" si="680"/>
        <v>0</v>
      </c>
      <c r="AZ350" s="212"/>
      <c r="BA350" s="213" t="s">
        <v>1925</v>
      </c>
      <c r="BB350" s="213" t="s">
        <v>1926</v>
      </c>
      <c r="BC350" s="213" t="s">
        <v>1927</v>
      </c>
      <c r="BD350" s="213" t="s">
        <v>140</v>
      </c>
      <c r="BE350" s="148"/>
      <c r="BF350" s="212" t="s">
        <v>1789</v>
      </c>
      <c r="BG350" s="117"/>
      <c r="BH350" s="155"/>
      <c r="BI350" s="216"/>
      <c r="BJ350" s="216"/>
      <c r="BK350" s="216"/>
      <c r="BL350" s="149"/>
      <c r="BM350" s="149"/>
      <c r="BN350" s="149"/>
      <c r="BO350" s="149"/>
      <c r="BP350" s="149"/>
      <c r="BQ350" s="149"/>
      <c r="BR350" s="117">
        <v>0</v>
      </c>
      <c r="BS350" s="117">
        <v>0</v>
      </c>
      <c r="BT350" s="117">
        <v>0</v>
      </c>
      <c r="BU350" s="117">
        <v>1</v>
      </c>
      <c r="BV350" s="117">
        <v>0</v>
      </c>
      <c r="BW350" s="117">
        <v>0</v>
      </c>
      <c r="BX350" s="117">
        <v>0</v>
      </c>
      <c r="BY350" s="117" t="s">
        <v>1790</v>
      </c>
      <c r="BZ350" s="158" t="s">
        <v>2161</v>
      </c>
      <c r="CA350" s="213">
        <v>24</v>
      </c>
      <c r="CB350" s="235">
        <v>46231</v>
      </c>
      <c r="CC350" s="155"/>
      <c r="CD350" s="155"/>
      <c r="CE350" s="217"/>
      <c r="CF350" s="166">
        <f t="shared" si="681"/>
        <v>-12</v>
      </c>
    </row>
    <row r="351" spans="1:84" ht="36" hidden="1">
      <c r="A351" s="186"/>
      <c r="B351" s="187" t="s">
        <v>1943</v>
      </c>
      <c r="C351" s="187" t="s">
        <v>2174</v>
      </c>
      <c r="D351" s="187"/>
      <c r="E351" s="187"/>
      <c r="F351" s="187"/>
      <c r="G351" s="187" t="s">
        <v>1950</v>
      </c>
      <c r="H351" s="188"/>
      <c r="I351" s="189"/>
      <c r="J351" s="190"/>
      <c r="K351" s="191">
        <f t="shared" si="660"/>
        <v>2</v>
      </c>
      <c r="L351" s="190"/>
      <c r="M351" s="192">
        <v>2888.1</v>
      </c>
      <c r="N351" s="192">
        <v>11552.4</v>
      </c>
      <c r="O351" s="192" t="s">
        <v>137</v>
      </c>
      <c r="P351" s="192"/>
      <c r="Q351" s="192"/>
      <c r="R351" s="192"/>
      <c r="S351" s="192"/>
      <c r="T351" s="192"/>
      <c r="U351" s="192"/>
      <c r="V351" s="192"/>
      <c r="W351" s="192">
        <f ca="1">_xlfn.MINIFS(V:V,C:C,C351,AE:AE,"",AB:AB,"")</f>
        <v>0</v>
      </c>
      <c r="X351" s="192">
        <f ca="1">SUMIFS(T:T,C:C,C351,AE:AE,"")/SUMIFS(L:L,C:C,C351,AE:AE,"",AB:AB,"")</f>
        <v>0.70370370370370372</v>
      </c>
      <c r="Y351" s="192"/>
      <c r="Z351" s="192"/>
      <c r="AA351" s="192"/>
      <c r="AB351" s="192"/>
      <c r="AC351" s="194" t="s">
        <v>1923</v>
      </c>
      <c r="AD351" s="195" t="s">
        <v>1924</v>
      </c>
      <c r="AE351" s="196" t="s">
        <v>1787</v>
      </c>
      <c r="AF351" s="192" t="str">
        <f t="shared" si="661"/>
        <v>N/A</v>
      </c>
      <c r="AG351" s="192">
        <f t="shared" si="661"/>
        <v>0</v>
      </c>
      <c r="AH351" s="192"/>
      <c r="AI351" s="192"/>
      <c r="AJ351" s="192"/>
      <c r="AK351" s="192" t="str">
        <f t="shared" si="662"/>
        <v>AMC2-S1</v>
      </c>
      <c r="AL351" s="192">
        <f t="shared" si="662"/>
        <v>1</v>
      </c>
      <c r="AM351" s="192"/>
      <c r="AN351" s="192"/>
      <c r="AO351" s="192"/>
      <c r="AP351" s="192" t="str">
        <f t="shared" si="663"/>
        <v>AMC2-S4</v>
      </c>
      <c r="AQ351" s="192">
        <f t="shared" si="663"/>
        <v>1</v>
      </c>
      <c r="AR351" s="192"/>
      <c r="AS351" s="192"/>
      <c r="AT351" s="192"/>
      <c r="AU351" s="192" t="str">
        <f t="shared" si="664"/>
        <v>N/A</v>
      </c>
      <c r="AV351" s="192">
        <f t="shared" si="664"/>
        <v>0</v>
      </c>
      <c r="AW351" s="192"/>
      <c r="AX351" s="192"/>
      <c r="AY351" s="192"/>
      <c r="AZ351" s="192"/>
      <c r="BA351" s="193" t="s">
        <v>1925</v>
      </c>
      <c r="BB351" s="193" t="s">
        <v>1926</v>
      </c>
      <c r="BC351" s="193" t="s">
        <v>1927</v>
      </c>
      <c r="BD351" s="193" t="s">
        <v>140</v>
      </c>
      <c r="BE351" s="196" t="s">
        <v>741</v>
      </c>
      <c r="BF351" s="192"/>
      <c r="BG351" s="186"/>
      <c r="BH351" s="186"/>
      <c r="BI351" s="197"/>
      <c r="BJ351" s="197"/>
      <c r="BK351" s="197"/>
      <c r="BL351" s="197"/>
      <c r="BM351" s="197"/>
      <c r="BN351" s="197"/>
      <c r="BO351" s="197"/>
      <c r="BP351" s="197"/>
      <c r="BQ351" s="197"/>
      <c r="BR351" s="186"/>
      <c r="BS351" s="186"/>
      <c r="BT351" s="186"/>
      <c r="BU351" s="186"/>
      <c r="BV351" s="186"/>
      <c r="BW351" s="186"/>
      <c r="BX351" s="186"/>
      <c r="BY351" s="186"/>
      <c r="BZ351" s="186"/>
      <c r="CA351" s="186"/>
      <c r="CB351" s="197"/>
      <c r="CC351" s="186"/>
      <c r="CD351" s="186"/>
      <c r="CE351" s="198"/>
      <c r="CF351" s="198"/>
    </row>
    <row r="352" spans="1:84" ht="36" hidden="1">
      <c r="A352" s="117"/>
      <c r="B352" s="209" t="s">
        <v>1943</v>
      </c>
      <c r="C352" s="209" t="s">
        <v>2174</v>
      </c>
      <c r="D352" s="209" t="s">
        <v>1084</v>
      </c>
      <c r="E352" s="209" t="s">
        <v>1798</v>
      </c>
      <c r="F352" s="209" t="s">
        <v>1469</v>
      </c>
      <c r="G352" s="209" t="s">
        <v>1429</v>
      </c>
      <c r="H352" s="210">
        <v>4023</v>
      </c>
      <c r="I352" s="211" t="s">
        <v>147</v>
      </c>
      <c r="J352" s="144">
        <v>1</v>
      </c>
      <c r="K352" s="145">
        <f t="shared" si="660"/>
        <v>2</v>
      </c>
      <c r="L352" s="202">
        <f t="shared" ref="L352:L356" si="682">+J352*K352</f>
        <v>2</v>
      </c>
      <c r="M352" s="212">
        <v>863.8</v>
      </c>
      <c r="N352" s="203">
        <f t="shared" ref="N352:N356" si="683">+M352*L352</f>
        <v>1727.6</v>
      </c>
      <c r="O352" s="212" t="s">
        <v>137</v>
      </c>
      <c r="P352" s="212" t="s">
        <v>13</v>
      </c>
      <c r="Q352" s="212" t="s">
        <v>154</v>
      </c>
      <c r="R352" s="212"/>
      <c r="S352" s="212"/>
      <c r="T352" s="203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2</v>
      </c>
      <c r="U352" s="203">
        <f t="shared" ref="U352:U356" ca="1" si="684">+L352-T352</f>
        <v>0</v>
      </c>
      <c r="V352" s="203">
        <f t="shared" ref="V352:V356" ca="1" si="685">ROUNDDOWN(T352/J352,0)</f>
        <v>2</v>
      </c>
      <c r="W352" s="212"/>
      <c r="X352" s="212"/>
      <c r="Y352" s="212"/>
      <c r="Z352" s="212"/>
      <c r="AA352" s="212"/>
      <c r="AB352" s="212"/>
      <c r="AC352" s="214" t="s">
        <v>1923</v>
      </c>
      <c r="AD352" s="215" t="s">
        <v>1924</v>
      </c>
      <c r="AE352" s="148"/>
      <c r="AF352" s="212" t="str">
        <f t="shared" si="661"/>
        <v>N/A</v>
      </c>
      <c r="AG352" s="212">
        <f t="shared" si="661"/>
        <v>0</v>
      </c>
      <c r="AH352" s="203">
        <f t="shared" ref="AH352:AH356" si="686">+AG352*J352</f>
        <v>0</v>
      </c>
      <c r="AI352" s="203">
        <f t="shared" ref="AI352:AI356" ca="1" si="687">MIN(T352,AH352)</f>
        <v>0</v>
      </c>
      <c r="AJ352" s="203">
        <f t="shared" ref="AJ352:AJ356" ca="1" si="688">+AH352-AI352</f>
        <v>0</v>
      </c>
      <c r="AK352" s="212" t="str">
        <f t="shared" si="662"/>
        <v>AMC2-S1</v>
      </c>
      <c r="AL352" s="212">
        <f t="shared" si="662"/>
        <v>1</v>
      </c>
      <c r="AM352" s="203">
        <f t="shared" ref="AM352:AM356" si="689">+AL352*J352</f>
        <v>1</v>
      </c>
      <c r="AN352" s="203">
        <f t="shared" ref="AN352:AN356" ca="1" si="690">MIN(T352-AI352,AL352)</f>
        <v>1</v>
      </c>
      <c r="AO352" s="203">
        <f t="shared" ref="AO352:AO356" ca="1" si="691">+AM352-AN352</f>
        <v>0</v>
      </c>
      <c r="AP352" s="212" t="str">
        <f t="shared" si="663"/>
        <v>AMC2-S4</v>
      </c>
      <c r="AQ352" s="212">
        <f t="shared" si="663"/>
        <v>1</v>
      </c>
      <c r="AR352" s="203">
        <f t="shared" ref="AR352:AR356" si="692">+AQ352*J352</f>
        <v>1</v>
      </c>
      <c r="AS352" s="203">
        <f t="shared" ref="AS352:AS356" ca="1" si="693">MIN(T352-AI352-AN352,AR352)</f>
        <v>1</v>
      </c>
      <c r="AT352" s="203">
        <f t="shared" ref="AT352:AT356" ca="1" si="694">+AR352-AS352</f>
        <v>0</v>
      </c>
      <c r="AU352" s="212" t="str">
        <f t="shared" si="664"/>
        <v>N/A</v>
      </c>
      <c r="AV352" s="212">
        <f t="shared" si="664"/>
        <v>0</v>
      </c>
      <c r="AW352" s="203">
        <f t="shared" ref="AW352:AW356" si="695">+AV352*J352</f>
        <v>0</v>
      </c>
      <c r="AX352" s="203">
        <f t="shared" ref="AX352:AX356" ca="1" si="696">MIN(T352-AI352-AN352-AS352,AW352)</f>
        <v>0</v>
      </c>
      <c r="AY352" s="203">
        <f t="shared" ref="AY352:AY356" ca="1" si="697">+AW352-AX352</f>
        <v>0</v>
      </c>
      <c r="AZ352" s="212"/>
      <c r="BA352" s="213" t="s">
        <v>1925</v>
      </c>
      <c r="BB352" s="213" t="s">
        <v>1926</v>
      </c>
      <c r="BC352" s="213" t="s">
        <v>1927</v>
      </c>
      <c r="BD352" s="213" t="s">
        <v>140</v>
      </c>
      <c r="BE352" s="148"/>
      <c r="BF352" s="212" t="s">
        <v>1789</v>
      </c>
      <c r="BG352" s="117"/>
      <c r="BH352" s="155"/>
      <c r="BI352" s="216"/>
      <c r="BJ352" s="216"/>
      <c r="BK352" s="216"/>
      <c r="BL352" s="149"/>
      <c r="BM352" s="149"/>
      <c r="BN352" s="149"/>
      <c r="BO352" s="149"/>
      <c r="BP352" s="149"/>
      <c r="BQ352" s="149"/>
      <c r="BR352" s="117">
        <v>0</v>
      </c>
      <c r="BS352" s="117">
        <v>1</v>
      </c>
      <c r="BT352" s="117">
        <v>0</v>
      </c>
      <c r="BU352" s="117">
        <v>1</v>
      </c>
      <c r="BV352" s="117">
        <v>0</v>
      </c>
      <c r="BW352" s="117">
        <v>0</v>
      </c>
      <c r="BX352" s="117">
        <v>0</v>
      </c>
      <c r="BY352" s="117" t="s">
        <v>1790</v>
      </c>
      <c r="BZ352" s="158" t="s">
        <v>57</v>
      </c>
      <c r="CA352" s="158">
        <v>4</v>
      </c>
      <c r="CB352" s="234"/>
      <c r="CC352" s="155"/>
      <c r="CD352" s="155"/>
      <c r="CE352" s="217"/>
      <c r="CF352" s="166">
        <f>+L352-CA352</f>
        <v>-2</v>
      </c>
    </row>
    <row r="353" spans="1:84" ht="36" hidden="1">
      <c r="A353" s="117"/>
      <c r="B353" s="209" t="s">
        <v>1943</v>
      </c>
      <c r="C353" s="209" t="s">
        <v>2174</v>
      </c>
      <c r="D353" s="209" t="s">
        <v>1084</v>
      </c>
      <c r="E353" s="209" t="s">
        <v>1799</v>
      </c>
      <c r="F353" s="209" t="s">
        <v>1465</v>
      </c>
      <c r="G353" s="209" t="s">
        <v>1410</v>
      </c>
      <c r="H353" s="210">
        <v>2635</v>
      </c>
      <c r="I353" s="211" t="s">
        <v>147</v>
      </c>
      <c r="J353" s="144">
        <v>1</v>
      </c>
      <c r="K353" s="145">
        <f t="shared" si="660"/>
        <v>2</v>
      </c>
      <c r="L353" s="202">
        <f t="shared" si="682"/>
        <v>2</v>
      </c>
      <c r="M353" s="212">
        <v>441.5</v>
      </c>
      <c r="N353" s="203">
        <f t="shared" si="683"/>
        <v>883</v>
      </c>
      <c r="O353" s="212" t="s">
        <v>137</v>
      </c>
      <c r="P353" s="212" t="s">
        <v>13</v>
      </c>
      <c r="Q353" s="212" t="s">
        <v>154</v>
      </c>
      <c r="R353" s="212"/>
      <c r="S353" s="212"/>
      <c r="T353" s="203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0</v>
      </c>
      <c r="U353" s="203">
        <f t="shared" ca="1" si="684"/>
        <v>2</v>
      </c>
      <c r="V353" s="203">
        <f t="shared" ca="1" si="685"/>
        <v>0</v>
      </c>
      <c r="W353" s="212"/>
      <c r="X353" s="212"/>
      <c r="Y353" s="212"/>
      <c r="Z353" s="212"/>
      <c r="AA353" s="212"/>
      <c r="AB353" s="212"/>
      <c r="AC353" s="214" t="s">
        <v>1923</v>
      </c>
      <c r="AD353" s="215" t="s">
        <v>1924</v>
      </c>
      <c r="AE353" s="148"/>
      <c r="AF353" s="212" t="str">
        <f t="shared" si="661"/>
        <v>N/A</v>
      </c>
      <c r="AG353" s="212">
        <f t="shared" si="661"/>
        <v>0</v>
      </c>
      <c r="AH353" s="203">
        <f t="shared" si="686"/>
        <v>0</v>
      </c>
      <c r="AI353" s="203">
        <f t="shared" ca="1" si="687"/>
        <v>0</v>
      </c>
      <c r="AJ353" s="203">
        <f t="shared" ca="1" si="688"/>
        <v>0</v>
      </c>
      <c r="AK353" s="212" t="str">
        <f t="shared" si="662"/>
        <v>AMC2-S1</v>
      </c>
      <c r="AL353" s="212">
        <f t="shared" si="662"/>
        <v>1</v>
      </c>
      <c r="AM353" s="203">
        <f t="shared" si="689"/>
        <v>1</v>
      </c>
      <c r="AN353" s="203">
        <f t="shared" ca="1" si="690"/>
        <v>0</v>
      </c>
      <c r="AO353" s="203">
        <f t="shared" ca="1" si="691"/>
        <v>1</v>
      </c>
      <c r="AP353" s="212" t="str">
        <f t="shared" si="663"/>
        <v>AMC2-S4</v>
      </c>
      <c r="AQ353" s="212">
        <f t="shared" si="663"/>
        <v>1</v>
      </c>
      <c r="AR353" s="203">
        <f t="shared" si="692"/>
        <v>1</v>
      </c>
      <c r="AS353" s="203">
        <f t="shared" ca="1" si="693"/>
        <v>0</v>
      </c>
      <c r="AT353" s="203">
        <f t="shared" ca="1" si="694"/>
        <v>1</v>
      </c>
      <c r="AU353" s="212" t="str">
        <f t="shared" si="664"/>
        <v>N/A</v>
      </c>
      <c r="AV353" s="212">
        <f t="shared" si="664"/>
        <v>0</v>
      </c>
      <c r="AW353" s="203">
        <f t="shared" si="695"/>
        <v>0</v>
      </c>
      <c r="AX353" s="203">
        <f t="shared" ca="1" si="696"/>
        <v>0</v>
      </c>
      <c r="AY353" s="203">
        <f t="shared" ca="1" si="697"/>
        <v>0</v>
      </c>
      <c r="AZ353" s="212"/>
      <c r="BA353" s="213" t="s">
        <v>1925</v>
      </c>
      <c r="BB353" s="213" t="s">
        <v>1926</v>
      </c>
      <c r="BC353" s="213" t="s">
        <v>1927</v>
      </c>
      <c r="BD353" s="213" t="s">
        <v>140</v>
      </c>
      <c r="BE353" s="148"/>
      <c r="BF353" s="212" t="s">
        <v>1789</v>
      </c>
      <c r="BG353" s="117"/>
      <c r="BH353" s="117"/>
      <c r="BI353" s="149"/>
      <c r="BJ353" s="149"/>
      <c r="BK353" s="149"/>
      <c r="BL353" s="149"/>
      <c r="BM353" s="149"/>
      <c r="BN353" s="149"/>
      <c r="BO353" s="149"/>
      <c r="BP353" s="149"/>
      <c r="BQ353" s="149"/>
      <c r="BR353" s="117">
        <v>0</v>
      </c>
      <c r="BS353" s="117">
        <v>1</v>
      </c>
      <c r="BT353" s="117">
        <v>0</v>
      </c>
      <c r="BU353" s="117">
        <v>1</v>
      </c>
      <c r="BV353" s="117">
        <v>0</v>
      </c>
      <c r="BW353" s="117">
        <v>0</v>
      </c>
      <c r="BX353" s="117">
        <v>0</v>
      </c>
      <c r="BY353" s="117" t="s">
        <v>1790</v>
      </c>
      <c r="BZ353" s="167" t="s">
        <v>2154</v>
      </c>
      <c r="CA353" s="144">
        <v>4</v>
      </c>
      <c r="CB353" s="235">
        <v>46216</v>
      </c>
      <c r="CC353" s="141"/>
      <c r="CD353" s="141"/>
      <c r="CE353" s="148"/>
      <c r="CF353" s="166">
        <f>+L353-CA353</f>
        <v>-2</v>
      </c>
    </row>
    <row r="354" spans="1:84" ht="36" hidden="1">
      <c r="A354" s="117"/>
      <c r="B354" s="209" t="s">
        <v>1943</v>
      </c>
      <c r="C354" s="209" t="s">
        <v>2174</v>
      </c>
      <c r="D354" s="209" t="s">
        <v>1084</v>
      </c>
      <c r="E354" s="209" t="s">
        <v>1800</v>
      </c>
      <c r="F354" s="209" t="s">
        <v>1466</v>
      </c>
      <c r="G354" s="209" t="s">
        <v>1412</v>
      </c>
      <c r="H354" s="210">
        <v>5608</v>
      </c>
      <c r="I354" s="211" t="s">
        <v>147</v>
      </c>
      <c r="J354" s="144">
        <v>1</v>
      </c>
      <c r="K354" s="145">
        <f t="shared" si="660"/>
        <v>2</v>
      </c>
      <c r="L354" s="202">
        <f t="shared" si="682"/>
        <v>2</v>
      </c>
      <c r="M354" s="212">
        <v>1388.4</v>
      </c>
      <c r="N354" s="203">
        <f t="shared" si="683"/>
        <v>2776.8</v>
      </c>
      <c r="O354" s="212" t="s">
        <v>137</v>
      </c>
      <c r="P354" s="212" t="s">
        <v>13</v>
      </c>
      <c r="Q354" s="212" t="s">
        <v>154</v>
      </c>
      <c r="R354" s="212"/>
      <c r="S354" s="212"/>
      <c r="T354" s="203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2</v>
      </c>
      <c r="U354" s="203">
        <f t="shared" ca="1" si="684"/>
        <v>0</v>
      </c>
      <c r="V354" s="203">
        <f t="shared" ca="1" si="685"/>
        <v>2</v>
      </c>
      <c r="W354" s="212"/>
      <c r="X354" s="212"/>
      <c r="Y354" s="212"/>
      <c r="Z354" s="212"/>
      <c r="AA354" s="212"/>
      <c r="AB354" s="212"/>
      <c r="AC354" s="214" t="s">
        <v>1923</v>
      </c>
      <c r="AD354" s="215" t="s">
        <v>1924</v>
      </c>
      <c r="AE354" s="148"/>
      <c r="AF354" s="212" t="str">
        <f t="shared" si="661"/>
        <v>N/A</v>
      </c>
      <c r="AG354" s="212">
        <f t="shared" si="661"/>
        <v>0</v>
      </c>
      <c r="AH354" s="203">
        <f t="shared" si="686"/>
        <v>0</v>
      </c>
      <c r="AI354" s="203">
        <f t="shared" ca="1" si="687"/>
        <v>0</v>
      </c>
      <c r="AJ354" s="203">
        <f t="shared" ca="1" si="688"/>
        <v>0</v>
      </c>
      <c r="AK354" s="212" t="str">
        <f t="shared" si="662"/>
        <v>AMC2-S1</v>
      </c>
      <c r="AL354" s="212">
        <f t="shared" si="662"/>
        <v>1</v>
      </c>
      <c r="AM354" s="203">
        <f t="shared" si="689"/>
        <v>1</v>
      </c>
      <c r="AN354" s="203">
        <f t="shared" ca="1" si="690"/>
        <v>1</v>
      </c>
      <c r="AO354" s="203">
        <f t="shared" ca="1" si="691"/>
        <v>0</v>
      </c>
      <c r="AP354" s="212" t="str">
        <f t="shared" si="663"/>
        <v>AMC2-S4</v>
      </c>
      <c r="AQ354" s="212">
        <f t="shared" si="663"/>
        <v>1</v>
      </c>
      <c r="AR354" s="203">
        <f t="shared" si="692"/>
        <v>1</v>
      </c>
      <c r="AS354" s="203">
        <f t="shared" ca="1" si="693"/>
        <v>1</v>
      </c>
      <c r="AT354" s="203">
        <f t="shared" ca="1" si="694"/>
        <v>0</v>
      </c>
      <c r="AU354" s="212" t="str">
        <f t="shared" si="664"/>
        <v>N/A</v>
      </c>
      <c r="AV354" s="212">
        <f t="shared" si="664"/>
        <v>0</v>
      </c>
      <c r="AW354" s="203">
        <f t="shared" si="695"/>
        <v>0</v>
      </c>
      <c r="AX354" s="203">
        <f t="shared" ca="1" si="696"/>
        <v>0</v>
      </c>
      <c r="AY354" s="203">
        <f t="shared" ca="1" si="697"/>
        <v>0</v>
      </c>
      <c r="AZ354" s="212"/>
      <c r="BA354" s="213" t="s">
        <v>1925</v>
      </c>
      <c r="BB354" s="213" t="s">
        <v>1926</v>
      </c>
      <c r="BC354" s="213" t="s">
        <v>1927</v>
      </c>
      <c r="BD354" s="213" t="s">
        <v>140</v>
      </c>
      <c r="BE354" s="148"/>
      <c r="BF354" s="212" t="s">
        <v>1789</v>
      </c>
      <c r="BG354" s="117"/>
      <c r="BH354" s="155"/>
      <c r="BI354" s="216"/>
      <c r="BJ354" s="216"/>
      <c r="BK354" s="216"/>
      <c r="BL354" s="149"/>
      <c r="BM354" s="149"/>
      <c r="BN354" s="149"/>
      <c r="BO354" s="149"/>
      <c r="BP354" s="149"/>
      <c r="BQ354" s="149"/>
      <c r="BR354" s="117">
        <v>0</v>
      </c>
      <c r="BS354" s="117">
        <v>1</v>
      </c>
      <c r="BT354" s="117">
        <v>0</v>
      </c>
      <c r="BU354" s="117">
        <v>1</v>
      </c>
      <c r="BV354" s="117">
        <v>0</v>
      </c>
      <c r="BW354" s="117">
        <v>0</v>
      </c>
      <c r="BX354" s="117">
        <v>0</v>
      </c>
      <c r="BY354" s="117" t="s">
        <v>1790</v>
      </c>
      <c r="BZ354" s="158" t="s">
        <v>57</v>
      </c>
      <c r="CA354" s="158">
        <v>4</v>
      </c>
      <c r="CB354" s="234"/>
      <c r="CC354" s="155"/>
      <c r="CD354" s="155"/>
      <c r="CE354" s="217"/>
      <c r="CF354" s="166">
        <f>+L354-CA354</f>
        <v>-2</v>
      </c>
    </row>
    <row r="355" spans="1:84" ht="36" hidden="1">
      <c r="A355" s="141"/>
      <c r="B355" s="199" t="s">
        <v>1943</v>
      </c>
      <c r="C355" s="199" t="s">
        <v>2174</v>
      </c>
      <c r="D355" s="199" t="s">
        <v>1296</v>
      </c>
      <c r="E355" s="199" t="s">
        <v>1801</v>
      </c>
      <c r="F355" s="199" t="s">
        <v>1467</v>
      </c>
      <c r="G355" s="199" t="s">
        <v>1414</v>
      </c>
      <c r="H355" s="200">
        <v>2225</v>
      </c>
      <c r="I355" s="201" t="s">
        <v>147</v>
      </c>
      <c r="J355" s="165">
        <v>3</v>
      </c>
      <c r="K355" s="202">
        <f t="shared" si="660"/>
        <v>2</v>
      </c>
      <c r="L355" s="202">
        <f t="shared" si="682"/>
        <v>6</v>
      </c>
      <c r="M355" s="203">
        <v>31.8</v>
      </c>
      <c r="N355" s="203">
        <f t="shared" si="683"/>
        <v>190.8</v>
      </c>
      <c r="O355" s="203" t="s">
        <v>137</v>
      </c>
      <c r="P355" s="203" t="s">
        <v>13</v>
      </c>
      <c r="Q355" s="203" t="s">
        <v>148</v>
      </c>
      <c r="R355" s="203"/>
      <c r="S355" s="203"/>
      <c r="T355" s="203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3</v>
      </c>
      <c r="U355" s="203">
        <f t="shared" ca="1" si="684"/>
        <v>3</v>
      </c>
      <c r="V355" s="203">
        <f t="shared" ca="1" si="685"/>
        <v>1</v>
      </c>
      <c r="W355" s="203"/>
      <c r="X355" s="203"/>
      <c r="Y355" s="203"/>
      <c r="Z355" s="203"/>
      <c r="AA355" s="203"/>
      <c r="AB355" s="203"/>
      <c r="AC355" s="205" t="s">
        <v>1923</v>
      </c>
      <c r="AD355" s="206" t="s">
        <v>1924</v>
      </c>
      <c r="AE355" s="166"/>
      <c r="AF355" s="203" t="str">
        <f t="shared" ref="AF355:AG370" si="698">AF354</f>
        <v>N/A</v>
      </c>
      <c r="AG355" s="203">
        <f t="shared" si="698"/>
        <v>0</v>
      </c>
      <c r="AH355" s="203">
        <f t="shared" si="686"/>
        <v>0</v>
      </c>
      <c r="AI355" s="203">
        <f t="shared" ca="1" si="687"/>
        <v>0</v>
      </c>
      <c r="AJ355" s="203">
        <f t="shared" ca="1" si="688"/>
        <v>0</v>
      </c>
      <c r="AK355" s="203" t="str">
        <f t="shared" ref="AK355:AL370" si="699">AK354</f>
        <v>AMC2-S1</v>
      </c>
      <c r="AL355" s="203">
        <f t="shared" si="699"/>
        <v>1</v>
      </c>
      <c r="AM355" s="203">
        <f t="shared" si="689"/>
        <v>3</v>
      </c>
      <c r="AN355" s="203">
        <f t="shared" ca="1" si="690"/>
        <v>1</v>
      </c>
      <c r="AO355" s="203">
        <f t="shared" ca="1" si="691"/>
        <v>2</v>
      </c>
      <c r="AP355" s="203" t="str">
        <f t="shared" ref="AP355:AQ370" si="700">AP354</f>
        <v>AMC2-S4</v>
      </c>
      <c r="AQ355" s="203">
        <f t="shared" si="700"/>
        <v>1</v>
      </c>
      <c r="AR355" s="203">
        <f t="shared" si="692"/>
        <v>3</v>
      </c>
      <c r="AS355" s="203">
        <f t="shared" ca="1" si="693"/>
        <v>2</v>
      </c>
      <c r="AT355" s="203">
        <f t="shared" ca="1" si="694"/>
        <v>1</v>
      </c>
      <c r="AU355" s="203" t="str">
        <f t="shared" ref="AU355:AV370" si="701">AU354</f>
        <v>N/A</v>
      </c>
      <c r="AV355" s="203">
        <f t="shared" si="701"/>
        <v>0</v>
      </c>
      <c r="AW355" s="203">
        <f t="shared" si="695"/>
        <v>0</v>
      </c>
      <c r="AX355" s="203">
        <f t="shared" ca="1" si="696"/>
        <v>0</v>
      </c>
      <c r="AY355" s="203">
        <f t="shared" ca="1" si="697"/>
        <v>0</v>
      </c>
      <c r="AZ355" s="203"/>
      <c r="BA355" s="204" t="s">
        <v>1925</v>
      </c>
      <c r="BB355" s="204" t="s">
        <v>1926</v>
      </c>
      <c r="BC355" s="204" t="s">
        <v>1927</v>
      </c>
      <c r="BD355" s="204" t="s">
        <v>140</v>
      </c>
      <c r="BE355" s="166"/>
      <c r="BF355" s="203" t="s">
        <v>1789</v>
      </c>
      <c r="BG355" s="141"/>
      <c r="BH355" s="152"/>
      <c r="BI355" s="207"/>
      <c r="BJ355" s="207"/>
      <c r="BK355" s="207"/>
      <c r="BL355" s="153" t="s">
        <v>1932</v>
      </c>
      <c r="BM355" s="153"/>
      <c r="BN355" s="153"/>
      <c r="BO355" s="153"/>
      <c r="BP355" s="153"/>
      <c r="BQ355" s="153"/>
      <c r="BR355" s="141">
        <v>0</v>
      </c>
      <c r="BS355" s="141">
        <v>0</v>
      </c>
      <c r="BT355" s="141">
        <v>0</v>
      </c>
      <c r="BU355" s="141">
        <v>1</v>
      </c>
      <c r="BV355" s="141">
        <v>0</v>
      </c>
      <c r="BW355" s="141">
        <v>0</v>
      </c>
      <c r="BX355" s="141">
        <v>0</v>
      </c>
      <c r="BY355" s="141" t="s">
        <v>1790</v>
      </c>
      <c r="BZ355" s="158" t="s">
        <v>2159</v>
      </c>
      <c r="CA355" s="165">
        <v>12</v>
      </c>
      <c r="CB355" s="235">
        <v>46213</v>
      </c>
      <c r="CC355" s="152"/>
      <c r="CD355" s="141"/>
      <c r="CE355" s="208"/>
      <c r="CF355" s="166">
        <f>+L355-CA355</f>
        <v>-6</v>
      </c>
    </row>
    <row r="356" spans="1:84" ht="36" hidden="1">
      <c r="A356" s="141"/>
      <c r="B356" s="199" t="s">
        <v>1943</v>
      </c>
      <c r="C356" s="199" t="s">
        <v>2174</v>
      </c>
      <c r="D356" s="199" t="s">
        <v>1296</v>
      </c>
      <c r="E356" s="199" t="s">
        <v>1815</v>
      </c>
      <c r="F356" s="199" t="s">
        <v>1468</v>
      </c>
      <c r="G356" s="199" t="s">
        <v>1416</v>
      </c>
      <c r="H356" s="200">
        <v>2562</v>
      </c>
      <c r="I356" s="201" t="s">
        <v>147</v>
      </c>
      <c r="J356" s="165">
        <v>3</v>
      </c>
      <c r="K356" s="202">
        <f t="shared" si="660"/>
        <v>2</v>
      </c>
      <c r="L356" s="202">
        <f t="shared" si="682"/>
        <v>6</v>
      </c>
      <c r="M356" s="203">
        <v>41.9</v>
      </c>
      <c r="N356" s="203">
        <f t="shared" si="683"/>
        <v>251.39999999999998</v>
      </c>
      <c r="O356" s="203" t="s">
        <v>137</v>
      </c>
      <c r="P356" s="203" t="s">
        <v>13</v>
      </c>
      <c r="Q356" s="203" t="s">
        <v>148</v>
      </c>
      <c r="R356" s="203"/>
      <c r="S356" s="203"/>
      <c r="T356" s="203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3</v>
      </c>
      <c r="U356" s="203">
        <f t="shared" ca="1" si="684"/>
        <v>3</v>
      </c>
      <c r="V356" s="203">
        <f t="shared" ca="1" si="685"/>
        <v>1</v>
      </c>
      <c r="W356" s="203"/>
      <c r="X356" s="203"/>
      <c r="Y356" s="203"/>
      <c r="Z356" s="203"/>
      <c r="AA356" s="203"/>
      <c r="AB356" s="203"/>
      <c r="AC356" s="205" t="s">
        <v>1923</v>
      </c>
      <c r="AD356" s="206" t="s">
        <v>1924</v>
      </c>
      <c r="AE356" s="166"/>
      <c r="AF356" s="203" t="str">
        <f t="shared" si="698"/>
        <v>N/A</v>
      </c>
      <c r="AG356" s="203">
        <f t="shared" si="698"/>
        <v>0</v>
      </c>
      <c r="AH356" s="203">
        <f t="shared" si="686"/>
        <v>0</v>
      </c>
      <c r="AI356" s="203">
        <f t="shared" ca="1" si="687"/>
        <v>0</v>
      </c>
      <c r="AJ356" s="203">
        <f t="shared" ca="1" si="688"/>
        <v>0</v>
      </c>
      <c r="AK356" s="203" t="str">
        <f t="shared" si="699"/>
        <v>AMC2-S1</v>
      </c>
      <c r="AL356" s="203">
        <f t="shared" si="699"/>
        <v>1</v>
      </c>
      <c r="AM356" s="203">
        <f t="shared" si="689"/>
        <v>3</v>
      </c>
      <c r="AN356" s="203">
        <f t="shared" ca="1" si="690"/>
        <v>1</v>
      </c>
      <c r="AO356" s="203">
        <f t="shared" ca="1" si="691"/>
        <v>2</v>
      </c>
      <c r="AP356" s="203" t="str">
        <f t="shared" si="700"/>
        <v>AMC2-S4</v>
      </c>
      <c r="AQ356" s="203">
        <f t="shared" si="700"/>
        <v>1</v>
      </c>
      <c r="AR356" s="203">
        <f t="shared" si="692"/>
        <v>3</v>
      </c>
      <c r="AS356" s="203">
        <f t="shared" ca="1" si="693"/>
        <v>2</v>
      </c>
      <c r="AT356" s="203">
        <f t="shared" ca="1" si="694"/>
        <v>1</v>
      </c>
      <c r="AU356" s="203" t="str">
        <f t="shared" si="701"/>
        <v>N/A</v>
      </c>
      <c r="AV356" s="203">
        <f t="shared" si="701"/>
        <v>0</v>
      </c>
      <c r="AW356" s="203">
        <f t="shared" si="695"/>
        <v>0</v>
      </c>
      <c r="AX356" s="203">
        <f t="shared" ca="1" si="696"/>
        <v>0</v>
      </c>
      <c r="AY356" s="203">
        <f t="shared" ca="1" si="697"/>
        <v>0</v>
      </c>
      <c r="AZ356" s="203"/>
      <c r="BA356" s="204" t="s">
        <v>1925</v>
      </c>
      <c r="BB356" s="204" t="s">
        <v>1926</v>
      </c>
      <c r="BC356" s="204" t="s">
        <v>1927</v>
      </c>
      <c r="BD356" s="204" t="s">
        <v>140</v>
      </c>
      <c r="BE356" s="166"/>
      <c r="BF356" s="203" t="s">
        <v>1789</v>
      </c>
      <c r="BG356" s="141"/>
      <c r="BH356" s="152"/>
      <c r="BI356" s="207"/>
      <c r="BJ356" s="207"/>
      <c r="BK356" s="207"/>
      <c r="BL356" s="153" t="s">
        <v>1932</v>
      </c>
      <c r="BM356" s="153"/>
      <c r="BN356" s="153"/>
      <c r="BO356" s="153"/>
      <c r="BP356" s="153"/>
      <c r="BQ356" s="153"/>
      <c r="BR356" s="141">
        <v>0</v>
      </c>
      <c r="BS356" s="141">
        <v>0</v>
      </c>
      <c r="BT356" s="141">
        <v>0</v>
      </c>
      <c r="BU356" s="141">
        <v>1</v>
      </c>
      <c r="BV356" s="141">
        <v>0</v>
      </c>
      <c r="BW356" s="141">
        <v>0</v>
      </c>
      <c r="BX356" s="141">
        <v>0</v>
      </c>
      <c r="BY356" s="141" t="s">
        <v>1790</v>
      </c>
      <c r="BZ356" s="158" t="s">
        <v>2159</v>
      </c>
      <c r="CA356" s="165">
        <v>12</v>
      </c>
      <c r="CB356" s="235">
        <v>46213</v>
      </c>
      <c r="CC356" s="152"/>
      <c r="CD356" s="141"/>
      <c r="CE356" s="208"/>
      <c r="CF356" s="166">
        <f>+L356-CA356</f>
        <v>-6</v>
      </c>
    </row>
    <row r="357" spans="1:84" ht="36" hidden="1">
      <c r="A357" s="186"/>
      <c r="B357" s="187" t="s">
        <v>1943</v>
      </c>
      <c r="C357" s="187" t="s">
        <v>2175</v>
      </c>
      <c r="D357" s="187"/>
      <c r="E357" s="187"/>
      <c r="F357" s="187"/>
      <c r="G357" s="187" t="s">
        <v>1951</v>
      </c>
      <c r="H357" s="188"/>
      <c r="I357" s="189"/>
      <c r="J357" s="190"/>
      <c r="K357" s="191">
        <f t="shared" si="660"/>
        <v>2</v>
      </c>
      <c r="L357" s="190"/>
      <c r="M357" s="192">
        <v>2335.1999999999998</v>
      </c>
      <c r="N357" s="192">
        <v>9340.7999999999993</v>
      </c>
      <c r="O357" s="192" t="s">
        <v>137</v>
      </c>
      <c r="P357" s="192"/>
      <c r="Q357" s="192"/>
      <c r="R357" s="192"/>
      <c r="S357" s="192"/>
      <c r="T357" s="192"/>
      <c r="U357" s="192"/>
      <c r="V357" s="192"/>
      <c r="W357" s="192">
        <f ca="1">_xlfn.MINIFS(V:V,C:C,C357,AE:AE,"",AB:AB,"")</f>
        <v>0</v>
      </c>
      <c r="X357" s="192">
        <f ca="1">SUMIFS(T:T,C:C,C357,AE:AE,"")/SUMIFS(L:L,C:C,C357,AE:AE,"",AB:AB,"")</f>
        <v>0.69230769230769229</v>
      </c>
      <c r="Y357" s="192"/>
      <c r="Z357" s="192"/>
      <c r="AA357" s="192"/>
      <c r="AB357" s="192"/>
      <c r="AC357" s="194" t="s">
        <v>1923</v>
      </c>
      <c r="AD357" s="195" t="s">
        <v>1924</v>
      </c>
      <c r="AE357" s="196" t="s">
        <v>1787</v>
      </c>
      <c r="AF357" s="192" t="str">
        <f t="shared" si="698"/>
        <v>N/A</v>
      </c>
      <c r="AG357" s="192">
        <f t="shared" si="698"/>
        <v>0</v>
      </c>
      <c r="AH357" s="192"/>
      <c r="AI357" s="192"/>
      <c r="AJ357" s="192"/>
      <c r="AK357" s="192" t="str">
        <f t="shared" si="699"/>
        <v>AMC2-S1</v>
      </c>
      <c r="AL357" s="192">
        <f t="shared" si="699"/>
        <v>1</v>
      </c>
      <c r="AM357" s="192"/>
      <c r="AN357" s="192"/>
      <c r="AO357" s="192"/>
      <c r="AP357" s="192" t="str">
        <f t="shared" si="700"/>
        <v>AMC2-S4</v>
      </c>
      <c r="AQ357" s="192">
        <f t="shared" si="700"/>
        <v>1</v>
      </c>
      <c r="AR357" s="192"/>
      <c r="AS357" s="192"/>
      <c r="AT357" s="192"/>
      <c r="AU357" s="192" t="str">
        <f t="shared" si="701"/>
        <v>N/A</v>
      </c>
      <c r="AV357" s="192">
        <f t="shared" si="701"/>
        <v>0</v>
      </c>
      <c r="AW357" s="192"/>
      <c r="AX357" s="192"/>
      <c r="AY357" s="192"/>
      <c r="AZ357" s="192"/>
      <c r="BA357" s="193" t="s">
        <v>1925</v>
      </c>
      <c r="BB357" s="193" t="s">
        <v>1926</v>
      </c>
      <c r="BC357" s="193" t="s">
        <v>1927</v>
      </c>
      <c r="BD357" s="193" t="s">
        <v>140</v>
      </c>
      <c r="BE357" s="196" t="s">
        <v>741</v>
      </c>
      <c r="BF357" s="192"/>
      <c r="BG357" s="186"/>
      <c r="BH357" s="186"/>
      <c r="BI357" s="197"/>
      <c r="BJ357" s="197"/>
      <c r="BK357" s="197"/>
      <c r="BL357" s="197"/>
      <c r="BM357" s="197"/>
      <c r="BN357" s="197"/>
      <c r="BO357" s="197"/>
      <c r="BP357" s="197"/>
      <c r="BQ357" s="197"/>
      <c r="BR357" s="186"/>
      <c r="BS357" s="186"/>
      <c r="BT357" s="186"/>
      <c r="BU357" s="186"/>
      <c r="BV357" s="186"/>
      <c r="BW357" s="186"/>
      <c r="BX357" s="186"/>
      <c r="BY357" s="186"/>
      <c r="BZ357" s="186"/>
      <c r="CA357" s="186"/>
      <c r="CB357" s="197"/>
      <c r="CC357" s="186"/>
      <c r="CD357" s="186"/>
      <c r="CE357" s="198"/>
      <c r="CF357" s="198"/>
    </row>
    <row r="358" spans="1:84" ht="36" hidden="1">
      <c r="A358" s="117"/>
      <c r="B358" s="209" t="s">
        <v>1943</v>
      </c>
      <c r="C358" s="209" t="s">
        <v>2175</v>
      </c>
      <c r="D358" s="209" t="s">
        <v>1084</v>
      </c>
      <c r="E358" s="209" t="s">
        <v>1805</v>
      </c>
      <c r="F358" s="209" t="s">
        <v>1458</v>
      </c>
      <c r="G358" s="209" t="s">
        <v>1088</v>
      </c>
      <c r="H358" s="210">
        <v>4023</v>
      </c>
      <c r="I358" s="211" t="s">
        <v>147</v>
      </c>
      <c r="J358" s="144">
        <v>1</v>
      </c>
      <c r="K358" s="145">
        <f t="shared" si="660"/>
        <v>2</v>
      </c>
      <c r="L358" s="202">
        <f t="shared" ref="L358:L364" si="702">+J358*K358</f>
        <v>2</v>
      </c>
      <c r="M358" s="212">
        <v>690.9</v>
      </c>
      <c r="N358" s="203">
        <f t="shared" ref="N358:N364" si="703">+M358*L358</f>
        <v>1381.8</v>
      </c>
      <c r="O358" s="212" t="s">
        <v>137</v>
      </c>
      <c r="P358" s="212" t="s">
        <v>13</v>
      </c>
      <c r="Q358" s="212" t="s">
        <v>154</v>
      </c>
      <c r="R358" s="212"/>
      <c r="S358" s="212"/>
      <c r="T358" s="203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203">
        <f t="shared" ref="U358:U364" ca="1" si="704">+L358-T358</f>
        <v>0</v>
      </c>
      <c r="V358" s="203">
        <f t="shared" ref="V358:V364" ca="1" si="705">ROUNDDOWN(T358/J358,0)</f>
        <v>2</v>
      </c>
      <c r="W358" s="212"/>
      <c r="X358" s="212"/>
      <c r="Y358" s="212"/>
      <c r="Z358" s="212"/>
      <c r="AA358" s="212"/>
      <c r="AB358" s="212"/>
      <c r="AC358" s="214" t="s">
        <v>1923</v>
      </c>
      <c r="AD358" s="215" t="s">
        <v>1924</v>
      </c>
      <c r="AE358" s="148"/>
      <c r="AF358" s="212" t="str">
        <f t="shared" si="698"/>
        <v>N/A</v>
      </c>
      <c r="AG358" s="212">
        <f t="shared" si="698"/>
        <v>0</v>
      </c>
      <c r="AH358" s="203">
        <f t="shared" ref="AH358:AH364" si="706">+AG358*J358</f>
        <v>0</v>
      </c>
      <c r="AI358" s="203">
        <f t="shared" ref="AI358:AI364" ca="1" si="707">MIN(T358,AH358)</f>
        <v>0</v>
      </c>
      <c r="AJ358" s="203">
        <f t="shared" ref="AJ358:AJ364" ca="1" si="708">+AH358-AI358</f>
        <v>0</v>
      </c>
      <c r="AK358" s="212" t="str">
        <f t="shared" si="699"/>
        <v>AMC2-S1</v>
      </c>
      <c r="AL358" s="212">
        <f t="shared" si="699"/>
        <v>1</v>
      </c>
      <c r="AM358" s="203">
        <f t="shared" ref="AM358:AM364" si="709">+AL358*J358</f>
        <v>1</v>
      </c>
      <c r="AN358" s="203">
        <f t="shared" ref="AN358:AN364" ca="1" si="710">MIN(T358-AI358,AL358)</f>
        <v>1</v>
      </c>
      <c r="AO358" s="203">
        <f t="shared" ref="AO358:AO364" ca="1" si="711">+AM358-AN358</f>
        <v>0</v>
      </c>
      <c r="AP358" s="212" t="str">
        <f t="shared" si="700"/>
        <v>AMC2-S4</v>
      </c>
      <c r="AQ358" s="212">
        <f t="shared" si="700"/>
        <v>1</v>
      </c>
      <c r="AR358" s="203">
        <f t="shared" ref="AR358:AR364" si="712">+AQ358*J358</f>
        <v>1</v>
      </c>
      <c r="AS358" s="203">
        <f t="shared" ref="AS358:AS364" ca="1" si="713">MIN(T358-AI358-AN358,AR358)</f>
        <v>1</v>
      </c>
      <c r="AT358" s="203">
        <f t="shared" ref="AT358:AT364" ca="1" si="714">+AR358-AS358</f>
        <v>0</v>
      </c>
      <c r="AU358" s="212" t="str">
        <f t="shared" si="701"/>
        <v>N/A</v>
      </c>
      <c r="AV358" s="212">
        <f t="shared" si="701"/>
        <v>0</v>
      </c>
      <c r="AW358" s="203">
        <f t="shared" ref="AW358:AW364" si="715">+AV358*J358</f>
        <v>0</v>
      </c>
      <c r="AX358" s="203">
        <f t="shared" ref="AX358:AX364" ca="1" si="716">MIN(T358-AI358-AN358-AS358,AW358)</f>
        <v>0</v>
      </c>
      <c r="AY358" s="203">
        <f t="shared" ref="AY358:AY364" ca="1" si="717">+AW358-AX358</f>
        <v>0</v>
      </c>
      <c r="AZ358" s="212"/>
      <c r="BA358" s="213" t="s">
        <v>1925</v>
      </c>
      <c r="BB358" s="213" t="s">
        <v>1926</v>
      </c>
      <c r="BC358" s="213" t="s">
        <v>1927</v>
      </c>
      <c r="BD358" s="213" t="s">
        <v>140</v>
      </c>
      <c r="BE358" s="148"/>
      <c r="BF358" s="212" t="s">
        <v>1789</v>
      </c>
      <c r="BG358" s="117"/>
      <c r="BH358" s="155"/>
      <c r="BI358" s="216"/>
      <c r="BJ358" s="216"/>
      <c r="BK358" s="216"/>
      <c r="BL358" s="149"/>
      <c r="BM358" s="149"/>
      <c r="BN358" s="149"/>
      <c r="BO358" s="149"/>
      <c r="BP358" s="149"/>
      <c r="BQ358" s="149"/>
      <c r="BR358" s="117">
        <v>0</v>
      </c>
      <c r="BS358" s="117">
        <v>1</v>
      </c>
      <c r="BT358" s="117">
        <v>0</v>
      </c>
      <c r="BU358" s="117">
        <v>1</v>
      </c>
      <c r="BV358" s="117">
        <v>0</v>
      </c>
      <c r="BW358" s="117">
        <v>0</v>
      </c>
      <c r="BX358" s="117">
        <v>0</v>
      </c>
      <c r="BY358" s="117" t="s">
        <v>1790</v>
      </c>
      <c r="BZ358" s="158" t="s">
        <v>57</v>
      </c>
      <c r="CA358" s="158">
        <v>4</v>
      </c>
      <c r="CB358" s="234"/>
      <c r="CC358" s="155"/>
      <c r="CD358" s="155"/>
      <c r="CE358" s="217"/>
      <c r="CF358" s="166">
        <f t="shared" ref="CF358:CF364" si="718">+L358-CA358</f>
        <v>-2</v>
      </c>
    </row>
    <row r="359" spans="1:84" ht="36" hidden="1">
      <c r="A359" s="141"/>
      <c r="B359" s="199" t="s">
        <v>1943</v>
      </c>
      <c r="C359" s="199" t="s">
        <v>2175</v>
      </c>
      <c r="D359" s="199" t="s">
        <v>1084</v>
      </c>
      <c r="E359" s="199" t="s">
        <v>1816</v>
      </c>
      <c r="F359" s="199" t="s">
        <v>1459</v>
      </c>
      <c r="G359" s="199" t="s">
        <v>1432</v>
      </c>
      <c r="H359" s="200">
        <v>2103</v>
      </c>
      <c r="I359" s="201" t="s">
        <v>147</v>
      </c>
      <c r="J359" s="165">
        <v>1</v>
      </c>
      <c r="K359" s="202">
        <f t="shared" si="660"/>
        <v>2</v>
      </c>
      <c r="L359" s="202">
        <f t="shared" si="702"/>
        <v>2</v>
      </c>
      <c r="M359" s="203">
        <v>358.1</v>
      </c>
      <c r="N359" s="203">
        <f t="shared" si="703"/>
        <v>716.2</v>
      </c>
      <c r="O359" s="203" t="s">
        <v>137</v>
      </c>
      <c r="P359" s="203" t="s">
        <v>13</v>
      </c>
      <c r="Q359" s="203" t="s">
        <v>154</v>
      </c>
      <c r="R359" s="203"/>
      <c r="S359" s="203"/>
      <c r="T359" s="203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0</v>
      </c>
      <c r="U359" s="203">
        <f t="shared" ca="1" si="704"/>
        <v>2</v>
      </c>
      <c r="V359" s="203">
        <f t="shared" ca="1" si="705"/>
        <v>0</v>
      </c>
      <c r="W359" s="203"/>
      <c r="X359" s="203"/>
      <c r="Y359" s="203"/>
      <c r="Z359" s="203"/>
      <c r="AA359" s="203"/>
      <c r="AB359" s="203"/>
      <c r="AC359" s="205" t="s">
        <v>1923</v>
      </c>
      <c r="AD359" s="206" t="s">
        <v>1924</v>
      </c>
      <c r="AE359" s="166"/>
      <c r="AF359" s="203" t="str">
        <f t="shared" si="698"/>
        <v>N/A</v>
      </c>
      <c r="AG359" s="203">
        <f t="shared" si="698"/>
        <v>0</v>
      </c>
      <c r="AH359" s="203">
        <f t="shared" si="706"/>
        <v>0</v>
      </c>
      <c r="AI359" s="203">
        <f t="shared" ca="1" si="707"/>
        <v>0</v>
      </c>
      <c r="AJ359" s="203">
        <f t="shared" ca="1" si="708"/>
        <v>0</v>
      </c>
      <c r="AK359" s="203" t="str">
        <f t="shared" si="699"/>
        <v>AMC2-S1</v>
      </c>
      <c r="AL359" s="203">
        <f t="shared" si="699"/>
        <v>1</v>
      </c>
      <c r="AM359" s="203">
        <f t="shared" si="709"/>
        <v>1</v>
      </c>
      <c r="AN359" s="203">
        <f t="shared" ca="1" si="710"/>
        <v>0</v>
      </c>
      <c r="AO359" s="203">
        <f t="shared" ca="1" si="711"/>
        <v>1</v>
      </c>
      <c r="AP359" s="203" t="str">
        <f t="shared" si="700"/>
        <v>AMC2-S4</v>
      </c>
      <c r="AQ359" s="203">
        <f t="shared" si="700"/>
        <v>1</v>
      </c>
      <c r="AR359" s="203">
        <f t="shared" si="712"/>
        <v>1</v>
      </c>
      <c r="AS359" s="203">
        <f t="shared" ca="1" si="713"/>
        <v>0</v>
      </c>
      <c r="AT359" s="203">
        <f t="shared" ca="1" si="714"/>
        <v>1</v>
      </c>
      <c r="AU359" s="203" t="str">
        <f t="shared" si="701"/>
        <v>N/A</v>
      </c>
      <c r="AV359" s="203">
        <f t="shared" si="701"/>
        <v>0</v>
      </c>
      <c r="AW359" s="203">
        <f t="shared" si="715"/>
        <v>0</v>
      </c>
      <c r="AX359" s="203">
        <f t="shared" ca="1" si="716"/>
        <v>0</v>
      </c>
      <c r="AY359" s="203">
        <f t="shared" ca="1" si="717"/>
        <v>0</v>
      </c>
      <c r="AZ359" s="203"/>
      <c r="BA359" s="204" t="s">
        <v>1925</v>
      </c>
      <c r="BB359" s="204" t="s">
        <v>1926</v>
      </c>
      <c r="BC359" s="204" t="s">
        <v>1927</v>
      </c>
      <c r="BD359" s="204" t="s">
        <v>140</v>
      </c>
      <c r="BE359" s="166"/>
      <c r="BF359" s="203" t="s">
        <v>1789</v>
      </c>
      <c r="BG359" s="141"/>
      <c r="BH359" s="141"/>
      <c r="BI359" s="153"/>
      <c r="BJ359" s="153"/>
      <c r="BK359" s="153"/>
      <c r="BL359" s="153" t="s">
        <v>1932</v>
      </c>
      <c r="BM359" s="153"/>
      <c r="BN359" s="153"/>
      <c r="BO359" s="153"/>
      <c r="BP359" s="153"/>
      <c r="BQ359" s="153"/>
      <c r="BR359" s="141">
        <v>0</v>
      </c>
      <c r="BS359" s="141">
        <v>1</v>
      </c>
      <c r="BT359" s="141">
        <v>0</v>
      </c>
      <c r="BU359" s="141">
        <v>1</v>
      </c>
      <c r="BV359" s="141">
        <v>0</v>
      </c>
      <c r="BW359" s="141">
        <v>0</v>
      </c>
      <c r="BX359" s="141">
        <v>0</v>
      </c>
      <c r="BY359" s="141" t="s">
        <v>1790</v>
      </c>
      <c r="BZ359" s="167" t="s">
        <v>2154</v>
      </c>
      <c r="CA359" s="165">
        <v>4</v>
      </c>
      <c r="CB359" s="235">
        <v>46216</v>
      </c>
      <c r="CC359" s="141"/>
      <c r="CD359" s="141"/>
      <c r="CE359" s="166"/>
      <c r="CF359" s="166">
        <f t="shared" si="718"/>
        <v>-2</v>
      </c>
    </row>
    <row r="360" spans="1:84" ht="36" hidden="1">
      <c r="A360" s="117"/>
      <c r="B360" s="209" t="s">
        <v>1943</v>
      </c>
      <c r="C360" s="209" t="s">
        <v>2175</v>
      </c>
      <c r="D360" s="209" t="s">
        <v>1084</v>
      </c>
      <c r="E360" s="209" t="s">
        <v>1817</v>
      </c>
      <c r="F360" s="209" t="s">
        <v>1460</v>
      </c>
      <c r="G360" s="209" t="s">
        <v>1434</v>
      </c>
      <c r="H360" s="210">
        <v>5608</v>
      </c>
      <c r="I360" s="211" t="s">
        <v>147</v>
      </c>
      <c r="J360" s="144">
        <v>1</v>
      </c>
      <c r="K360" s="145">
        <f t="shared" si="660"/>
        <v>2</v>
      </c>
      <c r="L360" s="202">
        <f t="shared" si="702"/>
        <v>2</v>
      </c>
      <c r="M360" s="212">
        <v>1110.3</v>
      </c>
      <c r="N360" s="203">
        <f t="shared" si="703"/>
        <v>2220.6</v>
      </c>
      <c r="O360" s="212" t="s">
        <v>137</v>
      </c>
      <c r="P360" s="212" t="s">
        <v>13</v>
      </c>
      <c r="Q360" s="212" t="s">
        <v>154</v>
      </c>
      <c r="R360" s="212"/>
      <c r="S360" s="212"/>
      <c r="T360" s="203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2</v>
      </c>
      <c r="U360" s="203">
        <f t="shared" ca="1" si="704"/>
        <v>0</v>
      </c>
      <c r="V360" s="203">
        <f t="shared" ca="1" si="705"/>
        <v>2</v>
      </c>
      <c r="W360" s="212"/>
      <c r="X360" s="212"/>
      <c r="Y360" s="212"/>
      <c r="Z360" s="212"/>
      <c r="AA360" s="212"/>
      <c r="AB360" s="212"/>
      <c r="AC360" s="214" t="s">
        <v>1923</v>
      </c>
      <c r="AD360" s="215" t="s">
        <v>1924</v>
      </c>
      <c r="AE360" s="148"/>
      <c r="AF360" s="212" t="str">
        <f t="shared" si="698"/>
        <v>N/A</v>
      </c>
      <c r="AG360" s="212">
        <f t="shared" si="698"/>
        <v>0</v>
      </c>
      <c r="AH360" s="203">
        <f t="shared" si="706"/>
        <v>0</v>
      </c>
      <c r="AI360" s="203">
        <f t="shared" ca="1" si="707"/>
        <v>0</v>
      </c>
      <c r="AJ360" s="203">
        <f t="shared" ca="1" si="708"/>
        <v>0</v>
      </c>
      <c r="AK360" s="212" t="str">
        <f t="shared" si="699"/>
        <v>AMC2-S1</v>
      </c>
      <c r="AL360" s="212">
        <f t="shared" si="699"/>
        <v>1</v>
      </c>
      <c r="AM360" s="203">
        <f t="shared" si="709"/>
        <v>1</v>
      </c>
      <c r="AN360" s="203">
        <f t="shared" ca="1" si="710"/>
        <v>1</v>
      </c>
      <c r="AO360" s="203">
        <f t="shared" ca="1" si="711"/>
        <v>0</v>
      </c>
      <c r="AP360" s="212" t="str">
        <f t="shared" si="700"/>
        <v>AMC2-S4</v>
      </c>
      <c r="AQ360" s="212">
        <f t="shared" si="700"/>
        <v>1</v>
      </c>
      <c r="AR360" s="203">
        <f t="shared" si="712"/>
        <v>1</v>
      </c>
      <c r="AS360" s="203">
        <f t="shared" ca="1" si="713"/>
        <v>1</v>
      </c>
      <c r="AT360" s="203">
        <f t="shared" ca="1" si="714"/>
        <v>0</v>
      </c>
      <c r="AU360" s="212" t="str">
        <f t="shared" si="701"/>
        <v>N/A</v>
      </c>
      <c r="AV360" s="212">
        <f t="shared" si="701"/>
        <v>0</v>
      </c>
      <c r="AW360" s="203">
        <f t="shared" si="715"/>
        <v>0</v>
      </c>
      <c r="AX360" s="203">
        <f t="shared" ca="1" si="716"/>
        <v>0</v>
      </c>
      <c r="AY360" s="203">
        <f t="shared" ca="1" si="717"/>
        <v>0</v>
      </c>
      <c r="AZ360" s="212"/>
      <c r="BA360" s="213" t="s">
        <v>1925</v>
      </c>
      <c r="BB360" s="213" t="s">
        <v>1926</v>
      </c>
      <c r="BC360" s="213" t="s">
        <v>1927</v>
      </c>
      <c r="BD360" s="213" t="s">
        <v>140</v>
      </c>
      <c r="BE360" s="148"/>
      <c r="BF360" s="212" t="s">
        <v>1789</v>
      </c>
      <c r="BG360" s="117"/>
      <c r="BH360" s="155"/>
      <c r="BI360" s="216"/>
      <c r="BJ360" s="216"/>
      <c r="BK360" s="216"/>
      <c r="BL360" s="149"/>
      <c r="BM360" s="149"/>
      <c r="BN360" s="149"/>
      <c r="BO360" s="149"/>
      <c r="BP360" s="149"/>
      <c r="BQ360" s="149"/>
      <c r="BR360" s="117">
        <v>0</v>
      </c>
      <c r="BS360" s="117">
        <v>1</v>
      </c>
      <c r="BT360" s="117">
        <v>0</v>
      </c>
      <c r="BU360" s="117">
        <v>1</v>
      </c>
      <c r="BV360" s="117">
        <v>0</v>
      </c>
      <c r="BW360" s="117">
        <v>0</v>
      </c>
      <c r="BX360" s="117">
        <v>0</v>
      </c>
      <c r="BY360" s="117" t="s">
        <v>1790</v>
      </c>
      <c r="BZ360" s="158" t="s">
        <v>57</v>
      </c>
      <c r="CA360" s="158">
        <v>4</v>
      </c>
      <c r="CB360" s="234"/>
      <c r="CC360" s="155"/>
      <c r="CD360" s="155"/>
      <c r="CE360" s="217"/>
      <c r="CF360" s="166">
        <f t="shared" si="718"/>
        <v>-2</v>
      </c>
    </row>
    <row r="361" spans="1:84" ht="36" hidden="1">
      <c r="A361" s="117"/>
      <c r="B361" s="209" t="s">
        <v>1943</v>
      </c>
      <c r="C361" s="209" t="s">
        <v>2175</v>
      </c>
      <c r="D361" s="209" t="s">
        <v>1296</v>
      </c>
      <c r="E361" s="209" t="s">
        <v>1806</v>
      </c>
      <c r="F361" s="209" t="s">
        <v>1461</v>
      </c>
      <c r="G361" s="209" t="s">
        <v>1436</v>
      </c>
      <c r="H361" s="210">
        <v>1867</v>
      </c>
      <c r="I361" s="211" t="s">
        <v>147</v>
      </c>
      <c r="J361" s="144">
        <v>3</v>
      </c>
      <c r="K361" s="145">
        <f t="shared" si="660"/>
        <v>2</v>
      </c>
      <c r="L361" s="202">
        <f t="shared" si="702"/>
        <v>6</v>
      </c>
      <c r="M361" s="212">
        <v>25.4</v>
      </c>
      <c r="N361" s="203">
        <f t="shared" si="703"/>
        <v>152.39999999999998</v>
      </c>
      <c r="O361" s="212" t="s">
        <v>137</v>
      </c>
      <c r="P361" s="212" t="s">
        <v>13</v>
      </c>
      <c r="Q361" s="212" t="s">
        <v>148</v>
      </c>
      <c r="R361" s="212"/>
      <c r="S361" s="212"/>
      <c r="T361" s="203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3</v>
      </c>
      <c r="U361" s="203">
        <f t="shared" ca="1" si="704"/>
        <v>3</v>
      </c>
      <c r="V361" s="203">
        <f t="shared" ca="1" si="705"/>
        <v>1</v>
      </c>
      <c r="W361" s="212"/>
      <c r="X361" s="212"/>
      <c r="Y361" s="212"/>
      <c r="Z361" s="212"/>
      <c r="AA361" s="212"/>
      <c r="AB361" s="212"/>
      <c r="AC361" s="214" t="s">
        <v>1923</v>
      </c>
      <c r="AD361" s="215" t="s">
        <v>1924</v>
      </c>
      <c r="AE361" s="148"/>
      <c r="AF361" s="212" t="str">
        <f t="shared" si="698"/>
        <v>N/A</v>
      </c>
      <c r="AG361" s="212">
        <f t="shared" si="698"/>
        <v>0</v>
      </c>
      <c r="AH361" s="203">
        <f t="shared" si="706"/>
        <v>0</v>
      </c>
      <c r="AI361" s="203">
        <f t="shared" ca="1" si="707"/>
        <v>0</v>
      </c>
      <c r="AJ361" s="203">
        <f t="shared" ca="1" si="708"/>
        <v>0</v>
      </c>
      <c r="AK361" s="212" t="str">
        <f t="shared" si="699"/>
        <v>AMC2-S1</v>
      </c>
      <c r="AL361" s="212">
        <f t="shared" si="699"/>
        <v>1</v>
      </c>
      <c r="AM361" s="203">
        <f t="shared" si="709"/>
        <v>3</v>
      </c>
      <c r="AN361" s="203">
        <f t="shared" ca="1" si="710"/>
        <v>1</v>
      </c>
      <c r="AO361" s="203">
        <f t="shared" ca="1" si="711"/>
        <v>2</v>
      </c>
      <c r="AP361" s="212" t="str">
        <f t="shared" si="700"/>
        <v>AMC2-S4</v>
      </c>
      <c r="AQ361" s="212">
        <f t="shared" si="700"/>
        <v>1</v>
      </c>
      <c r="AR361" s="203">
        <f t="shared" si="712"/>
        <v>3</v>
      </c>
      <c r="AS361" s="203">
        <f t="shared" ca="1" si="713"/>
        <v>2</v>
      </c>
      <c r="AT361" s="203">
        <f t="shared" ca="1" si="714"/>
        <v>1</v>
      </c>
      <c r="AU361" s="212" t="str">
        <f t="shared" si="701"/>
        <v>N/A</v>
      </c>
      <c r="AV361" s="212">
        <f t="shared" si="701"/>
        <v>0</v>
      </c>
      <c r="AW361" s="203">
        <f t="shared" si="715"/>
        <v>0</v>
      </c>
      <c r="AX361" s="203">
        <f t="shared" ca="1" si="716"/>
        <v>0</v>
      </c>
      <c r="AY361" s="203">
        <f t="shared" ca="1" si="717"/>
        <v>0</v>
      </c>
      <c r="AZ361" s="212"/>
      <c r="BA361" s="213" t="s">
        <v>1925</v>
      </c>
      <c r="BB361" s="213" t="s">
        <v>1926</v>
      </c>
      <c r="BC361" s="213" t="s">
        <v>1927</v>
      </c>
      <c r="BD361" s="213" t="s">
        <v>140</v>
      </c>
      <c r="BE361" s="148"/>
      <c r="BF361" s="212" t="s">
        <v>1789</v>
      </c>
      <c r="BG361" s="117"/>
      <c r="BH361" s="155"/>
      <c r="BI361" s="216"/>
      <c r="BJ361" s="216"/>
      <c r="BK361" s="216"/>
      <c r="BL361" s="149"/>
      <c r="BM361" s="149"/>
      <c r="BN361" s="149"/>
      <c r="BO361" s="149"/>
      <c r="BP361" s="149"/>
      <c r="BQ361" s="149"/>
      <c r="BR361" s="117">
        <v>0</v>
      </c>
      <c r="BS361" s="117">
        <v>0</v>
      </c>
      <c r="BT361" s="117">
        <v>0</v>
      </c>
      <c r="BU361" s="117">
        <v>1</v>
      </c>
      <c r="BV361" s="117">
        <v>0</v>
      </c>
      <c r="BW361" s="117">
        <v>0</v>
      </c>
      <c r="BX361" s="117">
        <v>0</v>
      </c>
      <c r="BY361" s="117" t="s">
        <v>1790</v>
      </c>
      <c r="BZ361" s="158" t="s">
        <v>2159</v>
      </c>
      <c r="CA361" s="144">
        <v>12</v>
      </c>
      <c r="CB361" s="234">
        <v>46213</v>
      </c>
      <c r="CC361" s="155"/>
      <c r="CD361" s="117"/>
      <c r="CE361" s="217"/>
      <c r="CF361" s="166">
        <f t="shared" si="718"/>
        <v>-6</v>
      </c>
    </row>
    <row r="362" spans="1:84" ht="36" hidden="1">
      <c r="A362" s="117"/>
      <c r="B362" s="209" t="s">
        <v>1943</v>
      </c>
      <c r="C362" s="209" t="s">
        <v>2175</v>
      </c>
      <c r="D362" s="209" t="s">
        <v>1296</v>
      </c>
      <c r="E362" s="209" t="s">
        <v>1807</v>
      </c>
      <c r="F362" s="209" t="s">
        <v>1462</v>
      </c>
      <c r="G362" s="209" t="s">
        <v>1438</v>
      </c>
      <c r="H362" s="210">
        <v>2149</v>
      </c>
      <c r="I362" s="211" t="s">
        <v>147</v>
      </c>
      <c r="J362" s="144">
        <v>3</v>
      </c>
      <c r="K362" s="145">
        <f t="shared" si="660"/>
        <v>2</v>
      </c>
      <c r="L362" s="202">
        <f t="shared" si="702"/>
        <v>6</v>
      </c>
      <c r="M362" s="212">
        <v>33.5</v>
      </c>
      <c r="N362" s="203">
        <f t="shared" si="703"/>
        <v>201</v>
      </c>
      <c r="O362" s="212" t="s">
        <v>137</v>
      </c>
      <c r="P362" s="212" t="s">
        <v>13</v>
      </c>
      <c r="Q362" s="212" t="s">
        <v>148</v>
      </c>
      <c r="R362" s="212"/>
      <c r="S362" s="212"/>
      <c r="T362" s="203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3</v>
      </c>
      <c r="U362" s="203">
        <f t="shared" ca="1" si="704"/>
        <v>3</v>
      </c>
      <c r="V362" s="203">
        <f t="shared" ca="1" si="705"/>
        <v>1</v>
      </c>
      <c r="W362" s="212"/>
      <c r="X362" s="212"/>
      <c r="Y362" s="212"/>
      <c r="Z362" s="212"/>
      <c r="AA362" s="212"/>
      <c r="AB362" s="212"/>
      <c r="AC362" s="214" t="s">
        <v>1923</v>
      </c>
      <c r="AD362" s="215" t="s">
        <v>1924</v>
      </c>
      <c r="AE362" s="148"/>
      <c r="AF362" s="212" t="str">
        <f t="shared" si="698"/>
        <v>N/A</v>
      </c>
      <c r="AG362" s="212">
        <f t="shared" si="698"/>
        <v>0</v>
      </c>
      <c r="AH362" s="203">
        <f t="shared" si="706"/>
        <v>0</v>
      </c>
      <c r="AI362" s="203">
        <f t="shared" ca="1" si="707"/>
        <v>0</v>
      </c>
      <c r="AJ362" s="203">
        <f t="shared" ca="1" si="708"/>
        <v>0</v>
      </c>
      <c r="AK362" s="212" t="str">
        <f t="shared" si="699"/>
        <v>AMC2-S1</v>
      </c>
      <c r="AL362" s="212">
        <f t="shared" si="699"/>
        <v>1</v>
      </c>
      <c r="AM362" s="203">
        <f t="shared" si="709"/>
        <v>3</v>
      </c>
      <c r="AN362" s="203">
        <f t="shared" ca="1" si="710"/>
        <v>1</v>
      </c>
      <c r="AO362" s="203">
        <f t="shared" ca="1" si="711"/>
        <v>2</v>
      </c>
      <c r="AP362" s="212" t="str">
        <f t="shared" si="700"/>
        <v>AMC2-S4</v>
      </c>
      <c r="AQ362" s="212">
        <f t="shared" si="700"/>
        <v>1</v>
      </c>
      <c r="AR362" s="203">
        <f t="shared" si="712"/>
        <v>3</v>
      </c>
      <c r="AS362" s="203">
        <f t="shared" ca="1" si="713"/>
        <v>2</v>
      </c>
      <c r="AT362" s="203">
        <f t="shared" ca="1" si="714"/>
        <v>1</v>
      </c>
      <c r="AU362" s="212" t="str">
        <f t="shared" si="701"/>
        <v>N/A</v>
      </c>
      <c r="AV362" s="212">
        <f t="shared" si="701"/>
        <v>0</v>
      </c>
      <c r="AW362" s="203">
        <f t="shared" si="715"/>
        <v>0</v>
      </c>
      <c r="AX362" s="203">
        <f t="shared" ca="1" si="716"/>
        <v>0</v>
      </c>
      <c r="AY362" s="203">
        <f t="shared" ca="1" si="717"/>
        <v>0</v>
      </c>
      <c r="AZ362" s="212"/>
      <c r="BA362" s="213" t="s">
        <v>1925</v>
      </c>
      <c r="BB362" s="213" t="s">
        <v>1926</v>
      </c>
      <c r="BC362" s="213" t="s">
        <v>1927</v>
      </c>
      <c r="BD362" s="213" t="s">
        <v>140</v>
      </c>
      <c r="BE362" s="148"/>
      <c r="BF362" s="212" t="s">
        <v>1789</v>
      </c>
      <c r="BG362" s="117"/>
      <c r="BH362" s="155"/>
      <c r="BI362" s="216"/>
      <c r="BJ362" s="216"/>
      <c r="BK362" s="216"/>
      <c r="BL362" s="149"/>
      <c r="BM362" s="149"/>
      <c r="BN362" s="149"/>
      <c r="BO362" s="149"/>
      <c r="BP362" s="149"/>
      <c r="BQ362" s="149"/>
      <c r="BR362" s="117">
        <v>0</v>
      </c>
      <c r="BS362" s="117">
        <v>0</v>
      </c>
      <c r="BT362" s="117">
        <v>0</v>
      </c>
      <c r="BU362" s="117">
        <v>1</v>
      </c>
      <c r="BV362" s="117">
        <v>0</v>
      </c>
      <c r="BW362" s="117">
        <v>0</v>
      </c>
      <c r="BX362" s="117">
        <v>0</v>
      </c>
      <c r="BY362" s="117" t="s">
        <v>1790</v>
      </c>
      <c r="BZ362" s="158" t="s">
        <v>2159</v>
      </c>
      <c r="CA362" s="144">
        <v>12</v>
      </c>
      <c r="CB362" s="234">
        <v>46213</v>
      </c>
      <c r="CC362" s="155"/>
      <c r="CD362" s="117"/>
      <c r="CE362" s="217"/>
      <c r="CF362" s="166">
        <f t="shared" si="718"/>
        <v>-6</v>
      </c>
    </row>
    <row r="363" spans="1:84" ht="36" hidden="1">
      <c r="A363" s="117"/>
      <c r="B363" s="209" t="s">
        <v>1943</v>
      </c>
      <c r="C363" s="209" t="s">
        <v>2175</v>
      </c>
      <c r="D363" s="209" t="s">
        <v>1296</v>
      </c>
      <c r="E363" s="209" t="s">
        <v>1818</v>
      </c>
      <c r="F363" s="209" t="s">
        <v>1463</v>
      </c>
      <c r="G363" s="209" t="s">
        <v>1125</v>
      </c>
      <c r="H363" s="210">
        <v>200</v>
      </c>
      <c r="I363" s="211" t="s">
        <v>147</v>
      </c>
      <c r="J363" s="144">
        <v>2</v>
      </c>
      <c r="K363" s="145">
        <f t="shared" si="660"/>
        <v>2</v>
      </c>
      <c r="L363" s="202">
        <f t="shared" si="702"/>
        <v>4</v>
      </c>
      <c r="M363" s="212">
        <v>5.5</v>
      </c>
      <c r="N363" s="203">
        <f t="shared" si="703"/>
        <v>22</v>
      </c>
      <c r="O363" s="212" t="s">
        <v>137</v>
      </c>
      <c r="P363" s="212" t="s">
        <v>13</v>
      </c>
      <c r="Q363" s="212" t="s">
        <v>148</v>
      </c>
      <c r="R363" s="212"/>
      <c r="S363" s="212"/>
      <c r="T363" s="203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2</v>
      </c>
      <c r="U363" s="203">
        <f t="shared" ca="1" si="704"/>
        <v>2</v>
      </c>
      <c r="V363" s="203">
        <f t="shared" ca="1" si="705"/>
        <v>1</v>
      </c>
      <c r="W363" s="212"/>
      <c r="X363" s="212"/>
      <c r="Y363" s="212"/>
      <c r="Z363" s="212"/>
      <c r="AA363" s="212"/>
      <c r="AB363" s="212"/>
      <c r="AC363" s="214" t="s">
        <v>1923</v>
      </c>
      <c r="AD363" s="215" t="s">
        <v>1924</v>
      </c>
      <c r="AE363" s="148"/>
      <c r="AF363" s="212" t="str">
        <f t="shared" si="698"/>
        <v>N/A</v>
      </c>
      <c r="AG363" s="212">
        <f t="shared" si="698"/>
        <v>0</v>
      </c>
      <c r="AH363" s="203">
        <f t="shared" si="706"/>
        <v>0</v>
      </c>
      <c r="AI363" s="203">
        <f t="shared" ca="1" si="707"/>
        <v>0</v>
      </c>
      <c r="AJ363" s="203">
        <f t="shared" ca="1" si="708"/>
        <v>0</v>
      </c>
      <c r="AK363" s="212" t="str">
        <f t="shared" si="699"/>
        <v>AMC2-S1</v>
      </c>
      <c r="AL363" s="212">
        <f t="shared" si="699"/>
        <v>1</v>
      </c>
      <c r="AM363" s="203">
        <f t="shared" si="709"/>
        <v>2</v>
      </c>
      <c r="AN363" s="203">
        <f t="shared" ca="1" si="710"/>
        <v>1</v>
      </c>
      <c r="AO363" s="203">
        <f t="shared" ca="1" si="711"/>
        <v>1</v>
      </c>
      <c r="AP363" s="212" t="str">
        <f t="shared" si="700"/>
        <v>AMC2-S4</v>
      </c>
      <c r="AQ363" s="212">
        <f t="shared" si="700"/>
        <v>1</v>
      </c>
      <c r="AR363" s="203">
        <f t="shared" si="712"/>
        <v>2</v>
      </c>
      <c r="AS363" s="203">
        <f t="shared" ca="1" si="713"/>
        <v>1</v>
      </c>
      <c r="AT363" s="203">
        <f t="shared" ca="1" si="714"/>
        <v>1</v>
      </c>
      <c r="AU363" s="212" t="str">
        <f t="shared" si="701"/>
        <v>N/A</v>
      </c>
      <c r="AV363" s="212">
        <f t="shared" si="701"/>
        <v>0</v>
      </c>
      <c r="AW363" s="203">
        <f t="shared" si="715"/>
        <v>0</v>
      </c>
      <c r="AX363" s="203">
        <f t="shared" ca="1" si="716"/>
        <v>0</v>
      </c>
      <c r="AY363" s="203">
        <f t="shared" ca="1" si="717"/>
        <v>0</v>
      </c>
      <c r="AZ363" s="212"/>
      <c r="BA363" s="213" t="s">
        <v>1925</v>
      </c>
      <c r="BB363" s="213" t="s">
        <v>1926</v>
      </c>
      <c r="BC363" s="213" t="s">
        <v>1927</v>
      </c>
      <c r="BD363" s="213" t="s">
        <v>140</v>
      </c>
      <c r="BE363" s="148"/>
      <c r="BF363" s="212" t="s">
        <v>1789</v>
      </c>
      <c r="BG363" s="117"/>
      <c r="BH363" s="155"/>
      <c r="BI363" s="216"/>
      <c r="BJ363" s="216"/>
      <c r="BK363" s="216"/>
      <c r="BL363" s="149"/>
      <c r="BM363" s="149"/>
      <c r="BN363" s="149"/>
      <c r="BO363" s="149"/>
      <c r="BP363" s="149"/>
      <c r="BQ363" s="149"/>
      <c r="BR363" s="117">
        <v>1</v>
      </c>
      <c r="BS363" s="117">
        <v>0</v>
      </c>
      <c r="BT363" s="117">
        <v>0</v>
      </c>
      <c r="BU363" s="117">
        <v>0</v>
      </c>
      <c r="BV363" s="117">
        <v>0</v>
      </c>
      <c r="BW363" s="117">
        <v>0</v>
      </c>
      <c r="BX363" s="117">
        <v>0</v>
      </c>
      <c r="BY363" s="117" t="s">
        <v>1790</v>
      </c>
      <c r="BZ363" s="158" t="s">
        <v>2155</v>
      </c>
      <c r="CA363" s="144">
        <v>8</v>
      </c>
      <c r="CB363" s="235">
        <v>46231</v>
      </c>
      <c r="CC363" s="155"/>
      <c r="CD363" s="141"/>
      <c r="CE363" s="217"/>
      <c r="CF363" s="166">
        <f t="shared" si="718"/>
        <v>-4</v>
      </c>
    </row>
    <row r="364" spans="1:84" ht="36" hidden="1">
      <c r="A364" s="117"/>
      <c r="B364" s="209" t="s">
        <v>1943</v>
      </c>
      <c r="C364" s="209" t="s">
        <v>2175</v>
      </c>
      <c r="D364" s="209" t="s">
        <v>1296</v>
      </c>
      <c r="E364" s="209" t="s">
        <v>1819</v>
      </c>
      <c r="F364" s="209" t="s">
        <v>1464</v>
      </c>
      <c r="G364" s="209" t="s">
        <v>1123</v>
      </c>
      <c r="H364" s="210">
        <v>320</v>
      </c>
      <c r="I364" s="211" t="s">
        <v>147</v>
      </c>
      <c r="J364" s="144">
        <v>2</v>
      </c>
      <c r="K364" s="145">
        <f t="shared" si="660"/>
        <v>2</v>
      </c>
      <c r="L364" s="202">
        <f t="shared" si="702"/>
        <v>4</v>
      </c>
      <c r="M364" s="212">
        <v>7.6</v>
      </c>
      <c r="N364" s="203">
        <f t="shared" si="703"/>
        <v>30.4</v>
      </c>
      <c r="O364" s="212" t="s">
        <v>137</v>
      </c>
      <c r="P364" s="212" t="s">
        <v>13</v>
      </c>
      <c r="Q364" s="212" t="s">
        <v>148</v>
      </c>
      <c r="R364" s="212"/>
      <c r="S364" s="212"/>
      <c r="T364" s="203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2</v>
      </c>
      <c r="U364" s="203">
        <f t="shared" ca="1" si="704"/>
        <v>2</v>
      </c>
      <c r="V364" s="203">
        <f t="shared" ca="1" si="705"/>
        <v>1</v>
      </c>
      <c r="W364" s="212"/>
      <c r="X364" s="212"/>
      <c r="Y364" s="212"/>
      <c r="Z364" s="212"/>
      <c r="AA364" s="212"/>
      <c r="AB364" s="212"/>
      <c r="AC364" s="214" t="s">
        <v>1923</v>
      </c>
      <c r="AD364" s="215" t="s">
        <v>1924</v>
      </c>
      <c r="AE364" s="148"/>
      <c r="AF364" s="212" t="str">
        <f t="shared" si="698"/>
        <v>N/A</v>
      </c>
      <c r="AG364" s="212">
        <f t="shared" si="698"/>
        <v>0</v>
      </c>
      <c r="AH364" s="203">
        <f t="shared" si="706"/>
        <v>0</v>
      </c>
      <c r="AI364" s="203">
        <f t="shared" ca="1" si="707"/>
        <v>0</v>
      </c>
      <c r="AJ364" s="203">
        <f t="shared" ca="1" si="708"/>
        <v>0</v>
      </c>
      <c r="AK364" s="212" t="str">
        <f t="shared" si="699"/>
        <v>AMC2-S1</v>
      </c>
      <c r="AL364" s="212">
        <f t="shared" si="699"/>
        <v>1</v>
      </c>
      <c r="AM364" s="203">
        <f t="shared" si="709"/>
        <v>2</v>
      </c>
      <c r="AN364" s="203">
        <f t="shared" ca="1" si="710"/>
        <v>1</v>
      </c>
      <c r="AO364" s="203">
        <f t="shared" ca="1" si="711"/>
        <v>1</v>
      </c>
      <c r="AP364" s="212" t="str">
        <f t="shared" si="700"/>
        <v>AMC2-S4</v>
      </c>
      <c r="AQ364" s="212">
        <f t="shared" si="700"/>
        <v>1</v>
      </c>
      <c r="AR364" s="203">
        <f t="shared" si="712"/>
        <v>2</v>
      </c>
      <c r="AS364" s="203">
        <f t="shared" ca="1" si="713"/>
        <v>1</v>
      </c>
      <c r="AT364" s="203">
        <f t="shared" ca="1" si="714"/>
        <v>1</v>
      </c>
      <c r="AU364" s="212" t="str">
        <f t="shared" si="701"/>
        <v>N/A</v>
      </c>
      <c r="AV364" s="212">
        <f t="shared" si="701"/>
        <v>0</v>
      </c>
      <c r="AW364" s="203">
        <f t="shared" si="715"/>
        <v>0</v>
      </c>
      <c r="AX364" s="203">
        <f t="shared" ca="1" si="716"/>
        <v>0</v>
      </c>
      <c r="AY364" s="203">
        <f t="shared" ca="1" si="717"/>
        <v>0</v>
      </c>
      <c r="AZ364" s="212"/>
      <c r="BA364" s="213" t="s">
        <v>1925</v>
      </c>
      <c r="BB364" s="213" t="s">
        <v>1926</v>
      </c>
      <c r="BC364" s="213" t="s">
        <v>1927</v>
      </c>
      <c r="BD364" s="213" t="s">
        <v>140</v>
      </c>
      <c r="BE364" s="148"/>
      <c r="BF364" s="212" t="s">
        <v>1789</v>
      </c>
      <c r="BG364" s="117"/>
      <c r="BH364" s="155"/>
      <c r="BI364" s="216"/>
      <c r="BJ364" s="216"/>
      <c r="BK364" s="216"/>
      <c r="BL364" s="149"/>
      <c r="BM364" s="149"/>
      <c r="BN364" s="149"/>
      <c r="BO364" s="149"/>
      <c r="BP364" s="149"/>
      <c r="BQ364" s="149"/>
      <c r="BR364" s="117">
        <v>1</v>
      </c>
      <c r="BS364" s="117">
        <v>0</v>
      </c>
      <c r="BT364" s="117">
        <v>0</v>
      </c>
      <c r="BU364" s="117">
        <v>0</v>
      </c>
      <c r="BV364" s="117">
        <v>0</v>
      </c>
      <c r="BW364" s="117">
        <v>0</v>
      </c>
      <c r="BX364" s="117">
        <v>0</v>
      </c>
      <c r="BY364" s="117" t="s">
        <v>1790</v>
      </c>
      <c r="BZ364" s="158" t="s">
        <v>2157</v>
      </c>
      <c r="CA364" s="144">
        <v>8</v>
      </c>
      <c r="CB364" s="234">
        <v>46242</v>
      </c>
      <c r="CC364" s="155"/>
      <c r="CD364" s="117"/>
      <c r="CE364" s="217"/>
      <c r="CF364" s="166">
        <f t="shared" si="718"/>
        <v>-4</v>
      </c>
    </row>
    <row r="365" spans="1:84" ht="36" hidden="1">
      <c r="A365" s="186"/>
      <c r="B365" s="187" t="s">
        <v>1943</v>
      </c>
      <c r="C365" s="187" t="s">
        <v>2176</v>
      </c>
      <c r="D365" s="187"/>
      <c r="E365" s="187"/>
      <c r="F365" s="187"/>
      <c r="G365" s="187" t="s">
        <v>1952</v>
      </c>
      <c r="H365" s="188"/>
      <c r="I365" s="189"/>
      <c r="J365" s="190"/>
      <c r="K365" s="191">
        <f t="shared" si="660"/>
        <v>2</v>
      </c>
      <c r="L365" s="190"/>
      <c r="M365" s="192">
        <v>2888.1</v>
      </c>
      <c r="N365" s="192">
        <v>11552.4</v>
      </c>
      <c r="O365" s="192" t="s">
        <v>137</v>
      </c>
      <c r="P365" s="192"/>
      <c r="Q365" s="192"/>
      <c r="R365" s="192"/>
      <c r="S365" s="192"/>
      <c r="T365" s="192"/>
      <c r="U365" s="192"/>
      <c r="V365" s="192"/>
      <c r="W365" s="192">
        <f ca="1">_xlfn.MINIFS(V:V,C:C,C365,AE:AE,"",AB:AB,"")</f>
        <v>0</v>
      </c>
      <c r="X365" s="192">
        <f ca="1">SUMIFS(T:T,C:C,C365,AE:AE,"")/SUMIFS(L:L,C:C,C365,AE:AE,"",AB:AB,"")</f>
        <v>0.55555555555555558</v>
      </c>
      <c r="Y365" s="192"/>
      <c r="Z365" s="192"/>
      <c r="AA365" s="192"/>
      <c r="AB365" s="192"/>
      <c r="AC365" s="194" t="s">
        <v>1923</v>
      </c>
      <c r="AD365" s="195" t="s">
        <v>1924</v>
      </c>
      <c r="AE365" s="196" t="s">
        <v>1787</v>
      </c>
      <c r="AF365" s="192" t="str">
        <f t="shared" si="698"/>
        <v>N/A</v>
      </c>
      <c r="AG365" s="192">
        <f t="shared" si="698"/>
        <v>0</v>
      </c>
      <c r="AH365" s="192"/>
      <c r="AI365" s="192"/>
      <c r="AJ365" s="192"/>
      <c r="AK365" s="192" t="str">
        <f t="shared" si="699"/>
        <v>AMC2-S1</v>
      </c>
      <c r="AL365" s="192">
        <f t="shared" si="699"/>
        <v>1</v>
      </c>
      <c r="AM365" s="192"/>
      <c r="AN365" s="192"/>
      <c r="AO365" s="192"/>
      <c r="AP365" s="192" t="str">
        <f t="shared" si="700"/>
        <v>AMC2-S4</v>
      </c>
      <c r="AQ365" s="192">
        <f t="shared" si="700"/>
        <v>1</v>
      </c>
      <c r="AR365" s="192"/>
      <c r="AS365" s="192"/>
      <c r="AT365" s="192"/>
      <c r="AU365" s="192" t="str">
        <f t="shared" si="701"/>
        <v>N/A</v>
      </c>
      <c r="AV365" s="192">
        <f t="shared" si="701"/>
        <v>0</v>
      </c>
      <c r="AW365" s="192"/>
      <c r="AX365" s="192"/>
      <c r="AY365" s="192"/>
      <c r="AZ365" s="192"/>
      <c r="BA365" s="193" t="s">
        <v>1925</v>
      </c>
      <c r="BB365" s="193" t="s">
        <v>1926</v>
      </c>
      <c r="BC365" s="193" t="s">
        <v>1927</v>
      </c>
      <c r="BD365" s="193" t="s">
        <v>140</v>
      </c>
      <c r="BE365" s="196" t="s">
        <v>741</v>
      </c>
      <c r="BF365" s="192"/>
      <c r="BG365" s="186"/>
      <c r="BH365" s="186"/>
      <c r="BI365" s="197"/>
      <c r="BJ365" s="197"/>
      <c r="BK365" s="197"/>
      <c r="BL365" s="197"/>
      <c r="BM365" s="197"/>
      <c r="BN365" s="197"/>
      <c r="BO365" s="197"/>
      <c r="BP365" s="197"/>
      <c r="BQ365" s="197"/>
      <c r="BR365" s="186"/>
      <c r="BS365" s="186"/>
      <c r="BT365" s="186"/>
      <c r="BU365" s="186"/>
      <c r="BV365" s="186"/>
      <c r="BW365" s="186"/>
      <c r="BX365" s="186"/>
      <c r="BY365" s="186"/>
      <c r="BZ365" s="186"/>
      <c r="CA365" s="186"/>
      <c r="CB365" s="197"/>
      <c r="CC365" s="186"/>
      <c r="CD365" s="186"/>
      <c r="CE365" s="198"/>
      <c r="CF365" s="198"/>
    </row>
    <row r="366" spans="1:84" ht="36" hidden="1">
      <c r="A366" s="117"/>
      <c r="B366" s="209" t="s">
        <v>1943</v>
      </c>
      <c r="C366" s="209" t="s">
        <v>2176</v>
      </c>
      <c r="D366" s="209" t="s">
        <v>1084</v>
      </c>
      <c r="E366" s="209" t="s">
        <v>1798</v>
      </c>
      <c r="F366" s="209" t="s">
        <v>1474</v>
      </c>
      <c r="G366" s="209" t="s">
        <v>1429</v>
      </c>
      <c r="H366" s="210">
        <v>4023</v>
      </c>
      <c r="I366" s="211" t="s">
        <v>147</v>
      </c>
      <c r="J366" s="144">
        <v>1</v>
      </c>
      <c r="K366" s="145">
        <f t="shared" si="660"/>
        <v>2</v>
      </c>
      <c r="L366" s="202">
        <f t="shared" ref="L366:L370" si="719">+J366*K366</f>
        <v>2</v>
      </c>
      <c r="M366" s="212">
        <v>863.8</v>
      </c>
      <c r="N366" s="203">
        <f t="shared" ref="N366:N370" si="720">+M366*L366</f>
        <v>1727.6</v>
      </c>
      <c r="O366" s="212" t="s">
        <v>137</v>
      </c>
      <c r="P366" s="212" t="s">
        <v>13</v>
      </c>
      <c r="Q366" s="212" t="s">
        <v>154</v>
      </c>
      <c r="R366" s="212"/>
      <c r="S366" s="212"/>
      <c r="T366" s="203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2</v>
      </c>
      <c r="U366" s="203">
        <f t="shared" ref="U366:U370" ca="1" si="721">+L366-T366</f>
        <v>0</v>
      </c>
      <c r="V366" s="203">
        <f t="shared" ref="V366:V370" ca="1" si="722">ROUNDDOWN(T366/J366,0)</f>
        <v>2</v>
      </c>
      <c r="W366" s="212"/>
      <c r="X366" s="212"/>
      <c r="Y366" s="212"/>
      <c r="Z366" s="212"/>
      <c r="AA366" s="212"/>
      <c r="AB366" s="212"/>
      <c r="AC366" s="214" t="s">
        <v>1923</v>
      </c>
      <c r="AD366" s="215" t="s">
        <v>1924</v>
      </c>
      <c r="AE366" s="148"/>
      <c r="AF366" s="212" t="str">
        <f t="shared" si="698"/>
        <v>N/A</v>
      </c>
      <c r="AG366" s="212">
        <f t="shared" si="698"/>
        <v>0</v>
      </c>
      <c r="AH366" s="203">
        <f t="shared" ref="AH366:AH370" si="723">+AG366*J366</f>
        <v>0</v>
      </c>
      <c r="AI366" s="203">
        <f t="shared" ref="AI366:AI370" ca="1" si="724">MIN(T366,AH366)</f>
        <v>0</v>
      </c>
      <c r="AJ366" s="203">
        <f t="shared" ref="AJ366:AJ370" ca="1" si="725">+AH366-AI366</f>
        <v>0</v>
      </c>
      <c r="AK366" s="212" t="str">
        <f t="shared" si="699"/>
        <v>AMC2-S1</v>
      </c>
      <c r="AL366" s="212">
        <f t="shared" si="699"/>
        <v>1</v>
      </c>
      <c r="AM366" s="203">
        <f t="shared" ref="AM366:AM370" si="726">+AL366*J366</f>
        <v>1</v>
      </c>
      <c r="AN366" s="203">
        <f t="shared" ref="AN366:AN370" ca="1" si="727">MIN(T366-AI366,AL366)</f>
        <v>1</v>
      </c>
      <c r="AO366" s="203">
        <f t="shared" ref="AO366:AO370" ca="1" si="728">+AM366-AN366</f>
        <v>0</v>
      </c>
      <c r="AP366" s="212" t="str">
        <f t="shared" si="700"/>
        <v>AMC2-S4</v>
      </c>
      <c r="AQ366" s="212">
        <f t="shared" si="700"/>
        <v>1</v>
      </c>
      <c r="AR366" s="203">
        <f t="shared" ref="AR366:AR370" si="729">+AQ366*J366</f>
        <v>1</v>
      </c>
      <c r="AS366" s="203">
        <f t="shared" ref="AS366:AS370" ca="1" si="730">MIN(T366-AI366-AN366,AR366)</f>
        <v>1</v>
      </c>
      <c r="AT366" s="203">
        <f t="shared" ref="AT366:AT370" ca="1" si="731">+AR366-AS366</f>
        <v>0</v>
      </c>
      <c r="AU366" s="212" t="str">
        <f t="shared" si="701"/>
        <v>N/A</v>
      </c>
      <c r="AV366" s="212">
        <f t="shared" si="701"/>
        <v>0</v>
      </c>
      <c r="AW366" s="203">
        <f t="shared" ref="AW366:AW370" si="732">+AV366*J366</f>
        <v>0</v>
      </c>
      <c r="AX366" s="203">
        <f t="shared" ref="AX366:AX370" ca="1" si="733">MIN(T366-AI366-AN366-AS366,AW366)</f>
        <v>0</v>
      </c>
      <c r="AY366" s="203">
        <f t="shared" ref="AY366:AY370" ca="1" si="734">+AW366-AX366</f>
        <v>0</v>
      </c>
      <c r="AZ366" s="212"/>
      <c r="BA366" s="213" t="s">
        <v>1925</v>
      </c>
      <c r="BB366" s="213" t="s">
        <v>1926</v>
      </c>
      <c r="BC366" s="213" t="s">
        <v>1927</v>
      </c>
      <c r="BD366" s="213" t="s">
        <v>140</v>
      </c>
      <c r="BE366" s="148"/>
      <c r="BF366" s="212" t="s">
        <v>1789</v>
      </c>
      <c r="BG366" s="117"/>
      <c r="BH366" s="155"/>
      <c r="BI366" s="216"/>
      <c r="BJ366" s="216"/>
      <c r="BK366" s="216"/>
      <c r="BL366" s="149"/>
      <c r="BM366" s="149"/>
      <c r="BN366" s="149"/>
      <c r="BO366" s="149"/>
      <c r="BP366" s="149"/>
      <c r="BQ366" s="149"/>
      <c r="BR366" s="117">
        <v>0</v>
      </c>
      <c r="BS366" s="117">
        <v>1</v>
      </c>
      <c r="BT366" s="117">
        <v>0</v>
      </c>
      <c r="BU366" s="117">
        <v>1</v>
      </c>
      <c r="BV366" s="117">
        <v>0</v>
      </c>
      <c r="BW366" s="117">
        <v>0</v>
      </c>
      <c r="BX366" s="117">
        <v>0</v>
      </c>
      <c r="BY366" s="117" t="s">
        <v>1790</v>
      </c>
      <c r="BZ366" s="158" t="s">
        <v>57</v>
      </c>
      <c r="CA366" s="158">
        <v>4</v>
      </c>
      <c r="CB366" s="234"/>
      <c r="CC366" s="155"/>
      <c r="CD366" s="155"/>
      <c r="CE366" s="217"/>
      <c r="CF366" s="166">
        <f>+L366-CA366</f>
        <v>-2</v>
      </c>
    </row>
    <row r="367" spans="1:84" ht="36" hidden="1">
      <c r="A367" s="141"/>
      <c r="B367" s="199" t="s">
        <v>1943</v>
      </c>
      <c r="C367" s="199" t="s">
        <v>2176</v>
      </c>
      <c r="D367" s="199" t="s">
        <v>1084</v>
      </c>
      <c r="E367" s="199" t="s">
        <v>1799</v>
      </c>
      <c r="F367" s="199" t="s">
        <v>1470</v>
      </c>
      <c r="G367" s="199" t="s">
        <v>1410</v>
      </c>
      <c r="H367" s="200">
        <v>2635</v>
      </c>
      <c r="I367" s="201" t="s">
        <v>147</v>
      </c>
      <c r="J367" s="165">
        <v>1</v>
      </c>
      <c r="K367" s="202">
        <f t="shared" si="660"/>
        <v>2</v>
      </c>
      <c r="L367" s="202">
        <f t="shared" si="719"/>
        <v>2</v>
      </c>
      <c r="M367" s="203">
        <v>441.5</v>
      </c>
      <c r="N367" s="203">
        <f t="shared" si="720"/>
        <v>883</v>
      </c>
      <c r="O367" s="203" t="s">
        <v>137</v>
      </c>
      <c r="P367" s="203" t="s">
        <v>13</v>
      </c>
      <c r="Q367" s="203" t="s">
        <v>154</v>
      </c>
      <c r="R367" s="203"/>
      <c r="S367" s="203"/>
      <c r="T367" s="203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0</v>
      </c>
      <c r="U367" s="203">
        <f t="shared" ca="1" si="721"/>
        <v>2</v>
      </c>
      <c r="V367" s="203">
        <f t="shared" ca="1" si="722"/>
        <v>0</v>
      </c>
      <c r="W367" s="203"/>
      <c r="X367" s="203"/>
      <c r="Y367" s="203"/>
      <c r="Z367" s="203"/>
      <c r="AA367" s="203"/>
      <c r="AB367" s="203"/>
      <c r="AC367" s="205" t="s">
        <v>1923</v>
      </c>
      <c r="AD367" s="206" t="s">
        <v>1924</v>
      </c>
      <c r="AE367" s="166"/>
      <c r="AF367" s="203" t="str">
        <f t="shared" si="698"/>
        <v>N/A</v>
      </c>
      <c r="AG367" s="203">
        <f t="shared" si="698"/>
        <v>0</v>
      </c>
      <c r="AH367" s="203">
        <f t="shared" si="723"/>
        <v>0</v>
      </c>
      <c r="AI367" s="203">
        <f t="shared" ca="1" si="724"/>
        <v>0</v>
      </c>
      <c r="AJ367" s="203">
        <f t="shared" ca="1" si="725"/>
        <v>0</v>
      </c>
      <c r="AK367" s="203" t="str">
        <f t="shared" si="699"/>
        <v>AMC2-S1</v>
      </c>
      <c r="AL367" s="203">
        <f t="shared" si="699"/>
        <v>1</v>
      </c>
      <c r="AM367" s="203">
        <f t="shared" si="726"/>
        <v>1</v>
      </c>
      <c r="AN367" s="203">
        <f t="shared" ca="1" si="727"/>
        <v>0</v>
      </c>
      <c r="AO367" s="203">
        <f t="shared" ca="1" si="728"/>
        <v>1</v>
      </c>
      <c r="AP367" s="203" t="str">
        <f t="shared" si="700"/>
        <v>AMC2-S4</v>
      </c>
      <c r="AQ367" s="203">
        <f t="shared" si="700"/>
        <v>1</v>
      </c>
      <c r="AR367" s="203">
        <f t="shared" si="729"/>
        <v>1</v>
      </c>
      <c r="AS367" s="203">
        <f t="shared" ca="1" si="730"/>
        <v>0</v>
      </c>
      <c r="AT367" s="203">
        <f t="shared" ca="1" si="731"/>
        <v>1</v>
      </c>
      <c r="AU367" s="203" t="str">
        <f t="shared" si="701"/>
        <v>N/A</v>
      </c>
      <c r="AV367" s="203">
        <f t="shared" si="701"/>
        <v>0</v>
      </c>
      <c r="AW367" s="203">
        <f t="shared" si="732"/>
        <v>0</v>
      </c>
      <c r="AX367" s="203">
        <f t="shared" ca="1" si="733"/>
        <v>0</v>
      </c>
      <c r="AY367" s="203">
        <f t="shared" ca="1" si="734"/>
        <v>0</v>
      </c>
      <c r="AZ367" s="203"/>
      <c r="BA367" s="204" t="s">
        <v>1925</v>
      </c>
      <c r="BB367" s="204" t="s">
        <v>1926</v>
      </c>
      <c r="BC367" s="204" t="s">
        <v>1927</v>
      </c>
      <c r="BD367" s="204" t="s">
        <v>140</v>
      </c>
      <c r="BE367" s="166"/>
      <c r="BF367" s="203" t="s">
        <v>1789</v>
      </c>
      <c r="BG367" s="141"/>
      <c r="BH367" s="141"/>
      <c r="BI367" s="153"/>
      <c r="BJ367" s="153"/>
      <c r="BK367" s="153"/>
      <c r="BL367" s="153" t="s">
        <v>1932</v>
      </c>
      <c r="BM367" s="153"/>
      <c r="BN367" s="153"/>
      <c r="BO367" s="153"/>
      <c r="BP367" s="153"/>
      <c r="BQ367" s="153"/>
      <c r="BR367" s="141">
        <v>0</v>
      </c>
      <c r="BS367" s="141">
        <v>1</v>
      </c>
      <c r="BT367" s="141">
        <v>0</v>
      </c>
      <c r="BU367" s="141">
        <v>1</v>
      </c>
      <c r="BV367" s="141">
        <v>0</v>
      </c>
      <c r="BW367" s="141">
        <v>0</v>
      </c>
      <c r="BX367" s="141">
        <v>0</v>
      </c>
      <c r="BY367" s="141" t="s">
        <v>1790</v>
      </c>
      <c r="BZ367" s="167" t="s">
        <v>2154</v>
      </c>
      <c r="CA367" s="165">
        <v>4</v>
      </c>
      <c r="CB367" s="235">
        <v>46216</v>
      </c>
      <c r="CC367" s="141"/>
      <c r="CD367" s="141"/>
      <c r="CE367" s="166"/>
      <c r="CF367" s="166">
        <f>+L367-CA367</f>
        <v>-2</v>
      </c>
    </row>
    <row r="368" spans="1:84" ht="36" hidden="1">
      <c r="A368" s="117"/>
      <c r="B368" s="209" t="s">
        <v>1943</v>
      </c>
      <c r="C368" s="209" t="s">
        <v>2176</v>
      </c>
      <c r="D368" s="209" t="s">
        <v>1084</v>
      </c>
      <c r="E368" s="209" t="s">
        <v>1800</v>
      </c>
      <c r="F368" s="209" t="s">
        <v>1471</v>
      </c>
      <c r="G368" s="209" t="s">
        <v>1412</v>
      </c>
      <c r="H368" s="210">
        <v>5608</v>
      </c>
      <c r="I368" s="211" t="s">
        <v>147</v>
      </c>
      <c r="J368" s="144">
        <v>1</v>
      </c>
      <c r="K368" s="145">
        <f t="shared" si="660"/>
        <v>2</v>
      </c>
      <c r="L368" s="202">
        <f t="shared" si="719"/>
        <v>2</v>
      </c>
      <c r="M368" s="212">
        <v>1388.4</v>
      </c>
      <c r="N368" s="203">
        <f t="shared" si="720"/>
        <v>2776.8</v>
      </c>
      <c r="O368" s="212" t="s">
        <v>137</v>
      </c>
      <c r="P368" s="212" t="s">
        <v>13</v>
      </c>
      <c r="Q368" s="212" t="s">
        <v>154</v>
      </c>
      <c r="R368" s="212"/>
      <c r="S368" s="212"/>
      <c r="T368" s="203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2</v>
      </c>
      <c r="U368" s="203">
        <f t="shared" ca="1" si="721"/>
        <v>0</v>
      </c>
      <c r="V368" s="203">
        <f t="shared" ca="1" si="722"/>
        <v>2</v>
      </c>
      <c r="W368" s="212"/>
      <c r="X368" s="212"/>
      <c r="Y368" s="212"/>
      <c r="Z368" s="212"/>
      <c r="AA368" s="212"/>
      <c r="AB368" s="212"/>
      <c r="AC368" s="214" t="s">
        <v>1923</v>
      </c>
      <c r="AD368" s="215" t="s">
        <v>1924</v>
      </c>
      <c r="AE368" s="148"/>
      <c r="AF368" s="212" t="str">
        <f t="shared" si="698"/>
        <v>N/A</v>
      </c>
      <c r="AG368" s="212">
        <f t="shared" si="698"/>
        <v>0</v>
      </c>
      <c r="AH368" s="203">
        <f t="shared" si="723"/>
        <v>0</v>
      </c>
      <c r="AI368" s="203">
        <f t="shared" ca="1" si="724"/>
        <v>0</v>
      </c>
      <c r="AJ368" s="203">
        <f t="shared" ca="1" si="725"/>
        <v>0</v>
      </c>
      <c r="AK368" s="212" t="str">
        <f t="shared" si="699"/>
        <v>AMC2-S1</v>
      </c>
      <c r="AL368" s="212">
        <f t="shared" si="699"/>
        <v>1</v>
      </c>
      <c r="AM368" s="203">
        <f t="shared" si="726"/>
        <v>1</v>
      </c>
      <c r="AN368" s="203">
        <f t="shared" ca="1" si="727"/>
        <v>1</v>
      </c>
      <c r="AO368" s="203">
        <f t="shared" ca="1" si="728"/>
        <v>0</v>
      </c>
      <c r="AP368" s="212" t="str">
        <f t="shared" si="700"/>
        <v>AMC2-S4</v>
      </c>
      <c r="AQ368" s="212">
        <f t="shared" si="700"/>
        <v>1</v>
      </c>
      <c r="AR368" s="203">
        <f t="shared" si="729"/>
        <v>1</v>
      </c>
      <c r="AS368" s="203">
        <f t="shared" ca="1" si="730"/>
        <v>1</v>
      </c>
      <c r="AT368" s="203">
        <f t="shared" ca="1" si="731"/>
        <v>0</v>
      </c>
      <c r="AU368" s="212" t="str">
        <f t="shared" si="701"/>
        <v>N/A</v>
      </c>
      <c r="AV368" s="212">
        <f t="shared" si="701"/>
        <v>0</v>
      </c>
      <c r="AW368" s="203">
        <f t="shared" si="732"/>
        <v>0</v>
      </c>
      <c r="AX368" s="203">
        <f t="shared" ca="1" si="733"/>
        <v>0</v>
      </c>
      <c r="AY368" s="203">
        <f t="shared" ca="1" si="734"/>
        <v>0</v>
      </c>
      <c r="AZ368" s="212"/>
      <c r="BA368" s="213" t="s">
        <v>1925</v>
      </c>
      <c r="BB368" s="213" t="s">
        <v>1926</v>
      </c>
      <c r="BC368" s="213" t="s">
        <v>1927</v>
      </c>
      <c r="BD368" s="213" t="s">
        <v>140</v>
      </c>
      <c r="BE368" s="148"/>
      <c r="BF368" s="212" t="s">
        <v>1789</v>
      </c>
      <c r="BG368" s="117"/>
      <c r="BH368" s="155"/>
      <c r="BI368" s="216"/>
      <c r="BJ368" s="216"/>
      <c r="BK368" s="216"/>
      <c r="BL368" s="149"/>
      <c r="BM368" s="149"/>
      <c r="BN368" s="149"/>
      <c r="BO368" s="149"/>
      <c r="BP368" s="149"/>
      <c r="BQ368" s="149"/>
      <c r="BR368" s="117">
        <v>0</v>
      </c>
      <c r="BS368" s="117">
        <v>1</v>
      </c>
      <c r="BT368" s="117">
        <v>0</v>
      </c>
      <c r="BU368" s="117">
        <v>1</v>
      </c>
      <c r="BV368" s="117">
        <v>0</v>
      </c>
      <c r="BW368" s="117">
        <v>0</v>
      </c>
      <c r="BX368" s="117">
        <v>0</v>
      </c>
      <c r="BY368" s="117" t="s">
        <v>1790</v>
      </c>
      <c r="BZ368" s="158" t="s">
        <v>57</v>
      </c>
      <c r="CA368" s="158">
        <v>4</v>
      </c>
      <c r="CB368" s="234"/>
      <c r="CC368" s="155"/>
      <c r="CD368" s="155"/>
      <c r="CE368" s="217"/>
      <c r="CF368" s="166">
        <f>+L368-CA368</f>
        <v>-2</v>
      </c>
    </row>
    <row r="369" spans="1:84" ht="36" hidden="1">
      <c r="A369" s="141"/>
      <c r="B369" s="199" t="s">
        <v>1943</v>
      </c>
      <c r="C369" s="199" t="s">
        <v>2176</v>
      </c>
      <c r="D369" s="199" t="s">
        <v>1296</v>
      </c>
      <c r="E369" s="199" t="s">
        <v>1801</v>
      </c>
      <c r="F369" s="199" t="s">
        <v>1472</v>
      </c>
      <c r="G369" s="199" t="s">
        <v>1414</v>
      </c>
      <c r="H369" s="200">
        <v>2225</v>
      </c>
      <c r="I369" s="201" t="s">
        <v>147</v>
      </c>
      <c r="J369" s="165">
        <v>3</v>
      </c>
      <c r="K369" s="202">
        <f t="shared" si="660"/>
        <v>2</v>
      </c>
      <c r="L369" s="202">
        <f t="shared" si="719"/>
        <v>6</v>
      </c>
      <c r="M369" s="203">
        <v>31.8</v>
      </c>
      <c r="N369" s="203">
        <f t="shared" si="720"/>
        <v>190.8</v>
      </c>
      <c r="O369" s="203" t="s">
        <v>137</v>
      </c>
      <c r="P369" s="203" t="s">
        <v>13</v>
      </c>
      <c r="Q369" s="203" t="s">
        <v>148</v>
      </c>
      <c r="R369" s="203"/>
      <c r="S369" s="203"/>
      <c r="T369" s="203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3</v>
      </c>
      <c r="U369" s="203">
        <f t="shared" ca="1" si="721"/>
        <v>3</v>
      </c>
      <c r="V369" s="203">
        <f t="shared" ca="1" si="722"/>
        <v>1</v>
      </c>
      <c r="W369" s="203"/>
      <c r="X369" s="203"/>
      <c r="Y369" s="203"/>
      <c r="Z369" s="203"/>
      <c r="AA369" s="203"/>
      <c r="AB369" s="203"/>
      <c r="AC369" s="205" t="s">
        <v>1923</v>
      </c>
      <c r="AD369" s="206" t="s">
        <v>1924</v>
      </c>
      <c r="AE369" s="166"/>
      <c r="AF369" s="203" t="str">
        <f t="shared" si="698"/>
        <v>N/A</v>
      </c>
      <c r="AG369" s="203">
        <f t="shared" si="698"/>
        <v>0</v>
      </c>
      <c r="AH369" s="203">
        <f t="shared" si="723"/>
        <v>0</v>
      </c>
      <c r="AI369" s="203">
        <f t="shared" ca="1" si="724"/>
        <v>0</v>
      </c>
      <c r="AJ369" s="203">
        <f t="shared" ca="1" si="725"/>
        <v>0</v>
      </c>
      <c r="AK369" s="203" t="str">
        <f t="shared" si="699"/>
        <v>AMC2-S1</v>
      </c>
      <c r="AL369" s="203">
        <f t="shared" si="699"/>
        <v>1</v>
      </c>
      <c r="AM369" s="203">
        <f t="shared" si="726"/>
        <v>3</v>
      </c>
      <c r="AN369" s="203">
        <f t="shared" ca="1" si="727"/>
        <v>1</v>
      </c>
      <c r="AO369" s="203">
        <f t="shared" ca="1" si="728"/>
        <v>2</v>
      </c>
      <c r="AP369" s="203" t="str">
        <f t="shared" si="700"/>
        <v>AMC2-S4</v>
      </c>
      <c r="AQ369" s="203">
        <f t="shared" si="700"/>
        <v>1</v>
      </c>
      <c r="AR369" s="203">
        <f t="shared" si="729"/>
        <v>3</v>
      </c>
      <c r="AS369" s="203">
        <f t="shared" ca="1" si="730"/>
        <v>2</v>
      </c>
      <c r="AT369" s="203">
        <f t="shared" ca="1" si="731"/>
        <v>1</v>
      </c>
      <c r="AU369" s="203" t="str">
        <f t="shared" si="701"/>
        <v>N/A</v>
      </c>
      <c r="AV369" s="203">
        <f t="shared" si="701"/>
        <v>0</v>
      </c>
      <c r="AW369" s="203">
        <f t="shared" si="732"/>
        <v>0</v>
      </c>
      <c r="AX369" s="203">
        <f t="shared" ca="1" si="733"/>
        <v>0</v>
      </c>
      <c r="AY369" s="203">
        <f t="shared" ca="1" si="734"/>
        <v>0</v>
      </c>
      <c r="AZ369" s="203"/>
      <c r="BA369" s="204" t="s">
        <v>1925</v>
      </c>
      <c r="BB369" s="204" t="s">
        <v>1926</v>
      </c>
      <c r="BC369" s="204" t="s">
        <v>1927</v>
      </c>
      <c r="BD369" s="204" t="s">
        <v>140</v>
      </c>
      <c r="BE369" s="166"/>
      <c r="BF369" s="203" t="s">
        <v>1789</v>
      </c>
      <c r="BG369" s="141"/>
      <c r="BH369" s="152"/>
      <c r="BI369" s="207"/>
      <c r="BJ369" s="207"/>
      <c r="BK369" s="207"/>
      <c r="BL369" s="153" t="s">
        <v>1932</v>
      </c>
      <c r="BM369" s="153"/>
      <c r="BN369" s="153"/>
      <c r="BO369" s="153"/>
      <c r="BP369" s="153"/>
      <c r="BQ369" s="153"/>
      <c r="BR369" s="141">
        <v>0</v>
      </c>
      <c r="BS369" s="141">
        <v>0</v>
      </c>
      <c r="BT369" s="141">
        <v>0</v>
      </c>
      <c r="BU369" s="141">
        <v>1</v>
      </c>
      <c r="BV369" s="141">
        <v>0</v>
      </c>
      <c r="BW369" s="141">
        <v>0</v>
      </c>
      <c r="BX369" s="141">
        <v>0</v>
      </c>
      <c r="BY369" s="141" t="s">
        <v>1790</v>
      </c>
      <c r="BZ369" s="158" t="s">
        <v>2159</v>
      </c>
      <c r="CA369" s="165">
        <v>12</v>
      </c>
      <c r="CB369" s="235">
        <v>46213</v>
      </c>
      <c r="CC369" s="152"/>
      <c r="CD369" s="141"/>
      <c r="CE369" s="208"/>
      <c r="CF369" s="166">
        <f>+L369-CA369</f>
        <v>-6</v>
      </c>
    </row>
    <row r="370" spans="1:84" ht="36" hidden="1">
      <c r="A370" s="141"/>
      <c r="B370" s="199" t="s">
        <v>1943</v>
      </c>
      <c r="C370" s="199" t="s">
        <v>2176</v>
      </c>
      <c r="D370" s="199" t="s">
        <v>1296</v>
      </c>
      <c r="E370" s="199" t="s">
        <v>1815</v>
      </c>
      <c r="F370" s="199" t="s">
        <v>1473</v>
      </c>
      <c r="G370" s="199" t="s">
        <v>1416</v>
      </c>
      <c r="H370" s="200">
        <v>2562</v>
      </c>
      <c r="I370" s="201" t="s">
        <v>147</v>
      </c>
      <c r="J370" s="165">
        <v>3</v>
      </c>
      <c r="K370" s="202">
        <f t="shared" si="660"/>
        <v>2</v>
      </c>
      <c r="L370" s="202">
        <f t="shared" si="719"/>
        <v>6</v>
      </c>
      <c r="M370" s="203">
        <v>41.9</v>
      </c>
      <c r="N370" s="203">
        <f t="shared" si="720"/>
        <v>251.39999999999998</v>
      </c>
      <c r="O370" s="203" t="s">
        <v>137</v>
      </c>
      <c r="P370" s="203" t="s">
        <v>13</v>
      </c>
      <c r="Q370" s="203" t="s">
        <v>148</v>
      </c>
      <c r="R370" s="203"/>
      <c r="S370" s="203"/>
      <c r="T370" s="203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3</v>
      </c>
      <c r="U370" s="203">
        <f t="shared" ca="1" si="721"/>
        <v>3</v>
      </c>
      <c r="V370" s="203">
        <f t="shared" ca="1" si="722"/>
        <v>1</v>
      </c>
      <c r="W370" s="203"/>
      <c r="X370" s="203"/>
      <c r="Y370" s="203"/>
      <c r="Z370" s="203"/>
      <c r="AA370" s="203"/>
      <c r="AB370" s="203"/>
      <c r="AC370" s="205" t="s">
        <v>1923</v>
      </c>
      <c r="AD370" s="206" t="s">
        <v>1924</v>
      </c>
      <c r="AE370" s="166"/>
      <c r="AF370" s="203" t="str">
        <f t="shared" si="698"/>
        <v>N/A</v>
      </c>
      <c r="AG370" s="203">
        <f t="shared" si="698"/>
        <v>0</v>
      </c>
      <c r="AH370" s="203">
        <f t="shared" si="723"/>
        <v>0</v>
      </c>
      <c r="AI370" s="203">
        <f t="shared" ca="1" si="724"/>
        <v>0</v>
      </c>
      <c r="AJ370" s="203">
        <f t="shared" ca="1" si="725"/>
        <v>0</v>
      </c>
      <c r="AK370" s="203" t="str">
        <f t="shared" si="699"/>
        <v>AMC2-S1</v>
      </c>
      <c r="AL370" s="203">
        <f t="shared" si="699"/>
        <v>1</v>
      </c>
      <c r="AM370" s="203">
        <f t="shared" si="726"/>
        <v>3</v>
      </c>
      <c r="AN370" s="203">
        <f t="shared" ca="1" si="727"/>
        <v>1</v>
      </c>
      <c r="AO370" s="203">
        <f t="shared" ca="1" si="728"/>
        <v>2</v>
      </c>
      <c r="AP370" s="203" t="str">
        <f t="shared" si="700"/>
        <v>AMC2-S4</v>
      </c>
      <c r="AQ370" s="203">
        <f t="shared" si="700"/>
        <v>1</v>
      </c>
      <c r="AR370" s="203">
        <f t="shared" si="729"/>
        <v>3</v>
      </c>
      <c r="AS370" s="203">
        <f t="shared" ca="1" si="730"/>
        <v>2</v>
      </c>
      <c r="AT370" s="203">
        <f t="shared" ca="1" si="731"/>
        <v>1</v>
      </c>
      <c r="AU370" s="203" t="str">
        <f t="shared" si="701"/>
        <v>N/A</v>
      </c>
      <c r="AV370" s="203">
        <f t="shared" si="701"/>
        <v>0</v>
      </c>
      <c r="AW370" s="203">
        <f t="shared" si="732"/>
        <v>0</v>
      </c>
      <c r="AX370" s="203">
        <f t="shared" ca="1" si="733"/>
        <v>0</v>
      </c>
      <c r="AY370" s="203">
        <f t="shared" ca="1" si="734"/>
        <v>0</v>
      </c>
      <c r="AZ370" s="203"/>
      <c r="BA370" s="204" t="s">
        <v>1925</v>
      </c>
      <c r="BB370" s="204" t="s">
        <v>1926</v>
      </c>
      <c r="BC370" s="204" t="s">
        <v>1927</v>
      </c>
      <c r="BD370" s="204" t="s">
        <v>140</v>
      </c>
      <c r="BE370" s="166"/>
      <c r="BF370" s="203" t="s">
        <v>1789</v>
      </c>
      <c r="BG370" s="141"/>
      <c r="BH370" s="152"/>
      <c r="BI370" s="207"/>
      <c r="BJ370" s="207"/>
      <c r="BK370" s="207"/>
      <c r="BL370" s="153" t="s">
        <v>1932</v>
      </c>
      <c r="BM370" s="153"/>
      <c r="BN370" s="153"/>
      <c r="BO370" s="153"/>
      <c r="BP370" s="153"/>
      <c r="BQ370" s="153"/>
      <c r="BR370" s="141">
        <v>0</v>
      </c>
      <c r="BS370" s="141">
        <v>0</v>
      </c>
      <c r="BT370" s="141">
        <v>0</v>
      </c>
      <c r="BU370" s="141">
        <v>1</v>
      </c>
      <c r="BV370" s="141">
        <v>0</v>
      </c>
      <c r="BW370" s="141">
        <v>0</v>
      </c>
      <c r="BX370" s="141">
        <v>0</v>
      </c>
      <c r="BY370" s="141" t="s">
        <v>1790</v>
      </c>
      <c r="BZ370" s="158" t="s">
        <v>2159</v>
      </c>
      <c r="CA370" s="165">
        <v>12</v>
      </c>
      <c r="CB370" s="235">
        <v>46213</v>
      </c>
      <c r="CC370" s="152"/>
      <c r="CD370" s="141"/>
      <c r="CE370" s="208"/>
      <c r="CF370" s="166">
        <f>+L370-CA370</f>
        <v>-6</v>
      </c>
    </row>
    <row r="371" spans="1:84" ht="36" hidden="1">
      <c r="A371" s="162">
        <v>140</v>
      </c>
      <c r="B371" s="177" t="s">
        <v>1953</v>
      </c>
      <c r="C371" s="177" t="s">
        <v>2177</v>
      </c>
      <c r="D371" s="177" t="s">
        <v>1954</v>
      </c>
      <c r="E371" s="177"/>
      <c r="F371" s="177"/>
      <c r="G371" s="177" t="s">
        <v>1955</v>
      </c>
      <c r="H371" s="178"/>
      <c r="I371" s="179"/>
      <c r="J371" s="160"/>
      <c r="K371" s="180">
        <f>+AG371+AL371+AQ371+AV371</f>
        <v>2</v>
      </c>
      <c r="L371" s="160"/>
      <c r="M371" s="181">
        <v>8558.2999999999993</v>
      </c>
      <c r="N371" s="181">
        <v>34233.199999999997</v>
      </c>
      <c r="O371" s="181" t="s">
        <v>137</v>
      </c>
      <c r="P371" s="181"/>
      <c r="Q371" s="181"/>
      <c r="R371" s="181"/>
      <c r="S371" s="181"/>
      <c r="T371" s="181"/>
      <c r="U371" s="181"/>
      <c r="V371" s="181"/>
      <c r="W371" s="181">
        <f>_xlfn.MINIFS(V:V,C:C,C371,AE:AE,"",AB:AB,"")</f>
        <v>0</v>
      </c>
      <c r="X371" s="181" t="e">
        <f>SUMIFS(T:T,C:C,C371,AE:AE,"")/SUMIFS(L:L,C:C,C371,AE:AE,"",AB:AB,"")</f>
        <v>#DIV/0!</v>
      </c>
      <c r="Y371" s="181"/>
      <c r="Z371" s="181"/>
      <c r="AA371" s="181"/>
      <c r="AB371" s="181"/>
      <c r="AC371" s="228" t="s">
        <v>1923</v>
      </c>
      <c r="AD371" s="184" t="s">
        <v>1924</v>
      </c>
      <c r="AE371" s="162" t="s">
        <v>143</v>
      </c>
      <c r="AF371" s="181" t="s">
        <v>138</v>
      </c>
      <c r="AG371" s="181">
        <v>0</v>
      </c>
      <c r="AH371" s="181"/>
      <c r="AI371" s="181"/>
      <c r="AJ371" s="181"/>
      <c r="AK371" s="181" t="s">
        <v>1783</v>
      </c>
      <c r="AL371" s="181">
        <v>1</v>
      </c>
      <c r="AM371" s="181"/>
      <c r="AN371" s="181"/>
      <c r="AO371" s="181"/>
      <c r="AP371" s="181" t="s">
        <v>1922</v>
      </c>
      <c r="AQ371" s="181">
        <v>1</v>
      </c>
      <c r="AR371" s="181"/>
      <c r="AS371" s="181"/>
      <c r="AT371" s="181"/>
      <c r="AU371" s="181" t="s">
        <v>138</v>
      </c>
      <c r="AV371" s="181">
        <v>0</v>
      </c>
      <c r="AW371" s="181"/>
      <c r="AX371" s="181"/>
      <c r="AY371" s="181"/>
      <c r="AZ371" s="181"/>
      <c r="BA371" s="182" t="s">
        <v>1925</v>
      </c>
      <c r="BB371" s="182" t="s">
        <v>1926</v>
      </c>
      <c r="BC371" s="182" t="s">
        <v>1927</v>
      </c>
      <c r="BD371" s="182" t="s">
        <v>140</v>
      </c>
      <c r="BE371" s="162"/>
      <c r="BF371" s="181"/>
      <c r="BG371" s="161"/>
      <c r="BH371" s="161"/>
      <c r="BI371" s="163"/>
      <c r="BJ371" s="163"/>
      <c r="BK371" s="163"/>
      <c r="BL371" s="163"/>
      <c r="BM371" s="163"/>
      <c r="BN371" s="163"/>
      <c r="BO371" s="163"/>
      <c r="BP371" s="163"/>
      <c r="BQ371" s="163"/>
      <c r="BR371" s="161"/>
      <c r="BS371" s="161"/>
      <c r="BT371" s="161"/>
      <c r="BU371" s="161"/>
      <c r="BV371" s="161"/>
      <c r="BW371" s="161"/>
      <c r="BX371" s="161"/>
      <c r="BY371" s="161"/>
      <c r="BZ371" s="161"/>
      <c r="CA371" s="161"/>
      <c r="CB371" s="163"/>
      <c r="CC371" s="161"/>
      <c r="CD371" s="161"/>
      <c r="CE371" s="185"/>
      <c r="CF371" s="185"/>
    </row>
    <row r="372" spans="1:84" ht="36" hidden="1">
      <c r="A372" s="186"/>
      <c r="B372" s="187" t="s">
        <v>1953</v>
      </c>
      <c r="C372" s="187" t="s">
        <v>2178</v>
      </c>
      <c r="D372" s="187"/>
      <c r="E372" s="187"/>
      <c r="F372" s="187"/>
      <c r="G372" s="187" t="s">
        <v>1956</v>
      </c>
      <c r="H372" s="188"/>
      <c r="I372" s="189"/>
      <c r="J372" s="190"/>
      <c r="K372" s="191">
        <f t="shared" ref="K372:K413" si="735">K371</f>
        <v>2</v>
      </c>
      <c r="L372" s="190"/>
      <c r="M372" s="192">
        <v>2224.6999999999998</v>
      </c>
      <c r="N372" s="192">
        <v>8898.7999999999993</v>
      </c>
      <c r="O372" s="192" t="s">
        <v>137</v>
      </c>
      <c r="P372" s="192"/>
      <c r="Q372" s="192"/>
      <c r="R372" s="192"/>
      <c r="S372" s="192"/>
      <c r="T372" s="192"/>
      <c r="U372" s="192"/>
      <c r="V372" s="192"/>
      <c r="W372" s="192">
        <f ca="1">_xlfn.MINIFS(V:V,C:C,C372,AE:AE,"",AB:AB,"")</f>
        <v>0</v>
      </c>
      <c r="X372" s="192">
        <f ca="1">SUMIFS(T:T,C:C,C372,AE:AE,"")/SUMIFS(L:L,C:C,C372,AE:AE,"",AB:AB,"")</f>
        <v>0.64516129032258063</v>
      </c>
      <c r="Y372" s="192"/>
      <c r="Z372" s="192"/>
      <c r="AA372" s="192"/>
      <c r="AB372" s="192"/>
      <c r="AC372" s="194" t="s">
        <v>1923</v>
      </c>
      <c r="AD372" s="195" t="s">
        <v>1924</v>
      </c>
      <c r="AE372" s="196" t="s">
        <v>1787</v>
      </c>
      <c r="AF372" s="192" t="str">
        <f t="shared" ref="AF372:AG387" si="736">AF371</f>
        <v>N/A</v>
      </c>
      <c r="AG372" s="192">
        <f t="shared" si="736"/>
        <v>0</v>
      </c>
      <c r="AH372" s="192"/>
      <c r="AI372" s="192"/>
      <c r="AJ372" s="192"/>
      <c r="AK372" s="192" t="str">
        <f t="shared" ref="AK372:AL387" si="737">AK371</f>
        <v>AMC2-S1</v>
      </c>
      <c r="AL372" s="192">
        <f t="shared" si="737"/>
        <v>1</v>
      </c>
      <c r="AM372" s="192"/>
      <c r="AN372" s="192"/>
      <c r="AO372" s="192"/>
      <c r="AP372" s="192" t="str">
        <f t="shared" ref="AP372:AQ387" si="738">AP371</f>
        <v>AMC2-S4</v>
      </c>
      <c r="AQ372" s="192">
        <f t="shared" si="738"/>
        <v>1</v>
      </c>
      <c r="AR372" s="192"/>
      <c r="AS372" s="192"/>
      <c r="AT372" s="192"/>
      <c r="AU372" s="192" t="str">
        <f t="shared" ref="AU372:AV387" si="739">AU371</f>
        <v>N/A</v>
      </c>
      <c r="AV372" s="192">
        <f t="shared" si="739"/>
        <v>0</v>
      </c>
      <c r="AW372" s="192"/>
      <c r="AX372" s="192"/>
      <c r="AY372" s="192"/>
      <c r="AZ372" s="192"/>
      <c r="BA372" s="193" t="s">
        <v>1925</v>
      </c>
      <c r="BB372" s="193" t="s">
        <v>1926</v>
      </c>
      <c r="BC372" s="193" t="s">
        <v>1927</v>
      </c>
      <c r="BD372" s="193" t="s">
        <v>140</v>
      </c>
      <c r="BE372" s="196" t="s">
        <v>741</v>
      </c>
      <c r="BF372" s="192"/>
      <c r="BG372" s="186"/>
      <c r="BH372" s="186"/>
      <c r="BI372" s="197"/>
      <c r="BJ372" s="197"/>
      <c r="BK372" s="197"/>
      <c r="BL372" s="197"/>
      <c r="BM372" s="197"/>
      <c r="BN372" s="197"/>
      <c r="BO372" s="197"/>
      <c r="BP372" s="197"/>
      <c r="BQ372" s="197"/>
      <c r="BR372" s="186"/>
      <c r="BS372" s="186"/>
      <c r="BT372" s="186"/>
      <c r="BU372" s="186"/>
      <c r="BV372" s="186"/>
      <c r="BW372" s="186"/>
      <c r="BX372" s="186"/>
      <c r="BY372" s="186"/>
      <c r="BZ372" s="186"/>
      <c r="CA372" s="186"/>
      <c r="CB372" s="197"/>
      <c r="CC372" s="186"/>
      <c r="CD372" s="186"/>
      <c r="CE372" s="198"/>
      <c r="CF372" s="198"/>
    </row>
    <row r="373" spans="1:84" ht="36" hidden="1">
      <c r="A373" s="117"/>
      <c r="B373" s="209" t="s">
        <v>1953</v>
      </c>
      <c r="C373" s="209" t="s">
        <v>2178</v>
      </c>
      <c r="D373" s="209" t="s">
        <v>1084</v>
      </c>
      <c r="E373" s="209" t="s">
        <v>1788</v>
      </c>
      <c r="F373" s="209" t="s">
        <v>1538</v>
      </c>
      <c r="G373" s="209" t="s">
        <v>1477</v>
      </c>
      <c r="H373" s="210">
        <v>3622</v>
      </c>
      <c r="I373" s="211" t="s">
        <v>147</v>
      </c>
      <c r="J373" s="144">
        <v>1</v>
      </c>
      <c r="K373" s="145">
        <f t="shared" si="735"/>
        <v>2</v>
      </c>
      <c r="L373" s="202">
        <f t="shared" ref="L373:L388" si="740">+J373*K373</f>
        <v>2</v>
      </c>
      <c r="M373" s="212">
        <v>493.5</v>
      </c>
      <c r="N373" s="203">
        <f t="shared" ref="N373:N388" si="741">+M373*L373</f>
        <v>987</v>
      </c>
      <c r="O373" s="212" t="s">
        <v>137</v>
      </c>
      <c r="P373" s="212" t="s">
        <v>13</v>
      </c>
      <c r="Q373" s="212" t="s">
        <v>154</v>
      </c>
      <c r="R373" s="212"/>
      <c r="S373" s="212"/>
      <c r="T373" s="203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2</v>
      </c>
      <c r="U373" s="203">
        <f t="shared" ref="U373:U388" ca="1" si="742">+L373-T373</f>
        <v>0</v>
      </c>
      <c r="V373" s="203">
        <f t="shared" ref="V373:V388" ca="1" si="743">ROUNDDOWN(T373/J373,0)</f>
        <v>2</v>
      </c>
      <c r="W373" s="212"/>
      <c r="X373" s="212"/>
      <c r="Y373" s="212"/>
      <c r="Z373" s="212"/>
      <c r="AA373" s="212"/>
      <c r="AB373" s="212"/>
      <c r="AC373" s="214" t="s">
        <v>1923</v>
      </c>
      <c r="AD373" s="215" t="s">
        <v>1924</v>
      </c>
      <c r="AE373" s="148"/>
      <c r="AF373" s="212" t="str">
        <f t="shared" si="736"/>
        <v>N/A</v>
      </c>
      <c r="AG373" s="212">
        <f t="shared" si="736"/>
        <v>0</v>
      </c>
      <c r="AH373" s="203">
        <f t="shared" ref="AH373:AH388" si="744">+AG373*J373</f>
        <v>0</v>
      </c>
      <c r="AI373" s="203">
        <f t="shared" ref="AI373:AI388" ca="1" si="745">MIN(T373,AH373)</f>
        <v>0</v>
      </c>
      <c r="AJ373" s="203">
        <f t="shared" ref="AJ373:AJ388" ca="1" si="746">+AH373-AI373</f>
        <v>0</v>
      </c>
      <c r="AK373" s="212" t="str">
        <f t="shared" si="737"/>
        <v>AMC2-S1</v>
      </c>
      <c r="AL373" s="212">
        <f t="shared" si="737"/>
        <v>1</v>
      </c>
      <c r="AM373" s="203">
        <f t="shared" ref="AM373:AM388" si="747">+AL373*J373</f>
        <v>1</v>
      </c>
      <c r="AN373" s="203">
        <f t="shared" ref="AN373:AN388" ca="1" si="748">MIN(T373-AI373,AL373)</f>
        <v>1</v>
      </c>
      <c r="AO373" s="203">
        <f t="shared" ref="AO373:AO388" ca="1" si="749">+AM373-AN373</f>
        <v>0</v>
      </c>
      <c r="AP373" s="212" t="str">
        <f t="shared" si="738"/>
        <v>AMC2-S4</v>
      </c>
      <c r="AQ373" s="212">
        <f t="shared" si="738"/>
        <v>1</v>
      </c>
      <c r="AR373" s="203">
        <f t="shared" ref="AR373:AR388" si="750">+AQ373*J373</f>
        <v>1</v>
      </c>
      <c r="AS373" s="203">
        <f t="shared" ref="AS373:AS388" ca="1" si="751">MIN(T373-AI373-AN373,AR373)</f>
        <v>1</v>
      </c>
      <c r="AT373" s="203">
        <f t="shared" ref="AT373:AT388" ca="1" si="752">+AR373-AS373</f>
        <v>0</v>
      </c>
      <c r="AU373" s="212" t="str">
        <f t="shared" si="739"/>
        <v>N/A</v>
      </c>
      <c r="AV373" s="212">
        <f t="shared" si="739"/>
        <v>0</v>
      </c>
      <c r="AW373" s="203">
        <f t="shared" ref="AW373:AW388" si="753">+AV373*J373</f>
        <v>0</v>
      </c>
      <c r="AX373" s="203">
        <f t="shared" ref="AX373:AX388" ca="1" si="754">MIN(T373-AI373-AN373-AS373,AW373)</f>
        <v>0</v>
      </c>
      <c r="AY373" s="203">
        <f t="shared" ref="AY373:AY388" ca="1" si="755">+AW373-AX373</f>
        <v>0</v>
      </c>
      <c r="AZ373" s="212"/>
      <c r="BA373" s="213" t="s">
        <v>1925</v>
      </c>
      <c r="BB373" s="213" t="s">
        <v>1926</v>
      </c>
      <c r="BC373" s="213" t="s">
        <v>1927</v>
      </c>
      <c r="BD373" s="213" t="s">
        <v>140</v>
      </c>
      <c r="BE373" s="148"/>
      <c r="BF373" s="212" t="s">
        <v>1789</v>
      </c>
      <c r="BG373" s="117"/>
      <c r="BH373" s="155"/>
      <c r="BI373" s="216"/>
      <c r="BJ373" s="216"/>
      <c r="BK373" s="216"/>
      <c r="BL373" s="149"/>
      <c r="BM373" s="149"/>
      <c r="BN373" s="149"/>
      <c r="BO373" s="149"/>
      <c r="BP373" s="149"/>
      <c r="BQ373" s="149"/>
      <c r="BR373" s="117">
        <v>0</v>
      </c>
      <c r="BS373" s="117">
        <v>1</v>
      </c>
      <c r="BT373" s="117">
        <v>0</v>
      </c>
      <c r="BU373" s="117">
        <v>1</v>
      </c>
      <c r="BV373" s="117">
        <v>0</v>
      </c>
      <c r="BW373" s="117">
        <v>0</v>
      </c>
      <c r="BX373" s="117">
        <v>0</v>
      </c>
      <c r="BY373" s="117" t="s">
        <v>1790</v>
      </c>
      <c r="BZ373" s="158" t="s">
        <v>57</v>
      </c>
      <c r="CA373" s="158">
        <v>4</v>
      </c>
      <c r="CB373" s="234"/>
      <c r="CC373" s="155"/>
      <c r="CD373" s="117"/>
      <c r="CE373" s="217"/>
      <c r="CF373" s="166">
        <f t="shared" ref="CF373:CF388" si="756">+L373-CA373</f>
        <v>-2</v>
      </c>
    </row>
    <row r="374" spans="1:84" ht="36" hidden="1">
      <c r="A374" s="141"/>
      <c r="B374" s="199" t="s">
        <v>1953</v>
      </c>
      <c r="C374" s="199" t="s">
        <v>2178</v>
      </c>
      <c r="D374" s="199" t="s">
        <v>1296</v>
      </c>
      <c r="E374" s="199" t="s">
        <v>1791</v>
      </c>
      <c r="F374" s="199" t="s">
        <v>1544</v>
      </c>
      <c r="G374" s="199" t="s">
        <v>1228</v>
      </c>
      <c r="H374" s="200">
        <v>1712</v>
      </c>
      <c r="I374" s="201" t="s">
        <v>147</v>
      </c>
      <c r="J374" s="165">
        <v>1</v>
      </c>
      <c r="K374" s="202">
        <f t="shared" si="735"/>
        <v>2</v>
      </c>
      <c r="L374" s="202">
        <f t="shared" si="740"/>
        <v>2</v>
      </c>
      <c r="M374" s="203">
        <v>86</v>
      </c>
      <c r="N374" s="203">
        <f t="shared" si="741"/>
        <v>172</v>
      </c>
      <c r="O374" s="203" t="s">
        <v>137</v>
      </c>
      <c r="P374" s="203" t="s">
        <v>13</v>
      </c>
      <c r="Q374" s="203" t="s">
        <v>154</v>
      </c>
      <c r="R374" s="203"/>
      <c r="S374" s="203"/>
      <c r="T374" s="203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0</v>
      </c>
      <c r="U374" s="203">
        <f t="shared" ca="1" si="742"/>
        <v>2</v>
      </c>
      <c r="V374" s="203">
        <f t="shared" ca="1" si="743"/>
        <v>0</v>
      </c>
      <c r="W374" s="203"/>
      <c r="X374" s="203"/>
      <c r="Y374" s="203"/>
      <c r="Z374" s="203"/>
      <c r="AA374" s="203"/>
      <c r="AB374" s="203"/>
      <c r="AC374" s="205" t="s">
        <v>1923</v>
      </c>
      <c r="AD374" s="206" t="s">
        <v>1924</v>
      </c>
      <c r="AE374" s="166"/>
      <c r="AF374" s="203" t="str">
        <f t="shared" si="736"/>
        <v>N/A</v>
      </c>
      <c r="AG374" s="203">
        <f t="shared" si="736"/>
        <v>0</v>
      </c>
      <c r="AH374" s="203">
        <f t="shared" si="744"/>
        <v>0</v>
      </c>
      <c r="AI374" s="203">
        <f t="shared" ca="1" si="745"/>
        <v>0</v>
      </c>
      <c r="AJ374" s="203">
        <f t="shared" ca="1" si="746"/>
        <v>0</v>
      </c>
      <c r="AK374" s="203" t="str">
        <f t="shared" si="737"/>
        <v>AMC2-S1</v>
      </c>
      <c r="AL374" s="203">
        <f t="shared" si="737"/>
        <v>1</v>
      </c>
      <c r="AM374" s="203">
        <f t="shared" si="747"/>
        <v>1</v>
      </c>
      <c r="AN374" s="203">
        <f t="shared" ca="1" si="748"/>
        <v>0</v>
      </c>
      <c r="AO374" s="203">
        <f t="shared" ca="1" si="749"/>
        <v>1</v>
      </c>
      <c r="AP374" s="203" t="str">
        <f t="shared" si="738"/>
        <v>AMC2-S4</v>
      </c>
      <c r="AQ374" s="203">
        <f t="shared" si="738"/>
        <v>1</v>
      </c>
      <c r="AR374" s="203">
        <f t="shared" si="750"/>
        <v>1</v>
      </c>
      <c r="AS374" s="203">
        <f t="shared" ca="1" si="751"/>
        <v>0</v>
      </c>
      <c r="AT374" s="203">
        <f t="shared" ca="1" si="752"/>
        <v>1</v>
      </c>
      <c r="AU374" s="203" t="str">
        <f t="shared" si="739"/>
        <v>N/A</v>
      </c>
      <c r="AV374" s="203">
        <f t="shared" si="739"/>
        <v>0</v>
      </c>
      <c r="AW374" s="203">
        <f t="shared" si="753"/>
        <v>0</v>
      </c>
      <c r="AX374" s="203">
        <f t="shared" ca="1" si="754"/>
        <v>0</v>
      </c>
      <c r="AY374" s="203">
        <f t="shared" ca="1" si="755"/>
        <v>0</v>
      </c>
      <c r="AZ374" s="203"/>
      <c r="BA374" s="204" t="s">
        <v>1925</v>
      </c>
      <c r="BB374" s="204" t="s">
        <v>1926</v>
      </c>
      <c r="BC374" s="204" t="s">
        <v>1927</v>
      </c>
      <c r="BD374" s="204" t="s">
        <v>140</v>
      </c>
      <c r="BE374" s="166"/>
      <c r="BF374" s="203" t="s">
        <v>1789</v>
      </c>
      <c r="BG374" s="141"/>
      <c r="BH374" s="152"/>
      <c r="BI374" s="207"/>
      <c r="BJ374" s="207"/>
      <c r="BK374" s="207"/>
      <c r="BL374" s="153" t="s">
        <v>1932</v>
      </c>
      <c r="BM374" s="153"/>
      <c r="BN374" s="153"/>
      <c r="BO374" s="153"/>
      <c r="BP374" s="153"/>
      <c r="BQ374" s="153"/>
      <c r="BR374" s="141">
        <v>0</v>
      </c>
      <c r="BS374" s="141">
        <v>1</v>
      </c>
      <c r="BT374" s="141">
        <v>0</v>
      </c>
      <c r="BU374" s="141">
        <v>0</v>
      </c>
      <c r="BV374" s="141">
        <v>0</v>
      </c>
      <c r="BW374" s="141">
        <v>0</v>
      </c>
      <c r="BX374" s="141">
        <v>0</v>
      </c>
      <c r="BY374" s="141" t="s">
        <v>1790</v>
      </c>
      <c r="BZ374" s="158" t="s">
        <v>2156</v>
      </c>
      <c r="CA374" s="158">
        <v>4</v>
      </c>
      <c r="CB374" s="235">
        <v>46213</v>
      </c>
      <c r="CC374" s="152"/>
      <c r="CD374" s="141"/>
      <c r="CE374" s="208"/>
      <c r="CF374" s="166">
        <f t="shared" si="756"/>
        <v>-2</v>
      </c>
    </row>
    <row r="375" spans="1:84" ht="36" hidden="1">
      <c r="A375" s="117"/>
      <c r="B375" s="209" t="s">
        <v>1953</v>
      </c>
      <c r="C375" s="209" t="s">
        <v>2178</v>
      </c>
      <c r="D375" s="209" t="s">
        <v>1296</v>
      </c>
      <c r="E375" s="209" t="s">
        <v>1792</v>
      </c>
      <c r="F375" s="209" t="s">
        <v>1545</v>
      </c>
      <c r="G375" s="209" t="s">
        <v>1487</v>
      </c>
      <c r="H375" s="210">
        <v>1805</v>
      </c>
      <c r="I375" s="211" t="s">
        <v>147</v>
      </c>
      <c r="J375" s="144">
        <v>2</v>
      </c>
      <c r="K375" s="145">
        <f t="shared" si="735"/>
        <v>2</v>
      </c>
      <c r="L375" s="202">
        <f t="shared" si="740"/>
        <v>4</v>
      </c>
      <c r="M375" s="212">
        <v>54.9</v>
      </c>
      <c r="N375" s="203">
        <f t="shared" si="741"/>
        <v>219.6</v>
      </c>
      <c r="O375" s="212" t="s">
        <v>137</v>
      </c>
      <c r="P375" s="212" t="s">
        <v>13</v>
      </c>
      <c r="Q375" s="212" t="s">
        <v>148</v>
      </c>
      <c r="R375" s="212"/>
      <c r="S375" s="212"/>
      <c r="T375" s="203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2</v>
      </c>
      <c r="U375" s="203">
        <f t="shared" ca="1" si="742"/>
        <v>2</v>
      </c>
      <c r="V375" s="203">
        <f t="shared" ca="1" si="743"/>
        <v>1</v>
      </c>
      <c r="W375" s="212"/>
      <c r="X375" s="212"/>
      <c r="Y375" s="212"/>
      <c r="Z375" s="212"/>
      <c r="AA375" s="212"/>
      <c r="AB375" s="212"/>
      <c r="AC375" s="214" t="s">
        <v>1923</v>
      </c>
      <c r="AD375" s="215" t="s">
        <v>1924</v>
      </c>
      <c r="AE375" s="148"/>
      <c r="AF375" s="212" t="str">
        <f t="shared" si="736"/>
        <v>N/A</v>
      </c>
      <c r="AG375" s="212">
        <f t="shared" si="736"/>
        <v>0</v>
      </c>
      <c r="AH375" s="203">
        <f t="shared" si="744"/>
        <v>0</v>
      </c>
      <c r="AI375" s="203">
        <f t="shared" ca="1" si="745"/>
        <v>0</v>
      </c>
      <c r="AJ375" s="203">
        <f t="shared" ca="1" si="746"/>
        <v>0</v>
      </c>
      <c r="AK375" s="212" t="str">
        <f t="shared" si="737"/>
        <v>AMC2-S1</v>
      </c>
      <c r="AL375" s="212">
        <f t="shared" si="737"/>
        <v>1</v>
      </c>
      <c r="AM375" s="203">
        <f t="shared" si="747"/>
        <v>2</v>
      </c>
      <c r="AN375" s="203">
        <f t="shared" ca="1" si="748"/>
        <v>1</v>
      </c>
      <c r="AO375" s="203">
        <f t="shared" ca="1" si="749"/>
        <v>1</v>
      </c>
      <c r="AP375" s="212" t="str">
        <f t="shared" si="738"/>
        <v>AMC2-S4</v>
      </c>
      <c r="AQ375" s="212">
        <f t="shared" si="738"/>
        <v>1</v>
      </c>
      <c r="AR375" s="203">
        <f t="shared" si="750"/>
        <v>2</v>
      </c>
      <c r="AS375" s="203">
        <f t="shared" ca="1" si="751"/>
        <v>1</v>
      </c>
      <c r="AT375" s="203">
        <f t="shared" ca="1" si="752"/>
        <v>1</v>
      </c>
      <c r="AU375" s="212" t="str">
        <f t="shared" si="739"/>
        <v>N/A</v>
      </c>
      <c r="AV375" s="212">
        <f t="shared" si="739"/>
        <v>0</v>
      </c>
      <c r="AW375" s="203">
        <f t="shared" si="753"/>
        <v>0</v>
      </c>
      <c r="AX375" s="203">
        <f t="shared" ca="1" si="754"/>
        <v>0</v>
      </c>
      <c r="AY375" s="203">
        <f t="shared" ca="1" si="755"/>
        <v>0</v>
      </c>
      <c r="AZ375" s="212"/>
      <c r="BA375" s="213" t="s">
        <v>1925</v>
      </c>
      <c r="BB375" s="213" t="s">
        <v>1926</v>
      </c>
      <c r="BC375" s="213" t="s">
        <v>1927</v>
      </c>
      <c r="BD375" s="213" t="s">
        <v>140</v>
      </c>
      <c r="BE375" s="148"/>
      <c r="BF375" s="212" t="s">
        <v>1789</v>
      </c>
      <c r="BG375" s="117"/>
      <c r="BH375" s="155"/>
      <c r="BI375" s="216"/>
      <c r="BJ375" s="216"/>
      <c r="BK375" s="216"/>
      <c r="BL375" s="149"/>
      <c r="BM375" s="149"/>
      <c r="BN375" s="149"/>
      <c r="BO375" s="149"/>
      <c r="BP375" s="149"/>
      <c r="BQ375" s="149"/>
      <c r="BR375" s="117">
        <v>0</v>
      </c>
      <c r="BS375" s="117">
        <v>0</v>
      </c>
      <c r="BT375" s="117">
        <v>0</v>
      </c>
      <c r="BU375" s="117">
        <v>0</v>
      </c>
      <c r="BV375" s="117">
        <v>0</v>
      </c>
      <c r="BW375" s="117">
        <v>0</v>
      </c>
      <c r="BX375" s="117">
        <v>0</v>
      </c>
      <c r="BY375" s="117" t="s">
        <v>1790</v>
      </c>
      <c r="BZ375" s="158" t="s">
        <v>2157</v>
      </c>
      <c r="CA375" s="144">
        <v>8</v>
      </c>
      <c r="CB375" s="234">
        <v>46242</v>
      </c>
      <c r="CC375" s="155"/>
      <c r="CD375" s="117"/>
      <c r="CE375" s="217"/>
      <c r="CF375" s="166">
        <f t="shared" si="756"/>
        <v>-4</v>
      </c>
    </row>
    <row r="376" spans="1:84" ht="36" hidden="1">
      <c r="A376" s="117"/>
      <c r="B376" s="209" t="s">
        <v>1953</v>
      </c>
      <c r="C376" s="209" t="s">
        <v>2178</v>
      </c>
      <c r="D376" s="209" t="s">
        <v>1296</v>
      </c>
      <c r="E376" s="209" t="s">
        <v>1793</v>
      </c>
      <c r="F376" s="209" t="s">
        <v>1546</v>
      </c>
      <c r="G376" s="209" t="s">
        <v>1489</v>
      </c>
      <c r="H376" s="210">
        <v>200</v>
      </c>
      <c r="I376" s="211" t="s">
        <v>147</v>
      </c>
      <c r="J376" s="144">
        <v>3</v>
      </c>
      <c r="K376" s="145">
        <f t="shared" si="735"/>
        <v>2</v>
      </c>
      <c r="L376" s="202">
        <f t="shared" si="740"/>
        <v>6</v>
      </c>
      <c r="M376" s="212">
        <v>8</v>
      </c>
      <c r="N376" s="203">
        <f t="shared" si="741"/>
        <v>48</v>
      </c>
      <c r="O376" s="212" t="s">
        <v>137</v>
      </c>
      <c r="P376" s="212" t="s">
        <v>13</v>
      </c>
      <c r="Q376" s="212" t="s">
        <v>148</v>
      </c>
      <c r="R376" s="212"/>
      <c r="S376" s="212"/>
      <c r="T376" s="203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3</v>
      </c>
      <c r="U376" s="203">
        <f t="shared" ca="1" si="742"/>
        <v>3</v>
      </c>
      <c r="V376" s="203">
        <f t="shared" ca="1" si="743"/>
        <v>1</v>
      </c>
      <c r="W376" s="212"/>
      <c r="X376" s="212"/>
      <c r="Y376" s="212"/>
      <c r="Z376" s="212"/>
      <c r="AA376" s="212"/>
      <c r="AB376" s="212"/>
      <c r="AC376" s="214" t="s">
        <v>1923</v>
      </c>
      <c r="AD376" s="215" t="s">
        <v>1924</v>
      </c>
      <c r="AE376" s="148"/>
      <c r="AF376" s="212" t="str">
        <f t="shared" si="736"/>
        <v>N/A</v>
      </c>
      <c r="AG376" s="212">
        <f t="shared" si="736"/>
        <v>0</v>
      </c>
      <c r="AH376" s="203">
        <f t="shared" si="744"/>
        <v>0</v>
      </c>
      <c r="AI376" s="203">
        <f t="shared" ca="1" si="745"/>
        <v>0</v>
      </c>
      <c r="AJ376" s="203">
        <f t="shared" ca="1" si="746"/>
        <v>0</v>
      </c>
      <c r="AK376" s="212" t="str">
        <f t="shared" si="737"/>
        <v>AMC2-S1</v>
      </c>
      <c r="AL376" s="212">
        <f t="shared" si="737"/>
        <v>1</v>
      </c>
      <c r="AM376" s="203">
        <f t="shared" si="747"/>
        <v>3</v>
      </c>
      <c r="AN376" s="203">
        <f t="shared" ca="1" si="748"/>
        <v>1</v>
      </c>
      <c r="AO376" s="203">
        <f t="shared" ca="1" si="749"/>
        <v>2</v>
      </c>
      <c r="AP376" s="212" t="str">
        <f t="shared" si="738"/>
        <v>AMC2-S4</v>
      </c>
      <c r="AQ376" s="212">
        <f t="shared" si="738"/>
        <v>1</v>
      </c>
      <c r="AR376" s="203">
        <f t="shared" si="750"/>
        <v>3</v>
      </c>
      <c r="AS376" s="203">
        <f t="shared" ca="1" si="751"/>
        <v>2</v>
      </c>
      <c r="AT376" s="203">
        <f t="shared" ca="1" si="752"/>
        <v>1</v>
      </c>
      <c r="AU376" s="212" t="str">
        <f t="shared" si="739"/>
        <v>N/A</v>
      </c>
      <c r="AV376" s="212">
        <f t="shared" si="739"/>
        <v>0</v>
      </c>
      <c r="AW376" s="203">
        <f t="shared" si="753"/>
        <v>0</v>
      </c>
      <c r="AX376" s="203">
        <f t="shared" ca="1" si="754"/>
        <v>0</v>
      </c>
      <c r="AY376" s="203">
        <f t="shared" ca="1" si="755"/>
        <v>0</v>
      </c>
      <c r="AZ376" s="212"/>
      <c r="BA376" s="213" t="s">
        <v>1925</v>
      </c>
      <c r="BB376" s="213" t="s">
        <v>1926</v>
      </c>
      <c r="BC376" s="213" t="s">
        <v>1927</v>
      </c>
      <c r="BD376" s="213" t="s">
        <v>140</v>
      </c>
      <c r="BE376" s="148"/>
      <c r="BF376" s="212" t="s">
        <v>1789</v>
      </c>
      <c r="BG376" s="117"/>
      <c r="BH376" s="155"/>
      <c r="BI376" s="216"/>
      <c r="BJ376" s="216"/>
      <c r="BK376" s="216"/>
      <c r="BL376" s="149"/>
      <c r="BM376" s="149"/>
      <c r="BN376" s="149"/>
      <c r="BO376" s="149"/>
      <c r="BP376" s="149"/>
      <c r="BQ376" s="149"/>
      <c r="BR376" s="117">
        <v>0</v>
      </c>
      <c r="BS376" s="117">
        <v>0</v>
      </c>
      <c r="BT376" s="117">
        <v>0</v>
      </c>
      <c r="BU376" s="117">
        <v>0</v>
      </c>
      <c r="BV376" s="117">
        <v>0</v>
      </c>
      <c r="BW376" s="117">
        <v>0</v>
      </c>
      <c r="BX376" s="117">
        <v>0</v>
      </c>
      <c r="BY376" s="117" t="s">
        <v>1790</v>
      </c>
      <c r="BZ376" s="158" t="s">
        <v>2157</v>
      </c>
      <c r="CA376" s="144">
        <v>12</v>
      </c>
      <c r="CB376" s="234">
        <v>46242</v>
      </c>
      <c r="CC376" s="155"/>
      <c r="CD376" s="117"/>
      <c r="CE376" s="217"/>
      <c r="CF376" s="166">
        <f t="shared" si="756"/>
        <v>-6</v>
      </c>
    </row>
    <row r="377" spans="1:84" ht="36" hidden="1">
      <c r="A377" s="117"/>
      <c r="B377" s="209" t="s">
        <v>1953</v>
      </c>
      <c r="C377" s="209" t="s">
        <v>2178</v>
      </c>
      <c r="D377" s="209" t="s">
        <v>1296</v>
      </c>
      <c r="E377" s="209" t="s">
        <v>1957</v>
      </c>
      <c r="F377" s="209" t="s">
        <v>1547</v>
      </c>
      <c r="G377" s="209" t="s">
        <v>1489</v>
      </c>
      <c r="H377" s="210">
        <v>200</v>
      </c>
      <c r="I377" s="211" t="s">
        <v>147</v>
      </c>
      <c r="J377" s="144">
        <v>1</v>
      </c>
      <c r="K377" s="145">
        <f t="shared" si="735"/>
        <v>2</v>
      </c>
      <c r="L377" s="202">
        <f t="shared" si="740"/>
        <v>2</v>
      </c>
      <c r="M377" s="212">
        <v>8</v>
      </c>
      <c r="N377" s="203">
        <f t="shared" si="741"/>
        <v>16</v>
      </c>
      <c r="O377" s="212" t="s">
        <v>137</v>
      </c>
      <c r="P377" s="212" t="s">
        <v>13</v>
      </c>
      <c r="Q377" s="212" t="s">
        <v>148</v>
      </c>
      <c r="R377" s="212"/>
      <c r="S377" s="212"/>
      <c r="T377" s="203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</v>
      </c>
      <c r="U377" s="203">
        <f t="shared" ca="1" si="742"/>
        <v>1</v>
      </c>
      <c r="V377" s="203">
        <f t="shared" ca="1" si="743"/>
        <v>1</v>
      </c>
      <c r="W377" s="212"/>
      <c r="X377" s="212"/>
      <c r="Y377" s="212"/>
      <c r="Z377" s="212"/>
      <c r="AA377" s="212"/>
      <c r="AB377" s="212"/>
      <c r="AC377" s="214" t="s">
        <v>1923</v>
      </c>
      <c r="AD377" s="215" t="s">
        <v>1924</v>
      </c>
      <c r="AE377" s="148"/>
      <c r="AF377" s="212" t="str">
        <f t="shared" si="736"/>
        <v>N/A</v>
      </c>
      <c r="AG377" s="212">
        <f t="shared" si="736"/>
        <v>0</v>
      </c>
      <c r="AH377" s="203">
        <f t="shared" si="744"/>
        <v>0</v>
      </c>
      <c r="AI377" s="203">
        <f t="shared" ca="1" si="745"/>
        <v>0</v>
      </c>
      <c r="AJ377" s="203">
        <f t="shared" ca="1" si="746"/>
        <v>0</v>
      </c>
      <c r="AK377" s="212" t="str">
        <f t="shared" si="737"/>
        <v>AMC2-S1</v>
      </c>
      <c r="AL377" s="212">
        <f t="shared" si="737"/>
        <v>1</v>
      </c>
      <c r="AM377" s="203">
        <f t="shared" si="747"/>
        <v>1</v>
      </c>
      <c r="AN377" s="203">
        <f t="shared" ca="1" si="748"/>
        <v>1</v>
      </c>
      <c r="AO377" s="203">
        <f t="shared" ca="1" si="749"/>
        <v>0</v>
      </c>
      <c r="AP377" s="212" t="str">
        <f t="shared" si="738"/>
        <v>AMC2-S4</v>
      </c>
      <c r="AQ377" s="212">
        <f t="shared" si="738"/>
        <v>1</v>
      </c>
      <c r="AR377" s="203">
        <f t="shared" si="750"/>
        <v>1</v>
      </c>
      <c r="AS377" s="203">
        <f t="shared" ca="1" si="751"/>
        <v>0</v>
      </c>
      <c r="AT377" s="203">
        <f t="shared" ca="1" si="752"/>
        <v>1</v>
      </c>
      <c r="AU377" s="212" t="str">
        <f t="shared" si="739"/>
        <v>N/A</v>
      </c>
      <c r="AV377" s="212">
        <f t="shared" si="739"/>
        <v>0</v>
      </c>
      <c r="AW377" s="203">
        <f t="shared" si="753"/>
        <v>0</v>
      </c>
      <c r="AX377" s="203">
        <f t="shared" ca="1" si="754"/>
        <v>0</v>
      </c>
      <c r="AY377" s="203">
        <f t="shared" ca="1" si="755"/>
        <v>0</v>
      </c>
      <c r="AZ377" s="212"/>
      <c r="BA377" s="213" t="s">
        <v>1925</v>
      </c>
      <c r="BB377" s="213" t="s">
        <v>1926</v>
      </c>
      <c r="BC377" s="213" t="s">
        <v>1927</v>
      </c>
      <c r="BD377" s="213" t="s">
        <v>140</v>
      </c>
      <c r="BE377" s="148"/>
      <c r="BF377" s="212" t="s">
        <v>1789</v>
      </c>
      <c r="BG377" s="117"/>
      <c r="BH377" s="155"/>
      <c r="BI377" s="216"/>
      <c r="BJ377" s="216"/>
      <c r="BK377" s="216"/>
      <c r="BL377" s="149"/>
      <c r="BM377" s="149"/>
      <c r="BN377" s="149"/>
      <c r="BO377" s="149"/>
      <c r="BP377" s="149"/>
      <c r="BQ377" s="149"/>
      <c r="BR377" s="117">
        <v>0</v>
      </c>
      <c r="BS377" s="117">
        <v>0</v>
      </c>
      <c r="BT377" s="117">
        <v>0</v>
      </c>
      <c r="BU377" s="117">
        <v>0</v>
      </c>
      <c r="BV377" s="117">
        <v>0</v>
      </c>
      <c r="BW377" s="117">
        <v>0</v>
      </c>
      <c r="BX377" s="117">
        <v>0</v>
      </c>
      <c r="BY377" s="117" t="s">
        <v>1790</v>
      </c>
      <c r="BZ377" s="158" t="s">
        <v>2157</v>
      </c>
      <c r="CA377" s="144">
        <v>4</v>
      </c>
      <c r="CB377" s="234">
        <v>46242</v>
      </c>
      <c r="CC377" s="155"/>
      <c r="CD377" s="117"/>
      <c r="CE377" s="217"/>
      <c r="CF377" s="166">
        <f t="shared" si="756"/>
        <v>-2</v>
      </c>
    </row>
    <row r="378" spans="1:84" ht="36" hidden="1">
      <c r="A378" s="117"/>
      <c r="B378" s="209" t="s">
        <v>1953</v>
      </c>
      <c r="C378" s="209" t="s">
        <v>2178</v>
      </c>
      <c r="D378" s="209" t="s">
        <v>1296</v>
      </c>
      <c r="E378" s="209" t="s">
        <v>1794</v>
      </c>
      <c r="F378" s="209" t="s">
        <v>1548</v>
      </c>
      <c r="G378" s="209" t="s">
        <v>1199</v>
      </c>
      <c r="H378" s="210">
        <v>640</v>
      </c>
      <c r="I378" s="211" t="s">
        <v>147</v>
      </c>
      <c r="J378" s="144">
        <v>1</v>
      </c>
      <c r="K378" s="145">
        <f t="shared" si="735"/>
        <v>2</v>
      </c>
      <c r="L378" s="202">
        <f t="shared" si="740"/>
        <v>2</v>
      </c>
      <c r="M378" s="212">
        <v>36.200000000000003</v>
      </c>
      <c r="N378" s="203">
        <f t="shared" si="741"/>
        <v>72.400000000000006</v>
      </c>
      <c r="O378" s="212" t="s">
        <v>137</v>
      </c>
      <c r="P378" s="212" t="s">
        <v>13</v>
      </c>
      <c r="Q378" s="212" t="s">
        <v>148</v>
      </c>
      <c r="R378" s="212"/>
      <c r="S378" s="212"/>
      <c r="T378" s="203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1</v>
      </c>
      <c r="U378" s="203">
        <f t="shared" ca="1" si="742"/>
        <v>1</v>
      </c>
      <c r="V378" s="203">
        <f t="shared" ca="1" si="743"/>
        <v>1</v>
      </c>
      <c r="W378" s="212"/>
      <c r="X378" s="212"/>
      <c r="Y378" s="212"/>
      <c r="Z378" s="212"/>
      <c r="AA378" s="212"/>
      <c r="AB378" s="212"/>
      <c r="AC378" s="214" t="s">
        <v>1923</v>
      </c>
      <c r="AD378" s="215" t="s">
        <v>1924</v>
      </c>
      <c r="AE378" s="148"/>
      <c r="AF378" s="212" t="str">
        <f t="shared" si="736"/>
        <v>N/A</v>
      </c>
      <c r="AG378" s="212">
        <f t="shared" si="736"/>
        <v>0</v>
      </c>
      <c r="AH378" s="203">
        <f t="shared" si="744"/>
        <v>0</v>
      </c>
      <c r="AI378" s="203">
        <f t="shared" ca="1" si="745"/>
        <v>0</v>
      </c>
      <c r="AJ378" s="203">
        <f t="shared" ca="1" si="746"/>
        <v>0</v>
      </c>
      <c r="AK378" s="212" t="str">
        <f t="shared" si="737"/>
        <v>AMC2-S1</v>
      </c>
      <c r="AL378" s="212">
        <f t="shared" si="737"/>
        <v>1</v>
      </c>
      <c r="AM378" s="203">
        <f t="shared" si="747"/>
        <v>1</v>
      </c>
      <c r="AN378" s="203">
        <f t="shared" ca="1" si="748"/>
        <v>1</v>
      </c>
      <c r="AO378" s="203">
        <f t="shared" ca="1" si="749"/>
        <v>0</v>
      </c>
      <c r="AP378" s="212" t="str">
        <f t="shared" si="738"/>
        <v>AMC2-S4</v>
      </c>
      <c r="AQ378" s="212">
        <f t="shared" si="738"/>
        <v>1</v>
      </c>
      <c r="AR378" s="203">
        <f t="shared" si="750"/>
        <v>1</v>
      </c>
      <c r="AS378" s="203">
        <f t="shared" ca="1" si="751"/>
        <v>0</v>
      </c>
      <c r="AT378" s="203">
        <f t="shared" ca="1" si="752"/>
        <v>1</v>
      </c>
      <c r="AU378" s="212" t="str">
        <f t="shared" si="739"/>
        <v>N/A</v>
      </c>
      <c r="AV378" s="212">
        <f t="shared" si="739"/>
        <v>0</v>
      </c>
      <c r="AW378" s="203">
        <f t="shared" si="753"/>
        <v>0</v>
      </c>
      <c r="AX378" s="203">
        <f t="shared" ca="1" si="754"/>
        <v>0</v>
      </c>
      <c r="AY378" s="203">
        <f t="shared" ca="1" si="755"/>
        <v>0</v>
      </c>
      <c r="AZ378" s="212"/>
      <c r="BA378" s="213" t="s">
        <v>1925</v>
      </c>
      <c r="BB378" s="213" t="s">
        <v>1926</v>
      </c>
      <c r="BC378" s="213" t="s">
        <v>1927</v>
      </c>
      <c r="BD378" s="213" t="s">
        <v>140</v>
      </c>
      <c r="BE378" s="148"/>
      <c r="BF378" s="212" t="s">
        <v>1789</v>
      </c>
      <c r="BG378" s="117"/>
      <c r="BH378" s="155"/>
      <c r="BI378" s="216"/>
      <c r="BJ378" s="216"/>
      <c r="BK378" s="216"/>
      <c r="BL378" s="149"/>
      <c r="BM378" s="149"/>
      <c r="BN378" s="149"/>
      <c r="BO378" s="149"/>
      <c r="BP378" s="149"/>
      <c r="BQ378" s="149"/>
      <c r="BR378" s="117">
        <v>1</v>
      </c>
      <c r="BS378" s="117">
        <v>0</v>
      </c>
      <c r="BT378" s="117">
        <v>0</v>
      </c>
      <c r="BU378" s="117">
        <v>0</v>
      </c>
      <c r="BV378" s="117">
        <v>0</v>
      </c>
      <c r="BW378" s="117">
        <v>0</v>
      </c>
      <c r="BX378" s="117">
        <v>0</v>
      </c>
      <c r="BY378" s="117" t="s">
        <v>1790</v>
      </c>
      <c r="BZ378" s="158" t="s">
        <v>2179</v>
      </c>
      <c r="CA378" s="158">
        <v>4</v>
      </c>
      <c r="CB378" s="234">
        <v>46213</v>
      </c>
      <c r="CC378" s="155"/>
      <c r="CD378" s="155"/>
      <c r="CE378" s="217"/>
      <c r="CF378" s="166">
        <f t="shared" si="756"/>
        <v>-2</v>
      </c>
    </row>
    <row r="379" spans="1:84" ht="36" hidden="1">
      <c r="A379" s="117"/>
      <c r="B379" s="209" t="s">
        <v>1953</v>
      </c>
      <c r="C379" s="209" t="s">
        <v>2178</v>
      </c>
      <c r="D379" s="209" t="s">
        <v>1296</v>
      </c>
      <c r="E379" s="209" t="s">
        <v>1795</v>
      </c>
      <c r="F379" s="209" t="s">
        <v>1549</v>
      </c>
      <c r="G379" s="209" t="s">
        <v>1493</v>
      </c>
      <c r="H379" s="210">
        <v>1768</v>
      </c>
      <c r="I379" s="211" t="s">
        <v>147</v>
      </c>
      <c r="J379" s="144">
        <v>1</v>
      </c>
      <c r="K379" s="145">
        <f t="shared" si="735"/>
        <v>2</v>
      </c>
      <c r="L379" s="202">
        <f t="shared" si="740"/>
        <v>2</v>
      </c>
      <c r="M379" s="212">
        <v>20.3</v>
      </c>
      <c r="N379" s="203">
        <f t="shared" si="741"/>
        <v>40.6</v>
      </c>
      <c r="O379" s="212" t="s">
        <v>137</v>
      </c>
      <c r="P379" s="212" t="s">
        <v>13</v>
      </c>
      <c r="Q379" s="212" t="s">
        <v>148</v>
      </c>
      <c r="R379" s="212"/>
      <c r="S379" s="212"/>
      <c r="T379" s="203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2</v>
      </c>
      <c r="U379" s="203">
        <f t="shared" ca="1" si="742"/>
        <v>0</v>
      </c>
      <c r="V379" s="203">
        <f t="shared" ca="1" si="743"/>
        <v>2</v>
      </c>
      <c r="W379" s="212"/>
      <c r="X379" s="212"/>
      <c r="Y379" s="212"/>
      <c r="Z379" s="212"/>
      <c r="AA379" s="212"/>
      <c r="AB379" s="212"/>
      <c r="AC379" s="214" t="s">
        <v>1923</v>
      </c>
      <c r="AD379" s="215" t="s">
        <v>1924</v>
      </c>
      <c r="AE379" s="148"/>
      <c r="AF379" s="212" t="str">
        <f t="shared" si="736"/>
        <v>N/A</v>
      </c>
      <c r="AG379" s="212">
        <f t="shared" si="736"/>
        <v>0</v>
      </c>
      <c r="AH379" s="203">
        <f t="shared" si="744"/>
        <v>0</v>
      </c>
      <c r="AI379" s="203">
        <f t="shared" ca="1" si="745"/>
        <v>0</v>
      </c>
      <c r="AJ379" s="203">
        <f t="shared" ca="1" si="746"/>
        <v>0</v>
      </c>
      <c r="AK379" s="212" t="str">
        <f t="shared" si="737"/>
        <v>AMC2-S1</v>
      </c>
      <c r="AL379" s="212">
        <f t="shared" si="737"/>
        <v>1</v>
      </c>
      <c r="AM379" s="203">
        <f t="shared" si="747"/>
        <v>1</v>
      </c>
      <c r="AN379" s="203">
        <f t="shared" ca="1" si="748"/>
        <v>1</v>
      </c>
      <c r="AO379" s="203">
        <f t="shared" ca="1" si="749"/>
        <v>0</v>
      </c>
      <c r="AP379" s="212" t="str">
        <f t="shared" si="738"/>
        <v>AMC2-S4</v>
      </c>
      <c r="AQ379" s="212">
        <f t="shared" si="738"/>
        <v>1</v>
      </c>
      <c r="AR379" s="203">
        <f t="shared" si="750"/>
        <v>1</v>
      </c>
      <c r="AS379" s="203">
        <f t="shared" ca="1" si="751"/>
        <v>1</v>
      </c>
      <c r="AT379" s="203">
        <f t="shared" ca="1" si="752"/>
        <v>0</v>
      </c>
      <c r="AU379" s="212" t="str">
        <f t="shared" si="739"/>
        <v>N/A</v>
      </c>
      <c r="AV379" s="212">
        <f t="shared" si="739"/>
        <v>0</v>
      </c>
      <c r="AW379" s="203">
        <f t="shared" si="753"/>
        <v>0</v>
      </c>
      <c r="AX379" s="203">
        <f t="shared" ca="1" si="754"/>
        <v>0</v>
      </c>
      <c r="AY379" s="203">
        <f t="shared" ca="1" si="755"/>
        <v>0</v>
      </c>
      <c r="AZ379" s="212"/>
      <c r="BA379" s="213" t="s">
        <v>1925</v>
      </c>
      <c r="BB379" s="213" t="s">
        <v>1926</v>
      </c>
      <c r="BC379" s="213" t="s">
        <v>1927</v>
      </c>
      <c r="BD379" s="213" t="s">
        <v>140</v>
      </c>
      <c r="BE379" s="148"/>
      <c r="BF379" s="212" t="s">
        <v>1789</v>
      </c>
      <c r="BG379" s="117"/>
      <c r="BH379" s="155"/>
      <c r="BI379" s="216"/>
      <c r="BJ379" s="216"/>
      <c r="BK379" s="216"/>
      <c r="BL379" s="149"/>
      <c r="BM379" s="149"/>
      <c r="BN379" s="149"/>
      <c r="BO379" s="149"/>
      <c r="BP379" s="149"/>
      <c r="BQ379" s="149"/>
      <c r="BR379" s="117">
        <v>0</v>
      </c>
      <c r="BS379" s="117">
        <v>0</v>
      </c>
      <c r="BT379" s="117">
        <v>0</v>
      </c>
      <c r="BU379" s="117">
        <v>1</v>
      </c>
      <c r="BV379" s="117">
        <v>0</v>
      </c>
      <c r="BW379" s="117">
        <v>0</v>
      </c>
      <c r="BX379" s="117">
        <v>0</v>
      </c>
      <c r="BY379" s="117" t="s">
        <v>1790</v>
      </c>
      <c r="BZ379" s="158" t="s">
        <v>2156</v>
      </c>
      <c r="CA379" s="158">
        <v>4</v>
      </c>
      <c r="CB379" s="234">
        <v>46213</v>
      </c>
      <c r="CC379" s="155"/>
      <c r="CD379" s="141"/>
      <c r="CE379" s="217"/>
      <c r="CF379" s="166">
        <f t="shared" si="756"/>
        <v>-2</v>
      </c>
    </row>
    <row r="380" spans="1:84" ht="36" hidden="1">
      <c r="A380" s="117"/>
      <c r="B380" s="209" t="s">
        <v>1953</v>
      </c>
      <c r="C380" s="209" t="s">
        <v>2178</v>
      </c>
      <c r="D380" s="209" t="s">
        <v>1296</v>
      </c>
      <c r="E380" s="209" t="s">
        <v>1796</v>
      </c>
      <c r="F380" s="209" t="s">
        <v>1550</v>
      </c>
      <c r="G380" s="209" t="s">
        <v>1495</v>
      </c>
      <c r="H380" s="210">
        <v>2391</v>
      </c>
      <c r="I380" s="211" t="s">
        <v>147</v>
      </c>
      <c r="J380" s="144">
        <v>1</v>
      </c>
      <c r="K380" s="145">
        <f t="shared" si="735"/>
        <v>2</v>
      </c>
      <c r="L380" s="202">
        <f t="shared" si="740"/>
        <v>2</v>
      </c>
      <c r="M380" s="212">
        <v>254.7</v>
      </c>
      <c r="N380" s="203">
        <f t="shared" si="741"/>
        <v>509.4</v>
      </c>
      <c r="O380" s="212" t="s">
        <v>137</v>
      </c>
      <c r="P380" s="212" t="s">
        <v>13</v>
      </c>
      <c r="Q380" s="212" t="s">
        <v>154</v>
      </c>
      <c r="R380" s="212"/>
      <c r="S380" s="212"/>
      <c r="T380" s="203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0</v>
      </c>
      <c r="U380" s="203">
        <f t="shared" ca="1" si="742"/>
        <v>2</v>
      </c>
      <c r="V380" s="203">
        <f t="shared" ca="1" si="743"/>
        <v>0</v>
      </c>
      <c r="W380" s="212"/>
      <c r="X380" s="212"/>
      <c r="Y380" s="212"/>
      <c r="Z380" s="212"/>
      <c r="AA380" s="212"/>
      <c r="AB380" s="212"/>
      <c r="AC380" s="214" t="s">
        <v>1923</v>
      </c>
      <c r="AD380" s="215" t="s">
        <v>1924</v>
      </c>
      <c r="AE380" s="148"/>
      <c r="AF380" s="212" t="str">
        <f t="shared" si="736"/>
        <v>N/A</v>
      </c>
      <c r="AG380" s="212">
        <f t="shared" si="736"/>
        <v>0</v>
      </c>
      <c r="AH380" s="203">
        <f t="shared" si="744"/>
        <v>0</v>
      </c>
      <c r="AI380" s="203">
        <f t="shared" ca="1" si="745"/>
        <v>0</v>
      </c>
      <c r="AJ380" s="203">
        <f t="shared" ca="1" si="746"/>
        <v>0</v>
      </c>
      <c r="AK380" s="212" t="str">
        <f t="shared" si="737"/>
        <v>AMC2-S1</v>
      </c>
      <c r="AL380" s="212">
        <f t="shared" si="737"/>
        <v>1</v>
      </c>
      <c r="AM380" s="203">
        <f t="shared" si="747"/>
        <v>1</v>
      </c>
      <c r="AN380" s="203">
        <f t="shared" ca="1" si="748"/>
        <v>0</v>
      </c>
      <c r="AO380" s="203">
        <f t="shared" ca="1" si="749"/>
        <v>1</v>
      </c>
      <c r="AP380" s="212" t="str">
        <f t="shared" si="738"/>
        <v>AMC2-S4</v>
      </c>
      <c r="AQ380" s="212">
        <f t="shared" si="738"/>
        <v>1</v>
      </c>
      <c r="AR380" s="203">
        <f t="shared" si="750"/>
        <v>1</v>
      </c>
      <c r="AS380" s="203">
        <f t="shared" ca="1" si="751"/>
        <v>0</v>
      </c>
      <c r="AT380" s="203">
        <f t="shared" ca="1" si="752"/>
        <v>1</v>
      </c>
      <c r="AU380" s="212" t="str">
        <f t="shared" si="739"/>
        <v>N/A</v>
      </c>
      <c r="AV380" s="212">
        <f t="shared" si="739"/>
        <v>0</v>
      </c>
      <c r="AW380" s="203">
        <f t="shared" si="753"/>
        <v>0</v>
      </c>
      <c r="AX380" s="203">
        <f t="shared" ca="1" si="754"/>
        <v>0</v>
      </c>
      <c r="AY380" s="203">
        <f t="shared" ca="1" si="755"/>
        <v>0</v>
      </c>
      <c r="AZ380" s="212"/>
      <c r="BA380" s="213" t="s">
        <v>1925</v>
      </c>
      <c r="BB380" s="213" t="s">
        <v>1926</v>
      </c>
      <c r="BC380" s="213" t="s">
        <v>1927</v>
      </c>
      <c r="BD380" s="213" t="s">
        <v>140</v>
      </c>
      <c r="BE380" s="148"/>
      <c r="BF380" s="212" t="s">
        <v>1789</v>
      </c>
      <c r="BG380" s="117"/>
      <c r="BH380" s="155"/>
      <c r="BI380" s="216"/>
      <c r="BJ380" s="216"/>
      <c r="BK380" s="216"/>
      <c r="BL380" s="149"/>
      <c r="BM380" s="149"/>
      <c r="BN380" s="149"/>
      <c r="BO380" s="149"/>
      <c r="BP380" s="149"/>
      <c r="BQ380" s="149"/>
      <c r="BR380" s="117">
        <v>0</v>
      </c>
      <c r="BS380" s="117">
        <v>1</v>
      </c>
      <c r="BT380" s="117">
        <v>0</v>
      </c>
      <c r="BU380" s="117">
        <v>1</v>
      </c>
      <c r="BV380" s="117">
        <v>0</v>
      </c>
      <c r="BW380" s="117">
        <v>0</v>
      </c>
      <c r="BX380" s="117">
        <v>0</v>
      </c>
      <c r="BY380" s="117" t="s">
        <v>1790</v>
      </c>
      <c r="BZ380" s="158" t="s">
        <v>57</v>
      </c>
      <c r="CA380" s="158">
        <v>4</v>
      </c>
      <c r="CB380" s="234"/>
      <c r="CC380" s="155"/>
      <c r="CD380" s="155"/>
      <c r="CE380" s="217"/>
      <c r="CF380" s="166">
        <f t="shared" si="756"/>
        <v>-2</v>
      </c>
    </row>
    <row r="381" spans="1:84" ht="36" hidden="1">
      <c r="A381" s="117"/>
      <c r="B381" s="209" t="s">
        <v>1953</v>
      </c>
      <c r="C381" s="209" t="s">
        <v>2178</v>
      </c>
      <c r="D381" s="209" t="s">
        <v>1296</v>
      </c>
      <c r="E381" s="209" t="s">
        <v>1797</v>
      </c>
      <c r="F381" s="209" t="s">
        <v>1551</v>
      </c>
      <c r="G381" s="209" t="s">
        <v>1497</v>
      </c>
      <c r="H381" s="210">
        <v>852</v>
      </c>
      <c r="I381" s="211" t="s">
        <v>147</v>
      </c>
      <c r="J381" s="144">
        <v>1</v>
      </c>
      <c r="K381" s="145">
        <f t="shared" si="735"/>
        <v>2</v>
      </c>
      <c r="L381" s="202">
        <f t="shared" si="740"/>
        <v>2</v>
      </c>
      <c r="M381" s="212">
        <v>9.1999999999999993</v>
      </c>
      <c r="N381" s="203">
        <f t="shared" si="741"/>
        <v>18.399999999999999</v>
      </c>
      <c r="O381" s="212" t="s">
        <v>137</v>
      </c>
      <c r="P381" s="212" t="s">
        <v>13</v>
      </c>
      <c r="Q381" s="212" t="s">
        <v>148</v>
      </c>
      <c r="R381" s="212"/>
      <c r="S381" s="212"/>
      <c r="T381" s="203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1</v>
      </c>
      <c r="U381" s="203">
        <f t="shared" ca="1" si="742"/>
        <v>1</v>
      </c>
      <c r="V381" s="203">
        <f t="shared" ca="1" si="743"/>
        <v>1</v>
      </c>
      <c r="W381" s="212"/>
      <c r="X381" s="212"/>
      <c r="Y381" s="212"/>
      <c r="Z381" s="212"/>
      <c r="AA381" s="212"/>
      <c r="AB381" s="212"/>
      <c r="AC381" s="214" t="s">
        <v>1923</v>
      </c>
      <c r="AD381" s="215" t="s">
        <v>1924</v>
      </c>
      <c r="AE381" s="148"/>
      <c r="AF381" s="212" t="str">
        <f t="shared" si="736"/>
        <v>N/A</v>
      </c>
      <c r="AG381" s="212">
        <f t="shared" si="736"/>
        <v>0</v>
      </c>
      <c r="AH381" s="203">
        <f t="shared" si="744"/>
        <v>0</v>
      </c>
      <c r="AI381" s="203">
        <f t="shared" ca="1" si="745"/>
        <v>0</v>
      </c>
      <c r="AJ381" s="203">
        <f t="shared" ca="1" si="746"/>
        <v>0</v>
      </c>
      <c r="AK381" s="212" t="str">
        <f t="shared" si="737"/>
        <v>AMC2-S1</v>
      </c>
      <c r="AL381" s="212">
        <f t="shared" si="737"/>
        <v>1</v>
      </c>
      <c r="AM381" s="203">
        <f t="shared" si="747"/>
        <v>1</v>
      </c>
      <c r="AN381" s="203">
        <f t="shared" ca="1" si="748"/>
        <v>1</v>
      </c>
      <c r="AO381" s="203">
        <f t="shared" ca="1" si="749"/>
        <v>0</v>
      </c>
      <c r="AP381" s="212" t="str">
        <f t="shared" si="738"/>
        <v>AMC2-S4</v>
      </c>
      <c r="AQ381" s="212">
        <f t="shared" si="738"/>
        <v>1</v>
      </c>
      <c r="AR381" s="203">
        <f t="shared" si="750"/>
        <v>1</v>
      </c>
      <c r="AS381" s="203">
        <f t="shared" ca="1" si="751"/>
        <v>0</v>
      </c>
      <c r="AT381" s="203">
        <f t="shared" ca="1" si="752"/>
        <v>1</v>
      </c>
      <c r="AU381" s="212" t="str">
        <f t="shared" si="739"/>
        <v>N/A</v>
      </c>
      <c r="AV381" s="212">
        <f t="shared" si="739"/>
        <v>0</v>
      </c>
      <c r="AW381" s="203">
        <f t="shared" si="753"/>
        <v>0</v>
      </c>
      <c r="AX381" s="203">
        <f t="shared" ca="1" si="754"/>
        <v>0</v>
      </c>
      <c r="AY381" s="203">
        <f t="shared" ca="1" si="755"/>
        <v>0</v>
      </c>
      <c r="AZ381" s="212"/>
      <c r="BA381" s="213" t="s">
        <v>1925</v>
      </c>
      <c r="BB381" s="213" t="s">
        <v>1926</v>
      </c>
      <c r="BC381" s="213" t="s">
        <v>1927</v>
      </c>
      <c r="BD381" s="213" t="s">
        <v>140</v>
      </c>
      <c r="BE381" s="148"/>
      <c r="BF381" s="212" t="s">
        <v>1789</v>
      </c>
      <c r="BG381" s="117"/>
      <c r="BH381" s="155"/>
      <c r="BI381" s="216"/>
      <c r="BJ381" s="216"/>
      <c r="BK381" s="216"/>
      <c r="BL381" s="149"/>
      <c r="BM381" s="149"/>
      <c r="BN381" s="149"/>
      <c r="BO381" s="149"/>
      <c r="BP381" s="149"/>
      <c r="BQ381" s="149"/>
      <c r="BR381" s="117">
        <v>0</v>
      </c>
      <c r="BS381" s="117">
        <v>0</v>
      </c>
      <c r="BT381" s="117">
        <v>0</v>
      </c>
      <c r="BU381" s="117">
        <v>0</v>
      </c>
      <c r="BV381" s="117">
        <v>0</v>
      </c>
      <c r="BW381" s="117">
        <v>0</v>
      </c>
      <c r="BX381" s="117">
        <v>0</v>
      </c>
      <c r="BY381" s="117" t="s">
        <v>1790</v>
      </c>
      <c r="BZ381" s="158" t="s">
        <v>2156</v>
      </c>
      <c r="CA381" s="158">
        <v>4</v>
      </c>
      <c r="CB381" s="234">
        <v>46213</v>
      </c>
      <c r="CC381" s="155"/>
      <c r="CD381" s="141"/>
      <c r="CE381" s="217"/>
      <c r="CF381" s="166">
        <f t="shared" si="756"/>
        <v>-2</v>
      </c>
    </row>
    <row r="382" spans="1:84" ht="36" hidden="1">
      <c r="A382" s="117"/>
      <c r="B382" s="209" t="s">
        <v>1953</v>
      </c>
      <c r="C382" s="209" t="s">
        <v>2178</v>
      </c>
      <c r="D382" s="209" t="s">
        <v>1296</v>
      </c>
      <c r="E382" s="209" t="s">
        <v>1798</v>
      </c>
      <c r="F382" s="209" t="s">
        <v>1552</v>
      </c>
      <c r="G382" s="209" t="s">
        <v>1157</v>
      </c>
      <c r="H382" s="210">
        <v>7104</v>
      </c>
      <c r="I382" s="211" t="s">
        <v>147</v>
      </c>
      <c r="J382" s="144">
        <v>2</v>
      </c>
      <c r="K382" s="145">
        <f t="shared" si="735"/>
        <v>2</v>
      </c>
      <c r="L382" s="202">
        <f t="shared" si="740"/>
        <v>4</v>
      </c>
      <c r="M382" s="212">
        <v>267.7</v>
      </c>
      <c r="N382" s="203">
        <f t="shared" si="741"/>
        <v>1070.8</v>
      </c>
      <c r="O382" s="212" t="s">
        <v>137</v>
      </c>
      <c r="P382" s="212" t="s">
        <v>13</v>
      </c>
      <c r="Q382" s="212" t="s">
        <v>148</v>
      </c>
      <c r="R382" s="212"/>
      <c r="S382" s="212"/>
      <c r="T382" s="203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2</v>
      </c>
      <c r="U382" s="203">
        <f t="shared" ca="1" si="742"/>
        <v>2</v>
      </c>
      <c r="V382" s="203">
        <f t="shared" ca="1" si="743"/>
        <v>1</v>
      </c>
      <c r="W382" s="212"/>
      <c r="X382" s="212"/>
      <c r="Y382" s="212"/>
      <c r="Z382" s="212"/>
      <c r="AA382" s="212"/>
      <c r="AB382" s="212"/>
      <c r="AC382" s="214" t="s">
        <v>1923</v>
      </c>
      <c r="AD382" s="215" t="s">
        <v>1924</v>
      </c>
      <c r="AE382" s="148"/>
      <c r="AF382" s="212" t="str">
        <f t="shared" si="736"/>
        <v>N/A</v>
      </c>
      <c r="AG382" s="212">
        <f t="shared" si="736"/>
        <v>0</v>
      </c>
      <c r="AH382" s="203">
        <f t="shared" si="744"/>
        <v>0</v>
      </c>
      <c r="AI382" s="203">
        <f t="shared" ca="1" si="745"/>
        <v>0</v>
      </c>
      <c r="AJ382" s="203">
        <f t="shared" ca="1" si="746"/>
        <v>0</v>
      </c>
      <c r="AK382" s="212" t="str">
        <f t="shared" si="737"/>
        <v>AMC2-S1</v>
      </c>
      <c r="AL382" s="212">
        <f t="shared" si="737"/>
        <v>1</v>
      </c>
      <c r="AM382" s="203">
        <f t="shared" si="747"/>
        <v>2</v>
      </c>
      <c r="AN382" s="203">
        <f t="shared" ca="1" si="748"/>
        <v>1</v>
      </c>
      <c r="AO382" s="203">
        <f t="shared" ca="1" si="749"/>
        <v>1</v>
      </c>
      <c r="AP382" s="212" t="str">
        <f t="shared" si="738"/>
        <v>AMC2-S4</v>
      </c>
      <c r="AQ382" s="212">
        <f t="shared" si="738"/>
        <v>1</v>
      </c>
      <c r="AR382" s="203">
        <f t="shared" si="750"/>
        <v>2</v>
      </c>
      <c r="AS382" s="203">
        <f t="shared" ca="1" si="751"/>
        <v>1</v>
      </c>
      <c r="AT382" s="203">
        <f t="shared" ca="1" si="752"/>
        <v>1</v>
      </c>
      <c r="AU382" s="212" t="str">
        <f t="shared" si="739"/>
        <v>N/A</v>
      </c>
      <c r="AV382" s="212">
        <f t="shared" si="739"/>
        <v>0</v>
      </c>
      <c r="AW382" s="203">
        <f t="shared" si="753"/>
        <v>0</v>
      </c>
      <c r="AX382" s="203">
        <f t="shared" ca="1" si="754"/>
        <v>0</v>
      </c>
      <c r="AY382" s="203">
        <f t="shared" ca="1" si="755"/>
        <v>0</v>
      </c>
      <c r="AZ382" s="212"/>
      <c r="BA382" s="213" t="s">
        <v>1925</v>
      </c>
      <c r="BB382" s="213" t="s">
        <v>1926</v>
      </c>
      <c r="BC382" s="213" t="s">
        <v>1927</v>
      </c>
      <c r="BD382" s="213" t="s">
        <v>140</v>
      </c>
      <c r="BE382" s="148"/>
      <c r="BF382" s="212" t="s">
        <v>1789</v>
      </c>
      <c r="BG382" s="117"/>
      <c r="BH382" s="117"/>
      <c r="BI382" s="149"/>
      <c r="BJ382" s="149"/>
      <c r="BK382" s="149"/>
      <c r="BL382" s="149"/>
      <c r="BM382" s="149"/>
      <c r="BN382" s="149"/>
      <c r="BO382" s="149"/>
      <c r="BP382" s="149"/>
      <c r="BQ382" s="149"/>
      <c r="BR382" s="117">
        <v>0</v>
      </c>
      <c r="BS382" s="117">
        <v>0</v>
      </c>
      <c r="BT382" s="117">
        <v>0</v>
      </c>
      <c r="BU382" s="117">
        <v>0</v>
      </c>
      <c r="BV382" s="117">
        <v>0</v>
      </c>
      <c r="BW382" s="117">
        <v>0</v>
      </c>
      <c r="BX382" s="117">
        <v>0</v>
      </c>
      <c r="BY382" s="117" t="s">
        <v>1790</v>
      </c>
      <c r="BZ382" s="158" t="s">
        <v>2155</v>
      </c>
      <c r="CA382" s="144">
        <v>8</v>
      </c>
      <c r="CB382" s="235">
        <v>46231</v>
      </c>
      <c r="CC382" s="117"/>
      <c r="CD382" s="141"/>
      <c r="CE382" s="148"/>
      <c r="CF382" s="166">
        <f t="shared" si="756"/>
        <v>-4</v>
      </c>
    </row>
    <row r="383" spans="1:84" ht="36" hidden="1">
      <c r="A383" s="117"/>
      <c r="B383" s="209" t="s">
        <v>1953</v>
      </c>
      <c r="C383" s="209" t="s">
        <v>2178</v>
      </c>
      <c r="D383" s="209" t="s">
        <v>1084</v>
      </c>
      <c r="E383" s="209" t="s">
        <v>1799</v>
      </c>
      <c r="F383" s="209" t="s">
        <v>1539</v>
      </c>
      <c r="G383" s="209" t="s">
        <v>1479</v>
      </c>
      <c r="H383" s="210">
        <v>5089</v>
      </c>
      <c r="I383" s="211" t="s">
        <v>147</v>
      </c>
      <c r="J383" s="144">
        <v>1</v>
      </c>
      <c r="K383" s="145">
        <f t="shared" si="735"/>
        <v>2</v>
      </c>
      <c r="L383" s="202">
        <f t="shared" si="740"/>
        <v>2</v>
      </c>
      <c r="M383" s="212">
        <v>325.5</v>
      </c>
      <c r="N383" s="203">
        <f t="shared" si="741"/>
        <v>651</v>
      </c>
      <c r="O383" s="212" t="s">
        <v>137</v>
      </c>
      <c r="P383" s="212" t="s">
        <v>13</v>
      </c>
      <c r="Q383" s="212" t="s">
        <v>154</v>
      </c>
      <c r="R383" s="212"/>
      <c r="S383" s="212"/>
      <c r="T383" s="203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0</v>
      </c>
      <c r="U383" s="203">
        <f t="shared" ca="1" si="742"/>
        <v>2</v>
      </c>
      <c r="V383" s="203">
        <f t="shared" ca="1" si="743"/>
        <v>0</v>
      </c>
      <c r="W383" s="212"/>
      <c r="X383" s="212"/>
      <c r="Y383" s="212"/>
      <c r="Z383" s="212"/>
      <c r="AA383" s="212"/>
      <c r="AB383" s="212"/>
      <c r="AC383" s="214" t="s">
        <v>1923</v>
      </c>
      <c r="AD383" s="215" t="s">
        <v>1924</v>
      </c>
      <c r="AE383" s="148"/>
      <c r="AF383" s="212" t="str">
        <f t="shared" si="736"/>
        <v>N/A</v>
      </c>
      <c r="AG383" s="212">
        <f t="shared" si="736"/>
        <v>0</v>
      </c>
      <c r="AH383" s="203">
        <f t="shared" si="744"/>
        <v>0</v>
      </c>
      <c r="AI383" s="203">
        <f t="shared" ca="1" si="745"/>
        <v>0</v>
      </c>
      <c r="AJ383" s="203">
        <f t="shared" ca="1" si="746"/>
        <v>0</v>
      </c>
      <c r="AK383" s="212" t="str">
        <f t="shared" si="737"/>
        <v>AMC2-S1</v>
      </c>
      <c r="AL383" s="212">
        <f t="shared" si="737"/>
        <v>1</v>
      </c>
      <c r="AM383" s="203">
        <f t="shared" si="747"/>
        <v>1</v>
      </c>
      <c r="AN383" s="203">
        <f t="shared" ca="1" si="748"/>
        <v>0</v>
      </c>
      <c r="AO383" s="203">
        <f t="shared" ca="1" si="749"/>
        <v>1</v>
      </c>
      <c r="AP383" s="212" t="str">
        <f t="shared" si="738"/>
        <v>AMC2-S4</v>
      </c>
      <c r="AQ383" s="212">
        <f t="shared" si="738"/>
        <v>1</v>
      </c>
      <c r="AR383" s="203">
        <f t="shared" si="750"/>
        <v>1</v>
      </c>
      <c r="AS383" s="203">
        <f t="shared" ca="1" si="751"/>
        <v>0</v>
      </c>
      <c r="AT383" s="203">
        <f t="shared" ca="1" si="752"/>
        <v>1</v>
      </c>
      <c r="AU383" s="212" t="str">
        <f t="shared" si="739"/>
        <v>N/A</v>
      </c>
      <c r="AV383" s="212">
        <f t="shared" si="739"/>
        <v>0</v>
      </c>
      <c r="AW383" s="203">
        <f t="shared" si="753"/>
        <v>0</v>
      </c>
      <c r="AX383" s="203">
        <f t="shared" ca="1" si="754"/>
        <v>0</v>
      </c>
      <c r="AY383" s="203">
        <f t="shared" ca="1" si="755"/>
        <v>0</v>
      </c>
      <c r="AZ383" s="212"/>
      <c r="BA383" s="213" t="s">
        <v>1925</v>
      </c>
      <c r="BB383" s="213" t="s">
        <v>1926</v>
      </c>
      <c r="BC383" s="213" t="s">
        <v>1927</v>
      </c>
      <c r="BD383" s="213" t="s">
        <v>140</v>
      </c>
      <c r="BE383" s="148"/>
      <c r="BF383" s="212" t="s">
        <v>1789</v>
      </c>
      <c r="BG383" s="117"/>
      <c r="BH383" s="155"/>
      <c r="BI383" s="230" t="s">
        <v>1958</v>
      </c>
      <c r="BJ383" s="230"/>
      <c r="BK383" s="229"/>
      <c r="BL383" s="149"/>
      <c r="BM383" s="149"/>
      <c r="BN383" s="149"/>
      <c r="BO383" s="149"/>
      <c r="BP383" s="149"/>
      <c r="BQ383" s="149"/>
      <c r="BR383" s="117">
        <v>0</v>
      </c>
      <c r="BS383" s="117">
        <v>1</v>
      </c>
      <c r="BT383" s="117">
        <v>0</v>
      </c>
      <c r="BU383" s="117">
        <v>1</v>
      </c>
      <c r="BV383" s="117">
        <v>0</v>
      </c>
      <c r="BW383" s="117">
        <v>0</v>
      </c>
      <c r="BX383" s="117">
        <v>0</v>
      </c>
      <c r="BY383" s="117" t="s">
        <v>1790</v>
      </c>
      <c r="BZ383" s="158" t="s">
        <v>57</v>
      </c>
      <c r="CA383" s="158">
        <v>4</v>
      </c>
      <c r="CB383" s="234"/>
      <c r="CC383" s="155"/>
      <c r="CD383" s="155"/>
      <c r="CE383" s="217"/>
      <c r="CF383" s="166">
        <f t="shared" si="756"/>
        <v>-2</v>
      </c>
    </row>
    <row r="384" spans="1:84" ht="36" hidden="1">
      <c r="A384" s="117"/>
      <c r="B384" s="209" t="s">
        <v>1953</v>
      </c>
      <c r="C384" s="209" t="s">
        <v>2178</v>
      </c>
      <c r="D384" s="209" t="s">
        <v>1084</v>
      </c>
      <c r="E384" s="209" t="s">
        <v>1836</v>
      </c>
      <c r="F384" s="209" t="s">
        <v>1540</v>
      </c>
      <c r="G384" s="209" t="s">
        <v>1479</v>
      </c>
      <c r="H384" s="210">
        <v>5089</v>
      </c>
      <c r="I384" s="211" t="s">
        <v>147</v>
      </c>
      <c r="J384" s="144">
        <v>1</v>
      </c>
      <c r="K384" s="145">
        <f t="shared" si="735"/>
        <v>2</v>
      </c>
      <c r="L384" s="202">
        <f t="shared" si="740"/>
        <v>2</v>
      </c>
      <c r="M384" s="212">
        <v>325.5</v>
      </c>
      <c r="N384" s="203">
        <f t="shared" si="741"/>
        <v>651</v>
      </c>
      <c r="O384" s="212" t="s">
        <v>137</v>
      </c>
      <c r="P384" s="212" t="s">
        <v>13</v>
      </c>
      <c r="Q384" s="212" t="s">
        <v>154</v>
      </c>
      <c r="R384" s="212"/>
      <c r="S384" s="212"/>
      <c r="T384" s="203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0</v>
      </c>
      <c r="U384" s="203">
        <f t="shared" ca="1" si="742"/>
        <v>2</v>
      </c>
      <c r="V384" s="203">
        <f t="shared" ca="1" si="743"/>
        <v>0</v>
      </c>
      <c r="W384" s="212"/>
      <c r="X384" s="212"/>
      <c r="Y384" s="212"/>
      <c r="Z384" s="212"/>
      <c r="AA384" s="212"/>
      <c r="AB384" s="212"/>
      <c r="AC384" s="214" t="s">
        <v>1923</v>
      </c>
      <c r="AD384" s="215" t="s">
        <v>1924</v>
      </c>
      <c r="AE384" s="148"/>
      <c r="AF384" s="212" t="str">
        <f t="shared" si="736"/>
        <v>N/A</v>
      </c>
      <c r="AG384" s="212">
        <f t="shared" si="736"/>
        <v>0</v>
      </c>
      <c r="AH384" s="203">
        <f t="shared" si="744"/>
        <v>0</v>
      </c>
      <c r="AI384" s="203">
        <f t="shared" ca="1" si="745"/>
        <v>0</v>
      </c>
      <c r="AJ384" s="203">
        <f t="shared" ca="1" si="746"/>
        <v>0</v>
      </c>
      <c r="AK384" s="212" t="str">
        <f t="shared" si="737"/>
        <v>AMC2-S1</v>
      </c>
      <c r="AL384" s="212">
        <f t="shared" si="737"/>
        <v>1</v>
      </c>
      <c r="AM384" s="203">
        <f t="shared" si="747"/>
        <v>1</v>
      </c>
      <c r="AN384" s="203">
        <f t="shared" ca="1" si="748"/>
        <v>0</v>
      </c>
      <c r="AO384" s="203">
        <f t="shared" ca="1" si="749"/>
        <v>1</v>
      </c>
      <c r="AP384" s="212" t="str">
        <f t="shared" si="738"/>
        <v>AMC2-S4</v>
      </c>
      <c r="AQ384" s="212">
        <f t="shared" si="738"/>
        <v>1</v>
      </c>
      <c r="AR384" s="203">
        <f t="shared" si="750"/>
        <v>1</v>
      </c>
      <c r="AS384" s="203">
        <f t="shared" ca="1" si="751"/>
        <v>0</v>
      </c>
      <c r="AT384" s="203">
        <f t="shared" ca="1" si="752"/>
        <v>1</v>
      </c>
      <c r="AU384" s="212" t="str">
        <f t="shared" si="739"/>
        <v>N/A</v>
      </c>
      <c r="AV384" s="212">
        <f t="shared" si="739"/>
        <v>0</v>
      </c>
      <c r="AW384" s="203">
        <f t="shared" si="753"/>
        <v>0</v>
      </c>
      <c r="AX384" s="203">
        <f t="shared" ca="1" si="754"/>
        <v>0</v>
      </c>
      <c r="AY384" s="203">
        <f t="shared" ca="1" si="755"/>
        <v>0</v>
      </c>
      <c r="AZ384" s="212"/>
      <c r="BA384" s="213" t="s">
        <v>1925</v>
      </c>
      <c r="BB384" s="213" t="s">
        <v>1926</v>
      </c>
      <c r="BC384" s="213" t="s">
        <v>1927</v>
      </c>
      <c r="BD384" s="213" t="s">
        <v>140</v>
      </c>
      <c r="BE384" s="148"/>
      <c r="BF384" s="212" t="s">
        <v>1789</v>
      </c>
      <c r="BG384" s="117"/>
      <c r="BH384" s="155"/>
      <c r="BI384" s="229"/>
      <c r="BJ384" s="229" t="s">
        <v>1958</v>
      </c>
      <c r="BK384" s="229"/>
      <c r="BL384" s="149"/>
      <c r="BM384" s="149"/>
      <c r="BN384" s="149"/>
      <c r="BO384" s="149"/>
      <c r="BP384" s="149"/>
      <c r="BQ384" s="149"/>
      <c r="BR384" s="117">
        <v>0</v>
      </c>
      <c r="BS384" s="117">
        <v>1</v>
      </c>
      <c r="BT384" s="117">
        <v>0</v>
      </c>
      <c r="BU384" s="117">
        <v>1</v>
      </c>
      <c r="BV384" s="117">
        <v>0</v>
      </c>
      <c r="BW384" s="117">
        <v>0</v>
      </c>
      <c r="BX384" s="117">
        <v>0</v>
      </c>
      <c r="BY384" s="117" t="s">
        <v>1790</v>
      </c>
      <c r="BZ384" s="158" t="s">
        <v>57</v>
      </c>
      <c r="CA384" s="158">
        <v>4</v>
      </c>
      <c r="CB384" s="234"/>
      <c r="CC384" s="155"/>
      <c r="CD384" s="155"/>
      <c r="CE384" s="217"/>
      <c r="CF384" s="166">
        <f t="shared" si="756"/>
        <v>-2</v>
      </c>
    </row>
    <row r="385" spans="1:84" ht="36" hidden="1">
      <c r="A385" s="117"/>
      <c r="B385" s="209" t="s">
        <v>1953</v>
      </c>
      <c r="C385" s="209" t="s">
        <v>2178</v>
      </c>
      <c r="D385" s="209" t="s">
        <v>1296</v>
      </c>
      <c r="E385" s="209" t="s">
        <v>1800</v>
      </c>
      <c r="F385" s="209" t="s">
        <v>1541</v>
      </c>
      <c r="G385" s="209" t="s">
        <v>1482</v>
      </c>
      <c r="H385" s="210">
        <v>630</v>
      </c>
      <c r="I385" s="211" t="s">
        <v>147</v>
      </c>
      <c r="J385" s="144">
        <v>3</v>
      </c>
      <c r="K385" s="145">
        <f t="shared" si="735"/>
        <v>2</v>
      </c>
      <c r="L385" s="202">
        <f t="shared" si="740"/>
        <v>6</v>
      </c>
      <c r="M385" s="212">
        <v>8.1</v>
      </c>
      <c r="N385" s="203">
        <f t="shared" si="741"/>
        <v>48.599999999999994</v>
      </c>
      <c r="O385" s="212" t="s">
        <v>137</v>
      </c>
      <c r="P385" s="212" t="s">
        <v>13</v>
      </c>
      <c r="Q385" s="212" t="s">
        <v>148</v>
      </c>
      <c r="R385" s="212"/>
      <c r="S385" s="212"/>
      <c r="T385" s="203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3</v>
      </c>
      <c r="U385" s="203">
        <f t="shared" ca="1" si="742"/>
        <v>3</v>
      </c>
      <c r="V385" s="203">
        <f t="shared" ca="1" si="743"/>
        <v>1</v>
      </c>
      <c r="W385" s="212"/>
      <c r="X385" s="212"/>
      <c r="Y385" s="212"/>
      <c r="Z385" s="212"/>
      <c r="AA385" s="212"/>
      <c r="AB385" s="212"/>
      <c r="AC385" s="214" t="s">
        <v>1923</v>
      </c>
      <c r="AD385" s="215" t="s">
        <v>1924</v>
      </c>
      <c r="AE385" s="148"/>
      <c r="AF385" s="212" t="str">
        <f t="shared" si="736"/>
        <v>N/A</v>
      </c>
      <c r="AG385" s="212">
        <f t="shared" si="736"/>
        <v>0</v>
      </c>
      <c r="AH385" s="203">
        <f t="shared" si="744"/>
        <v>0</v>
      </c>
      <c r="AI385" s="203">
        <f t="shared" ca="1" si="745"/>
        <v>0</v>
      </c>
      <c r="AJ385" s="203">
        <f t="shared" ca="1" si="746"/>
        <v>0</v>
      </c>
      <c r="AK385" s="212" t="str">
        <f t="shared" si="737"/>
        <v>AMC2-S1</v>
      </c>
      <c r="AL385" s="212">
        <f t="shared" si="737"/>
        <v>1</v>
      </c>
      <c r="AM385" s="203">
        <f t="shared" si="747"/>
        <v>3</v>
      </c>
      <c r="AN385" s="203">
        <f t="shared" ca="1" si="748"/>
        <v>1</v>
      </c>
      <c r="AO385" s="203">
        <f t="shared" ca="1" si="749"/>
        <v>2</v>
      </c>
      <c r="AP385" s="212" t="str">
        <f t="shared" si="738"/>
        <v>AMC2-S4</v>
      </c>
      <c r="AQ385" s="212">
        <f t="shared" si="738"/>
        <v>1</v>
      </c>
      <c r="AR385" s="203">
        <f t="shared" si="750"/>
        <v>3</v>
      </c>
      <c r="AS385" s="203">
        <f t="shared" ca="1" si="751"/>
        <v>2</v>
      </c>
      <c r="AT385" s="203">
        <f t="shared" ca="1" si="752"/>
        <v>1</v>
      </c>
      <c r="AU385" s="212" t="str">
        <f t="shared" si="739"/>
        <v>N/A</v>
      </c>
      <c r="AV385" s="212">
        <f t="shared" si="739"/>
        <v>0</v>
      </c>
      <c r="AW385" s="203">
        <f t="shared" si="753"/>
        <v>0</v>
      </c>
      <c r="AX385" s="203">
        <f t="shared" ca="1" si="754"/>
        <v>0</v>
      </c>
      <c r="AY385" s="203">
        <f t="shared" ca="1" si="755"/>
        <v>0</v>
      </c>
      <c r="AZ385" s="212"/>
      <c r="BA385" s="213" t="s">
        <v>1925</v>
      </c>
      <c r="BB385" s="213" t="s">
        <v>1926</v>
      </c>
      <c r="BC385" s="213" t="s">
        <v>1927</v>
      </c>
      <c r="BD385" s="213" t="s">
        <v>140</v>
      </c>
      <c r="BE385" s="148"/>
      <c r="BF385" s="212" t="s">
        <v>1789</v>
      </c>
      <c r="BG385" s="117"/>
      <c r="BH385" s="155"/>
      <c r="BI385" s="216"/>
      <c r="BJ385" s="229" t="s">
        <v>1959</v>
      </c>
      <c r="BK385" s="229"/>
      <c r="BL385" s="149"/>
      <c r="BM385" s="149"/>
      <c r="BN385" s="149"/>
      <c r="BO385" s="149"/>
      <c r="BP385" s="149"/>
      <c r="BQ385" s="149"/>
      <c r="BR385" s="117">
        <v>0</v>
      </c>
      <c r="BS385" s="117">
        <v>0</v>
      </c>
      <c r="BT385" s="117">
        <v>0</v>
      </c>
      <c r="BU385" s="117">
        <v>1</v>
      </c>
      <c r="BV385" s="117">
        <v>0</v>
      </c>
      <c r="BW385" s="117">
        <v>0</v>
      </c>
      <c r="BX385" s="117">
        <v>0</v>
      </c>
      <c r="BY385" s="117" t="s">
        <v>1790</v>
      </c>
      <c r="BZ385" s="158" t="s">
        <v>2159</v>
      </c>
      <c r="CA385" s="144">
        <v>12</v>
      </c>
      <c r="CB385" s="234">
        <v>46213</v>
      </c>
      <c r="CC385" s="155"/>
      <c r="CD385" s="117"/>
      <c r="CE385" s="217"/>
      <c r="CF385" s="166">
        <f t="shared" si="756"/>
        <v>-6</v>
      </c>
    </row>
    <row r="386" spans="1:84" ht="36" hidden="1">
      <c r="A386" s="117"/>
      <c r="B386" s="209" t="s">
        <v>1953</v>
      </c>
      <c r="C386" s="209" t="s">
        <v>2178</v>
      </c>
      <c r="D386" s="209" t="s">
        <v>1296</v>
      </c>
      <c r="E386" s="209" t="s">
        <v>1930</v>
      </c>
      <c r="F386" s="209" t="s">
        <v>1542</v>
      </c>
      <c r="G386" s="209" t="s">
        <v>1482</v>
      </c>
      <c r="H386" s="210">
        <v>630</v>
      </c>
      <c r="I386" s="211" t="s">
        <v>147</v>
      </c>
      <c r="J386" s="144">
        <v>3</v>
      </c>
      <c r="K386" s="145">
        <f t="shared" si="735"/>
        <v>2</v>
      </c>
      <c r="L386" s="202">
        <f t="shared" si="740"/>
        <v>6</v>
      </c>
      <c r="M386" s="212">
        <v>8.1</v>
      </c>
      <c r="N386" s="203">
        <f t="shared" si="741"/>
        <v>48.599999999999994</v>
      </c>
      <c r="O386" s="212" t="s">
        <v>137</v>
      </c>
      <c r="P386" s="212" t="s">
        <v>13</v>
      </c>
      <c r="Q386" s="212" t="s">
        <v>148</v>
      </c>
      <c r="R386" s="212"/>
      <c r="S386" s="212"/>
      <c r="T386" s="203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3</v>
      </c>
      <c r="U386" s="203">
        <f t="shared" ca="1" si="742"/>
        <v>3</v>
      </c>
      <c r="V386" s="203">
        <f t="shared" ca="1" si="743"/>
        <v>1</v>
      </c>
      <c r="W386" s="212"/>
      <c r="X386" s="212"/>
      <c r="Y386" s="212"/>
      <c r="Z386" s="212"/>
      <c r="AA386" s="212"/>
      <c r="AB386" s="212"/>
      <c r="AC386" s="214" t="s">
        <v>1923</v>
      </c>
      <c r="AD386" s="215" t="s">
        <v>1924</v>
      </c>
      <c r="AE386" s="148"/>
      <c r="AF386" s="212" t="str">
        <f t="shared" si="736"/>
        <v>N/A</v>
      </c>
      <c r="AG386" s="212">
        <f t="shared" si="736"/>
        <v>0</v>
      </c>
      <c r="AH386" s="203">
        <f t="shared" si="744"/>
        <v>0</v>
      </c>
      <c r="AI386" s="203">
        <f t="shared" ca="1" si="745"/>
        <v>0</v>
      </c>
      <c r="AJ386" s="203">
        <f t="shared" ca="1" si="746"/>
        <v>0</v>
      </c>
      <c r="AK386" s="212" t="str">
        <f t="shared" si="737"/>
        <v>AMC2-S1</v>
      </c>
      <c r="AL386" s="212">
        <f t="shared" si="737"/>
        <v>1</v>
      </c>
      <c r="AM386" s="203">
        <f t="shared" si="747"/>
        <v>3</v>
      </c>
      <c r="AN386" s="203">
        <f t="shared" ca="1" si="748"/>
        <v>1</v>
      </c>
      <c r="AO386" s="203">
        <f t="shared" ca="1" si="749"/>
        <v>2</v>
      </c>
      <c r="AP386" s="212" t="str">
        <f t="shared" si="738"/>
        <v>AMC2-S4</v>
      </c>
      <c r="AQ386" s="212">
        <f t="shared" si="738"/>
        <v>1</v>
      </c>
      <c r="AR386" s="203">
        <f t="shared" si="750"/>
        <v>3</v>
      </c>
      <c r="AS386" s="203">
        <f t="shared" ca="1" si="751"/>
        <v>2</v>
      </c>
      <c r="AT386" s="203">
        <f t="shared" ca="1" si="752"/>
        <v>1</v>
      </c>
      <c r="AU386" s="212" t="str">
        <f t="shared" si="739"/>
        <v>N/A</v>
      </c>
      <c r="AV386" s="212">
        <f t="shared" si="739"/>
        <v>0</v>
      </c>
      <c r="AW386" s="203">
        <f t="shared" si="753"/>
        <v>0</v>
      </c>
      <c r="AX386" s="203">
        <f t="shared" ca="1" si="754"/>
        <v>0</v>
      </c>
      <c r="AY386" s="203">
        <f t="shared" ca="1" si="755"/>
        <v>0</v>
      </c>
      <c r="AZ386" s="212"/>
      <c r="BA386" s="213" t="s">
        <v>1925</v>
      </c>
      <c r="BB386" s="213" t="s">
        <v>1926</v>
      </c>
      <c r="BC386" s="213" t="s">
        <v>1927</v>
      </c>
      <c r="BD386" s="213" t="s">
        <v>140</v>
      </c>
      <c r="BE386" s="148"/>
      <c r="BF386" s="212" t="s">
        <v>1789</v>
      </c>
      <c r="BG386" s="117"/>
      <c r="BH386" s="155"/>
      <c r="BI386" s="216"/>
      <c r="BJ386" s="229" t="s">
        <v>1931</v>
      </c>
      <c r="BK386" s="229"/>
      <c r="BL386" s="149"/>
      <c r="BM386" s="149"/>
      <c r="BN386" s="149"/>
      <c r="BO386" s="149"/>
      <c r="BP386" s="149"/>
      <c r="BQ386" s="149"/>
      <c r="BR386" s="117">
        <v>0</v>
      </c>
      <c r="BS386" s="117">
        <v>0</v>
      </c>
      <c r="BT386" s="117">
        <v>0</v>
      </c>
      <c r="BU386" s="117">
        <v>0</v>
      </c>
      <c r="BV386" s="117">
        <v>0</v>
      </c>
      <c r="BW386" s="117">
        <v>0</v>
      </c>
      <c r="BX386" s="117">
        <v>0</v>
      </c>
      <c r="BY386" s="117" t="s">
        <v>1790</v>
      </c>
      <c r="BZ386" s="158" t="s">
        <v>2159</v>
      </c>
      <c r="CA386" s="144">
        <v>12</v>
      </c>
      <c r="CB386" s="234">
        <v>46213</v>
      </c>
      <c r="CC386" s="155"/>
      <c r="CD386" s="117"/>
      <c r="CE386" s="217"/>
      <c r="CF386" s="166">
        <f t="shared" si="756"/>
        <v>-6</v>
      </c>
    </row>
    <row r="387" spans="1:84" ht="36" hidden="1">
      <c r="A387" s="117"/>
      <c r="B387" s="209" t="s">
        <v>1953</v>
      </c>
      <c r="C387" s="209" t="s">
        <v>2178</v>
      </c>
      <c r="D387" s="209" t="s">
        <v>1296</v>
      </c>
      <c r="E387" s="209" t="s">
        <v>1801</v>
      </c>
      <c r="F387" s="209" t="s">
        <v>1543</v>
      </c>
      <c r="G387" s="209" t="s">
        <v>1163</v>
      </c>
      <c r="H387" s="210">
        <v>400</v>
      </c>
      <c r="I387" s="211" t="s">
        <v>147</v>
      </c>
      <c r="J387" s="144">
        <v>6</v>
      </c>
      <c r="K387" s="145">
        <f t="shared" si="735"/>
        <v>2</v>
      </c>
      <c r="L387" s="202">
        <f t="shared" si="740"/>
        <v>12</v>
      </c>
      <c r="M387" s="212">
        <v>4.5</v>
      </c>
      <c r="N387" s="203">
        <f t="shared" si="741"/>
        <v>54</v>
      </c>
      <c r="O387" s="212" t="s">
        <v>137</v>
      </c>
      <c r="P387" s="212" t="s">
        <v>13</v>
      </c>
      <c r="Q387" s="212" t="s">
        <v>148</v>
      </c>
      <c r="R387" s="212"/>
      <c r="S387" s="212"/>
      <c r="T387" s="203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6</v>
      </c>
      <c r="U387" s="203">
        <f t="shared" ca="1" si="742"/>
        <v>6</v>
      </c>
      <c r="V387" s="203">
        <f t="shared" ca="1" si="743"/>
        <v>1</v>
      </c>
      <c r="W387" s="212"/>
      <c r="X387" s="212"/>
      <c r="Y387" s="212"/>
      <c r="Z387" s="212"/>
      <c r="AA387" s="212"/>
      <c r="AB387" s="212"/>
      <c r="AC387" s="214" t="s">
        <v>1923</v>
      </c>
      <c r="AD387" s="215" t="s">
        <v>1924</v>
      </c>
      <c r="AE387" s="148"/>
      <c r="AF387" s="212" t="str">
        <f t="shared" si="736"/>
        <v>N/A</v>
      </c>
      <c r="AG387" s="212">
        <f t="shared" si="736"/>
        <v>0</v>
      </c>
      <c r="AH387" s="203">
        <f t="shared" si="744"/>
        <v>0</v>
      </c>
      <c r="AI387" s="203">
        <f t="shared" ca="1" si="745"/>
        <v>0</v>
      </c>
      <c r="AJ387" s="203">
        <f t="shared" ca="1" si="746"/>
        <v>0</v>
      </c>
      <c r="AK387" s="212" t="str">
        <f t="shared" si="737"/>
        <v>AMC2-S1</v>
      </c>
      <c r="AL387" s="212">
        <f t="shared" si="737"/>
        <v>1</v>
      </c>
      <c r="AM387" s="203">
        <f t="shared" si="747"/>
        <v>6</v>
      </c>
      <c r="AN387" s="203">
        <f t="shared" ca="1" si="748"/>
        <v>1</v>
      </c>
      <c r="AO387" s="203">
        <f t="shared" ca="1" si="749"/>
        <v>5</v>
      </c>
      <c r="AP387" s="212" t="str">
        <f t="shared" si="738"/>
        <v>AMC2-S4</v>
      </c>
      <c r="AQ387" s="212">
        <f t="shared" si="738"/>
        <v>1</v>
      </c>
      <c r="AR387" s="203">
        <f t="shared" si="750"/>
        <v>6</v>
      </c>
      <c r="AS387" s="203">
        <f t="shared" ca="1" si="751"/>
        <v>5</v>
      </c>
      <c r="AT387" s="203">
        <f t="shared" ca="1" si="752"/>
        <v>1</v>
      </c>
      <c r="AU387" s="212" t="str">
        <f t="shared" si="739"/>
        <v>N/A</v>
      </c>
      <c r="AV387" s="212">
        <f t="shared" si="739"/>
        <v>0</v>
      </c>
      <c r="AW387" s="203">
        <f t="shared" si="753"/>
        <v>0</v>
      </c>
      <c r="AX387" s="203">
        <f t="shared" ca="1" si="754"/>
        <v>0</v>
      </c>
      <c r="AY387" s="203">
        <f t="shared" ca="1" si="755"/>
        <v>0</v>
      </c>
      <c r="AZ387" s="212"/>
      <c r="BA387" s="213" t="s">
        <v>1925</v>
      </c>
      <c r="BB387" s="213" t="s">
        <v>1926</v>
      </c>
      <c r="BC387" s="213" t="s">
        <v>1927</v>
      </c>
      <c r="BD387" s="213" t="s">
        <v>140</v>
      </c>
      <c r="BE387" s="148"/>
      <c r="BF387" s="212" t="s">
        <v>1789</v>
      </c>
      <c r="BG387" s="117"/>
      <c r="BH387" s="155"/>
      <c r="BI387" s="216"/>
      <c r="BJ387" s="216"/>
      <c r="BK387" s="216"/>
      <c r="BL387" s="149"/>
      <c r="BM387" s="149"/>
      <c r="BN387" s="149"/>
      <c r="BO387" s="149"/>
      <c r="BP387" s="149"/>
      <c r="BQ387" s="149"/>
      <c r="BR387" s="117">
        <v>0</v>
      </c>
      <c r="BS387" s="117">
        <v>0</v>
      </c>
      <c r="BT387" s="117">
        <v>0</v>
      </c>
      <c r="BU387" s="117">
        <v>0</v>
      </c>
      <c r="BV387" s="117">
        <v>0</v>
      </c>
      <c r="BW387" s="117">
        <v>0</v>
      </c>
      <c r="BX387" s="117">
        <v>0</v>
      </c>
      <c r="BY387" s="117" t="s">
        <v>1790</v>
      </c>
      <c r="BZ387" s="158" t="s">
        <v>2160</v>
      </c>
      <c r="CA387" s="144">
        <v>24</v>
      </c>
      <c r="CB387" s="235">
        <v>46248</v>
      </c>
      <c r="CC387" s="155"/>
      <c r="CD387" s="117"/>
      <c r="CE387" s="217"/>
      <c r="CF387" s="166">
        <f t="shared" si="756"/>
        <v>-12</v>
      </c>
    </row>
    <row r="388" spans="1:84" ht="36" hidden="1">
      <c r="A388" s="117"/>
      <c r="B388" s="209" t="s">
        <v>1953</v>
      </c>
      <c r="C388" s="209" t="s">
        <v>2178</v>
      </c>
      <c r="D388" s="209" t="s">
        <v>1076</v>
      </c>
      <c r="E388" s="209" t="s">
        <v>1802</v>
      </c>
      <c r="F388" s="209" t="s">
        <v>1537</v>
      </c>
      <c r="G388" s="209" t="s">
        <v>1075</v>
      </c>
      <c r="H388" s="210">
        <v>812</v>
      </c>
      <c r="I388" s="211" t="s">
        <v>1077</v>
      </c>
      <c r="J388" s="144">
        <v>3</v>
      </c>
      <c r="K388" s="145">
        <f t="shared" si="735"/>
        <v>2</v>
      </c>
      <c r="L388" s="202">
        <f t="shared" si="740"/>
        <v>6</v>
      </c>
      <c r="M388" s="212">
        <v>13.05696</v>
      </c>
      <c r="N388" s="203">
        <f t="shared" si="741"/>
        <v>78.341759999999994</v>
      </c>
      <c r="O388" s="212" t="s">
        <v>137</v>
      </c>
      <c r="P388" s="212" t="s">
        <v>11</v>
      </c>
      <c r="Q388" s="212" t="s">
        <v>148</v>
      </c>
      <c r="R388" s="212"/>
      <c r="S388" s="212"/>
      <c r="T388" s="203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3</v>
      </c>
      <c r="U388" s="203">
        <f t="shared" ca="1" si="742"/>
        <v>3</v>
      </c>
      <c r="V388" s="203">
        <f t="shared" ca="1" si="743"/>
        <v>1</v>
      </c>
      <c r="W388" s="212"/>
      <c r="X388" s="212"/>
      <c r="Y388" s="212"/>
      <c r="Z388" s="212"/>
      <c r="AA388" s="212"/>
      <c r="AB388" s="212"/>
      <c r="AC388" s="214" t="s">
        <v>1923</v>
      </c>
      <c r="AD388" s="215" t="s">
        <v>1924</v>
      </c>
      <c r="AE388" s="148"/>
      <c r="AF388" s="212" t="str">
        <f t="shared" ref="AF388:AG403" si="757">AF387</f>
        <v>N/A</v>
      </c>
      <c r="AG388" s="212">
        <f t="shared" si="757"/>
        <v>0</v>
      </c>
      <c r="AH388" s="203">
        <f t="shared" si="744"/>
        <v>0</v>
      </c>
      <c r="AI388" s="203">
        <f t="shared" ca="1" si="745"/>
        <v>0</v>
      </c>
      <c r="AJ388" s="203">
        <f t="shared" ca="1" si="746"/>
        <v>0</v>
      </c>
      <c r="AK388" s="212" t="str">
        <f t="shared" ref="AK388:AL403" si="758">AK387</f>
        <v>AMC2-S1</v>
      </c>
      <c r="AL388" s="212">
        <f t="shared" si="758"/>
        <v>1</v>
      </c>
      <c r="AM388" s="203">
        <f t="shared" si="747"/>
        <v>3</v>
      </c>
      <c r="AN388" s="203">
        <f t="shared" ca="1" si="748"/>
        <v>1</v>
      </c>
      <c r="AO388" s="203">
        <f t="shared" ca="1" si="749"/>
        <v>2</v>
      </c>
      <c r="AP388" s="212" t="str">
        <f t="shared" ref="AP388:AQ403" si="759">AP387</f>
        <v>AMC2-S4</v>
      </c>
      <c r="AQ388" s="212">
        <f t="shared" si="759"/>
        <v>1</v>
      </c>
      <c r="AR388" s="203">
        <f t="shared" si="750"/>
        <v>3</v>
      </c>
      <c r="AS388" s="203">
        <f t="shared" ca="1" si="751"/>
        <v>2</v>
      </c>
      <c r="AT388" s="203">
        <f t="shared" ca="1" si="752"/>
        <v>1</v>
      </c>
      <c r="AU388" s="212" t="str">
        <f t="shared" ref="AU388:AV403" si="760">AU387</f>
        <v>N/A</v>
      </c>
      <c r="AV388" s="212">
        <f t="shared" si="760"/>
        <v>0</v>
      </c>
      <c r="AW388" s="203">
        <f t="shared" si="753"/>
        <v>0</v>
      </c>
      <c r="AX388" s="203">
        <f t="shared" ca="1" si="754"/>
        <v>0</v>
      </c>
      <c r="AY388" s="203">
        <f t="shared" ca="1" si="755"/>
        <v>0</v>
      </c>
      <c r="AZ388" s="212"/>
      <c r="BA388" s="213" t="s">
        <v>1925</v>
      </c>
      <c r="BB388" s="213" t="s">
        <v>1926</v>
      </c>
      <c r="BC388" s="213" t="s">
        <v>1927</v>
      </c>
      <c r="BD388" s="213" t="s">
        <v>140</v>
      </c>
      <c r="BE388" s="148"/>
      <c r="BF388" s="212" t="s">
        <v>1789</v>
      </c>
      <c r="BG388" s="117"/>
      <c r="BH388" s="155"/>
      <c r="BI388" s="216"/>
      <c r="BJ388" s="216"/>
      <c r="BK388" s="216"/>
      <c r="BL388" s="149"/>
      <c r="BM388" s="149"/>
      <c r="BN388" s="149"/>
      <c r="BO388" s="149"/>
      <c r="BP388" s="149"/>
      <c r="BQ388" s="149"/>
      <c r="BR388" s="117">
        <v>0</v>
      </c>
      <c r="BS388" s="117">
        <v>0</v>
      </c>
      <c r="BT388" s="117">
        <v>0</v>
      </c>
      <c r="BU388" s="117">
        <v>1</v>
      </c>
      <c r="BV388" s="117">
        <v>0</v>
      </c>
      <c r="BW388" s="117">
        <v>0</v>
      </c>
      <c r="BX388" s="117">
        <v>0</v>
      </c>
      <c r="BY388" s="117" t="s">
        <v>1790</v>
      </c>
      <c r="BZ388" s="158" t="s">
        <v>2161</v>
      </c>
      <c r="CA388" s="213">
        <v>12</v>
      </c>
      <c r="CB388" s="235">
        <v>46231</v>
      </c>
      <c r="CC388" s="155"/>
      <c r="CD388" s="155"/>
      <c r="CE388" s="217"/>
      <c r="CF388" s="166">
        <f t="shared" si="756"/>
        <v>-6</v>
      </c>
    </row>
    <row r="389" spans="1:84" ht="36" hidden="1">
      <c r="A389" s="186"/>
      <c r="B389" s="187" t="s">
        <v>1953</v>
      </c>
      <c r="C389" s="187" t="s">
        <v>2180</v>
      </c>
      <c r="D389" s="187"/>
      <c r="E389" s="187"/>
      <c r="F389" s="187"/>
      <c r="G389" s="187" t="s">
        <v>1960</v>
      </c>
      <c r="H389" s="188"/>
      <c r="I389" s="189"/>
      <c r="J389" s="190"/>
      <c r="K389" s="191">
        <f t="shared" si="735"/>
        <v>2</v>
      </c>
      <c r="L389" s="190"/>
      <c r="M389" s="192">
        <v>2110</v>
      </c>
      <c r="N389" s="192">
        <v>8440</v>
      </c>
      <c r="O389" s="192" t="s">
        <v>137</v>
      </c>
      <c r="P389" s="192"/>
      <c r="Q389" s="192"/>
      <c r="R389" s="192"/>
      <c r="S389" s="192"/>
      <c r="T389" s="192"/>
      <c r="U389" s="192"/>
      <c r="V389" s="192"/>
      <c r="W389" s="192">
        <f ca="1">_xlfn.MINIFS(V:V,C:C,C389,AE:AE,"",AB:AB,"")</f>
        <v>0</v>
      </c>
      <c r="X389" s="192">
        <f ca="1">SUMIFS(T:T,C:C,C389,AE:AE,"")/SUMIFS(L:L,C:C,C389,AE:AE,"",AB:AB,"")</f>
        <v>0.73333333333333328</v>
      </c>
      <c r="Y389" s="192"/>
      <c r="Z389" s="192"/>
      <c r="AA389" s="192"/>
      <c r="AB389" s="192"/>
      <c r="AC389" s="194" t="s">
        <v>1923</v>
      </c>
      <c r="AD389" s="195" t="s">
        <v>1924</v>
      </c>
      <c r="AE389" s="196" t="s">
        <v>1787</v>
      </c>
      <c r="AF389" s="192" t="str">
        <f t="shared" si="757"/>
        <v>N/A</v>
      </c>
      <c r="AG389" s="192">
        <f t="shared" si="757"/>
        <v>0</v>
      </c>
      <c r="AH389" s="192"/>
      <c r="AI389" s="192"/>
      <c r="AJ389" s="192"/>
      <c r="AK389" s="192" t="str">
        <f t="shared" si="758"/>
        <v>AMC2-S1</v>
      </c>
      <c r="AL389" s="192">
        <f t="shared" si="758"/>
        <v>1</v>
      </c>
      <c r="AM389" s="192"/>
      <c r="AN389" s="192"/>
      <c r="AO389" s="192"/>
      <c r="AP389" s="192" t="str">
        <f t="shared" si="759"/>
        <v>AMC2-S4</v>
      </c>
      <c r="AQ389" s="192">
        <f t="shared" si="759"/>
        <v>1</v>
      </c>
      <c r="AR389" s="192"/>
      <c r="AS389" s="192"/>
      <c r="AT389" s="192"/>
      <c r="AU389" s="192" t="str">
        <f t="shared" si="760"/>
        <v>N/A</v>
      </c>
      <c r="AV389" s="192">
        <f t="shared" si="760"/>
        <v>0</v>
      </c>
      <c r="AW389" s="192"/>
      <c r="AX389" s="192"/>
      <c r="AY389" s="192"/>
      <c r="AZ389" s="192"/>
      <c r="BA389" s="193" t="s">
        <v>1925</v>
      </c>
      <c r="BB389" s="193" t="s">
        <v>1926</v>
      </c>
      <c r="BC389" s="193" t="s">
        <v>1927</v>
      </c>
      <c r="BD389" s="193" t="s">
        <v>140</v>
      </c>
      <c r="BE389" s="196" t="s">
        <v>741</v>
      </c>
      <c r="BF389" s="192"/>
      <c r="BG389" s="186"/>
      <c r="BH389" s="186"/>
      <c r="BI389" s="197"/>
      <c r="BJ389" s="197"/>
      <c r="BK389" s="197"/>
      <c r="BL389" s="197"/>
      <c r="BM389" s="197"/>
      <c r="BN389" s="197"/>
      <c r="BO389" s="197"/>
      <c r="BP389" s="197"/>
      <c r="BQ389" s="197"/>
      <c r="BR389" s="186"/>
      <c r="BS389" s="186"/>
      <c r="BT389" s="186"/>
      <c r="BU389" s="186"/>
      <c r="BV389" s="186"/>
      <c r="BW389" s="186"/>
      <c r="BX389" s="186"/>
      <c r="BY389" s="186"/>
      <c r="BZ389" s="186"/>
      <c r="CA389" s="186"/>
      <c r="CB389" s="197"/>
      <c r="CC389" s="186"/>
      <c r="CD389" s="186"/>
      <c r="CE389" s="198"/>
      <c r="CF389" s="198"/>
    </row>
    <row r="390" spans="1:84" ht="36" hidden="1">
      <c r="A390" s="117"/>
      <c r="B390" s="209" t="s">
        <v>1953</v>
      </c>
      <c r="C390" s="209" t="s">
        <v>2180</v>
      </c>
      <c r="D390" s="209" t="s">
        <v>1084</v>
      </c>
      <c r="E390" s="209" t="s">
        <v>1788</v>
      </c>
      <c r="F390" s="209" t="s">
        <v>1561</v>
      </c>
      <c r="G390" s="209" t="s">
        <v>1477</v>
      </c>
      <c r="H390" s="210">
        <v>3622</v>
      </c>
      <c r="I390" s="211" t="s">
        <v>147</v>
      </c>
      <c r="J390" s="144">
        <v>1</v>
      </c>
      <c r="K390" s="145">
        <f t="shared" si="735"/>
        <v>2</v>
      </c>
      <c r="L390" s="202">
        <f t="shared" ref="L390:L396" si="761">+J390*K390</f>
        <v>2</v>
      </c>
      <c r="M390" s="212">
        <v>493.5</v>
      </c>
      <c r="N390" s="203">
        <f t="shared" ref="N390:N396" si="762">+M390*L390</f>
        <v>987</v>
      </c>
      <c r="O390" s="212" t="s">
        <v>137</v>
      </c>
      <c r="P390" s="212" t="s">
        <v>13</v>
      </c>
      <c r="Q390" s="212" t="s">
        <v>154</v>
      </c>
      <c r="R390" s="212"/>
      <c r="S390" s="212"/>
      <c r="T390" s="203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2</v>
      </c>
      <c r="U390" s="203">
        <f t="shared" ref="U390:U396" ca="1" si="763">+L390-T390</f>
        <v>0</v>
      </c>
      <c r="V390" s="203">
        <f t="shared" ref="V390:V396" ca="1" si="764">ROUNDDOWN(T390/J390,0)</f>
        <v>2</v>
      </c>
      <c r="W390" s="212"/>
      <c r="X390" s="212"/>
      <c r="Y390" s="212"/>
      <c r="Z390" s="212"/>
      <c r="AA390" s="212"/>
      <c r="AB390" s="212"/>
      <c r="AC390" s="214" t="s">
        <v>1923</v>
      </c>
      <c r="AD390" s="215" t="s">
        <v>1924</v>
      </c>
      <c r="AE390" s="148"/>
      <c r="AF390" s="212" t="str">
        <f t="shared" si="757"/>
        <v>N/A</v>
      </c>
      <c r="AG390" s="212">
        <f t="shared" si="757"/>
        <v>0</v>
      </c>
      <c r="AH390" s="203">
        <f t="shared" ref="AH390:AH396" si="765">+AG390*J390</f>
        <v>0</v>
      </c>
      <c r="AI390" s="203">
        <f t="shared" ref="AI390:AI396" ca="1" si="766">MIN(T390,AH390)</f>
        <v>0</v>
      </c>
      <c r="AJ390" s="203">
        <f t="shared" ref="AJ390:AJ396" ca="1" si="767">+AH390-AI390</f>
        <v>0</v>
      </c>
      <c r="AK390" s="212" t="str">
        <f t="shared" si="758"/>
        <v>AMC2-S1</v>
      </c>
      <c r="AL390" s="212">
        <f t="shared" si="758"/>
        <v>1</v>
      </c>
      <c r="AM390" s="203">
        <f t="shared" ref="AM390:AM396" si="768">+AL390*J390</f>
        <v>1</v>
      </c>
      <c r="AN390" s="203">
        <f t="shared" ref="AN390:AN396" ca="1" si="769">MIN(T390-AI390,AL390)</f>
        <v>1</v>
      </c>
      <c r="AO390" s="203">
        <f t="shared" ref="AO390:AO396" ca="1" si="770">+AM390-AN390</f>
        <v>0</v>
      </c>
      <c r="AP390" s="212" t="str">
        <f t="shared" si="759"/>
        <v>AMC2-S4</v>
      </c>
      <c r="AQ390" s="212">
        <f t="shared" si="759"/>
        <v>1</v>
      </c>
      <c r="AR390" s="203">
        <f t="shared" ref="AR390:AR396" si="771">+AQ390*J390</f>
        <v>1</v>
      </c>
      <c r="AS390" s="203">
        <f t="shared" ref="AS390:AS396" ca="1" si="772">MIN(T390-AI390-AN390,AR390)</f>
        <v>1</v>
      </c>
      <c r="AT390" s="203">
        <f t="shared" ref="AT390:AT396" ca="1" si="773">+AR390-AS390</f>
        <v>0</v>
      </c>
      <c r="AU390" s="212" t="str">
        <f t="shared" si="760"/>
        <v>N/A</v>
      </c>
      <c r="AV390" s="212">
        <f t="shared" si="760"/>
        <v>0</v>
      </c>
      <c r="AW390" s="203">
        <f t="shared" ref="AW390:AW396" si="774">+AV390*J390</f>
        <v>0</v>
      </c>
      <c r="AX390" s="203">
        <f t="shared" ref="AX390:AX396" ca="1" si="775">MIN(T390-AI390-AN390-AS390,AW390)</f>
        <v>0</v>
      </c>
      <c r="AY390" s="203">
        <f t="shared" ref="AY390:AY396" ca="1" si="776">+AW390-AX390</f>
        <v>0</v>
      </c>
      <c r="AZ390" s="212"/>
      <c r="BA390" s="213" t="s">
        <v>1925</v>
      </c>
      <c r="BB390" s="213" t="s">
        <v>1926</v>
      </c>
      <c r="BC390" s="213" t="s">
        <v>1927</v>
      </c>
      <c r="BD390" s="213" t="s">
        <v>140</v>
      </c>
      <c r="BE390" s="148"/>
      <c r="BF390" s="212" t="s">
        <v>1789</v>
      </c>
      <c r="BG390" s="117"/>
      <c r="BH390" s="155"/>
      <c r="BI390" s="216"/>
      <c r="BJ390" s="216"/>
      <c r="BK390" s="216"/>
      <c r="BL390" s="149"/>
      <c r="BM390" s="149"/>
      <c r="BN390" s="149"/>
      <c r="BO390" s="149"/>
      <c r="BP390" s="149"/>
      <c r="BQ390" s="149"/>
      <c r="BR390" s="117">
        <v>0</v>
      </c>
      <c r="BS390" s="117">
        <v>1</v>
      </c>
      <c r="BT390" s="117">
        <v>0</v>
      </c>
      <c r="BU390" s="117">
        <v>1</v>
      </c>
      <c r="BV390" s="117">
        <v>0</v>
      </c>
      <c r="BW390" s="117">
        <v>0</v>
      </c>
      <c r="BX390" s="117">
        <v>0</v>
      </c>
      <c r="BY390" s="117" t="s">
        <v>1790</v>
      </c>
      <c r="BZ390" s="158" t="s">
        <v>57</v>
      </c>
      <c r="CA390" s="158">
        <v>4</v>
      </c>
      <c r="CB390" s="234"/>
      <c r="CC390" s="155"/>
      <c r="CD390" s="117"/>
      <c r="CE390" s="217"/>
      <c r="CF390" s="166">
        <f t="shared" ref="CF390:CF396" si="777">+L390-CA390</f>
        <v>-2</v>
      </c>
    </row>
    <row r="391" spans="1:84" ht="36" hidden="1">
      <c r="A391" s="117"/>
      <c r="B391" s="209" t="s">
        <v>1953</v>
      </c>
      <c r="C391" s="209" t="s">
        <v>2180</v>
      </c>
      <c r="D391" s="209" t="s">
        <v>1296</v>
      </c>
      <c r="E391" s="209" t="s">
        <v>1795</v>
      </c>
      <c r="F391" s="209" t="s">
        <v>1567</v>
      </c>
      <c r="G391" s="209" t="s">
        <v>1493</v>
      </c>
      <c r="H391" s="210">
        <v>1768</v>
      </c>
      <c r="I391" s="211" t="s">
        <v>147</v>
      </c>
      <c r="J391" s="144">
        <v>1</v>
      </c>
      <c r="K391" s="145">
        <f t="shared" si="735"/>
        <v>2</v>
      </c>
      <c r="L391" s="202">
        <f t="shared" si="761"/>
        <v>2</v>
      </c>
      <c r="M391" s="212">
        <v>20.3</v>
      </c>
      <c r="N391" s="203">
        <f t="shared" si="762"/>
        <v>40.6</v>
      </c>
      <c r="O391" s="212" t="s">
        <v>137</v>
      </c>
      <c r="P391" s="212" t="s">
        <v>13</v>
      </c>
      <c r="Q391" s="212" t="s">
        <v>148</v>
      </c>
      <c r="R391" s="212"/>
      <c r="S391" s="212"/>
      <c r="T391" s="203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1</v>
      </c>
      <c r="U391" s="203">
        <f t="shared" ca="1" si="763"/>
        <v>1</v>
      </c>
      <c r="V391" s="203">
        <f t="shared" ca="1" si="764"/>
        <v>1</v>
      </c>
      <c r="W391" s="212"/>
      <c r="X391" s="212"/>
      <c r="Y391" s="212"/>
      <c r="Z391" s="212"/>
      <c r="AA391" s="212"/>
      <c r="AB391" s="212"/>
      <c r="AC391" s="214" t="s">
        <v>1923</v>
      </c>
      <c r="AD391" s="215" t="s">
        <v>1924</v>
      </c>
      <c r="AE391" s="148"/>
      <c r="AF391" s="212" t="str">
        <f t="shared" si="757"/>
        <v>N/A</v>
      </c>
      <c r="AG391" s="212">
        <f t="shared" si="757"/>
        <v>0</v>
      </c>
      <c r="AH391" s="203">
        <f t="shared" si="765"/>
        <v>0</v>
      </c>
      <c r="AI391" s="203">
        <f t="shared" ca="1" si="766"/>
        <v>0</v>
      </c>
      <c r="AJ391" s="203">
        <f t="shared" ca="1" si="767"/>
        <v>0</v>
      </c>
      <c r="AK391" s="212" t="str">
        <f t="shared" si="758"/>
        <v>AMC2-S1</v>
      </c>
      <c r="AL391" s="212">
        <f t="shared" si="758"/>
        <v>1</v>
      </c>
      <c r="AM391" s="203">
        <f t="shared" si="768"/>
        <v>1</v>
      </c>
      <c r="AN391" s="203">
        <f t="shared" ca="1" si="769"/>
        <v>1</v>
      </c>
      <c r="AO391" s="203">
        <f t="shared" ca="1" si="770"/>
        <v>0</v>
      </c>
      <c r="AP391" s="212" t="str">
        <f t="shared" si="759"/>
        <v>AMC2-S4</v>
      </c>
      <c r="AQ391" s="212">
        <f t="shared" si="759"/>
        <v>1</v>
      </c>
      <c r="AR391" s="203">
        <f t="shared" si="771"/>
        <v>1</v>
      </c>
      <c r="AS391" s="203">
        <f t="shared" ca="1" si="772"/>
        <v>0</v>
      </c>
      <c r="AT391" s="203">
        <f t="shared" ca="1" si="773"/>
        <v>1</v>
      </c>
      <c r="AU391" s="212" t="str">
        <f t="shared" si="760"/>
        <v>N/A</v>
      </c>
      <c r="AV391" s="212">
        <f t="shared" si="760"/>
        <v>0</v>
      </c>
      <c r="AW391" s="203">
        <f t="shared" si="774"/>
        <v>0</v>
      </c>
      <c r="AX391" s="203">
        <f t="shared" ca="1" si="775"/>
        <v>0</v>
      </c>
      <c r="AY391" s="203">
        <f t="shared" ca="1" si="776"/>
        <v>0</v>
      </c>
      <c r="AZ391" s="212"/>
      <c r="BA391" s="213" t="s">
        <v>1925</v>
      </c>
      <c r="BB391" s="213" t="s">
        <v>1926</v>
      </c>
      <c r="BC391" s="213" t="s">
        <v>1927</v>
      </c>
      <c r="BD391" s="213" t="s">
        <v>140</v>
      </c>
      <c r="BE391" s="148"/>
      <c r="BF391" s="212" t="s">
        <v>1789</v>
      </c>
      <c r="BG391" s="117"/>
      <c r="BH391" s="155"/>
      <c r="BI391" s="216"/>
      <c r="BJ391" s="216"/>
      <c r="BK391" s="216"/>
      <c r="BL391" s="149"/>
      <c r="BM391" s="149"/>
      <c r="BN391" s="149"/>
      <c r="BO391" s="149"/>
      <c r="BP391" s="149"/>
      <c r="BQ391" s="149"/>
      <c r="BR391" s="117">
        <v>0</v>
      </c>
      <c r="BS391" s="117">
        <v>0</v>
      </c>
      <c r="BT391" s="117">
        <v>0</v>
      </c>
      <c r="BU391" s="117">
        <v>1</v>
      </c>
      <c r="BV391" s="117">
        <v>0</v>
      </c>
      <c r="BW391" s="117">
        <v>0</v>
      </c>
      <c r="BX391" s="117">
        <v>0</v>
      </c>
      <c r="BY391" s="117" t="s">
        <v>1790</v>
      </c>
      <c r="BZ391" s="158" t="s">
        <v>2156</v>
      </c>
      <c r="CA391" s="158">
        <v>4</v>
      </c>
      <c r="CB391" s="234">
        <v>46213</v>
      </c>
      <c r="CC391" s="155"/>
      <c r="CD391" s="141"/>
      <c r="CE391" s="217"/>
      <c r="CF391" s="166">
        <f t="shared" si="777"/>
        <v>-2</v>
      </c>
    </row>
    <row r="392" spans="1:84" ht="36" hidden="1">
      <c r="A392" s="141"/>
      <c r="B392" s="199" t="s">
        <v>1953</v>
      </c>
      <c r="C392" s="199" t="s">
        <v>2180</v>
      </c>
      <c r="D392" s="199" t="s">
        <v>1296</v>
      </c>
      <c r="E392" s="199" t="s">
        <v>1815</v>
      </c>
      <c r="F392" s="199" t="s">
        <v>1562</v>
      </c>
      <c r="G392" s="199" t="s">
        <v>1501</v>
      </c>
      <c r="H392" s="200">
        <v>640</v>
      </c>
      <c r="I392" s="201" t="s">
        <v>147</v>
      </c>
      <c r="J392" s="165">
        <v>1</v>
      </c>
      <c r="K392" s="202">
        <f t="shared" si="735"/>
        <v>2</v>
      </c>
      <c r="L392" s="202">
        <f t="shared" si="761"/>
        <v>2</v>
      </c>
      <c r="M392" s="203">
        <v>19.5</v>
      </c>
      <c r="N392" s="203">
        <f t="shared" si="762"/>
        <v>39</v>
      </c>
      <c r="O392" s="203" t="s">
        <v>137</v>
      </c>
      <c r="P392" s="203" t="s">
        <v>13</v>
      </c>
      <c r="Q392" s="203" t="s">
        <v>154</v>
      </c>
      <c r="R392" s="203"/>
      <c r="S392" s="203"/>
      <c r="T392" s="203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2</v>
      </c>
      <c r="U392" s="203">
        <f t="shared" ca="1" si="763"/>
        <v>0</v>
      </c>
      <c r="V392" s="203">
        <f t="shared" ca="1" si="764"/>
        <v>2</v>
      </c>
      <c r="W392" s="203"/>
      <c r="X392" s="203"/>
      <c r="Y392" s="203"/>
      <c r="Z392" s="203"/>
      <c r="AA392" s="203"/>
      <c r="AB392" s="203"/>
      <c r="AC392" s="205" t="s">
        <v>1923</v>
      </c>
      <c r="AD392" s="206" t="s">
        <v>1924</v>
      </c>
      <c r="AE392" s="166"/>
      <c r="AF392" s="203" t="str">
        <f t="shared" si="757"/>
        <v>N/A</v>
      </c>
      <c r="AG392" s="203">
        <f t="shared" si="757"/>
        <v>0</v>
      </c>
      <c r="AH392" s="203">
        <f t="shared" si="765"/>
        <v>0</v>
      </c>
      <c r="AI392" s="203">
        <f t="shared" ca="1" si="766"/>
        <v>0</v>
      </c>
      <c r="AJ392" s="203">
        <f t="shared" ca="1" si="767"/>
        <v>0</v>
      </c>
      <c r="AK392" s="203" t="str">
        <f t="shared" si="758"/>
        <v>AMC2-S1</v>
      </c>
      <c r="AL392" s="203">
        <f t="shared" si="758"/>
        <v>1</v>
      </c>
      <c r="AM392" s="203">
        <f t="shared" si="768"/>
        <v>1</v>
      </c>
      <c r="AN392" s="203">
        <f t="shared" ca="1" si="769"/>
        <v>1</v>
      </c>
      <c r="AO392" s="203">
        <f t="shared" ca="1" si="770"/>
        <v>0</v>
      </c>
      <c r="AP392" s="203" t="str">
        <f t="shared" si="759"/>
        <v>AMC2-S4</v>
      </c>
      <c r="AQ392" s="203">
        <f t="shared" si="759"/>
        <v>1</v>
      </c>
      <c r="AR392" s="203">
        <f t="shared" si="771"/>
        <v>1</v>
      </c>
      <c r="AS392" s="203">
        <f t="shared" ca="1" si="772"/>
        <v>1</v>
      </c>
      <c r="AT392" s="203">
        <f t="shared" ca="1" si="773"/>
        <v>0</v>
      </c>
      <c r="AU392" s="203" t="str">
        <f t="shared" si="760"/>
        <v>N/A</v>
      </c>
      <c r="AV392" s="203">
        <f t="shared" si="760"/>
        <v>0</v>
      </c>
      <c r="AW392" s="203">
        <f t="shared" si="774"/>
        <v>0</v>
      </c>
      <c r="AX392" s="203">
        <f t="shared" ca="1" si="775"/>
        <v>0</v>
      </c>
      <c r="AY392" s="203">
        <f t="shared" ca="1" si="776"/>
        <v>0</v>
      </c>
      <c r="AZ392" s="203"/>
      <c r="BA392" s="204" t="s">
        <v>1925</v>
      </c>
      <c r="BB392" s="204" t="s">
        <v>1926</v>
      </c>
      <c r="BC392" s="204" t="s">
        <v>1927</v>
      </c>
      <c r="BD392" s="204" t="s">
        <v>140</v>
      </c>
      <c r="BE392" s="166"/>
      <c r="BF392" s="203" t="s">
        <v>1789</v>
      </c>
      <c r="BG392" s="141"/>
      <c r="BH392" s="152"/>
      <c r="BI392" s="207"/>
      <c r="BJ392" s="207"/>
      <c r="BK392" s="207"/>
      <c r="BL392" s="153" t="s">
        <v>1932</v>
      </c>
      <c r="BM392" s="153"/>
      <c r="BN392" s="153"/>
      <c r="BO392" s="153"/>
      <c r="BP392" s="153"/>
      <c r="BQ392" s="153"/>
      <c r="BR392" s="141">
        <v>0</v>
      </c>
      <c r="BS392" s="141">
        <v>1</v>
      </c>
      <c r="BT392" s="141">
        <v>0</v>
      </c>
      <c r="BU392" s="141">
        <v>0</v>
      </c>
      <c r="BV392" s="141">
        <v>0</v>
      </c>
      <c r="BW392" s="141">
        <v>0</v>
      </c>
      <c r="BX392" s="141">
        <v>0</v>
      </c>
      <c r="BY392" s="141" t="s">
        <v>1790</v>
      </c>
      <c r="BZ392" s="158" t="s">
        <v>2156</v>
      </c>
      <c r="CA392" s="158">
        <v>4</v>
      </c>
      <c r="CB392" s="235">
        <v>46213</v>
      </c>
      <c r="CC392" s="152"/>
      <c r="CD392" s="141"/>
      <c r="CE392" s="208"/>
      <c r="CF392" s="166">
        <f t="shared" si="777"/>
        <v>-2</v>
      </c>
    </row>
    <row r="393" spans="1:84" ht="36" hidden="1">
      <c r="A393" s="117"/>
      <c r="B393" s="209" t="s">
        <v>1953</v>
      </c>
      <c r="C393" s="209" t="s">
        <v>2180</v>
      </c>
      <c r="D393" s="209" t="s">
        <v>1296</v>
      </c>
      <c r="E393" s="209" t="s">
        <v>1805</v>
      </c>
      <c r="F393" s="209" t="s">
        <v>1563</v>
      </c>
      <c r="G393" s="209" t="s">
        <v>1503</v>
      </c>
      <c r="H393" s="210">
        <v>1805</v>
      </c>
      <c r="I393" s="211" t="s">
        <v>147</v>
      </c>
      <c r="J393" s="144">
        <v>2</v>
      </c>
      <c r="K393" s="145">
        <f t="shared" si="735"/>
        <v>2</v>
      </c>
      <c r="L393" s="202">
        <f t="shared" si="761"/>
        <v>4</v>
      </c>
      <c r="M393" s="212">
        <v>48.1</v>
      </c>
      <c r="N393" s="203">
        <f t="shared" si="762"/>
        <v>192.4</v>
      </c>
      <c r="O393" s="212" t="s">
        <v>137</v>
      </c>
      <c r="P393" s="212" t="s">
        <v>13</v>
      </c>
      <c r="Q393" s="212" t="s">
        <v>148</v>
      </c>
      <c r="R393" s="212"/>
      <c r="S393" s="212"/>
      <c r="T393" s="203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2</v>
      </c>
      <c r="U393" s="203">
        <f t="shared" ca="1" si="763"/>
        <v>2</v>
      </c>
      <c r="V393" s="203">
        <f t="shared" ca="1" si="764"/>
        <v>1</v>
      </c>
      <c r="W393" s="212"/>
      <c r="X393" s="212"/>
      <c r="Y393" s="212"/>
      <c r="Z393" s="212"/>
      <c r="AA393" s="212"/>
      <c r="AB393" s="212"/>
      <c r="AC393" s="214" t="s">
        <v>1923</v>
      </c>
      <c r="AD393" s="215" t="s">
        <v>1924</v>
      </c>
      <c r="AE393" s="148"/>
      <c r="AF393" s="212" t="str">
        <f t="shared" si="757"/>
        <v>N/A</v>
      </c>
      <c r="AG393" s="212">
        <f t="shared" si="757"/>
        <v>0</v>
      </c>
      <c r="AH393" s="203">
        <f t="shared" si="765"/>
        <v>0</v>
      </c>
      <c r="AI393" s="203">
        <f t="shared" ca="1" si="766"/>
        <v>0</v>
      </c>
      <c r="AJ393" s="203">
        <f t="shared" ca="1" si="767"/>
        <v>0</v>
      </c>
      <c r="AK393" s="212" t="str">
        <f t="shared" si="758"/>
        <v>AMC2-S1</v>
      </c>
      <c r="AL393" s="212">
        <f t="shared" si="758"/>
        <v>1</v>
      </c>
      <c r="AM393" s="203">
        <f t="shared" si="768"/>
        <v>2</v>
      </c>
      <c r="AN393" s="203">
        <f t="shared" ca="1" si="769"/>
        <v>1</v>
      </c>
      <c r="AO393" s="203">
        <f t="shared" ca="1" si="770"/>
        <v>1</v>
      </c>
      <c r="AP393" s="212" t="str">
        <f t="shared" si="759"/>
        <v>AMC2-S4</v>
      </c>
      <c r="AQ393" s="212">
        <f t="shared" si="759"/>
        <v>1</v>
      </c>
      <c r="AR393" s="203">
        <f t="shared" si="771"/>
        <v>2</v>
      </c>
      <c r="AS393" s="203">
        <f t="shared" ca="1" si="772"/>
        <v>1</v>
      </c>
      <c r="AT393" s="203">
        <f t="shared" ca="1" si="773"/>
        <v>1</v>
      </c>
      <c r="AU393" s="212" t="str">
        <f t="shared" si="760"/>
        <v>N/A</v>
      </c>
      <c r="AV393" s="212">
        <f t="shared" si="760"/>
        <v>0</v>
      </c>
      <c r="AW393" s="203">
        <f t="shared" si="774"/>
        <v>0</v>
      </c>
      <c r="AX393" s="203">
        <f t="shared" ca="1" si="775"/>
        <v>0</v>
      </c>
      <c r="AY393" s="203">
        <f t="shared" ca="1" si="776"/>
        <v>0</v>
      </c>
      <c r="AZ393" s="212"/>
      <c r="BA393" s="213" t="s">
        <v>1925</v>
      </c>
      <c r="BB393" s="213" t="s">
        <v>1926</v>
      </c>
      <c r="BC393" s="213" t="s">
        <v>1927</v>
      </c>
      <c r="BD393" s="213" t="s">
        <v>140</v>
      </c>
      <c r="BE393" s="148"/>
      <c r="BF393" s="212" t="s">
        <v>1789</v>
      </c>
      <c r="BG393" s="117"/>
      <c r="BH393" s="155"/>
      <c r="BI393" s="216"/>
      <c r="BJ393" s="216"/>
      <c r="BK393" s="216"/>
      <c r="BL393" s="149"/>
      <c r="BM393" s="149"/>
      <c r="BN393" s="149"/>
      <c r="BO393" s="149"/>
      <c r="BP393" s="149"/>
      <c r="BQ393" s="149"/>
      <c r="BR393" s="117">
        <v>0</v>
      </c>
      <c r="BS393" s="117">
        <v>0</v>
      </c>
      <c r="BT393" s="117">
        <v>0</v>
      </c>
      <c r="BU393" s="117">
        <v>1</v>
      </c>
      <c r="BV393" s="117">
        <v>0</v>
      </c>
      <c r="BW393" s="117">
        <v>0</v>
      </c>
      <c r="BX393" s="117">
        <v>0</v>
      </c>
      <c r="BY393" s="117" t="s">
        <v>1790</v>
      </c>
      <c r="BZ393" s="158" t="s">
        <v>2157</v>
      </c>
      <c r="CA393" s="144">
        <v>8</v>
      </c>
      <c r="CB393" s="234">
        <v>46242</v>
      </c>
      <c r="CC393" s="155"/>
      <c r="CD393" s="117"/>
      <c r="CE393" s="217"/>
      <c r="CF393" s="166">
        <f t="shared" si="777"/>
        <v>-4</v>
      </c>
    </row>
    <row r="394" spans="1:84" ht="36" hidden="1">
      <c r="A394" s="117"/>
      <c r="B394" s="209" t="s">
        <v>1953</v>
      </c>
      <c r="C394" s="209" t="s">
        <v>2180</v>
      </c>
      <c r="D394" s="209" t="s">
        <v>1084</v>
      </c>
      <c r="E394" s="209" t="s">
        <v>1816</v>
      </c>
      <c r="F394" s="209" t="s">
        <v>1564</v>
      </c>
      <c r="G394" s="209" t="s">
        <v>1505</v>
      </c>
      <c r="H394" s="210">
        <v>2664</v>
      </c>
      <c r="I394" s="211" t="s">
        <v>147</v>
      </c>
      <c r="J394" s="144">
        <v>1</v>
      </c>
      <c r="K394" s="145">
        <f t="shared" si="735"/>
        <v>2</v>
      </c>
      <c r="L394" s="202">
        <f t="shared" si="761"/>
        <v>2</v>
      </c>
      <c r="M394" s="212">
        <v>428.3</v>
      </c>
      <c r="N394" s="203">
        <f t="shared" si="762"/>
        <v>856.6</v>
      </c>
      <c r="O394" s="212" t="s">
        <v>137</v>
      </c>
      <c r="P394" s="212" t="s">
        <v>13</v>
      </c>
      <c r="Q394" s="212" t="s">
        <v>154</v>
      </c>
      <c r="R394" s="212"/>
      <c r="S394" s="212"/>
      <c r="T394" s="203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203">
        <f t="shared" ca="1" si="763"/>
        <v>2</v>
      </c>
      <c r="V394" s="203">
        <f t="shared" ca="1" si="764"/>
        <v>0</v>
      </c>
      <c r="W394" s="212"/>
      <c r="X394" s="212"/>
      <c r="Y394" s="212"/>
      <c r="Z394" s="212"/>
      <c r="AA394" s="212"/>
      <c r="AB394" s="212"/>
      <c r="AC394" s="214" t="s">
        <v>1923</v>
      </c>
      <c r="AD394" s="215" t="s">
        <v>1924</v>
      </c>
      <c r="AE394" s="148"/>
      <c r="AF394" s="212" t="str">
        <f t="shared" si="757"/>
        <v>N/A</v>
      </c>
      <c r="AG394" s="212">
        <f t="shared" si="757"/>
        <v>0</v>
      </c>
      <c r="AH394" s="203">
        <f t="shared" si="765"/>
        <v>0</v>
      </c>
      <c r="AI394" s="203">
        <f t="shared" ca="1" si="766"/>
        <v>0</v>
      </c>
      <c r="AJ394" s="203">
        <f t="shared" ca="1" si="767"/>
        <v>0</v>
      </c>
      <c r="AK394" s="212" t="str">
        <f t="shared" si="758"/>
        <v>AMC2-S1</v>
      </c>
      <c r="AL394" s="212">
        <f t="shared" si="758"/>
        <v>1</v>
      </c>
      <c r="AM394" s="203">
        <f t="shared" si="768"/>
        <v>1</v>
      </c>
      <c r="AN394" s="203">
        <f t="shared" ca="1" si="769"/>
        <v>0</v>
      </c>
      <c r="AO394" s="203">
        <f t="shared" ca="1" si="770"/>
        <v>1</v>
      </c>
      <c r="AP394" s="212" t="str">
        <f t="shared" si="759"/>
        <v>AMC2-S4</v>
      </c>
      <c r="AQ394" s="212">
        <f t="shared" si="759"/>
        <v>1</v>
      </c>
      <c r="AR394" s="203">
        <f t="shared" si="771"/>
        <v>1</v>
      </c>
      <c r="AS394" s="203">
        <f t="shared" ca="1" si="772"/>
        <v>0</v>
      </c>
      <c r="AT394" s="203">
        <f t="shared" ca="1" si="773"/>
        <v>1</v>
      </c>
      <c r="AU394" s="212" t="str">
        <f t="shared" si="760"/>
        <v>N/A</v>
      </c>
      <c r="AV394" s="212">
        <f t="shared" si="760"/>
        <v>0</v>
      </c>
      <c r="AW394" s="203">
        <f t="shared" si="774"/>
        <v>0</v>
      </c>
      <c r="AX394" s="203">
        <f t="shared" ca="1" si="775"/>
        <v>0</v>
      </c>
      <c r="AY394" s="203">
        <f t="shared" ca="1" si="776"/>
        <v>0</v>
      </c>
      <c r="AZ394" s="212"/>
      <c r="BA394" s="213" t="s">
        <v>1925</v>
      </c>
      <c r="BB394" s="213" t="s">
        <v>1926</v>
      </c>
      <c r="BC394" s="213" t="s">
        <v>1927</v>
      </c>
      <c r="BD394" s="213" t="s">
        <v>140</v>
      </c>
      <c r="BE394" s="148"/>
      <c r="BF394" s="212" t="s">
        <v>1789</v>
      </c>
      <c r="BG394" s="117"/>
      <c r="BH394" s="155"/>
      <c r="BI394" s="216"/>
      <c r="BJ394" s="216"/>
      <c r="BK394" s="216"/>
      <c r="BL394" s="149"/>
      <c r="BM394" s="149"/>
      <c r="BN394" s="149"/>
      <c r="BO394" s="149"/>
      <c r="BP394" s="149"/>
      <c r="BQ394" s="149"/>
      <c r="BR394" s="117">
        <v>0</v>
      </c>
      <c r="BS394" s="117">
        <v>1</v>
      </c>
      <c r="BT394" s="117">
        <v>0</v>
      </c>
      <c r="BU394" s="117">
        <v>1</v>
      </c>
      <c r="BV394" s="117">
        <v>0</v>
      </c>
      <c r="BW394" s="117">
        <v>0</v>
      </c>
      <c r="BX394" s="117">
        <v>0</v>
      </c>
      <c r="BY394" s="117" t="s">
        <v>1790</v>
      </c>
      <c r="BZ394" s="158" t="s">
        <v>57</v>
      </c>
      <c r="CA394" s="158">
        <v>4</v>
      </c>
      <c r="CB394" s="234"/>
      <c r="CC394" s="155"/>
      <c r="CD394" s="155"/>
      <c r="CE394" s="217"/>
      <c r="CF394" s="166">
        <f t="shared" si="777"/>
        <v>-2</v>
      </c>
    </row>
    <row r="395" spans="1:84" ht="36" hidden="1">
      <c r="A395" s="117"/>
      <c r="B395" s="209" t="s">
        <v>1953</v>
      </c>
      <c r="C395" s="209" t="s">
        <v>2180</v>
      </c>
      <c r="D395" s="209" t="s">
        <v>1084</v>
      </c>
      <c r="E395" s="209" t="s">
        <v>1817</v>
      </c>
      <c r="F395" s="209" t="s">
        <v>1565</v>
      </c>
      <c r="G395" s="209" t="s">
        <v>1495</v>
      </c>
      <c r="H395" s="210">
        <v>5089</v>
      </c>
      <c r="I395" s="211" t="s">
        <v>147</v>
      </c>
      <c r="J395" s="144">
        <v>1</v>
      </c>
      <c r="K395" s="145">
        <f t="shared" si="735"/>
        <v>2</v>
      </c>
      <c r="L395" s="202">
        <f t="shared" si="761"/>
        <v>2</v>
      </c>
      <c r="M395" s="212">
        <v>983.4</v>
      </c>
      <c r="N395" s="203">
        <f t="shared" si="762"/>
        <v>1966.8</v>
      </c>
      <c r="O395" s="212" t="s">
        <v>137</v>
      </c>
      <c r="P395" s="212" t="s">
        <v>13</v>
      </c>
      <c r="Q395" s="212" t="s">
        <v>154</v>
      </c>
      <c r="R395" s="212"/>
      <c r="S395" s="212"/>
      <c r="T395" s="203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2</v>
      </c>
      <c r="U395" s="203">
        <f t="shared" ca="1" si="763"/>
        <v>0</v>
      </c>
      <c r="V395" s="203">
        <f t="shared" ca="1" si="764"/>
        <v>2</v>
      </c>
      <c r="W395" s="212"/>
      <c r="X395" s="212"/>
      <c r="Y395" s="212"/>
      <c r="Z395" s="212"/>
      <c r="AA395" s="212"/>
      <c r="AB395" s="212"/>
      <c r="AC395" s="214" t="s">
        <v>1923</v>
      </c>
      <c r="AD395" s="215" t="s">
        <v>1924</v>
      </c>
      <c r="AE395" s="148"/>
      <c r="AF395" s="212" t="str">
        <f t="shared" si="757"/>
        <v>N/A</v>
      </c>
      <c r="AG395" s="212">
        <f t="shared" si="757"/>
        <v>0</v>
      </c>
      <c r="AH395" s="203">
        <f t="shared" si="765"/>
        <v>0</v>
      </c>
      <c r="AI395" s="203">
        <f t="shared" ca="1" si="766"/>
        <v>0</v>
      </c>
      <c r="AJ395" s="203">
        <f t="shared" ca="1" si="767"/>
        <v>0</v>
      </c>
      <c r="AK395" s="212" t="str">
        <f t="shared" si="758"/>
        <v>AMC2-S1</v>
      </c>
      <c r="AL395" s="212">
        <f t="shared" si="758"/>
        <v>1</v>
      </c>
      <c r="AM395" s="203">
        <f t="shared" si="768"/>
        <v>1</v>
      </c>
      <c r="AN395" s="203">
        <f t="shared" ca="1" si="769"/>
        <v>1</v>
      </c>
      <c r="AO395" s="203">
        <f t="shared" ca="1" si="770"/>
        <v>0</v>
      </c>
      <c r="AP395" s="212" t="str">
        <f t="shared" si="759"/>
        <v>AMC2-S4</v>
      </c>
      <c r="AQ395" s="212">
        <f t="shared" si="759"/>
        <v>1</v>
      </c>
      <c r="AR395" s="203">
        <f t="shared" si="771"/>
        <v>1</v>
      </c>
      <c r="AS395" s="203">
        <f t="shared" ca="1" si="772"/>
        <v>1</v>
      </c>
      <c r="AT395" s="203">
        <f t="shared" ca="1" si="773"/>
        <v>0</v>
      </c>
      <c r="AU395" s="212" t="str">
        <f t="shared" si="760"/>
        <v>N/A</v>
      </c>
      <c r="AV395" s="212">
        <f t="shared" si="760"/>
        <v>0</v>
      </c>
      <c r="AW395" s="203">
        <f t="shared" si="774"/>
        <v>0</v>
      </c>
      <c r="AX395" s="203">
        <f t="shared" ca="1" si="775"/>
        <v>0</v>
      </c>
      <c r="AY395" s="203">
        <f t="shared" ca="1" si="776"/>
        <v>0</v>
      </c>
      <c r="AZ395" s="212"/>
      <c r="BA395" s="213" t="s">
        <v>1925</v>
      </c>
      <c r="BB395" s="213" t="s">
        <v>1926</v>
      </c>
      <c r="BC395" s="213" t="s">
        <v>1927</v>
      </c>
      <c r="BD395" s="213" t="s">
        <v>140</v>
      </c>
      <c r="BE395" s="148"/>
      <c r="BF395" s="212" t="s">
        <v>1789</v>
      </c>
      <c r="BG395" s="117"/>
      <c r="BH395" s="155"/>
      <c r="BI395" s="216"/>
      <c r="BJ395" s="216"/>
      <c r="BK395" s="216"/>
      <c r="BL395" s="149"/>
      <c r="BM395" s="149"/>
      <c r="BN395" s="149"/>
      <c r="BO395" s="149"/>
      <c r="BP395" s="149"/>
      <c r="BQ395" s="149"/>
      <c r="BR395" s="117">
        <v>0</v>
      </c>
      <c r="BS395" s="117">
        <v>1</v>
      </c>
      <c r="BT395" s="117">
        <v>0</v>
      </c>
      <c r="BU395" s="117">
        <v>1</v>
      </c>
      <c r="BV395" s="117">
        <v>0</v>
      </c>
      <c r="BW395" s="117">
        <v>0</v>
      </c>
      <c r="BX395" s="117">
        <v>0</v>
      </c>
      <c r="BY395" s="117" t="s">
        <v>1790</v>
      </c>
      <c r="BZ395" s="158" t="s">
        <v>57</v>
      </c>
      <c r="CA395" s="158">
        <v>4</v>
      </c>
      <c r="CB395" s="234"/>
      <c r="CC395" s="155"/>
      <c r="CD395" s="155"/>
      <c r="CE395" s="217"/>
      <c r="CF395" s="166">
        <f t="shared" si="777"/>
        <v>-2</v>
      </c>
    </row>
    <row r="396" spans="1:84" ht="36" hidden="1">
      <c r="A396" s="117"/>
      <c r="B396" s="209" t="s">
        <v>1953</v>
      </c>
      <c r="C396" s="209" t="s">
        <v>2180</v>
      </c>
      <c r="D396" s="209" t="s">
        <v>1296</v>
      </c>
      <c r="E396" s="209" t="s">
        <v>1806</v>
      </c>
      <c r="F396" s="209" t="s">
        <v>1566</v>
      </c>
      <c r="G396" s="209" t="s">
        <v>1508</v>
      </c>
      <c r="H396" s="210">
        <v>2053</v>
      </c>
      <c r="I396" s="211" t="s">
        <v>147</v>
      </c>
      <c r="J396" s="144">
        <v>3</v>
      </c>
      <c r="K396" s="145">
        <f t="shared" si="735"/>
        <v>2</v>
      </c>
      <c r="L396" s="202">
        <f t="shared" si="761"/>
        <v>6</v>
      </c>
      <c r="M396" s="212">
        <v>28.6</v>
      </c>
      <c r="N396" s="203">
        <f t="shared" si="762"/>
        <v>171.60000000000002</v>
      </c>
      <c r="O396" s="212" t="s">
        <v>137</v>
      </c>
      <c r="P396" s="212" t="s">
        <v>13</v>
      </c>
      <c r="Q396" s="212" t="s">
        <v>148</v>
      </c>
      <c r="R396" s="212"/>
      <c r="S396" s="212"/>
      <c r="T396" s="203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3</v>
      </c>
      <c r="U396" s="203">
        <f t="shared" ca="1" si="763"/>
        <v>3</v>
      </c>
      <c r="V396" s="203">
        <f t="shared" ca="1" si="764"/>
        <v>1</v>
      </c>
      <c r="W396" s="212"/>
      <c r="X396" s="212"/>
      <c r="Y396" s="212"/>
      <c r="Z396" s="212"/>
      <c r="AA396" s="212"/>
      <c r="AB396" s="212"/>
      <c r="AC396" s="214" t="s">
        <v>1923</v>
      </c>
      <c r="AD396" s="215" t="s">
        <v>1924</v>
      </c>
      <c r="AE396" s="148"/>
      <c r="AF396" s="212" t="str">
        <f t="shared" si="757"/>
        <v>N/A</v>
      </c>
      <c r="AG396" s="212">
        <f t="shared" si="757"/>
        <v>0</v>
      </c>
      <c r="AH396" s="203">
        <f t="shared" si="765"/>
        <v>0</v>
      </c>
      <c r="AI396" s="203">
        <f t="shared" ca="1" si="766"/>
        <v>0</v>
      </c>
      <c r="AJ396" s="203">
        <f t="shared" ca="1" si="767"/>
        <v>0</v>
      </c>
      <c r="AK396" s="212" t="str">
        <f t="shared" si="758"/>
        <v>AMC2-S1</v>
      </c>
      <c r="AL396" s="212">
        <f t="shared" si="758"/>
        <v>1</v>
      </c>
      <c r="AM396" s="203">
        <f t="shared" si="768"/>
        <v>3</v>
      </c>
      <c r="AN396" s="203">
        <f t="shared" ca="1" si="769"/>
        <v>1</v>
      </c>
      <c r="AO396" s="203">
        <f t="shared" ca="1" si="770"/>
        <v>2</v>
      </c>
      <c r="AP396" s="212" t="str">
        <f t="shared" si="759"/>
        <v>AMC2-S4</v>
      </c>
      <c r="AQ396" s="212">
        <f t="shared" si="759"/>
        <v>1</v>
      </c>
      <c r="AR396" s="203">
        <f t="shared" si="771"/>
        <v>3</v>
      </c>
      <c r="AS396" s="203">
        <f t="shared" ca="1" si="772"/>
        <v>2</v>
      </c>
      <c r="AT396" s="203">
        <f t="shared" ca="1" si="773"/>
        <v>1</v>
      </c>
      <c r="AU396" s="212" t="str">
        <f t="shared" si="760"/>
        <v>N/A</v>
      </c>
      <c r="AV396" s="212">
        <f t="shared" si="760"/>
        <v>0</v>
      </c>
      <c r="AW396" s="203">
        <f t="shared" si="774"/>
        <v>0</v>
      </c>
      <c r="AX396" s="203">
        <f t="shared" ca="1" si="775"/>
        <v>0</v>
      </c>
      <c r="AY396" s="203">
        <f t="shared" ca="1" si="776"/>
        <v>0</v>
      </c>
      <c r="AZ396" s="212"/>
      <c r="BA396" s="213" t="s">
        <v>1925</v>
      </c>
      <c r="BB396" s="213" t="s">
        <v>1926</v>
      </c>
      <c r="BC396" s="213" t="s">
        <v>1927</v>
      </c>
      <c r="BD396" s="213" t="s">
        <v>140</v>
      </c>
      <c r="BE396" s="148"/>
      <c r="BF396" s="212" t="s">
        <v>1789</v>
      </c>
      <c r="BG396" s="117"/>
      <c r="BH396" s="155"/>
      <c r="BI396" s="216"/>
      <c r="BJ396" s="216"/>
      <c r="BK396" s="216"/>
      <c r="BL396" s="149"/>
      <c r="BM396" s="149"/>
      <c r="BN396" s="149"/>
      <c r="BO396" s="149"/>
      <c r="BP396" s="149"/>
      <c r="BQ396" s="149"/>
      <c r="BR396" s="117">
        <v>0</v>
      </c>
      <c r="BS396" s="117">
        <v>0</v>
      </c>
      <c r="BT396" s="117">
        <v>0</v>
      </c>
      <c r="BU396" s="117">
        <v>1</v>
      </c>
      <c r="BV396" s="117">
        <v>0</v>
      </c>
      <c r="BW396" s="117">
        <v>0</v>
      </c>
      <c r="BX396" s="117">
        <v>0</v>
      </c>
      <c r="BY396" s="117" t="s">
        <v>1790</v>
      </c>
      <c r="BZ396" s="158" t="s">
        <v>2159</v>
      </c>
      <c r="CA396" s="144">
        <v>12</v>
      </c>
      <c r="CB396" s="234">
        <v>46213</v>
      </c>
      <c r="CC396" s="155"/>
      <c r="CD396" s="117"/>
      <c r="CE396" s="217"/>
      <c r="CF396" s="166">
        <f t="shared" si="777"/>
        <v>-6</v>
      </c>
    </row>
    <row r="397" spans="1:84" ht="36" hidden="1">
      <c r="A397" s="186"/>
      <c r="B397" s="187" t="s">
        <v>1953</v>
      </c>
      <c r="C397" s="187" t="s">
        <v>2181</v>
      </c>
      <c r="D397" s="187"/>
      <c r="E397" s="187"/>
      <c r="F397" s="187"/>
      <c r="G397" s="187" t="s">
        <v>1961</v>
      </c>
      <c r="H397" s="188"/>
      <c r="I397" s="189"/>
      <c r="J397" s="190"/>
      <c r="K397" s="191">
        <f t="shared" si="735"/>
        <v>2</v>
      </c>
      <c r="L397" s="190"/>
      <c r="M397" s="192">
        <v>2113.8000000000002</v>
      </c>
      <c r="N397" s="192">
        <v>8455.2000000000007</v>
      </c>
      <c r="O397" s="192" t="s">
        <v>137</v>
      </c>
      <c r="P397" s="192"/>
      <c r="Q397" s="192"/>
      <c r="R397" s="192"/>
      <c r="S397" s="192"/>
      <c r="T397" s="192"/>
      <c r="U397" s="192"/>
      <c r="V397" s="192"/>
      <c r="W397" s="192">
        <f ca="1">_xlfn.MINIFS(V:V,C:C,C397,AE:AE,"",AB:AB,"")</f>
        <v>0</v>
      </c>
      <c r="X397" s="192">
        <f ca="1">SUMIFS(T:T,C:C,C397,AE:AE,"")/SUMIFS(L:L,C:C,C397,AE:AE,"",AB:AB,"")</f>
        <v>0.69230769230769229</v>
      </c>
      <c r="Y397" s="192"/>
      <c r="Z397" s="192"/>
      <c r="AA397" s="192"/>
      <c r="AB397" s="192"/>
      <c r="AC397" s="194" t="s">
        <v>1923</v>
      </c>
      <c r="AD397" s="195" t="s">
        <v>1924</v>
      </c>
      <c r="AE397" s="196" t="s">
        <v>1787</v>
      </c>
      <c r="AF397" s="192" t="str">
        <f t="shared" si="757"/>
        <v>N/A</v>
      </c>
      <c r="AG397" s="192">
        <f t="shared" si="757"/>
        <v>0</v>
      </c>
      <c r="AH397" s="192"/>
      <c r="AI397" s="192"/>
      <c r="AJ397" s="192"/>
      <c r="AK397" s="192" t="str">
        <f t="shared" si="758"/>
        <v>AMC2-S1</v>
      </c>
      <c r="AL397" s="192">
        <f t="shared" si="758"/>
        <v>1</v>
      </c>
      <c r="AM397" s="192"/>
      <c r="AN397" s="192"/>
      <c r="AO397" s="192"/>
      <c r="AP397" s="192" t="str">
        <f t="shared" si="759"/>
        <v>AMC2-S4</v>
      </c>
      <c r="AQ397" s="192">
        <f t="shared" si="759"/>
        <v>1</v>
      </c>
      <c r="AR397" s="192"/>
      <c r="AS397" s="192"/>
      <c r="AT397" s="192"/>
      <c r="AU397" s="192" t="str">
        <f t="shared" si="760"/>
        <v>N/A</v>
      </c>
      <c r="AV397" s="192">
        <f t="shared" si="760"/>
        <v>0</v>
      </c>
      <c r="AW397" s="192"/>
      <c r="AX397" s="192"/>
      <c r="AY397" s="192"/>
      <c r="AZ397" s="192"/>
      <c r="BA397" s="193" t="s">
        <v>1925</v>
      </c>
      <c r="BB397" s="193" t="s">
        <v>1926</v>
      </c>
      <c r="BC397" s="193" t="s">
        <v>1927</v>
      </c>
      <c r="BD397" s="193" t="s">
        <v>140</v>
      </c>
      <c r="BE397" s="196" t="s">
        <v>741</v>
      </c>
      <c r="BF397" s="192"/>
      <c r="BG397" s="186"/>
      <c r="BH397" s="186"/>
      <c r="BI397" s="197"/>
      <c r="BJ397" s="197"/>
      <c r="BK397" s="197"/>
      <c r="BL397" s="197"/>
      <c r="BM397" s="197"/>
      <c r="BN397" s="197"/>
      <c r="BO397" s="197"/>
      <c r="BP397" s="197"/>
      <c r="BQ397" s="197"/>
      <c r="BR397" s="186"/>
      <c r="BS397" s="186"/>
      <c r="BT397" s="186"/>
      <c r="BU397" s="186"/>
      <c r="BV397" s="186"/>
      <c r="BW397" s="186"/>
      <c r="BX397" s="186"/>
      <c r="BY397" s="186"/>
      <c r="BZ397" s="186"/>
      <c r="CA397" s="186"/>
      <c r="CB397" s="197"/>
      <c r="CC397" s="186"/>
      <c r="CD397" s="186"/>
      <c r="CE397" s="198"/>
      <c r="CF397" s="198"/>
    </row>
    <row r="398" spans="1:84" ht="36" hidden="1">
      <c r="A398" s="117"/>
      <c r="B398" s="209" t="s">
        <v>1953</v>
      </c>
      <c r="C398" s="209" t="s">
        <v>2181</v>
      </c>
      <c r="D398" s="209" t="s">
        <v>1084</v>
      </c>
      <c r="E398" s="209" t="s">
        <v>1788</v>
      </c>
      <c r="F398" s="209" t="s">
        <v>1553</v>
      </c>
      <c r="G398" s="209" t="s">
        <v>1477</v>
      </c>
      <c r="H398" s="210">
        <v>3622</v>
      </c>
      <c r="I398" s="211" t="s">
        <v>147</v>
      </c>
      <c r="J398" s="144">
        <v>1</v>
      </c>
      <c r="K398" s="145">
        <f t="shared" si="735"/>
        <v>2</v>
      </c>
      <c r="L398" s="202">
        <f t="shared" ref="L398:L405" si="778">+J398*K398</f>
        <v>2</v>
      </c>
      <c r="M398" s="212">
        <v>493.5</v>
      </c>
      <c r="N398" s="203">
        <f t="shared" ref="N398:N405" si="779">+M398*L398</f>
        <v>987</v>
      </c>
      <c r="O398" s="212" t="s">
        <v>137</v>
      </c>
      <c r="P398" s="212" t="s">
        <v>13</v>
      </c>
      <c r="Q398" s="212" t="s">
        <v>154</v>
      </c>
      <c r="R398" s="212"/>
      <c r="S398" s="212"/>
      <c r="T398" s="203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2</v>
      </c>
      <c r="U398" s="203">
        <f t="shared" ref="U398:U405" ca="1" si="780">+L398-T398</f>
        <v>0</v>
      </c>
      <c r="V398" s="203">
        <f t="shared" ref="V398:V405" ca="1" si="781">ROUNDDOWN(T398/J398,0)</f>
        <v>2</v>
      </c>
      <c r="W398" s="212"/>
      <c r="X398" s="212"/>
      <c r="Y398" s="212"/>
      <c r="Z398" s="212"/>
      <c r="AA398" s="212"/>
      <c r="AB398" s="212"/>
      <c r="AC398" s="214" t="s">
        <v>1923</v>
      </c>
      <c r="AD398" s="215" t="s">
        <v>1924</v>
      </c>
      <c r="AE398" s="148"/>
      <c r="AF398" s="212" t="str">
        <f t="shared" si="757"/>
        <v>N/A</v>
      </c>
      <c r="AG398" s="212">
        <f t="shared" si="757"/>
        <v>0</v>
      </c>
      <c r="AH398" s="203">
        <f t="shared" ref="AH398:AH405" si="782">+AG398*J398</f>
        <v>0</v>
      </c>
      <c r="AI398" s="203">
        <f t="shared" ref="AI398:AI405" ca="1" si="783">MIN(T398,AH398)</f>
        <v>0</v>
      </c>
      <c r="AJ398" s="203">
        <f t="shared" ref="AJ398:AJ405" ca="1" si="784">+AH398-AI398</f>
        <v>0</v>
      </c>
      <c r="AK398" s="212" t="str">
        <f t="shared" si="758"/>
        <v>AMC2-S1</v>
      </c>
      <c r="AL398" s="212">
        <f t="shared" si="758"/>
        <v>1</v>
      </c>
      <c r="AM398" s="203">
        <f t="shared" ref="AM398:AM405" si="785">+AL398*J398</f>
        <v>1</v>
      </c>
      <c r="AN398" s="203">
        <f t="shared" ref="AN398:AN405" ca="1" si="786">MIN(T398-AI398,AL398)</f>
        <v>1</v>
      </c>
      <c r="AO398" s="203">
        <f t="shared" ref="AO398:AO405" ca="1" si="787">+AM398-AN398</f>
        <v>0</v>
      </c>
      <c r="AP398" s="212" t="str">
        <f t="shared" si="759"/>
        <v>AMC2-S4</v>
      </c>
      <c r="AQ398" s="212">
        <f t="shared" si="759"/>
        <v>1</v>
      </c>
      <c r="AR398" s="203">
        <f t="shared" ref="AR398:AR405" si="788">+AQ398*J398</f>
        <v>1</v>
      </c>
      <c r="AS398" s="203">
        <f t="shared" ref="AS398:AS405" ca="1" si="789">MIN(T398-AI398-AN398,AR398)</f>
        <v>1</v>
      </c>
      <c r="AT398" s="203">
        <f t="shared" ref="AT398:AT405" ca="1" si="790">+AR398-AS398</f>
        <v>0</v>
      </c>
      <c r="AU398" s="212" t="str">
        <f t="shared" si="760"/>
        <v>N/A</v>
      </c>
      <c r="AV398" s="212">
        <f t="shared" si="760"/>
        <v>0</v>
      </c>
      <c r="AW398" s="203">
        <f t="shared" ref="AW398:AW405" si="791">+AV398*J398</f>
        <v>0</v>
      </c>
      <c r="AX398" s="203">
        <f t="shared" ref="AX398:AX405" ca="1" si="792">MIN(T398-AI398-AN398-AS398,AW398)</f>
        <v>0</v>
      </c>
      <c r="AY398" s="203">
        <f t="shared" ref="AY398:AY405" ca="1" si="793">+AW398-AX398</f>
        <v>0</v>
      </c>
      <c r="AZ398" s="212"/>
      <c r="BA398" s="213" t="s">
        <v>1925</v>
      </c>
      <c r="BB398" s="213" t="s">
        <v>1926</v>
      </c>
      <c r="BC398" s="213" t="s">
        <v>1927</v>
      </c>
      <c r="BD398" s="213" t="s">
        <v>140</v>
      </c>
      <c r="BE398" s="148"/>
      <c r="BF398" s="212" t="s">
        <v>1789</v>
      </c>
      <c r="BG398" s="117"/>
      <c r="BH398" s="155"/>
      <c r="BI398" s="216"/>
      <c r="BJ398" s="216"/>
      <c r="BK398" s="216"/>
      <c r="BL398" s="149"/>
      <c r="BM398" s="149"/>
      <c r="BN398" s="149"/>
      <c r="BO398" s="149"/>
      <c r="BP398" s="149"/>
      <c r="BQ398" s="149"/>
      <c r="BR398" s="117">
        <v>0</v>
      </c>
      <c r="BS398" s="117">
        <v>1</v>
      </c>
      <c r="BT398" s="117">
        <v>0</v>
      </c>
      <c r="BU398" s="117">
        <v>1</v>
      </c>
      <c r="BV398" s="117">
        <v>0</v>
      </c>
      <c r="BW398" s="117">
        <v>0</v>
      </c>
      <c r="BX398" s="117">
        <v>0</v>
      </c>
      <c r="BY398" s="117" t="s">
        <v>1790</v>
      </c>
      <c r="BZ398" s="158" t="s">
        <v>57</v>
      </c>
      <c r="CA398" s="158">
        <v>4</v>
      </c>
      <c r="CB398" s="234"/>
      <c r="CC398" s="155"/>
      <c r="CD398" s="117"/>
      <c r="CE398" s="217"/>
      <c r="CF398" s="166">
        <f t="shared" ref="CF398:CF405" si="794">+L398-CA398</f>
        <v>-2</v>
      </c>
    </row>
    <row r="399" spans="1:84" ht="36" hidden="1">
      <c r="A399" s="117"/>
      <c r="B399" s="209" t="s">
        <v>1953</v>
      </c>
      <c r="C399" s="209" t="s">
        <v>2181</v>
      </c>
      <c r="D399" s="209" t="s">
        <v>1296</v>
      </c>
      <c r="E399" s="209" t="s">
        <v>1795</v>
      </c>
      <c r="F399" s="209" t="s">
        <v>1560</v>
      </c>
      <c r="G399" s="209" t="s">
        <v>1493</v>
      </c>
      <c r="H399" s="210">
        <v>1768</v>
      </c>
      <c r="I399" s="211" t="s">
        <v>147</v>
      </c>
      <c r="J399" s="144">
        <v>1</v>
      </c>
      <c r="K399" s="145">
        <f t="shared" si="735"/>
        <v>2</v>
      </c>
      <c r="L399" s="202">
        <f t="shared" si="778"/>
        <v>2</v>
      </c>
      <c r="M399" s="212">
        <v>20.3</v>
      </c>
      <c r="N399" s="203">
        <f t="shared" si="779"/>
        <v>40.6</v>
      </c>
      <c r="O399" s="212" t="s">
        <v>137</v>
      </c>
      <c r="P399" s="212" t="s">
        <v>13</v>
      </c>
      <c r="Q399" s="212" t="s">
        <v>148</v>
      </c>
      <c r="R399" s="212"/>
      <c r="S399" s="212"/>
      <c r="T399" s="203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1</v>
      </c>
      <c r="U399" s="203">
        <f t="shared" ca="1" si="780"/>
        <v>1</v>
      </c>
      <c r="V399" s="203">
        <f t="shared" ca="1" si="781"/>
        <v>1</v>
      </c>
      <c r="W399" s="212"/>
      <c r="X399" s="212"/>
      <c r="Y399" s="212"/>
      <c r="Z399" s="212"/>
      <c r="AA399" s="212"/>
      <c r="AB399" s="212"/>
      <c r="AC399" s="214" t="s">
        <v>1923</v>
      </c>
      <c r="AD399" s="215" t="s">
        <v>1924</v>
      </c>
      <c r="AE399" s="148"/>
      <c r="AF399" s="212" t="str">
        <f t="shared" si="757"/>
        <v>N/A</v>
      </c>
      <c r="AG399" s="212">
        <f t="shared" si="757"/>
        <v>0</v>
      </c>
      <c r="AH399" s="203">
        <f t="shared" si="782"/>
        <v>0</v>
      </c>
      <c r="AI399" s="203">
        <f t="shared" ca="1" si="783"/>
        <v>0</v>
      </c>
      <c r="AJ399" s="203">
        <f t="shared" ca="1" si="784"/>
        <v>0</v>
      </c>
      <c r="AK399" s="212" t="str">
        <f t="shared" si="758"/>
        <v>AMC2-S1</v>
      </c>
      <c r="AL399" s="212">
        <f t="shared" si="758"/>
        <v>1</v>
      </c>
      <c r="AM399" s="203">
        <f t="shared" si="785"/>
        <v>1</v>
      </c>
      <c r="AN399" s="203">
        <f t="shared" ca="1" si="786"/>
        <v>1</v>
      </c>
      <c r="AO399" s="203">
        <f t="shared" ca="1" si="787"/>
        <v>0</v>
      </c>
      <c r="AP399" s="212" t="str">
        <f t="shared" si="759"/>
        <v>AMC2-S4</v>
      </c>
      <c r="AQ399" s="212">
        <f t="shared" si="759"/>
        <v>1</v>
      </c>
      <c r="AR399" s="203">
        <f t="shared" si="788"/>
        <v>1</v>
      </c>
      <c r="AS399" s="203">
        <f t="shared" ca="1" si="789"/>
        <v>0</v>
      </c>
      <c r="AT399" s="203">
        <f t="shared" ca="1" si="790"/>
        <v>1</v>
      </c>
      <c r="AU399" s="212" t="str">
        <f t="shared" si="760"/>
        <v>N/A</v>
      </c>
      <c r="AV399" s="212">
        <f t="shared" si="760"/>
        <v>0</v>
      </c>
      <c r="AW399" s="203">
        <f t="shared" si="791"/>
        <v>0</v>
      </c>
      <c r="AX399" s="203">
        <f t="shared" ca="1" si="792"/>
        <v>0</v>
      </c>
      <c r="AY399" s="203">
        <f t="shared" ca="1" si="793"/>
        <v>0</v>
      </c>
      <c r="AZ399" s="212"/>
      <c r="BA399" s="213" t="s">
        <v>1925</v>
      </c>
      <c r="BB399" s="213" t="s">
        <v>1926</v>
      </c>
      <c r="BC399" s="213" t="s">
        <v>1927</v>
      </c>
      <c r="BD399" s="213" t="s">
        <v>140</v>
      </c>
      <c r="BE399" s="148"/>
      <c r="BF399" s="212" t="s">
        <v>1789</v>
      </c>
      <c r="BG399" s="117"/>
      <c r="BH399" s="155"/>
      <c r="BI399" s="216"/>
      <c r="BJ399" s="216"/>
      <c r="BK399" s="216"/>
      <c r="BL399" s="149"/>
      <c r="BM399" s="149"/>
      <c r="BN399" s="149"/>
      <c r="BO399" s="149"/>
      <c r="BP399" s="149"/>
      <c r="BQ399" s="149"/>
      <c r="BR399" s="117">
        <v>0</v>
      </c>
      <c r="BS399" s="117">
        <v>0</v>
      </c>
      <c r="BT399" s="117">
        <v>0</v>
      </c>
      <c r="BU399" s="117">
        <v>1</v>
      </c>
      <c r="BV399" s="117">
        <v>0</v>
      </c>
      <c r="BW399" s="117">
        <v>0</v>
      </c>
      <c r="BX399" s="117">
        <v>0</v>
      </c>
      <c r="BY399" s="117" t="s">
        <v>1790</v>
      </c>
      <c r="BZ399" s="158" t="s">
        <v>2156</v>
      </c>
      <c r="CA399" s="158">
        <v>4</v>
      </c>
      <c r="CB399" s="234">
        <v>46213</v>
      </c>
      <c r="CC399" s="155"/>
      <c r="CD399" s="141"/>
      <c r="CE399" s="217"/>
      <c r="CF399" s="166">
        <f t="shared" si="794"/>
        <v>-2</v>
      </c>
    </row>
    <row r="400" spans="1:84" ht="36" hidden="1">
      <c r="A400" s="117"/>
      <c r="B400" s="209" t="s">
        <v>1953</v>
      </c>
      <c r="C400" s="209" t="s">
        <v>2181</v>
      </c>
      <c r="D400" s="209" t="s">
        <v>1084</v>
      </c>
      <c r="E400" s="209" t="s">
        <v>1817</v>
      </c>
      <c r="F400" s="209" t="s">
        <v>1554</v>
      </c>
      <c r="G400" s="209" t="s">
        <v>1495</v>
      </c>
      <c r="H400" s="210">
        <v>5089</v>
      </c>
      <c r="I400" s="211" t="s">
        <v>147</v>
      </c>
      <c r="J400" s="144">
        <v>1</v>
      </c>
      <c r="K400" s="145">
        <f t="shared" si="735"/>
        <v>2</v>
      </c>
      <c r="L400" s="202">
        <f t="shared" si="778"/>
        <v>2</v>
      </c>
      <c r="M400" s="212">
        <v>983.4</v>
      </c>
      <c r="N400" s="203">
        <f t="shared" si="779"/>
        <v>1966.8</v>
      </c>
      <c r="O400" s="212" t="s">
        <v>137</v>
      </c>
      <c r="P400" s="212" t="s">
        <v>13</v>
      </c>
      <c r="Q400" s="212" t="s">
        <v>154</v>
      </c>
      <c r="R400" s="212"/>
      <c r="S400" s="212"/>
      <c r="T400" s="203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2</v>
      </c>
      <c r="U400" s="203">
        <f t="shared" ca="1" si="780"/>
        <v>0</v>
      </c>
      <c r="V400" s="203">
        <f t="shared" ca="1" si="781"/>
        <v>2</v>
      </c>
      <c r="W400" s="212"/>
      <c r="X400" s="212"/>
      <c r="Y400" s="212"/>
      <c r="Z400" s="212"/>
      <c r="AA400" s="212"/>
      <c r="AB400" s="212"/>
      <c r="AC400" s="214" t="s">
        <v>1923</v>
      </c>
      <c r="AD400" s="215" t="s">
        <v>1924</v>
      </c>
      <c r="AE400" s="148"/>
      <c r="AF400" s="212" t="str">
        <f t="shared" si="757"/>
        <v>N/A</v>
      </c>
      <c r="AG400" s="212">
        <f t="shared" si="757"/>
        <v>0</v>
      </c>
      <c r="AH400" s="203">
        <f t="shared" si="782"/>
        <v>0</v>
      </c>
      <c r="AI400" s="203">
        <f t="shared" ca="1" si="783"/>
        <v>0</v>
      </c>
      <c r="AJ400" s="203">
        <f t="shared" ca="1" si="784"/>
        <v>0</v>
      </c>
      <c r="AK400" s="212" t="str">
        <f t="shared" si="758"/>
        <v>AMC2-S1</v>
      </c>
      <c r="AL400" s="212">
        <f t="shared" si="758"/>
        <v>1</v>
      </c>
      <c r="AM400" s="203">
        <f t="shared" si="785"/>
        <v>1</v>
      </c>
      <c r="AN400" s="203">
        <f t="shared" ca="1" si="786"/>
        <v>1</v>
      </c>
      <c r="AO400" s="203">
        <f t="shared" ca="1" si="787"/>
        <v>0</v>
      </c>
      <c r="AP400" s="212" t="str">
        <f t="shared" si="759"/>
        <v>AMC2-S4</v>
      </c>
      <c r="AQ400" s="212">
        <f t="shared" si="759"/>
        <v>1</v>
      </c>
      <c r="AR400" s="203">
        <f t="shared" si="788"/>
        <v>1</v>
      </c>
      <c r="AS400" s="203">
        <f t="shared" ca="1" si="789"/>
        <v>1</v>
      </c>
      <c r="AT400" s="203">
        <f t="shared" ca="1" si="790"/>
        <v>0</v>
      </c>
      <c r="AU400" s="212" t="str">
        <f t="shared" si="760"/>
        <v>N/A</v>
      </c>
      <c r="AV400" s="212">
        <f t="shared" si="760"/>
        <v>0</v>
      </c>
      <c r="AW400" s="203">
        <f t="shared" si="791"/>
        <v>0</v>
      </c>
      <c r="AX400" s="203">
        <f t="shared" ca="1" si="792"/>
        <v>0</v>
      </c>
      <c r="AY400" s="203">
        <f t="shared" ca="1" si="793"/>
        <v>0</v>
      </c>
      <c r="AZ400" s="212"/>
      <c r="BA400" s="213" t="s">
        <v>1925</v>
      </c>
      <c r="BB400" s="213" t="s">
        <v>1926</v>
      </c>
      <c r="BC400" s="213" t="s">
        <v>1927</v>
      </c>
      <c r="BD400" s="213" t="s">
        <v>140</v>
      </c>
      <c r="BE400" s="148"/>
      <c r="BF400" s="212" t="s">
        <v>1789</v>
      </c>
      <c r="BG400" s="117"/>
      <c r="BH400" s="155"/>
      <c r="BI400" s="216"/>
      <c r="BJ400" s="216"/>
      <c r="BK400" s="216"/>
      <c r="BL400" s="149"/>
      <c r="BM400" s="149"/>
      <c r="BN400" s="149"/>
      <c r="BO400" s="149"/>
      <c r="BP400" s="149"/>
      <c r="BQ400" s="149"/>
      <c r="BR400" s="117">
        <v>0</v>
      </c>
      <c r="BS400" s="117">
        <v>1</v>
      </c>
      <c r="BT400" s="117">
        <v>0</v>
      </c>
      <c r="BU400" s="117">
        <v>1</v>
      </c>
      <c r="BV400" s="117">
        <v>0</v>
      </c>
      <c r="BW400" s="117">
        <v>0</v>
      </c>
      <c r="BX400" s="117">
        <v>0</v>
      </c>
      <c r="BY400" s="117" t="s">
        <v>1790</v>
      </c>
      <c r="BZ400" s="158" t="s">
        <v>57</v>
      </c>
      <c r="CA400" s="158">
        <v>4</v>
      </c>
      <c r="CB400" s="234"/>
      <c r="CC400" s="155"/>
      <c r="CD400" s="155"/>
      <c r="CE400" s="217"/>
      <c r="CF400" s="166">
        <f t="shared" si="794"/>
        <v>-2</v>
      </c>
    </row>
    <row r="401" spans="1:84" ht="36" hidden="1">
      <c r="A401" s="117"/>
      <c r="B401" s="209" t="s">
        <v>1953</v>
      </c>
      <c r="C401" s="209" t="s">
        <v>2181</v>
      </c>
      <c r="D401" s="209" t="s">
        <v>1296</v>
      </c>
      <c r="E401" s="209" t="s">
        <v>1806</v>
      </c>
      <c r="F401" s="209" t="s">
        <v>1555</v>
      </c>
      <c r="G401" s="209" t="s">
        <v>1508</v>
      </c>
      <c r="H401" s="210">
        <v>2053</v>
      </c>
      <c r="I401" s="211" t="s">
        <v>147</v>
      </c>
      <c r="J401" s="144">
        <v>3</v>
      </c>
      <c r="K401" s="145">
        <f t="shared" si="735"/>
        <v>2</v>
      </c>
      <c r="L401" s="202">
        <f t="shared" si="778"/>
        <v>6</v>
      </c>
      <c r="M401" s="212">
        <v>28.6</v>
      </c>
      <c r="N401" s="203">
        <f t="shared" si="779"/>
        <v>171.60000000000002</v>
      </c>
      <c r="O401" s="212" t="s">
        <v>137</v>
      </c>
      <c r="P401" s="212" t="s">
        <v>13</v>
      </c>
      <c r="Q401" s="212" t="s">
        <v>148</v>
      </c>
      <c r="R401" s="212"/>
      <c r="S401" s="212"/>
      <c r="T401" s="203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3</v>
      </c>
      <c r="U401" s="203">
        <f t="shared" ca="1" si="780"/>
        <v>3</v>
      </c>
      <c r="V401" s="203">
        <f t="shared" ca="1" si="781"/>
        <v>1</v>
      </c>
      <c r="W401" s="212"/>
      <c r="X401" s="212"/>
      <c r="Y401" s="212"/>
      <c r="Z401" s="212"/>
      <c r="AA401" s="212"/>
      <c r="AB401" s="212"/>
      <c r="AC401" s="214" t="s">
        <v>1923</v>
      </c>
      <c r="AD401" s="215" t="s">
        <v>1924</v>
      </c>
      <c r="AE401" s="148"/>
      <c r="AF401" s="212" t="str">
        <f t="shared" si="757"/>
        <v>N/A</v>
      </c>
      <c r="AG401" s="212">
        <f t="shared" si="757"/>
        <v>0</v>
      </c>
      <c r="AH401" s="203">
        <f t="shared" si="782"/>
        <v>0</v>
      </c>
      <c r="AI401" s="203">
        <f t="shared" ca="1" si="783"/>
        <v>0</v>
      </c>
      <c r="AJ401" s="203">
        <f t="shared" ca="1" si="784"/>
        <v>0</v>
      </c>
      <c r="AK401" s="212" t="str">
        <f t="shared" si="758"/>
        <v>AMC2-S1</v>
      </c>
      <c r="AL401" s="212">
        <f t="shared" si="758"/>
        <v>1</v>
      </c>
      <c r="AM401" s="203">
        <f t="shared" si="785"/>
        <v>3</v>
      </c>
      <c r="AN401" s="203">
        <f t="shared" ca="1" si="786"/>
        <v>1</v>
      </c>
      <c r="AO401" s="203">
        <f t="shared" ca="1" si="787"/>
        <v>2</v>
      </c>
      <c r="AP401" s="212" t="str">
        <f t="shared" si="759"/>
        <v>AMC2-S4</v>
      </c>
      <c r="AQ401" s="212">
        <f t="shared" si="759"/>
        <v>1</v>
      </c>
      <c r="AR401" s="203">
        <f t="shared" si="788"/>
        <v>3</v>
      </c>
      <c r="AS401" s="203">
        <f t="shared" ca="1" si="789"/>
        <v>2</v>
      </c>
      <c r="AT401" s="203">
        <f t="shared" ca="1" si="790"/>
        <v>1</v>
      </c>
      <c r="AU401" s="212" t="str">
        <f t="shared" si="760"/>
        <v>N/A</v>
      </c>
      <c r="AV401" s="212">
        <f t="shared" si="760"/>
        <v>0</v>
      </c>
      <c r="AW401" s="203">
        <f t="shared" si="791"/>
        <v>0</v>
      </c>
      <c r="AX401" s="203">
        <f t="shared" ca="1" si="792"/>
        <v>0</v>
      </c>
      <c r="AY401" s="203">
        <f t="shared" ca="1" si="793"/>
        <v>0</v>
      </c>
      <c r="AZ401" s="212"/>
      <c r="BA401" s="213" t="s">
        <v>1925</v>
      </c>
      <c r="BB401" s="213" t="s">
        <v>1926</v>
      </c>
      <c r="BC401" s="213" t="s">
        <v>1927</v>
      </c>
      <c r="BD401" s="213" t="s">
        <v>140</v>
      </c>
      <c r="BE401" s="148"/>
      <c r="BF401" s="212" t="s">
        <v>1789</v>
      </c>
      <c r="BG401" s="117"/>
      <c r="BH401" s="155"/>
      <c r="BI401" s="216"/>
      <c r="BJ401" s="216"/>
      <c r="BK401" s="216"/>
      <c r="BL401" s="149"/>
      <c r="BM401" s="149"/>
      <c r="BN401" s="149"/>
      <c r="BO401" s="149"/>
      <c r="BP401" s="149"/>
      <c r="BQ401" s="149"/>
      <c r="BR401" s="117">
        <v>0</v>
      </c>
      <c r="BS401" s="117">
        <v>0</v>
      </c>
      <c r="BT401" s="117">
        <v>0</v>
      </c>
      <c r="BU401" s="117">
        <v>1</v>
      </c>
      <c r="BV401" s="117">
        <v>0</v>
      </c>
      <c r="BW401" s="117">
        <v>0</v>
      </c>
      <c r="BX401" s="117">
        <v>0</v>
      </c>
      <c r="BY401" s="117" t="s">
        <v>1790</v>
      </c>
      <c r="BZ401" s="158" t="s">
        <v>2159</v>
      </c>
      <c r="CA401" s="144">
        <v>12</v>
      </c>
      <c r="CB401" s="234">
        <v>46213</v>
      </c>
      <c r="CC401" s="155"/>
      <c r="CD401" s="117"/>
      <c r="CE401" s="217"/>
      <c r="CF401" s="166">
        <f t="shared" si="794"/>
        <v>-6</v>
      </c>
    </row>
    <row r="402" spans="1:84" ht="36" hidden="1">
      <c r="A402" s="117"/>
      <c r="B402" s="209" t="s">
        <v>1953</v>
      </c>
      <c r="C402" s="209" t="s">
        <v>2181</v>
      </c>
      <c r="D402" s="209" t="s">
        <v>1296</v>
      </c>
      <c r="E402" s="209" t="s">
        <v>1807</v>
      </c>
      <c r="F402" s="209" t="s">
        <v>1556</v>
      </c>
      <c r="G402" s="209" t="s">
        <v>1524</v>
      </c>
      <c r="H402" s="210">
        <v>1805</v>
      </c>
      <c r="I402" s="211" t="s">
        <v>147</v>
      </c>
      <c r="J402" s="144">
        <v>2</v>
      </c>
      <c r="K402" s="145">
        <f t="shared" si="735"/>
        <v>2</v>
      </c>
      <c r="L402" s="202">
        <f t="shared" si="778"/>
        <v>4</v>
      </c>
      <c r="M402" s="212">
        <v>48.7</v>
      </c>
      <c r="N402" s="203">
        <f t="shared" si="779"/>
        <v>194.8</v>
      </c>
      <c r="O402" s="212" t="s">
        <v>137</v>
      </c>
      <c r="P402" s="212" t="s">
        <v>13</v>
      </c>
      <c r="Q402" s="212" t="s">
        <v>148</v>
      </c>
      <c r="R402" s="212"/>
      <c r="S402" s="212"/>
      <c r="T402" s="203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2</v>
      </c>
      <c r="U402" s="203">
        <f t="shared" ca="1" si="780"/>
        <v>2</v>
      </c>
      <c r="V402" s="203">
        <f t="shared" ca="1" si="781"/>
        <v>1</v>
      </c>
      <c r="W402" s="212"/>
      <c r="X402" s="212"/>
      <c r="Y402" s="212"/>
      <c r="Z402" s="212"/>
      <c r="AA402" s="212"/>
      <c r="AB402" s="212"/>
      <c r="AC402" s="214" t="s">
        <v>1923</v>
      </c>
      <c r="AD402" s="215" t="s">
        <v>1924</v>
      </c>
      <c r="AE402" s="148"/>
      <c r="AF402" s="212" t="str">
        <f t="shared" si="757"/>
        <v>N/A</v>
      </c>
      <c r="AG402" s="212">
        <f t="shared" si="757"/>
        <v>0</v>
      </c>
      <c r="AH402" s="203">
        <f t="shared" si="782"/>
        <v>0</v>
      </c>
      <c r="AI402" s="203">
        <f t="shared" ca="1" si="783"/>
        <v>0</v>
      </c>
      <c r="AJ402" s="203">
        <f t="shared" ca="1" si="784"/>
        <v>0</v>
      </c>
      <c r="AK402" s="212" t="str">
        <f t="shared" si="758"/>
        <v>AMC2-S1</v>
      </c>
      <c r="AL402" s="212">
        <f t="shared" si="758"/>
        <v>1</v>
      </c>
      <c r="AM402" s="203">
        <f t="shared" si="785"/>
        <v>2</v>
      </c>
      <c r="AN402" s="203">
        <f t="shared" ca="1" si="786"/>
        <v>1</v>
      </c>
      <c r="AO402" s="203">
        <f t="shared" ca="1" si="787"/>
        <v>1</v>
      </c>
      <c r="AP402" s="212" t="str">
        <f t="shared" si="759"/>
        <v>AMC2-S4</v>
      </c>
      <c r="AQ402" s="212">
        <f t="shared" si="759"/>
        <v>1</v>
      </c>
      <c r="AR402" s="203">
        <f t="shared" si="788"/>
        <v>2</v>
      </c>
      <c r="AS402" s="203">
        <f t="shared" ca="1" si="789"/>
        <v>1</v>
      </c>
      <c r="AT402" s="203">
        <f t="shared" ca="1" si="790"/>
        <v>1</v>
      </c>
      <c r="AU402" s="212" t="str">
        <f t="shared" si="760"/>
        <v>N/A</v>
      </c>
      <c r="AV402" s="212">
        <f t="shared" si="760"/>
        <v>0</v>
      </c>
      <c r="AW402" s="203">
        <f t="shared" si="791"/>
        <v>0</v>
      </c>
      <c r="AX402" s="203">
        <f t="shared" ca="1" si="792"/>
        <v>0</v>
      </c>
      <c r="AY402" s="203">
        <f t="shared" ca="1" si="793"/>
        <v>0</v>
      </c>
      <c r="AZ402" s="212"/>
      <c r="BA402" s="213" t="s">
        <v>1925</v>
      </c>
      <c r="BB402" s="213" t="s">
        <v>1926</v>
      </c>
      <c r="BC402" s="213" t="s">
        <v>1927</v>
      </c>
      <c r="BD402" s="213" t="s">
        <v>140</v>
      </c>
      <c r="BE402" s="148"/>
      <c r="BF402" s="212" t="s">
        <v>1789</v>
      </c>
      <c r="BG402" s="117"/>
      <c r="BH402" s="155"/>
      <c r="BI402" s="216"/>
      <c r="BJ402" s="216"/>
      <c r="BK402" s="216"/>
      <c r="BL402" s="149"/>
      <c r="BM402" s="149"/>
      <c r="BN402" s="149"/>
      <c r="BO402" s="149"/>
      <c r="BP402" s="149"/>
      <c r="BQ402" s="149"/>
      <c r="BR402" s="117">
        <v>0</v>
      </c>
      <c r="BS402" s="117">
        <v>0</v>
      </c>
      <c r="BT402" s="117">
        <v>0</v>
      </c>
      <c r="BU402" s="117">
        <v>0</v>
      </c>
      <c r="BV402" s="117">
        <v>0</v>
      </c>
      <c r="BW402" s="117">
        <v>0</v>
      </c>
      <c r="BX402" s="117">
        <v>0</v>
      </c>
      <c r="BY402" s="117" t="s">
        <v>1790</v>
      </c>
      <c r="BZ402" s="158" t="s">
        <v>2157</v>
      </c>
      <c r="CA402" s="144">
        <v>8</v>
      </c>
      <c r="CB402" s="234">
        <v>46242</v>
      </c>
      <c r="CC402" s="155"/>
      <c r="CD402" s="117"/>
      <c r="CE402" s="217"/>
      <c r="CF402" s="166">
        <f t="shared" si="794"/>
        <v>-4</v>
      </c>
    </row>
    <row r="403" spans="1:84" ht="36" hidden="1">
      <c r="A403" s="117"/>
      <c r="B403" s="209" t="s">
        <v>1953</v>
      </c>
      <c r="C403" s="209" t="s">
        <v>2181</v>
      </c>
      <c r="D403" s="209" t="s">
        <v>1296</v>
      </c>
      <c r="E403" s="209" t="s">
        <v>1818</v>
      </c>
      <c r="F403" s="209" t="s">
        <v>1557</v>
      </c>
      <c r="G403" s="209" t="s">
        <v>1526</v>
      </c>
      <c r="H403" s="210">
        <v>2550</v>
      </c>
      <c r="I403" s="211" t="s">
        <v>147</v>
      </c>
      <c r="J403" s="144">
        <v>1</v>
      </c>
      <c r="K403" s="145">
        <f t="shared" si="735"/>
        <v>2</v>
      </c>
      <c r="L403" s="202">
        <f t="shared" si="778"/>
        <v>2</v>
      </c>
      <c r="M403" s="212">
        <v>434.1</v>
      </c>
      <c r="N403" s="203">
        <f t="shared" si="779"/>
        <v>868.2</v>
      </c>
      <c r="O403" s="212" t="s">
        <v>137</v>
      </c>
      <c r="P403" s="212" t="s">
        <v>13</v>
      </c>
      <c r="Q403" s="212" t="s">
        <v>154</v>
      </c>
      <c r="R403" s="212"/>
      <c r="S403" s="212"/>
      <c r="T403" s="203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0</v>
      </c>
      <c r="U403" s="203">
        <f t="shared" ca="1" si="780"/>
        <v>2</v>
      </c>
      <c r="V403" s="203">
        <f t="shared" ca="1" si="781"/>
        <v>0</v>
      </c>
      <c r="W403" s="212"/>
      <c r="X403" s="212"/>
      <c r="Y403" s="212"/>
      <c r="Z403" s="212"/>
      <c r="AA403" s="212"/>
      <c r="AB403" s="212"/>
      <c r="AC403" s="214" t="s">
        <v>1923</v>
      </c>
      <c r="AD403" s="215" t="s">
        <v>1924</v>
      </c>
      <c r="AE403" s="148"/>
      <c r="AF403" s="212" t="str">
        <f t="shared" si="757"/>
        <v>N/A</v>
      </c>
      <c r="AG403" s="212">
        <f t="shared" si="757"/>
        <v>0</v>
      </c>
      <c r="AH403" s="203">
        <f t="shared" si="782"/>
        <v>0</v>
      </c>
      <c r="AI403" s="203">
        <f t="shared" ca="1" si="783"/>
        <v>0</v>
      </c>
      <c r="AJ403" s="203">
        <f t="shared" ca="1" si="784"/>
        <v>0</v>
      </c>
      <c r="AK403" s="212" t="str">
        <f t="shared" si="758"/>
        <v>AMC2-S1</v>
      </c>
      <c r="AL403" s="212">
        <f t="shared" si="758"/>
        <v>1</v>
      </c>
      <c r="AM403" s="203">
        <f t="shared" si="785"/>
        <v>1</v>
      </c>
      <c r="AN403" s="203">
        <f t="shared" ca="1" si="786"/>
        <v>0</v>
      </c>
      <c r="AO403" s="203">
        <f t="shared" ca="1" si="787"/>
        <v>1</v>
      </c>
      <c r="AP403" s="212" t="str">
        <f t="shared" si="759"/>
        <v>AMC2-S4</v>
      </c>
      <c r="AQ403" s="212">
        <f t="shared" si="759"/>
        <v>1</v>
      </c>
      <c r="AR403" s="203">
        <f t="shared" si="788"/>
        <v>1</v>
      </c>
      <c r="AS403" s="203">
        <f t="shared" ca="1" si="789"/>
        <v>0</v>
      </c>
      <c r="AT403" s="203">
        <f t="shared" ca="1" si="790"/>
        <v>1</v>
      </c>
      <c r="AU403" s="212" t="str">
        <f t="shared" si="760"/>
        <v>N/A</v>
      </c>
      <c r="AV403" s="212">
        <f t="shared" si="760"/>
        <v>0</v>
      </c>
      <c r="AW403" s="203">
        <f t="shared" si="791"/>
        <v>0</v>
      </c>
      <c r="AX403" s="203">
        <f t="shared" ca="1" si="792"/>
        <v>0</v>
      </c>
      <c r="AY403" s="203">
        <f t="shared" ca="1" si="793"/>
        <v>0</v>
      </c>
      <c r="AZ403" s="212"/>
      <c r="BA403" s="213" t="s">
        <v>1925</v>
      </c>
      <c r="BB403" s="213" t="s">
        <v>1926</v>
      </c>
      <c r="BC403" s="213" t="s">
        <v>1927</v>
      </c>
      <c r="BD403" s="213" t="s">
        <v>140</v>
      </c>
      <c r="BE403" s="148"/>
      <c r="BF403" s="212" t="s">
        <v>1789</v>
      </c>
      <c r="BG403" s="117"/>
      <c r="BH403" s="155"/>
      <c r="BI403" s="216"/>
      <c r="BJ403" s="216"/>
      <c r="BK403" s="216"/>
      <c r="BL403" s="149"/>
      <c r="BM403" s="149"/>
      <c r="BN403" s="149"/>
      <c r="BO403" s="149"/>
      <c r="BP403" s="149"/>
      <c r="BQ403" s="149"/>
      <c r="BR403" s="117">
        <v>0</v>
      </c>
      <c r="BS403" s="117">
        <v>1</v>
      </c>
      <c r="BT403" s="117">
        <v>0</v>
      </c>
      <c r="BU403" s="117">
        <v>1</v>
      </c>
      <c r="BV403" s="117">
        <v>0</v>
      </c>
      <c r="BW403" s="117">
        <v>0</v>
      </c>
      <c r="BX403" s="117">
        <v>0</v>
      </c>
      <c r="BY403" s="117" t="s">
        <v>1790</v>
      </c>
      <c r="BZ403" s="158" t="s">
        <v>57</v>
      </c>
      <c r="CA403" s="158">
        <v>4</v>
      </c>
      <c r="CB403" s="234"/>
      <c r="CC403" s="155"/>
      <c r="CD403" s="155"/>
      <c r="CE403" s="217"/>
      <c r="CF403" s="166">
        <f t="shared" si="794"/>
        <v>-2</v>
      </c>
    </row>
    <row r="404" spans="1:84" ht="36" hidden="1">
      <c r="A404" s="117"/>
      <c r="B404" s="209" t="s">
        <v>1953</v>
      </c>
      <c r="C404" s="209" t="s">
        <v>2181</v>
      </c>
      <c r="D404" s="209" t="s">
        <v>1296</v>
      </c>
      <c r="E404" s="209" t="s">
        <v>1819</v>
      </c>
      <c r="F404" s="209" t="s">
        <v>1558</v>
      </c>
      <c r="G404" s="209" t="s">
        <v>1125</v>
      </c>
      <c r="H404" s="210">
        <v>200</v>
      </c>
      <c r="I404" s="211" t="s">
        <v>147</v>
      </c>
      <c r="J404" s="144">
        <v>2</v>
      </c>
      <c r="K404" s="145">
        <f t="shared" si="735"/>
        <v>2</v>
      </c>
      <c r="L404" s="202">
        <f t="shared" si="778"/>
        <v>4</v>
      </c>
      <c r="M404" s="212">
        <v>5.5</v>
      </c>
      <c r="N404" s="203">
        <f t="shared" si="779"/>
        <v>22</v>
      </c>
      <c r="O404" s="212" t="s">
        <v>137</v>
      </c>
      <c r="P404" s="212" t="s">
        <v>13</v>
      </c>
      <c r="Q404" s="212" t="s">
        <v>148</v>
      </c>
      <c r="R404" s="212"/>
      <c r="S404" s="212"/>
      <c r="T404" s="203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2</v>
      </c>
      <c r="U404" s="203">
        <f t="shared" ca="1" si="780"/>
        <v>2</v>
      </c>
      <c r="V404" s="203">
        <f t="shared" ca="1" si="781"/>
        <v>1</v>
      </c>
      <c r="W404" s="212"/>
      <c r="X404" s="212"/>
      <c r="Y404" s="212"/>
      <c r="Z404" s="212"/>
      <c r="AA404" s="212"/>
      <c r="AB404" s="212"/>
      <c r="AC404" s="214" t="s">
        <v>1923</v>
      </c>
      <c r="AD404" s="215" t="s">
        <v>1924</v>
      </c>
      <c r="AE404" s="148"/>
      <c r="AF404" s="212" t="str">
        <f t="shared" ref="AF404:AG413" si="795">AF403</f>
        <v>N/A</v>
      </c>
      <c r="AG404" s="212">
        <f t="shared" si="795"/>
        <v>0</v>
      </c>
      <c r="AH404" s="203">
        <f t="shared" si="782"/>
        <v>0</v>
      </c>
      <c r="AI404" s="203">
        <f t="shared" ca="1" si="783"/>
        <v>0</v>
      </c>
      <c r="AJ404" s="203">
        <f t="shared" ca="1" si="784"/>
        <v>0</v>
      </c>
      <c r="AK404" s="212" t="str">
        <f t="shared" ref="AK404:AL413" si="796">AK403</f>
        <v>AMC2-S1</v>
      </c>
      <c r="AL404" s="212">
        <f t="shared" si="796"/>
        <v>1</v>
      </c>
      <c r="AM404" s="203">
        <f t="shared" si="785"/>
        <v>2</v>
      </c>
      <c r="AN404" s="203">
        <f t="shared" ca="1" si="786"/>
        <v>1</v>
      </c>
      <c r="AO404" s="203">
        <f t="shared" ca="1" si="787"/>
        <v>1</v>
      </c>
      <c r="AP404" s="212" t="str">
        <f t="shared" ref="AP404:AQ413" si="797">AP403</f>
        <v>AMC2-S4</v>
      </c>
      <c r="AQ404" s="212">
        <f t="shared" si="797"/>
        <v>1</v>
      </c>
      <c r="AR404" s="203">
        <f t="shared" si="788"/>
        <v>2</v>
      </c>
      <c r="AS404" s="203">
        <f t="shared" ca="1" si="789"/>
        <v>1</v>
      </c>
      <c r="AT404" s="203">
        <f t="shared" ca="1" si="790"/>
        <v>1</v>
      </c>
      <c r="AU404" s="212" t="str">
        <f t="shared" ref="AU404:AV413" si="798">AU403</f>
        <v>N/A</v>
      </c>
      <c r="AV404" s="212">
        <f t="shared" si="798"/>
        <v>0</v>
      </c>
      <c r="AW404" s="203">
        <f t="shared" si="791"/>
        <v>0</v>
      </c>
      <c r="AX404" s="203">
        <f t="shared" ca="1" si="792"/>
        <v>0</v>
      </c>
      <c r="AY404" s="203">
        <f t="shared" ca="1" si="793"/>
        <v>0</v>
      </c>
      <c r="AZ404" s="212"/>
      <c r="BA404" s="213" t="s">
        <v>1925</v>
      </c>
      <c r="BB404" s="213" t="s">
        <v>1926</v>
      </c>
      <c r="BC404" s="213" t="s">
        <v>1927</v>
      </c>
      <c r="BD404" s="213" t="s">
        <v>140</v>
      </c>
      <c r="BE404" s="148"/>
      <c r="BF404" s="212" t="s">
        <v>1789</v>
      </c>
      <c r="BG404" s="117"/>
      <c r="BH404" s="155"/>
      <c r="BI404" s="216"/>
      <c r="BJ404" s="216"/>
      <c r="BK404" s="216"/>
      <c r="BL404" s="149"/>
      <c r="BM404" s="149"/>
      <c r="BN404" s="149"/>
      <c r="BO404" s="149"/>
      <c r="BP404" s="149"/>
      <c r="BQ404" s="149"/>
      <c r="BR404" s="117">
        <v>1</v>
      </c>
      <c r="BS404" s="117">
        <v>0</v>
      </c>
      <c r="BT404" s="117">
        <v>0</v>
      </c>
      <c r="BU404" s="117">
        <v>0</v>
      </c>
      <c r="BV404" s="117">
        <v>0</v>
      </c>
      <c r="BW404" s="117">
        <v>0</v>
      </c>
      <c r="BX404" s="117">
        <v>0</v>
      </c>
      <c r="BY404" s="117" t="s">
        <v>1790</v>
      </c>
      <c r="BZ404" s="158" t="s">
        <v>2155</v>
      </c>
      <c r="CA404" s="144">
        <v>8</v>
      </c>
      <c r="CB404" s="235">
        <v>46231</v>
      </c>
      <c r="CC404" s="155"/>
      <c r="CD404" s="141"/>
      <c r="CE404" s="217"/>
      <c r="CF404" s="166">
        <f t="shared" si="794"/>
        <v>-4</v>
      </c>
    </row>
    <row r="405" spans="1:84" ht="36" hidden="1">
      <c r="A405" s="117"/>
      <c r="B405" s="209" t="s">
        <v>1953</v>
      </c>
      <c r="C405" s="209" t="s">
        <v>2181</v>
      </c>
      <c r="D405" s="209" t="s">
        <v>1296</v>
      </c>
      <c r="E405" s="209" t="s">
        <v>1820</v>
      </c>
      <c r="F405" s="209" t="s">
        <v>1559</v>
      </c>
      <c r="G405" s="209" t="s">
        <v>1123</v>
      </c>
      <c r="H405" s="210">
        <v>320</v>
      </c>
      <c r="I405" s="211" t="s">
        <v>147</v>
      </c>
      <c r="J405" s="144">
        <v>2</v>
      </c>
      <c r="K405" s="145">
        <f t="shared" si="735"/>
        <v>2</v>
      </c>
      <c r="L405" s="202">
        <f t="shared" si="778"/>
        <v>4</v>
      </c>
      <c r="M405" s="212">
        <v>7.6</v>
      </c>
      <c r="N405" s="203">
        <f t="shared" si="779"/>
        <v>30.4</v>
      </c>
      <c r="O405" s="212" t="s">
        <v>137</v>
      </c>
      <c r="P405" s="212" t="s">
        <v>13</v>
      </c>
      <c r="Q405" s="212" t="s">
        <v>148</v>
      </c>
      <c r="R405" s="212"/>
      <c r="S405" s="212"/>
      <c r="T405" s="203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2</v>
      </c>
      <c r="U405" s="203">
        <f t="shared" ca="1" si="780"/>
        <v>2</v>
      </c>
      <c r="V405" s="203">
        <f t="shared" ca="1" si="781"/>
        <v>1</v>
      </c>
      <c r="W405" s="212"/>
      <c r="X405" s="212"/>
      <c r="Y405" s="212"/>
      <c r="Z405" s="212"/>
      <c r="AA405" s="212"/>
      <c r="AB405" s="212"/>
      <c r="AC405" s="214" t="s">
        <v>1923</v>
      </c>
      <c r="AD405" s="215" t="s">
        <v>1924</v>
      </c>
      <c r="AE405" s="148"/>
      <c r="AF405" s="212" t="str">
        <f t="shared" si="795"/>
        <v>N/A</v>
      </c>
      <c r="AG405" s="212">
        <f t="shared" si="795"/>
        <v>0</v>
      </c>
      <c r="AH405" s="203">
        <f t="shared" si="782"/>
        <v>0</v>
      </c>
      <c r="AI405" s="203">
        <f t="shared" ca="1" si="783"/>
        <v>0</v>
      </c>
      <c r="AJ405" s="203">
        <f t="shared" ca="1" si="784"/>
        <v>0</v>
      </c>
      <c r="AK405" s="212" t="str">
        <f t="shared" si="796"/>
        <v>AMC2-S1</v>
      </c>
      <c r="AL405" s="212">
        <f t="shared" si="796"/>
        <v>1</v>
      </c>
      <c r="AM405" s="203">
        <f t="shared" si="785"/>
        <v>2</v>
      </c>
      <c r="AN405" s="203">
        <f t="shared" ca="1" si="786"/>
        <v>1</v>
      </c>
      <c r="AO405" s="203">
        <f t="shared" ca="1" si="787"/>
        <v>1</v>
      </c>
      <c r="AP405" s="212" t="str">
        <f t="shared" si="797"/>
        <v>AMC2-S4</v>
      </c>
      <c r="AQ405" s="212">
        <f t="shared" si="797"/>
        <v>1</v>
      </c>
      <c r="AR405" s="203">
        <f t="shared" si="788"/>
        <v>2</v>
      </c>
      <c r="AS405" s="203">
        <f t="shared" ca="1" si="789"/>
        <v>1</v>
      </c>
      <c r="AT405" s="203">
        <f t="shared" ca="1" si="790"/>
        <v>1</v>
      </c>
      <c r="AU405" s="212" t="str">
        <f t="shared" si="798"/>
        <v>N/A</v>
      </c>
      <c r="AV405" s="212">
        <f t="shared" si="798"/>
        <v>0</v>
      </c>
      <c r="AW405" s="203">
        <f t="shared" si="791"/>
        <v>0</v>
      </c>
      <c r="AX405" s="203">
        <f t="shared" ca="1" si="792"/>
        <v>0</v>
      </c>
      <c r="AY405" s="203">
        <f t="shared" ca="1" si="793"/>
        <v>0</v>
      </c>
      <c r="AZ405" s="212"/>
      <c r="BA405" s="213" t="s">
        <v>1925</v>
      </c>
      <c r="BB405" s="213" t="s">
        <v>1926</v>
      </c>
      <c r="BC405" s="213" t="s">
        <v>1927</v>
      </c>
      <c r="BD405" s="213" t="s">
        <v>140</v>
      </c>
      <c r="BE405" s="148"/>
      <c r="BF405" s="212" t="s">
        <v>1789</v>
      </c>
      <c r="BG405" s="117"/>
      <c r="BH405" s="155"/>
      <c r="BI405" s="216"/>
      <c r="BJ405" s="216"/>
      <c r="BK405" s="216"/>
      <c r="BL405" s="149"/>
      <c r="BM405" s="149"/>
      <c r="BN405" s="149"/>
      <c r="BO405" s="149"/>
      <c r="BP405" s="149"/>
      <c r="BQ405" s="149"/>
      <c r="BR405" s="117">
        <v>1</v>
      </c>
      <c r="BS405" s="117">
        <v>0</v>
      </c>
      <c r="BT405" s="117">
        <v>0</v>
      </c>
      <c r="BU405" s="117">
        <v>0</v>
      </c>
      <c r="BV405" s="117">
        <v>0</v>
      </c>
      <c r="BW405" s="117">
        <v>0</v>
      </c>
      <c r="BX405" s="117">
        <v>0</v>
      </c>
      <c r="BY405" s="117" t="s">
        <v>1790</v>
      </c>
      <c r="BZ405" s="158" t="s">
        <v>2157</v>
      </c>
      <c r="CA405" s="144">
        <v>8</v>
      </c>
      <c r="CB405" s="234">
        <v>46242</v>
      </c>
      <c r="CC405" s="155"/>
      <c r="CD405" s="117"/>
      <c r="CE405" s="217"/>
      <c r="CF405" s="166">
        <f t="shared" si="794"/>
        <v>-4</v>
      </c>
    </row>
    <row r="406" spans="1:84" ht="36" hidden="1">
      <c r="A406" s="186"/>
      <c r="B406" s="187" t="s">
        <v>1953</v>
      </c>
      <c r="C406" s="187" t="s">
        <v>2182</v>
      </c>
      <c r="D406" s="187"/>
      <c r="E406" s="187"/>
      <c r="F406" s="187"/>
      <c r="G406" s="187" t="s">
        <v>1960</v>
      </c>
      <c r="H406" s="188"/>
      <c r="I406" s="189"/>
      <c r="J406" s="190"/>
      <c r="K406" s="191">
        <f t="shared" si="735"/>
        <v>2</v>
      </c>
      <c r="L406" s="190"/>
      <c r="M406" s="192">
        <v>2109.9</v>
      </c>
      <c r="N406" s="192">
        <v>8439.6</v>
      </c>
      <c r="O406" s="192" t="s">
        <v>137</v>
      </c>
      <c r="P406" s="192"/>
      <c r="Q406" s="192"/>
      <c r="R406" s="192"/>
      <c r="S406" s="192"/>
      <c r="T406" s="192"/>
      <c r="U406" s="192"/>
      <c r="V406" s="192"/>
      <c r="W406" s="192">
        <f ca="1">_xlfn.MINIFS(V:V,C:C,C406,AE:AE,"",AB:AB,"")</f>
        <v>0</v>
      </c>
      <c r="X406" s="192">
        <f ca="1">SUMIFS(T:T,C:C,C406,AE:AE,"")/SUMIFS(L:L,C:C,C406,AE:AE,"",AB:AB,"")</f>
        <v>0.6</v>
      </c>
      <c r="Y406" s="192"/>
      <c r="Z406" s="192"/>
      <c r="AA406" s="192"/>
      <c r="AB406" s="192"/>
      <c r="AC406" s="194" t="s">
        <v>1923</v>
      </c>
      <c r="AD406" s="195" t="s">
        <v>1924</v>
      </c>
      <c r="AE406" s="196" t="s">
        <v>1787</v>
      </c>
      <c r="AF406" s="192" t="str">
        <f t="shared" si="795"/>
        <v>N/A</v>
      </c>
      <c r="AG406" s="192">
        <f t="shared" si="795"/>
        <v>0</v>
      </c>
      <c r="AH406" s="192"/>
      <c r="AI406" s="192"/>
      <c r="AJ406" s="192"/>
      <c r="AK406" s="192" t="str">
        <f t="shared" si="796"/>
        <v>AMC2-S1</v>
      </c>
      <c r="AL406" s="192">
        <f t="shared" si="796"/>
        <v>1</v>
      </c>
      <c r="AM406" s="192"/>
      <c r="AN406" s="192"/>
      <c r="AO406" s="192"/>
      <c r="AP406" s="192" t="str">
        <f t="shared" si="797"/>
        <v>AMC2-S4</v>
      </c>
      <c r="AQ406" s="192">
        <f t="shared" si="797"/>
        <v>1</v>
      </c>
      <c r="AR406" s="192"/>
      <c r="AS406" s="192"/>
      <c r="AT406" s="192"/>
      <c r="AU406" s="192" t="str">
        <f t="shared" si="798"/>
        <v>N/A</v>
      </c>
      <c r="AV406" s="192">
        <f t="shared" si="798"/>
        <v>0</v>
      </c>
      <c r="AW406" s="192"/>
      <c r="AX406" s="192"/>
      <c r="AY406" s="192"/>
      <c r="AZ406" s="192"/>
      <c r="BA406" s="193" t="s">
        <v>1925</v>
      </c>
      <c r="BB406" s="193" t="s">
        <v>1926</v>
      </c>
      <c r="BC406" s="193" t="s">
        <v>1927</v>
      </c>
      <c r="BD406" s="193" t="s">
        <v>140</v>
      </c>
      <c r="BE406" s="196" t="s">
        <v>741</v>
      </c>
      <c r="BF406" s="192"/>
      <c r="BG406" s="186"/>
      <c r="BH406" s="186"/>
      <c r="BI406" s="197"/>
      <c r="BJ406" s="197"/>
      <c r="BK406" s="197"/>
      <c r="BL406" s="197"/>
      <c r="BM406" s="197"/>
      <c r="BN406" s="197"/>
      <c r="BO406" s="197"/>
      <c r="BP406" s="197"/>
      <c r="BQ406" s="197"/>
      <c r="BR406" s="186"/>
      <c r="BS406" s="186"/>
      <c r="BT406" s="186"/>
      <c r="BU406" s="186"/>
      <c r="BV406" s="186"/>
      <c r="BW406" s="186"/>
      <c r="BX406" s="186"/>
      <c r="BY406" s="186"/>
      <c r="BZ406" s="186"/>
      <c r="CA406" s="186"/>
      <c r="CB406" s="197"/>
      <c r="CC406" s="186"/>
      <c r="CD406" s="186"/>
      <c r="CE406" s="198"/>
      <c r="CF406" s="198"/>
    </row>
    <row r="407" spans="1:84" ht="36" hidden="1">
      <c r="A407" s="117"/>
      <c r="B407" s="209" t="s">
        <v>1953</v>
      </c>
      <c r="C407" s="209" t="s">
        <v>2182</v>
      </c>
      <c r="D407" s="209" t="s">
        <v>1084</v>
      </c>
      <c r="E407" s="209" t="s">
        <v>1788</v>
      </c>
      <c r="F407" s="209" t="s">
        <v>1568</v>
      </c>
      <c r="G407" s="209" t="s">
        <v>1477</v>
      </c>
      <c r="H407" s="210">
        <v>3622</v>
      </c>
      <c r="I407" s="211" t="s">
        <v>147</v>
      </c>
      <c r="J407" s="144">
        <v>1</v>
      </c>
      <c r="K407" s="145">
        <f t="shared" si="735"/>
        <v>2</v>
      </c>
      <c r="L407" s="202">
        <f t="shared" ref="L407:L413" si="799">+J407*K407</f>
        <v>2</v>
      </c>
      <c r="M407" s="212">
        <v>493.5</v>
      </c>
      <c r="N407" s="203">
        <f t="shared" ref="N407:N413" si="800">+M407*L407</f>
        <v>987</v>
      </c>
      <c r="O407" s="212" t="s">
        <v>137</v>
      </c>
      <c r="P407" s="212" t="s">
        <v>13</v>
      </c>
      <c r="Q407" s="212" t="s">
        <v>154</v>
      </c>
      <c r="R407" s="212"/>
      <c r="S407" s="212"/>
      <c r="T407" s="203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2</v>
      </c>
      <c r="U407" s="203">
        <f t="shared" ref="U407:U413" ca="1" si="801">+L407-T407</f>
        <v>0</v>
      </c>
      <c r="V407" s="203">
        <f t="shared" ref="V407:V413" ca="1" si="802">ROUNDDOWN(T407/J407,0)</f>
        <v>2</v>
      </c>
      <c r="W407" s="212"/>
      <c r="X407" s="212"/>
      <c r="Y407" s="212"/>
      <c r="Z407" s="212"/>
      <c r="AA407" s="212"/>
      <c r="AB407" s="212"/>
      <c r="AC407" s="214" t="s">
        <v>1923</v>
      </c>
      <c r="AD407" s="215" t="s">
        <v>1924</v>
      </c>
      <c r="AE407" s="148"/>
      <c r="AF407" s="212" t="str">
        <f t="shared" si="795"/>
        <v>N/A</v>
      </c>
      <c r="AG407" s="212">
        <f t="shared" si="795"/>
        <v>0</v>
      </c>
      <c r="AH407" s="203">
        <f t="shared" ref="AH407:AH413" si="803">+AG407*J407</f>
        <v>0</v>
      </c>
      <c r="AI407" s="203">
        <f t="shared" ref="AI407:AI413" ca="1" si="804">MIN(T407,AH407)</f>
        <v>0</v>
      </c>
      <c r="AJ407" s="203">
        <f t="shared" ref="AJ407:AJ413" ca="1" si="805">+AH407-AI407</f>
        <v>0</v>
      </c>
      <c r="AK407" s="212" t="str">
        <f t="shared" si="796"/>
        <v>AMC2-S1</v>
      </c>
      <c r="AL407" s="212">
        <f t="shared" si="796"/>
        <v>1</v>
      </c>
      <c r="AM407" s="203">
        <f t="shared" ref="AM407:AM413" si="806">+AL407*J407</f>
        <v>1</v>
      </c>
      <c r="AN407" s="203">
        <f t="shared" ref="AN407:AN413" ca="1" si="807">MIN(T407-AI407,AL407)</f>
        <v>1</v>
      </c>
      <c r="AO407" s="203">
        <f t="shared" ref="AO407:AO413" ca="1" si="808">+AM407-AN407</f>
        <v>0</v>
      </c>
      <c r="AP407" s="212" t="str">
        <f t="shared" si="797"/>
        <v>AMC2-S4</v>
      </c>
      <c r="AQ407" s="212">
        <f t="shared" si="797"/>
        <v>1</v>
      </c>
      <c r="AR407" s="203">
        <f t="shared" ref="AR407:AR413" si="809">+AQ407*J407</f>
        <v>1</v>
      </c>
      <c r="AS407" s="203">
        <f t="shared" ref="AS407:AS413" ca="1" si="810">MIN(T407-AI407-AN407,AR407)</f>
        <v>1</v>
      </c>
      <c r="AT407" s="203">
        <f t="shared" ref="AT407:AT413" ca="1" si="811">+AR407-AS407</f>
        <v>0</v>
      </c>
      <c r="AU407" s="212" t="str">
        <f t="shared" si="798"/>
        <v>N/A</v>
      </c>
      <c r="AV407" s="212">
        <f t="shared" si="798"/>
        <v>0</v>
      </c>
      <c r="AW407" s="203">
        <f t="shared" ref="AW407:AW413" si="812">+AV407*J407</f>
        <v>0</v>
      </c>
      <c r="AX407" s="203">
        <f t="shared" ref="AX407:AX413" ca="1" si="813">MIN(T407-AI407-AN407-AS407,AW407)</f>
        <v>0</v>
      </c>
      <c r="AY407" s="203">
        <f t="shared" ref="AY407:AY413" ca="1" si="814">+AW407-AX407</f>
        <v>0</v>
      </c>
      <c r="AZ407" s="212"/>
      <c r="BA407" s="213" t="s">
        <v>1925</v>
      </c>
      <c r="BB407" s="213" t="s">
        <v>1926</v>
      </c>
      <c r="BC407" s="213" t="s">
        <v>1927</v>
      </c>
      <c r="BD407" s="213" t="s">
        <v>140</v>
      </c>
      <c r="BE407" s="148"/>
      <c r="BF407" s="212" t="s">
        <v>1789</v>
      </c>
      <c r="BG407" s="117"/>
      <c r="BH407" s="155"/>
      <c r="BI407" s="216"/>
      <c r="BJ407" s="216"/>
      <c r="BK407" s="216"/>
      <c r="BL407" s="149"/>
      <c r="BM407" s="149"/>
      <c r="BN407" s="149"/>
      <c r="BO407" s="149"/>
      <c r="BP407" s="149"/>
      <c r="BQ407" s="149"/>
      <c r="BR407" s="117">
        <v>0</v>
      </c>
      <c r="BS407" s="117">
        <v>1</v>
      </c>
      <c r="BT407" s="117">
        <v>0</v>
      </c>
      <c r="BU407" s="117">
        <v>1</v>
      </c>
      <c r="BV407" s="117">
        <v>0</v>
      </c>
      <c r="BW407" s="117">
        <v>0</v>
      </c>
      <c r="BX407" s="117">
        <v>0</v>
      </c>
      <c r="BY407" s="117" t="s">
        <v>1790</v>
      </c>
      <c r="BZ407" s="158" t="s">
        <v>57</v>
      </c>
      <c r="CA407" s="158">
        <v>4</v>
      </c>
      <c r="CB407" s="234"/>
      <c r="CC407" s="155"/>
      <c r="CD407" s="117"/>
      <c r="CE407" s="217"/>
      <c r="CF407" s="166">
        <f t="shared" ref="CF407:CF413" si="815">+L407-CA407</f>
        <v>-2</v>
      </c>
    </row>
    <row r="408" spans="1:84" ht="36" hidden="1">
      <c r="A408" s="117"/>
      <c r="B408" s="209" t="s">
        <v>1953</v>
      </c>
      <c r="C408" s="209" t="s">
        <v>2182</v>
      </c>
      <c r="D408" s="209" t="s">
        <v>1296</v>
      </c>
      <c r="E408" s="209" t="s">
        <v>1795</v>
      </c>
      <c r="F408" s="209" t="s">
        <v>1574</v>
      </c>
      <c r="G408" s="209" t="s">
        <v>1493</v>
      </c>
      <c r="H408" s="210">
        <v>1768</v>
      </c>
      <c r="I408" s="211" t="s">
        <v>147</v>
      </c>
      <c r="J408" s="144">
        <v>1</v>
      </c>
      <c r="K408" s="145">
        <f t="shared" si="735"/>
        <v>2</v>
      </c>
      <c r="L408" s="202">
        <f t="shared" si="799"/>
        <v>2</v>
      </c>
      <c r="M408" s="212">
        <v>20.3</v>
      </c>
      <c r="N408" s="203">
        <f t="shared" si="800"/>
        <v>40.6</v>
      </c>
      <c r="O408" s="212" t="s">
        <v>137</v>
      </c>
      <c r="P408" s="212" t="s">
        <v>13</v>
      </c>
      <c r="Q408" s="212" t="s">
        <v>148</v>
      </c>
      <c r="R408" s="212"/>
      <c r="S408" s="212"/>
      <c r="T408" s="203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1</v>
      </c>
      <c r="U408" s="203">
        <f t="shared" ca="1" si="801"/>
        <v>1</v>
      </c>
      <c r="V408" s="203">
        <f t="shared" ca="1" si="802"/>
        <v>1</v>
      </c>
      <c r="W408" s="212"/>
      <c r="X408" s="212"/>
      <c r="Y408" s="212"/>
      <c r="Z408" s="212"/>
      <c r="AA408" s="212"/>
      <c r="AB408" s="212"/>
      <c r="AC408" s="214" t="s">
        <v>1923</v>
      </c>
      <c r="AD408" s="215" t="s">
        <v>1924</v>
      </c>
      <c r="AE408" s="148"/>
      <c r="AF408" s="212" t="str">
        <f t="shared" si="795"/>
        <v>N/A</v>
      </c>
      <c r="AG408" s="212">
        <f t="shared" si="795"/>
        <v>0</v>
      </c>
      <c r="AH408" s="203">
        <f t="shared" si="803"/>
        <v>0</v>
      </c>
      <c r="AI408" s="203">
        <f t="shared" ca="1" si="804"/>
        <v>0</v>
      </c>
      <c r="AJ408" s="203">
        <f t="shared" ca="1" si="805"/>
        <v>0</v>
      </c>
      <c r="AK408" s="212" t="str">
        <f t="shared" si="796"/>
        <v>AMC2-S1</v>
      </c>
      <c r="AL408" s="212">
        <f t="shared" si="796"/>
        <v>1</v>
      </c>
      <c r="AM408" s="203">
        <f t="shared" si="806"/>
        <v>1</v>
      </c>
      <c r="AN408" s="203">
        <f t="shared" ca="1" si="807"/>
        <v>1</v>
      </c>
      <c r="AO408" s="203">
        <f t="shared" ca="1" si="808"/>
        <v>0</v>
      </c>
      <c r="AP408" s="212" t="str">
        <f t="shared" si="797"/>
        <v>AMC2-S4</v>
      </c>
      <c r="AQ408" s="212">
        <f t="shared" si="797"/>
        <v>1</v>
      </c>
      <c r="AR408" s="203">
        <f t="shared" si="809"/>
        <v>1</v>
      </c>
      <c r="AS408" s="203">
        <f t="shared" ca="1" si="810"/>
        <v>0</v>
      </c>
      <c r="AT408" s="203">
        <f t="shared" ca="1" si="811"/>
        <v>1</v>
      </c>
      <c r="AU408" s="212" t="str">
        <f t="shared" si="798"/>
        <v>N/A</v>
      </c>
      <c r="AV408" s="212">
        <f t="shared" si="798"/>
        <v>0</v>
      </c>
      <c r="AW408" s="203">
        <f t="shared" si="812"/>
        <v>0</v>
      </c>
      <c r="AX408" s="203">
        <f t="shared" ca="1" si="813"/>
        <v>0</v>
      </c>
      <c r="AY408" s="203">
        <f t="shared" ca="1" si="814"/>
        <v>0</v>
      </c>
      <c r="AZ408" s="212"/>
      <c r="BA408" s="213" t="s">
        <v>1925</v>
      </c>
      <c r="BB408" s="213" t="s">
        <v>1926</v>
      </c>
      <c r="BC408" s="213" t="s">
        <v>1927</v>
      </c>
      <c r="BD408" s="213" t="s">
        <v>140</v>
      </c>
      <c r="BE408" s="148"/>
      <c r="BF408" s="212" t="s">
        <v>1789</v>
      </c>
      <c r="BG408" s="117"/>
      <c r="BH408" s="155"/>
      <c r="BI408" s="216"/>
      <c r="BJ408" s="216"/>
      <c r="BK408" s="216"/>
      <c r="BL408" s="149"/>
      <c r="BM408" s="149"/>
      <c r="BN408" s="149"/>
      <c r="BO408" s="149"/>
      <c r="BP408" s="149"/>
      <c r="BQ408" s="149"/>
      <c r="BR408" s="117">
        <v>0</v>
      </c>
      <c r="BS408" s="117">
        <v>0</v>
      </c>
      <c r="BT408" s="117">
        <v>0</v>
      </c>
      <c r="BU408" s="117">
        <v>1</v>
      </c>
      <c r="BV408" s="117">
        <v>0</v>
      </c>
      <c r="BW408" s="117">
        <v>0</v>
      </c>
      <c r="BX408" s="117">
        <v>0</v>
      </c>
      <c r="BY408" s="117" t="s">
        <v>1790</v>
      </c>
      <c r="BZ408" s="158" t="s">
        <v>2156</v>
      </c>
      <c r="CA408" s="158">
        <v>4</v>
      </c>
      <c r="CB408" s="234">
        <v>46213</v>
      </c>
      <c r="CC408" s="155"/>
      <c r="CD408" s="141"/>
      <c r="CE408" s="217"/>
      <c r="CF408" s="166">
        <f t="shared" si="815"/>
        <v>-2</v>
      </c>
    </row>
    <row r="409" spans="1:84" ht="36" hidden="1">
      <c r="A409" s="141"/>
      <c r="B409" s="199" t="s">
        <v>1953</v>
      </c>
      <c r="C409" s="199" t="s">
        <v>2182</v>
      </c>
      <c r="D409" s="199" t="s">
        <v>1296</v>
      </c>
      <c r="E409" s="199" t="s">
        <v>1815</v>
      </c>
      <c r="F409" s="199" t="s">
        <v>1569</v>
      </c>
      <c r="G409" s="199" t="s">
        <v>1501</v>
      </c>
      <c r="H409" s="200">
        <v>640</v>
      </c>
      <c r="I409" s="201" t="s">
        <v>147</v>
      </c>
      <c r="J409" s="165">
        <v>1</v>
      </c>
      <c r="K409" s="202">
        <f t="shared" si="735"/>
        <v>2</v>
      </c>
      <c r="L409" s="202">
        <f t="shared" si="799"/>
        <v>2</v>
      </c>
      <c r="M409" s="203">
        <v>19.5</v>
      </c>
      <c r="N409" s="203">
        <f t="shared" si="800"/>
        <v>39</v>
      </c>
      <c r="O409" s="203" t="s">
        <v>137</v>
      </c>
      <c r="P409" s="203" t="s">
        <v>13</v>
      </c>
      <c r="Q409" s="203" t="s">
        <v>154</v>
      </c>
      <c r="R409" s="203"/>
      <c r="S409" s="203"/>
      <c r="T409" s="203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2</v>
      </c>
      <c r="U409" s="203">
        <f t="shared" ca="1" si="801"/>
        <v>0</v>
      </c>
      <c r="V409" s="203">
        <f t="shared" ca="1" si="802"/>
        <v>2</v>
      </c>
      <c r="W409" s="203"/>
      <c r="X409" s="203"/>
      <c r="Y409" s="203"/>
      <c r="Z409" s="203"/>
      <c r="AA409" s="203"/>
      <c r="AB409" s="203"/>
      <c r="AC409" s="205" t="s">
        <v>1923</v>
      </c>
      <c r="AD409" s="206" t="s">
        <v>1924</v>
      </c>
      <c r="AE409" s="166"/>
      <c r="AF409" s="203" t="str">
        <f t="shared" si="795"/>
        <v>N/A</v>
      </c>
      <c r="AG409" s="203">
        <f t="shared" si="795"/>
        <v>0</v>
      </c>
      <c r="AH409" s="203">
        <f t="shared" si="803"/>
        <v>0</v>
      </c>
      <c r="AI409" s="203">
        <f t="shared" ca="1" si="804"/>
        <v>0</v>
      </c>
      <c r="AJ409" s="203">
        <f t="shared" ca="1" si="805"/>
        <v>0</v>
      </c>
      <c r="AK409" s="203" t="str">
        <f t="shared" si="796"/>
        <v>AMC2-S1</v>
      </c>
      <c r="AL409" s="203">
        <f t="shared" si="796"/>
        <v>1</v>
      </c>
      <c r="AM409" s="203">
        <f t="shared" si="806"/>
        <v>1</v>
      </c>
      <c r="AN409" s="203">
        <f t="shared" ca="1" si="807"/>
        <v>1</v>
      </c>
      <c r="AO409" s="203">
        <f t="shared" ca="1" si="808"/>
        <v>0</v>
      </c>
      <c r="AP409" s="203" t="str">
        <f t="shared" si="797"/>
        <v>AMC2-S4</v>
      </c>
      <c r="AQ409" s="203">
        <f t="shared" si="797"/>
        <v>1</v>
      </c>
      <c r="AR409" s="203">
        <f t="shared" si="809"/>
        <v>1</v>
      </c>
      <c r="AS409" s="203">
        <f t="shared" ca="1" si="810"/>
        <v>1</v>
      </c>
      <c r="AT409" s="203">
        <f t="shared" ca="1" si="811"/>
        <v>0</v>
      </c>
      <c r="AU409" s="203" t="str">
        <f t="shared" si="798"/>
        <v>N/A</v>
      </c>
      <c r="AV409" s="203">
        <f t="shared" si="798"/>
        <v>0</v>
      </c>
      <c r="AW409" s="203">
        <f t="shared" si="812"/>
        <v>0</v>
      </c>
      <c r="AX409" s="203">
        <f t="shared" ca="1" si="813"/>
        <v>0</v>
      </c>
      <c r="AY409" s="203">
        <f t="shared" ca="1" si="814"/>
        <v>0</v>
      </c>
      <c r="AZ409" s="203"/>
      <c r="BA409" s="204" t="s">
        <v>1925</v>
      </c>
      <c r="BB409" s="204" t="s">
        <v>1926</v>
      </c>
      <c r="BC409" s="204" t="s">
        <v>1927</v>
      </c>
      <c r="BD409" s="204" t="s">
        <v>140</v>
      </c>
      <c r="BE409" s="166"/>
      <c r="BF409" s="203" t="s">
        <v>1789</v>
      </c>
      <c r="BG409" s="141"/>
      <c r="BH409" s="152"/>
      <c r="BI409" s="207"/>
      <c r="BJ409" s="207"/>
      <c r="BK409" s="207"/>
      <c r="BL409" s="153" t="s">
        <v>1932</v>
      </c>
      <c r="BM409" s="153"/>
      <c r="BN409" s="153"/>
      <c r="BO409" s="153"/>
      <c r="BP409" s="153"/>
      <c r="BQ409" s="153"/>
      <c r="BR409" s="141">
        <v>0</v>
      </c>
      <c r="BS409" s="141">
        <v>1</v>
      </c>
      <c r="BT409" s="141">
        <v>0</v>
      </c>
      <c r="BU409" s="141">
        <v>0</v>
      </c>
      <c r="BV409" s="141">
        <v>0</v>
      </c>
      <c r="BW409" s="141">
        <v>0</v>
      </c>
      <c r="BX409" s="141">
        <v>0</v>
      </c>
      <c r="BY409" s="141" t="s">
        <v>1790</v>
      </c>
      <c r="BZ409" s="158" t="s">
        <v>2156</v>
      </c>
      <c r="CA409" s="158">
        <v>4</v>
      </c>
      <c r="CB409" s="235">
        <v>46213</v>
      </c>
      <c r="CC409" s="152"/>
      <c r="CD409" s="141"/>
      <c r="CE409" s="208"/>
      <c r="CF409" s="166">
        <f t="shared" si="815"/>
        <v>-2</v>
      </c>
    </row>
    <row r="410" spans="1:84" ht="36" hidden="1">
      <c r="A410" s="117"/>
      <c r="B410" s="209" t="s">
        <v>1953</v>
      </c>
      <c r="C410" s="209" t="s">
        <v>2182</v>
      </c>
      <c r="D410" s="209" t="s">
        <v>1296</v>
      </c>
      <c r="E410" s="209" t="s">
        <v>1805</v>
      </c>
      <c r="F410" s="209" t="s">
        <v>1570</v>
      </c>
      <c r="G410" s="209" t="s">
        <v>1503</v>
      </c>
      <c r="H410" s="210">
        <v>1805</v>
      </c>
      <c r="I410" s="211" t="s">
        <v>147</v>
      </c>
      <c r="J410" s="144">
        <v>2</v>
      </c>
      <c r="K410" s="145">
        <f t="shared" si="735"/>
        <v>2</v>
      </c>
      <c r="L410" s="202">
        <f t="shared" si="799"/>
        <v>4</v>
      </c>
      <c r="M410" s="212">
        <v>48.1</v>
      </c>
      <c r="N410" s="203">
        <f t="shared" si="800"/>
        <v>192.4</v>
      </c>
      <c r="O410" s="212" t="s">
        <v>137</v>
      </c>
      <c r="P410" s="212" t="s">
        <v>13</v>
      </c>
      <c r="Q410" s="212" t="s">
        <v>148</v>
      </c>
      <c r="R410" s="212"/>
      <c r="S410" s="212"/>
      <c r="T410" s="203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2</v>
      </c>
      <c r="U410" s="203">
        <f t="shared" ca="1" si="801"/>
        <v>2</v>
      </c>
      <c r="V410" s="203">
        <f t="shared" ca="1" si="802"/>
        <v>1</v>
      </c>
      <c r="W410" s="212"/>
      <c r="X410" s="212"/>
      <c r="Y410" s="212"/>
      <c r="Z410" s="212"/>
      <c r="AA410" s="212"/>
      <c r="AB410" s="212"/>
      <c r="AC410" s="214" t="s">
        <v>1923</v>
      </c>
      <c r="AD410" s="215" t="s">
        <v>1924</v>
      </c>
      <c r="AE410" s="148"/>
      <c r="AF410" s="212" t="str">
        <f t="shared" si="795"/>
        <v>N/A</v>
      </c>
      <c r="AG410" s="212">
        <f t="shared" si="795"/>
        <v>0</v>
      </c>
      <c r="AH410" s="203">
        <f t="shared" si="803"/>
        <v>0</v>
      </c>
      <c r="AI410" s="203">
        <f t="shared" ca="1" si="804"/>
        <v>0</v>
      </c>
      <c r="AJ410" s="203">
        <f t="shared" ca="1" si="805"/>
        <v>0</v>
      </c>
      <c r="AK410" s="212" t="str">
        <f t="shared" si="796"/>
        <v>AMC2-S1</v>
      </c>
      <c r="AL410" s="212">
        <f t="shared" si="796"/>
        <v>1</v>
      </c>
      <c r="AM410" s="203">
        <f t="shared" si="806"/>
        <v>2</v>
      </c>
      <c r="AN410" s="203">
        <f t="shared" ca="1" si="807"/>
        <v>1</v>
      </c>
      <c r="AO410" s="203">
        <f t="shared" ca="1" si="808"/>
        <v>1</v>
      </c>
      <c r="AP410" s="212" t="str">
        <f t="shared" si="797"/>
        <v>AMC2-S4</v>
      </c>
      <c r="AQ410" s="212">
        <f t="shared" si="797"/>
        <v>1</v>
      </c>
      <c r="AR410" s="203">
        <f t="shared" si="809"/>
        <v>2</v>
      </c>
      <c r="AS410" s="203">
        <f t="shared" ca="1" si="810"/>
        <v>1</v>
      </c>
      <c r="AT410" s="203">
        <f t="shared" ca="1" si="811"/>
        <v>1</v>
      </c>
      <c r="AU410" s="212" t="str">
        <f t="shared" si="798"/>
        <v>N/A</v>
      </c>
      <c r="AV410" s="212">
        <f t="shared" si="798"/>
        <v>0</v>
      </c>
      <c r="AW410" s="203">
        <f t="shared" si="812"/>
        <v>0</v>
      </c>
      <c r="AX410" s="203">
        <f t="shared" ca="1" si="813"/>
        <v>0</v>
      </c>
      <c r="AY410" s="203">
        <f t="shared" ca="1" si="814"/>
        <v>0</v>
      </c>
      <c r="AZ410" s="212"/>
      <c r="BA410" s="213" t="s">
        <v>1925</v>
      </c>
      <c r="BB410" s="213" t="s">
        <v>1926</v>
      </c>
      <c r="BC410" s="213" t="s">
        <v>1927</v>
      </c>
      <c r="BD410" s="213" t="s">
        <v>140</v>
      </c>
      <c r="BE410" s="148"/>
      <c r="BF410" s="212" t="s">
        <v>1789</v>
      </c>
      <c r="BG410" s="117"/>
      <c r="BH410" s="155"/>
      <c r="BI410" s="216"/>
      <c r="BJ410" s="216"/>
      <c r="BK410" s="216"/>
      <c r="BL410" s="149"/>
      <c r="BM410" s="149"/>
      <c r="BN410" s="149"/>
      <c r="BO410" s="149"/>
      <c r="BP410" s="149"/>
      <c r="BQ410" s="149"/>
      <c r="BR410" s="117">
        <v>0</v>
      </c>
      <c r="BS410" s="117">
        <v>0</v>
      </c>
      <c r="BT410" s="117">
        <v>0</v>
      </c>
      <c r="BU410" s="117">
        <v>1</v>
      </c>
      <c r="BV410" s="117">
        <v>0</v>
      </c>
      <c r="BW410" s="117">
        <v>0</v>
      </c>
      <c r="BX410" s="117">
        <v>0</v>
      </c>
      <c r="BY410" s="117" t="s">
        <v>1790</v>
      </c>
      <c r="BZ410" s="158" t="s">
        <v>2157</v>
      </c>
      <c r="CA410" s="144">
        <v>8</v>
      </c>
      <c r="CB410" s="234">
        <v>46242</v>
      </c>
      <c r="CC410" s="155"/>
      <c r="CD410" s="117"/>
      <c r="CE410" s="217"/>
      <c r="CF410" s="166">
        <f t="shared" si="815"/>
        <v>-4</v>
      </c>
    </row>
    <row r="411" spans="1:84" ht="36" hidden="1">
      <c r="A411" s="117"/>
      <c r="B411" s="209" t="s">
        <v>1953</v>
      </c>
      <c r="C411" s="209" t="s">
        <v>2182</v>
      </c>
      <c r="D411" s="209" t="s">
        <v>1084</v>
      </c>
      <c r="E411" s="209" t="s">
        <v>1816</v>
      </c>
      <c r="F411" s="209" t="s">
        <v>1571</v>
      </c>
      <c r="G411" s="209" t="s">
        <v>1505</v>
      </c>
      <c r="H411" s="210">
        <v>2664</v>
      </c>
      <c r="I411" s="211" t="s">
        <v>147</v>
      </c>
      <c r="J411" s="144">
        <v>1</v>
      </c>
      <c r="K411" s="145">
        <f t="shared" si="735"/>
        <v>2</v>
      </c>
      <c r="L411" s="202">
        <f t="shared" si="799"/>
        <v>2</v>
      </c>
      <c r="M411" s="212">
        <v>428.3</v>
      </c>
      <c r="N411" s="203">
        <f t="shared" si="800"/>
        <v>856.6</v>
      </c>
      <c r="O411" s="212" t="s">
        <v>137</v>
      </c>
      <c r="P411" s="212" t="s">
        <v>13</v>
      </c>
      <c r="Q411" s="212" t="s">
        <v>154</v>
      </c>
      <c r="R411" s="212"/>
      <c r="S411" s="212"/>
      <c r="T411" s="203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0</v>
      </c>
      <c r="U411" s="203">
        <f t="shared" ca="1" si="801"/>
        <v>2</v>
      </c>
      <c r="V411" s="203">
        <f t="shared" ca="1" si="802"/>
        <v>0</v>
      </c>
      <c r="W411" s="212"/>
      <c r="X411" s="212"/>
      <c r="Y411" s="212"/>
      <c r="Z411" s="212"/>
      <c r="AA411" s="212"/>
      <c r="AB411" s="212"/>
      <c r="AC411" s="214" t="s">
        <v>1923</v>
      </c>
      <c r="AD411" s="215" t="s">
        <v>1924</v>
      </c>
      <c r="AE411" s="148"/>
      <c r="AF411" s="212" t="str">
        <f t="shared" si="795"/>
        <v>N/A</v>
      </c>
      <c r="AG411" s="212">
        <f t="shared" si="795"/>
        <v>0</v>
      </c>
      <c r="AH411" s="203">
        <f t="shared" si="803"/>
        <v>0</v>
      </c>
      <c r="AI411" s="203">
        <f t="shared" ca="1" si="804"/>
        <v>0</v>
      </c>
      <c r="AJ411" s="203">
        <f t="shared" ca="1" si="805"/>
        <v>0</v>
      </c>
      <c r="AK411" s="212" t="str">
        <f t="shared" si="796"/>
        <v>AMC2-S1</v>
      </c>
      <c r="AL411" s="212">
        <f t="shared" si="796"/>
        <v>1</v>
      </c>
      <c r="AM411" s="203">
        <f t="shared" si="806"/>
        <v>1</v>
      </c>
      <c r="AN411" s="203">
        <f t="shared" ca="1" si="807"/>
        <v>0</v>
      </c>
      <c r="AO411" s="203">
        <f t="shared" ca="1" si="808"/>
        <v>1</v>
      </c>
      <c r="AP411" s="212" t="str">
        <f t="shared" si="797"/>
        <v>AMC2-S4</v>
      </c>
      <c r="AQ411" s="212">
        <f t="shared" si="797"/>
        <v>1</v>
      </c>
      <c r="AR411" s="203">
        <f t="shared" si="809"/>
        <v>1</v>
      </c>
      <c r="AS411" s="203">
        <f t="shared" ca="1" si="810"/>
        <v>0</v>
      </c>
      <c r="AT411" s="203">
        <f t="shared" ca="1" si="811"/>
        <v>1</v>
      </c>
      <c r="AU411" s="212" t="str">
        <f t="shared" si="798"/>
        <v>N/A</v>
      </c>
      <c r="AV411" s="212">
        <f t="shared" si="798"/>
        <v>0</v>
      </c>
      <c r="AW411" s="203">
        <f t="shared" si="812"/>
        <v>0</v>
      </c>
      <c r="AX411" s="203">
        <f t="shared" ca="1" si="813"/>
        <v>0</v>
      </c>
      <c r="AY411" s="203">
        <f t="shared" ca="1" si="814"/>
        <v>0</v>
      </c>
      <c r="AZ411" s="212"/>
      <c r="BA411" s="213" t="s">
        <v>1925</v>
      </c>
      <c r="BB411" s="213" t="s">
        <v>1926</v>
      </c>
      <c r="BC411" s="213" t="s">
        <v>1927</v>
      </c>
      <c r="BD411" s="213" t="s">
        <v>140</v>
      </c>
      <c r="BE411" s="148"/>
      <c r="BF411" s="212" t="s">
        <v>1789</v>
      </c>
      <c r="BG411" s="117"/>
      <c r="BH411" s="155"/>
      <c r="BI411" s="216"/>
      <c r="BJ411" s="216"/>
      <c r="BK411" s="216"/>
      <c r="BL411" s="149"/>
      <c r="BM411" s="149"/>
      <c r="BN411" s="149"/>
      <c r="BO411" s="149"/>
      <c r="BP411" s="149"/>
      <c r="BQ411" s="149"/>
      <c r="BR411" s="117">
        <v>0</v>
      </c>
      <c r="BS411" s="117">
        <v>1</v>
      </c>
      <c r="BT411" s="117">
        <v>0</v>
      </c>
      <c r="BU411" s="117">
        <v>1</v>
      </c>
      <c r="BV411" s="117">
        <v>0</v>
      </c>
      <c r="BW411" s="117">
        <v>0</v>
      </c>
      <c r="BX411" s="117">
        <v>0</v>
      </c>
      <c r="BY411" s="117" t="s">
        <v>1790</v>
      </c>
      <c r="BZ411" s="158" t="s">
        <v>57</v>
      </c>
      <c r="CA411" s="158">
        <v>4</v>
      </c>
      <c r="CB411" s="234"/>
      <c r="CC411" s="155"/>
      <c r="CD411" s="155"/>
      <c r="CE411" s="217"/>
      <c r="CF411" s="166">
        <f t="shared" si="815"/>
        <v>-2</v>
      </c>
    </row>
    <row r="412" spans="1:84" ht="36" hidden="1">
      <c r="A412" s="117"/>
      <c r="B412" s="209" t="s">
        <v>1953</v>
      </c>
      <c r="C412" s="209" t="s">
        <v>2182</v>
      </c>
      <c r="D412" s="209" t="s">
        <v>1084</v>
      </c>
      <c r="E412" s="209" t="s">
        <v>1817</v>
      </c>
      <c r="F412" s="209" t="s">
        <v>1572</v>
      </c>
      <c r="G412" s="209" t="s">
        <v>1495</v>
      </c>
      <c r="H412" s="210">
        <v>5089</v>
      </c>
      <c r="I412" s="211" t="s">
        <v>147</v>
      </c>
      <c r="J412" s="144">
        <v>1</v>
      </c>
      <c r="K412" s="145">
        <f t="shared" si="735"/>
        <v>2</v>
      </c>
      <c r="L412" s="202">
        <f t="shared" si="799"/>
        <v>2</v>
      </c>
      <c r="M412" s="212">
        <v>983.4</v>
      </c>
      <c r="N412" s="203">
        <f t="shared" si="800"/>
        <v>1966.8</v>
      </c>
      <c r="O412" s="212" t="s">
        <v>137</v>
      </c>
      <c r="P412" s="212" t="s">
        <v>13</v>
      </c>
      <c r="Q412" s="212" t="s">
        <v>154</v>
      </c>
      <c r="R412" s="212"/>
      <c r="S412" s="212"/>
      <c r="T412" s="203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2</v>
      </c>
      <c r="U412" s="203">
        <f t="shared" ca="1" si="801"/>
        <v>0</v>
      </c>
      <c r="V412" s="203">
        <f t="shared" ca="1" si="802"/>
        <v>2</v>
      </c>
      <c r="W412" s="212"/>
      <c r="X412" s="212"/>
      <c r="Y412" s="212"/>
      <c r="Z412" s="212"/>
      <c r="AA412" s="212"/>
      <c r="AB412" s="212"/>
      <c r="AC412" s="214" t="s">
        <v>1923</v>
      </c>
      <c r="AD412" s="215" t="s">
        <v>1924</v>
      </c>
      <c r="AE412" s="148"/>
      <c r="AF412" s="212" t="str">
        <f t="shared" si="795"/>
        <v>N/A</v>
      </c>
      <c r="AG412" s="212">
        <f t="shared" si="795"/>
        <v>0</v>
      </c>
      <c r="AH412" s="203">
        <f t="shared" si="803"/>
        <v>0</v>
      </c>
      <c r="AI412" s="203">
        <f t="shared" ca="1" si="804"/>
        <v>0</v>
      </c>
      <c r="AJ412" s="203">
        <f t="shared" ca="1" si="805"/>
        <v>0</v>
      </c>
      <c r="AK412" s="212" t="str">
        <f t="shared" si="796"/>
        <v>AMC2-S1</v>
      </c>
      <c r="AL412" s="212">
        <f t="shared" si="796"/>
        <v>1</v>
      </c>
      <c r="AM412" s="203">
        <f t="shared" si="806"/>
        <v>1</v>
      </c>
      <c r="AN412" s="203">
        <f t="shared" ca="1" si="807"/>
        <v>1</v>
      </c>
      <c r="AO412" s="203">
        <f t="shared" ca="1" si="808"/>
        <v>0</v>
      </c>
      <c r="AP412" s="212" t="str">
        <f t="shared" si="797"/>
        <v>AMC2-S4</v>
      </c>
      <c r="AQ412" s="212">
        <f t="shared" si="797"/>
        <v>1</v>
      </c>
      <c r="AR412" s="203">
        <f t="shared" si="809"/>
        <v>1</v>
      </c>
      <c r="AS412" s="203">
        <f t="shared" ca="1" si="810"/>
        <v>1</v>
      </c>
      <c r="AT412" s="203">
        <f t="shared" ca="1" si="811"/>
        <v>0</v>
      </c>
      <c r="AU412" s="212" t="str">
        <f t="shared" si="798"/>
        <v>N/A</v>
      </c>
      <c r="AV412" s="212">
        <f t="shared" si="798"/>
        <v>0</v>
      </c>
      <c r="AW412" s="203">
        <f t="shared" si="812"/>
        <v>0</v>
      </c>
      <c r="AX412" s="203">
        <f t="shared" ca="1" si="813"/>
        <v>0</v>
      </c>
      <c r="AY412" s="203">
        <f t="shared" ca="1" si="814"/>
        <v>0</v>
      </c>
      <c r="AZ412" s="212"/>
      <c r="BA412" s="213" t="s">
        <v>1925</v>
      </c>
      <c r="BB412" s="213" t="s">
        <v>1926</v>
      </c>
      <c r="BC412" s="213" t="s">
        <v>1927</v>
      </c>
      <c r="BD412" s="213" t="s">
        <v>140</v>
      </c>
      <c r="BE412" s="148"/>
      <c r="BF412" s="212" t="s">
        <v>1789</v>
      </c>
      <c r="BG412" s="117"/>
      <c r="BH412" s="155"/>
      <c r="BI412" s="216"/>
      <c r="BJ412" s="216"/>
      <c r="BK412" s="216"/>
      <c r="BL412" s="149"/>
      <c r="BM412" s="149"/>
      <c r="BN412" s="149"/>
      <c r="BO412" s="149"/>
      <c r="BP412" s="149"/>
      <c r="BQ412" s="149"/>
      <c r="BR412" s="117">
        <v>0</v>
      </c>
      <c r="BS412" s="117">
        <v>1</v>
      </c>
      <c r="BT412" s="117">
        <v>0</v>
      </c>
      <c r="BU412" s="117">
        <v>1</v>
      </c>
      <c r="BV412" s="117">
        <v>0</v>
      </c>
      <c r="BW412" s="117">
        <v>0</v>
      </c>
      <c r="BX412" s="117">
        <v>0</v>
      </c>
      <c r="BY412" s="117" t="s">
        <v>1790</v>
      </c>
      <c r="BZ412" s="158" t="s">
        <v>57</v>
      </c>
      <c r="CA412" s="158">
        <v>4</v>
      </c>
      <c r="CB412" s="234"/>
      <c r="CC412" s="155"/>
      <c r="CD412" s="155"/>
      <c r="CE412" s="217"/>
      <c r="CF412" s="166">
        <f t="shared" si="815"/>
        <v>-2</v>
      </c>
    </row>
    <row r="413" spans="1:84" ht="36" hidden="1">
      <c r="A413" s="117"/>
      <c r="B413" s="209" t="s">
        <v>1953</v>
      </c>
      <c r="C413" s="209" t="s">
        <v>2182</v>
      </c>
      <c r="D413" s="209" t="s">
        <v>1296</v>
      </c>
      <c r="E413" s="209" t="s">
        <v>1806</v>
      </c>
      <c r="F413" s="209" t="s">
        <v>1573</v>
      </c>
      <c r="G413" s="209" t="s">
        <v>1508</v>
      </c>
      <c r="H413" s="210">
        <v>2053</v>
      </c>
      <c r="I413" s="211" t="s">
        <v>147</v>
      </c>
      <c r="J413" s="144">
        <v>3</v>
      </c>
      <c r="K413" s="145">
        <f t="shared" si="735"/>
        <v>2</v>
      </c>
      <c r="L413" s="202">
        <f t="shared" si="799"/>
        <v>6</v>
      </c>
      <c r="M413" s="212">
        <v>28.6</v>
      </c>
      <c r="N413" s="203">
        <f t="shared" si="800"/>
        <v>171.60000000000002</v>
      </c>
      <c r="O413" s="212" t="s">
        <v>137</v>
      </c>
      <c r="P413" s="212" t="s">
        <v>13</v>
      </c>
      <c r="Q413" s="212" t="s">
        <v>148</v>
      </c>
      <c r="R413" s="212"/>
      <c r="S413" s="212"/>
      <c r="T413" s="203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3</v>
      </c>
      <c r="U413" s="203">
        <f t="shared" ca="1" si="801"/>
        <v>3</v>
      </c>
      <c r="V413" s="203">
        <f t="shared" ca="1" si="802"/>
        <v>1</v>
      </c>
      <c r="W413" s="212"/>
      <c r="X413" s="212"/>
      <c r="Y413" s="212"/>
      <c r="Z413" s="212"/>
      <c r="AA413" s="212"/>
      <c r="AB413" s="212"/>
      <c r="AC413" s="214" t="s">
        <v>1923</v>
      </c>
      <c r="AD413" s="215" t="s">
        <v>1924</v>
      </c>
      <c r="AE413" s="148"/>
      <c r="AF413" s="212" t="str">
        <f t="shared" si="795"/>
        <v>N/A</v>
      </c>
      <c r="AG413" s="212">
        <f t="shared" si="795"/>
        <v>0</v>
      </c>
      <c r="AH413" s="203">
        <f t="shared" si="803"/>
        <v>0</v>
      </c>
      <c r="AI413" s="203">
        <f t="shared" ca="1" si="804"/>
        <v>0</v>
      </c>
      <c r="AJ413" s="203">
        <f t="shared" ca="1" si="805"/>
        <v>0</v>
      </c>
      <c r="AK413" s="212" t="str">
        <f t="shared" si="796"/>
        <v>AMC2-S1</v>
      </c>
      <c r="AL413" s="212">
        <f t="shared" si="796"/>
        <v>1</v>
      </c>
      <c r="AM413" s="203">
        <f t="shared" si="806"/>
        <v>3</v>
      </c>
      <c r="AN413" s="203">
        <f t="shared" ca="1" si="807"/>
        <v>1</v>
      </c>
      <c r="AO413" s="203">
        <f t="shared" ca="1" si="808"/>
        <v>2</v>
      </c>
      <c r="AP413" s="212" t="str">
        <f t="shared" si="797"/>
        <v>AMC2-S4</v>
      </c>
      <c r="AQ413" s="212">
        <f t="shared" si="797"/>
        <v>1</v>
      </c>
      <c r="AR413" s="203">
        <f t="shared" si="809"/>
        <v>3</v>
      </c>
      <c r="AS413" s="203">
        <f t="shared" ca="1" si="810"/>
        <v>2</v>
      </c>
      <c r="AT413" s="203">
        <f t="shared" ca="1" si="811"/>
        <v>1</v>
      </c>
      <c r="AU413" s="212" t="str">
        <f t="shared" si="798"/>
        <v>N/A</v>
      </c>
      <c r="AV413" s="212">
        <f t="shared" si="798"/>
        <v>0</v>
      </c>
      <c r="AW413" s="203">
        <f t="shared" si="812"/>
        <v>0</v>
      </c>
      <c r="AX413" s="203">
        <f t="shared" ca="1" si="813"/>
        <v>0</v>
      </c>
      <c r="AY413" s="203">
        <f t="shared" ca="1" si="814"/>
        <v>0</v>
      </c>
      <c r="AZ413" s="212"/>
      <c r="BA413" s="213" t="s">
        <v>1925</v>
      </c>
      <c r="BB413" s="213" t="s">
        <v>1926</v>
      </c>
      <c r="BC413" s="213" t="s">
        <v>1927</v>
      </c>
      <c r="BD413" s="213" t="s">
        <v>140</v>
      </c>
      <c r="BE413" s="148"/>
      <c r="BF413" s="212" t="s">
        <v>1789</v>
      </c>
      <c r="BG413" s="117"/>
      <c r="BH413" s="155"/>
      <c r="BI413" s="216"/>
      <c r="BJ413" s="216"/>
      <c r="BK413" s="216"/>
      <c r="BL413" s="149"/>
      <c r="BM413" s="149"/>
      <c r="BN413" s="149"/>
      <c r="BO413" s="149"/>
      <c r="BP413" s="149"/>
      <c r="BQ413" s="149"/>
      <c r="BR413" s="117">
        <v>0</v>
      </c>
      <c r="BS413" s="117">
        <v>0</v>
      </c>
      <c r="BT413" s="117">
        <v>0</v>
      </c>
      <c r="BU413" s="117">
        <v>1</v>
      </c>
      <c r="BV413" s="117">
        <v>0</v>
      </c>
      <c r="BW413" s="117">
        <v>0</v>
      </c>
      <c r="BX413" s="117">
        <v>0</v>
      </c>
      <c r="BY413" s="117" t="s">
        <v>1790</v>
      </c>
      <c r="BZ413" s="158" t="s">
        <v>2159</v>
      </c>
      <c r="CA413" s="144">
        <v>12</v>
      </c>
      <c r="CB413" s="234">
        <v>46213</v>
      </c>
      <c r="CC413" s="155"/>
      <c r="CD413" s="117"/>
      <c r="CE413" s="217"/>
      <c r="CF413" s="166">
        <f t="shared" si="815"/>
        <v>-6</v>
      </c>
    </row>
    <row r="414" spans="1:84" ht="36" hidden="1">
      <c r="A414" s="162">
        <v>141</v>
      </c>
      <c r="B414" s="177" t="s">
        <v>1962</v>
      </c>
      <c r="C414" s="177" t="s">
        <v>2183</v>
      </c>
      <c r="D414" s="177" t="s">
        <v>1963</v>
      </c>
      <c r="E414" s="177"/>
      <c r="F414" s="177"/>
      <c r="G414" s="177" t="s">
        <v>1964</v>
      </c>
      <c r="H414" s="178"/>
      <c r="I414" s="179"/>
      <c r="J414" s="160"/>
      <c r="K414" s="180">
        <f>+AG414+AL414+AQ414+AV414</f>
        <v>2</v>
      </c>
      <c r="L414" s="160"/>
      <c r="M414" s="181">
        <v>7199.8</v>
      </c>
      <c r="N414" s="181">
        <v>28799.200000000001</v>
      </c>
      <c r="O414" s="181" t="s">
        <v>137</v>
      </c>
      <c r="P414" s="181"/>
      <c r="Q414" s="181"/>
      <c r="R414" s="181"/>
      <c r="S414" s="181"/>
      <c r="T414" s="181"/>
      <c r="U414" s="181"/>
      <c r="V414" s="181"/>
      <c r="W414" s="181">
        <f>_xlfn.MINIFS(V:V,C:C,C414,AE:AE,"",AB:AB,"")</f>
        <v>0</v>
      </c>
      <c r="X414" s="181" t="e">
        <f>SUMIFS(T:T,C:C,C414,AE:AE,"")/SUMIFS(L:L,C:C,C414,AE:AE,"",AB:AB,"")</f>
        <v>#DIV/0!</v>
      </c>
      <c r="Y414" s="181"/>
      <c r="Z414" s="181"/>
      <c r="AA414" s="181"/>
      <c r="AB414" s="181"/>
      <c r="AC414" s="228" t="s">
        <v>1923</v>
      </c>
      <c r="AD414" s="184" t="s">
        <v>1924</v>
      </c>
      <c r="AE414" s="162" t="s">
        <v>143</v>
      </c>
      <c r="AF414" s="181" t="s">
        <v>138</v>
      </c>
      <c r="AG414" s="181">
        <v>0</v>
      </c>
      <c r="AH414" s="181"/>
      <c r="AI414" s="181"/>
      <c r="AJ414" s="181"/>
      <c r="AK414" s="181" t="s">
        <v>1783</v>
      </c>
      <c r="AL414" s="181">
        <v>1</v>
      </c>
      <c r="AM414" s="181"/>
      <c r="AN414" s="181"/>
      <c r="AO414" s="181"/>
      <c r="AP414" s="181" t="s">
        <v>1922</v>
      </c>
      <c r="AQ414" s="181">
        <v>1</v>
      </c>
      <c r="AR414" s="181"/>
      <c r="AS414" s="181"/>
      <c r="AT414" s="181"/>
      <c r="AU414" s="181" t="s">
        <v>138</v>
      </c>
      <c r="AV414" s="181">
        <v>0</v>
      </c>
      <c r="AW414" s="181"/>
      <c r="AX414" s="181"/>
      <c r="AY414" s="181"/>
      <c r="AZ414" s="181"/>
      <c r="BA414" s="182" t="s">
        <v>1925</v>
      </c>
      <c r="BB414" s="182" t="s">
        <v>1926</v>
      </c>
      <c r="BC414" s="182" t="s">
        <v>1927</v>
      </c>
      <c r="BD414" s="182" t="s">
        <v>140</v>
      </c>
      <c r="BE414" s="162"/>
      <c r="BF414" s="181"/>
      <c r="BG414" s="161"/>
      <c r="BH414" s="161"/>
      <c r="BI414" s="163"/>
      <c r="BJ414" s="163"/>
      <c r="BK414" s="163"/>
      <c r="BL414" s="163"/>
      <c r="BM414" s="163"/>
      <c r="BN414" s="163"/>
      <c r="BO414" s="163"/>
      <c r="BP414" s="163"/>
      <c r="BQ414" s="163"/>
      <c r="BR414" s="161"/>
      <c r="BS414" s="161"/>
      <c r="BT414" s="161"/>
      <c r="BU414" s="161"/>
      <c r="BV414" s="161"/>
      <c r="BW414" s="161"/>
      <c r="BX414" s="161"/>
      <c r="BY414" s="161"/>
      <c r="BZ414" s="161"/>
      <c r="CA414" s="161"/>
      <c r="CB414" s="163"/>
      <c r="CC414" s="161"/>
      <c r="CD414" s="161"/>
      <c r="CE414" s="185"/>
      <c r="CF414" s="185"/>
    </row>
    <row r="415" spans="1:84" ht="36" hidden="1">
      <c r="A415" s="186"/>
      <c r="B415" s="187" t="s">
        <v>1962</v>
      </c>
      <c r="C415" s="187" t="s">
        <v>2184</v>
      </c>
      <c r="D415" s="187"/>
      <c r="E415" s="187"/>
      <c r="F415" s="187"/>
      <c r="G415" s="187" t="s">
        <v>1965</v>
      </c>
      <c r="H415" s="188"/>
      <c r="I415" s="189"/>
      <c r="J415" s="190"/>
      <c r="K415" s="191">
        <f t="shared" ref="K415:K432" si="816">K414</f>
        <v>2</v>
      </c>
      <c r="L415" s="190"/>
      <c r="M415" s="192">
        <v>2505.5</v>
      </c>
      <c r="N415" s="192">
        <v>10022</v>
      </c>
      <c r="O415" s="192" t="s">
        <v>137</v>
      </c>
      <c r="P415" s="192"/>
      <c r="Q415" s="192"/>
      <c r="R415" s="192"/>
      <c r="S415" s="192"/>
      <c r="T415" s="192"/>
      <c r="U415" s="192"/>
      <c r="V415" s="192"/>
      <c r="W415" s="192">
        <f ca="1">_xlfn.MINIFS(V:V,C:C,C415,AE:AE,"",AB:AB,"")</f>
        <v>1</v>
      </c>
      <c r="X415" s="192">
        <f ca="1">SUMIFS(T:T,C:C,C415,AE:AE,"")/SUMIFS(L:L,C:C,C415,AE:AE,"",AB:AB,"")</f>
        <v>0.67543859649122806</v>
      </c>
      <c r="Y415" s="192"/>
      <c r="Z415" s="192"/>
      <c r="AA415" s="192"/>
      <c r="AB415" s="192"/>
      <c r="AC415" s="194" t="s">
        <v>1923</v>
      </c>
      <c r="AD415" s="195" t="s">
        <v>1924</v>
      </c>
      <c r="AE415" s="196" t="s">
        <v>1787</v>
      </c>
      <c r="AF415" s="192" t="str">
        <f t="shared" ref="AF415:AG430" si="817">AF414</f>
        <v>N/A</v>
      </c>
      <c r="AG415" s="192">
        <f t="shared" si="817"/>
        <v>0</v>
      </c>
      <c r="AH415" s="192"/>
      <c r="AI415" s="192"/>
      <c r="AJ415" s="192"/>
      <c r="AK415" s="192" t="str">
        <f t="shared" ref="AK415:AL430" si="818">AK414</f>
        <v>AMC2-S1</v>
      </c>
      <c r="AL415" s="192">
        <f t="shared" si="818"/>
        <v>1</v>
      </c>
      <c r="AM415" s="192"/>
      <c r="AN415" s="192"/>
      <c r="AO415" s="192"/>
      <c r="AP415" s="192" t="str">
        <f t="shared" ref="AP415:AQ430" si="819">AP414</f>
        <v>AMC2-S4</v>
      </c>
      <c r="AQ415" s="192">
        <f t="shared" si="819"/>
        <v>1</v>
      </c>
      <c r="AR415" s="192"/>
      <c r="AS415" s="192"/>
      <c r="AT415" s="192"/>
      <c r="AU415" s="192" t="str">
        <f t="shared" ref="AU415:AV430" si="820">AU414</f>
        <v>N/A</v>
      </c>
      <c r="AV415" s="192">
        <f t="shared" si="820"/>
        <v>0</v>
      </c>
      <c r="AW415" s="192"/>
      <c r="AX415" s="192"/>
      <c r="AY415" s="192"/>
      <c r="AZ415" s="192"/>
      <c r="BA415" s="193" t="s">
        <v>1925</v>
      </c>
      <c r="BB415" s="193" t="s">
        <v>1926</v>
      </c>
      <c r="BC415" s="193" t="s">
        <v>1927</v>
      </c>
      <c r="BD415" s="193" t="s">
        <v>140</v>
      </c>
      <c r="BE415" s="196" t="s">
        <v>741</v>
      </c>
      <c r="BF415" s="192"/>
      <c r="BG415" s="186"/>
      <c r="BH415" s="186"/>
      <c r="BI415" s="197"/>
      <c r="BJ415" s="197"/>
      <c r="BK415" s="197"/>
      <c r="BL415" s="197"/>
      <c r="BM415" s="197"/>
      <c r="BN415" s="197"/>
      <c r="BO415" s="197"/>
      <c r="BP415" s="197"/>
      <c r="BQ415" s="197"/>
      <c r="BR415" s="186"/>
      <c r="BS415" s="186"/>
      <c r="BT415" s="186"/>
      <c r="BU415" s="186"/>
      <c r="BV415" s="186"/>
      <c r="BW415" s="186"/>
      <c r="BX415" s="186"/>
      <c r="BY415" s="186"/>
      <c r="BZ415" s="186"/>
      <c r="CA415" s="186"/>
      <c r="CB415" s="197"/>
      <c r="CC415" s="186"/>
      <c r="CD415" s="186"/>
      <c r="CE415" s="198"/>
      <c r="CF415" s="198"/>
    </row>
    <row r="416" spans="1:84" ht="36" hidden="1">
      <c r="A416" s="117"/>
      <c r="B416" s="209" t="s">
        <v>1962</v>
      </c>
      <c r="C416" s="209" t="s">
        <v>2184</v>
      </c>
      <c r="D416" s="209" t="s">
        <v>1084</v>
      </c>
      <c r="E416" s="209" t="s">
        <v>1788</v>
      </c>
      <c r="F416" s="209" t="s">
        <v>1600</v>
      </c>
      <c r="G416" s="209" t="s">
        <v>1577</v>
      </c>
      <c r="H416" s="210">
        <v>11920</v>
      </c>
      <c r="I416" s="211" t="s">
        <v>147</v>
      </c>
      <c r="J416" s="144">
        <v>1</v>
      </c>
      <c r="K416" s="145">
        <f t="shared" si="816"/>
        <v>2</v>
      </c>
      <c r="L416" s="202">
        <f t="shared" ref="L416:L422" si="821">+J416*K416</f>
        <v>2</v>
      </c>
      <c r="M416" s="212">
        <v>1381.3</v>
      </c>
      <c r="N416" s="203">
        <f t="shared" ref="N416:N422" si="822">+M416*L416</f>
        <v>2762.6</v>
      </c>
      <c r="O416" s="212" t="s">
        <v>137</v>
      </c>
      <c r="P416" s="212" t="s">
        <v>13</v>
      </c>
      <c r="Q416" s="212" t="s">
        <v>154</v>
      </c>
      <c r="R416" s="212"/>
      <c r="S416" s="212"/>
      <c r="T416" s="203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1</v>
      </c>
      <c r="U416" s="203">
        <f t="shared" ref="U416:U422" ca="1" si="823">+L416-T416</f>
        <v>1</v>
      </c>
      <c r="V416" s="203">
        <f t="shared" ref="V416:V422" ca="1" si="824">ROUNDDOWN(T416/J416,0)</f>
        <v>1</v>
      </c>
      <c r="W416" s="212"/>
      <c r="X416" s="212"/>
      <c r="Y416" s="212"/>
      <c r="Z416" s="212"/>
      <c r="AA416" s="212"/>
      <c r="AB416" s="212"/>
      <c r="AC416" s="214" t="s">
        <v>1923</v>
      </c>
      <c r="AD416" s="215" t="s">
        <v>1924</v>
      </c>
      <c r="AE416" s="148"/>
      <c r="AF416" s="212" t="str">
        <f t="shared" si="817"/>
        <v>N/A</v>
      </c>
      <c r="AG416" s="212">
        <f t="shared" si="817"/>
        <v>0</v>
      </c>
      <c r="AH416" s="203">
        <f t="shared" ref="AH416:AH422" si="825">+AG416*J416</f>
        <v>0</v>
      </c>
      <c r="AI416" s="203">
        <f t="shared" ref="AI416:AI422" ca="1" si="826">MIN(T416,AH416)</f>
        <v>0</v>
      </c>
      <c r="AJ416" s="203">
        <f t="shared" ref="AJ416:AJ422" ca="1" si="827">+AH416-AI416</f>
        <v>0</v>
      </c>
      <c r="AK416" s="212" t="str">
        <f t="shared" si="818"/>
        <v>AMC2-S1</v>
      </c>
      <c r="AL416" s="212">
        <f t="shared" si="818"/>
        <v>1</v>
      </c>
      <c r="AM416" s="203">
        <f t="shared" ref="AM416:AM422" si="828">+AL416*J416</f>
        <v>1</v>
      </c>
      <c r="AN416" s="203">
        <f t="shared" ref="AN416:AN422" ca="1" si="829">MIN(T416-AI416,AL416)</f>
        <v>1</v>
      </c>
      <c r="AO416" s="203">
        <f t="shared" ref="AO416:AO422" ca="1" si="830">+AM416-AN416</f>
        <v>0</v>
      </c>
      <c r="AP416" s="212" t="str">
        <f t="shared" si="819"/>
        <v>AMC2-S4</v>
      </c>
      <c r="AQ416" s="212">
        <f t="shared" si="819"/>
        <v>1</v>
      </c>
      <c r="AR416" s="203">
        <f t="shared" ref="AR416:AR422" si="831">+AQ416*J416</f>
        <v>1</v>
      </c>
      <c r="AS416" s="203">
        <f t="shared" ref="AS416:AS422" ca="1" si="832">MIN(T416-AI416-AN416,AR416)</f>
        <v>0</v>
      </c>
      <c r="AT416" s="203">
        <f t="shared" ref="AT416:AT422" ca="1" si="833">+AR416-AS416</f>
        <v>1</v>
      </c>
      <c r="AU416" s="212" t="str">
        <f t="shared" si="820"/>
        <v>N/A</v>
      </c>
      <c r="AV416" s="212">
        <f t="shared" si="820"/>
        <v>0</v>
      </c>
      <c r="AW416" s="203">
        <f t="shared" ref="AW416:AW422" si="834">+AV416*J416</f>
        <v>0</v>
      </c>
      <c r="AX416" s="203">
        <f t="shared" ref="AX416:AX422" ca="1" si="835">MIN(T416-AI416-AN416-AS416,AW416)</f>
        <v>0</v>
      </c>
      <c r="AY416" s="203">
        <f t="shared" ref="AY416:AY422" ca="1" si="836">+AW416-AX416</f>
        <v>0</v>
      </c>
      <c r="AZ416" s="212"/>
      <c r="BA416" s="213" t="s">
        <v>1925</v>
      </c>
      <c r="BB416" s="213" t="s">
        <v>1926</v>
      </c>
      <c r="BC416" s="213" t="s">
        <v>1927</v>
      </c>
      <c r="BD416" s="213" t="s">
        <v>140</v>
      </c>
      <c r="BE416" s="148"/>
      <c r="BF416" s="212" t="s">
        <v>1789</v>
      </c>
      <c r="BG416" s="117"/>
      <c r="BH416" s="155"/>
      <c r="BI416" s="216"/>
      <c r="BJ416" s="216"/>
      <c r="BK416" s="216"/>
      <c r="BL416" s="149" t="s">
        <v>1932</v>
      </c>
      <c r="BM416" s="149"/>
      <c r="BN416" s="149"/>
      <c r="BO416" s="149"/>
      <c r="BP416" s="149"/>
      <c r="BQ416" s="150" t="s">
        <v>2185</v>
      </c>
      <c r="BR416" s="117">
        <v>0</v>
      </c>
      <c r="BS416" s="117">
        <v>1</v>
      </c>
      <c r="BT416" s="117">
        <v>0</v>
      </c>
      <c r="BU416" s="117">
        <v>1</v>
      </c>
      <c r="BV416" s="117">
        <v>0</v>
      </c>
      <c r="BW416" s="117">
        <v>0</v>
      </c>
      <c r="BX416" s="117">
        <v>0</v>
      </c>
      <c r="BY416" s="117" t="s">
        <v>1790</v>
      </c>
      <c r="BZ416" s="158" t="s">
        <v>57</v>
      </c>
      <c r="CA416" s="158">
        <v>4</v>
      </c>
      <c r="CB416" s="234"/>
      <c r="CC416" s="155"/>
      <c r="CD416" s="117"/>
      <c r="CE416" s="217"/>
      <c r="CF416" s="148">
        <f t="shared" ref="CF416:CF422" si="837">+L416-CA416</f>
        <v>-2</v>
      </c>
    </row>
    <row r="417" spans="1:84" ht="36" hidden="1">
      <c r="A417" s="117"/>
      <c r="B417" s="209" t="s">
        <v>1962</v>
      </c>
      <c r="C417" s="209" t="s">
        <v>2184</v>
      </c>
      <c r="D417" s="209" t="s">
        <v>1296</v>
      </c>
      <c r="E417" s="209" t="s">
        <v>1791</v>
      </c>
      <c r="F417" s="209" t="s">
        <v>1601</v>
      </c>
      <c r="G417" s="209" t="s">
        <v>1157</v>
      </c>
      <c r="H417" s="210">
        <v>11770</v>
      </c>
      <c r="I417" s="211" t="s">
        <v>147</v>
      </c>
      <c r="J417" s="144">
        <v>2</v>
      </c>
      <c r="K417" s="145">
        <f t="shared" si="816"/>
        <v>2</v>
      </c>
      <c r="L417" s="202">
        <f t="shared" si="821"/>
        <v>4</v>
      </c>
      <c r="M417" s="212">
        <v>443.5</v>
      </c>
      <c r="N417" s="203">
        <f t="shared" si="822"/>
        <v>1774</v>
      </c>
      <c r="O417" s="212" t="s">
        <v>137</v>
      </c>
      <c r="P417" s="212" t="s">
        <v>13</v>
      </c>
      <c r="Q417" s="212" t="s">
        <v>148</v>
      </c>
      <c r="R417" s="212"/>
      <c r="S417" s="212"/>
      <c r="T417" s="203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2</v>
      </c>
      <c r="U417" s="203">
        <f t="shared" ca="1" si="823"/>
        <v>2</v>
      </c>
      <c r="V417" s="203">
        <f t="shared" ca="1" si="824"/>
        <v>1</v>
      </c>
      <c r="W417" s="212"/>
      <c r="X417" s="212"/>
      <c r="Y417" s="212"/>
      <c r="Z417" s="212"/>
      <c r="AA417" s="212"/>
      <c r="AB417" s="212"/>
      <c r="AC417" s="214" t="s">
        <v>1923</v>
      </c>
      <c r="AD417" s="215" t="s">
        <v>1924</v>
      </c>
      <c r="AE417" s="148"/>
      <c r="AF417" s="212" t="str">
        <f t="shared" si="817"/>
        <v>N/A</v>
      </c>
      <c r="AG417" s="212">
        <f t="shared" si="817"/>
        <v>0</v>
      </c>
      <c r="AH417" s="203">
        <f t="shared" si="825"/>
        <v>0</v>
      </c>
      <c r="AI417" s="203">
        <f t="shared" ca="1" si="826"/>
        <v>0</v>
      </c>
      <c r="AJ417" s="203">
        <f t="shared" ca="1" si="827"/>
        <v>0</v>
      </c>
      <c r="AK417" s="212" t="str">
        <f t="shared" si="818"/>
        <v>AMC2-S1</v>
      </c>
      <c r="AL417" s="212">
        <f t="shared" si="818"/>
        <v>1</v>
      </c>
      <c r="AM417" s="203">
        <f t="shared" si="828"/>
        <v>2</v>
      </c>
      <c r="AN417" s="203">
        <f t="shared" ca="1" si="829"/>
        <v>1</v>
      </c>
      <c r="AO417" s="203">
        <f t="shared" ca="1" si="830"/>
        <v>1</v>
      </c>
      <c r="AP417" s="212" t="str">
        <f t="shared" si="819"/>
        <v>AMC2-S4</v>
      </c>
      <c r="AQ417" s="212">
        <f t="shared" si="819"/>
        <v>1</v>
      </c>
      <c r="AR417" s="203">
        <f t="shared" si="831"/>
        <v>2</v>
      </c>
      <c r="AS417" s="203">
        <f t="shared" ca="1" si="832"/>
        <v>1</v>
      </c>
      <c r="AT417" s="203">
        <f t="shared" ca="1" si="833"/>
        <v>1</v>
      </c>
      <c r="AU417" s="212" t="str">
        <f t="shared" si="820"/>
        <v>N/A</v>
      </c>
      <c r="AV417" s="212">
        <f t="shared" si="820"/>
        <v>0</v>
      </c>
      <c r="AW417" s="203">
        <f t="shared" si="834"/>
        <v>0</v>
      </c>
      <c r="AX417" s="203">
        <f t="shared" ca="1" si="835"/>
        <v>0</v>
      </c>
      <c r="AY417" s="203">
        <f t="shared" ca="1" si="836"/>
        <v>0</v>
      </c>
      <c r="AZ417" s="212"/>
      <c r="BA417" s="213" t="s">
        <v>1925</v>
      </c>
      <c r="BB417" s="213" t="s">
        <v>1926</v>
      </c>
      <c r="BC417" s="213" t="s">
        <v>1927</v>
      </c>
      <c r="BD417" s="213" t="s">
        <v>140</v>
      </c>
      <c r="BE417" s="148"/>
      <c r="BF417" s="212" t="s">
        <v>1789</v>
      </c>
      <c r="BG417" s="117"/>
      <c r="BH417" s="155"/>
      <c r="BI417" s="216"/>
      <c r="BJ417" s="216"/>
      <c r="BK417" s="216"/>
      <c r="BL417" s="149"/>
      <c r="BM417" s="149"/>
      <c r="BN417" s="149"/>
      <c r="BO417" s="149"/>
      <c r="BP417" s="149"/>
      <c r="BQ417" s="149"/>
      <c r="BR417" s="117">
        <v>0</v>
      </c>
      <c r="BS417" s="117">
        <v>0</v>
      </c>
      <c r="BT417" s="117">
        <v>0</v>
      </c>
      <c r="BU417" s="117">
        <v>0</v>
      </c>
      <c r="BV417" s="117">
        <v>0</v>
      </c>
      <c r="BW417" s="117">
        <v>0</v>
      </c>
      <c r="BX417" s="117">
        <v>0</v>
      </c>
      <c r="BY417" s="117" t="s">
        <v>1790</v>
      </c>
      <c r="BZ417" s="158" t="s">
        <v>2155</v>
      </c>
      <c r="CA417" s="144">
        <v>8</v>
      </c>
      <c r="CB417" s="235">
        <v>46231</v>
      </c>
      <c r="CC417" s="155"/>
      <c r="CD417" s="141"/>
      <c r="CE417" s="217"/>
      <c r="CF417" s="166">
        <f t="shared" si="837"/>
        <v>-4</v>
      </c>
    </row>
    <row r="418" spans="1:84" ht="36" hidden="1">
      <c r="A418" s="117"/>
      <c r="B418" s="209" t="s">
        <v>1962</v>
      </c>
      <c r="C418" s="209" t="s">
        <v>2184</v>
      </c>
      <c r="D418" s="209" t="s">
        <v>1296</v>
      </c>
      <c r="E418" s="209" t="s">
        <v>1792</v>
      </c>
      <c r="F418" s="209" t="s">
        <v>1602</v>
      </c>
      <c r="G418" s="209" t="s">
        <v>1497</v>
      </c>
      <c r="H418" s="210">
        <v>852</v>
      </c>
      <c r="I418" s="211" t="s">
        <v>147</v>
      </c>
      <c r="J418" s="144">
        <v>1</v>
      </c>
      <c r="K418" s="145">
        <f t="shared" si="816"/>
        <v>2</v>
      </c>
      <c r="L418" s="202">
        <f t="shared" si="821"/>
        <v>2</v>
      </c>
      <c r="M418" s="212">
        <v>9.1999999999999993</v>
      </c>
      <c r="N418" s="203">
        <f t="shared" si="822"/>
        <v>18.399999999999999</v>
      </c>
      <c r="O418" s="212" t="s">
        <v>137</v>
      </c>
      <c r="P418" s="212" t="s">
        <v>13</v>
      </c>
      <c r="Q418" s="212" t="s">
        <v>148</v>
      </c>
      <c r="R418" s="212"/>
      <c r="S418" s="212"/>
      <c r="T418" s="203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1</v>
      </c>
      <c r="U418" s="203">
        <f t="shared" ca="1" si="823"/>
        <v>1</v>
      </c>
      <c r="V418" s="203">
        <f t="shared" ca="1" si="824"/>
        <v>1</v>
      </c>
      <c r="W418" s="212"/>
      <c r="X418" s="212"/>
      <c r="Y418" s="212"/>
      <c r="Z418" s="212"/>
      <c r="AA418" s="212"/>
      <c r="AB418" s="212"/>
      <c r="AC418" s="214" t="s">
        <v>1923</v>
      </c>
      <c r="AD418" s="215" t="s">
        <v>1924</v>
      </c>
      <c r="AE418" s="148"/>
      <c r="AF418" s="212" t="str">
        <f t="shared" si="817"/>
        <v>N/A</v>
      </c>
      <c r="AG418" s="212">
        <f t="shared" si="817"/>
        <v>0</v>
      </c>
      <c r="AH418" s="203">
        <f t="shared" si="825"/>
        <v>0</v>
      </c>
      <c r="AI418" s="203">
        <f t="shared" ca="1" si="826"/>
        <v>0</v>
      </c>
      <c r="AJ418" s="203">
        <f t="shared" ca="1" si="827"/>
        <v>0</v>
      </c>
      <c r="AK418" s="212" t="str">
        <f t="shared" si="818"/>
        <v>AMC2-S1</v>
      </c>
      <c r="AL418" s="212">
        <f t="shared" si="818"/>
        <v>1</v>
      </c>
      <c r="AM418" s="203">
        <f t="shared" si="828"/>
        <v>1</v>
      </c>
      <c r="AN418" s="203">
        <f t="shared" ca="1" si="829"/>
        <v>1</v>
      </c>
      <c r="AO418" s="203">
        <f t="shared" ca="1" si="830"/>
        <v>0</v>
      </c>
      <c r="AP418" s="212" t="str">
        <f t="shared" si="819"/>
        <v>AMC2-S4</v>
      </c>
      <c r="AQ418" s="212">
        <f t="shared" si="819"/>
        <v>1</v>
      </c>
      <c r="AR418" s="203">
        <f t="shared" si="831"/>
        <v>1</v>
      </c>
      <c r="AS418" s="203">
        <f t="shared" ca="1" si="832"/>
        <v>0</v>
      </c>
      <c r="AT418" s="203">
        <f t="shared" ca="1" si="833"/>
        <v>1</v>
      </c>
      <c r="AU418" s="212" t="str">
        <f t="shared" si="820"/>
        <v>N/A</v>
      </c>
      <c r="AV418" s="212">
        <f t="shared" si="820"/>
        <v>0</v>
      </c>
      <c r="AW418" s="203">
        <f t="shared" si="834"/>
        <v>0</v>
      </c>
      <c r="AX418" s="203">
        <f t="shared" ca="1" si="835"/>
        <v>0</v>
      </c>
      <c r="AY418" s="203">
        <f t="shared" ca="1" si="836"/>
        <v>0</v>
      </c>
      <c r="AZ418" s="212"/>
      <c r="BA418" s="213" t="s">
        <v>1925</v>
      </c>
      <c r="BB418" s="213" t="s">
        <v>1926</v>
      </c>
      <c r="BC418" s="213" t="s">
        <v>1927</v>
      </c>
      <c r="BD418" s="213" t="s">
        <v>140</v>
      </c>
      <c r="BE418" s="148"/>
      <c r="BF418" s="212" t="s">
        <v>1789</v>
      </c>
      <c r="BG418" s="117"/>
      <c r="BH418" s="155"/>
      <c r="BI418" s="216"/>
      <c r="BJ418" s="216"/>
      <c r="BK418" s="216"/>
      <c r="BL418" s="149"/>
      <c r="BM418" s="149"/>
      <c r="BN418" s="149"/>
      <c r="BO418" s="149"/>
      <c r="BP418" s="149"/>
      <c r="BQ418" s="149"/>
      <c r="BR418" s="117">
        <v>0</v>
      </c>
      <c r="BS418" s="117">
        <v>0</v>
      </c>
      <c r="BT418" s="117">
        <v>0</v>
      </c>
      <c r="BU418" s="117">
        <v>0</v>
      </c>
      <c r="BV418" s="117">
        <v>0</v>
      </c>
      <c r="BW418" s="117">
        <v>0</v>
      </c>
      <c r="BX418" s="117">
        <v>0</v>
      </c>
      <c r="BY418" s="117" t="s">
        <v>1790</v>
      </c>
      <c r="BZ418" s="158" t="s">
        <v>2156</v>
      </c>
      <c r="CA418" s="158">
        <v>4</v>
      </c>
      <c r="CB418" s="234">
        <v>46213</v>
      </c>
      <c r="CC418" s="155"/>
      <c r="CD418" s="141"/>
      <c r="CE418" s="217"/>
      <c r="CF418" s="166">
        <f t="shared" si="837"/>
        <v>-2</v>
      </c>
    </row>
    <row r="419" spans="1:84" ht="36" hidden="1">
      <c r="A419" s="117"/>
      <c r="B419" s="209" t="s">
        <v>1962</v>
      </c>
      <c r="C419" s="209" t="s">
        <v>2184</v>
      </c>
      <c r="D419" s="209" t="s">
        <v>1296</v>
      </c>
      <c r="E419" s="209" t="s">
        <v>1793</v>
      </c>
      <c r="F419" s="209" t="s">
        <v>1603</v>
      </c>
      <c r="G419" s="209" t="s">
        <v>1581</v>
      </c>
      <c r="H419" s="210">
        <v>794</v>
      </c>
      <c r="I419" s="211" t="s">
        <v>147</v>
      </c>
      <c r="J419" s="144">
        <v>7</v>
      </c>
      <c r="K419" s="145">
        <f t="shared" si="816"/>
        <v>2</v>
      </c>
      <c r="L419" s="202">
        <f t="shared" si="821"/>
        <v>14</v>
      </c>
      <c r="M419" s="212">
        <v>8.5</v>
      </c>
      <c r="N419" s="203">
        <f t="shared" si="822"/>
        <v>119</v>
      </c>
      <c r="O419" s="212" t="s">
        <v>137</v>
      </c>
      <c r="P419" s="212" t="s">
        <v>13</v>
      </c>
      <c r="Q419" s="212" t="s">
        <v>148</v>
      </c>
      <c r="R419" s="212"/>
      <c r="S419" s="212"/>
      <c r="T419" s="203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7</v>
      </c>
      <c r="U419" s="203">
        <f t="shared" ca="1" si="823"/>
        <v>7</v>
      </c>
      <c r="V419" s="203">
        <f t="shared" ca="1" si="824"/>
        <v>1</v>
      </c>
      <c r="W419" s="212"/>
      <c r="X419" s="212"/>
      <c r="Y419" s="212"/>
      <c r="Z419" s="212"/>
      <c r="AA419" s="212"/>
      <c r="AB419" s="212"/>
      <c r="AC419" s="214" t="s">
        <v>1923</v>
      </c>
      <c r="AD419" s="215" t="s">
        <v>1924</v>
      </c>
      <c r="AE419" s="148"/>
      <c r="AF419" s="212" t="str">
        <f t="shared" si="817"/>
        <v>N/A</v>
      </c>
      <c r="AG419" s="212">
        <f t="shared" si="817"/>
        <v>0</v>
      </c>
      <c r="AH419" s="203">
        <f t="shared" si="825"/>
        <v>0</v>
      </c>
      <c r="AI419" s="203">
        <f t="shared" ca="1" si="826"/>
        <v>0</v>
      </c>
      <c r="AJ419" s="203">
        <f t="shared" ca="1" si="827"/>
        <v>0</v>
      </c>
      <c r="AK419" s="212" t="str">
        <f t="shared" si="818"/>
        <v>AMC2-S1</v>
      </c>
      <c r="AL419" s="212">
        <f t="shared" si="818"/>
        <v>1</v>
      </c>
      <c r="AM419" s="203">
        <f t="shared" si="828"/>
        <v>7</v>
      </c>
      <c r="AN419" s="203">
        <f t="shared" ca="1" si="829"/>
        <v>1</v>
      </c>
      <c r="AO419" s="203">
        <f t="shared" ca="1" si="830"/>
        <v>6</v>
      </c>
      <c r="AP419" s="212" t="str">
        <f t="shared" si="819"/>
        <v>AMC2-S4</v>
      </c>
      <c r="AQ419" s="212">
        <f t="shared" si="819"/>
        <v>1</v>
      </c>
      <c r="AR419" s="203">
        <f t="shared" si="831"/>
        <v>7</v>
      </c>
      <c r="AS419" s="203">
        <f t="shared" ca="1" si="832"/>
        <v>6</v>
      </c>
      <c r="AT419" s="203">
        <f t="shared" ca="1" si="833"/>
        <v>1</v>
      </c>
      <c r="AU419" s="212" t="str">
        <f t="shared" si="820"/>
        <v>N/A</v>
      </c>
      <c r="AV419" s="212">
        <f t="shared" si="820"/>
        <v>0</v>
      </c>
      <c r="AW419" s="203">
        <f t="shared" si="834"/>
        <v>0</v>
      </c>
      <c r="AX419" s="203">
        <f t="shared" ca="1" si="835"/>
        <v>0</v>
      </c>
      <c r="AY419" s="203">
        <f t="shared" ca="1" si="836"/>
        <v>0</v>
      </c>
      <c r="AZ419" s="212"/>
      <c r="BA419" s="213" t="s">
        <v>1925</v>
      </c>
      <c r="BB419" s="213" t="s">
        <v>1926</v>
      </c>
      <c r="BC419" s="213" t="s">
        <v>1927</v>
      </c>
      <c r="BD419" s="213" t="s">
        <v>140</v>
      </c>
      <c r="BE419" s="148"/>
      <c r="BF419" s="212" t="s">
        <v>1789</v>
      </c>
      <c r="BG419" s="117"/>
      <c r="BH419" s="155"/>
      <c r="BI419" s="216"/>
      <c r="BJ419" s="216"/>
      <c r="BK419" s="216"/>
      <c r="BL419" s="149"/>
      <c r="BM419" s="149"/>
      <c r="BN419" s="149"/>
      <c r="BO419" s="149"/>
      <c r="BP419" s="149"/>
      <c r="BQ419" s="149"/>
      <c r="BR419" s="117">
        <v>0</v>
      </c>
      <c r="BS419" s="117">
        <v>0</v>
      </c>
      <c r="BT419" s="117">
        <v>0</v>
      </c>
      <c r="BU419" s="117">
        <v>1</v>
      </c>
      <c r="BV419" s="117">
        <v>0</v>
      </c>
      <c r="BW419" s="117">
        <v>0</v>
      </c>
      <c r="BX419" s="117">
        <v>0</v>
      </c>
      <c r="BY419" s="117" t="s">
        <v>1790</v>
      </c>
      <c r="BZ419" s="158" t="s">
        <v>2156</v>
      </c>
      <c r="CA419" s="158">
        <v>28</v>
      </c>
      <c r="CB419" s="234">
        <v>46213</v>
      </c>
      <c r="CC419" s="155"/>
      <c r="CD419" s="141"/>
      <c r="CE419" s="217"/>
      <c r="CF419" s="166">
        <f t="shared" si="837"/>
        <v>-14</v>
      </c>
    </row>
    <row r="420" spans="1:84" ht="36" hidden="1">
      <c r="A420" s="117"/>
      <c r="B420" s="209" t="s">
        <v>1962</v>
      </c>
      <c r="C420" s="209" t="s">
        <v>2184</v>
      </c>
      <c r="D420" s="209" t="s">
        <v>1296</v>
      </c>
      <c r="E420" s="209" t="s">
        <v>1957</v>
      </c>
      <c r="F420" s="209" t="s">
        <v>1604</v>
      </c>
      <c r="G420" s="209" t="s">
        <v>1581</v>
      </c>
      <c r="H420" s="210">
        <v>794</v>
      </c>
      <c r="I420" s="211" t="s">
        <v>147</v>
      </c>
      <c r="J420" s="144">
        <v>7</v>
      </c>
      <c r="K420" s="145">
        <f t="shared" si="816"/>
        <v>2</v>
      </c>
      <c r="L420" s="202">
        <f t="shared" si="821"/>
        <v>14</v>
      </c>
      <c r="M420" s="212">
        <v>8.5</v>
      </c>
      <c r="N420" s="203">
        <f t="shared" si="822"/>
        <v>119</v>
      </c>
      <c r="O420" s="212" t="s">
        <v>137</v>
      </c>
      <c r="P420" s="212" t="s">
        <v>13</v>
      </c>
      <c r="Q420" s="212" t="s">
        <v>148</v>
      </c>
      <c r="R420" s="212"/>
      <c r="S420" s="212"/>
      <c r="T420" s="203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8</v>
      </c>
      <c r="U420" s="203">
        <f t="shared" ca="1" si="823"/>
        <v>6</v>
      </c>
      <c r="V420" s="203">
        <f t="shared" ca="1" si="824"/>
        <v>1</v>
      </c>
      <c r="W420" s="212"/>
      <c r="X420" s="212"/>
      <c r="Y420" s="212"/>
      <c r="Z420" s="212"/>
      <c r="AA420" s="212"/>
      <c r="AB420" s="212"/>
      <c r="AC420" s="214" t="s">
        <v>1923</v>
      </c>
      <c r="AD420" s="215" t="s">
        <v>1924</v>
      </c>
      <c r="AE420" s="148"/>
      <c r="AF420" s="212" t="str">
        <f t="shared" si="817"/>
        <v>N/A</v>
      </c>
      <c r="AG420" s="212">
        <f t="shared" si="817"/>
        <v>0</v>
      </c>
      <c r="AH420" s="203">
        <f t="shared" si="825"/>
        <v>0</v>
      </c>
      <c r="AI420" s="203">
        <f t="shared" ca="1" si="826"/>
        <v>0</v>
      </c>
      <c r="AJ420" s="203">
        <f t="shared" ca="1" si="827"/>
        <v>0</v>
      </c>
      <c r="AK420" s="212" t="str">
        <f t="shared" si="818"/>
        <v>AMC2-S1</v>
      </c>
      <c r="AL420" s="212">
        <f t="shared" si="818"/>
        <v>1</v>
      </c>
      <c r="AM420" s="203">
        <f t="shared" si="828"/>
        <v>7</v>
      </c>
      <c r="AN420" s="203">
        <f t="shared" ca="1" si="829"/>
        <v>1</v>
      </c>
      <c r="AO420" s="203">
        <f t="shared" ca="1" si="830"/>
        <v>6</v>
      </c>
      <c r="AP420" s="212" t="str">
        <f t="shared" si="819"/>
        <v>AMC2-S4</v>
      </c>
      <c r="AQ420" s="212">
        <f t="shared" si="819"/>
        <v>1</v>
      </c>
      <c r="AR420" s="203">
        <f t="shared" si="831"/>
        <v>7</v>
      </c>
      <c r="AS420" s="203">
        <f t="shared" ca="1" si="832"/>
        <v>7</v>
      </c>
      <c r="AT420" s="203">
        <f t="shared" ca="1" si="833"/>
        <v>0</v>
      </c>
      <c r="AU420" s="212" t="str">
        <f t="shared" si="820"/>
        <v>N/A</v>
      </c>
      <c r="AV420" s="212">
        <f t="shared" si="820"/>
        <v>0</v>
      </c>
      <c r="AW420" s="203">
        <f t="shared" si="834"/>
        <v>0</v>
      </c>
      <c r="AX420" s="203">
        <f t="shared" ca="1" si="835"/>
        <v>0</v>
      </c>
      <c r="AY420" s="203">
        <f t="shared" ca="1" si="836"/>
        <v>0</v>
      </c>
      <c r="AZ420" s="212"/>
      <c r="BA420" s="213" t="s">
        <v>1925</v>
      </c>
      <c r="BB420" s="213" t="s">
        <v>1926</v>
      </c>
      <c r="BC420" s="213" t="s">
        <v>1927</v>
      </c>
      <c r="BD420" s="213" t="s">
        <v>140</v>
      </c>
      <c r="BE420" s="148"/>
      <c r="BF420" s="212" t="s">
        <v>1789</v>
      </c>
      <c r="BG420" s="117"/>
      <c r="BH420" s="155"/>
      <c r="BI420" s="216"/>
      <c r="BJ420" s="216"/>
      <c r="BK420" s="216"/>
      <c r="BL420" s="149"/>
      <c r="BM420" s="149"/>
      <c r="BN420" s="149"/>
      <c r="BO420" s="149"/>
      <c r="BP420" s="149"/>
      <c r="BQ420" s="149"/>
      <c r="BR420" s="117">
        <v>0</v>
      </c>
      <c r="BS420" s="117">
        <v>0</v>
      </c>
      <c r="BT420" s="117">
        <v>0</v>
      </c>
      <c r="BU420" s="117">
        <v>0</v>
      </c>
      <c r="BV420" s="117">
        <v>0</v>
      </c>
      <c r="BW420" s="117">
        <v>0</v>
      </c>
      <c r="BX420" s="117">
        <v>0</v>
      </c>
      <c r="BY420" s="117" t="s">
        <v>1790</v>
      </c>
      <c r="BZ420" s="158" t="s">
        <v>2156</v>
      </c>
      <c r="CA420" s="158">
        <v>28</v>
      </c>
      <c r="CB420" s="234">
        <v>46213</v>
      </c>
      <c r="CC420" s="155"/>
      <c r="CD420" s="141"/>
      <c r="CE420" s="217"/>
      <c r="CF420" s="166">
        <f t="shared" si="837"/>
        <v>-14</v>
      </c>
    </row>
    <row r="421" spans="1:84" ht="36" hidden="1">
      <c r="A421" s="117"/>
      <c r="B421" s="209" t="s">
        <v>1962</v>
      </c>
      <c r="C421" s="209" t="s">
        <v>2184</v>
      </c>
      <c r="D421" s="209" t="s">
        <v>1296</v>
      </c>
      <c r="E421" s="209" t="s">
        <v>1794</v>
      </c>
      <c r="F421" s="209" t="s">
        <v>1605</v>
      </c>
      <c r="G421" s="209" t="s">
        <v>1584</v>
      </c>
      <c r="H421" s="210">
        <v>337</v>
      </c>
      <c r="I421" s="211" t="s">
        <v>147</v>
      </c>
      <c r="J421" s="144">
        <v>14</v>
      </c>
      <c r="K421" s="145">
        <f t="shared" si="816"/>
        <v>2</v>
      </c>
      <c r="L421" s="202">
        <f t="shared" si="821"/>
        <v>28</v>
      </c>
      <c r="M421" s="212">
        <v>3.5</v>
      </c>
      <c r="N421" s="203">
        <f t="shared" si="822"/>
        <v>98</v>
      </c>
      <c r="O421" s="212" t="s">
        <v>137</v>
      </c>
      <c r="P421" s="212" t="s">
        <v>13</v>
      </c>
      <c r="Q421" s="212" t="s">
        <v>148</v>
      </c>
      <c r="R421" s="212"/>
      <c r="S421" s="212"/>
      <c r="T421" s="203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14</v>
      </c>
      <c r="U421" s="203">
        <f t="shared" ca="1" si="823"/>
        <v>14</v>
      </c>
      <c r="V421" s="203">
        <f t="shared" ca="1" si="824"/>
        <v>1</v>
      </c>
      <c r="W421" s="212"/>
      <c r="X421" s="212"/>
      <c r="Y421" s="212"/>
      <c r="Z421" s="212"/>
      <c r="AA421" s="212"/>
      <c r="AB421" s="212"/>
      <c r="AC421" s="214" t="s">
        <v>1923</v>
      </c>
      <c r="AD421" s="215" t="s">
        <v>1924</v>
      </c>
      <c r="AE421" s="148"/>
      <c r="AF421" s="212" t="str">
        <f t="shared" si="817"/>
        <v>N/A</v>
      </c>
      <c r="AG421" s="212">
        <f t="shared" si="817"/>
        <v>0</v>
      </c>
      <c r="AH421" s="203">
        <f t="shared" si="825"/>
        <v>0</v>
      </c>
      <c r="AI421" s="203">
        <f t="shared" ca="1" si="826"/>
        <v>0</v>
      </c>
      <c r="AJ421" s="203">
        <f t="shared" ca="1" si="827"/>
        <v>0</v>
      </c>
      <c r="AK421" s="212" t="str">
        <f t="shared" si="818"/>
        <v>AMC2-S1</v>
      </c>
      <c r="AL421" s="212">
        <f t="shared" si="818"/>
        <v>1</v>
      </c>
      <c r="AM421" s="203">
        <f t="shared" si="828"/>
        <v>14</v>
      </c>
      <c r="AN421" s="203">
        <f t="shared" ca="1" si="829"/>
        <v>1</v>
      </c>
      <c r="AO421" s="203">
        <f t="shared" ca="1" si="830"/>
        <v>13</v>
      </c>
      <c r="AP421" s="212" t="str">
        <f t="shared" si="819"/>
        <v>AMC2-S4</v>
      </c>
      <c r="AQ421" s="212">
        <f t="shared" si="819"/>
        <v>1</v>
      </c>
      <c r="AR421" s="203">
        <f t="shared" si="831"/>
        <v>14</v>
      </c>
      <c r="AS421" s="203">
        <f t="shared" ca="1" si="832"/>
        <v>13</v>
      </c>
      <c r="AT421" s="203">
        <f t="shared" ca="1" si="833"/>
        <v>1</v>
      </c>
      <c r="AU421" s="212" t="str">
        <f t="shared" si="820"/>
        <v>N/A</v>
      </c>
      <c r="AV421" s="212">
        <f t="shared" si="820"/>
        <v>0</v>
      </c>
      <c r="AW421" s="203">
        <f t="shared" si="834"/>
        <v>0</v>
      </c>
      <c r="AX421" s="203">
        <f t="shared" ca="1" si="835"/>
        <v>0</v>
      </c>
      <c r="AY421" s="203">
        <f t="shared" ca="1" si="836"/>
        <v>0</v>
      </c>
      <c r="AZ421" s="212"/>
      <c r="BA421" s="213" t="s">
        <v>1925</v>
      </c>
      <c r="BB421" s="213" t="s">
        <v>1926</v>
      </c>
      <c r="BC421" s="213" t="s">
        <v>1927</v>
      </c>
      <c r="BD421" s="213" t="s">
        <v>140</v>
      </c>
      <c r="BE421" s="148"/>
      <c r="BF421" s="212" t="s">
        <v>1789</v>
      </c>
      <c r="BG421" s="117"/>
      <c r="BH421" s="155"/>
      <c r="BI421" s="216"/>
      <c r="BJ421" s="216"/>
      <c r="BK421" s="216"/>
      <c r="BL421" s="149"/>
      <c r="BM421" s="149"/>
      <c r="BN421" s="149"/>
      <c r="BO421" s="149"/>
      <c r="BP421" s="149"/>
      <c r="BQ421" s="149"/>
      <c r="BR421" s="117">
        <v>0</v>
      </c>
      <c r="BS421" s="117">
        <v>0</v>
      </c>
      <c r="BT421" s="117">
        <v>0</v>
      </c>
      <c r="BU421" s="117">
        <v>0</v>
      </c>
      <c r="BV421" s="117">
        <v>0</v>
      </c>
      <c r="BW421" s="117">
        <v>0</v>
      </c>
      <c r="BX421" s="117">
        <v>0</v>
      </c>
      <c r="BY421" s="117" t="s">
        <v>1790</v>
      </c>
      <c r="BZ421" s="158" t="s">
        <v>2160</v>
      </c>
      <c r="CA421" s="144">
        <v>56</v>
      </c>
      <c r="CB421" s="235">
        <v>46248</v>
      </c>
      <c r="CC421" s="155"/>
      <c r="CD421" s="117"/>
      <c r="CE421" s="217"/>
      <c r="CF421" s="166">
        <f t="shared" si="837"/>
        <v>-28</v>
      </c>
    </row>
    <row r="422" spans="1:84" ht="36" hidden="1">
      <c r="A422" s="117"/>
      <c r="B422" s="209" t="s">
        <v>1962</v>
      </c>
      <c r="C422" s="209" t="s">
        <v>2184</v>
      </c>
      <c r="D422" s="209" t="s">
        <v>1076</v>
      </c>
      <c r="E422" s="209" t="s">
        <v>1802</v>
      </c>
      <c r="F422" s="209" t="s">
        <v>1599</v>
      </c>
      <c r="G422" s="209" t="s">
        <v>1075</v>
      </c>
      <c r="H422" s="210">
        <v>812</v>
      </c>
      <c r="I422" s="211" t="s">
        <v>1077</v>
      </c>
      <c r="J422" s="144">
        <v>6</v>
      </c>
      <c r="K422" s="145">
        <f t="shared" si="816"/>
        <v>2</v>
      </c>
      <c r="L422" s="202">
        <f t="shared" si="821"/>
        <v>12</v>
      </c>
      <c r="M422" s="212">
        <v>13.05696</v>
      </c>
      <c r="N422" s="203">
        <f t="shared" si="822"/>
        <v>156.68351999999999</v>
      </c>
      <c r="O422" s="212" t="s">
        <v>137</v>
      </c>
      <c r="P422" s="212" t="s">
        <v>11</v>
      </c>
      <c r="Q422" s="212" t="s">
        <v>148</v>
      </c>
      <c r="R422" s="212"/>
      <c r="S422" s="212"/>
      <c r="T422" s="203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6</v>
      </c>
      <c r="U422" s="203">
        <f t="shared" ca="1" si="823"/>
        <v>6</v>
      </c>
      <c r="V422" s="203">
        <f t="shared" ca="1" si="824"/>
        <v>1</v>
      </c>
      <c r="W422" s="212"/>
      <c r="X422" s="212"/>
      <c r="Y422" s="212"/>
      <c r="Z422" s="212"/>
      <c r="AA422" s="212"/>
      <c r="AB422" s="212"/>
      <c r="AC422" s="214" t="s">
        <v>1923</v>
      </c>
      <c r="AD422" s="215" t="s">
        <v>1924</v>
      </c>
      <c r="AE422" s="148"/>
      <c r="AF422" s="212" t="str">
        <f t="shared" si="817"/>
        <v>N/A</v>
      </c>
      <c r="AG422" s="212">
        <f t="shared" si="817"/>
        <v>0</v>
      </c>
      <c r="AH422" s="203">
        <f t="shared" si="825"/>
        <v>0</v>
      </c>
      <c r="AI422" s="203">
        <f t="shared" ca="1" si="826"/>
        <v>0</v>
      </c>
      <c r="AJ422" s="203">
        <f t="shared" ca="1" si="827"/>
        <v>0</v>
      </c>
      <c r="AK422" s="212" t="str">
        <f t="shared" si="818"/>
        <v>AMC2-S1</v>
      </c>
      <c r="AL422" s="212">
        <f t="shared" si="818"/>
        <v>1</v>
      </c>
      <c r="AM422" s="203">
        <f t="shared" si="828"/>
        <v>6</v>
      </c>
      <c r="AN422" s="203">
        <f t="shared" ca="1" si="829"/>
        <v>1</v>
      </c>
      <c r="AO422" s="203">
        <f t="shared" ca="1" si="830"/>
        <v>5</v>
      </c>
      <c r="AP422" s="212" t="str">
        <f t="shared" si="819"/>
        <v>AMC2-S4</v>
      </c>
      <c r="AQ422" s="212">
        <f t="shared" si="819"/>
        <v>1</v>
      </c>
      <c r="AR422" s="203">
        <f t="shared" si="831"/>
        <v>6</v>
      </c>
      <c r="AS422" s="203">
        <f t="shared" ca="1" si="832"/>
        <v>5</v>
      </c>
      <c r="AT422" s="203">
        <f t="shared" ca="1" si="833"/>
        <v>1</v>
      </c>
      <c r="AU422" s="212" t="str">
        <f t="shared" si="820"/>
        <v>N/A</v>
      </c>
      <c r="AV422" s="212">
        <f t="shared" si="820"/>
        <v>0</v>
      </c>
      <c r="AW422" s="203">
        <f t="shared" si="834"/>
        <v>0</v>
      </c>
      <c r="AX422" s="203">
        <f t="shared" ca="1" si="835"/>
        <v>0</v>
      </c>
      <c r="AY422" s="203">
        <f t="shared" ca="1" si="836"/>
        <v>0</v>
      </c>
      <c r="AZ422" s="212"/>
      <c r="BA422" s="213" t="s">
        <v>1925</v>
      </c>
      <c r="BB422" s="213" t="s">
        <v>1926</v>
      </c>
      <c r="BC422" s="213" t="s">
        <v>1927</v>
      </c>
      <c r="BD422" s="213" t="s">
        <v>140</v>
      </c>
      <c r="BE422" s="148"/>
      <c r="BF422" s="212" t="s">
        <v>1789</v>
      </c>
      <c r="BG422" s="117"/>
      <c r="BH422" s="155"/>
      <c r="BI422" s="216"/>
      <c r="BJ422" s="216"/>
      <c r="BK422" s="216"/>
      <c r="BL422" s="149"/>
      <c r="BM422" s="149"/>
      <c r="BN422" s="149"/>
      <c r="BO422" s="149"/>
      <c r="BP422" s="149"/>
      <c r="BQ422" s="149"/>
      <c r="BR422" s="117">
        <v>0</v>
      </c>
      <c r="BS422" s="117">
        <v>0</v>
      </c>
      <c r="BT422" s="117">
        <v>0</v>
      </c>
      <c r="BU422" s="117">
        <v>1</v>
      </c>
      <c r="BV422" s="117">
        <v>0</v>
      </c>
      <c r="BW422" s="117">
        <v>0</v>
      </c>
      <c r="BX422" s="117">
        <v>0</v>
      </c>
      <c r="BY422" s="117" t="s">
        <v>1790</v>
      </c>
      <c r="BZ422" s="158" t="s">
        <v>2161</v>
      </c>
      <c r="CA422" s="213">
        <v>24</v>
      </c>
      <c r="CB422" s="235">
        <v>46231</v>
      </c>
      <c r="CC422" s="155"/>
      <c r="CD422" s="155"/>
      <c r="CE422" s="217"/>
      <c r="CF422" s="166">
        <f t="shared" si="837"/>
        <v>-12</v>
      </c>
    </row>
    <row r="423" spans="1:84" ht="36" hidden="1">
      <c r="A423" s="186"/>
      <c r="B423" s="187" t="s">
        <v>1962</v>
      </c>
      <c r="C423" s="187" t="s">
        <v>2186</v>
      </c>
      <c r="D423" s="187"/>
      <c r="E423" s="187"/>
      <c r="F423" s="187"/>
      <c r="G423" s="187" t="s">
        <v>1966</v>
      </c>
      <c r="H423" s="188"/>
      <c r="I423" s="189"/>
      <c r="J423" s="190"/>
      <c r="K423" s="191">
        <f t="shared" si="816"/>
        <v>2</v>
      </c>
      <c r="L423" s="190"/>
      <c r="M423" s="192">
        <v>2347.1</v>
      </c>
      <c r="N423" s="192">
        <v>9388.4</v>
      </c>
      <c r="O423" s="192" t="s">
        <v>137</v>
      </c>
      <c r="P423" s="192"/>
      <c r="Q423" s="192"/>
      <c r="R423" s="192"/>
      <c r="S423" s="192"/>
      <c r="T423" s="192"/>
      <c r="U423" s="192"/>
      <c r="V423" s="192"/>
      <c r="W423" s="192">
        <f ca="1">_xlfn.MINIFS(V:V,C:C,C423,AE:AE,"",AB:AB,"")</f>
        <v>1</v>
      </c>
      <c r="X423" s="192">
        <f ca="1">SUMIFS(T:T,C:C,C423,AE:AE,"")/SUMIFS(L:L,C:C,C423,AE:AE,"",AB:AB,"")</f>
        <v>0.73333333333333328</v>
      </c>
      <c r="Y423" s="192"/>
      <c r="Z423" s="192"/>
      <c r="AA423" s="192"/>
      <c r="AB423" s="192"/>
      <c r="AC423" s="194" t="s">
        <v>1923</v>
      </c>
      <c r="AD423" s="195" t="s">
        <v>1924</v>
      </c>
      <c r="AE423" s="196" t="s">
        <v>1787</v>
      </c>
      <c r="AF423" s="192" t="str">
        <f t="shared" si="817"/>
        <v>N/A</v>
      </c>
      <c r="AG423" s="192">
        <f t="shared" si="817"/>
        <v>0</v>
      </c>
      <c r="AH423" s="192"/>
      <c r="AI423" s="192"/>
      <c r="AJ423" s="192"/>
      <c r="AK423" s="192" t="str">
        <f t="shared" si="818"/>
        <v>AMC2-S1</v>
      </c>
      <c r="AL423" s="192">
        <f t="shared" si="818"/>
        <v>1</v>
      </c>
      <c r="AM423" s="192"/>
      <c r="AN423" s="192"/>
      <c r="AO423" s="192"/>
      <c r="AP423" s="192" t="str">
        <f t="shared" si="819"/>
        <v>AMC2-S4</v>
      </c>
      <c r="AQ423" s="192">
        <f t="shared" si="819"/>
        <v>1</v>
      </c>
      <c r="AR423" s="192"/>
      <c r="AS423" s="192"/>
      <c r="AT423" s="192"/>
      <c r="AU423" s="192" t="str">
        <f t="shared" si="820"/>
        <v>N/A</v>
      </c>
      <c r="AV423" s="192">
        <f t="shared" si="820"/>
        <v>0</v>
      </c>
      <c r="AW423" s="192"/>
      <c r="AX423" s="192"/>
      <c r="AY423" s="192"/>
      <c r="AZ423" s="192"/>
      <c r="BA423" s="193" t="s">
        <v>1925</v>
      </c>
      <c r="BB423" s="193" t="s">
        <v>1926</v>
      </c>
      <c r="BC423" s="193" t="s">
        <v>1927</v>
      </c>
      <c r="BD423" s="193" t="s">
        <v>140</v>
      </c>
      <c r="BE423" s="196" t="s">
        <v>741</v>
      </c>
      <c r="BF423" s="192"/>
      <c r="BG423" s="186"/>
      <c r="BH423" s="186"/>
      <c r="BI423" s="197"/>
      <c r="BJ423" s="197"/>
      <c r="BK423" s="197"/>
      <c r="BL423" s="197"/>
      <c r="BM423" s="197"/>
      <c r="BN423" s="197"/>
      <c r="BO423" s="197"/>
      <c r="BP423" s="197"/>
      <c r="BQ423" s="197"/>
      <c r="BR423" s="186"/>
      <c r="BS423" s="186"/>
      <c r="BT423" s="186"/>
      <c r="BU423" s="186"/>
      <c r="BV423" s="186"/>
      <c r="BW423" s="186"/>
      <c r="BX423" s="186"/>
      <c r="BY423" s="186"/>
      <c r="BZ423" s="186"/>
      <c r="CA423" s="186"/>
      <c r="CB423" s="197"/>
      <c r="CC423" s="186"/>
      <c r="CD423" s="186"/>
      <c r="CE423" s="198"/>
      <c r="CF423" s="198"/>
    </row>
    <row r="424" spans="1:84" ht="36" hidden="1">
      <c r="A424" s="117"/>
      <c r="B424" s="209" t="s">
        <v>1962</v>
      </c>
      <c r="C424" s="209" t="s">
        <v>2186</v>
      </c>
      <c r="D424" s="209" t="s">
        <v>1084</v>
      </c>
      <c r="E424" s="209" t="s">
        <v>1795</v>
      </c>
      <c r="F424" s="209" t="s">
        <v>1606</v>
      </c>
      <c r="G424" s="209" t="s">
        <v>1577</v>
      </c>
      <c r="H424" s="210">
        <v>11920</v>
      </c>
      <c r="I424" s="211" t="s">
        <v>147</v>
      </c>
      <c r="J424" s="144">
        <v>1</v>
      </c>
      <c r="K424" s="145">
        <f t="shared" si="816"/>
        <v>2</v>
      </c>
      <c r="L424" s="202">
        <f t="shared" ref="L424:L427" si="838">+J424*K424</f>
        <v>2</v>
      </c>
      <c r="M424" s="212">
        <v>2165.5</v>
      </c>
      <c r="N424" s="203">
        <f t="shared" ref="N424:N427" si="839">+M424*L424</f>
        <v>4331</v>
      </c>
      <c r="O424" s="212" t="s">
        <v>137</v>
      </c>
      <c r="P424" s="212" t="s">
        <v>13</v>
      </c>
      <c r="Q424" s="212" t="s">
        <v>154</v>
      </c>
      <c r="R424" s="212"/>
      <c r="S424" s="212"/>
      <c r="T424" s="203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2</v>
      </c>
      <c r="U424" s="203">
        <f t="shared" ref="U424:U427" ca="1" si="840">+L424-T424</f>
        <v>0</v>
      </c>
      <c r="V424" s="203">
        <f t="shared" ref="V424:V427" ca="1" si="841">ROUNDDOWN(T424/J424,0)</f>
        <v>2</v>
      </c>
      <c r="W424" s="212"/>
      <c r="X424" s="212"/>
      <c r="Y424" s="212"/>
      <c r="Z424" s="212"/>
      <c r="AA424" s="212"/>
      <c r="AB424" s="212"/>
      <c r="AC424" s="214" t="s">
        <v>1923</v>
      </c>
      <c r="AD424" s="215" t="s">
        <v>1924</v>
      </c>
      <c r="AE424" s="148"/>
      <c r="AF424" s="212" t="str">
        <f t="shared" si="817"/>
        <v>N/A</v>
      </c>
      <c r="AG424" s="212">
        <f t="shared" si="817"/>
        <v>0</v>
      </c>
      <c r="AH424" s="203">
        <f t="shared" ref="AH424:AH427" si="842">+AG424*J424</f>
        <v>0</v>
      </c>
      <c r="AI424" s="203">
        <f t="shared" ref="AI424:AI427" ca="1" si="843">MIN(T424,AH424)</f>
        <v>0</v>
      </c>
      <c r="AJ424" s="203">
        <f t="shared" ref="AJ424:AJ427" ca="1" si="844">+AH424-AI424</f>
        <v>0</v>
      </c>
      <c r="AK424" s="212" t="str">
        <f t="shared" si="818"/>
        <v>AMC2-S1</v>
      </c>
      <c r="AL424" s="212">
        <f t="shared" si="818"/>
        <v>1</v>
      </c>
      <c r="AM424" s="203">
        <f t="shared" ref="AM424:AM427" si="845">+AL424*J424</f>
        <v>1</v>
      </c>
      <c r="AN424" s="203">
        <f t="shared" ref="AN424:AN427" ca="1" si="846">MIN(T424-AI424,AL424)</f>
        <v>1</v>
      </c>
      <c r="AO424" s="203">
        <f t="shared" ref="AO424:AO427" ca="1" si="847">+AM424-AN424</f>
        <v>0</v>
      </c>
      <c r="AP424" s="212" t="str">
        <f t="shared" si="819"/>
        <v>AMC2-S4</v>
      </c>
      <c r="AQ424" s="212">
        <f t="shared" si="819"/>
        <v>1</v>
      </c>
      <c r="AR424" s="203">
        <f t="shared" ref="AR424:AR427" si="848">+AQ424*J424</f>
        <v>1</v>
      </c>
      <c r="AS424" s="203">
        <f t="shared" ref="AS424:AS427" ca="1" si="849">MIN(T424-AI424-AN424,AR424)</f>
        <v>1</v>
      </c>
      <c r="AT424" s="203">
        <f t="shared" ref="AT424:AT427" ca="1" si="850">+AR424-AS424</f>
        <v>0</v>
      </c>
      <c r="AU424" s="212" t="str">
        <f t="shared" si="820"/>
        <v>N/A</v>
      </c>
      <c r="AV424" s="212">
        <f t="shared" si="820"/>
        <v>0</v>
      </c>
      <c r="AW424" s="203">
        <f t="shared" ref="AW424:AW427" si="851">+AV424*J424</f>
        <v>0</v>
      </c>
      <c r="AX424" s="203">
        <f t="shared" ref="AX424:AX427" ca="1" si="852">MIN(T424-AI424-AN424-AS424,AW424)</f>
        <v>0</v>
      </c>
      <c r="AY424" s="203">
        <f t="shared" ref="AY424:AY427" ca="1" si="853">+AW424-AX424</f>
        <v>0</v>
      </c>
      <c r="AZ424" s="212"/>
      <c r="BA424" s="213" t="s">
        <v>1925</v>
      </c>
      <c r="BB424" s="213" t="s">
        <v>1926</v>
      </c>
      <c r="BC424" s="213" t="s">
        <v>1927</v>
      </c>
      <c r="BD424" s="213" t="s">
        <v>140</v>
      </c>
      <c r="BE424" s="148"/>
      <c r="BF424" s="212" t="s">
        <v>1789</v>
      </c>
      <c r="BG424" s="117"/>
      <c r="BH424" s="155"/>
      <c r="BI424" s="216"/>
      <c r="BJ424" s="216"/>
      <c r="BK424" s="216"/>
      <c r="BL424" s="149" t="s">
        <v>1932</v>
      </c>
      <c r="BM424" s="149"/>
      <c r="BN424" s="149"/>
      <c r="BO424" s="149"/>
      <c r="BP424" s="149"/>
      <c r="BQ424" s="150" t="s">
        <v>2185</v>
      </c>
      <c r="BR424" s="117">
        <v>0</v>
      </c>
      <c r="BS424" s="117">
        <v>1</v>
      </c>
      <c r="BT424" s="117">
        <v>0</v>
      </c>
      <c r="BU424" s="117">
        <v>1</v>
      </c>
      <c r="BV424" s="117">
        <v>0</v>
      </c>
      <c r="BW424" s="117">
        <v>0</v>
      </c>
      <c r="BX424" s="117">
        <v>0</v>
      </c>
      <c r="BY424" s="117" t="s">
        <v>1790</v>
      </c>
      <c r="BZ424" s="158" t="s">
        <v>57</v>
      </c>
      <c r="CA424" s="158">
        <v>4</v>
      </c>
      <c r="CB424" s="234"/>
      <c r="CC424" s="155"/>
      <c r="CD424" s="117"/>
      <c r="CE424" s="217"/>
      <c r="CF424" s="148">
        <f>+L424-CA424</f>
        <v>-2</v>
      </c>
    </row>
    <row r="425" spans="1:84" ht="36" hidden="1">
      <c r="A425" s="117"/>
      <c r="B425" s="209" t="s">
        <v>1962</v>
      </c>
      <c r="C425" s="209" t="s">
        <v>2186</v>
      </c>
      <c r="D425" s="209" t="s">
        <v>1296</v>
      </c>
      <c r="E425" s="209" t="s">
        <v>1796</v>
      </c>
      <c r="F425" s="209" t="s">
        <v>1607</v>
      </c>
      <c r="G425" s="209" t="s">
        <v>1592</v>
      </c>
      <c r="H425" s="210">
        <v>2165</v>
      </c>
      <c r="I425" s="211" t="s">
        <v>147</v>
      </c>
      <c r="J425" s="144">
        <v>7</v>
      </c>
      <c r="K425" s="145">
        <f t="shared" si="816"/>
        <v>2</v>
      </c>
      <c r="L425" s="202">
        <f t="shared" si="838"/>
        <v>14</v>
      </c>
      <c r="M425" s="212">
        <v>27.2</v>
      </c>
      <c r="N425" s="203">
        <f t="shared" si="839"/>
        <v>380.8</v>
      </c>
      <c r="O425" s="212" t="s">
        <v>137</v>
      </c>
      <c r="P425" s="212" t="s">
        <v>13</v>
      </c>
      <c r="Q425" s="212" t="s">
        <v>148</v>
      </c>
      <c r="R425" s="212"/>
      <c r="S425" s="212"/>
      <c r="T425" s="203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7</v>
      </c>
      <c r="U425" s="203">
        <f t="shared" ca="1" si="840"/>
        <v>7</v>
      </c>
      <c r="V425" s="203">
        <f t="shared" ca="1" si="841"/>
        <v>1</v>
      </c>
      <c r="W425" s="212"/>
      <c r="X425" s="212"/>
      <c r="Y425" s="212"/>
      <c r="Z425" s="212"/>
      <c r="AA425" s="212"/>
      <c r="AB425" s="212"/>
      <c r="AC425" s="214" t="s">
        <v>1923</v>
      </c>
      <c r="AD425" s="215" t="s">
        <v>1924</v>
      </c>
      <c r="AE425" s="148"/>
      <c r="AF425" s="212" t="str">
        <f t="shared" si="817"/>
        <v>N/A</v>
      </c>
      <c r="AG425" s="212">
        <f t="shared" si="817"/>
        <v>0</v>
      </c>
      <c r="AH425" s="203">
        <f t="shared" si="842"/>
        <v>0</v>
      </c>
      <c r="AI425" s="203">
        <f t="shared" ca="1" si="843"/>
        <v>0</v>
      </c>
      <c r="AJ425" s="203">
        <f t="shared" ca="1" si="844"/>
        <v>0</v>
      </c>
      <c r="AK425" s="212" t="str">
        <f t="shared" si="818"/>
        <v>AMC2-S1</v>
      </c>
      <c r="AL425" s="212">
        <f t="shared" si="818"/>
        <v>1</v>
      </c>
      <c r="AM425" s="203">
        <f t="shared" si="845"/>
        <v>7</v>
      </c>
      <c r="AN425" s="203">
        <f t="shared" ca="1" si="846"/>
        <v>1</v>
      </c>
      <c r="AO425" s="203">
        <f t="shared" ca="1" si="847"/>
        <v>6</v>
      </c>
      <c r="AP425" s="212" t="str">
        <f t="shared" si="819"/>
        <v>AMC2-S4</v>
      </c>
      <c r="AQ425" s="212">
        <f t="shared" si="819"/>
        <v>1</v>
      </c>
      <c r="AR425" s="203">
        <f t="shared" si="848"/>
        <v>7</v>
      </c>
      <c r="AS425" s="203">
        <f t="shared" ca="1" si="849"/>
        <v>6</v>
      </c>
      <c r="AT425" s="203">
        <f t="shared" ca="1" si="850"/>
        <v>1</v>
      </c>
      <c r="AU425" s="212" t="str">
        <f t="shared" si="820"/>
        <v>N/A</v>
      </c>
      <c r="AV425" s="212">
        <f t="shared" si="820"/>
        <v>0</v>
      </c>
      <c r="AW425" s="203">
        <f t="shared" si="851"/>
        <v>0</v>
      </c>
      <c r="AX425" s="203">
        <f t="shared" ca="1" si="852"/>
        <v>0</v>
      </c>
      <c r="AY425" s="203">
        <f t="shared" ca="1" si="853"/>
        <v>0</v>
      </c>
      <c r="AZ425" s="212"/>
      <c r="BA425" s="213" t="s">
        <v>1925</v>
      </c>
      <c r="BB425" s="213" t="s">
        <v>1926</v>
      </c>
      <c r="BC425" s="213" t="s">
        <v>1927</v>
      </c>
      <c r="BD425" s="213" t="s">
        <v>140</v>
      </c>
      <c r="BE425" s="148"/>
      <c r="BF425" s="212" t="s">
        <v>1789</v>
      </c>
      <c r="BG425" s="117"/>
      <c r="BH425" s="155"/>
      <c r="BI425" s="216"/>
      <c r="BJ425" s="216"/>
      <c r="BK425" s="216"/>
      <c r="BL425" s="149"/>
      <c r="BM425" s="149"/>
      <c r="BN425" s="149"/>
      <c r="BO425" s="149"/>
      <c r="BP425" s="149"/>
      <c r="BQ425" s="149"/>
      <c r="BR425" s="117">
        <v>0</v>
      </c>
      <c r="BS425" s="117">
        <v>0</v>
      </c>
      <c r="BT425" s="117">
        <v>0</v>
      </c>
      <c r="BU425" s="117">
        <v>1</v>
      </c>
      <c r="BV425" s="117">
        <v>0</v>
      </c>
      <c r="BW425" s="117">
        <v>0</v>
      </c>
      <c r="BX425" s="117">
        <v>0</v>
      </c>
      <c r="BY425" s="117" t="s">
        <v>1790</v>
      </c>
      <c r="BZ425" s="158" t="s">
        <v>2156</v>
      </c>
      <c r="CA425" s="158">
        <v>28</v>
      </c>
      <c r="CB425" s="234">
        <v>46213</v>
      </c>
      <c r="CC425" s="155"/>
      <c r="CD425" s="141"/>
      <c r="CE425" s="217"/>
      <c r="CF425" s="166">
        <f>+L425-CA425</f>
        <v>-14</v>
      </c>
    </row>
    <row r="426" spans="1:84" ht="36" hidden="1">
      <c r="A426" s="117"/>
      <c r="B426" s="209" t="s">
        <v>1962</v>
      </c>
      <c r="C426" s="209" t="s">
        <v>2186</v>
      </c>
      <c r="D426" s="209" t="s">
        <v>1296</v>
      </c>
      <c r="E426" s="209" t="s">
        <v>1797</v>
      </c>
      <c r="F426" s="209" t="s">
        <v>1608</v>
      </c>
      <c r="G426" s="209" t="s">
        <v>1125</v>
      </c>
      <c r="H426" s="210">
        <v>200</v>
      </c>
      <c r="I426" s="211" t="s">
        <v>147</v>
      </c>
      <c r="J426" s="144">
        <v>1</v>
      </c>
      <c r="K426" s="145">
        <f t="shared" si="816"/>
        <v>2</v>
      </c>
      <c r="L426" s="202">
        <f t="shared" si="838"/>
        <v>2</v>
      </c>
      <c r="M426" s="212">
        <v>5.5</v>
      </c>
      <c r="N426" s="203">
        <f t="shared" si="839"/>
        <v>11</v>
      </c>
      <c r="O426" s="212" t="s">
        <v>137</v>
      </c>
      <c r="P426" s="212" t="s">
        <v>13</v>
      </c>
      <c r="Q426" s="212" t="s">
        <v>148</v>
      </c>
      <c r="R426" s="212"/>
      <c r="S426" s="212"/>
      <c r="T426" s="203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</v>
      </c>
      <c r="U426" s="203">
        <f t="shared" ca="1" si="840"/>
        <v>0</v>
      </c>
      <c r="V426" s="203">
        <f t="shared" ca="1" si="841"/>
        <v>2</v>
      </c>
      <c r="W426" s="212"/>
      <c r="X426" s="212"/>
      <c r="Y426" s="212"/>
      <c r="Z426" s="212"/>
      <c r="AA426" s="212"/>
      <c r="AB426" s="212"/>
      <c r="AC426" s="214" t="s">
        <v>1923</v>
      </c>
      <c r="AD426" s="215" t="s">
        <v>1924</v>
      </c>
      <c r="AE426" s="148"/>
      <c r="AF426" s="212" t="str">
        <f t="shared" si="817"/>
        <v>N/A</v>
      </c>
      <c r="AG426" s="212">
        <f t="shared" si="817"/>
        <v>0</v>
      </c>
      <c r="AH426" s="203">
        <f t="shared" si="842"/>
        <v>0</v>
      </c>
      <c r="AI426" s="203">
        <f t="shared" ca="1" si="843"/>
        <v>0</v>
      </c>
      <c r="AJ426" s="203">
        <f t="shared" ca="1" si="844"/>
        <v>0</v>
      </c>
      <c r="AK426" s="212" t="str">
        <f t="shared" si="818"/>
        <v>AMC2-S1</v>
      </c>
      <c r="AL426" s="212">
        <f t="shared" si="818"/>
        <v>1</v>
      </c>
      <c r="AM426" s="203">
        <f t="shared" si="845"/>
        <v>1</v>
      </c>
      <c r="AN426" s="203">
        <f t="shared" ca="1" si="846"/>
        <v>1</v>
      </c>
      <c r="AO426" s="203">
        <f t="shared" ca="1" si="847"/>
        <v>0</v>
      </c>
      <c r="AP426" s="212" t="str">
        <f t="shared" si="819"/>
        <v>AMC2-S4</v>
      </c>
      <c r="AQ426" s="212">
        <f t="shared" si="819"/>
        <v>1</v>
      </c>
      <c r="AR426" s="203">
        <f t="shared" si="848"/>
        <v>1</v>
      </c>
      <c r="AS426" s="203">
        <f t="shared" ca="1" si="849"/>
        <v>1</v>
      </c>
      <c r="AT426" s="203">
        <f t="shared" ca="1" si="850"/>
        <v>0</v>
      </c>
      <c r="AU426" s="212" t="str">
        <f t="shared" si="820"/>
        <v>N/A</v>
      </c>
      <c r="AV426" s="212">
        <f t="shared" si="820"/>
        <v>0</v>
      </c>
      <c r="AW426" s="203">
        <f t="shared" si="851"/>
        <v>0</v>
      </c>
      <c r="AX426" s="203">
        <f t="shared" ca="1" si="852"/>
        <v>0</v>
      </c>
      <c r="AY426" s="203">
        <f t="shared" ca="1" si="853"/>
        <v>0</v>
      </c>
      <c r="AZ426" s="212"/>
      <c r="BA426" s="213" t="s">
        <v>1925</v>
      </c>
      <c r="BB426" s="213" t="s">
        <v>1926</v>
      </c>
      <c r="BC426" s="213" t="s">
        <v>1927</v>
      </c>
      <c r="BD426" s="213" t="s">
        <v>140</v>
      </c>
      <c r="BE426" s="148"/>
      <c r="BF426" s="212" t="s">
        <v>1789</v>
      </c>
      <c r="BG426" s="117"/>
      <c r="BH426" s="155"/>
      <c r="BI426" s="216"/>
      <c r="BJ426" s="216"/>
      <c r="BK426" s="216"/>
      <c r="BL426" s="149"/>
      <c r="BM426" s="149"/>
      <c r="BN426" s="149"/>
      <c r="BO426" s="149"/>
      <c r="BP426" s="149"/>
      <c r="BQ426" s="149"/>
      <c r="BR426" s="117">
        <v>1</v>
      </c>
      <c r="BS426" s="117">
        <v>0</v>
      </c>
      <c r="BT426" s="117">
        <v>0</v>
      </c>
      <c r="BU426" s="117">
        <v>0</v>
      </c>
      <c r="BV426" s="117">
        <v>0</v>
      </c>
      <c r="BW426" s="117">
        <v>0</v>
      </c>
      <c r="BX426" s="117">
        <v>0</v>
      </c>
      <c r="BY426" s="117" t="s">
        <v>1790</v>
      </c>
      <c r="BZ426" s="158" t="s">
        <v>2155</v>
      </c>
      <c r="CA426" s="144">
        <v>4</v>
      </c>
      <c r="CB426" s="235">
        <v>46231</v>
      </c>
      <c r="CC426" s="155"/>
      <c r="CD426" s="141"/>
      <c r="CE426" s="217"/>
      <c r="CF426" s="166">
        <f>+L426-CA426</f>
        <v>-2</v>
      </c>
    </row>
    <row r="427" spans="1:84" ht="36" hidden="1">
      <c r="A427" s="117"/>
      <c r="B427" s="209" t="s">
        <v>1962</v>
      </c>
      <c r="C427" s="209" t="s">
        <v>2186</v>
      </c>
      <c r="D427" s="209" t="s">
        <v>1296</v>
      </c>
      <c r="E427" s="209" t="s">
        <v>1798</v>
      </c>
      <c r="F427" s="209" t="s">
        <v>1609</v>
      </c>
      <c r="G427" s="209" t="s">
        <v>1123</v>
      </c>
      <c r="H427" s="210">
        <v>320</v>
      </c>
      <c r="I427" s="211" t="s">
        <v>147</v>
      </c>
      <c r="J427" s="144">
        <v>1</v>
      </c>
      <c r="K427" s="145">
        <f t="shared" si="816"/>
        <v>2</v>
      </c>
      <c r="L427" s="202">
        <f t="shared" si="838"/>
        <v>2</v>
      </c>
      <c r="M427" s="212">
        <v>7.6</v>
      </c>
      <c r="N427" s="203">
        <f t="shared" si="839"/>
        <v>15.2</v>
      </c>
      <c r="O427" s="212" t="s">
        <v>137</v>
      </c>
      <c r="P427" s="212" t="s">
        <v>13</v>
      </c>
      <c r="Q427" s="212" t="s">
        <v>148</v>
      </c>
      <c r="R427" s="212"/>
      <c r="S427" s="212"/>
      <c r="T427" s="203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1</v>
      </c>
      <c r="U427" s="203">
        <f t="shared" ca="1" si="840"/>
        <v>1</v>
      </c>
      <c r="V427" s="203">
        <f t="shared" ca="1" si="841"/>
        <v>1</v>
      </c>
      <c r="W427" s="212"/>
      <c r="X427" s="212"/>
      <c r="Y427" s="212"/>
      <c r="Z427" s="212"/>
      <c r="AA427" s="212"/>
      <c r="AB427" s="212"/>
      <c r="AC427" s="214" t="s">
        <v>1923</v>
      </c>
      <c r="AD427" s="215" t="s">
        <v>1924</v>
      </c>
      <c r="AE427" s="148"/>
      <c r="AF427" s="212" t="str">
        <f t="shared" si="817"/>
        <v>N/A</v>
      </c>
      <c r="AG427" s="212">
        <f t="shared" si="817"/>
        <v>0</v>
      </c>
      <c r="AH427" s="203">
        <f t="shared" si="842"/>
        <v>0</v>
      </c>
      <c r="AI427" s="203">
        <f t="shared" ca="1" si="843"/>
        <v>0</v>
      </c>
      <c r="AJ427" s="203">
        <f t="shared" ca="1" si="844"/>
        <v>0</v>
      </c>
      <c r="AK427" s="212" t="str">
        <f t="shared" si="818"/>
        <v>AMC2-S1</v>
      </c>
      <c r="AL427" s="212">
        <f t="shared" si="818"/>
        <v>1</v>
      </c>
      <c r="AM427" s="203">
        <f t="shared" si="845"/>
        <v>1</v>
      </c>
      <c r="AN427" s="203">
        <f t="shared" ca="1" si="846"/>
        <v>1</v>
      </c>
      <c r="AO427" s="203">
        <f t="shared" ca="1" si="847"/>
        <v>0</v>
      </c>
      <c r="AP427" s="212" t="str">
        <f t="shared" si="819"/>
        <v>AMC2-S4</v>
      </c>
      <c r="AQ427" s="212">
        <f t="shared" si="819"/>
        <v>1</v>
      </c>
      <c r="AR427" s="203">
        <f t="shared" si="848"/>
        <v>1</v>
      </c>
      <c r="AS427" s="203">
        <f t="shared" ca="1" si="849"/>
        <v>0</v>
      </c>
      <c r="AT427" s="203">
        <f t="shared" ca="1" si="850"/>
        <v>1</v>
      </c>
      <c r="AU427" s="212" t="str">
        <f t="shared" si="820"/>
        <v>N/A</v>
      </c>
      <c r="AV427" s="212">
        <f t="shared" si="820"/>
        <v>0</v>
      </c>
      <c r="AW427" s="203">
        <f t="shared" si="851"/>
        <v>0</v>
      </c>
      <c r="AX427" s="203">
        <f t="shared" ca="1" si="852"/>
        <v>0</v>
      </c>
      <c r="AY427" s="203">
        <f t="shared" ca="1" si="853"/>
        <v>0</v>
      </c>
      <c r="AZ427" s="212"/>
      <c r="BA427" s="213" t="s">
        <v>1925</v>
      </c>
      <c r="BB427" s="213" t="s">
        <v>1926</v>
      </c>
      <c r="BC427" s="213" t="s">
        <v>1927</v>
      </c>
      <c r="BD427" s="213" t="s">
        <v>140</v>
      </c>
      <c r="BE427" s="148"/>
      <c r="BF427" s="212" t="s">
        <v>1789</v>
      </c>
      <c r="BG427" s="117"/>
      <c r="BH427" s="155"/>
      <c r="BI427" s="216"/>
      <c r="BJ427" s="216"/>
      <c r="BK427" s="216"/>
      <c r="BL427" s="149"/>
      <c r="BM427" s="149"/>
      <c r="BN427" s="149"/>
      <c r="BO427" s="149"/>
      <c r="BP427" s="149"/>
      <c r="BQ427" s="149"/>
      <c r="BR427" s="117">
        <v>1</v>
      </c>
      <c r="BS427" s="117">
        <v>0</v>
      </c>
      <c r="BT427" s="117">
        <v>0</v>
      </c>
      <c r="BU427" s="117">
        <v>0</v>
      </c>
      <c r="BV427" s="117">
        <v>0</v>
      </c>
      <c r="BW427" s="117">
        <v>0</v>
      </c>
      <c r="BX427" s="117">
        <v>0</v>
      </c>
      <c r="BY427" s="117" t="s">
        <v>1790</v>
      </c>
      <c r="BZ427" s="158" t="s">
        <v>2157</v>
      </c>
      <c r="CA427" s="144">
        <v>4</v>
      </c>
      <c r="CB427" s="234">
        <v>46242</v>
      </c>
      <c r="CC427" s="155"/>
      <c r="CD427" s="117"/>
      <c r="CE427" s="217"/>
      <c r="CF427" s="166">
        <f>+L427-CA427</f>
        <v>-2</v>
      </c>
    </row>
    <row r="428" spans="1:84" ht="36" hidden="1">
      <c r="A428" s="186"/>
      <c r="B428" s="187" t="s">
        <v>1962</v>
      </c>
      <c r="C428" s="187" t="s">
        <v>2187</v>
      </c>
      <c r="D428" s="187"/>
      <c r="E428" s="187"/>
      <c r="F428" s="187"/>
      <c r="G428" s="187" t="s">
        <v>1966</v>
      </c>
      <c r="H428" s="188"/>
      <c r="I428" s="189"/>
      <c r="J428" s="190"/>
      <c r="K428" s="191">
        <f t="shared" si="816"/>
        <v>2</v>
      </c>
      <c r="L428" s="190"/>
      <c r="M428" s="192">
        <v>2347.1</v>
      </c>
      <c r="N428" s="192">
        <v>9388.4</v>
      </c>
      <c r="O428" s="192" t="s">
        <v>137</v>
      </c>
      <c r="P428" s="192"/>
      <c r="Q428" s="192"/>
      <c r="R428" s="192"/>
      <c r="S428" s="192"/>
      <c r="T428" s="192"/>
      <c r="U428" s="192"/>
      <c r="V428" s="192"/>
      <c r="W428" s="192">
        <f ca="1">_xlfn.MINIFS(V:V,C:C,C428,AE:AE,"",AB:AB,"")</f>
        <v>1</v>
      </c>
      <c r="X428" s="192">
        <f ca="1">SUMIFS(T:T,C:C,C428,AE:AE,"")/SUMIFS(L:L,C:C,C428,AE:AE,"",AB:AB,"")</f>
        <v>0.6</v>
      </c>
      <c r="Y428" s="192"/>
      <c r="Z428" s="192"/>
      <c r="AA428" s="192"/>
      <c r="AB428" s="192"/>
      <c r="AC428" s="194" t="s">
        <v>1923</v>
      </c>
      <c r="AD428" s="195" t="s">
        <v>1924</v>
      </c>
      <c r="AE428" s="196" t="s">
        <v>1787</v>
      </c>
      <c r="AF428" s="192" t="str">
        <f t="shared" si="817"/>
        <v>N/A</v>
      </c>
      <c r="AG428" s="192">
        <f t="shared" si="817"/>
        <v>0</v>
      </c>
      <c r="AH428" s="192"/>
      <c r="AI428" s="192"/>
      <c r="AJ428" s="192"/>
      <c r="AK428" s="192" t="str">
        <f t="shared" si="818"/>
        <v>AMC2-S1</v>
      </c>
      <c r="AL428" s="192">
        <f t="shared" si="818"/>
        <v>1</v>
      </c>
      <c r="AM428" s="192"/>
      <c r="AN428" s="192"/>
      <c r="AO428" s="192"/>
      <c r="AP428" s="192" t="str">
        <f t="shared" si="819"/>
        <v>AMC2-S4</v>
      </c>
      <c r="AQ428" s="192">
        <f t="shared" si="819"/>
        <v>1</v>
      </c>
      <c r="AR428" s="192"/>
      <c r="AS428" s="192"/>
      <c r="AT428" s="192"/>
      <c r="AU428" s="192" t="str">
        <f t="shared" si="820"/>
        <v>N/A</v>
      </c>
      <c r="AV428" s="192">
        <f t="shared" si="820"/>
        <v>0</v>
      </c>
      <c r="AW428" s="192"/>
      <c r="AX428" s="192"/>
      <c r="AY428" s="192"/>
      <c r="AZ428" s="192"/>
      <c r="BA428" s="193" t="s">
        <v>1925</v>
      </c>
      <c r="BB428" s="193" t="s">
        <v>1926</v>
      </c>
      <c r="BC428" s="193" t="s">
        <v>1927</v>
      </c>
      <c r="BD428" s="193" t="s">
        <v>140</v>
      </c>
      <c r="BE428" s="196" t="s">
        <v>741</v>
      </c>
      <c r="BF428" s="192"/>
      <c r="BG428" s="186"/>
      <c r="BH428" s="186"/>
      <c r="BI428" s="197"/>
      <c r="BJ428" s="197"/>
      <c r="BK428" s="197"/>
      <c r="BL428" s="197"/>
      <c r="BM428" s="197"/>
      <c r="BN428" s="197"/>
      <c r="BO428" s="197"/>
      <c r="BP428" s="197"/>
      <c r="BQ428" s="197"/>
      <c r="BR428" s="186"/>
      <c r="BS428" s="186"/>
      <c r="BT428" s="186"/>
      <c r="BU428" s="186"/>
      <c r="BV428" s="186"/>
      <c r="BW428" s="186"/>
      <c r="BX428" s="186"/>
      <c r="BY428" s="186"/>
      <c r="BZ428" s="186"/>
      <c r="CA428" s="186"/>
      <c r="CB428" s="197"/>
      <c r="CC428" s="186"/>
      <c r="CD428" s="186"/>
      <c r="CE428" s="198"/>
      <c r="CF428" s="198"/>
    </row>
    <row r="429" spans="1:84" ht="36" hidden="1">
      <c r="A429" s="141"/>
      <c r="B429" s="199" t="s">
        <v>1962</v>
      </c>
      <c r="C429" s="199" t="s">
        <v>2187</v>
      </c>
      <c r="D429" s="199" t="s">
        <v>1084</v>
      </c>
      <c r="E429" s="199" t="s">
        <v>1795</v>
      </c>
      <c r="F429" s="199" t="s">
        <v>1610</v>
      </c>
      <c r="G429" s="199" t="s">
        <v>1577</v>
      </c>
      <c r="H429" s="200">
        <v>11920</v>
      </c>
      <c r="I429" s="201" t="s">
        <v>147</v>
      </c>
      <c r="J429" s="165">
        <v>1</v>
      </c>
      <c r="K429" s="202">
        <f t="shared" si="816"/>
        <v>2</v>
      </c>
      <c r="L429" s="202">
        <f t="shared" ref="L429:L432" si="854">+J429*K429</f>
        <v>2</v>
      </c>
      <c r="M429" s="203">
        <v>2165.5</v>
      </c>
      <c r="N429" s="203">
        <f t="shared" ref="N429:N432" si="855">+M429*L429</f>
        <v>4331</v>
      </c>
      <c r="O429" s="203" t="s">
        <v>137</v>
      </c>
      <c r="P429" s="203" t="s">
        <v>13</v>
      </c>
      <c r="Q429" s="203" t="s">
        <v>154</v>
      </c>
      <c r="R429" s="203"/>
      <c r="S429" s="203"/>
      <c r="T429" s="203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2</v>
      </c>
      <c r="U429" s="203">
        <f t="shared" ref="U429:U432" ca="1" si="856">+L429-T429</f>
        <v>0</v>
      </c>
      <c r="V429" s="203">
        <f t="shared" ref="V429:V432" ca="1" si="857">ROUNDDOWN(T429/J429,0)</f>
        <v>2</v>
      </c>
      <c r="W429" s="203"/>
      <c r="X429" s="203"/>
      <c r="Y429" s="203"/>
      <c r="Z429" s="203"/>
      <c r="AA429" s="203"/>
      <c r="AB429" s="203"/>
      <c r="AC429" s="205" t="s">
        <v>1923</v>
      </c>
      <c r="AD429" s="206" t="s">
        <v>1924</v>
      </c>
      <c r="AE429" s="166"/>
      <c r="AF429" s="203" t="str">
        <f t="shared" si="817"/>
        <v>N/A</v>
      </c>
      <c r="AG429" s="203">
        <f t="shared" si="817"/>
        <v>0</v>
      </c>
      <c r="AH429" s="203">
        <f t="shared" ref="AH429:AH432" si="858">+AG429*J429</f>
        <v>0</v>
      </c>
      <c r="AI429" s="203">
        <f t="shared" ref="AI429:AI432" ca="1" si="859">MIN(T429,AH429)</f>
        <v>0</v>
      </c>
      <c r="AJ429" s="203">
        <f t="shared" ref="AJ429:AJ432" ca="1" si="860">+AH429-AI429</f>
        <v>0</v>
      </c>
      <c r="AK429" s="203" t="str">
        <f t="shared" si="818"/>
        <v>AMC2-S1</v>
      </c>
      <c r="AL429" s="203">
        <f t="shared" si="818"/>
        <v>1</v>
      </c>
      <c r="AM429" s="203">
        <f t="shared" ref="AM429:AM432" si="861">+AL429*J429</f>
        <v>1</v>
      </c>
      <c r="AN429" s="203">
        <f t="shared" ref="AN429:AN432" ca="1" si="862">MIN(T429-AI429,AL429)</f>
        <v>1</v>
      </c>
      <c r="AO429" s="203">
        <f t="shared" ref="AO429:AO432" ca="1" si="863">+AM429-AN429</f>
        <v>0</v>
      </c>
      <c r="AP429" s="203" t="str">
        <f t="shared" si="819"/>
        <v>AMC2-S4</v>
      </c>
      <c r="AQ429" s="203">
        <f t="shared" si="819"/>
        <v>1</v>
      </c>
      <c r="AR429" s="203">
        <f t="shared" ref="AR429:AR432" si="864">+AQ429*J429</f>
        <v>1</v>
      </c>
      <c r="AS429" s="203">
        <f t="shared" ref="AS429:AS432" ca="1" si="865">MIN(T429-AI429-AN429,AR429)</f>
        <v>1</v>
      </c>
      <c r="AT429" s="203">
        <f t="shared" ref="AT429:AT432" ca="1" si="866">+AR429-AS429</f>
        <v>0</v>
      </c>
      <c r="AU429" s="203" t="str">
        <f t="shared" si="820"/>
        <v>N/A</v>
      </c>
      <c r="AV429" s="203">
        <f t="shared" si="820"/>
        <v>0</v>
      </c>
      <c r="AW429" s="203">
        <f t="shared" ref="AW429:AW432" si="867">+AV429*J429</f>
        <v>0</v>
      </c>
      <c r="AX429" s="203">
        <f t="shared" ref="AX429:AX432" ca="1" si="868">MIN(T429-AI429-AN429-AS429,AW429)</f>
        <v>0</v>
      </c>
      <c r="AY429" s="203">
        <f t="shared" ref="AY429:AY432" ca="1" si="869">+AW429-AX429</f>
        <v>0</v>
      </c>
      <c r="AZ429" s="203"/>
      <c r="BA429" s="204" t="s">
        <v>1925</v>
      </c>
      <c r="BB429" s="204" t="s">
        <v>1926</v>
      </c>
      <c r="BC429" s="204" t="s">
        <v>1927</v>
      </c>
      <c r="BD429" s="204" t="s">
        <v>140</v>
      </c>
      <c r="BE429" s="166"/>
      <c r="BF429" s="203" t="s">
        <v>1789</v>
      </c>
      <c r="BG429" s="141"/>
      <c r="BH429" s="152"/>
      <c r="BI429" s="207"/>
      <c r="BJ429" s="207"/>
      <c r="BK429" s="207"/>
      <c r="BL429" s="153" t="s">
        <v>1932</v>
      </c>
      <c r="BM429" s="153"/>
      <c r="BN429" s="153"/>
      <c r="BO429" s="153"/>
      <c r="BP429" s="153"/>
      <c r="BQ429" s="150" t="s">
        <v>2185</v>
      </c>
      <c r="BR429" s="141">
        <v>0</v>
      </c>
      <c r="BS429" s="141">
        <v>1</v>
      </c>
      <c r="BT429" s="141">
        <v>0</v>
      </c>
      <c r="BU429" s="141">
        <v>1</v>
      </c>
      <c r="BV429" s="141">
        <v>0</v>
      </c>
      <c r="BW429" s="141">
        <v>0</v>
      </c>
      <c r="BX429" s="141">
        <v>0</v>
      </c>
      <c r="BY429" s="141" t="s">
        <v>1790</v>
      </c>
      <c r="BZ429" s="167" t="s">
        <v>57</v>
      </c>
      <c r="CA429" s="204">
        <v>4</v>
      </c>
      <c r="CB429" s="235"/>
      <c r="CC429" s="152"/>
      <c r="CD429" s="141"/>
      <c r="CE429" s="208"/>
      <c r="CF429" s="166">
        <f>+L429-CA429</f>
        <v>-2</v>
      </c>
    </row>
    <row r="430" spans="1:84" ht="36" hidden="1">
      <c r="A430" s="117"/>
      <c r="B430" s="209" t="s">
        <v>1962</v>
      </c>
      <c r="C430" s="209" t="s">
        <v>2187</v>
      </c>
      <c r="D430" s="209" t="s">
        <v>1296</v>
      </c>
      <c r="E430" s="209" t="s">
        <v>1796</v>
      </c>
      <c r="F430" s="209" t="s">
        <v>1611</v>
      </c>
      <c r="G430" s="209" t="s">
        <v>1592</v>
      </c>
      <c r="H430" s="210">
        <v>2165</v>
      </c>
      <c r="I430" s="211" t="s">
        <v>147</v>
      </c>
      <c r="J430" s="144">
        <v>7</v>
      </c>
      <c r="K430" s="145">
        <f t="shared" si="816"/>
        <v>2</v>
      </c>
      <c r="L430" s="202">
        <f t="shared" si="854"/>
        <v>14</v>
      </c>
      <c r="M430" s="212">
        <v>27.2</v>
      </c>
      <c r="N430" s="203">
        <f t="shared" si="855"/>
        <v>380.8</v>
      </c>
      <c r="O430" s="212" t="s">
        <v>137</v>
      </c>
      <c r="P430" s="212" t="s">
        <v>13</v>
      </c>
      <c r="Q430" s="212" t="s">
        <v>148</v>
      </c>
      <c r="R430" s="212"/>
      <c r="S430" s="212"/>
      <c r="T430" s="203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7</v>
      </c>
      <c r="U430" s="203">
        <f t="shared" ca="1" si="856"/>
        <v>7</v>
      </c>
      <c r="V430" s="203">
        <f t="shared" ca="1" si="857"/>
        <v>1</v>
      </c>
      <c r="W430" s="212"/>
      <c r="X430" s="212"/>
      <c r="Y430" s="212"/>
      <c r="Z430" s="212"/>
      <c r="AA430" s="212"/>
      <c r="AB430" s="212"/>
      <c r="AC430" s="214" t="s">
        <v>1923</v>
      </c>
      <c r="AD430" s="215" t="s">
        <v>1924</v>
      </c>
      <c r="AE430" s="148"/>
      <c r="AF430" s="212" t="str">
        <f t="shared" si="817"/>
        <v>N/A</v>
      </c>
      <c r="AG430" s="212">
        <f t="shared" si="817"/>
        <v>0</v>
      </c>
      <c r="AH430" s="203">
        <f t="shared" si="858"/>
        <v>0</v>
      </c>
      <c r="AI430" s="203">
        <f t="shared" ca="1" si="859"/>
        <v>0</v>
      </c>
      <c r="AJ430" s="203">
        <f t="shared" ca="1" si="860"/>
        <v>0</v>
      </c>
      <c r="AK430" s="212" t="str">
        <f t="shared" si="818"/>
        <v>AMC2-S1</v>
      </c>
      <c r="AL430" s="212">
        <f t="shared" si="818"/>
        <v>1</v>
      </c>
      <c r="AM430" s="203">
        <f t="shared" si="861"/>
        <v>7</v>
      </c>
      <c r="AN430" s="203">
        <f t="shared" ca="1" si="862"/>
        <v>1</v>
      </c>
      <c r="AO430" s="203">
        <f t="shared" ca="1" si="863"/>
        <v>6</v>
      </c>
      <c r="AP430" s="212" t="str">
        <f t="shared" si="819"/>
        <v>AMC2-S4</v>
      </c>
      <c r="AQ430" s="212">
        <f t="shared" si="819"/>
        <v>1</v>
      </c>
      <c r="AR430" s="203">
        <f t="shared" si="864"/>
        <v>7</v>
      </c>
      <c r="AS430" s="203">
        <f t="shared" ca="1" si="865"/>
        <v>6</v>
      </c>
      <c r="AT430" s="203">
        <f t="shared" ca="1" si="866"/>
        <v>1</v>
      </c>
      <c r="AU430" s="212" t="str">
        <f t="shared" si="820"/>
        <v>N/A</v>
      </c>
      <c r="AV430" s="212">
        <f t="shared" si="820"/>
        <v>0</v>
      </c>
      <c r="AW430" s="203">
        <f t="shared" si="867"/>
        <v>0</v>
      </c>
      <c r="AX430" s="203">
        <f t="shared" ca="1" si="868"/>
        <v>0</v>
      </c>
      <c r="AY430" s="203">
        <f t="shared" ca="1" si="869"/>
        <v>0</v>
      </c>
      <c r="AZ430" s="212"/>
      <c r="BA430" s="213" t="s">
        <v>1925</v>
      </c>
      <c r="BB430" s="213" t="s">
        <v>1926</v>
      </c>
      <c r="BC430" s="213" t="s">
        <v>1927</v>
      </c>
      <c r="BD430" s="213" t="s">
        <v>140</v>
      </c>
      <c r="BE430" s="148"/>
      <c r="BF430" s="212" t="s">
        <v>1789</v>
      </c>
      <c r="BG430" s="117"/>
      <c r="BH430" s="155"/>
      <c r="BI430" s="216"/>
      <c r="BJ430" s="216"/>
      <c r="BK430" s="216"/>
      <c r="BL430" s="149"/>
      <c r="BM430" s="149"/>
      <c r="BN430" s="149"/>
      <c r="BO430" s="149"/>
      <c r="BP430" s="149"/>
      <c r="BQ430" s="149"/>
      <c r="BR430" s="117">
        <v>0</v>
      </c>
      <c r="BS430" s="117">
        <v>0</v>
      </c>
      <c r="BT430" s="117">
        <v>0</v>
      </c>
      <c r="BU430" s="117">
        <v>1</v>
      </c>
      <c r="BV430" s="117">
        <v>0</v>
      </c>
      <c r="BW430" s="117">
        <v>0</v>
      </c>
      <c r="BX430" s="117">
        <v>0</v>
      </c>
      <c r="BY430" s="117" t="s">
        <v>1790</v>
      </c>
      <c r="BZ430" s="158" t="s">
        <v>2156</v>
      </c>
      <c r="CA430" s="158">
        <v>28</v>
      </c>
      <c r="CB430" s="234">
        <v>46213</v>
      </c>
      <c r="CC430" s="155"/>
      <c r="CD430" s="141"/>
      <c r="CE430" s="217"/>
      <c r="CF430" s="166">
        <f>+L430-CA430</f>
        <v>-14</v>
      </c>
    </row>
    <row r="431" spans="1:84" ht="36" hidden="1">
      <c r="A431" s="117"/>
      <c r="B431" s="209" t="s">
        <v>1962</v>
      </c>
      <c r="C431" s="209" t="s">
        <v>2187</v>
      </c>
      <c r="D431" s="209" t="s">
        <v>1296</v>
      </c>
      <c r="E431" s="209" t="s">
        <v>1797</v>
      </c>
      <c r="F431" s="209" t="s">
        <v>1612</v>
      </c>
      <c r="G431" s="209" t="s">
        <v>1125</v>
      </c>
      <c r="H431" s="210">
        <v>200</v>
      </c>
      <c r="I431" s="211" t="s">
        <v>147</v>
      </c>
      <c r="J431" s="144">
        <v>1</v>
      </c>
      <c r="K431" s="145">
        <f t="shared" si="816"/>
        <v>2</v>
      </c>
      <c r="L431" s="202">
        <f t="shared" si="854"/>
        <v>2</v>
      </c>
      <c r="M431" s="212">
        <v>5.5</v>
      </c>
      <c r="N431" s="203">
        <f t="shared" si="855"/>
        <v>11</v>
      </c>
      <c r="O431" s="212" t="s">
        <v>137</v>
      </c>
      <c r="P431" s="212" t="s">
        <v>13</v>
      </c>
      <c r="Q431" s="212" t="s">
        <v>148</v>
      </c>
      <c r="R431" s="212"/>
      <c r="S431" s="212"/>
      <c r="T431" s="203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2</v>
      </c>
      <c r="U431" s="203">
        <f t="shared" ca="1" si="856"/>
        <v>0</v>
      </c>
      <c r="V431" s="203">
        <f t="shared" ca="1" si="857"/>
        <v>2</v>
      </c>
      <c r="W431" s="212"/>
      <c r="X431" s="212"/>
      <c r="Y431" s="212"/>
      <c r="Z431" s="212"/>
      <c r="AA431" s="212"/>
      <c r="AB431" s="212"/>
      <c r="AC431" s="214" t="s">
        <v>1923</v>
      </c>
      <c r="AD431" s="215" t="s">
        <v>1924</v>
      </c>
      <c r="AE431" s="148"/>
      <c r="AF431" s="212" t="str">
        <f t="shared" ref="AF431:AG432" si="870">AF430</f>
        <v>N/A</v>
      </c>
      <c r="AG431" s="212">
        <f t="shared" si="870"/>
        <v>0</v>
      </c>
      <c r="AH431" s="203">
        <f t="shared" si="858"/>
        <v>0</v>
      </c>
      <c r="AI431" s="203">
        <f t="shared" ca="1" si="859"/>
        <v>0</v>
      </c>
      <c r="AJ431" s="203">
        <f t="shared" ca="1" si="860"/>
        <v>0</v>
      </c>
      <c r="AK431" s="212" t="str">
        <f t="shared" ref="AK431:AL432" si="871">AK430</f>
        <v>AMC2-S1</v>
      </c>
      <c r="AL431" s="212">
        <f t="shared" si="871"/>
        <v>1</v>
      </c>
      <c r="AM431" s="203">
        <f t="shared" si="861"/>
        <v>1</v>
      </c>
      <c r="AN431" s="203">
        <f t="shared" ca="1" si="862"/>
        <v>1</v>
      </c>
      <c r="AO431" s="203">
        <f t="shared" ca="1" si="863"/>
        <v>0</v>
      </c>
      <c r="AP431" s="212" t="str">
        <f t="shared" ref="AP431:AQ432" si="872">AP430</f>
        <v>AMC2-S4</v>
      </c>
      <c r="AQ431" s="212">
        <f t="shared" si="872"/>
        <v>1</v>
      </c>
      <c r="AR431" s="203">
        <f t="shared" si="864"/>
        <v>1</v>
      </c>
      <c r="AS431" s="203">
        <f t="shared" ca="1" si="865"/>
        <v>1</v>
      </c>
      <c r="AT431" s="203">
        <f t="shared" ca="1" si="866"/>
        <v>0</v>
      </c>
      <c r="AU431" s="212" t="str">
        <f t="shared" ref="AU431:AV432" si="873">AU430</f>
        <v>N/A</v>
      </c>
      <c r="AV431" s="212">
        <f t="shared" si="873"/>
        <v>0</v>
      </c>
      <c r="AW431" s="203">
        <f t="shared" si="867"/>
        <v>0</v>
      </c>
      <c r="AX431" s="203">
        <f t="shared" ca="1" si="868"/>
        <v>0</v>
      </c>
      <c r="AY431" s="203">
        <f t="shared" ca="1" si="869"/>
        <v>0</v>
      </c>
      <c r="AZ431" s="212"/>
      <c r="BA431" s="213" t="s">
        <v>1925</v>
      </c>
      <c r="BB431" s="213" t="s">
        <v>1926</v>
      </c>
      <c r="BC431" s="213" t="s">
        <v>1927</v>
      </c>
      <c r="BD431" s="213" t="s">
        <v>140</v>
      </c>
      <c r="BE431" s="148"/>
      <c r="BF431" s="212" t="s">
        <v>1789</v>
      </c>
      <c r="BG431" s="117"/>
      <c r="BH431" s="155"/>
      <c r="BI431" s="216"/>
      <c r="BJ431" s="216"/>
      <c r="BK431" s="216"/>
      <c r="BL431" s="149"/>
      <c r="BM431" s="149"/>
      <c r="BN431" s="149"/>
      <c r="BO431" s="149"/>
      <c r="BP431" s="149"/>
      <c r="BQ431" s="149"/>
      <c r="BR431" s="117">
        <v>1</v>
      </c>
      <c r="BS431" s="117">
        <v>0</v>
      </c>
      <c r="BT431" s="117">
        <v>0</v>
      </c>
      <c r="BU431" s="117">
        <v>0</v>
      </c>
      <c r="BV431" s="117">
        <v>0</v>
      </c>
      <c r="BW431" s="117">
        <v>0</v>
      </c>
      <c r="BX431" s="117">
        <v>0</v>
      </c>
      <c r="BY431" s="117" t="s">
        <v>1790</v>
      </c>
      <c r="BZ431" s="158" t="s">
        <v>2155</v>
      </c>
      <c r="CA431" s="144">
        <v>4</v>
      </c>
      <c r="CB431" s="235">
        <v>46231</v>
      </c>
      <c r="CC431" s="155"/>
      <c r="CD431" s="141"/>
      <c r="CE431" s="217"/>
      <c r="CF431" s="166">
        <f>+L431-CA431</f>
        <v>-2</v>
      </c>
    </row>
    <row r="432" spans="1:84" ht="36" hidden="1">
      <c r="A432" s="117"/>
      <c r="B432" s="209" t="s">
        <v>1962</v>
      </c>
      <c r="C432" s="209" t="s">
        <v>2187</v>
      </c>
      <c r="D432" s="209" t="s">
        <v>1296</v>
      </c>
      <c r="E432" s="209" t="s">
        <v>1798</v>
      </c>
      <c r="F432" s="209" t="s">
        <v>1613</v>
      </c>
      <c r="G432" s="209" t="s">
        <v>1123</v>
      </c>
      <c r="H432" s="210">
        <v>320</v>
      </c>
      <c r="I432" s="211" t="s">
        <v>147</v>
      </c>
      <c r="J432" s="144">
        <v>1</v>
      </c>
      <c r="K432" s="145">
        <f t="shared" si="816"/>
        <v>2</v>
      </c>
      <c r="L432" s="202">
        <f t="shared" si="854"/>
        <v>2</v>
      </c>
      <c r="M432" s="212">
        <v>7.6</v>
      </c>
      <c r="N432" s="203">
        <f t="shared" si="855"/>
        <v>15.2</v>
      </c>
      <c r="O432" s="212" t="s">
        <v>137</v>
      </c>
      <c r="P432" s="212" t="s">
        <v>13</v>
      </c>
      <c r="Q432" s="212" t="s">
        <v>148</v>
      </c>
      <c r="R432" s="212"/>
      <c r="S432" s="212"/>
      <c r="T432" s="203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1</v>
      </c>
      <c r="U432" s="203">
        <f t="shared" ca="1" si="856"/>
        <v>1</v>
      </c>
      <c r="V432" s="203">
        <f t="shared" ca="1" si="857"/>
        <v>1</v>
      </c>
      <c r="W432" s="212"/>
      <c r="X432" s="212"/>
      <c r="Y432" s="212"/>
      <c r="Z432" s="212"/>
      <c r="AA432" s="212"/>
      <c r="AB432" s="212"/>
      <c r="AC432" s="214" t="s">
        <v>1923</v>
      </c>
      <c r="AD432" s="215" t="s">
        <v>1924</v>
      </c>
      <c r="AE432" s="148"/>
      <c r="AF432" s="212" t="str">
        <f t="shared" si="870"/>
        <v>N/A</v>
      </c>
      <c r="AG432" s="212">
        <f t="shared" si="870"/>
        <v>0</v>
      </c>
      <c r="AH432" s="203">
        <f t="shared" si="858"/>
        <v>0</v>
      </c>
      <c r="AI432" s="203">
        <f t="shared" ca="1" si="859"/>
        <v>0</v>
      </c>
      <c r="AJ432" s="203">
        <f t="shared" ca="1" si="860"/>
        <v>0</v>
      </c>
      <c r="AK432" s="212" t="str">
        <f t="shared" si="871"/>
        <v>AMC2-S1</v>
      </c>
      <c r="AL432" s="212">
        <f t="shared" si="871"/>
        <v>1</v>
      </c>
      <c r="AM432" s="203">
        <f t="shared" si="861"/>
        <v>1</v>
      </c>
      <c r="AN432" s="203">
        <f t="shared" ca="1" si="862"/>
        <v>1</v>
      </c>
      <c r="AO432" s="203">
        <f t="shared" ca="1" si="863"/>
        <v>0</v>
      </c>
      <c r="AP432" s="212" t="str">
        <f t="shared" si="872"/>
        <v>AMC2-S4</v>
      </c>
      <c r="AQ432" s="212">
        <f t="shared" si="872"/>
        <v>1</v>
      </c>
      <c r="AR432" s="203">
        <f t="shared" si="864"/>
        <v>1</v>
      </c>
      <c r="AS432" s="203">
        <f t="shared" ca="1" si="865"/>
        <v>0</v>
      </c>
      <c r="AT432" s="203">
        <f t="shared" ca="1" si="866"/>
        <v>1</v>
      </c>
      <c r="AU432" s="212" t="str">
        <f t="shared" si="873"/>
        <v>N/A</v>
      </c>
      <c r="AV432" s="212">
        <f t="shared" si="873"/>
        <v>0</v>
      </c>
      <c r="AW432" s="203">
        <f t="shared" si="867"/>
        <v>0</v>
      </c>
      <c r="AX432" s="203">
        <f t="shared" ca="1" si="868"/>
        <v>0</v>
      </c>
      <c r="AY432" s="203">
        <f t="shared" ca="1" si="869"/>
        <v>0</v>
      </c>
      <c r="AZ432" s="212"/>
      <c r="BA432" s="213" t="s">
        <v>1925</v>
      </c>
      <c r="BB432" s="213" t="s">
        <v>1926</v>
      </c>
      <c r="BC432" s="213" t="s">
        <v>1927</v>
      </c>
      <c r="BD432" s="213" t="s">
        <v>140</v>
      </c>
      <c r="BE432" s="148"/>
      <c r="BF432" s="212" t="s">
        <v>1789</v>
      </c>
      <c r="BG432" s="117"/>
      <c r="BH432" s="155"/>
      <c r="BI432" s="216"/>
      <c r="BJ432" s="216"/>
      <c r="BK432" s="216"/>
      <c r="BL432" s="149"/>
      <c r="BM432" s="149"/>
      <c r="BN432" s="149"/>
      <c r="BO432" s="149"/>
      <c r="BP432" s="149"/>
      <c r="BQ432" s="149"/>
      <c r="BR432" s="117">
        <v>1</v>
      </c>
      <c r="BS432" s="117">
        <v>0</v>
      </c>
      <c r="BT432" s="117">
        <v>0</v>
      </c>
      <c r="BU432" s="117">
        <v>0</v>
      </c>
      <c r="BV432" s="117">
        <v>0</v>
      </c>
      <c r="BW432" s="117">
        <v>0</v>
      </c>
      <c r="BX432" s="117">
        <v>0</v>
      </c>
      <c r="BY432" s="117" t="s">
        <v>1790</v>
      </c>
      <c r="BZ432" s="158" t="s">
        <v>2157</v>
      </c>
      <c r="CA432" s="144">
        <v>4</v>
      </c>
      <c r="CB432" s="234">
        <v>46242</v>
      </c>
      <c r="CC432" s="155"/>
      <c r="CD432" s="117"/>
      <c r="CE432" s="217"/>
      <c r="CF432" s="166">
        <f>+L432-CA432</f>
        <v>-2</v>
      </c>
    </row>
    <row r="433" spans="1:84" ht="36" hidden="1">
      <c r="A433" s="162">
        <v>142</v>
      </c>
      <c r="B433" s="177" t="s">
        <v>1967</v>
      </c>
      <c r="C433" s="177" t="s">
        <v>2188</v>
      </c>
      <c r="D433" s="177" t="s">
        <v>1968</v>
      </c>
      <c r="E433" s="177"/>
      <c r="F433" s="177"/>
      <c r="G433" s="177" t="s">
        <v>1969</v>
      </c>
      <c r="H433" s="178"/>
      <c r="I433" s="179"/>
      <c r="J433" s="160"/>
      <c r="K433" s="180">
        <f>+AG433+AL433+AQ433+AV433</f>
        <v>2</v>
      </c>
      <c r="L433" s="160"/>
      <c r="M433" s="181">
        <v>6373.3</v>
      </c>
      <c r="N433" s="181">
        <v>25493.200000000001</v>
      </c>
      <c r="O433" s="181" t="s">
        <v>137</v>
      </c>
      <c r="P433" s="181"/>
      <c r="Q433" s="181"/>
      <c r="R433" s="181"/>
      <c r="S433" s="181"/>
      <c r="T433" s="181"/>
      <c r="U433" s="181"/>
      <c r="V433" s="181"/>
      <c r="W433" s="181">
        <f ca="1">_xlfn.MINIFS(V:V,C:C,C433,AE:AE,"",AB:AB,"")</f>
        <v>0</v>
      </c>
      <c r="X433" s="181">
        <f ca="1">SUMIFS(T:T,C:C,C433,AE:AE,"")/SUMIFS(L:L,C:C,C433,AE:AE,"",AB:AB,"")</f>
        <v>0.70370370370370372</v>
      </c>
      <c r="Y433" s="181"/>
      <c r="Z433" s="181"/>
      <c r="AA433" s="181"/>
      <c r="AB433" s="181"/>
      <c r="AC433" s="228" t="s">
        <v>1923</v>
      </c>
      <c r="AD433" s="184" t="s">
        <v>1924</v>
      </c>
      <c r="AE433" s="162" t="s">
        <v>143</v>
      </c>
      <c r="AF433" s="181" t="s">
        <v>138</v>
      </c>
      <c r="AG433" s="181">
        <v>0</v>
      </c>
      <c r="AH433" s="181"/>
      <c r="AI433" s="181"/>
      <c r="AJ433" s="181"/>
      <c r="AK433" s="181" t="s">
        <v>1970</v>
      </c>
      <c r="AL433" s="181">
        <v>1</v>
      </c>
      <c r="AM433" s="181"/>
      <c r="AN433" s="181"/>
      <c r="AO433" s="181"/>
      <c r="AP433" s="181" t="s">
        <v>1922</v>
      </c>
      <c r="AQ433" s="181">
        <v>1</v>
      </c>
      <c r="AR433" s="181"/>
      <c r="AS433" s="181"/>
      <c r="AT433" s="181"/>
      <c r="AU433" s="181" t="s">
        <v>138</v>
      </c>
      <c r="AV433" s="181">
        <v>0</v>
      </c>
      <c r="AW433" s="181"/>
      <c r="AX433" s="181"/>
      <c r="AY433" s="181"/>
      <c r="AZ433" s="181"/>
      <c r="BA433" s="182" t="s">
        <v>1925</v>
      </c>
      <c r="BB433" s="182" t="s">
        <v>1926</v>
      </c>
      <c r="BC433" s="182" t="s">
        <v>1927</v>
      </c>
      <c r="BD433" s="182" t="s">
        <v>140</v>
      </c>
      <c r="BE433" s="162" t="s">
        <v>741</v>
      </c>
      <c r="BF433" s="181"/>
      <c r="BG433" s="161"/>
      <c r="BH433" s="161"/>
      <c r="BI433" s="163"/>
      <c r="BJ433" s="163"/>
      <c r="BK433" s="163"/>
      <c r="BL433" s="163"/>
      <c r="BM433" s="163"/>
      <c r="BN433" s="163"/>
      <c r="BO433" s="163"/>
      <c r="BP433" s="163"/>
      <c r="BQ433" s="163"/>
      <c r="BR433" s="161"/>
      <c r="BS433" s="161"/>
      <c r="BT433" s="161"/>
      <c r="BU433" s="161"/>
      <c r="BV433" s="161"/>
      <c r="BW433" s="161"/>
      <c r="BX433" s="161"/>
      <c r="BY433" s="161"/>
      <c r="BZ433" s="161"/>
      <c r="CA433" s="161"/>
      <c r="CB433" s="163"/>
      <c r="CC433" s="161"/>
      <c r="CD433" s="161"/>
      <c r="CE433" s="185"/>
      <c r="CF433" s="185"/>
    </row>
    <row r="434" spans="1:84" ht="36" hidden="1">
      <c r="A434" s="141"/>
      <c r="B434" s="199" t="s">
        <v>1967</v>
      </c>
      <c r="C434" s="199" t="s">
        <v>2188</v>
      </c>
      <c r="D434" s="199" t="s">
        <v>1084</v>
      </c>
      <c r="E434" s="199" t="s">
        <v>1788</v>
      </c>
      <c r="F434" s="199" t="s">
        <v>1655</v>
      </c>
      <c r="G434" s="199" t="s">
        <v>1194</v>
      </c>
      <c r="H434" s="200">
        <v>9403</v>
      </c>
      <c r="I434" s="201" t="s">
        <v>147</v>
      </c>
      <c r="J434" s="165">
        <v>1</v>
      </c>
      <c r="K434" s="202">
        <f t="shared" ref="K434:K451" si="874">K433</f>
        <v>2</v>
      </c>
      <c r="L434" s="202">
        <f t="shared" ref="L434:L451" si="875">+J434*K434</f>
        <v>2</v>
      </c>
      <c r="M434" s="203">
        <v>4302.8999999999996</v>
      </c>
      <c r="N434" s="203">
        <f t="shared" ref="N434:N451" si="876">+M434*L434</f>
        <v>8605.7999999999993</v>
      </c>
      <c r="O434" s="203" t="s">
        <v>137</v>
      </c>
      <c r="P434" s="203" t="s">
        <v>13</v>
      </c>
      <c r="Q434" s="203" t="s">
        <v>154</v>
      </c>
      <c r="R434" s="203"/>
      <c r="S434" s="203"/>
      <c r="T434" s="203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2</v>
      </c>
      <c r="U434" s="203">
        <f t="shared" ref="U434:U451" ca="1" si="877">+L434-T434</f>
        <v>0</v>
      </c>
      <c r="V434" s="203">
        <f t="shared" ref="V434:V451" ca="1" si="878">ROUNDDOWN(T434/J434,0)</f>
        <v>2</v>
      </c>
      <c r="W434" s="203"/>
      <c r="X434" s="203"/>
      <c r="Y434" s="203"/>
      <c r="Z434" s="203"/>
      <c r="AA434" s="203"/>
      <c r="AB434" s="203"/>
      <c r="AC434" s="205" t="s">
        <v>1923</v>
      </c>
      <c r="AD434" s="206" t="s">
        <v>1924</v>
      </c>
      <c r="AE434" s="166"/>
      <c r="AF434" s="203" t="str">
        <f t="shared" ref="AF434:AG449" si="879">AF433</f>
        <v>N/A</v>
      </c>
      <c r="AG434" s="203">
        <f t="shared" si="879"/>
        <v>0</v>
      </c>
      <c r="AH434" s="203">
        <f t="shared" ref="AH434:AH451" si="880">+AG434*J434</f>
        <v>0</v>
      </c>
      <c r="AI434" s="203">
        <f t="shared" ref="AI434:AI451" ca="1" si="881">MIN(T434,AH434)</f>
        <v>0</v>
      </c>
      <c r="AJ434" s="203">
        <f t="shared" ref="AJ434:AJ451" ca="1" si="882">+AH434-AI434</f>
        <v>0</v>
      </c>
      <c r="AK434" s="203" t="str">
        <f t="shared" ref="AK434:AL449" si="883">AK433</f>
        <v>AMC2-S2</v>
      </c>
      <c r="AL434" s="203">
        <f t="shared" si="883"/>
        <v>1</v>
      </c>
      <c r="AM434" s="203">
        <f t="shared" ref="AM434:AM451" si="884">+AL434*J434</f>
        <v>1</v>
      </c>
      <c r="AN434" s="203">
        <f t="shared" ref="AN434:AN451" ca="1" si="885">MIN(T434-AI434,AL434)</f>
        <v>1</v>
      </c>
      <c r="AO434" s="203">
        <f t="shared" ref="AO434:AO451" ca="1" si="886">+AM434-AN434</f>
        <v>0</v>
      </c>
      <c r="AP434" s="203" t="str">
        <f t="shared" ref="AP434:AQ449" si="887">AP433</f>
        <v>AMC2-S4</v>
      </c>
      <c r="AQ434" s="203">
        <f t="shared" si="887"/>
        <v>1</v>
      </c>
      <c r="AR434" s="203">
        <f t="shared" ref="AR434:AR451" si="888">+AQ434*J434</f>
        <v>1</v>
      </c>
      <c r="AS434" s="203">
        <f t="shared" ref="AS434:AS451" ca="1" si="889">MIN(T434-AI434-AN434,AR434)</f>
        <v>1</v>
      </c>
      <c r="AT434" s="203">
        <f t="shared" ref="AT434:AT451" ca="1" si="890">+AR434-AS434</f>
        <v>0</v>
      </c>
      <c r="AU434" s="203" t="str">
        <f t="shared" ref="AU434:AV449" si="891">AU433</f>
        <v>N/A</v>
      </c>
      <c r="AV434" s="203">
        <f t="shared" si="891"/>
        <v>0</v>
      </c>
      <c r="AW434" s="203">
        <f t="shared" ref="AW434:AW451" si="892">+AV434*J434</f>
        <v>0</v>
      </c>
      <c r="AX434" s="203">
        <f t="shared" ref="AX434:AX451" ca="1" si="893">MIN(T434-AI434-AN434-AS434,AW434)</f>
        <v>0</v>
      </c>
      <c r="AY434" s="203">
        <f t="shared" ref="AY434:AY451" ca="1" si="894">+AW434-AX434</f>
        <v>0</v>
      </c>
      <c r="AZ434" s="203"/>
      <c r="BA434" s="204" t="s">
        <v>1925</v>
      </c>
      <c r="BB434" s="204" t="s">
        <v>1926</v>
      </c>
      <c r="BC434" s="204" t="s">
        <v>1927</v>
      </c>
      <c r="BD434" s="204" t="s">
        <v>140</v>
      </c>
      <c r="BE434" s="166"/>
      <c r="BF434" s="203" t="s">
        <v>1789</v>
      </c>
      <c r="BG434" s="141"/>
      <c r="BH434" s="152"/>
      <c r="BI434" s="207"/>
      <c r="BJ434" s="207"/>
      <c r="BK434" s="207"/>
      <c r="BL434" s="153" t="s">
        <v>1932</v>
      </c>
      <c r="BM434" s="153"/>
      <c r="BN434" s="153"/>
      <c r="BO434" s="153"/>
      <c r="BP434" s="153"/>
      <c r="BQ434" s="153"/>
      <c r="BR434" s="141">
        <v>0</v>
      </c>
      <c r="BS434" s="141">
        <v>1</v>
      </c>
      <c r="BT434" s="141">
        <v>0</v>
      </c>
      <c r="BU434" s="141">
        <v>1</v>
      </c>
      <c r="BV434" s="141">
        <v>0</v>
      </c>
      <c r="BW434" s="141">
        <v>0</v>
      </c>
      <c r="BX434" s="141">
        <v>0</v>
      </c>
      <c r="BY434" s="141" t="s">
        <v>1790</v>
      </c>
      <c r="BZ434" s="167" t="s">
        <v>57</v>
      </c>
      <c r="CA434" s="204">
        <v>4</v>
      </c>
      <c r="CB434" s="235"/>
      <c r="CC434" s="152"/>
      <c r="CD434" s="141"/>
      <c r="CE434" s="208"/>
      <c r="CF434" s="166">
        <f t="shared" ref="CF434:CF451" si="895">+L434-CA434</f>
        <v>-2</v>
      </c>
    </row>
    <row r="435" spans="1:84" ht="36" hidden="1">
      <c r="A435" s="141"/>
      <c r="B435" s="199" t="s">
        <v>1967</v>
      </c>
      <c r="C435" s="199" t="s">
        <v>2188</v>
      </c>
      <c r="D435" s="199" t="s">
        <v>1084</v>
      </c>
      <c r="E435" s="199" t="s">
        <v>1791</v>
      </c>
      <c r="F435" s="199" t="s">
        <v>1664</v>
      </c>
      <c r="G435" s="199" t="s">
        <v>1665</v>
      </c>
      <c r="H435" s="200">
        <v>6061</v>
      </c>
      <c r="I435" s="201" t="s">
        <v>147</v>
      </c>
      <c r="J435" s="165">
        <v>1</v>
      </c>
      <c r="K435" s="202">
        <f t="shared" si="874"/>
        <v>2</v>
      </c>
      <c r="L435" s="202">
        <f t="shared" si="875"/>
        <v>2</v>
      </c>
      <c r="M435" s="203">
        <v>862.7</v>
      </c>
      <c r="N435" s="203">
        <f t="shared" si="876"/>
        <v>1725.4</v>
      </c>
      <c r="O435" s="203" t="s">
        <v>137</v>
      </c>
      <c r="P435" s="203" t="s">
        <v>13</v>
      </c>
      <c r="Q435" s="203" t="s">
        <v>154</v>
      </c>
      <c r="R435" s="203"/>
      <c r="S435" s="203"/>
      <c r="T435" s="203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2</v>
      </c>
      <c r="U435" s="203">
        <f t="shared" ca="1" si="877"/>
        <v>0</v>
      </c>
      <c r="V435" s="203">
        <f t="shared" ca="1" si="878"/>
        <v>2</v>
      </c>
      <c r="W435" s="203"/>
      <c r="X435" s="203"/>
      <c r="Y435" s="203"/>
      <c r="Z435" s="203"/>
      <c r="AA435" s="203"/>
      <c r="AB435" s="203"/>
      <c r="AC435" s="205" t="s">
        <v>1923</v>
      </c>
      <c r="AD435" s="206" t="s">
        <v>1924</v>
      </c>
      <c r="AE435" s="166"/>
      <c r="AF435" s="203" t="str">
        <f t="shared" si="879"/>
        <v>N/A</v>
      </c>
      <c r="AG435" s="203">
        <f t="shared" si="879"/>
        <v>0</v>
      </c>
      <c r="AH435" s="203">
        <f t="shared" si="880"/>
        <v>0</v>
      </c>
      <c r="AI435" s="203">
        <f t="shared" ca="1" si="881"/>
        <v>0</v>
      </c>
      <c r="AJ435" s="203">
        <f t="shared" ca="1" si="882"/>
        <v>0</v>
      </c>
      <c r="AK435" s="203" t="str">
        <f t="shared" si="883"/>
        <v>AMC2-S2</v>
      </c>
      <c r="AL435" s="203">
        <f t="shared" si="883"/>
        <v>1</v>
      </c>
      <c r="AM435" s="203">
        <f t="shared" si="884"/>
        <v>1</v>
      </c>
      <c r="AN435" s="203">
        <f t="shared" ca="1" si="885"/>
        <v>1</v>
      </c>
      <c r="AO435" s="203">
        <f t="shared" ca="1" si="886"/>
        <v>0</v>
      </c>
      <c r="AP435" s="203" t="str">
        <f t="shared" si="887"/>
        <v>AMC2-S4</v>
      </c>
      <c r="AQ435" s="203">
        <f t="shared" si="887"/>
        <v>1</v>
      </c>
      <c r="AR435" s="203">
        <f t="shared" si="888"/>
        <v>1</v>
      </c>
      <c r="AS435" s="203">
        <f t="shared" ca="1" si="889"/>
        <v>1</v>
      </c>
      <c r="AT435" s="203">
        <f t="shared" ca="1" si="890"/>
        <v>0</v>
      </c>
      <c r="AU435" s="203" t="str">
        <f t="shared" si="891"/>
        <v>N/A</v>
      </c>
      <c r="AV435" s="203">
        <f t="shared" si="891"/>
        <v>0</v>
      </c>
      <c r="AW435" s="203">
        <f t="shared" si="892"/>
        <v>0</v>
      </c>
      <c r="AX435" s="203">
        <f t="shared" ca="1" si="893"/>
        <v>0</v>
      </c>
      <c r="AY435" s="203">
        <f t="shared" ca="1" si="894"/>
        <v>0</v>
      </c>
      <c r="AZ435" s="203"/>
      <c r="BA435" s="204" t="s">
        <v>1925</v>
      </c>
      <c r="BB435" s="204" t="s">
        <v>1926</v>
      </c>
      <c r="BC435" s="204" t="s">
        <v>1927</v>
      </c>
      <c r="BD435" s="204" t="s">
        <v>140</v>
      </c>
      <c r="BE435" s="166"/>
      <c r="BF435" s="203" t="s">
        <v>1789</v>
      </c>
      <c r="BG435" s="141"/>
      <c r="BH435" s="152"/>
      <c r="BI435" s="207"/>
      <c r="BJ435" s="207"/>
      <c r="BK435" s="207"/>
      <c r="BL435" s="153" t="s">
        <v>1932</v>
      </c>
      <c r="BM435" s="153"/>
      <c r="BN435" s="153"/>
      <c r="BO435" s="153"/>
      <c r="BP435" s="153"/>
      <c r="BQ435" s="153"/>
      <c r="BR435" s="141">
        <v>0</v>
      </c>
      <c r="BS435" s="141">
        <v>1</v>
      </c>
      <c r="BT435" s="141">
        <v>0</v>
      </c>
      <c r="BU435" s="141">
        <v>1</v>
      </c>
      <c r="BV435" s="141">
        <v>0</v>
      </c>
      <c r="BW435" s="141">
        <v>0</v>
      </c>
      <c r="BX435" s="141">
        <v>0</v>
      </c>
      <c r="BY435" s="141" t="s">
        <v>1790</v>
      </c>
      <c r="BZ435" s="167" t="s">
        <v>57</v>
      </c>
      <c r="CA435" s="204">
        <v>4</v>
      </c>
      <c r="CB435" s="235"/>
      <c r="CC435" s="152"/>
      <c r="CD435" s="141"/>
      <c r="CE435" s="208"/>
      <c r="CF435" s="166">
        <f t="shared" si="895"/>
        <v>-2</v>
      </c>
    </row>
    <row r="436" spans="1:84" ht="36" hidden="1">
      <c r="A436" s="117"/>
      <c r="B436" s="209" t="s">
        <v>1967</v>
      </c>
      <c r="C436" s="209" t="s">
        <v>2188</v>
      </c>
      <c r="D436" s="209" t="s">
        <v>1296</v>
      </c>
      <c r="E436" s="209" t="s">
        <v>1792</v>
      </c>
      <c r="F436" s="209" t="s">
        <v>1666</v>
      </c>
      <c r="G436" s="209" t="s">
        <v>1649</v>
      </c>
      <c r="H436" s="210">
        <v>2260</v>
      </c>
      <c r="I436" s="211" t="s">
        <v>147</v>
      </c>
      <c r="J436" s="144">
        <v>2</v>
      </c>
      <c r="K436" s="145">
        <f t="shared" si="874"/>
        <v>2</v>
      </c>
      <c r="L436" s="202">
        <f t="shared" si="875"/>
        <v>4</v>
      </c>
      <c r="M436" s="212">
        <v>62.4</v>
      </c>
      <c r="N436" s="203">
        <f t="shared" si="876"/>
        <v>249.6</v>
      </c>
      <c r="O436" s="212" t="s">
        <v>137</v>
      </c>
      <c r="P436" s="212" t="s">
        <v>13</v>
      </c>
      <c r="Q436" s="212" t="s">
        <v>148</v>
      </c>
      <c r="R436" s="212"/>
      <c r="S436" s="212"/>
      <c r="T436" s="203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4</v>
      </c>
      <c r="U436" s="203">
        <f t="shared" ca="1" si="877"/>
        <v>0</v>
      </c>
      <c r="V436" s="203">
        <f t="shared" ca="1" si="878"/>
        <v>2</v>
      </c>
      <c r="W436" s="212"/>
      <c r="X436" s="212"/>
      <c r="Y436" s="212"/>
      <c r="Z436" s="212"/>
      <c r="AA436" s="212"/>
      <c r="AB436" s="212"/>
      <c r="AC436" s="214" t="s">
        <v>1923</v>
      </c>
      <c r="AD436" s="215" t="s">
        <v>1924</v>
      </c>
      <c r="AE436" s="148"/>
      <c r="AF436" s="212" t="str">
        <f t="shared" si="879"/>
        <v>N/A</v>
      </c>
      <c r="AG436" s="212">
        <f t="shared" si="879"/>
        <v>0</v>
      </c>
      <c r="AH436" s="203">
        <f t="shared" si="880"/>
        <v>0</v>
      </c>
      <c r="AI436" s="203">
        <f t="shared" ca="1" si="881"/>
        <v>0</v>
      </c>
      <c r="AJ436" s="203">
        <f t="shared" ca="1" si="882"/>
        <v>0</v>
      </c>
      <c r="AK436" s="212" t="str">
        <f t="shared" si="883"/>
        <v>AMC2-S2</v>
      </c>
      <c r="AL436" s="212">
        <f t="shared" si="883"/>
        <v>1</v>
      </c>
      <c r="AM436" s="203">
        <f t="shared" si="884"/>
        <v>2</v>
      </c>
      <c r="AN436" s="203">
        <f t="shared" ca="1" si="885"/>
        <v>1</v>
      </c>
      <c r="AO436" s="203">
        <f t="shared" ca="1" si="886"/>
        <v>1</v>
      </c>
      <c r="AP436" s="212" t="str">
        <f t="shared" si="887"/>
        <v>AMC2-S4</v>
      </c>
      <c r="AQ436" s="212">
        <f t="shared" si="887"/>
        <v>1</v>
      </c>
      <c r="AR436" s="203">
        <f t="shared" si="888"/>
        <v>2</v>
      </c>
      <c r="AS436" s="203">
        <f t="shared" ca="1" si="889"/>
        <v>2</v>
      </c>
      <c r="AT436" s="203">
        <f t="shared" ca="1" si="890"/>
        <v>0</v>
      </c>
      <c r="AU436" s="212" t="str">
        <f t="shared" si="891"/>
        <v>N/A</v>
      </c>
      <c r="AV436" s="212">
        <f t="shared" si="891"/>
        <v>0</v>
      </c>
      <c r="AW436" s="203">
        <f t="shared" si="892"/>
        <v>0</v>
      </c>
      <c r="AX436" s="203">
        <f t="shared" ca="1" si="893"/>
        <v>0</v>
      </c>
      <c r="AY436" s="203">
        <f t="shared" ca="1" si="894"/>
        <v>0</v>
      </c>
      <c r="AZ436" s="212"/>
      <c r="BA436" s="213" t="s">
        <v>1925</v>
      </c>
      <c r="BB436" s="213" t="s">
        <v>1926</v>
      </c>
      <c r="BC436" s="213" t="s">
        <v>1927</v>
      </c>
      <c r="BD436" s="213" t="s">
        <v>140</v>
      </c>
      <c r="BE436" s="148"/>
      <c r="BF436" s="212" t="s">
        <v>1789</v>
      </c>
      <c r="BG436" s="117"/>
      <c r="BH436" s="155"/>
      <c r="BI436" s="216"/>
      <c r="BJ436" s="216"/>
      <c r="BK436" s="216"/>
      <c r="BL436" s="149"/>
      <c r="BM436" s="149"/>
      <c r="BN436" s="149"/>
      <c r="BO436" s="149"/>
      <c r="BP436" s="149"/>
      <c r="BQ436" s="149"/>
      <c r="BR436" s="117">
        <v>0</v>
      </c>
      <c r="BS436" s="117">
        <v>0</v>
      </c>
      <c r="BT436" s="117">
        <v>0</v>
      </c>
      <c r="BU436" s="117">
        <v>0</v>
      </c>
      <c r="BV436" s="117">
        <v>0</v>
      </c>
      <c r="BW436" s="117">
        <v>0</v>
      </c>
      <c r="BX436" s="117">
        <v>0</v>
      </c>
      <c r="BY436" s="117" t="s">
        <v>1790</v>
      </c>
      <c r="BZ436" s="158" t="s">
        <v>57</v>
      </c>
      <c r="CA436" s="158">
        <v>8</v>
      </c>
      <c r="CB436" s="234"/>
      <c r="CC436" s="155"/>
      <c r="CD436" s="117"/>
      <c r="CE436" s="217"/>
      <c r="CF436" s="166">
        <f t="shared" si="895"/>
        <v>-4</v>
      </c>
    </row>
    <row r="437" spans="1:84" ht="36" hidden="1">
      <c r="A437" s="117"/>
      <c r="B437" s="209" t="s">
        <v>1967</v>
      </c>
      <c r="C437" s="209" t="s">
        <v>2188</v>
      </c>
      <c r="D437" s="209" t="s">
        <v>1296</v>
      </c>
      <c r="E437" s="209" t="s">
        <v>1793</v>
      </c>
      <c r="F437" s="209" t="s">
        <v>1667</v>
      </c>
      <c r="G437" s="209" t="s">
        <v>1649</v>
      </c>
      <c r="H437" s="210">
        <v>2260</v>
      </c>
      <c r="I437" s="211" t="s">
        <v>147</v>
      </c>
      <c r="J437" s="144">
        <v>2</v>
      </c>
      <c r="K437" s="145">
        <f t="shared" si="874"/>
        <v>2</v>
      </c>
      <c r="L437" s="202">
        <f t="shared" si="875"/>
        <v>4</v>
      </c>
      <c r="M437" s="212">
        <v>54.7</v>
      </c>
      <c r="N437" s="203">
        <f t="shared" si="876"/>
        <v>218.8</v>
      </c>
      <c r="O437" s="212" t="s">
        <v>137</v>
      </c>
      <c r="P437" s="212" t="s">
        <v>13</v>
      </c>
      <c r="Q437" s="212" t="s">
        <v>148</v>
      </c>
      <c r="R437" s="212"/>
      <c r="S437" s="212"/>
      <c r="T437" s="203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4</v>
      </c>
      <c r="U437" s="203">
        <f t="shared" ca="1" si="877"/>
        <v>0</v>
      </c>
      <c r="V437" s="203">
        <f t="shared" ca="1" si="878"/>
        <v>2</v>
      </c>
      <c r="W437" s="212"/>
      <c r="X437" s="212"/>
      <c r="Y437" s="212"/>
      <c r="Z437" s="212"/>
      <c r="AA437" s="212"/>
      <c r="AB437" s="212"/>
      <c r="AC437" s="214" t="s">
        <v>1923</v>
      </c>
      <c r="AD437" s="215" t="s">
        <v>1924</v>
      </c>
      <c r="AE437" s="148"/>
      <c r="AF437" s="212" t="str">
        <f t="shared" si="879"/>
        <v>N/A</v>
      </c>
      <c r="AG437" s="212">
        <f t="shared" si="879"/>
        <v>0</v>
      </c>
      <c r="AH437" s="203">
        <f t="shared" si="880"/>
        <v>0</v>
      </c>
      <c r="AI437" s="203">
        <f t="shared" ca="1" si="881"/>
        <v>0</v>
      </c>
      <c r="AJ437" s="203">
        <f t="shared" ca="1" si="882"/>
        <v>0</v>
      </c>
      <c r="AK437" s="212" t="str">
        <f t="shared" si="883"/>
        <v>AMC2-S2</v>
      </c>
      <c r="AL437" s="212">
        <f t="shared" si="883"/>
        <v>1</v>
      </c>
      <c r="AM437" s="203">
        <f t="shared" si="884"/>
        <v>2</v>
      </c>
      <c r="AN437" s="203">
        <f t="shared" ca="1" si="885"/>
        <v>1</v>
      </c>
      <c r="AO437" s="203">
        <f t="shared" ca="1" si="886"/>
        <v>1</v>
      </c>
      <c r="AP437" s="212" t="str">
        <f t="shared" si="887"/>
        <v>AMC2-S4</v>
      </c>
      <c r="AQ437" s="212">
        <f t="shared" si="887"/>
        <v>1</v>
      </c>
      <c r="AR437" s="203">
        <f t="shared" si="888"/>
        <v>2</v>
      </c>
      <c r="AS437" s="203">
        <f t="shared" ca="1" si="889"/>
        <v>2</v>
      </c>
      <c r="AT437" s="203">
        <f t="shared" ca="1" si="890"/>
        <v>0</v>
      </c>
      <c r="AU437" s="212" t="str">
        <f t="shared" si="891"/>
        <v>N/A</v>
      </c>
      <c r="AV437" s="212">
        <f t="shared" si="891"/>
        <v>0</v>
      </c>
      <c r="AW437" s="203">
        <f t="shared" si="892"/>
        <v>0</v>
      </c>
      <c r="AX437" s="203">
        <f t="shared" ca="1" si="893"/>
        <v>0</v>
      </c>
      <c r="AY437" s="203">
        <f t="shared" ca="1" si="894"/>
        <v>0</v>
      </c>
      <c r="AZ437" s="212"/>
      <c r="BA437" s="213" t="s">
        <v>1925</v>
      </c>
      <c r="BB437" s="213" t="s">
        <v>1926</v>
      </c>
      <c r="BC437" s="213" t="s">
        <v>1927</v>
      </c>
      <c r="BD437" s="213" t="s">
        <v>140</v>
      </c>
      <c r="BE437" s="148"/>
      <c r="BF437" s="212" t="s">
        <v>1789</v>
      </c>
      <c r="BG437" s="117"/>
      <c r="BH437" s="155"/>
      <c r="BI437" s="216"/>
      <c r="BJ437" s="216"/>
      <c r="BK437" s="216"/>
      <c r="BL437" s="149"/>
      <c r="BM437" s="149"/>
      <c r="BN437" s="149"/>
      <c r="BO437" s="149"/>
      <c r="BP437" s="149"/>
      <c r="BQ437" s="149"/>
      <c r="BR437" s="117">
        <v>0</v>
      </c>
      <c r="BS437" s="117">
        <v>0</v>
      </c>
      <c r="BT437" s="117">
        <v>0</v>
      </c>
      <c r="BU437" s="117">
        <v>0</v>
      </c>
      <c r="BV437" s="117">
        <v>0</v>
      </c>
      <c r="BW437" s="117">
        <v>0</v>
      </c>
      <c r="BX437" s="117">
        <v>0</v>
      </c>
      <c r="BY437" s="117" t="s">
        <v>1790</v>
      </c>
      <c r="BZ437" s="158" t="s">
        <v>57</v>
      </c>
      <c r="CA437" s="158">
        <v>8</v>
      </c>
      <c r="CB437" s="234"/>
      <c r="CC437" s="155"/>
      <c r="CD437" s="117"/>
      <c r="CE437" s="217"/>
      <c r="CF437" s="166">
        <f t="shared" si="895"/>
        <v>-4</v>
      </c>
    </row>
    <row r="438" spans="1:84" ht="36" hidden="1">
      <c r="A438" s="117"/>
      <c r="B438" s="209" t="s">
        <v>1967</v>
      </c>
      <c r="C438" s="209" t="s">
        <v>2188</v>
      </c>
      <c r="D438" s="209" t="s">
        <v>1296</v>
      </c>
      <c r="E438" s="209" t="s">
        <v>1794</v>
      </c>
      <c r="F438" s="209" t="s">
        <v>1668</v>
      </c>
      <c r="G438" s="209" t="s">
        <v>1157</v>
      </c>
      <c r="H438" s="210">
        <v>3516</v>
      </c>
      <c r="I438" s="211" t="s">
        <v>147</v>
      </c>
      <c r="J438" s="144">
        <v>2</v>
      </c>
      <c r="K438" s="145">
        <f t="shared" si="874"/>
        <v>2</v>
      </c>
      <c r="L438" s="202">
        <f t="shared" si="875"/>
        <v>4</v>
      </c>
      <c r="M438" s="212">
        <v>132.5</v>
      </c>
      <c r="N438" s="203">
        <f t="shared" si="876"/>
        <v>530</v>
      </c>
      <c r="O438" s="212" t="s">
        <v>137</v>
      </c>
      <c r="P438" s="212" t="s">
        <v>13</v>
      </c>
      <c r="Q438" s="212" t="s">
        <v>148</v>
      </c>
      <c r="R438" s="212"/>
      <c r="S438" s="212"/>
      <c r="T438" s="203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4</v>
      </c>
      <c r="U438" s="203">
        <f t="shared" ca="1" si="877"/>
        <v>0</v>
      </c>
      <c r="V438" s="203">
        <f t="shared" ca="1" si="878"/>
        <v>2</v>
      </c>
      <c r="W438" s="212"/>
      <c r="X438" s="212"/>
      <c r="Y438" s="212"/>
      <c r="Z438" s="212"/>
      <c r="AA438" s="212"/>
      <c r="AB438" s="212"/>
      <c r="AC438" s="214" t="s">
        <v>1923</v>
      </c>
      <c r="AD438" s="215" t="s">
        <v>1924</v>
      </c>
      <c r="AE438" s="148"/>
      <c r="AF438" s="212" t="str">
        <f t="shared" si="879"/>
        <v>N/A</v>
      </c>
      <c r="AG438" s="212">
        <f t="shared" si="879"/>
        <v>0</v>
      </c>
      <c r="AH438" s="203">
        <f t="shared" si="880"/>
        <v>0</v>
      </c>
      <c r="AI438" s="203">
        <f t="shared" ca="1" si="881"/>
        <v>0</v>
      </c>
      <c r="AJ438" s="203">
        <f t="shared" ca="1" si="882"/>
        <v>0</v>
      </c>
      <c r="AK438" s="212" t="str">
        <f t="shared" si="883"/>
        <v>AMC2-S2</v>
      </c>
      <c r="AL438" s="212">
        <f t="shared" si="883"/>
        <v>1</v>
      </c>
      <c r="AM438" s="203">
        <f t="shared" si="884"/>
        <v>2</v>
      </c>
      <c r="AN438" s="203">
        <f t="shared" ca="1" si="885"/>
        <v>1</v>
      </c>
      <c r="AO438" s="203">
        <f t="shared" ca="1" si="886"/>
        <v>1</v>
      </c>
      <c r="AP438" s="212" t="str">
        <f t="shared" si="887"/>
        <v>AMC2-S4</v>
      </c>
      <c r="AQ438" s="212">
        <f t="shared" si="887"/>
        <v>1</v>
      </c>
      <c r="AR438" s="203">
        <f t="shared" si="888"/>
        <v>2</v>
      </c>
      <c r="AS438" s="203">
        <f t="shared" ca="1" si="889"/>
        <v>2</v>
      </c>
      <c r="AT438" s="203">
        <f t="shared" ca="1" si="890"/>
        <v>0</v>
      </c>
      <c r="AU438" s="212" t="str">
        <f t="shared" si="891"/>
        <v>N/A</v>
      </c>
      <c r="AV438" s="212">
        <f t="shared" si="891"/>
        <v>0</v>
      </c>
      <c r="AW438" s="203">
        <f t="shared" si="892"/>
        <v>0</v>
      </c>
      <c r="AX438" s="203">
        <f t="shared" ca="1" si="893"/>
        <v>0</v>
      </c>
      <c r="AY438" s="203">
        <f t="shared" ca="1" si="894"/>
        <v>0</v>
      </c>
      <c r="AZ438" s="212"/>
      <c r="BA438" s="213" t="s">
        <v>1925</v>
      </c>
      <c r="BB438" s="213" t="s">
        <v>1926</v>
      </c>
      <c r="BC438" s="213" t="s">
        <v>1927</v>
      </c>
      <c r="BD438" s="213" t="s">
        <v>140</v>
      </c>
      <c r="BE438" s="148"/>
      <c r="BF438" s="212" t="s">
        <v>1789</v>
      </c>
      <c r="BG438" s="117"/>
      <c r="BH438" s="155"/>
      <c r="BI438" s="216"/>
      <c r="BJ438" s="216"/>
      <c r="BK438" s="216"/>
      <c r="BL438" s="149"/>
      <c r="BM438" s="149"/>
      <c r="BN438" s="149"/>
      <c r="BO438" s="149"/>
      <c r="BP438" s="149"/>
      <c r="BQ438" s="149"/>
      <c r="BR438" s="117">
        <v>0</v>
      </c>
      <c r="BS438" s="117">
        <v>0</v>
      </c>
      <c r="BT438" s="117">
        <v>0</v>
      </c>
      <c r="BU438" s="117">
        <v>0</v>
      </c>
      <c r="BV438" s="117">
        <v>0</v>
      </c>
      <c r="BW438" s="117">
        <v>0</v>
      </c>
      <c r="BX438" s="117">
        <v>0</v>
      </c>
      <c r="BY438" s="117" t="s">
        <v>1790</v>
      </c>
      <c r="BZ438" s="158" t="s">
        <v>2155</v>
      </c>
      <c r="CA438" s="144">
        <v>8</v>
      </c>
      <c r="CB438" s="235">
        <v>46231</v>
      </c>
      <c r="CC438" s="155"/>
      <c r="CD438" s="141"/>
      <c r="CE438" s="217"/>
      <c r="CF438" s="166">
        <f t="shared" si="895"/>
        <v>-4</v>
      </c>
    </row>
    <row r="439" spans="1:84" ht="36" hidden="1">
      <c r="A439" s="141"/>
      <c r="B439" s="199" t="s">
        <v>1967</v>
      </c>
      <c r="C439" s="199" t="s">
        <v>2188</v>
      </c>
      <c r="D439" s="199" t="s">
        <v>1296</v>
      </c>
      <c r="E439" s="199" t="s">
        <v>1795</v>
      </c>
      <c r="F439" s="199" t="s">
        <v>1669</v>
      </c>
      <c r="G439" s="199" t="s">
        <v>1670</v>
      </c>
      <c r="H439" s="200">
        <v>2260</v>
      </c>
      <c r="I439" s="201" t="s">
        <v>147</v>
      </c>
      <c r="J439" s="165">
        <v>1</v>
      </c>
      <c r="K439" s="202">
        <f t="shared" si="874"/>
        <v>2</v>
      </c>
      <c r="L439" s="202">
        <f t="shared" si="875"/>
        <v>2</v>
      </c>
      <c r="M439" s="203">
        <v>63.3</v>
      </c>
      <c r="N439" s="203">
        <f t="shared" si="876"/>
        <v>126.6</v>
      </c>
      <c r="O439" s="203" t="s">
        <v>137</v>
      </c>
      <c r="P439" s="203" t="s">
        <v>13</v>
      </c>
      <c r="Q439" s="203" t="s">
        <v>148</v>
      </c>
      <c r="R439" s="203"/>
      <c r="S439" s="203"/>
      <c r="T439" s="203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2</v>
      </c>
      <c r="U439" s="203">
        <f t="shared" ca="1" si="877"/>
        <v>0</v>
      </c>
      <c r="V439" s="203">
        <f t="shared" ca="1" si="878"/>
        <v>2</v>
      </c>
      <c r="W439" s="203"/>
      <c r="X439" s="203"/>
      <c r="Y439" s="203"/>
      <c r="Z439" s="203"/>
      <c r="AA439" s="203"/>
      <c r="AB439" s="203"/>
      <c r="AC439" s="205" t="s">
        <v>1923</v>
      </c>
      <c r="AD439" s="206" t="s">
        <v>1924</v>
      </c>
      <c r="AE439" s="166"/>
      <c r="AF439" s="203" t="str">
        <f t="shared" si="879"/>
        <v>N/A</v>
      </c>
      <c r="AG439" s="203">
        <f t="shared" si="879"/>
        <v>0</v>
      </c>
      <c r="AH439" s="203">
        <f t="shared" si="880"/>
        <v>0</v>
      </c>
      <c r="AI439" s="203">
        <f t="shared" ca="1" si="881"/>
        <v>0</v>
      </c>
      <c r="AJ439" s="203">
        <f t="shared" ca="1" si="882"/>
        <v>0</v>
      </c>
      <c r="AK439" s="203" t="str">
        <f t="shared" si="883"/>
        <v>AMC2-S2</v>
      </c>
      <c r="AL439" s="203">
        <f t="shared" si="883"/>
        <v>1</v>
      </c>
      <c r="AM439" s="203">
        <f t="shared" si="884"/>
        <v>1</v>
      </c>
      <c r="AN439" s="203">
        <f t="shared" ca="1" si="885"/>
        <v>1</v>
      </c>
      <c r="AO439" s="203">
        <f t="shared" ca="1" si="886"/>
        <v>0</v>
      </c>
      <c r="AP439" s="203" t="str">
        <f t="shared" si="887"/>
        <v>AMC2-S4</v>
      </c>
      <c r="AQ439" s="203">
        <f t="shared" si="887"/>
        <v>1</v>
      </c>
      <c r="AR439" s="203">
        <f t="shared" si="888"/>
        <v>1</v>
      </c>
      <c r="AS439" s="203">
        <f t="shared" ca="1" si="889"/>
        <v>1</v>
      </c>
      <c r="AT439" s="203">
        <f t="shared" ca="1" si="890"/>
        <v>0</v>
      </c>
      <c r="AU439" s="203" t="str">
        <f t="shared" si="891"/>
        <v>N/A</v>
      </c>
      <c r="AV439" s="203">
        <f t="shared" si="891"/>
        <v>0</v>
      </c>
      <c r="AW439" s="203">
        <f t="shared" si="892"/>
        <v>0</v>
      </c>
      <c r="AX439" s="203">
        <f t="shared" ca="1" si="893"/>
        <v>0</v>
      </c>
      <c r="AY439" s="203">
        <f t="shared" ca="1" si="894"/>
        <v>0</v>
      </c>
      <c r="AZ439" s="203"/>
      <c r="BA439" s="204" t="s">
        <v>1925</v>
      </c>
      <c r="BB439" s="204" t="s">
        <v>1926</v>
      </c>
      <c r="BC439" s="204" t="s">
        <v>1927</v>
      </c>
      <c r="BD439" s="204" t="s">
        <v>140</v>
      </c>
      <c r="BE439" s="166"/>
      <c r="BF439" s="203" t="s">
        <v>1789</v>
      </c>
      <c r="BG439" s="141"/>
      <c r="BH439" s="152"/>
      <c r="BI439" s="207"/>
      <c r="BJ439" s="207"/>
      <c r="BK439" s="207"/>
      <c r="BL439" s="153" t="s">
        <v>1932</v>
      </c>
      <c r="BM439" s="153"/>
      <c r="BN439" s="153"/>
      <c r="BO439" s="153"/>
      <c r="BP439" s="153"/>
      <c r="BQ439" s="153"/>
      <c r="BR439" s="141">
        <v>1</v>
      </c>
      <c r="BS439" s="141">
        <v>0</v>
      </c>
      <c r="BT439" s="141">
        <v>0</v>
      </c>
      <c r="BU439" s="141">
        <v>0</v>
      </c>
      <c r="BV439" s="141">
        <v>0</v>
      </c>
      <c r="BW439" s="141">
        <v>0</v>
      </c>
      <c r="BX439" s="141">
        <v>0</v>
      </c>
      <c r="BY439" s="141" t="s">
        <v>1790</v>
      </c>
      <c r="BZ439" s="167" t="s">
        <v>57</v>
      </c>
      <c r="CA439" s="167">
        <v>4</v>
      </c>
      <c r="CB439" s="235"/>
      <c r="CC439" s="152"/>
      <c r="CD439" s="141"/>
      <c r="CE439" s="208"/>
      <c r="CF439" s="166">
        <f t="shared" si="895"/>
        <v>-2</v>
      </c>
    </row>
    <row r="440" spans="1:84" ht="36" hidden="1">
      <c r="A440" s="117"/>
      <c r="B440" s="209" t="s">
        <v>1967</v>
      </c>
      <c r="C440" s="209" t="s">
        <v>2188</v>
      </c>
      <c r="D440" s="209" t="s">
        <v>1296</v>
      </c>
      <c r="E440" s="209" t="s">
        <v>1796</v>
      </c>
      <c r="F440" s="209" t="s">
        <v>1671</v>
      </c>
      <c r="G440" s="209" t="s">
        <v>1622</v>
      </c>
      <c r="H440" s="210">
        <v>2450</v>
      </c>
      <c r="I440" s="211" t="s">
        <v>147</v>
      </c>
      <c r="J440" s="144">
        <v>1</v>
      </c>
      <c r="K440" s="145">
        <f t="shared" si="874"/>
        <v>2</v>
      </c>
      <c r="L440" s="202">
        <f t="shared" si="875"/>
        <v>2</v>
      </c>
      <c r="M440" s="212">
        <v>183.9</v>
      </c>
      <c r="N440" s="203">
        <f t="shared" si="876"/>
        <v>367.8</v>
      </c>
      <c r="O440" s="212" t="s">
        <v>137</v>
      </c>
      <c r="P440" s="212" t="s">
        <v>13</v>
      </c>
      <c r="Q440" s="212" t="s">
        <v>148</v>
      </c>
      <c r="R440" s="212"/>
      <c r="S440" s="212"/>
      <c r="T440" s="203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2</v>
      </c>
      <c r="U440" s="203">
        <f t="shared" ca="1" si="877"/>
        <v>0</v>
      </c>
      <c r="V440" s="203">
        <f t="shared" ca="1" si="878"/>
        <v>2</v>
      </c>
      <c r="W440" s="212"/>
      <c r="X440" s="212"/>
      <c r="Y440" s="212"/>
      <c r="Z440" s="212"/>
      <c r="AA440" s="212"/>
      <c r="AB440" s="212"/>
      <c r="AC440" s="214" t="s">
        <v>1923</v>
      </c>
      <c r="AD440" s="215" t="s">
        <v>1924</v>
      </c>
      <c r="AE440" s="148"/>
      <c r="AF440" s="212" t="str">
        <f t="shared" si="879"/>
        <v>N/A</v>
      </c>
      <c r="AG440" s="212">
        <f t="shared" si="879"/>
        <v>0</v>
      </c>
      <c r="AH440" s="203">
        <f t="shared" si="880"/>
        <v>0</v>
      </c>
      <c r="AI440" s="203">
        <f t="shared" ca="1" si="881"/>
        <v>0</v>
      </c>
      <c r="AJ440" s="203">
        <f t="shared" ca="1" si="882"/>
        <v>0</v>
      </c>
      <c r="AK440" s="212" t="str">
        <f t="shared" si="883"/>
        <v>AMC2-S2</v>
      </c>
      <c r="AL440" s="212">
        <f t="shared" si="883"/>
        <v>1</v>
      </c>
      <c r="AM440" s="203">
        <f t="shared" si="884"/>
        <v>1</v>
      </c>
      <c r="AN440" s="203">
        <f t="shared" ca="1" si="885"/>
        <v>1</v>
      </c>
      <c r="AO440" s="203">
        <f t="shared" ca="1" si="886"/>
        <v>0</v>
      </c>
      <c r="AP440" s="212" t="str">
        <f t="shared" si="887"/>
        <v>AMC2-S4</v>
      </c>
      <c r="AQ440" s="212">
        <f t="shared" si="887"/>
        <v>1</v>
      </c>
      <c r="AR440" s="203">
        <f t="shared" si="888"/>
        <v>1</v>
      </c>
      <c r="AS440" s="203">
        <f t="shared" ca="1" si="889"/>
        <v>1</v>
      </c>
      <c r="AT440" s="203">
        <f t="shared" ca="1" si="890"/>
        <v>0</v>
      </c>
      <c r="AU440" s="212" t="str">
        <f t="shared" si="891"/>
        <v>N/A</v>
      </c>
      <c r="AV440" s="212">
        <f t="shared" si="891"/>
        <v>0</v>
      </c>
      <c r="AW440" s="203">
        <f t="shared" si="892"/>
        <v>0</v>
      </c>
      <c r="AX440" s="203">
        <f t="shared" ca="1" si="893"/>
        <v>0</v>
      </c>
      <c r="AY440" s="203">
        <f t="shared" ca="1" si="894"/>
        <v>0</v>
      </c>
      <c r="AZ440" s="212"/>
      <c r="BA440" s="213" t="s">
        <v>1925</v>
      </c>
      <c r="BB440" s="213" t="s">
        <v>1926</v>
      </c>
      <c r="BC440" s="213" t="s">
        <v>1927</v>
      </c>
      <c r="BD440" s="213" t="s">
        <v>140</v>
      </c>
      <c r="BE440" s="148"/>
      <c r="BF440" s="212" t="s">
        <v>1789</v>
      </c>
      <c r="BG440" s="117"/>
      <c r="BH440" s="155"/>
      <c r="BI440" s="216"/>
      <c r="BJ440" s="216"/>
      <c r="BK440" s="216"/>
      <c r="BL440" s="149"/>
      <c r="BM440" s="149"/>
      <c r="BN440" s="149"/>
      <c r="BO440" s="149"/>
      <c r="BP440" s="149"/>
      <c r="BQ440" s="149"/>
      <c r="BR440" s="117">
        <v>0</v>
      </c>
      <c r="BS440" s="117">
        <v>0</v>
      </c>
      <c r="BT440" s="117">
        <v>0</v>
      </c>
      <c r="BU440" s="117">
        <v>0</v>
      </c>
      <c r="BV440" s="117">
        <v>0</v>
      </c>
      <c r="BW440" s="117">
        <v>0</v>
      </c>
      <c r="BX440" s="117">
        <v>0</v>
      </c>
      <c r="BY440" s="117" t="s">
        <v>1790</v>
      </c>
      <c r="BZ440" s="158" t="s">
        <v>57</v>
      </c>
      <c r="CA440" s="158">
        <v>4</v>
      </c>
      <c r="CB440" s="234"/>
      <c r="CC440" s="155"/>
      <c r="CD440" s="117"/>
      <c r="CE440" s="217"/>
      <c r="CF440" s="166">
        <f t="shared" si="895"/>
        <v>-2</v>
      </c>
    </row>
    <row r="441" spans="1:84" ht="36" hidden="1">
      <c r="A441" s="117"/>
      <c r="B441" s="209" t="s">
        <v>1967</v>
      </c>
      <c r="C441" s="209" t="s">
        <v>2188</v>
      </c>
      <c r="D441" s="209" t="s">
        <v>1296</v>
      </c>
      <c r="E441" s="209" t="s">
        <v>1797</v>
      </c>
      <c r="F441" s="209" t="s">
        <v>1672</v>
      </c>
      <c r="G441" s="209" t="s">
        <v>1624</v>
      </c>
      <c r="H441" s="210">
        <v>2338</v>
      </c>
      <c r="I441" s="211" t="s">
        <v>147</v>
      </c>
      <c r="J441" s="144">
        <v>1</v>
      </c>
      <c r="K441" s="145">
        <f t="shared" si="874"/>
        <v>2</v>
      </c>
      <c r="L441" s="202">
        <f t="shared" si="875"/>
        <v>2</v>
      </c>
      <c r="M441" s="212">
        <v>73.400000000000006</v>
      </c>
      <c r="N441" s="203">
        <f t="shared" si="876"/>
        <v>146.80000000000001</v>
      </c>
      <c r="O441" s="212" t="s">
        <v>137</v>
      </c>
      <c r="P441" s="212" t="s">
        <v>13</v>
      </c>
      <c r="Q441" s="212" t="s">
        <v>154</v>
      </c>
      <c r="R441" s="212"/>
      <c r="S441" s="212"/>
      <c r="T441" s="203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203">
        <f t="shared" ca="1" si="877"/>
        <v>1</v>
      </c>
      <c r="V441" s="203">
        <f t="shared" ca="1" si="878"/>
        <v>1</v>
      </c>
      <c r="W441" s="212"/>
      <c r="X441" s="212"/>
      <c r="Y441" s="212"/>
      <c r="Z441" s="212"/>
      <c r="AA441" s="212"/>
      <c r="AB441" s="212"/>
      <c r="AC441" s="214" t="s">
        <v>1923</v>
      </c>
      <c r="AD441" s="215" t="s">
        <v>1924</v>
      </c>
      <c r="AE441" s="148"/>
      <c r="AF441" s="212" t="str">
        <f t="shared" si="879"/>
        <v>N/A</v>
      </c>
      <c r="AG441" s="212">
        <f t="shared" si="879"/>
        <v>0</v>
      </c>
      <c r="AH441" s="203">
        <f t="shared" si="880"/>
        <v>0</v>
      </c>
      <c r="AI441" s="203">
        <f t="shared" ca="1" si="881"/>
        <v>0</v>
      </c>
      <c r="AJ441" s="203">
        <f t="shared" ca="1" si="882"/>
        <v>0</v>
      </c>
      <c r="AK441" s="212" t="str">
        <f t="shared" si="883"/>
        <v>AMC2-S2</v>
      </c>
      <c r="AL441" s="212">
        <f t="shared" si="883"/>
        <v>1</v>
      </c>
      <c r="AM441" s="203">
        <f t="shared" si="884"/>
        <v>1</v>
      </c>
      <c r="AN441" s="203">
        <f t="shared" ca="1" si="885"/>
        <v>1</v>
      </c>
      <c r="AO441" s="203">
        <f t="shared" ca="1" si="886"/>
        <v>0</v>
      </c>
      <c r="AP441" s="212" t="str">
        <f t="shared" si="887"/>
        <v>AMC2-S4</v>
      </c>
      <c r="AQ441" s="212">
        <f t="shared" si="887"/>
        <v>1</v>
      </c>
      <c r="AR441" s="203">
        <f t="shared" si="888"/>
        <v>1</v>
      </c>
      <c r="AS441" s="203">
        <f t="shared" ca="1" si="889"/>
        <v>0</v>
      </c>
      <c r="AT441" s="203">
        <f t="shared" ca="1" si="890"/>
        <v>1</v>
      </c>
      <c r="AU441" s="212" t="str">
        <f t="shared" si="891"/>
        <v>N/A</v>
      </c>
      <c r="AV441" s="212">
        <f t="shared" si="891"/>
        <v>0</v>
      </c>
      <c r="AW441" s="203">
        <f t="shared" si="892"/>
        <v>0</v>
      </c>
      <c r="AX441" s="203">
        <f t="shared" ca="1" si="893"/>
        <v>0</v>
      </c>
      <c r="AY441" s="203">
        <f t="shared" ca="1" si="894"/>
        <v>0</v>
      </c>
      <c r="AZ441" s="212"/>
      <c r="BA441" s="213" t="s">
        <v>1925</v>
      </c>
      <c r="BB441" s="213" t="s">
        <v>1926</v>
      </c>
      <c r="BC441" s="213" t="s">
        <v>1927</v>
      </c>
      <c r="BD441" s="213" t="s">
        <v>140</v>
      </c>
      <c r="BE441" s="148"/>
      <c r="BF441" s="212" t="s">
        <v>1789</v>
      </c>
      <c r="BG441" s="117"/>
      <c r="BH441" s="155"/>
      <c r="BI441" s="216"/>
      <c r="BJ441" s="216"/>
      <c r="BK441" s="216"/>
      <c r="BL441" s="149"/>
      <c r="BM441" s="149"/>
      <c r="BN441" s="149"/>
      <c r="BO441" s="149"/>
      <c r="BP441" s="149"/>
      <c r="BQ441" s="149"/>
      <c r="BR441" s="117">
        <v>0</v>
      </c>
      <c r="BS441" s="117">
        <v>1</v>
      </c>
      <c r="BT441" s="117">
        <v>0</v>
      </c>
      <c r="BU441" s="117">
        <v>0</v>
      </c>
      <c r="BV441" s="117">
        <v>0</v>
      </c>
      <c r="BW441" s="117">
        <v>0</v>
      </c>
      <c r="BX441" s="117">
        <v>0</v>
      </c>
      <c r="BY441" s="117" t="s">
        <v>1790</v>
      </c>
      <c r="BZ441" s="158" t="s">
        <v>2156</v>
      </c>
      <c r="CA441" s="158">
        <v>4</v>
      </c>
      <c r="CB441" s="234">
        <v>46213</v>
      </c>
      <c r="CC441" s="155"/>
      <c r="CD441" s="141"/>
      <c r="CE441" s="217"/>
      <c r="CF441" s="166">
        <f t="shared" si="895"/>
        <v>-2</v>
      </c>
    </row>
    <row r="442" spans="1:84" ht="36" hidden="1">
      <c r="A442" s="117"/>
      <c r="B442" s="209" t="s">
        <v>1967</v>
      </c>
      <c r="C442" s="209" t="s">
        <v>2188</v>
      </c>
      <c r="D442" s="209" t="s">
        <v>1296</v>
      </c>
      <c r="E442" s="209" t="s">
        <v>1798</v>
      </c>
      <c r="F442" s="209" t="s">
        <v>1673</v>
      </c>
      <c r="G442" s="209" t="s">
        <v>1626</v>
      </c>
      <c r="H442" s="210">
        <v>254</v>
      </c>
      <c r="I442" s="211" t="s">
        <v>147</v>
      </c>
      <c r="J442" s="144">
        <v>2</v>
      </c>
      <c r="K442" s="145">
        <f t="shared" si="874"/>
        <v>2</v>
      </c>
      <c r="L442" s="202">
        <f t="shared" si="875"/>
        <v>4</v>
      </c>
      <c r="M442" s="212">
        <v>7.2</v>
      </c>
      <c r="N442" s="203">
        <f t="shared" si="876"/>
        <v>28.8</v>
      </c>
      <c r="O442" s="212" t="s">
        <v>137</v>
      </c>
      <c r="P442" s="212" t="s">
        <v>13</v>
      </c>
      <c r="Q442" s="212" t="s">
        <v>148</v>
      </c>
      <c r="R442" s="212"/>
      <c r="S442" s="212"/>
      <c r="T442" s="203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2</v>
      </c>
      <c r="U442" s="203">
        <f t="shared" ca="1" si="877"/>
        <v>2</v>
      </c>
      <c r="V442" s="203">
        <f t="shared" ca="1" si="878"/>
        <v>1</v>
      </c>
      <c r="W442" s="212"/>
      <c r="X442" s="212"/>
      <c r="Y442" s="212"/>
      <c r="Z442" s="212"/>
      <c r="AA442" s="212"/>
      <c r="AB442" s="212"/>
      <c r="AC442" s="214" t="s">
        <v>1923</v>
      </c>
      <c r="AD442" s="215" t="s">
        <v>1924</v>
      </c>
      <c r="AE442" s="148"/>
      <c r="AF442" s="212" t="str">
        <f t="shared" si="879"/>
        <v>N/A</v>
      </c>
      <c r="AG442" s="212">
        <f t="shared" si="879"/>
        <v>0</v>
      </c>
      <c r="AH442" s="203">
        <f t="shared" si="880"/>
        <v>0</v>
      </c>
      <c r="AI442" s="203">
        <f t="shared" ca="1" si="881"/>
        <v>0</v>
      </c>
      <c r="AJ442" s="203">
        <f t="shared" ca="1" si="882"/>
        <v>0</v>
      </c>
      <c r="AK442" s="212" t="str">
        <f t="shared" si="883"/>
        <v>AMC2-S2</v>
      </c>
      <c r="AL442" s="212">
        <f t="shared" si="883"/>
        <v>1</v>
      </c>
      <c r="AM442" s="203">
        <f t="shared" si="884"/>
        <v>2</v>
      </c>
      <c r="AN442" s="203">
        <f t="shared" ca="1" si="885"/>
        <v>1</v>
      </c>
      <c r="AO442" s="203">
        <f t="shared" ca="1" si="886"/>
        <v>1</v>
      </c>
      <c r="AP442" s="212" t="str">
        <f t="shared" si="887"/>
        <v>AMC2-S4</v>
      </c>
      <c r="AQ442" s="212">
        <f t="shared" si="887"/>
        <v>1</v>
      </c>
      <c r="AR442" s="203">
        <f t="shared" si="888"/>
        <v>2</v>
      </c>
      <c r="AS442" s="203">
        <f t="shared" ca="1" si="889"/>
        <v>1</v>
      </c>
      <c r="AT442" s="203">
        <f t="shared" ca="1" si="890"/>
        <v>1</v>
      </c>
      <c r="AU442" s="212" t="str">
        <f t="shared" si="891"/>
        <v>N/A</v>
      </c>
      <c r="AV442" s="212">
        <f t="shared" si="891"/>
        <v>0</v>
      </c>
      <c r="AW442" s="203">
        <f t="shared" si="892"/>
        <v>0</v>
      </c>
      <c r="AX442" s="203">
        <f t="shared" ca="1" si="893"/>
        <v>0</v>
      </c>
      <c r="AY442" s="203">
        <f t="shared" ca="1" si="894"/>
        <v>0</v>
      </c>
      <c r="AZ442" s="212"/>
      <c r="BA442" s="213" t="s">
        <v>1925</v>
      </c>
      <c r="BB442" s="213" t="s">
        <v>1926</v>
      </c>
      <c r="BC442" s="213" t="s">
        <v>1927</v>
      </c>
      <c r="BD442" s="213" t="s">
        <v>140</v>
      </c>
      <c r="BE442" s="148"/>
      <c r="BF442" s="212" t="s">
        <v>1789</v>
      </c>
      <c r="BG442" s="117"/>
      <c r="BH442" s="155"/>
      <c r="BI442" s="216"/>
      <c r="BJ442" s="216"/>
      <c r="BK442" s="216"/>
      <c r="BL442" s="149"/>
      <c r="BM442" s="149"/>
      <c r="BN442" s="149"/>
      <c r="BO442" s="149"/>
      <c r="BP442" s="149"/>
      <c r="BQ442" s="149"/>
      <c r="BR442" s="117">
        <v>0</v>
      </c>
      <c r="BS442" s="117">
        <v>0</v>
      </c>
      <c r="BT442" s="117">
        <v>0</v>
      </c>
      <c r="BU442" s="117">
        <v>0</v>
      </c>
      <c r="BV442" s="117">
        <v>0</v>
      </c>
      <c r="BW442" s="117">
        <v>0</v>
      </c>
      <c r="BX442" s="117">
        <v>0</v>
      </c>
      <c r="BY442" s="117" t="s">
        <v>1790</v>
      </c>
      <c r="BZ442" s="158" t="s">
        <v>2157</v>
      </c>
      <c r="CA442" s="144">
        <v>8</v>
      </c>
      <c r="CB442" s="234">
        <v>46242</v>
      </c>
      <c r="CC442" s="155"/>
      <c r="CD442" s="117"/>
      <c r="CE442" s="217"/>
      <c r="CF442" s="166">
        <f t="shared" si="895"/>
        <v>-4</v>
      </c>
    </row>
    <row r="443" spans="1:84" ht="36" hidden="1">
      <c r="A443" s="117"/>
      <c r="B443" s="209" t="s">
        <v>1967</v>
      </c>
      <c r="C443" s="209" t="s">
        <v>2188</v>
      </c>
      <c r="D443" s="209" t="s">
        <v>1296</v>
      </c>
      <c r="E443" s="209" t="s">
        <v>1799</v>
      </c>
      <c r="F443" s="209" t="s">
        <v>1656</v>
      </c>
      <c r="G443" s="209" t="s">
        <v>1628</v>
      </c>
      <c r="H443" s="210">
        <v>400</v>
      </c>
      <c r="I443" s="211" t="s">
        <v>147</v>
      </c>
      <c r="J443" s="144">
        <v>1</v>
      </c>
      <c r="K443" s="145">
        <f t="shared" si="874"/>
        <v>2</v>
      </c>
      <c r="L443" s="202">
        <f t="shared" si="875"/>
        <v>2</v>
      </c>
      <c r="M443" s="212">
        <v>7.5</v>
      </c>
      <c r="N443" s="203">
        <f t="shared" si="876"/>
        <v>15</v>
      </c>
      <c r="O443" s="212" t="s">
        <v>137</v>
      </c>
      <c r="P443" s="212" t="s">
        <v>13</v>
      </c>
      <c r="Q443" s="212" t="s">
        <v>148</v>
      </c>
      <c r="R443" s="212"/>
      <c r="S443" s="212"/>
      <c r="T443" s="203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2</v>
      </c>
      <c r="U443" s="203">
        <f t="shared" ca="1" si="877"/>
        <v>0</v>
      </c>
      <c r="V443" s="203">
        <f t="shared" ca="1" si="878"/>
        <v>2</v>
      </c>
      <c r="W443" s="212"/>
      <c r="X443" s="212"/>
      <c r="Y443" s="212"/>
      <c r="Z443" s="212"/>
      <c r="AA443" s="212"/>
      <c r="AB443" s="212"/>
      <c r="AC443" s="214" t="s">
        <v>1923</v>
      </c>
      <c r="AD443" s="215" t="s">
        <v>1924</v>
      </c>
      <c r="AE443" s="148"/>
      <c r="AF443" s="212" t="str">
        <f t="shared" si="879"/>
        <v>N/A</v>
      </c>
      <c r="AG443" s="212">
        <f t="shared" si="879"/>
        <v>0</v>
      </c>
      <c r="AH443" s="203">
        <f t="shared" si="880"/>
        <v>0</v>
      </c>
      <c r="AI443" s="203">
        <f t="shared" ca="1" si="881"/>
        <v>0</v>
      </c>
      <c r="AJ443" s="203">
        <f t="shared" ca="1" si="882"/>
        <v>0</v>
      </c>
      <c r="AK443" s="212" t="str">
        <f t="shared" si="883"/>
        <v>AMC2-S2</v>
      </c>
      <c r="AL443" s="212">
        <f t="shared" si="883"/>
        <v>1</v>
      </c>
      <c r="AM443" s="203">
        <f t="shared" si="884"/>
        <v>1</v>
      </c>
      <c r="AN443" s="203">
        <f t="shared" ca="1" si="885"/>
        <v>1</v>
      </c>
      <c r="AO443" s="203">
        <f t="shared" ca="1" si="886"/>
        <v>0</v>
      </c>
      <c r="AP443" s="212" t="str">
        <f t="shared" si="887"/>
        <v>AMC2-S4</v>
      </c>
      <c r="AQ443" s="212">
        <f t="shared" si="887"/>
        <v>1</v>
      </c>
      <c r="AR443" s="203">
        <f t="shared" si="888"/>
        <v>1</v>
      </c>
      <c r="AS443" s="203">
        <f t="shared" ca="1" si="889"/>
        <v>1</v>
      </c>
      <c r="AT443" s="203">
        <f t="shared" ca="1" si="890"/>
        <v>0</v>
      </c>
      <c r="AU443" s="212" t="str">
        <f t="shared" si="891"/>
        <v>N/A</v>
      </c>
      <c r="AV443" s="212">
        <f t="shared" si="891"/>
        <v>0</v>
      </c>
      <c r="AW443" s="203">
        <f t="shared" si="892"/>
        <v>0</v>
      </c>
      <c r="AX443" s="203">
        <f t="shared" ca="1" si="893"/>
        <v>0</v>
      </c>
      <c r="AY443" s="203">
        <f t="shared" ca="1" si="894"/>
        <v>0</v>
      </c>
      <c r="AZ443" s="212"/>
      <c r="BA443" s="213" t="s">
        <v>1925</v>
      </c>
      <c r="BB443" s="213" t="s">
        <v>1926</v>
      </c>
      <c r="BC443" s="213" t="s">
        <v>1927</v>
      </c>
      <c r="BD443" s="213" t="s">
        <v>140</v>
      </c>
      <c r="BE443" s="148"/>
      <c r="BF443" s="212" t="s">
        <v>1789</v>
      </c>
      <c r="BG443" s="117"/>
      <c r="BH443" s="155"/>
      <c r="BI443" s="216"/>
      <c r="BJ443" s="216"/>
      <c r="BK443" s="216"/>
      <c r="BL443" s="149"/>
      <c r="BM443" s="149"/>
      <c r="BN443" s="149"/>
      <c r="BO443" s="149"/>
      <c r="BP443" s="149"/>
      <c r="BQ443" s="149"/>
      <c r="BR443" s="117">
        <v>1</v>
      </c>
      <c r="BS443" s="117">
        <v>0</v>
      </c>
      <c r="BT443" s="117">
        <v>0</v>
      </c>
      <c r="BU443" s="117">
        <v>0</v>
      </c>
      <c r="BV443" s="117">
        <v>0</v>
      </c>
      <c r="BW443" s="117">
        <v>0</v>
      </c>
      <c r="BX443" s="117">
        <v>0</v>
      </c>
      <c r="BY443" s="117" t="s">
        <v>1790</v>
      </c>
      <c r="BZ443" s="158" t="s">
        <v>2156</v>
      </c>
      <c r="CA443" s="158">
        <v>4</v>
      </c>
      <c r="CB443" s="234">
        <v>46213</v>
      </c>
      <c r="CC443" s="155"/>
      <c r="CD443" s="141"/>
      <c r="CE443" s="217"/>
      <c r="CF443" s="166">
        <f t="shared" si="895"/>
        <v>-2</v>
      </c>
    </row>
    <row r="444" spans="1:84" ht="36" hidden="1">
      <c r="A444" s="117"/>
      <c r="B444" s="209" t="s">
        <v>1967</v>
      </c>
      <c r="C444" s="209" t="s">
        <v>2188</v>
      </c>
      <c r="D444" s="209" t="s">
        <v>1296</v>
      </c>
      <c r="E444" s="209" t="s">
        <v>1800</v>
      </c>
      <c r="F444" s="209" t="s">
        <v>1657</v>
      </c>
      <c r="G444" s="209" t="s">
        <v>1630</v>
      </c>
      <c r="H444" s="210">
        <v>390</v>
      </c>
      <c r="I444" s="211" t="s">
        <v>652</v>
      </c>
      <c r="J444" s="144">
        <v>1</v>
      </c>
      <c r="K444" s="145">
        <f t="shared" si="874"/>
        <v>2</v>
      </c>
      <c r="L444" s="202">
        <f t="shared" si="875"/>
        <v>2</v>
      </c>
      <c r="M444" s="212">
        <v>2.1</v>
      </c>
      <c r="N444" s="203">
        <f t="shared" si="876"/>
        <v>4.2</v>
      </c>
      <c r="O444" s="212" t="s">
        <v>137</v>
      </c>
      <c r="P444" s="212" t="s">
        <v>13</v>
      </c>
      <c r="Q444" s="212" t="s">
        <v>148</v>
      </c>
      <c r="R444" s="212"/>
      <c r="S444" s="212"/>
      <c r="T444" s="203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0</v>
      </c>
      <c r="U444" s="203">
        <f t="shared" ca="1" si="877"/>
        <v>2</v>
      </c>
      <c r="V444" s="203">
        <f t="shared" ca="1" si="878"/>
        <v>0</v>
      </c>
      <c r="W444" s="212"/>
      <c r="X444" s="212"/>
      <c r="Y444" s="212"/>
      <c r="Z444" s="212"/>
      <c r="AA444" s="212"/>
      <c r="AB444" s="212"/>
      <c r="AC444" s="214" t="s">
        <v>1923</v>
      </c>
      <c r="AD444" s="215" t="s">
        <v>1924</v>
      </c>
      <c r="AE444" s="148"/>
      <c r="AF444" s="212" t="str">
        <f t="shared" si="879"/>
        <v>N/A</v>
      </c>
      <c r="AG444" s="212">
        <f t="shared" si="879"/>
        <v>0</v>
      </c>
      <c r="AH444" s="203">
        <f t="shared" si="880"/>
        <v>0</v>
      </c>
      <c r="AI444" s="203">
        <f t="shared" ca="1" si="881"/>
        <v>0</v>
      </c>
      <c r="AJ444" s="203">
        <f t="shared" ca="1" si="882"/>
        <v>0</v>
      </c>
      <c r="AK444" s="212" t="str">
        <f t="shared" si="883"/>
        <v>AMC2-S2</v>
      </c>
      <c r="AL444" s="212">
        <f t="shared" si="883"/>
        <v>1</v>
      </c>
      <c r="AM444" s="203">
        <f t="shared" si="884"/>
        <v>1</v>
      </c>
      <c r="AN444" s="203">
        <f t="shared" ca="1" si="885"/>
        <v>0</v>
      </c>
      <c r="AO444" s="203">
        <f t="shared" ca="1" si="886"/>
        <v>1</v>
      </c>
      <c r="AP444" s="212" t="str">
        <f t="shared" si="887"/>
        <v>AMC2-S4</v>
      </c>
      <c r="AQ444" s="212">
        <f t="shared" si="887"/>
        <v>1</v>
      </c>
      <c r="AR444" s="203">
        <f t="shared" si="888"/>
        <v>1</v>
      </c>
      <c r="AS444" s="203">
        <f t="shared" ca="1" si="889"/>
        <v>0</v>
      </c>
      <c r="AT444" s="203">
        <f t="shared" ca="1" si="890"/>
        <v>1</v>
      </c>
      <c r="AU444" s="212" t="str">
        <f t="shared" si="891"/>
        <v>N/A</v>
      </c>
      <c r="AV444" s="212">
        <f t="shared" si="891"/>
        <v>0</v>
      </c>
      <c r="AW444" s="203">
        <f t="shared" si="892"/>
        <v>0</v>
      </c>
      <c r="AX444" s="203">
        <f t="shared" ca="1" si="893"/>
        <v>0</v>
      </c>
      <c r="AY444" s="203">
        <f t="shared" ca="1" si="894"/>
        <v>0</v>
      </c>
      <c r="AZ444" s="212"/>
      <c r="BA444" s="213" t="s">
        <v>1925</v>
      </c>
      <c r="BB444" s="213" t="s">
        <v>1926</v>
      </c>
      <c r="BC444" s="213" t="s">
        <v>1927</v>
      </c>
      <c r="BD444" s="213" t="s">
        <v>140</v>
      </c>
      <c r="BE444" s="148"/>
      <c r="BF444" s="212"/>
      <c r="BG444" s="117"/>
      <c r="BH444" s="155"/>
      <c r="BI444" s="216"/>
      <c r="BJ444" s="216"/>
      <c r="BK444" s="216"/>
      <c r="BL444" s="149"/>
      <c r="BM444" s="149"/>
      <c r="BN444" s="149"/>
      <c r="BO444" s="149"/>
      <c r="BP444" s="149"/>
      <c r="BQ444" s="149"/>
      <c r="BR444" s="117">
        <v>1</v>
      </c>
      <c r="BS444" s="117">
        <v>0</v>
      </c>
      <c r="BT444" s="117">
        <v>0</v>
      </c>
      <c r="BU444" s="117">
        <v>0</v>
      </c>
      <c r="BV444" s="117">
        <v>0</v>
      </c>
      <c r="BW444" s="117">
        <v>0</v>
      </c>
      <c r="BX444" s="117">
        <v>0</v>
      </c>
      <c r="BY444" s="117" t="s">
        <v>1790</v>
      </c>
      <c r="BZ444" s="158" t="s">
        <v>2189</v>
      </c>
      <c r="CA444" s="158">
        <v>4</v>
      </c>
      <c r="CB444" s="235">
        <v>46231</v>
      </c>
      <c r="CC444" s="155"/>
      <c r="CD444" s="155"/>
      <c r="CE444" s="217"/>
      <c r="CF444" s="166">
        <f t="shared" si="895"/>
        <v>-2</v>
      </c>
    </row>
    <row r="445" spans="1:84" ht="36" hidden="1">
      <c r="A445" s="117"/>
      <c r="B445" s="209" t="s">
        <v>1967</v>
      </c>
      <c r="C445" s="209" t="s">
        <v>2188</v>
      </c>
      <c r="D445" s="209" t="s">
        <v>1296</v>
      </c>
      <c r="E445" s="209" t="s">
        <v>1801</v>
      </c>
      <c r="F445" s="209" t="s">
        <v>1658</v>
      </c>
      <c r="G445" s="209" t="s">
        <v>1651</v>
      </c>
      <c r="H445" s="210">
        <v>852</v>
      </c>
      <c r="I445" s="211" t="s">
        <v>147</v>
      </c>
      <c r="J445" s="144">
        <v>2</v>
      </c>
      <c r="K445" s="145">
        <f t="shared" si="874"/>
        <v>2</v>
      </c>
      <c r="L445" s="202">
        <f t="shared" si="875"/>
        <v>4</v>
      </c>
      <c r="M445" s="212">
        <v>9.3000000000000007</v>
      </c>
      <c r="N445" s="203">
        <f t="shared" si="876"/>
        <v>37.200000000000003</v>
      </c>
      <c r="O445" s="212" t="s">
        <v>137</v>
      </c>
      <c r="P445" s="212" t="s">
        <v>13</v>
      </c>
      <c r="Q445" s="212" t="s">
        <v>148</v>
      </c>
      <c r="R445" s="212"/>
      <c r="S445" s="212"/>
      <c r="T445" s="203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2</v>
      </c>
      <c r="U445" s="203">
        <f t="shared" ca="1" si="877"/>
        <v>2</v>
      </c>
      <c r="V445" s="203">
        <f t="shared" ca="1" si="878"/>
        <v>1</v>
      </c>
      <c r="W445" s="212"/>
      <c r="X445" s="212"/>
      <c r="Y445" s="212"/>
      <c r="Z445" s="212"/>
      <c r="AA445" s="212"/>
      <c r="AB445" s="212"/>
      <c r="AC445" s="214" t="s">
        <v>1923</v>
      </c>
      <c r="AD445" s="215" t="s">
        <v>1924</v>
      </c>
      <c r="AE445" s="148"/>
      <c r="AF445" s="212" t="str">
        <f t="shared" si="879"/>
        <v>N/A</v>
      </c>
      <c r="AG445" s="212">
        <f t="shared" si="879"/>
        <v>0</v>
      </c>
      <c r="AH445" s="203">
        <f t="shared" si="880"/>
        <v>0</v>
      </c>
      <c r="AI445" s="203">
        <f t="shared" ca="1" si="881"/>
        <v>0</v>
      </c>
      <c r="AJ445" s="203">
        <f t="shared" ca="1" si="882"/>
        <v>0</v>
      </c>
      <c r="AK445" s="212" t="str">
        <f t="shared" si="883"/>
        <v>AMC2-S2</v>
      </c>
      <c r="AL445" s="212">
        <f t="shared" si="883"/>
        <v>1</v>
      </c>
      <c r="AM445" s="203">
        <f t="shared" si="884"/>
        <v>2</v>
      </c>
      <c r="AN445" s="203">
        <f t="shared" ca="1" si="885"/>
        <v>1</v>
      </c>
      <c r="AO445" s="203">
        <f t="shared" ca="1" si="886"/>
        <v>1</v>
      </c>
      <c r="AP445" s="212" t="str">
        <f t="shared" si="887"/>
        <v>AMC2-S4</v>
      </c>
      <c r="AQ445" s="212">
        <f t="shared" si="887"/>
        <v>1</v>
      </c>
      <c r="AR445" s="203">
        <f t="shared" si="888"/>
        <v>2</v>
      </c>
      <c r="AS445" s="203">
        <f t="shared" ca="1" si="889"/>
        <v>1</v>
      </c>
      <c r="AT445" s="203">
        <f t="shared" ca="1" si="890"/>
        <v>1</v>
      </c>
      <c r="AU445" s="212" t="str">
        <f t="shared" si="891"/>
        <v>N/A</v>
      </c>
      <c r="AV445" s="212">
        <f t="shared" si="891"/>
        <v>0</v>
      </c>
      <c r="AW445" s="203">
        <f t="shared" si="892"/>
        <v>0</v>
      </c>
      <c r="AX445" s="203">
        <f t="shared" ca="1" si="893"/>
        <v>0</v>
      </c>
      <c r="AY445" s="203">
        <f t="shared" ca="1" si="894"/>
        <v>0</v>
      </c>
      <c r="AZ445" s="212"/>
      <c r="BA445" s="213" t="s">
        <v>1925</v>
      </c>
      <c r="BB445" s="213" t="s">
        <v>1926</v>
      </c>
      <c r="BC445" s="213" t="s">
        <v>1927</v>
      </c>
      <c r="BD445" s="213" t="s">
        <v>140</v>
      </c>
      <c r="BE445" s="148"/>
      <c r="BF445" s="212" t="s">
        <v>1789</v>
      </c>
      <c r="BG445" s="117"/>
      <c r="BH445" s="155"/>
      <c r="BI445" s="216"/>
      <c r="BJ445" s="216"/>
      <c r="BK445" s="216"/>
      <c r="BL445" s="149"/>
      <c r="BM445" s="149"/>
      <c r="BN445" s="149"/>
      <c r="BO445" s="149"/>
      <c r="BP445" s="149"/>
      <c r="BQ445" s="149"/>
      <c r="BR445" s="117">
        <v>0</v>
      </c>
      <c r="BS445" s="117">
        <v>0</v>
      </c>
      <c r="BT445" s="117">
        <v>0</v>
      </c>
      <c r="BU445" s="117">
        <v>0</v>
      </c>
      <c r="BV445" s="117">
        <v>0</v>
      </c>
      <c r="BW445" s="117">
        <v>0</v>
      </c>
      <c r="BX445" s="117">
        <v>0</v>
      </c>
      <c r="BY445" s="117" t="s">
        <v>1790</v>
      </c>
      <c r="BZ445" s="158" t="s">
        <v>2156</v>
      </c>
      <c r="CA445" s="158">
        <v>8</v>
      </c>
      <c r="CB445" s="234">
        <v>46213</v>
      </c>
      <c r="CC445" s="155"/>
      <c r="CD445" s="141"/>
      <c r="CE445" s="217"/>
      <c r="CF445" s="166">
        <f t="shared" si="895"/>
        <v>-4</v>
      </c>
    </row>
    <row r="446" spans="1:84" ht="36" hidden="1">
      <c r="A446" s="117"/>
      <c r="B446" s="209" t="s">
        <v>1967</v>
      </c>
      <c r="C446" s="209" t="s">
        <v>2188</v>
      </c>
      <c r="D446" s="209" t="s">
        <v>1296</v>
      </c>
      <c r="E446" s="209" t="s">
        <v>1815</v>
      </c>
      <c r="F446" s="209" t="s">
        <v>1659</v>
      </c>
      <c r="G446" s="209" t="s">
        <v>1641</v>
      </c>
      <c r="H446" s="210">
        <v>301</v>
      </c>
      <c r="I446" s="211" t="s">
        <v>147</v>
      </c>
      <c r="J446" s="144">
        <v>2</v>
      </c>
      <c r="K446" s="145">
        <f t="shared" si="874"/>
        <v>2</v>
      </c>
      <c r="L446" s="202">
        <f t="shared" si="875"/>
        <v>4</v>
      </c>
      <c r="M446" s="212">
        <v>3</v>
      </c>
      <c r="N446" s="203">
        <f t="shared" si="876"/>
        <v>12</v>
      </c>
      <c r="O446" s="212" t="s">
        <v>137</v>
      </c>
      <c r="P446" s="212" t="s">
        <v>13</v>
      </c>
      <c r="Q446" s="212" t="s">
        <v>148</v>
      </c>
      <c r="R446" s="212"/>
      <c r="S446" s="212"/>
      <c r="T446" s="203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2</v>
      </c>
      <c r="U446" s="203">
        <f t="shared" ca="1" si="877"/>
        <v>2</v>
      </c>
      <c r="V446" s="203">
        <f t="shared" ca="1" si="878"/>
        <v>1</v>
      </c>
      <c r="W446" s="212"/>
      <c r="X446" s="212"/>
      <c r="Y446" s="212"/>
      <c r="Z446" s="212"/>
      <c r="AA446" s="212"/>
      <c r="AB446" s="212"/>
      <c r="AC446" s="214" t="s">
        <v>1923</v>
      </c>
      <c r="AD446" s="215" t="s">
        <v>1924</v>
      </c>
      <c r="AE446" s="148"/>
      <c r="AF446" s="212" t="str">
        <f t="shared" si="879"/>
        <v>N/A</v>
      </c>
      <c r="AG446" s="212">
        <f t="shared" si="879"/>
        <v>0</v>
      </c>
      <c r="AH446" s="203">
        <f t="shared" si="880"/>
        <v>0</v>
      </c>
      <c r="AI446" s="203">
        <f t="shared" ca="1" si="881"/>
        <v>0</v>
      </c>
      <c r="AJ446" s="203">
        <f t="shared" ca="1" si="882"/>
        <v>0</v>
      </c>
      <c r="AK446" s="212" t="str">
        <f t="shared" si="883"/>
        <v>AMC2-S2</v>
      </c>
      <c r="AL446" s="212">
        <f t="shared" si="883"/>
        <v>1</v>
      </c>
      <c r="AM446" s="203">
        <f t="shared" si="884"/>
        <v>2</v>
      </c>
      <c r="AN446" s="203">
        <f t="shared" ca="1" si="885"/>
        <v>1</v>
      </c>
      <c r="AO446" s="203">
        <f t="shared" ca="1" si="886"/>
        <v>1</v>
      </c>
      <c r="AP446" s="212" t="str">
        <f t="shared" si="887"/>
        <v>AMC2-S4</v>
      </c>
      <c r="AQ446" s="212">
        <f t="shared" si="887"/>
        <v>1</v>
      </c>
      <c r="AR446" s="203">
        <f t="shared" si="888"/>
        <v>2</v>
      </c>
      <c r="AS446" s="203">
        <f t="shared" ca="1" si="889"/>
        <v>1</v>
      </c>
      <c r="AT446" s="203">
        <f t="shared" ca="1" si="890"/>
        <v>1</v>
      </c>
      <c r="AU446" s="212" t="str">
        <f t="shared" si="891"/>
        <v>N/A</v>
      </c>
      <c r="AV446" s="212">
        <f t="shared" si="891"/>
        <v>0</v>
      </c>
      <c r="AW446" s="203">
        <f t="shared" si="892"/>
        <v>0</v>
      </c>
      <c r="AX446" s="203">
        <f t="shared" ca="1" si="893"/>
        <v>0</v>
      </c>
      <c r="AY446" s="203">
        <f t="shared" ca="1" si="894"/>
        <v>0</v>
      </c>
      <c r="AZ446" s="212"/>
      <c r="BA446" s="213" t="s">
        <v>1925</v>
      </c>
      <c r="BB446" s="213" t="s">
        <v>1926</v>
      </c>
      <c r="BC446" s="213" t="s">
        <v>1927</v>
      </c>
      <c r="BD446" s="213" t="s">
        <v>140</v>
      </c>
      <c r="BE446" s="148"/>
      <c r="BF446" s="212" t="s">
        <v>1789</v>
      </c>
      <c r="BG446" s="117"/>
      <c r="BH446" s="155"/>
      <c r="BI446" s="216"/>
      <c r="BJ446" s="216"/>
      <c r="BK446" s="216"/>
      <c r="BL446" s="149"/>
      <c r="BM446" s="149"/>
      <c r="BN446" s="149"/>
      <c r="BO446" s="149"/>
      <c r="BP446" s="149"/>
      <c r="BQ446" s="149"/>
      <c r="BR446" s="117">
        <v>0</v>
      </c>
      <c r="BS446" s="117">
        <v>0</v>
      </c>
      <c r="BT446" s="117">
        <v>0</v>
      </c>
      <c r="BU446" s="117">
        <v>0</v>
      </c>
      <c r="BV446" s="117">
        <v>0</v>
      </c>
      <c r="BW446" s="117">
        <v>0</v>
      </c>
      <c r="BX446" s="117">
        <v>0</v>
      </c>
      <c r="BY446" s="117" t="s">
        <v>1790</v>
      </c>
      <c r="BZ446" s="158" t="s">
        <v>2160</v>
      </c>
      <c r="CA446" s="144">
        <v>8</v>
      </c>
      <c r="CB446" s="235">
        <v>46248</v>
      </c>
      <c r="CC446" s="155"/>
      <c r="CD446" s="117"/>
      <c r="CE446" s="217"/>
      <c r="CF446" s="166">
        <f t="shared" si="895"/>
        <v>-4</v>
      </c>
    </row>
    <row r="447" spans="1:84" ht="36" hidden="1">
      <c r="A447" s="117"/>
      <c r="B447" s="209" t="s">
        <v>1967</v>
      </c>
      <c r="C447" s="209" t="s">
        <v>2188</v>
      </c>
      <c r="D447" s="209" t="s">
        <v>1296</v>
      </c>
      <c r="E447" s="209" t="s">
        <v>1805</v>
      </c>
      <c r="F447" s="209" t="s">
        <v>1660</v>
      </c>
      <c r="G447" s="209" t="s">
        <v>1157</v>
      </c>
      <c r="H447" s="210">
        <v>3750</v>
      </c>
      <c r="I447" s="211" t="s">
        <v>147</v>
      </c>
      <c r="J447" s="144">
        <v>2</v>
      </c>
      <c r="K447" s="145">
        <f t="shared" si="874"/>
        <v>2</v>
      </c>
      <c r="L447" s="202">
        <f t="shared" si="875"/>
        <v>4</v>
      </c>
      <c r="M447" s="212">
        <v>141.30000000000001</v>
      </c>
      <c r="N447" s="203">
        <f t="shared" si="876"/>
        <v>565.20000000000005</v>
      </c>
      <c r="O447" s="212" t="s">
        <v>137</v>
      </c>
      <c r="P447" s="212" t="s">
        <v>13</v>
      </c>
      <c r="Q447" s="212" t="s">
        <v>148</v>
      </c>
      <c r="R447" s="212"/>
      <c r="S447" s="212"/>
      <c r="T447" s="203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2</v>
      </c>
      <c r="U447" s="203">
        <f t="shared" ca="1" si="877"/>
        <v>2</v>
      </c>
      <c r="V447" s="203">
        <f t="shared" ca="1" si="878"/>
        <v>1</v>
      </c>
      <c r="W447" s="212"/>
      <c r="X447" s="212"/>
      <c r="Y447" s="212"/>
      <c r="Z447" s="212"/>
      <c r="AA447" s="212"/>
      <c r="AB447" s="212"/>
      <c r="AC447" s="214" t="s">
        <v>1923</v>
      </c>
      <c r="AD447" s="215" t="s">
        <v>1924</v>
      </c>
      <c r="AE447" s="148"/>
      <c r="AF447" s="212" t="str">
        <f t="shared" si="879"/>
        <v>N/A</v>
      </c>
      <c r="AG447" s="212">
        <f t="shared" si="879"/>
        <v>0</v>
      </c>
      <c r="AH447" s="203">
        <f t="shared" si="880"/>
        <v>0</v>
      </c>
      <c r="AI447" s="203">
        <f t="shared" ca="1" si="881"/>
        <v>0</v>
      </c>
      <c r="AJ447" s="203">
        <f t="shared" ca="1" si="882"/>
        <v>0</v>
      </c>
      <c r="AK447" s="212" t="str">
        <f t="shared" si="883"/>
        <v>AMC2-S2</v>
      </c>
      <c r="AL447" s="212">
        <f t="shared" si="883"/>
        <v>1</v>
      </c>
      <c r="AM447" s="203">
        <f t="shared" si="884"/>
        <v>2</v>
      </c>
      <c r="AN447" s="203">
        <f t="shared" ca="1" si="885"/>
        <v>1</v>
      </c>
      <c r="AO447" s="203">
        <f t="shared" ca="1" si="886"/>
        <v>1</v>
      </c>
      <c r="AP447" s="212" t="str">
        <f t="shared" si="887"/>
        <v>AMC2-S4</v>
      </c>
      <c r="AQ447" s="212">
        <f t="shared" si="887"/>
        <v>1</v>
      </c>
      <c r="AR447" s="203">
        <f t="shared" si="888"/>
        <v>2</v>
      </c>
      <c r="AS447" s="203">
        <f t="shared" ca="1" si="889"/>
        <v>1</v>
      </c>
      <c r="AT447" s="203">
        <f t="shared" ca="1" si="890"/>
        <v>1</v>
      </c>
      <c r="AU447" s="212" t="str">
        <f t="shared" si="891"/>
        <v>N/A</v>
      </c>
      <c r="AV447" s="212">
        <f t="shared" si="891"/>
        <v>0</v>
      </c>
      <c r="AW447" s="203">
        <f t="shared" si="892"/>
        <v>0</v>
      </c>
      <c r="AX447" s="203">
        <f t="shared" ca="1" si="893"/>
        <v>0</v>
      </c>
      <c r="AY447" s="203">
        <f t="shared" ca="1" si="894"/>
        <v>0</v>
      </c>
      <c r="AZ447" s="212"/>
      <c r="BA447" s="213" t="s">
        <v>1925</v>
      </c>
      <c r="BB447" s="213" t="s">
        <v>1926</v>
      </c>
      <c r="BC447" s="213" t="s">
        <v>1927</v>
      </c>
      <c r="BD447" s="213" t="s">
        <v>140</v>
      </c>
      <c r="BE447" s="148"/>
      <c r="BF447" s="212" t="s">
        <v>1789</v>
      </c>
      <c r="BG447" s="117"/>
      <c r="BH447" s="155"/>
      <c r="BI447" s="216"/>
      <c r="BJ447" s="216"/>
      <c r="BK447" s="216"/>
      <c r="BL447" s="149"/>
      <c r="BM447" s="149"/>
      <c r="BN447" s="149"/>
      <c r="BO447" s="149"/>
      <c r="BP447" s="149"/>
      <c r="BQ447" s="149"/>
      <c r="BR447" s="117">
        <v>0</v>
      </c>
      <c r="BS447" s="117">
        <v>0</v>
      </c>
      <c r="BT447" s="117">
        <v>0</v>
      </c>
      <c r="BU447" s="117">
        <v>0</v>
      </c>
      <c r="BV447" s="117">
        <v>0</v>
      </c>
      <c r="BW447" s="117">
        <v>0</v>
      </c>
      <c r="BX447" s="117">
        <v>0</v>
      </c>
      <c r="BY447" s="117" t="s">
        <v>1790</v>
      </c>
      <c r="BZ447" s="158" t="s">
        <v>2155</v>
      </c>
      <c r="CA447" s="144">
        <v>8</v>
      </c>
      <c r="CB447" s="235">
        <v>46231</v>
      </c>
      <c r="CC447" s="155"/>
      <c r="CD447" s="141"/>
      <c r="CE447" s="217"/>
      <c r="CF447" s="166">
        <f t="shared" si="895"/>
        <v>-4</v>
      </c>
    </row>
    <row r="448" spans="1:84" ht="36" hidden="1">
      <c r="A448" s="117"/>
      <c r="B448" s="209" t="s">
        <v>1967</v>
      </c>
      <c r="C448" s="209" t="s">
        <v>2188</v>
      </c>
      <c r="D448" s="209" t="s">
        <v>1296</v>
      </c>
      <c r="E448" s="209" t="s">
        <v>1816</v>
      </c>
      <c r="F448" s="209" t="s">
        <v>1661</v>
      </c>
      <c r="G448" s="209" t="s">
        <v>1641</v>
      </c>
      <c r="H448" s="210">
        <v>289</v>
      </c>
      <c r="I448" s="211" t="s">
        <v>147</v>
      </c>
      <c r="J448" s="144">
        <v>2</v>
      </c>
      <c r="K448" s="145">
        <f t="shared" si="874"/>
        <v>2</v>
      </c>
      <c r="L448" s="202">
        <f t="shared" si="875"/>
        <v>4</v>
      </c>
      <c r="M448" s="212">
        <v>2.7</v>
      </c>
      <c r="N448" s="203">
        <f t="shared" si="876"/>
        <v>10.8</v>
      </c>
      <c r="O448" s="212" t="s">
        <v>137</v>
      </c>
      <c r="P448" s="212" t="s">
        <v>13</v>
      </c>
      <c r="Q448" s="212" t="s">
        <v>148</v>
      </c>
      <c r="R448" s="212"/>
      <c r="S448" s="212"/>
      <c r="T448" s="203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2</v>
      </c>
      <c r="U448" s="203">
        <f t="shared" ca="1" si="877"/>
        <v>2</v>
      </c>
      <c r="V448" s="203">
        <f t="shared" ca="1" si="878"/>
        <v>1</v>
      </c>
      <c r="W448" s="212"/>
      <c r="X448" s="212"/>
      <c r="Y448" s="212"/>
      <c r="Z448" s="212"/>
      <c r="AA448" s="212"/>
      <c r="AB448" s="212"/>
      <c r="AC448" s="214" t="s">
        <v>1923</v>
      </c>
      <c r="AD448" s="215" t="s">
        <v>1924</v>
      </c>
      <c r="AE448" s="148"/>
      <c r="AF448" s="212" t="str">
        <f t="shared" si="879"/>
        <v>N/A</v>
      </c>
      <c r="AG448" s="212">
        <f t="shared" si="879"/>
        <v>0</v>
      </c>
      <c r="AH448" s="203">
        <f t="shared" si="880"/>
        <v>0</v>
      </c>
      <c r="AI448" s="203">
        <f t="shared" ca="1" si="881"/>
        <v>0</v>
      </c>
      <c r="AJ448" s="203">
        <f t="shared" ca="1" si="882"/>
        <v>0</v>
      </c>
      <c r="AK448" s="212" t="str">
        <f t="shared" si="883"/>
        <v>AMC2-S2</v>
      </c>
      <c r="AL448" s="212">
        <f t="shared" si="883"/>
        <v>1</v>
      </c>
      <c r="AM448" s="203">
        <f t="shared" si="884"/>
        <v>2</v>
      </c>
      <c r="AN448" s="203">
        <f t="shared" ca="1" si="885"/>
        <v>1</v>
      </c>
      <c r="AO448" s="203">
        <f t="shared" ca="1" si="886"/>
        <v>1</v>
      </c>
      <c r="AP448" s="212" t="str">
        <f t="shared" si="887"/>
        <v>AMC2-S4</v>
      </c>
      <c r="AQ448" s="212">
        <f t="shared" si="887"/>
        <v>1</v>
      </c>
      <c r="AR448" s="203">
        <f t="shared" si="888"/>
        <v>2</v>
      </c>
      <c r="AS448" s="203">
        <f t="shared" ca="1" si="889"/>
        <v>1</v>
      </c>
      <c r="AT448" s="203">
        <f t="shared" ca="1" si="890"/>
        <v>1</v>
      </c>
      <c r="AU448" s="212" t="str">
        <f t="shared" si="891"/>
        <v>N/A</v>
      </c>
      <c r="AV448" s="212">
        <f t="shared" si="891"/>
        <v>0</v>
      </c>
      <c r="AW448" s="203">
        <f t="shared" si="892"/>
        <v>0</v>
      </c>
      <c r="AX448" s="203">
        <f t="shared" ca="1" si="893"/>
        <v>0</v>
      </c>
      <c r="AY448" s="203">
        <f t="shared" ca="1" si="894"/>
        <v>0</v>
      </c>
      <c r="AZ448" s="212"/>
      <c r="BA448" s="213" t="s">
        <v>1925</v>
      </c>
      <c r="BB448" s="213" t="s">
        <v>1926</v>
      </c>
      <c r="BC448" s="213" t="s">
        <v>1927</v>
      </c>
      <c r="BD448" s="213" t="s">
        <v>140</v>
      </c>
      <c r="BE448" s="148"/>
      <c r="BF448" s="212" t="s">
        <v>1789</v>
      </c>
      <c r="BG448" s="117"/>
      <c r="BH448" s="155"/>
      <c r="BI448" s="216"/>
      <c r="BJ448" s="216"/>
      <c r="BK448" s="216"/>
      <c r="BL448" s="149"/>
      <c r="BM448" s="149"/>
      <c r="BN448" s="149"/>
      <c r="BO448" s="149"/>
      <c r="BP448" s="149"/>
      <c r="BQ448" s="149"/>
      <c r="BR448" s="117">
        <v>0</v>
      </c>
      <c r="BS448" s="117">
        <v>0</v>
      </c>
      <c r="BT448" s="117">
        <v>0</v>
      </c>
      <c r="BU448" s="117">
        <v>0</v>
      </c>
      <c r="BV448" s="117">
        <v>0</v>
      </c>
      <c r="BW448" s="117">
        <v>0</v>
      </c>
      <c r="BX448" s="117">
        <v>0</v>
      </c>
      <c r="BY448" s="117" t="s">
        <v>1790</v>
      </c>
      <c r="BZ448" s="158" t="s">
        <v>2160</v>
      </c>
      <c r="CA448" s="144">
        <v>8</v>
      </c>
      <c r="CB448" s="235">
        <v>46248</v>
      </c>
      <c r="CC448" s="155"/>
      <c r="CD448" s="117"/>
      <c r="CE448" s="217"/>
      <c r="CF448" s="166">
        <f t="shared" si="895"/>
        <v>-4</v>
      </c>
    </row>
    <row r="449" spans="1:84" ht="36" hidden="1">
      <c r="A449" s="117"/>
      <c r="B449" s="209" t="s">
        <v>1967</v>
      </c>
      <c r="C449" s="209" t="s">
        <v>2188</v>
      </c>
      <c r="D449" s="209" t="s">
        <v>1296</v>
      </c>
      <c r="E449" s="209" t="s">
        <v>1806</v>
      </c>
      <c r="F449" s="209" t="s">
        <v>1663</v>
      </c>
      <c r="G449" s="209" t="s">
        <v>1125</v>
      </c>
      <c r="H449" s="210">
        <v>200</v>
      </c>
      <c r="I449" s="211" t="s">
        <v>147</v>
      </c>
      <c r="J449" s="144">
        <v>1</v>
      </c>
      <c r="K449" s="145">
        <f t="shared" si="874"/>
        <v>2</v>
      </c>
      <c r="L449" s="202">
        <f t="shared" si="875"/>
        <v>2</v>
      </c>
      <c r="M449" s="212">
        <v>5.5</v>
      </c>
      <c r="N449" s="203">
        <f t="shared" si="876"/>
        <v>11</v>
      </c>
      <c r="O449" s="212" t="s">
        <v>137</v>
      </c>
      <c r="P449" s="212" t="s">
        <v>13</v>
      </c>
      <c r="Q449" s="212" t="s">
        <v>148</v>
      </c>
      <c r="R449" s="212"/>
      <c r="S449" s="212"/>
      <c r="T449" s="203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2</v>
      </c>
      <c r="U449" s="203">
        <f t="shared" ca="1" si="877"/>
        <v>0</v>
      </c>
      <c r="V449" s="203">
        <f t="shared" ca="1" si="878"/>
        <v>2</v>
      </c>
      <c r="W449" s="212"/>
      <c r="X449" s="212"/>
      <c r="Y449" s="212"/>
      <c r="Z449" s="212"/>
      <c r="AA449" s="212"/>
      <c r="AB449" s="212"/>
      <c r="AC449" s="214" t="s">
        <v>1923</v>
      </c>
      <c r="AD449" s="215" t="s">
        <v>1924</v>
      </c>
      <c r="AE449" s="148"/>
      <c r="AF449" s="212" t="str">
        <f t="shared" si="879"/>
        <v>N/A</v>
      </c>
      <c r="AG449" s="212">
        <f t="shared" si="879"/>
        <v>0</v>
      </c>
      <c r="AH449" s="203">
        <f t="shared" si="880"/>
        <v>0</v>
      </c>
      <c r="AI449" s="203">
        <f t="shared" ca="1" si="881"/>
        <v>0</v>
      </c>
      <c r="AJ449" s="203">
        <f t="shared" ca="1" si="882"/>
        <v>0</v>
      </c>
      <c r="AK449" s="212" t="str">
        <f t="shared" si="883"/>
        <v>AMC2-S2</v>
      </c>
      <c r="AL449" s="212">
        <f t="shared" si="883"/>
        <v>1</v>
      </c>
      <c r="AM449" s="203">
        <f t="shared" si="884"/>
        <v>1</v>
      </c>
      <c r="AN449" s="203">
        <f t="shared" ca="1" si="885"/>
        <v>1</v>
      </c>
      <c r="AO449" s="203">
        <f t="shared" ca="1" si="886"/>
        <v>0</v>
      </c>
      <c r="AP449" s="212" t="str">
        <f t="shared" si="887"/>
        <v>AMC2-S4</v>
      </c>
      <c r="AQ449" s="212">
        <f t="shared" si="887"/>
        <v>1</v>
      </c>
      <c r="AR449" s="203">
        <f t="shared" si="888"/>
        <v>1</v>
      </c>
      <c r="AS449" s="203">
        <f t="shared" ca="1" si="889"/>
        <v>1</v>
      </c>
      <c r="AT449" s="203">
        <f t="shared" ca="1" si="890"/>
        <v>0</v>
      </c>
      <c r="AU449" s="212" t="str">
        <f t="shared" si="891"/>
        <v>N/A</v>
      </c>
      <c r="AV449" s="212">
        <f t="shared" si="891"/>
        <v>0</v>
      </c>
      <c r="AW449" s="203">
        <f t="shared" si="892"/>
        <v>0</v>
      </c>
      <c r="AX449" s="203">
        <f t="shared" ca="1" si="893"/>
        <v>0</v>
      </c>
      <c r="AY449" s="203">
        <f t="shared" ca="1" si="894"/>
        <v>0</v>
      </c>
      <c r="AZ449" s="212"/>
      <c r="BA449" s="213" t="s">
        <v>1925</v>
      </c>
      <c r="BB449" s="213" t="s">
        <v>1926</v>
      </c>
      <c r="BC449" s="213" t="s">
        <v>1927</v>
      </c>
      <c r="BD449" s="213" t="s">
        <v>140</v>
      </c>
      <c r="BE449" s="148"/>
      <c r="BF449" s="212" t="s">
        <v>1789</v>
      </c>
      <c r="BG449" s="117" t="s">
        <v>1971</v>
      </c>
      <c r="BH449" s="155"/>
      <c r="BI449" s="216"/>
      <c r="BJ449" s="216"/>
      <c r="BK449" s="216"/>
      <c r="BL449" s="149"/>
      <c r="BM449" s="149"/>
      <c r="BN449" s="149"/>
      <c r="BO449" s="149"/>
      <c r="BP449" s="149"/>
      <c r="BQ449" s="149"/>
      <c r="BR449" s="117">
        <v>1</v>
      </c>
      <c r="BS449" s="117">
        <v>0</v>
      </c>
      <c r="BT449" s="117">
        <v>0</v>
      </c>
      <c r="BU449" s="117">
        <v>0</v>
      </c>
      <c r="BV449" s="117">
        <v>0</v>
      </c>
      <c r="BW449" s="117">
        <v>0</v>
      </c>
      <c r="BX449" s="117">
        <v>0</v>
      </c>
      <c r="BY449" s="117" t="s">
        <v>1790</v>
      </c>
      <c r="BZ449" s="158" t="s">
        <v>2155</v>
      </c>
      <c r="CA449" s="144">
        <v>4</v>
      </c>
      <c r="CB449" s="235">
        <v>46231</v>
      </c>
      <c r="CC449" s="155"/>
      <c r="CD449" s="141"/>
      <c r="CE449" s="217"/>
      <c r="CF449" s="166">
        <f t="shared" si="895"/>
        <v>-2</v>
      </c>
    </row>
    <row r="450" spans="1:84" ht="36" hidden="1">
      <c r="A450" s="117"/>
      <c r="B450" s="209" t="s">
        <v>1967</v>
      </c>
      <c r="C450" s="209" t="s">
        <v>2188</v>
      </c>
      <c r="D450" s="209" t="s">
        <v>1296</v>
      </c>
      <c r="E450" s="209" t="s">
        <v>1817</v>
      </c>
      <c r="F450" s="209" t="s">
        <v>1662</v>
      </c>
      <c r="G450" s="209" t="s">
        <v>1123</v>
      </c>
      <c r="H450" s="210">
        <v>320</v>
      </c>
      <c r="I450" s="211" t="s">
        <v>147</v>
      </c>
      <c r="J450" s="144">
        <v>1</v>
      </c>
      <c r="K450" s="145">
        <f t="shared" si="874"/>
        <v>2</v>
      </c>
      <c r="L450" s="202">
        <f t="shared" si="875"/>
        <v>2</v>
      </c>
      <c r="M450" s="212">
        <v>7.6</v>
      </c>
      <c r="N450" s="203">
        <f t="shared" si="876"/>
        <v>15.2</v>
      </c>
      <c r="O450" s="212" t="s">
        <v>137</v>
      </c>
      <c r="P450" s="212" t="s">
        <v>13</v>
      </c>
      <c r="Q450" s="212" t="s">
        <v>148</v>
      </c>
      <c r="R450" s="212"/>
      <c r="S450" s="212"/>
      <c r="T450" s="203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1</v>
      </c>
      <c r="U450" s="203">
        <f t="shared" ca="1" si="877"/>
        <v>1</v>
      </c>
      <c r="V450" s="203">
        <f t="shared" ca="1" si="878"/>
        <v>1</v>
      </c>
      <c r="W450" s="212"/>
      <c r="X450" s="212"/>
      <c r="Y450" s="212"/>
      <c r="Z450" s="212"/>
      <c r="AA450" s="212"/>
      <c r="AB450" s="212"/>
      <c r="AC450" s="214" t="s">
        <v>1923</v>
      </c>
      <c r="AD450" s="215" t="s">
        <v>1924</v>
      </c>
      <c r="AE450" s="148"/>
      <c r="AF450" s="212" t="str">
        <f t="shared" ref="AF450:AG451" si="896">AF449</f>
        <v>N/A</v>
      </c>
      <c r="AG450" s="212">
        <f t="shared" si="896"/>
        <v>0</v>
      </c>
      <c r="AH450" s="203">
        <f t="shared" si="880"/>
        <v>0</v>
      </c>
      <c r="AI450" s="203">
        <f t="shared" ca="1" si="881"/>
        <v>0</v>
      </c>
      <c r="AJ450" s="203">
        <f t="shared" ca="1" si="882"/>
        <v>0</v>
      </c>
      <c r="AK450" s="212" t="str">
        <f t="shared" ref="AK450:AL451" si="897">AK449</f>
        <v>AMC2-S2</v>
      </c>
      <c r="AL450" s="212">
        <f t="shared" si="897"/>
        <v>1</v>
      </c>
      <c r="AM450" s="203">
        <f t="shared" si="884"/>
        <v>1</v>
      </c>
      <c r="AN450" s="203">
        <f t="shared" ca="1" si="885"/>
        <v>1</v>
      </c>
      <c r="AO450" s="203">
        <f t="shared" ca="1" si="886"/>
        <v>0</v>
      </c>
      <c r="AP450" s="212" t="str">
        <f t="shared" ref="AP450:AQ451" si="898">AP449</f>
        <v>AMC2-S4</v>
      </c>
      <c r="AQ450" s="212">
        <f t="shared" si="898"/>
        <v>1</v>
      </c>
      <c r="AR450" s="203">
        <f t="shared" si="888"/>
        <v>1</v>
      </c>
      <c r="AS450" s="203">
        <f t="shared" ca="1" si="889"/>
        <v>0</v>
      </c>
      <c r="AT450" s="203">
        <f t="shared" ca="1" si="890"/>
        <v>1</v>
      </c>
      <c r="AU450" s="212" t="str">
        <f t="shared" ref="AU450:AV451" si="899">AU449</f>
        <v>N/A</v>
      </c>
      <c r="AV450" s="212">
        <f t="shared" si="899"/>
        <v>0</v>
      </c>
      <c r="AW450" s="203">
        <f t="shared" si="892"/>
        <v>0</v>
      </c>
      <c r="AX450" s="203">
        <f t="shared" ca="1" si="893"/>
        <v>0</v>
      </c>
      <c r="AY450" s="203">
        <f t="shared" ca="1" si="894"/>
        <v>0</v>
      </c>
      <c r="AZ450" s="212"/>
      <c r="BA450" s="213" t="s">
        <v>1925</v>
      </c>
      <c r="BB450" s="213" t="s">
        <v>1926</v>
      </c>
      <c r="BC450" s="213" t="s">
        <v>1927</v>
      </c>
      <c r="BD450" s="213" t="s">
        <v>140</v>
      </c>
      <c r="BE450" s="148"/>
      <c r="BF450" s="212" t="s">
        <v>1789</v>
      </c>
      <c r="BG450" s="117" t="s">
        <v>1972</v>
      </c>
      <c r="BH450" s="155"/>
      <c r="BI450" s="216"/>
      <c r="BJ450" s="216"/>
      <c r="BK450" s="216"/>
      <c r="BL450" s="149"/>
      <c r="BM450" s="149"/>
      <c r="BN450" s="149"/>
      <c r="BO450" s="149"/>
      <c r="BP450" s="149"/>
      <c r="BQ450" s="149"/>
      <c r="BR450" s="117">
        <v>1</v>
      </c>
      <c r="BS450" s="117">
        <v>0</v>
      </c>
      <c r="BT450" s="117">
        <v>0</v>
      </c>
      <c r="BU450" s="117">
        <v>0</v>
      </c>
      <c r="BV450" s="117">
        <v>0</v>
      </c>
      <c r="BW450" s="117">
        <v>0</v>
      </c>
      <c r="BX450" s="117">
        <v>0</v>
      </c>
      <c r="BY450" s="117" t="s">
        <v>1790</v>
      </c>
      <c r="BZ450" s="158" t="s">
        <v>2157</v>
      </c>
      <c r="CA450" s="144">
        <v>4</v>
      </c>
      <c r="CB450" s="234">
        <v>46242</v>
      </c>
      <c r="CC450" s="155"/>
      <c r="CD450" s="117"/>
      <c r="CE450" s="217"/>
      <c r="CF450" s="166">
        <f t="shared" si="895"/>
        <v>-2</v>
      </c>
    </row>
    <row r="451" spans="1:84" ht="36" hidden="1">
      <c r="A451" s="117"/>
      <c r="B451" s="209" t="s">
        <v>1967</v>
      </c>
      <c r="C451" s="209" t="s">
        <v>2188</v>
      </c>
      <c r="D451" s="209" t="s">
        <v>1076</v>
      </c>
      <c r="E451" s="209" t="s">
        <v>1802</v>
      </c>
      <c r="F451" s="209" t="s">
        <v>1654</v>
      </c>
      <c r="G451" s="209" t="s">
        <v>1075</v>
      </c>
      <c r="H451" s="210">
        <v>812</v>
      </c>
      <c r="I451" s="211" t="s">
        <v>1077</v>
      </c>
      <c r="J451" s="144">
        <v>2</v>
      </c>
      <c r="K451" s="145">
        <f t="shared" si="874"/>
        <v>2</v>
      </c>
      <c r="L451" s="202">
        <f t="shared" si="875"/>
        <v>4</v>
      </c>
      <c r="M451" s="212">
        <v>13.05696</v>
      </c>
      <c r="N451" s="203">
        <f t="shared" si="876"/>
        <v>52.22784</v>
      </c>
      <c r="O451" s="212" t="s">
        <v>137</v>
      </c>
      <c r="P451" s="212" t="s">
        <v>11</v>
      </c>
      <c r="Q451" s="212" t="s">
        <v>148</v>
      </c>
      <c r="R451" s="212"/>
      <c r="S451" s="212"/>
      <c r="T451" s="203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2</v>
      </c>
      <c r="U451" s="203">
        <f t="shared" ca="1" si="877"/>
        <v>2</v>
      </c>
      <c r="V451" s="203">
        <f t="shared" ca="1" si="878"/>
        <v>1</v>
      </c>
      <c r="W451" s="212"/>
      <c r="X451" s="212"/>
      <c r="Y451" s="212"/>
      <c r="Z451" s="212"/>
      <c r="AA451" s="212"/>
      <c r="AB451" s="212"/>
      <c r="AC451" s="214" t="s">
        <v>1923</v>
      </c>
      <c r="AD451" s="215" t="s">
        <v>1924</v>
      </c>
      <c r="AE451" s="148"/>
      <c r="AF451" s="212" t="str">
        <f t="shared" si="896"/>
        <v>N/A</v>
      </c>
      <c r="AG451" s="212">
        <f t="shared" si="896"/>
        <v>0</v>
      </c>
      <c r="AH451" s="203">
        <f t="shared" si="880"/>
        <v>0</v>
      </c>
      <c r="AI451" s="203">
        <f t="shared" ca="1" si="881"/>
        <v>0</v>
      </c>
      <c r="AJ451" s="203">
        <f t="shared" ca="1" si="882"/>
        <v>0</v>
      </c>
      <c r="AK451" s="212" t="str">
        <f t="shared" si="897"/>
        <v>AMC2-S2</v>
      </c>
      <c r="AL451" s="212">
        <f t="shared" si="897"/>
        <v>1</v>
      </c>
      <c r="AM451" s="203">
        <f t="shared" si="884"/>
        <v>2</v>
      </c>
      <c r="AN451" s="203">
        <f t="shared" ca="1" si="885"/>
        <v>1</v>
      </c>
      <c r="AO451" s="203">
        <f t="shared" ca="1" si="886"/>
        <v>1</v>
      </c>
      <c r="AP451" s="212" t="str">
        <f t="shared" si="898"/>
        <v>AMC2-S4</v>
      </c>
      <c r="AQ451" s="212">
        <f t="shared" si="898"/>
        <v>1</v>
      </c>
      <c r="AR451" s="203">
        <f t="shared" si="888"/>
        <v>2</v>
      </c>
      <c r="AS451" s="203">
        <f t="shared" ca="1" si="889"/>
        <v>1</v>
      </c>
      <c r="AT451" s="203">
        <f t="shared" ca="1" si="890"/>
        <v>1</v>
      </c>
      <c r="AU451" s="212" t="str">
        <f t="shared" si="899"/>
        <v>N/A</v>
      </c>
      <c r="AV451" s="212">
        <f t="shared" si="899"/>
        <v>0</v>
      </c>
      <c r="AW451" s="203">
        <f t="shared" si="892"/>
        <v>0</v>
      </c>
      <c r="AX451" s="203">
        <f t="shared" ca="1" si="893"/>
        <v>0</v>
      </c>
      <c r="AY451" s="203">
        <f t="shared" ca="1" si="894"/>
        <v>0</v>
      </c>
      <c r="AZ451" s="212"/>
      <c r="BA451" s="213" t="s">
        <v>1925</v>
      </c>
      <c r="BB451" s="213" t="s">
        <v>1926</v>
      </c>
      <c r="BC451" s="213" t="s">
        <v>1927</v>
      </c>
      <c r="BD451" s="213" t="s">
        <v>140</v>
      </c>
      <c r="BE451" s="148"/>
      <c r="BF451" s="212" t="s">
        <v>1789</v>
      </c>
      <c r="BG451" s="117"/>
      <c r="BH451" s="155"/>
      <c r="BI451" s="216"/>
      <c r="BJ451" s="216"/>
      <c r="BK451" s="216"/>
      <c r="BL451" s="149"/>
      <c r="BM451" s="149"/>
      <c r="BN451" s="149"/>
      <c r="BO451" s="149"/>
      <c r="BP451" s="149"/>
      <c r="BQ451" s="149"/>
      <c r="BR451" s="117">
        <v>0</v>
      </c>
      <c r="BS451" s="117">
        <v>0</v>
      </c>
      <c r="BT451" s="117">
        <v>0</v>
      </c>
      <c r="BU451" s="117">
        <v>1</v>
      </c>
      <c r="BV451" s="117">
        <v>0</v>
      </c>
      <c r="BW451" s="117">
        <v>0</v>
      </c>
      <c r="BX451" s="117">
        <v>0</v>
      </c>
      <c r="BY451" s="117" t="s">
        <v>1790</v>
      </c>
      <c r="BZ451" s="158" t="s">
        <v>2161</v>
      </c>
      <c r="CA451" s="213">
        <v>8</v>
      </c>
      <c r="CB451" s="235">
        <v>46231</v>
      </c>
      <c r="CC451" s="155"/>
      <c r="CD451" s="155"/>
      <c r="CE451" s="217"/>
      <c r="CF451" s="166">
        <f t="shared" si="895"/>
        <v>-4</v>
      </c>
    </row>
    <row r="452" spans="1:84" ht="36" hidden="1">
      <c r="A452" s="162">
        <v>143</v>
      </c>
      <c r="B452" s="177" t="s">
        <v>1973</v>
      </c>
      <c r="C452" s="177" t="s">
        <v>2190</v>
      </c>
      <c r="D452" s="177" t="s">
        <v>1974</v>
      </c>
      <c r="E452" s="177"/>
      <c r="F452" s="177"/>
      <c r="G452" s="177" t="s">
        <v>1975</v>
      </c>
      <c r="H452" s="178"/>
      <c r="I452" s="179"/>
      <c r="J452" s="160"/>
      <c r="K452" s="180">
        <f>+AG452+AL452+AQ452+AV452</f>
        <v>2</v>
      </c>
      <c r="L452" s="160"/>
      <c r="M452" s="181">
        <v>5074</v>
      </c>
      <c r="N452" s="181">
        <v>20296</v>
      </c>
      <c r="O452" s="181" t="s">
        <v>137</v>
      </c>
      <c r="P452" s="181"/>
      <c r="Q452" s="181"/>
      <c r="R452" s="181"/>
      <c r="S452" s="181"/>
      <c r="T452" s="181"/>
      <c r="U452" s="181"/>
      <c r="V452" s="181"/>
      <c r="W452" s="181">
        <f ca="1">_xlfn.MINIFS(V:V,C:C,C452,AE:AE,"",AB:AB,"")</f>
        <v>0</v>
      </c>
      <c r="X452" s="181">
        <f ca="1">SUMIFS(T:T,C:C,C452,AE:AE,"")/SUMIFS(L:L,C:C,C452,AE:AE,"",AB:AB,"")</f>
        <v>0.5</v>
      </c>
      <c r="Y452" s="181"/>
      <c r="Z452" s="181"/>
      <c r="AA452" s="181"/>
      <c r="AB452" s="181"/>
      <c r="AC452" s="228" t="s">
        <v>1923</v>
      </c>
      <c r="AD452" s="184" t="s">
        <v>1924</v>
      </c>
      <c r="AE452" s="162" t="s">
        <v>143</v>
      </c>
      <c r="AF452" s="181" t="s">
        <v>138</v>
      </c>
      <c r="AG452" s="181">
        <v>0</v>
      </c>
      <c r="AH452" s="181"/>
      <c r="AI452" s="181"/>
      <c r="AJ452" s="181"/>
      <c r="AK452" s="181" t="s">
        <v>1970</v>
      </c>
      <c r="AL452" s="181">
        <v>1</v>
      </c>
      <c r="AM452" s="181"/>
      <c r="AN452" s="181"/>
      <c r="AO452" s="181"/>
      <c r="AP452" s="181" t="s">
        <v>1922</v>
      </c>
      <c r="AQ452" s="181">
        <v>1</v>
      </c>
      <c r="AR452" s="181"/>
      <c r="AS452" s="181"/>
      <c r="AT452" s="181"/>
      <c r="AU452" s="181" t="s">
        <v>138</v>
      </c>
      <c r="AV452" s="181">
        <v>0</v>
      </c>
      <c r="AW452" s="181"/>
      <c r="AX452" s="181"/>
      <c r="AY452" s="181"/>
      <c r="AZ452" s="181"/>
      <c r="BA452" s="182" t="s">
        <v>1925</v>
      </c>
      <c r="BB452" s="182" t="s">
        <v>1926</v>
      </c>
      <c r="BC452" s="182" t="s">
        <v>1927</v>
      </c>
      <c r="BD452" s="182" t="s">
        <v>140</v>
      </c>
      <c r="BE452" s="162" t="s">
        <v>741</v>
      </c>
      <c r="BF452" s="181"/>
      <c r="BG452" s="161"/>
      <c r="BH452" s="161"/>
      <c r="BI452" s="163"/>
      <c r="BJ452" s="163"/>
      <c r="BK452" s="163"/>
      <c r="BL452" s="163"/>
      <c r="BM452" s="163"/>
      <c r="BN452" s="163"/>
      <c r="BO452" s="163"/>
      <c r="BP452" s="163"/>
      <c r="BQ452" s="163"/>
      <c r="BR452" s="161"/>
      <c r="BS452" s="161"/>
      <c r="BT452" s="161"/>
      <c r="BU452" s="161"/>
      <c r="BV452" s="161"/>
      <c r="BW452" s="161"/>
      <c r="BX452" s="161"/>
      <c r="BY452" s="161"/>
      <c r="BZ452" s="161"/>
      <c r="CA452" s="161"/>
      <c r="CB452" s="163"/>
      <c r="CC452" s="161"/>
      <c r="CD452" s="161"/>
      <c r="CE452" s="185"/>
      <c r="CF452" s="185"/>
    </row>
    <row r="453" spans="1:84" ht="36" hidden="1">
      <c r="A453" s="141"/>
      <c r="B453" s="199" t="s">
        <v>1973</v>
      </c>
      <c r="C453" s="199" t="s">
        <v>2190</v>
      </c>
      <c r="D453" s="199" t="s">
        <v>1084</v>
      </c>
      <c r="E453" s="199" t="s">
        <v>1788</v>
      </c>
      <c r="F453" s="199" t="s">
        <v>1701</v>
      </c>
      <c r="G453" s="199" t="s">
        <v>1676</v>
      </c>
      <c r="H453" s="200">
        <v>11647</v>
      </c>
      <c r="I453" s="201" t="s">
        <v>147</v>
      </c>
      <c r="J453" s="165">
        <v>1</v>
      </c>
      <c r="K453" s="202">
        <f t="shared" ref="K453:K466" si="900">K452</f>
        <v>2</v>
      </c>
      <c r="L453" s="202">
        <f t="shared" ref="L453:L466" si="901">+J453*K453</f>
        <v>2</v>
      </c>
      <c r="M453" s="203">
        <v>854.3</v>
      </c>
      <c r="N453" s="203">
        <f t="shared" ref="N453:N466" si="902">+M453*L453</f>
        <v>1708.6</v>
      </c>
      <c r="O453" s="203" t="s">
        <v>137</v>
      </c>
      <c r="P453" s="203" t="s">
        <v>13</v>
      </c>
      <c r="Q453" s="203" t="s">
        <v>154</v>
      </c>
      <c r="R453" s="203"/>
      <c r="S453" s="203"/>
      <c r="T453" s="203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0</v>
      </c>
      <c r="U453" s="203">
        <f t="shared" ref="U453:U466" ca="1" si="903">+L453-T453</f>
        <v>2</v>
      </c>
      <c r="V453" s="203">
        <f t="shared" ref="V453:V466" ca="1" si="904">ROUNDDOWN(T453/J453,0)</f>
        <v>0</v>
      </c>
      <c r="W453" s="203"/>
      <c r="X453" s="203"/>
      <c r="Y453" s="203"/>
      <c r="Z453" s="203"/>
      <c r="AA453" s="203"/>
      <c r="AB453" s="203"/>
      <c r="AC453" s="205" t="s">
        <v>1923</v>
      </c>
      <c r="AD453" s="206" t="s">
        <v>1924</v>
      </c>
      <c r="AE453" s="166"/>
      <c r="AF453" s="203" t="str">
        <f t="shared" ref="AF453:AG466" si="905">AF452</f>
        <v>N/A</v>
      </c>
      <c r="AG453" s="203">
        <f t="shared" si="905"/>
        <v>0</v>
      </c>
      <c r="AH453" s="203">
        <f t="shared" ref="AH453:AH466" si="906">+AG453*J453</f>
        <v>0</v>
      </c>
      <c r="AI453" s="203">
        <f t="shared" ref="AI453:AI466" ca="1" si="907">MIN(T453,AH453)</f>
        <v>0</v>
      </c>
      <c r="AJ453" s="203">
        <f t="shared" ref="AJ453:AJ466" ca="1" si="908">+AH453-AI453</f>
        <v>0</v>
      </c>
      <c r="AK453" s="203" t="str">
        <f t="shared" ref="AK453:AL466" si="909">AK452</f>
        <v>AMC2-S2</v>
      </c>
      <c r="AL453" s="203">
        <f t="shared" si="909"/>
        <v>1</v>
      </c>
      <c r="AM453" s="203">
        <f t="shared" ref="AM453:AM466" si="910">+AL453*J453</f>
        <v>1</v>
      </c>
      <c r="AN453" s="203">
        <f t="shared" ref="AN453:AN466" ca="1" si="911">MIN(T453-AI453,AL453)</f>
        <v>0</v>
      </c>
      <c r="AO453" s="203">
        <f t="shared" ref="AO453:AO466" ca="1" si="912">+AM453-AN453</f>
        <v>1</v>
      </c>
      <c r="AP453" s="203" t="str">
        <f t="shared" ref="AP453:AQ466" si="913">AP452</f>
        <v>AMC2-S4</v>
      </c>
      <c r="AQ453" s="203">
        <f t="shared" si="913"/>
        <v>1</v>
      </c>
      <c r="AR453" s="203">
        <f t="shared" ref="AR453:AR466" si="914">+AQ453*J453</f>
        <v>1</v>
      </c>
      <c r="AS453" s="203">
        <f t="shared" ref="AS453:AS466" ca="1" si="915">MIN(T453-AI453-AN453,AR453)</f>
        <v>0</v>
      </c>
      <c r="AT453" s="203">
        <f t="shared" ref="AT453:AT466" ca="1" si="916">+AR453-AS453</f>
        <v>1</v>
      </c>
      <c r="AU453" s="203" t="str">
        <f t="shared" ref="AU453:AV466" si="917">AU452</f>
        <v>N/A</v>
      </c>
      <c r="AV453" s="203">
        <f t="shared" si="917"/>
        <v>0</v>
      </c>
      <c r="AW453" s="203">
        <f t="shared" ref="AW453:AW466" si="918">+AV453*J453</f>
        <v>0</v>
      </c>
      <c r="AX453" s="203">
        <f t="shared" ref="AX453:AX466" ca="1" si="919">MIN(T453-AI453-AN453-AS453,AW453)</f>
        <v>0</v>
      </c>
      <c r="AY453" s="203">
        <f t="shared" ref="AY453:AY466" ca="1" si="920">+AW453-AX453</f>
        <v>0</v>
      </c>
      <c r="AZ453" s="203"/>
      <c r="BA453" s="204" t="s">
        <v>1925</v>
      </c>
      <c r="BB453" s="204" t="s">
        <v>1926</v>
      </c>
      <c r="BC453" s="204" t="s">
        <v>1927</v>
      </c>
      <c r="BD453" s="204" t="s">
        <v>140</v>
      </c>
      <c r="BE453" s="166"/>
      <c r="BF453" s="203" t="s">
        <v>1789</v>
      </c>
      <c r="BG453" s="141"/>
      <c r="BH453" s="152"/>
      <c r="BI453" s="207"/>
      <c r="BJ453" s="207"/>
      <c r="BK453" s="207"/>
      <c r="BL453" s="153" t="s">
        <v>1932</v>
      </c>
      <c r="BM453" s="153"/>
      <c r="BN453" s="153"/>
      <c r="BO453" s="153"/>
      <c r="BP453" s="153"/>
      <c r="BQ453" s="153"/>
      <c r="BR453" s="141">
        <v>0</v>
      </c>
      <c r="BS453" s="141">
        <v>1</v>
      </c>
      <c r="BT453" s="141">
        <v>0</v>
      </c>
      <c r="BU453" s="141">
        <v>1</v>
      </c>
      <c r="BV453" s="141">
        <v>0</v>
      </c>
      <c r="BW453" s="141">
        <v>0</v>
      </c>
      <c r="BX453" s="141">
        <v>0</v>
      </c>
      <c r="BY453" s="141" t="s">
        <v>1790</v>
      </c>
      <c r="BZ453" s="167" t="s">
        <v>57</v>
      </c>
      <c r="CA453" s="167">
        <v>4</v>
      </c>
      <c r="CB453" s="235"/>
      <c r="CC453" s="152"/>
      <c r="CD453" s="152"/>
      <c r="CE453" s="208"/>
      <c r="CF453" s="166">
        <f t="shared" ref="CF453:CF466" si="921">+L453-CA453</f>
        <v>-2</v>
      </c>
    </row>
    <row r="454" spans="1:84" ht="36" hidden="1">
      <c r="A454" s="141"/>
      <c r="B454" s="199" t="s">
        <v>1973</v>
      </c>
      <c r="C454" s="199" t="s">
        <v>2190</v>
      </c>
      <c r="D454" s="199" t="s">
        <v>1084</v>
      </c>
      <c r="E454" s="199" t="s">
        <v>1791</v>
      </c>
      <c r="F454" s="199" t="s">
        <v>1707</v>
      </c>
      <c r="G454" s="199" t="s">
        <v>1708</v>
      </c>
      <c r="H454" s="200">
        <v>5374</v>
      </c>
      <c r="I454" s="201" t="s">
        <v>147</v>
      </c>
      <c r="J454" s="165">
        <v>1</v>
      </c>
      <c r="K454" s="202">
        <f t="shared" si="900"/>
        <v>2</v>
      </c>
      <c r="L454" s="202">
        <f t="shared" si="901"/>
        <v>2</v>
      </c>
      <c r="M454" s="203">
        <v>1229</v>
      </c>
      <c r="N454" s="203">
        <f t="shared" si="902"/>
        <v>2458</v>
      </c>
      <c r="O454" s="203" t="s">
        <v>137</v>
      </c>
      <c r="P454" s="203" t="s">
        <v>13</v>
      </c>
      <c r="Q454" s="203" t="s">
        <v>154</v>
      </c>
      <c r="R454" s="203"/>
      <c r="S454" s="203"/>
      <c r="T454" s="203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1</v>
      </c>
      <c r="U454" s="203">
        <f t="shared" ca="1" si="903"/>
        <v>1</v>
      </c>
      <c r="V454" s="203">
        <f t="shared" ca="1" si="904"/>
        <v>1</v>
      </c>
      <c r="W454" s="203"/>
      <c r="X454" s="203"/>
      <c r="Y454" s="203"/>
      <c r="Z454" s="203"/>
      <c r="AA454" s="203"/>
      <c r="AB454" s="203"/>
      <c r="AC454" s="205" t="s">
        <v>1923</v>
      </c>
      <c r="AD454" s="206" t="s">
        <v>1924</v>
      </c>
      <c r="AE454" s="166"/>
      <c r="AF454" s="203" t="str">
        <f t="shared" si="905"/>
        <v>N/A</v>
      </c>
      <c r="AG454" s="203">
        <f t="shared" si="905"/>
        <v>0</v>
      </c>
      <c r="AH454" s="203">
        <f t="shared" si="906"/>
        <v>0</v>
      </c>
      <c r="AI454" s="203">
        <f t="shared" ca="1" si="907"/>
        <v>0</v>
      </c>
      <c r="AJ454" s="203">
        <f t="shared" ca="1" si="908"/>
        <v>0</v>
      </c>
      <c r="AK454" s="203" t="str">
        <f t="shared" si="909"/>
        <v>AMC2-S2</v>
      </c>
      <c r="AL454" s="203">
        <f t="shared" si="909"/>
        <v>1</v>
      </c>
      <c r="AM454" s="203">
        <f t="shared" si="910"/>
        <v>1</v>
      </c>
      <c r="AN454" s="203">
        <f t="shared" ca="1" si="911"/>
        <v>1</v>
      </c>
      <c r="AO454" s="203">
        <f t="shared" ca="1" si="912"/>
        <v>0</v>
      </c>
      <c r="AP454" s="203" t="str">
        <f t="shared" si="913"/>
        <v>AMC2-S4</v>
      </c>
      <c r="AQ454" s="203">
        <f t="shared" si="913"/>
        <v>1</v>
      </c>
      <c r="AR454" s="203">
        <f t="shared" si="914"/>
        <v>1</v>
      </c>
      <c r="AS454" s="203">
        <f t="shared" ca="1" si="915"/>
        <v>0</v>
      </c>
      <c r="AT454" s="203">
        <f t="shared" ca="1" si="916"/>
        <v>1</v>
      </c>
      <c r="AU454" s="203" t="str">
        <f t="shared" si="917"/>
        <v>N/A</v>
      </c>
      <c r="AV454" s="203">
        <f t="shared" si="917"/>
        <v>0</v>
      </c>
      <c r="AW454" s="203">
        <f t="shared" si="918"/>
        <v>0</v>
      </c>
      <c r="AX454" s="203">
        <f t="shared" ca="1" si="919"/>
        <v>0</v>
      </c>
      <c r="AY454" s="203">
        <f t="shared" ca="1" si="920"/>
        <v>0</v>
      </c>
      <c r="AZ454" s="203"/>
      <c r="BA454" s="204" t="s">
        <v>1925</v>
      </c>
      <c r="BB454" s="204" t="s">
        <v>1926</v>
      </c>
      <c r="BC454" s="204" t="s">
        <v>1927</v>
      </c>
      <c r="BD454" s="204" t="s">
        <v>140</v>
      </c>
      <c r="BE454" s="166"/>
      <c r="BF454" s="203" t="s">
        <v>1789</v>
      </c>
      <c r="BG454" s="141"/>
      <c r="BH454" s="152"/>
      <c r="BI454" s="207"/>
      <c r="BJ454" s="207"/>
      <c r="BK454" s="207"/>
      <c r="BL454" s="153" t="s">
        <v>1932</v>
      </c>
      <c r="BM454" s="153"/>
      <c r="BN454" s="153"/>
      <c r="BO454" s="153"/>
      <c r="BP454" s="153"/>
      <c r="BQ454" s="153"/>
      <c r="BR454" s="141">
        <v>0</v>
      </c>
      <c r="BS454" s="141">
        <v>1</v>
      </c>
      <c r="BT454" s="141">
        <v>0</v>
      </c>
      <c r="BU454" s="141">
        <v>1</v>
      </c>
      <c r="BV454" s="141">
        <v>0</v>
      </c>
      <c r="BW454" s="141">
        <v>0</v>
      </c>
      <c r="BX454" s="141">
        <v>0</v>
      </c>
      <c r="BY454" s="141" t="s">
        <v>1790</v>
      </c>
      <c r="BZ454" s="167" t="s">
        <v>57</v>
      </c>
      <c r="CA454" s="204">
        <v>4</v>
      </c>
      <c r="CB454" s="235"/>
      <c r="CC454" s="152"/>
      <c r="CD454" s="141"/>
      <c r="CE454" s="208"/>
      <c r="CF454" s="166">
        <f t="shared" si="921"/>
        <v>-2</v>
      </c>
    </row>
    <row r="455" spans="1:84" ht="36" hidden="1">
      <c r="A455" s="117"/>
      <c r="B455" s="209" t="s">
        <v>1973</v>
      </c>
      <c r="C455" s="209" t="s">
        <v>2190</v>
      </c>
      <c r="D455" s="209" t="s">
        <v>1084</v>
      </c>
      <c r="E455" s="209" t="s">
        <v>1792</v>
      </c>
      <c r="F455" s="209" t="s">
        <v>1709</v>
      </c>
      <c r="G455" s="209" t="s">
        <v>1690</v>
      </c>
      <c r="H455" s="210">
        <v>5462</v>
      </c>
      <c r="I455" s="211" t="s">
        <v>147</v>
      </c>
      <c r="J455" s="144">
        <v>1</v>
      </c>
      <c r="K455" s="145">
        <f t="shared" si="900"/>
        <v>2</v>
      </c>
      <c r="L455" s="202">
        <f t="shared" si="901"/>
        <v>2</v>
      </c>
      <c r="M455" s="212">
        <v>1828.1</v>
      </c>
      <c r="N455" s="203">
        <f t="shared" si="902"/>
        <v>3656.2</v>
      </c>
      <c r="O455" s="212" t="s">
        <v>137</v>
      </c>
      <c r="P455" s="212" t="s">
        <v>13</v>
      </c>
      <c r="Q455" s="212" t="s">
        <v>154</v>
      </c>
      <c r="R455" s="212"/>
      <c r="S455" s="212"/>
      <c r="T455" s="203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2</v>
      </c>
      <c r="U455" s="203">
        <f t="shared" ca="1" si="903"/>
        <v>0</v>
      </c>
      <c r="V455" s="203">
        <f t="shared" ca="1" si="904"/>
        <v>2</v>
      </c>
      <c r="W455" s="212"/>
      <c r="X455" s="212"/>
      <c r="Y455" s="212"/>
      <c r="Z455" s="212"/>
      <c r="AA455" s="212"/>
      <c r="AB455" s="212"/>
      <c r="AC455" s="214" t="s">
        <v>1923</v>
      </c>
      <c r="AD455" s="215" t="s">
        <v>1924</v>
      </c>
      <c r="AE455" s="148"/>
      <c r="AF455" s="212" t="str">
        <f t="shared" si="905"/>
        <v>N/A</v>
      </c>
      <c r="AG455" s="212">
        <f t="shared" si="905"/>
        <v>0</v>
      </c>
      <c r="AH455" s="203">
        <f t="shared" si="906"/>
        <v>0</v>
      </c>
      <c r="AI455" s="203">
        <f t="shared" ca="1" si="907"/>
        <v>0</v>
      </c>
      <c r="AJ455" s="203">
        <f t="shared" ca="1" si="908"/>
        <v>0</v>
      </c>
      <c r="AK455" s="212" t="str">
        <f t="shared" si="909"/>
        <v>AMC2-S2</v>
      </c>
      <c r="AL455" s="212">
        <f t="shared" si="909"/>
        <v>1</v>
      </c>
      <c r="AM455" s="203">
        <f t="shared" si="910"/>
        <v>1</v>
      </c>
      <c r="AN455" s="203">
        <f t="shared" ca="1" si="911"/>
        <v>1</v>
      </c>
      <c r="AO455" s="203">
        <f t="shared" ca="1" si="912"/>
        <v>0</v>
      </c>
      <c r="AP455" s="212" t="str">
        <f t="shared" si="913"/>
        <v>AMC2-S4</v>
      </c>
      <c r="AQ455" s="212">
        <f t="shared" si="913"/>
        <v>1</v>
      </c>
      <c r="AR455" s="203">
        <f t="shared" si="914"/>
        <v>1</v>
      </c>
      <c r="AS455" s="203">
        <f t="shared" ca="1" si="915"/>
        <v>1</v>
      </c>
      <c r="AT455" s="203">
        <f t="shared" ca="1" si="916"/>
        <v>0</v>
      </c>
      <c r="AU455" s="212" t="str">
        <f t="shared" si="917"/>
        <v>N/A</v>
      </c>
      <c r="AV455" s="212">
        <f t="shared" si="917"/>
        <v>0</v>
      </c>
      <c r="AW455" s="203">
        <f t="shared" si="918"/>
        <v>0</v>
      </c>
      <c r="AX455" s="203">
        <f t="shared" ca="1" si="919"/>
        <v>0</v>
      </c>
      <c r="AY455" s="203">
        <f t="shared" ca="1" si="920"/>
        <v>0</v>
      </c>
      <c r="AZ455" s="212"/>
      <c r="BA455" s="213" t="s">
        <v>1925</v>
      </c>
      <c r="BB455" s="213" t="s">
        <v>1926</v>
      </c>
      <c r="BC455" s="213" t="s">
        <v>1927</v>
      </c>
      <c r="BD455" s="213" t="s">
        <v>140</v>
      </c>
      <c r="BE455" s="148"/>
      <c r="BF455" s="212" t="s">
        <v>1789</v>
      </c>
      <c r="BG455" s="117"/>
      <c r="BH455" s="155"/>
      <c r="BI455" s="216"/>
      <c r="BJ455" s="216"/>
      <c r="BK455" s="216"/>
      <c r="BL455" s="149"/>
      <c r="BM455" s="149"/>
      <c r="BN455" s="149"/>
      <c r="BO455" s="149"/>
      <c r="BP455" s="149"/>
      <c r="BQ455" s="149"/>
      <c r="BR455" s="117">
        <v>0</v>
      </c>
      <c r="BS455" s="117">
        <v>1</v>
      </c>
      <c r="BT455" s="117">
        <v>0</v>
      </c>
      <c r="BU455" s="117">
        <v>1</v>
      </c>
      <c r="BV455" s="117">
        <v>0</v>
      </c>
      <c r="BW455" s="117">
        <v>0</v>
      </c>
      <c r="BX455" s="117">
        <v>0</v>
      </c>
      <c r="BY455" s="117" t="s">
        <v>1790</v>
      </c>
      <c r="BZ455" s="158" t="s">
        <v>57</v>
      </c>
      <c r="CA455" s="213">
        <v>4</v>
      </c>
      <c r="CB455" s="234"/>
      <c r="CC455" s="155"/>
      <c r="CD455" s="117"/>
      <c r="CE455" s="217"/>
      <c r="CF455" s="166">
        <f t="shared" si="921"/>
        <v>-2</v>
      </c>
    </row>
    <row r="456" spans="1:84" ht="36" hidden="1">
      <c r="A456" s="117"/>
      <c r="B456" s="209" t="s">
        <v>1973</v>
      </c>
      <c r="C456" s="209" t="s">
        <v>2190</v>
      </c>
      <c r="D456" s="209" t="s">
        <v>1296</v>
      </c>
      <c r="E456" s="209" t="s">
        <v>1793</v>
      </c>
      <c r="F456" s="209" t="s">
        <v>1710</v>
      </c>
      <c r="G456" s="209" t="s">
        <v>1157</v>
      </c>
      <c r="H456" s="210">
        <v>11512</v>
      </c>
      <c r="I456" s="211" t="s">
        <v>147</v>
      </c>
      <c r="J456" s="144">
        <v>2</v>
      </c>
      <c r="K456" s="145">
        <f t="shared" si="900"/>
        <v>2</v>
      </c>
      <c r="L456" s="202">
        <f t="shared" si="901"/>
        <v>4</v>
      </c>
      <c r="M456" s="212">
        <v>433.8</v>
      </c>
      <c r="N456" s="203">
        <f t="shared" si="902"/>
        <v>1735.2</v>
      </c>
      <c r="O456" s="212" t="s">
        <v>137</v>
      </c>
      <c r="P456" s="212" t="s">
        <v>13</v>
      </c>
      <c r="Q456" s="212" t="s">
        <v>148</v>
      </c>
      <c r="R456" s="212"/>
      <c r="S456" s="212"/>
      <c r="T456" s="203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2</v>
      </c>
      <c r="U456" s="203">
        <f t="shared" ca="1" si="903"/>
        <v>2</v>
      </c>
      <c r="V456" s="203">
        <f t="shared" ca="1" si="904"/>
        <v>1</v>
      </c>
      <c r="W456" s="212"/>
      <c r="X456" s="212"/>
      <c r="Y456" s="212"/>
      <c r="Z456" s="212"/>
      <c r="AA456" s="212"/>
      <c r="AB456" s="212"/>
      <c r="AC456" s="214" t="s">
        <v>1923</v>
      </c>
      <c r="AD456" s="215" t="s">
        <v>1924</v>
      </c>
      <c r="AE456" s="148"/>
      <c r="AF456" s="212" t="str">
        <f t="shared" si="905"/>
        <v>N/A</v>
      </c>
      <c r="AG456" s="212">
        <f t="shared" si="905"/>
        <v>0</v>
      </c>
      <c r="AH456" s="203">
        <f t="shared" si="906"/>
        <v>0</v>
      </c>
      <c r="AI456" s="203">
        <f t="shared" ca="1" si="907"/>
        <v>0</v>
      </c>
      <c r="AJ456" s="203">
        <f t="shared" ca="1" si="908"/>
        <v>0</v>
      </c>
      <c r="AK456" s="212" t="str">
        <f t="shared" si="909"/>
        <v>AMC2-S2</v>
      </c>
      <c r="AL456" s="212">
        <f t="shared" si="909"/>
        <v>1</v>
      </c>
      <c r="AM456" s="203">
        <f t="shared" si="910"/>
        <v>2</v>
      </c>
      <c r="AN456" s="203">
        <f t="shared" ca="1" si="911"/>
        <v>1</v>
      </c>
      <c r="AO456" s="203">
        <f t="shared" ca="1" si="912"/>
        <v>1</v>
      </c>
      <c r="AP456" s="212" t="str">
        <f t="shared" si="913"/>
        <v>AMC2-S4</v>
      </c>
      <c r="AQ456" s="212">
        <f t="shared" si="913"/>
        <v>1</v>
      </c>
      <c r="AR456" s="203">
        <f t="shared" si="914"/>
        <v>2</v>
      </c>
      <c r="AS456" s="203">
        <f t="shared" ca="1" si="915"/>
        <v>1</v>
      </c>
      <c r="AT456" s="203">
        <f t="shared" ca="1" si="916"/>
        <v>1</v>
      </c>
      <c r="AU456" s="212" t="str">
        <f t="shared" si="917"/>
        <v>N/A</v>
      </c>
      <c r="AV456" s="212">
        <f t="shared" si="917"/>
        <v>0</v>
      </c>
      <c r="AW456" s="203">
        <f t="shared" si="918"/>
        <v>0</v>
      </c>
      <c r="AX456" s="203">
        <f t="shared" ca="1" si="919"/>
        <v>0</v>
      </c>
      <c r="AY456" s="203">
        <f t="shared" ca="1" si="920"/>
        <v>0</v>
      </c>
      <c r="AZ456" s="212"/>
      <c r="BA456" s="213" t="s">
        <v>1925</v>
      </c>
      <c r="BB456" s="213" t="s">
        <v>1926</v>
      </c>
      <c r="BC456" s="213" t="s">
        <v>1927</v>
      </c>
      <c r="BD456" s="213" t="s">
        <v>140</v>
      </c>
      <c r="BE456" s="148"/>
      <c r="BF456" s="212" t="s">
        <v>1789</v>
      </c>
      <c r="BG456" s="117"/>
      <c r="BH456" s="155"/>
      <c r="BI456" s="216"/>
      <c r="BJ456" s="216"/>
      <c r="BK456" s="216"/>
      <c r="BL456" s="149"/>
      <c r="BM456" s="149"/>
      <c r="BN456" s="149"/>
      <c r="BO456" s="149"/>
      <c r="BP456" s="149"/>
      <c r="BQ456" s="149"/>
      <c r="BR456" s="117">
        <v>0</v>
      </c>
      <c r="BS456" s="117">
        <v>0</v>
      </c>
      <c r="BT456" s="117">
        <v>0</v>
      </c>
      <c r="BU456" s="117">
        <v>0</v>
      </c>
      <c r="BV456" s="117">
        <v>0</v>
      </c>
      <c r="BW456" s="117">
        <v>0</v>
      </c>
      <c r="BX456" s="117">
        <v>0</v>
      </c>
      <c r="BY456" s="117" t="s">
        <v>1790</v>
      </c>
      <c r="BZ456" s="158" t="s">
        <v>2155</v>
      </c>
      <c r="CA456" s="144">
        <v>8</v>
      </c>
      <c r="CB456" s="235">
        <v>46231</v>
      </c>
      <c r="CC456" s="155"/>
      <c r="CD456" s="141"/>
      <c r="CE456" s="217"/>
      <c r="CF456" s="166">
        <f t="shared" si="921"/>
        <v>-4</v>
      </c>
    </row>
    <row r="457" spans="1:84" ht="36" hidden="1">
      <c r="A457" s="117"/>
      <c r="B457" s="209" t="s">
        <v>1973</v>
      </c>
      <c r="C457" s="209" t="s">
        <v>2190</v>
      </c>
      <c r="D457" s="209" t="s">
        <v>1296</v>
      </c>
      <c r="E457" s="209" t="s">
        <v>1794</v>
      </c>
      <c r="F457" s="209" t="s">
        <v>1711</v>
      </c>
      <c r="G457" s="209" t="s">
        <v>1712</v>
      </c>
      <c r="H457" s="210">
        <v>1616</v>
      </c>
      <c r="I457" s="211" t="s">
        <v>147</v>
      </c>
      <c r="J457" s="144">
        <v>2</v>
      </c>
      <c r="K457" s="145">
        <f t="shared" si="900"/>
        <v>2</v>
      </c>
      <c r="L457" s="202">
        <f t="shared" si="901"/>
        <v>4</v>
      </c>
      <c r="M457" s="212">
        <v>27.4</v>
      </c>
      <c r="N457" s="203">
        <f t="shared" si="902"/>
        <v>109.6</v>
      </c>
      <c r="O457" s="212" t="s">
        <v>137</v>
      </c>
      <c r="P457" s="212" t="s">
        <v>13</v>
      </c>
      <c r="Q457" s="212" t="s">
        <v>148</v>
      </c>
      <c r="R457" s="212"/>
      <c r="S457" s="212"/>
      <c r="T457" s="203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0</v>
      </c>
      <c r="U457" s="203">
        <f t="shared" ca="1" si="903"/>
        <v>4</v>
      </c>
      <c r="V457" s="203">
        <f t="shared" ca="1" si="904"/>
        <v>0</v>
      </c>
      <c r="W457" s="212"/>
      <c r="X457" s="212"/>
      <c r="Y457" s="212"/>
      <c r="Z457" s="212"/>
      <c r="AA457" s="212"/>
      <c r="AB457" s="212"/>
      <c r="AC457" s="214" t="s">
        <v>1923</v>
      </c>
      <c r="AD457" s="215" t="s">
        <v>1924</v>
      </c>
      <c r="AE457" s="148"/>
      <c r="AF457" s="212" t="str">
        <f t="shared" si="905"/>
        <v>N/A</v>
      </c>
      <c r="AG457" s="212">
        <f t="shared" si="905"/>
        <v>0</v>
      </c>
      <c r="AH457" s="203">
        <f t="shared" si="906"/>
        <v>0</v>
      </c>
      <c r="AI457" s="203">
        <f t="shared" ca="1" si="907"/>
        <v>0</v>
      </c>
      <c r="AJ457" s="203">
        <f t="shared" ca="1" si="908"/>
        <v>0</v>
      </c>
      <c r="AK457" s="212" t="str">
        <f t="shared" si="909"/>
        <v>AMC2-S2</v>
      </c>
      <c r="AL457" s="212">
        <f t="shared" si="909"/>
        <v>1</v>
      </c>
      <c r="AM457" s="203">
        <f t="shared" si="910"/>
        <v>2</v>
      </c>
      <c r="AN457" s="203">
        <f t="shared" ca="1" si="911"/>
        <v>0</v>
      </c>
      <c r="AO457" s="203">
        <f t="shared" ca="1" si="912"/>
        <v>2</v>
      </c>
      <c r="AP457" s="212" t="str">
        <f t="shared" si="913"/>
        <v>AMC2-S4</v>
      </c>
      <c r="AQ457" s="212">
        <f t="shared" si="913"/>
        <v>1</v>
      </c>
      <c r="AR457" s="203">
        <f t="shared" si="914"/>
        <v>2</v>
      </c>
      <c r="AS457" s="203">
        <f t="shared" ca="1" si="915"/>
        <v>0</v>
      </c>
      <c r="AT457" s="203">
        <f t="shared" ca="1" si="916"/>
        <v>2</v>
      </c>
      <c r="AU457" s="212" t="str">
        <f t="shared" si="917"/>
        <v>N/A</v>
      </c>
      <c r="AV457" s="212">
        <f t="shared" si="917"/>
        <v>0</v>
      </c>
      <c r="AW457" s="203">
        <f t="shared" si="918"/>
        <v>0</v>
      </c>
      <c r="AX457" s="203">
        <f t="shared" ca="1" si="919"/>
        <v>0</v>
      </c>
      <c r="AY457" s="203">
        <f t="shared" ca="1" si="920"/>
        <v>0</v>
      </c>
      <c r="AZ457" s="212"/>
      <c r="BA457" s="213" t="s">
        <v>1925</v>
      </c>
      <c r="BB457" s="213" t="s">
        <v>1926</v>
      </c>
      <c r="BC457" s="213" t="s">
        <v>1927</v>
      </c>
      <c r="BD457" s="213" t="s">
        <v>140</v>
      </c>
      <c r="BE457" s="148"/>
      <c r="BF457" s="212" t="s">
        <v>1789</v>
      </c>
      <c r="BG457" s="117"/>
      <c r="BH457" s="155"/>
      <c r="BI457" s="216"/>
      <c r="BJ457" s="216"/>
      <c r="BK457" s="216"/>
      <c r="BL457" s="149"/>
      <c r="BM457" s="149"/>
      <c r="BN457" s="149"/>
      <c r="BO457" s="149"/>
      <c r="BP457" s="149"/>
      <c r="BQ457" s="149"/>
      <c r="BR457" s="117">
        <v>0</v>
      </c>
      <c r="BS457" s="117">
        <v>0</v>
      </c>
      <c r="BT457" s="117">
        <v>0</v>
      </c>
      <c r="BU457" s="117">
        <v>1</v>
      </c>
      <c r="BV457" s="117">
        <v>0</v>
      </c>
      <c r="BW457" s="117">
        <v>0</v>
      </c>
      <c r="BX457" s="117">
        <v>0</v>
      </c>
      <c r="BY457" s="117" t="s">
        <v>1790</v>
      </c>
      <c r="BZ457" s="158" t="s">
        <v>57</v>
      </c>
      <c r="CA457" s="158">
        <v>8</v>
      </c>
      <c r="CB457" s="234"/>
      <c r="CC457" s="155"/>
      <c r="CD457" s="155"/>
      <c r="CE457" s="217"/>
      <c r="CF457" s="166">
        <f t="shared" si="921"/>
        <v>-4</v>
      </c>
    </row>
    <row r="458" spans="1:84" ht="36" hidden="1">
      <c r="A458" s="117"/>
      <c r="B458" s="209" t="s">
        <v>1973</v>
      </c>
      <c r="C458" s="209" t="s">
        <v>2190</v>
      </c>
      <c r="D458" s="209" t="s">
        <v>1296</v>
      </c>
      <c r="E458" s="209" t="s">
        <v>1795</v>
      </c>
      <c r="F458" s="209" t="s">
        <v>1713</v>
      </c>
      <c r="G458" s="209" t="s">
        <v>1712</v>
      </c>
      <c r="H458" s="210">
        <v>1616</v>
      </c>
      <c r="I458" s="211" t="s">
        <v>147</v>
      </c>
      <c r="J458" s="144">
        <v>1</v>
      </c>
      <c r="K458" s="145">
        <f t="shared" si="900"/>
        <v>2</v>
      </c>
      <c r="L458" s="202">
        <f t="shared" si="901"/>
        <v>2</v>
      </c>
      <c r="M458" s="212">
        <v>24.2</v>
      </c>
      <c r="N458" s="203">
        <f t="shared" si="902"/>
        <v>48.4</v>
      </c>
      <c r="O458" s="212" t="s">
        <v>137</v>
      </c>
      <c r="P458" s="212" t="s">
        <v>13</v>
      </c>
      <c r="Q458" s="212" t="s">
        <v>148</v>
      </c>
      <c r="R458" s="212"/>
      <c r="S458" s="212"/>
      <c r="T458" s="203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0</v>
      </c>
      <c r="U458" s="203">
        <f t="shared" ca="1" si="903"/>
        <v>2</v>
      </c>
      <c r="V458" s="203">
        <f t="shared" ca="1" si="904"/>
        <v>0</v>
      </c>
      <c r="W458" s="212"/>
      <c r="X458" s="212"/>
      <c r="Y458" s="212"/>
      <c r="Z458" s="212"/>
      <c r="AA458" s="212"/>
      <c r="AB458" s="212"/>
      <c r="AC458" s="214" t="s">
        <v>1923</v>
      </c>
      <c r="AD458" s="215" t="s">
        <v>1924</v>
      </c>
      <c r="AE458" s="148"/>
      <c r="AF458" s="212" t="str">
        <f t="shared" si="905"/>
        <v>N/A</v>
      </c>
      <c r="AG458" s="212">
        <f t="shared" si="905"/>
        <v>0</v>
      </c>
      <c r="AH458" s="203">
        <f t="shared" si="906"/>
        <v>0</v>
      </c>
      <c r="AI458" s="203">
        <f t="shared" ca="1" si="907"/>
        <v>0</v>
      </c>
      <c r="AJ458" s="203">
        <f t="shared" ca="1" si="908"/>
        <v>0</v>
      </c>
      <c r="AK458" s="212" t="str">
        <f t="shared" si="909"/>
        <v>AMC2-S2</v>
      </c>
      <c r="AL458" s="212">
        <f t="shared" si="909"/>
        <v>1</v>
      </c>
      <c r="AM458" s="203">
        <f t="shared" si="910"/>
        <v>1</v>
      </c>
      <c r="AN458" s="203">
        <f t="shared" ca="1" si="911"/>
        <v>0</v>
      </c>
      <c r="AO458" s="203">
        <f t="shared" ca="1" si="912"/>
        <v>1</v>
      </c>
      <c r="AP458" s="212" t="str">
        <f t="shared" si="913"/>
        <v>AMC2-S4</v>
      </c>
      <c r="AQ458" s="212">
        <f t="shared" si="913"/>
        <v>1</v>
      </c>
      <c r="AR458" s="203">
        <f t="shared" si="914"/>
        <v>1</v>
      </c>
      <c r="AS458" s="203">
        <f t="shared" ca="1" si="915"/>
        <v>0</v>
      </c>
      <c r="AT458" s="203">
        <f t="shared" ca="1" si="916"/>
        <v>1</v>
      </c>
      <c r="AU458" s="212" t="str">
        <f t="shared" si="917"/>
        <v>N/A</v>
      </c>
      <c r="AV458" s="212">
        <f t="shared" si="917"/>
        <v>0</v>
      </c>
      <c r="AW458" s="203">
        <f t="shared" si="918"/>
        <v>0</v>
      </c>
      <c r="AX458" s="203">
        <f t="shared" ca="1" si="919"/>
        <v>0</v>
      </c>
      <c r="AY458" s="203">
        <f t="shared" ca="1" si="920"/>
        <v>0</v>
      </c>
      <c r="AZ458" s="212"/>
      <c r="BA458" s="213" t="s">
        <v>1925</v>
      </c>
      <c r="BB458" s="213" t="s">
        <v>1926</v>
      </c>
      <c r="BC458" s="213" t="s">
        <v>1927</v>
      </c>
      <c r="BD458" s="213" t="s">
        <v>140</v>
      </c>
      <c r="BE458" s="148"/>
      <c r="BF458" s="212" t="s">
        <v>1789</v>
      </c>
      <c r="BG458" s="117"/>
      <c r="BH458" s="155"/>
      <c r="BI458" s="216"/>
      <c r="BJ458" s="216"/>
      <c r="BK458" s="216"/>
      <c r="BL458" s="149"/>
      <c r="BM458" s="149"/>
      <c r="BN458" s="149"/>
      <c r="BO458" s="149"/>
      <c r="BP458" s="149"/>
      <c r="BQ458" s="149"/>
      <c r="BR458" s="117">
        <v>0</v>
      </c>
      <c r="BS458" s="117">
        <v>0</v>
      </c>
      <c r="BT458" s="117">
        <v>0</v>
      </c>
      <c r="BU458" s="117">
        <v>0</v>
      </c>
      <c r="BV458" s="117">
        <v>0</v>
      </c>
      <c r="BW458" s="117">
        <v>0</v>
      </c>
      <c r="BX458" s="117">
        <v>0</v>
      </c>
      <c r="BY458" s="117" t="s">
        <v>1790</v>
      </c>
      <c r="BZ458" s="158" t="s">
        <v>57</v>
      </c>
      <c r="CA458" s="158">
        <v>4</v>
      </c>
      <c r="CB458" s="234"/>
      <c r="CC458" s="155"/>
      <c r="CD458" s="155"/>
      <c r="CE458" s="217"/>
      <c r="CF458" s="166">
        <f t="shared" si="921"/>
        <v>-2</v>
      </c>
    </row>
    <row r="459" spans="1:84" ht="36" hidden="1">
      <c r="A459" s="117"/>
      <c r="B459" s="209" t="s">
        <v>1973</v>
      </c>
      <c r="C459" s="209" t="s">
        <v>2190</v>
      </c>
      <c r="D459" s="209" t="s">
        <v>1296</v>
      </c>
      <c r="E459" s="209" t="s">
        <v>1796</v>
      </c>
      <c r="F459" s="209" t="s">
        <v>1714</v>
      </c>
      <c r="G459" s="209" t="s">
        <v>1649</v>
      </c>
      <c r="H459" s="210">
        <v>2260</v>
      </c>
      <c r="I459" s="211" t="s">
        <v>147</v>
      </c>
      <c r="J459" s="144">
        <v>1</v>
      </c>
      <c r="K459" s="145">
        <f t="shared" si="900"/>
        <v>2</v>
      </c>
      <c r="L459" s="202">
        <f t="shared" si="901"/>
        <v>2</v>
      </c>
      <c r="M459" s="212">
        <v>62.4</v>
      </c>
      <c r="N459" s="203">
        <f t="shared" si="902"/>
        <v>124.8</v>
      </c>
      <c r="O459" s="212" t="s">
        <v>137</v>
      </c>
      <c r="P459" s="212" t="s">
        <v>13</v>
      </c>
      <c r="Q459" s="212" t="s">
        <v>148</v>
      </c>
      <c r="R459" s="212"/>
      <c r="S459" s="212"/>
      <c r="T459" s="203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2</v>
      </c>
      <c r="U459" s="203">
        <f t="shared" ca="1" si="903"/>
        <v>0</v>
      </c>
      <c r="V459" s="203">
        <f t="shared" ca="1" si="904"/>
        <v>2</v>
      </c>
      <c r="W459" s="212"/>
      <c r="X459" s="212"/>
      <c r="Y459" s="212"/>
      <c r="Z459" s="212"/>
      <c r="AA459" s="212"/>
      <c r="AB459" s="212"/>
      <c r="AC459" s="214" t="s">
        <v>1923</v>
      </c>
      <c r="AD459" s="215" t="s">
        <v>1924</v>
      </c>
      <c r="AE459" s="148"/>
      <c r="AF459" s="212" t="str">
        <f t="shared" si="905"/>
        <v>N/A</v>
      </c>
      <c r="AG459" s="212">
        <f t="shared" si="905"/>
        <v>0</v>
      </c>
      <c r="AH459" s="203">
        <f t="shared" si="906"/>
        <v>0</v>
      </c>
      <c r="AI459" s="203">
        <f t="shared" ca="1" si="907"/>
        <v>0</v>
      </c>
      <c r="AJ459" s="203">
        <f t="shared" ca="1" si="908"/>
        <v>0</v>
      </c>
      <c r="AK459" s="212" t="str">
        <f t="shared" si="909"/>
        <v>AMC2-S2</v>
      </c>
      <c r="AL459" s="212">
        <f t="shared" si="909"/>
        <v>1</v>
      </c>
      <c r="AM459" s="203">
        <f t="shared" si="910"/>
        <v>1</v>
      </c>
      <c r="AN459" s="203">
        <f t="shared" ca="1" si="911"/>
        <v>1</v>
      </c>
      <c r="AO459" s="203">
        <f t="shared" ca="1" si="912"/>
        <v>0</v>
      </c>
      <c r="AP459" s="212" t="str">
        <f t="shared" si="913"/>
        <v>AMC2-S4</v>
      </c>
      <c r="AQ459" s="212">
        <f t="shared" si="913"/>
        <v>1</v>
      </c>
      <c r="AR459" s="203">
        <f t="shared" si="914"/>
        <v>1</v>
      </c>
      <c r="AS459" s="203">
        <f t="shared" ca="1" si="915"/>
        <v>1</v>
      </c>
      <c r="AT459" s="203">
        <f t="shared" ca="1" si="916"/>
        <v>0</v>
      </c>
      <c r="AU459" s="212" t="str">
        <f t="shared" si="917"/>
        <v>N/A</v>
      </c>
      <c r="AV459" s="212">
        <f t="shared" si="917"/>
        <v>0</v>
      </c>
      <c r="AW459" s="203">
        <f t="shared" si="918"/>
        <v>0</v>
      </c>
      <c r="AX459" s="203">
        <f t="shared" ca="1" si="919"/>
        <v>0</v>
      </c>
      <c r="AY459" s="203">
        <f t="shared" ca="1" si="920"/>
        <v>0</v>
      </c>
      <c r="AZ459" s="212"/>
      <c r="BA459" s="213" t="s">
        <v>1925</v>
      </c>
      <c r="BB459" s="213" t="s">
        <v>1926</v>
      </c>
      <c r="BC459" s="213" t="s">
        <v>1927</v>
      </c>
      <c r="BD459" s="213" t="s">
        <v>140</v>
      </c>
      <c r="BE459" s="148"/>
      <c r="BF459" s="212" t="s">
        <v>1789</v>
      </c>
      <c r="BG459" s="117"/>
      <c r="BH459" s="155"/>
      <c r="BI459" s="216"/>
      <c r="BJ459" s="216"/>
      <c r="BK459" s="216"/>
      <c r="BL459" s="149"/>
      <c r="BM459" s="149"/>
      <c r="BN459" s="149"/>
      <c r="BO459" s="149"/>
      <c r="BP459" s="149"/>
      <c r="BQ459" s="149"/>
      <c r="BR459" s="117">
        <v>0</v>
      </c>
      <c r="BS459" s="117">
        <v>0</v>
      </c>
      <c r="BT459" s="117">
        <v>0</v>
      </c>
      <c r="BU459" s="117">
        <v>1</v>
      </c>
      <c r="BV459" s="117">
        <v>0</v>
      </c>
      <c r="BW459" s="117">
        <v>0</v>
      </c>
      <c r="BX459" s="117">
        <v>0</v>
      </c>
      <c r="BY459" s="117" t="s">
        <v>1790</v>
      </c>
      <c r="BZ459" s="158" t="s">
        <v>57</v>
      </c>
      <c r="CA459" s="213">
        <v>4</v>
      </c>
      <c r="CB459" s="234"/>
      <c r="CC459" s="155"/>
      <c r="CD459" s="117"/>
      <c r="CE459" s="217"/>
      <c r="CF459" s="166">
        <f t="shared" si="921"/>
        <v>-2</v>
      </c>
    </row>
    <row r="460" spans="1:84" ht="36" hidden="1">
      <c r="A460" s="117"/>
      <c r="B460" s="209" t="s">
        <v>1973</v>
      </c>
      <c r="C460" s="209" t="s">
        <v>2190</v>
      </c>
      <c r="D460" s="209" t="s">
        <v>1296</v>
      </c>
      <c r="E460" s="209" t="s">
        <v>1797</v>
      </c>
      <c r="F460" s="209" t="s">
        <v>1715</v>
      </c>
      <c r="G460" s="209" t="s">
        <v>1649</v>
      </c>
      <c r="H460" s="210">
        <v>2260</v>
      </c>
      <c r="I460" s="211" t="s">
        <v>147</v>
      </c>
      <c r="J460" s="144">
        <v>2</v>
      </c>
      <c r="K460" s="145">
        <f t="shared" si="900"/>
        <v>2</v>
      </c>
      <c r="L460" s="202">
        <f t="shared" si="901"/>
        <v>4</v>
      </c>
      <c r="M460" s="212">
        <v>54.6</v>
      </c>
      <c r="N460" s="203">
        <f t="shared" si="902"/>
        <v>218.4</v>
      </c>
      <c r="O460" s="212" t="s">
        <v>137</v>
      </c>
      <c r="P460" s="212" t="s">
        <v>13</v>
      </c>
      <c r="Q460" s="212" t="s">
        <v>148</v>
      </c>
      <c r="R460" s="212"/>
      <c r="S460" s="212"/>
      <c r="T460" s="203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4</v>
      </c>
      <c r="U460" s="203">
        <f t="shared" ca="1" si="903"/>
        <v>0</v>
      </c>
      <c r="V460" s="203">
        <f t="shared" ca="1" si="904"/>
        <v>2</v>
      </c>
      <c r="W460" s="212"/>
      <c r="X460" s="212"/>
      <c r="Y460" s="212"/>
      <c r="Z460" s="212"/>
      <c r="AA460" s="212"/>
      <c r="AB460" s="212"/>
      <c r="AC460" s="214" t="s">
        <v>1923</v>
      </c>
      <c r="AD460" s="215" t="s">
        <v>1924</v>
      </c>
      <c r="AE460" s="148"/>
      <c r="AF460" s="212" t="str">
        <f t="shared" si="905"/>
        <v>N/A</v>
      </c>
      <c r="AG460" s="212">
        <f t="shared" si="905"/>
        <v>0</v>
      </c>
      <c r="AH460" s="203">
        <f t="shared" si="906"/>
        <v>0</v>
      </c>
      <c r="AI460" s="203">
        <f t="shared" ca="1" si="907"/>
        <v>0</v>
      </c>
      <c r="AJ460" s="203">
        <f t="shared" ca="1" si="908"/>
        <v>0</v>
      </c>
      <c r="AK460" s="212" t="str">
        <f t="shared" si="909"/>
        <v>AMC2-S2</v>
      </c>
      <c r="AL460" s="212">
        <f t="shared" si="909"/>
        <v>1</v>
      </c>
      <c r="AM460" s="203">
        <f t="shared" si="910"/>
        <v>2</v>
      </c>
      <c r="AN460" s="203">
        <f t="shared" ca="1" si="911"/>
        <v>1</v>
      </c>
      <c r="AO460" s="203">
        <f t="shared" ca="1" si="912"/>
        <v>1</v>
      </c>
      <c r="AP460" s="212" t="str">
        <f t="shared" si="913"/>
        <v>AMC2-S4</v>
      </c>
      <c r="AQ460" s="212">
        <f t="shared" si="913"/>
        <v>1</v>
      </c>
      <c r="AR460" s="203">
        <f t="shared" si="914"/>
        <v>2</v>
      </c>
      <c r="AS460" s="203">
        <f t="shared" ca="1" si="915"/>
        <v>2</v>
      </c>
      <c r="AT460" s="203">
        <f t="shared" ca="1" si="916"/>
        <v>0</v>
      </c>
      <c r="AU460" s="212" t="str">
        <f t="shared" si="917"/>
        <v>N/A</v>
      </c>
      <c r="AV460" s="212">
        <f t="shared" si="917"/>
        <v>0</v>
      </c>
      <c r="AW460" s="203">
        <f t="shared" si="918"/>
        <v>0</v>
      </c>
      <c r="AX460" s="203">
        <f t="shared" ca="1" si="919"/>
        <v>0</v>
      </c>
      <c r="AY460" s="203">
        <f t="shared" ca="1" si="920"/>
        <v>0</v>
      </c>
      <c r="AZ460" s="212"/>
      <c r="BA460" s="213" t="s">
        <v>1925</v>
      </c>
      <c r="BB460" s="213" t="s">
        <v>1926</v>
      </c>
      <c r="BC460" s="213" t="s">
        <v>1927</v>
      </c>
      <c r="BD460" s="213" t="s">
        <v>140</v>
      </c>
      <c r="BE460" s="148"/>
      <c r="BF460" s="212" t="s">
        <v>1789</v>
      </c>
      <c r="BG460" s="117"/>
      <c r="BH460" s="117"/>
      <c r="BI460" s="149"/>
      <c r="BJ460" s="149"/>
      <c r="BK460" s="149"/>
      <c r="BL460" s="149"/>
      <c r="BM460" s="149"/>
      <c r="BN460" s="149"/>
      <c r="BO460" s="149"/>
      <c r="BP460" s="149"/>
      <c r="BQ460" s="149"/>
      <c r="BR460" s="117">
        <v>0</v>
      </c>
      <c r="BS460" s="117">
        <v>0</v>
      </c>
      <c r="BT460" s="117">
        <v>0</v>
      </c>
      <c r="BU460" s="117">
        <v>0</v>
      </c>
      <c r="BV460" s="117">
        <v>0</v>
      </c>
      <c r="BW460" s="117">
        <v>0</v>
      </c>
      <c r="BX460" s="117">
        <v>0</v>
      </c>
      <c r="BY460" s="117" t="s">
        <v>1790</v>
      </c>
      <c r="BZ460" s="158" t="s">
        <v>57</v>
      </c>
      <c r="CA460" s="213">
        <v>8</v>
      </c>
      <c r="CB460" s="234"/>
      <c r="CC460" s="117"/>
      <c r="CD460" s="117"/>
      <c r="CE460" s="148"/>
      <c r="CF460" s="166">
        <f t="shared" si="921"/>
        <v>-4</v>
      </c>
    </row>
    <row r="461" spans="1:84" ht="36" hidden="1">
      <c r="A461" s="117"/>
      <c r="B461" s="209" t="s">
        <v>1973</v>
      </c>
      <c r="C461" s="209" t="s">
        <v>2190</v>
      </c>
      <c r="D461" s="209" t="s">
        <v>1296</v>
      </c>
      <c r="E461" s="209" t="s">
        <v>1798</v>
      </c>
      <c r="F461" s="209" t="s">
        <v>1716</v>
      </c>
      <c r="G461" s="209" t="s">
        <v>1641</v>
      </c>
      <c r="H461" s="210">
        <v>301</v>
      </c>
      <c r="I461" s="211" t="s">
        <v>147</v>
      </c>
      <c r="J461" s="144">
        <v>4</v>
      </c>
      <c r="K461" s="145">
        <f t="shared" si="900"/>
        <v>2</v>
      </c>
      <c r="L461" s="202">
        <f t="shared" si="901"/>
        <v>8</v>
      </c>
      <c r="M461" s="212">
        <v>3</v>
      </c>
      <c r="N461" s="203">
        <f t="shared" si="902"/>
        <v>24</v>
      </c>
      <c r="O461" s="212" t="s">
        <v>137</v>
      </c>
      <c r="P461" s="212" t="s">
        <v>13</v>
      </c>
      <c r="Q461" s="212" t="s">
        <v>148</v>
      </c>
      <c r="R461" s="212"/>
      <c r="S461" s="212"/>
      <c r="T461" s="203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4</v>
      </c>
      <c r="U461" s="203">
        <f t="shared" ca="1" si="903"/>
        <v>4</v>
      </c>
      <c r="V461" s="203">
        <f t="shared" ca="1" si="904"/>
        <v>1</v>
      </c>
      <c r="W461" s="212"/>
      <c r="X461" s="212"/>
      <c r="Y461" s="212"/>
      <c r="Z461" s="212"/>
      <c r="AA461" s="212"/>
      <c r="AB461" s="212"/>
      <c r="AC461" s="214" t="s">
        <v>1923</v>
      </c>
      <c r="AD461" s="215" t="s">
        <v>1924</v>
      </c>
      <c r="AE461" s="148"/>
      <c r="AF461" s="212" t="str">
        <f t="shared" si="905"/>
        <v>N/A</v>
      </c>
      <c r="AG461" s="212">
        <f t="shared" si="905"/>
        <v>0</v>
      </c>
      <c r="AH461" s="203">
        <f t="shared" si="906"/>
        <v>0</v>
      </c>
      <c r="AI461" s="203">
        <f t="shared" ca="1" si="907"/>
        <v>0</v>
      </c>
      <c r="AJ461" s="203">
        <f t="shared" ca="1" si="908"/>
        <v>0</v>
      </c>
      <c r="AK461" s="212" t="str">
        <f t="shared" si="909"/>
        <v>AMC2-S2</v>
      </c>
      <c r="AL461" s="212">
        <f t="shared" si="909"/>
        <v>1</v>
      </c>
      <c r="AM461" s="203">
        <f t="shared" si="910"/>
        <v>4</v>
      </c>
      <c r="AN461" s="203">
        <f t="shared" ca="1" si="911"/>
        <v>1</v>
      </c>
      <c r="AO461" s="203">
        <f t="shared" ca="1" si="912"/>
        <v>3</v>
      </c>
      <c r="AP461" s="212" t="str">
        <f t="shared" si="913"/>
        <v>AMC2-S4</v>
      </c>
      <c r="AQ461" s="212">
        <f t="shared" si="913"/>
        <v>1</v>
      </c>
      <c r="AR461" s="203">
        <f t="shared" si="914"/>
        <v>4</v>
      </c>
      <c r="AS461" s="203">
        <f t="shared" ca="1" si="915"/>
        <v>3</v>
      </c>
      <c r="AT461" s="203">
        <f t="shared" ca="1" si="916"/>
        <v>1</v>
      </c>
      <c r="AU461" s="212" t="str">
        <f t="shared" si="917"/>
        <v>N/A</v>
      </c>
      <c r="AV461" s="212">
        <f t="shared" si="917"/>
        <v>0</v>
      </c>
      <c r="AW461" s="203">
        <f t="shared" si="918"/>
        <v>0</v>
      </c>
      <c r="AX461" s="203">
        <f t="shared" ca="1" si="919"/>
        <v>0</v>
      </c>
      <c r="AY461" s="203">
        <f t="shared" ca="1" si="920"/>
        <v>0</v>
      </c>
      <c r="AZ461" s="212"/>
      <c r="BA461" s="213" t="s">
        <v>1925</v>
      </c>
      <c r="BB461" s="213" t="s">
        <v>1926</v>
      </c>
      <c r="BC461" s="213" t="s">
        <v>1927</v>
      </c>
      <c r="BD461" s="213" t="s">
        <v>140</v>
      </c>
      <c r="BE461" s="148"/>
      <c r="BF461" s="212" t="s">
        <v>1789</v>
      </c>
      <c r="BG461" s="117"/>
      <c r="BH461" s="155"/>
      <c r="BI461" s="216"/>
      <c r="BJ461" s="216"/>
      <c r="BK461" s="216"/>
      <c r="BL461" s="149"/>
      <c r="BM461" s="149"/>
      <c r="BN461" s="149"/>
      <c r="BO461" s="149"/>
      <c r="BP461" s="149"/>
      <c r="BQ461" s="149"/>
      <c r="BR461" s="117">
        <v>0</v>
      </c>
      <c r="BS461" s="117">
        <v>0</v>
      </c>
      <c r="BT461" s="117">
        <v>0</v>
      </c>
      <c r="BU461" s="117">
        <v>0</v>
      </c>
      <c r="BV461" s="117">
        <v>0</v>
      </c>
      <c r="BW461" s="117">
        <v>0</v>
      </c>
      <c r="BX461" s="117">
        <v>0</v>
      </c>
      <c r="BY461" s="117" t="s">
        <v>1790</v>
      </c>
      <c r="BZ461" s="158" t="s">
        <v>2160</v>
      </c>
      <c r="CA461" s="144">
        <v>16</v>
      </c>
      <c r="CB461" s="235">
        <v>46248</v>
      </c>
      <c r="CC461" s="155"/>
      <c r="CD461" s="117"/>
      <c r="CE461" s="217"/>
      <c r="CF461" s="166">
        <f t="shared" si="921"/>
        <v>-8</v>
      </c>
    </row>
    <row r="462" spans="1:84" ht="36" hidden="1">
      <c r="A462" s="117"/>
      <c r="B462" s="209" t="s">
        <v>1973</v>
      </c>
      <c r="C462" s="209" t="s">
        <v>2190</v>
      </c>
      <c r="D462" s="209" t="s">
        <v>1296</v>
      </c>
      <c r="E462" s="209" t="s">
        <v>1799</v>
      </c>
      <c r="F462" s="209" t="s">
        <v>1702</v>
      </c>
      <c r="G462" s="209" t="s">
        <v>1703</v>
      </c>
      <c r="H462" s="210">
        <v>182</v>
      </c>
      <c r="I462" s="211" t="s">
        <v>147</v>
      </c>
      <c r="J462" s="144">
        <v>6</v>
      </c>
      <c r="K462" s="145">
        <f t="shared" si="900"/>
        <v>2</v>
      </c>
      <c r="L462" s="202">
        <f t="shared" si="901"/>
        <v>12</v>
      </c>
      <c r="M462" s="212">
        <v>1.4</v>
      </c>
      <c r="N462" s="203">
        <f t="shared" si="902"/>
        <v>16.799999999999997</v>
      </c>
      <c r="O462" s="212" t="s">
        <v>137</v>
      </c>
      <c r="P462" s="212" t="s">
        <v>13</v>
      </c>
      <c r="Q462" s="212" t="s">
        <v>148</v>
      </c>
      <c r="R462" s="212"/>
      <c r="S462" s="212"/>
      <c r="T462" s="203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6</v>
      </c>
      <c r="U462" s="203">
        <f t="shared" ca="1" si="903"/>
        <v>6</v>
      </c>
      <c r="V462" s="203">
        <f t="shared" ca="1" si="904"/>
        <v>1</v>
      </c>
      <c r="W462" s="212"/>
      <c r="X462" s="212"/>
      <c r="Y462" s="212"/>
      <c r="Z462" s="212"/>
      <c r="AA462" s="212"/>
      <c r="AB462" s="212"/>
      <c r="AC462" s="214" t="s">
        <v>1923</v>
      </c>
      <c r="AD462" s="215" t="s">
        <v>1924</v>
      </c>
      <c r="AE462" s="148"/>
      <c r="AF462" s="212" t="str">
        <f t="shared" si="905"/>
        <v>N/A</v>
      </c>
      <c r="AG462" s="212">
        <f t="shared" si="905"/>
        <v>0</v>
      </c>
      <c r="AH462" s="203">
        <f t="shared" si="906"/>
        <v>0</v>
      </c>
      <c r="AI462" s="203">
        <f t="shared" ca="1" si="907"/>
        <v>0</v>
      </c>
      <c r="AJ462" s="203">
        <f t="shared" ca="1" si="908"/>
        <v>0</v>
      </c>
      <c r="AK462" s="212" t="str">
        <f t="shared" si="909"/>
        <v>AMC2-S2</v>
      </c>
      <c r="AL462" s="212">
        <f t="shared" si="909"/>
        <v>1</v>
      </c>
      <c r="AM462" s="203">
        <f t="shared" si="910"/>
        <v>6</v>
      </c>
      <c r="AN462" s="203">
        <f t="shared" ca="1" si="911"/>
        <v>1</v>
      </c>
      <c r="AO462" s="203">
        <f t="shared" ca="1" si="912"/>
        <v>5</v>
      </c>
      <c r="AP462" s="212" t="str">
        <f t="shared" si="913"/>
        <v>AMC2-S4</v>
      </c>
      <c r="AQ462" s="212">
        <f t="shared" si="913"/>
        <v>1</v>
      </c>
      <c r="AR462" s="203">
        <f t="shared" si="914"/>
        <v>6</v>
      </c>
      <c r="AS462" s="203">
        <f t="shared" ca="1" si="915"/>
        <v>5</v>
      </c>
      <c r="AT462" s="203">
        <f t="shared" ca="1" si="916"/>
        <v>1</v>
      </c>
      <c r="AU462" s="212" t="str">
        <f t="shared" si="917"/>
        <v>N/A</v>
      </c>
      <c r="AV462" s="212">
        <f t="shared" si="917"/>
        <v>0</v>
      </c>
      <c r="AW462" s="203">
        <f t="shared" si="918"/>
        <v>0</v>
      </c>
      <c r="AX462" s="203">
        <f t="shared" ca="1" si="919"/>
        <v>0</v>
      </c>
      <c r="AY462" s="203">
        <f t="shared" ca="1" si="920"/>
        <v>0</v>
      </c>
      <c r="AZ462" s="212"/>
      <c r="BA462" s="213" t="s">
        <v>1925</v>
      </c>
      <c r="BB462" s="213" t="s">
        <v>1926</v>
      </c>
      <c r="BC462" s="213" t="s">
        <v>1927</v>
      </c>
      <c r="BD462" s="213" t="s">
        <v>140</v>
      </c>
      <c r="BE462" s="148"/>
      <c r="BF462" s="212" t="s">
        <v>1789</v>
      </c>
      <c r="BG462" s="117"/>
      <c r="BH462" s="155"/>
      <c r="BI462" s="216"/>
      <c r="BJ462" s="216"/>
      <c r="BK462" s="216"/>
      <c r="BL462" s="149"/>
      <c r="BM462" s="149"/>
      <c r="BN462" s="149"/>
      <c r="BO462" s="149"/>
      <c r="BP462" s="149"/>
      <c r="BQ462" s="149"/>
      <c r="BR462" s="117">
        <v>0</v>
      </c>
      <c r="BS462" s="117">
        <v>0</v>
      </c>
      <c r="BT462" s="117">
        <v>0</v>
      </c>
      <c r="BU462" s="117">
        <v>0</v>
      </c>
      <c r="BV462" s="117">
        <v>0</v>
      </c>
      <c r="BW462" s="117">
        <v>0</v>
      </c>
      <c r="BX462" s="117">
        <v>0</v>
      </c>
      <c r="BY462" s="117" t="s">
        <v>1790</v>
      </c>
      <c r="BZ462" s="158" t="s">
        <v>2160</v>
      </c>
      <c r="CA462" s="144">
        <v>24</v>
      </c>
      <c r="CB462" s="235">
        <v>46248</v>
      </c>
      <c r="CC462" s="155"/>
      <c r="CD462" s="117"/>
      <c r="CE462" s="217"/>
      <c r="CF462" s="166">
        <f t="shared" si="921"/>
        <v>-12</v>
      </c>
    </row>
    <row r="463" spans="1:84" ht="36" hidden="1">
      <c r="A463" s="117"/>
      <c r="B463" s="209" t="s">
        <v>1973</v>
      </c>
      <c r="C463" s="209" t="s">
        <v>2190</v>
      </c>
      <c r="D463" s="209" t="s">
        <v>1296</v>
      </c>
      <c r="E463" s="209" t="s">
        <v>1800</v>
      </c>
      <c r="F463" s="209" t="s">
        <v>1704</v>
      </c>
      <c r="G463" s="209" t="s">
        <v>1125</v>
      </c>
      <c r="H463" s="210">
        <v>200</v>
      </c>
      <c r="I463" s="211" t="s">
        <v>147</v>
      </c>
      <c r="J463" s="144">
        <v>2</v>
      </c>
      <c r="K463" s="145">
        <f t="shared" si="900"/>
        <v>2</v>
      </c>
      <c r="L463" s="202">
        <f t="shared" si="901"/>
        <v>4</v>
      </c>
      <c r="M463" s="212">
        <v>5.5</v>
      </c>
      <c r="N463" s="203">
        <f t="shared" si="902"/>
        <v>22</v>
      </c>
      <c r="O463" s="212" t="s">
        <v>137</v>
      </c>
      <c r="P463" s="212" t="s">
        <v>13</v>
      </c>
      <c r="Q463" s="212" t="s">
        <v>148</v>
      </c>
      <c r="R463" s="212"/>
      <c r="S463" s="212"/>
      <c r="T463" s="203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2</v>
      </c>
      <c r="U463" s="203">
        <f t="shared" ca="1" si="903"/>
        <v>2</v>
      </c>
      <c r="V463" s="203">
        <f t="shared" ca="1" si="904"/>
        <v>1</v>
      </c>
      <c r="W463" s="212"/>
      <c r="X463" s="212"/>
      <c r="Y463" s="212"/>
      <c r="Z463" s="212"/>
      <c r="AA463" s="212"/>
      <c r="AB463" s="212"/>
      <c r="AC463" s="214" t="s">
        <v>1923</v>
      </c>
      <c r="AD463" s="215" t="s">
        <v>1924</v>
      </c>
      <c r="AE463" s="148"/>
      <c r="AF463" s="212" t="str">
        <f t="shared" si="905"/>
        <v>N/A</v>
      </c>
      <c r="AG463" s="212">
        <f t="shared" si="905"/>
        <v>0</v>
      </c>
      <c r="AH463" s="203">
        <f t="shared" si="906"/>
        <v>0</v>
      </c>
      <c r="AI463" s="203">
        <f t="shared" ca="1" si="907"/>
        <v>0</v>
      </c>
      <c r="AJ463" s="203">
        <f t="shared" ca="1" si="908"/>
        <v>0</v>
      </c>
      <c r="AK463" s="212" t="str">
        <f t="shared" si="909"/>
        <v>AMC2-S2</v>
      </c>
      <c r="AL463" s="212">
        <f t="shared" si="909"/>
        <v>1</v>
      </c>
      <c r="AM463" s="203">
        <f t="shared" si="910"/>
        <v>2</v>
      </c>
      <c r="AN463" s="203">
        <f t="shared" ca="1" si="911"/>
        <v>1</v>
      </c>
      <c r="AO463" s="203">
        <f t="shared" ca="1" si="912"/>
        <v>1</v>
      </c>
      <c r="AP463" s="212" t="str">
        <f t="shared" si="913"/>
        <v>AMC2-S4</v>
      </c>
      <c r="AQ463" s="212">
        <f t="shared" si="913"/>
        <v>1</v>
      </c>
      <c r="AR463" s="203">
        <f t="shared" si="914"/>
        <v>2</v>
      </c>
      <c r="AS463" s="203">
        <f t="shared" ca="1" si="915"/>
        <v>1</v>
      </c>
      <c r="AT463" s="203">
        <f t="shared" ca="1" si="916"/>
        <v>1</v>
      </c>
      <c r="AU463" s="212" t="str">
        <f t="shared" si="917"/>
        <v>N/A</v>
      </c>
      <c r="AV463" s="212">
        <f t="shared" si="917"/>
        <v>0</v>
      </c>
      <c r="AW463" s="203">
        <f t="shared" si="918"/>
        <v>0</v>
      </c>
      <c r="AX463" s="203">
        <f t="shared" ca="1" si="919"/>
        <v>0</v>
      </c>
      <c r="AY463" s="203">
        <f t="shared" ca="1" si="920"/>
        <v>0</v>
      </c>
      <c r="AZ463" s="212"/>
      <c r="BA463" s="213" t="s">
        <v>1925</v>
      </c>
      <c r="BB463" s="213" t="s">
        <v>1926</v>
      </c>
      <c r="BC463" s="213" t="s">
        <v>1927</v>
      </c>
      <c r="BD463" s="213" t="s">
        <v>140</v>
      </c>
      <c r="BE463" s="148"/>
      <c r="BF463" s="212" t="s">
        <v>1789</v>
      </c>
      <c r="BG463" s="117"/>
      <c r="BH463" s="155"/>
      <c r="BI463" s="216"/>
      <c r="BJ463" s="216"/>
      <c r="BK463" s="216"/>
      <c r="BL463" s="149"/>
      <c r="BM463" s="149"/>
      <c r="BN463" s="149"/>
      <c r="BO463" s="149"/>
      <c r="BP463" s="149"/>
      <c r="BQ463" s="149"/>
      <c r="BR463" s="117">
        <v>1</v>
      </c>
      <c r="BS463" s="117">
        <v>0</v>
      </c>
      <c r="BT463" s="117">
        <v>0</v>
      </c>
      <c r="BU463" s="117">
        <v>0</v>
      </c>
      <c r="BV463" s="117">
        <v>0</v>
      </c>
      <c r="BW463" s="117">
        <v>0</v>
      </c>
      <c r="BX463" s="117">
        <v>0</v>
      </c>
      <c r="BY463" s="117" t="s">
        <v>1790</v>
      </c>
      <c r="BZ463" s="158" t="s">
        <v>2155</v>
      </c>
      <c r="CA463" s="144">
        <v>8</v>
      </c>
      <c r="CB463" s="235">
        <v>46231</v>
      </c>
      <c r="CC463" s="155"/>
      <c r="CD463" s="141"/>
      <c r="CE463" s="217"/>
      <c r="CF463" s="166">
        <f t="shared" si="921"/>
        <v>-4</v>
      </c>
    </row>
    <row r="464" spans="1:84" ht="36" hidden="1">
      <c r="A464" s="117"/>
      <c r="B464" s="209" t="s">
        <v>1973</v>
      </c>
      <c r="C464" s="209" t="s">
        <v>2190</v>
      </c>
      <c r="D464" s="209" t="s">
        <v>1296</v>
      </c>
      <c r="E464" s="209" t="s">
        <v>1801</v>
      </c>
      <c r="F464" s="209" t="s">
        <v>1705</v>
      </c>
      <c r="G464" s="209" t="s">
        <v>1123</v>
      </c>
      <c r="H464" s="210">
        <v>320</v>
      </c>
      <c r="I464" s="211" t="s">
        <v>147</v>
      </c>
      <c r="J464" s="144">
        <v>2</v>
      </c>
      <c r="K464" s="145">
        <f t="shared" si="900"/>
        <v>2</v>
      </c>
      <c r="L464" s="202">
        <f t="shared" si="901"/>
        <v>4</v>
      </c>
      <c r="M464" s="212">
        <v>7.6</v>
      </c>
      <c r="N464" s="203">
        <f t="shared" si="902"/>
        <v>30.4</v>
      </c>
      <c r="O464" s="212" t="s">
        <v>137</v>
      </c>
      <c r="P464" s="212" t="s">
        <v>13</v>
      </c>
      <c r="Q464" s="212" t="s">
        <v>148</v>
      </c>
      <c r="R464" s="212"/>
      <c r="S464" s="212"/>
      <c r="T464" s="203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2</v>
      </c>
      <c r="U464" s="203">
        <f t="shared" ca="1" si="903"/>
        <v>2</v>
      </c>
      <c r="V464" s="203">
        <f t="shared" ca="1" si="904"/>
        <v>1</v>
      </c>
      <c r="W464" s="212"/>
      <c r="X464" s="212"/>
      <c r="Y464" s="212"/>
      <c r="Z464" s="212"/>
      <c r="AA464" s="212"/>
      <c r="AB464" s="212"/>
      <c r="AC464" s="214" t="s">
        <v>1923</v>
      </c>
      <c r="AD464" s="215" t="s">
        <v>1924</v>
      </c>
      <c r="AE464" s="148"/>
      <c r="AF464" s="212" t="str">
        <f t="shared" si="905"/>
        <v>N/A</v>
      </c>
      <c r="AG464" s="212">
        <f t="shared" si="905"/>
        <v>0</v>
      </c>
      <c r="AH464" s="203">
        <f t="shared" si="906"/>
        <v>0</v>
      </c>
      <c r="AI464" s="203">
        <f t="shared" ca="1" si="907"/>
        <v>0</v>
      </c>
      <c r="AJ464" s="203">
        <f t="shared" ca="1" si="908"/>
        <v>0</v>
      </c>
      <c r="AK464" s="212" t="str">
        <f t="shared" si="909"/>
        <v>AMC2-S2</v>
      </c>
      <c r="AL464" s="212">
        <f t="shared" si="909"/>
        <v>1</v>
      </c>
      <c r="AM464" s="203">
        <f t="shared" si="910"/>
        <v>2</v>
      </c>
      <c r="AN464" s="203">
        <f t="shared" ca="1" si="911"/>
        <v>1</v>
      </c>
      <c r="AO464" s="203">
        <f t="shared" ca="1" si="912"/>
        <v>1</v>
      </c>
      <c r="AP464" s="212" t="str">
        <f t="shared" si="913"/>
        <v>AMC2-S4</v>
      </c>
      <c r="AQ464" s="212">
        <f t="shared" si="913"/>
        <v>1</v>
      </c>
      <c r="AR464" s="203">
        <f t="shared" si="914"/>
        <v>2</v>
      </c>
      <c r="AS464" s="203">
        <f t="shared" ca="1" si="915"/>
        <v>1</v>
      </c>
      <c r="AT464" s="203">
        <f t="shared" ca="1" si="916"/>
        <v>1</v>
      </c>
      <c r="AU464" s="212" t="str">
        <f t="shared" si="917"/>
        <v>N/A</v>
      </c>
      <c r="AV464" s="212">
        <f t="shared" si="917"/>
        <v>0</v>
      </c>
      <c r="AW464" s="203">
        <f t="shared" si="918"/>
        <v>0</v>
      </c>
      <c r="AX464" s="203">
        <f t="shared" ca="1" si="919"/>
        <v>0</v>
      </c>
      <c r="AY464" s="203">
        <f t="shared" ca="1" si="920"/>
        <v>0</v>
      </c>
      <c r="AZ464" s="212"/>
      <c r="BA464" s="213" t="s">
        <v>1925</v>
      </c>
      <c r="BB464" s="213" t="s">
        <v>1926</v>
      </c>
      <c r="BC464" s="213" t="s">
        <v>1927</v>
      </c>
      <c r="BD464" s="213" t="s">
        <v>140</v>
      </c>
      <c r="BE464" s="148"/>
      <c r="BF464" s="212" t="s">
        <v>1789</v>
      </c>
      <c r="BG464" s="117"/>
      <c r="BH464" s="155"/>
      <c r="BI464" s="216"/>
      <c r="BJ464" s="216"/>
      <c r="BK464" s="216"/>
      <c r="BL464" s="149"/>
      <c r="BM464" s="149"/>
      <c r="BN464" s="149"/>
      <c r="BO464" s="149"/>
      <c r="BP464" s="149"/>
      <c r="BQ464" s="149"/>
      <c r="BR464" s="117">
        <v>1</v>
      </c>
      <c r="BS464" s="117">
        <v>0</v>
      </c>
      <c r="BT464" s="117">
        <v>0</v>
      </c>
      <c r="BU464" s="117">
        <v>0</v>
      </c>
      <c r="BV464" s="117">
        <v>0</v>
      </c>
      <c r="BW464" s="117">
        <v>0</v>
      </c>
      <c r="BX464" s="117">
        <v>0</v>
      </c>
      <c r="BY464" s="117" t="s">
        <v>1790</v>
      </c>
      <c r="BZ464" s="158" t="s">
        <v>2157</v>
      </c>
      <c r="CA464" s="144">
        <v>8</v>
      </c>
      <c r="CB464" s="234">
        <v>46242</v>
      </c>
      <c r="CC464" s="155"/>
      <c r="CD464" s="117"/>
      <c r="CE464" s="217"/>
      <c r="CF464" s="166">
        <f t="shared" si="921"/>
        <v>-4</v>
      </c>
    </row>
    <row r="465" spans="1:84" ht="36" hidden="1">
      <c r="A465" s="117"/>
      <c r="B465" s="209" t="s">
        <v>1973</v>
      </c>
      <c r="C465" s="209" t="s">
        <v>2190</v>
      </c>
      <c r="D465" s="209" t="s">
        <v>1296</v>
      </c>
      <c r="E465" s="209" t="s">
        <v>1815</v>
      </c>
      <c r="F465" s="209" t="s">
        <v>1706</v>
      </c>
      <c r="G465" s="209" t="s">
        <v>1703</v>
      </c>
      <c r="H465" s="210">
        <v>182</v>
      </c>
      <c r="I465" s="211" t="s">
        <v>147</v>
      </c>
      <c r="J465" s="144">
        <v>5</v>
      </c>
      <c r="K465" s="145">
        <f t="shared" si="900"/>
        <v>2</v>
      </c>
      <c r="L465" s="202">
        <f t="shared" si="901"/>
        <v>10</v>
      </c>
      <c r="M465" s="212">
        <v>1.4</v>
      </c>
      <c r="N465" s="203">
        <f t="shared" si="902"/>
        <v>14</v>
      </c>
      <c r="O465" s="212" t="s">
        <v>137</v>
      </c>
      <c r="P465" s="212" t="s">
        <v>13</v>
      </c>
      <c r="Q465" s="212" t="s">
        <v>148</v>
      </c>
      <c r="R465" s="212"/>
      <c r="S465" s="212"/>
      <c r="T465" s="203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5</v>
      </c>
      <c r="U465" s="203">
        <f t="shared" ca="1" si="903"/>
        <v>5</v>
      </c>
      <c r="V465" s="203">
        <f t="shared" ca="1" si="904"/>
        <v>1</v>
      </c>
      <c r="W465" s="212"/>
      <c r="X465" s="212"/>
      <c r="Y465" s="212"/>
      <c r="Z465" s="212"/>
      <c r="AA465" s="212"/>
      <c r="AB465" s="212"/>
      <c r="AC465" s="214" t="s">
        <v>1923</v>
      </c>
      <c r="AD465" s="215" t="s">
        <v>1924</v>
      </c>
      <c r="AE465" s="148"/>
      <c r="AF465" s="212" t="str">
        <f t="shared" si="905"/>
        <v>N/A</v>
      </c>
      <c r="AG465" s="212">
        <f t="shared" si="905"/>
        <v>0</v>
      </c>
      <c r="AH465" s="203">
        <f t="shared" si="906"/>
        <v>0</v>
      </c>
      <c r="AI465" s="203">
        <f t="shared" ca="1" si="907"/>
        <v>0</v>
      </c>
      <c r="AJ465" s="203">
        <f t="shared" ca="1" si="908"/>
        <v>0</v>
      </c>
      <c r="AK465" s="212" t="str">
        <f t="shared" si="909"/>
        <v>AMC2-S2</v>
      </c>
      <c r="AL465" s="212">
        <f t="shared" si="909"/>
        <v>1</v>
      </c>
      <c r="AM465" s="203">
        <f t="shared" si="910"/>
        <v>5</v>
      </c>
      <c r="AN465" s="203">
        <f t="shared" ca="1" si="911"/>
        <v>1</v>
      </c>
      <c r="AO465" s="203">
        <f t="shared" ca="1" si="912"/>
        <v>4</v>
      </c>
      <c r="AP465" s="212" t="str">
        <f t="shared" si="913"/>
        <v>AMC2-S4</v>
      </c>
      <c r="AQ465" s="212">
        <f t="shared" si="913"/>
        <v>1</v>
      </c>
      <c r="AR465" s="203">
        <f t="shared" si="914"/>
        <v>5</v>
      </c>
      <c r="AS465" s="203">
        <f t="shared" ca="1" si="915"/>
        <v>4</v>
      </c>
      <c r="AT465" s="203">
        <f t="shared" ca="1" si="916"/>
        <v>1</v>
      </c>
      <c r="AU465" s="212" t="str">
        <f t="shared" si="917"/>
        <v>N/A</v>
      </c>
      <c r="AV465" s="212">
        <f t="shared" si="917"/>
        <v>0</v>
      </c>
      <c r="AW465" s="203">
        <f t="shared" si="918"/>
        <v>0</v>
      </c>
      <c r="AX465" s="203">
        <f t="shared" ca="1" si="919"/>
        <v>0</v>
      </c>
      <c r="AY465" s="203">
        <f t="shared" ca="1" si="920"/>
        <v>0</v>
      </c>
      <c r="AZ465" s="212"/>
      <c r="BA465" s="213" t="s">
        <v>1925</v>
      </c>
      <c r="BB465" s="213" t="s">
        <v>1926</v>
      </c>
      <c r="BC465" s="213" t="s">
        <v>1927</v>
      </c>
      <c r="BD465" s="213" t="s">
        <v>140</v>
      </c>
      <c r="BE465" s="148"/>
      <c r="BF465" s="212" t="s">
        <v>1789</v>
      </c>
      <c r="BG465" s="117"/>
      <c r="BH465" s="155"/>
      <c r="BI465" s="216"/>
      <c r="BJ465" s="216"/>
      <c r="BK465" s="216"/>
      <c r="BL465" s="149"/>
      <c r="BM465" s="149"/>
      <c r="BN465" s="149"/>
      <c r="BO465" s="149"/>
      <c r="BP465" s="149"/>
      <c r="BQ465" s="149"/>
      <c r="BR465" s="117">
        <v>0</v>
      </c>
      <c r="BS465" s="117">
        <v>0</v>
      </c>
      <c r="BT465" s="117">
        <v>0</v>
      </c>
      <c r="BU465" s="117">
        <v>0</v>
      </c>
      <c r="BV465" s="117">
        <v>0</v>
      </c>
      <c r="BW465" s="117">
        <v>0</v>
      </c>
      <c r="BX465" s="117">
        <v>0</v>
      </c>
      <c r="BY465" s="117" t="s">
        <v>1790</v>
      </c>
      <c r="BZ465" s="158" t="s">
        <v>2160</v>
      </c>
      <c r="CA465" s="144">
        <v>20</v>
      </c>
      <c r="CB465" s="235">
        <v>46248</v>
      </c>
      <c r="CC465" s="155"/>
      <c r="CD465" s="117"/>
      <c r="CE465" s="217"/>
      <c r="CF465" s="166">
        <f t="shared" si="921"/>
        <v>-10</v>
      </c>
    </row>
    <row r="466" spans="1:84" ht="36" hidden="1">
      <c r="A466" s="117"/>
      <c r="B466" s="209" t="s">
        <v>1973</v>
      </c>
      <c r="C466" s="209" t="s">
        <v>2190</v>
      </c>
      <c r="D466" s="209" t="s">
        <v>1076</v>
      </c>
      <c r="E466" s="209" t="s">
        <v>1802</v>
      </c>
      <c r="F466" s="209" t="s">
        <v>1700</v>
      </c>
      <c r="G466" s="209" t="s">
        <v>1075</v>
      </c>
      <c r="H466" s="210">
        <v>812</v>
      </c>
      <c r="I466" s="211" t="s">
        <v>1077</v>
      </c>
      <c r="J466" s="144">
        <v>5</v>
      </c>
      <c r="K466" s="145">
        <f t="shared" si="900"/>
        <v>2</v>
      </c>
      <c r="L466" s="202">
        <f t="shared" si="901"/>
        <v>10</v>
      </c>
      <c r="M466" s="212">
        <v>13.05696</v>
      </c>
      <c r="N466" s="203">
        <f t="shared" si="902"/>
        <v>130.56960000000001</v>
      </c>
      <c r="O466" s="212" t="s">
        <v>137</v>
      </c>
      <c r="P466" s="212" t="s">
        <v>11</v>
      </c>
      <c r="Q466" s="212" t="s">
        <v>148</v>
      </c>
      <c r="R466" s="212"/>
      <c r="S466" s="212"/>
      <c r="T466" s="203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5</v>
      </c>
      <c r="U466" s="203">
        <f t="shared" ca="1" si="903"/>
        <v>5</v>
      </c>
      <c r="V466" s="203">
        <f t="shared" ca="1" si="904"/>
        <v>1</v>
      </c>
      <c r="W466" s="212"/>
      <c r="X466" s="212"/>
      <c r="Y466" s="212"/>
      <c r="Z466" s="212"/>
      <c r="AA466" s="212"/>
      <c r="AB466" s="212"/>
      <c r="AC466" s="214" t="s">
        <v>1923</v>
      </c>
      <c r="AD466" s="215" t="s">
        <v>1924</v>
      </c>
      <c r="AE466" s="148"/>
      <c r="AF466" s="212" t="str">
        <f t="shared" si="905"/>
        <v>N/A</v>
      </c>
      <c r="AG466" s="212">
        <f t="shared" si="905"/>
        <v>0</v>
      </c>
      <c r="AH466" s="203">
        <f t="shared" si="906"/>
        <v>0</v>
      </c>
      <c r="AI466" s="203">
        <f t="shared" ca="1" si="907"/>
        <v>0</v>
      </c>
      <c r="AJ466" s="203">
        <f t="shared" ca="1" si="908"/>
        <v>0</v>
      </c>
      <c r="AK466" s="212" t="str">
        <f t="shared" si="909"/>
        <v>AMC2-S2</v>
      </c>
      <c r="AL466" s="212">
        <f t="shared" si="909"/>
        <v>1</v>
      </c>
      <c r="AM466" s="203">
        <f t="shared" si="910"/>
        <v>5</v>
      </c>
      <c r="AN466" s="203">
        <f t="shared" ca="1" si="911"/>
        <v>1</v>
      </c>
      <c r="AO466" s="203">
        <f t="shared" ca="1" si="912"/>
        <v>4</v>
      </c>
      <c r="AP466" s="212" t="str">
        <f t="shared" si="913"/>
        <v>AMC2-S4</v>
      </c>
      <c r="AQ466" s="212">
        <f t="shared" si="913"/>
        <v>1</v>
      </c>
      <c r="AR466" s="203">
        <f t="shared" si="914"/>
        <v>5</v>
      </c>
      <c r="AS466" s="203">
        <f t="shared" ca="1" si="915"/>
        <v>4</v>
      </c>
      <c r="AT466" s="203">
        <f t="shared" ca="1" si="916"/>
        <v>1</v>
      </c>
      <c r="AU466" s="212" t="str">
        <f t="shared" si="917"/>
        <v>N/A</v>
      </c>
      <c r="AV466" s="212">
        <f t="shared" si="917"/>
        <v>0</v>
      </c>
      <c r="AW466" s="203">
        <f t="shared" si="918"/>
        <v>0</v>
      </c>
      <c r="AX466" s="203">
        <f t="shared" ca="1" si="919"/>
        <v>0</v>
      </c>
      <c r="AY466" s="203">
        <f t="shared" ca="1" si="920"/>
        <v>0</v>
      </c>
      <c r="AZ466" s="212"/>
      <c r="BA466" s="213" t="s">
        <v>1925</v>
      </c>
      <c r="BB466" s="213" t="s">
        <v>1926</v>
      </c>
      <c r="BC466" s="213" t="s">
        <v>1927</v>
      </c>
      <c r="BD466" s="213" t="s">
        <v>140</v>
      </c>
      <c r="BE466" s="148"/>
      <c r="BF466" s="212" t="s">
        <v>1789</v>
      </c>
      <c r="BG466" s="117"/>
      <c r="BH466" s="155"/>
      <c r="BI466" s="216"/>
      <c r="BJ466" s="216"/>
      <c r="BK466" s="216"/>
      <c r="BL466" s="149"/>
      <c r="BM466" s="149"/>
      <c r="BN466" s="149"/>
      <c r="BO466" s="149"/>
      <c r="BP466" s="149"/>
      <c r="BQ466" s="149"/>
      <c r="BR466" s="117">
        <v>0</v>
      </c>
      <c r="BS466" s="117">
        <v>0</v>
      </c>
      <c r="BT466" s="117">
        <v>0</v>
      </c>
      <c r="BU466" s="117">
        <v>1</v>
      </c>
      <c r="BV466" s="117">
        <v>0</v>
      </c>
      <c r="BW466" s="117">
        <v>0</v>
      </c>
      <c r="BX466" s="117">
        <v>0</v>
      </c>
      <c r="BY466" s="117" t="s">
        <v>1790</v>
      </c>
      <c r="BZ466" s="158" t="s">
        <v>2161</v>
      </c>
      <c r="CA466" s="213">
        <v>20</v>
      </c>
      <c r="CB466" s="235">
        <v>46231</v>
      </c>
      <c r="CC466" s="155"/>
      <c r="CD466" s="155"/>
      <c r="CE466" s="217"/>
      <c r="CF466" s="166">
        <f t="shared" si="921"/>
        <v>-10</v>
      </c>
    </row>
    <row r="467" spans="1:84" ht="36" hidden="1">
      <c r="A467" s="162">
        <v>144</v>
      </c>
      <c r="B467" s="177" t="s">
        <v>1976</v>
      </c>
      <c r="C467" s="177" t="s">
        <v>2192</v>
      </c>
      <c r="D467" s="177" t="s">
        <v>1977</v>
      </c>
      <c r="E467" s="177"/>
      <c r="F467" s="177"/>
      <c r="G467" s="177" t="s">
        <v>1978</v>
      </c>
      <c r="H467" s="178"/>
      <c r="I467" s="179"/>
      <c r="J467" s="160"/>
      <c r="K467" s="180">
        <f>+AG467+AL467+AQ467+AV467</f>
        <v>2</v>
      </c>
      <c r="L467" s="160"/>
      <c r="M467" s="181">
        <v>4119.7</v>
      </c>
      <c r="N467" s="181">
        <v>16478.8</v>
      </c>
      <c r="O467" s="181" t="s">
        <v>137</v>
      </c>
      <c r="P467" s="181"/>
      <c r="Q467" s="181"/>
      <c r="R467" s="181"/>
      <c r="S467" s="181"/>
      <c r="T467" s="181"/>
      <c r="U467" s="181"/>
      <c r="V467" s="181"/>
      <c r="W467" s="181">
        <f ca="1">_xlfn.MINIFS(V:V,C:C,C467,AE:AE,"",AB:AB,"")</f>
        <v>0</v>
      </c>
      <c r="X467" s="181">
        <f ca="1">SUMIFS(T:T,C:C,C467,AE:AE,"")/SUMIFS(L:L,C:C,C467,AE:AE,"",AB:AB,"")</f>
        <v>0.42307692307692307</v>
      </c>
      <c r="Y467" s="181"/>
      <c r="Z467" s="181"/>
      <c r="AA467" s="181"/>
      <c r="AB467" s="181"/>
      <c r="AC467" s="228" t="s">
        <v>1923</v>
      </c>
      <c r="AD467" s="184" t="s">
        <v>1924</v>
      </c>
      <c r="AE467" s="162" t="s">
        <v>143</v>
      </c>
      <c r="AF467" s="181" t="s">
        <v>138</v>
      </c>
      <c r="AG467" s="181">
        <v>0</v>
      </c>
      <c r="AH467" s="181"/>
      <c r="AI467" s="181"/>
      <c r="AJ467" s="181"/>
      <c r="AK467" s="181" t="s">
        <v>1970</v>
      </c>
      <c r="AL467" s="181">
        <v>1</v>
      </c>
      <c r="AM467" s="181"/>
      <c r="AN467" s="181"/>
      <c r="AO467" s="181"/>
      <c r="AP467" s="181" t="s">
        <v>1922</v>
      </c>
      <c r="AQ467" s="181">
        <v>1</v>
      </c>
      <c r="AR467" s="181"/>
      <c r="AS467" s="181"/>
      <c r="AT467" s="181"/>
      <c r="AU467" s="181" t="s">
        <v>138</v>
      </c>
      <c r="AV467" s="181">
        <v>0</v>
      </c>
      <c r="AW467" s="181"/>
      <c r="AX467" s="181"/>
      <c r="AY467" s="181"/>
      <c r="AZ467" s="181"/>
      <c r="BA467" s="182" t="s">
        <v>1925</v>
      </c>
      <c r="BB467" s="182" t="s">
        <v>1926</v>
      </c>
      <c r="BC467" s="182" t="s">
        <v>1927</v>
      </c>
      <c r="BD467" s="182" t="s">
        <v>140</v>
      </c>
      <c r="BE467" s="162" t="s">
        <v>741</v>
      </c>
      <c r="BF467" s="181"/>
      <c r="BG467" s="161"/>
      <c r="BH467" s="161"/>
      <c r="BI467" s="163"/>
      <c r="BJ467" s="163"/>
      <c r="BK467" s="163"/>
      <c r="BL467" s="163"/>
      <c r="BM467" s="163"/>
      <c r="BN467" s="163"/>
      <c r="BO467" s="163"/>
      <c r="BP467" s="163"/>
      <c r="BQ467" s="163"/>
      <c r="BR467" s="161"/>
      <c r="BS467" s="161"/>
      <c r="BT467" s="161"/>
      <c r="BU467" s="161"/>
      <c r="BV467" s="161"/>
      <c r="BW467" s="161"/>
      <c r="BX467" s="161"/>
      <c r="BY467" s="161"/>
      <c r="BZ467" s="161"/>
      <c r="CA467" s="161"/>
      <c r="CB467" s="163"/>
      <c r="CC467" s="161"/>
      <c r="CD467" s="161"/>
      <c r="CE467" s="185"/>
      <c r="CF467" s="185"/>
    </row>
    <row r="468" spans="1:84" ht="36" hidden="1">
      <c r="A468" s="117"/>
      <c r="B468" s="209" t="s">
        <v>1976</v>
      </c>
      <c r="C468" s="209" t="s">
        <v>2192</v>
      </c>
      <c r="D468" s="209" t="s">
        <v>1084</v>
      </c>
      <c r="E468" s="209" t="s">
        <v>1788</v>
      </c>
      <c r="F468" s="209" t="s">
        <v>1741</v>
      </c>
      <c r="G468" s="209" t="s">
        <v>1676</v>
      </c>
      <c r="H468" s="210">
        <v>11647</v>
      </c>
      <c r="I468" s="211" t="s">
        <v>147</v>
      </c>
      <c r="J468" s="144">
        <v>1</v>
      </c>
      <c r="K468" s="145">
        <f t="shared" ref="K468:K482" si="922">K467</f>
        <v>2</v>
      </c>
      <c r="L468" s="202">
        <f t="shared" ref="L468:L482" si="923">+J468*K468</f>
        <v>2</v>
      </c>
      <c r="M468" s="212">
        <v>2620.5</v>
      </c>
      <c r="N468" s="203">
        <f t="shared" ref="N468:N482" si="924">+M468*L468</f>
        <v>5241</v>
      </c>
      <c r="O468" s="212" t="s">
        <v>137</v>
      </c>
      <c r="P468" s="212" t="s">
        <v>13</v>
      </c>
      <c r="Q468" s="212" t="s">
        <v>154</v>
      </c>
      <c r="R468" s="212"/>
      <c r="S468" s="212"/>
      <c r="T468" s="203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2</v>
      </c>
      <c r="U468" s="203">
        <f t="shared" ref="U468:U482" ca="1" si="925">+L468-T468</f>
        <v>0</v>
      </c>
      <c r="V468" s="203">
        <f t="shared" ref="V468:V482" ca="1" si="926">ROUNDDOWN(T468/J468,0)</f>
        <v>2</v>
      </c>
      <c r="W468" s="212"/>
      <c r="X468" s="212"/>
      <c r="Y468" s="212"/>
      <c r="Z468" s="212"/>
      <c r="AA468" s="212"/>
      <c r="AB468" s="212"/>
      <c r="AC468" s="214" t="s">
        <v>1923</v>
      </c>
      <c r="AD468" s="215" t="s">
        <v>1924</v>
      </c>
      <c r="AE468" s="148"/>
      <c r="AF468" s="212" t="str">
        <f t="shared" ref="AF468:AG482" si="927">AF467</f>
        <v>N/A</v>
      </c>
      <c r="AG468" s="212">
        <f t="shared" si="927"/>
        <v>0</v>
      </c>
      <c r="AH468" s="203">
        <f t="shared" ref="AH468:AH482" si="928">+AG468*J468</f>
        <v>0</v>
      </c>
      <c r="AI468" s="203">
        <f t="shared" ref="AI468:AI482" ca="1" si="929">MIN(T468,AH468)</f>
        <v>0</v>
      </c>
      <c r="AJ468" s="203">
        <f t="shared" ref="AJ468:AJ482" ca="1" si="930">+AH468-AI468</f>
        <v>0</v>
      </c>
      <c r="AK468" s="212" t="str">
        <f t="shared" ref="AK468:AL482" si="931">AK467</f>
        <v>AMC2-S2</v>
      </c>
      <c r="AL468" s="212">
        <f t="shared" si="931"/>
        <v>1</v>
      </c>
      <c r="AM468" s="203">
        <f t="shared" ref="AM468:AM482" si="932">+AL468*J468</f>
        <v>1</v>
      </c>
      <c r="AN468" s="203">
        <f t="shared" ref="AN468:AN482" ca="1" si="933">MIN(T468-AI468,AL468)</f>
        <v>1</v>
      </c>
      <c r="AO468" s="203">
        <f t="shared" ref="AO468:AO482" ca="1" si="934">+AM468-AN468</f>
        <v>0</v>
      </c>
      <c r="AP468" s="212" t="str">
        <f t="shared" ref="AP468:AQ482" si="935">AP467</f>
        <v>AMC2-S4</v>
      </c>
      <c r="AQ468" s="212">
        <f t="shared" si="935"/>
        <v>1</v>
      </c>
      <c r="AR468" s="203">
        <f t="shared" ref="AR468:AR482" si="936">+AQ468*J468</f>
        <v>1</v>
      </c>
      <c r="AS468" s="203">
        <f t="shared" ref="AS468:AS482" ca="1" si="937">MIN(T468-AI468-AN468,AR468)</f>
        <v>1</v>
      </c>
      <c r="AT468" s="203">
        <f t="shared" ref="AT468:AT482" ca="1" si="938">+AR468-AS468</f>
        <v>0</v>
      </c>
      <c r="AU468" s="212" t="str">
        <f t="shared" ref="AU468:AV482" si="939">AU467</f>
        <v>N/A</v>
      </c>
      <c r="AV468" s="212">
        <f t="shared" si="939"/>
        <v>0</v>
      </c>
      <c r="AW468" s="203">
        <f t="shared" ref="AW468:AW482" si="940">+AV468*J468</f>
        <v>0</v>
      </c>
      <c r="AX468" s="203">
        <f t="shared" ref="AX468:AX482" ca="1" si="941">MIN(T468-AI468-AN468-AS468,AW468)</f>
        <v>0</v>
      </c>
      <c r="AY468" s="203">
        <f t="shared" ref="AY468:AY482" ca="1" si="942">+AW468-AX468</f>
        <v>0</v>
      </c>
      <c r="AZ468" s="212"/>
      <c r="BA468" s="213" t="s">
        <v>1925</v>
      </c>
      <c r="BB468" s="213" t="s">
        <v>1926</v>
      </c>
      <c r="BC468" s="213" t="s">
        <v>1927</v>
      </c>
      <c r="BD468" s="213" t="s">
        <v>140</v>
      </c>
      <c r="BE468" s="148"/>
      <c r="BF468" s="212" t="s">
        <v>1789</v>
      </c>
      <c r="BG468" s="117"/>
      <c r="BH468" s="155"/>
      <c r="BI468" s="216"/>
      <c r="BJ468" s="216"/>
      <c r="BK468" s="216"/>
      <c r="BL468" s="149"/>
      <c r="BM468" s="149"/>
      <c r="BN468" s="149"/>
      <c r="BO468" s="149"/>
      <c r="BP468" s="149"/>
      <c r="BQ468" s="149"/>
      <c r="BR468" s="117">
        <v>0</v>
      </c>
      <c r="BS468" s="117">
        <v>1</v>
      </c>
      <c r="BT468" s="117">
        <v>0</v>
      </c>
      <c r="BU468" s="117">
        <v>1</v>
      </c>
      <c r="BV468" s="117">
        <v>0</v>
      </c>
      <c r="BW468" s="117">
        <v>0</v>
      </c>
      <c r="BX468" s="117">
        <v>0</v>
      </c>
      <c r="BY468" s="117" t="s">
        <v>1790</v>
      </c>
      <c r="BZ468" s="158" t="s">
        <v>57</v>
      </c>
      <c r="CA468" s="158">
        <v>4</v>
      </c>
      <c r="CB468" s="234"/>
      <c r="CC468" s="155"/>
      <c r="CD468" s="155"/>
      <c r="CE468" s="217"/>
      <c r="CF468" s="166">
        <f t="shared" ref="CF468:CF482" si="943">+L468-CA468</f>
        <v>-2</v>
      </c>
    </row>
    <row r="469" spans="1:84" ht="36" hidden="1">
      <c r="A469" s="117"/>
      <c r="B469" s="209" t="s">
        <v>1976</v>
      </c>
      <c r="C469" s="209" t="s">
        <v>2192</v>
      </c>
      <c r="D469" s="209" t="s">
        <v>1296</v>
      </c>
      <c r="E469" s="209" t="s">
        <v>1791</v>
      </c>
      <c r="F469" s="209" t="s">
        <v>1746</v>
      </c>
      <c r="G469" s="209" t="s">
        <v>1157</v>
      </c>
      <c r="H469" s="210">
        <v>11547</v>
      </c>
      <c r="I469" s="211" t="s">
        <v>147</v>
      </c>
      <c r="J469" s="144">
        <v>2</v>
      </c>
      <c r="K469" s="145">
        <f t="shared" si="922"/>
        <v>2</v>
      </c>
      <c r="L469" s="202">
        <f t="shared" si="923"/>
        <v>4</v>
      </c>
      <c r="M469" s="212">
        <v>435.1</v>
      </c>
      <c r="N469" s="203">
        <f t="shared" si="924"/>
        <v>1740.4</v>
      </c>
      <c r="O469" s="212" t="s">
        <v>137</v>
      </c>
      <c r="P469" s="212" t="s">
        <v>13</v>
      </c>
      <c r="Q469" s="212" t="s">
        <v>148</v>
      </c>
      <c r="R469" s="212"/>
      <c r="S469" s="212"/>
      <c r="T469" s="203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2</v>
      </c>
      <c r="U469" s="203">
        <f t="shared" ca="1" si="925"/>
        <v>2</v>
      </c>
      <c r="V469" s="203">
        <f t="shared" ca="1" si="926"/>
        <v>1</v>
      </c>
      <c r="W469" s="212"/>
      <c r="X469" s="212"/>
      <c r="Y469" s="212"/>
      <c r="Z469" s="212"/>
      <c r="AA469" s="212"/>
      <c r="AB469" s="212"/>
      <c r="AC469" s="214" t="s">
        <v>1923</v>
      </c>
      <c r="AD469" s="215" t="s">
        <v>1924</v>
      </c>
      <c r="AE469" s="148"/>
      <c r="AF469" s="212" t="str">
        <f t="shared" si="927"/>
        <v>N/A</v>
      </c>
      <c r="AG469" s="212">
        <f t="shared" si="927"/>
        <v>0</v>
      </c>
      <c r="AH469" s="203">
        <f t="shared" si="928"/>
        <v>0</v>
      </c>
      <c r="AI469" s="203">
        <f t="shared" ca="1" si="929"/>
        <v>0</v>
      </c>
      <c r="AJ469" s="203">
        <f t="shared" ca="1" si="930"/>
        <v>0</v>
      </c>
      <c r="AK469" s="212" t="str">
        <f t="shared" si="931"/>
        <v>AMC2-S2</v>
      </c>
      <c r="AL469" s="212">
        <f t="shared" si="931"/>
        <v>1</v>
      </c>
      <c r="AM469" s="203">
        <f t="shared" si="932"/>
        <v>2</v>
      </c>
      <c r="AN469" s="203">
        <f t="shared" ca="1" si="933"/>
        <v>1</v>
      </c>
      <c r="AO469" s="203">
        <f t="shared" ca="1" si="934"/>
        <v>1</v>
      </c>
      <c r="AP469" s="212" t="str">
        <f t="shared" si="935"/>
        <v>AMC2-S4</v>
      </c>
      <c r="AQ469" s="212">
        <f t="shared" si="935"/>
        <v>1</v>
      </c>
      <c r="AR469" s="203">
        <f t="shared" si="936"/>
        <v>2</v>
      </c>
      <c r="AS469" s="203">
        <f t="shared" ca="1" si="937"/>
        <v>1</v>
      </c>
      <c r="AT469" s="203">
        <f t="shared" ca="1" si="938"/>
        <v>1</v>
      </c>
      <c r="AU469" s="212" t="str">
        <f t="shared" si="939"/>
        <v>N/A</v>
      </c>
      <c r="AV469" s="212">
        <f t="shared" si="939"/>
        <v>0</v>
      </c>
      <c r="AW469" s="203">
        <f t="shared" si="940"/>
        <v>0</v>
      </c>
      <c r="AX469" s="203">
        <f t="shared" ca="1" si="941"/>
        <v>0</v>
      </c>
      <c r="AY469" s="203">
        <f t="shared" ca="1" si="942"/>
        <v>0</v>
      </c>
      <c r="AZ469" s="212"/>
      <c r="BA469" s="213" t="s">
        <v>1925</v>
      </c>
      <c r="BB469" s="213" t="s">
        <v>1926</v>
      </c>
      <c r="BC469" s="213" t="s">
        <v>1927</v>
      </c>
      <c r="BD469" s="213" t="s">
        <v>140</v>
      </c>
      <c r="BE469" s="148"/>
      <c r="BF469" s="212" t="s">
        <v>1789</v>
      </c>
      <c r="BG469" s="117"/>
      <c r="BH469" s="155"/>
      <c r="BI469" s="216"/>
      <c r="BJ469" s="216"/>
      <c r="BK469" s="216"/>
      <c r="BL469" s="149"/>
      <c r="BM469" s="149"/>
      <c r="BN469" s="149"/>
      <c r="BO469" s="149"/>
      <c r="BP469" s="149"/>
      <c r="BQ469" s="149"/>
      <c r="BR469" s="117">
        <v>0</v>
      </c>
      <c r="BS469" s="117">
        <v>0</v>
      </c>
      <c r="BT469" s="117">
        <v>0</v>
      </c>
      <c r="BU469" s="117">
        <v>0</v>
      </c>
      <c r="BV469" s="117">
        <v>0</v>
      </c>
      <c r="BW469" s="117">
        <v>0</v>
      </c>
      <c r="BX469" s="117">
        <v>0</v>
      </c>
      <c r="BY469" s="117" t="s">
        <v>1790</v>
      </c>
      <c r="BZ469" s="158" t="s">
        <v>2155</v>
      </c>
      <c r="CA469" s="144">
        <v>8</v>
      </c>
      <c r="CB469" s="235">
        <v>46231</v>
      </c>
      <c r="CC469" s="155"/>
      <c r="CD469" s="141"/>
      <c r="CE469" s="217"/>
      <c r="CF469" s="166">
        <f t="shared" si="943"/>
        <v>-4</v>
      </c>
    </row>
    <row r="470" spans="1:84" ht="36" hidden="1">
      <c r="A470" s="117"/>
      <c r="B470" s="209" t="s">
        <v>1976</v>
      </c>
      <c r="C470" s="209" t="s">
        <v>2192</v>
      </c>
      <c r="D470" s="209" t="s">
        <v>1296</v>
      </c>
      <c r="E470" s="209" t="s">
        <v>1792</v>
      </c>
      <c r="F470" s="209" t="s">
        <v>1747</v>
      </c>
      <c r="G470" s="209" t="s">
        <v>1277</v>
      </c>
      <c r="H470" s="210">
        <v>1677</v>
      </c>
      <c r="I470" s="211" t="s">
        <v>147</v>
      </c>
      <c r="J470" s="144">
        <v>1</v>
      </c>
      <c r="K470" s="145">
        <f t="shared" si="922"/>
        <v>2</v>
      </c>
      <c r="L470" s="202">
        <f t="shared" si="923"/>
        <v>2</v>
      </c>
      <c r="M470" s="212">
        <v>323.10000000000002</v>
      </c>
      <c r="N470" s="203">
        <f t="shared" si="924"/>
        <v>646.20000000000005</v>
      </c>
      <c r="O470" s="212" t="s">
        <v>137</v>
      </c>
      <c r="P470" s="212" t="s">
        <v>13</v>
      </c>
      <c r="Q470" s="212" t="s">
        <v>148</v>
      </c>
      <c r="R470" s="212"/>
      <c r="S470" s="212"/>
      <c r="T470" s="203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1</v>
      </c>
      <c r="U470" s="203">
        <f t="shared" ca="1" si="925"/>
        <v>1</v>
      </c>
      <c r="V470" s="203">
        <f t="shared" ca="1" si="926"/>
        <v>1</v>
      </c>
      <c r="W470" s="212"/>
      <c r="X470" s="212"/>
      <c r="Y470" s="212"/>
      <c r="Z470" s="212"/>
      <c r="AA470" s="212"/>
      <c r="AB470" s="212"/>
      <c r="AC470" s="214" t="s">
        <v>1923</v>
      </c>
      <c r="AD470" s="215" t="s">
        <v>1924</v>
      </c>
      <c r="AE470" s="148"/>
      <c r="AF470" s="212" t="str">
        <f t="shared" si="927"/>
        <v>N/A</v>
      </c>
      <c r="AG470" s="212">
        <f t="shared" si="927"/>
        <v>0</v>
      </c>
      <c r="AH470" s="203">
        <f t="shared" si="928"/>
        <v>0</v>
      </c>
      <c r="AI470" s="203">
        <f t="shared" ca="1" si="929"/>
        <v>0</v>
      </c>
      <c r="AJ470" s="203">
        <f t="shared" ca="1" si="930"/>
        <v>0</v>
      </c>
      <c r="AK470" s="212" t="str">
        <f t="shared" si="931"/>
        <v>AMC2-S2</v>
      </c>
      <c r="AL470" s="212">
        <f t="shared" si="931"/>
        <v>1</v>
      </c>
      <c r="AM470" s="203">
        <f t="shared" si="932"/>
        <v>1</v>
      </c>
      <c r="AN470" s="203">
        <f t="shared" ca="1" si="933"/>
        <v>1</v>
      </c>
      <c r="AO470" s="203">
        <f t="shared" ca="1" si="934"/>
        <v>0</v>
      </c>
      <c r="AP470" s="212" t="str">
        <f t="shared" si="935"/>
        <v>AMC2-S4</v>
      </c>
      <c r="AQ470" s="212">
        <f t="shared" si="935"/>
        <v>1</v>
      </c>
      <c r="AR470" s="203">
        <f t="shared" si="936"/>
        <v>1</v>
      </c>
      <c r="AS470" s="203">
        <f t="shared" ca="1" si="937"/>
        <v>0</v>
      </c>
      <c r="AT470" s="203">
        <f t="shared" ca="1" si="938"/>
        <v>1</v>
      </c>
      <c r="AU470" s="212" t="str">
        <f t="shared" si="939"/>
        <v>N/A</v>
      </c>
      <c r="AV470" s="212">
        <f t="shared" si="939"/>
        <v>0</v>
      </c>
      <c r="AW470" s="203">
        <f t="shared" si="940"/>
        <v>0</v>
      </c>
      <c r="AX470" s="203">
        <f t="shared" ca="1" si="941"/>
        <v>0</v>
      </c>
      <c r="AY470" s="203">
        <f t="shared" ca="1" si="942"/>
        <v>0</v>
      </c>
      <c r="AZ470" s="212"/>
      <c r="BA470" s="213" t="s">
        <v>1925</v>
      </c>
      <c r="BB470" s="213" t="s">
        <v>1926</v>
      </c>
      <c r="BC470" s="213" t="s">
        <v>1927</v>
      </c>
      <c r="BD470" s="213" t="s">
        <v>140</v>
      </c>
      <c r="BE470" s="148"/>
      <c r="BF470" s="212" t="s">
        <v>1789</v>
      </c>
      <c r="BG470" s="117"/>
      <c r="BH470" s="155"/>
      <c r="BI470" s="216"/>
      <c r="BJ470" s="216"/>
      <c r="BK470" s="216"/>
      <c r="BL470" s="149"/>
      <c r="BM470" s="149"/>
      <c r="BN470" s="149"/>
      <c r="BO470" s="149"/>
      <c r="BP470" s="149"/>
      <c r="BQ470" s="149"/>
      <c r="BR470" s="117">
        <v>0</v>
      </c>
      <c r="BS470" s="117">
        <v>0</v>
      </c>
      <c r="BT470" s="117">
        <v>0</v>
      </c>
      <c r="BU470" s="117">
        <v>0</v>
      </c>
      <c r="BV470" s="117">
        <v>0</v>
      </c>
      <c r="BW470" s="117">
        <v>0</v>
      </c>
      <c r="BX470" s="117">
        <v>0</v>
      </c>
      <c r="BY470" s="117" t="s">
        <v>1790</v>
      </c>
      <c r="BZ470" s="158" t="s">
        <v>2157</v>
      </c>
      <c r="CA470" s="144">
        <v>4</v>
      </c>
      <c r="CB470" s="234">
        <v>46242</v>
      </c>
      <c r="CC470" s="155"/>
      <c r="CD470" s="117"/>
      <c r="CE470" s="217"/>
      <c r="CF470" s="166">
        <f t="shared" si="943"/>
        <v>-2</v>
      </c>
    </row>
    <row r="471" spans="1:84" ht="36" hidden="1">
      <c r="A471" s="117"/>
      <c r="B471" s="209" t="s">
        <v>1976</v>
      </c>
      <c r="C471" s="209" t="s">
        <v>2192</v>
      </c>
      <c r="D471" s="209" t="s">
        <v>1296</v>
      </c>
      <c r="E471" s="209" t="s">
        <v>1793</v>
      </c>
      <c r="F471" s="209" t="s">
        <v>1748</v>
      </c>
      <c r="G471" s="209" t="s">
        <v>1282</v>
      </c>
      <c r="H471" s="210">
        <v>630</v>
      </c>
      <c r="I471" s="211" t="s">
        <v>147</v>
      </c>
      <c r="J471" s="144">
        <v>3</v>
      </c>
      <c r="K471" s="145">
        <f t="shared" si="922"/>
        <v>2</v>
      </c>
      <c r="L471" s="202">
        <f t="shared" si="923"/>
        <v>6</v>
      </c>
      <c r="M471" s="212">
        <v>9.3000000000000007</v>
      </c>
      <c r="N471" s="203">
        <f t="shared" si="924"/>
        <v>55.800000000000004</v>
      </c>
      <c r="O471" s="212" t="s">
        <v>137</v>
      </c>
      <c r="P471" s="212" t="s">
        <v>13</v>
      </c>
      <c r="Q471" s="212" t="s">
        <v>148</v>
      </c>
      <c r="R471" s="212"/>
      <c r="S471" s="212"/>
      <c r="T471" s="203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3</v>
      </c>
      <c r="U471" s="203">
        <f t="shared" ca="1" si="925"/>
        <v>3</v>
      </c>
      <c r="V471" s="203">
        <f t="shared" ca="1" si="926"/>
        <v>1</v>
      </c>
      <c r="W471" s="212"/>
      <c r="X471" s="212"/>
      <c r="Y471" s="212"/>
      <c r="Z471" s="212"/>
      <c r="AA471" s="212"/>
      <c r="AB471" s="212"/>
      <c r="AC471" s="214" t="s">
        <v>1923</v>
      </c>
      <c r="AD471" s="215" t="s">
        <v>1924</v>
      </c>
      <c r="AE471" s="148"/>
      <c r="AF471" s="212" t="str">
        <f t="shared" si="927"/>
        <v>N/A</v>
      </c>
      <c r="AG471" s="212">
        <f t="shared" si="927"/>
        <v>0</v>
      </c>
      <c r="AH471" s="203">
        <f t="shared" si="928"/>
        <v>0</v>
      </c>
      <c r="AI471" s="203">
        <f t="shared" ca="1" si="929"/>
        <v>0</v>
      </c>
      <c r="AJ471" s="203">
        <f t="shared" ca="1" si="930"/>
        <v>0</v>
      </c>
      <c r="AK471" s="212" t="str">
        <f t="shared" si="931"/>
        <v>AMC2-S2</v>
      </c>
      <c r="AL471" s="212">
        <f t="shared" si="931"/>
        <v>1</v>
      </c>
      <c r="AM471" s="203">
        <f t="shared" si="932"/>
        <v>3</v>
      </c>
      <c r="AN471" s="203">
        <f t="shared" ca="1" si="933"/>
        <v>1</v>
      </c>
      <c r="AO471" s="203">
        <f t="shared" ca="1" si="934"/>
        <v>2</v>
      </c>
      <c r="AP471" s="212" t="str">
        <f t="shared" si="935"/>
        <v>AMC2-S4</v>
      </c>
      <c r="AQ471" s="212">
        <f t="shared" si="935"/>
        <v>1</v>
      </c>
      <c r="AR471" s="203">
        <f t="shared" si="936"/>
        <v>3</v>
      </c>
      <c r="AS471" s="203">
        <f t="shared" ca="1" si="937"/>
        <v>2</v>
      </c>
      <c r="AT471" s="203">
        <f t="shared" ca="1" si="938"/>
        <v>1</v>
      </c>
      <c r="AU471" s="212" t="str">
        <f t="shared" si="939"/>
        <v>N/A</v>
      </c>
      <c r="AV471" s="212">
        <f t="shared" si="939"/>
        <v>0</v>
      </c>
      <c r="AW471" s="203">
        <f t="shared" si="940"/>
        <v>0</v>
      </c>
      <c r="AX471" s="203">
        <f t="shared" ca="1" si="941"/>
        <v>0</v>
      </c>
      <c r="AY471" s="203">
        <f t="shared" ca="1" si="942"/>
        <v>0</v>
      </c>
      <c r="AZ471" s="212"/>
      <c r="BA471" s="213" t="s">
        <v>1925</v>
      </c>
      <c r="BB471" s="213" t="s">
        <v>1926</v>
      </c>
      <c r="BC471" s="213" t="s">
        <v>1927</v>
      </c>
      <c r="BD471" s="213" t="s">
        <v>140</v>
      </c>
      <c r="BE471" s="148"/>
      <c r="BF471" s="212" t="s">
        <v>1789</v>
      </c>
      <c r="BG471" s="117"/>
      <c r="BH471" s="155"/>
      <c r="BI471" s="216"/>
      <c r="BJ471" s="216"/>
      <c r="BK471" s="216"/>
      <c r="BL471" s="149"/>
      <c r="BM471" s="149"/>
      <c r="BN471" s="149"/>
      <c r="BO471" s="149"/>
      <c r="BP471" s="149"/>
      <c r="BQ471" s="149"/>
      <c r="BR471" s="117">
        <v>0</v>
      </c>
      <c r="BS471" s="117">
        <v>0</v>
      </c>
      <c r="BT471" s="117">
        <v>0</v>
      </c>
      <c r="BU471" s="117">
        <v>0</v>
      </c>
      <c r="BV471" s="117">
        <v>0</v>
      </c>
      <c r="BW471" s="117">
        <v>0</v>
      </c>
      <c r="BX471" s="117">
        <v>0</v>
      </c>
      <c r="BY471" s="117" t="s">
        <v>1790</v>
      </c>
      <c r="BZ471" s="158" t="s">
        <v>2160</v>
      </c>
      <c r="CA471" s="144">
        <v>12</v>
      </c>
      <c r="CB471" s="235">
        <v>46248</v>
      </c>
      <c r="CC471" s="155"/>
      <c r="CD471" s="117"/>
      <c r="CE471" s="217"/>
      <c r="CF471" s="166">
        <f t="shared" si="943"/>
        <v>-6</v>
      </c>
    </row>
    <row r="472" spans="1:84" ht="36" hidden="1">
      <c r="A472" s="117"/>
      <c r="B472" s="209" t="s">
        <v>1976</v>
      </c>
      <c r="C472" s="209" t="s">
        <v>2192</v>
      </c>
      <c r="D472" s="209" t="s">
        <v>1296</v>
      </c>
      <c r="E472" s="209" t="s">
        <v>1794</v>
      </c>
      <c r="F472" s="209" t="s">
        <v>1749</v>
      </c>
      <c r="G472" s="209" t="s">
        <v>1280</v>
      </c>
      <c r="H472" s="210">
        <v>1100</v>
      </c>
      <c r="I472" s="211" t="s">
        <v>147</v>
      </c>
      <c r="J472" s="144">
        <v>1</v>
      </c>
      <c r="K472" s="145">
        <f t="shared" si="922"/>
        <v>2</v>
      </c>
      <c r="L472" s="202">
        <f t="shared" si="923"/>
        <v>2</v>
      </c>
      <c r="M472" s="212">
        <v>47.5</v>
      </c>
      <c r="N472" s="203">
        <f t="shared" si="924"/>
        <v>95</v>
      </c>
      <c r="O472" s="212" t="s">
        <v>137</v>
      </c>
      <c r="P472" s="212" t="s">
        <v>13</v>
      </c>
      <c r="Q472" s="212" t="s">
        <v>148</v>
      </c>
      <c r="R472" s="212"/>
      <c r="S472" s="212"/>
      <c r="T472" s="203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203">
        <f t="shared" ca="1" si="925"/>
        <v>1</v>
      </c>
      <c r="V472" s="203">
        <f t="shared" ca="1" si="926"/>
        <v>1</v>
      </c>
      <c r="W472" s="212"/>
      <c r="X472" s="212"/>
      <c r="Y472" s="212"/>
      <c r="Z472" s="212"/>
      <c r="AA472" s="212"/>
      <c r="AB472" s="212"/>
      <c r="AC472" s="214" t="s">
        <v>1923</v>
      </c>
      <c r="AD472" s="215" t="s">
        <v>1924</v>
      </c>
      <c r="AE472" s="148"/>
      <c r="AF472" s="212" t="str">
        <f t="shared" si="927"/>
        <v>N/A</v>
      </c>
      <c r="AG472" s="212">
        <f t="shared" si="927"/>
        <v>0</v>
      </c>
      <c r="AH472" s="203">
        <f t="shared" si="928"/>
        <v>0</v>
      </c>
      <c r="AI472" s="203">
        <f t="shared" ca="1" si="929"/>
        <v>0</v>
      </c>
      <c r="AJ472" s="203">
        <f t="shared" ca="1" si="930"/>
        <v>0</v>
      </c>
      <c r="AK472" s="212" t="str">
        <f t="shared" si="931"/>
        <v>AMC2-S2</v>
      </c>
      <c r="AL472" s="212">
        <f t="shared" si="931"/>
        <v>1</v>
      </c>
      <c r="AM472" s="203">
        <f t="shared" si="932"/>
        <v>1</v>
      </c>
      <c r="AN472" s="203">
        <f t="shared" ca="1" si="933"/>
        <v>1</v>
      </c>
      <c r="AO472" s="203">
        <f t="shared" ca="1" si="934"/>
        <v>0</v>
      </c>
      <c r="AP472" s="212" t="str">
        <f t="shared" si="935"/>
        <v>AMC2-S4</v>
      </c>
      <c r="AQ472" s="212">
        <f t="shared" si="935"/>
        <v>1</v>
      </c>
      <c r="AR472" s="203">
        <f t="shared" si="936"/>
        <v>1</v>
      </c>
      <c r="AS472" s="203">
        <f t="shared" ca="1" si="937"/>
        <v>0</v>
      </c>
      <c r="AT472" s="203">
        <f t="shared" ca="1" si="938"/>
        <v>1</v>
      </c>
      <c r="AU472" s="212" t="str">
        <f t="shared" si="939"/>
        <v>N/A</v>
      </c>
      <c r="AV472" s="212">
        <f t="shared" si="939"/>
        <v>0</v>
      </c>
      <c r="AW472" s="203">
        <f t="shared" si="940"/>
        <v>0</v>
      </c>
      <c r="AX472" s="203">
        <f t="shared" ca="1" si="941"/>
        <v>0</v>
      </c>
      <c r="AY472" s="203">
        <f t="shared" ca="1" si="942"/>
        <v>0</v>
      </c>
      <c r="AZ472" s="212"/>
      <c r="BA472" s="213" t="s">
        <v>1925</v>
      </c>
      <c r="BB472" s="213" t="s">
        <v>1926</v>
      </c>
      <c r="BC472" s="213" t="s">
        <v>1927</v>
      </c>
      <c r="BD472" s="213" t="s">
        <v>140</v>
      </c>
      <c r="BE472" s="148"/>
      <c r="BF472" s="212" t="s">
        <v>1789</v>
      </c>
      <c r="BG472" s="117"/>
      <c r="BH472" s="155"/>
      <c r="BI472" s="216"/>
      <c r="BJ472" s="216"/>
      <c r="BK472" s="216"/>
      <c r="BL472" s="149"/>
      <c r="BM472" s="149"/>
      <c r="BN472" s="149"/>
      <c r="BO472" s="149"/>
      <c r="BP472" s="149"/>
      <c r="BQ472" s="149"/>
      <c r="BR472" s="117">
        <v>0</v>
      </c>
      <c r="BS472" s="117">
        <v>0</v>
      </c>
      <c r="BT472" s="117">
        <v>0</v>
      </c>
      <c r="BU472" s="117">
        <v>0</v>
      </c>
      <c r="BV472" s="117">
        <v>0</v>
      </c>
      <c r="BW472" s="117">
        <v>0</v>
      </c>
      <c r="BX472" s="117">
        <v>0</v>
      </c>
      <c r="BY472" s="117" t="s">
        <v>1790</v>
      </c>
      <c r="BZ472" s="158" t="s">
        <v>2157</v>
      </c>
      <c r="CA472" s="144">
        <v>4</v>
      </c>
      <c r="CB472" s="234">
        <v>46242</v>
      </c>
      <c r="CC472" s="155"/>
      <c r="CD472" s="117"/>
      <c r="CE472" s="217"/>
      <c r="CF472" s="166">
        <f t="shared" si="943"/>
        <v>-2</v>
      </c>
    </row>
    <row r="473" spans="1:84" ht="36" hidden="1">
      <c r="A473" s="117"/>
      <c r="B473" s="209" t="s">
        <v>1976</v>
      </c>
      <c r="C473" s="209" t="s">
        <v>2192</v>
      </c>
      <c r="D473" s="209" t="s">
        <v>1296</v>
      </c>
      <c r="E473" s="209" t="s">
        <v>1795</v>
      </c>
      <c r="F473" s="209" t="s">
        <v>1750</v>
      </c>
      <c r="G473" s="209" t="s">
        <v>1273</v>
      </c>
      <c r="H473" s="210">
        <v>255</v>
      </c>
      <c r="I473" s="211" t="s">
        <v>652</v>
      </c>
      <c r="J473" s="144">
        <v>2</v>
      </c>
      <c r="K473" s="145">
        <f t="shared" si="922"/>
        <v>2</v>
      </c>
      <c r="L473" s="202">
        <f t="shared" si="923"/>
        <v>4</v>
      </c>
      <c r="M473" s="212">
        <v>1.9</v>
      </c>
      <c r="N473" s="203">
        <f t="shared" si="924"/>
        <v>7.6</v>
      </c>
      <c r="O473" s="212" t="s">
        <v>137</v>
      </c>
      <c r="P473" s="212" t="s">
        <v>13</v>
      </c>
      <c r="Q473" s="212" t="s">
        <v>148</v>
      </c>
      <c r="R473" s="212"/>
      <c r="S473" s="212"/>
      <c r="T473" s="203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0</v>
      </c>
      <c r="U473" s="203">
        <f t="shared" ca="1" si="925"/>
        <v>4</v>
      </c>
      <c r="V473" s="203">
        <f t="shared" ca="1" si="926"/>
        <v>0</v>
      </c>
      <c r="W473" s="212"/>
      <c r="X473" s="212"/>
      <c r="Y473" s="212"/>
      <c r="Z473" s="212"/>
      <c r="AA473" s="212"/>
      <c r="AB473" s="212"/>
      <c r="AC473" s="214" t="s">
        <v>1923</v>
      </c>
      <c r="AD473" s="215" t="s">
        <v>1924</v>
      </c>
      <c r="AE473" s="148"/>
      <c r="AF473" s="212" t="str">
        <f t="shared" si="927"/>
        <v>N/A</v>
      </c>
      <c r="AG473" s="212">
        <f t="shared" si="927"/>
        <v>0</v>
      </c>
      <c r="AH473" s="203">
        <f t="shared" si="928"/>
        <v>0</v>
      </c>
      <c r="AI473" s="203">
        <f t="shared" ca="1" si="929"/>
        <v>0</v>
      </c>
      <c r="AJ473" s="203">
        <f t="shared" ca="1" si="930"/>
        <v>0</v>
      </c>
      <c r="AK473" s="212" t="str">
        <f t="shared" si="931"/>
        <v>AMC2-S2</v>
      </c>
      <c r="AL473" s="212">
        <f t="shared" si="931"/>
        <v>1</v>
      </c>
      <c r="AM473" s="203">
        <f t="shared" si="932"/>
        <v>2</v>
      </c>
      <c r="AN473" s="203">
        <f t="shared" ca="1" si="933"/>
        <v>0</v>
      </c>
      <c r="AO473" s="203">
        <f t="shared" ca="1" si="934"/>
        <v>2</v>
      </c>
      <c r="AP473" s="212" t="str">
        <f t="shared" si="935"/>
        <v>AMC2-S4</v>
      </c>
      <c r="AQ473" s="212">
        <f t="shared" si="935"/>
        <v>1</v>
      </c>
      <c r="AR473" s="203">
        <f t="shared" si="936"/>
        <v>2</v>
      </c>
      <c r="AS473" s="203">
        <f t="shared" ca="1" si="937"/>
        <v>0</v>
      </c>
      <c r="AT473" s="203">
        <f t="shared" ca="1" si="938"/>
        <v>2</v>
      </c>
      <c r="AU473" s="212" t="str">
        <f t="shared" si="939"/>
        <v>N/A</v>
      </c>
      <c r="AV473" s="212">
        <f t="shared" si="939"/>
        <v>0</v>
      </c>
      <c r="AW473" s="203">
        <f t="shared" si="940"/>
        <v>0</v>
      </c>
      <c r="AX473" s="203">
        <f t="shared" ca="1" si="941"/>
        <v>0</v>
      </c>
      <c r="AY473" s="203">
        <f t="shared" ca="1" si="942"/>
        <v>0</v>
      </c>
      <c r="AZ473" s="212"/>
      <c r="BA473" s="213" t="s">
        <v>1925</v>
      </c>
      <c r="BB473" s="213" t="s">
        <v>1926</v>
      </c>
      <c r="BC473" s="213" t="s">
        <v>1927</v>
      </c>
      <c r="BD473" s="213" t="s">
        <v>140</v>
      </c>
      <c r="BE473" s="148"/>
      <c r="BF473" s="212"/>
      <c r="BG473" s="117"/>
      <c r="BH473" s="155"/>
      <c r="BI473" s="216"/>
      <c r="BJ473" s="216"/>
      <c r="BK473" s="216"/>
      <c r="BL473" s="149"/>
      <c r="BM473" s="149"/>
      <c r="BN473" s="149"/>
      <c r="BO473" s="149"/>
      <c r="BP473" s="149"/>
      <c r="BQ473" s="149"/>
      <c r="BR473" s="117">
        <v>0</v>
      </c>
      <c r="BS473" s="117">
        <v>0</v>
      </c>
      <c r="BT473" s="117">
        <v>0</v>
      </c>
      <c r="BU473" s="117">
        <v>0</v>
      </c>
      <c r="BV473" s="117">
        <v>0</v>
      </c>
      <c r="BW473" s="117">
        <v>0</v>
      </c>
      <c r="BX473" s="117">
        <v>0</v>
      </c>
      <c r="BY473" s="117" t="s">
        <v>1790</v>
      </c>
      <c r="BZ473" s="158" t="s">
        <v>2158</v>
      </c>
      <c r="CA473" s="158">
        <v>8</v>
      </c>
      <c r="CB473" s="234">
        <v>46213</v>
      </c>
      <c r="CC473" s="155"/>
      <c r="CD473" s="155"/>
      <c r="CE473" s="217"/>
      <c r="CF473" s="166">
        <f t="shared" si="943"/>
        <v>-4</v>
      </c>
    </row>
    <row r="474" spans="1:84" ht="36" hidden="1">
      <c r="A474" s="117"/>
      <c r="B474" s="209" t="s">
        <v>1976</v>
      </c>
      <c r="C474" s="209" t="s">
        <v>2192</v>
      </c>
      <c r="D474" s="209" t="s">
        <v>1296</v>
      </c>
      <c r="E474" s="209" t="s">
        <v>1796</v>
      </c>
      <c r="F474" s="209" t="s">
        <v>1751</v>
      </c>
      <c r="G474" s="209" t="s">
        <v>1284</v>
      </c>
      <c r="H474" s="210">
        <v>325</v>
      </c>
      <c r="I474" s="211" t="s">
        <v>147</v>
      </c>
      <c r="J474" s="144">
        <v>1</v>
      </c>
      <c r="K474" s="145">
        <f t="shared" si="922"/>
        <v>2</v>
      </c>
      <c r="L474" s="202">
        <f t="shared" si="923"/>
        <v>2</v>
      </c>
      <c r="M474" s="212">
        <v>3.3</v>
      </c>
      <c r="N474" s="203">
        <f t="shared" si="924"/>
        <v>6.6</v>
      </c>
      <c r="O474" s="212" t="s">
        <v>137</v>
      </c>
      <c r="P474" s="212" t="s">
        <v>13</v>
      </c>
      <c r="Q474" s="212" t="s">
        <v>148</v>
      </c>
      <c r="R474" s="212"/>
      <c r="S474" s="212"/>
      <c r="T474" s="203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1</v>
      </c>
      <c r="U474" s="203">
        <f t="shared" ca="1" si="925"/>
        <v>1</v>
      </c>
      <c r="V474" s="203">
        <f t="shared" ca="1" si="926"/>
        <v>1</v>
      </c>
      <c r="W474" s="212"/>
      <c r="X474" s="212"/>
      <c r="Y474" s="212"/>
      <c r="Z474" s="212"/>
      <c r="AA474" s="212"/>
      <c r="AB474" s="212"/>
      <c r="AC474" s="214" t="s">
        <v>1923</v>
      </c>
      <c r="AD474" s="215" t="s">
        <v>1924</v>
      </c>
      <c r="AE474" s="148"/>
      <c r="AF474" s="212" t="str">
        <f t="shared" si="927"/>
        <v>N/A</v>
      </c>
      <c r="AG474" s="212">
        <f t="shared" si="927"/>
        <v>0</v>
      </c>
      <c r="AH474" s="203">
        <f t="shared" si="928"/>
        <v>0</v>
      </c>
      <c r="AI474" s="203">
        <f t="shared" ca="1" si="929"/>
        <v>0</v>
      </c>
      <c r="AJ474" s="203">
        <f t="shared" ca="1" si="930"/>
        <v>0</v>
      </c>
      <c r="AK474" s="212" t="str">
        <f t="shared" si="931"/>
        <v>AMC2-S2</v>
      </c>
      <c r="AL474" s="212">
        <f t="shared" si="931"/>
        <v>1</v>
      </c>
      <c r="AM474" s="203">
        <f t="shared" si="932"/>
        <v>1</v>
      </c>
      <c r="AN474" s="203">
        <f t="shared" ca="1" si="933"/>
        <v>1</v>
      </c>
      <c r="AO474" s="203">
        <f t="shared" ca="1" si="934"/>
        <v>0</v>
      </c>
      <c r="AP474" s="212" t="str">
        <f t="shared" si="935"/>
        <v>AMC2-S4</v>
      </c>
      <c r="AQ474" s="212">
        <f t="shared" si="935"/>
        <v>1</v>
      </c>
      <c r="AR474" s="203">
        <f t="shared" si="936"/>
        <v>1</v>
      </c>
      <c r="AS474" s="203">
        <f t="shared" ca="1" si="937"/>
        <v>0</v>
      </c>
      <c r="AT474" s="203">
        <f t="shared" ca="1" si="938"/>
        <v>1</v>
      </c>
      <c r="AU474" s="212" t="str">
        <f t="shared" si="939"/>
        <v>N/A</v>
      </c>
      <c r="AV474" s="212">
        <f t="shared" si="939"/>
        <v>0</v>
      </c>
      <c r="AW474" s="203">
        <f t="shared" si="940"/>
        <v>0</v>
      </c>
      <c r="AX474" s="203">
        <f t="shared" ca="1" si="941"/>
        <v>0</v>
      </c>
      <c r="AY474" s="203">
        <f t="shared" ca="1" si="942"/>
        <v>0</v>
      </c>
      <c r="AZ474" s="212"/>
      <c r="BA474" s="213" t="s">
        <v>1925</v>
      </c>
      <c r="BB474" s="213" t="s">
        <v>1926</v>
      </c>
      <c r="BC474" s="213" t="s">
        <v>1927</v>
      </c>
      <c r="BD474" s="213" t="s">
        <v>140</v>
      </c>
      <c r="BE474" s="148"/>
      <c r="BF474" s="212" t="s">
        <v>1789</v>
      </c>
      <c r="BG474" s="117"/>
      <c r="BH474" s="155"/>
      <c r="BI474" s="216"/>
      <c r="BJ474" s="216"/>
      <c r="BK474" s="216"/>
      <c r="BL474" s="149"/>
      <c r="BM474" s="149"/>
      <c r="BN474" s="149"/>
      <c r="BO474" s="149"/>
      <c r="BP474" s="149"/>
      <c r="BQ474" s="149"/>
      <c r="BR474" s="117">
        <v>0</v>
      </c>
      <c r="BS474" s="117">
        <v>0</v>
      </c>
      <c r="BT474" s="117">
        <v>0</v>
      </c>
      <c r="BU474" s="117">
        <v>1</v>
      </c>
      <c r="BV474" s="117">
        <v>0</v>
      </c>
      <c r="BW474" s="117">
        <v>0</v>
      </c>
      <c r="BX474" s="117">
        <v>0</v>
      </c>
      <c r="BY474" s="117" t="s">
        <v>1790</v>
      </c>
      <c r="BZ474" s="158" t="s">
        <v>2160</v>
      </c>
      <c r="CA474" s="144">
        <v>4</v>
      </c>
      <c r="CB474" s="235">
        <v>46248</v>
      </c>
      <c r="CC474" s="155"/>
      <c r="CD474" s="117"/>
      <c r="CE474" s="217"/>
      <c r="CF474" s="166">
        <f t="shared" si="943"/>
        <v>-2</v>
      </c>
    </row>
    <row r="475" spans="1:84" ht="36" hidden="1">
      <c r="A475" s="117"/>
      <c r="B475" s="209" t="s">
        <v>1976</v>
      </c>
      <c r="C475" s="209" t="s">
        <v>2192</v>
      </c>
      <c r="D475" s="209" t="s">
        <v>1296</v>
      </c>
      <c r="E475" s="209" t="s">
        <v>1979</v>
      </c>
      <c r="F475" s="209" t="s">
        <v>1752</v>
      </c>
      <c r="G475" s="209" t="s">
        <v>1284</v>
      </c>
      <c r="H475" s="210">
        <v>325</v>
      </c>
      <c r="I475" s="211" t="s">
        <v>147</v>
      </c>
      <c r="J475" s="144">
        <v>1</v>
      </c>
      <c r="K475" s="145">
        <f t="shared" si="922"/>
        <v>2</v>
      </c>
      <c r="L475" s="202">
        <f t="shared" si="923"/>
        <v>2</v>
      </c>
      <c r="M475" s="212">
        <v>3.3</v>
      </c>
      <c r="N475" s="203">
        <f t="shared" si="924"/>
        <v>6.6</v>
      </c>
      <c r="O475" s="212" t="s">
        <v>137</v>
      </c>
      <c r="P475" s="212" t="s">
        <v>13</v>
      </c>
      <c r="Q475" s="212" t="s">
        <v>148</v>
      </c>
      <c r="R475" s="212"/>
      <c r="S475" s="212"/>
      <c r="T475" s="203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1</v>
      </c>
      <c r="U475" s="203">
        <f t="shared" ca="1" si="925"/>
        <v>1</v>
      </c>
      <c r="V475" s="203">
        <f t="shared" ca="1" si="926"/>
        <v>1</v>
      </c>
      <c r="W475" s="212"/>
      <c r="X475" s="212"/>
      <c r="Y475" s="212"/>
      <c r="Z475" s="212"/>
      <c r="AA475" s="212"/>
      <c r="AB475" s="212"/>
      <c r="AC475" s="214" t="s">
        <v>1923</v>
      </c>
      <c r="AD475" s="215" t="s">
        <v>1924</v>
      </c>
      <c r="AE475" s="148"/>
      <c r="AF475" s="212" t="str">
        <f t="shared" si="927"/>
        <v>N/A</v>
      </c>
      <c r="AG475" s="212">
        <f t="shared" si="927"/>
        <v>0</v>
      </c>
      <c r="AH475" s="203">
        <f t="shared" si="928"/>
        <v>0</v>
      </c>
      <c r="AI475" s="203">
        <f t="shared" ca="1" si="929"/>
        <v>0</v>
      </c>
      <c r="AJ475" s="203">
        <f t="shared" ca="1" si="930"/>
        <v>0</v>
      </c>
      <c r="AK475" s="212" t="str">
        <f t="shared" si="931"/>
        <v>AMC2-S2</v>
      </c>
      <c r="AL475" s="212">
        <f t="shared" si="931"/>
        <v>1</v>
      </c>
      <c r="AM475" s="203">
        <f t="shared" si="932"/>
        <v>1</v>
      </c>
      <c r="AN475" s="203">
        <f t="shared" ca="1" si="933"/>
        <v>1</v>
      </c>
      <c r="AO475" s="203">
        <f t="shared" ca="1" si="934"/>
        <v>0</v>
      </c>
      <c r="AP475" s="212" t="str">
        <f t="shared" si="935"/>
        <v>AMC2-S4</v>
      </c>
      <c r="AQ475" s="212">
        <f t="shared" si="935"/>
        <v>1</v>
      </c>
      <c r="AR475" s="203">
        <f t="shared" si="936"/>
        <v>1</v>
      </c>
      <c r="AS475" s="203">
        <f t="shared" ca="1" si="937"/>
        <v>0</v>
      </c>
      <c r="AT475" s="203">
        <f t="shared" ca="1" si="938"/>
        <v>1</v>
      </c>
      <c r="AU475" s="212" t="str">
        <f t="shared" si="939"/>
        <v>N/A</v>
      </c>
      <c r="AV475" s="212">
        <f t="shared" si="939"/>
        <v>0</v>
      </c>
      <c r="AW475" s="203">
        <f t="shared" si="940"/>
        <v>0</v>
      </c>
      <c r="AX475" s="203">
        <f t="shared" ca="1" si="941"/>
        <v>0</v>
      </c>
      <c r="AY475" s="203">
        <f t="shared" ca="1" si="942"/>
        <v>0</v>
      </c>
      <c r="AZ475" s="212"/>
      <c r="BA475" s="213" t="s">
        <v>1925</v>
      </c>
      <c r="BB475" s="213" t="s">
        <v>1926</v>
      </c>
      <c r="BC475" s="213" t="s">
        <v>1927</v>
      </c>
      <c r="BD475" s="213" t="s">
        <v>140</v>
      </c>
      <c r="BE475" s="148"/>
      <c r="BF475" s="212" t="s">
        <v>1789</v>
      </c>
      <c r="BG475" s="117"/>
      <c r="BH475" s="155"/>
      <c r="BI475" s="216"/>
      <c r="BJ475" s="216"/>
      <c r="BK475" s="216"/>
      <c r="BL475" s="149"/>
      <c r="BM475" s="149"/>
      <c r="BN475" s="149"/>
      <c r="BO475" s="149"/>
      <c r="BP475" s="149"/>
      <c r="BQ475" s="149"/>
      <c r="BR475" s="117">
        <v>0</v>
      </c>
      <c r="BS475" s="117">
        <v>0</v>
      </c>
      <c r="BT475" s="117">
        <v>0</v>
      </c>
      <c r="BU475" s="117">
        <v>1</v>
      </c>
      <c r="BV475" s="117">
        <v>0</v>
      </c>
      <c r="BW475" s="117">
        <v>0</v>
      </c>
      <c r="BX475" s="117">
        <v>0</v>
      </c>
      <c r="BY475" s="117" t="s">
        <v>1790</v>
      </c>
      <c r="BZ475" s="158" t="s">
        <v>2160</v>
      </c>
      <c r="CA475" s="144">
        <v>4</v>
      </c>
      <c r="CB475" s="235">
        <v>46248</v>
      </c>
      <c r="CC475" s="155"/>
      <c r="CD475" s="117"/>
      <c r="CE475" s="217"/>
      <c r="CF475" s="166">
        <f t="shared" si="943"/>
        <v>-2</v>
      </c>
    </row>
    <row r="476" spans="1:84" ht="36" hidden="1">
      <c r="A476" s="117"/>
      <c r="B476" s="209" t="s">
        <v>1976</v>
      </c>
      <c r="C476" s="209" t="s">
        <v>2192</v>
      </c>
      <c r="D476" s="209" t="s">
        <v>1296</v>
      </c>
      <c r="E476" s="209" t="s">
        <v>1797</v>
      </c>
      <c r="F476" s="209" t="s">
        <v>1753</v>
      </c>
      <c r="G476" s="209" t="s">
        <v>1284</v>
      </c>
      <c r="H476" s="210">
        <v>100</v>
      </c>
      <c r="I476" s="211" t="s">
        <v>147</v>
      </c>
      <c r="J476" s="144">
        <v>1</v>
      </c>
      <c r="K476" s="145">
        <f t="shared" si="922"/>
        <v>2</v>
      </c>
      <c r="L476" s="202">
        <f t="shared" si="923"/>
        <v>2</v>
      </c>
      <c r="M476" s="212">
        <v>0.8</v>
      </c>
      <c r="N476" s="203">
        <f t="shared" si="924"/>
        <v>1.6</v>
      </c>
      <c r="O476" s="212" t="s">
        <v>137</v>
      </c>
      <c r="P476" s="212" t="s">
        <v>13</v>
      </c>
      <c r="Q476" s="212" t="s">
        <v>148</v>
      </c>
      <c r="R476" s="212"/>
      <c r="S476" s="212"/>
      <c r="T476" s="203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1</v>
      </c>
      <c r="U476" s="203">
        <f t="shared" ca="1" si="925"/>
        <v>1</v>
      </c>
      <c r="V476" s="203">
        <f t="shared" ca="1" si="926"/>
        <v>1</v>
      </c>
      <c r="W476" s="212"/>
      <c r="X476" s="212"/>
      <c r="Y476" s="212"/>
      <c r="Z476" s="212"/>
      <c r="AA476" s="212"/>
      <c r="AB476" s="212"/>
      <c r="AC476" s="214" t="s">
        <v>1923</v>
      </c>
      <c r="AD476" s="215" t="s">
        <v>1924</v>
      </c>
      <c r="AE476" s="148"/>
      <c r="AF476" s="212" t="str">
        <f t="shared" si="927"/>
        <v>N/A</v>
      </c>
      <c r="AG476" s="212">
        <f t="shared" si="927"/>
        <v>0</v>
      </c>
      <c r="AH476" s="203">
        <f t="shared" si="928"/>
        <v>0</v>
      </c>
      <c r="AI476" s="203">
        <f t="shared" ca="1" si="929"/>
        <v>0</v>
      </c>
      <c r="AJ476" s="203">
        <f t="shared" ca="1" si="930"/>
        <v>0</v>
      </c>
      <c r="AK476" s="212" t="str">
        <f t="shared" si="931"/>
        <v>AMC2-S2</v>
      </c>
      <c r="AL476" s="212">
        <f t="shared" si="931"/>
        <v>1</v>
      </c>
      <c r="AM476" s="203">
        <f t="shared" si="932"/>
        <v>1</v>
      </c>
      <c r="AN476" s="203">
        <f t="shared" ca="1" si="933"/>
        <v>1</v>
      </c>
      <c r="AO476" s="203">
        <f t="shared" ca="1" si="934"/>
        <v>0</v>
      </c>
      <c r="AP476" s="212" t="str">
        <f t="shared" si="935"/>
        <v>AMC2-S4</v>
      </c>
      <c r="AQ476" s="212">
        <f t="shared" si="935"/>
        <v>1</v>
      </c>
      <c r="AR476" s="203">
        <f t="shared" si="936"/>
        <v>1</v>
      </c>
      <c r="AS476" s="203">
        <f t="shared" ca="1" si="937"/>
        <v>0</v>
      </c>
      <c r="AT476" s="203">
        <f t="shared" ca="1" si="938"/>
        <v>1</v>
      </c>
      <c r="AU476" s="212" t="str">
        <f t="shared" si="939"/>
        <v>N/A</v>
      </c>
      <c r="AV476" s="212">
        <f t="shared" si="939"/>
        <v>0</v>
      </c>
      <c r="AW476" s="203">
        <f t="shared" si="940"/>
        <v>0</v>
      </c>
      <c r="AX476" s="203">
        <f t="shared" ca="1" si="941"/>
        <v>0</v>
      </c>
      <c r="AY476" s="203">
        <f t="shared" ca="1" si="942"/>
        <v>0</v>
      </c>
      <c r="AZ476" s="212"/>
      <c r="BA476" s="213" t="s">
        <v>1925</v>
      </c>
      <c r="BB476" s="213" t="s">
        <v>1926</v>
      </c>
      <c r="BC476" s="213" t="s">
        <v>1927</v>
      </c>
      <c r="BD476" s="213" t="s">
        <v>140</v>
      </c>
      <c r="BE476" s="148"/>
      <c r="BF476" s="212" t="s">
        <v>1789</v>
      </c>
      <c r="BG476" s="117"/>
      <c r="BH476" s="155"/>
      <c r="BI476" s="216"/>
      <c r="BJ476" s="216"/>
      <c r="BK476" s="216"/>
      <c r="BL476" s="149"/>
      <c r="BM476" s="149"/>
      <c r="BN476" s="149"/>
      <c r="BO476" s="149"/>
      <c r="BP476" s="149"/>
      <c r="BQ476" s="149"/>
      <c r="BR476" s="117">
        <v>0</v>
      </c>
      <c r="BS476" s="117">
        <v>0</v>
      </c>
      <c r="BT476" s="117">
        <v>0</v>
      </c>
      <c r="BU476" s="117">
        <v>0</v>
      </c>
      <c r="BV476" s="117">
        <v>0</v>
      </c>
      <c r="BW476" s="117">
        <v>0</v>
      </c>
      <c r="BX476" s="117">
        <v>0</v>
      </c>
      <c r="BY476" s="117" t="s">
        <v>1790</v>
      </c>
      <c r="BZ476" s="158" t="s">
        <v>2160</v>
      </c>
      <c r="CA476" s="144">
        <v>4</v>
      </c>
      <c r="CB476" s="235">
        <v>46248</v>
      </c>
      <c r="CC476" s="155"/>
      <c r="CD476" s="117"/>
      <c r="CE476" s="217"/>
      <c r="CF476" s="166">
        <f t="shared" si="943"/>
        <v>-2</v>
      </c>
    </row>
    <row r="477" spans="1:84" ht="36" hidden="1">
      <c r="A477" s="141"/>
      <c r="B477" s="199" t="s">
        <v>1976</v>
      </c>
      <c r="C477" s="199" t="s">
        <v>2192</v>
      </c>
      <c r="D477" s="199" t="s">
        <v>1296</v>
      </c>
      <c r="E477" s="199" t="s">
        <v>1798</v>
      </c>
      <c r="F477" s="199" t="s">
        <v>1754</v>
      </c>
      <c r="G477" s="199" t="s">
        <v>1739</v>
      </c>
      <c r="H477" s="200">
        <v>1616</v>
      </c>
      <c r="I477" s="201" t="s">
        <v>147</v>
      </c>
      <c r="J477" s="165">
        <v>5</v>
      </c>
      <c r="K477" s="202">
        <f t="shared" si="922"/>
        <v>2</v>
      </c>
      <c r="L477" s="202">
        <f t="shared" si="923"/>
        <v>10</v>
      </c>
      <c r="M477" s="203">
        <v>24.2</v>
      </c>
      <c r="N477" s="203">
        <f t="shared" si="924"/>
        <v>242</v>
      </c>
      <c r="O477" s="203" t="s">
        <v>137</v>
      </c>
      <c r="P477" s="203" t="s">
        <v>13</v>
      </c>
      <c r="Q477" s="203" t="s">
        <v>148</v>
      </c>
      <c r="R477" s="203"/>
      <c r="S477" s="203"/>
      <c r="T477" s="203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0</v>
      </c>
      <c r="U477" s="203">
        <f t="shared" ca="1" si="925"/>
        <v>10</v>
      </c>
      <c r="V477" s="203">
        <f t="shared" ca="1" si="926"/>
        <v>0</v>
      </c>
      <c r="W477" s="203"/>
      <c r="X477" s="203"/>
      <c r="Y477" s="203"/>
      <c r="Z477" s="203"/>
      <c r="AA477" s="203"/>
      <c r="AB477" s="203"/>
      <c r="AC477" s="205" t="s">
        <v>1923</v>
      </c>
      <c r="AD477" s="206" t="s">
        <v>1924</v>
      </c>
      <c r="AE477" s="166"/>
      <c r="AF477" s="203" t="str">
        <f t="shared" si="927"/>
        <v>N/A</v>
      </c>
      <c r="AG477" s="203">
        <f t="shared" si="927"/>
        <v>0</v>
      </c>
      <c r="AH477" s="203">
        <f t="shared" si="928"/>
        <v>0</v>
      </c>
      <c r="AI477" s="203">
        <f t="shared" ca="1" si="929"/>
        <v>0</v>
      </c>
      <c r="AJ477" s="203">
        <f t="shared" ca="1" si="930"/>
        <v>0</v>
      </c>
      <c r="AK477" s="203" t="str">
        <f t="shared" si="931"/>
        <v>AMC2-S2</v>
      </c>
      <c r="AL477" s="203">
        <f t="shared" si="931"/>
        <v>1</v>
      </c>
      <c r="AM477" s="203">
        <f t="shared" si="932"/>
        <v>5</v>
      </c>
      <c r="AN477" s="203">
        <f t="shared" ca="1" si="933"/>
        <v>0</v>
      </c>
      <c r="AO477" s="203">
        <f t="shared" ca="1" si="934"/>
        <v>5</v>
      </c>
      <c r="AP477" s="203" t="str">
        <f t="shared" si="935"/>
        <v>AMC2-S4</v>
      </c>
      <c r="AQ477" s="203">
        <f t="shared" si="935"/>
        <v>1</v>
      </c>
      <c r="AR477" s="203">
        <f t="shared" si="936"/>
        <v>5</v>
      </c>
      <c r="AS477" s="203">
        <f t="shared" ca="1" si="937"/>
        <v>0</v>
      </c>
      <c r="AT477" s="203">
        <f t="shared" ca="1" si="938"/>
        <v>5</v>
      </c>
      <c r="AU477" s="203" t="str">
        <f t="shared" si="939"/>
        <v>N/A</v>
      </c>
      <c r="AV477" s="203">
        <f t="shared" si="939"/>
        <v>0</v>
      </c>
      <c r="AW477" s="203">
        <f t="shared" si="940"/>
        <v>0</v>
      </c>
      <c r="AX477" s="203">
        <f t="shared" ca="1" si="941"/>
        <v>0</v>
      </c>
      <c r="AY477" s="203">
        <f t="shared" ca="1" si="942"/>
        <v>0</v>
      </c>
      <c r="AZ477" s="203"/>
      <c r="BA477" s="204" t="s">
        <v>1925</v>
      </c>
      <c r="BB477" s="204" t="s">
        <v>1926</v>
      </c>
      <c r="BC477" s="204" t="s">
        <v>1927</v>
      </c>
      <c r="BD477" s="204" t="s">
        <v>140</v>
      </c>
      <c r="BE477" s="166"/>
      <c r="BF477" s="203" t="s">
        <v>1789</v>
      </c>
      <c r="BG477" s="141"/>
      <c r="BH477" s="152"/>
      <c r="BI477" s="207"/>
      <c r="BJ477" s="207"/>
      <c r="BK477" s="207"/>
      <c r="BL477" s="153" t="s">
        <v>1932</v>
      </c>
      <c r="BM477" s="153"/>
      <c r="BN477" s="153"/>
      <c r="BO477" s="153"/>
      <c r="BP477" s="153"/>
      <c r="BQ477" s="153"/>
      <c r="BR477" s="141">
        <v>0</v>
      </c>
      <c r="BS477" s="141">
        <v>0</v>
      </c>
      <c r="BT477" s="141">
        <v>0</v>
      </c>
      <c r="BU477" s="141">
        <v>0</v>
      </c>
      <c r="BV477" s="141">
        <v>0</v>
      </c>
      <c r="BW477" s="141">
        <v>0</v>
      </c>
      <c r="BX477" s="141">
        <v>0</v>
      </c>
      <c r="BY477" s="141" t="s">
        <v>1790</v>
      </c>
      <c r="BZ477" s="167" t="s">
        <v>57</v>
      </c>
      <c r="CA477" s="167">
        <v>20</v>
      </c>
      <c r="CB477" s="235"/>
      <c r="CC477" s="152"/>
      <c r="CD477" s="152"/>
      <c r="CE477" s="208"/>
      <c r="CF477" s="166">
        <f t="shared" si="943"/>
        <v>-10</v>
      </c>
    </row>
    <row r="478" spans="1:84" ht="36" hidden="1">
      <c r="A478" s="117"/>
      <c r="B478" s="209" t="s">
        <v>1976</v>
      </c>
      <c r="C478" s="209" t="s">
        <v>2192</v>
      </c>
      <c r="D478" s="209" t="s">
        <v>1296</v>
      </c>
      <c r="E478" s="209" t="s">
        <v>1799</v>
      </c>
      <c r="F478" s="209" t="s">
        <v>1742</v>
      </c>
      <c r="G478" s="209" t="s">
        <v>1720</v>
      </c>
      <c r="H478" s="210">
        <v>609</v>
      </c>
      <c r="I478" s="211" t="s">
        <v>147</v>
      </c>
      <c r="J478" s="144">
        <v>2</v>
      </c>
      <c r="K478" s="145">
        <f t="shared" si="922"/>
        <v>2</v>
      </c>
      <c r="L478" s="202">
        <f t="shared" si="923"/>
        <v>4</v>
      </c>
      <c r="M478" s="212">
        <v>16.8</v>
      </c>
      <c r="N478" s="203">
        <f t="shared" si="924"/>
        <v>67.2</v>
      </c>
      <c r="O478" s="212" t="s">
        <v>137</v>
      </c>
      <c r="P478" s="212" t="s">
        <v>13</v>
      </c>
      <c r="Q478" s="212" t="s">
        <v>148</v>
      </c>
      <c r="R478" s="212"/>
      <c r="S478" s="212"/>
      <c r="T478" s="203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2</v>
      </c>
      <c r="U478" s="203">
        <f t="shared" ca="1" si="925"/>
        <v>2</v>
      </c>
      <c r="V478" s="203">
        <f t="shared" ca="1" si="926"/>
        <v>1</v>
      </c>
      <c r="W478" s="212"/>
      <c r="X478" s="212"/>
      <c r="Y478" s="212"/>
      <c r="Z478" s="212"/>
      <c r="AA478" s="212"/>
      <c r="AB478" s="212"/>
      <c r="AC478" s="214" t="s">
        <v>1923</v>
      </c>
      <c r="AD478" s="215" t="s">
        <v>1924</v>
      </c>
      <c r="AE478" s="148"/>
      <c r="AF478" s="212" t="str">
        <f t="shared" si="927"/>
        <v>N/A</v>
      </c>
      <c r="AG478" s="212">
        <f t="shared" si="927"/>
        <v>0</v>
      </c>
      <c r="AH478" s="203">
        <f t="shared" si="928"/>
        <v>0</v>
      </c>
      <c r="AI478" s="203">
        <f t="shared" ca="1" si="929"/>
        <v>0</v>
      </c>
      <c r="AJ478" s="203">
        <f t="shared" ca="1" si="930"/>
        <v>0</v>
      </c>
      <c r="AK478" s="212" t="str">
        <f t="shared" si="931"/>
        <v>AMC2-S2</v>
      </c>
      <c r="AL478" s="212">
        <f t="shared" si="931"/>
        <v>1</v>
      </c>
      <c r="AM478" s="203">
        <f t="shared" si="932"/>
        <v>2</v>
      </c>
      <c r="AN478" s="203">
        <f t="shared" ca="1" si="933"/>
        <v>1</v>
      </c>
      <c r="AO478" s="203">
        <f t="shared" ca="1" si="934"/>
        <v>1</v>
      </c>
      <c r="AP478" s="212" t="str">
        <f t="shared" si="935"/>
        <v>AMC2-S4</v>
      </c>
      <c r="AQ478" s="212">
        <f t="shared" si="935"/>
        <v>1</v>
      </c>
      <c r="AR478" s="203">
        <f t="shared" si="936"/>
        <v>2</v>
      </c>
      <c r="AS478" s="203">
        <f t="shared" ca="1" si="937"/>
        <v>1</v>
      </c>
      <c r="AT478" s="203">
        <f t="shared" ca="1" si="938"/>
        <v>1</v>
      </c>
      <c r="AU478" s="212" t="str">
        <f t="shared" si="939"/>
        <v>N/A</v>
      </c>
      <c r="AV478" s="212">
        <f t="shared" si="939"/>
        <v>0</v>
      </c>
      <c r="AW478" s="203">
        <f t="shared" si="940"/>
        <v>0</v>
      </c>
      <c r="AX478" s="203">
        <f t="shared" ca="1" si="941"/>
        <v>0</v>
      </c>
      <c r="AY478" s="203">
        <f t="shared" ca="1" si="942"/>
        <v>0</v>
      </c>
      <c r="AZ478" s="212"/>
      <c r="BA478" s="213" t="s">
        <v>1925</v>
      </c>
      <c r="BB478" s="213" t="s">
        <v>1926</v>
      </c>
      <c r="BC478" s="213" t="s">
        <v>1927</v>
      </c>
      <c r="BD478" s="213" t="s">
        <v>140</v>
      </c>
      <c r="BE478" s="148"/>
      <c r="BF478" s="212" t="s">
        <v>1789</v>
      </c>
      <c r="BG478" s="117"/>
      <c r="BH478" s="155"/>
      <c r="BI478" s="216"/>
      <c r="BJ478" s="216"/>
      <c r="BK478" s="216"/>
      <c r="BL478" s="149"/>
      <c r="BM478" s="149"/>
      <c r="BN478" s="149"/>
      <c r="BO478" s="149"/>
      <c r="BP478" s="149"/>
      <c r="BQ478" s="149"/>
      <c r="BR478" s="117">
        <v>1</v>
      </c>
      <c r="BS478" s="117">
        <v>0</v>
      </c>
      <c r="BT478" s="117">
        <v>0</v>
      </c>
      <c r="BU478" s="117">
        <v>0</v>
      </c>
      <c r="BV478" s="117">
        <v>0</v>
      </c>
      <c r="BW478" s="117">
        <v>0</v>
      </c>
      <c r="BX478" s="117">
        <v>0</v>
      </c>
      <c r="BY478" s="117" t="s">
        <v>1790</v>
      </c>
      <c r="BZ478" s="158" t="s">
        <v>2155</v>
      </c>
      <c r="CA478" s="144">
        <v>8</v>
      </c>
      <c r="CB478" s="235">
        <v>46231</v>
      </c>
      <c r="CC478" s="155"/>
      <c r="CD478" s="141"/>
      <c r="CE478" s="217"/>
      <c r="CF478" s="166">
        <f t="shared" si="943"/>
        <v>-4</v>
      </c>
    </row>
    <row r="479" spans="1:84" ht="36" hidden="1">
      <c r="A479" s="117"/>
      <c r="B479" s="209" t="s">
        <v>1976</v>
      </c>
      <c r="C479" s="209" t="s">
        <v>2192</v>
      </c>
      <c r="D479" s="209" t="s">
        <v>1296</v>
      </c>
      <c r="E479" s="209" t="s">
        <v>1800</v>
      </c>
      <c r="F479" s="209" t="s">
        <v>1743</v>
      </c>
      <c r="G479" s="209" t="s">
        <v>1703</v>
      </c>
      <c r="H479" s="210">
        <v>182</v>
      </c>
      <c r="I479" s="211" t="s">
        <v>147</v>
      </c>
      <c r="J479" s="144">
        <v>10</v>
      </c>
      <c r="K479" s="145">
        <f t="shared" si="922"/>
        <v>2</v>
      </c>
      <c r="L479" s="202">
        <f t="shared" si="923"/>
        <v>20</v>
      </c>
      <c r="M479" s="212">
        <v>1.4</v>
      </c>
      <c r="N479" s="203">
        <f t="shared" si="924"/>
        <v>28</v>
      </c>
      <c r="O479" s="212" t="s">
        <v>137</v>
      </c>
      <c r="P479" s="212" t="s">
        <v>13</v>
      </c>
      <c r="Q479" s="212" t="s">
        <v>148</v>
      </c>
      <c r="R479" s="212"/>
      <c r="S479" s="212"/>
      <c r="T479" s="203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10</v>
      </c>
      <c r="U479" s="203">
        <f t="shared" ca="1" si="925"/>
        <v>10</v>
      </c>
      <c r="V479" s="203">
        <f t="shared" ca="1" si="926"/>
        <v>1</v>
      </c>
      <c r="W479" s="212"/>
      <c r="X479" s="212"/>
      <c r="Y479" s="212"/>
      <c r="Z479" s="212"/>
      <c r="AA479" s="212"/>
      <c r="AB479" s="212"/>
      <c r="AC479" s="214" t="s">
        <v>1923</v>
      </c>
      <c r="AD479" s="215" t="s">
        <v>1924</v>
      </c>
      <c r="AE479" s="148"/>
      <c r="AF479" s="212" t="str">
        <f t="shared" si="927"/>
        <v>N/A</v>
      </c>
      <c r="AG479" s="212">
        <f t="shared" si="927"/>
        <v>0</v>
      </c>
      <c r="AH479" s="203">
        <f t="shared" si="928"/>
        <v>0</v>
      </c>
      <c r="AI479" s="203">
        <f t="shared" ca="1" si="929"/>
        <v>0</v>
      </c>
      <c r="AJ479" s="203">
        <f t="shared" ca="1" si="930"/>
        <v>0</v>
      </c>
      <c r="AK479" s="212" t="str">
        <f t="shared" si="931"/>
        <v>AMC2-S2</v>
      </c>
      <c r="AL479" s="212">
        <f t="shared" si="931"/>
        <v>1</v>
      </c>
      <c r="AM479" s="203">
        <f t="shared" si="932"/>
        <v>10</v>
      </c>
      <c r="AN479" s="203">
        <f t="shared" ca="1" si="933"/>
        <v>1</v>
      </c>
      <c r="AO479" s="203">
        <f t="shared" ca="1" si="934"/>
        <v>9</v>
      </c>
      <c r="AP479" s="212" t="str">
        <f t="shared" si="935"/>
        <v>AMC2-S4</v>
      </c>
      <c r="AQ479" s="212">
        <f t="shared" si="935"/>
        <v>1</v>
      </c>
      <c r="AR479" s="203">
        <f t="shared" si="936"/>
        <v>10</v>
      </c>
      <c r="AS479" s="203">
        <f t="shared" ca="1" si="937"/>
        <v>9</v>
      </c>
      <c r="AT479" s="203">
        <f t="shared" ca="1" si="938"/>
        <v>1</v>
      </c>
      <c r="AU479" s="212" t="str">
        <f t="shared" si="939"/>
        <v>N/A</v>
      </c>
      <c r="AV479" s="212">
        <f t="shared" si="939"/>
        <v>0</v>
      </c>
      <c r="AW479" s="203">
        <f t="shared" si="940"/>
        <v>0</v>
      </c>
      <c r="AX479" s="203">
        <f t="shared" ca="1" si="941"/>
        <v>0</v>
      </c>
      <c r="AY479" s="203">
        <f t="shared" ca="1" si="942"/>
        <v>0</v>
      </c>
      <c r="AZ479" s="212"/>
      <c r="BA479" s="213" t="s">
        <v>1925</v>
      </c>
      <c r="BB479" s="213" t="s">
        <v>1926</v>
      </c>
      <c r="BC479" s="213" t="s">
        <v>1927</v>
      </c>
      <c r="BD479" s="213" t="s">
        <v>140</v>
      </c>
      <c r="BE479" s="148"/>
      <c r="BF479" s="212" t="s">
        <v>1789</v>
      </c>
      <c r="BG479" s="117"/>
      <c r="BH479" s="155"/>
      <c r="BI479" s="216"/>
      <c r="BJ479" s="216"/>
      <c r="BK479" s="216"/>
      <c r="BL479" s="149"/>
      <c r="BM479" s="149"/>
      <c r="BN479" s="149"/>
      <c r="BO479" s="149"/>
      <c r="BP479" s="149"/>
      <c r="BQ479" s="149"/>
      <c r="BR479" s="117">
        <v>0</v>
      </c>
      <c r="BS479" s="117">
        <v>0</v>
      </c>
      <c r="BT479" s="117">
        <v>0</v>
      </c>
      <c r="BU479" s="117">
        <v>0</v>
      </c>
      <c r="BV479" s="117">
        <v>0</v>
      </c>
      <c r="BW479" s="117">
        <v>0</v>
      </c>
      <c r="BX479" s="117">
        <v>0</v>
      </c>
      <c r="BY479" s="117" t="s">
        <v>1790</v>
      </c>
      <c r="BZ479" s="158" t="s">
        <v>2160</v>
      </c>
      <c r="CA479" s="144">
        <v>40</v>
      </c>
      <c r="CB479" s="235">
        <v>46248</v>
      </c>
      <c r="CC479" s="155"/>
      <c r="CD479" s="117"/>
      <c r="CE479" s="217"/>
      <c r="CF479" s="166">
        <f t="shared" si="943"/>
        <v>-20</v>
      </c>
    </row>
    <row r="480" spans="1:84" ht="36" hidden="1">
      <c r="A480" s="117"/>
      <c r="B480" s="209" t="s">
        <v>1976</v>
      </c>
      <c r="C480" s="209" t="s">
        <v>2192</v>
      </c>
      <c r="D480" s="209" t="s">
        <v>1076</v>
      </c>
      <c r="E480" s="209" t="s">
        <v>1802</v>
      </c>
      <c r="F480" s="209" t="s">
        <v>1740</v>
      </c>
      <c r="G480" s="209" t="s">
        <v>1075</v>
      </c>
      <c r="H480" s="210">
        <v>812</v>
      </c>
      <c r="I480" s="211" t="s">
        <v>1077</v>
      </c>
      <c r="J480" s="144">
        <v>5</v>
      </c>
      <c r="K480" s="145">
        <f t="shared" si="922"/>
        <v>2</v>
      </c>
      <c r="L480" s="202">
        <f t="shared" si="923"/>
        <v>10</v>
      </c>
      <c r="M480" s="212">
        <v>13.05696</v>
      </c>
      <c r="N480" s="203">
        <f t="shared" si="924"/>
        <v>130.56960000000001</v>
      </c>
      <c r="O480" s="212" t="s">
        <v>137</v>
      </c>
      <c r="P480" s="212" t="s">
        <v>11</v>
      </c>
      <c r="Q480" s="212" t="s">
        <v>148</v>
      </c>
      <c r="R480" s="212"/>
      <c r="S480" s="212"/>
      <c r="T480" s="203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5</v>
      </c>
      <c r="U480" s="203">
        <f t="shared" ca="1" si="925"/>
        <v>5</v>
      </c>
      <c r="V480" s="203">
        <f t="shared" ca="1" si="926"/>
        <v>1</v>
      </c>
      <c r="W480" s="212"/>
      <c r="X480" s="212"/>
      <c r="Y480" s="212"/>
      <c r="Z480" s="212"/>
      <c r="AA480" s="212"/>
      <c r="AB480" s="212"/>
      <c r="AC480" s="214" t="s">
        <v>1923</v>
      </c>
      <c r="AD480" s="215" t="s">
        <v>1924</v>
      </c>
      <c r="AE480" s="148"/>
      <c r="AF480" s="212" t="str">
        <f t="shared" si="927"/>
        <v>N/A</v>
      </c>
      <c r="AG480" s="212">
        <f t="shared" si="927"/>
        <v>0</v>
      </c>
      <c r="AH480" s="203">
        <f t="shared" si="928"/>
        <v>0</v>
      </c>
      <c r="AI480" s="203">
        <f t="shared" ca="1" si="929"/>
        <v>0</v>
      </c>
      <c r="AJ480" s="203">
        <f t="shared" ca="1" si="930"/>
        <v>0</v>
      </c>
      <c r="AK480" s="212" t="str">
        <f t="shared" si="931"/>
        <v>AMC2-S2</v>
      </c>
      <c r="AL480" s="212">
        <f t="shared" si="931"/>
        <v>1</v>
      </c>
      <c r="AM480" s="203">
        <f t="shared" si="932"/>
        <v>5</v>
      </c>
      <c r="AN480" s="203">
        <f t="shared" ca="1" si="933"/>
        <v>1</v>
      </c>
      <c r="AO480" s="203">
        <f t="shared" ca="1" si="934"/>
        <v>4</v>
      </c>
      <c r="AP480" s="212" t="str">
        <f t="shared" si="935"/>
        <v>AMC2-S4</v>
      </c>
      <c r="AQ480" s="212">
        <f t="shared" si="935"/>
        <v>1</v>
      </c>
      <c r="AR480" s="203">
        <f t="shared" si="936"/>
        <v>5</v>
      </c>
      <c r="AS480" s="203">
        <f t="shared" ca="1" si="937"/>
        <v>4</v>
      </c>
      <c r="AT480" s="203">
        <f t="shared" ca="1" si="938"/>
        <v>1</v>
      </c>
      <c r="AU480" s="212" t="str">
        <f t="shared" si="939"/>
        <v>N/A</v>
      </c>
      <c r="AV480" s="212">
        <f t="shared" si="939"/>
        <v>0</v>
      </c>
      <c r="AW480" s="203">
        <f t="shared" si="940"/>
        <v>0</v>
      </c>
      <c r="AX480" s="203">
        <f t="shared" ca="1" si="941"/>
        <v>0</v>
      </c>
      <c r="AY480" s="203">
        <f t="shared" ca="1" si="942"/>
        <v>0</v>
      </c>
      <c r="AZ480" s="212"/>
      <c r="BA480" s="213" t="s">
        <v>1925</v>
      </c>
      <c r="BB480" s="213" t="s">
        <v>1926</v>
      </c>
      <c r="BC480" s="213" t="s">
        <v>1927</v>
      </c>
      <c r="BD480" s="213" t="s">
        <v>140</v>
      </c>
      <c r="BE480" s="148"/>
      <c r="BF480" s="212" t="s">
        <v>1789</v>
      </c>
      <c r="BG480" s="117"/>
      <c r="BH480" s="155"/>
      <c r="BI480" s="216"/>
      <c r="BJ480" s="216"/>
      <c r="BK480" s="216"/>
      <c r="BL480" s="149"/>
      <c r="BM480" s="149"/>
      <c r="BN480" s="149"/>
      <c r="BO480" s="149"/>
      <c r="BP480" s="149"/>
      <c r="BQ480" s="149"/>
      <c r="BR480" s="117">
        <v>0</v>
      </c>
      <c r="BS480" s="117">
        <v>0</v>
      </c>
      <c r="BT480" s="117">
        <v>0</v>
      </c>
      <c r="BU480" s="117">
        <v>1</v>
      </c>
      <c r="BV480" s="117">
        <v>0</v>
      </c>
      <c r="BW480" s="117">
        <v>0</v>
      </c>
      <c r="BX480" s="117">
        <v>0</v>
      </c>
      <c r="BY480" s="117" t="s">
        <v>1790</v>
      </c>
      <c r="BZ480" s="158" t="s">
        <v>2161</v>
      </c>
      <c r="CA480" s="213">
        <v>20</v>
      </c>
      <c r="CB480" s="235">
        <v>46231</v>
      </c>
      <c r="CC480" s="155"/>
      <c r="CD480" s="155"/>
      <c r="CE480" s="217"/>
      <c r="CF480" s="166">
        <f t="shared" si="943"/>
        <v>-10</v>
      </c>
    </row>
    <row r="481" spans="1:84" ht="36" hidden="1">
      <c r="A481" s="117"/>
      <c r="B481" s="209" t="s">
        <v>1976</v>
      </c>
      <c r="C481" s="209" t="s">
        <v>2192</v>
      </c>
      <c r="D481" s="209" t="s">
        <v>1296</v>
      </c>
      <c r="E481" s="209" t="s">
        <v>1801</v>
      </c>
      <c r="F481" s="209" t="s">
        <v>1744</v>
      </c>
      <c r="G481" s="209" t="s">
        <v>1125</v>
      </c>
      <c r="H481" s="210">
        <v>200</v>
      </c>
      <c r="I481" s="211" t="s">
        <v>147</v>
      </c>
      <c r="J481" s="144">
        <v>2</v>
      </c>
      <c r="K481" s="145">
        <f t="shared" si="922"/>
        <v>2</v>
      </c>
      <c r="L481" s="202">
        <f t="shared" si="923"/>
        <v>4</v>
      </c>
      <c r="M481" s="212">
        <v>5.5</v>
      </c>
      <c r="N481" s="203">
        <f t="shared" si="924"/>
        <v>22</v>
      </c>
      <c r="O481" s="212" t="s">
        <v>137</v>
      </c>
      <c r="P481" s="212" t="s">
        <v>13</v>
      </c>
      <c r="Q481" s="212" t="s">
        <v>148</v>
      </c>
      <c r="R481" s="212"/>
      <c r="S481" s="212"/>
      <c r="T481" s="203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2</v>
      </c>
      <c r="U481" s="203">
        <f t="shared" ca="1" si="925"/>
        <v>2</v>
      </c>
      <c r="V481" s="203">
        <f t="shared" ca="1" si="926"/>
        <v>1</v>
      </c>
      <c r="W481" s="212"/>
      <c r="X481" s="212"/>
      <c r="Y481" s="212"/>
      <c r="Z481" s="212"/>
      <c r="AA481" s="212"/>
      <c r="AB481" s="212"/>
      <c r="AC481" s="214" t="s">
        <v>1923</v>
      </c>
      <c r="AD481" s="215" t="s">
        <v>1924</v>
      </c>
      <c r="AE481" s="148"/>
      <c r="AF481" s="212" t="str">
        <f t="shared" si="927"/>
        <v>N/A</v>
      </c>
      <c r="AG481" s="212">
        <f t="shared" si="927"/>
        <v>0</v>
      </c>
      <c r="AH481" s="203">
        <f t="shared" si="928"/>
        <v>0</v>
      </c>
      <c r="AI481" s="203">
        <f t="shared" ca="1" si="929"/>
        <v>0</v>
      </c>
      <c r="AJ481" s="203">
        <f t="shared" ca="1" si="930"/>
        <v>0</v>
      </c>
      <c r="AK481" s="212" t="str">
        <f t="shared" si="931"/>
        <v>AMC2-S2</v>
      </c>
      <c r="AL481" s="212">
        <f t="shared" si="931"/>
        <v>1</v>
      </c>
      <c r="AM481" s="203">
        <f t="shared" si="932"/>
        <v>2</v>
      </c>
      <c r="AN481" s="203">
        <f t="shared" ca="1" si="933"/>
        <v>1</v>
      </c>
      <c r="AO481" s="203">
        <f t="shared" ca="1" si="934"/>
        <v>1</v>
      </c>
      <c r="AP481" s="212" t="str">
        <f t="shared" si="935"/>
        <v>AMC2-S4</v>
      </c>
      <c r="AQ481" s="212">
        <f t="shared" si="935"/>
        <v>1</v>
      </c>
      <c r="AR481" s="203">
        <f t="shared" si="936"/>
        <v>2</v>
      </c>
      <c r="AS481" s="203">
        <f t="shared" ca="1" si="937"/>
        <v>1</v>
      </c>
      <c r="AT481" s="203">
        <f t="shared" ca="1" si="938"/>
        <v>1</v>
      </c>
      <c r="AU481" s="212" t="str">
        <f t="shared" si="939"/>
        <v>N/A</v>
      </c>
      <c r="AV481" s="212">
        <f t="shared" si="939"/>
        <v>0</v>
      </c>
      <c r="AW481" s="203">
        <f t="shared" si="940"/>
        <v>0</v>
      </c>
      <c r="AX481" s="203">
        <f t="shared" ca="1" si="941"/>
        <v>0</v>
      </c>
      <c r="AY481" s="203">
        <f t="shared" ca="1" si="942"/>
        <v>0</v>
      </c>
      <c r="AZ481" s="212"/>
      <c r="BA481" s="213" t="s">
        <v>1925</v>
      </c>
      <c r="BB481" s="213" t="s">
        <v>1926</v>
      </c>
      <c r="BC481" s="213" t="s">
        <v>1927</v>
      </c>
      <c r="BD481" s="213" t="s">
        <v>140</v>
      </c>
      <c r="BE481" s="148"/>
      <c r="BF481" s="212" t="s">
        <v>1789</v>
      </c>
      <c r="BG481" s="117"/>
      <c r="BH481" s="155"/>
      <c r="BI481" s="216"/>
      <c r="BJ481" s="216"/>
      <c r="BK481" s="216"/>
      <c r="BL481" s="149"/>
      <c r="BM481" s="149"/>
      <c r="BN481" s="149"/>
      <c r="BO481" s="149"/>
      <c r="BP481" s="149"/>
      <c r="BQ481" s="149"/>
      <c r="BR481" s="117">
        <v>1</v>
      </c>
      <c r="BS481" s="117">
        <v>0</v>
      </c>
      <c r="BT481" s="117">
        <v>0</v>
      </c>
      <c r="BU481" s="117">
        <v>0</v>
      </c>
      <c r="BV481" s="117">
        <v>0</v>
      </c>
      <c r="BW481" s="117">
        <v>0</v>
      </c>
      <c r="BX481" s="117">
        <v>0</v>
      </c>
      <c r="BY481" s="117" t="s">
        <v>1790</v>
      </c>
      <c r="BZ481" s="158" t="s">
        <v>2155</v>
      </c>
      <c r="CA481" s="144">
        <v>8</v>
      </c>
      <c r="CB481" s="235">
        <v>46231</v>
      </c>
      <c r="CC481" s="155"/>
      <c r="CD481" s="141"/>
      <c r="CE481" s="217"/>
      <c r="CF481" s="166">
        <f t="shared" si="943"/>
        <v>-4</v>
      </c>
    </row>
    <row r="482" spans="1:84" ht="36" hidden="1">
      <c r="A482" s="117"/>
      <c r="B482" s="209" t="s">
        <v>1976</v>
      </c>
      <c r="C482" s="209" t="s">
        <v>2192</v>
      </c>
      <c r="D482" s="209" t="s">
        <v>1296</v>
      </c>
      <c r="E482" s="209" t="s">
        <v>1815</v>
      </c>
      <c r="F482" s="209" t="s">
        <v>1745</v>
      </c>
      <c r="G482" s="209" t="s">
        <v>1123</v>
      </c>
      <c r="H482" s="210">
        <v>320</v>
      </c>
      <c r="I482" s="211" t="s">
        <v>147</v>
      </c>
      <c r="J482" s="144">
        <v>2</v>
      </c>
      <c r="K482" s="145">
        <f t="shared" si="922"/>
        <v>2</v>
      </c>
      <c r="L482" s="202">
        <f t="shared" si="923"/>
        <v>4</v>
      </c>
      <c r="M482" s="212">
        <v>7.6</v>
      </c>
      <c r="N482" s="203">
        <f t="shared" si="924"/>
        <v>30.4</v>
      </c>
      <c r="O482" s="212" t="s">
        <v>137</v>
      </c>
      <c r="P482" s="212" t="s">
        <v>13</v>
      </c>
      <c r="Q482" s="212" t="s">
        <v>148</v>
      </c>
      <c r="R482" s="212"/>
      <c r="S482" s="212"/>
      <c r="T482" s="203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2</v>
      </c>
      <c r="U482" s="203">
        <f t="shared" ca="1" si="925"/>
        <v>2</v>
      </c>
      <c r="V482" s="203">
        <f t="shared" ca="1" si="926"/>
        <v>1</v>
      </c>
      <c r="W482" s="212"/>
      <c r="X482" s="212"/>
      <c r="Y482" s="212"/>
      <c r="Z482" s="212"/>
      <c r="AA482" s="212"/>
      <c r="AB482" s="212"/>
      <c r="AC482" s="214" t="s">
        <v>1923</v>
      </c>
      <c r="AD482" s="215" t="s">
        <v>1924</v>
      </c>
      <c r="AE482" s="148"/>
      <c r="AF482" s="212" t="str">
        <f t="shared" si="927"/>
        <v>N/A</v>
      </c>
      <c r="AG482" s="212">
        <f t="shared" si="927"/>
        <v>0</v>
      </c>
      <c r="AH482" s="203">
        <f t="shared" si="928"/>
        <v>0</v>
      </c>
      <c r="AI482" s="203">
        <f t="shared" ca="1" si="929"/>
        <v>0</v>
      </c>
      <c r="AJ482" s="203">
        <f t="shared" ca="1" si="930"/>
        <v>0</v>
      </c>
      <c r="AK482" s="212" t="str">
        <f t="shared" si="931"/>
        <v>AMC2-S2</v>
      </c>
      <c r="AL482" s="212">
        <f t="shared" si="931"/>
        <v>1</v>
      </c>
      <c r="AM482" s="203">
        <f t="shared" si="932"/>
        <v>2</v>
      </c>
      <c r="AN482" s="203">
        <f t="shared" ca="1" si="933"/>
        <v>1</v>
      </c>
      <c r="AO482" s="203">
        <f t="shared" ca="1" si="934"/>
        <v>1</v>
      </c>
      <c r="AP482" s="212" t="str">
        <f t="shared" si="935"/>
        <v>AMC2-S4</v>
      </c>
      <c r="AQ482" s="212">
        <f t="shared" si="935"/>
        <v>1</v>
      </c>
      <c r="AR482" s="203">
        <f t="shared" si="936"/>
        <v>2</v>
      </c>
      <c r="AS482" s="203">
        <f t="shared" ca="1" si="937"/>
        <v>1</v>
      </c>
      <c r="AT482" s="203">
        <f t="shared" ca="1" si="938"/>
        <v>1</v>
      </c>
      <c r="AU482" s="212" t="str">
        <f t="shared" si="939"/>
        <v>N/A</v>
      </c>
      <c r="AV482" s="212">
        <f t="shared" si="939"/>
        <v>0</v>
      </c>
      <c r="AW482" s="203">
        <f t="shared" si="940"/>
        <v>0</v>
      </c>
      <c r="AX482" s="203">
        <f t="shared" ca="1" si="941"/>
        <v>0</v>
      </c>
      <c r="AY482" s="203">
        <f t="shared" ca="1" si="942"/>
        <v>0</v>
      </c>
      <c r="AZ482" s="212"/>
      <c r="BA482" s="213" t="s">
        <v>1925</v>
      </c>
      <c r="BB482" s="213" t="s">
        <v>1926</v>
      </c>
      <c r="BC482" s="213" t="s">
        <v>1927</v>
      </c>
      <c r="BD482" s="213" t="s">
        <v>140</v>
      </c>
      <c r="BE482" s="148"/>
      <c r="BF482" s="212" t="s">
        <v>1789</v>
      </c>
      <c r="BG482" s="117"/>
      <c r="BH482" s="155"/>
      <c r="BI482" s="216"/>
      <c r="BJ482" s="216"/>
      <c r="BK482" s="216"/>
      <c r="BL482" s="149"/>
      <c r="BM482" s="149"/>
      <c r="BN482" s="149"/>
      <c r="BO482" s="149"/>
      <c r="BP482" s="149"/>
      <c r="BQ482" s="149"/>
      <c r="BR482" s="117">
        <v>1</v>
      </c>
      <c r="BS482" s="117">
        <v>0</v>
      </c>
      <c r="BT482" s="117">
        <v>0</v>
      </c>
      <c r="BU482" s="117">
        <v>0</v>
      </c>
      <c r="BV482" s="117">
        <v>0</v>
      </c>
      <c r="BW482" s="117">
        <v>0</v>
      </c>
      <c r="BX482" s="117">
        <v>0</v>
      </c>
      <c r="BY482" s="117" t="s">
        <v>1790</v>
      </c>
      <c r="BZ482" s="158" t="s">
        <v>2157</v>
      </c>
      <c r="CA482" s="144">
        <v>8</v>
      </c>
      <c r="CB482" s="234">
        <v>46242</v>
      </c>
      <c r="CC482" s="155"/>
      <c r="CD482" s="117"/>
      <c r="CE482" s="217"/>
      <c r="CF482" s="166">
        <f t="shared" si="943"/>
        <v>-4</v>
      </c>
    </row>
    <row r="483" spans="1:84" ht="36" hidden="1">
      <c r="A483" s="162">
        <v>145</v>
      </c>
      <c r="B483" s="177" t="s">
        <v>1846</v>
      </c>
      <c r="C483" s="177" t="s">
        <v>2125</v>
      </c>
      <c r="D483" s="177" t="s">
        <v>1847</v>
      </c>
      <c r="E483" s="177"/>
      <c r="F483" s="177"/>
      <c r="G483" s="177" t="s">
        <v>1848</v>
      </c>
      <c r="H483" s="178"/>
      <c r="I483" s="179"/>
      <c r="J483" s="160"/>
      <c r="K483" s="180">
        <f>+AG483+AL483+AQ483+AV483</f>
        <v>8</v>
      </c>
      <c r="L483" s="160"/>
      <c r="M483" s="181">
        <v>4.9000000000000004</v>
      </c>
      <c r="N483" s="181">
        <v>78.400000000000006</v>
      </c>
      <c r="O483" s="181" t="s">
        <v>137</v>
      </c>
      <c r="P483" s="181"/>
      <c r="Q483" s="181"/>
      <c r="R483" s="181"/>
      <c r="S483" s="181"/>
      <c r="T483" s="181"/>
      <c r="U483" s="181"/>
      <c r="V483" s="181"/>
      <c r="W483" s="181">
        <f ca="1">_xlfn.MINIFS(V:V,C:C,C483,AE:AE,"",AB:AB,"")</f>
        <v>0</v>
      </c>
      <c r="X483" s="181">
        <f ca="1">SUMIFS(T:T,C:C,C483,AE:AE,"")/SUMIFS(L:L,C:C,C483,AE:AE,"",AB:AB,"")</f>
        <v>0.31818181818181818</v>
      </c>
      <c r="Y483" s="181"/>
      <c r="Z483" s="181"/>
      <c r="AA483" s="181"/>
      <c r="AB483" s="181"/>
      <c r="AC483" s="228" t="s">
        <v>1980</v>
      </c>
      <c r="AD483" s="184" t="s">
        <v>1924</v>
      </c>
      <c r="AE483" s="162" t="s">
        <v>143</v>
      </c>
      <c r="AF483" s="181" t="s">
        <v>138</v>
      </c>
      <c r="AG483" s="181">
        <v>0</v>
      </c>
      <c r="AH483" s="181"/>
      <c r="AI483" s="181"/>
      <c r="AJ483" s="181"/>
      <c r="AK483" s="181" t="s">
        <v>1783</v>
      </c>
      <c r="AL483" s="181">
        <v>4</v>
      </c>
      <c r="AM483" s="181"/>
      <c r="AN483" s="181"/>
      <c r="AO483" s="181"/>
      <c r="AP483" s="181" t="s">
        <v>1922</v>
      </c>
      <c r="AQ483" s="181">
        <v>4</v>
      </c>
      <c r="AR483" s="181"/>
      <c r="AS483" s="181"/>
      <c r="AT483" s="181"/>
      <c r="AU483" s="181" t="s">
        <v>138</v>
      </c>
      <c r="AV483" s="181">
        <v>0</v>
      </c>
      <c r="AW483" s="181"/>
      <c r="AX483" s="181"/>
      <c r="AY483" s="181"/>
      <c r="AZ483" s="181"/>
      <c r="BA483" s="182" t="s">
        <v>1981</v>
      </c>
      <c r="BB483" s="182" t="s">
        <v>1982</v>
      </c>
      <c r="BC483" s="182" t="s">
        <v>1983</v>
      </c>
      <c r="BD483" s="182" t="s">
        <v>140</v>
      </c>
      <c r="BE483" s="162" t="s">
        <v>741</v>
      </c>
      <c r="BF483" s="181"/>
      <c r="BG483" s="161"/>
      <c r="BH483" s="161"/>
      <c r="BI483" s="163"/>
      <c r="BJ483" s="163"/>
      <c r="BK483" s="163"/>
      <c r="BL483" s="163"/>
      <c r="BM483" s="163"/>
      <c r="BN483" s="163"/>
      <c r="BO483" s="163"/>
      <c r="BP483" s="163"/>
      <c r="BQ483" s="163"/>
      <c r="BR483" s="161"/>
      <c r="BS483" s="161"/>
      <c r="BT483" s="161"/>
      <c r="BU483" s="161"/>
      <c r="BV483" s="161"/>
      <c r="BW483" s="161"/>
      <c r="BX483" s="161"/>
      <c r="BY483" s="161"/>
      <c r="BZ483" s="161"/>
      <c r="CA483" s="161"/>
      <c r="CB483" s="163"/>
      <c r="CC483" s="161"/>
      <c r="CD483" s="161"/>
      <c r="CE483" s="185"/>
      <c r="CF483" s="185"/>
    </row>
    <row r="484" spans="1:84" ht="36" hidden="1">
      <c r="A484" s="117"/>
      <c r="B484" s="209" t="s">
        <v>1846</v>
      </c>
      <c r="C484" s="209" t="s">
        <v>2125</v>
      </c>
      <c r="D484" s="209" t="s">
        <v>954</v>
      </c>
      <c r="E484" s="209" t="s">
        <v>1788</v>
      </c>
      <c r="F484" s="209" t="s">
        <v>952</v>
      </c>
      <c r="G484" s="209" t="s">
        <v>953</v>
      </c>
      <c r="H484" s="210">
        <v>200</v>
      </c>
      <c r="I484" s="211" t="s">
        <v>147</v>
      </c>
      <c r="J484" s="144">
        <v>2</v>
      </c>
      <c r="K484" s="145">
        <f t="shared" ref="K484:K487" si="944">K483</f>
        <v>8</v>
      </c>
      <c r="L484" s="202">
        <f t="shared" ref="L484:L487" si="945">+J484*K484</f>
        <v>16</v>
      </c>
      <c r="M484" s="212">
        <v>0.6</v>
      </c>
      <c r="N484" s="203">
        <f t="shared" ref="N484:N487" si="946">+M484*L484</f>
        <v>9.6</v>
      </c>
      <c r="O484" s="212" t="s">
        <v>137</v>
      </c>
      <c r="P484" s="212" t="s">
        <v>13</v>
      </c>
      <c r="Q484" s="212" t="s">
        <v>148</v>
      </c>
      <c r="R484" s="212"/>
      <c r="S484" s="212"/>
      <c r="T484" s="203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16</v>
      </c>
      <c r="U484" s="203">
        <f t="shared" ref="U484:U487" ca="1" si="947">+L484-T484</f>
        <v>0</v>
      </c>
      <c r="V484" s="203">
        <f t="shared" ref="V484:V487" ca="1" si="948">ROUNDDOWN(T484/J484,0)</f>
        <v>8</v>
      </c>
      <c r="W484" s="212"/>
      <c r="X484" s="212"/>
      <c r="Y484" s="212"/>
      <c r="Z484" s="212"/>
      <c r="AA484" s="212"/>
      <c r="AB484" s="212"/>
      <c r="AC484" s="214" t="s">
        <v>1980</v>
      </c>
      <c r="AD484" s="226" t="s">
        <v>1924</v>
      </c>
      <c r="AE484" s="148"/>
      <c r="AF484" s="212" t="str">
        <f t="shared" ref="AF484:AG484" si="949">AF483</f>
        <v>N/A</v>
      </c>
      <c r="AG484" s="212">
        <f t="shared" si="949"/>
        <v>0</v>
      </c>
      <c r="AH484" s="203">
        <f t="shared" ref="AH484:AH487" si="950">+AG484*J484</f>
        <v>0</v>
      </c>
      <c r="AI484" s="203">
        <f t="shared" ref="AI484:AI487" ca="1" si="951">MIN(T484,AH484)</f>
        <v>0</v>
      </c>
      <c r="AJ484" s="203">
        <f t="shared" ref="AJ484:AJ487" ca="1" si="952">+AH484-AI484</f>
        <v>0</v>
      </c>
      <c r="AK484" s="212" t="str">
        <f t="shared" ref="AK484:AL484" si="953">AK483</f>
        <v>AMC2-S1</v>
      </c>
      <c r="AL484" s="212">
        <f t="shared" si="953"/>
        <v>4</v>
      </c>
      <c r="AM484" s="203">
        <f t="shared" ref="AM484:AM487" si="954">+AL484*J484</f>
        <v>8</v>
      </c>
      <c r="AN484" s="203">
        <f t="shared" ref="AN484:AN487" ca="1" si="955">MIN(T484-AI484,AL484)</f>
        <v>4</v>
      </c>
      <c r="AO484" s="203">
        <f t="shared" ref="AO484:AO487" ca="1" si="956">+AM484-AN484</f>
        <v>4</v>
      </c>
      <c r="AP484" s="212" t="str">
        <f t="shared" ref="AP484:AQ484" si="957">AP483</f>
        <v>AMC2-S4</v>
      </c>
      <c r="AQ484" s="212">
        <f t="shared" si="957"/>
        <v>4</v>
      </c>
      <c r="AR484" s="203">
        <f t="shared" ref="AR484:AR487" si="958">+AQ484*J484</f>
        <v>8</v>
      </c>
      <c r="AS484" s="203">
        <f t="shared" ref="AS484:AS487" ca="1" si="959">MIN(T484-AI484-AN484,AR484)</f>
        <v>8</v>
      </c>
      <c r="AT484" s="203">
        <f t="shared" ref="AT484:AT487" ca="1" si="960">+AR484-AS484</f>
        <v>0</v>
      </c>
      <c r="AU484" s="212" t="str">
        <f t="shared" ref="AU484:AV484" si="961">AU483</f>
        <v>N/A</v>
      </c>
      <c r="AV484" s="212">
        <f t="shared" si="961"/>
        <v>0</v>
      </c>
      <c r="AW484" s="203">
        <f t="shared" ref="AW484:AW487" si="962">+AV484*J484</f>
        <v>0</v>
      </c>
      <c r="AX484" s="203">
        <f t="shared" ref="AX484:AX487" ca="1" si="963">MIN(T484-AI484-AN484-AS484,AW484)</f>
        <v>0</v>
      </c>
      <c r="AY484" s="203">
        <f t="shared" ref="AY484:AY487" ca="1" si="964">+AW484-AX484</f>
        <v>0</v>
      </c>
      <c r="AZ484" s="212"/>
      <c r="BA484" s="213" t="s">
        <v>1981</v>
      </c>
      <c r="BB484" s="213" t="s">
        <v>1982</v>
      </c>
      <c r="BC484" s="213" t="s">
        <v>1983</v>
      </c>
      <c r="BD484" s="213" t="s">
        <v>140</v>
      </c>
      <c r="BE484" s="148"/>
      <c r="BF484" s="212" t="s">
        <v>1789</v>
      </c>
      <c r="BG484" s="117"/>
      <c r="BH484" s="117"/>
      <c r="BI484" s="149"/>
      <c r="BJ484" s="149"/>
      <c r="BK484" s="149"/>
      <c r="BL484" s="149"/>
      <c r="BM484" s="149"/>
      <c r="BN484" s="149"/>
      <c r="BO484" s="149"/>
      <c r="BP484" s="149"/>
      <c r="BQ484" s="149"/>
      <c r="BR484" s="117">
        <v>0</v>
      </c>
      <c r="BS484" s="117">
        <v>0</v>
      </c>
      <c r="BT484" s="117">
        <v>0</v>
      </c>
      <c r="BU484" s="117">
        <v>0</v>
      </c>
      <c r="BV484" s="117">
        <v>0</v>
      </c>
      <c r="BW484" s="117">
        <v>0</v>
      </c>
      <c r="BX484" s="117">
        <v>0</v>
      </c>
      <c r="BY484" s="117" t="s">
        <v>1790</v>
      </c>
      <c r="BZ484" s="158" t="s">
        <v>2193</v>
      </c>
      <c r="CA484" s="158">
        <v>32</v>
      </c>
      <c r="CB484" s="234">
        <v>46213</v>
      </c>
      <c r="CC484" s="117"/>
      <c r="CD484" s="117"/>
      <c r="CE484" s="148"/>
      <c r="CF484" s="166">
        <f>+L484-CA484</f>
        <v>-16</v>
      </c>
    </row>
    <row r="485" spans="1:84" ht="36" hidden="1">
      <c r="A485" s="117"/>
      <c r="B485" s="209" t="s">
        <v>1846</v>
      </c>
      <c r="C485" s="209" t="s">
        <v>2125</v>
      </c>
      <c r="D485" s="209" t="s">
        <v>954</v>
      </c>
      <c r="E485" s="209" t="s">
        <v>1791</v>
      </c>
      <c r="F485" s="209" t="s">
        <v>958</v>
      </c>
      <c r="G485" s="209" t="s">
        <v>959</v>
      </c>
      <c r="H485" s="210">
        <v>200</v>
      </c>
      <c r="I485" s="211" t="s">
        <v>147</v>
      </c>
      <c r="J485" s="144">
        <v>2</v>
      </c>
      <c r="K485" s="145">
        <f t="shared" si="944"/>
        <v>8</v>
      </c>
      <c r="L485" s="202">
        <f t="shared" si="945"/>
        <v>16</v>
      </c>
      <c r="M485" s="212">
        <v>0.4</v>
      </c>
      <c r="N485" s="203">
        <f t="shared" si="946"/>
        <v>6.4</v>
      </c>
      <c r="O485" s="212" t="s">
        <v>137</v>
      </c>
      <c r="P485" s="212" t="s">
        <v>13</v>
      </c>
      <c r="Q485" s="212" t="s">
        <v>148</v>
      </c>
      <c r="R485" s="212"/>
      <c r="S485" s="212"/>
      <c r="T485" s="203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0</v>
      </c>
      <c r="U485" s="203">
        <f t="shared" ca="1" si="947"/>
        <v>16</v>
      </c>
      <c r="V485" s="203">
        <f t="shared" ca="1" si="948"/>
        <v>0</v>
      </c>
      <c r="W485" s="212"/>
      <c r="X485" s="212"/>
      <c r="Y485" s="212"/>
      <c r="Z485" s="212"/>
      <c r="AA485" s="212"/>
      <c r="AB485" s="212"/>
      <c r="AC485" s="214" t="s">
        <v>1980</v>
      </c>
      <c r="AD485" s="226" t="s">
        <v>1924</v>
      </c>
      <c r="AE485" s="148"/>
      <c r="AF485" s="212" t="str">
        <f t="shared" ref="AF485:AG485" si="965">AF484</f>
        <v>N/A</v>
      </c>
      <c r="AG485" s="212">
        <f t="shared" si="965"/>
        <v>0</v>
      </c>
      <c r="AH485" s="203">
        <f t="shared" si="950"/>
        <v>0</v>
      </c>
      <c r="AI485" s="203">
        <f t="shared" ca="1" si="951"/>
        <v>0</v>
      </c>
      <c r="AJ485" s="203">
        <f t="shared" ca="1" si="952"/>
        <v>0</v>
      </c>
      <c r="AK485" s="212" t="str">
        <f t="shared" ref="AK485:AL485" si="966">AK484</f>
        <v>AMC2-S1</v>
      </c>
      <c r="AL485" s="212">
        <f t="shared" si="966"/>
        <v>4</v>
      </c>
      <c r="AM485" s="203">
        <f t="shared" si="954"/>
        <v>8</v>
      </c>
      <c r="AN485" s="203">
        <f t="shared" ca="1" si="955"/>
        <v>0</v>
      </c>
      <c r="AO485" s="203">
        <f t="shared" ca="1" si="956"/>
        <v>8</v>
      </c>
      <c r="AP485" s="212" t="str">
        <f t="shared" ref="AP485:AQ485" si="967">AP484</f>
        <v>AMC2-S4</v>
      </c>
      <c r="AQ485" s="212">
        <f t="shared" si="967"/>
        <v>4</v>
      </c>
      <c r="AR485" s="203">
        <f t="shared" si="958"/>
        <v>8</v>
      </c>
      <c r="AS485" s="203">
        <f t="shared" ca="1" si="959"/>
        <v>0</v>
      </c>
      <c r="AT485" s="203">
        <f t="shared" ca="1" si="960"/>
        <v>8</v>
      </c>
      <c r="AU485" s="212" t="str">
        <f t="shared" ref="AU485:AV485" si="968">AU484</f>
        <v>N/A</v>
      </c>
      <c r="AV485" s="212">
        <f t="shared" si="968"/>
        <v>0</v>
      </c>
      <c r="AW485" s="203">
        <f t="shared" si="962"/>
        <v>0</v>
      </c>
      <c r="AX485" s="203">
        <f t="shared" ca="1" si="963"/>
        <v>0</v>
      </c>
      <c r="AY485" s="203">
        <f t="shared" ca="1" si="964"/>
        <v>0</v>
      </c>
      <c r="AZ485" s="212"/>
      <c r="BA485" s="213" t="s">
        <v>1981</v>
      </c>
      <c r="BB485" s="213" t="s">
        <v>1982</v>
      </c>
      <c r="BC485" s="213" t="s">
        <v>1983</v>
      </c>
      <c r="BD485" s="213" t="s">
        <v>140</v>
      </c>
      <c r="BE485" s="148"/>
      <c r="BF485" s="212" t="s">
        <v>1789</v>
      </c>
      <c r="BG485" s="117"/>
      <c r="BH485" s="117"/>
      <c r="BI485" s="149"/>
      <c r="BJ485" s="149"/>
      <c r="BK485" s="149"/>
      <c r="BL485" s="149"/>
      <c r="BM485" s="149"/>
      <c r="BN485" s="149"/>
      <c r="BO485" s="149"/>
      <c r="BP485" s="149"/>
      <c r="BQ485" s="149"/>
      <c r="BR485" s="117">
        <v>0</v>
      </c>
      <c r="BS485" s="117">
        <v>0</v>
      </c>
      <c r="BT485" s="117">
        <v>0</v>
      </c>
      <c r="BU485" s="117">
        <v>0</v>
      </c>
      <c r="BV485" s="117">
        <v>0</v>
      </c>
      <c r="BW485" s="117">
        <v>0</v>
      </c>
      <c r="BX485" s="117">
        <v>0</v>
      </c>
      <c r="BY485" s="117" t="s">
        <v>1790</v>
      </c>
      <c r="BZ485" s="158" t="s">
        <v>2194</v>
      </c>
      <c r="CA485" s="158">
        <v>32</v>
      </c>
      <c r="CB485" s="235">
        <v>46231</v>
      </c>
      <c r="CC485" s="117"/>
      <c r="CD485" s="117"/>
      <c r="CE485" s="148"/>
      <c r="CF485" s="166">
        <f>+L485-CA485</f>
        <v>-16</v>
      </c>
    </row>
    <row r="486" spans="1:84" ht="36" hidden="1">
      <c r="A486" s="117"/>
      <c r="B486" s="209" t="s">
        <v>1846</v>
      </c>
      <c r="C486" s="209" t="s">
        <v>2125</v>
      </c>
      <c r="D486" s="209" t="s">
        <v>954</v>
      </c>
      <c r="E486" s="209" t="s">
        <v>1792</v>
      </c>
      <c r="F486" s="209" t="s">
        <v>963</v>
      </c>
      <c r="G486" s="209" t="s">
        <v>964</v>
      </c>
      <c r="H486" s="210">
        <v>200</v>
      </c>
      <c r="I486" s="211" t="s">
        <v>147</v>
      </c>
      <c r="J486" s="144">
        <v>6</v>
      </c>
      <c r="K486" s="145">
        <f t="shared" si="944"/>
        <v>8</v>
      </c>
      <c r="L486" s="202">
        <f t="shared" si="945"/>
        <v>48</v>
      </c>
      <c r="M486" s="212">
        <v>0.2</v>
      </c>
      <c r="N486" s="203">
        <f t="shared" si="946"/>
        <v>9.6000000000000014</v>
      </c>
      <c r="O486" s="212" t="s">
        <v>137</v>
      </c>
      <c r="P486" s="212" t="s">
        <v>13</v>
      </c>
      <c r="Q486" s="212" t="s">
        <v>148</v>
      </c>
      <c r="R486" s="212"/>
      <c r="S486" s="212"/>
      <c r="T486" s="203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203">
        <f t="shared" ca="1" si="947"/>
        <v>48</v>
      </c>
      <c r="V486" s="203">
        <f t="shared" ca="1" si="948"/>
        <v>0</v>
      </c>
      <c r="W486" s="212"/>
      <c r="X486" s="212"/>
      <c r="Y486" s="212"/>
      <c r="Z486" s="212"/>
      <c r="AA486" s="212"/>
      <c r="AB486" s="212"/>
      <c r="AC486" s="214" t="s">
        <v>1980</v>
      </c>
      <c r="AD486" s="226" t="s">
        <v>1924</v>
      </c>
      <c r="AE486" s="148"/>
      <c r="AF486" s="212" t="str">
        <f t="shared" ref="AF486:AG486" si="969">AF485</f>
        <v>N/A</v>
      </c>
      <c r="AG486" s="212">
        <f t="shared" si="969"/>
        <v>0</v>
      </c>
      <c r="AH486" s="203">
        <f t="shared" si="950"/>
        <v>0</v>
      </c>
      <c r="AI486" s="203">
        <f t="shared" ca="1" si="951"/>
        <v>0</v>
      </c>
      <c r="AJ486" s="203">
        <f t="shared" ca="1" si="952"/>
        <v>0</v>
      </c>
      <c r="AK486" s="212" t="str">
        <f t="shared" ref="AK486:AL486" si="970">AK485</f>
        <v>AMC2-S1</v>
      </c>
      <c r="AL486" s="212">
        <f t="shared" si="970"/>
        <v>4</v>
      </c>
      <c r="AM486" s="203">
        <f t="shared" si="954"/>
        <v>24</v>
      </c>
      <c r="AN486" s="203">
        <f t="shared" ca="1" si="955"/>
        <v>0</v>
      </c>
      <c r="AO486" s="203">
        <f t="shared" ca="1" si="956"/>
        <v>24</v>
      </c>
      <c r="AP486" s="212" t="str">
        <f t="shared" ref="AP486:AQ486" si="971">AP485</f>
        <v>AMC2-S4</v>
      </c>
      <c r="AQ486" s="212">
        <f t="shared" si="971"/>
        <v>4</v>
      </c>
      <c r="AR486" s="203">
        <f t="shared" si="958"/>
        <v>24</v>
      </c>
      <c r="AS486" s="203">
        <f t="shared" ca="1" si="959"/>
        <v>0</v>
      </c>
      <c r="AT486" s="203">
        <f t="shared" ca="1" si="960"/>
        <v>24</v>
      </c>
      <c r="AU486" s="212" t="str">
        <f t="shared" ref="AU486:AV486" si="972">AU485</f>
        <v>N/A</v>
      </c>
      <c r="AV486" s="212">
        <f t="shared" si="972"/>
        <v>0</v>
      </c>
      <c r="AW486" s="203">
        <f t="shared" si="962"/>
        <v>0</v>
      </c>
      <c r="AX486" s="203">
        <f t="shared" ca="1" si="963"/>
        <v>0</v>
      </c>
      <c r="AY486" s="203">
        <f t="shared" ca="1" si="964"/>
        <v>0</v>
      </c>
      <c r="AZ486" s="212"/>
      <c r="BA486" s="213" t="s">
        <v>1981</v>
      </c>
      <c r="BB486" s="213" t="s">
        <v>1982</v>
      </c>
      <c r="BC486" s="213" t="s">
        <v>1983</v>
      </c>
      <c r="BD486" s="213" t="s">
        <v>140</v>
      </c>
      <c r="BE486" s="148"/>
      <c r="BF486" s="212" t="s">
        <v>1789</v>
      </c>
      <c r="BG486" s="117"/>
      <c r="BH486" s="117"/>
      <c r="BI486" s="149"/>
      <c r="BJ486" s="149"/>
      <c r="BK486" s="149"/>
      <c r="BL486" s="149"/>
      <c r="BM486" s="149"/>
      <c r="BN486" s="149"/>
      <c r="BO486" s="149"/>
      <c r="BP486" s="149"/>
      <c r="BQ486" s="149"/>
      <c r="BR486" s="117">
        <v>0</v>
      </c>
      <c r="BS486" s="117">
        <v>0</v>
      </c>
      <c r="BT486" s="117">
        <v>0</v>
      </c>
      <c r="BU486" s="117">
        <v>0</v>
      </c>
      <c r="BV486" s="117">
        <v>0</v>
      </c>
      <c r="BW486" s="117">
        <v>0</v>
      </c>
      <c r="BX486" s="117">
        <v>0</v>
      </c>
      <c r="BY486" s="117" t="s">
        <v>1790</v>
      </c>
      <c r="BZ486" s="158" t="s">
        <v>2195</v>
      </c>
      <c r="CA486" s="158">
        <v>96</v>
      </c>
      <c r="CB486" s="235">
        <v>46231</v>
      </c>
      <c r="CC486" s="117"/>
      <c r="CD486" s="117"/>
      <c r="CE486" s="148"/>
      <c r="CF486" s="166">
        <f>+L486-CA486</f>
        <v>-48</v>
      </c>
    </row>
    <row r="487" spans="1:84" ht="36" hidden="1">
      <c r="A487" s="117"/>
      <c r="B487" s="209" t="s">
        <v>1846</v>
      </c>
      <c r="C487" s="209" t="s">
        <v>2125</v>
      </c>
      <c r="D487" s="209" t="s">
        <v>954</v>
      </c>
      <c r="E487" s="209" t="s">
        <v>1793</v>
      </c>
      <c r="F487" s="209" t="s">
        <v>968</v>
      </c>
      <c r="G487" s="209" t="s">
        <v>969</v>
      </c>
      <c r="H487" s="210">
        <v>200</v>
      </c>
      <c r="I487" s="211" t="s">
        <v>147</v>
      </c>
      <c r="J487" s="144">
        <v>12</v>
      </c>
      <c r="K487" s="145">
        <f t="shared" si="944"/>
        <v>8</v>
      </c>
      <c r="L487" s="202">
        <f t="shared" si="945"/>
        <v>96</v>
      </c>
      <c r="M487" s="212">
        <v>0.1</v>
      </c>
      <c r="N487" s="203">
        <f t="shared" si="946"/>
        <v>9.6000000000000014</v>
      </c>
      <c r="O487" s="212" t="s">
        <v>137</v>
      </c>
      <c r="P487" s="212" t="s">
        <v>13</v>
      </c>
      <c r="Q487" s="212" t="s">
        <v>148</v>
      </c>
      <c r="R487" s="212"/>
      <c r="S487" s="212"/>
      <c r="T487" s="203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203">
        <f t="shared" ca="1" si="947"/>
        <v>96</v>
      </c>
      <c r="V487" s="203">
        <f t="shared" ca="1" si="948"/>
        <v>0</v>
      </c>
      <c r="W487" s="212"/>
      <c r="X487" s="212"/>
      <c r="Y487" s="212"/>
      <c r="Z487" s="212"/>
      <c r="AA487" s="212"/>
      <c r="AB487" s="212"/>
      <c r="AC487" s="214" t="s">
        <v>1980</v>
      </c>
      <c r="AD487" s="226" t="s">
        <v>1924</v>
      </c>
      <c r="AE487" s="148"/>
      <c r="AF487" s="212" t="str">
        <f t="shared" ref="AF487:AG487" si="973">AF486</f>
        <v>N/A</v>
      </c>
      <c r="AG487" s="212">
        <f t="shared" si="973"/>
        <v>0</v>
      </c>
      <c r="AH487" s="203">
        <f t="shared" si="950"/>
        <v>0</v>
      </c>
      <c r="AI487" s="203">
        <f t="shared" ca="1" si="951"/>
        <v>0</v>
      </c>
      <c r="AJ487" s="203">
        <f t="shared" ca="1" si="952"/>
        <v>0</v>
      </c>
      <c r="AK487" s="212" t="str">
        <f t="shared" ref="AK487:AL487" si="974">AK486</f>
        <v>AMC2-S1</v>
      </c>
      <c r="AL487" s="212">
        <f t="shared" si="974"/>
        <v>4</v>
      </c>
      <c r="AM487" s="203">
        <f t="shared" si="954"/>
        <v>48</v>
      </c>
      <c r="AN487" s="203">
        <f t="shared" ca="1" si="955"/>
        <v>0</v>
      </c>
      <c r="AO487" s="203">
        <f t="shared" ca="1" si="956"/>
        <v>48</v>
      </c>
      <c r="AP487" s="212" t="str">
        <f t="shared" ref="AP487:AQ487" si="975">AP486</f>
        <v>AMC2-S4</v>
      </c>
      <c r="AQ487" s="212">
        <f t="shared" si="975"/>
        <v>4</v>
      </c>
      <c r="AR487" s="203">
        <f t="shared" si="958"/>
        <v>48</v>
      </c>
      <c r="AS487" s="203">
        <f t="shared" ca="1" si="959"/>
        <v>0</v>
      </c>
      <c r="AT487" s="203">
        <f t="shared" ca="1" si="960"/>
        <v>48</v>
      </c>
      <c r="AU487" s="212" t="str">
        <f t="shared" ref="AU487:AV487" si="976">AU486</f>
        <v>N/A</v>
      </c>
      <c r="AV487" s="212">
        <f t="shared" si="976"/>
        <v>0</v>
      </c>
      <c r="AW487" s="203">
        <f t="shared" si="962"/>
        <v>0</v>
      </c>
      <c r="AX487" s="203">
        <f t="shared" ca="1" si="963"/>
        <v>0</v>
      </c>
      <c r="AY487" s="203">
        <f t="shared" ca="1" si="964"/>
        <v>0</v>
      </c>
      <c r="AZ487" s="212"/>
      <c r="BA487" s="213" t="s">
        <v>1981</v>
      </c>
      <c r="BB487" s="213" t="s">
        <v>1982</v>
      </c>
      <c r="BC487" s="213" t="s">
        <v>1983</v>
      </c>
      <c r="BD487" s="213" t="s">
        <v>140</v>
      </c>
      <c r="BE487" s="148"/>
      <c r="BF487" s="212" t="s">
        <v>1789</v>
      </c>
      <c r="BG487" s="117"/>
      <c r="BH487" s="117"/>
      <c r="BI487" s="149"/>
      <c r="BJ487" s="149"/>
      <c r="BK487" s="149"/>
      <c r="BL487" s="149"/>
      <c r="BM487" s="149"/>
      <c r="BN487" s="149"/>
      <c r="BO487" s="149"/>
      <c r="BP487" s="149"/>
      <c r="BQ487" s="149"/>
      <c r="BR487" s="117">
        <v>0</v>
      </c>
      <c r="BS487" s="117">
        <v>0</v>
      </c>
      <c r="BT487" s="117">
        <v>0</v>
      </c>
      <c r="BU487" s="117">
        <v>0</v>
      </c>
      <c r="BV487" s="117">
        <v>0</v>
      </c>
      <c r="BW487" s="117">
        <v>0</v>
      </c>
      <c r="BX487" s="117">
        <v>0</v>
      </c>
      <c r="BY487" s="117" t="s">
        <v>1790</v>
      </c>
      <c r="BZ487" s="158" t="s">
        <v>2196</v>
      </c>
      <c r="CA487" s="158">
        <v>156</v>
      </c>
      <c r="CB487" s="234">
        <v>46213</v>
      </c>
      <c r="CC487" s="117"/>
      <c r="CD487" s="117"/>
      <c r="CE487" s="148"/>
      <c r="CF487" s="166">
        <f>+L487-CA487</f>
        <v>-60</v>
      </c>
    </row>
    <row r="488" spans="1:84" ht="36" hidden="1">
      <c r="A488" s="162">
        <v>146</v>
      </c>
      <c r="B488" s="177" t="s">
        <v>1846</v>
      </c>
      <c r="C488" s="177" t="s">
        <v>2130</v>
      </c>
      <c r="D488" s="177" t="s">
        <v>1849</v>
      </c>
      <c r="E488" s="177"/>
      <c r="F488" s="177"/>
      <c r="G488" s="177" t="s">
        <v>1850</v>
      </c>
      <c r="H488" s="178"/>
      <c r="I488" s="179"/>
      <c r="J488" s="160"/>
      <c r="K488" s="180">
        <f>+AG488+AL488+AQ488+AV488</f>
        <v>8</v>
      </c>
      <c r="L488" s="160"/>
      <c r="M488" s="181">
        <v>5.8</v>
      </c>
      <c r="N488" s="181">
        <v>92.8</v>
      </c>
      <c r="O488" s="181" t="s">
        <v>137</v>
      </c>
      <c r="P488" s="181"/>
      <c r="Q488" s="181"/>
      <c r="R488" s="181"/>
      <c r="S488" s="181"/>
      <c r="T488" s="181"/>
      <c r="U488" s="181"/>
      <c r="V488" s="181"/>
      <c r="W488" s="181">
        <f ca="1">_xlfn.MINIFS(V:V,C:C,C488,AE:AE,"",AB:AB,"")</f>
        <v>0</v>
      </c>
      <c r="X488" s="181">
        <f ca="1">SUMIFS(T:T,C:C,C488,AE:AE,"")/SUMIFS(L:L,C:C,C488,AE:AE,"",AB:AB,"")</f>
        <v>0.125</v>
      </c>
      <c r="Y488" s="181"/>
      <c r="Z488" s="181"/>
      <c r="AA488" s="181"/>
      <c r="AB488" s="181"/>
      <c r="AC488" s="228" t="s">
        <v>1980</v>
      </c>
      <c r="AD488" s="184" t="s">
        <v>1924</v>
      </c>
      <c r="AE488" s="162" t="s">
        <v>143</v>
      </c>
      <c r="AF488" s="181" t="s">
        <v>138</v>
      </c>
      <c r="AG488" s="181">
        <v>0</v>
      </c>
      <c r="AH488" s="181"/>
      <c r="AI488" s="181"/>
      <c r="AJ488" s="181"/>
      <c r="AK488" s="181" t="s">
        <v>1783</v>
      </c>
      <c r="AL488" s="181">
        <v>4</v>
      </c>
      <c r="AM488" s="181"/>
      <c r="AN488" s="181"/>
      <c r="AO488" s="181"/>
      <c r="AP488" s="181" t="s">
        <v>1922</v>
      </c>
      <c r="AQ488" s="181">
        <v>4</v>
      </c>
      <c r="AR488" s="181"/>
      <c r="AS488" s="181"/>
      <c r="AT488" s="181"/>
      <c r="AU488" s="181" t="s">
        <v>138</v>
      </c>
      <c r="AV488" s="181">
        <v>0</v>
      </c>
      <c r="AW488" s="181"/>
      <c r="AX488" s="181"/>
      <c r="AY488" s="181"/>
      <c r="AZ488" s="181"/>
      <c r="BA488" s="182" t="s">
        <v>1981</v>
      </c>
      <c r="BB488" s="182" t="s">
        <v>1982</v>
      </c>
      <c r="BC488" s="182" t="s">
        <v>1983</v>
      </c>
      <c r="BD488" s="182" t="s">
        <v>140</v>
      </c>
      <c r="BE488" s="162" t="s">
        <v>741</v>
      </c>
      <c r="BF488" s="181"/>
      <c r="BG488" s="161"/>
      <c r="BH488" s="161"/>
      <c r="BI488" s="163"/>
      <c r="BJ488" s="163"/>
      <c r="BK488" s="163"/>
      <c r="BL488" s="163"/>
      <c r="BM488" s="163"/>
      <c r="BN488" s="163"/>
      <c r="BO488" s="163"/>
      <c r="BP488" s="163"/>
      <c r="BQ488" s="163"/>
      <c r="BR488" s="161"/>
      <c r="BS488" s="161"/>
      <c r="BT488" s="161"/>
      <c r="BU488" s="161"/>
      <c r="BV488" s="161"/>
      <c r="BW488" s="161"/>
      <c r="BX488" s="161"/>
      <c r="BY488" s="161"/>
      <c r="BZ488" s="161"/>
      <c r="CA488" s="161"/>
      <c r="CB488" s="163"/>
      <c r="CC488" s="161"/>
      <c r="CD488" s="161"/>
      <c r="CE488" s="185"/>
      <c r="CF488" s="185"/>
    </row>
    <row r="489" spans="1:84" ht="36" hidden="1">
      <c r="A489" s="141"/>
      <c r="B489" s="199" t="s">
        <v>1846</v>
      </c>
      <c r="C489" s="199" t="s">
        <v>2130</v>
      </c>
      <c r="D489" s="199" t="s">
        <v>979</v>
      </c>
      <c r="E489" s="199" t="s">
        <v>1851</v>
      </c>
      <c r="F489" s="199" t="s">
        <v>977</v>
      </c>
      <c r="G489" s="199" t="s">
        <v>978</v>
      </c>
      <c r="H489" s="200">
        <v>95</v>
      </c>
      <c r="I489" s="201"/>
      <c r="J489" s="165">
        <v>4</v>
      </c>
      <c r="K489" s="202">
        <f t="shared" ref="K489:K492" si="977">K488</f>
        <v>8</v>
      </c>
      <c r="L489" s="202">
        <f t="shared" ref="L489:L492" si="978">+J489*K489</f>
        <v>32</v>
      </c>
      <c r="M489" s="203">
        <v>0.3</v>
      </c>
      <c r="N489" s="203">
        <f t="shared" ref="N489:N492" si="979">+M489*L489</f>
        <v>9.6</v>
      </c>
      <c r="O489" s="203" t="s">
        <v>137</v>
      </c>
      <c r="P489" s="203" t="s">
        <v>11</v>
      </c>
      <c r="Q489" s="203" t="s">
        <v>154</v>
      </c>
      <c r="R489" s="203"/>
      <c r="S489" s="203"/>
      <c r="T489" s="203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203">
        <f t="shared" ref="U489:U492" ca="1" si="980">+L489-T489</f>
        <v>32</v>
      </c>
      <c r="V489" s="203">
        <f t="shared" ref="V489:V492" ca="1" si="981">ROUNDDOWN(T489/J489,0)</f>
        <v>0</v>
      </c>
      <c r="W489" s="203"/>
      <c r="X489" s="203"/>
      <c r="Y489" s="203"/>
      <c r="Z489" s="203"/>
      <c r="AA489" s="203"/>
      <c r="AB489" s="203"/>
      <c r="AC489" s="205" t="s">
        <v>1980</v>
      </c>
      <c r="AD489" s="225" t="s">
        <v>1984</v>
      </c>
      <c r="AE489" s="166"/>
      <c r="AF489" s="203" t="str">
        <f t="shared" ref="AF489:AG489" si="982">AF488</f>
        <v>N/A</v>
      </c>
      <c r="AG489" s="203">
        <f t="shared" si="982"/>
        <v>0</v>
      </c>
      <c r="AH489" s="203">
        <f t="shared" ref="AH489:AH492" si="983">+AG489*J489</f>
        <v>0</v>
      </c>
      <c r="AI489" s="203">
        <f t="shared" ref="AI489:AI492" ca="1" si="984">MIN(T489,AH489)</f>
        <v>0</v>
      </c>
      <c r="AJ489" s="203">
        <f t="shared" ref="AJ489:AJ492" ca="1" si="985">+AH489-AI489</f>
        <v>0</v>
      </c>
      <c r="AK489" s="203" t="str">
        <f t="shared" ref="AK489:AL489" si="986">AK488</f>
        <v>AMC2-S1</v>
      </c>
      <c r="AL489" s="203">
        <f t="shared" si="986"/>
        <v>4</v>
      </c>
      <c r="AM489" s="203">
        <f t="shared" ref="AM489:AM492" si="987">+AL489*J489</f>
        <v>16</v>
      </c>
      <c r="AN489" s="203">
        <f t="shared" ref="AN489:AN492" ca="1" si="988">MIN(T489-AI489,AL489)</f>
        <v>0</v>
      </c>
      <c r="AO489" s="203">
        <f t="shared" ref="AO489:AO492" ca="1" si="989">+AM489-AN489</f>
        <v>16</v>
      </c>
      <c r="AP489" s="203" t="str">
        <f t="shared" ref="AP489:AQ489" si="990">AP488</f>
        <v>AMC2-S4</v>
      </c>
      <c r="AQ489" s="203">
        <f t="shared" si="990"/>
        <v>4</v>
      </c>
      <c r="AR489" s="203">
        <f t="shared" ref="AR489:AR492" si="991">+AQ489*J489</f>
        <v>16</v>
      </c>
      <c r="AS489" s="203">
        <f t="shared" ref="AS489:AS492" ca="1" si="992">MIN(T489-AI489-AN489,AR489)</f>
        <v>0</v>
      </c>
      <c r="AT489" s="203">
        <f t="shared" ref="AT489:AT492" ca="1" si="993">+AR489-AS489</f>
        <v>16</v>
      </c>
      <c r="AU489" s="203" t="str">
        <f t="shared" ref="AU489:AV489" si="994">AU488</f>
        <v>N/A</v>
      </c>
      <c r="AV489" s="203">
        <f t="shared" si="994"/>
        <v>0</v>
      </c>
      <c r="AW489" s="203">
        <f t="shared" ref="AW489:AW492" si="995">+AV489*J489</f>
        <v>0</v>
      </c>
      <c r="AX489" s="203">
        <f t="shared" ref="AX489:AX492" ca="1" si="996">MIN(T489-AI489-AN489-AS489,AW489)</f>
        <v>0</v>
      </c>
      <c r="AY489" s="203">
        <f t="shared" ref="AY489:AY492" ca="1" si="997">+AW489-AX489</f>
        <v>0</v>
      </c>
      <c r="AZ489" s="203"/>
      <c r="BA489" s="204" t="s">
        <v>1981</v>
      </c>
      <c r="BB489" s="204" t="s">
        <v>1982</v>
      </c>
      <c r="BC489" s="204" t="s">
        <v>1983</v>
      </c>
      <c r="BD489" s="204" t="s">
        <v>140</v>
      </c>
      <c r="BE489" s="166"/>
      <c r="BF489" s="212" t="s">
        <v>1789</v>
      </c>
      <c r="BG489" s="141"/>
      <c r="BH489" s="141"/>
      <c r="BI489" s="153"/>
      <c r="BJ489" s="153"/>
      <c r="BK489" s="153" t="s">
        <v>1853</v>
      </c>
      <c r="BL489" s="153"/>
      <c r="BM489" s="153"/>
      <c r="BN489" s="153"/>
      <c r="BO489" s="153"/>
      <c r="BP489" s="153"/>
      <c r="BQ489" s="153"/>
      <c r="BR489" s="141">
        <v>0</v>
      </c>
      <c r="BS489" s="141">
        <v>0</v>
      </c>
      <c r="BT489" s="141">
        <v>0</v>
      </c>
      <c r="BU489" s="141">
        <v>0</v>
      </c>
      <c r="BV489" s="141">
        <v>1</v>
      </c>
      <c r="BW489" s="141">
        <v>0</v>
      </c>
      <c r="BX489" s="141">
        <v>0</v>
      </c>
      <c r="BY489" s="141" t="s">
        <v>1790</v>
      </c>
      <c r="BZ489" s="167" t="s">
        <v>2197</v>
      </c>
      <c r="CA489" s="167">
        <v>64</v>
      </c>
      <c r="CB489" s="235">
        <v>46231</v>
      </c>
      <c r="CC489" s="141"/>
      <c r="CD489" s="141"/>
      <c r="CE489" s="166"/>
      <c r="CF489" s="166">
        <f>+L489-CA489</f>
        <v>-32</v>
      </c>
    </row>
    <row r="490" spans="1:84" ht="36" hidden="1">
      <c r="A490" s="117"/>
      <c r="B490" s="209" t="s">
        <v>1846</v>
      </c>
      <c r="C490" s="209" t="s">
        <v>2130</v>
      </c>
      <c r="D490" s="209" t="s">
        <v>975</v>
      </c>
      <c r="E490" s="209" t="s">
        <v>1854</v>
      </c>
      <c r="F490" s="209" t="s">
        <v>973</v>
      </c>
      <c r="G490" s="209" t="s">
        <v>974</v>
      </c>
      <c r="H490" s="210"/>
      <c r="I490" s="211"/>
      <c r="J490" s="144">
        <v>4</v>
      </c>
      <c r="K490" s="145">
        <f t="shared" si="977"/>
        <v>8</v>
      </c>
      <c r="L490" s="202">
        <f t="shared" si="978"/>
        <v>32</v>
      </c>
      <c r="M490" s="212">
        <v>3.5999999999999997E-2</v>
      </c>
      <c r="N490" s="203">
        <f t="shared" si="979"/>
        <v>1.1519999999999999</v>
      </c>
      <c r="O490" s="212" t="s">
        <v>137</v>
      </c>
      <c r="P490" s="212" t="s">
        <v>14</v>
      </c>
      <c r="Q490" s="212" t="s">
        <v>976</v>
      </c>
      <c r="R490" s="212"/>
      <c r="S490" s="212"/>
      <c r="T490" s="203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0</v>
      </c>
      <c r="U490" s="203">
        <f t="shared" ca="1" si="980"/>
        <v>32</v>
      </c>
      <c r="V490" s="203">
        <f t="shared" ca="1" si="981"/>
        <v>0</v>
      </c>
      <c r="W490" s="212"/>
      <c r="X490" s="212"/>
      <c r="Y490" s="212"/>
      <c r="Z490" s="212"/>
      <c r="AA490" s="212"/>
      <c r="AB490" s="212"/>
      <c r="AC490" s="214" t="s">
        <v>1980</v>
      </c>
      <c r="AD490" s="226" t="s">
        <v>1924</v>
      </c>
      <c r="AE490" s="148"/>
      <c r="AF490" s="212" t="str">
        <f t="shared" ref="AF490:AG490" si="998">AF489</f>
        <v>N/A</v>
      </c>
      <c r="AG490" s="212">
        <f t="shared" si="998"/>
        <v>0</v>
      </c>
      <c r="AH490" s="203">
        <f t="shared" si="983"/>
        <v>0</v>
      </c>
      <c r="AI490" s="203">
        <f t="shared" ca="1" si="984"/>
        <v>0</v>
      </c>
      <c r="AJ490" s="203">
        <f t="shared" ca="1" si="985"/>
        <v>0</v>
      </c>
      <c r="AK490" s="212" t="str">
        <f t="shared" ref="AK490:AL490" si="999">AK489</f>
        <v>AMC2-S1</v>
      </c>
      <c r="AL490" s="212">
        <f t="shared" si="999"/>
        <v>4</v>
      </c>
      <c r="AM490" s="203">
        <f t="shared" si="987"/>
        <v>16</v>
      </c>
      <c r="AN490" s="203">
        <f t="shared" ca="1" si="988"/>
        <v>0</v>
      </c>
      <c r="AO490" s="203">
        <f t="shared" ca="1" si="989"/>
        <v>16</v>
      </c>
      <c r="AP490" s="212" t="str">
        <f t="shared" ref="AP490:AQ490" si="1000">AP489</f>
        <v>AMC2-S4</v>
      </c>
      <c r="AQ490" s="212">
        <f t="shared" si="1000"/>
        <v>4</v>
      </c>
      <c r="AR490" s="203">
        <f t="shared" si="991"/>
        <v>16</v>
      </c>
      <c r="AS490" s="203">
        <f t="shared" ca="1" si="992"/>
        <v>0</v>
      </c>
      <c r="AT490" s="203">
        <f t="shared" ca="1" si="993"/>
        <v>16</v>
      </c>
      <c r="AU490" s="212" t="str">
        <f t="shared" ref="AU490:AV490" si="1001">AU489</f>
        <v>N/A</v>
      </c>
      <c r="AV490" s="212">
        <f t="shared" si="1001"/>
        <v>0</v>
      </c>
      <c r="AW490" s="203">
        <f t="shared" si="995"/>
        <v>0</v>
      </c>
      <c r="AX490" s="203">
        <f t="shared" ca="1" si="996"/>
        <v>0</v>
      </c>
      <c r="AY490" s="203">
        <f t="shared" ca="1" si="997"/>
        <v>0</v>
      </c>
      <c r="AZ490" s="212"/>
      <c r="BA490" s="213" t="s">
        <v>1981</v>
      </c>
      <c r="BB490" s="213" t="s">
        <v>1982</v>
      </c>
      <c r="BC490" s="213" t="s">
        <v>1983</v>
      </c>
      <c r="BD490" s="213" t="s">
        <v>140</v>
      </c>
      <c r="BE490" s="148"/>
      <c r="BF490" s="212"/>
      <c r="BG490" s="117"/>
      <c r="BH490" s="117"/>
      <c r="BI490" s="149"/>
      <c r="BJ490" s="149"/>
      <c r="BK490" s="149"/>
      <c r="BL490" s="149"/>
      <c r="BM490" s="149"/>
      <c r="BN490" s="149"/>
      <c r="BO490" s="149"/>
      <c r="BP490" s="149"/>
      <c r="BQ490" s="149"/>
      <c r="BR490" s="117" t="s">
        <v>140</v>
      </c>
      <c r="BS490" s="117" t="s">
        <v>140</v>
      </c>
      <c r="BT490" s="117" t="s">
        <v>140</v>
      </c>
      <c r="BU490" s="117" t="s">
        <v>140</v>
      </c>
      <c r="BV490" s="117" t="s">
        <v>140</v>
      </c>
      <c r="BW490" s="117" t="s">
        <v>140</v>
      </c>
      <c r="BX490" s="117" t="s">
        <v>140</v>
      </c>
      <c r="BY490" s="117" t="s">
        <v>14</v>
      </c>
      <c r="BZ490" s="117"/>
      <c r="CA490" s="117"/>
      <c r="CB490" s="149"/>
      <c r="CC490" s="117"/>
      <c r="CD490" s="117"/>
      <c r="CE490" s="148"/>
      <c r="CF490" s="148"/>
    </row>
    <row r="491" spans="1:84" ht="36" hidden="1">
      <c r="A491" s="117"/>
      <c r="B491" s="209" t="s">
        <v>1846</v>
      </c>
      <c r="C491" s="209" t="s">
        <v>2130</v>
      </c>
      <c r="D491" s="209" t="s">
        <v>13</v>
      </c>
      <c r="E491" s="209" t="s">
        <v>1788</v>
      </c>
      <c r="F491" s="209" t="s">
        <v>985</v>
      </c>
      <c r="G491" s="209" t="s">
        <v>986</v>
      </c>
      <c r="H491" s="210">
        <v>200</v>
      </c>
      <c r="I491" s="211" t="s">
        <v>147</v>
      </c>
      <c r="J491" s="144">
        <v>1</v>
      </c>
      <c r="K491" s="145">
        <f t="shared" si="977"/>
        <v>8</v>
      </c>
      <c r="L491" s="202">
        <f t="shared" si="978"/>
        <v>8</v>
      </c>
      <c r="M491" s="212">
        <v>5</v>
      </c>
      <c r="N491" s="203">
        <f t="shared" si="979"/>
        <v>40</v>
      </c>
      <c r="O491" s="212" t="s">
        <v>137</v>
      </c>
      <c r="P491" s="212" t="s">
        <v>13</v>
      </c>
      <c r="Q491" s="212" t="s">
        <v>154</v>
      </c>
      <c r="R491" s="212"/>
      <c r="S491" s="212"/>
      <c r="T491" s="203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203">
        <f t="shared" ca="1" si="980"/>
        <v>8</v>
      </c>
      <c r="V491" s="203">
        <f t="shared" ca="1" si="981"/>
        <v>0</v>
      </c>
      <c r="W491" s="212"/>
      <c r="X491" s="212"/>
      <c r="Y491" s="212"/>
      <c r="Z491" s="212"/>
      <c r="AA491" s="212"/>
      <c r="AB491" s="212"/>
      <c r="AC491" s="214" t="s">
        <v>1980</v>
      </c>
      <c r="AD491" s="226" t="s">
        <v>1924</v>
      </c>
      <c r="AE491" s="148"/>
      <c r="AF491" s="212" t="str">
        <f t="shared" ref="AF491:AG491" si="1002">AF490</f>
        <v>N/A</v>
      </c>
      <c r="AG491" s="212">
        <f t="shared" si="1002"/>
        <v>0</v>
      </c>
      <c r="AH491" s="203">
        <f t="shared" si="983"/>
        <v>0</v>
      </c>
      <c r="AI491" s="203">
        <f t="shared" ca="1" si="984"/>
        <v>0</v>
      </c>
      <c r="AJ491" s="203">
        <f t="shared" ca="1" si="985"/>
        <v>0</v>
      </c>
      <c r="AK491" s="212" t="str">
        <f t="shared" ref="AK491:AL491" si="1003">AK490</f>
        <v>AMC2-S1</v>
      </c>
      <c r="AL491" s="212">
        <f t="shared" si="1003"/>
        <v>4</v>
      </c>
      <c r="AM491" s="203">
        <f t="shared" si="987"/>
        <v>4</v>
      </c>
      <c r="AN491" s="203">
        <f t="shared" ca="1" si="988"/>
        <v>0</v>
      </c>
      <c r="AO491" s="203">
        <f t="shared" ca="1" si="989"/>
        <v>4</v>
      </c>
      <c r="AP491" s="212" t="str">
        <f t="shared" ref="AP491:AQ491" si="1004">AP490</f>
        <v>AMC2-S4</v>
      </c>
      <c r="AQ491" s="212">
        <f t="shared" si="1004"/>
        <v>4</v>
      </c>
      <c r="AR491" s="203">
        <f t="shared" si="991"/>
        <v>4</v>
      </c>
      <c r="AS491" s="203">
        <f t="shared" ca="1" si="992"/>
        <v>0</v>
      </c>
      <c r="AT491" s="203">
        <f t="shared" ca="1" si="993"/>
        <v>4</v>
      </c>
      <c r="AU491" s="212" t="str">
        <f t="shared" ref="AU491:AV491" si="1005">AU490</f>
        <v>N/A</v>
      </c>
      <c r="AV491" s="212">
        <f t="shared" si="1005"/>
        <v>0</v>
      </c>
      <c r="AW491" s="203">
        <f t="shared" si="995"/>
        <v>0</v>
      </c>
      <c r="AX491" s="203">
        <f t="shared" ca="1" si="996"/>
        <v>0</v>
      </c>
      <c r="AY491" s="203">
        <f t="shared" ca="1" si="997"/>
        <v>0</v>
      </c>
      <c r="AZ491" s="212"/>
      <c r="BA491" s="213" t="s">
        <v>1981</v>
      </c>
      <c r="BB491" s="213" t="s">
        <v>1982</v>
      </c>
      <c r="BC491" s="213" t="s">
        <v>1983</v>
      </c>
      <c r="BD491" s="213" t="s">
        <v>140</v>
      </c>
      <c r="BE491" s="148"/>
      <c r="BF491" s="212" t="s">
        <v>1789</v>
      </c>
      <c r="BG491" s="117"/>
      <c r="BH491" s="117"/>
      <c r="BI491" s="149"/>
      <c r="BJ491" s="149"/>
      <c r="BK491" s="149"/>
      <c r="BL491" s="149"/>
      <c r="BM491" s="149"/>
      <c r="BN491" s="149"/>
      <c r="BO491" s="149"/>
      <c r="BP491" s="149"/>
      <c r="BQ491" s="149"/>
      <c r="BR491" s="117">
        <v>1</v>
      </c>
      <c r="BS491" s="117">
        <v>0</v>
      </c>
      <c r="BT491" s="117">
        <v>0</v>
      </c>
      <c r="BU491" s="117">
        <v>0</v>
      </c>
      <c r="BV491" s="117">
        <v>1</v>
      </c>
      <c r="BW491" s="117">
        <v>0</v>
      </c>
      <c r="BX491" s="117">
        <v>0</v>
      </c>
      <c r="BY491" s="117" t="s">
        <v>1790</v>
      </c>
      <c r="BZ491" s="158" t="s">
        <v>2160</v>
      </c>
      <c r="CA491" s="144">
        <v>16</v>
      </c>
      <c r="CB491" s="235">
        <v>46248</v>
      </c>
      <c r="CC491" s="117"/>
      <c r="CD491" s="117"/>
      <c r="CE491" s="148"/>
      <c r="CF491" s="166">
        <f>+L491-CA491</f>
        <v>-8</v>
      </c>
    </row>
    <row r="492" spans="1:84" ht="36" hidden="1">
      <c r="A492" s="117"/>
      <c r="B492" s="209" t="s">
        <v>1846</v>
      </c>
      <c r="C492" s="209" t="s">
        <v>2130</v>
      </c>
      <c r="D492" s="209" t="s">
        <v>983</v>
      </c>
      <c r="E492" s="209" t="s">
        <v>1823</v>
      </c>
      <c r="F492" s="209" t="s">
        <v>981</v>
      </c>
      <c r="G492" s="209" t="s">
        <v>982</v>
      </c>
      <c r="H492" s="210"/>
      <c r="I492" s="211" t="s">
        <v>984</v>
      </c>
      <c r="J492" s="144">
        <v>1</v>
      </c>
      <c r="K492" s="145">
        <f t="shared" si="977"/>
        <v>8</v>
      </c>
      <c r="L492" s="202">
        <f t="shared" si="978"/>
        <v>8</v>
      </c>
      <c r="M492" s="212">
        <v>0.28160000000000007</v>
      </c>
      <c r="N492" s="203">
        <f t="shared" si="979"/>
        <v>2.2528000000000006</v>
      </c>
      <c r="O492" s="212" t="s">
        <v>137</v>
      </c>
      <c r="P492" s="212" t="s">
        <v>14</v>
      </c>
      <c r="Q492" s="212" t="s">
        <v>976</v>
      </c>
      <c r="R492" s="212"/>
      <c r="S492" s="212"/>
      <c r="T492" s="203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0</v>
      </c>
      <c r="U492" s="203">
        <f t="shared" ca="1" si="980"/>
        <v>8</v>
      </c>
      <c r="V492" s="203">
        <f t="shared" ca="1" si="981"/>
        <v>0</v>
      </c>
      <c r="W492" s="212"/>
      <c r="X492" s="212"/>
      <c r="Y492" s="212"/>
      <c r="Z492" s="212"/>
      <c r="AA492" s="212"/>
      <c r="AB492" s="212"/>
      <c r="AC492" s="214" t="s">
        <v>1980</v>
      </c>
      <c r="AD492" s="226" t="s">
        <v>1924</v>
      </c>
      <c r="AE492" s="148"/>
      <c r="AF492" s="212" t="str">
        <f t="shared" ref="AF492:AG492" si="1006">AF491</f>
        <v>N/A</v>
      </c>
      <c r="AG492" s="212">
        <f t="shared" si="1006"/>
        <v>0</v>
      </c>
      <c r="AH492" s="203">
        <f t="shared" si="983"/>
        <v>0</v>
      </c>
      <c r="AI492" s="203">
        <f t="shared" ca="1" si="984"/>
        <v>0</v>
      </c>
      <c r="AJ492" s="203">
        <f t="shared" ca="1" si="985"/>
        <v>0</v>
      </c>
      <c r="AK492" s="212" t="str">
        <f t="shared" ref="AK492:AL492" si="1007">AK491</f>
        <v>AMC2-S1</v>
      </c>
      <c r="AL492" s="212">
        <f t="shared" si="1007"/>
        <v>4</v>
      </c>
      <c r="AM492" s="203">
        <f t="shared" si="987"/>
        <v>4</v>
      </c>
      <c r="AN492" s="203">
        <f t="shared" ca="1" si="988"/>
        <v>0</v>
      </c>
      <c r="AO492" s="203">
        <f t="shared" ca="1" si="989"/>
        <v>4</v>
      </c>
      <c r="AP492" s="212" t="str">
        <f t="shared" ref="AP492:AQ492" si="1008">AP491</f>
        <v>AMC2-S4</v>
      </c>
      <c r="AQ492" s="212">
        <f t="shared" si="1008"/>
        <v>4</v>
      </c>
      <c r="AR492" s="203">
        <f t="shared" si="991"/>
        <v>4</v>
      </c>
      <c r="AS492" s="203">
        <f t="shared" ca="1" si="992"/>
        <v>0</v>
      </c>
      <c r="AT492" s="203">
        <f t="shared" ca="1" si="993"/>
        <v>4</v>
      </c>
      <c r="AU492" s="212" t="str">
        <f t="shared" ref="AU492:AV492" si="1009">AU491</f>
        <v>N/A</v>
      </c>
      <c r="AV492" s="212">
        <f t="shared" si="1009"/>
        <v>0</v>
      </c>
      <c r="AW492" s="203">
        <f t="shared" si="995"/>
        <v>0</v>
      </c>
      <c r="AX492" s="203">
        <f t="shared" ca="1" si="996"/>
        <v>0</v>
      </c>
      <c r="AY492" s="203">
        <f t="shared" ca="1" si="997"/>
        <v>0</v>
      </c>
      <c r="AZ492" s="212"/>
      <c r="BA492" s="213" t="s">
        <v>1981</v>
      </c>
      <c r="BB492" s="213" t="s">
        <v>1982</v>
      </c>
      <c r="BC492" s="213" t="s">
        <v>1983</v>
      </c>
      <c r="BD492" s="213" t="s">
        <v>140</v>
      </c>
      <c r="BE492" s="148"/>
      <c r="BF492" s="212"/>
      <c r="BG492" s="117"/>
      <c r="BH492" s="117"/>
      <c r="BI492" s="149"/>
      <c r="BJ492" s="149"/>
      <c r="BK492" s="149"/>
      <c r="BL492" s="149"/>
      <c r="BM492" s="149"/>
      <c r="BN492" s="149"/>
      <c r="BO492" s="149"/>
      <c r="BP492" s="149"/>
      <c r="BQ492" s="149"/>
      <c r="BR492" s="117" t="s">
        <v>140</v>
      </c>
      <c r="BS492" s="117" t="s">
        <v>140</v>
      </c>
      <c r="BT492" s="117" t="s">
        <v>140</v>
      </c>
      <c r="BU492" s="117" t="s">
        <v>140</v>
      </c>
      <c r="BV492" s="117" t="s">
        <v>140</v>
      </c>
      <c r="BW492" s="117" t="s">
        <v>140</v>
      </c>
      <c r="BX492" s="117" t="s">
        <v>140</v>
      </c>
      <c r="BY492" s="117" t="s">
        <v>14</v>
      </c>
      <c r="BZ492" s="117"/>
      <c r="CA492" s="117"/>
      <c r="CB492" s="149"/>
      <c r="CC492" s="117"/>
      <c r="CD492" s="117"/>
      <c r="CE492" s="148"/>
      <c r="CF492" s="148"/>
    </row>
    <row r="493" spans="1:84" ht="36" hidden="1">
      <c r="A493" s="162">
        <v>147</v>
      </c>
      <c r="B493" s="177" t="s">
        <v>1846</v>
      </c>
      <c r="C493" s="177" t="s">
        <v>2132</v>
      </c>
      <c r="D493" s="177" t="s">
        <v>1855</v>
      </c>
      <c r="E493" s="177"/>
      <c r="F493" s="177"/>
      <c r="G493" s="177" t="s">
        <v>1856</v>
      </c>
      <c r="H493" s="178"/>
      <c r="I493" s="179"/>
      <c r="J493" s="160"/>
      <c r="K493" s="180">
        <f>+AG493+AL493+AQ493+AV493</f>
        <v>8</v>
      </c>
      <c r="L493" s="160"/>
      <c r="M493" s="181">
        <v>17.2</v>
      </c>
      <c r="N493" s="181">
        <v>275.2</v>
      </c>
      <c r="O493" s="181" t="s">
        <v>137</v>
      </c>
      <c r="P493" s="181"/>
      <c r="Q493" s="181"/>
      <c r="R493" s="181"/>
      <c r="S493" s="181"/>
      <c r="T493" s="181"/>
      <c r="U493" s="181"/>
      <c r="V493" s="181"/>
      <c r="W493" s="181">
        <f ca="1">_xlfn.MINIFS(V:V,C:C,C493,AE:AE,"",AB:AB,"")</f>
        <v>0</v>
      </c>
      <c r="X493" s="181">
        <f ca="1">SUMIFS(T:T,C:C,C493,AE:AE,"")/SUMIFS(L:L,C:C,C493,AE:AE,"",AB:AB,"")</f>
        <v>0.3125</v>
      </c>
      <c r="Y493" s="181"/>
      <c r="Z493" s="181"/>
      <c r="AA493" s="181"/>
      <c r="AB493" s="181"/>
      <c r="AC493" s="228" t="s">
        <v>1980</v>
      </c>
      <c r="AD493" s="184" t="s">
        <v>1924</v>
      </c>
      <c r="AE493" s="162" t="s">
        <v>143</v>
      </c>
      <c r="AF493" s="181" t="s">
        <v>138</v>
      </c>
      <c r="AG493" s="181">
        <v>0</v>
      </c>
      <c r="AH493" s="181"/>
      <c r="AI493" s="181"/>
      <c r="AJ493" s="181"/>
      <c r="AK493" s="181" t="s">
        <v>1783</v>
      </c>
      <c r="AL493" s="181">
        <v>4</v>
      </c>
      <c r="AM493" s="181"/>
      <c r="AN493" s="181"/>
      <c r="AO493" s="181"/>
      <c r="AP493" s="181" t="s">
        <v>1922</v>
      </c>
      <c r="AQ493" s="181">
        <v>4</v>
      </c>
      <c r="AR493" s="181"/>
      <c r="AS493" s="181"/>
      <c r="AT493" s="181"/>
      <c r="AU493" s="181" t="s">
        <v>138</v>
      </c>
      <c r="AV493" s="181">
        <v>0</v>
      </c>
      <c r="AW493" s="181"/>
      <c r="AX493" s="181"/>
      <c r="AY493" s="181"/>
      <c r="AZ493" s="181"/>
      <c r="BA493" s="182" t="s">
        <v>1981</v>
      </c>
      <c r="BB493" s="182" t="s">
        <v>1982</v>
      </c>
      <c r="BC493" s="182" t="s">
        <v>1983</v>
      </c>
      <c r="BD493" s="182" t="s">
        <v>140</v>
      </c>
      <c r="BE493" s="162" t="s">
        <v>741</v>
      </c>
      <c r="BF493" s="181"/>
      <c r="BG493" s="161"/>
      <c r="BH493" s="161"/>
      <c r="BI493" s="163"/>
      <c r="BJ493" s="163"/>
      <c r="BK493" s="163"/>
      <c r="BL493" s="163"/>
      <c r="BM493" s="163"/>
      <c r="BN493" s="163"/>
      <c r="BO493" s="163"/>
      <c r="BP493" s="163"/>
      <c r="BQ493" s="163"/>
      <c r="BR493" s="161"/>
      <c r="BS493" s="161"/>
      <c r="BT493" s="161"/>
      <c r="BU493" s="161"/>
      <c r="BV493" s="161"/>
      <c r="BW493" s="161"/>
      <c r="BX493" s="161"/>
      <c r="BY493" s="161"/>
      <c r="BZ493" s="161"/>
      <c r="CA493" s="161"/>
      <c r="CB493" s="163"/>
      <c r="CC493" s="161"/>
      <c r="CD493" s="161"/>
      <c r="CE493" s="185"/>
      <c r="CF493" s="185"/>
    </row>
    <row r="494" spans="1:84" ht="36" hidden="1">
      <c r="A494" s="117"/>
      <c r="B494" s="209" t="s">
        <v>1846</v>
      </c>
      <c r="C494" s="209" t="s">
        <v>2132</v>
      </c>
      <c r="D494" s="209" t="s">
        <v>13</v>
      </c>
      <c r="E494" s="209" t="s">
        <v>1788</v>
      </c>
      <c r="F494" s="209" t="s">
        <v>990</v>
      </c>
      <c r="G494" s="209" t="s">
        <v>991</v>
      </c>
      <c r="H494" s="210">
        <v>200</v>
      </c>
      <c r="I494" s="211" t="s">
        <v>147</v>
      </c>
      <c r="J494" s="144">
        <v>1</v>
      </c>
      <c r="K494" s="145">
        <f t="shared" ref="K494:K495" si="1010">K493</f>
        <v>8</v>
      </c>
      <c r="L494" s="202">
        <f t="shared" ref="L494:L495" si="1011">+J494*K494</f>
        <v>8</v>
      </c>
      <c r="M494" s="212">
        <v>9.5</v>
      </c>
      <c r="N494" s="203">
        <f t="shared" ref="N494:N495" si="1012">+M494*L494</f>
        <v>76</v>
      </c>
      <c r="O494" s="212" t="s">
        <v>137</v>
      </c>
      <c r="P494" s="212" t="s">
        <v>13</v>
      </c>
      <c r="Q494" s="212" t="s">
        <v>148</v>
      </c>
      <c r="R494" s="212"/>
      <c r="S494" s="212"/>
      <c r="T494" s="203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1</v>
      </c>
      <c r="U494" s="203">
        <f t="shared" ref="U494:U495" ca="1" si="1013">+L494-T494</f>
        <v>7</v>
      </c>
      <c r="V494" s="203">
        <f t="shared" ref="V494:V495" ca="1" si="1014">ROUNDDOWN(T494/J494,0)</f>
        <v>1</v>
      </c>
      <c r="W494" s="212"/>
      <c r="X494" s="212"/>
      <c r="Y494" s="212"/>
      <c r="Z494" s="212"/>
      <c r="AA494" s="212"/>
      <c r="AB494" s="212"/>
      <c r="AC494" s="214" t="s">
        <v>1980</v>
      </c>
      <c r="AD494" s="226" t="s">
        <v>1924</v>
      </c>
      <c r="AE494" s="148"/>
      <c r="AF494" s="212" t="str">
        <f t="shared" ref="AF494:AG494" si="1015">AF493</f>
        <v>N/A</v>
      </c>
      <c r="AG494" s="212">
        <f t="shared" si="1015"/>
        <v>0</v>
      </c>
      <c r="AH494" s="203">
        <f t="shared" ref="AH494:AH495" si="1016">+AG494*J494</f>
        <v>0</v>
      </c>
      <c r="AI494" s="203">
        <f t="shared" ref="AI494:AI495" ca="1" si="1017">MIN(T494,AH494)</f>
        <v>0</v>
      </c>
      <c r="AJ494" s="203">
        <f t="shared" ref="AJ494:AJ495" ca="1" si="1018">+AH494-AI494</f>
        <v>0</v>
      </c>
      <c r="AK494" s="212" t="str">
        <f t="shared" ref="AK494:AL494" si="1019">AK493</f>
        <v>AMC2-S1</v>
      </c>
      <c r="AL494" s="212">
        <f t="shared" si="1019"/>
        <v>4</v>
      </c>
      <c r="AM494" s="203">
        <f t="shared" ref="AM494:AM495" si="1020">+AL494*J494</f>
        <v>4</v>
      </c>
      <c r="AN494" s="203">
        <f t="shared" ref="AN494:AN495" ca="1" si="1021">MIN(T494-AI494,AL494)</f>
        <v>1</v>
      </c>
      <c r="AO494" s="203">
        <f t="shared" ref="AO494:AO495" ca="1" si="1022">+AM494-AN494</f>
        <v>3</v>
      </c>
      <c r="AP494" s="212" t="str">
        <f t="shared" ref="AP494:AQ494" si="1023">AP493</f>
        <v>AMC2-S4</v>
      </c>
      <c r="AQ494" s="212">
        <f t="shared" si="1023"/>
        <v>4</v>
      </c>
      <c r="AR494" s="203">
        <f t="shared" ref="AR494:AR495" si="1024">+AQ494*J494</f>
        <v>4</v>
      </c>
      <c r="AS494" s="203">
        <f t="shared" ref="AS494:AS495" ca="1" si="1025">MIN(T494-AI494-AN494,AR494)</f>
        <v>0</v>
      </c>
      <c r="AT494" s="203">
        <f t="shared" ref="AT494:AT495" ca="1" si="1026">+AR494-AS494</f>
        <v>4</v>
      </c>
      <c r="AU494" s="212" t="str">
        <f t="shared" ref="AU494:AV494" si="1027">AU493</f>
        <v>N/A</v>
      </c>
      <c r="AV494" s="212">
        <f t="shared" si="1027"/>
        <v>0</v>
      </c>
      <c r="AW494" s="203">
        <f t="shared" ref="AW494:AW495" si="1028">+AV494*J494</f>
        <v>0</v>
      </c>
      <c r="AX494" s="203">
        <f t="shared" ref="AX494:AX495" ca="1" si="1029">MIN(T494-AI494-AN494-AS494,AW494)</f>
        <v>0</v>
      </c>
      <c r="AY494" s="203">
        <f t="shared" ref="AY494:AY495" ca="1" si="1030">+AW494-AX494</f>
        <v>0</v>
      </c>
      <c r="AZ494" s="212"/>
      <c r="BA494" s="213" t="s">
        <v>1981</v>
      </c>
      <c r="BB494" s="213" t="s">
        <v>1982</v>
      </c>
      <c r="BC494" s="213" t="s">
        <v>1983</v>
      </c>
      <c r="BD494" s="213" t="s">
        <v>140</v>
      </c>
      <c r="BE494" s="148"/>
      <c r="BF494" s="212" t="s">
        <v>1789</v>
      </c>
      <c r="BG494" s="117"/>
      <c r="BH494" s="117"/>
      <c r="BI494" s="149"/>
      <c r="BJ494" s="149"/>
      <c r="BK494" s="149"/>
      <c r="BL494" s="149"/>
      <c r="BM494" s="149"/>
      <c r="BN494" s="149"/>
      <c r="BO494" s="149"/>
      <c r="BP494" s="149"/>
      <c r="BQ494" s="149"/>
      <c r="BR494" s="117">
        <v>0</v>
      </c>
      <c r="BS494" s="117">
        <v>0</v>
      </c>
      <c r="BT494" s="117">
        <v>0</v>
      </c>
      <c r="BU494" s="117">
        <v>1</v>
      </c>
      <c r="BV494" s="117">
        <v>0</v>
      </c>
      <c r="BW494" s="117">
        <v>0</v>
      </c>
      <c r="BX494" s="117">
        <v>0</v>
      </c>
      <c r="BY494" s="117" t="s">
        <v>1790</v>
      </c>
      <c r="BZ494" s="158" t="s">
        <v>2198</v>
      </c>
      <c r="CA494" s="158">
        <v>16</v>
      </c>
      <c r="CB494" s="235">
        <v>46231</v>
      </c>
      <c r="CC494" s="117"/>
      <c r="CD494" s="117"/>
      <c r="CE494" s="148"/>
      <c r="CF494" s="166">
        <f>+L494-CA494</f>
        <v>-8</v>
      </c>
    </row>
    <row r="495" spans="1:84" ht="36" hidden="1">
      <c r="A495" s="117"/>
      <c r="B495" s="209" t="s">
        <v>1846</v>
      </c>
      <c r="C495" s="209" t="s">
        <v>2132</v>
      </c>
      <c r="D495" s="209" t="s">
        <v>13</v>
      </c>
      <c r="E495" s="209" t="s">
        <v>1791</v>
      </c>
      <c r="F495" s="209" t="s">
        <v>995</v>
      </c>
      <c r="G495" s="209" t="s">
        <v>996</v>
      </c>
      <c r="H495" s="210">
        <v>170</v>
      </c>
      <c r="I495" s="211" t="s">
        <v>147</v>
      </c>
      <c r="J495" s="144">
        <v>1</v>
      </c>
      <c r="K495" s="145">
        <f t="shared" si="1010"/>
        <v>8</v>
      </c>
      <c r="L495" s="202">
        <f t="shared" si="1011"/>
        <v>8</v>
      </c>
      <c r="M495" s="212">
        <v>8</v>
      </c>
      <c r="N495" s="203">
        <f t="shared" si="1012"/>
        <v>64</v>
      </c>
      <c r="O495" s="212" t="s">
        <v>137</v>
      </c>
      <c r="P495" s="212" t="s">
        <v>13</v>
      </c>
      <c r="Q495" s="212" t="s">
        <v>148</v>
      </c>
      <c r="R495" s="212"/>
      <c r="S495" s="212"/>
      <c r="T495" s="203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1</v>
      </c>
      <c r="U495" s="203">
        <f t="shared" ca="1" si="1013"/>
        <v>7</v>
      </c>
      <c r="V495" s="203">
        <f t="shared" ca="1" si="1014"/>
        <v>1</v>
      </c>
      <c r="W495" s="212"/>
      <c r="X495" s="212"/>
      <c r="Y495" s="212"/>
      <c r="Z495" s="212"/>
      <c r="AA495" s="212"/>
      <c r="AB495" s="212"/>
      <c r="AC495" s="214" t="s">
        <v>1980</v>
      </c>
      <c r="AD495" s="226" t="s">
        <v>1924</v>
      </c>
      <c r="AE495" s="148"/>
      <c r="AF495" s="212" t="str">
        <f t="shared" ref="AF495:AG495" si="1031">AF494</f>
        <v>N/A</v>
      </c>
      <c r="AG495" s="212">
        <f t="shared" si="1031"/>
        <v>0</v>
      </c>
      <c r="AH495" s="203">
        <f t="shared" si="1016"/>
        <v>0</v>
      </c>
      <c r="AI495" s="203">
        <f t="shared" ca="1" si="1017"/>
        <v>0</v>
      </c>
      <c r="AJ495" s="203">
        <f t="shared" ca="1" si="1018"/>
        <v>0</v>
      </c>
      <c r="AK495" s="212" t="str">
        <f t="shared" ref="AK495:AL495" si="1032">AK494</f>
        <v>AMC2-S1</v>
      </c>
      <c r="AL495" s="212">
        <f t="shared" si="1032"/>
        <v>4</v>
      </c>
      <c r="AM495" s="203">
        <f t="shared" si="1020"/>
        <v>4</v>
      </c>
      <c r="AN495" s="203">
        <f t="shared" ca="1" si="1021"/>
        <v>1</v>
      </c>
      <c r="AO495" s="203">
        <f t="shared" ca="1" si="1022"/>
        <v>3</v>
      </c>
      <c r="AP495" s="212" t="str">
        <f t="shared" ref="AP495:AQ495" si="1033">AP494</f>
        <v>AMC2-S4</v>
      </c>
      <c r="AQ495" s="212">
        <f t="shared" si="1033"/>
        <v>4</v>
      </c>
      <c r="AR495" s="203">
        <f t="shared" si="1024"/>
        <v>4</v>
      </c>
      <c r="AS495" s="203">
        <f t="shared" ca="1" si="1025"/>
        <v>0</v>
      </c>
      <c r="AT495" s="203">
        <f t="shared" ca="1" si="1026"/>
        <v>4</v>
      </c>
      <c r="AU495" s="212" t="str">
        <f t="shared" ref="AU495:AV495" si="1034">AU494</f>
        <v>N/A</v>
      </c>
      <c r="AV495" s="212">
        <f t="shared" si="1034"/>
        <v>0</v>
      </c>
      <c r="AW495" s="203">
        <f t="shared" si="1028"/>
        <v>0</v>
      </c>
      <c r="AX495" s="203">
        <f t="shared" ca="1" si="1029"/>
        <v>0</v>
      </c>
      <c r="AY495" s="203">
        <f t="shared" ca="1" si="1030"/>
        <v>0</v>
      </c>
      <c r="AZ495" s="212"/>
      <c r="BA495" s="213" t="s">
        <v>1981</v>
      </c>
      <c r="BB495" s="213" t="s">
        <v>1982</v>
      </c>
      <c r="BC495" s="213" t="s">
        <v>1983</v>
      </c>
      <c r="BD495" s="213" t="s">
        <v>140</v>
      </c>
      <c r="BE495" s="148"/>
      <c r="BF495" s="212" t="s">
        <v>1789</v>
      </c>
      <c r="BG495" s="117"/>
      <c r="BH495" s="117"/>
      <c r="BI495" s="149"/>
      <c r="BJ495" s="149"/>
      <c r="BK495" s="149"/>
      <c r="BL495" s="149"/>
      <c r="BM495" s="149"/>
      <c r="BN495" s="149"/>
      <c r="BO495" s="149"/>
      <c r="BP495" s="149"/>
      <c r="BQ495" s="149"/>
      <c r="BR495" s="117">
        <v>0</v>
      </c>
      <c r="BS495" s="117">
        <v>0</v>
      </c>
      <c r="BT495" s="117">
        <v>0</v>
      </c>
      <c r="BU495" s="117">
        <v>1</v>
      </c>
      <c r="BV495" s="117">
        <v>0</v>
      </c>
      <c r="BW495" s="117">
        <v>0</v>
      </c>
      <c r="BX495" s="117">
        <v>0</v>
      </c>
      <c r="BY495" s="117" t="s">
        <v>1790</v>
      </c>
      <c r="BZ495" s="158" t="s">
        <v>2198</v>
      </c>
      <c r="CA495" s="158">
        <v>16</v>
      </c>
      <c r="CB495" s="235">
        <v>46231</v>
      </c>
      <c r="CC495" s="117"/>
      <c r="CD495" s="117"/>
      <c r="CE495" s="148"/>
      <c r="CF495" s="166">
        <f>+L495-CA495</f>
        <v>-8</v>
      </c>
    </row>
    <row r="496" spans="1:84" ht="36" hidden="1">
      <c r="A496" s="162">
        <v>148</v>
      </c>
      <c r="B496" s="177" t="s">
        <v>1985</v>
      </c>
      <c r="C496" s="177" t="s">
        <v>2134</v>
      </c>
      <c r="D496" s="177" t="s">
        <v>1858</v>
      </c>
      <c r="E496" s="177"/>
      <c r="F496" s="177"/>
      <c r="G496" s="177" t="s">
        <v>1859</v>
      </c>
      <c r="H496" s="178"/>
      <c r="I496" s="179" t="s">
        <v>147</v>
      </c>
      <c r="J496" s="160"/>
      <c r="K496" s="180">
        <f t="shared" ref="K496:K498" si="1035">+AG496+AL496+AQ496+AV496</f>
        <v>4</v>
      </c>
      <c r="L496" s="160"/>
      <c r="M496" s="181">
        <v>5.3</v>
      </c>
      <c r="N496" s="181">
        <v>42.4</v>
      </c>
      <c r="O496" s="181" t="s">
        <v>137</v>
      </c>
      <c r="P496" s="181"/>
      <c r="Q496" s="181"/>
      <c r="R496" s="181"/>
      <c r="S496" s="181"/>
      <c r="T496" s="181"/>
      <c r="U496" s="181"/>
      <c r="V496" s="181"/>
      <c r="W496" s="181">
        <f>_xlfn.MINIFS(V:V,C:C,C496,AE:AE,"",AB:AB,"")</f>
        <v>0</v>
      </c>
      <c r="X496" s="181" t="e">
        <f>SUMIFS(T:T,C:C,C496,AE:AE,"")/SUMIFS(L:L,C:C,C496,AE:AE,"",AB:AB,"")</f>
        <v>#DIV/0!</v>
      </c>
      <c r="Y496" s="181"/>
      <c r="Z496" s="181"/>
      <c r="AA496" s="181"/>
      <c r="AB496" s="181"/>
      <c r="AC496" s="228" t="s">
        <v>1986</v>
      </c>
      <c r="AD496" s="184" t="s">
        <v>1924</v>
      </c>
      <c r="AE496" s="162" t="s">
        <v>143</v>
      </c>
      <c r="AF496" s="181" t="s">
        <v>138</v>
      </c>
      <c r="AG496" s="181">
        <v>0</v>
      </c>
      <c r="AH496" s="181"/>
      <c r="AI496" s="181"/>
      <c r="AJ496" s="181"/>
      <c r="AK496" s="181" t="s">
        <v>1783</v>
      </c>
      <c r="AL496" s="181">
        <v>2</v>
      </c>
      <c r="AM496" s="181"/>
      <c r="AN496" s="181">
        <v>2</v>
      </c>
      <c r="AO496" s="181"/>
      <c r="AP496" s="181" t="s">
        <v>1922</v>
      </c>
      <c r="AQ496" s="181">
        <v>2</v>
      </c>
      <c r="AR496" s="181"/>
      <c r="AS496" s="181">
        <v>2</v>
      </c>
      <c r="AT496" s="181"/>
      <c r="AU496" s="181" t="s">
        <v>138</v>
      </c>
      <c r="AV496" s="181">
        <v>0</v>
      </c>
      <c r="AW496" s="181"/>
      <c r="AX496" s="181"/>
      <c r="AY496" s="181"/>
      <c r="AZ496" s="181"/>
      <c r="BA496" s="182" t="s">
        <v>1987</v>
      </c>
      <c r="BB496" s="182" t="s">
        <v>1988</v>
      </c>
      <c r="BC496" s="182" t="s">
        <v>1989</v>
      </c>
      <c r="BD496" s="182" t="s">
        <v>140</v>
      </c>
      <c r="BE496" s="162" t="s">
        <v>741</v>
      </c>
      <c r="BF496" s="181"/>
      <c r="BG496" s="161"/>
      <c r="BH496" s="161"/>
      <c r="BI496" s="163"/>
      <c r="BJ496" s="163"/>
      <c r="BK496" s="163"/>
      <c r="BL496" s="163"/>
      <c r="BM496" s="163"/>
      <c r="BN496" s="163"/>
      <c r="BO496" s="163"/>
      <c r="BP496" s="163"/>
      <c r="BQ496" s="163"/>
      <c r="BR496" s="161"/>
      <c r="BS496" s="161"/>
      <c r="BT496" s="161"/>
      <c r="BU496" s="161"/>
      <c r="BV496" s="161"/>
      <c r="BW496" s="161"/>
      <c r="BX496" s="161"/>
      <c r="BY496" s="161"/>
      <c r="BZ496" s="161"/>
      <c r="CA496" s="161"/>
      <c r="CB496" s="163"/>
      <c r="CC496" s="161"/>
      <c r="CD496" s="161"/>
      <c r="CE496" s="185"/>
      <c r="CF496" s="185"/>
    </row>
    <row r="497" spans="1:84" ht="36" hidden="1">
      <c r="A497" s="162">
        <v>149</v>
      </c>
      <c r="B497" s="177" t="s">
        <v>1985</v>
      </c>
      <c r="C497" s="177" t="s">
        <v>2135</v>
      </c>
      <c r="D497" s="177" t="s">
        <v>1858</v>
      </c>
      <c r="E497" s="177"/>
      <c r="F497" s="177"/>
      <c r="G497" s="177" t="s">
        <v>1860</v>
      </c>
      <c r="H497" s="178"/>
      <c r="I497" s="179" t="s">
        <v>147</v>
      </c>
      <c r="J497" s="160"/>
      <c r="K497" s="180">
        <f t="shared" si="1035"/>
        <v>2</v>
      </c>
      <c r="L497" s="160"/>
      <c r="M497" s="181">
        <v>7.5</v>
      </c>
      <c r="N497" s="181">
        <v>300</v>
      </c>
      <c r="O497" s="181" t="s">
        <v>137</v>
      </c>
      <c r="P497" s="181"/>
      <c r="Q497" s="181"/>
      <c r="R497" s="181"/>
      <c r="S497" s="181"/>
      <c r="T497" s="181"/>
      <c r="U497" s="181"/>
      <c r="V497" s="181"/>
      <c r="W497" s="181">
        <f>_xlfn.MINIFS(V:V,C:C,C497,AE:AE,"",AB:AB,"")</f>
        <v>0</v>
      </c>
      <c r="X497" s="181" t="e">
        <f>SUMIFS(T:T,C:C,C497,AE:AE,"")/SUMIFS(L:L,C:C,C497,AE:AE,"",AB:AB,"")</f>
        <v>#DIV/0!</v>
      </c>
      <c r="Y497" s="181"/>
      <c r="Z497" s="181"/>
      <c r="AA497" s="181"/>
      <c r="AB497" s="181"/>
      <c r="AC497" s="228" t="s">
        <v>1990</v>
      </c>
      <c r="AD497" s="184" t="s">
        <v>1924</v>
      </c>
      <c r="AE497" s="162" t="s">
        <v>143</v>
      </c>
      <c r="AF497" s="181" t="s">
        <v>138</v>
      </c>
      <c r="AG497" s="181">
        <v>0</v>
      </c>
      <c r="AH497" s="181"/>
      <c r="AI497" s="181"/>
      <c r="AJ497" s="181"/>
      <c r="AK497" s="181" t="s">
        <v>1783</v>
      </c>
      <c r="AL497" s="181">
        <v>1</v>
      </c>
      <c r="AM497" s="181"/>
      <c r="AN497" s="181"/>
      <c r="AO497" s="181"/>
      <c r="AP497" s="181" t="s">
        <v>1922</v>
      </c>
      <c r="AQ497" s="181">
        <v>1</v>
      </c>
      <c r="AR497" s="181"/>
      <c r="AS497" s="181"/>
      <c r="AT497" s="181"/>
      <c r="AU497" s="181" t="s">
        <v>138</v>
      </c>
      <c r="AV497" s="181">
        <v>0</v>
      </c>
      <c r="AW497" s="181"/>
      <c r="AX497" s="181"/>
      <c r="AY497" s="181"/>
      <c r="AZ497" s="181"/>
      <c r="BA497" s="182" t="s">
        <v>1991</v>
      </c>
      <c r="BB497" s="182" t="s">
        <v>1992</v>
      </c>
      <c r="BC497" s="182" t="s">
        <v>1993</v>
      </c>
      <c r="BD497" s="182" t="s">
        <v>140</v>
      </c>
      <c r="BE497" s="162" t="s">
        <v>741</v>
      </c>
      <c r="BF497" s="181"/>
      <c r="BG497" s="161"/>
      <c r="BH497" s="161"/>
      <c r="BI497" s="163"/>
      <c r="BJ497" s="163"/>
      <c r="BK497" s="163"/>
      <c r="BL497" s="163"/>
      <c r="BM497" s="163"/>
      <c r="BN497" s="163"/>
      <c r="BO497" s="163"/>
      <c r="BP497" s="163"/>
      <c r="BQ497" s="163"/>
      <c r="BR497" s="161"/>
      <c r="BS497" s="161"/>
      <c r="BT497" s="161"/>
      <c r="BU497" s="161"/>
      <c r="BV497" s="161"/>
      <c r="BW497" s="161"/>
      <c r="BX497" s="161"/>
      <c r="BY497" s="161"/>
      <c r="BZ497" s="161"/>
      <c r="CA497" s="161"/>
      <c r="CB497" s="163"/>
      <c r="CC497" s="161"/>
      <c r="CD497" s="161"/>
      <c r="CE497" s="185"/>
      <c r="CF497" s="185"/>
    </row>
    <row r="498" spans="1:84" ht="36" hidden="1">
      <c r="A498" s="162">
        <v>150</v>
      </c>
      <c r="B498" s="177" t="s">
        <v>1846</v>
      </c>
      <c r="C498" s="177" t="s">
        <v>2136</v>
      </c>
      <c r="D498" s="177" t="s">
        <v>1861</v>
      </c>
      <c r="E498" s="177"/>
      <c r="F498" s="177"/>
      <c r="G498" s="177" t="s">
        <v>1862</v>
      </c>
      <c r="H498" s="178"/>
      <c r="I498" s="179" t="s">
        <v>147</v>
      </c>
      <c r="J498" s="160"/>
      <c r="K498" s="180">
        <f t="shared" si="1035"/>
        <v>2</v>
      </c>
      <c r="L498" s="160"/>
      <c r="M498" s="181">
        <v>0.5</v>
      </c>
      <c r="N498" s="181">
        <v>20</v>
      </c>
      <c r="O498" s="181" t="s">
        <v>137</v>
      </c>
      <c r="P498" s="181"/>
      <c r="Q498" s="181"/>
      <c r="R498" s="181"/>
      <c r="S498" s="181"/>
      <c r="T498" s="181"/>
      <c r="U498" s="181"/>
      <c r="V498" s="181"/>
      <c r="W498" s="181">
        <f ca="1">_xlfn.MINIFS(V:V,C:C,C498,AE:AE,"",AB:AB,"")</f>
        <v>0</v>
      </c>
      <c r="X498" s="181">
        <f ca="1">SUMIFS(T:T,C:C,C498,AE:AE,"")/SUMIFS(L:L,C:C,C498,AE:AE,"",AB:AB,"")</f>
        <v>0.45454545454545453</v>
      </c>
      <c r="Y498" s="181"/>
      <c r="Z498" s="181"/>
      <c r="AA498" s="181"/>
      <c r="AB498" s="181"/>
      <c r="AC498" s="228" t="s">
        <v>1990</v>
      </c>
      <c r="AD498" s="184" t="s">
        <v>1924</v>
      </c>
      <c r="AE498" s="162" t="s">
        <v>143</v>
      </c>
      <c r="AF498" s="181" t="s">
        <v>138</v>
      </c>
      <c r="AG498" s="181">
        <v>0</v>
      </c>
      <c r="AH498" s="181"/>
      <c r="AI498" s="181"/>
      <c r="AJ498" s="181"/>
      <c r="AK498" s="181" t="s">
        <v>1783</v>
      </c>
      <c r="AL498" s="181">
        <v>1</v>
      </c>
      <c r="AM498" s="181"/>
      <c r="AN498" s="181"/>
      <c r="AO498" s="181"/>
      <c r="AP498" s="181" t="s">
        <v>1922</v>
      </c>
      <c r="AQ498" s="181">
        <v>1</v>
      </c>
      <c r="AR498" s="181"/>
      <c r="AS498" s="181"/>
      <c r="AT498" s="181"/>
      <c r="AU498" s="181" t="s">
        <v>138</v>
      </c>
      <c r="AV498" s="181">
        <v>0</v>
      </c>
      <c r="AW498" s="181"/>
      <c r="AX498" s="181"/>
      <c r="AY498" s="181"/>
      <c r="AZ498" s="179"/>
      <c r="BA498" s="182" t="s">
        <v>1991</v>
      </c>
      <c r="BB498" s="182" t="s">
        <v>1992</v>
      </c>
      <c r="BC498" s="182" t="s">
        <v>1993</v>
      </c>
      <c r="BD498" s="182" t="s">
        <v>140</v>
      </c>
      <c r="BE498" s="162" t="s">
        <v>741</v>
      </c>
      <c r="BF498" s="181"/>
      <c r="BG498" s="161"/>
      <c r="BH498" s="161"/>
      <c r="BI498" s="163"/>
      <c r="BJ498" s="163"/>
      <c r="BK498" s="163"/>
      <c r="BL498" s="163"/>
      <c r="BM498" s="163"/>
      <c r="BN498" s="163"/>
      <c r="BO498" s="163"/>
      <c r="BP498" s="163"/>
      <c r="BQ498" s="163"/>
      <c r="BR498" s="161"/>
      <c r="BS498" s="161"/>
      <c r="BT498" s="161"/>
      <c r="BU498" s="161"/>
      <c r="BV498" s="161"/>
      <c r="BW498" s="161"/>
      <c r="BX498" s="161"/>
      <c r="BY498" s="161"/>
      <c r="BZ498" s="161"/>
      <c r="CA498" s="161"/>
      <c r="CB498" s="163"/>
      <c r="CC498" s="161"/>
      <c r="CD498" s="161"/>
      <c r="CE498" s="185"/>
      <c r="CF498" s="185"/>
    </row>
    <row r="499" spans="1:84" ht="36" hidden="1">
      <c r="A499" s="117"/>
      <c r="B499" s="209" t="s">
        <v>1846</v>
      </c>
      <c r="C499" s="209" t="s">
        <v>2136</v>
      </c>
      <c r="D499" s="209" t="s">
        <v>954</v>
      </c>
      <c r="E499" s="209" t="s">
        <v>1788</v>
      </c>
      <c r="F499" s="209" t="s">
        <v>997</v>
      </c>
      <c r="G499" s="209" t="s">
        <v>998</v>
      </c>
      <c r="H499" s="210">
        <v>640</v>
      </c>
      <c r="I499" s="211" t="s">
        <v>147</v>
      </c>
      <c r="J499" s="144">
        <v>1</v>
      </c>
      <c r="K499" s="145">
        <f>K498</f>
        <v>2</v>
      </c>
      <c r="L499" s="202">
        <f>+J499*K499</f>
        <v>2</v>
      </c>
      <c r="M499" s="212">
        <v>0.5</v>
      </c>
      <c r="N499" s="203">
        <f>+M499*L499</f>
        <v>1</v>
      </c>
      <c r="O499" s="212" t="s">
        <v>137</v>
      </c>
      <c r="P499" s="212" t="s">
        <v>13</v>
      </c>
      <c r="Q499" s="212" t="s">
        <v>148</v>
      </c>
      <c r="R499" s="212"/>
      <c r="S499" s="212"/>
      <c r="T499" s="203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0</v>
      </c>
      <c r="U499" s="203">
        <f t="shared" ref="U499" ca="1" si="1036">+L499-T499</f>
        <v>2</v>
      </c>
      <c r="V499" s="203">
        <f t="shared" ref="V499" ca="1" si="1037">ROUNDDOWN(T499/J499,0)</f>
        <v>0</v>
      </c>
      <c r="W499" s="212"/>
      <c r="X499" s="212"/>
      <c r="Y499" s="212"/>
      <c r="Z499" s="212"/>
      <c r="AA499" s="212"/>
      <c r="AB499" s="212"/>
      <c r="AC499" s="214" t="s">
        <v>1990</v>
      </c>
      <c r="AD499" s="226" t="s">
        <v>1924</v>
      </c>
      <c r="AE499" s="148"/>
      <c r="AF499" s="212" t="str">
        <f t="shared" ref="AF499:AG499" si="1038">AF498</f>
        <v>N/A</v>
      </c>
      <c r="AG499" s="212">
        <f t="shared" si="1038"/>
        <v>0</v>
      </c>
      <c r="AH499" s="203">
        <f>+AG499*J499</f>
        <v>0</v>
      </c>
      <c r="AI499" s="203">
        <f ca="1">MIN(T499,AH499)</f>
        <v>0</v>
      </c>
      <c r="AJ499" s="203">
        <f ca="1">+AH499-AI499</f>
        <v>0</v>
      </c>
      <c r="AK499" s="212" t="str">
        <f t="shared" ref="AK499:AL499" si="1039">AK498</f>
        <v>AMC2-S1</v>
      </c>
      <c r="AL499" s="212">
        <f t="shared" si="1039"/>
        <v>1</v>
      </c>
      <c r="AM499" s="203">
        <f>+AL499*J499</f>
        <v>1</v>
      </c>
      <c r="AN499" s="203">
        <f ca="1">MIN(T499-AI499,AL499)</f>
        <v>0</v>
      </c>
      <c r="AO499" s="203">
        <f ca="1">+AM499-AN499</f>
        <v>1</v>
      </c>
      <c r="AP499" s="212" t="str">
        <f t="shared" ref="AP499:AQ499" si="1040">AP498</f>
        <v>AMC2-S4</v>
      </c>
      <c r="AQ499" s="212">
        <f t="shared" si="1040"/>
        <v>1</v>
      </c>
      <c r="AR499" s="203">
        <f>+AQ499*J499</f>
        <v>1</v>
      </c>
      <c r="AS499" s="203">
        <f ca="1">MIN(T499-AI499-AN499,AR499)</f>
        <v>0</v>
      </c>
      <c r="AT499" s="203">
        <f ca="1">+AR499-AS499</f>
        <v>1</v>
      </c>
      <c r="AU499" s="212" t="str">
        <f t="shared" ref="AU499:AV499" si="1041">AU498</f>
        <v>N/A</v>
      </c>
      <c r="AV499" s="212">
        <f t="shared" si="1041"/>
        <v>0</v>
      </c>
      <c r="AW499" s="203">
        <f>+AV499*J499</f>
        <v>0</v>
      </c>
      <c r="AX499" s="203">
        <f ca="1">MIN(T499-AI499-AN499-AS499,AW499)</f>
        <v>0</v>
      </c>
      <c r="AY499" s="203">
        <f ca="1">+AW499-AX499</f>
        <v>0</v>
      </c>
      <c r="AZ499" s="212"/>
      <c r="BA499" s="213" t="s">
        <v>1991</v>
      </c>
      <c r="BB499" s="213" t="s">
        <v>1992</v>
      </c>
      <c r="BC499" s="213" t="s">
        <v>1993</v>
      </c>
      <c r="BD499" s="213" t="s">
        <v>140</v>
      </c>
      <c r="BE499" s="148"/>
      <c r="BF499" s="212" t="s">
        <v>1789</v>
      </c>
      <c r="BG499" s="117"/>
      <c r="BH499" s="117"/>
      <c r="BI499" s="149"/>
      <c r="BJ499" s="149"/>
      <c r="BK499" s="149"/>
      <c r="BL499" s="149"/>
      <c r="BM499" s="149"/>
      <c r="BN499" s="149"/>
      <c r="BO499" s="149"/>
      <c r="BP499" s="149"/>
      <c r="BQ499" s="149"/>
      <c r="BR499" s="117">
        <v>0</v>
      </c>
      <c r="BS499" s="117">
        <v>0</v>
      </c>
      <c r="BT499" s="117">
        <v>0</v>
      </c>
      <c r="BU499" s="117">
        <v>0</v>
      </c>
      <c r="BV499" s="117">
        <v>0</v>
      </c>
      <c r="BW499" s="117">
        <v>0</v>
      </c>
      <c r="BX499" s="117">
        <v>0</v>
      </c>
      <c r="BY499" s="117" t="s">
        <v>1790</v>
      </c>
      <c r="BZ499" s="158" t="s">
        <v>2199</v>
      </c>
      <c r="CA499" s="158">
        <v>40</v>
      </c>
      <c r="CB499" s="234">
        <v>46213</v>
      </c>
      <c r="CC499" s="117"/>
      <c r="CD499" s="117"/>
      <c r="CE499" s="148"/>
      <c r="CF499" s="166">
        <f>+L499-CA499</f>
        <v>-38</v>
      </c>
    </row>
    <row r="500" spans="1:84" ht="36" hidden="1">
      <c r="A500" s="162">
        <v>151</v>
      </c>
      <c r="B500" s="177" t="s">
        <v>1846</v>
      </c>
      <c r="C500" s="177" t="s">
        <v>2200</v>
      </c>
      <c r="D500" s="177" t="s">
        <v>1994</v>
      </c>
      <c r="E500" s="177"/>
      <c r="F500" s="177"/>
      <c r="G500" s="177" t="s">
        <v>1995</v>
      </c>
      <c r="H500" s="178"/>
      <c r="I500" s="179" t="s">
        <v>147</v>
      </c>
      <c r="J500" s="160"/>
      <c r="K500" s="180">
        <v>40</v>
      </c>
      <c r="L500" s="160"/>
      <c r="M500" s="181">
        <v>0.3</v>
      </c>
      <c r="N500" s="181">
        <v>24</v>
      </c>
      <c r="O500" s="181" t="s">
        <v>137</v>
      </c>
      <c r="P500" s="181"/>
      <c r="Q500" s="181"/>
      <c r="R500" s="181"/>
      <c r="S500" s="181"/>
      <c r="T500" s="181"/>
      <c r="U500" s="181"/>
      <c r="V500" s="181"/>
      <c r="W500" s="181">
        <f>_xlfn.MINIFS(V:V,C:C,C500,AE:AE,"",AB:AB,"")</f>
        <v>0</v>
      </c>
      <c r="X500" s="181" t="e">
        <f>SUMIFS(T:T,C:C,C500,AE:AE,"")/SUMIFS(L:L,C:C,C500,AE:AE,"",AB:AB,"")</f>
        <v>#DIV/0!</v>
      </c>
      <c r="Y500" s="181"/>
      <c r="Z500" s="181"/>
      <c r="AA500" s="181"/>
      <c r="AB500" s="181"/>
      <c r="AC500" s="228" t="s">
        <v>1996</v>
      </c>
      <c r="AD500" s="184" t="s">
        <v>1924</v>
      </c>
      <c r="AE500" s="162" t="s">
        <v>143</v>
      </c>
      <c r="AF500" s="181" t="s">
        <v>138</v>
      </c>
      <c r="AG500" s="181">
        <v>0</v>
      </c>
      <c r="AH500" s="181"/>
      <c r="AI500" s="181"/>
      <c r="AJ500" s="181"/>
      <c r="AK500" s="181" t="s">
        <v>1783</v>
      </c>
      <c r="AL500" s="181">
        <v>20</v>
      </c>
      <c r="AM500" s="181"/>
      <c r="AN500" s="181">
        <v>20</v>
      </c>
      <c r="AO500" s="181"/>
      <c r="AP500" s="181" t="s">
        <v>1922</v>
      </c>
      <c r="AQ500" s="181">
        <v>20</v>
      </c>
      <c r="AR500" s="181"/>
      <c r="AS500" s="181">
        <v>20</v>
      </c>
      <c r="AT500" s="181"/>
      <c r="AU500" s="181" t="s">
        <v>138</v>
      </c>
      <c r="AV500" s="181">
        <v>0</v>
      </c>
      <c r="AW500" s="181"/>
      <c r="AX500" s="181"/>
      <c r="AY500" s="181"/>
      <c r="AZ500" s="181"/>
      <c r="BA500" s="182" t="s">
        <v>1997</v>
      </c>
      <c r="BB500" s="182" t="s">
        <v>1998</v>
      </c>
      <c r="BC500" s="182" t="s">
        <v>1999</v>
      </c>
      <c r="BD500" s="182" t="s">
        <v>140</v>
      </c>
      <c r="BE500" s="162" t="s">
        <v>741</v>
      </c>
      <c r="BF500" s="181"/>
      <c r="BG500" s="161"/>
      <c r="BH500" s="161"/>
      <c r="BI500" s="163"/>
      <c r="BJ500" s="163"/>
      <c r="BK500" s="163"/>
      <c r="BL500" s="163"/>
      <c r="BM500" s="163"/>
      <c r="BN500" s="163"/>
      <c r="BO500" s="163"/>
      <c r="BP500" s="163"/>
      <c r="BQ500" s="163"/>
      <c r="BR500" s="161"/>
      <c r="BS500" s="161"/>
      <c r="BT500" s="161"/>
      <c r="BU500" s="161"/>
      <c r="BV500" s="161"/>
      <c r="BW500" s="161"/>
      <c r="BX500" s="161"/>
      <c r="BY500" s="161"/>
      <c r="BZ500" s="161"/>
      <c r="CA500" s="161"/>
      <c r="CB500" s="163"/>
      <c r="CC500" s="161"/>
      <c r="CD500" s="161"/>
      <c r="CE500" s="185"/>
      <c r="CF500" s="185"/>
    </row>
    <row r="501" spans="1:84" ht="36" hidden="1">
      <c r="A501" s="162">
        <v>152</v>
      </c>
      <c r="B501" s="177" t="s">
        <v>1846</v>
      </c>
      <c r="C501" s="177" t="s">
        <v>2201</v>
      </c>
      <c r="D501" s="177" t="s">
        <v>2000</v>
      </c>
      <c r="E501" s="177"/>
      <c r="F501" s="177"/>
      <c r="G501" s="177" t="s">
        <v>2001</v>
      </c>
      <c r="H501" s="178"/>
      <c r="I501" s="179"/>
      <c r="J501" s="160"/>
      <c r="K501" s="180">
        <f t="shared" ref="K501" si="1042">+AG501+AL501+AQ501+AV501</f>
        <v>2</v>
      </c>
      <c r="L501" s="160"/>
      <c r="M501" s="181">
        <v>6</v>
      </c>
      <c r="N501" s="181">
        <v>24</v>
      </c>
      <c r="O501" s="181" t="s">
        <v>137</v>
      </c>
      <c r="P501" s="181"/>
      <c r="Q501" s="181"/>
      <c r="R501" s="181"/>
      <c r="S501" s="181"/>
      <c r="T501" s="181"/>
      <c r="U501" s="181"/>
      <c r="V501" s="181"/>
      <c r="W501" s="181">
        <f ca="1">_xlfn.MINIFS(V:V,C:C,C501,AE:AE,"",AB:AB,"")</f>
        <v>0</v>
      </c>
      <c r="X501" s="181">
        <f ca="1">SUMIFS(T:T,C:C,C501,AE:AE,"")/SUMIFS(L:L,C:C,C501,AE:AE,"",AB:AB,"")</f>
        <v>0.16666666666666666</v>
      </c>
      <c r="Y501" s="181"/>
      <c r="Z501" s="181"/>
      <c r="AA501" s="181"/>
      <c r="AB501" s="181"/>
      <c r="AC501" s="228" t="s">
        <v>1923</v>
      </c>
      <c r="AD501" s="184" t="s">
        <v>1924</v>
      </c>
      <c r="AE501" s="162" t="s">
        <v>143</v>
      </c>
      <c r="AF501" s="181" t="s">
        <v>138</v>
      </c>
      <c r="AG501" s="181">
        <v>0</v>
      </c>
      <c r="AH501" s="181"/>
      <c r="AI501" s="181"/>
      <c r="AJ501" s="181"/>
      <c r="AK501" s="181" t="s">
        <v>1783</v>
      </c>
      <c r="AL501" s="181">
        <v>1</v>
      </c>
      <c r="AM501" s="181"/>
      <c r="AN501" s="181"/>
      <c r="AO501" s="181"/>
      <c r="AP501" s="181" t="s">
        <v>1922</v>
      </c>
      <c r="AQ501" s="181">
        <v>1</v>
      </c>
      <c r="AR501" s="181"/>
      <c r="AS501" s="181"/>
      <c r="AT501" s="181"/>
      <c r="AU501" s="181" t="s">
        <v>138</v>
      </c>
      <c r="AV501" s="181">
        <v>0</v>
      </c>
      <c r="AW501" s="181"/>
      <c r="AX501" s="181"/>
      <c r="AY501" s="181"/>
      <c r="AZ501" s="181"/>
      <c r="BA501" s="182" t="s">
        <v>1925</v>
      </c>
      <c r="BB501" s="182" t="s">
        <v>1926</v>
      </c>
      <c r="BC501" s="182" t="s">
        <v>1927</v>
      </c>
      <c r="BD501" s="182" t="s">
        <v>140</v>
      </c>
      <c r="BE501" s="162" t="s">
        <v>741</v>
      </c>
      <c r="BF501" s="181"/>
      <c r="BG501" s="161"/>
      <c r="BH501" s="161"/>
      <c r="BI501" s="163"/>
      <c r="BJ501" s="163"/>
      <c r="BK501" s="163"/>
      <c r="BL501" s="163"/>
      <c r="BM501" s="163"/>
      <c r="BN501" s="163"/>
      <c r="BO501" s="163"/>
      <c r="BP501" s="163"/>
      <c r="BQ501" s="163"/>
      <c r="BR501" s="161"/>
      <c r="BS501" s="161"/>
      <c r="BT501" s="161"/>
      <c r="BU501" s="161"/>
      <c r="BV501" s="161"/>
      <c r="BW501" s="161"/>
      <c r="BX501" s="161"/>
      <c r="BY501" s="161"/>
      <c r="BZ501" s="161"/>
      <c r="CA501" s="161"/>
      <c r="CB501" s="163"/>
      <c r="CC501" s="161"/>
      <c r="CD501" s="161"/>
      <c r="CE501" s="185"/>
      <c r="CF501" s="185"/>
    </row>
    <row r="502" spans="1:84" ht="36" hidden="1">
      <c r="A502" s="117"/>
      <c r="B502" s="209" t="s">
        <v>1846</v>
      </c>
      <c r="C502" s="209" t="s">
        <v>2201</v>
      </c>
      <c r="D502" s="209" t="s">
        <v>13</v>
      </c>
      <c r="E502" s="209" t="s">
        <v>1788</v>
      </c>
      <c r="F502" s="209" t="s">
        <v>1002</v>
      </c>
      <c r="G502" s="209" t="s">
        <v>1628</v>
      </c>
      <c r="H502" s="210">
        <v>400</v>
      </c>
      <c r="I502" s="211" t="s">
        <v>147</v>
      </c>
      <c r="J502" s="144">
        <v>1</v>
      </c>
      <c r="K502" s="145">
        <f t="shared" ref="K502:K503" si="1043">K501</f>
        <v>2</v>
      </c>
      <c r="L502" s="202">
        <f t="shared" ref="L502:L503" si="1044">+J502*K502</f>
        <v>2</v>
      </c>
      <c r="M502" s="212">
        <v>7.5</v>
      </c>
      <c r="N502" s="203">
        <f t="shared" ref="N502:N503" si="1045">+M502*L502</f>
        <v>15</v>
      </c>
      <c r="O502" s="212" t="s">
        <v>137</v>
      </c>
      <c r="P502" s="212" t="s">
        <v>13</v>
      </c>
      <c r="Q502" s="212" t="s">
        <v>154</v>
      </c>
      <c r="R502" s="212"/>
      <c r="S502" s="212"/>
      <c r="T502" s="203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0</v>
      </c>
      <c r="U502" s="203">
        <f t="shared" ref="U502:U503" ca="1" si="1046">+L502-T502</f>
        <v>2</v>
      </c>
      <c r="V502" s="203">
        <f t="shared" ref="V502:V503" ca="1" si="1047">ROUNDDOWN(T502/J502,0)</f>
        <v>0</v>
      </c>
      <c r="W502" s="212"/>
      <c r="X502" s="212"/>
      <c r="Y502" s="212"/>
      <c r="Z502" s="212"/>
      <c r="AA502" s="212"/>
      <c r="AB502" s="212"/>
      <c r="AC502" s="232" t="s">
        <v>1923</v>
      </c>
      <c r="AD502" s="226" t="s">
        <v>1924</v>
      </c>
      <c r="AE502" s="148"/>
      <c r="AF502" s="212" t="str">
        <f t="shared" ref="AF502:AG502" si="1048">AF501</f>
        <v>N/A</v>
      </c>
      <c r="AG502" s="212">
        <f t="shared" si="1048"/>
        <v>0</v>
      </c>
      <c r="AH502" s="203">
        <f t="shared" ref="AH502:AH503" si="1049">+AG502*J502</f>
        <v>0</v>
      </c>
      <c r="AI502" s="203">
        <f t="shared" ref="AI502:AI503" ca="1" si="1050">MIN(T502,AH502)</f>
        <v>0</v>
      </c>
      <c r="AJ502" s="203">
        <f t="shared" ref="AJ502:AJ503" ca="1" si="1051">+AH502-AI502</f>
        <v>0</v>
      </c>
      <c r="AK502" s="212" t="str">
        <f t="shared" ref="AK502:AL502" si="1052">AK501</f>
        <v>AMC2-S1</v>
      </c>
      <c r="AL502" s="212">
        <f t="shared" si="1052"/>
        <v>1</v>
      </c>
      <c r="AM502" s="203">
        <f t="shared" ref="AM502:AM503" si="1053">+AL502*J502</f>
        <v>1</v>
      </c>
      <c r="AN502" s="203">
        <f t="shared" ref="AN502:AN503" ca="1" si="1054">MIN(T502-AI502,AL502)</f>
        <v>0</v>
      </c>
      <c r="AO502" s="203">
        <f t="shared" ref="AO502:AO503" ca="1" si="1055">+AM502-AN502</f>
        <v>1</v>
      </c>
      <c r="AP502" s="212" t="str">
        <f t="shared" ref="AP502:AQ502" si="1056">AP501</f>
        <v>AMC2-S4</v>
      </c>
      <c r="AQ502" s="212">
        <f t="shared" si="1056"/>
        <v>1</v>
      </c>
      <c r="AR502" s="203">
        <f t="shared" ref="AR502:AR503" si="1057">+AQ502*J502</f>
        <v>1</v>
      </c>
      <c r="AS502" s="203">
        <f t="shared" ref="AS502:AS503" ca="1" si="1058">MIN(T502-AI502-AN502,AR502)</f>
        <v>0</v>
      </c>
      <c r="AT502" s="203">
        <f t="shared" ref="AT502:AT503" ca="1" si="1059">+AR502-AS502</f>
        <v>1</v>
      </c>
      <c r="AU502" s="212" t="str">
        <f t="shared" ref="AU502:AV502" si="1060">AU501</f>
        <v>N/A</v>
      </c>
      <c r="AV502" s="212">
        <f t="shared" si="1060"/>
        <v>0</v>
      </c>
      <c r="AW502" s="203">
        <f t="shared" ref="AW502:AW503" si="1061">+AV502*J502</f>
        <v>0</v>
      </c>
      <c r="AX502" s="203">
        <f t="shared" ref="AX502:AX503" ca="1" si="1062">MIN(T502-AI502-AN502-AS502,AW502)</f>
        <v>0</v>
      </c>
      <c r="AY502" s="203">
        <f t="shared" ref="AY502:AY503" ca="1" si="1063">+AW502-AX502</f>
        <v>0</v>
      </c>
      <c r="AZ502" s="212"/>
      <c r="BA502" s="213" t="s">
        <v>1925</v>
      </c>
      <c r="BB502" s="213" t="s">
        <v>1926</v>
      </c>
      <c r="BC502" s="213" t="s">
        <v>1927</v>
      </c>
      <c r="BD502" s="213" t="s">
        <v>140</v>
      </c>
      <c r="BE502" s="148"/>
      <c r="BF502" s="212" t="s">
        <v>1789</v>
      </c>
      <c r="BG502" s="117"/>
      <c r="BH502" s="117"/>
      <c r="BI502" s="149"/>
      <c r="BJ502" s="149"/>
      <c r="BK502" s="149"/>
      <c r="BL502" s="149"/>
      <c r="BM502" s="149"/>
      <c r="BN502" s="149"/>
      <c r="BO502" s="149"/>
      <c r="BP502" s="149"/>
      <c r="BQ502" s="149"/>
      <c r="BR502" s="117">
        <v>1</v>
      </c>
      <c r="BS502" s="117">
        <v>0</v>
      </c>
      <c r="BT502" s="117">
        <v>0</v>
      </c>
      <c r="BU502" s="117">
        <v>0</v>
      </c>
      <c r="BV502" s="117">
        <v>1</v>
      </c>
      <c r="BW502" s="117">
        <v>0</v>
      </c>
      <c r="BX502" s="117">
        <v>0</v>
      </c>
      <c r="BY502" s="117" t="s">
        <v>1790</v>
      </c>
      <c r="BZ502" s="158" t="s">
        <v>2156</v>
      </c>
      <c r="CA502" s="158">
        <v>4</v>
      </c>
      <c r="CB502" s="234">
        <v>46213</v>
      </c>
      <c r="CC502" s="117"/>
      <c r="CD502" s="141"/>
      <c r="CE502" s="148"/>
      <c r="CF502" s="166">
        <f>+L502-CA502</f>
        <v>-2</v>
      </c>
    </row>
    <row r="503" spans="1:84" ht="36" hidden="1">
      <c r="A503" s="117"/>
      <c r="B503" s="209" t="s">
        <v>1846</v>
      </c>
      <c r="C503" s="209" t="s">
        <v>2201</v>
      </c>
      <c r="D503" s="209" t="s">
        <v>983</v>
      </c>
      <c r="E503" s="209" t="s">
        <v>1823</v>
      </c>
      <c r="F503" s="209" t="s">
        <v>1000</v>
      </c>
      <c r="G503" s="209" t="s">
        <v>1001</v>
      </c>
      <c r="H503" s="210"/>
      <c r="I503" s="211" t="s">
        <v>984</v>
      </c>
      <c r="J503" s="144">
        <v>1</v>
      </c>
      <c r="K503" s="145">
        <f t="shared" si="1043"/>
        <v>2</v>
      </c>
      <c r="L503" s="202">
        <f t="shared" si="1044"/>
        <v>2</v>
      </c>
      <c r="M503" s="212">
        <v>0.1</v>
      </c>
      <c r="N503" s="203">
        <f t="shared" si="1045"/>
        <v>0.2</v>
      </c>
      <c r="O503" s="212" t="s">
        <v>137</v>
      </c>
      <c r="P503" s="212" t="s">
        <v>14</v>
      </c>
      <c r="Q503" s="212" t="s">
        <v>976</v>
      </c>
      <c r="R503" s="212"/>
      <c r="S503" s="212"/>
      <c r="T503" s="203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0</v>
      </c>
      <c r="U503" s="203">
        <f t="shared" ca="1" si="1046"/>
        <v>2</v>
      </c>
      <c r="V503" s="203">
        <f t="shared" ca="1" si="1047"/>
        <v>0</v>
      </c>
      <c r="W503" s="212"/>
      <c r="X503" s="212"/>
      <c r="Y503" s="212"/>
      <c r="Z503" s="212"/>
      <c r="AA503" s="212"/>
      <c r="AB503" s="212"/>
      <c r="AC503" s="232" t="s">
        <v>1923</v>
      </c>
      <c r="AD503" s="226" t="s">
        <v>1924</v>
      </c>
      <c r="AE503" s="148"/>
      <c r="AF503" s="212" t="str">
        <f t="shared" ref="AF503:AG503" si="1064">AF502</f>
        <v>N/A</v>
      </c>
      <c r="AG503" s="212">
        <f t="shared" si="1064"/>
        <v>0</v>
      </c>
      <c r="AH503" s="203">
        <f t="shared" si="1049"/>
        <v>0</v>
      </c>
      <c r="AI503" s="203">
        <f t="shared" ca="1" si="1050"/>
        <v>0</v>
      </c>
      <c r="AJ503" s="203">
        <f t="shared" ca="1" si="1051"/>
        <v>0</v>
      </c>
      <c r="AK503" s="212" t="str">
        <f t="shared" ref="AK503:AL503" si="1065">AK502</f>
        <v>AMC2-S1</v>
      </c>
      <c r="AL503" s="212">
        <f t="shared" si="1065"/>
        <v>1</v>
      </c>
      <c r="AM503" s="203">
        <f t="shared" si="1053"/>
        <v>1</v>
      </c>
      <c r="AN503" s="203">
        <f t="shared" ca="1" si="1054"/>
        <v>0</v>
      </c>
      <c r="AO503" s="203">
        <f t="shared" ca="1" si="1055"/>
        <v>1</v>
      </c>
      <c r="AP503" s="212" t="str">
        <f t="shared" ref="AP503:AQ503" si="1066">AP502</f>
        <v>AMC2-S4</v>
      </c>
      <c r="AQ503" s="212">
        <f t="shared" si="1066"/>
        <v>1</v>
      </c>
      <c r="AR503" s="203">
        <f t="shared" si="1057"/>
        <v>1</v>
      </c>
      <c r="AS503" s="203">
        <f t="shared" ca="1" si="1058"/>
        <v>0</v>
      </c>
      <c r="AT503" s="203">
        <f t="shared" ca="1" si="1059"/>
        <v>1</v>
      </c>
      <c r="AU503" s="212" t="str">
        <f t="shared" ref="AU503:AV503" si="1067">AU502</f>
        <v>N/A</v>
      </c>
      <c r="AV503" s="212">
        <f t="shared" si="1067"/>
        <v>0</v>
      </c>
      <c r="AW503" s="203">
        <f t="shared" si="1061"/>
        <v>0</v>
      </c>
      <c r="AX503" s="203">
        <f t="shared" ca="1" si="1062"/>
        <v>0</v>
      </c>
      <c r="AY503" s="203">
        <f t="shared" ca="1" si="1063"/>
        <v>0</v>
      </c>
      <c r="AZ503" s="212"/>
      <c r="BA503" s="213" t="s">
        <v>1925</v>
      </c>
      <c r="BB503" s="213" t="s">
        <v>1926</v>
      </c>
      <c r="BC503" s="213" t="s">
        <v>1927</v>
      </c>
      <c r="BD503" s="213" t="s">
        <v>140</v>
      </c>
      <c r="BE503" s="148"/>
      <c r="BF503" s="212"/>
      <c r="BG503" s="117"/>
      <c r="BH503" s="117"/>
      <c r="BI503" s="149"/>
      <c r="BJ503" s="149"/>
      <c r="BK503" s="149"/>
      <c r="BL503" s="149"/>
      <c r="BM503" s="149"/>
      <c r="BN503" s="149"/>
      <c r="BO503" s="149"/>
      <c r="BP503" s="149"/>
      <c r="BQ503" s="149"/>
      <c r="BR503" s="117" t="s">
        <v>140</v>
      </c>
      <c r="BS503" s="117" t="s">
        <v>140</v>
      </c>
      <c r="BT503" s="117" t="s">
        <v>140</v>
      </c>
      <c r="BU503" s="117" t="s">
        <v>140</v>
      </c>
      <c r="BV503" s="117" t="s">
        <v>140</v>
      </c>
      <c r="BW503" s="117" t="s">
        <v>140</v>
      </c>
      <c r="BX503" s="117" t="s">
        <v>140</v>
      </c>
      <c r="BY503" s="117" t="s">
        <v>14</v>
      </c>
      <c r="BZ503" s="117"/>
      <c r="CA503" s="117"/>
      <c r="CB503" s="149"/>
      <c r="CC503" s="117"/>
      <c r="CD503" s="117"/>
      <c r="CE503" s="148"/>
      <c r="CF503" s="148"/>
    </row>
    <row r="504" spans="1:84" ht="36" hidden="1">
      <c r="A504" s="162">
        <v>153</v>
      </c>
      <c r="B504" s="177" t="s">
        <v>1846</v>
      </c>
      <c r="C504" s="177" t="s">
        <v>2202</v>
      </c>
      <c r="D504" s="177" t="s">
        <v>2002</v>
      </c>
      <c r="E504" s="177"/>
      <c r="F504" s="177"/>
      <c r="G504" s="177" t="s">
        <v>2003</v>
      </c>
      <c r="H504" s="178"/>
      <c r="I504" s="179" t="s">
        <v>147</v>
      </c>
      <c r="J504" s="160"/>
      <c r="K504" s="180">
        <f>+AG504+AL504+AQ504+AV504</f>
        <v>8</v>
      </c>
      <c r="L504" s="160"/>
      <c r="M504" s="181">
        <v>2.5000000000000001E-2</v>
      </c>
      <c r="N504" s="181">
        <v>0.4</v>
      </c>
      <c r="O504" s="181" t="s">
        <v>137</v>
      </c>
      <c r="P504" s="181"/>
      <c r="Q504" s="181"/>
      <c r="R504" s="181"/>
      <c r="S504" s="181"/>
      <c r="T504" s="181"/>
      <c r="U504" s="181"/>
      <c r="V504" s="181"/>
      <c r="W504" s="181">
        <f ca="1">_xlfn.MINIFS(V:V,C:C,C504,AE:AE,"",AB:AB,"")</f>
        <v>2</v>
      </c>
      <c r="X504" s="181">
        <f ca="1">SUMIFS(T:T,C:C,C504,AE:AE,"")/SUMIFS(L:L,C:C,C504,AE:AE,"",AB:AB,"")</f>
        <v>0.5</v>
      </c>
      <c r="Y504" s="181"/>
      <c r="Z504" s="181"/>
      <c r="AA504" s="181"/>
      <c r="AB504" s="181"/>
      <c r="AC504" s="228" t="s">
        <v>1980</v>
      </c>
      <c r="AD504" s="184" t="s">
        <v>1924</v>
      </c>
      <c r="AE504" s="162" t="s">
        <v>143</v>
      </c>
      <c r="AF504" s="181" t="s">
        <v>138</v>
      </c>
      <c r="AG504" s="181">
        <v>0</v>
      </c>
      <c r="AH504" s="181"/>
      <c r="AI504" s="181"/>
      <c r="AJ504" s="181"/>
      <c r="AK504" s="181" t="s">
        <v>1783</v>
      </c>
      <c r="AL504" s="181">
        <v>4</v>
      </c>
      <c r="AM504" s="181"/>
      <c r="AN504" s="181"/>
      <c r="AO504" s="181"/>
      <c r="AP504" s="181" t="s">
        <v>1922</v>
      </c>
      <c r="AQ504" s="181">
        <v>4</v>
      </c>
      <c r="AR504" s="181"/>
      <c r="AS504" s="181"/>
      <c r="AT504" s="181"/>
      <c r="AU504" s="181" t="s">
        <v>138</v>
      </c>
      <c r="AV504" s="181">
        <v>0</v>
      </c>
      <c r="AW504" s="181"/>
      <c r="AX504" s="181"/>
      <c r="AY504" s="181"/>
      <c r="AZ504" s="179"/>
      <c r="BA504" s="182" t="s">
        <v>1981</v>
      </c>
      <c r="BB504" s="182" t="s">
        <v>1982</v>
      </c>
      <c r="BC504" s="182" t="s">
        <v>1983</v>
      </c>
      <c r="BD504" s="182" t="s">
        <v>140</v>
      </c>
      <c r="BE504" s="162" t="s">
        <v>741</v>
      </c>
      <c r="BF504" s="181"/>
      <c r="BG504" s="161"/>
      <c r="BH504" s="161"/>
      <c r="BI504" s="163"/>
      <c r="BJ504" s="163"/>
      <c r="BK504" s="163"/>
      <c r="BL504" s="163"/>
      <c r="BM504" s="163"/>
      <c r="BN504" s="163"/>
      <c r="BO504" s="163"/>
      <c r="BP504" s="163"/>
      <c r="BQ504" s="163"/>
      <c r="BR504" s="161"/>
      <c r="BS504" s="161"/>
      <c r="BT504" s="161"/>
      <c r="BU504" s="161"/>
      <c r="BV504" s="161"/>
      <c r="BW504" s="161"/>
      <c r="BX504" s="161"/>
      <c r="BY504" s="161"/>
      <c r="BZ504" s="161"/>
      <c r="CA504" s="161"/>
      <c r="CB504" s="163"/>
      <c r="CC504" s="161"/>
      <c r="CD504" s="161"/>
      <c r="CE504" s="185"/>
      <c r="CF504" s="185"/>
    </row>
    <row r="505" spans="1:84" ht="36" hidden="1">
      <c r="A505" s="141"/>
      <c r="B505" s="199" t="s">
        <v>1846</v>
      </c>
      <c r="C505" s="199" t="s">
        <v>2202</v>
      </c>
      <c r="D505" s="199" t="s">
        <v>1007</v>
      </c>
      <c r="E505" s="199" t="s">
        <v>1868</v>
      </c>
      <c r="F505" s="199" t="s">
        <v>1006</v>
      </c>
      <c r="G505" s="199" t="s">
        <v>1003</v>
      </c>
      <c r="H505" s="200">
        <v>25</v>
      </c>
      <c r="I505" s="201" t="s">
        <v>147</v>
      </c>
      <c r="J505" s="165">
        <v>1</v>
      </c>
      <c r="K505" s="202">
        <f>K504</f>
        <v>8</v>
      </c>
      <c r="L505" s="202">
        <f>+J505*K505</f>
        <v>8</v>
      </c>
      <c r="M505" s="203">
        <v>2.5000000000000001E-2</v>
      </c>
      <c r="N505" s="203">
        <f>+M505*L505</f>
        <v>0.2</v>
      </c>
      <c r="O505" s="203" t="s">
        <v>137</v>
      </c>
      <c r="P505" s="203" t="s">
        <v>13</v>
      </c>
      <c r="Q505" s="203" t="s">
        <v>154</v>
      </c>
      <c r="R505" s="203"/>
      <c r="S505" s="203"/>
      <c r="T505" s="203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2</v>
      </c>
      <c r="U505" s="203">
        <f t="shared" ref="U505" ca="1" si="1068">+L505-T505</f>
        <v>6</v>
      </c>
      <c r="V505" s="203">
        <f t="shared" ref="V505" ca="1" si="1069">ROUNDDOWN(T505/J505,0)</f>
        <v>2</v>
      </c>
      <c r="W505" s="203"/>
      <c r="X505" s="203"/>
      <c r="Y505" s="203"/>
      <c r="Z505" s="203"/>
      <c r="AA505" s="203"/>
      <c r="AB505" s="203"/>
      <c r="AC505" s="231" t="s">
        <v>1980</v>
      </c>
      <c r="AD505" s="225" t="s">
        <v>1924</v>
      </c>
      <c r="AE505" s="166"/>
      <c r="AF505" s="203" t="str">
        <f t="shared" ref="AF505:AG505" si="1070">AF504</f>
        <v>N/A</v>
      </c>
      <c r="AG505" s="203">
        <f t="shared" si="1070"/>
        <v>0</v>
      </c>
      <c r="AH505" s="203">
        <f>+AG505*J505</f>
        <v>0</v>
      </c>
      <c r="AI505" s="203">
        <f ca="1">MIN(T505,AH505)</f>
        <v>0</v>
      </c>
      <c r="AJ505" s="203">
        <f ca="1">+AH505-AI505</f>
        <v>0</v>
      </c>
      <c r="AK505" s="203" t="str">
        <f t="shared" ref="AK505:AL505" si="1071">AK504</f>
        <v>AMC2-S1</v>
      </c>
      <c r="AL505" s="203">
        <f t="shared" si="1071"/>
        <v>4</v>
      </c>
      <c r="AM505" s="203">
        <f>+AL505*J505</f>
        <v>4</v>
      </c>
      <c r="AN505" s="203">
        <f ca="1">MIN(T505-AI505,AL505)</f>
        <v>2</v>
      </c>
      <c r="AO505" s="203">
        <f ca="1">+AM505-AN505</f>
        <v>2</v>
      </c>
      <c r="AP505" s="203" t="str">
        <f t="shared" ref="AP505:AQ505" si="1072">AP504</f>
        <v>AMC2-S4</v>
      </c>
      <c r="AQ505" s="203">
        <f t="shared" si="1072"/>
        <v>4</v>
      </c>
      <c r="AR505" s="203">
        <f>+AQ505*J505</f>
        <v>4</v>
      </c>
      <c r="AS505" s="203">
        <f ca="1">MIN(T505-AI505-AN505,AR505)</f>
        <v>0</v>
      </c>
      <c r="AT505" s="203">
        <f ca="1">+AR505-AS505</f>
        <v>4</v>
      </c>
      <c r="AU505" s="203" t="str">
        <f t="shared" ref="AU505:AV505" si="1073">AU504</f>
        <v>N/A</v>
      </c>
      <c r="AV505" s="203">
        <f t="shared" si="1073"/>
        <v>0</v>
      </c>
      <c r="AW505" s="203">
        <f>+AV505*J505</f>
        <v>0</v>
      </c>
      <c r="AX505" s="203">
        <f ca="1">MIN(T505-AI505-AN505-AS505,AW505)</f>
        <v>0</v>
      </c>
      <c r="AY505" s="203">
        <f ca="1">+AW505-AX505</f>
        <v>0</v>
      </c>
      <c r="AZ505" s="203"/>
      <c r="BA505" s="204" t="s">
        <v>1981</v>
      </c>
      <c r="BB505" s="204" t="s">
        <v>1982</v>
      </c>
      <c r="BC505" s="204" t="s">
        <v>1983</v>
      </c>
      <c r="BD505" s="204" t="s">
        <v>140</v>
      </c>
      <c r="BE505" s="166"/>
      <c r="BF505" s="203" t="s">
        <v>1789</v>
      </c>
      <c r="BG505" s="141"/>
      <c r="BH505" s="141"/>
      <c r="BI505" s="153"/>
      <c r="BJ505" s="153"/>
      <c r="BK505" s="153"/>
      <c r="BL505" s="153" t="s">
        <v>1932</v>
      </c>
      <c r="BM505" s="153"/>
      <c r="BN505" s="153"/>
      <c r="BO505" s="153"/>
      <c r="BP505" s="153"/>
      <c r="BQ505" s="153"/>
      <c r="BR505" s="141">
        <v>0</v>
      </c>
      <c r="BS505" s="141">
        <v>1</v>
      </c>
      <c r="BT505" s="141">
        <v>0</v>
      </c>
      <c r="BU505" s="141">
        <v>0</v>
      </c>
      <c r="BV505" s="141">
        <v>0</v>
      </c>
      <c r="BW505" s="141">
        <v>0</v>
      </c>
      <c r="BX505" s="141">
        <v>0</v>
      </c>
      <c r="BY505" s="141" t="s">
        <v>1790</v>
      </c>
      <c r="BZ505" s="167" t="s">
        <v>2195</v>
      </c>
      <c r="CA505" s="167">
        <v>16</v>
      </c>
      <c r="CB505" s="235">
        <v>46231</v>
      </c>
      <c r="CC505" s="141"/>
      <c r="CD505" s="141"/>
      <c r="CE505" s="166"/>
      <c r="CF505" s="166">
        <f>+L505-CA505</f>
        <v>-8</v>
      </c>
    </row>
    <row r="506" spans="1:84" ht="36" hidden="1">
      <c r="A506" s="162">
        <v>154</v>
      </c>
      <c r="B506" s="177" t="s">
        <v>1863</v>
      </c>
      <c r="C506" s="177" t="s">
        <v>2137</v>
      </c>
      <c r="D506" s="177" t="s">
        <v>1864</v>
      </c>
      <c r="E506" s="177"/>
      <c r="F506" s="177"/>
      <c r="G506" s="177" t="s">
        <v>1865</v>
      </c>
      <c r="H506" s="178"/>
      <c r="I506" s="179"/>
      <c r="J506" s="160"/>
      <c r="K506" s="180">
        <f>+AG506+AL506+AQ506+AV506</f>
        <v>2</v>
      </c>
      <c r="L506" s="160"/>
      <c r="M506" s="181">
        <v>121.5</v>
      </c>
      <c r="N506" s="181">
        <v>486</v>
      </c>
      <c r="O506" s="181" t="s">
        <v>137</v>
      </c>
      <c r="P506" s="181"/>
      <c r="Q506" s="181"/>
      <c r="R506" s="181"/>
      <c r="S506" s="181"/>
      <c r="T506" s="181"/>
      <c r="U506" s="181"/>
      <c r="V506" s="181"/>
      <c r="W506" s="181">
        <f ca="1">_xlfn.MINIFS(V:V,C:C,C506,AE:AE,"",AB:AB,"")</f>
        <v>0</v>
      </c>
      <c r="X506" s="181">
        <f ca="1">SUMIFS(T:T,C:C,C506,AE:AE,"")/SUMIFS(L:L,C:C,C506,AE:AE,"",AB:AB,"")</f>
        <v>0.25</v>
      </c>
      <c r="Y506" s="181"/>
      <c r="Z506" s="181"/>
      <c r="AA506" s="181"/>
      <c r="AB506" s="181"/>
      <c r="AC506" s="228" t="s">
        <v>1923</v>
      </c>
      <c r="AD506" s="184" t="s">
        <v>1924</v>
      </c>
      <c r="AE506" s="162" t="s">
        <v>143</v>
      </c>
      <c r="AF506" s="181" t="s">
        <v>138</v>
      </c>
      <c r="AG506" s="181">
        <v>0</v>
      </c>
      <c r="AH506" s="181"/>
      <c r="AI506" s="181"/>
      <c r="AJ506" s="181"/>
      <c r="AK506" s="181" t="s">
        <v>1783</v>
      </c>
      <c r="AL506" s="181">
        <v>1</v>
      </c>
      <c r="AM506" s="181"/>
      <c r="AN506" s="181"/>
      <c r="AO506" s="181"/>
      <c r="AP506" s="181" t="s">
        <v>1922</v>
      </c>
      <c r="AQ506" s="181">
        <v>1</v>
      </c>
      <c r="AR506" s="181"/>
      <c r="AS506" s="181"/>
      <c r="AT506" s="181"/>
      <c r="AU506" s="181" t="s">
        <v>138</v>
      </c>
      <c r="AV506" s="181">
        <v>0</v>
      </c>
      <c r="AW506" s="181"/>
      <c r="AX506" s="181"/>
      <c r="AY506" s="181"/>
      <c r="AZ506" s="181"/>
      <c r="BA506" s="182" t="s">
        <v>1925</v>
      </c>
      <c r="BB506" s="182" t="s">
        <v>1926</v>
      </c>
      <c r="BC506" s="182" t="s">
        <v>1927</v>
      </c>
      <c r="BD506" s="182" t="s">
        <v>140</v>
      </c>
      <c r="BE506" s="162" t="s">
        <v>741</v>
      </c>
      <c r="BF506" s="181"/>
      <c r="BG506" s="161"/>
      <c r="BH506" s="161"/>
      <c r="BI506" s="163"/>
      <c r="BJ506" s="163"/>
      <c r="BK506" s="163"/>
      <c r="BL506" s="163"/>
      <c r="BM506" s="163"/>
      <c r="BN506" s="163"/>
      <c r="BO506" s="163"/>
      <c r="BP506" s="163"/>
      <c r="BQ506" s="163"/>
      <c r="BR506" s="161"/>
      <c r="BS506" s="161"/>
      <c r="BT506" s="161"/>
      <c r="BU506" s="161"/>
      <c r="BV506" s="161"/>
      <c r="BW506" s="161"/>
      <c r="BX506" s="161"/>
      <c r="BY506" s="161"/>
      <c r="BZ506" s="161"/>
      <c r="CA506" s="161"/>
      <c r="CB506" s="163"/>
      <c r="CC506" s="161"/>
      <c r="CD506" s="161"/>
      <c r="CE506" s="185"/>
      <c r="CF506" s="185"/>
    </row>
    <row r="507" spans="1:84" ht="36" hidden="1">
      <c r="A507" s="117"/>
      <c r="B507" s="209" t="s">
        <v>1863</v>
      </c>
      <c r="C507" s="209" t="s">
        <v>2137</v>
      </c>
      <c r="D507" s="209" t="s">
        <v>1016</v>
      </c>
      <c r="E507" s="209" t="s">
        <v>1823</v>
      </c>
      <c r="F507" s="209" t="s">
        <v>1014</v>
      </c>
      <c r="G507" s="209" t="s">
        <v>1015</v>
      </c>
      <c r="H507" s="210"/>
      <c r="I507" s="211" t="s">
        <v>1017</v>
      </c>
      <c r="J507" s="144">
        <v>1</v>
      </c>
      <c r="K507" s="145">
        <f t="shared" ref="K507:K509" si="1074">K506</f>
        <v>2</v>
      </c>
      <c r="L507" s="202">
        <f t="shared" ref="L507:L509" si="1075">+J507*K507</f>
        <v>2</v>
      </c>
      <c r="M507" s="212">
        <v>100</v>
      </c>
      <c r="N507" s="203">
        <f t="shared" ref="N507:N509" si="1076">+M507*L507</f>
        <v>200</v>
      </c>
      <c r="O507" s="212" t="s">
        <v>137</v>
      </c>
      <c r="P507" s="212" t="s">
        <v>14</v>
      </c>
      <c r="Q507" s="212" t="s">
        <v>976</v>
      </c>
      <c r="R507" s="212"/>
      <c r="S507" s="212"/>
      <c r="T507" s="203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203">
        <f t="shared" ref="U507:U509" ca="1" si="1077">+L507-T507</f>
        <v>2</v>
      </c>
      <c r="V507" s="203">
        <f t="shared" ref="V507:V509" ca="1" si="1078">ROUNDDOWN(T507/J507,0)</f>
        <v>0</v>
      </c>
      <c r="W507" s="212"/>
      <c r="X507" s="212"/>
      <c r="Y507" s="212"/>
      <c r="Z507" s="212"/>
      <c r="AA507" s="212"/>
      <c r="AB507" s="212"/>
      <c r="AC507" s="214" t="s">
        <v>1923</v>
      </c>
      <c r="AD507" s="226" t="s">
        <v>1924</v>
      </c>
      <c r="AE507" s="148"/>
      <c r="AF507" s="212" t="str">
        <f t="shared" ref="AF507:AG507" si="1079">AF506</f>
        <v>N/A</v>
      </c>
      <c r="AG507" s="212">
        <f t="shared" si="1079"/>
        <v>0</v>
      </c>
      <c r="AH507" s="203">
        <f t="shared" ref="AH507:AH509" si="1080">+AG507*J507</f>
        <v>0</v>
      </c>
      <c r="AI507" s="203">
        <f t="shared" ref="AI507:AI509" ca="1" si="1081">MIN(T507,AH507)</f>
        <v>0</v>
      </c>
      <c r="AJ507" s="203">
        <f t="shared" ref="AJ507:AJ509" ca="1" si="1082">+AH507-AI507</f>
        <v>0</v>
      </c>
      <c r="AK507" s="212" t="str">
        <f t="shared" ref="AK507:AL507" si="1083">AK506</f>
        <v>AMC2-S1</v>
      </c>
      <c r="AL507" s="212">
        <f t="shared" si="1083"/>
        <v>1</v>
      </c>
      <c r="AM507" s="203">
        <f t="shared" ref="AM507:AM509" si="1084">+AL507*J507</f>
        <v>1</v>
      </c>
      <c r="AN507" s="203">
        <f t="shared" ref="AN507:AN509" ca="1" si="1085">MIN(T507-AI507,AL507)</f>
        <v>0</v>
      </c>
      <c r="AO507" s="203">
        <f t="shared" ref="AO507:AO509" ca="1" si="1086">+AM507-AN507</f>
        <v>1</v>
      </c>
      <c r="AP507" s="212" t="str">
        <f t="shared" ref="AP507:AQ507" si="1087">AP506</f>
        <v>AMC2-S4</v>
      </c>
      <c r="AQ507" s="212">
        <f t="shared" si="1087"/>
        <v>1</v>
      </c>
      <c r="AR507" s="203">
        <f t="shared" ref="AR507:AR509" si="1088">+AQ507*J507</f>
        <v>1</v>
      </c>
      <c r="AS507" s="203">
        <f t="shared" ref="AS507:AS509" ca="1" si="1089">MIN(T507-AI507-AN507,AR507)</f>
        <v>0</v>
      </c>
      <c r="AT507" s="203">
        <f t="shared" ref="AT507:AT509" ca="1" si="1090">+AR507-AS507</f>
        <v>1</v>
      </c>
      <c r="AU507" s="212" t="str">
        <f t="shared" ref="AU507:AV507" si="1091">AU506</f>
        <v>N/A</v>
      </c>
      <c r="AV507" s="212">
        <f t="shared" si="1091"/>
        <v>0</v>
      </c>
      <c r="AW507" s="203">
        <f t="shared" ref="AW507:AW509" si="1092">+AV507*J507</f>
        <v>0</v>
      </c>
      <c r="AX507" s="203">
        <f t="shared" ref="AX507:AX509" ca="1" si="1093">MIN(T507-AI507-AN507-AS507,AW507)</f>
        <v>0</v>
      </c>
      <c r="AY507" s="203">
        <f t="shared" ref="AY507:AY509" ca="1" si="1094">+AW507-AX507</f>
        <v>0</v>
      </c>
      <c r="AZ507" s="212"/>
      <c r="BA507" s="213" t="s">
        <v>1925</v>
      </c>
      <c r="BB507" s="213" t="s">
        <v>1926</v>
      </c>
      <c r="BC507" s="213" t="s">
        <v>1927</v>
      </c>
      <c r="BD507" s="213" t="s">
        <v>140</v>
      </c>
      <c r="BE507" s="148"/>
      <c r="BF507" s="212"/>
      <c r="BG507" s="117"/>
      <c r="BH507" s="117"/>
      <c r="BI507" s="149"/>
      <c r="BJ507" s="149"/>
      <c r="BK507" s="149"/>
      <c r="BL507" s="149"/>
      <c r="BM507" s="149"/>
      <c r="BN507" s="149"/>
      <c r="BO507" s="149"/>
      <c r="BP507" s="149"/>
      <c r="BQ507" s="149"/>
      <c r="BR507" s="117" t="s">
        <v>140</v>
      </c>
      <c r="BS507" s="117" t="s">
        <v>140</v>
      </c>
      <c r="BT507" s="117" t="s">
        <v>140</v>
      </c>
      <c r="BU507" s="117" t="s">
        <v>140</v>
      </c>
      <c r="BV507" s="117" t="s">
        <v>140</v>
      </c>
      <c r="BW507" s="117" t="s">
        <v>140</v>
      </c>
      <c r="BX507" s="117" t="s">
        <v>140</v>
      </c>
      <c r="BY507" s="117" t="s">
        <v>14</v>
      </c>
      <c r="BZ507" s="117"/>
      <c r="CA507" s="117"/>
      <c r="CB507" s="149"/>
      <c r="CC507" s="117"/>
      <c r="CD507" s="117"/>
      <c r="CE507" s="148"/>
      <c r="CF507" s="148"/>
    </row>
    <row r="508" spans="1:84" ht="36" hidden="1">
      <c r="A508" s="141"/>
      <c r="B508" s="199" t="s">
        <v>1863</v>
      </c>
      <c r="C508" s="199" t="s">
        <v>2137</v>
      </c>
      <c r="D508" s="199" t="s">
        <v>1010</v>
      </c>
      <c r="E508" s="199" t="s">
        <v>1802</v>
      </c>
      <c r="F508" s="199" t="s">
        <v>1008</v>
      </c>
      <c r="G508" s="199" t="s">
        <v>1009</v>
      </c>
      <c r="H508" s="200">
        <v>1891</v>
      </c>
      <c r="I508" s="201" t="s">
        <v>147</v>
      </c>
      <c r="J508" s="165">
        <v>1</v>
      </c>
      <c r="K508" s="202">
        <f t="shared" si="1074"/>
        <v>2</v>
      </c>
      <c r="L508" s="202">
        <f t="shared" si="1075"/>
        <v>2</v>
      </c>
      <c r="M508" s="203">
        <v>29.7</v>
      </c>
      <c r="N508" s="203">
        <f t="shared" si="1076"/>
        <v>59.4</v>
      </c>
      <c r="O508" s="203" t="s">
        <v>137</v>
      </c>
      <c r="P508" s="203" t="s">
        <v>13</v>
      </c>
      <c r="Q508" s="203" t="s">
        <v>154</v>
      </c>
      <c r="R508" s="203"/>
      <c r="S508" s="203"/>
      <c r="T508" s="203">
        <f ca="1">IF(SUMIFS(INDIRECT("'BTP-"&amp;$C$4&amp;"'!L:L"),INDIRECT("'BTP-"&amp;$C$4&amp;"'!D:D"),F508)-SUMIFS($T$10:T507,$F$10:F507,F508)&gt;0,MIN(SUMIFS(INDIRECT("'BTP-"&amp;$C$4&amp;"'!L:L"),INDIRECT("'BTP-"&amp;$C$4&amp;"'!D:D"),F508)-SUMIFS($T$10:T507,$F$10:F507,F508),L508),0)</f>
        <v>1</v>
      </c>
      <c r="U508" s="203">
        <f t="shared" ca="1" si="1077"/>
        <v>1</v>
      </c>
      <c r="V508" s="203">
        <f t="shared" ca="1" si="1078"/>
        <v>1</v>
      </c>
      <c r="W508" s="203"/>
      <c r="X508" s="203"/>
      <c r="Y508" s="203"/>
      <c r="Z508" s="203"/>
      <c r="AA508" s="203"/>
      <c r="AB508" s="203"/>
      <c r="AC508" s="205" t="s">
        <v>1923</v>
      </c>
      <c r="AD508" s="225" t="s">
        <v>1924</v>
      </c>
      <c r="AE508" s="166"/>
      <c r="AF508" s="203" t="str">
        <f t="shared" ref="AF508:AG508" si="1095">AF507</f>
        <v>N/A</v>
      </c>
      <c r="AG508" s="203">
        <f t="shared" si="1095"/>
        <v>0</v>
      </c>
      <c r="AH508" s="203">
        <f t="shared" si="1080"/>
        <v>0</v>
      </c>
      <c r="AI508" s="203">
        <f t="shared" ca="1" si="1081"/>
        <v>0</v>
      </c>
      <c r="AJ508" s="203">
        <f t="shared" ca="1" si="1082"/>
        <v>0</v>
      </c>
      <c r="AK508" s="203" t="str">
        <f t="shared" ref="AK508:AL508" si="1096">AK507</f>
        <v>AMC2-S1</v>
      </c>
      <c r="AL508" s="203">
        <f t="shared" si="1096"/>
        <v>1</v>
      </c>
      <c r="AM508" s="203">
        <f t="shared" si="1084"/>
        <v>1</v>
      </c>
      <c r="AN508" s="203">
        <f t="shared" ca="1" si="1085"/>
        <v>1</v>
      </c>
      <c r="AO508" s="203">
        <f t="shared" ca="1" si="1086"/>
        <v>0</v>
      </c>
      <c r="AP508" s="203" t="str">
        <f t="shared" ref="AP508:AQ508" si="1097">AP507</f>
        <v>AMC2-S4</v>
      </c>
      <c r="AQ508" s="203">
        <f t="shared" si="1097"/>
        <v>1</v>
      </c>
      <c r="AR508" s="203">
        <f t="shared" si="1088"/>
        <v>1</v>
      </c>
      <c r="AS508" s="203">
        <f t="shared" ca="1" si="1089"/>
        <v>0</v>
      </c>
      <c r="AT508" s="203">
        <f t="shared" ca="1" si="1090"/>
        <v>1</v>
      </c>
      <c r="AU508" s="203" t="str">
        <f t="shared" ref="AU508:AV508" si="1098">AU507</f>
        <v>N/A</v>
      </c>
      <c r="AV508" s="203">
        <f t="shared" si="1098"/>
        <v>0</v>
      </c>
      <c r="AW508" s="203">
        <f t="shared" si="1092"/>
        <v>0</v>
      </c>
      <c r="AX508" s="203">
        <f t="shared" ca="1" si="1093"/>
        <v>0</v>
      </c>
      <c r="AY508" s="203">
        <f t="shared" ca="1" si="1094"/>
        <v>0</v>
      </c>
      <c r="AZ508" s="203"/>
      <c r="BA508" s="204" t="s">
        <v>1925</v>
      </c>
      <c r="BB508" s="204" t="s">
        <v>1926</v>
      </c>
      <c r="BC508" s="204" t="s">
        <v>1927</v>
      </c>
      <c r="BD508" s="204" t="s">
        <v>140</v>
      </c>
      <c r="BE508" s="166"/>
      <c r="BF508" s="203" t="s">
        <v>1789</v>
      </c>
      <c r="BG508" s="141"/>
      <c r="BH508" s="141"/>
      <c r="BI508" s="153"/>
      <c r="BJ508" s="153"/>
      <c r="BK508" s="153"/>
      <c r="BL508" s="153" t="s">
        <v>1932</v>
      </c>
      <c r="BM508" s="153"/>
      <c r="BN508" s="153"/>
      <c r="BO508" s="153"/>
      <c r="BP508" s="153"/>
      <c r="BQ508" s="153"/>
      <c r="BR508" s="141">
        <v>0</v>
      </c>
      <c r="BS508" s="141">
        <v>1</v>
      </c>
      <c r="BT508" s="141">
        <v>0</v>
      </c>
      <c r="BU508" s="141">
        <v>1</v>
      </c>
      <c r="BV508" s="141">
        <v>0</v>
      </c>
      <c r="BW508" s="141">
        <v>0</v>
      </c>
      <c r="BX508" s="141">
        <v>0</v>
      </c>
      <c r="BY508" s="141" t="s">
        <v>1790</v>
      </c>
      <c r="BZ508" s="167" t="s">
        <v>2191</v>
      </c>
      <c r="CA508" s="165">
        <v>4</v>
      </c>
      <c r="CB508" s="235">
        <v>46231</v>
      </c>
      <c r="CC508" s="141"/>
      <c r="CD508" s="141"/>
      <c r="CE508" s="166"/>
      <c r="CF508" s="166">
        <f>+L508-CA508</f>
        <v>-2</v>
      </c>
    </row>
    <row r="509" spans="1:84" ht="36" hidden="1">
      <c r="A509" s="117"/>
      <c r="B509" s="209" t="s">
        <v>1863</v>
      </c>
      <c r="C509" s="209" t="s">
        <v>2137</v>
      </c>
      <c r="D509" s="209" t="s">
        <v>13</v>
      </c>
      <c r="E509" s="209" t="s">
        <v>1788</v>
      </c>
      <c r="F509" s="209" t="s">
        <v>1018</v>
      </c>
      <c r="G509" s="209" t="s">
        <v>1019</v>
      </c>
      <c r="H509" s="210">
        <v>716</v>
      </c>
      <c r="I509" s="211" t="s">
        <v>147</v>
      </c>
      <c r="J509" s="144">
        <v>1</v>
      </c>
      <c r="K509" s="145">
        <f t="shared" si="1074"/>
        <v>2</v>
      </c>
      <c r="L509" s="202">
        <f t="shared" si="1075"/>
        <v>2</v>
      </c>
      <c r="M509" s="212">
        <v>6.7</v>
      </c>
      <c r="N509" s="203">
        <f t="shared" si="1076"/>
        <v>13.4</v>
      </c>
      <c r="O509" s="212" t="s">
        <v>137</v>
      </c>
      <c r="P509" s="212" t="s">
        <v>13</v>
      </c>
      <c r="Q509" s="212" t="s">
        <v>154</v>
      </c>
      <c r="R509" s="212"/>
      <c r="S509" s="212"/>
      <c r="T509" s="203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203">
        <f t="shared" ca="1" si="1077"/>
        <v>2</v>
      </c>
      <c r="V509" s="203">
        <f t="shared" ca="1" si="1078"/>
        <v>0</v>
      </c>
      <c r="W509" s="212"/>
      <c r="X509" s="212"/>
      <c r="Y509" s="212"/>
      <c r="Z509" s="212"/>
      <c r="AA509" s="212"/>
      <c r="AB509" s="212"/>
      <c r="AC509" s="214" t="s">
        <v>1923</v>
      </c>
      <c r="AD509" s="226" t="s">
        <v>1924</v>
      </c>
      <c r="AE509" s="148"/>
      <c r="AF509" s="212" t="str">
        <f t="shared" ref="AF509:AG509" si="1099">AF508</f>
        <v>N/A</v>
      </c>
      <c r="AG509" s="212">
        <f t="shared" si="1099"/>
        <v>0</v>
      </c>
      <c r="AH509" s="203">
        <f t="shared" si="1080"/>
        <v>0</v>
      </c>
      <c r="AI509" s="203">
        <f t="shared" ca="1" si="1081"/>
        <v>0</v>
      </c>
      <c r="AJ509" s="203">
        <f t="shared" ca="1" si="1082"/>
        <v>0</v>
      </c>
      <c r="AK509" s="212" t="str">
        <f t="shared" ref="AK509:AL509" si="1100">AK508</f>
        <v>AMC2-S1</v>
      </c>
      <c r="AL509" s="212">
        <f t="shared" si="1100"/>
        <v>1</v>
      </c>
      <c r="AM509" s="203">
        <f t="shared" si="1084"/>
        <v>1</v>
      </c>
      <c r="AN509" s="203">
        <f t="shared" ca="1" si="1085"/>
        <v>0</v>
      </c>
      <c r="AO509" s="203">
        <f t="shared" ca="1" si="1086"/>
        <v>1</v>
      </c>
      <c r="AP509" s="212" t="str">
        <f t="shared" ref="AP509:AQ509" si="1101">AP508</f>
        <v>AMC2-S4</v>
      </c>
      <c r="AQ509" s="212">
        <f t="shared" si="1101"/>
        <v>1</v>
      </c>
      <c r="AR509" s="203">
        <f t="shared" si="1088"/>
        <v>1</v>
      </c>
      <c r="AS509" s="203">
        <f t="shared" ca="1" si="1089"/>
        <v>0</v>
      </c>
      <c r="AT509" s="203">
        <f t="shared" ca="1" si="1090"/>
        <v>1</v>
      </c>
      <c r="AU509" s="212" t="str">
        <f t="shared" ref="AU509:AV509" si="1102">AU508</f>
        <v>N/A</v>
      </c>
      <c r="AV509" s="212">
        <f t="shared" si="1102"/>
        <v>0</v>
      </c>
      <c r="AW509" s="203">
        <f t="shared" si="1092"/>
        <v>0</v>
      </c>
      <c r="AX509" s="203">
        <f t="shared" ca="1" si="1093"/>
        <v>0</v>
      </c>
      <c r="AY509" s="203">
        <f t="shared" ca="1" si="1094"/>
        <v>0</v>
      </c>
      <c r="AZ509" s="212"/>
      <c r="BA509" s="213" t="s">
        <v>1925</v>
      </c>
      <c r="BB509" s="213" t="s">
        <v>1926</v>
      </c>
      <c r="BC509" s="213" t="s">
        <v>1927</v>
      </c>
      <c r="BD509" s="213" t="s">
        <v>140</v>
      </c>
      <c r="BE509" s="148"/>
      <c r="BF509" s="212" t="s">
        <v>1789</v>
      </c>
      <c r="BG509" s="117"/>
      <c r="BH509" s="117"/>
      <c r="BI509" s="149"/>
      <c r="BJ509" s="149" t="s">
        <v>2004</v>
      </c>
      <c r="BK509" s="149"/>
      <c r="BL509" s="149"/>
      <c r="BM509" s="149"/>
      <c r="BN509" s="149"/>
      <c r="BO509" s="149"/>
      <c r="BP509" s="149"/>
      <c r="BQ509" s="149"/>
      <c r="BR509" s="117">
        <v>1</v>
      </c>
      <c r="BS509" s="117">
        <v>0</v>
      </c>
      <c r="BT509" s="117">
        <v>1</v>
      </c>
      <c r="BU509" s="117">
        <v>0</v>
      </c>
      <c r="BV509" s="117">
        <v>0</v>
      </c>
      <c r="BW509" s="117">
        <v>0</v>
      </c>
      <c r="BX509" s="117">
        <v>0</v>
      </c>
      <c r="BY509" s="117" t="s">
        <v>1790</v>
      </c>
      <c r="BZ509" s="158" t="s">
        <v>2159</v>
      </c>
      <c r="CA509" s="144">
        <v>4</v>
      </c>
      <c r="CB509" s="234">
        <v>46213</v>
      </c>
      <c r="CC509" s="117"/>
      <c r="CD509" s="117"/>
      <c r="CE509" s="148"/>
      <c r="CF509" s="166">
        <f>+L509-CA509</f>
        <v>-2</v>
      </c>
    </row>
    <row r="510" spans="1:84" ht="36" hidden="1">
      <c r="A510" s="162">
        <v>155</v>
      </c>
      <c r="B510" s="177" t="s">
        <v>1863</v>
      </c>
      <c r="C510" s="177" t="s">
        <v>2138</v>
      </c>
      <c r="D510" s="177" t="s">
        <v>1866</v>
      </c>
      <c r="E510" s="177"/>
      <c r="F510" s="177"/>
      <c r="G510" s="177" t="s">
        <v>1867</v>
      </c>
      <c r="H510" s="178"/>
      <c r="I510" s="179"/>
      <c r="J510" s="160"/>
      <c r="K510" s="180">
        <f>+AG510+AL510+AQ510+AV510</f>
        <v>2</v>
      </c>
      <c r="L510" s="160"/>
      <c r="M510" s="181">
        <v>25.4</v>
      </c>
      <c r="N510" s="181">
        <v>101.6</v>
      </c>
      <c r="O510" s="181" t="s">
        <v>137</v>
      </c>
      <c r="P510" s="181"/>
      <c r="Q510" s="181"/>
      <c r="R510" s="181"/>
      <c r="S510" s="181"/>
      <c r="T510" s="181"/>
      <c r="U510" s="181"/>
      <c r="V510" s="181"/>
      <c r="W510" s="181">
        <f ca="1">_xlfn.MINIFS(V:V,C:C,C510,AE:AE,"",AB:AB,"")</f>
        <v>0</v>
      </c>
      <c r="X510" s="181">
        <f ca="1">SUMIFS(T:T,C:C,C510,AE:AE,"")/SUMIFS(L:L,C:C,C510,AE:AE,"",AB:AB,"")</f>
        <v>0.25</v>
      </c>
      <c r="Y510" s="181"/>
      <c r="Z510" s="181"/>
      <c r="AA510" s="181"/>
      <c r="AB510" s="181"/>
      <c r="AC510" s="228" t="s">
        <v>1923</v>
      </c>
      <c r="AD510" s="184" t="s">
        <v>1924</v>
      </c>
      <c r="AE510" s="162" t="s">
        <v>143</v>
      </c>
      <c r="AF510" s="181" t="s">
        <v>138</v>
      </c>
      <c r="AG510" s="181">
        <v>0</v>
      </c>
      <c r="AH510" s="181"/>
      <c r="AI510" s="181"/>
      <c r="AJ510" s="181"/>
      <c r="AK510" s="181" t="s">
        <v>1783</v>
      </c>
      <c r="AL510" s="181">
        <v>1</v>
      </c>
      <c r="AM510" s="181"/>
      <c r="AN510" s="181"/>
      <c r="AO510" s="181"/>
      <c r="AP510" s="181" t="s">
        <v>1922</v>
      </c>
      <c r="AQ510" s="181">
        <v>1</v>
      </c>
      <c r="AR510" s="181"/>
      <c r="AS510" s="181"/>
      <c r="AT510" s="181"/>
      <c r="AU510" s="181" t="s">
        <v>138</v>
      </c>
      <c r="AV510" s="181">
        <v>0</v>
      </c>
      <c r="AW510" s="181"/>
      <c r="AX510" s="181"/>
      <c r="AY510" s="181"/>
      <c r="AZ510" s="181"/>
      <c r="BA510" s="182" t="s">
        <v>1925</v>
      </c>
      <c r="BB510" s="182" t="s">
        <v>1926</v>
      </c>
      <c r="BC510" s="182" t="s">
        <v>1927</v>
      </c>
      <c r="BD510" s="182" t="s">
        <v>140</v>
      </c>
      <c r="BE510" s="162" t="s">
        <v>741</v>
      </c>
      <c r="BF510" s="181"/>
      <c r="BG510" s="161"/>
      <c r="BH510" s="161"/>
      <c r="BI510" s="163"/>
      <c r="BJ510" s="163"/>
      <c r="BK510" s="163"/>
      <c r="BL510" s="163"/>
      <c r="BM510" s="163"/>
      <c r="BN510" s="163"/>
      <c r="BO510" s="163"/>
      <c r="BP510" s="163"/>
      <c r="BQ510" s="163"/>
      <c r="BR510" s="161"/>
      <c r="BS510" s="161"/>
      <c r="BT510" s="161"/>
      <c r="BU510" s="161"/>
      <c r="BV510" s="161"/>
      <c r="BW510" s="161"/>
      <c r="BX510" s="161"/>
      <c r="BY510" s="161"/>
      <c r="BZ510" s="161"/>
      <c r="CA510" s="161"/>
      <c r="CB510" s="163"/>
      <c r="CC510" s="161"/>
      <c r="CD510" s="161"/>
      <c r="CE510" s="185"/>
      <c r="CF510" s="185"/>
    </row>
    <row r="511" spans="1:84" ht="36" hidden="1">
      <c r="A511" s="117"/>
      <c r="B511" s="209" t="s">
        <v>1863</v>
      </c>
      <c r="C511" s="209" t="s">
        <v>2138</v>
      </c>
      <c r="D511" s="209" t="s">
        <v>1007</v>
      </c>
      <c r="E511" s="209" t="s">
        <v>1868</v>
      </c>
      <c r="F511" s="209" t="s">
        <v>1031</v>
      </c>
      <c r="G511" s="209" t="s">
        <v>1032</v>
      </c>
      <c r="H511" s="210">
        <v>1096</v>
      </c>
      <c r="I511" s="211" t="s">
        <v>147</v>
      </c>
      <c r="J511" s="144">
        <v>1</v>
      </c>
      <c r="K511" s="145">
        <f t="shared" ref="K511:K513" si="1103">K510</f>
        <v>2</v>
      </c>
      <c r="L511" s="202">
        <f t="shared" ref="L511:L513" si="1104">+J511*K511</f>
        <v>2</v>
      </c>
      <c r="M511" s="212">
        <v>24.3</v>
      </c>
      <c r="N511" s="203">
        <f t="shared" ref="N511:N513" si="1105">+M511*L511</f>
        <v>48.6</v>
      </c>
      <c r="O511" s="212" t="s">
        <v>137</v>
      </c>
      <c r="P511" s="212" t="s">
        <v>11</v>
      </c>
      <c r="Q511" s="212" t="s">
        <v>154</v>
      </c>
      <c r="R511" s="212"/>
      <c r="S511" s="212"/>
      <c r="T511" s="203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0</v>
      </c>
      <c r="U511" s="203">
        <f t="shared" ref="U511:U513" ca="1" si="1106">+L511-T511</f>
        <v>2</v>
      </c>
      <c r="V511" s="203">
        <f t="shared" ref="V511:V513" ca="1" si="1107">ROUNDDOWN(T511/J511,0)</f>
        <v>0</v>
      </c>
      <c r="W511" s="212"/>
      <c r="X511" s="212"/>
      <c r="Y511" s="212"/>
      <c r="Z511" s="212"/>
      <c r="AA511" s="212"/>
      <c r="AB511" s="212"/>
      <c r="AC511" s="214" t="s">
        <v>1923</v>
      </c>
      <c r="AD511" s="226" t="s">
        <v>1924</v>
      </c>
      <c r="AE511" s="148"/>
      <c r="AF511" s="212" t="str">
        <f t="shared" ref="AF511:AG511" si="1108">AF510</f>
        <v>N/A</v>
      </c>
      <c r="AG511" s="212">
        <f t="shared" si="1108"/>
        <v>0</v>
      </c>
      <c r="AH511" s="203">
        <f t="shared" ref="AH511:AH513" si="1109">+AG511*J511</f>
        <v>0</v>
      </c>
      <c r="AI511" s="203">
        <f t="shared" ref="AI511:AI513" ca="1" si="1110">MIN(T511,AH511)</f>
        <v>0</v>
      </c>
      <c r="AJ511" s="203">
        <f t="shared" ref="AJ511:AJ513" ca="1" si="1111">+AH511-AI511</f>
        <v>0</v>
      </c>
      <c r="AK511" s="212" t="str">
        <f t="shared" ref="AK511:AL511" si="1112">AK510</f>
        <v>AMC2-S1</v>
      </c>
      <c r="AL511" s="212">
        <f t="shared" si="1112"/>
        <v>1</v>
      </c>
      <c r="AM511" s="203">
        <f t="shared" ref="AM511:AM513" si="1113">+AL511*J511</f>
        <v>1</v>
      </c>
      <c r="AN511" s="203">
        <f t="shared" ref="AN511:AN513" ca="1" si="1114">MIN(T511-AI511,AL511)</f>
        <v>0</v>
      </c>
      <c r="AO511" s="203">
        <f t="shared" ref="AO511:AO513" ca="1" si="1115">+AM511-AN511</f>
        <v>1</v>
      </c>
      <c r="AP511" s="212" t="str">
        <f t="shared" ref="AP511:AQ511" si="1116">AP510</f>
        <v>AMC2-S4</v>
      </c>
      <c r="AQ511" s="212">
        <f t="shared" si="1116"/>
        <v>1</v>
      </c>
      <c r="AR511" s="203">
        <f t="shared" ref="AR511:AR513" si="1117">+AQ511*J511</f>
        <v>1</v>
      </c>
      <c r="AS511" s="203">
        <f t="shared" ref="AS511:AS513" ca="1" si="1118">MIN(T511-AI511-AN511,AR511)</f>
        <v>0</v>
      </c>
      <c r="AT511" s="203">
        <f t="shared" ref="AT511:AT513" ca="1" si="1119">+AR511-AS511</f>
        <v>1</v>
      </c>
      <c r="AU511" s="212" t="str">
        <f t="shared" ref="AU511:AV511" si="1120">AU510</f>
        <v>N/A</v>
      </c>
      <c r="AV511" s="212">
        <f t="shared" si="1120"/>
        <v>0</v>
      </c>
      <c r="AW511" s="203">
        <f t="shared" ref="AW511:AW513" si="1121">+AV511*J511</f>
        <v>0</v>
      </c>
      <c r="AX511" s="203">
        <f t="shared" ref="AX511:AX513" ca="1" si="1122">MIN(T511-AI511-AN511-AS511,AW511)</f>
        <v>0</v>
      </c>
      <c r="AY511" s="203">
        <f t="shared" ref="AY511:AY513" ca="1" si="1123">+AW511-AX511</f>
        <v>0</v>
      </c>
      <c r="AZ511" s="212"/>
      <c r="BA511" s="213" t="s">
        <v>1925</v>
      </c>
      <c r="BB511" s="213" t="s">
        <v>1926</v>
      </c>
      <c r="BC511" s="213" t="s">
        <v>1927</v>
      </c>
      <c r="BD511" s="213" t="s">
        <v>140</v>
      </c>
      <c r="BE511" s="148"/>
      <c r="BF511" s="212" t="s">
        <v>1789</v>
      </c>
      <c r="BG511" s="117"/>
      <c r="BH511" s="117"/>
      <c r="BI511" s="149"/>
      <c r="BJ511" s="149"/>
      <c r="BK511" s="149"/>
      <c r="BL511" s="149"/>
      <c r="BM511" s="149"/>
      <c r="BN511" s="149"/>
      <c r="BO511" s="149"/>
      <c r="BP511" s="149"/>
      <c r="BQ511" s="149"/>
      <c r="BR511" s="117">
        <v>0</v>
      </c>
      <c r="BS511" s="117">
        <v>1</v>
      </c>
      <c r="BT511" s="117">
        <v>0</v>
      </c>
      <c r="BU511" s="117">
        <v>1</v>
      </c>
      <c r="BV511" s="117">
        <v>0</v>
      </c>
      <c r="BW511" s="117">
        <v>0</v>
      </c>
      <c r="BX511" s="117">
        <v>0</v>
      </c>
      <c r="BY511" s="117" t="s">
        <v>1790</v>
      </c>
      <c r="BZ511" s="158" t="s">
        <v>2203</v>
      </c>
      <c r="CA511" s="158">
        <v>4</v>
      </c>
      <c r="CB511" s="235">
        <v>46231</v>
      </c>
      <c r="CC511" s="117"/>
      <c r="CD511" s="117"/>
      <c r="CE511" s="148"/>
      <c r="CF511" s="166">
        <f>+L511-CA511</f>
        <v>-2</v>
      </c>
    </row>
    <row r="512" spans="1:84" ht="36" hidden="1">
      <c r="A512" s="117"/>
      <c r="B512" s="209" t="s">
        <v>1863</v>
      </c>
      <c r="C512" s="209" t="s">
        <v>2138</v>
      </c>
      <c r="D512" s="209" t="s">
        <v>1025</v>
      </c>
      <c r="E512" s="209" t="s">
        <v>1869</v>
      </c>
      <c r="F512" s="209" t="s">
        <v>1023</v>
      </c>
      <c r="G512" s="209" t="s">
        <v>1024</v>
      </c>
      <c r="H512" s="210">
        <v>80</v>
      </c>
      <c r="I512" s="211" t="s">
        <v>147</v>
      </c>
      <c r="J512" s="144">
        <v>1</v>
      </c>
      <c r="K512" s="145">
        <f t="shared" si="1103"/>
        <v>2</v>
      </c>
      <c r="L512" s="202">
        <f t="shared" si="1104"/>
        <v>2</v>
      </c>
      <c r="M512" s="212">
        <v>1.1000000000000001</v>
      </c>
      <c r="N512" s="203">
        <f t="shared" si="1105"/>
        <v>2.2000000000000002</v>
      </c>
      <c r="O512" s="212" t="s">
        <v>137</v>
      </c>
      <c r="P512" s="212" t="s">
        <v>11</v>
      </c>
      <c r="Q512" s="212" t="s">
        <v>148</v>
      </c>
      <c r="R512" s="212"/>
      <c r="S512" s="212"/>
      <c r="T512" s="203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0</v>
      </c>
      <c r="U512" s="203">
        <f t="shared" ca="1" si="1106"/>
        <v>2</v>
      </c>
      <c r="V512" s="203">
        <f t="shared" ca="1" si="1107"/>
        <v>0</v>
      </c>
      <c r="W512" s="212"/>
      <c r="X512" s="212"/>
      <c r="Y512" s="212"/>
      <c r="Z512" s="212"/>
      <c r="AA512" s="212"/>
      <c r="AB512" s="212"/>
      <c r="AC512" s="214" t="s">
        <v>1923</v>
      </c>
      <c r="AD512" s="226" t="s">
        <v>2005</v>
      </c>
      <c r="AE512" s="148"/>
      <c r="AF512" s="212" t="str">
        <f t="shared" ref="AF512:AG512" si="1124">AF511</f>
        <v>N/A</v>
      </c>
      <c r="AG512" s="212">
        <f t="shared" si="1124"/>
        <v>0</v>
      </c>
      <c r="AH512" s="203">
        <f t="shared" si="1109"/>
        <v>0</v>
      </c>
      <c r="AI512" s="203">
        <f t="shared" ca="1" si="1110"/>
        <v>0</v>
      </c>
      <c r="AJ512" s="203">
        <f t="shared" ca="1" si="1111"/>
        <v>0</v>
      </c>
      <c r="AK512" s="212" t="str">
        <f t="shared" ref="AK512:AL512" si="1125">AK511</f>
        <v>AMC2-S1</v>
      </c>
      <c r="AL512" s="212">
        <f t="shared" si="1125"/>
        <v>1</v>
      </c>
      <c r="AM512" s="203">
        <f t="shared" si="1113"/>
        <v>1</v>
      </c>
      <c r="AN512" s="203">
        <f t="shared" ca="1" si="1114"/>
        <v>0</v>
      </c>
      <c r="AO512" s="203">
        <f t="shared" ca="1" si="1115"/>
        <v>1</v>
      </c>
      <c r="AP512" s="212" t="str">
        <f t="shared" ref="AP512:AQ512" si="1126">AP511</f>
        <v>AMC2-S4</v>
      </c>
      <c r="AQ512" s="212">
        <f t="shared" si="1126"/>
        <v>1</v>
      </c>
      <c r="AR512" s="203">
        <f t="shared" si="1117"/>
        <v>1</v>
      </c>
      <c r="AS512" s="203">
        <f t="shared" ca="1" si="1118"/>
        <v>0</v>
      </c>
      <c r="AT512" s="203">
        <f t="shared" ca="1" si="1119"/>
        <v>1</v>
      </c>
      <c r="AU512" s="212" t="str">
        <f t="shared" ref="AU512:AV512" si="1127">AU511</f>
        <v>N/A</v>
      </c>
      <c r="AV512" s="212">
        <f t="shared" si="1127"/>
        <v>0</v>
      </c>
      <c r="AW512" s="203">
        <f t="shared" si="1121"/>
        <v>0</v>
      </c>
      <c r="AX512" s="203">
        <f t="shared" ca="1" si="1122"/>
        <v>0</v>
      </c>
      <c r="AY512" s="203">
        <f t="shared" ca="1" si="1123"/>
        <v>0</v>
      </c>
      <c r="AZ512" s="212"/>
      <c r="BA512" s="213" t="s">
        <v>1925</v>
      </c>
      <c r="BB512" s="213" t="s">
        <v>1926</v>
      </c>
      <c r="BC512" s="213" t="s">
        <v>1927</v>
      </c>
      <c r="BD512" s="213" t="s">
        <v>140</v>
      </c>
      <c r="BE512" s="148"/>
      <c r="BF512" s="212" t="s">
        <v>1789</v>
      </c>
      <c r="BG512" s="117"/>
      <c r="BH512" s="117"/>
      <c r="BI512" s="149"/>
      <c r="BJ512" s="149"/>
      <c r="BK512" s="149"/>
      <c r="BL512" s="149"/>
      <c r="BM512" s="149"/>
      <c r="BN512" s="149"/>
      <c r="BO512" s="149"/>
      <c r="BP512" s="149"/>
      <c r="BQ512" s="149"/>
      <c r="BR512" s="117">
        <v>1</v>
      </c>
      <c r="BS512" s="117">
        <v>0</v>
      </c>
      <c r="BT512" s="117">
        <v>0</v>
      </c>
      <c r="BU512" s="117">
        <v>0</v>
      </c>
      <c r="BV512" s="117">
        <v>0</v>
      </c>
      <c r="BW512" s="117">
        <v>0</v>
      </c>
      <c r="BX512" s="117">
        <v>0</v>
      </c>
      <c r="BY512" s="117" t="s">
        <v>1790</v>
      </c>
      <c r="BZ512" s="158" t="s">
        <v>2204</v>
      </c>
      <c r="CA512" s="158">
        <v>4</v>
      </c>
      <c r="CB512" s="235">
        <v>46231</v>
      </c>
      <c r="CC512" s="117"/>
      <c r="CD512" s="117"/>
      <c r="CE512" s="148"/>
      <c r="CF512" s="166">
        <f>+L512-CA512</f>
        <v>-2</v>
      </c>
    </row>
    <row r="513" spans="1:84" ht="36" hidden="1">
      <c r="A513" s="117"/>
      <c r="B513" s="209" t="s">
        <v>1863</v>
      </c>
      <c r="C513" s="209" t="s">
        <v>2138</v>
      </c>
      <c r="D513" s="209" t="s">
        <v>13</v>
      </c>
      <c r="E513" s="209" t="s">
        <v>1788</v>
      </c>
      <c r="F513" s="209" t="s">
        <v>1029</v>
      </c>
      <c r="G513" s="209" t="s">
        <v>1030</v>
      </c>
      <c r="H513" s="210">
        <v>80</v>
      </c>
      <c r="I513" s="211" t="s">
        <v>147</v>
      </c>
      <c r="J513" s="144">
        <v>1</v>
      </c>
      <c r="K513" s="145">
        <f t="shared" si="1103"/>
        <v>2</v>
      </c>
      <c r="L513" s="202">
        <f t="shared" si="1104"/>
        <v>2</v>
      </c>
      <c r="M513" s="212">
        <v>0.2</v>
      </c>
      <c r="N513" s="203">
        <f t="shared" si="1105"/>
        <v>0.4</v>
      </c>
      <c r="O513" s="212" t="s">
        <v>137</v>
      </c>
      <c r="P513" s="212" t="s">
        <v>13</v>
      </c>
      <c r="Q513" s="212" t="s">
        <v>148</v>
      </c>
      <c r="R513" s="212"/>
      <c r="S513" s="212"/>
      <c r="T513" s="203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203">
        <f t="shared" ca="1" si="1106"/>
        <v>2</v>
      </c>
      <c r="V513" s="203">
        <f t="shared" ca="1" si="1107"/>
        <v>0</v>
      </c>
      <c r="W513" s="212"/>
      <c r="X513" s="212"/>
      <c r="Y513" s="212"/>
      <c r="Z513" s="212"/>
      <c r="AA513" s="212"/>
      <c r="AB513" s="212"/>
      <c r="AC513" s="214" t="s">
        <v>1923</v>
      </c>
      <c r="AD513" s="226" t="s">
        <v>1924</v>
      </c>
      <c r="AE513" s="148"/>
      <c r="AF513" s="212" t="str">
        <f t="shared" ref="AF513:AG513" si="1128">AF512</f>
        <v>N/A</v>
      </c>
      <c r="AG513" s="212">
        <f t="shared" si="1128"/>
        <v>0</v>
      </c>
      <c r="AH513" s="203">
        <f t="shared" si="1109"/>
        <v>0</v>
      </c>
      <c r="AI513" s="203">
        <f t="shared" ca="1" si="1110"/>
        <v>0</v>
      </c>
      <c r="AJ513" s="203">
        <f t="shared" ca="1" si="1111"/>
        <v>0</v>
      </c>
      <c r="AK513" s="212" t="str">
        <f t="shared" ref="AK513:AL513" si="1129">AK512</f>
        <v>AMC2-S1</v>
      </c>
      <c r="AL513" s="212">
        <f t="shared" si="1129"/>
        <v>1</v>
      </c>
      <c r="AM513" s="203">
        <f t="shared" si="1113"/>
        <v>1</v>
      </c>
      <c r="AN513" s="203">
        <f t="shared" ca="1" si="1114"/>
        <v>0</v>
      </c>
      <c r="AO513" s="203">
        <f t="shared" ca="1" si="1115"/>
        <v>1</v>
      </c>
      <c r="AP513" s="212" t="str">
        <f t="shared" ref="AP513:AQ513" si="1130">AP512</f>
        <v>AMC2-S4</v>
      </c>
      <c r="AQ513" s="212">
        <f t="shared" si="1130"/>
        <v>1</v>
      </c>
      <c r="AR513" s="203">
        <f t="shared" si="1117"/>
        <v>1</v>
      </c>
      <c r="AS513" s="203">
        <f t="shared" ca="1" si="1118"/>
        <v>0</v>
      </c>
      <c r="AT513" s="203">
        <f t="shared" ca="1" si="1119"/>
        <v>1</v>
      </c>
      <c r="AU513" s="212" t="str">
        <f t="shared" ref="AU513:AV513" si="1131">AU512</f>
        <v>N/A</v>
      </c>
      <c r="AV513" s="212">
        <f t="shared" si="1131"/>
        <v>0</v>
      </c>
      <c r="AW513" s="203">
        <f t="shared" si="1121"/>
        <v>0</v>
      </c>
      <c r="AX513" s="203">
        <f t="shared" ca="1" si="1122"/>
        <v>0</v>
      </c>
      <c r="AY513" s="203">
        <f t="shared" ca="1" si="1123"/>
        <v>0</v>
      </c>
      <c r="AZ513" s="212"/>
      <c r="BA513" s="213" t="s">
        <v>1925</v>
      </c>
      <c r="BB513" s="213" t="s">
        <v>1926</v>
      </c>
      <c r="BC513" s="213" t="s">
        <v>1927</v>
      </c>
      <c r="BD513" s="213" t="s">
        <v>140</v>
      </c>
      <c r="BE513" s="148"/>
      <c r="BF513" s="212" t="s">
        <v>1789</v>
      </c>
      <c r="BG513" s="117"/>
      <c r="BH513" s="117"/>
      <c r="BI513" s="149"/>
      <c r="BJ513" s="149" t="s">
        <v>2004</v>
      </c>
      <c r="BK513" s="149"/>
      <c r="BL513" s="149"/>
      <c r="BM513" s="149"/>
      <c r="BN513" s="149"/>
      <c r="BO513" s="149"/>
      <c r="BP513" s="149"/>
      <c r="BQ513" s="149"/>
      <c r="BR513" s="117">
        <v>1</v>
      </c>
      <c r="BS513" s="117">
        <v>0</v>
      </c>
      <c r="BT513" s="117">
        <v>0</v>
      </c>
      <c r="BU513" s="117">
        <v>0</v>
      </c>
      <c r="BV513" s="117">
        <v>0</v>
      </c>
      <c r="BW513" s="117">
        <v>0</v>
      </c>
      <c r="BX513" s="117">
        <v>0</v>
      </c>
      <c r="BY513" s="117" t="s">
        <v>1790</v>
      </c>
      <c r="BZ513" s="158" t="s">
        <v>2159</v>
      </c>
      <c r="CA513" s="144">
        <v>4</v>
      </c>
      <c r="CB513" s="234">
        <v>46213</v>
      </c>
      <c r="CC513" s="117"/>
      <c r="CD513" s="117"/>
      <c r="CE513" s="148"/>
      <c r="CF513" s="166">
        <f>+L513-CA513</f>
        <v>-2</v>
      </c>
    </row>
    <row r="514" spans="1:84" ht="36" hidden="1">
      <c r="A514" s="162">
        <v>156</v>
      </c>
      <c r="B514" s="177" t="s">
        <v>1863</v>
      </c>
      <c r="C514" s="177" t="s">
        <v>2141</v>
      </c>
      <c r="D514" s="177" t="s">
        <v>1871</v>
      </c>
      <c r="E514" s="177"/>
      <c r="F514" s="177"/>
      <c r="G514" s="177" t="s">
        <v>1872</v>
      </c>
      <c r="H514" s="178"/>
      <c r="I514" s="179"/>
      <c r="J514" s="160"/>
      <c r="K514" s="180">
        <f>+AG514+AL514+AQ514+AV514</f>
        <v>2</v>
      </c>
      <c r="L514" s="160"/>
      <c r="M514" s="181">
        <v>187.3</v>
      </c>
      <c r="N514" s="181">
        <v>749.2</v>
      </c>
      <c r="O514" s="181" t="s">
        <v>137</v>
      </c>
      <c r="P514" s="181"/>
      <c r="Q514" s="181"/>
      <c r="R514" s="181"/>
      <c r="S514" s="181"/>
      <c r="T514" s="181"/>
      <c r="U514" s="181"/>
      <c r="V514" s="181"/>
      <c r="W514" s="181">
        <f ca="1">_xlfn.MINIFS(V:V,C:C,C514,AE:AE,"",AB:AB,"")</f>
        <v>0</v>
      </c>
      <c r="X514" s="181">
        <f ca="1">SUMIFS(T:T,C:C,C514,AE:AE,"")/SUMIFS(L:L,C:C,C514,AE:AE,"",AB:AB,"")</f>
        <v>0.3</v>
      </c>
      <c r="Y514" s="181"/>
      <c r="Z514" s="181"/>
      <c r="AA514" s="181"/>
      <c r="AB514" s="181"/>
      <c r="AC514" s="228" t="s">
        <v>1923</v>
      </c>
      <c r="AD514" s="184" t="s">
        <v>1924</v>
      </c>
      <c r="AE514" s="162" t="s">
        <v>143</v>
      </c>
      <c r="AF514" s="181" t="s">
        <v>138</v>
      </c>
      <c r="AG514" s="181">
        <v>0</v>
      </c>
      <c r="AH514" s="181"/>
      <c r="AI514" s="181"/>
      <c r="AJ514" s="181"/>
      <c r="AK514" s="181" t="s">
        <v>1783</v>
      </c>
      <c r="AL514" s="181">
        <v>1</v>
      </c>
      <c r="AM514" s="181"/>
      <c r="AN514" s="181"/>
      <c r="AO514" s="181"/>
      <c r="AP514" s="181" t="s">
        <v>1922</v>
      </c>
      <c r="AQ514" s="181">
        <v>1</v>
      </c>
      <c r="AR514" s="181"/>
      <c r="AS514" s="181"/>
      <c r="AT514" s="181"/>
      <c r="AU514" s="181" t="s">
        <v>138</v>
      </c>
      <c r="AV514" s="181">
        <v>0</v>
      </c>
      <c r="AW514" s="181"/>
      <c r="AX514" s="181"/>
      <c r="AY514" s="181"/>
      <c r="AZ514" s="179"/>
      <c r="BA514" s="182" t="s">
        <v>1925</v>
      </c>
      <c r="BB514" s="182" t="s">
        <v>1926</v>
      </c>
      <c r="BC514" s="182" t="s">
        <v>1927</v>
      </c>
      <c r="BD514" s="182" t="s">
        <v>140</v>
      </c>
      <c r="BE514" s="162" t="s">
        <v>741</v>
      </c>
      <c r="BF514" s="181"/>
      <c r="BG514" s="161"/>
      <c r="BH514" s="161"/>
      <c r="BI514" s="163"/>
      <c r="BJ514" s="163"/>
      <c r="BK514" s="163"/>
      <c r="BL514" s="163"/>
      <c r="BM514" s="163"/>
      <c r="BN514" s="163"/>
      <c r="BO514" s="163"/>
      <c r="BP514" s="163"/>
      <c r="BQ514" s="163"/>
      <c r="BR514" s="161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3"/>
      <c r="CC514" s="161"/>
      <c r="CD514" s="161"/>
      <c r="CE514" s="185"/>
      <c r="CF514" s="185"/>
    </row>
    <row r="515" spans="1:84" ht="36" hidden="1">
      <c r="A515" s="117"/>
      <c r="B515" s="209" t="s">
        <v>1863</v>
      </c>
      <c r="C515" s="209" t="s">
        <v>2141</v>
      </c>
      <c r="D515" s="209" t="s">
        <v>1873</v>
      </c>
      <c r="E515" s="209" t="s">
        <v>1823</v>
      </c>
      <c r="F515" s="209" t="s">
        <v>1035</v>
      </c>
      <c r="G515" s="209" t="s">
        <v>1874</v>
      </c>
      <c r="H515" s="210"/>
      <c r="I515" s="211" t="s">
        <v>1017</v>
      </c>
      <c r="J515" s="144">
        <v>1</v>
      </c>
      <c r="K515" s="145">
        <f t="shared" ref="K515:K518" si="1132">K514</f>
        <v>2</v>
      </c>
      <c r="L515" s="202">
        <f t="shared" ref="L515:L518" si="1133">+J515*K515</f>
        <v>2</v>
      </c>
      <c r="M515" s="212">
        <v>100</v>
      </c>
      <c r="N515" s="203">
        <f t="shared" ref="N515:N518" si="1134">+M515*L515</f>
        <v>200</v>
      </c>
      <c r="O515" s="212" t="s">
        <v>137</v>
      </c>
      <c r="P515" s="212" t="s">
        <v>14</v>
      </c>
      <c r="Q515" s="212" t="s">
        <v>976</v>
      </c>
      <c r="R515" s="212"/>
      <c r="S515" s="212"/>
      <c r="T515" s="203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0</v>
      </c>
      <c r="U515" s="203">
        <f t="shared" ref="U515:U518" ca="1" si="1135">+L515-T515</f>
        <v>2</v>
      </c>
      <c r="V515" s="203">
        <f t="shared" ref="V515:V518" ca="1" si="1136">ROUNDDOWN(T515/J515,0)</f>
        <v>0</v>
      </c>
      <c r="W515" s="212"/>
      <c r="X515" s="212"/>
      <c r="Y515" s="212"/>
      <c r="Z515" s="212"/>
      <c r="AA515" s="212"/>
      <c r="AB515" s="212"/>
      <c r="AC515" s="214" t="s">
        <v>1923</v>
      </c>
      <c r="AD515" s="226" t="s">
        <v>1924</v>
      </c>
      <c r="AE515" s="148"/>
      <c r="AF515" s="212" t="str">
        <f t="shared" ref="AF515:AG515" si="1137">AF514</f>
        <v>N/A</v>
      </c>
      <c r="AG515" s="212">
        <f t="shared" si="1137"/>
        <v>0</v>
      </c>
      <c r="AH515" s="203">
        <f t="shared" ref="AH515:AH518" si="1138">+AG515*J515</f>
        <v>0</v>
      </c>
      <c r="AI515" s="203">
        <f t="shared" ref="AI515:AI518" ca="1" si="1139">MIN(T515,AH515)</f>
        <v>0</v>
      </c>
      <c r="AJ515" s="203">
        <f t="shared" ref="AJ515:AJ518" ca="1" si="1140">+AH515-AI515</f>
        <v>0</v>
      </c>
      <c r="AK515" s="212" t="str">
        <f t="shared" ref="AK515:AL515" si="1141">AK514</f>
        <v>AMC2-S1</v>
      </c>
      <c r="AL515" s="212">
        <f t="shared" si="1141"/>
        <v>1</v>
      </c>
      <c r="AM515" s="203">
        <f t="shared" ref="AM515:AM518" si="1142">+AL515*J515</f>
        <v>1</v>
      </c>
      <c r="AN515" s="203">
        <f t="shared" ref="AN515:AN518" ca="1" si="1143">MIN(T515-AI515,AL515)</f>
        <v>0</v>
      </c>
      <c r="AO515" s="203">
        <f t="shared" ref="AO515:AO518" ca="1" si="1144">+AM515-AN515</f>
        <v>1</v>
      </c>
      <c r="AP515" s="212" t="str">
        <f t="shared" ref="AP515:AQ515" si="1145">AP514</f>
        <v>AMC2-S4</v>
      </c>
      <c r="AQ515" s="212">
        <f t="shared" si="1145"/>
        <v>1</v>
      </c>
      <c r="AR515" s="203">
        <f t="shared" ref="AR515:AR518" si="1146">+AQ515*J515</f>
        <v>1</v>
      </c>
      <c r="AS515" s="203">
        <f t="shared" ref="AS515:AS518" ca="1" si="1147">MIN(T515-AI515-AN515,AR515)</f>
        <v>0</v>
      </c>
      <c r="AT515" s="203">
        <f t="shared" ref="AT515:AT518" ca="1" si="1148">+AR515-AS515</f>
        <v>1</v>
      </c>
      <c r="AU515" s="212" t="str">
        <f t="shared" ref="AU515:AV515" si="1149">AU514</f>
        <v>N/A</v>
      </c>
      <c r="AV515" s="212">
        <f t="shared" si="1149"/>
        <v>0</v>
      </c>
      <c r="AW515" s="203">
        <f t="shared" ref="AW515:AW518" si="1150">+AV515*J515</f>
        <v>0</v>
      </c>
      <c r="AX515" s="203">
        <f t="shared" ref="AX515:AX518" ca="1" si="1151">MIN(T515-AI515-AN515-AS515,AW515)</f>
        <v>0</v>
      </c>
      <c r="AY515" s="203">
        <f t="shared" ref="AY515:AY518" ca="1" si="1152">+AW515-AX515</f>
        <v>0</v>
      </c>
      <c r="AZ515" s="212"/>
      <c r="BA515" s="213" t="s">
        <v>1925</v>
      </c>
      <c r="BB515" s="213" t="s">
        <v>1926</v>
      </c>
      <c r="BC515" s="213" t="s">
        <v>1927</v>
      </c>
      <c r="BD515" s="213" t="s">
        <v>140</v>
      </c>
      <c r="BE515" s="148"/>
      <c r="BF515" s="212"/>
      <c r="BG515" s="117"/>
      <c r="BH515" s="117"/>
      <c r="BI515" s="149"/>
      <c r="BJ515" s="149"/>
      <c r="BK515" s="149"/>
      <c r="BL515" s="149"/>
      <c r="BM515" s="149"/>
      <c r="BN515" s="149"/>
      <c r="BO515" s="149"/>
      <c r="BP515" s="149"/>
      <c r="BQ515" s="149"/>
      <c r="BR515" s="117" t="s">
        <v>140</v>
      </c>
      <c r="BS515" s="117" t="s">
        <v>140</v>
      </c>
      <c r="BT515" s="117" t="s">
        <v>140</v>
      </c>
      <c r="BU515" s="117" t="s">
        <v>140</v>
      </c>
      <c r="BV515" s="117" t="s">
        <v>140</v>
      </c>
      <c r="BW515" s="117" t="s">
        <v>140</v>
      </c>
      <c r="BX515" s="117" t="s">
        <v>140</v>
      </c>
      <c r="BY515" s="117" t="s">
        <v>14</v>
      </c>
      <c r="BZ515" s="117"/>
      <c r="CA515" s="117"/>
      <c r="CB515" s="149"/>
      <c r="CC515" s="117"/>
      <c r="CD515" s="117"/>
      <c r="CE515" s="148"/>
      <c r="CF515" s="148"/>
    </row>
    <row r="516" spans="1:84" ht="36" hidden="1">
      <c r="A516" s="117"/>
      <c r="B516" s="209" t="s">
        <v>1863</v>
      </c>
      <c r="C516" s="209" t="s">
        <v>2141</v>
      </c>
      <c r="D516" s="209" t="s">
        <v>1007</v>
      </c>
      <c r="E516" s="209" t="s">
        <v>1868</v>
      </c>
      <c r="F516" s="209" t="s">
        <v>1039</v>
      </c>
      <c r="G516" s="209" t="s">
        <v>1040</v>
      </c>
      <c r="H516" s="210">
        <v>326</v>
      </c>
      <c r="I516" s="211" t="s">
        <v>147</v>
      </c>
      <c r="J516" s="144">
        <v>2</v>
      </c>
      <c r="K516" s="145">
        <f t="shared" si="1132"/>
        <v>2</v>
      </c>
      <c r="L516" s="202">
        <f t="shared" si="1133"/>
        <v>4</v>
      </c>
      <c r="M516" s="212">
        <v>0.8</v>
      </c>
      <c r="N516" s="203">
        <f t="shared" si="1134"/>
        <v>3.2</v>
      </c>
      <c r="O516" s="212" t="s">
        <v>137</v>
      </c>
      <c r="P516" s="212" t="s">
        <v>11</v>
      </c>
      <c r="Q516" s="212" t="s">
        <v>154</v>
      </c>
      <c r="R516" s="212"/>
      <c r="S516" s="212"/>
      <c r="T516" s="203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2</v>
      </c>
      <c r="U516" s="203">
        <f t="shared" ca="1" si="1135"/>
        <v>2</v>
      </c>
      <c r="V516" s="203">
        <f t="shared" ca="1" si="1136"/>
        <v>1</v>
      </c>
      <c r="W516" s="212"/>
      <c r="X516" s="212"/>
      <c r="Y516" s="212"/>
      <c r="Z516" s="212"/>
      <c r="AA516" s="212"/>
      <c r="AB516" s="212"/>
      <c r="AC516" s="214" t="s">
        <v>1923</v>
      </c>
      <c r="AD516" s="226" t="s">
        <v>1924</v>
      </c>
      <c r="AE516" s="148"/>
      <c r="AF516" s="212" t="str">
        <f t="shared" ref="AF516:AG516" si="1153">AF515</f>
        <v>N/A</v>
      </c>
      <c r="AG516" s="212">
        <f t="shared" si="1153"/>
        <v>0</v>
      </c>
      <c r="AH516" s="203">
        <f t="shared" si="1138"/>
        <v>0</v>
      </c>
      <c r="AI516" s="203">
        <f t="shared" ca="1" si="1139"/>
        <v>0</v>
      </c>
      <c r="AJ516" s="203">
        <f t="shared" ca="1" si="1140"/>
        <v>0</v>
      </c>
      <c r="AK516" s="212" t="str">
        <f t="shared" ref="AK516:AL516" si="1154">AK515</f>
        <v>AMC2-S1</v>
      </c>
      <c r="AL516" s="212">
        <f t="shared" si="1154"/>
        <v>1</v>
      </c>
      <c r="AM516" s="203">
        <f t="shared" si="1142"/>
        <v>2</v>
      </c>
      <c r="AN516" s="203">
        <f t="shared" ca="1" si="1143"/>
        <v>1</v>
      </c>
      <c r="AO516" s="203">
        <f t="shared" ca="1" si="1144"/>
        <v>1</v>
      </c>
      <c r="AP516" s="212" t="str">
        <f t="shared" ref="AP516:AQ516" si="1155">AP515</f>
        <v>AMC2-S4</v>
      </c>
      <c r="AQ516" s="212">
        <f t="shared" si="1155"/>
        <v>1</v>
      </c>
      <c r="AR516" s="203">
        <f t="shared" si="1146"/>
        <v>2</v>
      </c>
      <c r="AS516" s="203">
        <f t="shared" ca="1" si="1147"/>
        <v>1</v>
      </c>
      <c r="AT516" s="203">
        <f t="shared" ca="1" si="1148"/>
        <v>1</v>
      </c>
      <c r="AU516" s="212" t="str">
        <f t="shared" ref="AU516:AV516" si="1156">AU515</f>
        <v>N/A</v>
      </c>
      <c r="AV516" s="212">
        <f t="shared" si="1156"/>
        <v>0</v>
      </c>
      <c r="AW516" s="203">
        <f t="shared" si="1150"/>
        <v>0</v>
      </c>
      <c r="AX516" s="203">
        <f t="shared" ca="1" si="1151"/>
        <v>0</v>
      </c>
      <c r="AY516" s="203">
        <f t="shared" ca="1" si="1152"/>
        <v>0</v>
      </c>
      <c r="AZ516" s="212"/>
      <c r="BA516" s="213" t="s">
        <v>1925</v>
      </c>
      <c r="BB516" s="213" t="s">
        <v>1926</v>
      </c>
      <c r="BC516" s="213" t="s">
        <v>1927</v>
      </c>
      <c r="BD516" s="213" t="s">
        <v>140</v>
      </c>
      <c r="BE516" s="148"/>
      <c r="BF516" s="212" t="s">
        <v>1789</v>
      </c>
      <c r="BG516" s="117"/>
      <c r="BH516" s="117"/>
      <c r="BI516" s="149"/>
      <c r="BJ516" s="149"/>
      <c r="BK516" s="149"/>
      <c r="BL516" s="149"/>
      <c r="BM516" s="149"/>
      <c r="BN516" s="149"/>
      <c r="BO516" s="149"/>
      <c r="BP516" s="149"/>
      <c r="BQ516" s="149"/>
      <c r="BR516" s="117">
        <v>0</v>
      </c>
      <c r="BS516" s="117">
        <v>1</v>
      </c>
      <c r="BT516" s="117">
        <v>0</v>
      </c>
      <c r="BU516" s="117">
        <v>0</v>
      </c>
      <c r="BV516" s="117">
        <v>0</v>
      </c>
      <c r="BW516" s="117">
        <v>0</v>
      </c>
      <c r="BX516" s="117">
        <v>0</v>
      </c>
      <c r="BY516" s="117" t="s">
        <v>1790</v>
      </c>
      <c r="BZ516" s="158" t="s">
        <v>2205</v>
      </c>
      <c r="CA516" s="158">
        <v>8</v>
      </c>
      <c r="CB516" s="235">
        <v>46231</v>
      </c>
      <c r="CC516" s="117"/>
      <c r="CD516" s="117"/>
      <c r="CE516" s="148"/>
      <c r="CF516" s="166">
        <f>+L516-CA516</f>
        <v>-4</v>
      </c>
    </row>
    <row r="517" spans="1:84" ht="36" hidden="1">
      <c r="A517" s="117"/>
      <c r="B517" s="209" t="s">
        <v>1863</v>
      </c>
      <c r="C517" s="209" t="s">
        <v>2141</v>
      </c>
      <c r="D517" s="209" t="s">
        <v>1007</v>
      </c>
      <c r="E517" s="209" t="s">
        <v>1875</v>
      </c>
      <c r="F517" s="209" t="s">
        <v>1043</v>
      </c>
      <c r="G517" s="209" t="s">
        <v>1044</v>
      </c>
      <c r="H517" s="210">
        <v>188</v>
      </c>
      <c r="I517" s="211" t="s">
        <v>147</v>
      </c>
      <c r="J517" s="144">
        <v>1</v>
      </c>
      <c r="K517" s="145">
        <f t="shared" si="1132"/>
        <v>2</v>
      </c>
      <c r="L517" s="202">
        <f t="shared" si="1133"/>
        <v>2</v>
      </c>
      <c r="M517" s="212">
        <v>0.3</v>
      </c>
      <c r="N517" s="203">
        <f t="shared" si="1134"/>
        <v>0.6</v>
      </c>
      <c r="O517" s="212" t="s">
        <v>137</v>
      </c>
      <c r="P517" s="212" t="s">
        <v>11</v>
      </c>
      <c r="Q517" s="212" t="s">
        <v>154</v>
      </c>
      <c r="R517" s="212"/>
      <c r="S517" s="212"/>
      <c r="T517" s="203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1</v>
      </c>
      <c r="U517" s="203">
        <f t="shared" ca="1" si="1135"/>
        <v>1</v>
      </c>
      <c r="V517" s="203">
        <f t="shared" ca="1" si="1136"/>
        <v>1</v>
      </c>
      <c r="W517" s="212"/>
      <c r="X517" s="212"/>
      <c r="Y517" s="212"/>
      <c r="Z517" s="212"/>
      <c r="AA517" s="212"/>
      <c r="AB517" s="212"/>
      <c r="AC517" s="214" t="s">
        <v>1923</v>
      </c>
      <c r="AD517" s="226" t="s">
        <v>1924</v>
      </c>
      <c r="AE517" s="148"/>
      <c r="AF517" s="212" t="str">
        <f t="shared" ref="AF517:AG517" si="1157">AF516</f>
        <v>N/A</v>
      </c>
      <c r="AG517" s="212">
        <f t="shared" si="1157"/>
        <v>0</v>
      </c>
      <c r="AH517" s="203">
        <f t="shared" si="1138"/>
        <v>0</v>
      </c>
      <c r="AI517" s="203">
        <f t="shared" ca="1" si="1139"/>
        <v>0</v>
      </c>
      <c r="AJ517" s="203">
        <f t="shared" ca="1" si="1140"/>
        <v>0</v>
      </c>
      <c r="AK517" s="212" t="str">
        <f t="shared" ref="AK517:AL517" si="1158">AK516</f>
        <v>AMC2-S1</v>
      </c>
      <c r="AL517" s="212">
        <f t="shared" si="1158"/>
        <v>1</v>
      </c>
      <c r="AM517" s="203">
        <f t="shared" si="1142"/>
        <v>1</v>
      </c>
      <c r="AN517" s="203">
        <f t="shared" ca="1" si="1143"/>
        <v>1</v>
      </c>
      <c r="AO517" s="203">
        <f t="shared" ca="1" si="1144"/>
        <v>0</v>
      </c>
      <c r="AP517" s="212" t="str">
        <f t="shared" ref="AP517:AQ517" si="1159">AP516</f>
        <v>AMC2-S4</v>
      </c>
      <c r="AQ517" s="212">
        <f t="shared" si="1159"/>
        <v>1</v>
      </c>
      <c r="AR517" s="203">
        <f t="shared" si="1146"/>
        <v>1</v>
      </c>
      <c r="AS517" s="203">
        <f t="shared" ca="1" si="1147"/>
        <v>0</v>
      </c>
      <c r="AT517" s="203">
        <f t="shared" ca="1" si="1148"/>
        <v>1</v>
      </c>
      <c r="AU517" s="212" t="str">
        <f t="shared" ref="AU517:AV517" si="1160">AU516</f>
        <v>N/A</v>
      </c>
      <c r="AV517" s="212">
        <f t="shared" si="1160"/>
        <v>0</v>
      </c>
      <c r="AW517" s="203">
        <f t="shared" si="1150"/>
        <v>0</v>
      </c>
      <c r="AX517" s="203">
        <f t="shared" ca="1" si="1151"/>
        <v>0</v>
      </c>
      <c r="AY517" s="203">
        <f t="shared" ca="1" si="1152"/>
        <v>0</v>
      </c>
      <c r="AZ517" s="212"/>
      <c r="BA517" s="213" t="s">
        <v>1925</v>
      </c>
      <c r="BB517" s="213" t="s">
        <v>1926</v>
      </c>
      <c r="BC517" s="213" t="s">
        <v>1927</v>
      </c>
      <c r="BD517" s="213" t="s">
        <v>140</v>
      </c>
      <c r="BE517" s="148"/>
      <c r="BF517" s="212" t="s">
        <v>1789</v>
      </c>
      <c r="BG517" s="117"/>
      <c r="BH517" s="117"/>
      <c r="BI517" s="149"/>
      <c r="BJ517" s="149"/>
      <c r="BK517" s="149"/>
      <c r="BL517" s="149"/>
      <c r="BM517" s="149"/>
      <c r="BN517" s="149"/>
      <c r="BO517" s="149"/>
      <c r="BP517" s="149"/>
      <c r="BQ517" s="149"/>
      <c r="BR517" s="117">
        <v>0</v>
      </c>
      <c r="BS517" s="117">
        <v>1</v>
      </c>
      <c r="BT517" s="117">
        <v>0</v>
      </c>
      <c r="BU517" s="117">
        <v>0</v>
      </c>
      <c r="BV517" s="117">
        <v>0</v>
      </c>
      <c r="BW517" s="117">
        <v>0</v>
      </c>
      <c r="BX517" s="117">
        <v>0</v>
      </c>
      <c r="BY517" s="117" t="s">
        <v>1790</v>
      </c>
      <c r="BZ517" s="158" t="s">
        <v>2206</v>
      </c>
      <c r="CA517" s="158">
        <v>4</v>
      </c>
      <c r="CB517" s="235">
        <v>46231</v>
      </c>
      <c r="CC517" s="117"/>
      <c r="CD517" s="117"/>
      <c r="CE517" s="148"/>
      <c r="CF517" s="166">
        <f>+L517-CA517</f>
        <v>-2</v>
      </c>
    </row>
    <row r="518" spans="1:84" ht="36" hidden="1">
      <c r="A518" s="117"/>
      <c r="B518" s="209" t="s">
        <v>1863</v>
      </c>
      <c r="C518" s="209" t="s">
        <v>2141</v>
      </c>
      <c r="D518" s="209" t="s">
        <v>1037</v>
      </c>
      <c r="E518" s="209" t="s">
        <v>1823</v>
      </c>
      <c r="F518" s="209" t="s">
        <v>1035</v>
      </c>
      <c r="G518" s="209" t="s">
        <v>1036</v>
      </c>
      <c r="H518" s="210" t="s">
        <v>1038</v>
      </c>
      <c r="I518" s="211" t="s">
        <v>147</v>
      </c>
      <c r="J518" s="144">
        <v>1</v>
      </c>
      <c r="K518" s="145">
        <f t="shared" si="1132"/>
        <v>2</v>
      </c>
      <c r="L518" s="202">
        <f t="shared" si="1133"/>
        <v>2</v>
      </c>
      <c r="M518" s="212">
        <v>0.6</v>
      </c>
      <c r="N518" s="203">
        <f t="shared" si="1134"/>
        <v>1.2</v>
      </c>
      <c r="O518" s="212" t="s">
        <v>137</v>
      </c>
      <c r="P518" s="212" t="s">
        <v>14</v>
      </c>
      <c r="Q518" s="212" t="s">
        <v>976</v>
      </c>
      <c r="R518" s="212"/>
      <c r="S518" s="212"/>
      <c r="T518" s="203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0</v>
      </c>
      <c r="U518" s="203">
        <f t="shared" ca="1" si="1135"/>
        <v>2</v>
      </c>
      <c r="V518" s="203">
        <f t="shared" ca="1" si="1136"/>
        <v>0</v>
      </c>
      <c r="W518" s="212"/>
      <c r="X518" s="212"/>
      <c r="Y518" s="212"/>
      <c r="Z518" s="212"/>
      <c r="AA518" s="212"/>
      <c r="AB518" s="212"/>
      <c r="AC518" s="214" t="s">
        <v>1923</v>
      </c>
      <c r="AD518" s="226" t="s">
        <v>1924</v>
      </c>
      <c r="AE518" s="148"/>
      <c r="AF518" s="212" t="str">
        <f t="shared" ref="AF518:AG518" si="1161">AF517</f>
        <v>N/A</v>
      </c>
      <c r="AG518" s="212">
        <f t="shared" si="1161"/>
        <v>0</v>
      </c>
      <c r="AH518" s="203">
        <f t="shared" si="1138"/>
        <v>0</v>
      </c>
      <c r="AI518" s="203">
        <f t="shared" ca="1" si="1139"/>
        <v>0</v>
      </c>
      <c r="AJ518" s="203">
        <f t="shared" ca="1" si="1140"/>
        <v>0</v>
      </c>
      <c r="AK518" s="212" t="str">
        <f t="shared" ref="AK518:AL518" si="1162">AK517</f>
        <v>AMC2-S1</v>
      </c>
      <c r="AL518" s="212">
        <f t="shared" si="1162"/>
        <v>1</v>
      </c>
      <c r="AM518" s="203">
        <f t="shared" si="1142"/>
        <v>1</v>
      </c>
      <c r="AN518" s="203">
        <f t="shared" ca="1" si="1143"/>
        <v>0</v>
      </c>
      <c r="AO518" s="203">
        <f t="shared" ca="1" si="1144"/>
        <v>1</v>
      </c>
      <c r="AP518" s="212" t="str">
        <f t="shared" ref="AP518:AQ518" si="1163">AP517</f>
        <v>AMC2-S4</v>
      </c>
      <c r="AQ518" s="212">
        <f t="shared" si="1163"/>
        <v>1</v>
      </c>
      <c r="AR518" s="203">
        <f t="shared" si="1146"/>
        <v>1</v>
      </c>
      <c r="AS518" s="203">
        <f t="shared" ca="1" si="1147"/>
        <v>0</v>
      </c>
      <c r="AT518" s="203">
        <f t="shared" ca="1" si="1148"/>
        <v>1</v>
      </c>
      <c r="AU518" s="212" t="str">
        <f t="shared" ref="AU518:AV518" si="1164">AU517</f>
        <v>N/A</v>
      </c>
      <c r="AV518" s="212">
        <f t="shared" si="1164"/>
        <v>0</v>
      </c>
      <c r="AW518" s="203">
        <f t="shared" si="1150"/>
        <v>0</v>
      </c>
      <c r="AX518" s="203">
        <f t="shared" ca="1" si="1151"/>
        <v>0</v>
      </c>
      <c r="AY518" s="203">
        <f t="shared" ca="1" si="1152"/>
        <v>0</v>
      </c>
      <c r="AZ518" s="212"/>
      <c r="BA518" s="213" t="s">
        <v>1925</v>
      </c>
      <c r="BB518" s="213" t="s">
        <v>1926</v>
      </c>
      <c r="BC518" s="213" t="s">
        <v>1927</v>
      </c>
      <c r="BD518" s="213" t="s">
        <v>140</v>
      </c>
      <c r="BE518" s="148"/>
      <c r="BF518" s="212"/>
      <c r="BG518" s="117"/>
      <c r="BH518" s="117"/>
      <c r="BI518" s="149"/>
      <c r="BJ518" s="149"/>
      <c r="BK518" s="149"/>
      <c r="BL518" s="149"/>
      <c r="BM518" s="149"/>
      <c r="BN518" s="149"/>
      <c r="BO518" s="149"/>
      <c r="BP518" s="149"/>
      <c r="BQ518" s="149"/>
      <c r="BR518" s="117" t="s">
        <v>140</v>
      </c>
      <c r="BS518" s="117" t="s">
        <v>140</v>
      </c>
      <c r="BT518" s="117" t="s">
        <v>140</v>
      </c>
      <c r="BU518" s="117" t="s">
        <v>140</v>
      </c>
      <c r="BV518" s="117" t="s">
        <v>140</v>
      </c>
      <c r="BW518" s="117" t="s">
        <v>140</v>
      </c>
      <c r="BX518" s="117" t="s">
        <v>140</v>
      </c>
      <c r="BY518" s="117" t="s">
        <v>14</v>
      </c>
      <c r="BZ518" s="117"/>
      <c r="CA518" s="117"/>
      <c r="CB518" s="149"/>
      <c r="CC518" s="117"/>
      <c r="CD518" s="117"/>
      <c r="CE518" s="148"/>
      <c r="CF518" s="148"/>
    </row>
    <row r="519" spans="1:84" ht="36" hidden="1">
      <c r="A519" s="162">
        <v>157</v>
      </c>
      <c r="B519" s="177" t="s">
        <v>1863</v>
      </c>
      <c r="C519" s="177" t="s">
        <v>2144</v>
      </c>
      <c r="D519" s="177" t="s">
        <v>1876</v>
      </c>
      <c r="E519" s="177"/>
      <c r="F519" s="177"/>
      <c r="G519" s="177" t="s">
        <v>1877</v>
      </c>
      <c r="H519" s="178"/>
      <c r="I519" s="179"/>
      <c r="J519" s="160"/>
      <c r="K519" s="180">
        <f>+AG519+AL519+AQ519+AV519</f>
        <v>2</v>
      </c>
      <c r="L519" s="160"/>
      <c r="M519" s="181">
        <v>305.60000000000002</v>
      </c>
      <c r="N519" s="181">
        <v>1222.4000000000001</v>
      </c>
      <c r="O519" s="181" t="s">
        <v>137</v>
      </c>
      <c r="P519" s="181"/>
      <c r="Q519" s="181"/>
      <c r="R519" s="181"/>
      <c r="S519" s="181"/>
      <c r="T519" s="181"/>
      <c r="U519" s="181"/>
      <c r="V519" s="181"/>
      <c r="W519" s="181">
        <f ca="1">_xlfn.MINIFS(V:V,C:C,C519,AE:AE,"",AB:AB,"")</f>
        <v>0</v>
      </c>
      <c r="X519" s="181">
        <f ca="1">SUMIFS(T:T,C:C,C519,AE:AE,"")/SUMIFS(L:L,C:C,C519,AE:AE,"",AB:AB,"")</f>
        <v>0.39285714285714285</v>
      </c>
      <c r="Y519" s="181"/>
      <c r="Z519" s="181"/>
      <c r="AA519" s="181"/>
      <c r="AB519" s="181"/>
      <c r="AC519" s="228" t="s">
        <v>1923</v>
      </c>
      <c r="AD519" s="184" t="s">
        <v>1924</v>
      </c>
      <c r="AE519" s="162" t="s">
        <v>143</v>
      </c>
      <c r="AF519" s="181" t="s">
        <v>138</v>
      </c>
      <c r="AG519" s="181">
        <v>0</v>
      </c>
      <c r="AH519" s="181"/>
      <c r="AI519" s="181"/>
      <c r="AJ519" s="181"/>
      <c r="AK519" s="181" t="s">
        <v>1783</v>
      </c>
      <c r="AL519" s="181">
        <v>1</v>
      </c>
      <c r="AM519" s="181"/>
      <c r="AN519" s="181"/>
      <c r="AO519" s="181"/>
      <c r="AP519" s="181" t="s">
        <v>1922</v>
      </c>
      <c r="AQ519" s="181">
        <v>1</v>
      </c>
      <c r="AR519" s="181"/>
      <c r="AS519" s="181"/>
      <c r="AT519" s="181"/>
      <c r="AU519" s="181" t="s">
        <v>138</v>
      </c>
      <c r="AV519" s="181">
        <v>0</v>
      </c>
      <c r="AW519" s="181"/>
      <c r="AX519" s="181"/>
      <c r="AY519" s="181"/>
      <c r="AZ519" s="181"/>
      <c r="BA519" s="182" t="s">
        <v>1925</v>
      </c>
      <c r="BB519" s="182" t="s">
        <v>1926</v>
      </c>
      <c r="BC519" s="182" t="s">
        <v>1927</v>
      </c>
      <c r="BD519" s="182" t="s">
        <v>140</v>
      </c>
      <c r="BE519" s="162" t="s">
        <v>741</v>
      </c>
      <c r="BF519" s="181"/>
      <c r="BG519" s="161"/>
      <c r="BH519" s="161"/>
      <c r="BI519" s="163"/>
      <c r="BJ519" s="163"/>
      <c r="BK519" s="163"/>
      <c r="BL519" s="163"/>
      <c r="BM519" s="163"/>
      <c r="BN519" s="163"/>
      <c r="BO519" s="163"/>
      <c r="BP519" s="163"/>
      <c r="BQ519" s="163"/>
      <c r="BR519" s="161"/>
      <c r="BS519" s="161"/>
      <c r="BT519" s="161"/>
      <c r="BU519" s="161"/>
      <c r="BV519" s="161"/>
      <c r="BW519" s="161"/>
      <c r="BX519" s="161"/>
      <c r="BY519" s="161"/>
      <c r="BZ519" s="161"/>
      <c r="CA519" s="161"/>
      <c r="CB519" s="163"/>
      <c r="CC519" s="161"/>
      <c r="CD519" s="161"/>
      <c r="CE519" s="185"/>
      <c r="CF519" s="185"/>
    </row>
    <row r="520" spans="1:84" ht="36" hidden="1">
      <c r="A520" s="117"/>
      <c r="B520" s="209" t="s">
        <v>1863</v>
      </c>
      <c r="C520" s="209" t="s">
        <v>2144</v>
      </c>
      <c r="D520" s="209" t="s">
        <v>1016</v>
      </c>
      <c r="E520" s="209" t="s">
        <v>1823</v>
      </c>
      <c r="F520" s="209" t="s">
        <v>1052</v>
      </c>
      <c r="G520" s="209" t="s">
        <v>1053</v>
      </c>
      <c r="H520" s="210"/>
      <c r="I520" s="211" t="s">
        <v>1017</v>
      </c>
      <c r="J520" s="144">
        <v>1</v>
      </c>
      <c r="K520" s="145">
        <f t="shared" ref="K520:K525" si="1165">K519</f>
        <v>2</v>
      </c>
      <c r="L520" s="202">
        <f t="shared" ref="L520:L525" si="1166">+J520*K520</f>
        <v>2</v>
      </c>
      <c r="M520" s="212">
        <v>155</v>
      </c>
      <c r="N520" s="203">
        <f t="shared" ref="N520:N525" si="1167">+M520*L520</f>
        <v>310</v>
      </c>
      <c r="O520" s="212" t="s">
        <v>137</v>
      </c>
      <c r="P520" s="212" t="s">
        <v>14</v>
      </c>
      <c r="Q520" s="212" t="s">
        <v>976</v>
      </c>
      <c r="R520" s="212"/>
      <c r="S520" s="212"/>
      <c r="T520" s="203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0</v>
      </c>
      <c r="U520" s="203">
        <f t="shared" ref="U520:U525" ca="1" si="1168">+L520-T520</f>
        <v>2</v>
      </c>
      <c r="V520" s="203">
        <f t="shared" ref="V520:V525" ca="1" si="1169">ROUNDDOWN(T520/J520,0)</f>
        <v>0</v>
      </c>
      <c r="W520" s="212"/>
      <c r="X520" s="212"/>
      <c r="Y520" s="212"/>
      <c r="Z520" s="212"/>
      <c r="AA520" s="212"/>
      <c r="AB520" s="212"/>
      <c r="AC520" s="214" t="s">
        <v>1923</v>
      </c>
      <c r="AD520" s="226" t="s">
        <v>1924</v>
      </c>
      <c r="AE520" s="148"/>
      <c r="AF520" s="212" t="str">
        <f t="shared" ref="AF520:AG520" si="1170">AF519</f>
        <v>N/A</v>
      </c>
      <c r="AG520" s="212">
        <f t="shared" si="1170"/>
        <v>0</v>
      </c>
      <c r="AH520" s="203">
        <f t="shared" ref="AH520:AH525" si="1171">+AG520*J520</f>
        <v>0</v>
      </c>
      <c r="AI520" s="203">
        <f t="shared" ref="AI520:AI525" ca="1" si="1172">MIN(T520,AH520)</f>
        <v>0</v>
      </c>
      <c r="AJ520" s="203">
        <f t="shared" ref="AJ520:AJ525" ca="1" si="1173">+AH520-AI520</f>
        <v>0</v>
      </c>
      <c r="AK520" s="212" t="str">
        <f t="shared" ref="AK520:AL520" si="1174">AK519</f>
        <v>AMC2-S1</v>
      </c>
      <c r="AL520" s="212">
        <f t="shared" si="1174"/>
        <v>1</v>
      </c>
      <c r="AM520" s="203">
        <f t="shared" ref="AM520:AM525" si="1175">+AL520*J520</f>
        <v>1</v>
      </c>
      <c r="AN520" s="203">
        <f t="shared" ref="AN520:AN525" ca="1" si="1176">MIN(T520-AI520,AL520)</f>
        <v>0</v>
      </c>
      <c r="AO520" s="203">
        <f t="shared" ref="AO520:AO525" ca="1" si="1177">+AM520-AN520</f>
        <v>1</v>
      </c>
      <c r="AP520" s="212" t="str">
        <f t="shared" ref="AP520:AQ520" si="1178">AP519</f>
        <v>AMC2-S4</v>
      </c>
      <c r="AQ520" s="212">
        <f t="shared" si="1178"/>
        <v>1</v>
      </c>
      <c r="AR520" s="203">
        <f t="shared" ref="AR520:AR525" si="1179">+AQ520*J520</f>
        <v>1</v>
      </c>
      <c r="AS520" s="203">
        <f t="shared" ref="AS520:AS525" ca="1" si="1180">MIN(T520-AI520-AN520,AR520)</f>
        <v>0</v>
      </c>
      <c r="AT520" s="203">
        <f t="shared" ref="AT520:AT525" ca="1" si="1181">+AR520-AS520</f>
        <v>1</v>
      </c>
      <c r="AU520" s="212" t="str">
        <f t="shared" ref="AU520:AV520" si="1182">AU519</f>
        <v>N/A</v>
      </c>
      <c r="AV520" s="212">
        <f t="shared" si="1182"/>
        <v>0</v>
      </c>
      <c r="AW520" s="203">
        <f t="shared" ref="AW520:AW525" si="1183">+AV520*J520</f>
        <v>0</v>
      </c>
      <c r="AX520" s="203">
        <f t="shared" ref="AX520:AX525" ca="1" si="1184">MIN(T520-AI520-AN520-AS520,AW520)</f>
        <v>0</v>
      </c>
      <c r="AY520" s="203">
        <f t="shared" ref="AY520:AY525" ca="1" si="1185">+AW520-AX520</f>
        <v>0</v>
      </c>
      <c r="AZ520" s="212"/>
      <c r="BA520" s="213" t="s">
        <v>1925</v>
      </c>
      <c r="BB520" s="213" t="s">
        <v>1926</v>
      </c>
      <c r="BC520" s="213" t="s">
        <v>1927</v>
      </c>
      <c r="BD520" s="213" t="s">
        <v>140</v>
      </c>
      <c r="BE520" s="148"/>
      <c r="BF520" s="212"/>
      <c r="BG520" s="117"/>
      <c r="BH520" s="117"/>
      <c r="BI520" s="149"/>
      <c r="BJ520" s="149"/>
      <c r="BK520" s="149"/>
      <c r="BL520" s="149"/>
      <c r="BM520" s="149"/>
      <c r="BN520" s="149"/>
      <c r="BO520" s="149"/>
      <c r="BP520" s="149"/>
      <c r="BQ520" s="149"/>
      <c r="BR520" s="117" t="s">
        <v>140</v>
      </c>
      <c r="BS520" s="117" t="s">
        <v>140</v>
      </c>
      <c r="BT520" s="117" t="s">
        <v>140</v>
      </c>
      <c r="BU520" s="117" t="s">
        <v>140</v>
      </c>
      <c r="BV520" s="117" t="s">
        <v>140</v>
      </c>
      <c r="BW520" s="117" t="s">
        <v>140</v>
      </c>
      <c r="BX520" s="117" t="s">
        <v>140</v>
      </c>
      <c r="BY520" s="117" t="s">
        <v>14</v>
      </c>
      <c r="BZ520" s="117"/>
      <c r="CA520" s="117"/>
      <c r="CB520" s="149"/>
      <c r="CC520" s="117"/>
      <c r="CD520" s="117"/>
      <c r="CE520" s="148"/>
      <c r="CF520" s="148"/>
    </row>
    <row r="521" spans="1:84" ht="36" hidden="1">
      <c r="A521" s="117"/>
      <c r="B521" s="209" t="s">
        <v>1863</v>
      </c>
      <c r="C521" s="209" t="s">
        <v>2144</v>
      </c>
      <c r="D521" s="209" t="s">
        <v>1010</v>
      </c>
      <c r="E521" s="209" t="s">
        <v>1802</v>
      </c>
      <c r="F521" s="209" t="s">
        <v>1047</v>
      </c>
      <c r="G521" s="209" t="s">
        <v>1048</v>
      </c>
      <c r="H521" s="210">
        <v>761</v>
      </c>
      <c r="I521" s="211" t="s">
        <v>1049</v>
      </c>
      <c r="J521" s="144">
        <v>1</v>
      </c>
      <c r="K521" s="145">
        <f t="shared" si="1165"/>
        <v>2</v>
      </c>
      <c r="L521" s="202">
        <f t="shared" si="1166"/>
        <v>2</v>
      </c>
      <c r="M521" s="212">
        <f>164.86*H521/1000</f>
        <v>125.45846</v>
      </c>
      <c r="N521" s="203">
        <f t="shared" si="1167"/>
        <v>250.91692</v>
      </c>
      <c r="O521" s="212" t="s">
        <v>137</v>
      </c>
      <c r="P521" s="212" t="s">
        <v>11</v>
      </c>
      <c r="Q521" s="212" t="s">
        <v>148</v>
      </c>
      <c r="R521" s="212"/>
      <c r="S521" s="212"/>
      <c r="T521" s="203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203">
        <f t="shared" ca="1" si="1168"/>
        <v>1</v>
      </c>
      <c r="V521" s="203">
        <f t="shared" ca="1" si="1169"/>
        <v>1</v>
      </c>
      <c r="W521" s="212"/>
      <c r="X521" s="212"/>
      <c r="Y521" s="212"/>
      <c r="Z521" s="212"/>
      <c r="AA521" s="212"/>
      <c r="AB521" s="212"/>
      <c r="AC521" s="214" t="s">
        <v>1923</v>
      </c>
      <c r="AD521" s="226" t="s">
        <v>1924</v>
      </c>
      <c r="AE521" s="148"/>
      <c r="AF521" s="212" t="str">
        <f t="shared" ref="AF521:AG521" si="1186">AF520</f>
        <v>N/A</v>
      </c>
      <c r="AG521" s="212">
        <f t="shared" si="1186"/>
        <v>0</v>
      </c>
      <c r="AH521" s="203">
        <f t="shared" si="1171"/>
        <v>0</v>
      </c>
      <c r="AI521" s="203">
        <f t="shared" ca="1" si="1172"/>
        <v>0</v>
      </c>
      <c r="AJ521" s="203">
        <f t="shared" ca="1" si="1173"/>
        <v>0</v>
      </c>
      <c r="AK521" s="212" t="str">
        <f t="shared" ref="AK521:AL521" si="1187">AK520</f>
        <v>AMC2-S1</v>
      </c>
      <c r="AL521" s="212">
        <f t="shared" si="1187"/>
        <v>1</v>
      </c>
      <c r="AM521" s="203">
        <f t="shared" si="1175"/>
        <v>1</v>
      </c>
      <c r="AN521" s="203">
        <f t="shared" ca="1" si="1176"/>
        <v>1</v>
      </c>
      <c r="AO521" s="203">
        <f t="shared" ca="1" si="1177"/>
        <v>0</v>
      </c>
      <c r="AP521" s="212" t="str">
        <f t="shared" ref="AP521:AQ521" si="1188">AP520</f>
        <v>AMC2-S4</v>
      </c>
      <c r="AQ521" s="212">
        <f t="shared" si="1188"/>
        <v>1</v>
      </c>
      <c r="AR521" s="203">
        <f t="shared" si="1179"/>
        <v>1</v>
      </c>
      <c r="AS521" s="203">
        <f t="shared" ca="1" si="1180"/>
        <v>0</v>
      </c>
      <c r="AT521" s="203">
        <f t="shared" ca="1" si="1181"/>
        <v>1</v>
      </c>
      <c r="AU521" s="212" t="str">
        <f t="shared" ref="AU521:AV521" si="1189">AU520</f>
        <v>N/A</v>
      </c>
      <c r="AV521" s="212">
        <f t="shared" si="1189"/>
        <v>0</v>
      </c>
      <c r="AW521" s="203">
        <f t="shared" si="1183"/>
        <v>0</v>
      </c>
      <c r="AX521" s="203">
        <f t="shared" ca="1" si="1184"/>
        <v>0</v>
      </c>
      <c r="AY521" s="203">
        <f t="shared" ca="1" si="1185"/>
        <v>0</v>
      </c>
      <c r="AZ521" s="212"/>
      <c r="BA521" s="213" t="s">
        <v>1925</v>
      </c>
      <c r="BB521" s="213" t="s">
        <v>1926</v>
      </c>
      <c r="BC521" s="213" t="s">
        <v>1927</v>
      </c>
      <c r="BD521" s="213" t="s">
        <v>140</v>
      </c>
      <c r="BE521" s="148"/>
      <c r="BF521" s="212" t="s">
        <v>1789</v>
      </c>
      <c r="BG521" s="117"/>
      <c r="BH521" s="117"/>
      <c r="BI521" s="149"/>
      <c r="BJ521" s="149"/>
      <c r="BK521" s="149"/>
      <c r="BL521" s="149"/>
      <c r="BM521" s="149"/>
      <c r="BN521" s="149"/>
      <c r="BO521" s="149"/>
      <c r="BP521" s="149"/>
      <c r="BQ521" s="149"/>
      <c r="BR521" s="117">
        <v>0</v>
      </c>
      <c r="BS521" s="117">
        <v>0</v>
      </c>
      <c r="BT521" s="117">
        <v>0</v>
      </c>
      <c r="BU521" s="117">
        <v>1</v>
      </c>
      <c r="BV521" s="117">
        <v>0</v>
      </c>
      <c r="BW521" s="117">
        <v>0</v>
      </c>
      <c r="BX521" s="117">
        <v>0</v>
      </c>
      <c r="BY521" s="117" t="s">
        <v>1790</v>
      </c>
      <c r="BZ521" s="158" t="s">
        <v>2207</v>
      </c>
      <c r="CA521" s="158">
        <v>4</v>
      </c>
      <c r="CB521" s="235">
        <v>46231</v>
      </c>
      <c r="CC521" s="117"/>
      <c r="CD521" s="117"/>
      <c r="CE521" s="148"/>
      <c r="CF521" s="166">
        <f>+L521-CA521</f>
        <v>-2</v>
      </c>
    </row>
    <row r="522" spans="1:84" ht="36" hidden="1">
      <c r="A522" s="117"/>
      <c r="B522" s="209" t="s">
        <v>1863</v>
      </c>
      <c r="C522" s="209" t="s">
        <v>2144</v>
      </c>
      <c r="D522" s="209" t="s">
        <v>13</v>
      </c>
      <c r="E522" s="209" t="s">
        <v>1788</v>
      </c>
      <c r="F522" s="209" t="s">
        <v>1056</v>
      </c>
      <c r="G522" s="209" t="s">
        <v>1057</v>
      </c>
      <c r="H522" s="210">
        <v>250</v>
      </c>
      <c r="I522" s="211" t="s">
        <v>147</v>
      </c>
      <c r="J522" s="144">
        <v>1</v>
      </c>
      <c r="K522" s="145">
        <f t="shared" si="1165"/>
        <v>2</v>
      </c>
      <c r="L522" s="202">
        <f t="shared" si="1166"/>
        <v>2</v>
      </c>
      <c r="M522" s="212">
        <v>10.5</v>
      </c>
      <c r="N522" s="203">
        <f t="shared" si="1167"/>
        <v>21</v>
      </c>
      <c r="O522" s="212" t="s">
        <v>137</v>
      </c>
      <c r="P522" s="212" t="s">
        <v>13</v>
      </c>
      <c r="Q522" s="212" t="s">
        <v>148</v>
      </c>
      <c r="R522" s="212"/>
      <c r="S522" s="212"/>
      <c r="T522" s="203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0</v>
      </c>
      <c r="U522" s="203">
        <f t="shared" ca="1" si="1168"/>
        <v>2</v>
      </c>
      <c r="V522" s="203">
        <f t="shared" ca="1" si="1169"/>
        <v>0</v>
      </c>
      <c r="W522" s="212"/>
      <c r="X522" s="212"/>
      <c r="Y522" s="212"/>
      <c r="Z522" s="212"/>
      <c r="AA522" s="212"/>
      <c r="AB522" s="212"/>
      <c r="AC522" s="214" t="s">
        <v>1923</v>
      </c>
      <c r="AD522" s="226" t="s">
        <v>1924</v>
      </c>
      <c r="AE522" s="148"/>
      <c r="AF522" s="212" t="str">
        <f t="shared" ref="AF522:AG522" si="1190">AF521</f>
        <v>N/A</v>
      </c>
      <c r="AG522" s="212">
        <f t="shared" si="1190"/>
        <v>0</v>
      </c>
      <c r="AH522" s="203">
        <f t="shared" si="1171"/>
        <v>0</v>
      </c>
      <c r="AI522" s="203">
        <f t="shared" ca="1" si="1172"/>
        <v>0</v>
      </c>
      <c r="AJ522" s="203">
        <f t="shared" ca="1" si="1173"/>
        <v>0</v>
      </c>
      <c r="AK522" s="212" t="str">
        <f t="shared" ref="AK522:AL522" si="1191">AK521</f>
        <v>AMC2-S1</v>
      </c>
      <c r="AL522" s="212">
        <f t="shared" si="1191"/>
        <v>1</v>
      </c>
      <c r="AM522" s="203">
        <f t="shared" si="1175"/>
        <v>1</v>
      </c>
      <c r="AN522" s="203">
        <f t="shared" ca="1" si="1176"/>
        <v>0</v>
      </c>
      <c r="AO522" s="203">
        <f t="shared" ca="1" si="1177"/>
        <v>1</v>
      </c>
      <c r="AP522" s="212" t="str">
        <f t="shared" ref="AP522:AQ522" si="1192">AP521</f>
        <v>AMC2-S4</v>
      </c>
      <c r="AQ522" s="212">
        <f t="shared" si="1192"/>
        <v>1</v>
      </c>
      <c r="AR522" s="203">
        <f t="shared" si="1179"/>
        <v>1</v>
      </c>
      <c r="AS522" s="203">
        <f t="shared" ca="1" si="1180"/>
        <v>0</v>
      </c>
      <c r="AT522" s="203">
        <f t="shared" ca="1" si="1181"/>
        <v>1</v>
      </c>
      <c r="AU522" s="212" t="str">
        <f t="shared" ref="AU522:AV522" si="1193">AU521</f>
        <v>N/A</v>
      </c>
      <c r="AV522" s="212">
        <f t="shared" si="1193"/>
        <v>0</v>
      </c>
      <c r="AW522" s="203">
        <f t="shared" si="1183"/>
        <v>0</v>
      </c>
      <c r="AX522" s="203">
        <f t="shared" ca="1" si="1184"/>
        <v>0</v>
      </c>
      <c r="AY522" s="203">
        <f t="shared" ca="1" si="1185"/>
        <v>0</v>
      </c>
      <c r="AZ522" s="212"/>
      <c r="BA522" s="213" t="s">
        <v>1925</v>
      </c>
      <c r="BB522" s="213" t="s">
        <v>1926</v>
      </c>
      <c r="BC522" s="213" t="s">
        <v>1927</v>
      </c>
      <c r="BD522" s="213" t="s">
        <v>140</v>
      </c>
      <c r="BE522" s="148"/>
      <c r="BF522" s="212" t="s">
        <v>1789</v>
      </c>
      <c r="BG522" s="117"/>
      <c r="BH522" s="117"/>
      <c r="BI522" s="149"/>
      <c r="BJ522" s="149"/>
      <c r="BK522" s="149"/>
      <c r="BL522" s="149"/>
      <c r="BM522" s="149"/>
      <c r="BN522" s="149"/>
      <c r="BO522" s="149"/>
      <c r="BP522" s="149"/>
      <c r="BQ522" s="149"/>
      <c r="BR522" s="117">
        <v>0</v>
      </c>
      <c r="BS522" s="117">
        <v>0</v>
      </c>
      <c r="BT522" s="117">
        <v>0</v>
      </c>
      <c r="BU522" s="117">
        <v>0</v>
      </c>
      <c r="BV522" s="117">
        <v>0</v>
      </c>
      <c r="BW522" s="117">
        <v>0</v>
      </c>
      <c r="BX522" s="117">
        <v>0</v>
      </c>
      <c r="BY522" s="117" t="s">
        <v>1790</v>
      </c>
      <c r="BZ522" s="158" t="s">
        <v>2179</v>
      </c>
      <c r="CA522" s="158">
        <v>4</v>
      </c>
      <c r="CB522" s="234">
        <v>46213</v>
      </c>
      <c r="CC522" s="117"/>
      <c r="CD522" s="117"/>
      <c r="CE522" s="148"/>
      <c r="CF522" s="166">
        <f>+L522-CA522</f>
        <v>-2</v>
      </c>
    </row>
    <row r="523" spans="1:84" ht="36" hidden="1">
      <c r="A523" s="117"/>
      <c r="B523" s="209" t="s">
        <v>1863</v>
      </c>
      <c r="C523" s="209" t="s">
        <v>2144</v>
      </c>
      <c r="D523" s="209" t="s">
        <v>13</v>
      </c>
      <c r="E523" s="209" t="s">
        <v>1791</v>
      </c>
      <c r="F523" s="209" t="s">
        <v>1061</v>
      </c>
      <c r="G523" s="209" t="s">
        <v>1062</v>
      </c>
      <c r="H523" s="210">
        <v>620</v>
      </c>
      <c r="I523" s="211" t="s">
        <v>147</v>
      </c>
      <c r="J523" s="144">
        <v>2</v>
      </c>
      <c r="K523" s="145">
        <f t="shared" si="1165"/>
        <v>2</v>
      </c>
      <c r="L523" s="202">
        <f t="shared" si="1166"/>
        <v>4</v>
      </c>
      <c r="M523" s="212">
        <v>2.9</v>
      </c>
      <c r="N523" s="203">
        <f t="shared" si="1167"/>
        <v>11.6</v>
      </c>
      <c r="O523" s="212" t="s">
        <v>137</v>
      </c>
      <c r="P523" s="212" t="s">
        <v>13</v>
      </c>
      <c r="Q523" s="212" t="s">
        <v>148</v>
      </c>
      <c r="R523" s="212"/>
      <c r="S523" s="212"/>
      <c r="T523" s="203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2</v>
      </c>
      <c r="U523" s="203">
        <f t="shared" ca="1" si="1168"/>
        <v>2</v>
      </c>
      <c r="V523" s="203">
        <f t="shared" ca="1" si="1169"/>
        <v>1</v>
      </c>
      <c r="W523" s="212"/>
      <c r="X523" s="212"/>
      <c r="Y523" s="212"/>
      <c r="Z523" s="212"/>
      <c r="AA523" s="212"/>
      <c r="AB523" s="212"/>
      <c r="AC523" s="214" t="s">
        <v>1923</v>
      </c>
      <c r="AD523" s="226" t="s">
        <v>1924</v>
      </c>
      <c r="AE523" s="148"/>
      <c r="AF523" s="212" t="str">
        <f t="shared" ref="AF523:AG523" si="1194">AF522</f>
        <v>N/A</v>
      </c>
      <c r="AG523" s="212">
        <f t="shared" si="1194"/>
        <v>0</v>
      </c>
      <c r="AH523" s="203">
        <f t="shared" si="1171"/>
        <v>0</v>
      </c>
      <c r="AI523" s="203">
        <f t="shared" ca="1" si="1172"/>
        <v>0</v>
      </c>
      <c r="AJ523" s="203">
        <f t="shared" ca="1" si="1173"/>
        <v>0</v>
      </c>
      <c r="AK523" s="212" t="str">
        <f t="shared" ref="AK523:AL523" si="1195">AK522</f>
        <v>AMC2-S1</v>
      </c>
      <c r="AL523" s="212">
        <f t="shared" si="1195"/>
        <v>1</v>
      </c>
      <c r="AM523" s="203">
        <f t="shared" si="1175"/>
        <v>2</v>
      </c>
      <c r="AN523" s="203">
        <f t="shared" ca="1" si="1176"/>
        <v>1</v>
      </c>
      <c r="AO523" s="203">
        <f t="shared" ca="1" si="1177"/>
        <v>1</v>
      </c>
      <c r="AP523" s="212" t="str">
        <f t="shared" ref="AP523:AQ523" si="1196">AP522</f>
        <v>AMC2-S4</v>
      </c>
      <c r="AQ523" s="212">
        <f t="shared" si="1196"/>
        <v>1</v>
      </c>
      <c r="AR523" s="203">
        <f t="shared" si="1179"/>
        <v>2</v>
      </c>
      <c r="AS523" s="203">
        <f t="shared" ca="1" si="1180"/>
        <v>1</v>
      </c>
      <c r="AT523" s="203">
        <f t="shared" ca="1" si="1181"/>
        <v>1</v>
      </c>
      <c r="AU523" s="212" t="str">
        <f t="shared" ref="AU523:AV523" si="1197">AU522</f>
        <v>N/A</v>
      </c>
      <c r="AV523" s="212">
        <f t="shared" si="1197"/>
        <v>0</v>
      </c>
      <c r="AW523" s="203">
        <f t="shared" si="1183"/>
        <v>0</v>
      </c>
      <c r="AX523" s="203">
        <f t="shared" ca="1" si="1184"/>
        <v>0</v>
      </c>
      <c r="AY523" s="203">
        <f t="shared" ca="1" si="1185"/>
        <v>0</v>
      </c>
      <c r="AZ523" s="212"/>
      <c r="BA523" s="213" t="s">
        <v>1925</v>
      </c>
      <c r="BB523" s="213" t="s">
        <v>1926</v>
      </c>
      <c r="BC523" s="213" t="s">
        <v>1927</v>
      </c>
      <c r="BD523" s="213" t="s">
        <v>140</v>
      </c>
      <c r="BE523" s="148"/>
      <c r="BF523" s="212" t="s">
        <v>1789</v>
      </c>
      <c r="BG523" s="117"/>
      <c r="BH523" s="117"/>
      <c r="BI523" s="149"/>
      <c r="BJ523" s="149"/>
      <c r="BK523" s="149"/>
      <c r="BL523" s="149"/>
      <c r="BM523" s="149"/>
      <c r="BN523" s="149"/>
      <c r="BO523" s="149"/>
      <c r="BP523" s="149"/>
      <c r="BQ523" s="149"/>
      <c r="BR523" s="117">
        <v>0</v>
      </c>
      <c r="BS523" s="117">
        <v>0</v>
      </c>
      <c r="BT523" s="117">
        <v>0</v>
      </c>
      <c r="BU523" s="117">
        <v>0</v>
      </c>
      <c r="BV523" s="117">
        <v>0</v>
      </c>
      <c r="BW523" s="117">
        <v>0</v>
      </c>
      <c r="BX523" s="117">
        <v>0</v>
      </c>
      <c r="BY523" s="117" t="s">
        <v>1790</v>
      </c>
      <c r="BZ523" s="158" t="s">
        <v>2156</v>
      </c>
      <c r="CA523" s="158">
        <v>8</v>
      </c>
      <c r="CB523" s="234">
        <v>46213</v>
      </c>
      <c r="CC523" s="117"/>
      <c r="CD523" s="141"/>
      <c r="CE523" s="148"/>
      <c r="CF523" s="166">
        <f>+L523-CA523</f>
        <v>-4</v>
      </c>
    </row>
    <row r="524" spans="1:84" ht="36" hidden="1">
      <c r="A524" s="117"/>
      <c r="B524" s="209" t="s">
        <v>1863</v>
      </c>
      <c r="C524" s="209" t="s">
        <v>2144</v>
      </c>
      <c r="D524" s="209" t="s">
        <v>13</v>
      </c>
      <c r="E524" s="209" t="s">
        <v>1792</v>
      </c>
      <c r="F524" s="209" t="s">
        <v>1064</v>
      </c>
      <c r="G524" s="209" t="s">
        <v>1065</v>
      </c>
      <c r="H524" s="210">
        <v>80</v>
      </c>
      <c r="I524" s="211" t="s">
        <v>147</v>
      </c>
      <c r="J524" s="144">
        <v>1</v>
      </c>
      <c r="K524" s="145">
        <f t="shared" si="1165"/>
        <v>2</v>
      </c>
      <c r="L524" s="202">
        <f t="shared" si="1166"/>
        <v>2</v>
      </c>
      <c r="M524" s="212">
        <v>0.4</v>
      </c>
      <c r="N524" s="203">
        <f t="shared" si="1167"/>
        <v>0.8</v>
      </c>
      <c r="O524" s="212" t="s">
        <v>137</v>
      </c>
      <c r="P524" s="212" t="s">
        <v>13</v>
      </c>
      <c r="Q524" s="212" t="s">
        <v>148</v>
      </c>
      <c r="R524" s="212"/>
      <c r="S524" s="212"/>
      <c r="T524" s="203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1</v>
      </c>
      <c r="U524" s="203">
        <f t="shared" ca="1" si="1168"/>
        <v>1</v>
      </c>
      <c r="V524" s="203">
        <f t="shared" ca="1" si="1169"/>
        <v>1</v>
      </c>
      <c r="W524" s="212"/>
      <c r="X524" s="212"/>
      <c r="Y524" s="212"/>
      <c r="Z524" s="212"/>
      <c r="AA524" s="212"/>
      <c r="AB524" s="212"/>
      <c r="AC524" s="214" t="s">
        <v>1923</v>
      </c>
      <c r="AD524" s="226" t="s">
        <v>1924</v>
      </c>
      <c r="AE524" s="148"/>
      <c r="AF524" s="212" t="str">
        <f t="shared" ref="AF524:AG524" si="1198">AF523</f>
        <v>N/A</v>
      </c>
      <c r="AG524" s="212">
        <f t="shared" si="1198"/>
        <v>0</v>
      </c>
      <c r="AH524" s="203">
        <f t="shared" si="1171"/>
        <v>0</v>
      </c>
      <c r="AI524" s="203">
        <f t="shared" ca="1" si="1172"/>
        <v>0</v>
      </c>
      <c r="AJ524" s="203">
        <f t="shared" ca="1" si="1173"/>
        <v>0</v>
      </c>
      <c r="AK524" s="212" t="str">
        <f t="shared" ref="AK524:AL524" si="1199">AK523</f>
        <v>AMC2-S1</v>
      </c>
      <c r="AL524" s="212">
        <f t="shared" si="1199"/>
        <v>1</v>
      </c>
      <c r="AM524" s="203">
        <f t="shared" si="1175"/>
        <v>1</v>
      </c>
      <c r="AN524" s="203">
        <f t="shared" ca="1" si="1176"/>
        <v>1</v>
      </c>
      <c r="AO524" s="203">
        <f t="shared" ca="1" si="1177"/>
        <v>0</v>
      </c>
      <c r="AP524" s="212" t="str">
        <f t="shared" ref="AP524:AQ524" si="1200">AP523</f>
        <v>AMC2-S4</v>
      </c>
      <c r="AQ524" s="212">
        <f t="shared" si="1200"/>
        <v>1</v>
      </c>
      <c r="AR524" s="203">
        <f t="shared" si="1179"/>
        <v>1</v>
      </c>
      <c r="AS524" s="203">
        <f t="shared" ca="1" si="1180"/>
        <v>0</v>
      </c>
      <c r="AT524" s="203">
        <f t="shared" ca="1" si="1181"/>
        <v>1</v>
      </c>
      <c r="AU524" s="212" t="str">
        <f t="shared" ref="AU524:AV524" si="1201">AU523</f>
        <v>N/A</v>
      </c>
      <c r="AV524" s="212">
        <f t="shared" si="1201"/>
        <v>0</v>
      </c>
      <c r="AW524" s="203">
        <f t="shared" si="1183"/>
        <v>0</v>
      </c>
      <c r="AX524" s="203">
        <f t="shared" ca="1" si="1184"/>
        <v>0</v>
      </c>
      <c r="AY524" s="203">
        <f t="shared" ca="1" si="1185"/>
        <v>0</v>
      </c>
      <c r="AZ524" s="212"/>
      <c r="BA524" s="213" t="s">
        <v>1925</v>
      </c>
      <c r="BB524" s="213" t="s">
        <v>1926</v>
      </c>
      <c r="BC524" s="213" t="s">
        <v>1927</v>
      </c>
      <c r="BD524" s="213" t="s">
        <v>140</v>
      </c>
      <c r="BE524" s="148"/>
      <c r="BF524" s="212" t="s">
        <v>1789</v>
      </c>
      <c r="BG524" s="117"/>
      <c r="BH524" s="117"/>
      <c r="BI524" s="149"/>
      <c r="BJ524" s="149"/>
      <c r="BK524" s="149"/>
      <c r="BL524" s="149"/>
      <c r="BM524" s="149"/>
      <c r="BN524" s="149"/>
      <c r="BO524" s="149"/>
      <c r="BP524" s="149"/>
      <c r="BQ524" s="149"/>
      <c r="BR524" s="117">
        <v>0</v>
      </c>
      <c r="BS524" s="117">
        <v>0</v>
      </c>
      <c r="BT524" s="117">
        <v>0</v>
      </c>
      <c r="BU524" s="117">
        <v>0</v>
      </c>
      <c r="BV524" s="117">
        <v>0</v>
      </c>
      <c r="BW524" s="117">
        <v>0</v>
      </c>
      <c r="BX524" s="117">
        <v>0</v>
      </c>
      <c r="BY524" s="117" t="s">
        <v>1790</v>
      </c>
      <c r="BZ524" s="158" t="s">
        <v>2156</v>
      </c>
      <c r="CA524" s="158">
        <v>4</v>
      </c>
      <c r="CB524" s="234">
        <v>46213</v>
      </c>
      <c r="CC524" s="117"/>
      <c r="CD524" s="141"/>
      <c r="CE524" s="148"/>
      <c r="CF524" s="166">
        <f>+L524-CA524</f>
        <v>-2</v>
      </c>
    </row>
    <row r="525" spans="1:84" ht="36">
      <c r="A525" s="117"/>
      <c r="B525" s="209" t="s">
        <v>1863</v>
      </c>
      <c r="C525" s="209" t="s">
        <v>2144</v>
      </c>
      <c r="D525" s="209" t="s">
        <v>1055</v>
      </c>
      <c r="E525" s="209" t="s">
        <v>1878</v>
      </c>
      <c r="F525" s="209" t="s">
        <v>1054</v>
      </c>
      <c r="G525" s="209" t="s">
        <v>140</v>
      </c>
      <c r="H525" s="210"/>
      <c r="I525" s="211"/>
      <c r="J525" s="144">
        <v>1</v>
      </c>
      <c r="K525" s="145">
        <f t="shared" si="1165"/>
        <v>2</v>
      </c>
      <c r="L525" s="202">
        <f t="shared" si="1166"/>
        <v>2</v>
      </c>
      <c r="M525" s="212">
        <v>0.1</v>
      </c>
      <c r="N525" s="203">
        <f t="shared" si="1167"/>
        <v>0.2</v>
      </c>
      <c r="O525" s="212" t="s">
        <v>137</v>
      </c>
      <c r="P525" s="212" t="s">
        <v>14</v>
      </c>
      <c r="Q525" s="212" t="s">
        <v>976</v>
      </c>
      <c r="R525" s="212"/>
      <c r="S525" s="212"/>
      <c r="T525" s="203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203">
        <f t="shared" ca="1" si="1168"/>
        <v>1</v>
      </c>
      <c r="V525" s="203">
        <f t="shared" ca="1" si="1169"/>
        <v>1</v>
      </c>
      <c r="W525" s="212"/>
      <c r="X525" s="212"/>
      <c r="Y525" s="212"/>
      <c r="Z525" s="212"/>
      <c r="AA525" s="212"/>
      <c r="AB525" s="212"/>
      <c r="AC525" s="214" t="s">
        <v>1923</v>
      </c>
      <c r="AD525" s="226" t="s">
        <v>1924</v>
      </c>
      <c r="AE525" s="148"/>
      <c r="AF525" s="212" t="str">
        <f t="shared" ref="AF525:AG525" si="1202">AF524</f>
        <v>N/A</v>
      </c>
      <c r="AG525" s="212">
        <f t="shared" si="1202"/>
        <v>0</v>
      </c>
      <c r="AH525" s="203">
        <f t="shared" si="1171"/>
        <v>0</v>
      </c>
      <c r="AI525" s="203">
        <f t="shared" ca="1" si="1172"/>
        <v>0</v>
      </c>
      <c r="AJ525" s="203">
        <f t="shared" ca="1" si="1173"/>
        <v>0</v>
      </c>
      <c r="AK525" s="212" t="str">
        <f t="shared" ref="AK525:AL525" si="1203">AK524</f>
        <v>AMC2-S1</v>
      </c>
      <c r="AL525" s="212">
        <f t="shared" si="1203"/>
        <v>1</v>
      </c>
      <c r="AM525" s="203">
        <f t="shared" si="1175"/>
        <v>1</v>
      </c>
      <c r="AN525" s="203">
        <f t="shared" ca="1" si="1176"/>
        <v>1</v>
      </c>
      <c r="AO525" s="203">
        <f t="shared" ca="1" si="1177"/>
        <v>0</v>
      </c>
      <c r="AP525" s="212" t="str">
        <f t="shared" ref="AP525:AQ525" si="1204">AP524</f>
        <v>AMC2-S4</v>
      </c>
      <c r="AQ525" s="212">
        <f t="shared" si="1204"/>
        <v>1</v>
      </c>
      <c r="AR525" s="203">
        <f t="shared" si="1179"/>
        <v>1</v>
      </c>
      <c r="AS525" s="203">
        <f t="shared" ca="1" si="1180"/>
        <v>0</v>
      </c>
      <c r="AT525" s="203">
        <f t="shared" ca="1" si="1181"/>
        <v>1</v>
      </c>
      <c r="AU525" s="212" t="str">
        <f t="shared" ref="AU525:AV525" si="1205">AU524</f>
        <v>N/A</v>
      </c>
      <c r="AV525" s="212">
        <f t="shared" si="1205"/>
        <v>0</v>
      </c>
      <c r="AW525" s="203">
        <f t="shared" si="1183"/>
        <v>0</v>
      </c>
      <c r="AX525" s="203">
        <f t="shared" ca="1" si="1184"/>
        <v>0</v>
      </c>
      <c r="AY525" s="203">
        <f t="shared" ca="1" si="1185"/>
        <v>0</v>
      </c>
      <c r="AZ525" s="212"/>
      <c r="BA525" s="213" t="s">
        <v>1925</v>
      </c>
      <c r="BB525" s="213" t="s">
        <v>1926</v>
      </c>
      <c r="BC525" s="213" t="s">
        <v>1927</v>
      </c>
      <c r="BD525" s="213" t="s">
        <v>140</v>
      </c>
      <c r="BE525" s="148"/>
      <c r="BF525" s="212"/>
      <c r="BG525" s="117"/>
      <c r="BH525" s="117"/>
      <c r="BI525" s="149"/>
      <c r="BJ525" s="149"/>
      <c r="BK525" s="149"/>
      <c r="BL525" s="149"/>
      <c r="BM525" s="149"/>
      <c r="BN525" s="149"/>
      <c r="BO525" s="149"/>
      <c r="BP525" s="149"/>
      <c r="BQ525" s="149"/>
      <c r="BR525" s="117" t="s">
        <v>140</v>
      </c>
      <c r="BS525" s="117" t="s">
        <v>140</v>
      </c>
      <c r="BT525" s="117" t="s">
        <v>140</v>
      </c>
      <c r="BU525" s="117" t="s">
        <v>140</v>
      </c>
      <c r="BV525" s="117" t="s">
        <v>140</v>
      </c>
      <c r="BW525" s="117" t="s">
        <v>140</v>
      </c>
      <c r="BX525" s="117" t="s">
        <v>140</v>
      </c>
      <c r="BY525" s="117" t="s">
        <v>14</v>
      </c>
      <c r="BZ525" s="117"/>
      <c r="CA525" s="117"/>
      <c r="CB525" s="149"/>
      <c r="CC525" s="117"/>
      <c r="CD525" s="117"/>
      <c r="CE525" s="148"/>
      <c r="CF525" s="148"/>
    </row>
    <row r="526" spans="1:84" ht="36" hidden="1">
      <c r="A526" s="162">
        <v>158</v>
      </c>
      <c r="B526" s="177" t="s">
        <v>1863</v>
      </c>
      <c r="C526" s="177" t="s">
        <v>2146</v>
      </c>
      <c r="D526" s="177" t="s">
        <v>1879</v>
      </c>
      <c r="E526" s="177"/>
      <c r="F526" s="177"/>
      <c r="G526" s="177" t="s">
        <v>1880</v>
      </c>
      <c r="H526" s="178"/>
      <c r="I526" s="179"/>
      <c r="J526" s="160"/>
      <c r="K526" s="180">
        <f>+AG526+AL526+AQ526+AV526</f>
        <v>2</v>
      </c>
      <c r="L526" s="160"/>
      <c r="M526" s="181">
        <v>250.4</v>
      </c>
      <c r="N526" s="181">
        <v>1001.6</v>
      </c>
      <c r="O526" s="181" t="s">
        <v>137</v>
      </c>
      <c r="P526" s="181"/>
      <c r="Q526" s="181"/>
      <c r="R526" s="181"/>
      <c r="S526" s="181"/>
      <c r="T526" s="181"/>
      <c r="U526" s="181"/>
      <c r="V526" s="181"/>
      <c r="W526" s="181">
        <f ca="1">_xlfn.MINIFS(V:V,C:C,C526,AE:AE,"",AB:AB,"")</f>
        <v>0</v>
      </c>
      <c r="X526" s="181">
        <f ca="1">SUMIFS(T:T,C:C,C526,AE:AE,"")/SUMIFS(L:L,C:C,C526,AE:AE,"",AB:AB,"")</f>
        <v>0.3125</v>
      </c>
      <c r="Y526" s="181"/>
      <c r="Z526" s="181"/>
      <c r="AA526" s="181"/>
      <c r="AB526" s="181"/>
      <c r="AC526" s="228" t="s">
        <v>1923</v>
      </c>
      <c r="AD526" s="184" t="s">
        <v>1924</v>
      </c>
      <c r="AE526" s="162" t="s">
        <v>143</v>
      </c>
      <c r="AF526" s="181" t="s">
        <v>138</v>
      </c>
      <c r="AG526" s="181">
        <v>0</v>
      </c>
      <c r="AH526" s="181"/>
      <c r="AI526" s="181"/>
      <c r="AJ526" s="181"/>
      <c r="AK526" s="181" t="s">
        <v>1783</v>
      </c>
      <c r="AL526" s="181">
        <v>1</v>
      </c>
      <c r="AM526" s="181"/>
      <c r="AN526" s="181"/>
      <c r="AO526" s="181"/>
      <c r="AP526" s="181" t="s">
        <v>1922</v>
      </c>
      <c r="AQ526" s="181">
        <v>1</v>
      </c>
      <c r="AR526" s="181"/>
      <c r="AS526" s="181"/>
      <c r="AT526" s="181"/>
      <c r="AU526" s="181" t="s">
        <v>138</v>
      </c>
      <c r="AV526" s="181">
        <v>0</v>
      </c>
      <c r="AW526" s="181"/>
      <c r="AX526" s="181"/>
      <c r="AY526" s="181"/>
      <c r="AZ526" s="181"/>
      <c r="BA526" s="182" t="s">
        <v>1925</v>
      </c>
      <c r="BB526" s="182" t="s">
        <v>1926</v>
      </c>
      <c r="BC526" s="182" t="s">
        <v>1927</v>
      </c>
      <c r="BD526" s="182" t="s">
        <v>140</v>
      </c>
      <c r="BE526" s="162" t="s">
        <v>741</v>
      </c>
      <c r="BF526" s="181"/>
      <c r="BG526" s="161"/>
      <c r="BH526" s="161"/>
      <c r="BI526" s="163"/>
      <c r="BJ526" s="163"/>
      <c r="BK526" s="163"/>
      <c r="BL526" s="163"/>
      <c r="BM526" s="163"/>
      <c r="BN526" s="163"/>
      <c r="BO526" s="163"/>
      <c r="BP526" s="163"/>
      <c r="BQ526" s="163"/>
      <c r="BR526" s="161"/>
      <c r="BS526" s="161"/>
      <c r="BT526" s="161"/>
      <c r="BU526" s="161"/>
      <c r="BV526" s="161"/>
      <c r="BW526" s="161"/>
      <c r="BX526" s="161"/>
      <c r="BY526" s="161"/>
      <c r="BZ526" s="161"/>
      <c r="CA526" s="161"/>
      <c r="CB526" s="163"/>
      <c r="CC526" s="161"/>
      <c r="CD526" s="161"/>
      <c r="CE526" s="185"/>
      <c r="CF526" s="185"/>
    </row>
    <row r="527" spans="1:84" ht="36" hidden="1">
      <c r="A527" s="117"/>
      <c r="B527" s="209" t="s">
        <v>1863</v>
      </c>
      <c r="C527" s="209" t="s">
        <v>2146</v>
      </c>
      <c r="D527" s="209" t="s">
        <v>1016</v>
      </c>
      <c r="E527" s="209" t="s">
        <v>1823</v>
      </c>
      <c r="F527" s="209" t="s">
        <v>1067</v>
      </c>
      <c r="G527" s="209" t="s">
        <v>1053</v>
      </c>
      <c r="H527" s="210"/>
      <c r="I527" s="211" t="s">
        <v>1017</v>
      </c>
      <c r="J527" s="144">
        <v>1</v>
      </c>
      <c r="K527" s="145">
        <f t="shared" ref="K527:K530" si="1206">K526</f>
        <v>2</v>
      </c>
      <c r="L527" s="202">
        <f t="shared" ref="L527:L530" si="1207">+J527*K527</f>
        <v>2</v>
      </c>
      <c r="M527" s="212">
        <v>155</v>
      </c>
      <c r="N527" s="203">
        <f t="shared" ref="N527:N530" si="1208">+M527*L527</f>
        <v>310</v>
      </c>
      <c r="O527" s="212" t="s">
        <v>137</v>
      </c>
      <c r="P527" s="212" t="s">
        <v>14</v>
      </c>
      <c r="Q527" s="212" t="s">
        <v>976</v>
      </c>
      <c r="R527" s="212"/>
      <c r="S527" s="212"/>
      <c r="T527" s="203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0</v>
      </c>
      <c r="U527" s="203">
        <f t="shared" ref="U527:U530" ca="1" si="1209">+L527-T527</f>
        <v>2</v>
      </c>
      <c r="V527" s="203">
        <f t="shared" ref="V527:V530" ca="1" si="1210">ROUNDDOWN(T527/J527,0)</f>
        <v>0</v>
      </c>
      <c r="W527" s="212"/>
      <c r="X527" s="212"/>
      <c r="Y527" s="212"/>
      <c r="Z527" s="212"/>
      <c r="AA527" s="212"/>
      <c r="AB527" s="212"/>
      <c r="AC527" s="214" t="s">
        <v>1923</v>
      </c>
      <c r="AD527" s="226" t="s">
        <v>1924</v>
      </c>
      <c r="AE527" s="148"/>
      <c r="AF527" s="212" t="str">
        <f t="shared" ref="AF527:AG527" si="1211">AF526</f>
        <v>N/A</v>
      </c>
      <c r="AG527" s="212">
        <f t="shared" si="1211"/>
        <v>0</v>
      </c>
      <c r="AH527" s="203">
        <f t="shared" ref="AH527:AH530" si="1212">+AG527*J527</f>
        <v>0</v>
      </c>
      <c r="AI527" s="203">
        <f t="shared" ref="AI527:AI530" ca="1" si="1213">MIN(T527,AH527)</f>
        <v>0</v>
      </c>
      <c r="AJ527" s="203">
        <f t="shared" ref="AJ527:AJ530" ca="1" si="1214">+AH527-AI527</f>
        <v>0</v>
      </c>
      <c r="AK527" s="212" t="str">
        <f t="shared" ref="AK527:AL527" si="1215">AK526</f>
        <v>AMC2-S1</v>
      </c>
      <c r="AL527" s="212">
        <f t="shared" si="1215"/>
        <v>1</v>
      </c>
      <c r="AM527" s="203">
        <f t="shared" ref="AM527:AM530" si="1216">+AL527*J527</f>
        <v>1</v>
      </c>
      <c r="AN527" s="203">
        <f t="shared" ref="AN527:AN530" ca="1" si="1217">MIN(T527-AI527,AL527)</f>
        <v>0</v>
      </c>
      <c r="AO527" s="203">
        <f t="shared" ref="AO527:AO530" ca="1" si="1218">+AM527-AN527</f>
        <v>1</v>
      </c>
      <c r="AP527" s="212" t="str">
        <f t="shared" ref="AP527:AQ527" si="1219">AP526</f>
        <v>AMC2-S4</v>
      </c>
      <c r="AQ527" s="212">
        <f t="shared" si="1219"/>
        <v>1</v>
      </c>
      <c r="AR527" s="203">
        <f t="shared" ref="AR527:AR530" si="1220">+AQ527*J527</f>
        <v>1</v>
      </c>
      <c r="AS527" s="203">
        <f t="shared" ref="AS527:AS530" ca="1" si="1221">MIN(T527-AI527-AN527,AR527)</f>
        <v>0</v>
      </c>
      <c r="AT527" s="203">
        <f t="shared" ref="AT527:AT530" ca="1" si="1222">+AR527-AS527</f>
        <v>1</v>
      </c>
      <c r="AU527" s="212" t="str">
        <f t="shared" ref="AU527:AV527" si="1223">AU526</f>
        <v>N/A</v>
      </c>
      <c r="AV527" s="212">
        <f t="shared" si="1223"/>
        <v>0</v>
      </c>
      <c r="AW527" s="203">
        <f t="shared" ref="AW527:AW530" si="1224">+AV527*J527</f>
        <v>0</v>
      </c>
      <c r="AX527" s="203">
        <f t="shared" ref="AX527:AX530" ca="1" si="1225">MIN(T527-AI527-AN527-AS527,AW527)</f>
        <v>0</v>
      </c>
      <c r="AY527" s="203">
        <f t="shared" ref="AY527:AY530" ca="1" si="1226">+AW527-AX527</f>
        <v>0</v>
      </c>
      <c r="AZ527" s="212"/>
      <c r="BA527" s="213" t="s">
        <v>1925</v>
      </c>
      <c r="BB527" s="213" t="s">
        <v>1926</v>
      </c>
      <c r="BC527" s="213" t="s">
        <v>1927</v>
      </c>
      <c r="BD527" s="213" t="s">
        <v>140</v>
      </c>
      <c r="BE527" s="148"/>
      <c r="BF527" s="212"/>
      <c r="BG527" s="117"/>
      <c r="BH527" s="117"/>
      <c r="BI527" s="149"/>
      <c r="BJ527" s="149"/>
      <c r="BK527" s="149"/>
      <c r="BL527" s="149"/>
      <c r="BM527" s="149"/>
      <c r="BN527" s="149"/>
      <c r="BO527" s="149"/>
      <c r="BP527" s="149"/>
      <c r="BQ527" s="149"/>
      <c r="BR527" s="117" t="s">
        <v>140</v>
      </c>
      <c r="BS527" s="117" t="s">
        <v>140</v>
      </c>
      <c r="BT527" s="117" t="s">
        <v>140</v>
      </c>
      <c r="BU527" s="117" t="s">
        <v>140</v>
      </c>
      <c r="BV527" s="117" t="s">
        <v>140</v>
      </c>
      <c r="BW527" s="117" t="s">
        <v>140</v>
      </c>
      <c r="BX527" s="117" t="s">
        <v>140</v>
      </c>
      <c r="BY527" s="117" t="s">
        <v>14</v>
      </c>
      <c r="BZ527" s="117"/>
      <c r="CA527" s="117"/>
      <c r="CB527" s="149"/>
      <c r="CC527" s="117"/>
      <c r="CD527" s="117"/>
      <c r="CE527" s="148"/>
      <c r="CF527" s="148"/>
    </row>
    <row r="528" spans="1:84" ht="36" hidden="1">
      <c r="A528" s="117"/>
      <c r="B528" s="209" t="s">
        <v>1863</v>
      </c>
      <c r="C528" s="209" t="s">
        <v>2146</v>
      </c>
      <c r="D528" s="209" t="s">
        <v>1010</v>
      </c>
      <c r="E528" s="209" t="s">
        <v>1802</v>
      </c>
      <c r="F528" s="209" t="s">
        <v>1066</v>
      </c>
      <c r="G528" s="209" t="s">
        <v>1048</v>
      </c>
      <c r="H528" s="210">
        <v>604</v>
      </c>
      <c r="I528" s="211" t="s">
        <v>1049</v>
      </c>
      <c r="J528" s="144">
        <v>1</v>
      </c>
      <c r="K528" s="145">
        <f t="shared" si="1206"/>
        <v>2</v>
      </c>
      <c r="L528" s="202">
        <f t="shared" si="1207"/>
        <v>2</v>
      </c>
      <c r="M528" s="212">
        <f>164.86*H528/1000</f>
        <v>99.57544</v>
      </c>
      <c r="N528" s="203">
        <f t="shared" si="1208"/>
        <v>199.15088</v>
      </c>
      <c r="O528" s="212" t="s">
        <v>137</v>
      </c>
      <c r="P528" s="212" t="s">
        <v>11</v>
      </c>
      <c r="Q528" s="212" t="s">
        <v>148</v>
      </c>
      <c r="R528" s="212"/>
      <c r="S528" s="212"/>
      <c r="T528" s="203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1</v>
      </c>
      <c r="U528" s="203">
        <f t="shared" ca="1" si="1209"/>
        <v>1</v>
      </c>
      <c r="V528" s="203">
        <f t="shared" ca="1" si="1210"/>
        <v>1</v>
      </c>
      <c r="W528" s="212"/>
      <c r="X528" s="212"/>
      <c r="Y528" s="212"/>
      <c r="Z528" s="212"/>
      <c r="AA528" s="212"/>
      <c r="AB528" s="212"/>
      <c r="AC528" s="214" t="s">
        <v>1923</v>
      </c>
      <c r="AD528" s="226" t="s">
        <v>1924</v>
      </c>
      <c r="AE528" s="148"/>
      <c r="AF528" s="212" t="str">
        <f t="shared" ref="AF528:AG528" si="1227">AF527</f>
        <v>N/A</v>
      </c>
      <c r="AG528" s="212">
        <f t="shared" si="1227"/>
        <v>0</v>
      </c>
      <c r="AH528" s="203">
        <f t="shared" si="1212"/>
        <v>0</v>
      </c>
      <c r="AI528" s="203">
        <f t="shared" ca="1" si="1213"/>
        <v>0</v>
      </c>
      <c r="AJ528" s="203">
        <f t="shared" ca="1" si="1214"/>
        <v>0</v>
      </c>
      <c r="AK528" s="212" t="str">
        <f t="shared" ref="AK528:AL528" si="1228">AK527</f>
        <v>AMC2-S1</v>
      </c>
      <c r="AL528" s="212">
        <f t="shared" si="1228"/>
        <v>1</v>
      </c>
      <c r="AM528" s="203">
        <f t="shared" si="1216"/>
        <v>1</v>
      </c>
      <c r="AN528" s="203">
        <f t="shared" ca="1" si="1217"/>
        <v>1</v>
      </c>
      <c r="AO528" s="203">
        <f t="shared" ca="1" si="1218"/>
        <v>0</v>
      </c>
      <c r="AP528" s="212" t="str">
        <f t="shared" ref="AP528:AQ528" si="1229">AP527</f>
        <v>AMC2-S4</v>
      </c>
      <c r="AQ528" s="212">
        <f t="shared" si="1229"/>
        <v>1</v>
      </c>
      <c r="AR528" s="203">
        <f t="shared" si="1220"/>
        <v>1</v>
      </c>
      <c r="AS528" s="203">
        <f t="shared" ca="1" si="1221"/>
        <v>0</v>
      </c>
      <c r="AT528" s="203">
        <f t="shared" ca="1" si="1222"/>
        <v>1</v>
      </c>
      <c r="AU528" s="212" t="str">
        <f t="shared" ref="AU528:AV528" si="1230">AU527</f>
        <v>N/A</v>
      </c>
      <c r="AV528" s="212">
        <f t="shared" si="1230"/>
        <v>0</v>
      </c>
      <c r="AW528" s="203">
        <f t="shared" si="1224"/>
        <v>0</v>
      </c>
      <c r="AX528" s="203">
        <f t="shared" ca="1" si="1225"/>
        <v>0</v>
      </c>
      <c r="AY528" s="203">
        <f t="shared" ca="1" si="1226"/>
        <v>0</v>
      </c>
      <c r="AZ528" s="212"/>
      <c r="BA528" s="213" t="s">
        <v>1925</v>
      </c>
      <c r="BB528" s="213" t="s">
        <v>1926</v>
      </c>
      <c r="BC528" s="213" t="s">
        <v>1927</v>
      </c>
      <c r="BD528" s="213" t="s">
        <v>140</v>
      </c>
      <c r="BE528" s="148"/>
      <c r="BF528" s="212" t="s">
        <v>1789</v>
      </c>
      <c r="BG528" s="117"/>
      <c r="BH528" s="117"/>
      <c r="BI528" s="149"/>
      <c r="BJ528" s="149"/>
      <c r="BK528" s="149"/>
      <c r="BL528" s="149"/>
      <c r="BM528" s="149"/>
      <c r="BN528" s="149"/>
      <c r="BO528" s="149"/>
      <c r="BP528" s="149"/>
      <c r="BQ528" s="149"/>
      <c r="BR528" s="117">
        <v>0</v>
      </c>
      <c r="BS528" s="117">
        <v>0</v>
      </c>
      <c r="BT528" s="117">
        <v>0</v>
      </c>
      <c r="BU528" s="117">
        <v>1</v>
      </c>
      <c r="BV528" s="117">
        <v>0</v>
      </c>
      <c r="BW528" s="117">
        <v>0</v>
      </c>
      <c r="BX528" s="117">
        <v>0</v>
      </c>
      <c r="BY528" s="117" t="s">
        <v>1790</v>
      </c>
      <c r="BZ528" s="158" t="s">
        <v>2207</v>
      </c>
      <c r="CA528" s="158">
        <v>4</v>
      </c>
      <c r="CB528" s="235">
        <v>46231</v>
      </c>
      <c r="CC528" s="117"/>
      <c r="CD528" s="117"/>
      <c r="CE528" s="148"/>
      <c r="CF528" s="166">
        <f>+L528-CA528</f>
        <v>-2</v>
      </c>
    </row>
    <row r="529" spans="1:84" ht="36" hidden="1">
      <c r="A529" s="117"/>
      <c r="B529" s="209" t="s">
        <v>1863</v>
      </c>
      <c r="C529" s="209" t="s">
        <v>2146</v>
      </c>
      <c r="D529" s="209" t="s">
        <v>13</v>
      </c>
      <c r="E529" s="209" t="s">
        <v>1788</v>
      </c>
      <c r="F529" s="209" t="s">
        <v>1069</v>
      </c>
      <c r="G529" s="209" t="s">
        <v>1070</v>
      </c>
      <c r="H529" s="210">
        <v>376</v>
      </c>
      <c r="I529" s="211" t="s">
        <v>147</v>
      </c>
      <c r="J529" s="144">
        <v>1</v>
      </c>
      <c r="K529" s="145">
        <f t="shared" si="1206"/>
        <v>2</v>
      </c>
      <c r="L529" s="202">
        <f t="shared" si="1207"/>
        <v>2</v>
      </c>
      <c r="M529" s="212">
        <v>2.4</v>
      </c>
      <c r="N529" s="203">
        <f t="shared" si="1208"/>
        <v>4.8</v>
      </c>
      <c r="O529" s="212" t="s">
        <v>137</v>
      </c>
      <c r="P529" s="212" t="s">
        <v>13</v>
      </c>
      <c r="Q529" s="212" t="s">
        <v>154</v>
      </c>
      <c r="R529" s="212"/>
      <c r="S529" s="212"/>
      <c r="T529" s="203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0</v>
      </c>
      <c r="U529" s="203">
        <f t="shared" ca="1" si="1209"/>
        <v>2</v>
      </c>
      <c r="V529" s="203">
        <f t="shared" ca="1" si="1210"/>
        <v>0</v>
      </c>
      <c r="W529" s="212"/>
      <c r="X529" s="212"/>
      <c r="Y529" s="212"/>
      <c r="Z529" s="212"/>
      <c r="AA529" s="212"/>
      <c r="AB529" s="212"/>
      <c r="AC529" s="214" t="s">
        <v>1923</v>
      </c>
      <c r="AD529" s="226" t="s">
        <v>1924</v>
      </c>
      <c r="AE529" s="148"/>
      <c r="AF529" s="212" t="str">
        <f t="shared" ref="AF529:AG529" si="1231">AF528</f>
        <v>N/A</v>
      </c>
      <c r="AG529" s="212">
        <f t="shared" si="1231"/>
        <v>0</v>
      </c>
      <c r="AH529" s="203">
        <f t="shared" si="1212"/>
        <v>0</v>
      </c>
      <c r="AI529" s="203">
        <f t="shared" ca="1" si="1213"/>
        <v>0</v>
      </c>
      <c r="AJ529" s="203">
        <f t="shared" ca="1" si="1214"/>
        <v>0</v>
      </c>
      <c r="AK529" s="212" t="str">
        <f t="shared" ref="AK529:AL529" si="1232">AK528</f>
        <v>AMC2-S1</v>
      </c>
      <c r="AL529" s="212">
        <f t="shared" si="1232"/>
        <v>1</v>
      </c>
      <c r="AM529" s="203">
        <f t="shared" si="1216"/>
        <v>1</v>
      </c>
      <c r="AN529" s="203">
        <f t="shared" ca="1" si="1217"/>
        <v>0</v>
      </c>
      <c r="AO529" s="203">
        <f t="shared" ca="1" si="1218"/>
        <v>1</v>
      </c>
      <c r="AP529" s="212" t="str">
        <f t="shared" ref="AP529:AQ529" si="1233">AP528</f>
        <v>AMC2-S4</v>
      </c>
      <c r="AQ529" s="212">
        <f t="shared" si="1233"/>
        <v>1</v>
      </c>
      <c r="AR529" s="203">
        <f t="shared" si="1220"/>
        <v>1</v>
      </c>
      <c r="AS529" s="203">
        <f t="shared" ca="1" si="1221"/>
        <v>0</v>
      </c>
      <c r="AT529" s="203">
        <f t="shared" ca="1" si="1222"/>
        <v>1</v>
      </c>
      <c r="AU529" s="212" t="str">
        <f t="shared" ref="AU529:AV529" si="1234">AU528</f>
        <v>N/A</v>
      </c>
      <c r="AV529" s="212">
        <f t="shared" si="1234"/>
        <v>0</v>
      </c>
      <c r="AW529" s="203">
        <f t="shared" si="1224"/>
        <v>0</v>
      </c>
      <c r="AX529" s="203">
        <f t="shared" ca="1" si="1225"/>
        <v>0</v>
      </c>
      <c r="AY529" s="203">
        <f t="shared" ca="1" si="1226"/>
        <v>0</v>
      </c>
      <c r="AZ529" s="212"/>
      <c r="BA529" s="213" t="s">
        <v>1925</v>
      </c>
      <c r="BB529" s="213" t="s">
        <v>1926</v>
      </c>
      <c r="BC529" s="213" t="s">
        <v>1927</v>
      </c>
      <c r="BD529" s="213" t="s">
        <v>140</v>
      </c>
      <c r="BE529" s="148"/>
      <c r="BF529" s="212" t="s">
        <v>1789</v>
      </c>
      <c r="BG529" s="117"/>
      <c r="BH529" s="117"/>
      <c r="BI529" s="149"/>
      <c r="BJ529" s="149"/>
      <c r="BK529" s="149"/>
      <c r="BL529" s="149"/>
      <c r="BM529" s="149"/>
      <c r="BN529" s="149"/>
      <c r="BO529" s="149"/>
      <c r="BP529" s="149"/>
      <c r="BQ529" s="149"/>
      <c r="BR529" s="117">
        <v>1</v>
      </c>
      <c r="BS529" s="117">
        <v>0</v>
      </c>
      <c r="BT529" s="117">
        <v>1</v>
      </c>
      <c r="BU529" s="117">
        <v>0</v>
      </c>
      <c r="BV529" s="117">
        <v>0</v>
      </c>
      <c r="BW529" s="117">
        <v>0</v>
      </c>
      <c r="BX529" s="117">
        <v>0</v>
      </c>
      <c r="BY529" s="117" t="s">
        <v>1790</v>
      </c>
      <c r="BZ529" s="167" t="s">
        <v>2191</v>
      </c>
      <c r="CA529" s="165">
        <v>4</v>
      </c>
      <c r="CB529" s="235">
        <v>46231</v>
      </c>
      <c r="CC529" s="117"/>
      <c r="CD529" s="117"/>
      <c r="CE529" s="148"/>
      <c r="CF529" s="166">
        <f>+L529-CA529</f>
        <v>-2</v>
      </c>
    </row>
    <row r="530" spans="1:84" ht="36">
      <c r="A530" s="117"/>
      <c r="B530" s="209" t="s">
        <v>1863</v>
      </c>
      <c r="C530" s="209" t="s">
        <v>2146</v>
      </c>
      <c r="D530" s="209" t="s">
        <v>1055</v>
      </c>
      <c r="E530" s="209" t="s">
        <v>1878</v>
      </c>
      <c r="F530" s="209" t="s">
        <v>1068</v>
      </c>
      <c r="G530" s="209" t="s">
        <v>140</v>
      </c>
      <c r="H530" s="210"/>
      <c r="I530" s="211"/>
      <c r="J530" s="144">
        <v>1</v>
      </c>
      <c r="K530" s="145">
        <f t="shared" si="1206"/>
        <v>2</v>
      </c>
      <c r="L530" s="202">
        <f t="shared" si="1207"/>
        <v>2</v>
      </c>
      <c r="M530" s="212">
        <v>0.1</v>
      </c>
      <c r="N530" s="203">
        <f t="shared" si="1208"/>
        <v>0.2</v>
      </c>
      <c r="O530" s="212" t="s">
        <v>137</v>
      </c>
      <c r="P530" s="212" t="s">
        <v>14</v>
      </c>
      <c r="Q530" s="212" t="s">
        <v>976</v>
      </c>
      <c r="R530" s="212"/>
      <c r="S530" s="212"/>
      <c r="T530" s="203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203">
        <f t="shared" ca="1" si="1209"/>
        <v>1</v>
      </c>
      <c r="V530" s="203">
        <f t="shared" ca="1" si="1210"/>
        <v>1</v>
      </c>
      <c r="W530" s="212"/>
      <c r="X530" s="212"/>
      <c r="Y530" s="212"/>
      <c r="Z530" s="212"/>
      <c r="AA530" s="212"/>
      <c r="AB530" s="212"/>
      <c r="AC530" s="214" t="s">
        <v>1923</v>
      </c>
      <c r="AD530" s="226" t="s">
        <v>1924</v>
      </c>
      <c r="AE530" s="148"/>
      <c r="AF530" s="212" t="str">
        <f t="shared" ref="AF530:AG530" si="1235">AF529</f>
        <v>N/A</v>
      </c>
      <c r="AG530" s="212">
        <f t="shared" si="1235"/>
        <v>0</v>
      </c>
      <c r="AH530" s="203">
        <f t="shared" si="1212"/>
        <v>0</v>
      </c>
      <c r="AI530" s="203">
        <f t="shared" ca="1" si="1213"/>
        <v>0</v>
      </c>
      <c r="AJ530" s="203">
        <f t="shared" ca="1" si="1214"/>
        <v>0</v>
      </c>
      <c r="AK530" s="212" t="str">
        <f t="shared" ref="AK530:AL530" si="1236">AK529</f>
        <v>AMC2-S1</v>
      </c>
      <c r="AL530" s="212">
        <f t="shared" si="1236"/>
        <v>1</v>
      </c>
      <c r="AM530" s="203">
        <f t="shared" si="1216"/>
        <v>1</v>
      </c>
      <c r="AN530" s="203">
        <f t="shared" ca="1" si="1217"/>
        <v>1</v>
      </c>
      <c r="AO530" s="203">
        <f t="shared" ca="1" si="1218"/>
        <v>0</v>
      </c>
      <c r="AP530" s="212" t="str">
        <f t="shared" ref="AP530:AQ530" si="1237">AP529</f>
        <v>AMC2-S4</v>
      </c>
      <c r="AQ530" s="212">
        <f t="shared" si="1237"/>
        <v>1</v>
      </c>
      <c r="AR530" s="203">
        <f t="shared" si="1220"/>
        <v>1</v>
      </c>
      <c r="AS530" s="203">
        <f t="shared" ca="1" si="1221"/>
        <v>0</v>
      </c>
      <c r="AT530" s="203">
        <f t="shared" ca="1" si="1222"/>
        <v>1</v>
      </c>
      <c r="AU530" s="212" t="str">
        <f t="shared" ref="AU530:AV530" si="1238">AU529</f>
        <v>N/A</v>
      </c>
      <c r="AV530" s="212">
        <f t="shared" si="1238"/>
        <v>0</v>
      </c>
      <c r="AW530" s="203">
        <f t="shared" si="1224"/>
        <v>0</v>
      </c>
      <c r="AX530" s="203">
        <f t="shared" ca="1" si="1225"/>
        <v>0</v>
      </c>
      <c r="AY530" s="203">
        <f t="shared" ca="1" si="1226"/>
        <v>0</v>
      </c>
      <c r="AZ530" s="212"/>
      <c r="BA530" s="213" t="s">
        <v>1925</v>
      </c>
      <c r="BB530" s="213" t="s">
        <v>1926</v>
      </c>
      <c r="BC530" s="213" t="s">
        <v>1927</v>
      </c>
      <c r="BD530" s="213" t="s">
        <v>140</v>
      </c>
      <c r="BE530" s="148"/>
      <c r="BF530" s="212"/>
      <c r="BG530" s="117"/>
      <c r="BH530" s="117"/>
      <c r="BI530" s="149"/>
      <c r="BJ530" s="149"/>
      <c r="BK530" s="149"/>
      <c r="BL530" s="149"/>
      <c r="BM530" s="149"/>
      <c r="BN530" s="149"/>
      <c r="BO530" s="149"/>
      <c r="BP530" s="149"/>
      <c r="BQ530" s="149"/>
      <c r="BR530" s="117" t="s">
        <v>140</v>
      </c>
      <c r="BS530" s="117" t="s">
        <v>140</v>
      </c>
      <c r="BT530" s="117" t="s">
        <v>140</v>
      </c>
      <c r="BU530" s="117" t="s">
        <v>140</v>
      </c>
      <c r="BV530" s="117" t="s">
        <v>140</v>
      </c>
      <c r="BW530" s="117" t="s">
        <v>140</v>
      </c>
      <c r="BX530" s="117" t="s">
        <v>140</v>
      </c>
      <c r="BY530" s="117" t="s">
        <v>14</v>
      </c>
      <c r="BZ530" s="117"/>
      <c r="CA530" s="117"/>
      <c r="CB530" s="149"/>
      <c r="CC530" s="117"/>
      <c r="CD530" s="117"/>
      <c r="CE530" s="148"/>
      <c r="CF530" s="148"/>
    </row>
    <row r="531" spans="1:84" ht="36" hidden="1">
      <c r="A531" s="162">
        <v>159</v>
      </c>
      <c r="B531" s="177" t="s">
        <v>1863</v>
      </c>
      <c r="C531" s="177" t="s">
        <v>2147</v>
      </c>
      <c r="D531" s="177" t="s">
        <v>1881</v>
      </c>
      <c r="E531" s="177"/>
      <c r="F531" s="177"/>
      <c r="G531" s="177" t="s">
        <v>1882</v>
      </c>
      <c r="H531" s="178"/>
      <c r="I531" s="179" t="s">
        <v>147</v>
      </c>
      <c r="J531" s="160"/>
      <c r="K531" s="180">
        <f>+AG531+AL531+AQ531+AV531</f>
        <v>2</v>
      </c>
      <c r="L531" s="160"/>
      <c r="M531" s="181">
        <v>0.2</v>
      </c>
      <c r="N531" s="181">
        <v>0.8</v>
      </c>
      <c r="O531" s="181" t="s">
        <v>137</v>
      </c>
      <c r="P531" s="181"/>
      <c r="Q531" s="181"/>
      <c r="R531" s="181"/>
      <c r="S531" s="181"/>
      <c r="T531" s="181"/>
      <c r="U531" s="181"/>
      <c r="V531" s="181"/>
      <c r="W531" s="181">
        <f ca="1">_xlfn.MINIFS(V:V,C:C,C531,AE:AE,"",AB:AB,"")</f>
        <v>1</v>
      </c>
      <c r="X531" s="181">
        <f ca="1">SUMIFS(T:T,C:C,C531,AE:AE,"")/SUMIFS(L:L,C:C,C531,AE:AE,"",AB:AB,"")</f>
        <v>1</v>
      </c>
      <c r="Y531" s="181"/>
      <c r="Z531" s="181"/>
      <c r="AA531" s="181"/>
      <c r="AB531" s="181"/>
      <c r="AC531" s="228" t="s">
        <v>1923</v>
      </c>
      <c r="AD531" s="184" t="s">
        <v>1924</v>
      </c>
      <c r="AE531" s="162" t="s">
        <v>143</v>
      </c>
      <c r="AF531" s="181" t="s">
        <v>138</v>
      </c>
      <c r="AG531" s="181">
        <v>0</v>
      </c>
      <c r="AH531" s="181"/>
      <c r="AI531" s="181"/>
      <c r="AJ531" s="181"/>
      <c r="AK531" s="181" t="s">
        <v>1783</v>
      </c>
      <c r="AL531" s="181">
        <v>1</v>
      </c>
      <c r="AM531" s="181"/>
      <c r="AN531" s="181"/>
      <c r="AO531" s="181"/>
      <c r="AP531" s="181" t="s">
        <v>1922</v>
      </c>
      <c r="AQ531" s="181">
        <v>1</v>
      </c>
      <c r="AR531" s="181"/>
      <c r="AS531" s="181"/>
      <c r="AT531" s="181"/>
      <c r="AU531" s="181" t="s">
        <v>138</v>
      </c>
      <c r="AV531" s="181">
        <v>0</v>
      </c>
      <c r="AW531" s="181"/>
      <c r="AX531" s="181"/>
      <c r="AY531" s="181"/>
      <c r="AZ531" s="179"/>
      <c r="BA531" s="182" t="s">
        <v>1925</v>
      </c>
      <c r="BB531" s="182" t="s">
        <v>1926</v>
      </c>
      <c r="BC531" s="182" t="s">
        <v>1927</v>
      </c>
      <c r="BD531" s="182" t="s">
        <v>140</v>
      </c>
      <c r="BE531" s="162" t="s">
        <v>741</v>
      </c>
      <c r="BF531" s="181"/>
      <c r="BG531" s="161"/>
      <c r="BH531" s="161"/>
      <c r="BI531" s="163"/>
      <c r="BJ531" s="163"/>
      <c r="BK531" s="163"/>
      <c r="BL531" s="163"/>
      <c r="BM531" s="163"/>
      <c r="BN531" s="163"/>
      <c r="BO531" s="163"/>
      <c r="BP531" s="163"/>
      <c r="BQ531" s="163"/>
      <c r="BR531" s="161"/>
      <c r="BS531" s="161"/>
      <c r="BT531" s="161"/>
      <c r="BU531" s="161"/>
      <c r="BV531" s="161"/>
      <c r="BW531" s="161"/>
      <c r="BX531" s="161"/>
      <c r="BY531" s="161"/>
      <c r="BZ531" s="161"/>
      <c r="CA531" s="161"/>
      <c r="CB531" s="163"/>
      <c r="CC531" s="161"/>
      <c r="CD531" s="161"/>
      <c r="CE531" s="185"/>
      <c r="CF531" s="185"/>
    </row>
    <row r="532" spans="1:84" ht="36" hidden="1">
      <c r="A532" s="117"/>
      <c r="B532" s="209" t="s">
        <v>1863</v>
      </c>
      <c r="C532" s="209" t="s">
        <v>2147</v>
      </c>
      <c r="D532" s="209" t="s">
        <v>1073</v>
      </c>
      <c r="E532" s="209" t="s">
        <v>1883</v>
      </c>
      <c r="F532" s="209" t="s">
        <v>1071</v>
      </c>
      <c r="G532" s="209" t="s">
        <v>1072</v>
      </c>
      <c r="H532" s="210">
        <v>80</v>
      </c>
      <c r="I532" s="211" t="s">
        <v>147</v>
      </c>
      <c r="J532" s="144">
        <v>1</v>
      </c>
      <c r="K532" s="145">
        <f>K531</f>
        <v>2</v>
      </c>
      <c r="L532" s="202">
        <f>+J532*K532</f>
        <v>2</v>
      </c>
      <c r="M532" s="212">
        <v>0.2</v>
      </c>
      <c r="N532" s="203">
        <f>+M532*L532</f>
        <v>0.4</v>
      </c>
      <c r="O532" s="212" t="s">
        <v>137</v>
      </c>
      <c r="P532" s="212" t="s">
        <v>13</v>
      </c>
      <c r="Q532" s="212" t="s">
        <v>148</v>
      </c>
      <c r="R532" s="212"/>
      <c r="S532" s="212"/>
      <c r="T532" s="203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2</v>
      </c>
      <c r="U532" s="203">
        <f t="shared" ref="U532" ca="1" si="1239">+L532-T532</f>
        <v>0</v>
      </c>
      <c r="V532" s="203">
        <f t="shared" ref="V532" ca="1" si="1240">ROUNDDOWN(T532/J532,0)</f>
        <v>2</v>
      </c>
      <c r="W532" s="212"/>
      <c r="X532" s="212"/>
      <c r="Y532" s="212"/>
      <c r="Z532" s="212"/>
      <c r="AA532" s="212"/>
      <c r="AB532" s="212"/>
      <c r="AC532" s="214" t="s">
        <v>1923</v>
      </c>
      <c r="AD532" s="226" t="s">
        <v>1924</v>
      </c>
      <c r="AE532" s="148"/>
      <c r="AF532" s="212" t="str">
        <f t="shared" ref="AF532:AG532" si="1241">AF531</f>
        <v>N/A</v>
      </c>
      <c r="AG532" s="212">
        <f t="shared" si="1241"/>
        <v>0</v>
      </c>
      <c r="AH532" s="203">
        <f>+AG532*J532</f>
        <v>0</v>
      </c>
      <c r="AI532" s="203">
        <f ca="1">MIN(T532,AH532)</f>
        <v>0</v>
      </c>
      <c r="AJ532" s="203">
        <f ca="1">+AH532-AI532</f>
        <v>0</v>
      </c>
      <c r="AK532" s="212" t="str">
        <f t="shared" ref="AK532:AL532" si="1242">AK531</f>
        <v>AMC2-S1</v>
      </c>
      <c r="AL532" s="212">
        <f t="shared" si="1242"/>
        <v>1</v>
      </c>
      <c r="AM532" s="203">
        <f>+AL532*J532</f>
        <v>1</v>
      </c>
      <c r="AN532" s="203">
        <f ca="1">MIN(T532-AI532,AL532)</f>
        <v>1</v>
      </c>
      <c r="AO532" s="203">
        <f ca="1">+AM532-AN532</f>
        <v>0</v>
      </c>
      <c r="AP532" s="212" t="str">
        <f t="shared" ref="AP532:AQ532" si="1243">AP531</f>
        <v>AMC2-S4</v>
      </c>
      <c r="AQ532" s="212">
        <f t="shared" si="1243"/>
        <v>1</v>
      </c>
      <c r="AR532" s="203">
        <f>+AQ532*J532</f>
        <v>1</v>
      </c>
      <c r="AS532" s="203">
        <f ca="1">MIN(T532-AI532-AN532,AR532)</f>
        <v>1</v>
      </c>
      <c r="AT532" s="203">
        <f ca="1">+AR532-AS532</f>
        <v>0</v>
      </c>
      <c r="AU532" s="212" t="str">
        <f t="shared" ref="AU532:AV532" si="1244">AU531</f>
        <v>N/A</v>
      </c>
      <c r="AV532" s="212">
        <f t="shared" si="1244"/>
        <v>0</v>
      </c>
      <c r="AW532" s="203">
        <f>+AV532*J532</f>
        <v>0</v>
      </c>
      <c r="AX532" s="203">
        <f ca="1">MIN(T532-AI532-AN532-AS532,AW532)</f>
        <v>0</v>
      </c>
      <c r="AY532" s="203">
        <f ca="1">+AW532-AX532</f>
        <v>0</v>
      </c>
      <c r="AZ532" s="212"/>
      <c r="BA532" s="213" t="s">
        <v>1925</v>
      </c>
      <c r="BB532" s="213" t="s">
        <v>1926</v>
      </c>
      <c r="BC532" s="213" t="s">
        <v>1927</v>
      </c>
      <c r="BD532" s="213" t="s">
        <v>140</v>
      </c>
      <c r="BE532" s="148"/>
      <c r="BF532" s="212" t="s">
        <v>1789</v>
      </c>
      <c r="BG532" s="117"/>
      <c r="BH532" s="117"/>
      <c r="BI532" s="149"/>
      <c r="BJ532" s="149"/>
      <c r="BK532" s="149"/>
      <c r="BL532" s="149"/>
      <c r="BM532" s="149"/>
      <c r="BN532" s="149"/>
      <c r="BO532" s="149"/>
      <c r="BP532" s="149"/>
      <c r="BQ532" s="149"/>
      <c r="BR532" s="117">
        <v>1</v>
      </c>
      <c r="BS532" s="117">
        <v>0</v>
      </c>
      <c r="BT532" s="117">
        <v>0</v>
      </c>
      <c r="BU532" s="117">
        <v>0</v>
      </c>
      <c r="BV532" s="117">
        <v>0</v>
      </c>
      <c r="BW532" s="117">
        <v>0</v>
      </c>
      <c r="BX532" s="117">
        <v>0</v>
      </c>
      <c r="BY532" s="117" t="s">
        <v>1790</v>
      </c>
      <c r="BZ532" s="158" t="s">
        <v>2193</v>
      </c>
      <c r="CA532" s="158">
        <v>4</v>
      </c>
      <c r="CB532" s="234">
        <v>46213</v>
      </c>
      <c r="CC532" s="117"/>
      <c r="CD532" s="117"/>
      <c r="CE532" s="148"/>
      <c r="CF532" s="166">
        <f>+L532-CA532</f>
        <v>-2</v>
      </c>
    </row>
    <row r="533" spans="1:84" ht="36" hidden="1">
      <c r="A533" s="162">
        <v>160</v>
      </c>
      <c r="B533" s="177" t="s">
        <v>1985</v>
      </c>
      <c r="C533" s="177" t="s">
        <v>2148</v>
      </c>
      <c r="D533" s="177" t="s">
        <v>1884</v>
      </c>
      <c r="E533" s="177"/>
      <c r="F533" s="177"/>
      <c r="G533" s="177" t="s">
        <v>1885</v>
      </c>
      <c r="H533" s="227">
        <v>3000</v>
      </c>
      <c r="I533" s="179" t="s">
        <v>147</v>
      </c>
      <c r="J533" s="160"/>
      <c r="K533" s="180">
        <f t="shared" ref="K533:K548" si="1245">+AG533+AL533+AQ533+AV533</f>
        <v>42</v>
      </c>
      <c r="L533" s="160"/>
      <c r="M533" s="181">
        <v>25</v>
      </c>
      <c r="N533" s="181">
        <v>2100</v>
      </c>
      <c r="O533" s="181" t="s">
        <v>137</v>
      </c>
      <c r="P533" s="181"/>
      <c r="Q533" s="181"/>
      <c r="R533" s="181"/>
      <c r="S533" s="181"/>
      <c r="T533" s="181"/>
      <c r="U533" s="181"/>
      <c r="V533" s="181"/>
      <c r="W533" s="181">
        <f t="shared" ref="W533:W550" si="1246">_xlfn.MINIFS(V:V,C:C,C533,AE:AE,"",AB:AB,"")</f>
        <v>0</v>
      </c>
      <c r="X533" s="181" t="e">
        <f t="shared" ref="X533:X550" si="1247">SUMIFS(T:T,C:C,C533,AE:AE,"")/SUMIFS(L:L,C:C,C533,AE:AE,"",AB:AB,"")</f>
        <v>#DIV/0!</v>
      </c>
      <c r="Y533" s="181"/>
      <c r="Z533" s="181"/>
      <c r="AA533" s="181"/>
      <c r="AB533" s="181"/>
      <c r="AC533" s="228" t="s">
        <v>2006</v>
      </c>
      <c r="AD533" s="184" t="s">
        <v>1924</v>
      </c>
      <c r="AE533" s="162" t="s">
        <v>143</v>
      </c>
      <c r="AF533" s="181" t="s">
        <v>138</v>
      </c>
      <c r="AG533" s="181">
        <v>0</v>
      </c>
      <c r="AH533" s="181"/>
      <c r="AI533" s="181"/>
      <c r="AJ533" s="181"/>
      <c r="AK533" s="181" t="s">
        <v>1783</v>
      </c>
      <c r="AL533" s="181">
        <v>21</v>
      </c>
      <c r="AM533" s="181"/>
      <c r="AN533" s="181">
        <v>21</v>
      </c>
      <c r="AO533" s="181"/>
      <c r="AP533" s="181" t="s">
        <v>1922</v>
      </c>
      <c r="AQ533" s="181">
        <v>21</v>
      </c>
      <c r="AR533" s="181"/>
      <c r="AS533" s="181">
        <v>21</v>
      </c>
      <c r="AT533" s="181"/>
      <c r="AU533" s="181" t="s">
        <v>138</v>
      </c>
      <c r="AV533" s="181">
        <v>0</v>
      </c>
      <c r="AW533" s="181"/>
      <c r="AX533" s="181"/>
      <c r="AY533" s="181"/>
      <c r="AZ533" s="181"/>
      <c r="BA533" s="182" t="s">
        <v>2007</v>
      </c>
      <c r="BB533" s="182" t="s">
        <v>2008</v>
      </c>
      <c r="BC533" s="182" t="s">
        <v>2009</v>
      </c>
      <c r="BD533" s="182" t="s">
        <v>140</v>
      </c>
      <c r="BE533" s="162" t="s">
        <v>741</v>
      </c>
      <c r="BF533" s="181"/>
      <c r="BG533" s="161"/>
      <c r="BH533" s="161"/>
      <c r="BI533" s="163"/>
      <c r="BJ533" s="163"/>
      <c r="BK533" s="163"/>
      <c r="BL533" s="163"/>
      <c r="BM533" s="163"/>
      <c r="BN533" s="163"/>
      <c r="BO533" s="163"/>
      <c r="BP533" s="163"/>
      <c r="BQ533" s="163"/>
      <c r="BR533" s="161"/>
      <c r="BS533" s="161"/>
      <c r="BT533" s="161"/>
      <c r="BU533" s="161"/>
      <c r="BV533" s="161"/>
      <c r="BW533" s="161"/>
      <c r="BX533" s="161"/>
      <c r="BY533" s="161"/>
      <c r="BZ533" s="161"/>
      <c r="CA533" s="161"/>
      <c r="CB533" s="163"/>
      <c r="CC533" s="161"/>
      <c r="CD533" s="161"/>
      <c r="CE533" s="185"/>
      <c r="CF533" s="185"/>
    </row>
    <row r="534" spans="1:84" ht="36" hidden="1">
      <c r="A534" s="162">
        <v>161</v>
      </c>
      <c r="B534" s="177" t="s">
        <v>1985</v>
      </c>
      <c r="C534" s="177" t="s">
        <v>2208</v>
      </c>
      <c r="D534" s="177" t="s">
        <v>1884</v>
      </c>
      <c r="E534" s="177"/>
      <c r="F534" s="177"/>
      <c r="G534" s="177" t="s">
        <v>1885</v>
      </c>
      <c r="H534" s="227">
        <v>2455</v>
      </c>
      <c r="I534" s="179" t="s">
        <v>147</v>
      </c>
      <c r="J534" s="160"/>
      <c r="K534" s="180">
        <f t="shared" si="1245"/>
        <v>2</v>
      </c>
      <c r="L534" s="160"/>
      <c r="M534" s="181">
        <v>19.600000000000001</v>
      </c>
      <c r="N534" s="181">
        <v>78.400000000000006</v>
      </c>
      <c r="O534" s="181" t="s">
        <v>137</v>
      </c>
      <c r="P534" s="181"/>
      <c r="Q534" s="181"/>
      <c r="R534" s="181"/>
      <c r="S534" s="181"/>
      <c r="T534" s="181"/>
      <c r="U534" s="181"/>
      <c r="V534" s="181"/>
      <c r="W534" s="181">
        <f t="shared" si="1246"/>
        <v>0</v>
      </c>
      <c r="X534" s="181" t="e">
        <f t="shared" si="1247"/>
        <v>#DIV/0!</v>
      </c>
      <c r="Y534" s="181"/>
      <c r="Z534" s="181"/>
      <c r="AA534" s="181"/>
      <c r="AB534" s="181"/>
      <c r="AC534" s="228" t="s">
        <v>1923</v>
      </c>
      <c r="AD534" s="184" t="s">
        <v>1924</v>
      </c>
      <c r="AE534" s="162" t="s">
        <v>143</v>
      </c>
      <c r="AF534" s="181" t="s">
        <v>138</v>
      </c>
      <c r="AG534" s="181">
        <v>0</v>
      </c>
      <c r="AH534" s="181"/>
      <c r="AI534" s="181"/>
      <c r="AJ534" s="181"/>
      <c r="AK534" s="181" t="s">
        <v>1783</v>
      </c>
      <c r="AL534" s="181">
        <v>1</v>
      </c>
      <c r="AM534" s="181"/>
      <c r="AN534" s="181">
        <v>1</v>
      </c>
      <c r="AO534" s="181"/>
      <c r="AP534" s="181" t="s">
        <v>1922</v>
      </c>
      <c r="AQ534" s="181">
        <v>1</v>
      </c>
      <c r="AR534" s="181"/>
      <c r="AS534" s="181">
        <v>1</v>
      </c>
      <c r="AT534" s="181"/>
      <c r="AU534" s="181" t="s">
        <v>138</v>
      </c>
      <c r="AV534" s="181">
        <v>0</v>
      </c>
      <c r="AW534" s="181"/>
      <c r="AX534" s="181"/>
      <c r="AY534" s="181"/>
      <c r="AZ534" s="181"/>
      <c r="BA534" s="182" t="s">
        <v>1925</v>
      </c>
      <c r="BB534" s="182" t="s">
        <v>1926</v>
      </c>
      <c r="BC534" s="182" t="s">
        <v>1927</v>
      </c>
      <c r="BD534" s="182" t="s">
        <v>140</v>
      </c>
      <c r="BE534" s="162" t="s">
        <v>741</v>
      </c>
      <c r="BF534" s="181"/>
      <c r="BG534" s="161"/>
      <c r="BH534" s="161"/>
      <c r="BI534" s="163"/>
      <c r="BJ534" s="163"/>
      <c r="BK534" s="163"/>
      <c r="BL534" s="163"/>
      <c r="BM534" s="163"/>
      <c r="BN534" s="163"/>
      <c r="BO534" s="163"/>
      <c r="BP534" s="163"/>
      <c r="BQ534" s="163"/>
      <c r="BR534" s="16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3"/>
      <c r="CC534" s="161"/>
      <c r="CD534" s="161"/>
      <c r="CE534" s="185"/>
      <c r="CF534" s="185"/>
    </row>
    <row r="535" spans="1:84" ht="36" hidden="1">
      <c r="A535" s="162">
        <v>162</v>
      </c>
      <c r="B535" s="177" t="s">
        <v>1985</v>
      </c>
      <c r="C535" s="177" t="s">
        <v>2209</v>
      </c>
      <c r="D535" s="177" t="s">
        <v>1884</v>
      </c>
      <c r="E535" s="177"/>
      <c r="F535" s="177"/>
      <c r="G535" s="177" t="s">
        <v>1885</v>
      </c>
      <c r="H535" s="227">
        <v>2418</v>
      </c>
      <c r="I535" s="179" t="s">
        <v>147</v>
      </c>
      <c r="J535" s="160"/>
      <c r="K535" s="180">
        <f t="shared" si="1245"/>
        <v>2</v>
      </c>
      <c r="L535" s="160"/>
      <c r="M535" s="181">
        <v>19.3</v>
      </c>
      <c r="N535" s="181">
        <v>77.2</v>
      </c>
      <c r="O535" s="181" t="s">
        <v>137</v>
      </c>
      <c r="P535" s="181"/>
      <c r="Q535" s="181"/>
      <c r="R535" s="181"/>
      <c r="S535" s="181"/>
      <c r="T535" s="181"/>
      <c r="U535" s="181"/>
      <c r="V535" s="181"/>
      <c r="W535" s="181">
        <f t="shared" si="1246"/>
        <v>0</v>
      </c>
      <c r="X535" s="181" t="e">
        <f t="shared" si="1247"/>
        <v>#DIV/0!</v>
      </c>
      <c r="Y535" s="181"/>
      <c r="Z535" s="181"/>
      <c r="AA535" s="181"/>
      <c r="AB535" s="181"/>
      <c r="AC535" s="228" t="s">
        <v>1923</v>
      </c>
      <c r="AD535" s="184" t="s">
        <v>1924</v>
      </c>
      <c r="AE535" s="162" t="s">
        <v>143</v>
      </c>
      <c r="AF535" s="181" t="s">
        <v>138</v>
      </c>
      <c r="AG535" s="181">
        <v>0</v>
      </c>
      <c r="AH535" s="181"/>
      <c r="AI535" s="181"/>
      <c r="AJ535" s="181"/>
      <c r="AK535" s="181" t="s">
        <v>1783</v>
      </c>
      <c r="AL535" s="181">
        <v>1</v>
      </c>
      <c r="AM535" s="181"/>
      <c r="AN535" s="181">
        <v>1</v>
      </c>
      <c r="AO535" s="181"/>
      <c r="AP535" s="181" t="s">
        <v>1922</v>
      </c>
      <c r="AQ535" s="181">
        <v>1</v>
      </c>
      <c r="AR535" s="181"/>
      <c r="AS535" s="181">
        <v>1</v>
      </c>
      <c r="AT535" s="181"/>
      <c r="AU535" s="181" t="s">
        <v>138</v>
      </c>
      <c r="AV535" s="181">
        <v>0</v>
      </c>
      <c r="AW535" s="181"/>
      <c r="AX535" s="181"/>
      <c r="AY535" s="181"/>
      <c r="AZ535" s="181"/>
      <c r="BA535" s="182" t="s">
        <v>1925</v>
      </c>
      <c r="BB535" s="182" t="s">
        <v>1926</v>
      </c>
      <c r="BC535" s="182" t="s">
        <v>1927</v>
      </c>
      <c r="BD535" s="182" t="s">
        <v>140</v>
      </c>
      <c r="BE535" s="162" t="s">
        <v>741</v>
      </c>
      <c r="BF535" s="181"/>
      <c r="BG535" s="161"/>
      <c r="BH535" s="161"/>
      <c r="BI535" s="163"/>
      <c r="BJ535" s="163"/>
      <c r="BK535" s="163"/>
      <c r="BL535" s="163"/>
      <c r="BM535" s="163"/>
      <c r="BN535" s="163"/>
      <c r="BO535" s="163"/>
      <c r="BP535" s="163"/>
      <c r="BQ535" s="163"/>
      <c r="BR535" s="161"/>
      <c r="BS535" s="161"/>
      <c r="BT535" s="161"/>
      <c r="BU535" s="161"/>
      <c r="BV535" s="161"/>
      <c r="BW535" s="161"/>
      <c r="BX535" s="161"/>
      <c r="BY535" s="161"/>
      <c r="BZ535" s="161"/>
      <c r="CA535" s="161"/>
      <c r="CB535" s="163"/>
      <c r="CC535" s="161"/>
      <c r="CD535" s="161"/>
      <c r="CE535" s="185"/>
      <c r="CF535" s="185"/>
    </row>
    <row r="536" spans="1:84" ht="36" hidden="1">
      <c r="A536" s="162">
        <v>163</v>
      </c>
      <c r="B536" s="177" t="s">
        <v>1985</v>
      </c>
      <c r="C536" s="177" t="s">
        <v>2210</v>
      </c>
      <c r="D536" s="177" t="s">
        <v>1884</v>
      </c>
      <c r="E536" s="177"/>
      <c r="F536" s="177"/>
      <c r="G536" s="177" t="s">
        <v>1885</v>
      </c>
      <c r="H536" s="227">
        <v>590</v>
      </c>
      <c r="I536" s="179" t="s">
        <v>147</v>
      </c>
      <c r="J536" s="160"/>
      <c r="K536" s="180">
        <f t="shared" si="1245"/>
        <v>2</v>
      </c>
      <c r="L536" s="160"/>
      <c r="M536" s="181">
        <v>4.0999999999999996</v>
      </c>
      <c r="N536" s="181">
        <v>16.399999999999999</v>
      </c>
      <c r="O536" s="181" t="s">
        <v>137</v>
      </c>
      <c r="P536" s="181"/>
      <c r="Q536" s="181"/>
      <c r="R536" s="181"/>
      <c r="S536" s="181"/>
      <c r="T536" s="181"/>
      <c r="U536" s="181"/>
      <c r="V536" s="181"/>
      <c r="W536" s="181">
        <f t="shared" si="1246"/>
        <v>0</v>
      </c>
      <c r="X536" s="181" t="e">
        <f t="shared" si="1247"/>
        <v>#DIV/0!</v>
      </c>
      <c r="Y536" s="181"/>
      <c r="Z536" s="181"/>
      <c r="AA536" s="181"/>
      <c r="AB536" s="181"/>
      <c r="AC536" s="228" t="s">
        <v>1923</v>
      </c>
      <c r="AD536" s="184" t="s">
        <v>1924</v>
      </c>
      <c r="AE536" s="162" t="s">
        <v>143</v>
      </c>
      <c r="AF536" s="181" t="s">
        <v>138</v>
      </c>
      <c r="AG536" s="181">
        <v>0</v>
      </c>
      <c r="AH536" s="181"/>
      <c r="AI536" s="181"/>
      <c r="AJ536" s="181"/>
      <c r="AK536" s="181" t="s">
        <v>1783</v>
      </c>
      <c r="AL536" s="181">
        <v>1</v>
      </c>
      <c r="AM536" s="181"/>
      <c r="AN536" s="181">
        <v>1</v>
      </c>
      <c r="AO536" s="181"/>
      <c r="AP536" s="181" t="s">
        <v>1922</v>
      </c>
      <c r="AQ536" s="181">
        <v>1</v>
      </c>
      <c r="AR536" s="181"/>
      <c r="AS536" s="181">
        <v>1</v>
      </c>
      <c r="AT536" s="181"/>
      <c r="AU536" s="181" t="s">
        <v>138</v>
      </c>
      <c r="AV536" s="181">
        <v>0</v>
      </c>
      <c r="AW536" s="181"/>
      <c r="AX536" s="181"/>
      <c r="AY536" s="181"/>
      <c r="AZ536" s="181"/>
      <c r="BA536" s="182" t="s">
        <v>1925</v>
      </c>
      <c r="BB536" s="182" t="s">
        <v>1926</v>
      </c>
      <c r="BC536" s="182" t="s">
        <v>1927</v>
      </c>
      <c r="BD536" s="182" t="s">
        <v>140</v>
      </c>
      <c r="BE536" s="162" t="s">
        <v>741</v>
      </c>
      <c r="BF536" s="181"/>
      <c r="BG536" s="161"/>
      <c r="BH536" s="161"/>
      <c r="BI536" s="163"/>
      <c r="BJ536" s="163"/>
      <c r="BK536" s="163"/>
      <c r="BL536" s="163"/>
      <c r="BM536" s="163"/>
      <c r="BN536" s="163"/>
      <c r="BO536" s="163"/>
      <c r="BP536" s="163"/>
      <c r="BQ536" s="163"/>
      <c r="BR536" s="161"/>
      <c r="BS536" s="161"/>
      <c r="BT536" s="161"/>
      <c r="BU536" s="161"/>
      <c r="BV536" s="161"/>
      <c r="BW536" s="161"/>
      <c r="BX536" s="161"/>
      <c r="BY536" s="161"/>
      <c r="BZ536" s="161"/>
      <c r="CA536" s="161"/>
      <c r="CB536" s="163"/>
      <c r="CC536" s="161"/>
      <c r="CD536" s="161"/>
      <c r="CE536" s="185"/>
      <c r="CF536" s="185"/>
    </row>
    <row r="537" spans="1:84" ht="36" hidden="1">
      <c r="A537" s="162">
        <v>164</v>
      </c>
      <c r="B537" s="177" t="s">
        <v>1985</v>
      </c>
      <c r="C537" s="177" t="s">
        <v>2151</v>
      </c>
      <c r="D537" s="177" t="s">
        <v>1886</v>
      </c>
      <c r="E537" s="177"/>
      <c r="F537" s="177"/>
      <c r="G537" s="177" t="s">
        <v>1887</v>
      </c>
      <c r="H537" s="178">
        <v>100</v>
      </c>
      <c r="I537" s="179" t="s">
        <v>147</v>
      </c>
      <c r="J537" s="160"/>
      <c r="K537" s="180">
        <f t="shared" si="1245"/>
        <v>2</v>
      </c>
      <c r="L537" s="160"/>
      <c r="M537" s="181">
        <v>0.1</v>
      </c>
      <c r="N537" s="181">
        <v>0.4</v>
      </c>
      <c r="O537" s="181" t="s">
        <v>137</v>
      </c>
      <c r="P537" s="181"/>
      <c r="Q537" s="181"/>
      <c r="R537" s="181"/>
      <c r="S537" s="181"/>
      <c r="T537" s="181"/>
      <c r="U537" s="181"/>
      <c r="V537" s="181"/>
      <c r="W537" s="181">
        <f t="shared" si="1246"/>
        <v>0</v>
      </c>
      <c r="X537" s="181" t="e">
        <f t="shared" si="1247"/>
        <v>#DIV/0!</v>
      </c>
      <c r="Y537" s="181"/>
      <c r="Z537" s="181"/>
      <c r="AA537" s="181"/>
      <c r="AB537" s="181"/>
      <c r="AC537" s="228" t="s">
        <v>1923</v>
      </c>
      <c r="AD537" s="184" t="s">
        <v>1924</v>
      </c>
      <c r="AE537" s="162" t="s">
        <v>143</v>
      </c>
      <c r="AF537" s="181" t="s">
        <v>138</v>
      </c>
      <c r="AG537" s="181">
        <v>0</v>
      </c>
      <c r="AH537" s="181"/>
      <c r="AI537" s="181"/>
      <c r="AJ537" s="181"/>
      <c r="AK537" s="181" t="s">
        <v>1783</v>
      </c>
      <c r="AL537" s="181">
        <v>1</v>
      </c>
      <c r="AM537" s="181"/>
      <c r="AN537" s="181"/>
      <c r="AO537" s="181"/>
      <c r="AP537" s="181" t="s">
        <v>1922</v>
      </c>
      <c r="AQ537" s="181">
        <v>1</v>
      </c>
      <c r="AR537" s="181"/>
      <c r="AS537" s="181"/>
      <c r="AT537" s="181"/>
      <c r="AU537" s="181" t="s">
        <v>138</v>
      </c>
      <c r="AV537" s="181">
        <v>0</v>
      </c>
      <c r="AW537" s="181"/>
      <c r="AX537" s="181"/>
      <c r="AY537" s="181"/>
      <c r="AZ537" s="181"/>
      <c r="BA537" s="182" t="s">
        <v>1925</v>
      </c>
      <c r="BB537" s="182" t="s">
        <v>1926</v>
      </c>
      <c r="BC537" s="182" t="s">
        <v>1927</v>
      </c>
      <c r="BD537" s="182" t="s">
        <v>140</v>
      </c>
      <c r="BE537" s="162" t="s">
        <v>741</v>
      </c>
      <c r="BF537" s="181"/>
      <c r="BG537" s="161"/>
      <c r="BH537" s="161"/>
      <c r="BI537" s="163"/>
      <c r="BJ537" s="163"/>
      <c r="BK537" s="163"/>
      <c r="BL537" s="163"/>
      <c r="BM537" s="163"/>
      <c r="BN537" s="163"/>
      <c r="BO537" s="163"/>
      <c r="BP537" s="163"/>
      <c r="BQ537" s="163"/>
      <c r="BR537" s="161"/>
      <c r="BS537" s="161"/>
      <c r="BT537" s="161"/>
      <c r="BU537" s="161"/>
      <c r="BV537" s="161"/>
      <c r="BW537" s="161"/>
      <c r="BX537" s="161"/>
      <c r="BY537" s="161"/>
      <c r="BZ537" s="161"/>
      <c r="CA537" s="161"/>
      <c r="CB537" s="163"/>
      <c r="CC537" s="161"/>
      <c r="CD537" s="161"/>
      <c r="CE537" s="185"/>
      <c r="CF537" s="185"/>
    </row>
    <row r="538" spans="1:84" ht="36" hidden="1">
      <c r="A538" s="162">
        <v>165</v>
      </c>
      <c r="B538" s="177" t="s">
        <v>1985</v>
      </c>
      <c r="C538" s="177" t="s">
        <v>1892</v>
      </c>
      <c r="D538" s="177" t="s">
        <v>1893</v>
      </c>
      <c r="E538" s="177"/>
      <c r="F538" s="177"/>
      <c r="G538" s="177" t="s">
        <v>1894</v>
      </c>
      <c r="H538" s="178"/>
      <c r="I538" s="179" t="s">
        <v>1895</v>
      </c>
      <c r="J538" s="160"/>
      <c r="K538" s="180">
        <f t="shared" si="1245"/>
        <v>2</v>
      </c>
      <c r="L538" s="160"/>
      <c r="M538" s="181">
        <v>1.7</v>
      </c>
      <c r="N538" s="181">
        <v>6.8</v>
      </c>
      <c r="O538" s="181" t="s">
        <v>137</v>
      </c>
      <c r="P538" s="181"/>
      <c r="Q538" s="181"/>
      <c r="R538" s="181"/>
      <c r="S538" s="181"/>
      <c r="T538" s="181"/>
      <c r="U538" s="181"/>
      <c r="V538" s="181"/>
      <c r="W538" s="181">
        <f t="shared" si="1246"/>
        <v>0</v>
      </c>
      <c r="X538" s="181" t="e">
        <f t="shared" si="1247"/>
        <v>#DIV/0!</v>
      </c>
      <c r="Y538" s="181"/>
      <c r="Z538" s="181"/>
      <c r="AA538" s="181"/>
      <c r="AB538" s="181"/>
      <c r="AC538" s="228" t="s">
        <v>1923</v>
      </c>
      <c r="AD538" s="184" t="s">
        <v>1924</v>
      </c>
      <c r="AE538" s="162" t="s">
        <v>143</v>
      </c>
      <c r="AF538" s="181" t="s">
        <v>138</v>
      </c>
      <c r="AG538" s="181">
        <v>0</v>
      </c>
      <c r="AH538" s="181"/>
      <c r="AI538" s="181"/>
      <c r="AJ538" s="181"/>
      <c r="AK538" s="181" t="s">
        <v>1783</v>
      </c>
      <c r="AL538" s="181">
        <v>1</v>
      </c>
      <c r="AM538" s="181"/>
      <c r="AN538" s="181"/>
      <c r="AO538" s="181"/>
      <c r="AP538" s="181" t="s">
        <v>1922</v>
      </c>
      <c r="AQ538" s="181">
        <v>1</v>
      </c>
      <c r="AR538" s="181"/>
      <c r="AS538" s="181"/>
      <c r="AT538" s="181"/>
      <c r="AU538" s="181" t="s">
        <v>138</v>
      </c>
      <c r="AV538" s="181">
        <v>0</v>
      </c>
      <c r="AW538" s="181"/>
      <c r="AX538" s="181"/>
      <c r="AY538" s="181"/>
      <c r="AZ538" s="181"/>
      <c r="BA538" s="182" t="s">
        <v>1925</v>
      </c>
      <c r="BB538" s="182" t="s">
        <v>1926</v>
      </c>
      <c r="BC538" s="182" t="s">
        <v>1927</v>
      </c>
      <c r="BD538" s="182" t="s">
        <v>140</v>
      </c>
      <c r="BE538" s="162" t="s">
        <v>741</v>
      </c>
      <c r="BF538" s="181"/>
      <c r="BG538" s="161"/>
      <c r="BH538" s="161"/>
      <c r="BI538" s="163"/>
      <c r="BJ538" s="163"/>
      <c r="BK538" s="163"/>
      <c r="BL538" s="163"/>
      <c r="BM538" s="163"/>
      <c r="BN538" s="163"/>
      <c r="BO538" s="163"/>
      <c r="BP538" s="163"/>
      <c r="BQ538" s="163"/>
      <c r="BR538" s="161"/>
      <c r="BS538" s="161"/>
      <c r="BT538" s="161"/>
      <c r="BU538" s="161"/>
      <c r="BV538" s="161"/>
      <c r="BW538" s="161"/>
      <c r="BX538" s="161"/>
      <c r="BY538" s="161" t="s">
        <v>14</v>
      </c>
      <c r="BZ538" s="161"/>
      <c r="CA538" s="161"/>
      <c r="CB538" s="163"/>
      <c r="CC538" s="161"/>
      <c r="CD538" s="161"/>
      <c r="CE538" s="185"/>
      <c r="CF538" s="185"/>
    </row>
    <row r="539" spans="1:84" ht="36" hidden="1">
      <c r="A539" s="162">
        <v>166</v>
      </c>
      <c r="B539" s="177" t="s">
        <v>1985</v>
      </c>
      <c r="C539" s="177" t="s">
        <v>1896</v>
      </c>
      <c r="D539" s="177" t="s">
        <v>1897</v>
      </c>
      <c r="E539" s="177"/>
      <c r="F539" s="177"/>
      <c r="G539" s="177" t="s">
        <v>1898</v>
      </c>
      <c r="H539" s="178"/>
      <c r="I539" s="179" t="s">
        <v>1899</v>
      </c>
      <c r="J539" s="160"/>
      <c r="K539" s="180">
        <f t="shared" si="1245"/>
        <v>2</v>
      </c>
      <c r="L539" s="160"/>
      <c r="M539" s="181">
        <v>1.5</v>
      </c>
      <c r="N539" s="181">
        <v>6</v>
      </c>
      <c r="O539" s="181" t="s">
        <v>137</v>
      </c>
      <c r="P539" s="181"/>
      <c r="Q539" s="181"/>
      <c r="R539" s="181"/>
      <c r="S539" s="181"/>
      <c r="T539" s="181"/>
      <c r="U539" s="181"/>
      <c r="V539" s="181"/>
      <c r="W539" s="181">
        <f t="shared" si="1246"/>
        <v>0</v>
      </c>
      <c r="X539" s="181" t="e">
        <f t="shared" si="1247"/>
        <v>#DIV/0!</v>
      </c>
      <c r="Y539" s="181"/>
      <c r="Z539" s="181"/>
      <c r="AA539" s="181"/>
      <c r="AB539" s="181"/>
      <c r="AC539" s="228" t="s">
        <v>1923</v>
      </c>
      <c r="AD539" s="184" t="s">
        <v>1924</v>
      </c>
      <c r="AE539" s="162" t="s">
        <v>143</v>
      </c>
      <c r="AF539" s="181" t="s">
        <v>138</v>
      </c>
      <c r="AG539" s="181">
        <v>0</v>
      </c>
      <c r="AH539" s="181"/>
      <c r="AI539" s="181"/>
      <c r="AJ539" s="181"/>
      <c r="AK539" s="181" t="s">
        <v>1783</v>
      </c>
      <c r="AL539" s="181">
        <v>1</v>
      </c>
      <c r="AM539" s="181"/>
      <c r="AN539" s="181"/>
      <c r="AO539" s="181"/>
      <c r="AP539" s="181" t="s">
        <v>1922</v>
      </c>
      <c r="AQ539" s="181">
        <v>1</v>
      </c>
      <c r="AR539" s="181"/>
      <c r="AS539" s="181"/>
      <c r="AT539" s="181"/>
      <c r="AU539" s="181" t="s">
        <v>138</v>
      </c>
      <c r="AV539" s="181">
        <v>0</v>
      </c>
      <c r="AW539" s="181"/>
      <c r="AX539" s="181"/>
      <c r="AY539" s="181"/>
      <c r="AZ539" s="181"/>
      <c r="BA539" s="182" t="s">
        <v>1925</v>
      </c>
      <c r="BB539" s="182" t="s">
        <v>1926</v>
      </c>
      <c r="BC539" s="182" t="s">
        <v>1927</v>
      </c>
      <c r="BD539" s="182" t="s">
        <v>140</v>
      </c>
      <c r="BE539" s="162" t="s">
        <v>741</v>
      </c>
      <c r="BF539" s="181"/>
      <c r="BG539" s="161"/>
      <c r="BH539" s="161"/>
      <c r="BI539" s="163"/>
      <c r="BJ539" s="163"/>
      <c r="BK539" s="163"/>
      <c r="BL539" s="163"/>
      <c r="BM539" s="163"/>
      <c r="BN539" s="163"/>
      <c r="BO539" s="163"/>
      <c r="BP539" s="163"/>
      <c r="BQ539" s="163"/>
      <c r="BR539" s="161"/>
      <c r="BS539" s="161"/>
      <c r="BT539" s="161"/>
      <c r="BU539" s="161"/>
      <c r="BV539" s="161"/>
      <c r="BW539" s="161"/>
      <c r="BX539" s="161"/>
      <c r="BY539" s="161" t="s">
        <v>14</v>
      </c>
      <c r="BZ539" s="161"/>
      <c r="CA539" s="161"/>
      <c r="CB539" s="163"/>
      <c r="CC539" s="161"/>
      <c r="CD539" s="161"/>
      <c r="CE539" s="185"/>
      <c r="CF539" s="185"/>
    </row>
    <row r="540" spans="1:84" ht="36" hidden="1">
      <c r="A540" s="162">
        <v>167</v>
      </c>
      <c r="B540" s="177" t="s">
        <v>1985</v>
      </c>
      <c r="C540" s="177" t="s">
        <v>2010</v>
      </c>
      <c r="D540" s="177" t="s">
        <v>2011</v>
      </c>
      <c r="E540" s="177"/>
      <c r="F540" s="177"/>
      <c r="G540" s="177" t="s">
        <v>1890</v>
      </c>
      <c r="H540" s="178"/>
      <c r="I540" s="179" t="s">
        <v>1903</v>
      </c>
      <c r="J540" s="160"/>
      <c r="K540" s="180">
        <f t="shared" si="1245"/>
        <v>2</v>
      </c>
      <c r="L540" s="160"/>
      <c r="M540" s="181">
        <v>0.5</v>
      </c>
      <c r="N540" s="181">
        <v>20</v>
      </c>
      <c r="O540" s="181" t="s">
        <v>137</v>
      </c>
      <c r="P540" s="181"/>
      <c r="Q540" s="181"/>
      <c r="R540" s="181"/>
      <c r="S540" s="181"/>
      <c r="T540" s="181"/>
      <c r="U540" s="181"/>
      <c r="V540" s="181"/>
      <c r="W540" s="181">
        <f t="shared" si="1246"/>
        <v>0</v>
      </c>
      <c r="X540" s="181" t="e">
        <f t="shared" si="1247"/>
        <v>#DIV/0!</v>
      </c>
      <c r="Y540" s="181"/>
      <c r="Z540" s="181"/>
      <c r="AA540" s="181"/>
      <c r="AB540" s="181"/>
      <c r="AC540" s="228" t="s">
        <v>1990</v>
      </c>
      <c r="AD540" s="184" t="s">
        <v>1924</v>
      </c>
      <c r="AE540" s="162" t="s">
        <v>143</v>
      </c>
      <c r="AF540" s="181" t="s">
        <v>138</v>
      </c>
      <c r="AG540" s="181">
        <v>0</v>
      </c>
      <c r="AH540" s="181"/>
      <c r="AI540" s="181"/>
      <c r="AJ540" s="181"/>
      <c r="AK540" s="181" t="s">
        <v>1783</v>
      </c>
      <c r="AL540" s="181">
        <v>1</v>
      </c>
      <c r="AM540" s="181"/>
      <c r="AN540" s="181"/>
      <c r="AO540" s="181"/>
      <c r="AP540" s="181" t="s">
        <v>1922</v>
      </c>
      <c r="AQ540" s="181">
        <v>1</v>
      </c>
      <c r="AR540" s="181"/>
      <c r="AS540" s="181"/>
      <c r="AT540" s="181"/>
      <c r="AU540" s="181" t="s">
        <v>138</v>
      </c>
      <c r="AV540" s="181">
        <v>0</v>
      </c>
      <c r="AW540" s="181"/>
      <c r="AX540" s="181"/>
      <c r="AY540" s="181"/>
      <c r="AZ540" s="181"/>
      <c r="BA540" s="182" t="s">
        <v>1991</v>
      </c>
      <c r="BB540" s="182" t="s">
        <v>1992</v>
      </c>
      <c r="BC540" s="182" t="s">
        <v>1993</v>
      </c>
      <c r="BD540" s="182" t="s">
        <v>140</v>
      </c>
      <c r="BE540" s="162" t="s">
        <v>741</v>
      </c>
      <c r="BF540" s="181"/>
      <c r="BG540" s="161"/>
      <c r="BH540" s="161"/>
      <c r="BI540" s="163"/>
      <c r="BJ540" s="163"/>
      <c r="BK540" s="163"/>
      <c r="BL540" s="163"/>
      <c r="BM540" s="163"/>
      <c r="BN540" s="163"/>
      <c r="BO540" s="163"/>
      <c r="BP540" s="163"/>
      <c r="BQ540" s="163"/>
      <c r="BR540" s="161"/>
      <c r="BS540" s="161"/>
      <c r="BT540" s="161"/>
      <c r="BU540" s="161"/>
      <c r="BV540" s="161"/>
      <c r="BW540" s="161"/>
      <c r="BX540" s="161"/>
      <c r="BY540" s="161" t="s">
        <v>14</v>
      </c>
      <c r="BZ540" s="161"/>
      <c r="CA540" s="161"/>
      <c r="CB540" s="163"/>
      <c r="CC540" s="161"/>
      <c r="CD540" s="161"/>
      <c r="CE540" s="185"/>
      <c r="CF540" s="185"/>
    </row>
    <row r="541" spans="1:84" ht="36" hidden="1">
      <c r="A541" s="162">
        <v>168</v>
      </c>
      <c r="B541" s="177" t="s">
        <v>1985</v>
      </c>
      <c r="C541" s="177" t="s">
        <v>1900</v>
      </c>
      <c r="D541" s="177" t="s">
        <v>1901</v>
      </c>
      <c r="E541" s="177"/>
      <c r="F541" s="177"/>
      <c r="G541" s="177" t="s">
        <v>1902</v>
      </c>
      <c r="H541" s="178"/>
      <c r="I541" s="179" t="s">
        <v>1903</v>
      </c>
      <c r="J541" s="160"/>
      <c r="K541" s="180">
        <f t="shared" si="1245"/>
        <v>4</v>
      </c>
      <c r="L541" s="160"/>
      <c r="M541" s="181">
        <v>1.2</v>
      </c>
      <c r="N541" s="181">
        <v>96</v>
      </c>
      <c r="O541" s="181" t="s">
        <v>137</v>
      </c>
      <c r="P541" s="181"/>
      <c r="Q541" s="181"/>
      <c r="R541" s="181"/>
      <c r="S541" s="181"/>
      <c r="T541" s="181"/>
      <c r="U541" s="181"/>
      <c r="V541" s="181"/>
      <c r="W541" s="181">
        <f t="shared" si="1246"/>
        <v>0</v>
      </c>
      <c r="X541" s="181" t="e">
        <f t="shared" si="1247"/>
        <v>#DIV/0!</v>
      </c>
      <c r="Y541" s="181"/>
      <c r="Z541" s="181"/>
      <c r="AA541" s="181"/>
      <c r="AB541" s="181"/>
      <c r="AC541" s="228" t="s">
        <v>1996</v>
      </c>
      <c r="AD541" s="184" t="s">
        <v>1924</v>
      </c>
      <c r="AE541" s="162" t="s">
        <v>143</v>
      </c>
      <c r="AF541" s="181" t="s">
        <v>138</v>
      </c>
      <c r="AG541" s="181">
        <v>0</v>
      </c>
      <c r="AH541" s="181"/>
      <c r="AI541" s="181"/>
      <c r="AJ541" s="181"/>
      <c r="AK541" s="181" t="s">
        <v>1783</v>
      </c>
      <c r="AL541" s="181">
        <v>2</v>
      </c>
      <c r="AM541" s="181"/>
      <c r="AN541" s="181"/>
      <c r="AO541" s="181"/>
      <c r="AP541" s="181" t="s">
        <v>1922</v>
      </c>
      <c r="AQ541" s="181">
        <v>2</v>
      </c>
      <c r="AR541" s="181"/>
      <c r="AS541" s="181"/>
      <c r="AT541" s="181"/>
      <c r="AU541" s="181" t="s">
        <v>138</v>
      </c>
      <c r="AV541" s="181">
        <v>0</v>
      </c>
      <c r="AW541" s="181"/>
      <c r="AX541" s="181"/>
      <c r="AY541" s="181"/>
      <c r="AZ541" s="181"/>
      <c r="BA541" s="182" t="s">
        <v>1997</v>
      </c>
      <c r="BB541" s="182" t="s">
        <v>1998</v>
      </c>
      <c r="BC541" s="182" t="s">
        <v>1999</v>
      </c>
      <c r="BD541" s="182" t="s">
        <v>140</v>
      </c>
      <c r="BE541" s="162" t="s">
        <v>741</v>
      </c>
      <c r="BF541" s="181"/>
      <c r="BG541" s="161"/>
      <c r="BH541" s="161"/>
      <c r="BI541" s="163"/>
      <c r="BJ541" s="163"/>
      <c r="BK541" s="163"/>
      <c r="BL541" s="163"/>
      <c r="BM541" s="163"/>
      <c r="BN541" s="163"/>
      <c r="BO541" s="163"/>
      <c r="BP541" s="163"/>
      <c r="BQ541" s="163"/>
      <c r="BR541" s="161"/>
      <c r="BS541" s="161"/>
      <c r="BT541" s="161"/>
      <c r="BU541" s="161"/>
      <c r="BV541" s="161"/>
      <c r="BW541" s="161"/>
      <c r="BX541" s="161"/>
      <c r="BY541" s="161" t="s">
        <v>14</v>
      </c>
      <c r="BZ541" s="161"/>
      <c r="CA541" s="161"/>
      <c r="CB541" s="163"/>
      <c r="CC541" s="161"/>
      <c r="CD541" s="161"/>
      <c r="CE541" s="185"/>
      <c r="CF541" s="185"/>
    </row>
    <row r="542" spans="1:84" ht="36" hidden="1">
      <c r="A542" s="162">
        <v>169</v>
      </c>
      <c r="B542" s="177" t="s">
        <v>1985</v>
      </c>
      <c r="C542" s="177" t="s">
        <v>1904</v>
      </c>
      <c r="D542" s="177" t="s">
        <v>1901</v>
      </c>
      <c r="E542" s="177"/>
      <c r="F542" s="177"/>
      <c r="G542" s="177" t="s">
        <v>1905</v>
      </c>
      <c r="H542" s="178"/>
      <c r="I542" s="179" t="s">
        <v>1903</v>
      </c>
      <c r="J542" s="160"/>
      <c r="K542" s="180">
        <f t="shared" si="1245"/>
        <v>56</v>
      </c>
      <c r="L542" s="160"/>
      <c r="M542" s="181">
        <v>1.5</v>
      </c>
      <c r="N542" s="181">
        <v>168</v>
      </c>
      <c r="O542" s="181" t="s">
        <v>137</v>
      </c>
      <c r="P542" s="181"/>
      <c r="Q542" s="181"/>
      <c r="R542" s="181"/>
      <c r="S542" s="181"/>
      <c r="T542" s="181"/>
      <c r="U542" s="181"/>
      <c r="V542" s="181"/>
      <c r="W542" s="181">
        <f t="shared" si="1246"/>
        <v>0</v>
      </c>
      <c r="X542" s="181" t="e">
        <f t="shared" si="1247"/>
        <v>#DIV/0!</v>
      </c>
      <c r="Y542" s="181"/>
      <c r="Z542" s="181"/>
      <c r="AA542" s="181"/>
      <c r="AB542" s="181"/>
      <c r="AC542" s="228" t="s">
        <v>2012</v>
      </c>
      <c r="AD542" s="184" t="s">
        <v>1924</v>
      </c>
      <c r="AE542" s="162" t="s">
        <v>143</v>
      </c>
      <c r="AF542" s="181" t="s">
        <v>138</v>
      </c>
      <c r="AG542" s="181">
        <v>0</v>
      </c>
      <c r="AH542" s="181"/>
      <c r="AI542" s="181"/>
      <c r="AJ542" s="181"/>
      <c r="AK542" s="181" t="s">
        <v>1783</v>
      </c>
      <c r="AL542" s="181">
        <v>28</v>
      </c>
      <c r="AM542" s="181"/>
      <c r="AN542" s="181"/>
      <c r="AO542" s="181"/>
      <c r="AP542" s="181" t="s">
        <v>1922</v>
      </c>
      <c r="AQ542" s="181">
        <v>28</v>
      </c>
      <c r="AR542" s="181"/>
      <c r="AS542" s="181"/>
      <c r="AT542" s="181"/>
      <c r="AU542" s="181" t="s">
        <v>138</v>
      </c>
      <c r="AV542" s="181">
        <v>0</v>
      </c>
      <c r="AW542" s="181"/>
      <c r="AX542" s="181"/>
      <c r="AY542" s="181"/>
      <c r="AZ542" s="181"/>
      <c r="BA542" s="182" t="s">
        <v>2013</v>
      </c>
      <c r="BB542" s="182" t="s">
        <v>2014</v>
      </c>
      <c r="BC542" s="182" t="s">
        <v>2015</v>
      </c>
      <c r="BD542" s="182" t="s">
        <v>140</v>
      </c>
      <c r="BE542" s="162" t="s">
        <v>741</v>
      </c>
      <c r="BF542" s="181"/>
      <c r="BG542" s="161"/>
      <c r="BH542" s="161"/>
      <c r="BI542" s="163"/>
      <c r="BJ542" s="163"/>
      <c r="BK542" s="163"/>
      <c r="BL542" s="163"/>
      <c r="BM542" s="163"/>
      <c r="BN542" s="163"/>
      <c r="BO542" s="163"/>
      <c r="BP542" s="163"/>
      <c r="BQ542" s="163"/>
      <c r="BR542" s="161"/>
      <c r="BS542" s="161"/>
      <c r="BT542" s="161"/>
      <c r="BU542" s="161"/>
      <c r="BV542" s="161"/>
      <c r="BW542" s="161"/>
      <c r="BX542" s="161"/>
      <c r="BY542" s="161" t="s">
        <v>14</v>
      </c>
      <c r="BZ542" s="161"/>
      <c r="CA542" s="161"/>
      <c r="CB542" s="163"/>
      <c r="CC542" s="161"/>
      <c r="CD542" s="161"/>
      <c r="CE542" s="185"/>
      <c r="CF542" s="185"/>
    </row>
    <row r="543" spans="1:84" ht="36" hidden="1">
      <c r="A543" s="162">
        <v>170</v>
      </c>
      <c r="B543" s="177" t="s">
        <v>1985</v>
      </c>
      <c r="C543" s="177" t="s">
        <v>1906</v>
      </c>
      <c r="D543" s="177" t="s">
        <v>1907</v>
      </c>
      <c r="E543" s="177"/>
      <c r="F543" s="177"/>
      <c r="G543" s="177" t="s">
        <v>1908</v>
      </c>
      <c r="H543" s="178"/>
      <c r="I543" s="179" t="s">
        <v>1912</v>
      </c>
      <c r="J543" s="160"/>
      <c r="K543" s="180">
        <f t="shared" si="1245"/>
        <v>52</v>
      </c>
      <c r="L543" s="160"/>
      <c r="M543" s="181">
        <v>0.1</v>
      </c>
      <c r="N543" s="181">
        <v>10.4</v>
      </c>
      <c r="O543" s="181" t="s">
        <v>137</v>
      </c>
      <c r="P543" s="181"/>
      <c r="Q543" s="181"/>
      <c r="R543" s="181"/>
      <c r="S543" s="181"/>
      <c r="T543" s="181"/>
      <c r="U543" s="181"/>
      <c r="V543" s="181"/>
      <c r="W543" s="181">
        <f t="shared" si="1246"/>
        <v>0</v>
      </c>
      <c r="X543" s="181" t="e">
        <f t="shared" si="1247"/>
        <v>#DIV/0!</v>
      </c>
      <c r="Y543" s="181"/>
      <c r="Z543" s="181"/>
      <c r="AA543" s="181"/>
      <c r="AB543" s="181"/>
      <c r="AC543" s="228" t="s">
        <v>2016</v>
      </c>
      <c r="AD543" s="184" t="s">
        <v>1924</v>
      </c>
      <c r="AE543" s="162" t="s">
        <v>143</v>
      </c>
      <c r="AF543" s="181" t="s">
        <v>138</v>
      </c>
      <c r="AG543" s="181">
        <v>0</v>
      </c>
      <c r="AH543" s="181"/>
      <c r="AI543" s="181"/>
      <c r="AJ543" s="181"/>
      <c r="AK543" s="181" t="s">
        <v>1783</v>
      </c>
      <c r="AL543" s="181">
        <v>26</v>
      </c>
      <c r="AM543" s="181"/>
      <c r="AN543" s="181"/>
      <c r="AO543" s="181"/>
      <c r="AP543" s="181" t="s">
        <v>1922</v>
      </c>
      <c r="AQ543" s="181">
        <v>26</v>
      </c>
      <c r="AR543" s="181"/>
      <c r="AS543" s="181"/>
      <c r="AT543" s="181"/>
      <c r="AU543" s="181" t="s">
        <v>138</v>
      </c>
      <c r="AV543" s="181">
        <v>0</v>
      </c>
      <c r="AW543" s="181"/>
      <c r="AX543" s="181"/>
      <c r="AY543" s="181"/>
      <c r="AZ543" s="181"/>
      <c r="BA543" s="182" t="s">
        <v>2017</v>
      </c>
      <c r="BB543" s="182" t="s">
        <v>2018</v>
      </c>
      <c r="BC543" s="182" t="s">
        <v>2019</v>
      </c>
      <c r="BD543" s="182" t="s">
        <v>140</v>
      </c>
      <c r="BE543" s="162" t="s">
        <v>741</v>
      </c>
      <c r="BF543" s="181"/>
      <c r="BG543" s="161"/>
      <c r="BH543" s="161"/>
      <c r="BI543" s="163"/>
      <c r="BJ543" s="163"/>
      <c r="BK543" s="163"/>
      <c r="BL543" s="163"/>
      <c r="BM543" s="163"/>
      <c r="BN543" s="163"/>
      <c r="BO543" s="163"/>
      <c r="BP543" s="163"/>
      <c r="BQ543" s="163"/>
      <c r="BR543" s="161"/>
      <c r="BS543" s="161"/>
      <c r="BT543" s="161"/>
      <c r="BU543" s="161"/>
      <c r="BV543" s="161"/>
      <c r="BW543" s="161"/>
      <c r="BX543" s="161"/>
      <c r="BY543" s="161" t="s">
        <v>14</v>
      </c>
      <c r="BZ543" s="161"/>
      <c r="CA543" s="161"/>
      <c r="CB543" s="163"/>
      <c r="CC543" s="161"/>
      <c r="CD543" s="161"/>
      <c r="CE543" s="185"/>
      <c r="CF543" s="185"/>
    </row>
    <row r="544" spans="1:84" ht="36" hidden="1">
      <c r="A544" s="162">
        <v>171</v>
      </c>
      <c r="B544" s="177" t="s">
        <v>1985</v>
      </c>
      <c r="C544" s="177" t="s">
        <v>1910</v>
      </c>
      <c r="D544" s="177" t="s">
        <v>1907</v>
      </c>
      <c r="E544" s="177"/>
      <c r="F544" s="177"/>
      <c r="G544" s="177" t="s">
        <v>1911</v>
      </c>
      <c r="H544" s="178"/>
      <c r="I544" s="179" t="s">
        <v>1912</v>
      </c>
      <c r="J544" s="160"/>
      <c r="K544" s="180">
        <f t="shared" si="1245"/>
        <v>104</v>
      </c>
      <c r="L544" s="160"/>
      <c r="M544" s="181">
        <v>0.3</v>
      </c>
      <c r="N544" s="181">
        <v>62.4</v>
      </c>
      <c r="O544" s="181" t="s">
        <v>137</v>
      </c>
      <c r="P544" s="181"/>
      <c r="Q544" s="181"/>
      <c r="R544" s="181"/>
      <c r="S544" s="181"/>
      <c r="T544" s="181"/>
      <c r="U544" s="181"/>
      <c r="V544" s="181"/>
      <c r="W544" s="181">
        <f t="shared" si="1246"/>
        <v>0</v>
      </c>
      <c r="X544" s="181" t="e">
        <f t="shared" si="1247"/>
        <v>#DIV/0!</v>
      </c>
      <c r="Y544" s="181"/>
      <c r="Z544" s="181"/>
      <c r="AA544" s="181"/>
      <c r="AB544" s="181"/>
      <c r="AC544" s="228" t="s">
        <v>2020</v>
      </c>
      <c r="AD544" s="184" t="s">
        <v>1924</v>
      </c>
      <c r="AE544" s="162" t="s">
        <v>143</v>
      </c>
      <c r="AF544" s="181" t="s">
        <v>138</v>
      </c>
      <c r="AG544" s="181">
        <v>0</v>
      </c>
      <c r="AH544" s="181"/>
      <c r="AI544" s="181"/>
      <c r="AJ544" s="181"/>
      <c r="AK544" s="181" t="s">
        <v>1783</v>
      </c>
      <c r="AL544" s="181">
        <v>52</v>
      </c>
      <c r="AM544" s="181"/>
      <c r="AN544" s="181"/>
      <c r="AO544" s="181"/>
      <c r="AP544" s="181" t="s">
        <v>1922</v>
      </c>
      <c r="AQ544" s="181">
        <v>52</v>
      </c>
      <c r="AR544" s="181"/>
      <c r="AS544" s="181"/>
      <c r="AT544" s="181"/>
      <c r="AU544" s="181" t="s">
        <v>138</v>
      </c>
      <c r="AV544" s="181">
        <v>0</v>
      </c>
      <c r="AW544" s="181"/>
      <c r="AX544" s="181"/>
      <c r="AY544" s="181"/>
      <c r="AZ544" s="181"/>
      <c r="BA544" s="182" t="s">
        <v>2021</v>
      </c>
      <c r="BB544" s="182" t="s">
        <v>2022</v>
      </c>
      <c r="BC544" s="182" t="s">
        <v>2023</v>
      </c>
      <c r="BD544" s="182" t="s">
        <v>140</v>
      </c>
      <c r="BE544" s="162" t="s">
        <v>741</v>
      </c>
      <c r="BF544" s="181"/>
      <c r="BG544" s="161"/>
      <c r="BH544" s="161"/>
      <c r="BI544" s="163"/>
      <c r="BJ544" s="163"/>
      <c r="BK544" s="163"/>
      <c r="BL544" s="163"/>
      <c r="BM544" s="163"/>
      <c r="BN544" s="163"/>
      <c r="BO544" s="163"/>
      <c r="BP544" s="163"/>
      <c r="BQ544" s="163"/>
      <c r="BR544" s="161"/>
      <c r="BS544" s="161"/>
      <c r="BT544" s="161"/>
      <c r="BU544" s="161"/>
      <c r="BV544" s="161"/>
      <c r="BW544" s="161"/>
      <c r="BX544" s="161"/>
      <c r="BY544" s="161" t="s">
        <v>14</v>
      </c>
      <c r="BZ544" s="161"/>
      <c r="CA544" s="161"/>
      <c r="CB544" s="163"/>
      <c r="CC544" s="161"/>
      <c r="CD544" s="161"/>
      <c r="CE544" s="185"/>
      <c r="CF544" s="185"/>
    </row>
    <row r="545" spans="1:84" ht="36" hidden="1">
      <c r="A545" s="162">
        <v>172</v>
      </c>
      <c r="B545" s="177" t="s">
        <v>1985</v>
      </c>
      <c r="C545" s="177" t="s">
        <v>1913</v>
      </c>
      <c r="D545" s="177" t="s">
        <v>1907</v>
      </c>
      <c r="E545" s="177"/>
      <c r="F545" s="177"/>
      <c r="G545" s="177" t="s">
        <v>1914</v>
      </c>
      <c r="H545" s="178"/>
      <c r="I545" s="179" t="s">
        <v>1912</v>
      </c>
      <c r="J545" s="160"/>
      <c r="K545" s="180">
        <f t="shared" si="1245"/>
        <v>6</v>
      </c>
      <c r="L545" s="160"/>
      <c r="M545" s="181">
        <v>0.1</v>
      </c>
      <c r="N545" s="181">
        <v>1.2</v>
      </c>
      <c r="O545" s="181" t="s">
        <v>137</v>
      </c>
      <c r="P545" s="181"/>
      <c r="Q545" s="181"/>
      <c r="R545" s="181"/>
      <c r="S545" s="181"/>
      <c r="T545" s="181"/>
      <c r="U545" s="181"/>
      <c r="V545" s="181"/>
      <c r="W545" s="181">
        <f t="shared" si="1246"/>
        <v>0</v>
      </c>
      <c r="X545" s="181" t="e">
        <f t="shared" si="1247"/>
        <v>#DIV/0!</v>
      </c>
      <c r="Y545" s="181"/>
      <c r="Z545" s="181"/>
      <c r="AA545" s="181"/>
      <c r="AB545" s="181"/>
      <c r="AC545" s="228" t="s">
        <v>2024</v>
      </c>
      <c r="AD545" s="184" t="s">
        <v>1924</v>
      </c>
      <c r="AE545" s="162" t="s">
        <v>143</v>
      </c>
      <c r="AF545" s="181" t="s">
        <v>138</v>
      </c>
      <c r="AG545" s="181">
        <v>0</v>
      </c>
      <c r="AH545" s="181"/>
      <c r="AI545" s="181"/>
      <c r="AJ545" s="181"/>
      <c r="AK545" s="181" t="s">
        <v>1783</v>
      </c>
      <c r="AL545" s="181">
        <v>3</v>
      </c>
      <c r="AM545" s="181"/>
      <c r="AN545" s="181"/>
      <c r="AO545" s="181"/>
      <c r="AP545" s="181" t="s">
        <v>1922</v>
      </c>
      <c r="AQ545" s="181">
        <v>3</v>
      </c>
      <c r="AR545" s="181"/>
      <c r="AS545" s="181"/>
      <c r="AT545" s="181"/>
      <c r="AU545" s="181" t="s">
        <v>138</v>
      </c>
      <c r="AV545" s="181">
        <v>0</v>
      </c>
      <c r="AW545" s="181"/>
      <c r="AX545" s="181"/>
      <c r="AY545" s="181"/>
      <c r="AZ545" s="181"/>
      <c r="BA545" s="182" t="s">
        <v>2025</v>
      </c>
      <c r="BB545" s="182" t="s">
        <v>2026</v>
      </c>
      <c r="BC545" s="182" t="s">
        <v>2027</v>
      </c>
      <c r="BD545" s="182" t="s">
        <v>140</v>
      </c>
      <c r="BE545" s="162" t="s">
        <v>741</v>
      </c>
      <c r="BF545" s="181"/>
      <c r="BG545" s="161"/>
      <c r="BH545" s="161"/>
      <c r="BI545" s="163"/>
      <c r="BJ545" s="163"/>
      <c r="BK545" s="163"/>
      <c r="BL545" s="163"/>
      <c r="BM545" s="163"/>
      <c r="BN545" s="163"/>
      <c r="BO545" s="163"/>
      <c r="BP545" s="163"/>
      <c r="BQ545" s="163"/>
      <c r="BR545" s="161"/>
      <c r="BS545" s="161"/>
      <c r="BT545" s="161"/>
      <c r="BU545" s="161"/>
      <c r="BV545" s="161"/>
      <c r="BW545" s="161"/>
      <c r="BX545" s="161"/>
      <c r="BY545" s="161" t="s">
        <v>14</v>
      </c>
      <c r="BZ545" s="161"/>
      <c r="CA545" s="161"/>
      <c r="CB545" s="163"/>
      <c r="CC545" s="161"/>
      <c r="CD545" s="161"/>
      <c r="CE545" s="185"/>
      <c r="CF545" s="185"/>
    </row>
    <row r="546" spans="1:84" ht="36" hidden="1">
      <c r="A546" s="162">
        <v>173</v>
      </c>
      <c r="B546" s="177" t="s">
        <v>1985</v>
      </c>
      <c r="C546" s="177" t="s">
        <v>1915</v>
      </c>
      <c r="D546" s="177" t="s">
        <v>1073</v>
      </c>
      <c r="E546" s="177"/>
      <c r="F546" s="177"/>
      <c r="G546" s="177" t="s">
        <v>1914</v>
      </c>
      <c r="H546" s="178"/>
      <c r="I546" s="179" t="s">
        <v>1916</v>
      </c>
      <c r="J546" s="160"/>
      <c r="K546" s="180">
        <f t="shared" si="1245"/>
        <v>4</v>
      </c>
      <c r="L546" s="160"/>
      <c r="M546" s="181">
        <v>0.1</v>
      </c>
      <c r="N546" s="181">
        <v>0.8</v>
      </c>
      <c r="O546" s="181" t="s">
        <v>137</v>
      </c>
      <c r="P546" s="181"/>
      <c r="Q546" s="181"/>
      <c r="R546" s="181"/>
      <c r="S546" s="181"/>
      <c r="T546" s="181"/>
      <c r="U546" s="181"/>
      <c r="V546" s="181"/>
      <c r="W546" s="181">
        <f t="shared" si="1246"/>
        <v>0</v>
      </c>
      <c r="X546" s="181" t="e">
        <f t="shared" si="1247"/>
        <v>#DIV/0!</v>
      </c>
      <c r="Y546" s="181"/>
      <c r="Z546" s="181"/>
      <c r="AA546" s="181"/>
      <c r="AB546" s="181"/>
      <c r="AC546" s="228" t="s">
        <v>1986</v>
      </c>
      <c r="AD546" s="184" t="s">
        <v>1924</v>
      </c>
      <c r="AE546" s="162" t="s">
        <v>143</v>
      </c>
      <c r="AF546" s="181" t="s">
        <v>138</v>
      </c>
      <c r="AG546" s="181">
        <v>0</v>
      </c>
      <c r="AH546" s="181"/>
      <c r="AI546" s="181"/>
      <c r="AJ546" s="181"/>
      <c r="AK546" s="181" t="s">
        <v>1783</v>
      </c>
      <c r="AL546" s="181">
        <v>2</v>
      </c>
      <c r="AM546" s="181"/>
      <c r="AN546" s="181"/>
      <c r="AO546" s="181"/>
      <c r="AP546" s="181" t="s">
        <v>1922</v>
      </c>
      <c r="AQ546" s="181">
        <v>2</v>
      </c>
      <c r="AR546" s="181"/>
      <c r="AS546" s="181"/>
      <c r="AT546" s="181"/>
      <c r="AU546" s="181" t="s">
        <v>138</v>
      </c>
      <c r="AV546" s="181">
        <v>0</v>
      </c>
      <c r="AW546" s="181"/>
      <c r="AX546" s="181"/>
      <c r="AY546" s="181"/>
      <c r="AZ546" s="181"/>
      <c r="BA546" s="182" t="s">
        <v>1987</v>
      </c>
      <c r="BB546" s="182" t="s">
        <v>1988</v>
      </c>
      <c r="BC546" s="182" t="s">
        <v>1989</v>
      </c>
      <c r="BD546" s="182" t="s">
        <v>140</v>
      </c>
      <c r="BE546" s="162" t="s">
        <v>741</v>
      </c>
      <c r="BF546" s="181"/>
      <c r="BG546" s="161"/>
      <c r="BH546" s="161"/>
      <c r="BI546" s="163"/>
      <c r="BJ546" s="163"/>
      <c r="BK546" s="163"/>
      <c r="BL546" s="163"/>
      <c r="BM546" s="163"/>
      <c r="BN546" s="163"/>
      <c r="BO546" s="163"/>
      <c r="BP546" s="163"/>
      <c r="BQ546" s="163"/>
      <c r="BR546" s="161"/>
      <c r="BS546" s="161"/>
      <c r="BT546" s="161"/>
      <c r="BU546" s="161"/>
      <c r="BV546" s="161"/>
      <c r="BW546" s="161"/>
      <c r="BX546" s="161"/>
      <c r="BY546" s="161" t="s">
        <v>14</v>
      </c>
      <c r="BZ546" s="161"/>
      <c r="CA546" s="161"/>
      <c r="CB546" s="163"/>
      <c r="CC546" s="161"/>
      <c r="CD546" s="161"/>
      <c r="CE546" s="185"/>
      <c r="CF546" s="185"/>
    </row>
    <row r="547" spans="1:84" ht="36" hidden="1">
      <c r="A547" s="162">
        <v>174</v>
      </c>
      <c r="B547" s="177" t="s">
        <v>1985</v>
      </c>
      <c r="C547" s="177" t="s">
        <v>1917</v>
      </c>
      <c r="D547" s="177" t="s">
        <v>1073</v>
      </c>
      <c r="E547" s="177"/>
      <c r="F547" s="177"/>
      <c r="G547" s="177" t="s">
        <v>1908</v>
      </c>
      <c r="H547" s="178"/>
      <c r="I547" s="179" t="s">
        <v>1916</v>
      </c>
      <c r="J547" s="160"/>
      <c r="K547" s="180">
        <f t="shared" si="1245"/>
        <v>72</v>
      </c>
      <c r="L547" s="160"/>
      <c r="M547" s="181">
        <v>3.3333333333333333E-2</v>
      </c>
      <c r="N547" s="181">
        <v>4.8</v>
      </c>
      <c r="O547" s="181" t="s">
        <v>137</v>
      </c>
      <c r="P547" s="181"/>
      <c r="Q547" s="181"/>
      <c r="R547" s="181"/>
      <c r="S547" s="181"/>
      <c r="T547" s="181"/>
      <c r="U547" s="181"/>
      <c r="V547" s="181"/>
      <c r="W547" s="181">
        <f t="shared" si="1246"/>
        <v>0</v>
      </c>
      <c r="X547" s="181" t="e">
        <f t="shared" si="1247"/>
        <v>#DIV/0!</v>
      </c>
      <c r="Y547" s="181"/>
      <c r="Z547" s="181"/>
      <c r="AA547" s="181"/>
      <c r="AB547" s="181"/>
      <c r="AC547" s="228" t="s">
        <v>2028</v>
      </c>
      <c r="AD547" s="184" t="s">
        <v>1924</v>
      </c>
      <c r="AE547" s="162" t="s">
        <v>143</v>
      </c>
      <c r="AF547" s="181" t="s">
        <v>138</v>
      </c>
      <c r="AG547" s="181">
        <v>0</v>
      </c>
      <c r="AH547" s="181"/>
      <c r="AI547" s="181"/>
      <c r="AJ547" s="181"/>
      <c r="AK547" s="181" t="s">
        <v>1783</v>
      </c>
      <c r="AL547" s="181">
        <v>36</v>
      </c>
      <c r="AM547" s="181"/>
      <c r="AN547" s="181"/>
      <c r="AO547" s="181"/>
      <c r="AP547" s="181" t="s">
        <v>1922</v>
      </c>
      <c r="AQ547" s="181">
        <v>36</v>
      </c>
      <c r="AR547" s="181"/>
      <c r="AS547" s="181"/>
      <c r="AT547" s="181"/>
      <c r="AU547" s="181" t="s">
        <v>138</v>
      </c>
      <c r="AV547" s="181">
        <v>0</v>
      </c>
      <c r="AW547" s="181"/>
      <c r="AX547" s="181"/>
      <c r="AY547" s="181"/>
      <c r="AZ547" s="181"/>
      <c r="BA547" s="182" t="s">
        <v>2029</v>
      </c>
      <c r="BB547" s="182" t="s">
        <v>2030</v>
      </c>
      <c r="BC547" s="182" t="s">
        <v>2031</v>
      </c>
      <c r="BD547" s="182" t="s">
        <v>140</v>
      </c>
      <c r="BE547" s="162" t="s">
        <v>741</v>
      </c>
      <c r="BF547" s="181"/>
      <c r="BG547" s="161"/>
      <c r="BH547" s="161"/>
      <c r="BI547" s="163"/>
      <c r="BJ547" s="163"/>
      <c r="BK547" s="163"/>
      <c r="BL547" s="163"/>
      <c r="BM547" s="163"/>
      <c r="BN547" s="163"/>
      <c r="BO547" s="163"/>
      <c r="BP547" s="163"/>
      <c r="BQ547" s="163"/>
      <c r="BR547" s="161"/>
      <c r="BS547" s="161"/>
      <c r="BT547" s="161"/>
      <c r="BU547" s="161"/>
      <c r="BV547" s="161"/>
      <c r="BW547" s="161"/>
      <c r="BX547" s="161"/>
      <c r="BY547" s="161" t="s">
        <v>14</v>
      </c>
      <c r="BZ547" s="161"/>
      <c r="CA547" s="161"/>
      <c r="CB547" s="163"/>
      <c r="CC547" s="161"/>
      <c r="CD547" s="161"/>
      <c r="CE547" s="185"/>
      <c r="CF547" s="185"/>
    </row>
    <row r="548" spans="1:84" ht="36" hidden="1">
      <c r="A548" s="162">
        <v>175</v>
      </c>
      <c r="B548" s="177" t="s">
        <v>1985</v>
      </c>
      <c r="C548" s="177" t="s">
        <v>1918</v>
      </c>
      <c r="D548" s="177" t="s">
        <v>1073</v>
      </c>
      <c r="E548" s="177"/>
      <c r="F548" s="177"/>
      <c r="G548" s="177" t="s">
        <v>1911</v>
      </c>
      <c r="H548" s="178"/>
      <c r="I548" s="179" t="s">
        <v>1916</v>
      </c>
      <c r="J548" s="160"/>
      <c r="K548" s="180">
        <f t="shared" si="1245"/>
        <v>192</v>
      </c>
      <c r="L548" s="160"/>
      <c r="M548" s="181">
        <v>0.1</v>
      </c>
      <c r="N548" s="181">
        <v>38.400000000000006</v>
      </c>
      <c r="O548" s="181" t="s">
        <v>137</v>
      </c>
      <c r="P548" s="181"/>
      <c r="Q548" s="181"/>
      <c r="R548" s="181"/>
      <c r="S548" s="181"/>
      <c r="T548" s="181"/>
      <c r="U548" s="181"/>
      <c r="V548" s="181"/>
      <c r="W548" s="181">
        <f t="shared" si="1246"/>
        <v>0</v>
      </c>
      <c r="X548" s="181" t="e">
        <f t="shared" si="1247"/>
        <v>#DIV/0!</v>
      </c>
      <c r="Y548" s="181"/>
      <c r="Z548" s="181"/>
      <c r="AA548" s="181"/>
      <c r="AB548" s="181"/>
      <c r="AC548" s="228" t="s">
        <v>2032</v>
      </c>
      <c r="AD548" s="184" t="s">
        <v>1924</v>
      </c>
      <c r="AE548" s="162" t="s">
        <v>143</v>
      </c>
      <c r="AF548" s="181" t="s">
        <v>138</v>
      </c>
      <c r="AG548" s="181">
        <v>0</v>
      </c>
      <c r="AH548" s="181"/>
      <c r="AI548" s="181"/>
      <c r="AJ548" s="181"/>
      <c r="AK548" s="181" t="s">
        <v>1783</v>
      </c>
      <c r="AL548" s="181">
        <v>96</v>
      </c>
      <c r="AM548" s="181"/>
      <c r="AN548" s="181"/>
      <c r="AO548" s="181"/>
      <c r="AP548" s="181" t="s">
        <v>1922</v>
      </c>
      <c r="AQ548" s="181">
        <v>96</v>
      </c>
      <c r="AR548" s="181"/>
      <c r="AS548" s="181"/>
      <c r="AT548" s="181"/>
      <c r="AU548" s="181" t="s">
        <v>138</v>
      </c>
      <c r="AV548" s="181">
        <v>0</v>
      </c>
      <c r="AW548" s="181"/>
      <c r="AX548" s="181"/>
      <c r="AY548" s="181"/>
      <c r="AZ548" s="181"/>
      <c r="BA548" s="182" t="s">
        <v>2033</v>
      </c>
      <c r="BB548" s="182" t="s">
        <v>2034</v>
      </c>
      <c r="BC548" s="182" t="s">
        <v>2035</v>
      </c>
      <c r="BD548" s="182" t="s">
        <v>140</v>
      </c>
      <c r="BE548" s="162" t="s">
        <v>741</v>
      </c>
      <c r="BF548" s="181"/>
      <c r="BG548" s="161"/>
      <c r="BH548" s="161"/>
      <c r="BI548" s="163"/>
      <c r="BJ548" s="163"/>
      <c r="BK548" s="163"/>
      <c r="BL548" s="163"/>
      <c r="BM548" s="163"/>
      <c r="BN548" s="163"/>
      <c r="BO548" s="163"/>
      <c r="BP548" s="163"/>
      <c r="BQ548" s="163"/>
      <c r="BR548" s="161"/>
      <c r="BS548" s="161"/>
      <c r="BT548" s="161"/>
      <c r="BU548" s="161"/>
      <c r="BV548" s="161"/>
      <c r="BW548" s="161"/>
      <c r="BX548" s="161"/>
      <c r="BY548" s="161" t="s">
        <v>14</v>
      </c>
      <c r="BZ548" s="161"/>
      <c r="CA548" s="161"/>
      <c r="CB548" s="163"/>
      <c r="CC548" s="161"/>
      <c r="CD548" s="161"/>
      <c r="CE548" s="185"/>
      <c r="CF548" s="185"/>
    </row>
    <row r="549" spans="1:84" hidden="1">
      <c r="A549" s="162">
        <v>31</v>
      </c>
      <c r="B549" s="177" t="s">
        <v>1780</v>
      </c>
      <c r="C549" s="177" t="s">
        <v>2097</v>
      </c>
      <c r="D549" s="177" t="s">
        <v>1781</v>
      </c>
      <c r="E549" s="177"/>
      <c r="F549" s="177"/>
      <c r="G549" s="177" t="s">
        <v>1782</v>
      </c>
      <c r="H549" s="178"/>
      <c r="I549" s="179"/>
      <c r="J549" s="160"/>
      <c r="K549" s="180">
        <f>+AG549+AL549+AQ549+AV549</f>
        <v>1</v>
      </c>
      <c r="L549" s="160"/>
      <c r="M549" s="181">
        <v>10124.299999999999</v>
      </c>
      <c r="N549" s="181">
        <v>10124</v>
      </c>
      <c r="O549" s="181" t="s">
        <v>137</v>
      </c>
      <c r="P549" s="181"/>
      <c r="Q549" s="181"/>
      <c r="R549" s="181"/>
      <c r="S549" s="181"/>
      <c r="T549" s="181"/>
      <c r="U549" s="181"/>
      <c r="V549" s="181"/>
      <c r="W549" s="181">
        <f t="shared" si="1246"/>
        <v>0</v>
      </c>
      <c r="X549" s="181" t="e">
        <f t="shared" si="1247"/>
        <v>#DIV/0!</v>
      </c>
      <c r="Y549" s="181"/>
      <c r="Z549" s="181"/>
      <c r="AA549" s="181"/>
      <c r="AB549" s="181"/>
      <c r="AC549" s="183" t="s">
        <v>1784</v>
      </c>
      <c r="AD549" s="184" t="s">
        <v>1785</v>
      </c>
      <c r="AE549" s="162" t="s">
        <v>143</v>
      </c>
      <c r="AF549" s="181" t="s">
        <v>138</v>
      </c>
      <c r="AG549" s="181">
        <v>0</v>
      </c>
      <c r="AH549" s="181"/>
      <c r="AI549" s="181"/>
      <c r="AJ549" s="181"/>
      <c r="AK549" s="181" t="s">
        <v>138</v>
      </c>
      <c r="AL549" s="181">
        <v>0</v>
      </c>
      <c r="AM549" s="181"/>
      <c r="AN549" s="181"/>
      <c r="AO549" s="181"/>
      <c r="AP549" s="181" t="s">
        <v>138</v>
      </c>
      <c r="AQ549" s="181">
        <v>0</v>
      </c>
      <c r="AR549" s="181"/>
      <c r="AS549" s="181"/>
      <c r="AT549" s="181"/>
      <c r="AU549" s="181" t="s">
        <v>1783</v>
      </c>
      <c r="AV549" s="181">
        <v>1</v>
      </c>
      <c r="AW549" s="181"/>
      <c r="AX549" s="181"/>
      <c r="AY549" s="181"/>
      <c r="AZ549" s="181"/>
      <c r="BA549" s="182" t="s">
        <v>140</v>
      </c>
      <c r="BB549" s="182" t="s">
        <v>140</v>
      </c>
      <c r="BC549" s="182" t="s">
        <v>140</v>
      </c>
      <c r="BD549" s="182" t="s">
        <v>141</v>
      </c>
      <c r="BE549" s="162"/>
      <c r="BF549" s="181"/>
      <c r="BG549" s="161"/>
      <c r="BH549" s="161"/>
      <c r="BI549" s="163"/>
      <c r="BJ549" s="163"/>
      <c r="BK549" s="163"/>
      <c r="BL549" s="163"/>
      <c r="BM549" s="163"/>
      <c r="BN549" s="163"/>
      <c r="BO549" s="163"/>
      <c r="BP549" s="163"/>
      <c r="BQ549" s="163"/>
      <c r="BR549" s="161"/>
      <c r="BS549" s="161"/>
      <c r="BT549" s="161"/>
      <c r="BU549" s="161"/>
      <c r="BV549" s="161"/>
      <c r="BW549" s="161"/>
      <c r="BX549" s="161"/>
      <c r="BY549" s="161"/>
      <c r="BZ549" s="161"/>
      <c r="CA549" s="161"/>
      <c r="CB549" s="163"/>
      <c r="CC549" s="161"/>
      <c r="CD549" s="161"/>
      <c r="CE549" s="185"/>
      <c r="CF549" s="185"/>
    </row>
    <row r="550" spans="1:84" hidden="1">
      <c r="A550" s="186"/>
      <c r="B550" s="187" t="s">
        <v>1780</v>
      </c>
      <c r="C550" s="187" t="s">
        <v>2098</v>
      </c>
      <c r="D550" s="187"/>
      <c r="E550" s="187"/>
      <c r="F550" s="187"/>
      <c r="G550" s="187" t="s">
        <v>1786</v>
      </c>
      <c r="H550" s="188"/>
      <c r="I550" s="189"/>
      <c r="J550" s="190"/>
      <c r="K550" s="191">
        <f t="shared" ref="K550:K590" si="1248">K549</f>
        <v>1</v>
      </c>
      <c r="L550" s="190"/>
      <c r="M550" s="192">
        <v>2640.2</v>
      </c>
      <c r="N550" s="192">
        <v>2640</v>
      </c>
      <c r="O550" s="192" t="s">
        <v>137</v>
      </c>
      <c r="P550" s="192"/>
      <c r="Q550" s="192"/>
      <c r="R550" s="192"/>
      <c r="S550" s="192"/>
      <c r="T550" s="192"/>
      <c r="U550" s="192"/>
      <c r="V550" s="192"/>
      <c r="W550" s="192">
        <f t="shared" ca="1" si="1246"/>
        <v>0</v>
      </c>
      <c r="X550" s="192">
        <f t="shared" ca="1" si="1247"/>
        <v>0.22727272727272727</v>
      </c>
      <c r="Y550" s="192"/>
      <c r="Z550" s="192"/>
      <c r="AA550" s="192"/>
      <c r="AB550" s="192"/>
      <c r="AC550" s="194" t="s">
        <v>1784</v>
      </c>
      <c r="AD550" s="195" t="s">
        <v>1785</v>
      </c>
      <c r="AE550" s="196" t="s">
        <v>1787</v>
      </c>
      <c r="AF550" s="192" t="str">
        <f t="shared" ref="AF550:AG565" si="1249">AF549</f>
        <v>N/A</v>
      </c>
      <c r="AG550" s="192">
        <f t="shared" si="1249"/>
        <v>0</v>
      </c>
      <c r="AH550" s="192"/>
      <c r="AI550" s="192"/>
      <c r="AJ550" s="192"/>
      <c r="AK550" s="192" t="str">
        <f t="shared" ref="AK550:AL565" si="1250">AK549</f>
        <v>N/A</v>
      </c>
      <c r="AL550" s="192">
        <f t="shared" si="1250"/>
        <v>0</v>
      </c>
      <c r="AM550" s="192"/>
      <c r="AN550" s="192"/>
      <c r="AO550" s="192"/>
      <c r="AP550" s="192" t="str">
        <f t="shared" ref="AP550:AQ565" si="1251">AP549</f>
        <v>N/A</v>
      </c>
      <c r="AQ550" s="192">
        <f t="shared" si="1251"/>
        <v>0</v>
      </c>
      <c r="AR550" s="192"/>
      <c r="AS550" s="192"/>
      <c r="AT550" s="192"/>
      <c r="AU550" s="192" t="str">
        <f t="shared" ref="AU550:AV565" si="1252">AU549</f>
        <v>AMC2-S1</v>
      </c>
      <c r="AV550" s="192">
        <f t="shared" si="1252"/>
        <v>1</v>
      </c>
      <c r="AW550" s="192"/>
      <c r="AX550" s="192"/>
      <c r="AY550" s="192"/>
      <c r="AZ550" s="192"/>
      <c r="BA550" s="193" t="s">
        <v>140</v>
      </c>
      <c r="BB550" s="193" t="s">
        <v>140</v>
      </c>
      <c r="BC550" s="193" t="s">
        <v>140</v>
      </c>
      <c r="BD550" s="193" t="s">
        <v>141</v>
      </c>
      <c r="BE550" s="196" t="s">
        <v>741</v>
      </c>
      <c r="BF550" s="192"/>
      <c r="BG550" s="186"/>
      <c r="BH550" s="186"/>
      <c r="BI550" s="197"/>
      <c r="BJ550" s="197"/>
      <c r="BK550" s="197"/>
      <c r="BL550" s="197"/>
      <c r="BM550" s="197"/>
      <c r="BN550" s="197"/>
      <c r="BO550" s="197"/>
      <c r="BP550" s="197"/>
      <c r="BQ550" s="197"/>
      <c r="BR550" s="186"/>
      <c r="BS550" s="186"/>
      <c r="BT550" s="186"/>
      <c r="BU550" s="186"/>
      <c r="BV550" s="186"/>
      <c r="BW550" s="186"/>
      <c r="BX550" s="186"/>
      <c r="BY550" s="186"/>
      <c r="BZ550" s="186"/>
      <c r="CA550" s="186"/>
      <c r="CB550" s="197"/>
      <c r="CC550" s="186"/>
      <c r="CD550" s="186"/>
      <c r="CE550" s="198"/>
      <c r="CF550" s="198"/>
    </row>
    <row r="551" spans="1:84" hidden="1">
      <c r="A551" s="141"/>
      <c r="B551" s="209" t="s">
        <v>1780</v>
      </c>
      <c r="C551" s="199" t="s">
        <v>2098</v>
      </c>
      <c r="D551" s="199" t="s">
        <v>1084</v>
      </c>
      <c r="E551" s="199" t="s">
        <v>1788</v>
      </c>
      <c r="F551" s="199" t="s">
        <v>1082</v>
      </c>
      <c r="G551" s="199" t="s">
        <v>1083</v>
      </c>
      <c r="H551" s="200">
        <v>11306</v>
      </c>
      <c r="I551" s="201" t="s">
        <v>147</v>
      </c>
      <c r="J551" s="165">
        <v>1</v>
      </c>
      <c r="K551" s="202">
        <f t="shared" si="1248"/>
        <v>1</v>
      </c>
      <c r="L551" s="202">
        <f>+J551*K551</f>
        <v>1</v>
      </c>
      <c r="M551" s="203">
        <v>1397.9</v>
      </c>
      <c r="N551" s="203">
        <f>+M551*L551</f>
        <v>1397.9</v>
      </c>
      <c r="O551" s="203" t="s">
        <v>137</v>
      </c>
      <c r="P551" s="203" t="s">
        <v>13</v>
      </c>
      <c r="Q551" s="203" t="s">
        <v>154</v>
      </c>
      <c r="R551" s="203"/>
      <c r="S551" s="203"/>
      <c r="T551" s="203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0</v>
      </c>
      <c r="U551" s="203">
        <f t="shared" ref="U551:U564" ca="1" si="1253">+L551-T551</f>
        <v>1</v>
      </c>
      <c r="V551" s="203">
        <f t="shared" ref="V551:V564" ca="1" si="1254">ROUNDDOWN(T551/J551,0)</f>
        <v>0</v>
      </c>
      <c r="W551" s="203"/>
      <c r="X551" s="203"/>
      <c r="Y551" s="203"/>
      <c r="Z551" s="203"/>
      <c r="AA551" s="203"/>
      <c r="AB551" s="203"/>
      <c r="AC551" s="205" t="s">
        <v>1784</v>
      </c>
      <c r="AD551" s="206" t="s">
        <v>1785</v>
      </c>
      <c r="AE551" s="166"/>
      <c r="AF551" s="203" t="str">
        <f t="shared" si="1249"/>
        <v>N/A</v>
      </c>
      <c r="AG551" s="203">
        <f t="shared" si="1249"/>
        <v>0</v>
      </c>
      <c r="AH551" s="203">
        <f>+AG551*J551</f>
        <v>0</v>
      </c>
      <c r="AI551" s="203">
        <f ca="1">MIN(T551,AH551)</f>
        <v>0</v>
      </c>
      <c r="AJ551" s="203">
        <f ca="1">+AH551-AI551</f>
        <v>0</v>
      </c>
      <c r="AK551" s="203" t="str">
        <f t="shared" si="1250"/>
        <v>N/A</v>
      </c>
      <c r="AL551" s="203">
        <f t="shared" si="1250"/>
        <v>0</v>
      </c>
      <c r="AM551" s="203">
        <f>+AL551*J551</f>
        <v>0</v>
      </c>
      <c r="AN551" s="203">
        <f ca="1">MIN(T551-AI551,AL551)</f>
        <v>0</v>
      </c>
      <c r="AO551" s="203">
        <f ca="1">+AM551-AN551</f>
        <v>0</v>
      </c>
      <c r="AP551" s="203" t="str">
        <f t="shared" si="1251"/>
        <v>N/A</v>
      </c>
      <c r="AQ551" s="203">
        <f t="shared" si="1251"/>
        <v>0</v>
      </c>
      <c r="AR551" s="203">
        <f>+AQ551*J551</f>
        <v>0</v>
      </c>
      <c r="AS551" s="203">
        <f ca="1">MIN(T551-AI551-AN551,AR551)</f>
        <v>0</v>
      </c>
      <c r="AT551" s="203">
        <f ca="1">+AR551-AS551</f>
        <v>0</v>
      </c>
      <c r="AU551" s="203" t="str">
        <f t="shared" si="1252"/>
        <v>AMC2-S1</v>
      </c>
      <c r="AV551" s="203">
        <f t="shared" si="1252"/>
        <v>1</v>
      </c>
      <c r="AW551" s="203">
        <f>+AV551*J551</f>
        <v>1</v>
      </c>
      <c r="AX551" s="203">
        <f ca="1">MIN(T551-AI551-AN551-AS551,AW551)</f>
        <v>0</v>
      </c>
      <c r="AY551" s="203">
        <f ca="1">+AW551-AX551</f>
        <v>1</v>
      </c>
      <c r="AZ551" s="203"/>
      <c r="BA551" s="204" t="s">
        <v>140</v>
      </c>
      <c r="BB551" s="204" t="s">
        <v>140</v>
      </c>
      <c r="BC551" s="204" t="s">
        <v>140</v>
      </c>
      <c r="BD551" s="204" t="s">
        <v>141</v>
      </c>
      <c r="BE551" s="166"/>
      <c r="BF551" s="203" t="s">
        <v>1789</v>
      </c>
      <c r="BG551" s="141"/>
      <c r="BH551" s="152"/>
      <c r="BI551" s="207"/>
      <c r="BJ551" s="207"/>
      <c r="BK551" s="207"/>
      <c r="BL551" s="153" t="s">
        <v>149</v>
      </c>
      <c r="BM551" s="153"/>
      <c r="BN551" s="153"/>
      <c r="BO551" s="153"/>
      <c r="BP551" s="153"/>
      <c r="BQ551" s="153"/>
      <c r="BR551" s="141">
        <v>0</v>
      </c>
      <c r="BS551" s="141">
        <v>1</v>
      </c>
      <c r="BT551" s="141">
        <v>0</v>
      </c>
      <c r="BU551" s="141">
        <v>1</v>
      </c>
      <c r="BV551" s="141">
        <v>0</v>
      </c>
      <c r="BW551" s="141">
        <v>0</v>
      </c>
      <c r="BX551" s="141">
        <v>0</v>
      </c>
      <c r="BY551" s="141" t="s">
        <v>1790</v>
      </c>
      <c r="BZ551" s="117" t="s">
        <v>57</v>
      </c>
      <c r="CA551" s="141">
        <v>1</v>
      </c>
      <c r="CB551" s="153"/>
      <c r="CC551" s="152"/>
      <c r="CD551" s="152"/>
      <c r="CE551" s="208"/>
      <c r="CF551" s="166">
        <f t="shared" ref="CF551:CF564" si="1255">+L551-CA551</f>
        <v>0</v>
      </c>
    </row>
    <row r="552" spans="1:84" hidden="1">
      <c r="A552" s="141"/>
      <c r="B552" s="199" t="s">
        <v>1780</v>
      </c>
      <c r="C552" s="199" t="s">
        <v>2098</v>
      </c>
      <c r="D552" s="199" t="s">
        <v>13</v>
      </c>
      <c r="E552" s="199" t="s">
        <v>1791</v>
      </c>
      <c r="F552" s="199" t="s">
        <v>1091</v>
      </c>
      <c r="G552" s="199" t="s">
        <v>1092</v>
      </c>
      <c r="H552" s="200">
        <v>10728</v>
      </c>
      <c r="I552" s="201" t="s">
        <v>147</v>
      </c>
      <c r="J552" s="165">
        <v>2</v>
      </c>
      <c r="K552" s="202">
        <f t="shared" si="1248"/>
        <v>1</v>
      </c>
      <c r="L552" s="202">
        <f t="shared" ref="L552:L564" si="1256">+J552*K552</f>
        <v>2</v>
      </c>
      <c r="M552" s="203">
        <v>442.1</v>
      </c>
      <c r="N552" s="203">
        <f t="shared" ref="N552:N564" si="1257">+M552*L552</f>
        <v>884.2</v>
      </c>
      <c r="O552" s="203" t="s">
        <v>137</v>
      </c>
      <c r="P552" s="203" t="s">
        <v>13</v>
      </c>
      <c r="Q552" s="203" t="s">
        <v>148</v>
      </c>
      <c r="R552" s="203"/>
      <c r="S552" s="203"/>
      <c r="T552" s="203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0</v>
      </c>
      <c r="U552" s="203">
        <f t="shared" ca="1" si="1253"/>
        <v>2</v>
      </c>
      <c r="V552" s="203">
        <f t="shared" ca="1" si="1254"/>
        <v>0</v>
      </c>
      <c r="W552" s="203"/>
      <c r="X552" s="203"/>
      <c r="Y552" s="203"/>
      <c r="Z552" s="203"/>
      <c r="AA552" s="203"/>
      <c r="AB552" s="203"/>
      <c r="AC552" s="205" t="s">
        <v>1784</v>
      </c>
      <c r="AD552" s="206" t="s">
        <v>1785</v>
      </c>
      <c r="AE552" s="166"/>
      <c r="AF552" s="203" t="str">
        <f t="shared" si="1249"/>
        <v>N/A</v>
      </c>
      <c r="AG552" s="203">
        <f t="shared" si="1249"/>
        <v>0</v>
      </c>
      <c r="AH552" s="203">
        <f t="shared" ref="AH552:AH564" si="1258">+AG552*J552</f>
        <v>0</v>
      </c>
      <c r="AI552" s="203">
        <f t="shared" ref="AI552:AI564" ca="1" si="1259">MIN(T552,AH552)</f>
        <v>0</v>
      </c>
      <c r="AJ552" s="203">
        <f t="shared" ref="AJ552:AJ564" ca="1" si="1260">+AH552-AI552</f>
        <v>0</v>
      </c>
      <c r="AK552" s="203" t="str">
        <f t="shared" si="1250"/>
        <v>N/A</v>
      </c>
      <c r="AL552" s="203">
        <f t="shared" si="1250"/>
        <v>0</v>
      </c>
      <c r="AM552" s="203">
        <f t="shared" ref="AM552:AM564" si="1261">+AL552*J552</f>
        <v>0</v>
      </c>
      <c r="AN552" s="203">
        <f t="shared" ref="AN552:AN564" ca="1" si="1262">MIN(T552-AI552,AL552)</f>
        <v>0</v>
      </c>
      <c r="AO552" s="203">
        <f t="shared" ref="AO552:AO564" ca="1" si="1263">+AM552-AN552</f>
        <v>0</v>
      </c>
      <c r="AP552" s="203" t="str">
        <f t="shared" si="1251"/>
        <v>N/A</v>
      </c>
      <c r="AQ552" s="203">
        <f t="shared" si="1251"/>
        <v>0</v>
      </c>
      <c r="AR552" s="203">
        <f t="shared" ref="AR552:AR564" si="1264">+AQ552*J552</f>
        <v>0</v>
      </c>
      <c r="AS552" s="203">
        <f t="shared" ref="AS552:AS564" ca="1" si="1265">MIN(T552-AI552-AN552,AR552)</f>
        <v>0</v>
      </c>
      <c r="AT552" s="203">
        <f t="shared" ref="AT552:AT564" ca="1" si="1266">+AR552-AS552</f>
        <v>0</v>
      </c>
      <c r="AU552" s="203" t="str">
        <f t="shared" si="1252"/>
        <v>AMC2-S1</v>
      </c>
      <c r="AV552" s="203">
        <f t="shared" si="1252"/>
        <v>1</v>
      </c>
      <c r="AW552" s="203">
        <f t="shared" ref="AW552:AW564" si="1267">+AV552*J552</f>
        <v>2</v>
      </c>
      <c r="AX552" s="203">
        <f t="shared" ref="AX552:AX564" ca="1" si="1268">MIN(T552-AI552-AN552-AS552,AW552)</f>
        <v>0</v>
      </c>
      <c r="AY552" s="203">
        <f t="shared" ref="AY552:AY564" ca="1" si="1269">+AW552-AX552</f>
        <v>2</v>
      </c>
      <c r="AZ552" s="203"/>
      <c r="BA552" s="204" t="s">
        <v>140</v>
      </c>
      <c r="BB552" s="204" t="s">
        <v>140</v>
      </c>
      <c r="BC552" s="204" t="s">
        <v>140</v>
      </c>
      <c r="BD552" s="204" t="s">
        <v>141</v>
      </c>
      <c r="BE552" s="166"/>
      <c r="BF552" s="203" t="s">
        <v>1789</v>
      </c>
      <c r="BG552" s="141"/>
      <c r="BH552" s="152"/>
      <c r="BI552" s="207"/>
      <c r="BJ552" s="207"/>
      <c r="BK552" s="207"/>
      <c r="BL552" s="153" t="s">
        <v>149</v>
      </c>
      <c r="BM552" s="153"/>
      <c r="BN552" s="153"/>
      <c r="BO552" s="153"/>
      <c r="BP552" s="153"/>
      <c r="BQ552" s="153"/>
      <c r="BR552" s="141">
        <v>0</v>
      </c>
      <c r="BS552" s="141">
        <v>0</v>
      </c>
      <c r="BT552" s="141">
        <v>0</v>
      </c>
      <c r="BU552" s="141">
        <v>0</v>
      </c>
      <c r="BV552" s="141">
        <v>0</v>
      </c>
      <c r="BW552" s="141">
        <v>0</v>
      </c>
      <c r="BX552" s="141">
        <v>0</v>
      </c>
      <c r="BY552" s="141" t="s">
        <v>1790</v>
      </c>
      <c r="BZ552" s="141" t="s">
        <v>2100</v>
      </c>
      <c r="CA552" s="165">
        <v>2</v>
      </c>
      <c r="CB552" s="153">
        <v>46238</v>
      </c>
      <c r="CC552" s="152"/>
      <c r="CD552" s="152"/>
      <c r="CE552" s="208"/>
      <c r="CF552" s="166">
        <f t="shared" si="1255"/>
        <v>0</v>
      </c>
    </row>
    <row r="553" spans="1:84" hidden="1">
      <c r="A553" s="141"/>
      <c r="B553" s="199" t="s">
        <v>1780</v>
      </c>
      <c r="C553" s="199" t="s">
        <v>2098</v>
      </c>
      <c r="D553" s="199" t="s">
        <v>13</v>
      </c>
      <c r="E553" s="199" t="s">
        <v>1792</v>
      </c>
      <c r="F553" s="199" t="s">
        <v>1095</v>
      </c>
      <c r="G553" s="199" t="s">
        <v>1096</v>
      </c>
      <c r="H553" s="200">
        <v>2107</v>
      </c>
      <c r="I553" s="201" t="s">
        <v>147</v>
      </c>
      <c r="J553" s="165">
        <v>1</v>
      </c>
      <c r="K553" s="202">
        <f t="shared" si="1248"/>
        <v>1</v>
      </c>
      <c r="L553" s="202">
        <f t="shared" si="1256"/>
        <v>1</v>
      </c>
      <c r="M553" s="203">
        <v>29.8</v>
      </c>
      <c r="N553" s="203">
        <f t="shared" si="1257"/>
        <v>29.8</v>
      </c>
      <c r="O553" s="203" t="s">
        <v>137</v>
      </c>
      <c r="P553" s="203" t="s">
        <v>13</v>
      </c>
      <c r="Q553" s="203" t="s">
        <v>154</v>
      </c>
      <c r="R553" s="203"/>
      <c r="S553" s="203"/>
      <c r="T553" s="203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0</v>
      </c>
      <c r="U553" s="203">
        <f t="shared" ca="1" si="1253"/>
        <v>1</v>
      </c>
      <c r="V553" s="203">
        <f t="shared" ca="1" si="1254"/>
        <v>0</v>
      </c>
      <c r="W553" s="203"/>
      <c r="X553" s="203"/>
      <c r="Y553" s="203"/>
      <c r="Z553" s="203"/>
      <c r="AA553" s="203"/>
      <c r="AB553" s="203"/>
      <c r="AC553" s="205" t="s">
        <v>1784</v>
      </c>
      <c r="AD553" s="206" t="s">
        <v>1785</v>
      </c>
      <c r="AE553" s="166"/>
      <c r="AF553" s="203" t="str">
        <f t="shared" si="1249"/>
        <v>N/A</v>
      </c>
      <c r="AG553" s="203">
        <f t="shared" si="1249"/>
        <v>0</v>
      </c>
      <c r="AH553" s="203">
        <f t="shared" si="1258"/>
        <v>0</v>
      </c>
      <c r="AI553" s="203">
        <f t="shared" ca="1" si="1259"/>
        <v>0</v>
      </c>
      <c r="AJ553" s="203">
        <f t="shared" ca="1" si="1260"/>
        <v>0</v>
      </c>
      <c r="AK553" s="203" t="str">
        <f t="shared" si="1250"/>
        <v>N/A</v>
      </c>
      <c r="AL553" s="203">
        <f t="shared" si="1250"/>
        <v>0</v>
      </c>
      <c r="AM553" s="203">
        <f t="shared" si="1261"/>
        <v>0</v>
      </c>
      <c r="AN553" s="203">
        <f t="shared" ca="1" si="1262"/>
        <v>0</v>
      </c>
      <c r="AO553" s="203">
        <f t="shared" ca="1" si="1263"/>
        <v>0</v>
      </c>
      <c r="AP553" s="203" t="str">
        <f t="shared" si="1251"/>
        <v>N/A</v>
      </c>
      <c r="AQ553" s="203">
        <f t="shared" si="1251"/>
        <v>0</v>
      </c>
      <c r="AR553" s="203">
        <f t="shared" si="1264"/>
        <v>0</v>
      </c>
      <c r="AS553" s="203">
        <f t="shared" ca="1" si="1265"/>
        <v>0</v>
      </c>
      <c r="AT553" s="203">
        <f t="shared" ca="1" si="1266"/>
        <v>0</v>
      </c>
      <c r="AU553" s="203" t="str">
        <f t="shared" si="1252"/>
        <v>AMC2-S1</v>
      </c>
      <c r="AV553" s="203">
        <f t="shared" si="1252"/>
        <v>1</v>
      </c>
      <c r="AW553" s="203">
        <f t="shared" si="1267"/>
        <v>1</v>
      </c>
      <c r="AX553" s="203">
        <f t="shared" ca="1" si="1268"/>
        <v>0</v>
      </c>
      <c r="AY553" s="203">
        <f t="shared" ca="1" si="1269"/>
        <v>1</v>
      </c>
      <c r="AZ553" s="203"/>
      <c r="BA553" s="204" t="s">
        <v>140</v>
      </c>
      <c r="BB553" s="204" t="s">
        <v>140</v>
      </c>
      <c r="BC553" s="204" t="s">
        <v>140</v>
      </c>
      <c r="BD553" s="204" t="s">
        <v>141</v>
      </c>
      <c r="BE553" s="166"/>
      <c r="BF553" s="203" t="s">
        <v>1789</v>
      </c>
      <c r="BG553" s="141"/>
      <c r="BH553" s="152"/>
      <c r="BI553" s="207"/>
      <c r="BJ553" s="207"/>
      <c r="BK553" s="207"/>
      <c r="BL553" s="153" t="s">
        <v>149</v>
      </c>
      <c r="BM553" s="153"/>
      <c r="BN553" s="153"/>
      <c r="BO553" s="153"/>
      <c r="BP553" s="153"/>
      <c r="BQ553" s="153"/>
      <c r="BR553" s="141">
        <v>0</v>
      </c>
      <c r="BS553" s="141">
        <v>1</v>
      </c>
      <c r="BT553" s="141">
        <v>0</v>
      </c>
      <c r="BU553" s="141">
        <v>0</v>
      </c>
      <c r="BV553" s="141">
        <v>0</v>
      </c>
      <c r="BW553" s="141">
        <v>0</v>
      </c>
      <c r="BX553" s="141">
        <v>0</v>
      </c>
      <c r="BY553" s="141" t="s">
        <v>1790</v>
      </c>
      <c r="BZ553" s="141"/>
      <c r="CA553" s="141"/>
      <c r="CB553" s="153"/>
      <c r="CC553" s="152"/>
      <c r="CD553" s="152"/>
      <c r="CE553" s="208"/>
      <c r="CF553" s="166">
        <f t="shared" si="1255"/>
        <v>1</v>
      </c>
    </row>
    <row r="554" spans="1:84" hidden="1">
      <c r="A554" s="141"/>
      <c r="B554" s="199" t="s">
        <v>1780</v>
      </c>
      <c r="C554" s="199" t="s">
        <v>2098</v>
      </c>
      <c r="D554" s="199" t="s">
        <v>13</v>
      </c>
      <c r="E554" s="199" t="s">
        <v>1793</v>
      </c>
      <c r="F554" s="199" t="s">
        <v>1097</v>
      </c>
      <c r="G554" s="199" t="s">
        <v>1098</v>
      </c>
      <c r="H554" s="200">
        <v>2098</v>
      </c>
      <c r="I554" s="201" t="s">
        <v>147</v>
      </c>
      <c r="J554" s="165">
        <v>1</v>
      </c>
      <c r="K554" s="202">
        <f t="shared" si="1248"/>
        <v>1</v>
      </c>
      <c r="L554" s="202">
        <f t="shared" si="1256"/>
        <v>1</v>
      </c>
      <c r="M554" s="203">
        <v>77.7</v>
      </c>
      <c r="N554" s="203">
        <f t="shared" si="1257"/>
        <v>77.7</v>
      </c>
      <c r="O554" s="203" t="s">
        <v>137</v>
      </c>
      <c r="P554" s="203" t="s">
        <v>13</v>
      </c>
      <c r="Q554" s="203" t="s">
        <v>148</v>
      </c>
      <c r="R554" s="203"/>
      <c r="S554" s="203"/>
      <c r="T554" s="203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203">
        <f t="shared" ca="1" si="1253"/>
        <v>1</v>
      </c>
      <c r="V554" s="203">
        <f t="shared" ca="1" si="1254"/>
        <v>0</v>
      </c>
      <c r="W554" s="203"/>
      <c r="X554" s="203"/>
      <c r="Y554" s="203"/>
      <c r="Z554" s="203"/>
      <c r="AA554" s="203"/>
      <c r="AB554" s="203"/>
      <c r="AC554" s="205" t="s">
        <v>1784</v>
      </c>
      <c r="AD554" s="206" t="s">
        <v>1785</v>
      </c>
      <c r="AE554" s="166"/>
      <c r="AF554" s="203" t="str">
        <f t="shared" si="1249"/>
        <v>N/A</v>
      </c>
      <c r="AG554" s="203">
        <f t="shared" si="1249"/>
        <v>0</v>
      </c>
      <c r="AH554" s="203">
        <f t="shared" si="1258"/>
        <v>0</v>
      </c>
      <c r="AI554" s="203">
        <f t="shared" ca="1" si="1259"/>
        <v>0</v>
      </c>
      <c r="AJ554" s="203">
        <f t="shared" ca="1" si="1260"/>
        <v>0</v>
      </c>
      <c r="AK554" s="203" t="str">
        <f t="shared" si="1250"/>
        <v>N/A</v>
      </c>
      <c r="AL554" s="203">
        <f t="shared" si="1250"/>
        <v>0</v>
      </c>
      <c r="AM554" s="203">
        <f t="shared" si="1261"/>
        <v>0</v>
      </c>
      <c r="AN554" s="203">
        <f t="shared" ca="1" si="1262"/>
        <v>0</v>
      </c>
      <c r="AO554" s="203">
        <f t="shared" ca="1" si="1263"/>
        <v>0</v>
      </c>
      <c r="AP554" s="203" t="str">
        <f t="shared" si="1251"/>
        <v>N/A</v>
      </c>
      <c r="AQ554" s="203">
        <f t="shared" si="1251"/>
        <v>0</v>
      </c>
      <c r="AR554" s="203">
        <f t="shared" si="1264"/>
        <v>0</v>
      </c>
      <c r="AS554" s="203">
        <f t="shared" ca="1" si="1265"/>
        <v>0</v>
      </c>
      <c r="AT554" s="203">
        <f t="shared" ca="1" si="1266"/>
        <v>0</v>
      </c>
      <c r="AU554" s="203" t="str">
        <f t="shared" si="1252"/>
        <v>AMC2-S1</v>
      </c>
      <c r="AV554" s="203">
        <f t="shared" si="1252"/>
        <v>1</v>
      </c>
      <c r="AW554" s="203">
        <f t="shared" si="1267"/>
        <v>1</v>
      </c>
      <c r="AX554" s="203">
        <f t="shared" ca="1" si="1268"/>
        <v>0</v>
      </c>
      <c r="AY554" s="203">
        <f t="shared" ca="1" si="1269"/>
        <v>1</v>
      </c>
      <c r="AZ554" s="203"/>
      <c r="BA554" s="204" t="s">
        <v>140</v>
      </c>
      <c r="BB554" s="204" t="s">
        <v>140</v>
      </c>
      <c r="BC554" s="204" t="s">
        <v>140</v>
      </c>
      <c r="BD554" s="204" t="s">
        <v>141</v>
      </c>
      <c r="BE554" s="166"/>
      <c r="BF554" s="203" t="s">
        <v>1789</v>
      </c>
      <c r="BG554" s="141"/>
      <c r="BH554" s="152"/>
      <c r="BI554" s="207"/>
      <c r="BJ554" s="207"/>
      <c r="BK554" s="207"/>
      <c r="BL554" s="153" t="s">
        <v>149</v>
      </c>
      <c r="BM554" s="153"/>
      <c r="BN554" s="153"/>
      <c r="BO554" s="153"/>
      <c r="BP554" s="153"/>
      <c r="BQ554" s="153"/>
      <c r="BR554" s="141">
        <v>0</v>
      </c>
      <c r="BS554" s="141">
        <v>0</v>
      </c>
      <c r="BT554" s="141">
        <v>0</v>
      </c>
      <c r="BU554" s="141">
        <v>0</v>
      </c>
      <c r="BV554" s="141">
        <v>0</v>
      </c>
      <c r="BW554" s="141">
        <v>0</v>
      </c>
      <c r="BX554" s="141">
        <v>0</v>
      </c>
      <c r="BY554" s="141" t="s">
        <v>1790</v>
      </c>
      <c r="BZ554" s="141" t="s">
        <v>2101</v>
      </c>
      <c r="CA554" s="165">
        <v>1</v>
      </c>
      <c r="CB554" s="153">
        <v>46244</v>
      </c>
      <c r="CC554" s="152"/>
      <c r="CD554" s="152"/>
      <c r="CE554" s="208"/>
      <c r="CF554" s="166">
        <f t="shared" si="1255"/>
        <v>0</v>
      </c>
    </row>
    <row r="555" spans="1:84" hidden="1">
      <c r="A555" s="141"/>
      <c r="B555" s="199" t="s">
        <v>1780</v>
      </c>
      <c r="C555" s="199" t="s">
        <v>2098</v>
      </c>
      <c r="D555" s="199" t="s">
        <v>13</v>
      </c>
      <c r="E555" s="199" t="s">
        <v>1794</v>
      </c>
      <c r="F555" s="199" t="s">
        <v>1101</v>
      </c>
      <c r="G555" s="199" t="s">
        <v>1030</v>
      </c>
      <c r="H555" s="200">
        <v>301</v>
      </c>
      <c r="I555" s="201" t="s">
        <v>147</v>
      </c>
      <c r="J555" s="165">
        <v>4</v>
      </c>
      <c r="K555" s="202">
        <f t="shared" si="1248"/>
        <v>1</v>
      </c>
      <c r="L555" s="202">
        <f t="shared" si="1256"/>
        <v>4</v>
      </c>
      <c r="M555" s="203">
        <v>3.3</v>
      </c>
      <c r="N555" s="203">
        <f t="shared" si="1257"/>
        <v>13.2</v>
      </c>
      <c r="O555" s="203" t="s">
        <v>137</v>
      </c>
      <c r="P555" s="203" t="s">
        <v>13</v>
      </c>
      <c r="Q555" s="203" t="s">
        <v>148</v>
      </c>
      <c r="R555" s="203"/>
      <c r="S555" s="203"/>
      <c r="T555" s="203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0</v>
      </c>
      <c r="U555" s="203">
        <f t="shared" ca="1" si="1253"/>
        <v>4</v>
      </c>
      <c r="V555" s="203">
        <f t="shared" ca="1" si="1254"/>
        <v>0</v>
      </c>
      <c r="W555" s="203"/>
      <c r="X555" s="203"/>
      <c r="Y555" s="203"/>
      <c r="Z555" s="203"/>
      <c r="AA555" s="203"/>
      <c r="AB555" s="203"/>
      <c r="AC555" s="205" t="s">
        <v>1784</v>
      </c>
      <c r="AD555" s="206" t="s">
        <v>1785</v>
      </c>
      <c r="AE555" s="166"/>
      <c r="AF555" s="203" t="str">
        <f t="shared" si="1249"/>
        <v>N/A</v>
      </c>
      <c r="AG555" s="203">
        <f t="shared" si="1249"/>
        <v>0</v>
      </c>
      <c r="AH555" s="203">
        <f t="shared" si="1258"/>
        <v>0</v>
      </c>
      <c r="AI555" s="203">
        <f t="shared" ca="1" si="1259"/>
        <v>0</v>
      </c>
      <c r="AJ555" s="203">
        <f t="shared" ca="1" si="1260"/>
        <v>0</v>
      </c>
      <c r="AK555" s="203" t="str">
        <f t="shared" si="1250"/>
        <v>N/A</v>
      </c>
      <c r="AL555" s="203">
        <f t="shared" si="1250"/>
        <v>0</v>
      </c>
      <c r="AM555" s="203">
        <f t="shared" si="1261"/>
        <v>0</v>
      </c>
      <c r="AN555" s="203">
        <f t="shared" ca="1" si="1262"/>
        <v>0</v>
      </c>
      <c r="AO555" s="203">
        <f t="shared" ca="1" si="1263"/>
        <v>0</v>
      </c>
      <c r="AP555" s="203" t="str">
        <f t="shared" si="1251"/>
        <v>N/A</v>
      </c>
      <c r="AQ555" s="203">
        <f t="shared" si="1251"/>
        <v>0</v>
      </c>
      <c r="AR555" s="203">
        <f t="shared" si="1264"/>
        <v>0</v>
      </c>
      <c r="AS555" s="203">
        <f t="shared" ca="1" si="1265"/>
        <v>0</v>
      </c>
      <c r="AT555" s="203">
        <f t="shared" ca="1" si="1266"/>
        <v>0</v>
      </c>
      <c r="AU555" s="203" t="str">
        <f t="shared" si="1252"/>
        <v>AMC2-S1</v>
      </c>
      <c r="AV555" s="203">
        <f t="shared" si="1252"/>
        <v>1</v>
      </c>
      <c r="AW555" s="203">
        <f t="shared" si="1267"/>
        <v>4</v>
      </c>
      <c r="AX555" s="203">
        <f t="shared" ca="1" si="1268"/>
        <v>0</v>
      </c>
      <c r="AY555" s="203">
        <f t="shared" ca="1" si="1269"/>
        <v>4</v>
      </c>
      <c r="AZ555" s="203"/>
      <c r="BA555" s="204" t="s">
        <v>140</v>
      </c>
      <c r="BB555" s="204" t="s">
        <v>140</v>
      </c>
      <c r="BC555" s="204" t="s">
        <v>140</v>
      </c>
      <c r="BD555" s="204" t="s">
        <v>141</v>
      </c>
      <c r="BE555" s="166"/>
      <c r="BF555" s="203" t="s">
        <v>1789</v>
      </c>
      <c r="BG555" s="141"/>
      <c r="BH555" s="152"/>
      <c r="BI555" s="207"/>
      <c r="BJ555" s="207"/>
      <c r="BK555" s="207"/>
      <c r="BL555" s="153" t="s">
        <v>149</v>
      </c>
      <c r="BM555" s="153"/>
      <c r="BN555" s="153"/>
      <c r="BO555" s="153"/>
      <c r="BP555" s="153"/>
      <c r="BQ555" s="153"/>
      <c r="BR555" s="141">
        <v>0</v>
      </c>
      <c r="BS555" s="141">
        <v>0</v>
      </c>
      <c r="BT555" s="141">
        <v>0</v>
      </c>
      <c r="BU555" s="141">
        <v>0</v>
      </c>
      <c r="BV555" s="141">
        <v>0</v>
      </c>
      <c r="BW555" s="141">
        <v>0</v>
      </c>
      <c r="BX555" s="141">
        <v>0</v>
      </c>
      <c r="BY555" s="141" t="s">
        <v>1790</v>
      </c>
      <c r="BZ555" s="141" t="s">
        <v>2099</v>
      </c>
      <c r="CA555" s="165">
        <v>4</v>
      </c>
      <c r="CB555" s="153">
        <v>46244</v>
      </c>
      <c r="CC555" s="152"/>
      <c r="CD555" s="152"/>
      <c r="CE555" s="208"/>
      <c r="CF555" s="166">
        <f t="shared" si="1255"/>
        <v>0</v>
      </c>
    </row>
    <row r="556" spans="1:84" hidden="1">
      <c r="A556" s="141"/>
      <c r="B556" s="199" t="s">
        <v>1780</v>
      </c>
      <c r="C556" s="199" t="s">
        <v>2098</v>
      </c>
      <c r="D556" s="199" t="s">
        <v>13</v>
      </c>
      <c r="E556" s="199" t="s">
        <v>1795</v>
      </c>
      <c r="F556" s="199" t="s">
        <v>1102</v>
      </c>
      <c r="G556" s="199" t="s">
        <v>1030</v>
      </c>
      <c r="H556" s="200">
        <v>223</v>
      </c>
      <c r="I556" s="201" t="s">
        <v>147</v>
      </c>
      <c r="J556" s="165">
        <v>2</v>
      </c>
      <c r="K556" s="202">
        <f t="shared" si="1248"/>
        <v>1</v>
      </c>
      <c r="L556" s="202">
        <f t="shared" si="1256"/>
        <v>2</v>
      </c>
      <c r="M556" s="203">
        <v>1.7</v>
      </c>
      <c r="N556" s="203">
        <f t="shared" si="1257"/>
        <v>3.4</v>
      </c>
      <c r="O556" s="203" t="s">
        <v>137</v>
      </c>
      <c r="P556" s="203" t="s">
        <v>13</v>
      </c>
      <c r="Q556" s="203" t="s">
        <v>148</v>
      </c>
      <c r="R556" s="203"/>
      <c r="S556" s="203"/>
      <c r="T556" s="203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0</v>
      </c>
      <c r="U556" s="203">
        <f t="shared" ca="1" si="1253"/>
        <v>2</v>
      </c>
      <c r="V556" s="203">
        <f t="shared" ca="1" si="1254"/>
        <v>0</v>
      </c>
      <c r="W556" s="203"/>
      <c r="X556" s="203"/>
      <c r="Y556" s="203"/>
      <c r="Z556" s="203"/>
      <c r="AA556" s="203"/>
      <c r="AB556" s="203"/>
      <c r="AC556" s="205" t="s">
        <v>1784</v>
      </c>
      <c r="AD556" s="206" t="s">
        <v>1785</v>
      </c>
      <c r="AE556" s="166"/>
      <c r="AF556" s="203" t="str">
        <f t="shared" si="1249"/>
        <v>N/A</v>
      </c>
      <c r="AG556" s="203">
        <f t="shared" si="1249"/>
        <v>0</v>
      </c>
      <c r="AH556" s="203">
        <f t="shared" si="1258"/>
        <v>0</v>
      </c>
      <c r="AI556" s="203">
        <f t="shared" ca="1" si="1259"/>
        <v>0</v>
      </c>
      <c r="AJ556" s="203">
        <f t="shared" ca="1" si="1260"/>
        <v>0</v>
      </c>
      <c r="AK556" s="203" t="str">
        <f t="shared" si="1250"/>
        <v>N/A</v>
      </c>
      <c r="AL556" s="203">
        <f t="shared" si="1250"/>
        <v>0</v>
      </c>
      <c r="AM556" s="203">
        <f t="shared" si="1261"/>
        <v>0</v>
      </c>
      <c r="AN556" s="203">
        <f t="shared" ca="1" si="1262"/>
        <v>0</v>
      </c>
      <c r="AO556" s="203">
        <f t="shared" ca="1" si="1263"/>
        <v>0</v>
      </c>
      <c r="AP556" s="203" t="str">
        <f t="shared" si="1251"/>
        <v>N/A</v>
      </c>
      <c r="AQ556" s="203">
        <f t="shared" si="1251"/>
        <v>0</v>
      </c>
      <c r="AR556" s="203">
        <f t="shared" si="1264"/>
        <v>0</v>
      </c>
      <c r="AS556" s="203">
        <f t="shared" ca="1" si="1265"/>
        <v>0</v>
      </c>
      <c r="AT556" s="203">
        <f t="shared" ca="1" si="1266"/>
        <v>0</v>
      </c>
      <c r="AU556" s="203" t="str">
        <f t="shared" si="1252"/>
        <v>AMC2-S1</v>
      </c>
      <c r="AV556" s="203">
        <f t="shared" si="1252"/>
        <v>1</v>
      </c>
      <c r="AW556" s="203">
        <f t="shared" si="1267"/>
        <v>2</v>
      </c>
      <c r="AX556" s="203">
        <f t="shared" ca="1" si="1268"/>
        <v>0</v>
      </c>
      <c r="AY556" s="203">
        <f t="shared" ca="1" si="1269"/>
        <v>2</v>
      </c>
      <c r="AZ556" s="203"/>
      <c r="BA556" s="204" t="s">
        <v>140</v>
      </c>
      <c r="BB556" s="204" t="s">
        <v>140</v>
      </c>
      <c r="BC556" s="204" t="s">
        <v>140</v>
      </c>
      <c r="BD556" s="204" t="s">
        <v>141</v>
      </c>
      <c r="BE556" s="166"/>
      <c r="BF556" s="203" t="s">
        <v>1789</v>
      </c>
      <c r="BG556" s="141"/>
      <c r="BH556" s="152"/>
      <c r="BI556" s="207"/>
      <c r="BJ556" s="207"/>
      <c r="BK556" s="207"/>
      <c r="BL556" s="153" t="s">
        <v>149</v>
      </c>
      <c r="BM556" s="153"/>
      <c r="BN556" s="153"/>
      <c r="BO556" s="153"/>
      <c r="BP556" s="153"/>
      <c r="BQ556" s="153"/>
      <c r="BR556" s="141">
        <v>0</v>
      </c>
      <c r="BS556" s="141">
        <v>0</v>
      </c>
      <c r="BT556" s="141">
        <v>0</v>
      </c>
      <c r="BU556" s="141">
        <v>0</v>
      </c>
      <c r="BV556" s="141">
        <v>0</v>
      </c>
      <c r="BW556" s="141">
        <v>0</v>
      </c>
      <c r="BX556" s="141">
        <v>0</v>
      </c>
      <c r="BY556" s="141" t="s">
        <v>1790</v>
      </c>
      <c r="BZ556" s="141" t="s">
        <v>2099</v>
      </c>
      <c r="CA556" s="165">
        <v>2</v>
      </c>
      <c r="CB556" s="153">
        <v>46244</v>
      </c>
      <c r="CC556" s="152"/>
      <c r="CD556" s="152"/>
      <c r="CE556" s="208"/>
      <c r="CF556" s="166">
        <f t="shared" si="1255"/>
        <v>0</v>
      </c>
    </row>
    <row r="557" spans="1:84" hidden="1">
      <c r="A557" s="141"/>
      <c r="B557" s="199" t="s">
        <v>1780</v>
      </c>
      <c r="C557" s="199" t="s">
        <v>2098</v>
      </c>
      <c r="D557" s="199" t="s">
        <v>13</v>
      </c>
      <c r="E557" s="199" t="s">
        <v>1796</v>
      </c>
      <c r="F557" s="199" t="s">
        <v>1103</v>
      </c>
      <c r="G557" s="199" t="s">
        <v>1104</v>
      </c>
      <c r="H557" s="200">
        <v>1100</v>
      </c>
      <c r="I557" s="201" t="s">
        <v>147</v>
      </c>
      <c r="J557" s="165">
        <v>1</v>
      </c>
      <c r="K557" s="202">
        <f t="shared" si="1248"/>
        <v>1</v>
      </c>
      <c r="L557" s="202">
        <f t="shared" si="1256"/>
        <v>1</v>
      </c>
      <c r="M557" s="203">
        <v>34.5</v>
      </c>
      <c r="N557" s="203">
        <f t="shared" si="1257"/>
        <v>34.5</v>
      </c>
      <c r="O557" s="203" t="s">
        <v>137</v>
      </c>
      <c r="P557" s="203" t="s">
        <v>13</v>
      </c>
      <c r="Q557" s="203" t="s">
        <v>148</v>
      </c>
      <c r="R557" s="203"/>
      <c r="S557" s="203"/>
      <c r="T557" s="203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0</v>
      </c>
      <c r="U557" s="203">
        <f t="shared" ca="1" si="1253"/>
        <v>1</v>
      </c>
      <c r="V557" s="203">
        <f t="shared" ca="1" si="1254"/>
        <v>0</v>
      </c>
      <c r="W557" s="203"/>
      <c r="X557" s="203"/>
      <c r="Y557" s="203"/>
      <c r="Z557" s="203"/>
      <c r="AA557" s="203"/>
      <c r="AB557" s="203"/>
      <c r="AC557" s="205" t="s">
        <v>1784</v>
      </c>
      <c r="AD557" s="206" t="s">
        <v>1785</v>
      </c>
      <c r="AE557" s="166"/>
      <c r="AF557" s="203" t="str">
        <f t="shared" si="1249"/>
        <v>N/A</v>
      </c>
      <c r="AG557" s="203">
        <f t="shared" si="1249"/>
        <v>0</v>
      </c>
      <c r="AH557" s="203">
        <f t="shared" si="1258"/>
        <v>0</v>
      </c>
      <c r="AI557" s="203">
        <f t="shared" ca="1" si="1259"/>
        <v>0</v>
      </c>
      <c r="AJ557" s="203">
        <f t="shared" ca="1" si="1260"/>
        <v>0</v>
      </c>
      <c r="AK557" s="203" t="str">
        <f t="shared" si="1250"/>
        <v>N/A</v>
      </c>
      <c r="AL557" s="203">
        <f t="shared" si="1250"/>
        <v>0</v>
      </c>
      <c r="AM557" s="203">
        <f t="shared" si="1261"/>
        <v>0</v>
      </c>
      <c r="AN557" s="203">
        <f t="shared" ca="1" si="1262"/>
        <v>0</v>
      </c>
      <c r="AO557" s="203">
        <f t="shared" ca="1" si="1263"/>
        <v>0</v>
      </c>
      <c r="AP557" s="203" t="str">
        <f t="shared" si="1251"/>
        <v>N/A</v>
      </c>
      <c r="AQ557" s="203">
        <f t="shared" si="1251"/>
        <v>0</v>
      </c>
      <c r="AR557" s="203">
        <f t="shared" si="1264"/>
        <v>0</v>
      </c>
      <c r="AS557" s="203">
        <f t="shared" ca="1" si="1265"/>
        <v>0</v>
      </c>
      <c r="AT557" s="203">
        <f t="shared" ca="1" si="1266"/>
        <v>0</v>
      </c>
      <c r="AU557" s="203" t="str">
        <f t="shared" si="1252"/>
        <v>AMC2-S1</v>
      </c>
      <c r="AV557" s="203">
        <f t="shared" si="1252"/>
        <v>1</v>
      </c>
      <c r="AW557" s="203">
        <f t="shared" si="1267"/>
        <v>1</v>
      </c>
      <c r="AX557" s="203">
        <f t="shared" ca="1" si="1268"/>
        <v>0</v>
      </c>
      <c r="AY557" s="203">
        <f t="shared" ca="1" si="1269"/>
        <v>1</v>
      </c>
      <c r="AZ557" s="203"/>
      <c r="BA557" s="204" t="s">
        <v>140</v>
      </c>
      <c r="BB557" s="204" t="s">
        <v>140</v>
      </c>
      <c r="BC557" s="204" t="s">
        <v>140</v>
      </c>
      <c r="BD557" s="204" t="s">
        <v>141</v>
      </c>
      <c r="BE557" s="166"/>
      <c r="BF557" s="203" t="s">
        <v>1789</v>
      </c>
      <c r="BG557" s="141"/>
      <c r="BH557" s="152"/>
      <c r="BI557" s="207"/>
      <c r="BJ557" s="207"/>
      <c r="BK557" s="207"/>
      <c r="BL557" s="153" t="s">
        <v>149</v>
      </c>
      <c r="BM557" s="153"/>
      <c r="BN557" s="153"/>
      <c r="BO557" s="153"/>
      <c r="BP557" s="153"/>
      <c r="BQ557" s="153"/>
      <c r="BR557" s="141">
        <v>0</v>
      </c>
      <c r="BS557" s="141">
        <v>0</v>
      </c>
      <c r="BT557" s="141">
        <v>0</v>
      </c>
      <c r="BU557" s="141">
        <v>0</v>
      </c>
      <c r="BV557" s="141">
        <v>0</v>
      </c>
      <c r="BW557" s="141">
        <v>0</v>
      </c>
      <c r="BX557" s="141">
        <v>0</v>
      </c>
      <c r="BY557" s="141" t="s">
        <v>1790</v>
      </c>
      <c r="BZ557" s="141" t="s">
        <v>2101</v>
      </c>
      <c r="CA557" s="165">
        <v>1</v>
      </c>
      <c r="CB557" s="153">
        <v>46244</v>
      </c>
      <c r="CC557" s="152"/>
      <c r="CD557" s="152"/>
      <c r="CE557" s="208"/>
      <c r="CF557" s="166">
        <f t="shared" si="1255"/>
        <v>0</v>
      </c>
    </row>
    <row r="558" spans="1:84" hidden="1">
      <c r="A558" s="141"/>
      <c r="B558" s="199" t="s">
        <v>1780</v>
      </c>
      <c r="C558" s="199" t="s">
        <v>2098</v>
      </c>
      <c r="D558" s="199" t="s">
        <v>13</v>
      </c>
      <c r="E558" s="199" t="s">
        <v>1797</v>
      </c>
      <c r="F558" s="199" t="s">
        <v>1105</v>
      </c>
      <c r="G558" s="199" t="s">
        <v>1106</v>
      </c>
      <c r="H558" s="200">
        <v>190</v>
      </c>
      <c r="I558" s="201" t="s">
        <v>652</v>
      </c>
      <c r="J558" s="165">
        <v>2</v>
      </c>
      <c r="K558" s="202">
        <f t="shared" si="1248"/>
        <v>1</v>
      </c>
      <c r="L558" s="202">
        <f t="shared" si="1256"/>
        <v>2</v>
      </c>
      <c r="M558" s="203">
        <v>1.3</v>
      </c>
      <c r="N558" s="203">
        <f t="shared" si="1257"/>
        <v>2.6</v>
      </c>
      <c r="O558" s="203" t="s">
        <v>137</v>
      </c>
      <c r="P558" s="203" t="s">
        <v>13</v>
      </c>
      <c r="Q558" s="203" t="s">
        <v>148</v>
      </c>
      <c r="R558" s="203"/>
      <c r="S558" s="203"/>
      <c r="T558" s="203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0</v>
      </c>
      <c r="U558" s="203">
        <f t="shared" ca="1" si="1253"/>
        <v>2</v>
      </c>
      <c r="V558" s="203">
        <f t="shared" ca="1" si="1254"/>
        <v>0</v>
      </c>
      <c r="W558" s="203"/>
      <c r="X558" s="203"/>
      <c r="Y558" s="203"/>
      <c r="Z558" s="203"/>
      <c r="AA558" s="203"/>
      <c r="AB558" s="203"/>
      <c r="AC558" s="205" t="s">
        <v>1784</v>
      </c>
      <c r="AD558" s="206" t="s">
        <v>1785</v>
      </c>
      <c r="AE558" s="166"/>
      <c r="AF558" s="203" t="str">
        <f t="shared" si="1249"/>
        <v>N/A</v>
      </c>
      <c r="AG558" s="203">
        <f t="shared" si="1249"/>
        <v>0</v>
      </c>
      <c r="AH558" s="203">
        <f t="shared" si="1258"/>
        <v>0</v>
      </c>
      <c r="AI558" s="203">
        <f t="shared" ca="1" si="1259"/>
        <v>0</v>
      </c>
      <c r="AJ558" s="203">
        <f t="shared" ca="1" si="1260"/>
        <v>0</v>
      </c>
      <c r="AK558" s="203" t="str">
        <f t="shared" si="1250"/>
        <v>N/A</v>
      </c>
      <c r="AL558" s="203">
        <f t="shared" si="1250"/>
        <v>0</v>
      </c>
      <c r="AM558" s="203">
        <f t="shared" si="1261"/>
        <v>0</v>
      </c>
      <c r="AN558" s="203">
        <f t="shared" ca="1" si="1262"/>
        <v>0</v>
      </c>
      <c r="AO558" s="203">
        <f t="shared" ca="1" si="1263"/>
        <v>0</v>
      </c>
      <c r="AP558" s="203" t="str">
        <f t="shared" si="1251"/>
        <v>N/A</v>
      </c>
      <c r="AQ558" s="203">
        <f t="shared" si="1251"/>
        <v>0</v>
      </c>
      <c r="AR558" s="203">
        <f t="shared" si="1264"/>
        <v>0</v>
      </c>
      <c r="AS558" s="203">
        <f t="shared" ca="1" si="1265"/>
        <v>0</v>
      </c>
      <c r="AT558" s="203">
        <f t="shared" ca="1" si="1266"/>
        <v>0</v>
      </c>
      <c r="AU558" s="203" t="str">
        <f t="shared" si="1252"/>
        <v>AMC2-S1</v>
      </c>
      <c r="AV558" s="203">
        <f t="shared" si="1252"/>
        <v>1</v>
      </c>
      <c r="AW558" s="203">
        <f t="shared" si="1267"/>
        <v>2</v>
      </c>
      <c r="AX558" s="203">
        <f t="shared" ca="1" si="1268"/>
        <v>0</v>
      </c>
      <c r="AY558" s="203">
        <f t="shared" ca="1" si="1269"/>
        <v>2</v>
      </c>
      <c r="AZ558" s="203"/>
      <c r="BA558" s="204" t="s">
        <v>140</v>
      </c>
      <c r="BB558" s="204" t="s">
        <v>140</v>
      </c>
      <c r="BC558" s="204" t="s">
        <v>140</v>
      </c>
      <c r="BD558" s="204" t="s">
        <v>141</v>
      </c>
      <c r="BE558" s="166"/>
      <c r="BF558" s="203"/>
      <c r="BG558" s="141"/>
      <c r="BH558" s="152"/>
      <c r="BI558" s="207"/>
      <c r="BJ558" s="207"/>
      <c r="BK558" s="207"/>
      <c r="BL558" s="153" t="s">
        <v>149</v>
      </c>
      <c r="BM558" s="153"/>
      <c r="BN558" s="153"/>
      <c r="BO558" s="153"/>
      <c r="BP558" s="153"/>
      <c r="BQ558" s="153"/>
      <c r="BR558" s="141">
        <v>0</v>
      </c>
      <c r="BS558" s="141">
        <v>0</v>
      </c>
      <c r="BT558" s="141">
        <v>0</v>
      </c>
      <c r="BU558" s="141">
        <v>0</v>
      </c>
      <c r="BV558" s="141">
        <v>0</v>
      </c>
      <c r="BW558" s="141">
        <v>0</v>
      </c>
      <c r="BX558" s="141">
        <v>0</v>
      </c>
      <c r="BY558" s="141" t="s">
        <v>1790</v>
      </c>
      <c r="BZ558" s="141" t="s">
        <v>2102</v>
      </c>
      <c r="CA558" s="141">
        <v>2</v>
      </c>
      <c r="CB558" s="153">
        <v>46238</v>
      </c>
      <c r="CC558" s="152"/>
      <c r="CD558" s="152"/>
      <c r="CE558" s="208"/>
      <c r="CF558" s="166">
        <f t="shared" si="1255"/>
        <v>0</v>
      </c>
    </row>
    <row r="559" spans="1:84" hidden="1">
      <c r="A559" s="141"/>
      <c r="B559" s="199" t="s">
        <v>1780</v>
      </c>
      <c r="C559" s="199" t="s">
        <v>2098</v>
      </c>
      <c r="D559" s="199" t="s">
        <v>13</v>
      </c>
      <c r="E559" s="199" t="s">
        <v>1798</v>
      </c>
      <c r="F559" s="199" t="s">
        <v>1108</v>
      </c>
      <c r="G559" s="199" t="s">
        <v>1109</v>
      </c>
      <c r="H559" s="200">
        <v>852</v>
      </c>
      <c r="I559" s="201" t="s">
        <v>147</v>
      </c>
      <c r="J559" s="165">
        <v>2</v>
      </c>
      <c r="K559" s="202">
        <f t="shared" si="1248"/>
        <v>1</v>
      </c>
      <c r="L559" s="202">
        <f t="shared" si="1256"/>
        <v>2</v>
      </c>
      <c r="M559" s="203">
        <v>8.5</v>
      </c>
      <c r="N559" s="203">
        <f t="shared" si="1257"/>
        <v>17</v>
      </c>
      <c r="O559" s="203" t="s">
        <v>137</v>
      </c>
      <c r="P559" s="203" t="s">
        <v>13</v>
      </c>
      <c r="Q559" s="203" t="s">
        <v>148</v>
      </c>
      <c r="R559" s="203"/>
      <c r="S559" s="203"/>
      <c r="T559" s="203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0</v>
      </c>
      <c r="U559" s="203">
        <f t="shared" ca="1" si="1253"/>
        <v>2</v>
      </c>
      <c r="V559" s="203">
        <f t="shared" ca="1" si="1254"/>
        <v>0</v>
      </c>
      <c r="W559" s="203"/>
      <c r="X559" s="203"/>
      <c r="Y559" s="203"/>
      <c r="Z559" s="203"/>
      <c r="AA559" s="203"/>
      <c r="AB559" s="203"/>
      <c r="AC559" s="205" t="s">
        <v>1784</v>
      </c>
      <c r="AD559" s="206" t="s">
        <v>1785</v>
      </c>
      <c r="AE559" s="166"/>
      <c r="AF559" s="203" t="str">
        <f t="shared" si="1249"/>
        <v>N/A</v>
      </c>
      <c r="AG559" s="203">
        <f t="shared" si="1249"/>
        <v>0</v>
      </c>
      <c r="AH559" s="203">
        <f t="shared" si="1258"/>
        <v>0</v>
      </c>
      <c r="AI559" s="203">
        <f t="shared" ca="1" si="1259"/>
        <v>0</v>
      </c>
      <c r="AJ559" s="203">
        <f t="shared" ca="1" si="1260"/>
        <v>0</v>
      </c>
      <c r="AK559" s="203" t="str">
        <f t="shared" si="1250"/>
        <v>N/A</v>
      </c>
      <c r="AL559" s="203">
        <f t="shared" si="1250"/>
        <v>0</v>
      </c>
      <c r="AM559" s="203">
        <f t="shared" si="1261"/>
        <v>0</v>
      </c>
      <c r="AN559" s="203">
        <f t="shared" ca="1" si="1262"/>
        <v>0</v>
      </c>
      <c r="AO559" s="203">
        <f t="shared" ca="1" si="1263"/>
        <v>0</v>
      </c>
      <c r="AP559" s="203" t="str">
        <f t="shared" si="1251"/>
        <v>N/A</v>
      </c>
      <c r="AQ559" s="203">
        <f t="shared" si="1251"/>
        <v>0</v>
      </c>
      <c r="AR559" s="203">
        <f t="shared" si="1264"/>
        <v>0</v>
      </c>
      <c r="AS559" s="203">
        <f t="shared" ca="1" si="1265"/>
        <v>0</v>
      </c>
      <c r="AT559" s="203">
        <f t="shared" ca="1" si="1266"/>
        <v>0</v>
      </c>
      <c r="AU559" s="203" t="str">
        <f t="shared" si="1252"/>
        <v>AMC2-S1</v>
      </c>
      <c r="AV559" s="203">
        <f t="shared" si="1252"/>
        <v>1</v>
      </c>
      <c r="AW559" s="203">
        <f t="shared" si="1267"/>
        <v>2</v>
      </c>
      <c r="AX559" s="203">
        <f t="shared" ca="1" si="1268"/>
        <v>0</v>
      </c>
      <c r="AY559" s="203">
        <f t="shared" ca="1" si="1269"/>
        <v>2</v>
      </c>
      <c r="AZ559" s="203"/>
      <c r="BA559" s="204" t="s">
        <v>140</v>
      </c>
      <c r="BB559" s="204" t="s">
        <v>140</v>
      </c>
      <c r="BC559" s="204" t="s">
        <v>140</v>
      </c>
      <c r="BD559" s="204" t="s">
        <v>141</v>
      </c>
      <c r="BE559" s="166"/>
      <c r="BF559" s="203" t="s">
        <v>1789</v>
      </c>
      <c r="BG559" s="141"/>
      <c r="BH559" s="152"/>
      <c r="BI559" s="207"/>
      <c r="BJ559" s="207"/>
      <c r="BK559" s="207"/>
      <c r="BL559" s="153" t="s">
        <v>149</v>
      </c>
      <c r="BM559" s="153"/>
      <c r="BN559" s="153"/>
      <c r="BO559" s="153"/>
      <c r="BP559" s="153"/>
      <c r="BQ559" s="153"/>
      <c r="BR559" s="141">
        <v>0</v>
      </c>
      <c r="BS559" s="141">
        <v>0</v>
      </c>
      <c r="BT559" s="141">
        <v>0</v>
      </c>
      <c r="BU559" s="141">
        <v>0</v>
      </c>
      <c r="BV559" s="141">
        <v>0</v>
      </c>
      <c r="BW559" s="141">
        <v>0</v>
      </c>
      <c r="BX559" s="141">
        <v>0</v>
      </c>
      <c r="BY559" s="141" t="s">
        <v>1790</v>
      </c>
      <c r="BZ559" s="141"/>
      <c r="CA559" s="141"/>
      <c r="CB559" s="153"/>
      <c r="CC559" s="152"/>
      <c r="CD559" s="152"/>
      <c r="CE559" s="208"/>
      <c r="CF559" s="166">
        <f t="shared" si="1255"/>
        <v>2</v>
      </c>
    </row>
    <row r="560" spans="1:84" hidden="1">
      <c r="A560" s="141"/>
      <c r="B560" s="199" t="s">
        <v>1780</v>
      </c>
      <c r="C560" s="199" t="s">
        <v>2098</v>
      </c>
      <c r="D560" s="199" t="s">
        <v>13</v>
      </c>
      <c r="E560" s="199" t="s">
        <v>1799</v>
      </c>
      <c r="F560" s="199" t="s">
        <v>1085</v>
      </c>
      <c r="G560" s="199" t="s">
        <v>1086</v>
      </c>
      <c r="H560" s="200">
        <v>341</v>
      </c>
      <c r="I560" s="201" t="s">
        <v>147</v>
      </c>
      <c r="J560" s="165">
        <v>2</v>
      </c>
      <c r="K560" s="202">
        <f t="shared" si="1248"/>
        <v>1</v>
      </c>
      <c r="L560" s="202">
        <f t="shared" si="1256"/>
        <v>2</v>
      </c>
      <c r="M560" s="203">
        <v>4.8</v>
      </c>
      <c r="N560" s="203">
        <f t="shared" si="1257"/>
        <v>9.6</v>
      </c>
      <c r="O560" s="203" t="s">
        <v>137</v>
      </c>
      <c r="P560" s="203" t="s">
        <v>13</v>
      </c>
      <c r="Q560" s="203" t="s">
        <v>148</v>
      </c>
      <c r="R560" s="203"/>
      <c r="S560" s="203"/>
      <c r="T560" s="203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0</v>
      </c>
      <c r="U560" s="203">
        <f t="shared" ca="1" si="1253"/>
        <v>2</v>
      </c>
      <c r="V560" s="203">
        <f t="shared" ca="1" si="1254"/>
        <v>0</v>
      </c>
      <c r="W560" s="203"/>
      <c r="X560" s="203"/>
      <c r="Y560" s="203"/>
      <c r="Z560" s="203"/>
      <c r="AA560" s="203"/>
      <c r="AB560" s="203"/>
      <c r="AC560" s="205" t="s">
        <v>1784</v>
      </c>
      <c r="AD560" s="206" t="s">
        <v>1785</v>
      </c>
      <c r="AE560" s="166"/>
      <c r="AF560" s="203" t="str">
        <f t="shared" si="1249"/>
        <v>N/A</v>
      </c>
      <c r="AG560" s="203">
        <f t="shared" si="1249"/>
        <v>0</v>
      </c>
      <c r="AH560" s="203">
        <f t="shared" si="1258"/>
        <v>0</v>
      </c>
      <c r="AI560" s="203">
        <f t="shared" ca="1" si="1259"/>
        <v>0</v>
      </c>
      <c r="AJ560" s="203">
        <f t="shared" ca="1" si="1260"/>
        <v>0</v>
      </c>
      <c r="AK560" s="203" t="str">
        <f t="shared" si="1250"/>
        <v>N/A</v>
      </c>
      <c r="AL560" s="203">
        <f t="shared" si="1250"/>
        <v>0</v>
      </c>
      <c r="AM560" s="203">
        <f t="shared" si="1261"/>
        <v>0</v>
      </c>
      <c r="AN560" s="203">
        <f t="shared" ca="1" si="1262"/>
        <v>0</v>
      </c>
      <c r="AO560" s="203">
        <f t="shared" ca="1" si="1263"/>
        <v>0</v>
      </c>
      <c r="AP560" s="203" t="str">
        <f t="shared" si="1251"/>
        <v>N/A</v>
      </c>
      <c r="AQ560" s="203">
        <f t="shared" si="1251"/>
        <v>0</v>
      </c>
      <c r="AR560" s="203">
        <f t="shared" si="1264"/>
        <v>0</v>
      </c>
      <c r="AS560" s="203">
        <f t="shared" ca="1" si="1265"/>
        <v>0</v>
      </c>
      <c r="AT560" s="203">
        <f t="shared" ca="1" si="1266"/>
        <v>0</v>
      </c>
      <c r="AU560" s="203" t="str">
        <f t="shared" si="1252"/>
        <v>AMC2-S1</v>
      </c>
      <c r="AV560" s="203">
        <f t="shared" si="1252"/>
        <v>1</v>
      </c>
      <c r="AW560" s="203">
        <f t="shared" si="1267"/>
        <v>2</v>
      </c>
      <c r="AX560" s="203">
        <f t="shared" ca="1" si="1268"/>
        <v>0</v>
      </c>
      <c r="AY560" s="203">
        <f t="shared" ca="1" si="1269"/>
        <v>2</v>
      </c>
      <c r="AZ560" s="203"/>
      <c r="BA560" s="204" t="s">
        <v>140</v>
      </c>
      <c r="BB560" s="204" t="s">
        <v>140</v>
      </c>
      <c r="BC560" s="204" t="s">
        <v>140</v>
      </c>
      <c r="BD560" s="204" t="s">
        <v>141</v>
      </c>
      <c r="BE560" s="166"/>
      <c r="BF560" s="203" t="s">
        <v>1789</v>
      </c>
      <c r="BG560" s="141"/>
      <c r="BH560" s="152"/>
      <c r="BI560" s="207"/>
      <c r="BJ560" s="207"/>
      <c r="BK560" s="207"/>
      <c r="BL560" s="153" t="s">
        <v>149</v>
      </c>
      <c r="BM560" s="153"/>
      <c r="BN560" s="153"/>
      <c r="BO560" s="153"/>
      <c r="BP560" s="153"/>
      <c r="BQ560" s="153"/>
      <c r="BR560" s="141">
        <v>1</v>
      </c>
      <c r="BS560" s="141">
        <v>0</v>
      </c>
      <c r="BT560" s="141">
        <v>0</v>
      </c>
      <c r="BU560" s="141">
        <v>0</v>
      </c>
      <c r="BV560" s="141">
        <v>0</v>
      </c>
      <c r="BW560" s="141">
        <v>0</v>
      </c>
      <c r="BX560" s="141">
        <v>0</v>
      </c>
      <c r="BY560" s="141" t="s">
        <v>1790</v>
      </c>
      <c r="BZ560" s="141"/>
      <c r="CA560" s="141"/>
      <c r="CB560" s="153"/>
      <c r="CC560" s="152"/>
      <c r="CD560" s="152"/>
      <c r="CE560" s="208"/>
      <c r="CF560" s="166">
        <f t="shared" si="1255"/>
        <v>2</v>
      </c>
    </row>
    <row r="561" spans="1:84" hidden="1">
      <c r="A561" s="141"/>
      <c r="B561" s="199" t="s">
        <v>1780</v>
      </c>
      <c r="C561" s="199" t="s">
        <v>2098</v>
      </c>
      <c r="D561" s="199" t="s">
        <v>13</v>
      </c>
      <c r="E561" s="199" t="s">
        <v>1800</v>
      </c>
      <c r="F561" s="199" t="s">
        <v>1087</v>
      </c>
      <c r="G561" s="199" t="s">
        <v>1088</v>
      </c>
      <c r="H561" s="200">
        <v>667</v>
      </c>
      <c r="I561" s="201" t="s">
        <v>147</v>
      </c>
      <c r="J561" s="165">
        <v>10</v>
      </c>
      <c r="K561" s="202">
        <f t="shared" si="1248"/>
        <v>1</v>
      </c>
      <c r="L561" s="202">
        <f t="shared" si="1256"/>
        <v>10</v>
      </c>
      <c r="M561" s="203">
        <v>9.1999999999999993</v>
      </c>
      <c r="N561" s="203">
        <f t="shared" si="1257"/>
        <v>92</v>
      </c>
      <c r="O561" s="203" t="s">
        <v>137</v>
      </c>
      <c r="P561" s="203" t="s">
        <v>13</v>
      </c>
      <c r="Q561" s="203" t="s">
        <v>148</v>
      </c>
      <c r="R561" s="203"/>
      <c r="S561" s="203"/>
      <c r="T561" s="203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0</v>
      </c>
      <c r="U561" s="203">
        <f t="shared" ca="1" si="1253"/>
        <v>10</v>
      </c>
      <c r="V561" s="203">
        <f t="shared" ca="1" si="1254"/>
        <v>0</v>
      </c>
      <c r="W561" s="203"/>
      <c r="X561" s="203"/>
      <c r="Y561" s="203"/>
      <c r="Z561" s="203"/>
      <c r="AA561" s="203"/>
      <c r="AB561" s="203"/>
      <c r="AC561" s="205" t="s">
        <v>1784</v>
      </c>
      <c r="AD561" s="206" t="s">
        <v>1785</v>
      </c>
      <c r="AE561" s="166"/>
      <c r="AF561" s="203" t="str">
        <f t="shared" si="1249"/>
        <v>N/A</v>
      </c>
      <c r="AG561" s="203">
        <f t="shared" si="1249"/>
        <v>0</v>
      </c>
      <c r="AH561" s="203">
        <f t="shared" si="1258"/>
        <v>0</v>
      </c>
      <c r="AI561" s="203">
        <f t="shared" ca="1" si="1259"/>
        <v>0</v>
      </c>
      <c r="AJ561" s="203">
        <f t="shared" ca="1" si="1260"/>
        <v>0</v>
      </c>
      <c r="AK561" s="203" t="str">
        <f t="shared" si="1250"/>
        <v>N/A</v>
      </c>
      <c r="AL561" s="203">
        <f t="shared" si="1250"/>
        <v>0</v>
      </c>
      <c r="AM561" s="203">
        <f t="shared" si="1261"/>
        <v>0</v>
      </c>
      <c r="AN561" s="203">
        <f t="shared" ca="1" si="1262"/>
        <v>0</v>
      </c>
      <c r="AO561" s="203">
        <f t="shared" ca="1" si="1263"/>
        <v>0</v>
      </c>
      <c r="AP561" s="203" t="str">
        <f t="shared" si="1251"/>
        <v>N/A</v>
      </c>
      <c r="AQ561" s="203">
        <f t="shared" si="1251"/>
        <v>0</v>
      </c>
      <c r="AR561" s="203">
        <f t="shared" si="1264"/>
        <v>0</v>
      </c>
      <c r="AS561" s="203">
        <f t="shared" ca="1" si="1265"/>
        <v>0</v>
      </c>
      <c r="AT561" s="203">
        <f t="shared" ca="1" si="1266"/>
        <v>0</v>
      </c>
      <c r="AU561" s="203" t="str">
        <f t="shared" si="1252"/>
        <v>AMC2-S1</v>
      </c>
      <c r="AV561" s="203">
        <f t="shared" si="1252"/>
        <v>1</v>
      </c>
      <c r="AW561" s="203">
        <f t="shared" si="1267"/>
        <v>10</v>
      </c>
      <c r="AX561" s="203">
        <f t="shared" ca="1" si="1268"/>
        <v>0</v>
      </c>
      <c r="AY561" s="203">
        <f t="shared" ca="1" si="1269"/>
        <v>10</v>
      </c>
      <c r="AZ561" s="203"/>
      <c r="BA561" s="204" t="s">
        <v>140</v>
      </c>
      <c r="BB561" s="204" t="s">
        <v>140</v>
      </c>
      <c r="BC561" s="204" t="s">
        <v>140</v>
      </c>
      <c r="BD561" s="204" t="s">
        <v>141</v>
      </c>
      <c r="BE561" s="166"/>
      <c r="BF561" s="203" t="s">
        <v>1789</v>
      </c>
      <c r="BG561" s="141"/>
      <c r="BH561" s="152"/>
      <c r="BI561" s="207"/>
      <c r="BJ561" s="207"/>
      <c r="BK561" s="207"/>
      <c r="BL561" s="153" t="s">
        <v>149</v>
      </c>
      <c r="BM561" s="153"/>
      <c r="BN561" s="153"/>
      <c r="BO561" s="153"/>
      <c r="BP561" s="153"/>
      <c r="BQ561" s="153"/>
      <c r="BR561" s="141">
        <v>0</v>
      </c>
      <c r="BS561" s="141">
        <v>0</v>
      </c>
      <c r="BT561" s="141">
        <v>0</v>
      </c>
      <c r="BU561" s="141">
        <v>1</v>
      </c>
      <c r="BV561" s="141">
        <v>0</v>
      </c>
      <c r="BW561" s="141">
        <v>0</v>
      </c>
      <c r="BX561" s="141">
        <v>0</v>
      </c>
      <c r="BY561" s="141" t="s">
        <v>1790</v>
      </c>
      <c r="BZ561" s="141" t="s">
        <v>2099</v>
      </c>
      <c r="CA561" s="165">
        <v>10</v>
      </c>
      <c r="CB561" s="153">
        <v>46244</v>
      </c>
      <c r="CC561" s="152"/>
      <c r="CD561" s="152"/>
      <c r="CE561" s="208"/>
      <c r="CF561" s="166">
        <f t="shared" si="1255"/>
        <v>0</v>
      </c>
    </row>
    <row r="562" spans="1:84" hidden="1">
      <c r="A562" s="141"/>
      <c r="B562" s="199" t="s">
        <v>1780</v>
      </c>
      <c r="C562" s="199" t="s">
        <v>2098</v>
      </c>
      <c r="D562" s="199" t="s">
        <v>13</v>
      </c>
      <c r="E562" s="199" t="s">
        <v>1801</v>
      </c>
      <c r="F562" s="199" t="s">
        <v>1089</v>
      </c>
      <c r="G562" s="199" t="s">
        <v>1090</v>
      </c>
      <c r="H562" s="200">
        <v>426</v>
      </c>
      <c r="I562" s="201" t="s">
        <v>147</v>
      </c>
      <c r="J562" s="165">
        <v>10</v>
      </c>
      <c r="K562" s="202">
        <f t="shared" si="1248"/>
        <v>1</v>
      </c>
      <c r="L562" s="202">
        <f t="shared" si="1256"/>
        <v>10</v>
      </c>
      <c r="M562" s="203">
        <v>5</v>
      </c>
      <c r="N562" s="203">
        <f t="shared" si="1257"/>
        <v>50</v>
      </c>
      <c r="O562" s="203" t="s">
        <v>137</v>
      </c>
      <c r="P562" s="203" t="s">
        <v>13</v>
      </c>
      <c r="Q562" s="203" t="s">
        <v>148</v>
      </c>
      <c r="R562" s="203"/>
      <c r="S562" s="203"/>
      <c r="T562" s="203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10</v>
      </c>
      <c r="U562" s="203">
        <f t="shared" ca="1" si="1253"/>
        <v>0</v>
      </c>
      <c r="V562" s="203">
        <f t="shared" ca="1" si="1254"/>
        <v>1</v>
      </c>
      <c r="W562" s="203"/>
      <c r="X562" s="203"/>
      <c r="Y562" s="203"/>
      <c r="Z562" s="203"/>
      <c r="AA562" s="203"/>
      <c r="AB562" s="203"/>
      <c r="AC562" s="205" t="s">
        <v>1784</v>
      </c>
      <c r="AD562" s="206" t="s">
        <v>1785</v>
      </c>
      <c r="AE562" s="166"/>
      <c r="AF562" s="203" t="str">
        <f t="shared" si="1249"/>
        <v>N/A</v>
      </c>
      <c r="AG562" s="203">
        <f t="shared" si="1249"/>
        <v>0</v>
      </c>
      <c r="AH562" s="203">
        <f t="shared" si="1258"/>
        <v>0</v>
      </c>
      <c r="AI562" s="203">
        <f t="shared" ca="1" si="1259"/>
        <v>0</v>
      </c>
      <c r="AJ562" s="203">
        <f t="shared" ca="1" si="1260"/>
        <v>0</v>
      </c>
      <c r="AK562" s="203" t="str">
        <f t="shared" si="1250"/>
        <v>N/A</v>
      </c>
      <c r="AL562" s="203">
        <f t="shared" si="1250"/>
        <v>0</v>
      </c>
      <c r="AM562" s="203">
        <f t="shared" si="1261"/>
        <v>0</v>
      </c>
      <c r="AN562" s="203">
        <f t="shared" ca="1" si="1262"/>
        <v>0</v>
      </c>
      <c r="AO562" s="203">
        <f t="shared" ca="1" si="1263"/>
        <v>0</v>
      </c>
      <c r="AP562" s="203" t="str">
        <f t="shared" si="1251"/>
        <v>N/A</v>
      </c>
      <c r="AQ562" s="203">
        <f t="shared" si="1251"/>
        <v>0</v>
      </c>
      <c r="AR562" s="203">
        <f t="shared" si="1264"/>
        <v>0</v>
      </c>
      <c r="AS562" s="203">
        <f t="shared" ca="1" si="1265"/>
        <v>0</v>
      </c>
      <c r="AT562" s="203">
        <f t="shared" ca="1" si="1266"/>
        <v>0</v>
      </c>
      <c r="AU562" s="203" t="str">
        <f t="shared" si="1252"/>
        <v>AMC2-S1</v>
      </c>
      <c r="AV562" s="203">
        <f t="shared" si="1252"/>
        <v>1</v>
      </c>
      <c r="AW562" s="203">
        <f t="shared" si="1267"/>
        <v>10</v>
      </c>
      <c r="AX562" s="203">
        <f t="shared" ca="1" si="1268"/>
        <v>10</v>
      </c>
      <c r="AY562" s="203">
        <f t="shared" ca="1" si="1269"/>
        <v>0</v>
      </c>
      <c r="AZ562" s="203"/>
      <c r="BA562" s="204" t="s">
        <v>140</v>
      </c>
      <c r="BB562" s="204" t="s">
        <v>140</v>
      </c>
      <c r="BC562" s="204" t="s">
        <v>140</v>
      </c>
      <c r="BD562" s="204" t="s">
        <v>141</v>
      </c>
      <c r="BE562" s="166"/>
      <c r="BF562" s="203" t="s">
        <v>1789</v>
      </c>
      <c r="BG562" s="141"/>
      <c r="BH562" s="152"/>
      <c r="BI562" s="207"/>
      <c r="BJ562" s="207"/>
      <c r="BK562" s="207"/>
      <c r="BL562" s="153" t="s">
        <v>149</v>
      </c>
      <c r="BM562" s="153"/>
      <c r="BN562" s="153"/>
      <c r="BO562" s="153"/>
      <c r="BP562" s="153"/>
      <c r="BQ562" s="153"/>
      <c r="BR562" s="141">
        <v>0</v>
      </c>
      <c r="BS562" s="141">
        <v>0</v>
      </c>
      <c r="BT562" s="141">
        <v>0</v>
      </c>
      <c r="BU562" s="141">
        <v>0</v>
      </c>
      <c r="BV562" s="141">
        <v>0</v>
      </c>
      <c r="BW562" s="141">
        <v>0</v>
      </c>
      <c r="BX562" s="141">
        <v>0</v>
      </c>
      <c r="BY562" s="141" t="s">
        <v>1790</v>
      </c>
      <c r="BZ562" s="141" t="s">
        <v>2103</v>
      </c>
      <c r="CA562" s="165">
        <v>10</v>
      </c>
      <c r="CB562" s="153">
        <v>46238</v>
      </c>
      <c r="CC562" s="152"/>
      <c r="CD562" s="152"/>
      <c r="CE562" s="208"/>
      <c r="CF562" s="166">
        <f t="shared" si="1255"/>
        <v>0</v>
      </c>
    </row>
    <row r="563" spans="1:84" hidden="1">
      <c r="A563" s="141"/>
      <c r="B563" s="199" t="s">
        <v>1780</v>
      </c>
      <c r="C563" s="199" t="s">
        <v>2098</v>
      </c>
      <c r="D563" s="199" t="s">
        <v>1076</v>
      </c>
      <c r="E563" s="199" t="s">
        <v>1802</v>
      </c>
      <c r="F563" s="199" t="s">
        <v>1074</v>
      </c>
      <c r="G563" s="199" t="s">
        <v>1075</v>
      </c>
      <c r="H563" s="200">
        <v>812</v>
      </c>
      <c r="I563" s="201" t="s">
        <v>1077</v>
      </c>
      <c r="J563" s="165">
        <v>5</v>
      </c>
      <c r="K563" s="202">
        <f t="shared" si="1248"/>
        <v>1</v>
      </c>
      <c r="L563" s="202">
        <f t="shared" si="1256"/>
        <v>5</v>
      </c>
      <c r="M563" s="203">
        <v>13.05696</v>
      </c>
      <c r="N563" s="203">
        <f t="shared" si="1257"/>
        <v>65.284800000000004</v>
      </c>
      <c r="O563" s="203" t="s">
        <v>137</v>
      </c>
      <c r="P563" s="203" t="s">
        <v>11</v>
      </c>
      <c r="Q563" s="203" t="s">
        <v>148</v>
      </c>
      <c r="R563" s="203"/>
      <c r="S563" s="203"/>
      <c r="T563" s="203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0</v>
      </c>
      <c r="U563" s="203">
        <f t="shared" ca="1" si="1253"/>
        <v>5</v>
      </c>
      <c r="V563" s="203">
        <f t="shared" ca="1" si="1254"/>
        <v>0</v>
      </c>
      <c r="W563" s="203"/>
      <c r="X563" s="203"/>
      <c r="Y563" s="203"/>
      <c r="Z563" s="203"/>
      <c r="AA563" s="203"/>
      <c r="AB563" s="203"/>
      <c r="AC563" s="205" t="s">
        <v>1784</v>
      </c>
      <c r="AD563" s="206" t="s">
        <v>1785</v>
      </c>
      <c r="AE563" s="166"/>
      <c r="AF563" s="203" t="str">
        <f t="shared" si="1249"/>
        <v>N/A</v>
      </c>
      <c r="AG563" s="203">
        <f t="shared" si="1249"/>
        <v>0</v>
      </c>
      <c r="AH563" s="203">
        <f t="shared" si="1258"/>
        <v>0</v>
      </c>
      <c r="AI563" s="203">
        <f t="shared" ca="1" si="1259"/>
        <v>0</v>
      </c>
      <c r="AJ563" s="203">
        <f t="shared" ca="1" si="1260"/>
        <v>0</v>
      </c>
      <c r="AK563" s="203" t="str">
        <f t="shared" si="1250"/>
        <v>N/A</v>
      </c>
      <c r="AL563" s="203">
        <f t="shared" si="1250"/>
        <v>0</v>
      </c>
      <c r="AM563" s="203">
        <f t="shared" si="1261"/>
        <v>0</v>
      </c>
      <c r="AN563" s="203">
        <f t="shared" ca="1" si="1262"/>
        <v>0</v>
      </c>
      <c r="AO563" s="203">
        <f t="shared" ca="1" si="1263"/>
        <v>0</v>
      </c>
      <c r="AP563" s="203" t="str">
        <f t="shared" si="1251"/>
        <v>N/A</v>
      </c>
      <c r="AQ563" s="203">
        <f t="shared" si="1251"/>
        <v>0</v>
      </c>
      <c r="AR563" s="203">
        <f t="shared" si="1264"/>
        <v>0</v>
      </c>
      <c r="AS563" s="203">
        <f t="shared" ca="1" si="1265"/>
        <v>0</v>
      </c>
      <c r="AT563" s="203">
        <f t="shared" ca="1" si="1266"/>
        <v>0</v>
      </c>
      <c r="AU563" s="203" t="str">
        <f t="shared" si="1252"/>
        <v>AMC2-S1</v>
      </c>
      <c r="AV563" s="203">
        <f t="shared" si="1252"/>
        <v>1</v>
      </c>
      <c r="AW563" s="203">
        <f t="shared" si="1267"/>
        <v>5</v>
      </c>
      <c r="AX563" s="203">
        <f t="shared" ca="1" si="1268"/>
        <v>0</v>
      </c>
      <c r="AY563" s="203">
        <f t="shared" ca="1" si="1269"/>
        <v>5</v>
      </c>
      <c r="AZ563" s="203"/>
      <c r="BA563" s="204" t="s">
        <v>140</v>
      </c>
      <c r="BB563" s="204" t="s">
        <v>140</v>
      </c>
      <c r="BC563" s="204" t="s">
        <v>140</v>
      </c>
      <c r="BD563" s="204" t="s">
        <v>141</v>
      </c>
      <c r="BE563" s="166"/>
      <c r="BF563" s="203" t="s">
        <v>1789</v>
      </c>
      <c r="BG563" s="141"/>
      <c r="BH563" s="152"/>
      <c r="BI563" s="207"/>
      <c r="BJ563" s="207"/>
      <c r="BK563" s="207"/>
      <c r="BL563" s="153" t="s">
        <v>149</v>
      </c>
      <c r="BM563" s="153"/>
      <c r="BN563" s="153"/>
      <c r="BO563" s="153"/>
      <c r="BP563" s="153"/>
      <c r="BQ563" s="153"/>
      <c r="BR563" s="141">
        <v>0</v>
      </c>
      <c r="BS563" s="141">
        <v>0</v>
      </c>
      <c r="BT563" s="141">
        <v>0</v>
      </c>
      <c r="BU563" s="141">
        <v>1</v>
      </c>
      <c r="BV563" s="141">
        <v>0</v>
      </c>
      <c r="BW563" s="141">
        <v>0</v>
      </c>
      <c r="BX563" s="141">
        <v>0</v>
      </c>
      <c r="BY563" s="141" t="s">
        <v>1790</v>
      </c>
      <c r="BZ563" s="141" t="s">
        <v>2104</v>
      </c>
      <c r="CA563" s="165">
        <v>5</v>
      </c>
      <c r="CB563" s="153">
        <v>46238</v>
      </c>
      <c r="CC563" s="152"/>
      <c r="CD563" s="152"/>
      <c r="CE563" s="208"/>
      <c r="CF563" s="166">
        <f t="shared" si="1255"/>
        <v>0</v>
      </c>
    </row>
    <row r="564" spans="1:84" hidden="1">
      <c r="A564" s="141"/>
      <c r="B564" s="199" t="s">
        <v>1780</v>
      </c>
      <c r="C564" s="199" t="s">
        <v>2098</v>
      </c>
      <c r="D564" s="199" t="s">
        <v>1076</v>
      </c>
      <c r="E564" s="199" t="s">
        <v>1803</v>
      </c>
      <c r="F564" s="199" t="s">
        <v>1079</v>
      </c>
      <c r="G564" s="199" t="s">
        <v>1080</v>
      </c>
      <c r="H564" s="200">
        <v>737</v>
      </c>
      <c r="I564" s="201" t="s">
        <v>1077</v>
      </c>
      <c r="J564" s="165">
        <v>1</v>
      </c>
      <c r="K564" s="202">
        <f t="shared" si="1248"/>
        <v>1</v>
      </c>
      <c r="L564" s="202">
        <f t="shared" si="1256"/>
        <v>1</v>
      </c>
      <c r="M564" s="203">
        <v>2.1</v>
      </c>
      <c r="N564" s="203">
        <f t="shared" si="1257"/>
        <v>2.1</v>
      </c>
      <c r="O564" s="203" t="s">
        <v>137</v>
      </c>
      <c r="P564" s="203" t="s">
        <v>11</v>
      </c>
      <c r="Q564" s="203" t="s">
        <v>154</v>
      </c>
      <c r="R564" s="203"/>
      <c r="S564" s="203"/>
      <c r="T564" s="203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0</v>
      </c>
      <c r="U564" s="203">
        <f t="shared" ca="1" si="1253"/>
        <v>1</v>
      </c>
      <c r="V564" s="203">
        <f t="shared" ca="1" si="1254"/>
        <v>0</v>
      </c>
      <c r="W564" s="203"/>
      <c r="X564" s="203"/>
      <c r="Y564" s="203"/>
      <c r="Z564" s="203"/>
      <c r="AA564" s="203"/>
      <c r="AB564" s="203"/>
      <c r="AC564" s="205" t="s">
        <v>1784</v>
      </c>
      <c r="AD564" s="206" t="s">
        <v>1785</v>
      </c>
      <c r="AE564" s="166"/>
      <c r="AF564" s="203" t="str">
        <f t="shared" si="1249"/>
        <v>N/A</v>
      </c>
      <c r="AG564" s="203">
        <f t="shared" si="1249"/>
        <v>0</v>
      </c>
      <c r="AH564" s="203">
        <f t="shared" si="1258"/>
        <v>0</v>
      </c>
      <c r="AI564" s="203">
        <f t="shared" ca="1" si="1259"/>
        <v>0</v>
      </c>
      <c r="AJ564" s="203">
        <f t="shared" ca="1" si="1260"/>
        <v>0</v>
      </c>
      <c r="AK564" s="203" t="str">
        <f t="shared" si="1250"/>
        <v>N/A</v>
      </c>
      <c r="AL564" s="203">
        <f t="shared" si="1250"/>
        <v>0</v>
      </c>
      <c r="AM564" s="203">
        <f t="shared" si="1261"/>
        <v>0</v>
      </c>
      <c r="AN564" s="203">
        <f t="shared" ca="1" si="1262"/>
        <v>0</v>
      </c>
      <c r="AO564" s="203">
        <f t="shared" ca="1" si="1263"/>
        <v>0</v>
      </c>
      <c r="AP564" s="203" t="str">
        <f t="shared" si="1251"/>
        <v>N/A</v>
      </c>
      <c r="AQ564" s="203">
        <f t="shared" si="1251"/>
        <v>0</v>
      </c>
      <c r="AR564" s="203">
        <f t="shared" si="1264"/>
        <v>0</v>
      </c>
      <c r="AS564" s="203">
        <f t="shared" ca="1" si="1265"/>
        <v>0</v>
      </c>
      <c r="AT564" s="203">
        <f t="shared" ca="1" si="1266"/>
        <v>0</v>
      </c>
      <c r="AU564" s="203" t="str">
        <f t="shared" si="1252"/>
        <v>AMC2-S1</v>
      </c>
      <c r="AV564" s="203">
        <f t="shared" si="1252"/>
        <v>1</v>
      </c>
      <c r="AW564" s="203">
        <f t="shared" si="1267"/>
        <v>1</v>
      </c>
      <c r="AX564" s="203">
        <f t="shared" ca="1" si="1268"/>
        <v>0</v>
      </c>
      <c r="AY564" s="203">
        <f t="shared" ca="1" si="1269"/>
        <v>1</v>
      </c>
      <c r="AZ564" s="203"/>
      <c r="BA564" s="204" t="s">
        <v>140</v>
      </c>
      <c r="BB564" s="204" t="s">
        <v>140</v>
      </c>
      <c r="BC564" s="204" t="s">
        <v>140</v>
      </c>
      <c r="BD564" s="204" t="s">
        <v>141</v>
      </c>
      <c r="BE564" s="166"/>
      <c r="BF564" s="203" t="s">
        <v>1789</v>
      </c>
      <c r="BG564" s="141"/>
      <c r="BH564" s="141"/>
      <c r="BI564" s="207"/>
      <c r="BJ564" s="207"/>
      <c r="BK564" s="207"/>
      <c r="BL564" s="153" t="s">
        <v>149</v>
      </c>
      <c r="BM564" s="153"/>
      <c r="BN564" s="153"/>
      <c r="BO564" s="153"/>
      <c r="BP564" s="153"/>
      <c r="BQ564" s="153"/>
      <c r="BR564" s="141">
        <v>0</v>
      </c>
      <c r="BS564" s="141">
        <v>1</v>
      </c>
      <c r="BT564" s="141">
        <v>0</v>
      </c>
      <c r="BU564" s="141">
        <v>0</v>
      </c>
      <c r="BV564" s="141">
        <v>0</v>
      </c>
      <c r="BW564" s="141">
        <v>0</v>
      </c>
      <c r="BX564" s="141">
        <v>0</v>
      </c>
      <c r="BY564" s="141" t="s">
        <v>1790</v>
      </c>
      <c r="BZ564" s="141" t="s">
        <v>2105</v>
      </c>
      <c r="CA564" s="165">
        <v>1</v>
      </c>
      <c r="CB564" s="153">
        <v>46238</v>
      </c>
      <c r="CC564" s="152"/>
      <c r="CD564" s="152"/>
      <c r="CE564" s="208"/>
      <c r="CF564" s="166">
        <f t="shared" si="1255"/>
        <v>0</v>
      </c>
    </row>
    <row r="565" spans="1:84" hidden="1">
      <c r="A565" s="186"/>
      <c r="B565" s="187" t="s">
        <v>1780</v>
      </c>
      <c r="C565" s="187" t="s">
        <v>2106</v>
      </c>
      <c r="D565" s="187"/>
      <c r="E565" s="187"/>
      <c r="F565" s="187"/>
      <c r="G565" s="187" t="s">
        <v>1804</v>
      </c>
      <c r="H565" s="188"/>
      <c r="I565" s="189"/>
      <c r="J565" s="190"/>
      <c r="K565" s="191">
        <f t="shared" si="1248"/>
        <v>1</v>
      </c>
      <c r="L565" s="190"/>
      <c r="M565" s="192">
        <v>2477.3000000000002</v>
      </c>
      <c r="N565" s="192">
        <v>2477</v>
      </c>
      <c r="O565" s="192" t="s">
        <v>137</v>
      </c>
      <c r="P565" s="192"/>
      <c r="Q565" s="192"/>
      <c r="R565" s="192"/>
      <c r="S565" s="192"/>
      <c r="T565" s="192"/>
      <c r="U565" s="192"/>
      <c r="V565" s="192"/>
      <c r="W565" s="192">
        <f ca="1">_xlfn.MINIFS(V:V,C:C,C565,AE:AE,"",AB:AB,"")</f>
        <v>0</v>
      </c>
      <c r="X565" s="192">
        <f ca="1">SUMIFS(T:T,C:C,C565,AE:AE,"")/SUMIFS(L:L,C:C,C565,AE:AE,"",AB:AB,"")</f>
        <v>0.1111111111111111</v>
      </c>
      <c r="Y565" s="192"/>
      <c r="Z565" s="192"/>
      <c r="AA565" s="192"/>
      <c r="AB565" s="192"/>
      <c r="AC565" s="194" t="s">
        <v>1784</v>
      </c>
      <c r="AD565" s="195" t="s">
        <v>1785</v>
      </c>
      <c r="AE565" s="196" t="s">
        <v>1787</v>
      </c>
      <c r="AF565" s="192" t="str">
        <f t="shared" si="1249"/>
        <v>N/A</v>
      </c>
      <c r="AG565" s="192">
        <f t="shared" si="1249"/>
        <v>0</v>
      </c>
      <c r="AH565" s="192"/>
      <c r="AI565" s="192"/>
      <c r="AJ565" s="192"/>
      <c r="AK565" s="192" t="str">
        <f t="shared" si="1250"/>
        <v>N/A</v>
      </c>
      <c r="AL565" s="192">
        <f t="shared" si="1250"/>
        <v>0</v>
      </c>
      <c r="AM565" s="192"/>
      <c r="AN565" s="192"/>
      <c r="AO565" s="192"/>
      <c r="AP565" s="192" t="str">
        <f t="shared" si="1251"/>
        <v>N/A</v>
      </c>
      <c r="AQ565" s="192">
        <f t="shared" si="1251"/>
        <v>0</v>
      </c>
      <c r="AR565" s="192"/>
      <c r="AS565" s="192"/>
      <c r="AT565" s="192"/>
      <c r="AU565" s="192" t="str">
        <f t="shared" si="1252"/>
        <v>AMC2-S1</v>
      </c>
      <c r="AV565" s="192">
        <f t="shared" si="1252"/>
        <v>1</v>
      </c>
      <c r="AW565" s="192"/>
      <c r="AX565" s="192"/>
      <c r="AY565" s="192"/>
      <c r="AZ565" s="192"/>
      <c r="BA565" s="193" t="s">
        <v>140</v>
      </c>
      <c r="BB565" s="193" t="s">
        <v>140</v>
      </c>
      <c r="BC565" s="193" t="s">
        <v>140</v>
      </c>
      <c r="BD565" s="193" t="s">
        <v>141</v>
      </c>
      <c r="BE565" s="196" t="s">
        <v>741</v>
      </c>
      <c r="BF565" s="192"/>
      <c r="BG565" s="186"/>
      <c r="BH565" s="186"/>
      <c r="BI565" s="197"/>
      <c r="BJ565" s="197"/>
      <c r="BK565" s="197"/>
      <c r="BL565" s="197"/>
      <c r="BM565" s="197"/>
      <c r="BN565" s="197"/>
      <c r="BO565" s="197"/>
      <c r="BP565" s="197"/>
      <c r="BQ565" s="197"/>
      <c r="BR565" s="186"/>
      <c r="BS565" s="186"/>
      <c r="BT565" s="186"/>
      <c r="BU565" s="186"/>
      <c r="BV565" s="186"/>
      <c r="BW565" s="186"/>
      <c r="BX565" s="186"/>
      <c r="BY565" s="186"/>
      <c r="BZ565" s="186"/>
      <c r="CA565" s="186"/>
      <c r="CB565" s="197"/>
      <c r="CC565" s="186"/>
      <c r="CD565" s="186"/>
      <c r="CE565" s="198"/>
      <c r="CF565" s="198"/>
    </row>
    <row r="566" spans="1:84" hidden="1">
      <c r="A566" s="141"/>
      <c r="B566" s="199" t="s">
        <v>1780</v>
      </c>
      <c r="C566" s="199" t="s">
        <v>2106</v>
      </c>
      <c r="D566" s="199" t="s">
        <v>1084</v>
      </c>
      <c r="E566" s="199" t="s">
        <v>1805</v>
      </c>
      <c r="F566" s="199" t="s">
        <v>1110</v>
      </c>
      <c r="G566" s="199" t="s">
        <v>1083</v>
      </c>
      <c r="H566" s="200">
        <v>11306</v>
      </c>
      <c r="I566" s="201" t="s">
        <v>147</v>
      </c>
      <c r="J566" s="165">
        <v>1</v>
      </c>
      <c r="K566" s="202">
        <f t="shared" si="1248"/>
        <v>1</v>
      </c>
      <c r="L566" s="202">
        <f t="shared" ref="L566:L570" si="1270">+J566*K566</f>
        <v>1</v>
      </c>
      <c r="M566" s="203">
        <v>2268.5</v>
      </c>
      <c r="N566" s="203">
        <f t="shared" ref="N566:N570" si="1271">+M566*L566</f>
        <v>2268.5</v>
      </c>
      <c r="O566" s="203" t="s">
        <v>137</v>
      </c>
      <c r="P566" s="203" t="s">
        <v>13</v>
      </c>
      <c r="Q566" s="203" t="s">
        <v>154</v>
      </c>
      <c r="R566" s="203"/>
      <c r="S566" s="203"/>
      <c r="T566" s="203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0</v>
      </c>
      <c r="U566" s="203">
        <f t="shared" ref="U566:U570" ca="1" si="1272">+L566-T566</f>
        <v>1</v>
      </c>
      <c r="V566" s="203">
        <f t="shared" ref="V566:V570" ca="1" si="1273">ROUNDDOWN(T566/J566,0)</f>
        <v>0</v>
      </c>
      <c r="W566" s="203"/>
      <c r="X566" s="203"/>
      <c r="Y566" s="203"/>
      <c r="Z566" s="203"/>
      <c r="AA566" s="203"/>
      <c r="AB566" s="203"/>
      <c r="AC566" s="205" t="s">
        <v>1784</v>
      </c>
      <c r="AD566" s="206" t="s">
        <v>1785</v>
      </c>
      <c r="AE566" s="166"/>
      <c r="AF566" s="203" t="str">
        <f t="shared" ref="AF566:AG581" si="1274">AF565</f>
        <v>N/A</v>
      </c>
      <c r="AG566" s="203">
        <f t="shared" si="1274"/>
        <v>0</v>
      </c>
      <c r="AH566" s="203">
        <f t="shared" ref="AH566:AH570" si="1275">+AG566*J566</f>
        <v>0</v>
      </c>
      <c r="AI566" s="203">
        <f t="shared" ref="AI566:AI570" ca="1" si="1276">MIN(T566,AH566)</f>
        <v>0</v>
      </c>
      <c r="AJ566" s="203">
        <f t="shared" ref="AJ566:AJ570" ca="1" si="1277">+AH566-AI566</f>
        <v>0</v>
      </c>
      <c r="AK566" s="203" t="str">
        <f t="shared" ref="AK566:AL581" si="1278">AK565</f>
        <v>N/A</v>
      </c>
      <c r="AL566" s="203">
        <f t="shared" si="1278"/>
        <v>0</v>
      </c>
      <c r="AM566" s="203">
        <f t="shared" ref="AM566:AM570" si="1279">+AL566*J566</f>
        <v>0</v>
      </c>
      <c r="AN566" s="203">
        <f t="shared" ref="AN566:AN570" ca="1" si="1280">MIN(T566-AI566,AL566)</f>
        <v>0</v>
      </c>
      <c r="AO566" s="203">
        <f t="shared" ref="AO566:AO570" ca="1" si="1281">+AM566-AN566</f>
        <v>0</v>
      </c>
      <c r="AP566" s="203" t="str">
        <f t="shared" ref="AP566:AQ581" si="1282">AP565</f>
        <v>N/A</v>
      </c>
      <c r="AQ566" s="203">
        <f t="shared" si="1282"/>
        <v>0</v>
      </c>
      <c r="AR566" s="203">
        <f t="shared" ref="AR566:AR570" si="1283">+AQ566*J566</f>
        <v>0</v>
      </c>
      <c r="AS566" s="203">
        <f t="shared" ref="AS566:AS570" ca="1" si="1284">MIN(T566-AI566-AN566,AR566)</f>
        <v>0</v>
      </c>
      <c r="AT566" s="203">
        <f t="shared" ref="AT566:AT570" ca="1" si="1285">+AR566-AS566</f>
        <v>0</v>
      </c>
      <c r="AU566" s="203" t="str">
        <f t="shared" ref="AU566:AV581" si="1286">AU565</f>
        <v>AMC2-S1</v>
      </c>
      <c r="AV566" s="203">
        <f t="shared" si="1286"/>
        <v>1</v>
      </c>
      <c r="AW566" s="203">
        <f t="shared" ref="AW566:AW570" si="1287">+AV566*J566</f>
        <v>1</v>
      </c>
      <c r="AX566" s="203">
        <f t="shared" ref="AX566:AX570" ca="1" si="1288">MIN(T566-AI566-AN566-AS566,AW566)</f>
        <v>0</v>
      </c>
      <c r="AY566" s="203">
        <f t="shared" ref="AY566:AY570" ca="1" si="1289">+AW566-AX566</f>
        <v>1</v>
      </c>
      <c r="AZ566" s="203"/>
      <c r="BA566" s="204" t="s">
        <v>140</v>
      </c>
      <c r="BB566" s="204" t="s">
        <v>140</v>
      </c>
      <c r="BC566" s="204" t="s">
        <v>140</v>
      </c>
      <c r="BD566" s="204" t="s">
        <v>141</v>
      </c>
      <c r="BE566" s="166"/>
      <c r="BF566" s="203" t="s">
        <v>1789</v>
      </c>
      <c r="BG566" s="141"/>
      <c r="BH566" s="152"/>
      <c r="BI566" s="207"/>
      <c r="BJ566" s="207"/>
      <c r="BK566" s="207"/>
      <c r="BL566" s="153" t="s">
        <v>149</v>
      </c>
      <c r="BM566" s="153"/>
      <c r="BN566" s="153"/>
      <c r="BO566" s="153"/>
      <c r="BP566" s="153"/>
      <c r="BQ566" s="153"/>
      <c r="BR566" s="141">
        <v>0</v>
      </c>
      <c r="BS566" s="141">
        <v>1</v>
      </c>
      <c r="BT566" s="141">
        <v>0</v>
      </c>
      <c r="BU566" s="141">
        <v>1</v>
      </c>
      <c r="BV566" s="141">
        <v>0</v>
      </c>
      <c r="BW566" s="141">
        <v>0</v>
      </c>
      <c r="BX566" s="141">
        <v>0</v>
      </c>
      <c r="BY566" s="141" t="s">
        <v>1790</v>
      </c>
      <c r="BZ566" s="117" t="s">
        <v>57</v>
      </c>
      <c r="CA566" s="141">
        <v>1</v>
      </c>
      <c r="CB566" s="153"/>
      <c r="CC566" s="152"/>
      <c r="CD566" s="152"/>
      <c r="CE566" s="208"/>
      <c r="CF566" s="166">
        <f>+L566-CA566</f>
        <v>0</v>
      </c>
    </row>
    <row r="567" spans="1:84" hidden="1">
      <c r="A567" s="141"/>
      <c r="B567" s="199" t="s">
        <v>1780</v>
      </c>
      <c r="C567" s="199" t="s">
        <v>2106</v>
      </c>
      <c r="D567" s="199" t="s">
        <v>13</v>
      </c>
      <c r="E567" s="199" t="s">
        <v>1806</v>
      </c>
      <c r="F567" s="199" t="s">
        <v>1111</v>
      </c>
      <c r="G567" s="199" t="s">
        <v>1096</v>
      </c>
      <c r="H567" s="200">
        <v>481</v>
      </c>
      <c r="I567" s="201" t="s">
        <v>147</v>
      </c>
      <c r="J567" s="165">
        <v>1</v>
      </c>
      <c r="K567" s="202">
        <f t="shared" si="1248"/>
        <v>1</v>
      </c>
      <c r="L567" s="202">
        <f t="shared" si="1270"/>
        <v>1</v>
      </c>
      <c r="M567" s="203">
        <v>6.8</v>
      </c>
      <c r="N567" s="203">
        <f t="shared" si="1271"/>
        <v>6.8</v>
      </c>
      <c r="O567" s="203" t="s">
        <v>137</v>
      </c>
      <c r="P567" s="203" t="s">
        <v>13</v>
      </c>
      <c r="Q567" s="203" t="s">
        <v>154</v>
      </c>
      <c r="R567" s="203"/>
      <c r="S567" s="203"/>
      <c r="T567" s="203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0</v>
      </c>
      <c r="U567" s="203">
        <f t="shared" ca="1" si="1272"/>
        <v>1</v>
      </c>
      <c r="V567" s="203">
        <f t="shared" ca="1" si="1273"/>
        <v>0</v>
      </c>
      <c r="W567" s="203"/>
      <c r="X567" s="203"/>
      <c r="Y567" s="203"/>
      <c r="Z567" s="203"/>
      <c r="AA567" s="203"/>
      <c r="AB567" s="203"/>
      <c r="AC567" s="205" t="s">
        <v>1784</v>
      </c>
      <c r="AD567" s="206" t="s">
        <v>1785</v>
      </c>
      <c r="AE567" s="166"/>
      <c r="AF567" s="203" t="str">
        <f t="shared" si="1274"/>
        <v>N/A</v>
      </c>
      <c r="AG567" s="203">
        <f t="shared" si="1274"/>
        <v>0</v>
      </c>
      <c r="AH567" s="203">
        <f t="shared" si="1275"/>
        <v>0</v>
      </c>
      <c r="AI567" s="203">
        <f t="shared" ca="1" si="1276"/>
        <v>0</v>
      </c>
      <c r="AJ567" s="203">
        <f t="shared" ca="1" si="1277"/>
        <v>0</v>
      </c>
      <c r="AK567" s="203" t="str">
        <f t="shared" si="1278"/>
        <v>N/A</v>
      </c>
      <c r="AL567" s="203">
        <f t="shared" si="1278"/>
        <v>0</v>
      </c>
      <c r="AM567" s="203">
        <f t="shared" si="1279"/>
        <v>0</v>
      </c>
      <c r="AN567" s="203">
        <f t="shared" ca="1" si="1280"/>
        <v>0</v>
      </c>
      <c r="AO567" s="203">
        <f t="shared" ca="1" si="1281"/>
        <v>0</v>
      </c>
      <c r="AP567" s="203" t="str">
        <f t="shared" si="1282"/>
        <v>N/A</v>
      </c>
      <c r="AQ567" s="203">
        <f t="shared" si="1282"/>
        <v>0</v>
      </c>
      <c r="AR567" s="203">
        <f t="shared" si="1283"/>
        <v>0</v>
      </c>
      <c r="AS567" s="203">
        <f t="shared" ca="1" si="1284"/>
        <v>0</v>
      </c>
      <c r="AT567" s="203">
        <f t="shared" ca="1" si="1285"/>
        <v>0</v>
      </c>
      <c r="AU567" s="203" t="str">
        <f t="shared" si="1286"/>
        <v>AMC2-S1</v>
      </c>
      <c r="AV567" s="203">
        <f t="shared" si="1286"/>
        <v>1</v>
      </c>
      <c r="AW567" s="203">
        <f t="shared" si="1287"/>
        <v>1</v>
      </c>
      <c r="AX567" s="203">
        <f t="shared" ca="1" si="1288"/>
        <v>0</v>
      </c>
      <c r="AY567" s="203">
        <f t="shared" ca="1" si="1289"/>
        <v>1</v>
      </c>
      <c r="AZ567" s="203"/>
      <c r="BA567" s="204" t="s">
        <v>140</v>
      </c>
      <c r="BB567" s="204" t="s">
        <v>140</v>
      </c>
      <c r="BC567" s="204" t="s">
        <v>140</v>
      </c>
      <c r="BD567" s="204" t="s">
        <v>141</v>
      </c>
      <c r="BE567" s="166"/>
      <c r="BF567" s="203" t="s">
        <v>1789</v>
      </c>
      <c r="BG567" s="141"/>
      <c r="BH567" s="152"/>
      <c r="BI567" s="207"/>
      <c r="BJ567" s="207"/>
      <c r="BK567" s="207"/>
      <c r="BL567" s="153" t="s">
        <v>149</v>
      </c>
      <c r="BM567" s="153"/>
      <c r="BN567" s="153"/>
      <c r="BO567" s="153"/>
      <c r="BP567" s="153"/>
      <c r="BQ567" s="153"/>
      <c r="BR567" s="141">
        <v>0</v>
      </c>
      <c r="BS567" s="141">
        <v>1</v>
      </c>
      <c r="BT567" s="141">
        <v>0</v>
      </c>
      <c r="BU567" s="141">
        <v>0</v>
      </c>
      <c r="BV567" s="141">
        <v>0</v>
      </c>
      <c r="BW567" s="141">
        <v>0</v>
      </c>
      <c r="BX567" s="141">
        <v>0</v>
      </c>
      <c r="BY567" s="141" t="s">
        <v>1790</v>
      </c>
      <c r="BZ567" s="141"/>
      <c r="CA567" s="141"/>
      <c r="CB567" s="153"/>
      <c r="CC567" s="152"/>
      <c r="CD567" s="152"/>
      <c r="CE567" s="208"/>
      <c r="CF567" s="166">
        <f>+L567-CA567</f>
        <v>1</v>
      </c>
    </row>
    <row r="568" spans="1:84" hidden="1">
      <c r="A568" s="141"/>
      <c r="B568" s="199" t="s">
        <v>1780</v>
      </c>
      <c r="C568" s="199" t="s">
        <v>2106</v>
      </c>
      <c r="D568" s="199" t="s">
        <v>13</v>
      </c>
      <c r="E568" s="199" t="s">
        <v>1807</v>
      </c>
      <c r="F568" s="199" t="s">
        <v>1112</v>
      </c>
      <c r="G568" s="199" t="s">
        <v>1113</v>
      </c>
      <c r="H568" s="200">
        <v>2097</v>
      </c>
      <c r="I568" s="201" t="s">
        <v>147</v>
      </c>
      <c r="J568" s="165">
        <v>1</v>
      </c>
      <c r="K568" s="202">
        <f t="shared" si="1248"/>
        <v>1</v>
      </c>
      <c r="L568" s="202">
        <f t="shared" si="1270"/>
        <v>1</v>
      </c>
      <c r="M568" s="203">
        <v>41.1</v>
      </c>
      <c r="N568" s="203">
        <f t="shared" si="1271"/>
        <v>41.1</v>
      </c>
      <c r="O568" s="203" t="s">
        <v>137</v>
      </c>
      <c r="P568" s="203" t="s">
        <v>13</v>
      </c>
      <c r="Q568" s="203" t="s">
        <v>148</v>
      </c>
      <c r="R568" s="203"/>
      <c r="S568" s="203"/>
      <c r="T568" s="203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1</v>
      </c>
      <c r="U568" s="203">
        <f t="shared" ca="1" si="1272"/>
        <v>0</v>
      </c>
      <c r="V568" s="203">
        <f t="shared" ca="1" si="1273"/>
        <v>1</v>
      </c>
      <c r="W568" s="203"/>
      <c r="X568" s="203"/>
      <c r="Y568" s="203"/>
      <c r="Z568" s="203"/>
      <c r="AA568" s="203"/>
      <c r="AB568" s="203"/>
      <c r="AC568" s="205" t="s">
        <v>1784</v>
      </c>
      <c r="AD568" s="206" t="s">
        <v>1785</v>
      </c>
      <c r="AE568" s="166"/>
      <c r="AF568" s="203" t="str">
        <f t="shared" si="1274"/>
        <v>N/A</v>
      </c>
      <c r="AG568" s="203">
        <f t="shared" si="1274"/>
        <v>0</v>
      </c>
      <c r="AH568" s="203">
        <f t="shared" si="1275"/>
        <v>0</v>
      </c>
      <c r="AI568" s="203">
        <f t="shared" ca="1" si="1276"/>
        <v>0</v>
      </c>
      <c r="AJ568" s="203">
        <f t="shared" ca="1" si="1277"/>
        <v>0</v>
      </c>
      <c r="AK568" s="203" t="str">
        <f t="shared" si="1278"/>
        <v>N/A</v>
      </c>
      <c r="AL568" s="203">
        <f t="shared" si="1278"/>
        <v>0</v>
      </c>
      <c r="AM568" s="203">
        <f t="shared" si="1279"/>
        <v>0</v>
      </c>
      <c r="AN568" s="203">
        <f t="shared" ca="1" si="1280"/>
        <v>0</v>
      </c>
      <c r="AO568" s="203">
        <f t="shared" ca="1" si="1281"/>
        <v>0</v>
      </c>
      <c r="AP568" s="203" t="str">
        <f t="shared" si="1282"/>
        <v>N/A</v>
      </c>
      <c r="AQ568" s="203">
        <f t="shared" si="1282"/>
        <v>0</v>
      </c>
      <c r="AR568" s="203">
        <f t="shared" si="1283"/>
        <v>0</v>
      </c>
      <c r="AS568" s="203">
        <f t="shared" ca="1" si="1284"/>
        <v>0</v>
      </c>
      <c r="AT568" s="203">
        <f t="shared" ca="1" si="1285"/>
        <v>0</v>
      </c>
      <c r="AU568" s="203" t="str">
        <f t="shared" si="1286"/>
        <v>AMC2-S1</v>
      </c>
      <c r="AV568" s="203">
        <f t="shared" si="1286"/>
        <v>1</v>
      </c>
      <c r="AW568" s="203">
        <f t="shared" si="1287"/>
        <v>1</v>
      </c>
      <c r="AX568" s="203">
        <f t="shared" ca="1" si="1288"/>
        <v>1</v>
      </c>
      <c r="AY568" s="203">
        <f t="shared" ca="1" si="1289"/>
        <v>0</v>
      </c>
      <c r="AZ568" s="203"/>
      <c r="BA568" s="204" t="s">
        <v>140</v>
      </c>
      <c r="BB568" s="204" t="s">
        <v>140</v>
      </c>
      <c r="BC568" s="204" t="s">
        <v>140</v>
      </c>
      <c r="BD568" s="204" t="s">
        <v>141</v>
      </c>
      <c r="BE568" s="166"/>
      <c r="BF568" s="203" t="s">
        <v>1789</v>
      </c>
      <c r="BG568" s="141"/>
      <c r="BH568" s="152"/>
      <c r="BI568" s="207"/>
      <c r="BJ568" s="207"/>
      <c r="BK568" s="207"/>
      <c r="BL568" s="153" t="s">
        <v>149</v>
      </c>
      <c r="BM568" s="153"/>
      <c r="BN568" s="153"/>
      <c r="BO568" s="153"/>
      <c r="BP568" s="153"/>
      <c r="BQ568" s="153"/>
      <c r="BR568" s="141">
        <v>0</v>
      </c>
      <c r="BS568" s="141">
        <v>0</v>
      </c>
      <c r="BT568" s="141">
        <v>0</v>
      </c>
      <c r="BU568" s="141">
        <v>0</v>
      </c>
      <c r="BV568" s="141">
        <v>0</v>
      </c>
      <c r="BW568" s="141">
        <v>0</v>
      </c>
      <c r="BX568" s="141">
        <v>0</v>
      </c>
      <c r="BY568" s="141" t="s">
        <v>1790</v>
      </c>
      <c r="BZ568" s="141" t="s">
        <v>2101</v>
      </c>
      <c r="CA568" s="165">
        <v>1</v>
      </c>
      <c r="CB568" s="153">
        <v>46244</v>
      </c>
      <c r="CC568" s="152"/>
      <c r="CD568" s="152"/>
      <c r="CE568" s="208"/>
      <c r="CF568" s="166">
        <f>+L568-CA568</f>
        <v>0</v>
      </c>
    </row>
    <row r="569" spans="1:84" hidden="1">
      <c r="A569" s="141"/>
      <c r="B569" s="199" t="s">
        <v>1780</v>
      </c>
      <c r="C569" s="199" t="s">
        <v>2106</v>
      </c>
      <c r="D569" s="199" t="s">
        <v>13</v>
      </c>
      <c r="E569" s="199" t="s">
        <v>1808</v>
      </c>
      <c r="F569" s="199" t="s">
        <v>1114</v>
      </c>
      <c r="G569" s="199" t="s">
        <v>1115</v>
      </c>
      <c r="H569" s="200">
        <v>2138</v>
      </c>
      <c r="I569" s="201" t="s">
        <v>147</v>
      </c>
      <c r="J569" s="165">
        <v>5</v>
      </c>
      <c r="K569" s="202">
        <f t="shared" si="1248"/>
        <v>1</v>
      </c>
      <c r="L569" s="202">
        <f t="shared" si="1270"/>
        <v>5</v>
      </c>
      <c r="M569" s="203">
        <v>31.8</v>
      </c>
      <c r="N569" s="203">
        <f t="shared" si="1271"/>
        <v>159</v>
      </c>
      <c r="O569" s="203" t="s">
        <v>137</v>
      </c>
      <c r="P569" s="203" t="s">
        <v>13</v>
      </c>
      <c r="Q569" s="203" t="s">
        <v>148</v>
      </c>
      <c r="R569" s="203"/>
      <c r="S569" s="203"/>
      <c r="T569" s="203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0</v>
      </c>
      <c r="U569" s="203">
        <f t="shared" ca="1" si="1272"/>
        <v>5</v>
      </c>
      <c r="V569" s="203">
        <f t="shared" ca="1" si="1273"/>
        <v>0</v>
      </c>
      <c r="W569" s="203"/>
      <c r="X569" s="203"/>
      <c r="Y569" s="203"/>
      <c r="Z569" s="203"/>
      <c r="AA569" s="203"/>
      <c r="AB569" s="203"/>
      <c r="AC569" s="205" t="s">
        <v>1784</v>
      </c>
      <c r="AD569" s="206" t="s">
        <v>1785</v>
      </c>
      <c r="AE569" s="166"/>
      <c r="AF569" s="203" t="str">
        <f t="shared" si="1274"/>
        <v>N/A</v>
      </c>
      <c r="AG569" s="203">
        <f t="shared" si="1274"/>
        <v>0</v>
      </c>
      <c r="AH569" s="203">
        <f t="shared" si="1275"/>
        <v>0</v>
      </c>
      <c r="AI569" s="203">
        <f t="shared" ca="1" si="1276"/>
        <v>0</v>
      </c>
      <c r="AJ569" s="203">
        <f t="shared" ca="1" si="1277"/>
        <v>0</v>
      </c>
      <c r="AK569" s="203" t="str">
        <f t="shared" si="1278"/>
        <v>N/A</v>
      </c>
      <c r="AL569" s="203">
        <f t="shared" si="1278"/>
        <v>0</v>
      </c>
      <c r="AM569" s="203">
        <f t="shared" si="1279"/>
        <v>0</v>
      </c>
      <c r="AN569" s="203">
        <f t="shared" ca="1" si="1280"/>
        <v>0</v>
      </c>
      <c r="AO569" s="203">
        <f t="shared" ca="1" si="1281"/>
        <v>0</v>
      </c>
      <c r="AP569" s="203" t="str">
        <f t="shared" si="1282"/>
        <v>N/A</v>
      </c>
      <c r="AQ569" s="203">
        <f t="shared" si="1282"/>
        <v>0</v>
      </c>
      <c r="AR569" s="203">
        <f t="shared" si="1283"/>
        <v>0</v>
      </c>
      <c r="AS569" s="203">
        <f t="shared" ca="1" si="1284"/>
        <v>0</v>
      </c>
      <c r="AT569" s="203">
        <f t="shared" ca="1" si="1285"/>
        <v>0</v>
      </c>
      <c r="AU569" s="203" t="str">
        <f t="shared" si="1286"/>
        <v>AMC2-S1</v>
      </c>
      <c r="AV569" s="203">
        <f t="shared" si="1286"/>
        <v>1</v>
      </c>
      <c r="AW569" s="203">
        <f t="shared" si="1287"/>
        <v>5</v>
      </c>
      <c r="AX569" s="203">
        <f t="shared" ca="1" si="1288"/>
        <v>0</v>
      </c>
      <c r="AY569" s="203">
        <f t="shared" ca="1" si="1289"/>
        <v>5</v>
      </c>
      <c r="AZ569" s="203"/>
      <c r="BA569" s="204" t="s">
        <v>140</v>
      </c>
      <c r="BB569" s="204" t="s">
        <v>140</v>
      </c>
      <c r="BC569" s="204" t="s">
        <v>140</v>
      </c>
      <c r="BD569" s="204" t="s">
        <v>141</v>
      </c>
      <c r="BE569" s="166"/>
      <c r="BF569" s="203" t="s">
        <v>1789</v>
      </c>
      <c r="BG569" s="141"/>
      <c r="BH569" s="152"/>
      <c r="BI569" s="207"/>
      <c r="BJ569" s="207"/>
      <c r="BK569" s="207"/>
      <c r="BL569" s="153" t="s">
        <v>149</v>
      </c>
      <c r="BM569" s="153"/>
      <c r="BN569" s="153"/>
      <c r="BO569" s="153"/>
      <c r="BP569" s="153"/>
      <c r="BQ569" s="153"/>
      <c r="BR569" s="141">
        <v>0</v>
      </c>
      <c r="BS569" s="141">
        <v>0</v>
      </c>
      <c r="BT569" s="141">
        <v>0</v>
      </c>
      <c r="BU569" s="141">
        <v>0</v>
      </c>
      <c r="BV569" s="141">
        <v>0</v>
      </c>
      <c r="BW569" s="141">
        <v>0</v>
      </c>
      <c r="BX569" s="141">
        <v>0</v>
      </c>
      <c r="BY569" s="141" t="s">
        <v>1790</v>
      </c>
      <c r="BZ569" s="141" t="s">
        <v>2099</v>
      </c>
      <c r="CA569" s="165">
        <v>5</v>
      </c>
      <c r="CB569" s="153">
        <v>46244</v>
      </c>
      <c r="CC569" s="152"/>
      <c r="CD569" s="152"/>
      <c r="CE569" s="208"/>
      <c r="CF569" s="166">
        <f>+L569-CA569</f>
        <v>0</v>
      </c>
    </row>
    <row r="570" spans="1:84" hidden="1">
      <c r="A570" s="141"/>
      <c r="B570" s="199" t="s">
        <v>1780</v>
      </c>
      <c r="C570" s="199" t="s">
        <v>2106</v>
      </c>
      <c r="D570" s="199" t="s">
        <v>1076</v>
      </c>
      <c r="E570" s="199" t="s">
        <v>1809</v>
      </c>
      <c r="F570" s="199" t="s">
        <v>1116</v>
      </c>
      <c r="G570" s="199" t="s">
        <v>1117</v>
      </c>
      <c r="H570" s="200">
        <v>781</v>
      </c>
      <c r="I570" s="201" t="s">
        <v>147</v>
      </c>
      <c r="J570" s="165">
        <v>1</v>
      </c>
      <c r="K570" s="202">
        <f t="shared" si="1248"/>
        <v>1</v>
      </c>
      <c r="L570" s="202">
        <f t="shared" si="1270"/>
        <v>1</v>
      </c>
      <c r="M570" s="203">
        <v>21.7</v>
      </c>
      <c r="N570" s="203">
        <f t="shared" si="1271"/>
        <v>21.7</v>
      </c>
      <c r="O570" s="203" t="s">
        <v>137</v>
      </c>
      <c r="P570" s="203" t="s">
        <v>13</v>
      </c>
      <c r="Q570" s="203" t="s">
        <v>148</v>
      </c>
      <c r="R570" s="203"/>
      <c r="S570" s="203"/>
      <c r="T570" s="203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0</v>
      </c>
      <c r="U570" s="203">
        <f t="shared" ca="1" si="1272"/>
        <v>1</v>
      </c>
      <c r="V570" s="203">
        <f t="shared" ca="1" si="1273"/>
        <v>0</v>
      </c>
      <c r="W570" s="203"/>
      <c r="X570" s="203"/>
      <c r="Y570" s="203"/>
      <c r="Z570" s="203"/>
      <c r="AA570" s="203"/>
      <c r="AB570" s="203"/>
      <c r="AC570" s="205" t="s">
        <v>1784</v>
      </c>
      <c r="AD570" s="206" t="s">
        <v>1785</v>
      </c>
      <c r="AE570" s="166"/>
      <c r="AF570" s="203" t="str">
        <f t="shared" si="1274"/>
        <v>N/A</v>
      </c>
      <c r="AG570" s="203">
        <f t="shared" si="1274"/>
        <v>0</v>
      </c>
      <c r="AH570" s="203">
        <f t="shared" si="1275"/>
        <v>0</v>
      </c>
      <c r="AI570" s="203">
        <f t="shared" ca="1" si="1276"/>
        <v>0</v>
      </c>
      <c r="AJ570" s="203">
        <f t="shared" ca="1" si="1277"/>
        <v>0</v>
      </c>
      <c r="AK570" s="203" t="str">
        <f t="shared" si="1278"/>
        <v>N/A</v>
      </c>
      <c r="AL570" s="203">
        <f t="shared" si="1278"/>
        <v>0</v>
      </c>
      <c r="AM570" s="203">
        <f t="shared" si="1279"/>
        <v>0</v>
      </c>
      <c r="AN570" s="203">
        <f t="shared" ca="1" si="1280"/>
        <v>0</v>
      </c>
      <c r="AO570" s="203">
        <f t="shared" ca="1" si="1281"/>
        <v>0</v>
      </c>
      <c r="AP570" s="203" t="str">
        <f t="shared" si="1282"/>
        <v>N/A</v>
      </c>
      <c r="AQ570" s="203">
        <f t="shared" si="1282"/>
        <v>0</v>
      </c>
      <c r="AR570" s="203">
        <f t="shared" si="1283"/>
        <v>0</v>
      </c>
      <c r="AS570" s="203">
        <f t="shared" ca="1" si="1284"/>
        <v>0</v>
      </c>
      <c r="AT570" s="203">
        <f t="shared" ca="1" si="1285"/>
        <v>0</v>
      </c>
      <c r="AU570" s="203" t="str">
        <f t="shared" si="1286"/>
        <v>AMC2-S1</v>
      </c>
      <c r="AV570" s="203">
        <f t="shared" si="1286"/>
        <v>1</v>
      </c>
      <c r="AW570" s="203">
        <f t="shared" si="1287"/>
        <v>1</v>
      </c>
      <c r="AX570" s="203">
        <f t="shared" ca="1" si="1288"/>
        <v>0</v>
      </c>
      <c r="AY570" s="203">
        <f t="shared" ca="1" si="1289"/>
        <v>1</v>
      </c>
      <c r="AZ570" s="203"/>
      <c r="BA570" s="204" t="s">
        <v>140</v>
      </c>
      <c r="BB570" s="204" t="s">
        <v>140</v>
      </c>
      <c r="BC570" s="204" t="s">
        <v>140</v>
      </c>
      <c r="BD570" s="204" t="s">
        <v>141</v>
      </c>
      <c r="BE570" s="166"/>
      <c r="BF570" s="203" t="s">
        <v>1789</v>
      </c>
      <c r="BG570" s="141"/>
      <c r="BH570" s="152"/>
      <c r="BI570" s="207"/>
      <c r="BJ570" s="207"/>
      <c r="BK570" s="207"/>
      <c r="BL570" s="153" t="s">
        <v>149</v>
      </c>
      <c r="BM570" s="153"/>
      <c r="BN570" s="153"/>
      <c r="BO570" s="153"/>
      <c r="BP570" s="153"/>
      <c r="BQ570" s="153"/>
      <c r="BR570" s="141">
        <v>1</v>
      </c>
      <c r="BS570" s="141">
        <v>0</v>
      </c>
      <c r="BT570" s="141">
        <v>0</v>
      </c>
      <c r="BU570" s="141">
        <v>0</v>
      </c>
      <c r="BV570" s="141">
        <v>0</v>
      </c>
      <c r="BW570" s="141">
        <v>0</v>
      </c>
      <c r="BX570" s="141">
        <v>0</v>
      </c>
      <c r="BY570" s="141" t="s">
        <v>1790</v>
      </c>
      <c r="BZ570" s="141" t="s">
        <v>2100</v>
      </c>
      <c r="CA570" s="165">
        <v>1</v>
      </c>
      <c r="CB570" s="153">
        <v>46238</v>
      </c>
      <c r="CC570" s="152"/>
      <c r="CD570" s="152"/>
      <c r="CE570" s="208"/>
      <c r="CF570" s="166">
        <f>+L570-CA570</f>
        <v>0</v>
      </c>
    </row>
    <row r="571" spans="1:84" hidden="1">
      <c r="A571" s="186"/>
      <c r="B571" s="187" t="s">
        <v>1780</v>
      </c>
      <c r="C571" s="187" t="s">
        <v>2107</v>
      </c>
      <c r="D571" s="187"/>
      <c r="E571" s="187"/>
      <c r="F571" s="187"/>
      <c r="G571" s="187" t="s">
        <v>1810</v>
      </c>
      <c r="H571" s="188"/>
      <c r="I571" s="189"/>
      <c r="J571" s="190"/>
      <c r="K571" s="191">
        <f t="shared" si="1248"/>
        <v>1</v>
      </c>
      <c r="L571" s="190"/>
      <c r="M571" s="192">
        <v>2466.5</v>
      </c>
      <c r="N571" s="192">
        <v>2466</v>
      </c>
      <c r="O571" s="192" t="s">
        <v>137</v>
      </c>
      <c r="P571" s="192"/>
      <c r="Q571" s="192"/>
      <c r="R571" s="192"/>
      <c r="S571" s="192"/>
      <c r="T571" s="192"/>
      <c r="U571" s="192"/>
      <c r="V571" s="192"/>
      <c r="W571" s="192">
        <f ca="1">_xlfn.MINIFS(V:V,C:C,C571,AE:AE,"",AB:AB,"")</f>
        <v>0</v>
      </c>
      <c r="X571" s="192">
        <f ca="1">SUMIFS(T:T,C:C,C571,AE:AE,"")/SUMIFS(L:L,C:C,C571,AE:AE,"",AB:AB,"")</f>
        <v>0</v>
      </c>
      <c r="Y571" s="192"/>
      <c r="Z571" s="192"/>
      <c r="AA571" s="192"/>
      <c r="AB571" s="192"/>
      <c r="AC571" s="194" t="s">
        <v>1784</v>
      </c>
      <c r="AD571" s="195" t="s">
        <v>1785</v>
      </c>
      <c r="AE571" s="196" t="s">
        <v>1787</v>
      </c>
      <c r="AF571" s="192" t="str">
        <f t="shared" si="1274"/>
        <v>N/A</v>
      </c>
      <c r="AG571" s="192">
        <f t="shared" si="1274"/>
        <v>0</v>
      </c>
      <c r="AH571" s="192"/>
      <c r="AI571" s="192"/>
      <c r="AJ571" s="192"/>
      <c r="AK571" s="192" t="str">
        <f t="shared" si="1278"/>
        <v>N/A</v>
      </c>
      <c r="AL571" s="192">
        <f t="shared" si="1278"/>
        <v>0</v>
      </c>
      <c r="AM571" s="192"/>
      <c r="AN571" s="192"/>
      <c r="AO571" s="192"/>
      <c r="AP571" s="192" t="str">
        <f t="shared" si="1282"/>
        <v>N/A</v>
      </c>
      <c r="AQ571" s="192">
        <f t="shared" si="1282"/>
        <v>0</v>
      </c>
      <c r="AR571" s="192"/>
      <c r="AS571" s="192"/>
      <c r="AT571" s="192"/>
      <c r="AU571" s="192" t="str">
        <f t="shared" si="1286"/>
        <v>AMC2-S1</v>
      </c>
      <c r="AV571" s="192">
        <f t="shared" si="1286"/>
        <v>1</v>
      </c>
      <c r="AW571" s="192"/>
      <c r="AX571" s="192"/>
      <c r="AY571" s="192"/>
      <c r="AZ571" s="192"/>
      <c r="BA571" s="193" t="s">
        <v>140</v>
      </c>
      <c r="BB571" s="193" t="s">
        <v>140</v>
      </c>
      <c r="BC571" s="193" t="s">
        <v>140</v>
      </c>
      <c r="BD571" s="193" t="s">
        <v>141</v>
      </c>
      <c r="BE571" s="196" t="s">
        <v>741</v>
      </c>
      <c r="BF571" s="192"/>
      <c r="BG571" s="186"/>
      <c r="BH571" s="186"/>
      <c r="BI571" s="197"/>
      <c r="BJ571" s="197"/>
      <c r="BK571" s="197"/>
      <c r="BL571" s="197"/>
      <c r="BM571" s="197"/>
      <c r="BN571" s="197"/>
      <c r="BO571" s="197"/>
      <c r="BP571" s="197"/>
      <c r="BQ571" s="197"/>
      <c r="BR571" s="186"/>
      <c r="BS571" s="186"/>
      <c r="BT571" s="186"/>
      <c r="BU571" s="186"/>
      <c r="BV571" s="186"/>
      <c r="BW571" s="186"/>
      <c r="BX571" s="186"/>
      <c r="BY571" s="186"/>
      <c r="BZ571" s="186"/>
      <c r="CA571" s="186"/>
      <c r="CB571" s="197"/>
      <c r="CC571" s="186"/>
      <c r="CD571" s="186"/>
      <c r="CE571" s="198"/>
      <c r="CF571" s="198"/>
    </row>
    <row r="572" spans="1:84" hidden="1">
      <c r="A572" s="117"/>
      <c r="B572" s="209" t="s">
        <v>1780</v>
      </c>
      <c r="C572" s="209" t="s">
        <v>2107</v>
      </c>
      <c r="D572" s="209" t="s">
        <v>1084</v>
      </c>
      <c r="E572" s="209" t="s">
        <v>1805</v>
      </c>
      <c r="F572" s="209" t="s">
        <v>1118</v>
      </c>
      <c r="G572" s="209" t="s">
        <v>1083</v>
      </c>
      <c r="H572" s="210">
        <v>11306</v>
      </c>
      <c r="I572" s="211" t="s">
        <v>147</v>
      </c>
      <c r="J572" s="144">
        <v>1</v>
      </c>
      <c r="K572" s="145">
        <f t="shared" si="1248"/>
        <v>1</v>
      </c>
      <c r="L572" s="202">
        <f t="shared" ref="L572:L576" si="1290">+J572*K572</f>
        <v>1</v>
      </c>
      <c r="M572" s="212">
        <v>2268.5</v>
      </c>
      <c r="N572" s="203">
        <f t="shared" ref="N572:N576" si="1291">+M572*L572</f>
        <v>2268.5</v>
      </c>
      <c r="O572" s="212" t="s">
        <v>137</v>
      </c>
      <c r="P572" s="212" t="s">
        <v>13</v>
      </c>
      <c r="Q572" s="212" t="s">
        <v>154</v>
      </c>
      <c r="R572" s="212"/>
      <c r="S572" s="212"/>
      <c r="T572" s="203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0</v>
      </c>
      <c r="U572" s="203">
        <f t="shared" ref="U572:U576" ca="1" si="1292">+L572-T572</f>
        <v>1</v>
      </c>
      <c r="V572" s="203">
        <f t="shared" ref="V572:V576" ca="1" si="1293">ROUNDDOWN(T572/J572,0)</f>
        <v>0</v>
      </c>
      <c r="W572" s="212"/>
      <c r="X572" s="212"/>
      <c r="Y572" s="212"/>
      <c r="Z572" s="212"/>
      <c r="AA572" s="212"/>
      <c r="AB572" s="212"/>
      <c r="AC572" s="214" t="s">
        <v>1784</v>
      </c>
      <c r="AD572" s="215" t="s">
        <v>1785</v>
      </c>
      <c r="AE572" s="148"/>
      <c r="AF572" s="212" t="str">
        <f t="shared" si="1274"/>
        <v>N/A</v>
      </c>
      <c r="AG572" s="212">
        <f t="shared" si="1274"/>
        <v>0</v>
      </c>
      <c r="AH572" s="203">
        <f t="shared" ref="AH572:AH576" si="1294">+AG572*J572</f>
        <v>0</v>
      </c>
      <c r="AI572" s="203">
        <f t="shared" ref="AI572:AI576" ca="1" si="1295">MIN(T572,AH572)</f>
        <v>0</v>
      </c>
      <c r="AJ572" s="203">
        <f t="shared" ref="AJ572:AJ576" ca="1" si="1296">+AH572-AI572</f>
        <v>0</v>
      </c>
      <c r="AK572" s="212" t="str">
        <f t="shared" si="1278"/>
        <v>N/A</v>
      </c>
      <c r="AL572" s="212">
        <f t="shared" si="1278"/>
        <v>0</v>
      </c>
      <c r="AM572" s="203">
        <f t="shared" ref="AM572:AM576" si="1297">+AL572*J572</f>
        <v>0</v>
      </c>
      <c r="AN572" s="203">
        <f t="shared" ref="AN572:AN576" ca="1" si="1298">MIN(T572-AI572,AL572)</f>
        <v>0</v>
      </c>
      <c r="AO572" s="203">
        <f t="shared" ref="AO572:AO576" ca="1" si="1299">+AM572-AN572</f>
        <v>0</v>
      </c>
      <c r="AP572" s="212" t="str">
        <f t="shared" si="1282"/>
        <v>N/A</v>
      </c>
      <c r="AQ572" s="212">
        <f t="shared" si="1282"/>
        <v>0</v>
      </c>
      <c r="AR572" s="203">
        <f t="shared" ref="AR572:AR576" si="1300">+AQ572*J572</f>
        <v>0</v>
      </c>
      <c r="AS572" s="203">
        <f t="shared" ref="AS572:AS576" ca="1" si="1301">MIN(T572-AI572-AN572,AR572)</f>
        <v>0</v>
      </c>
      <c r="AT572" s="203">
        <f t="shared" ref="AT572:AT576" ca="1" si="1302">+AR572-AS572</f>
        <v>0</v>
      </c>
      <c r="AU572" s="212" t="str">
        <f t="shared" si="1286"/>
        <v>AMC2-S1</v>
      </c>
      <c r="AV572" s="212">
        <f t="shared" si="1286"/>
        <v>1</v>
      </c>
      <c r="AW572" s="203">
        <f t="shared" ref="AW572:AW576" si="1303">+AV572*J572</f>
        <v>1</v>
      </c>
      <c r="AX572" s="203">
        <f t="shared" ref="AX572:AX576" ca="1" si="1304">MIN(T572-AI572-AN572-AS572,AW572)</f>
        <v>0</v>
      </c>
      <c r="AY572" s="203">
        <f t="shared" ref="AY572:AY576" ca="1" si="1305">+AW572-AX572</f>
        <v>1</v>
      </c>
      <c r="AZ572" s="212"/>
      <c r="BA572" s="213" t="s">
        <v>140</v>
      </c>
      <c r="BB572" s="213" t="s">
        <v>140</v>
      </c>
      <c r="BC572" s="213" t="s">
        <v>140</v>
      </c>
      <c r="BD572" s="213" t="s">
        <v>141</v>
      </c>
      <c r="BE572" s="148"/>
      <c r="BF572" s="212" t="s">
        <v>1789</v>
      </c>
      <c r="BG572" s="117"/>
      <c r="BH572" s="155"/>
      <c r="BI572" s="216"/>
      <c r="BJ572" s="216"/>
      <c r="BK572" s="216"/>
      <c r="BL572" s="149"/>
      <c r="BM572" s="149" t="s">
        <v>149</v>
      </c>
      <c r="BN572" s="149"/>
      <c r="BO572" s="149"/>
      <c r="BP572" s="149"/>
      <c r="BQ572" s="149"/>
      <c r="BR572" s="117">
        <v>0</v>
      </c>
      <c r="BS572" s="117">
        <v>1</v>
      </c>
      <c r="BT572" s="117">
        <v>0</v>
      </c>
      <c r="BU572" s="117">
        <v>1</v>
      </c>
      <c r="BV572" s="117">
        <v>0</v>
      </c>
      <c r="BW572" s="117">
        <v>0</v>
      </c>
      <c r="BX572" s="117">
        <v>0</v>
      </c>
      <c r="BY572" s="117" t="s">
        <v>1790</v>
      </c>
      <c r="BZ572" s="117" t="s">
        <v>57</v>
      </c>
      <c r="CA572" s="117">
        <v>1</v>
      </c>
      <c r="CB572" s="149"/>
      <c r="CC572" s="155"/>
      <c r="CD572" s="155"/>
      <c r="CE572" s="217"/>
      <c r="CF572" s="148">
        <f>+L572-CA572</f>
        <v>0</v>
      </c>
    </row>
    <row r="573" spans="1:84" hidden="1">
      <c r="A573" s="141"/>
      <c r="B573" s="199" t="s">
        <v>1780</v>
      </c>
      <c r="C573" s="199" t="s">
        <v>2107</v>
      </c>
      <c r="D573" s="199" t="s">
        <v>13</v>
      </c>
      <c r="E573" s="199" t="s">
        <v>1808</v>
      </c>
      <c r="F573" s="199" t="s">
        <v>1119</v>
      </c>
      <c r="G573" s="199" t="s">
        <v>1115</v>
      </c>
      <c r="H573" s="200">
        <v>2138</v>
      </c>
      <c r="I573" s="201" t="s">
        <v>147</v>
      </c>
      <c r="J573" s="165">
        <v>5</v>
      </c>
      <c r="K573" s="202">
        <f t="shared" si="1248"/>
        <v>1</v>
      </c>
      <c r="L573" s="202">
        <f t="shared" si="1290"/>
        <v>5</v>
      </c>
      <c r="M573" s="203">
        <v>31.8</v>
      </c>
      <c r="N573" s="203">
        <f t="shared" si="1291"/>
        <v>159</v>
      </c>
      <c r="O573" s="203" t="s">
        <v>137</v>
      </c>
      <c r="P573" s="203" t="s">
        <v>13</v>
      </c>
      <c r="Q573" s="203" t="s">
        <v>148</v>
      </c>
      <c r="R573" s="203"/>
      <c r="S573" s="203"/>
      <c r="T573" s="203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0</v>
      </c>
      <c r="U573" s="203">
        <f t="shared" ca="1" si="1292"/>
        <v>5</v>
      </c>
      <c r="V573" s="203">
        <f t="shared" ca="1" si="1293"/>
        <v>0</v>
      </c>
      <c r="W573" s="203"/>
      <c r="X573" s="203"/>
      <c r="Y573" s="203"/>
      <c r="Z573" s="203"/>
      <c r="AA573" s="203"/>
      <c r="AB573" s="203"/>
      <c r="AC573" s="205" t="s">
        <v>1784</v>
      </c>
      <c r="AD573" s="206" t="s">
        <v>1785</v>
      </c>
      <c r="AE573" s="166"/>
      <c r="AF573" s="203" t="str">
        <f t="shared" si="1274"/>
        <v>N/A</v>
      </c>
      <c r="AG573" s="203">
        <f t="shared" si="1274"/>
        <v>0</v>
      </c>
      <c r="AH573" s="203">
        <f t="shared" si="1294"/>
        <v>0</v>
      </c>
      <c r="AI573" s="203">
        <f t="shared" ca="1" si="1295"/>
        <v>0</v>
      </c>
      <c r="AJ573" s="203">
        <f t="shared" ca="1" si="1296"/>
        <v>0</v>
      </c>
      <c r="AK573" s="203" t="str">
        <f t="shared" si="1278"/>
        <v>N/A</v>
      </c>
      <c r="AL573" s="203">
        <f t="shared" si="1278"/>
        <v>0</v>
      </c>
      <c r="AM573" s="203">
        <f t="shared" si="1297"/>
        <v>0</v>
      </c>
      <c r="AN573" s="203">
        <f t="shared" ca="1" si="1298"/>
        <v>0</v>
      </c>
      <c r="AO573" s="203">
        <f t="shared" ca="1" si="1299"/>
        <v>0</v>
      </c>
      <c r="AP573" s="203" t="str">
        <f t="shared" si="1282"/>
        <v>N/A</v>
      </c>
      <c r="AQ573" s="203">
        <f t="shared" si="1282"/>
        <v>0</v>
      </c>
      <c r="AR573" s="203">
        <f t="shared" si="1300"/>
        <v>0</v>
      </c>
      <c r="AS573" s="203">
        <f t="shared" ca="1" si="1301"/>
        <v>0</v>
      </c>
      <c r="AT573" s="203">
        <f t="shared" ca="1" si="1302"/>
        <v>0</v>
      </c>
      <c r="AU573" s="203" t="str">
        <f t="shared" si="1286"/>
        <v>AMC2-S1</v>
      </c>
      <c r="AV573" s="203">
        <f t="shared" si="1286"/>
        <v>1</v>
      </c>
      <c r="AW573" s="203">
        <f t="shared" si="1303"/>
        <v>5</v>
      </c>
      <c r="AX573" s="203">
        <f t="shared" ca="1" si="1304"/>
        <v>0</v>
      </c>
      <c r="AY573" s="203">
        <f t="shared" ca="1" si="1305"/>
        <v>5</v>
      </c>
      <c r="AZ573" s="203"/>
      <c r="BA573" s="204" t="s">
        <v>140</v>
      </c>
      <c r="BB573" s="204" t="s">
        <v>140</v>
      </c>
      <c r="BC573" s="204" t="s">
        <v>140</v>
      </c>
      <c r="BD573" s="204" t="s">
        <v>141</v>
      </c>
      <c r="BE573" s="166"/>
      <c r="BF573" s="203" t="s">
        <v>1789</v>
      </c>
      <c r="BG573" s="141"/>
      <c r="BH573" s="152"/>
      <c r="BI573" s="207"/>
      <c r="BJ573" s="207"/>
      <c r="BK573" s="207"/>
      <c r="BL573" s="153" t="s">
        <v>149</v>
      </c>
      <c r="BM573" s="153"/>
      <c r="BN573" s="153"/>
      <c r="BO573" s="153"/>
      <c r="BP573" s="153"/>
      <c r="BQ573" s="153"/>
      <c r="BR573" s="141">
        <v>0</v>
      </c>
      <c r="BS573" s="141">
        <v>0</v>
      </c>
      <c r="BT573" s="141">
        <v>0</v>
      </c>
      <c r="BU573" s="141">
        <v>0</v>
      </c>
      <c r="BV573" s="141">
        <v>0</v>
      </c>
      <c r="BW573" s="141">
        <v>0</v>
      </c>
      <c r="BX573" s="141">
        <v>0</v>
      </c>
      <c r="BY573" s="141" t="s">
        <v>1790</v>
      </c>
      <c r="BZ573" s="141" t="s">
        <v>2099</v>
      </c>
      <c r="CA573" s="165">
        <v>5</v>
      </c>
      <c r="CB573" s="153">
        <v>46244</v>
      </c>
      <c r="CC573" s="152"/>
      <c r="CD573" s="152"/>
      <c r="CE573" s="208"/>
      <c r="CF573" s="166">
        <f>+L573-CA573</f>
        <v>0</v>
      </c>
    </row>
    <row r="574" spans="1:84" hidden="1">
      <c r="A574" s="141"/>
      <c r="B574" s="199" t="s">
        <v>1780</v>
      </c>
      <c r="C574" s="199" t="s">
        <v>2107</v>
      </c>
      <c r="D574" s="199" t="s">
        <v>13</v>
      </c>
      <c r="E574" s="199" t="s">
        <v>1811</v>
      </c>
      <c r="F574" s="199" t="s">
        <v>1120</v>
      </c>
      <c r="G574" s="199" t="s">
        <v>1121</v>
      </c>
      <c r="H574" s="200">
        <v>2096</v>
      </c>
      <c r="I574" s="201" t="s">
        <v>147</v>
      </c>
      <c r="J574" s="165">
        <v>1</v>
      </c>
      <c r="K574" s="202">
        <f t="shared" si="1248"/>
        <v>1</v>
      </c>
      <c r="L574" s="202">
        <f t="shared" si="1290"/>
        <v>1</v>
      </c>
      <c r="M574" s="203">
        <v>42</v>
      </c>
      <c r="N574" s="203">
        <f t="shared" si="1291"/>
        <v>42</v>
      </c>
      <c r="O574" s="203" t="s">
        <v>137</v>
      </c>
      <c r="P574" s="203" t="s">
        <v>13</v>
      </c>
      <c r="Q574" s="203" t="s">
        <v>148</v>
      </c>
      <c r="R574" s="203"/>
      <c r="S574" s="203"/>
      <c r="T574" s="203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0</v>
      </c>
      <c r="U574" s="203">
        <f t="shared" ca="1" si="1292"/>
        <v>1</v>
      </c>
      <c r="V574" s="203">
        <f t="shared" ca="1" si="1293"/>
        <v>0</v>
      </c>
      <c r="W574" s="203"/>
      <c r="X574" s="203"/>
      <c r="Y574" s="203"/>
      <c r="Z574" s="203"/>
      <c r="AA574" s="203"/>
      <c r="AB574" s="203"/>
      <c r="AC574" s="205" t="s">
        <v>1784</v>
      </c>
      <c r="AD574" s="206" t="s">
        <v>1785</v>
      </c>
      <c r="AE574" s="166"/>
      <c r="AF574" s="203" t="str">
        <f t="shared" si="1274"/>
        <v>N/A</v>
      </c>
      <c r="AG574" s="203">
        <f t="shared" si="1274"/>
        <v>0</v>
      </c>
      <c r="AH574" s="203">
        <f t="shared" si="1294"/>
        <v>0</v>
      </c>
      <c r="AI574" s="203">
        <f t="shared" ca="1" si="1295"/>
        <v>0</v>
      </c>
      <c r="AJ574" s="203">
        <f t="shared" ca="1" si="1296"/>
        <v>0</v>
      </c>
      <c r="AK574" s="203" t="str">
        <f t="shared" si="1278"/>
        <v>N/A</v>
      </c>
      <c r="AL574" s="203">
        <f t="shared" si="1278"/>
        <v>0</v>
      </c>
      <c r="AM574" s="203">
        <f t="shared" si="1297"/>
        <v>0</v>
      </c>
      <c r="AN574" s="203">
        <f t="shared" ca="1" si="1298"/>
        <v>0</v>
      </c>
      <c r="AO574" s="203">
        <f t="shared" ca="1" si="1299"/>
        <v>0</v>
      </c>
      <c r="AP574" s="203" t="str">
        <f t="shared" si="1282"/>
        <v>N/A</v>
      </c>
      <c r="AQ574" s="203">
        <f t="shared" si="1282"/>
        <v>0</v>
      </c>
      <c r="AR574" s="203">
        <f t="shared" si="1300"/>
        <v>0</v>
      </c>
      <c r="AS574" s="203">
        <f t="shared" ca="1" si="1301"/>
        <v>0</v>
      </c>
      <c r="AT574" s="203">
        <f t="shared" ca="1" si="1302"/>
        <v>0</v>
      </c>
      <c r="AU574" s="203" t="str">
        <f t="shared" si="1286"/>
        <v>AMC2-S1</v>
      </c>
      <c r="AV574" s="203">
        <f t="shared" si="1286"/>
        <v>1</v>
      </c>
      <c r="AW574" s="203">
        <f t="shared" si="1303"/>
        <v>1</v>
      </c>
      <c r="AX574" s="203">
        <f t="shared" ca="1" si="1304"/>
        <v>0</v>
      </c>
      <c r="AY574" s="203">
        <f t="shared" ca="1" si="1305"/>
        <v>1</v>
      </c>
      <c r="AZ574" s="203"/>
      <c r="BA574" s="204" t="s">
        <v>140</v>
      </c>
      <c r="BB574" s="204" t="s">
        <v>140</v>
      </c>
      <c r="BC574" s="204" t="s">
        <v>140</v>
      </c>
      <c r="BD574" s="204" t="s">
        <v>141</v>
      </c>
      <c r="BE574" s="166"/>
      <c r="BF574" s="203" t="s">
        <v>1789</v>
      </c>
      <c r="BG574" s="141"/>
      <c r="BH574" s="152"/>
      <c r="BI574" s="207"/>
      <c r="BJ574" s="207"/>
      <c r="BK574" s="207"/>
      <c r="BL574" s="153" t="s">
        <v>149</v>
      </c>
      <c r="BM574" s="153"/>
      <c r="BN574" s="153"/>
      <c r="BO574" s="153"/>
      <c r="BP574" s="153"/>
      <c r="BQ574" s="153"/>
      <c r="BR574" s="141">
        <v>0</v>
      </c>
      <c r="BS574" s="141">
        <v>0</v>
      </c>
      <c r="BT574" s="141">
        <v>0</v>
      </c>
      <c r="BU574" s="141">
        <v>0</v>
      </c>
      <c r="BV574" s="141">
        <v>0</v>
      </c>
      <c r="BW574" s="141">
        <v>0</v>
      </c>
      <c r="BX574" s="141">
        <v>0</v>
      </c>
      <c r="BY574" s="141" t="s">
        <v>1790</v>
      </c>
      <c r="BZ574" s="141" t="s">
        <v>2101</v>
      </c>
      <c r="CA574" s="165">
        <v>1</v>
      </c>
      <c r="CB574" s="153">
        <v>46244</v>
      </c>
      <c r="CC574" s="152"/>
      <c r="CD574" s="152"/>
      <c r="CE574" s="208"/>
      <c r="CF574" s="166">
        <f>+L574-CA574</f>
        <v>0</v>
      </c>
    </row>
    <row r="575" spans="1:84" hidden="1">
      <c r="A575" s="141"/>
      <c r="B575" s="199" t="s">
        <v>1780</v>
      </c>
      <c r="C575" s="199" t="s">
        <v>2107</v>
      </c>
      <c r="D575" s="199" t="s">
        <v>13</v>
      </c>
      <c r="E575" s="199" t="s">
        <v>1812</v>
      </c>
      <c r="F575" s="199" t="s">
        <v>1122</v>
      </c>
      <c r="G575" s="199" t="s">
        <v>1123</v>
      </c>
      <c r="H575" s="200">
        <v>320</v>
      </c>
      <c r="I575" s="201" t="s">
        <v>147</v>
      </c>
      <c r="J575" s="165">
        <v>2</v>
      </c>
      <c r="K575" s="202">
        <f t="shared" si="1248"/>
        <v>1</v>
      </c>
      <c r="L575" s="202">
        <f t="shared" si="1290"/>
        <v>2</v>
      </c>
      <c r="M575" s="203">
        <v>7.6</v>
      </c>
      <c r="N575" s="203">
        <f t="shared" si="1291"/>
        <v>15.2</v>
      </c>
      <c r="O575" s="203" t="s">
        <v>137</v>
      </c>
      <c r="P575" s="203" t="s">
        <v>13</v>
      </c>
      <c r="Q575" s="203" t="s">
        <v>148</v>
      </c>
      <c r="R575" s="203"/>
      <c r="S575" s="203"/>
      <c r="T575" s="203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0</v>
      </c>
      <c r="U575" s="203">
        <f t="shared" ca="1" si="1292"/>
        <v>2</v>
      </c>
      <c r="V575" s="203">
        <f t="shared" ca="1" si="1293"/>
        <v>0</v>
      </c>
      <c r="W575" s="203"/>
      <c r="X575" s="203"/>
      <c r="Y575" s="203"/>
      <c r="Z575" s="203"/>
      <c r="AA575" s="203"/>
      <c r="AB575" s="203"/>
      <c r="AC575" s="205" t="s">
        <v>1784</v>
      </c>
      <c r="AD575" s="206" t="s">
        <v>1785</v>
      </c>
      <c r="AE575" s="166"/>
      <c r="AF575" s="203" t="str">
        <f t="shared" si="1274"/>
        <v>N/A</v>
      </c>
      <c r="AG575" s="203">
        <f t="shared" si="1274"/>
        <v>0</v>
      </c>
      <c r="AH575" s="203">
        <f t="shared" si="1294"/>
        <v>0</v>
      </c>
      <c r="AI575" s="203">
        <f t="shared" ca="1" si="1295"/>
        <v>0</v>
      </c>
      <c r="AJ575" s="203">
        <f t="shared" ca="1" si="1296"/>
        <v>0</v>
      </c>
      <c r="AK575" s="203" t="str">
        <f t="shared" si="1278"/>
        <v>N/A</v>
      </c>
      <c r="AL575" s="203">
        <f t="shared" si="1278"/>
        <v>0</v>
      </c>
      <c r="AM575" s="203">
        <f t="shared" si="1297"/>
        <v>0</v>
      </c>
      <c r="AN575" s="203">
        <f t="shared" ca="1" si="1298"/>
        <v>0</v>
      </c>
      <c r="AO575" s="203">
        <f t="shared" ca="1" si="1299"/>
        <v>0</v>
      </c>
      <c r="AP575" s="203" t="str">
        <f t="shared" si="1282"/>
        <v>N/A</v>
      </c>
      <c r="AQ575" s="203">
        <f t="shared" si="1282"/>
        <v>0</v>
      </c>
      <c r="AR575" s="203">
        <f t="shared" si="1300"/>
        <v>0</v>
      </c>
      <c r="AS575" s="203">
        <f t="shared" ca="1" si="1301"/>
        <v>0</v>
      </c>
      <c r="AT575" s="203">
        <f t="shared" ca="1" si="1302"/>
        <v>0</v>
      </c>
      <c r="AU575" s="203" t="str">
        <f t="shared" si="1286"/>
        <v>AMC2-S1</v>
      </c>
      <c r="AV575" s="203">
        <f t="shared" si="1286"/>
        <v>1</v>
      </c>
      <c r="AW575" s="203">
        <f t="shared" si="1303"/>
        <v>2</v>
      </c>
      <c r="AX575" s="203">
        <f t="shared" ca="1" si="1304"/>
        <v>0</v>
      </c>
      <c r="AY575" s="203">
        <f t="shared" ca="1" si="1305"/>
        <v>2</v>
      </c>
      <c r="AZ575" s="203"/>
      <c r="BA575" s="204" t="s">
        <v>140</v>
      </c>
      <c r="BB575" s="204" t="s">
        <v>140</v>
      </c>
      <c r="BC575" s="204" t="s">
        <v>140</v>
      </c>
      <c r="BD575" s="204" t="s">
        <v>141</v>
      </c>
      <c r="BE575" s="166"/>
      <c r="BF575" s="203" t="s">
        <v>1789</v>
      </c>
      <c r="BG575" s="141"/>
      <c r="BH575" s="152"/>
      <c r="BI575" s="207"/>
      <c r="BJ575" s="207"/>
      <c r="BK575" s="207"/>
      <c r="BL575" s="153" t="s">
        <v>149</v>
      </c>
      <c r="BM575" s="153"/>
      <c r="BN575" s="153"/>
      <c r="BO575" s="153"/>
      <c r="BP575" s="153"/>
      <c r="BQ575" s="153"/>
      <c r="BR575" s="141">
        <v>1</v>
      </c>
      <c r="BS575" s="141">
        <v>0</v>
      </c>
      <c r="BT575" s="141">
        <v>0</v>
      </c>
      <c r="BU575" s="141">
        <v>0</v>
      </c>
      <c r="BV575" s="141">
        <v>0</v>
      </c>
      <c r="BW575" s="141">
        <v>0</v>
      </c>
      <c r="BX575" s="141">
        <v>0</v>
      </c>
      <c r="BY575" s="141" t="s">
        <v>1790</v>
      </c>
      <c r="BZ575" s="141"/>
      <c r="CA575" s="141"/>
      <c r="CB575" s="153"/>
      <c r="CC575" s="152"/>
      <c r="CD575" s="152"/>
      <c r="CE575" s="208"/>
      <c r="CF575" s="166">
        <f>+L575-CA575</f>
        <v>2</v>
      </c>
    </row>
    <row r="576" spans="1:84" hidden="1">
      <c r="A576" s="117"/>
      <c r="B576" s="209" t="s">
        <v>1780</v>
      </c>
      <c r="C576" s="209" t="s">
        <v>2107</v>
      </c>
      <c r="D576" s="209" t="s">
        <v>13</v>
      </c>
      <c r="E576" s="209" t="s">
        <v>1813</v>
      </c>
      <c r="F576" s="209" t="s">
        <v>1124</v>
      </c>
      <c r="G576" s="209" t="s">
        <v>2108</v>
      </c>
      <c r="H576" s="210">
        <v>200</v>
      </c>
      <c r="I576" s="211" t="s">
        <v>147</v>
      </c>
      <c r="J576" s="144">
        <v>2</v>
      </c>
      <c r="K576" s="145">
        <f t="shared" si="1248"/>
        <v>1</v>
      </c>
      <c r="L576" s="202">
        <f t="shared" si="1290"/>
        <v>2</v>
      </c>
      <c r="M576" s="212">
        <v>5.5</v>
      </c>
      <c r="N576" s="203">
        <f t="shared" si="1291"/>
        <v>11</v>
      </c>
      <c r="O576" s="212" t="s">
        <v>137</v>
      </c>
      <c r="P576" s="212" t="s">
        <v>13</v>
      </c>
      <c r="Q576" s="212" t="s">
        <v>148</v>
      </c>
      <c r="R576" s="212"/>
      <c r="S576" s="212"/>
      <c r="T576" s="203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203">
        <f t="shared" ca="1" si="1292"/>
        <v>2</v>
      </c>
      <c r="V576" s="203">
        <f t="shared" ca="1" si="1293"/>
        <v>0</v>
      </c>
      <c r="W576" s="212"/>
      <c r="X576" s="212"/>
      <c r="Y576" s="212"/>
      <c r="Z576" s="212"/>
      <c r="AA576" s="212"/>
      <c r="AB576" s="212"/>
      <c r="AC576" s="214" t="s">
        <v>1784</v>
      </c>
      <c r="AD576" s="215" t="s">
        <v>1785</v>
      </c>
      <c r="AE576" s="148"/>
      <c r="AF576" s="212" t="str">
        <f t="shared" si="1274"/>
        <v>N/A</v>
      </c>
      <c r="AG576" s="212">
        <f t="shared" si="1274"/>
        <v>0</v>
      </c>
      <c r="AH576" s="203">
        <f t="shared" si="1294"/>
        <v>0</v>
      </c>
      <c r="AI576" s="203">
        <f t="shared" ca="1" si="1295"/>
        <v>0</v>
      </c>
      <c r="AJ576" s="203">
        <f t="shared" ca="1" si="1296"/>
        <v>0</v>
      </c>
      <c r="AK576" s="212" t="str">
        <f t="shared" si="1278"/>
        <v>N/A</v>
      </c>
      <c r="AL576" s="212">
        <f t="shared" si="1278"/>
        <v>0</v>
      </c>
      <c r="AM576" s="203">
        <f t="shared" si="1297"/>
        <v>0</v>
      </c>
      <c r="AN576" s="203">
        <f t="shared" ca="1" si="1298"/>
        <v>0</v>
      </c>
      <c r="AO576" s="203">
        <f t="shared" ca="1" si="1299"/>
        <v>0</v>
      </c>
      <c r="AP576" s="212" t="str">
        <f t="shared" si="1282"/>
        <v>N/A</v>
      </c>
      <c r="AQ576" s="212">
        <f t="shared" si="1282"/>
        <v>0</v>
      </c>
      <c r="AR576" s="203">
        <f t="shared" si="1300"/>
        <v>0</v>
      </c>
      <c r="AS576" s="203">
        <f t="shared" ca="1" si="1301"/>
        <v>0</v>
      </c>
      <c r="AT576" s="203">
        <f t="shared" ca="1" si="1302"/>
        <v>0</v>
      </c>
      <c r="AU576" s="212" t="str">
        <f t="shared" si="1286"/>
        <v>AMC2-S1</v>
      </c>
      <c r="AV576" s="212">
        <f t="shared" si="1286"/>
        <v>1</v>
      </c>
      <c r="AW576" s="203">
        <f t="shared" si="1303"/>
        <v>2</v>
      </c>
      <c r="AX576" s="203">
        <f t="shared" ca="1" si="1304"/>
        <v>0</v>
      </c>
      <c r="AY576" s="203">
        <f t="shared" ca="1" si="1305"/>
        <v>2</v>
      </c>
      <c r="AZ576" s="212"/>
      <c r="BA576" s="213" t="s">
        <v>140</v>
      </c>
      <c r="BB576" s="213" t="s">
        <v>140</v>
      </c>
      <c r="BC576" s="213" t="s">
        <v>140</v>
      </c>
      <c r="BD576" s="213" t="s">
        <v>141</v>
      </c>
      <c r="BE576" s="148"/>
      <c r="BF576" s="212" t="s">
        <v>1789</v>
      </c>
      <c r="BG576" s="117"/>
      <c r="BH576" s="155"/>
      <c r="BI576" s="216"/>
      <c r="BJ576" s="216"/>
      <c r="BK576" s="216"/>
      <c r="BL576" s="149" t="s">
        <v>149</v>
      </c>
      <c r="BM576" s="149"/>
      <c r="BN576" s="149"/>
      <c r="BO576" s="149" t="s">
        <v>2109</v>
      </c>
      <c r="BP576" s="149"/>
      <c r="BQ576" s="149"/>
      <c r="BR576" s="117">
        <v>1</v>
      </c>
      <c r="BS576" s="117">
        <v>0</v>
      </c>
      <c r="BT576" s="117">
        <v>0</v>
      </c>
      <c r="BU576" s="117">
        <v>0</v>
      </c>
      <c r="BV576" s="117">
        <v>0</v>
      </c>
      <c r="BW576" s="117">
        <v>0</v>
      </c>
      <c r="BX576" s="117">
        <v>0</v>
      </c>
      <c r="BY576" s="117" t="s">
        <v>1790</v>
      </c>
      <c r="BZ576" s="141" t="s">
        <v>2101</v>
      </c>
      <c r="CA576" s="165">
        <v>2</v>
      </c>
      <c r="CB576" s="153">
        <v>46244</v>
      </c>
      <c r="CC576" s="155"/>
      <c r="CD576" s="155"/>
      <c r="CE576" s="217"/>
      <c r="CF576" s="148">
        <f>+L576-CA576</f>
        <v>0</v>
      </c>
    </row>
    <row r="577" spans="1:84" hidden="1">
      <c r="A577" s="186"/>
      <c r="B577" s="187" t="s">
        <v>1780</v>
      </c>
      <c r="C577" s="187" t="s">
        <v>2110</v>
      </c>
      <c r="D577" s="187"/>
      <c r="E577" s="187"/>
      <c r="F577" s="187"/>
      <c r="G577" s="187" t="s">
        <v>1814</v>
      </c>
      <c r="H577" s="188"/>
      <c r="I577" s="189"/>
      <c r="J577" s="190"/>
      <c r="K577" s="191">
        <f t="shared" si="1248"/>
        <v>1</v>
      </c>
      <c r="L577" s="190"/>
      <c r="M577" s="192">
        <v>2540.3000000000002</v>
      </c>
      <c r="N577" s="192">
        <v>2540</v>
      </c>
      <c r="O577" s="192" t="s">
        <v>137</v>
      </c>
      <c r="P577" s="192"/>
      <c r="Q577" s="192"/>
      <c r="R577" s="192"/>
      <c r="S577" s="192"/>
      <c r="T577" s="192"/>
      <c r="U577" s="192"/>
      <c r="V577" s="192"/>
      <c r="W577" s="192">
        <f ca="1">_xlfn.MINIFS(V:V,C:C,C577,AE:AE,"",AB:AB,"")</f>
        <v>0</v>
      </c>
      <c r="X577" s="192">
        <f ca="1">SUMIFS(T:T,C:C,C577,AE:AE,"")/SUMIFS(L:L,C:C,C577,AE:AE,"",AB:AB,"")</f>
        <v>4.5454545454545456E-2</v>
      </c>
      <c r="Y577" s="192"/>
      <c r="Z577" s="192"/>
      <c r="AA577" s="192"/>
      <c r="AB577" s="192"/>
      <c r="AC577" s="194" t="s">
        <v>1784</v>
      </c>
      <c r="AD577" s="195" t="s">
        <v>1785</v>
      </c>
      <c r="AE577" s="196" t="s">
        <v>1787</v>
      </c>
      <c r="AF577" s="192" t="str">
        <f t="shared" si="1274"/>
        <v>N/A</v>
      </c>
      <c r="AG577" s="192">
        <f t="shared" si="1274"/>
        <v>0</v>
      </c>
      <c r="AH577" s="192"/>
      <c r="AI577" s="192"/>
      <c r="AJ577" s="192"/>
      <c r="AK577" s="192" t="str">
        <f t="shared" si="1278"/>
        <v>N/A</v>
      </c>
      <c r="AL577" s="192">
        <f t="shared" si="1278"/>
        <v>0</v>
      </c>
      <c r="AM577" s="192"/>
      <c r="AN577" s="192"/>
      <c r="AO577" s="192"/>
      <c r="AP577" s="192" t="str">
        <f t="shared" si="1282"/>
        <v>N/A</v>
      </c>
      <c r="AQ577" s="192">
        <f t="shared" si="1282"/>
        <v>0</v>
      </c>
      <c r="AR577" s="192"/>
      <c r="AS577" s="192"/>
      <c r="AT577" s="192"/>
      <c r="AU577" s="192" t="str">
        <f t="shared" si="1286"/>
        <v>AMC2-S1</v>
      </c>
      <c r="AV577" s="192">
        <f t="shared" si="1286"/>
        <v>1</v>
      </c>
      <c r="AW577" s="192"/>
      <c r="AX577" s="192"/>
      <c r="AY577" s="192"/>
      <c r="AZ577" s="192"/>
      <c r="BA577" s="193" t="s">
        <v>140</v>
      </c>
      <c r="BB577" s="193" t="s">
        <v>140</v>
      </c>
      <c r="BC577" s="193" t="s">
        <v>140</v>
      </c>
      <c r="BD577" s="193" t="s">
        <v>141</v>
      </c>
      <c r="BE577" s="196" t="s">
        <v>741</v>
      </c>
      <c r="BF577" s="192"/>
      <c r="BG577" s="186"/>
      <c r="BH577" s="186"/>
      <c r="BI577" s="197"/>
      <c r="BJ577" s="197"/>
      <c r="BK577" s="197"/>
      <c r="BL577" s="197"/>
      <c r="BM577" s="197"/>
      <c r="BN577" s="197"/>
      <c r="BO577" s="197"/>
      <c r="BP577" s="197"/>
      <c r="BQ577" s="197"/>
      <c r="BR577" s="186"/>
      <c r="BS577" s="186"/>
      <c r="BT577" s="186"/>
      <c r="BU577" s="186"/>
      <c r="BV577" s="186"/>
      <c r="BW577" s="186"/>
      <c r="BX577" s="186"/>
      <c r="BY577" s="186"/>
      <c r="BZ577" s="186"/>
      <c r="CA577" s="186"/>
      <c r="CB577" s="197"/>
      <c r="CC577" s="186"/>
      <c r="CD577" s="186"/>
      <c r="CE577" s="198"/>
      <c r="CF577" s="198"/>
    </row>
    <row r="578" spans="1:84" hidden="1">
      <c r="A578" s="141"/>
      <c r="B578" s="199" t="s">
        <v>1780</v>
      </c>
      <c r="C578" s="199" t="s">
        <v>2110</v>
      </c>
      <c r="D578" s="199" t="s">
        <v>1084</v>
      </c>
      <c r="E578" s="199" t="s">
        <v>1815</v>
      </c>
      <c r="F578" s="199" t="s">
        <v>1130</v>
      </c>
      <c r="G578" s="199" t="s">
        <v>1083</v>
      </c>
      <c r="H578" s="200">
        <v>11306</v>
      </c>
      <c r="I578" s="201" t="s">
        <v>147</v>
      </c>
      <c r="J578" s="165">
        <v>1</v>
      </c>
      <c r="K578" s="202">
        <f t="shared" si="1248"/>
        <v>1</v>
      </c>
      <c r="L578" s="202">
        <f t="shared" ref="L578:L590" si="1306">+J578*K578</f>
        <v>1</v>
      </c>
      <c r="M578" s="203">
        <v>2268.5</v>
      </c>
      <c r="N578" s="203">
        <f t="shared" ref="N578:N590" si="1307">+M578*L578</f>
        <v>2268.5</v>
      </c>
      <c r="O578" s="203" t="s">
        <v>137</v>
      </c>
      <c r="P578" s="203" t="s">
        <v>13</v>
      </c>
      <c r="Q578" s="203" t="s">
        <v>154</v>
      </c>
      <c r="R578" s="203"/>
      <c r="S578" s="203"/>
      <c r="T578" s="203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0</v>
      </c>
      <c r="U578" s="203">
        <f t="shared" ref="U578:U590" ca="1" si="1308">+L578-T578</f>
        <v>1</v>
      </c>
      <c r="V578" s="203">
        <f t="shared" ref="V578:V590" ca="1" si="1309">ROUNDDOWN(T578/J578,0)</f>
        <v>0</v>
      </c>
      <c r="W578" s="203"/>
      <c r="X578" s="203"/>
      <c r="Y578" s="203"/>
      <c r="Z578" s="203"/>
      <c r="AA578" s="203"/>
      <c r="AB578" s="203"/>
      <c r="AC578" s="205" t="s">
        <v>1784</v>
      </c>
      <c r="AD578" s="206" t="s">
        <v>1785</v>
      </c>
      <c r="AE578" s="166"/>
      <c r="AF578" s="203" t="str">
        <f t="shared" si="1274"/>
        <v>N/A</v>
      </c>
      <c r="AG578" s="203">
        <f t="shared" si="1274"/>
        <v>0</v>
      </c>
      <c r="AH578" s="203">
        <f t="shared" ref="AH578:AH590" si="1310">+AG578*J578</f>
        <v>0</v>
      </c>
      <c r="AI578" s="203">
        <f t="shared" ref="AI578:AI590" ca="1" si="1311">MIN(T578,AH578)</f>
        <v>0</v>
      </c>
      <c r="AJ578" s="203">
        <f t="shared" ref="AJ578:AJ590" ca="1" si="1312">+AH578-AI578</f>
        <v>0</v>
      </c>
      <c r="AK578" s="203" t="str">
        <f t="shared" si="1278"/>
        <v>N/A</v>
      </c>
      <c r="AL578" s="203">
        <f t="shared" si="1278"/>
        <v>0</v>
      </c>
      <c r="AM578" s="203">
        <f t="shared" ref="AM578:AM590" si="1313">+AL578*J578</f>
        <v>0</v>
      </c>
      <c r="AN578" s="203">
        <f t="shared" ref="AN578:AN590" ca="1" si="1314">MIN(T578-AI578,AL578)</f>
        <v>0</v>
      </c>
      <c r="AO578" s="203">
        <f t="shared" ref="AO578:AO590" ca="1" si="1315">+AM578-AN578</f>
        <v>0</v>
      </c>
      <c r="AP578" s="203" t="str">
        <f t="shared" si="1282"/>
        <v>N/A</v>
      </c>
      <c r="AQ578" s="203">
        <f t="shared" si="1282"/>
        <v>0</v>
      </c>
      <c r="AR578" s="203">
        <f t="shared" ref="AR578:AR590" si="1316">+AQ578*J578</f>
        <v>0</v>
      </c>
      <c r="AS578" s="203">
        <f t="shared" ref="AS578:AS590" ca="1" si="1317">MIN(T578-AI578-AN578,AR578)</f>
        <v>0</v>
      </c>
      <c r="AT578" s="203">
        <f t="shared" ref="AT578:AT590" ca="1" si="1318">+AR578-AS578</f>
        <v>0</v>
      </c>
      <c r="AU578" s="203" t="str">
        <f t="shared" si="1286"/>
        <v>AMC2-S1</v>
      </c>
      <c r="AV578" s="203">
        <f t="shared" si="1286"/>
        <v>1</v>
      </c>
      <c r="AW578" s="203">
        <f t="shared" ref="AW578:AW590" si="1319">+AV578*J578</f>
        <v>1</v>
      </c>
      <c r="AX578" s="203">
        <f t="shared" ref="AX578:AX590" ca="1" si="1320">MIN(T578-AI578-AN578-AS578,AW578)</f>
        <v>0</v>
      </c>
      <c r="AY578" s="203">
        <f t="shared" ref="AY578:AY590" ca="1" si="1321">+AW578-AX578</f>
        <v>1</v>
      </c>
      <c r="AZ578" s="203"/>
      <c r="BA578" s="204" t="s">
        <v>140</v>
      </c>
      <c r="BB578" s="204" t="s">
        <v>140</v>
      </c>
      <c r="BC578" s="204" t="s">
        <v>140</v>
      </c>
      <c r="BD578" s="204" t="s">
        <v>141</v>
      </c>
      <c r="BE578" s="166"/>
      <c r="BF578" s="203" t="s">
        <v>1789</v>
      </c>
      <c r="BG578" s="141"/>
      <c r="BH578" s="152"/>
      <c r="BI578" s="207"/>
      <c r="BJ578" s="207"/>
      <c r="BK578" s="207"/>
      <c r="BL578" s="153" t="s">
        <v>149</v>
      </c>
      <c r="BM578" s="153"/>
      <c r="BN578" s="153"/>
      <c r="BO578" s="153"/>
      <c r="BP578" s="153"/>
      <c r="BQ578" s="153"/>
      <c r="BR578" s="141">
        <v>0</v>
      </c>
      <c r="BS578" s="141">
        <v>1</v>
      </c>
      <c r="BT578" s="141">
        <v>0</v>
      </c>
      <c r="BU578" s="141">
        <v>1</v>
      </c>
      <c r="BV578" s="141">
        <v>0</v>
      </c>
      <c r="BW578" s="141">
        <v>0</v>
      </c>
      <c r="BX578" s="141">
        <v>0</v>
      </c>
      <c r="BY578" s="141" t="s">
        <v>1790</v>
      </c>
      <c r="BZ578" s="117" t="s">
        <v>57</v>
      </c>
      <c r="CA578" s="141">
        <v>1</v>
      </c>
      <c r="CB578" s="153"/>
      <c r="CC578" s="152"/>
      <c r="CD578" s="152"/>
      <c r="CE578" s="208"/>
      <c r="CF578" s="166">
        <f t="shared" ref="CF578:CF589" si="1322">+L578-CA578</f>
        <v>0</v>
      </c>
    </row>
    <row r="579" spans="1:84" hidden="1">
      <c r="A579" s="141"/>
      <c r="B579" s="199" t="s">
        <v>1780</v>
      </c>
      <c r="C579" s="199" t="s">
        <v>2110</v>
      </c>
      <c r="D579" s="199" t="s">
        <v>13</v>
      </c>
      <c r="E579" s="199" t="s">
        <v>1816</v>
      </c>
      <c r="F579" s="199" t="s">
        <v>1131</v>
      </c>
      <c r="G579" s="199" t="s">
        <v>1132</v>
      </c>
      <c r="H579" s="200">
        <v>338</v>
      </c>
      <c r="I579" s="201" t="s">
        <v>147</v>
      </c>
      <c r="J579" s="165">
        <v>2</v>
      </c>
      <c r="K579" s="202">
        <f t="shared" si="1248"/>
        <v>1</v>
      </c>
      <c r="L579" s="202">
        <f t="shared" si="1306"/>
        <v>2</v>
      </c>
      <c r="M579" s="203">
        <v>4.5</v>
      </c>
      <c r="N579" s="203">
        <f t="shared" si="1307"/>
        <v>9</v>
      </c>
      <c r="O579" s="203" t="s">
        <v>137</v>
      </c>
      <c r="P579" s="203" t="s">
        <v>13</v>
      </c>
      <c r="Q579" s="203" t="s">
        <v>148</v>
      </c>
      <c r="R579" s="203"/>
      <c r="S579" s="203"/>
      <c r="T579" s="203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0</v>
      </c>
      <c r="U579" s="203">
        <f t="shared" ca="1" si="1308"/>
        <v>2</v>
      </c>
      <c r="V579" s="203">
        <f t="shared" ca="1" si="1309"/>
        <v>0</v>
      </c>
      <c r="W579" s="203"/>
      <c r="X579" s="203"/>
      <c r="Y579" s="203"/>
      <c r="Z579" s="203"/>
      <c r="AA579" s="203"/>
      <c r="AB579" s="203"/>
      <c r="AC579" s="205" t="s">
        <v>1784</v>
      </c>
      <c r="AD579" s="206" t="s">
        <v>1785</v>
      </c>
      <c r="AE579" s="166"/>
      <c r="AF579" s="203" t="str">
        <f t="shared" si="1274"/>
        <v>N/A</v>
      </c>
      <c r="AG579" s="203">
        <f t="shared" si="1274"/>
        <v>0</v>
      </c>
      <c r="AH579" s="203">
        <f t="shared" si="1310"/>
        <v>0</v>
      </c>
      <c r="AI579" s="203">
        <f t="shared" ca="1" si="1311"/>
        <v>0</v>
      </c>
      <c r="AJ579" s="203">
        <f t="shared" ca="1" si="1312"/>
        <v>0</v>
      </c>
      <c r="AK579" s="203" t="str">
        <f t="shared" si="1278"/>
        <v>N/A</v>
      </c>
      <c r="AL579" s="203">
        <f t="shared" si="1278"/>
        <v>0</v>
      </c>
      <c r="AM579" s="203">
        <f t="shared" si="1313"/>
        <v>0</v>
      </c>
      <c r="AN579" s="203">
        <f t="shared" ca="1" si="1314"/>
        <v>0</v>
      </c>
      <c r="AO579" s="203">
        <f t="shared" ca="1" si="1315"/>
        <v>0</v>
      </c>
      <c r="AP579" s="203" t="str">
        <f t="shared" si="1282"/>
        <v>N/A</v>
      </c>
      <c r="AQ579" s="203">
        <f t="shared" si="1282"/>
        <v>0</v>
      </c>
      <c r="AR579" s="203">
        <f t="shared" si="1316"/>
        <v>0</v>
      </c>
      <c r="AS579" s="203">
        <f t="shared" ca="1" si="1317"/>
        <v>0</v>
      </c>
      <c r="AT579" s="203">
        <f t="shared" ca="1" si="1318"/>
        <v>0</v>
      </c>
      <c r="AU579" s="203" t="str">
        <f t="shared" si="1286"/>
        <v>AMC2-S1</v>
      </c>
      <c r="AV579" s="203">
        <f t="shared" si="1286"/>
        <v>1</v>
      </c>
      <c r="AW579" s="203">
        <f t="shared" si="1319"/>
        <v>2</v>
      </c>
      <c r="AX579" s="203">
        <f t="shared" ca="1" si="1320"/>
        <v>0</v>
      </c>
      <c r="AY579" s="203">
        <f t="shared" ca="1" si="1321"/>
        <v>2</v>
      </c>
      <c r="AZ579" s="203"/>
      <c r="BA579" s="204" t="s">
        <v>140</v>
      </c>
      <c r="BB579" s="204" t="s">
        <v>140</v>
      </c>
      <c r="BC579" s="204" t="s">
        <v>140</v>
      </c>
      <c r="BD579" s="204" t="s">
        <v>141</v>
      </c>
      <c r="BE579" s="166"/>
      <c r="BF579" s="203" t="s">
        <v>1789</v>
      </c>
      <c r="BG579" s="141"/>
      <c r="BH579" s="152"/>
      <c r="BI579" s="207"/>
      <c r="BJ579" s="207"/>
      <c r="BK579" s="207"/>
      <c r="BL579" s="153" t="s">
        <v>149</v>
      </c>
      <c r="BM579" s="153"/>
      <c r="BN579" s="153"/>
      <c r="BO579" s="153"/>
      <c r="BP579" s="153"/>
      <c r="BQ579" s="153"/>
      <c r="BR579" s="141">
        <v>1</v>
      </c>
      <c r="BS579" s="141">
        <v>0</v>
      </c>
      <c r="BT579" s="141">
        <v>0</v>
      </c>
      <c r="BU579" s="141">
        <v>0</v>
      </c>
      <c r="BV579" s="141">
        <v>0</v>
      </c>
      <c r="BW579" s="141">
        <v>0</v>
      </c>
      <c r="BX579" s="141">
        <v>0</v>
      </c>
      <c r="BY579" s="141" t="s">
        <v>1790</v>
      </c>
      <c r="BZ579" s="141"/>
      <c r="CA579" s="141"/>
      <c r="CB579" s="153"/>
      <c r="CC579" s="152"/>
      <c r="CD579" s="152"/>
      <c r="CE579" s="208"/>
      <c r="CF579" s="166">
        <f t="shared" si="1322"/>
        <v>2</v>
      </c>
    </row>
    <row r="580" spans="1:84" hidden="1">
      <c r="A580" s="141"/>
      <c r="B580" s="199" t="s">
        <v>1780</v>
      </c>
      <c r="C580" s="199" t="s">
        <v>2110</v>
      </c>
      <c r="D580" s="199" t="s">
        <v>13</v>
      </c>
      <c r="E580" s="199" t="s">
        <v>1817</v>
      </c>
      <c r="F580" s="199" t="s">
        <v>1133</v>
      </c>
      <c r="G580" s="199" t="s">
        <v>1134</v>
      </c>
      <c r="H580" s="200">
        <v>170</v>
      </c>
      <c r="I580" s="201" t="s">
        <v>147</v>
      </c>
      <c r="J580" s="165">
        <v>1</v>
      </c>
      <c r="K580" s="202">
        <f t="shared" si="1248"/>
        <v>1</v>
      </c>
      <c r="L580" s="202">
        <f t="shared" si="1306"/>
        <v>1</v>
      </c>
      <c r="M580" s="203">
        <v>1.6</v>
      </c>
      <c r="N580" s="203">
        <f t="shared" si="1307"/>
        <v>1.6</v>
      </c>
      <c r="O580" s="203" t="s">
        <v>137</v>
      </c>
      <c r="P580" s="203" t="s">
        <v>13</v>
      </c>
      <c r="Q580" s="203" t="s">
        <v>148</v>
      </c>
      <c r="R580" s="203"/>
      <c r="S580" s="203"/>
      <c r="T580" s="203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0</v>
      </c>
      <c r="U580" s="203">
        <f t="shared" ca="1" si="1308"/>
        <v>1</v>
      </c>
      <c r="V580" s="203">
        <f t="shared" ca="1" si="1309"/>
        <v>0</v>
      </c>
      <c r="W580" s="203"/>
      <c r="X580" s="203"/>
      <c r="Y580" s="203"/>
      <c r="Z580" s="203"/>
      <c r="AA580" s="203"/>
      <c r="AB580" s="203"/>
      <c r="AC580" s="205" t="s">
        <v>1784</v>
      </c>
      <c r="AD580" s="206" t="s">
        <v>1785</v>
      </c>
      <c r="AE580" s="166"/>
      <c r="AF580" s="203" t="str">
        <f t="shared" si="1274"/>
        <v>N/A</v>
      </c>
      <c r="AG580" s="203">
        <f t="shared" si="1274"/>
        <v>0</v>
      </c>
      <c r="AH580" s="203">
        <f t="shared" si="1310"/>
        <v>0</v>
      </c>
      <c r="AI580" s="203">
        <f t="shared" ca="1" si="1311"/>
        <v>0</v>
      </c>
      <c r="AJ580" s="203">
        <f t="shared" ca="1" si="1312"/>
        <v>0</v>
      </c>
      <c r="AK580" s="203" t="str">
        <f t="shared" si="1278"/>
        <v>N/A</v>
      </c>
      <c r="AL580" s="203">
        <f t="shared" si="1278"/>
        <v>0</v>
      </c>
      <c r="AM580" s="203">
        <f t="shared" si="1313"/>
        <v>0</v>
      </c>
      <c r="AN580" s="203">
        <f t="shared" ca="1" si="1314"/>
        <v>0</v>
      </c>
      <c r="AO580" s="203">
        <f t="shared" ca="1" si="1315"/>
        <v>0</v>
      </c>
      <c r="AP580" s="203" t="str">
        <f t="shared" si="1282"/>
        <v>N/A</v>
      </c>
      <c r="AQ580" s="203">
        <f t="shared" si="1282"/>
        <v>0</v>
      </c>
      <c r="AR580" s="203">
        <f t="shared" si="1316"/>
        <v>0</v>
      </c>
      <c r="AS580" s="203">
        <f t="shared" ca="1" si="1317"/>
        <v>0</v>
      </c>
      <c r="AT580" s="203">
        <f t="shared" ca="1" si="1318"/>
        <v>0</v>
      </c>
      <c r="AU580" s="203" t="str">
        <f t="shared" si="1286"/>
        <v>AMC2-S1</v>
      </c>
      <c r="AV580" s="203">
        <f t="shared" si="1286"/>
        <v>1</v>
      </c>
      <c r="AW580" s="203">
        <f t="shared" si="1319"/>
        <v>1</v>
      </c>
      <c r="AX580" s="203">
        <f t="shared" ca="1" si="1320"/>
        <v>0</v>
      </c>
      <c r="AY580" s="203">
        <f t="shared" ca="1" si="1321"/>
        <v>1</v>
      </c>
      <c r="AZ580" s="203"/>
      <c r="BA580" s="204" t="s">
        <v>140</v>
      </c>
      <c r="BB580" s="204" t="s">
        <v>140</v>
      </c>
      <c r="BC580" s="204" t="s">
        <v>140</v>
      </c>
      <c r="BD580" s="204" t="s">
        <v>141</v>
      </c>
      <c r="BE580" s="166"/>
      <c r="BF580" s="203" t="s">
        <v>1789</v>
      </c>
      <c r="BG580" s="141"/>
      <c r="BH580" s="152"/>
      <c r="BI580" s="207"/>
      <c r="BJ580" s="207"/>
      <c r="BK580" s="207"/>
      <c r="BL580" s="153" t="s">
        <v>149</v>
      </c>
      <c r="BM580" s="153"/>
      <c r="BN580" s="153"/>
      <c r="BO580" s="153"/>
      <c r="BP580" s="153"/>
      <c r="BQ580" s="153"/>
      <c r="BR580" s="141">
        <v>1</v>
      </c>
      <c r="BS580" s="141">
        <v>0</v>
      </c>
      <c r="BT580" s="141">
        <v>0</v>
      </c>
      <c r="BU580" s="141">
        <v>0</v>
      </c>
      <c r="BV580" s="141">
        <v>0</v>
      </c>
      <c r="BW580" s="141">
        <v>0</v>
      </c>
      <c r="BX580" s="141">
        <v>0</v>
      </c>
      <c r="BY580" s="141" t="s">
        <v>1790</v>
      </c>
      <c r="BZ580" s="141"/>
      <c r="CA580" s="141"/>
      <c r="CB580" s="153"/>
      <c r="CC580" s="152"/>
      <c r="CD580" s="152"/>
      <c r="CE580" s="208"/>
      <c r="CF580" s="166">
        <f t="shared" si="1322"/>
        <v>1</v>
      </c>
    </row>
    <row r="581" spans="1:84" hidden="1">
      <c r="A581" s="141"/>
      <c r="B581" s="199" t="s">
        <v>1780</v>
      </c>
      <c r="C581" s="199" t="s">
        <v>2110</v>
      </c>
      <c r="D581" s="199" t="s">
        <v>13</v>
      </c>
      <c r="E581" s="199" t="s">
        <v>1806</v>
      </c>
      <c r="F581" s="199" t="s">
        <v>1135</v>
      </c>
      <c r="G581" s="199" t="s">
        <v>1096</v>
      </c>
      <c r="H581" s="200">
        <v>481</v>
      </c>
      <c r="I581" s="201" t="s">
        <v>147</v>
      </c>
      <c r="J581" s="165">
        <v>1</v>
      </c>
      <c r="K581" s="202">
        <f t="shared" si="1248"/>
        <v>1</v>
      </c>
      <c r="L581" s="202">
        <f t="shared" si="1306"/>
        <v>1</v>
      </c>
      <c r="M581" s="203">
        <v>6.8</v>
      </c>
      <c r="N581" s="203">
        <f t="shared" si="1307"/>
        <v>6.8</v>
      </c>
      <c r="O581" s="203" t="s">
        <v>137</v>
      </c>
      <c r="P581" s="203" t="s">
        <v>13</v>
      </c>
      <c r="Q581" s="203" t="s">
        <v>154</v>
      </c>
      <c r="R581" s="203"/>
      <c r="S581" s="203"/>
      <c r="T581" s="203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0</v>
      </c>
      <c r="U581" s="203">
        <f t="shared" ca="1" si="1308"/>
        <v>1</v>
      </c>
      <c r="V581" s="203">
        <f t="shared" ca="1" si="1309"/>
        <v>0</v>
      </c>
      <c r="W581" s="203"/>
      <c r="X581" s="203"/>
      <c r="Y581" s="203"/>
      <c r="Z581" s="203"/>
      <c r="AA581" s="203"/>
      <c r="AB581" s="203"/>
      <c r="AC581" s="205" t="s">
        <v>1784</v>
      </c>
      <c r="AD581" s="206" t="s">
        <v>1785</v>
      </c>
      <c r="AE581" s="166"/>
      <c r="AF581" s="203" t="str">
        <f t="shared" si="1274"/>
        <v>N/A</v>
      </c>
      <c r="AG581" s="203">
        <f t="shared" si="1274"/>
        <v>0</v>
      </c>
      <c r="AH581" s="203">
        <f t="shared" si="1310"/>
        <v>0</v>
      </c>
      <c r="AI581" s="203">
        <f t="shared" ca="1" si="1311"/>
        <v>0</v>
      </c>
      <c r="AJ581" s="203">
        <f t="shared" ca="1" si="1312"/>
        <v>0</v>
      </c>
      <c r="AK581" s="203" t="str">
        <f t="shared" si="1278"/>
        <v>N/A</v>
      </c>
      <c r="AL581" s="203">
        <f t="shared" si="1278"/>
        <v>0</v>
      </c>
      <c r="AM581" s="203">
        <f t="shared" si="1313"/>
        <v>0</v>
      </c>
      <c r="AN581" s="203">
        <f t="shared" ca="1" si="1314"/>
        <v>0</v>
      </c>
      <c r="AO581" s="203">
        <f t="shared" ca="1" si="1315"/>
        <v>0</v>
      </c>
      <c r="AP581" s="203" t="str">
        <f t="shared" si="1282"/>
        <v>N/A</v>
      </c>
      <c r="AQ581" s="203">
        <f t="shared" si="1282"/>
        <v>0</v>
      </c>
      <c r="AR581" s="203">
        <f t="shared" si="1316"/>
        <v>0</v>
      </c>
      <c r="AS581" s="203">
        <f t="shared" ca="1" si="1317"/>
        <v>0</v>
      </c>
      <c r="AT581" s="203">
        <f t="shared" ca="1" si="1318"/>
        <v>0</v>
      </c>
      <c r="AU581" s="203" t="str">
        <f t="shared" si="1286"/>
        <v>AMC2-S1</v>
      </c>
      <c r="AV581" s="203">
        <f t="shared" si="1286"/>
        <v>1</v>
      </c>
      <c r="AW581" s="203">
        <f t="shared" si="1319"/>
        <v>1</v>
      </c>
      <c r="AX581" s="203">
        <f t="shared" ca="1" si="1320"/>
        <v>0</v>
      </c>
      <c r="AY581" s="203">
        <f t="shared" ca="1" si="1321"/>
        <v>1</v>
      </c>
      <c r="AZ581" s="203"/>
      <c r="BA581" s="204" t="s">
        <v>140</v>
      </c>
      <c r="BB581" s="204" t="s">
        <v>140</v>
      </c>
      <c r="BC581" s="204" t="s">
        <v>140</v>
      </c>
      <c r="BD581" s="204" t="s">
        <v>141</v>
      </c>
      <c r="BE581" s="166"/>
      <c r="BF581" s="203" t="s">
        <v>1789</v>
      </c>
      <c r="BG581" s="141"/>
      <c r="BH581" s="152"/>
      <c r="BI581" s="207"/>
      <c r="BJ581" s="207"/>
      <c r="BK581" s="207"/>
      <c r="BL581" s="153" t="s">
        <v>149</v>
      </c>
      <c r="BM581" s="153"/>
      <c r="BN581" s="153"/>
      <c r="BO581" s="153"/>
      <c r="BP581" s="153"/>
      <c r="BQ581" s="153"/>
      <c r="BR581" s="141">
        <v>0</v>
      </c>
      <c r="BS581" s="141">
        <v>1</v>
      </c>
      <c r="BT581" s="141">
        <v>0</v>
      </c>
      <c r="BU581" s="141">
        <v>0</v>
      </c>
      <c r="BV581" s="141">
        <v>0</v>
      </c>
      <c r="BW581" s="141">
        <v>0</v>
      </c>
      <c r="BX581" s="141">
        <v>0</v>
      </c>
      <c r="BY581" s="141" t="s">
        <v>1790</v>
      </c>
      <c r="BZ581" s="141"/>
      <c r="CA581" s="141"/>
      <c r="CB581" s="153"/>
      <c r="CC581" s="152"/>
      <c r="CD581" s="152"/>
      <c r="CE581" s="208"/>
      <c r="CF581" s="166">
        <f t="shared" si="1322"/>
        <v>1</v>
      </c>
    </row>
    <row r="582" spans="1:84" hidden="1">
      <c r="A582" s="141"/>
      <c r="B582" s="199" t="s">
        <v>1780</v>
      </c>
      <c r="C582" s="199" t="s">
        <v>2110</v>
      </c>
      <c r="D582" s="199" t="s">
        <v>13</v>
      </c>
      <c r="E582" s="199" t="s">
        <v>1807</v>
      </c>
      <c r="F582" s="199" t="s">
        <v>1136</v>
      </c>
      <c r="G582" s="199" t="s">
        <v>1113</v>
      </c>
      <c r="H582" s="200">
        <v>2097</v>
      </c>
      <c r="I582" s="201" t="s">
        <v>147</v>
      </c>
      <c r="J582" s="165">
        <v>1</v>
      </c>
      <c r="K582" s="202">
        <f t="shared" si="1248"/>
        <v>1</v>
      </c>
      <c r="L582" s="202">
        <f t="shared" si="1306"/>
        <v>1</v>
      </c>
      <c r="M582" s="203">
        <v>41.1</v>
      </c>
      <c r="N582" s="203">
        <f t="shared" si="1307"/>
        <v>41.1</v>
      </c>
      <c r="O582" s="203" t="s">
        <v>137</v>
      </c>
      <c r="P582" s="203" t="s">
        <v>13</v>
      </c>
      <c r="Q582" s="203" t="s">
        <v>148</v>
      </c>
      <c r="R582" s="203"/>
      <c r="S582" s="203"/>
      <c r="T582" s="203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1</v>
      </c>
      <c r="U582" s="203">
        <f t="shared" ca="1" si="1308"/>
        <v>0</v>
      </c>
      <c r="V582" s="203">
        <f t="shared" ca="1" si="1309"/>
        <v>1</v>
      </c>
      <c r="W582" s="203"/>
      <c r="X582" s="203"/>
      <c r="Y582" s="203"/>
      <c r="Z582" s="203"/>
      <c r="AA582" s="203"/>
      <c r="AB582" s="203"/>
      <c r="AC582" s="205" t="s">
        <v>1784</v>
      </c>
      <c r="AD582" s="206" t="s">
        <v>1785</v>
      </c>
      <c r="AE582" s="166"/>
      <c r="AF582" s="203" t="str">
        <f t="shared" ref="AF582:AG590" si="1323">AF581</f>
        <v>N/A</v>
      </c>
      <c r="AG582" s="203">
        <f t="shared" si="1323"/>
        <v>0</v>
      </c>
      <c r="AH582" s="203">
        <f t="shared" si="1310"/>
        <v>0</v>
      </c>
      <c r="AI582" s="203">
        <f t="shared" ca="1" si="1311"/>
        <v>0</v>
      </c>
      <c r="AJ582" s="203">
        <f t="shared" ca="1" si="1312"/>
        <v>0</v>
      </c>
      <c r="AK582" s="203" t="str">
        <f t="shared" ref="AK582:AL590" si="1324">AK581</f>
        <v>N/A</v>
      </c>
      <c r="AL582" s="203">
        <f t="shared" si="1324"/>
        <v>0</v>
      </c>
      <c r="AM582" s="203">
        <f t="shared" si="1313"/>
        <v>0</v>
      </c>
      <c r="AN582" s="203">
        <f t="shared" ca="1" si="1314"/>
        <v>0</v>
      </c>
      <c r="AO582" s="203">
        <f t="shared" ca="1" si="1315"/>
        <v>0</v>
      </c>
      <c r="AP582" s="203" t="str">
        <f t="shared" ref="AP582:AQ590" si="1325">AP581</f>
        <v>N/A</v>
      </c>
      <c r="AQ582" s="203">
        <f t="shared" si="1325"/>
        <v>0</v>
      </c>
      <c r="AR582" s="203">
        <f t="shared" si="1316"/>
        <v>0</v>
      </c>
      <c r="AS582" s="203">
        <f t="shared" ca="1" si="1317"/>
        <v>0</v>
      </c>
      <c r="AT582" s="203">
        <f t="shared" ca="1" si="1318"/>
        <v>0</v>
      </c>
      <c r="AU582" s="203" t="str">
        <f t="shared" ref="AU582:AV590" si="1326">AU581</f>
        <v>AMC2-S1</v>
      </c>
      <c r="AV582" s="203">
        <f t="shared" si="1326"/>
        <v>1</v>
      </c>
      <c r="AW582" s="203">
        <f t="shared" si="1319"/>
        <v>1</v>
      </c>
      <c r="AX582" s="203">
        <f t="shared" ca="1" si="1320"/>
        <v>1</v>
      </c>
      <c r="AY582" s="203">
        <f t="shared" ca="1" si="1321"/>
        <v>0</v>
      </c>
      <c r="AZ582" s="203"/>
      <c r="BA582" s="204" t="s">
        <v>140</v>
      </c>
      <c r="BB582" s="204" t="s">
        <v>140</v>
      </c>
      <c r="BC582" s="204" t="s">
        <v>140</v>
      </c>
      <c r="BD582" s="204" t="s">
        <v>141</v>
      </c>
      <c r="BE582" s="166"/>
      <c r="BF582" s="203" t="s">
        <v>1789</v>
      </c>
      <c r="BG582" s="141"/>
      <c r="BH582" s="152"/>
      <c r="BI582" s="207"/>
      <c r="BJ582" s="207"/>
      <c r="BK582" s="207"/>
      <c r="BL582" s="153" t="s">
        <v>149</v>
      </c>
      <c r="BM582" s="153"/>
      <c r="BN582" s="153"/>
      <c r="BO582" s="153"/>
      <c r="BP582" s="153"/>
      <c r="BQ582" s="153"/>
      <c r="BR582" s="141">
        <v>0</v>
      </c>
      <c r="BS582" s="141">
        <v>0</v>
      </c>
      <c r="BT582" s="141">
        <v>0</v>
      </c>
      <c r="BU582" s="141">
        <v>0</v>
      </c>
      <c r="BV582" s="141">
        <v>0</v>
      </c>
      <c r="BW582" s="141">
        <v>0</v>
      </c>
      <c r="BX582" s="141">
        <v>0</v>
      </c>
      <c r="BY582" s="141" t="s">
        <v>1790</v>
      </c>
      <c r="BZ582" s="141" t="s">
        <v>2101</v>
      </c>
      <c r="CA582" s="165">
        <v>1</v>
      </c>
      <c r="CB582" s="153">
        <v>46244</v>
      </c>
      <c r="CC582" s="152"/>
      <c r="CD582" s="152"/>
      <c r="CE582" s="208"/>
      <c r="CF582" s="166">
        <f t="shared" si="1322"/>
        <v>0</v>
      </c>
    </row>
    <row r="583" spans="1:84" hidden="1">
      <c r="A583" s="141"/>
      <c r="B583" s="199" t="s">
        <v>1780</v>
      </c>
      <c r="C583" s="199" t="s">
        <v>2110</v>
      </c>
      <c r="D583" s="199" t="s">
        <v>13</v>
      </c>
      <c r="E583" s="199" t="s">
        <v>1818</v>
      </c>
      <c r="F583" s="199" t="s">
        <v>1137</v>
      </c>
      <c r="G583" s="199" t="s">
        <v>1138</v>
      </c>
      <c r="H583" s="200">
        <v>1136</v>
      </c>
      <c r="I583" s="201" t="s">
        <v>147</v>
      </c>
      <c r="J583" s="165">
        <v>1</v>
      </c>
      <c r="K583" s="202">
        <f t="shared" si="1248"/>
        <v>1</v>
      </c>
      <c r="L583" s="202">
        <f t="shared" si="1306"/>
        <v>1</v>
      </c>
      <c r="M583" s="203">
        <v>43.8</v>
      </c>
      <c r="N583" s="203">
        <f t="shared" si="1307"/>
        <v>43.8</v>
      </c>
      <c r="O583" s="203" t="s">
        <v>137</v>
      </c>
      <c r="P583" s="203" t="s">
        <v>13</v>
      </c>
      <c r="Q583" s="203" t="s">
        <v>154</v>
      </c>
      <c r="R583" s="203"/>
      <c r="S583" s="203"/>
      <c r="T583" s="203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0</v>
      </c>
      <c r="U583" s="203">
        <f t="shared" ca="1" si="1308"/>
        <v>1</v>
      </c>
      <c r="V583" s="203">
        <f t="shared" ca="1" si="1309"/>
        <v>0</v>
      </c>
      <c r="W583" s="203"/>
      <c r="X583" s="203"/>
      <c r="Y583" s="203"/>
      <c r="Z583" s="203"/>
      <c r="AA583" s="203"/>
      <c r="AB583" s="203"/>
      <c r="AC583" s="205" t="s">
        <v>1784</v>
      </c>
      <c r="AD583" s="206" t="s">
        <v>1785</v>
      </c>
      <c r="AE583" s="166"/>
      <c r="AF583" s="203" t="str">
        <f t="shared" si="1323"/>
        <v>N/A</v>
      </c>
      <c r="AG583" s="203">
        <f t="shared" si="1323"/>
        <v>0</v>
      </c>
      <c r="AH583" s="203">
        <f t="shared" si="1310"/>
        <v>0</v>
      </c>
      <c r="AI583" s="203">
        <f t="shared" ca="1" si="1311"/>
        <v>0</v>
      </c>
      <c r="AJ583" s="203">
        <f t="shared" ca="1" si="1312"/>
        <v>0</v>
      </c>
      <c r="AK583" s="203" t="str">
        <f t="shared" si="1324"/>
        <v>N/A</v>
      </c>
      <c r="AL583" s="203">
        <f t="shared" si="1324"/>
        <v>0</v>
      </c>
      <c r="AM583" s="203">
        <f t="shared" si="1313"/>
        <v>0</v>
      </c>
      <c r="AN583" s="203">
        <f t="shared" ca="1" si="1314"/>
        <v>0</v>
      </c>
      <c r="AO583" s="203">
        <f t="shared" ca="1" si="1315"/>
        <v>0</v>
      </c>
      <c r="AP583" s="203" t="str">
        <f t="shared" si="1325"/>
        <v>N/A</v>
      </c>
      <c r="AQ583" s="203">
        <f t="shared" si="1325"/>
        <v>0</v>
      </c>
      <c r="AR583" s="203">
        <f t="shared" si="1316"/>
        <v>0</v>
      </c>
      <c r="AS583" s="203">
        <f t="shared" ca="1" si="1317"/>
        <v>0</v>
      </c>
      <c r="AT583" s="203">
        <f t="shared" ca="1" si="1318"/>
        <v>0</v>
      </c>
      <c r="AU583" s="203" t="str">
        <f t="shared" si="1326"/>
        <v>AMC2-S1</v>
      </c>
      <c r="AV583" s="203">
        <f t="shared" si="1326"/>
        <v>1</v>
      </c>
      <c r="AW583" s="203">
        <f t="shared" si="1319"/>
        <v>1</v>
      </c>
      <c r="AX583" s="203">
        <f t="shared" ca="1" si="1320"/>
        <v>0</v>
      </c>
      <c r="AY583" s="203">
        <f t="shared" ca="1" si="1321"/>
        <v>1</v>
      </c>
      <c r="AZ583" s="203"/>
      <c r="BA583" s="204" t="s">
        <v>140</v>
      </c>
      <c r="BB583" s="204" t="s">
        <v>140</v>
      </c>
      <c r="BC583" s="204" t="s">
        <v>140</v>
      </c>
      <c r="BD583" s="204" t="s">
        <v>141</v>
      </c>
      <c r="BE583" s="166"/>
      <c r="BF583" s="203" t="s">
        <v>1789</v>
      </c>
      <c r="BG583" s="141"/>
      <c r="BH583" s="152"/>
      <c r="BI583" s="207"/>
      <c r="BJ583" s="207"/>
      <c r="BK583" s="207"/>
      <c r="BL583" s="153" t="s">
        <v>149</v>
      </c>
      <c r="BM583" s="153"/>
      <c r="BN583" s="150" t="s">
        <v>2111</v>
      </c>
      <c r="BO583" s="153"/>
      <c r="BP583" s="153"/>
      <c r="BQ583" s="153"/>
      <c r="BR583" s="141">
        <v>1</v>
      </c>
      <c r="BS583" s="141">
        <v>1</v>
      </c>
      <c r="BT583" s="141">
        <v>0</v>
      </c>
      <c r="BU583" s="141">
        <v>1</v>
      </c>
      <c r="BV583" s="141">
        <v>0</v>
      </c>
      <c r="BW583" s="141">
        <v>0</v>
      </c>
      <c r="BX583" s="141">
        <v>0</v>
      </c>
      <c r="BY583" s="141" t="s">
        <v>1790</v>
      </c>
      <c r="BZ583" s="141"/>
      <c r="CA583" s="141"/>
      <c r="CB583" s="153"/>
      <c r="CC583" s="152"/>
      <c r="CD583" s="152"/>
      <c r="CE583" s="208"/>
      <c r="CF583" s="166">
        <f t="shared" si="1322"/>
        <v>1</v>
      </c>
    </row>
    <row r="584" spans="1:84" hidden="1">
      <c r="A584" s="117"/>
      <c r="B584" s="209" t="s">
        <v>1780</v>
      </c>
      <c r="C584" s="209" t="s">
        <v>2110</v>
      </c>
      <c r="D584" s="209" t="s">
        <v>13</v>
      </c>
      <c r="E584" s="209" t="s">
        <v>1819</v>
      </c>
      <c r="F584" s="209" t="s">
        <v>1139</v>
      </c>
      <c r="G584" s="209" t="s">
        <v>1140</v>
      </c>
      <c r="H584" s="210">
        <v>2203</v>
      </c>
      <c r="I584" s="211" t="s">
        <v>147</v>
      </c>
      <c r="J584" s="144">
        <v>1</v>
      </c>
      <c r="K584" s="145">
        <f t="shared" si="1248"/>
        <v>1</v>
      </c>
      <c r="L584" s="202">
        <f t="shared" si="1306"/>
        <v>1</v>
      </c>
      <c r="M584" s="212">
        <v>44.1</v>
      </c>
      <c r="N584" s="203">
        <f t="shared" si="1307"/>
        <v>44.1</v>
      </c>
      <c r="O584" s="212" t="s">
        <v>137</v>
      </c>
      <c r="P584" s="212" t="s">
        <v>13</v>
      </c>
      <c r="Q584" s="212" t="s">
        <v>154</v>
      </c>
      <c r="R584" s="212"/>
      <c r="S584" s="212"/>
      <c r="T584" s="203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0</v>
      </c>
      <c r="U584" s="203">
        <f t="shared" ca="1" si="1308"/>
        <v>1</v>
      </c>
      <c r="V584" s="203">
        <f t="shared" ca="1" si="1309"/>
        <v>0</v>
      </c>
      <c r="W584" s="212"/>
      <c r="X584" s="212"/>
      <c r="Y584" s="212"/>
      <c r="Z584" s="212"/>
      <c r="AA584" s="212"/>
      <c r="AB584" s="212"/>
      <c r="AC584" s="214" t="s">
        <v>1784</v>
      </c>
      <c r="AD584" s="215" t="s">
        <v>1785</v>
      </c>
      <c r="AE584" s="148"/>
      <c r="AF584" s="212" t="str">
        <f t="shared" si="1323"/>
        <v>N/A</v>
      </c>
      <c r="AG584" s="212">
        <f t="shared" si="1323"/>
        <v>0</v>
      </c>
      <c r="AH584" s="203">
        <f t="shared" si="1310"/>
        <v>0</v>
      </c>
      <c r="AI584" s="203">
        <f t="shared" ca="1" si="1311"/>
        <v>0</v>
      </c>
      <c r="AJ584" s="203">
        <f t="shared" ca="1" si="1312"/>
        <v>0</v>
      </c>
      <c r="AK584" s="212" t="str">
        <f t="shared" si="1324"/>
        <v>N/A</v>
      </c>
      <c r="AL584" s="212">
        <f t="shared" si="1324"/>
        <v>0</v>
      </c>
      <c r="AM584" s="203">
        <f t="shared" si="1313"/>
        <v>0</v>
      </c>
      <c r="AN584" s="203">
        <f t="shared" ca="1" si="1314"/>
        <v>0</v>
      </c>
      <c r="AO584" s="203">
        <f t="shared" ca="1" si="1315"/>
        <v>0</v>
      </c>
      <c r="AP584" s="212" t="str">
        <f t="shared" si="1325"/>
        <v>N/A</v>
      </c>
      <c r="AQ584" s="212">
        <f t="shared" si="1325"/>
        <v>0</v>
      </c>
      <c r="AR584" s="203">
        <f t="shared" si="1316"/>
        <v>0</v>
      </c>
      <c r="AS584" s="203">
        <f t="shared" ca="1" si="1317"/>
        <v>0</v>
      </c>
      <c r="AT584" s="203">
        <f t="shared" ca="1" si="1318"/>
        <v>0</v>
      </c>
      <c r="AU584" s="212" t="str">
        <f t="shared" si="1326"/>
        <v>AMC2-S1</v>
      </c>
      <c r="AV584" s="212">
        <f t="shared" si="1326"/>
        <v>1</v>
      </c>
      <c r="AW584" s="203">
        <f t="shared" si="1319"/>
        <v>1</v>
      </c>
      <c r="AX584" s="203">
        <f t="shared" ca="1" si="1320"/>
        <v>0</v>
      </c>
      <c r="AY584" s="203">
        <f t="shared" ca="1" si="1321"/>
        <v>1</v>
      </c>
      <c r="AZ584" s="212"/>
      <c r="BA584" s="213" t="s">
        <v>140</v>
      </c>
      <c r="BB584" s="213" t="s">
        <v>140</v>
      </c>
      <c r="BC584" s="213" t="s">
        <v>140</v>
      </c>
      <c r="BD584" s="213" t="s">
        <v>141</v>
      </c>
      <c r="BE584" s="148"/>
      <c r="BF584" s="212" t="s">
        <v>1789</v>
      </c>
      <c r="BG584" s="117"/>
      <c r="BH584" s="155"/>
      <c r="BI584" s="216"/>
      <c r="BJ584" s="216"/>
      <c r="BK584" s="216"/>
      <c r="BL584" s="149"/>
      <c r="BM584" s="149"/>
      <c r="BN584" s="149"/>
      <c r="BO584" s="149"/>
      <c r="BP584" s="149"/>
      <c r="BQ584" s="149"/>
      <c r="BR584" s="117">
        <v>0</v>
      </c>
      <c r="BS584" s="117">
        <v>1</v>
      </c>
      <c r="BT584" s="117">
        <v>0</v>
      </c>
      <c r="BU584" s="117">
        <v>1</v>
      </c>
      <c r="BV584" s="117">
        <v>0</v>
      </c>
      <c r="BW584" s="117">
        <v>0</v>
      </c>
      <c r="BX584" s="117">
        <v>0</v>
      </c>
      <c r="BY584" s="117" t="s">
        <v>1790</v>
      </c>
      <c r="BZ584" s="117"/>
      <c r="CA584" s="117"/>
      <c r="CB584" s="149"/>
      <c r="CC584" s="155"/>
      <c r="CD584" s="155"/>
      <c r="CE584" s="217"/>
      <c r="CF584" s="148">
        <f t="shared" si="1322"/>
        <v>1</v>
      </c>
    </row>
    <row r="585" spans="1:84" hidden="1">
      <c r="A585" s="117"/>
      <c r="B585" s="209" t="s">
        <v>1780</v>
      </c>
      <c r="C585" s="209" t="s">
        <v>2110</v>
      </c>
      <c r="D585" s="209" t="s">
        <v>13</v>
      </c>
      <c r="E585" s="209" t="s">
        <v>1820</v>
      </c>
      <c r="F585" s="209" t="s">
        <v>1141</v>
      </c>
      <c r="G585" s="209" t="s">
        <v>1142</v>
      </c>
      <c r="H585" s="210">
        <v>1884</v>
      </c>
      <c r="I585" s="211" t="s">
        <v>147</v>
      </c>
      <c r="J585" s="144">
        <v>1</v>
      </c>
      <c r="K585" s="145">
        <f t="shared" si="1248"/>
        <v>1</v>
      </c>
      <c r="L585" s="202">
        <f t="shared" si="1306"/>
        <v>1</v>
      </c>
      <c r="M585" s="212">
        <v>34.200000000000003</v>
      </c>
      <c r="N585" s="203">
        <f t="shared" si="1307"/>
        <v>34.200000000000003</v>
      </c>
      <c r="O585" s="212" t="s">
        <v>137</v>
      </c>
      <c r="P585" s="212" t="s">
        <v>13</v>
      </c>
      <c r="Q585" s="212" t="s">
        <v>154</v>
      </c>
      <c r="R585" s="212"/>
      <c r="S585" s="212"/>
      <c r="T585" s="203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0</v>
      </c>
      <c r="U585" s="203">
        <f t="shared" ca="1" si="1308"/>
        <v>1</v>
      </c>
      <c r="V585" s="203">
        <f t="shared" ca="1" si="1309"/>
        <v>0</v>
      </c>
      <c r="W585" s="212"/>
      <c r="X585" s="212"/>
      <c r="Y585" s="212"/>
      <c r="Z585" s="212"/>
      <c r="AA585" s="212"/>
      <c r="AB585" s="212"/>
      <c r="AC585" s="214" t="s">
        <v>1784</v>
      </c>
      <c r="AD585" s="215" t="s">
        <v>1785</v>
      </c>
      <c r="AE585" s="148"/>
      <c r="AF585" s="212" t="str">
        <f t="shared" si="1323"/>
        <v>N/A</v>
      </c>
      <c r="AG585" s="212">
        <f t="shared" si="1323"/>
        <v>0</v>
      </c>
      <c r="AH585" s="203">
        <f t="shared" si="1310"/>
        <v>0</v>
      </c>
      <c r="AI585" s="203">
        <f t="shared" ca="1" si="1311"/>
        <v>0</v>
      </c>
      <c r="AJ585" s="203">
        <f t="shared" ca="1" si="1312"/>
        <v>0</v>
      </c>
      <c r="AK585" s="212" t="str">
        <f t="shared" si="1324"/>
        <v>N/A</v>
      </c>
      <c r="AL585" s="212">
        <f t="shared" si="1324"/>
        <v>0</v>
      </c>
      <c r="AM585" s="203">
        <f t="shared" si="1313"/>
        <v>0</v>
      </c>
      <c r="AN585" s="203">
        <f t="shared" ca="1" si="1314"/>
        <v>0</v>
      </c>
      <c r="AO585" s="203">
        <f t="shared" ca="1" si="1315"/>
        <v>0</v>
      </c>
      <c r="AP585" s="212" t="str">
        <f t="shared" si="1325"/>
        <v>N/A</v>
      </c>
      <c r="AQ585" s="212">
        <f t="shared" si="1325"/>
        <v>0</v>
      </c>
      <c r="AR585" s="203">
        <f t="shared" si="1316"/>
        <v>0</v>
      </c>
      <c r="AS585" s="203">
        <f t="shared" ca="1" si="1317"/>
        <v>0</v>
      </c>
      <c r="AT585" s="203">
        <f t="shared" ca="1" si="1318"/>
        <v>0</v>
      </c>
      <c r="AU585" s="212" t="str">
        <f t="shared" si="1326"/>
        <v>AMC2-S1</v>
      </c>
      <c r="AV585" s="212">
        <f t="shared" si="1326"/>
        <v>1</v>
      </c>
      <c r="AW585" s="203">
        <f t="shared" si="1319"/>
        <v>1</v>
      </c>
      <c r="AX585" s="203">
        <f t="shared" ca="1" si="1320"/>
        <v>0</v>
      </c>
      <c r="AY585" s="203">
        <f t="shared" ca="1" si="1321"/>
        <v>1</v>
      </c>
      <c r="AZ585" s="212"/>
      <c r="BA585" s="213" t="s">
        <v>140</v>
      </c>
      <c r="BB585" s="213" t="s">
        <v>140</v>
      </c>
      <c r="BC585" s="213" t="s">
        <v>140</v>
      </c>
      <c r="BD585" s="213" t="s">
        <v>141</v>
      </c>
      <c r="BE585" s="148"/>
      <c r="BF585" s="212" t="s">
        <v>1789</v>
      </c>
      <c r="BG585" s="117"/>
      <c r="BH585" s="155"/>
      <c r="BI585" s="216"/>
      <c r="BJ585" s="216"/>
      <c r="BK585" s="216"/>
      <c r="BL585" s="149"/>
      <c r="BM585" s="149"/>
      <c r="BN585" s="149"/>
      <c r="BO585" s="149"/>
      <c r="BP585" s="149"/>
      <c r="BQ585" s="149"/>
      <c r="BR585" s="117">
        <v>0</v>
      </c>
      <c r="BS585" s="117">
        <v>1</v>
      </c>
      <c r="BT585" s="117">
        <v>0</v>
      </c>
      <c r="BU585" s="117">
        <v>1</v>
      </c>
      <c r="BV585" s="117">
        <v>0</v>
      </c>
      <c r="BW585" s="117">
        <v>0</v>
      </c>
      <c r="BX585" s="117">
        <v>0</v>
      </c>
      <c r="BY585" s="117" t="s">
        <v>1790</v>
      </c>
      <c r="BZ585" s="117"/>
      <c r="CA585" s="117"/>
      <c r="CB585" s="149"/>
      <c r="CC585" s="155"/>
      <c r="CD585" s="155"/>
      <c r="CE585" s="217"/>
      <c r="CF585" s="148">
        <f t="shared" si="1322"/>
        <v>1</v>
      </c>
    </row>
    <row r="586" spans="1:84" hidden="1">
      <c r="A586" s="141"/>
      <c r="B586" s="199" t="s">
        <v>1780</v>
      </c>
      <c r="C586" s="199" t="s">
        <v>2110</v>
      </c>
      <c r="D586" s="199" t="s">
        <v>13</v>
      </c>
      <c r="E586" s="199" t="s">
        <v>1808</v>
      </c>
      <c r="F586" s="199" t="s">
        <v>1143</v>
      </c>
      <c r="G586" s="199" t="s">
        <v>1115</v>
      </c>
      <c r="H586" s="200">
        <v>2138</v>
      </c>
      <c r="I586" s="201" t="s">
        <v>147</v>
      </c>
      <c r="J586" s="165">
        <v>5</v>
      </c>
      <c r="K586" s="202">
        <f t="shared" si="1248"/>
        <v>1</v>
      </c>
      <c r="L586" s="202">
        <f t="shared" si="1306"/>
        <v>5</v>
      </c>
      <c r="M586" s="203">
        <v>31.8</v>
      </c>
      <c r="N586" s="203">
        <f t="shared" si="1307"/>
        <v>159</v>
      </c>
      <c r="O586" s="203" t="s">
        <v>137</v>
      </c>
      <c r="P586" s="203" t="s">
        <v>13</v>
      </c>
      <c r="Q586" s="203" t="s">
        <v>148</v>
      </c>
      <c r="R586" s="203"/>
      <c r="S586" s="203"/>
      <c r="T586" s="203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0</v>
      </c>
      <c r="U586" s="203">
        <f t="shared" ca="1" si="1308"/>
        <v>5</v>
      </c>
      <c r="V586" s="203">
        <f t="shared" ca="1" si="1309"/>
        <v>0</v>
      </c>
      <c r="W586" s="203"/>
      <c r="X586" s="203"/>
      <c r="Y586" s="203"/>
      <c r="Z586" s="203"/>
      <c r="AA586" s="203"/>
      <c r="AB586" s="203"/>
      <c r="AC586" s="205" t="s">
        <v>1784</v>
      </c>
      <c r="AD586" s="206" t="s">
        <v>1785</v>
      </c>
      <c r="AE586" s="166"/>
      <c r="AF586" s="203" t="str">
        <f t="shared" si="1323"/>
        <v>N/A</v>
      </c>
      <c r="AG586" s="203">
        <f t="shared" si="1323"/>
        <v>0</v>
      </c>
      <c r="AH586" s="203">
        <f t="shared" si="1310"/>
        <v>0</v>
      </c>
      <c r="AI586" s="203">
        <f t="shared" ca="1" si="1311"/>
        <v>0</v>
      </c>
      <c r="AJ586" s="203">
        <f t="shared" ca="1" si="1312"/>
        <v>0</v>
      </c>
      <c r="AK586" s="203" t="str">
        <f t="shared" si="1324"/>
        <v>N/A</v>
      </c>
      <c r="AL586" s="203">
        <f t="shared" si="1324"/>
        <v>0</v>
      </c>
      <c r="AM586" s="203">
        <f t="shared" si="1313"/>
        <v>0</v>
      </c>
      <c r="AN586" s="203">
        <f t="shared" ca="1" si="1314"/>
        <v>0</v>
      </c>
      <c r="AO586" s="203">
        <f t="shared" ca="1" si="1315"/>
        <v>0</v>
      </c>
      <c r="AP586" s="203" t="str">
        <f t="shared" si="1325"/>
        <v>N/A</v>
      </c>
      <c r="AQ586" s="203">
        <f t="shared" si="1325"/>
        <v>0</v>
      </c>
      <c r="AR586" s="203">
        <f t="shared" si="1316"/>
        <v>0</v>
      </c>
      <c r="AS586" s="203">
        <f t="shared" ca="1" si="1317"/>
        <v>0</v>
      </c>
      <c r="AT586" s="203">
        <f t="shared" ca="1" si="1318"/>
        <v>0</v>
      </c>
      <c r="AU586" s="203" t="str">
        <f t="shared" si="1326"/>
        <v>AMC2-S1</v>
      </c>
      <c r="AV586" s="203">
        <f t="shared" si="1326"/>
        <v>1</v>
      </c>
      <c r="AW586" s="203">
        <f t="shared" si="1319"/>
        <v>5</v>
      </c>
      <c r="AX586" s="203">
        <f t="shared" ca="1" si="1320"/>
        <v>0</v>
      </c>
      <c r="AY586" s="203">
        <f t="shared" ca="1" si="1321"/>
        <v>5</v>
      </c>
      <c r="AZ586" s="203"/>
      <c r="BA586" s="204" t="s">
        <v>140</v>
      </c>
      <c r="BB586" s="204" t="s">
        <v>140</v>
      </c>
      <c r="BC586" s="204" t="s">
        <v>140</v>
      </c>
      <c r="BD586" s="204" t="s">
        <v>141</v>
      </c>
      <c r="BE586" s="166"/>
      <c r="BF586" s="203" t="s">
        <v>1789</v>
      </c>
      <c r="BG586" s="141"/>
      <c r="BH586" s="152"/>
      <c r="BI586" s="207"/>
      <c r="BJ586" s="207"/>
      <c r="BK586" s="207"/>
      <c r="BL586" s="153" t="s">
        <v>149</v>
      </c>
      <c r="BM586" s="153"/>
      <c r="BN586" s="153"/>
      <c r="BO586" s="153"/>
      <c r="BP586" s="153"/>
      <c r="BQ586" s="153"/>
      <c r="BR586" s="141">
        <v>0</v>
      </c>
      <c r="BS586" s="141">
        <v>0</v>
      </c>
      <c r="BT586" s="141">
        <v>0</v>
      </c>
      <c r="BU586" s="141">
        <v>0</v>
      </c>
      <c r="BV586" s="141">
        <v>0</v>
      </c>
      <c r="BW586" s="141">
        <v>0</v>
      </c>
      <c r="BX586" s="141">
        <v>0</v>
      </c>
      <c r="BY586" s="141" t="s">
        <v>1790</v>
      </c>
      <c r="BZ586" s="141" t="s">
        <v>2099</v>
      </c>
      <c r="CA586" s="165">
        <v>5</v>
      </c>
      <c r="CB586" s="153">
        <v>46244</v>
      </c>
      <c r="CC586" s="152"/>
      <c r="CD586" s="152"/>
      <c r="CE586" s="208"/>
      <c r="CF586" s="166">
        <f t="shared" si="1322"/>
        <v>0</v>
      </c>
    </row>
    <row r="587" spans="1:84" hidden="1">
      <c r="A587" s="141"/>
      <c r="B587" s="199" t="s">
        <v>1780</v>
      </c>
      <c r="C587" s="199" t="s">
        <v>2110</v>
      </c>
      <c r="D587" s="199" t="s">
        <v>13</v>
      </c>
      <c r="E587" s="199" t="s">
        <v>1821</v>
      </c>
      <c r="F587" s="199" t="s">
        <v>1144</v>
      </c>
      <c r="G587" s="199" t="s">
        <v>1145</v>
      </c>
      <c r="H587" s="200">
        <v>825</v>
      </c>
      <c r="I587" s="201" t="s">
        <v>147</v>
      </c>
      <c r="J587" s="165">
        <v>1</v>
      </c>
      <c r="K587" s="202">
        <f t="shared" si="1248"/>
        <v>1</v>
      </c>
      <c r="L587" s="202">
        <f t="shared" si="1306"/>
        <v>1</v>
      </c>
      <c r="M587" s="203">
        <v>25.8</v>
      </c>
      <c r="N587" s="203">
        <f t="shared" si="1307"/>
        <v>25.8</v>
      </c>
      <c r="O587" s="203" t="s">
        <v>137</v>
      </c>
      <c r="P587" s="203" t="s">
        <v>13</v>
      </c>
      <c r="Q587" s="203" t="s">
        <v>148</v>
      </c>
      <c r="R587" s="203"/>
      <c r="S587" s="203"/>
      <c r="T587" s="203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0</v>
      </c>
      <c r="U587" s="203">
        <f t="shared" ca="1" si="1308"/>
        <v>1</v>
      </c>
      <c r="V587" s="203">
        <f t="shared" ca="1" si="1309"/>
        <v>0</v>
      </c>
      <c r="W587" s="203"/>
      <c r="X587" s="203"/>
      <c r="Y587" s="203"/>
      <c r="Z587" s="203"/>
      <c r="AA587" s="203"/>
      <c r="AB587" s="203"/>
      <c r="AC587" s="205" t="s">
        <v>1784</v>
      </c>
      <c r="AD587" s="206" t="s">
        <v>1785</v>
      </c>
      <c r="AE587" s="166"/>
      <c r="AF587" s="203" t="str">
        <f t="shared" si="1323"/>
        <v>N/A</v>
      </c>
      <c r="AG587" s="203">
        <f t="shared" si="1323"/>
        <v>0</v>
      </c>
      <c r="AH587" s="203">
        <f t="shared" si="1310"/>
        <v>0</v>
      </c>
      <c r="AI587" s="203">
        <f t="shared" ca="1" si="1311"/>
        <v>0</v>
      </c>
      <c r="AJ587" s="203">
        <f t="shared" ca="1" si="1312"/>
        <v>0</v>
      </c>
      <c r="AK587" s="203" t="str">
        <f t="shared" si="1324"/>
        <v>N/A</v>
      </c>
      <c r="AL587" s="203">
        <f t="shared" si="1324"/>
        <v>0</v>
      </c>
      <c r="AM587" s="203">
        <f t="shared" si="1313"/>
        <v>0</v>
      </c>
      <c r="AN587" s="203">
        <f t="shared" ca="1" si="1314"/>
        <v>0</v>
      </c>
      <c r="AO587" s="203">
        <f t="shared" ca="1" si="1315"/>
        <v>0</v>
      </c>
      <c r="AP587" s="203" t="str">
        <f t="shared" si="1325"/>
        <v>N/A</v>
      </c>
      <c r="AQ587" s="203">
        <f t="shared" si="1325"/>
        <v>0</v>
      </c>
      <c r="AR587" s="203">
        <f t="shared" si="1316"/>
        <v>0</v>
      </c>
      <c r="AS587" s="203">
        <f t="shared" ca="1" si="1317"/>
        <v>0</v>
      </c>
      <c r="AT587" s="203">
        <f t="shared" ca="1" si="1318"/>
        <v>0</v>
      </c>
      <c r="AU587" s="203" t="str">
        <f t="shared" si="1326"/>
        <v>AMC2-S1</v>
      </c>
      <c r="AV587" s="203">
        <f t="shared" si="1326"/>
        <v>1</v>
      </c>
      <c r="AW587" s="203">
        <f t="shared" si="1319"/>
        <v>1</v>
      </c>
      <c r="AX587" s="203">
        <f t="shared" ca="1" si="1320"/>
        <v>0</v>
      </c>
      <c r="AY587" s="203">
        <f t="shared" ca="1" si="1321"/>
        <v>1</v>
      </c>
      <c r="AZ587" s="203"/>
      <c r="BA587" s="204" t="s">
        <v>140</v>
      </c>
      <c r="BB587" s="204" t="s">
        <v>140</v>
      </c>
      <c r="BC587" s="204" t="s">
        <v>140</v>
      </c>
      <c r="BD587" s="204" t="s">
        <v>141</v>
      </c>
      <c r="BE587" s="166"/>
      <c r="BF587" s="203" t="s">
        <v>1789</v>
      </c>
      <c r="BG587" s="141"/>
      <c r="BH587" s="152"/>
      <c r="BI587" s="207"/>
      <c r="BJ587" s="207"/>
      <c r="BK587" s="207"/>
      <c r="BL587" s="153" t="s">
        <v>149</v>
      </c>
      <c r="BM587" s="153"/>
      <c r="BN587" s="153"/>
      <c r="BO587" s="153"/>
      <c r="BP587" s="153"/>
      <c r="BQ587" s="153"/>
      <c r="BR587" s="141">
        <v>1</v>
      </c>
      <c r="BS587" s="141">
        <v>0</v>
      </c>
      <c r="BT587" s="141">
        <v>0</v>
      </c>
      <c r="BU587" s="141">
        <v>0</v>
      </c>
      <c r="BV587" s="141">
        <v>0</v>
      </c>
      <c r="BW587" s="141">
        <v>0</v>
      </c>
      <c r="BX587" s="141">
        <v>0</v>
      </c>
      <c r="BY587" s="141" t="s">
        <v>1790</v>
      </c>
      <c r="BZ587" s="141" t="s">
        <v>2100</v>
      </c>
      <c r="CA587" s="165">
        <v>1</v>
      </c>
      <c r="CB587" s="153">
        <v>46238</v>
      </c>
      <c r="CC587" s="152"/>
      <c r="CD587" s="152"/>
      <c r="CE587" s="208"/>
      <c r="CF587" s="166">
        <f t="shared" si="1322"/>
        <v>0</v>
      </c>
    </row>
    <row r="588" spans="1:84" hidden="1">
      <c r="A588" s="141"/>
      <c r="B588" s="199" t="s">
        <v>1780</v>
      </c>
      <c r="C588" s="199" t="s">
        <v>2110</v>
      </c>
      <c r="D588" s="199" t="s">
        <v>1076</v>
      </c>
      <c r="E588" s="199" t="s">
        <v>1822</v>
      </c>
      <c r="F588" s="199" t="s">
        <v>1146</v>
      </c>
      <c r="G588" s="199" t="s">
        <v>1147</v>
      </c>
      <c r="H588" s="200">
        <v>767</v>
      </c>
      <c r="I588" s="201" t="s">
        <v>147</v>
      </c>
      <c r="J588" s="165">
        <v>1</v>
      </c>
      <c r="K588" s="202">
        <f t="shared" si="1248"/>
        <v>1</v>
      </c>
      <c r="L588" s="202">
        <f t="shared" si="1306"/>
        <v>1</v>
      </c>
      <c r="M588" s="203">
        <v>21.7</v>
      </c>
      <c r="N588" s="203">
        <f t="shared" si="1307"/>
        <v>21.7</v>
      </c>
      <c r="O588" s="203" t="s">
        <v>137</v>
      </c>
      <c r="P588" s="203" t="s">
        <v>13</v>
      </c>
      <c r="Q588" s="203" t="s">
        <v>148</v>
      </c>
      <c r="R588" s="203"/>
      <c r="S588" s="203"/>
      <c r="T588" s="203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0</v>
      </c>
      <c r="U588" s="203">
        <f t="shared" ca="1" si="1308"/>
        <v>1</v>
      </c>
      <c r="V588" s="203">
        <f t="shared" ca="1" si="1309"/>
        <v>0</v>
      </c>
      <c r="W588" s="203"/>
      <c r="X588" s="203"/>
      <c r="Y588" s="203"/>
      <c r="Z588" s="203"/>
      <c r="AA588" s="203"/>
      <c r="AB588" s="203"/>
      <c r="AC588" s="205" t="s">
        <v>1784</v>
      </c>
      <c r="AD588" s="206" t="s">
        <v>1785</v>
      </c>
      <c r="AE588" s="166"/>
      <c r="AF588" s="203" t="str">
        <f t="shared" si="1323"/>
        <v>N/A</v>
      </c>
      <c r="AG588" s="203">
        <f t="shared" si="1323"/>
        <v>0</v>
      </c>
      <c r="AH588" s="203">
        <f t="shared" si="1310"/>
        <v>0</v>
      </c>
      <c r="AI588" s="203">
        <f t="shared" ca="1" si="1311"/>
        <v>0</v>
      </c>
      <c r="AJ588" s="203">
        <f t="shared" ca="1" si="1312"/>
        <v>0</v>
      </c>
      <c r="AK588" s="203" t="str">
        <f t="shared" si="1324"/>
        <v>N/A</v>
      </c>
      <c r="AL588" s="203">
        <f t="shared" si="1324"/>
        <v>0</v>
      </c>
      <c r="AM588" s="203">
        <f t="shared" si="1313"/>
        <v>0</v>
      </c>
      <c r="AN588" s="203">
        <f t="shared" ca="1" si="1314"/>
        <v>0</v>
      </c>
      <c r="AO588" s="203">
        <f t="shared" ca="1" si="1315"/>
        <v>0</v>
      </c>
      <c r="AP588" s="203" t="str">
        <f t="shared" si="1325"/>
        <v>N/A</v>
      </c>
      <c r="AQ588" s="203">
        <f t="shared" si="1325"/>
        <v>0</v>
      </c>
      <c r="AR588" s="203">
        <f t="shared" si="1316"/>
        <v>0</v>
      </c>
      <c r="AS588" s="203">
        <f t="shared" ca="1" si="1317"/>
        <v>0</v>
      </c>
      <c r="AT588" s="203">
        <f t="shared" ca="1" si="1318"/>
        <v>0</v>
      </c>
      <c r="AU588" s="203" t="str">
        <f t="shared" si="1326"/>
        <v>AMC2-S1</v>
      </c>
      <c r="AV588" s="203">
        <f t="shared" si="1326"/>
        <v>1</v>
      </c>
      <c r="AW588" s="203">
        <f t="shared" si="1319"/>
        <v>1</v>
      </c>
      <c r="AX588" s="203">
        <f t="shared" ca="1" si="1320"/>
        <v>0</v>
      </c>
      <c r="AY588" s="203">
        <f t="shared" ca="1" si="1321"/>
        <v>1</v>
      </c>
      <c r="AZ588" s="203"/>
      <c r="BA588" s="204" t="s">
        <v>140</v>
      </c>
      <c r="BB588" s="204" t="s">
        <v>140</v>
      </c>
      <c r="BC588" s="204" t="s">
        <v>140</v>
      </c>
      <c r="BD588" s="204" t="s">
        <v>141</v>
      </c>
      <c r="BE588" s="166"/>
      <c r="BF588" s="203" t="s">
        <v>1789</v>
      </c>
      <c r="BG588" s="141"/>
      <c r="BH588" s="152"/>
      <c r="BI588" s="207"/>
      <c r="BJ588" s="207"/>
      <c r="BK588" s="207"/>
      <c r="BL588" s="153" t="s">
        <v>149</v>
      </c>
      <c r="BM588" s="153"/>
      <c r="BN588" s="153"/>
      <c r="BO588" s="153"/>
      <c r="BP588" s="153"/>
      <c r="BQ588" s="153"/>
      <c r="BR588" s="141">
        <v>1</v>
      </c>
      <c r="BS588" s="141">
        <v>0</v>
      </c>
      <c r="BT588" s="141">
        <v>0</v>
      </c>
      <c r="BU588" s="141">
        <v>0</v>
      </c>
      <c r="BV588" s="141">
        <v>0</v>
      </c>
      <c r="BW588" s="141">
        <v>0</v>
      </c>
      <c r="BX588" s="141">
        <v>0</v>
      </c>
      <c r="BY588" s="141" t="s">
        <v>1790</v>
      </c>
      <c r="BZ588" s="141" t="s">
        <v>2100</v>
      </c>
      <c r="CA588" s="165">
        <v>1</v>
      </c>
      <c r="CB588" s="153">
        <v>46238</v>
      </c>
      <c r="CC588" s="152"/>
      <c r="CD588" s="152"/>
      <c r="CE588" s="208"/>
      <c r="CF588" s="166">
        <f t="shared" si="1322"/>
        <v>0</v>
      </c>
    </row>
    <row r="589" spans="1:84" hidden="1">
      <c r="A589" s="141"/>
      <c r="B589" s="199" t="s">
        <v>1780</v>
      </c>
      <c r="C589" s="199" t="s">
        <v>2110</v>
      </c>
      <c r="D589" s="199" t="s">
        <v>1076</v>
      </c>
      <c r="E589" s="199" t="s">
        <v>1803</v>
      </c>
      <c r="F589" s="199" t="s">
        <v>1126</v>
      </c>
      <c r="G589" s="199" t="s">
        <v>1080</v>
      </c>
      <c r="H589" s="200">
        <v>737</v>
      </c>
      <c r="I589" s="201" t="s">
        <v>1077</v>
      </c>
      <c r="J589" s="165">
        <v>5</v>
      </c>
      <c r="K589" s="202">
        <f t="shared" si="1248"/>
        <v>1</v>
      </c>
      <c r="L589" s="202">
        <f t="shared" si="1306"/>
        <v>5</v>
      </c>
      <c r="M589" s="203">
        <v>2.1</v>
      </c>
      <c r="N589" s="203">
        <f t="shared" si="1307"/>
        <v>10.5</v>
      </c>
      <c r="O589" s="203" t="s">
        <v>137</v>
      </c>
      <c r="P589" s="203" t="s">
        <v>11</v>
      </c>
      <c r="Q589" s="203" t="s">
        <v>154</v>
      </c>
      <c r="R589" s="203"/>
      <c r="S589" s="203"/>
      <c r="T589" s="203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0</v>
      </c>
      <c r="U589" s="203">
        <f t="shared" ca="1" si="1308"/>
        <v>5</v>
      </c>
      <c r="V589" s="203">
        <f t="shared" ca="1" si="1309"/>
        <v>0</v>
      </c>
      <c r="W589" s="203"/>
      <c r="X589" s="203"/>
      <c r="Y589" s="203"/>
      <c r="Z589" s="203"/>
      <c r="AA589" s="203"/>
      <c r="AB589" s="203"/>
      <c r="AC589" s="205" t="s">
        <v>1784</v>
      </c>
      <c r="AD589" s="206" t="s">
        <v>1785</v>
      </c>
      <c r="AE589" s="166"/>
      <c r="AF589" s="203" t="str">
        <f t="shared" si="1323"/>
        <v>N/A</v>
      </c>
      <c r="AG589" s="203">
        <f t="shared" si="1323"/>
        <v>0</v>
      </c>
      <c r="AH589" s="203">
        <f t="shared" si="1310"/>
        <v>0</v>
      </c>
      <c r="AI589" s="203">
        <f t="shared" ca="1" si="1311"/>
        <v>0</v>
      </c>
      <c r="AJ589" s="203">
        <f t="shared" ca="1" si="1312"/>
        <v>0</v>
      </c>
      <c r="AK589" s="203" t="str">
        <f t="shared" si="1324"/>
        <v>N/A</v>
      </c>
      <c r="AL589" s="203">
        <f t="shared" si="1324"/>
        <v>0</v>
      </c>
      <c r="AM589" s="203">
        <f t="shared" si="1313"/>
        <v>0</v>
      </c>
      <c r="AN589" s="203">
        <f t="shared" ca="1" si="1314"/>
        <v>0</v>
      </c>
      <c r="AO589" s="203">
        <f t="shared" ca="1" si="1315"/>
        <v>0</v>
      </c>
      <c r="AP589" s="203" t="str">
        <f t="shared" si="1325"/>
        <v>N/A</v>
      </c>
      <c r="AQ589" s="203">
        <f t="shared" si="1325"/>
        <v>0</v>
      </c>
      <c r="AR589" s="203">
        <f t="shared" si="1316"/>
        <v>0</v>
      </c>
      <c r="AS589" s="203">
        <f t="shared" ca="1" si="1317"/>
        <v>0</v>
      </c>
      <c r="AT589" s="203">
        <f t="shared" ca="1" si="1318"/>
        <v>0</v>
      </c>
      <c r="AU589" s="203" t="str">
        <f t="shared" si="1326"/>
        <v>AMC2-S1</v>
      </c>
      <c r="AV589" s="203">
        <f t="shared" si="1326"/>
        <v>1</v>
      </c>
      <c r="AW589" s="203">
        <f t="shared" si="1319"/>
        <v>5</v>
      </c>
      <c r="AX589" s="203">
        <f t="shared" ca="1" si="1320"/>
        <v>0</v>
      </c>
      <c r="AY589" s="203">
        <f t="shared" ca="1" si="1321"/>
        <v>5</v>
      </c>
      <c r="AZ589" s="203"/>
      <c r="BA589" s="204" t="s">
        <v>140</v>
      </c>
      <c r="BB589" s="204" t="s">
        <v>140</v>
      </c>
      <c r="BC589" s="204" t="s">
        <v>140</v>
      </c>
      <c r="BD589" s="204" t="s">
        <v>141</v>
      </c>
      <c r="BE589" s="166"/>
      <c r="BF589" s="203" t="s">
        <v>1789</v>
      </c>
      <c r="BG589" s="141"/>
      <c r="BH589" s="141"/>
      <c r="BI589" s="207"/>
      <c r="BJ589" s="207"/>
      <c r="BK589" s="207"/>
      <c r="BL589" s="153" t="s">
        <v>149</v>
      </c>
      <c r="BM589" s="153"/>
      <c r="BN589" s="153"/>
      <c r="BO589" s="153"/>
      <c r="BP589" s="153"/>
      <c r="BQ589" s="153"/>
      <c r="BR589" s="141">
        <v>0</v>
      </c>
      <c r="BS589" s="141">
        <v>1</v>
      </c>
      <c r="BT589" s="141">
        <v>0</v>
      </c>
      <c r="BU589" s="141">
        <v>0</v>
      </c>
      <c r="BV589" s="141">
        <v>0</v>
      </c>
      <c r="BW589" s="141">
        <v>0</v>
      </c>
      <c r="BX589" s="141">
        <v>0</v>
      </c>
      <c r="BY589" s="141" t="s">
        <v>1790</v>
      </c>
      <c r="BZ589" s="141" t="s">
        <v>2105</v>
      </c>
      <c r="CA589" s="165">
        <v>5</v>
      </c>
      <c r="CB589" s="153">
        <v>46238</v>
      </c>
      <c r="CC589" s="152"/>
      <c r="CD589" s="152"/>
      <c r="CE589" s="208"/>
      <c r="CF589" s="166">
        <f t="shared" si="1322"/>
        <v>0</v>
      </c>
    </row>
    <row r="590" spans="1:84" hidden="1">
      <c r="A590" s="141"/>
      <c r="B590" s="199" t="s">
        <v>1780</v>
      </c>
      <c r="C590" s="199" t="s">
        <v>2110</v>
      </c>
      <c r="D590" s="199" t="s">
        <v>1129</v>
      </c>
      <c r="E590" s="199" t="s">
        <v>1823</v>
      </c>
      <c r="F590" s="199" t="s">
        <v>1127</v>
      </c>
      <c r="G590" s="199" t="s">
        <v>1128</v>
      </c>
      <c r="H590" s="200">
        <v>48</v>
      </c>
      <c r="I590" s="201" t="s">
        <v>147</v>
      </c>
      <c r="J590" s="165">
        <v>1</v>
      </c>
      <c r="K590" s="202">
        <f t="shared" si="1248"/>
        <v>1</v>
      </c>
      <c r="L590" s="202">
        <f t="shared" si="1306"/>
        <v>1</v>
      </c>
      <c r="M590" s="203">
        <v>0.32</v>
      </c>
      <c r="N590" s="203">
        <f t="shared" si="1307"/>
        <v>0.32</v>
      </c>
      <c r="O590" s="203" t="s">
        <v>137</v>
      </c>
      <c r="P590" s="203" t="s">
        <v>11</v>
      </c>
      <c r="Q590" s="203" t="s">
        <v>154</v>
      </c>
      <c r="R590" s="203"/>
      <c r="S590" s="203"/>
      <c r="T590" s="203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0</v>
      </c>
      <c r="U590" s="203">
        <f t="shared" ca="1" si="1308"/>
        <v>1</v>
      </c>
      <c r="V590" s="203">
        <f t="shared" ca="1" si="1309"/>
        <v>0</v>
      </c>
      <c r="W590" s="203"/>
      <c r="X590" s="203"/>
      <c r="Y590" s="203"/>
      <c r="Z590" s="203"/>
      <c r="AA590" s="203"/>
      <c r="AB590" s="203"/>
      <c r="AC590" s="205" t="s">
        <v>1784</v>
      </c>
      <c r="AD590" s="206" t="s">
        <v>1785</v>
      </c>
      <c r="AE590" s="166"/>
      <c r="AF590" s="203" t="str">
        <f t="shared" si="1323"/>
        <v>N/A</v>
      </c>
      <c r="AG590" s="203">
        <f t="shared" si="1323"/>
        <v>0</v>
      </c>
      <c r="AH590" s="203">
        <f t="shared" si="1310"/>
        <v>0</v>
      </c>
      <c r="AI590" s="203">
        <f t="shared" ca="1" si="1311"/>
        <v>0</v>
      </c>
      <c r="AJ590" s="203">
        <f t="shared" ca="1" si="1312"/>
        <v>0</v>
      </c>
      <c r="AK590" s="203" t="str">
        <f t="shared" si="1324"/>
        <v>N/A</v>
      </c>
      <c r="AL590" s="203">
        <f t="shared" si="1324"/>
        <v>0</v>
      </c>
      <c r="AM590" s="203">
        <f t="shared" si="1313"/>
        <v>0</v>
      </c>
      <c r="AN590" s="203">
        <f t="shared" ca="1" si="1314"/>
        <v>0</v>
      </c>
      <c r="AO590" s="203">
        <f t="shared" ca="1" si="1315"/>
        <v>0</v>
      </c>
      <c r="AP590" s="203" t="str">
        <f t="shared" si="1325"/>
        <v>N/A</v>
      </c>
      <c r="AQ590" s="203">
        <f t="shared" si="1325"/>
        <v>0</v>
      </c>
      <c r="AR590" s="203">
        <f t="shared" si="1316"/>
        <v>0</v>
      </c>
      <c r="AS590" s="203">
        <f t="shared" ca="1" si="1317"/>
        <v>0</v>
      </c>
      <c r="AT590" s="203">
        <f t="shared" ca="1" si="1318"/>
        <v>0</v>
      </c>
      <c r="AU590" s="203" t="str">
        <f t="shared" si="1326"/>
        <v>AMC2-S1</v>
      </c>
      <c r="AV590" s="203">
        <f t="shared" si="1326"/>
        <v>1</v>
      </c>
      <c r="AW590" s="203">
        <f t="shared" si="1319"/>
        <v>1</v>
      </c>
      <c r="AX590" s="203">
        <f t="shared" ca="1" si="1320"/>
        <v>0</v>
      </c>
      <c r="AY590" s="203">
        <f t="shared" ca="1" si="1321"/>
        <v>1</v>
      </c>
      <c r="AZ590" s="203"/>
      <c r="BA590" s="204" t="s">
        <v>140</v>
      </c>
      <c r="BB590" s="204" t="s">
        <v>140</v>
      </c>
      <c r="BC590" s="204" t="s">
        <v>140</v>
      </c>
      <c r="BD590" s="204" t="s">
        <v>141</v>
      </c>
      <c r="BE590" s="166"/>
      <c r="BF590" s="212" t="s">
        <v>1789</v>
      </c>
      <c r="BG590" s="141"/>
      <c r="BH590" s="152"/>
      <c r="BI590" s="207"/>
      <c r="BJ590" s="207"/>
      <c r="BK590" s="153" t="s">
        <v>1824</v>
      </c>
      <c r="BL590" s="153"/>
      <c r="BM590" s="153"/>
      <c r="BN590" s="153"/>
      <c r="BO590" s="153"/>
      <c r="BP590" s="153"/>
      <c r="BQ590" s="153"/>
      <c r="BR590" s="141">
        <v>0</v>
      </c>
      <c r="BS590" s="141">
        <v>0</v>
      </c>
      <c r="BT590" s="141">
        <v>0</v>
      </c>
      <c r="BU590" s="141">
        <v>0</v>
      </c>
      <c r="BV590" s="141">
        <v>1</v>
      </c>
      <c r="BW590" s="141">
        <v>0</v>
      </c>
      <c r="BX590" s="141">
        <v>0</v>
      </c>
      <c r="BY590" s="141" t="s">
        <v>1790</v>
      </c>
      <c r="BZ590" s="141" t="s">
        <v>2112</v>
      </c>
      <c r="CA590" s="141">
        <v>1</v>
      </c>
      <c r="CB590" s="153">
        <v>46238</v>
      </c>
      <c r="CC590" s="152"/>
      <c r="CD590" s="152"/>
      <c r="CE590" s="208"/>
      <c r="CF590" s="166"/>
    </row>
    <row r="591" spans="1:84" hidden="1">
      <c r="A591" s="162">
        <v>32</v>
      </c>
      <c r="B591" s="177" t="s">
        <v>1825</v>
      </c>
      <c r="C591" s="177" t="s">
        <v>2113</v>
      </c>
      <c r="D591" s="177" t="s">
        <v>1826</v>
      </c>
      <c r="E591" s="177"/>
      <c r="F591" s="177"/>
      <c r="G591" s="177" t="s">
        <v>1827</v>
      </c>
      <c r="H591" s="178"/>
      <c r="I591" s="179"/>
      <c r="J591" s="160"/>
      <c r="K591" s="180">
        <f>+AG591+AL591+AQ591+AV591</f>
        <v>1</v>
      </c>
      <c r="L591" s="160"/>
      <c r="M591" s="181">
        <v>6787.7</v>
      </c>
      <c r="N591" s="181">
        <v>6788</v>
      </c>
      <c r="O591" s="181" t="s">
        <v>137</v>
      </c>
      <c r="P591" s="181"/>
      <c r="Q591" s="181"/>
      <c r="R591" s="181"/>
      <c r="S591" s="181"/>
      <c r="T591" s="181"/>
      <c r="U591" s="181"/>
      <c r="V591" s="181"/>
      <c r="W591" s="181">
        <f>_xlfn.MINIFS(V:V,C:C,C591,AE:AE,"",AB:AB,"")</f>
        <v>0</v>
      </c>
      <c r="X591" s="181" t="e">
        <f>SUMIFS(T:T,C:C,C591,AE:AE,"")/SUMIFS(L:L,C:C,C591,AE:AE,"",AB:AB,"")</f>
        <v>#DIV/0!</v>
      </c>
      <c r="Y591" s="181"/>
      <c r="Z591" s="181"/>
      <c r="AA591" s="181"/>
      <c r="AB591" s="181"/>
      <c r="AC591" s="183" t="s">
        <v>1784</v>
      </c>
      <c r="AD591" s="184" t="s">
        <v>1785</v>
      </c>
      <c r="AE591" s="162" t="s">
        <v>143</v>
      </c>
      <c r="AF591" s="181" t="s">
        <v>138</v>
      </c>
      <c r="AG591" s="181">
        <v>0</v>
      </c>
      <c r="AH591" s="181"/>
      <c r="AI591" s="181"/>
      <c r="AJ591" s="181"/>
      <c r="AK591" s="181" t="s">
        <v>138</v>
      </c>
      <c r="AL591" s="181">
        <v>0</v>
      </c>
      <c r="AM591" s="181"/>
      <c r="AN591" s="181"/>
      <c r="AO591" s="181"/>
      <c r="AP591" s="181" t="s">
        <v>138</v>
      </c>
      <c r="AQ591" s="181">
        <v>0</v>
      </c>
      <c r="AR591" s="181"/>
      <c r="AS591" s="181"/>
      <c r="AT591" s="181"/>
      <c r="AU591" s="181" t="s">
        <v>1783</v>
      </c>
      <c r="AV591" s="181">
        <v>1</v>
      </c>
      <c r="AW591" s="181"/>
      <c r="AX591" s="181"/>
      <c r="AY591" s="181"/>
      <c r="AZ591" s="181"/>
      <c r="BA591" s="182" t="s">
        <v>140</v>
      </c>
      <c r="BB591" s="182" t="s">
        <v>140</v>
      </c>
      <c r="BC591" s="182" t="s">
        <v>140</v>
      </c>
      <c r="BD591" s="182" t="s">
        <v>141</v>
      </c>
      <c r="BE591" s="162"/>
      <c r="BF591" s="181"/>
      <c r="BG591" s="161"/>
      <c r="BH591" s="161"/>
      <c r="BI591" s="163"/>
      <c r="BJ591" s="163"/>
      <c r="BK591" s="163"/>
      <c r="BL591" s="163"/>
      <c r="BM591" s="163"/>
      <c r="BN591" s="163"/>
      <c r="BO591" s="163"/>
      <c r="BP591" s="163"/>
      <c r="BQ591" s="163"/>
      <c r="BR591" s="161"/>
      <c r="BS591" s="161"/>
      <c r="BT591" s="161"/>
      <c r="BU591" s="161"/>
      <c r="BV591" s="161"/>
      <c r="BW591" s="161"/>
      <c r="BX591" s="161"/>
      <c r="BY591" s="161"/>
      <c r="BZ591" s="161"/>
      <c r="CA591" s="161"/>
      <c r="CB591" s="163"/>
      <c r="CC591" s="161"/>
      <c r="CD591" s="161"/>
      <c r="CE591" s="185"/>
      <c r="CF591" s="185"/>
    </row>
    <row r="592" spans="1:84" hidden="1">
      <c r="A592" s="186"/>
      <c r="B592" s="187" t="s">
        <v>1825</v>
      </c>
      <c r="C592" s="187" t="s">
        <v>2114</v>
      </c>
      <c r="D592" s="187"/>
      <c r="E592" s="187"/>
      <c r="F592" s="187"/>
      <c r="G592" s="187" t="s">
        <v>1828</v>
      </c>
      <c r="H592" s="188"/>
      <c r="I592" s="189"/>
      <c r="J592" s="190"/>
      <c r="K592" s="191">
        <f t="shared" ref="K592:K622" si="1327">K591</f>
        <v>1</v>
      </c>
      <c r="L592" s="190"/>
      <c r="M592" s="192">
        <v>1542.1</v>
      </c>
      <c r="N592" s="192">
        <v>1542</v>
      </c>
      <c r="O592" s="192" t="s">
        <v>137</v>
      </c>
      <c r="P592" s="192"/>
      <c r="Q592" s="192"/>
      <c r="R592" s="192"/>
      <c r="S592" s="192"/>
      <c r="T592" s="192"/>
      <c r="U592" s="192"/>
      <c r="V592" s="192"/>
      <c r="W592" s="192">
        <f ca="1">_xlfn.MINIFS(V:V,C:C,C592,AE:AE,"",AB:AB,"")</f>
        <v>0</v>
      </c>
      <c r="X592" s="192">
        <f ca="1">SUMIFS(T:T,C:C,C592,AE:AE,"")/SUMIFS(L:L,C:C,C592,AE:AE,"",AB:AB,"")</f>
        <v>0.27586206896551724</v>
      </c>
      <c r="Y592" s="192"/>
      <c r="Z592" s="192"/>
      <c r="AA592" s="192"/>
      <c r="AB592" s="192"/>
      <c r="AC592" s="194" t="s">
        <v>1784</v>
      </c>
      <c r="AD592" s="195" t="s">
        <v>1785</v>
      </c>
      <c r="AE592" s="196" t="s">
        <v>1829</v>
      </c>
      <c r="AF592" s="192" t="str">
        <f t="shared" ref="AF592:AG607" si="1328">AF591</f>
        <v>N/A</v>
      </c>
      <c r="AG592" s="192">
        <f t="shared" si="1328"/>
        <v>0</v>
      </c>
      <c r="AH592" s="192"/>
      <c r="AI592" s="192"/>
      <c r="AJ592" s="192"/>
      <c r="AK592" s="192" t="str">
        <f t="shared" ref="AK592:AL607" si="1329">AK591</f>
        <v>N/A</v>
      </c>
      <c r="AL592" s="192">
        <f t="shared" si="1329"/>
        <v>0</v>
      </c>
      <c r="AM592" s="192"/>
      <c r="AN592" s="192"/>
      <c r="AO592" s="192"/>
      <c r="AP592" s="192" t="str">
        <f t="shared" ref="AP592:AQ607" si="1330">AP591</f>
        <v>N/A</v>
      </c>
      <c r="AQ592" s="192">
        <f t="shared" si="1330"/>
        <v>0</v>
      </c>
      <c r="AR592" s="192"/>
      <c r="AS592" s="192"/>
      <c r="AT592" s="192"/>
      <c r="AU592" s="192" t="str">
        <f t="shared" ref="AU592:AV607" si="1331">AU591</f>
        <v>AMC2-S1</v>
      </c>
      <c r="AV592" s="192">
        <f t="shared" si="1331"/>
        <v>1</v>
      </c>
      <c r="AW592" s="192"/>
      <c r="AX592" s="192"/>
      <c r="AY592" s="192"/>
      <c r="AZ592" s="192"/>
      <c r="BA592" s="193" t="s">
        <v>140</v>
      </c>
      <c r="BB592" s="193" t="s">
        <v>140</v>
      </c>
      <c r="BC592" s="193" t="s">
        <v>140</v>
      </c>
      <c r="BD592" s="193" t="s">
        <v>141</v>
      </c>
      <c r="BE592" s="196" t="s">
        <v>741</v>
      </c>
      <c r="BF592" s="192"/>
      <c r="BG592" s="186"/>
      <c r="BH592" s="186"/>
      <c r="BI592" s="197"/>
      <c r="BJ592" s="197"/>
      <c r="BK592" s="197"/>
      <c r="BL592" s="197"/>
      <c r="BM592" s="197"/>
      <c r="BN592" s="197"/>
      <c r="BO592" s="197"/>
      <c r="BP592" s="197"/>
      <c r="BQ592" s="197"/>
      <c r="BR592" s="186"/>
      <c r="BS592" s="186"/>
      <c r="BT592" s="186"/>
      <c r="BU592" s="186"/>
      <c r="BV592" s="186"/>
      <c r="BW592" s="186"/>
      <c r="BX592" s="186"/>
      <c r="BY592" s="186"/>
      <c r="BZ592" s="186"/>
      <c r="CA592" s="186"/>
      <c r="CB592" s="197"/>
      <c r="CC592" s="186"/>
      <c r="CD592" s="186"/>
      <c r="CE592" s="198"/>
      <c r="CF592" s="198"/>
    </row>
    <row r="593" spans="1:84" hidden="1">
      <c r="A593" s="141"/>
      <c r="B593" s="199" t="s">
        <v>1825</v>
      </c>
      <c r="C593" s="199" t="s">
        <v>2114</v>
      </c>
      <c r="D593" s="199" t="s">
        <v>1084</v>
      </c>
      <c r="E593" s="199" t="s">
        <v>1788</v>
      </c>
      <c r="F593" s="199" t="s">
        <v>1149</v>
      </c>
      <c r="G593" s="199" t="s">
        <v>1150</v>
      </c>
      <c r="H593" s="200">
        <v>4829</v>
      </c>
      <c r="I593" s="201" t="s">
        <v>147</v>
      </c>
      <c r="J593" s="165">
        <v>2</v>
      </c>
      <c r="K593" s="202">
        <f t="shared" si="1327"/>
        <v>1</v>
      </c>
      <c r="L593" s="202">
        <f t="shared" ref="L593:L602" si="1332">+J593*K593</f>
        <v>2</v>
      </c>
      <c r="M593" s="203">
        <v>141.69999999999999</v>
      </c>
      <c r="N593" s="203">
        <f t="shared" ref="N593:N602" si="1333">+M593*L593</f>
        <v>283.39999999999998</v>
      </c>
      <c r="O593" s="203" t="s">
        <v>137</v>
      </c>
      <c r="P593" s="203" t="s">
        <v>13</v>
      </c>
      <c r="Q593" s="203" t="s">
        <v>154</v>
      </c>
      <c r="R593" s="203"/>
      <c r="S593" s="203"/>
      <c r="T593" s="203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0</v>
      </c>
      <c r="U593" s="203">
        <f t="shared" ref="U593:U602" ca="1" si="1334">+L593-T593</f>
        <v>2</v>
      </c>
      <c r="V593" s="203">
        <f t="shared" ref="V593:V602" ca="1" si="1335">ROUNDDOWN(T593/J593,0)</f>
        <v>0</v>
      </c>
      <c r="W593" s="203"/>
      <c r="X593" s="203"/>
      <c r="Y593" s="203"/>
      <c r="Z593" s="203"/>
      <c r="AA593" s="203"/>
      <c r="AB593" s="203"/>
      <c r="AC593" s="205" t="s">
        <v>1784</v>
      </c>
      <c r="AD593" s="206" t="s">
        <v>1785</v>
      </c>
      <c r="AE593" s="166"/>
      <c r="AF593" s="203" t="str">
        <f t="shared" si="1328"/>
        <v>N/A</v>
      </c>
      <c r="AG593" s="203">
        <f t="shared" si="1328"/>
        <v>0</v>
      </c>
      <c r="AH593" s="203">
        <f t="shared" ref="AH593:AH602" si="1336">+AG593*J593</f>
        <v>0</v>
      </c>
      <c r="AI593" s="203">
        <f t="shared" ref="AI593:AI602" ca="1" si="1337">MIN(T593,AH593)</f>
        <v>0</v>
      </c>
      <c r="AJ593" s="203">
        <f t="shared" ref="AJ593:AJ602" ca="1" si="1338">+AH593-AI593</f>
        <v>0</v>
      </c>
      <c r="AK593" s="203" t="str">
        <f t="shared" si="1329"/>
        <v>N/A</v>
      </c>
      <c r="AL593" s="203">
        <f t="shared" si="1329"/>
        <v>0</v>
      </c>
      <c r="AM593" s="203">
        <f t="shared" ref="AM593:AM602" si="1339">+AL593*J593</f>
        <v>0</v>
      </c>
      <c r="AN593" s="203">
        <f t="shared" ref="AN593:AN602" ca="1" si="1340">MIN(T593-AI593,AL593)</f>
        <v>0</v>
      </c>
      <c r="AO593" s="203">
        <f t="shared" ref="AO593:AO602" ca="1" si="1341">+AM593-AN593</f>
        <v>0</v>
      </c>
      <c r="AP593" s="203" t="str">
        <f t="shared" si="1330"/>
        <v>N/A</v>
      </c>
      <c r="AQ593" s="203">
        <f t="shared" si="1330"/>
        <v>0</v>
      </c>
      <c r="AR593" s="203">
        <f t="shared" ref="AR593:AR602" si="1342">+AQ593*J593</f>
        <v>0</v>
      </c>
      <c r="AS593" s="203">
        <f t="shared" ref="AS593:AS602" ca="1" si="1343">MIN(T593-AI593-AN593,AR593)</f>
        <v>0</v>
      </c>
      <c r="AT593" s="203">
        <f t="shared" ref="AT593:AT602" ca="1" si="1344">+AR593-AS593</f>
        <v>0</v>
      </c>
      <c r="AU593" s="203" t="str">
        <f t="shared" si="1331"/>
        <v>AMC2-S1</v>
      </c>
      <c r="AV593" s="203">
        <f t="shared" si="1331"/>
        <v>1</v>
      </c>
      <c r="AW593" s="203">
        <f t="shared" ref="AW593:AW602" si="1345">+AV593*J593</f>
        <v>2</v>
      </c>
      <c r="AX593" s="203">
        <f t="shared" ref="AX593:AX602" ca="1" si="1346">MIN(T593-AI593-AN593-AS593,AW593)</f>
        <v>0</v>
      </c>
      <c r="AY593" s="203">
        <f t="shared" ref="AY593:AY602" ca="1" si="1347">+AW593-AX593</f>
        <v>2</v>
      </c>
      <c r="AZ593" s="203"/>
      <c r="BA593" s="204" t="s">
        <v>140</v>
      </c>
      <c r="BB593" s="204" t="s">
        <v>140</v>
      </c>
      <c r="BC593" s="204" t="s">
        <v>140</v>
      </c>
      <c r="BD593" s="204" t="s">
        <v>141</v>
      </c>
      <c r="BE593" s="166"/>
      <c r="BF593" s="203" t="s">
        <v>1789</v>
      </c>
      <c r="BG593" s="141"/>
      <c r="BH593" s="152"/>
      <c r="BI593" s="207"/>
      <c r="BJ593" s="207"/>
      <c r="BK593" s="207"/>
      <c r="BL593" s="153" t="s">
        <v>149</v>
      </c>
      <c r="BM593" s="153"/>
      <c r="BN593" s="153"/>
      <c r="BO593" s="153"/>
      <c r="BP593" s="153"/>
      <c r="BQ593" s="153"/>
      <c r="BR593" s="141">
        <v>0</v>
      </c>
      <c r="BS593" s="141">
        <v>1</v>
      </c>
      <c r="BT593" s="141">
        <v>0</v>
      </c>
      <c r="BU593" s="141">
        <v>1</v>
      </c>
      <c r="BV593" s="141">
        <v>0</v>
      </c>
      <c r="BW593" s="141">
        <v>0</v>
      </c>
      <c r="BX593" s="141">
        <v>0</v>
      </c>
      <c r="BY593" s="141" t="s">
        <v>1790</v>
      </c>
      <c r="BZ593" s="141"/>
      <c r="CA593" s="141"/>
      <c r="CB593" s="153"/>
      <c r="CC593" s="152"/>
      <c r="CD593" s="152"/>
      <c r="CE593" s="208"/>
      <c r="CF593" s="166">
        <f t="shared" ref="CF593:CF602" si="1348">+L593-CA593</f>
        <v>2</v>
      </c>
    </row>
    <row r="594" spans="1:84" hidden="1">
      <c r="A594" s="141"/>
      <c r="B594" s="199" t="s">
        <v>1825</v>
      </c>
      <c r="C594" s="199" t="s">
        <v>2114</v>
      </c>
      <c r="D594" s="199" t="s">
        <v>1084</v>
      </c>
      <c r="E594" s="199" t="s">
        <v>1791</v>
      </c>
      <c r="F594" s="199" t="s">
        <v>1151</v>
      </c>
      <c r="G594" s="199" t="s">
        <v>1152</v>
      </c>
      <c r="H594" s="200">
        <v>2218</v>
      </c>
      <c r="I594" s="201" t="s">
        <v>147</v>
      </c>
      <c r="J594" s="165">
        <v>1</v>
      </c>
      <c r="K594" s="202">
        <f t="shared" si="1327"/>
        <v>1</v>
      </c>
      <c r="L594" s="202">
        <f t="shared" si="1332"/>
        <v>1</v>
      </c>
      <c r="M594" s="203">
        <v>76.2</v>
      </c>
      <c r="N594" s="203">
        <f t="shared" si="1333"/>
        <v>76.2</v>
      </c>
      <c r="O594" s="203" t="s">
        <v>137</v>
      </c>
      <c r="P594" s="203" t="s">
        <v>13</v>
      </c>
      <c r="Q594" s="203" t="s">
        <v>154</v>
      </c>
      <c r="R594" s="203"/>
      <c r="S594" s="203"/>
      <c r="T594" s="203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0</v>
      </c>
      <c r="U594" s="203">
        <f t="shared" ca="1" si="1334"/>
        <v>1</v>
      </c>
      <c r="V594" s="203">
        <f t="shared" ca="1" si="1335"/>
        <v>0</v>
      </c>
      <c r="W594" s="203"/>
      <c r="X594" s="203"/>
      <c r="Y594" s="203"/>
      <c r="Z594" s="203"/>
      <c r="AA594" s="203"/>
      <c r="AB594" s="203"/>
      <c r="AC594" s="205" t="s">
        <v>1784</v>
      </c>
      <c r="AD594" s="206" t="s">
        <v>1785</v>
      </c>
      <c r="AE594" s="166"/>
      <c r="AF594" s="203" t="str">
        <f t="shared" si="1328"/>
        <v>N/A</v>
      </c>
      <c r="AG594" s="203">
        <f t="shared" si="1328"/>
        <v>0</v>
      </c>
      <c r="AH594" s="203">
        <f t="shared" si="1336"/>
        <v>0</v>
      </c>
      <c r="AI594" s="203">
        <f t="shared" ca="1" si="1337"/>
        <v>0</v>
      </c>
      <c r="AJ594" s="203">
        <f t="shared" ca="1" si="1338"/>
        <v>0</v>
      </c>
      <c r="AK594" s="203" t="str">
        <f t="shared" si="1329"/>
        <v>N/A</v>
      </c>
      <c r="AL594" s="203">
        <f t="shared" si="1329"/>
        <v>0</v>
      </c>
      <c r="AM594" s="203">
        <f t="shared" si="1339"/>
        <v>0</v>
      </c>
      <c r="AN594" s="203">
        <f t="shared" ca="1" si="1340"/>
        <v>0</v>
      </c>
      <c r="AO594" s="203">
        <f t="shared" ca="1" si="1341"/>
        <v>0</v>
      </c>
      <c r="AP594" s="203" t="str">
        <f t="shared" si="1330"/>
        <v>N/A</v>
      </c>
      <c r="AQ594" s="203">
        <f t="shared" si="1330"/>
        <v>0</v>
      </c>
      <c r="AR594" s="203">
        <f t="shared" si="1342"/>
        <v>0</v>
      </c>
      <c r="AS594" s="203">
        <f t="shared" ca="1" si="1343"/>
        <v>0</v>
      </c>
      <c r="AT594" s="203">
        <f t="shared" ca="1" si="1344"/>
        <v>0</v>
      </c>
      <c r="AU594" s="203" t="str">
        <f t="shared" si="1331"/>
        <v>AMC2-S1</v>
      </c>
      <c r="AV594" s="203">
        <f t="shared" si="1331"/>
        <v>1</v>
      </c>
      <c r="AW594" s="203">
        <f t="shared" si="1345"/>
        <v>1</v>
      </c>
      <c r="AX594" s="203">
        <f t="shared" ca="1" si="1346"/>
        <v>0</v>
      </c>
      <c r="AY594" s="203">
        <f t="shared" ca="1" si="1347"/>
        <v>1</v>
      </c>
      <c r="AZ594" s="203"/>
      <c r="BA594" s="204" t="s">
        <v>140</v>
      </c>
      <c r="BB594" s="204" t="s">
        <v>140</v>
      </c>
      <c r="BC594" s="204" t="s">
        <v>140</v>
      </c>
      <c r="BD594" s="204" t="s">
        <v>141</v>
      </c>
      <c r="BE594" s="166"/>
      <c r="BF594" s="203" t="s">
        <v>1789</v>
      </c>
      <c r="BG594" s="141"/>
      <c r="BH594" s="152"/>
      <c r="BI594" s="207"/>
      <c r="BJ594" s="207"/>
      <c r="BK594" s="207"/>
      <c r="BL594" s="153" t="s">
        <v>149</v>
      </c>
      <c r="BM594" s="153"/>
      <c r="BN594" s="153"/>
      <c r="BO594" s="153"/>
      <c r="BP594" s="153"/>
      <c r="BQ594" s="153"/>
      <c r="BR594" s="141">
        <v>0</v>
      </c>
      <c r="BS594" s="141">
        <v>1</v>
      </c>
      <c r="BT594" s="141">
        <v>0</v>
      </c>
      <c r="BU594" s="141">
        <v>1</v>
      </c>
      <c r="BV594" s="141">
        <v>0</v>
      </c>
      <c r="BW594" s="141">
        <v>0</v>
      </c>
      <c r="BX594" s="141">
        <v>0</v>
      </c>
      <c r="BY594" s="141" t="s">
        <v>1790</v>
      </c>
      <c r="BZ594" s="141"/>
      <c r="CA594" s="141"/>
      <c r="CB594" s="153"/>
      <c r="CC594" s="152"/>
      <c r="CD594" s="152"/>
      <c r="CE594" s="208"/>
      <c r="CF594" s="166">
        <f t="shared" si="1348"/>
        <v>1</v>
      </c>
    </row>
    <row r="595" spans="1:84" hidden="1">
      <c r="A595" s="141"/>
      <c r="B595" s="199" t="s">
        <v>1825</v>
      </c>
      <c r="C595" s="199" t="s">
        <v>2114</v>
      </c>
      <c r="D595" s="199" t="s">
        <v>1084</v>
      </c>
      <c r="E595" s="199" t="s">
        <v>1792</v>
      </c>
      <c r="F595" s="199" t="s">
        <v>1153</v>
      </c>
      <c r="G595" s="199" t="s">
        <v>1152</v>
      </c>
      <c r="H595" s="200">
        <v>2218</v>
      </c>
      <c r="I595" s="201" t="s">
        <v>147</v>
      </c>
      <c r="J595" s="165">
        <v>1</v>
      </c>
      <c r="K595" s="202">
        <f t="shared" si="1327"/>
        <v>1</v>
      </c>
      <c r="L595" s="202">
        <f t="shared" si="1332"/>
        <v>1</v>
      </c>
      <c r="M595" s="203">
        <v>76.2</v>
      </c>
      <c r="N595" s="203">
        <f t="shared" si="1333"/>
        <v>76.2</v>
      </c>
      <c r="O595" s="203" t="s">
        <v>137</v>
      </c>
      <c r="P595" s="203" t="s">
        <v>13</v>
      </c>
      <c r="Q595" s="203" t="s">
        <v>154</v>
      </c>
      <c r="R595" s="203"/>
      <c r="S595" s="203"/>
      <c r="T595" s="203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0</v>
      </c>
      <c r="U595" s="203">
        <f t="shared" ca="1" si="1334"/>
        <v>1</v>
      </c>
      <c r="V595" s="203">
        <f t="shared" ca="1" si="1335"/>
        <v>0</v>
      </c>
      <c r="W595" s="203"/>
      <c r="X595" s="203"/>
      <c r="Y595" s="203"/>
      <c r="Z595" s="203"/>
      <c r="AA595" s="203"/>
      <c r="AB595" s="203"/>
      <c r="AC595" s="205" t="s">
        <v>1784</v>
      </c>
      <c r="AD595" s="206" t="s">
        <v>1785</v>
      </c>
      <c r="AE595" s="166"/>
      <c r="AF595" s="203" t="str">
        <f t="shared" si="1328"/>
        <v>N/A</v>
      </c>
      <c r="AG595" s="203">
        <f t="shared" si="1328"/>
        <v>0</v>
      </c>
      <c r="AH595" s="203">
        <f t="shared" si="1336"/>
        <v>0</v>
      </c>
      <c r="AI595" s="203">
        <f t="shared" ca="1" si="1337"/>
        <v>0</v>
      </c>
      <c r="AJ595" s="203">
        <f t="shared" ca="1" si="1338"/>
        <v>0</v>
      </c>
      <c r="AK595" s="203" t="str">
        <f t="shared" si="1329"/>
        <v>N/A</v>
      </c>
      <c r="AL595" s="203">
        <f t="shared" si="1329"/>
        <v>0</v>
      </c>
      <c r="AM595" s="203">
        <f t="shared" si="1339"/>
        <v>0</v>
      </c>
      <c r="AN595" s="203">
        <f t="shared" ca="1" si="1340"/>
        <v>0</v>
      </c>
      <c r="AO595" s="203">
        <f t="shared" ca="1" si="1341"/>
        <v>0</v>
      </c>
      <c r="AP595" s="203" t="str">
        <f t="shared" si="1330"/>
        <v>N/A</v>
      </c>
      <c r="AQ595" s="203">
        <f t="shared" si="1330"/>
        <v>0</v>
      </c>
      <c r="AR595" s="203">
        <f t="shared" si="1342"/>
        <v>0</v>
      </c>
      <c r="AS595" s="203">
        <f t="shared" ca="1" si="1343"/>
        <v>0</v>
      </c>
      <c r="AT595" s="203">
        <f t="shared" ca="1" si="1344"/>
        <v>0</v>
      </c>
      <c r="AU595" s="203" t="str">
        <f t="shared" si="1331"/>
        <v>AMC2-S1</v>
      </c>
      <c r="AV595" s="203">
        <f t="shared" si="1331"/>
        <v>1</v>
      </c>
      <c r="AW595" s="203">
        <f t="shared" si="1345"/>
        <v>1</v>
      </c>
      <c r="AX595" s="203">
        <f t="shared" ca="1" si="1346"/>
        <v>0</v>
      </c>
      <c r="AY595" s="203">
        <f t="shared" ca="1" si="1347"/>
        <v>1</v>
      </c>
      <c r="AZ595" s="203"/>
      <c r="BA595" s="204" t="s">
        <v>140</v>
      </c>
      <c r="BB595" s="204" t="s">
        <v>140</v>
      </c>
      <c r="BC595" s="204" t="s">
        <v>140</v>
      </c>
      <c r="BD595" s="204" t="s">
        <v>141</v>
      </c>
      <c r="BE595" s="166"/>
      <c r="BF595" s="203" t="s">
        <v>1789</v>
      </c>
      <c r="BG595" s="141"/>
      <c r="BH595" s="152"/>
      <c r="BI595" s="207"/>
      <c r="BJ595" s="207"/>
      <c r="BK595" s="207"/>
      <c r="BL595" s="153" t="s">
        <v>149</v>
      </c>
      <c r="BM595" s="153"/>
      <c r="BN595" s="153"/>
      <c r="BO595" s="153"/>
      <c r="BP595" s="153"/>
      <c r="BQ595" s="153"/>
      <c r="BR595" s="141">
        <v>0</v>
      </c>
      <c r="BS595" s="141">
        <v>1</v>
      </c>
      <c r="BT595" s="141">
        <v>0</v>
      </c>
      <c r="BU595" s="141">
        <v>1</v>
      </c>
      <c r="BV595" s="141">
        <v>0</v>
      </c>
      <c r="BW595" s="141">
        <v>0</v>
      </c>
      <c r="BX595" s="141">
        <v>0</v>
      </c>
      <c r="BY595" s="141" t="s">
        <v>1790</v>
      </c>
      <c r="BZ595" s="141"/>
      <c r="CA595" s="141"/>
      <c r="CB595" s="153"/>
      <c r="CC595" s="152"/>
      <c r="CD595" s="152"/>
      <c r="CE595" s="208"/>
      <c r="CF595" s="166">
        <f t="shared" si="1348"/>
        <v>1</v>
      </c>
    </row>
    <row r="596" spans="1:84" hidden="1">
      <c r="A596" s="141"/>
      <c r="B596" s="199" t="s">
        <v>1825</v>
      </c>
      <c r="C596" s="199" t="s">
        <v>2114</v>
      </c>
      <c r="D596" s="199" t="s">
        <v>1084</v>
      </c>
      <c r="E596" s="199" t="s">
        <v>1793</v>
      </c>
      <c r="F596" s="199" t="s">
        <v>1154</v>
      </c>
      <c r="G596" s="199" t="s">
        <v>1155</v>
      </c>
      <c r="H596" s="200">
        <v>2700</v>
      </c>
      <c r="I596" s="201" t="s">
        <v>147</v>
      </c>
      <c r="J596" s="165">
        <v>2</v>
      </c>
      <c r="K596" s="202">
        <f t="shared" si="1327"/>
        <v>1</v>
      </c>
      <c r="L596" s="202">
        <f t="shared" si="1332"/>
        <v>2</v>
      </c>
      <c r="M596" s="203">
        <v>130.1</v>
      </c>
      <c r="N596" s="203">
        <f t="shared" si="1333"/>
        <v>260.2</v>
      </c>
      <c r="O596" s="203" t="s">
        <v>137</v>
      </c>
      <c r="P596" s="203" t="s">
        <v>13</v>
      </c>
      <c r="Q596" s="203" t="s">
        <v>154</v>
      </c>
      <c r="R596" s="203"/>
      <c r="S596" s="203"/>
      <c r="T596" s="203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0</v>
      </c>
      <c r="U596" s="203">
        <f t="shared" ca="1" si="1334"/>
        <v>2</v>
      </c>
      <c r="V596" s="203">
        <f t="shared" ca="1" si="1335"/>
        <v>0</v>
      </c>
      <c r="W596" s="203"/>
      <c r="X596" s="203"/>
      <c r="Y596" s="203"/>
      <c r="Z596" s="203"/>
      <c r="AA596" s="203"/>
      <c r="AB596" s="203"/>
      <c r="AC596" s="205" t="s">
        <v>1784</v>
      </c>
      <c r="AD596" s="206" t="s">
        <v>1785</v>
      </c>
      <c r="AE596" s="166"/>
      <c r="AF596" s="203" t="str">
        <f t="shared" si="1328"/>
        <v>N/A</v>
      </c>
      <c r="AG596" s="203">
        <f t="shared" si="1328"/>
        <v>0</v>
      </c>
      <c r="AH596" s="203">
        <f t="shared" si="1336"/>
        <v>0</v>
      </c>
      <c r="AI596" s="203">
        <f t="shared" ca="1" si="1337"/>
        <v>0</v>
      </c>
      <c r="AJ596" s="203">
        <f t="shared" ca="1" si="1338"/>
        <v>0</v>
      </c>
      <c r="AK596" s="203" t="str">
        <f t="shared" si="1329"/>
        <v>N/A</v>
      </c>
      <c r="AL596" s="203">
        <f t="shared" si="1329"/>
        <v>0</v>
      </c>
      <c r="AM596" s="203">
        <f t="shared" si="1339"/>
        <v>0</v>
      </c>
      <c r="AN596" s="203">
        <f t="shared" ca="1" si="1340"/>
        <v>0</v>
      </c>
      <c r="AO596" s="203">
        <f t="shared" ca="1" si="1341"/>
        <v>0</v>
      </c>
      <c r="AP596" s="203" t="str">
        <f t="shared" si="1330"/>
        <v>N/A</v>
      </c>
      <c r="AQ596" s="203">
        <f t="shared" si="1330"/>
        <v>0</v>
      </c>
      <c r="AR596" s="203">
        <f t="shared" si="1342"/>
        <v>0</v>
      </c>
      <c r="AS596" s="203">
        <f t="shared" ca="1" si="1343"/>
        <v>0</v>
      </c>
      <c r="AT596" s="203">
        <f t="shared" ca="1" si="1344"/>
        <v>0</v>
      </c>
      <c r="AU596" s="203" t="str">
        <f t="shared" si="1331"/>
        <v>AMC2-S1</v>
      </c>
      <c r="AV596" s="203">
        <f t="shared" si="1331"/>
        <v>1</v>
      </c>
      <c r="AW596" s="203">
        <f t="shared" si="1345"/>
        <v>2</v>
      </c>
      <c r="AX596" s="203">
        <f t="shared" ca="1" si="1346"/>
        <v>0</v>
      </c>
      <c r="AY596" s="203">
        <f t="shared" ca="1" si="1347"/>
        <v>2</v>
      </c>
      <c r="AZ596" s="203"/>
      <c r="BA596" s="204" t="s">
        <v>140</v>
      </c>
      <c r="BB596" s="204" t="s">
        <v>140</v>
      </c>
      <c r="BC596" s="204" t="s">
        <v>140</v>
      </c>
      <c r="BD596" s="204" t="s">
        <v>141</v>
      </c>
      <c r="BE596" s="166"/>
      <c r="BF596" s="203" t="s">
        <v>1789</v>
      </c>
      <c r="BG596" s="141"/>
      <c r="BH596" s="152"/>
      <c r="BI596" s="207"/>
      <c r="BJ596" s="207"/>
      <c r="BK596" s="207"/>
      <c r="BL596" s="153" t="s">
        <v>149</v>
      </c>
      <c r="BM596" s="153"/>
      <c r="BN596" s="153"/>
      <c r="BO596" s="153"/>
      <c r="BP596" s="153"/>
      <c r="BQ596" s="153"/>
      <c r="BR596" s="141">
        <v>0</v>
      </c>
      <c r="BS596" s="141">
        <v>1</v>
      </c>
      <c r="BT596" s="141">
        <v>0</v>
      </c>
      <c r="BU596" s="141">
        <v>1</v>
      </c>
      <c r="BV596" s="141">
        <v>0</v>
      </c>
      <c r="BW596" s="141">
        <v>0</v>
      </c>
      <c r="BX596" s="141">
        <v>0</v>
      </c>
      <c r="BY596" s="141" t="s">
        <v>1790</v>
      </c>
      <c r="BZ596" s="141" t="s">
        <v>2099</v>
      </c>
      <c r="CA596" s="165">
        <v>2</v>
      </c>
      <c r="CB596" s="153">
        <v>46244</v>
      </c>
      <c r="CC596" s="152"/>
      <c r="CD596" s="152"/>
      <c r="CE596" s="208"/>
      <c r="CF596" s="166">
        <f t="shared" si="1348"/>
        <v>0</v>
      </c>
    </row>
    <row r="597" spans="1:84" hidden="1">
      <c r="A597" s="141"/>
      <c r="B597" s="199" t="s">
        <v>1825</v>
      </c>
      <c r="C597" s="199" t="s">
        <v>2114</v>
      </c>
      <c r="D597" s="199" t="s">
        <v>13</v>
      </c>
      <c r="E597" s="199" t="s">
        <v>1794</v>
      </c>
      <c r="F597" s="199" t="s">
        <v>1156</v>
      </c>
      <c r="G597" s="199" t="s">
        <v>1157</v>
      </c>
      <c r="H597" s="200">
        <v>9819</v>
      </c>
      <c r="I597" s="201" t="s">
        <v>147</v>
      </c>
      <c r="J597" s="165">
        <v>2</v>
      </c>
      <c r="K597" s="202">
        <f t="shared" si="1327"/>
        <v>1</v>
      </c>
      <c r="L597" s="202">
        <f t="shared" si="1332"/>
        <v>2</v>
      </c>
      <c r="M597" s="203">
        <v>370</v>
      </c>
      <c r="N597" s="203">
        <f t="shared" si="1333"/>
        <v>740</v>
      </c>
      <c r="O597" s="203" t="s">
        <v>137</v>
      </c>
      <c r="P597" s="203" t="s">
        <v>13</v>
      </c>
      <c r="Q597" s="203" t="s">
        <v>148</v>
      </c>
      <c r="R597" s="203"/>
      <c r="S597" s="203"/>
      <c r="T597" s="203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0</v>
      </c>
      <c r="U597" s="203">
        <f t="shared" ca="1" si="1334"/>
        <v>2</v>
      </c>
      <c r="V597" s="203">
        <f t="shared" ca="1" si="1335"/>
        <v>0</v>
      </c>
      <c r="W597" s="203"/>
      <c r="X597" s="203"/>
      <c r="Y597" s="203"/>
      <c r="Z597" s="203"/>
      <c r="AA597" s="203"/>
      <c r="AB597" s="203"/>
      <c r="AC597" s="205" t="s">
        <v>1784</v>
      </c>
      <c r="AD597" s="206" t="s">
        <v>1785</v>
      </c>
      <c r="AE597" s="166"/>
      <c r="AF597" s="203" t="str">
        <f t="shared" si="1328"/>
        <v>N/A</v>
      </c>
      <c r="AG597" s="203">
        <f t="shared" si="1328"/>
        <v>0</v>
      </c>
      <c r="AH597" s="203">
        <f t="shared" si="1336"/>
        <v>0</v>
      </c>
      <c r="AI597" s="203">
        <f t="shared" ca="1" si="1337"/>
        <v>0</v>
      </c>
      <c r="AJ597" s="203">
        <f t="shared" ca="1" si="1338"/>
        <v>0</v>
      </c>
      <c r="AK597" s="203" t="str">
        <f t="shared" si="1329"/>
        <v>N/A</v>
      </c>
      <c r="AL597" s="203">
        <f t="shared" si="1329"/>
        <v>0</v>
      </c>
      <c r="AM597" s="203">
        <f t="shared" si="1339"/>
        <v>0</v>
      </c>
      <c r="AN597" s="203">
        <f t="shared" ca="1" si="1340"/>
        <v>0</v>
      </c>
      <c r="AO597" s="203">
        <f t="shared" ca="1" si="1341"/>
        <v>0</v>
      </c>
      <c r="AP597" s="203" t="str">
        <f t="shared" si="1330"/>
        <v>N/A</v>
      </c>
      <c r="AQ597" s="203">
        <f t="shared" si="1330"/>
        <v>0</v>
      </c>
      <c r="AR597" s="203">
        <f t="shared" si="1342"/>
        <v>0</v>
      </c>
      <c r="AS597" s="203">
        <f t="shared" ca="1" si="1343"/>
        <v>0</v>
      </c>
      <c r="AT597" s="203">
        <f t="shared" ca="1" si="1344"/>
        <v>0</v>
      </c>
      <c r="AU597" s="203" t="str">
        <f t="shared" si="1331"/>
        <v>AMC2-S1</v>
      </c>
      <c r="AV597" s="203">
        <f t="shared" si="1331"/>
        <v>1</v>
      </c>
      <c r="AW597" s="203">
        <f t="shared" si="1345"/>
        <v>2</v>
      </c>
      <c r="AX597" s="203">
        <f t="shared" ca="1" si="1346"/>
        <v>0</v>
      </c>
      <c r="AY597" s="203">
        <f t="shared" ca="1" si="1347"/>
        <v>2</v>
      </c>
      <c r="AZ597" s="203"/>
      <c r="BA597" s="204" t="s">
        <v>140</v>
      </c>
      <c r="BB597" s="204" t="s">
        <v>140</v>
      </c>
      <c r="BC597" s="204" t="s">
        <v>140</v>
      </c>
      <c r="BD597" s="204" t="s">
        <v>141</v>
      </c>
      <c r="BE597" s="166"/>
      <c r="BF597" s="203" t="s">
        <v>1789</v>
      </c>
      <c r="BG597" s="141"/>
      <c r="BH597" s="152"/>
      <c r="BI597" s="207"/>
      <c r="BJ597" s="207"/>
      <c r="BK597" s="207"/>
      <c r="BL597" s="153" t="s">
        <v>149</v>
      </c>
      <c r="BM597" s="153"/>
      <c r="BN597" s="153"/>
      <c r="BO597" s="153"/>
      <c r="BP597" s="153"/>
      <c r="BQ597" s="153"/>
      <c r="BR597" s="141">
        <v>0</v>
      </c>
      <c r="BS597" s="141">
        <v>0</v>
      </c>
      <c r="BT597" s="141">
        <v>0</v>
      </c>
      <c r="BU597" s="141">
        <v>0</v>
      </c>
      <c r="BV597" s="141">
        <v>0</v>
      </c>
      <c r="BW597" s="141">
        <v>0</v>
      </c>
      <c r="BX597" s="141">
        <v>0</v>
      </c>
      <c r="BY597" s="141" t="s">
        <v>1790</v>
      </c>
      <c r="BZ597" s="141" t="s">
        <v>2100</v>
      </c>
      <c r="CA597" s="165">
        <v>2</v>
      </c>
      <c r="CB597" s="153">
        <v>46238</v>
      </c>
      <c r="CC597" s="152"/>
      <c r="CD597" s="152"/>
      <c r="CE597" s="208"/>
      <c r="CF597" s="166">
        <f t="shared" si="1348"/>
        <v>0</v>
      </c>
    </row>
    <row r="598" spans="1:84" hidden="1">
      <c r="A598" s="141"/>
      <c r="B598" s="199" t="s">
        <v>1825</v>
      </c>
      <c r="C598" s="199" t="s">
        <v>2114</v>
      </c>
      <c r="D598" s="199" t="s">
        <v>13</v>
      </c>
      <c r="E598" s="199" t="s">
        <v>1795</v>
      </c>
      <c r="F598" s="199" t="s">
        <v>1158</v>
      </c>
      <c r="G598" s="199" t="s">
        <v>1159</v>
      </c>
      <c r="H598" s="200">
        <v>400</v>
      </c>
      <c r="I598" s="201" t="s">
        <v>147</v>
      </c>
      <c r="J598" s="165">
        <v>6</v>
      </c>
      <c r="K598" s="202">
        <f t="shared" si="1327"/>
        <v>1</v>
      </c>
      <c r="L598" s="202">
        <f t="shared" si="1332"/>
        <v>6</v>
      </c>
      <c r="M598" s="203">
        <v>4.2</v>
      </c>
      <c r="N598" s="203">
        <f t="shared" si="1333"/>
        <v>25.200000000000003</v>
      </c>
      <c r="O598" s="203" t="s">
        <v>137</v>
      </c>
      <c r="P598" s="203" t="s">
        <v>13</v>
      </c>
      <c r="Q598" s="203" t="s">
        <v>148</v>
      </c>
      <c r="R598" s="203"/>
      <c r="S598" s="203"/>
      <c r="T598" s="203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203">
        <f t="shared" ca="1" si="1334"/>
        <v>6</v>
      </c>
      <c r="V598" s="203">
        <f t="shared" ca="1" si="1335"/>
        <v>0</v>
      </c>
      <c r="W598" s="203"/>
      <c r="X598" s="203"/>
      <c r="Y598" s="203"/>
      <c r="Z598" s="203"/>
      <c r="AA598" s="203"/>
      <c r="AB598" s="203"/>
      <c r="AC598" s="205" t="s">
        <v>1784</v>
      </c>
      <c r="AD598" s="206" t="s">
        <v>1785</v>
      </c>
      <c r="AE598" s="166"/>
      <c r="AF598" s="203" t="str">
        <f t="shared" si="1328"/>
        <v>N/A</v>
      </c>
      <c r="AG598" s="203">
        <f t="shared" si="1328"/>
        <v>0</v>
      </c>
      <c r="AH598" s="203">
        <f t="shared" si="1336"/>
        <v>0</v>
      </c>
      <c r="AI598" s="203">
        <f t="shared" ca="1" si="1337"/>
        <v>0</v>
      </c>
      <c r="AJ598" s="203">
        <f t="shared" ca="1" si="1338"/>
        <v>0</v>
      </c>
      <c r="AK598" s="203" t="str">
        <f t="shared" si="1329"/>
        <v>N/A</v>
      </c>
      <c r="AL598" s="203">
        <f t="shared" si="1329"/>
        <v>0</v>
      </c>
      <c r="AM598" s="203">
        <f t="shared" si="1339"/>
        <v>0</v>
      </c>
      <c r="AN598" s="203">
        <f t="shared" ca="1" si="1340"/>
        <v>0</v>
      </c>
      <c r="AO598" s="203">
        <f t="shared" ca="1" si="1341"/>
        <v>0</v>
      </c>
      <c r="AP598" s="203" t="str">
        <f t="shared" si="1330"/>
        <v>N/A</v>
      </c>
      <c r="AQ598" s="203">
        <f t="shared" si="1330"/>
        <v>0</v>
      </c>
      <c r="AR598" s="203">
        <f t="shared" si="1342"/>
        <v>0</v>
      </c>
      <c r="AS598" s="203">
        <f t="shared" ca="1" si="1343"/>
        <v>0</v>
      </c>
      <c r="AT598" s="203">
        <f t="shared" ca="1" si="1344"/>
        <v>0</v>
      </c>
      <c r="AU598" s="203" t="str">
        <f t="shared" si="1331"/>
        <v>AMC2-S1</v>
      </c>
      <c r="AV598" s="203">
        <f t="shared" si="1331"/>
        <v>1</v>
      </c>
      <c r="AW598" s="203">
        <f t="shared" si="1345"/>
        <v>6</v>
      </c>
      <c r="AX598" s="203">
        <f t="shared" ca="1" si="1346"/>
        <v>0</v>
      </c>
      <c r="AY598" s="203">
        <f t="shared" ca="1" si="1347"/>
        <v>6</v>
      </c>
      <c r="AZ598" s="203"/>
      <c r="BA598" s="204" t="s">
        <v>140</v>
      </c>
      <c r="BB598" s="204" t="s">
        <v>140</v>
      </c>
      <c r="BC598" s="204" t="s">
        <v>140</v>
      </c>
      <c r="BD598" s="204" t="s">
        <v>141</v>
      </c>
      <c r="BE598" s="166"/>
      <c r="BF598" s="203" t="s">
        <v>1789</v>
      </c>
      <c r="BG598" s="141"/>
      <c r="BH598" s="152"/>
      <c r="BI598" s="207"/>
      <c r="BJ598" s="207"/>
      <c r="BK598" s="207"/>
      <c r="BL598" s="153" t="s">
        <v>149</v>
      </c>
      <c r="BM598" s="153"/>
      <c r="BN598" s="153"/>
      <c r="BO598" s="153"/>
      <c r="BP598" s="153"/>
      <c r="BQ598" s="153"/>
      <c r="BR598" s="141">
        <v>0</v>
      </c>
      <c r="BS598" s="141">
        <v>0</v>
      </c>
      <c r="BT598" s="141">
        <v>0</v>
      </c>
      <c r="BU598" s="141">
        <v>0</v>
      </c>
      <c r="BV598" s="141">
        <v>0</v>
      </c>
      <c r="BW598" s="141">
        <v>0</v>
      </c>
      <c r="BX598" s="141">
        <v>0</v>
      </c>
      <c r="BY598" s="141" t="s">
        <v>1790</v>
      </c>
      <c r="BZ598" s="141"/>
      <c r="CA598" s="141"/>
      <c r="CB598" s="153"/>
      <c r="CC598" s="152"/>
      <c r="CD598" s="152"/>
      <c r="CE598" s="208"/>
      <c r="CF598" s="166">
        <f t="shared" si="1348"/>
        <v>6</v>
      </c>
    </row>
    <row r="599" spans="1:84" hidden="1">
      <c r="A599" s="141"/>
      <c r="B599" s="199" t="s">
        <v>1825</v>
      </c>
      <c r="C599" s="199" t="s">
        <v>2114</v>
      </c>
      <c r="D599" s="199" t="s">
        <v>13</v>
      </c>
      <c r="E599" s="199" t="s">
        <v>1796</v>
      </c>
      <c r="F599" s="199" t="s">
        <v>1160</v>
      </c>
      <c r="G599" s="199" t="s">
        <v>1161</v>
      </c>
      <c r="H599" s="200">
        <v>538</v>
      </c>
      <c r="I599" s="201" t="s">
        <v>147</v>
      </c>
      <c r="J599" s="165">
        <v>2</v>
      </c>
      <c r="K599" s="202">
        <f t="shared" si="1327"/>
        <v>1</v>
      </c>
      <c r="L599" s="202">
        <f t="shared" si="1332"/>
        <v>2</v>
      </c>
      <c r="M599" s="203">
        <v>7.4</v>
      </c>
      <c r="N599" s="203">
        <f t="shared" si="1333"/>
        <v>14.8</v>
      </c>
      <c r="O599" s="203" t="s">
        <v>137</v>
      </c>
      <c r="P599" s="203" t="s">
        <v>13</v>
      </c>
      <c r="Q599" s="203" t="s">
        <v>148</v>
      </c>
      <c r="R599" s="203"/>
      <c r="S599" s="203"/>
      <c r="T599" s="203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0</v>
      </c>
      <c r="U599" s="203">
        <f t="shared" ca="1" si="1334"/>
        <v>2</v>
      </c>
      <c r="V599" s="203">
        <f t="shared" ca="1" si="1335"/>
        <v>0</v>
      </c>
      <c r="W599" s="203"/>
      <c r="X599" s="203"/>
      <c r="Y599" s="203"/>
      <c r="Z599" s="203"/>
      <c r="AA599" s="203"/>
      <c r="AB599" s="203"/>
      <c r="AC599" s="205" t="s">
        <v>1784</v>
      </c>
      <c r="AD599" s="206" t="s">
        <v>1785</v>
      </c>
      <c r="AE599" s="166"/>
      <c r="AF599" s="203" t="str">
        <f t="shared" si="1328"/>
        <v>N/A</v>
      </c>
      <c r="AG599" s="203">
        <f t="shared" si="1328"/>
        <v>0</v>
      </c>
      <c r="AH599" s="203">
        <f t="shared" si="1336"/>
        <v>0</v>
      </c>
      <c r="AI599" s="203">
        <f t="shared" ca="1" si="1337"/>
        <v>0</v>
      </c>
      <c r="AJ599" s="203">
        <f t="shared" ca="1" si="1338"/>
        <v>0</v>
      </c>
      <c r="AK599" s="203" t="str">
        <f t="shared" si="1329"/>
        <v>N/A</v>
      </c>
      <c r="AL599" s="203">
        <f t="shared" si="1329"/>
        <v>0</v>
      </c>
      <c r="AM599" s="203">
        <f t="shared" si="1339"/>
        <v>0</v>
      </c>
      <c r="AN599" s="203">
        <f t="shared" ca="1" si="1340"/>
        <v>0</v>
      </c>
      <c r="AO599" s="203">
        <f t="shared" ca="1" si="1341"/>
        <v>0</v>
      </c>
      <c r="AP599" s="203" t="str">
        <f t="shared" si="1330"/>
        <v>N/A</v>
      </c>
      <c r="AQ599" s="203">
        <f t="shared" si="1330"/>
        <v>0</v>
      </c>
      <c r="AR599" s="203">
        <f t="shared" si="1342"/>
        <v>0</v>
      </c>
      <c r="AS599" s="203">
        <f t="shared" ca="1" si="1343"/>
        <v>0</v>
      </c>
      <c r="AT599" s="203">
        <f t="shared" ca="1" si="1344"/>
        <v>0</v>
      </c>
      <c r="AU599" s="203" t="str">
        <f t="shared" si="1331"/>
        <v>AMC2-S1</v>
      </c>
      <c r="AV599" s="203">
        <f t="shared" si="1331"/>
        <v>1</v>
      </c>
      <c r="AW599" s="203">
        <f t="shared" si="1345"/>
        <v>2</v>
      </c>
      <c r="AX599" s="203">
        <f t="shared" ca="1" si="1346"/>
        <v>0</v>
      </c>
      <c r="AY599" s="203">
        <f t="shared" ca="1" si="1347"/>
        <v>2</v>
      </c>
      <c r="AZ599" s="203"/>
      <c r="BA599" s="204" t="s">
        <v>140</v>
      </c>
      <c r="BB599" s="204" t="s">
        <v>140</v>
      </c>
      <c r="BC599" s="204" t="s">
        <v>140</v>
      </c>
      <c r="BD599" s="204" t="s">
        <v>141</v>
      </c>
      <c r="BE599" s="166"/>
      <c r="BF599" s="203" t="s">
        <v>1789</v>
      </c>
      <c r="BG599" s="141"/>
      <c r="BH599" s="152"/>
      <c r="BI599" s="207"/>
      <c r="BJ599" s="207"/>
      <c r="BK599" s="207"/>
      <c r="BL599" s="153" t="s">
        <v>149</v>
      </c>
      <c r="BM599" s="153"/>
      <c r="BN599" s="153"/>
      <c r="BO599" s="153"/>
      <c r="BP599" s="153"/>
      <c r="BQ599" s="153"/>
      <c r="BR599" s="141">
        <v>0</v>
      </c>
      <c r="BS599" s="141">
        <v>0</v>
      </c>
      <c r="BT599" s="141">
        <v>0</v>
      </c>
      <c r="BU599" s="141">
        <v>1</v>
      </c>
      <c r="BV599" s="141">
        <v>0</v>
      </c>
      <c r="BW599" s="141">
        <v>0</v>
      </c>
      <c r="BX599" s="141">
        <v>0</v>
      </c>
      <c r="BY599" s="141" t="s">
        <v>1790</v>
      </c>
      <c r="BZ599" s="141" t="s">
        <v>2099</v>
      </c>
      <c r="CA599" s="165">
        <v>2</v>
      </c>
      <c r="CB599" s="153">
        <v>46244</v>
      </c>
      <c r="CC599" s="152"/>
      <c r="CD599" s="152"/>
      <c r="CE599" s="208"/>
      <c r="CF599" s="166">
        <f t="shared" si="1348"/>
        <v>0</v>
      </c>
    </row>
    <row r="600" spans="1:84" hidden="1">
      <c r="A600" s="141"/>
      <c r="B600" s="199" t="s">
        <v>1825</v>
      </c>
      <c r="C600" s="199" t="s">
        <v>2114</v>
      </c>
      <c r="D600" s="199" t="s">
        <v>13</v>
      </c>
      <c r="E600" s="199" t="s">
        <v>1797</v>
      </c>
      <c r="F600" s="199" t="s">
        <v>1162</v>
      </c>
      <c r="G600" s="199" t="s">
        <v>1163</v>
      </c>
      <c r="H600" s="200">
        <v>363</v>
      </c>
      <c r="I600" s="201" t="s">
        <v>147</v>
      </c>
      <c r="J600" s="165">
        <v>6</v>
      </c>
      <c r="K600" s="202">
        <f t="shared" si="1327"/>
        <v>1</v>
      </c>
      <c r="L600" s="202">
        <f t="shared" si="1332"/>
        <v>6</v>
      </c>
      <c r="M600" s="203">
        <v>4</v>
      </c>
      <c r="N600" s="203">
        <f t="shared" si="1333"/>
        <v>24</v>
      </c>
      <c r="O600" s="203" t="s">
        <v>137</v>
      </c>
      <c r="P600" s="203" t="s">
        <v>13</v>
      </c>
      <c r="Q600" s="203" t="s">
        <v>148</v>
      </c>
      <c r="R600" s="203"/>
      <c r="S600" s="203"/>
      <c r="T600" s="203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6</v>
      </c>
      <c r="U600" s="203">
        <f t="shared" ca="1" si="1334"/>
        <v>0</v>
      </c>
      <c r="V600" s="203">
        <f t="shared" ca="1" si="1335"/>
        <v>1</v>
      </c>
      <c r="W600" s="203"/>
      <c r="X600" s="203"/>
      <c r="Y600" s="203"/>
      <c r="Z600" s="203"/>
      <c r="AA600" s="203"/>
      <c r="AB600" s="203"/>
      <c r="AC600" s="205" t="s">
        <v>1784</v>
      </c>
      <c r="AD600" s="206" t="s">
        <v>1785</v>
      </c>
      <c r="AE600" s="166"/>
      <c r="AF600" s="203" t="str">
        <f t="shared" si="1328"/>
        <v>N/A</v>
      </c>
      <c r="AG600" s="203">
        <f t="shared" si="1328"/>
        <v>0</v>
      </c>
      <c r="AH600" s="203">
        <f t="shared" si="1336"/>
        <v>0</v>
      </c>
      <c r="AI600" s="203">
        <f t="shared" ca="1" si="1337"/>
        <v>0</v>
      </c>
      <c r="AJ600" s="203">
        <f t="shared" ca="1" si="1338"/>
        <v>0</v>
      </c>
      <c r="AK600" s="203" t="str">
        <f t="shared" si="1329"/>
        <v>N/A</v>
      </c>
      <c r="AL600" s="203">
        <f t="shared" si="1329"/>
        <v>0</v>
      </c>
      <c r="AM600" s="203">
        <f t="shared" si="1339"/>
        <v>0</v>
      </c>
      <c r="AN600" s="203">
        <f t="shared" ca="1" si="1340"/>
        <v>0</v>
      </c>
      <c r="AO600" s="203">
        <f t="shared" ca="1" si="1341"/>
        <v>0</v>
      </c>
      <c r="AP600" s="203" t="str">
        <f t="shared" si="1330"/>
        <v>N/A</v>
      </c>
      <c r="AQ600" s="203">
        <f t="shared" si="1330"/>
        <v>0</v>
      </c>
      <c r="AR600" s="203">
        <f t="shared" si="1342"/>
        <v>0</v>
      </c>
      <c r="AS600" s="203">
        <f t="shared" ca="1" si="1343"/>
        <v>0</v>
      </c>
      <c r="AT600" s="203">
        <f t="shared" ca="1" si="1344"/>
        <v>0</v>
      </c>
      <c r="AU600" s="203" t="str">
        <f t="shared" si="1331"/>
        <v>AMC2-S1</v>
      </c>
      <c r="AV600" s="203">
        <f t="shared" si="1331"/>
        <v>1</v>
      </c>
      <c r="AW600" s="203">
        <f t="shared" si="1345"/>
        <v>6</v>
      </c>
      <c r="AX600" s="203">
        <f t="shared" ca="1" si="1346"/>
        <v>6</v>
      </c>
      <c r="AY600" s="203">
        <f t="shared" ca="1" si="1347"/>
        <v>0</v>
      </c>
      <c r="AZ600" s="203"/>
      <c r="BA600" s="204" t="s">
        <v>140</v>
      </c>
      <c r="BB600" s="204" t="s">
        <v>140</v>
      </c>
      <c r="BC600" s="204" t="s">
        <v>140</v>
      </c>
      <c r="BD600" s="204" t="s">
        <v>141</v>
      </c>
      <c r="BE600" s="166"/>
      <c r="BF600" s="203" t="s">
        <v>1789</v>
      </c>
      <c r="BG600" s="141"/>
      <c r="BH600" s="152"/>
      <c r="BI600" s="207"/>
      <c r="BJ600" s="207"/>
      <c r="BK600" s="207"/>
      <c r="BL600" s="153" t="s">
        <v>149</v>
      </c>
      <c r="BM600" s="153"/>
      <c r="BN600" s="153"/>
      <c r="BO600" s="153"/>
      <c r="BP600" s="153"/>
      <c r="BQ600" s="153"/>
      <c r="BR600" s="141">
        <v>0</v>
      </c>
      <c r="BS600" s="141">
        <v>0</v>
      </c>
      <c r="BT600" s="141">
        <v>0</v>
      </c>
      <c r="BU600" s="141">
        <v>0</v>
      </c>
      <c r="BV600" s="141">
        <v>0</v>
      </c>
      <c r="BW600" s="141">
        <v>0</v>
      </c>
      <c r="BX600" s="141">
        <v>0</v>
      </c>
      <c r="BY600" s="141" t="s">
        <v>1790</v>
      </c>
      <c r="BZ600" s="141" t="s">
        <v>2103</v>
      </c>
      <c r="CA600" s="165">
        <v>6</v>
      </c>
      <c r="CB600" s="153">
        <v>46238</v>
      </c>
      <c r="CC600" s="152"/>
      <c r="CD600" s="152"/>
      <c r="CE600" s="208"/>
      <c r="CF600" s="166">
        <f t="shared" si="1348"/>
        <v>0</v>
      </c>
    </row>
    <row r="601" spans="1:84" hidden="1">
      <c r="A601" s="141"/>
      <c r="B601" s="199" t="s">
        <v>1825</v>
      </c>
      <c r="C601" s="199" t="s">
        <v>2114</v>
      </c>
      <c r="D601" s="199" t="s">
        <v>13</v>
      </c>
      <c r="E601" s="199" t="s">
        <v>1798</v>
      </c>
      <c r="F601" s="199" t="s">
        <v>1164</v>
      </c>
      <c r="G601" s="199" t="s">
        <v>1090</v>
      </c>
      <c r="H601" s="200">
        <v>426</v>
      </c>
      <c r="I601" s="201" t="s">
        <v>147</v>
      </c>
      <c r="J601" s="165">
        <v>2</v>
      </c>
      <c r="K601" s="202">
        <f t="shared" si="1327"/>
        <v>1</v>
      </c>
      <c r="L601" s="202">
        <f t="shared" si="1332"/>
        <v>2</v>
      </c>
      <c r="M601" s="203">
        <v>5</v>
      </c>
      <c r="N601" s="203">
        <f t="shared" si="1333"/>
        <v>10</v>
      </c>
      <c r="O601" s="203" t="s">
        <v>137</v>
      </c>
      <c r="P601" s="203" t="s">
        <v>13</v>
      </c>
      <c r="Q601" s="203" t="s">
        <v>148</v>
      </c>
      <c r="R601" s="203"/>
      <c r="S601" s="203"/>
      <c r="T601" s="203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2</v>
      </c>
      <c r="U601" s="203">
        <f t="shared" ca="1" si="1334"/>
        <v>0</v>
      </c>
      <c r="V601" s="203">
        <f t="shared" ca="1" si="1335"/>
        <v>1</v>
      </c>
      <c r="W601" s="203"/>
      <c r="X601" s="203"/>
      <c r="Y601" s="203"/>
      <c r="Z601" s="203"/>
      <c r="AA601" s="203"/>
      <c r="AB601" s="203"/>
      <c r="AC601" s="205" t="s">
        <v>1784</v>
      </c>
      <c r="AD601" s="206" t="s">
        <v>1785</v>
      </c>
      <c r="AE601" s="166"/>
      <c r="AF601" s="203" t="str">
        <f t="shared" si="1328"/>
        <v>N/A</v>
      </c>
      <c r="AG601" s="203">
        <f t="shared" si="1328"/>
        <v>0</v>
      </c>
      <c r="AH601" s="203">
        <f t="shared" si="1336"/>
        <v>0</v>
      </c>
      <c r="AI601" s="203">
        <f t="shared" ca="1" si="1337"/>
        <v>0</v>
      </c>
      <c r="AJ601" s="203">
        <f t="shared" ca="1" si="1338"/>
        <v>0</v>
      </c>
      <c r="AK601" s="203" t="str">
        <f t="shared" si="1329"/>
        <v>N/A</v>
      </c>
      <c r="AL601" s="203">
        <f t="shared" si="1329"/>
        <v>0</v>
      </c>
      <c r="AM601" s="203">
        <f t="shared" si="1339"/>
        <v>0</v>
      </c>
      <c r="AN601" s="203">
        <f t="shared" ca="1" si="1340"/>
        <v>0</v>
      </c>
      <c r="AO601" s="203">
        <f t="shared" ca="1" si="1341"/>
        <v>0</v>
      </c>
      <c r="AP601" s="203" t="str">
        <f t="shared" si="1330"/>
        <v>N/A</v>
      </c>
      <c r="AQ601" s="203">
        <f t="shared" si="1330"/>
        <v>0</v>
      </c>
      <c r="AR601" s="203">
        <f t="shared" si="1342"/>
        <v>0</v>
      </c>
      <c r="AS601" s="203">
        <f t="shared" ca="1" si="1343"/>
        <v>0</v>
      </c>
      <c r="AT601" s="203">
        <f t="shared" ca="1" si="1344"/>
        <v>0</v>
      </c>
      <c r="AU601" s="203" t="str">
        <f t="shared" si="1331"/>
        <v>AMC2-S1</v>
      </c>
      <c r="AV601" s="203">
        <f t="shared" si="1331"/>
        <v>1</v>
      </c>
      <c r="AW601" s="203">
        <f t="shared" si="1345"/>
        <v>2</v>
      </c>
      <c r="AX601" s="203">
        <f t="shared" ca="1" si="1346"/>
        <v>2</v>
      </c>
      <c r="AY601" s="203">
        <f t="shared" ca="1" si="1347"/>
        <v>0</v>
      </c>
      <c r="AZ601" s="203"/>
      <c r="BA601" s="204" t="s">
        <v>140</v>
      </c>
      <c r="BB601" s="204" t="s">
        <v>140</v>
      </c>
      <c r="BC601" s="204" t="s">
        <v>140</v>
      </c>
      <c r="BD601" s="204" t="s">
        <v>141</v>
      </c>
      <c r="BE601" s="166"/>
      <c r="BF601" s="203" t="s">
        <v>1789</v>
      </c>
      <c r="BG601" s="141"/>
      <c r="BH601" s="152"/>
      <c r="BI601" s="207"/>
      <c r="BJ601" s="207"/>
      <c r="BK601" s="207"/>
      <c r="BL601" s="153" t="s">
        <v>149</v>
      </c>
      <c r="BM601" s="153"/>
      <c r="BN601" s="153"/>
      <c r="BO601" s="153"/>
      <c r="BP601" s="153"/>
      <c r="BQ601" s="153"/>
      <c r="BR601" s="141">
        <v>0</v>
      </c>
      <c r="BS601" s="141">
        <v>0</v>
      </c>
      <c r="BT601" s="141">
        <v>0</v>
      </c>
      <c r="BU601" s="141">
        <v>0</v>
      </c>
      <c r="BV601" s="141">
        <v>0</v>
      </c>
      <c r="BW601" s="141">
        <v>0</v>
      </c>
      <c r="BX601" s="141">
        <v>0</v>
      </c>
      <c r="BY601" s="141" t="s">
        <v>1790</v>
      </c>
      <c r="BZ601" s="141" t="s">
        <v>2103</v>
      </c>
      <c r="CA601" s="165">
        <v>2</v>
      </c>
      <c r="CB601" s="153">
        <v>46238</v>
      </c>
      <c r="CC601" s="152"/>
      <c r="CD601" s="152"/>
      <c r="CE601" s="208"/>
      <c r="CF601" s="166">
        <f t="shared" si="1348"/>
        <v>0</v>
      </c>
    </row>
    <row r="602" spans="1:84" hidden="1">
      <c r="A602" s="141"/>
      <c r="B602" s="199" t="s">
        <v>1825</v>
      </c>
      <c r="C602" s="199" t="s">
        <v>2114</v>
      </c>
      <c r="D602" s="199" t="s">
        <v>1076</v>
      </c>
      <c r="E602" s="199" t="s">
        <v>1802</v>
      </c>
      <c r="F602" s="199" t="s">
        <v>1148</v>
      </c>
      <c r="G602" s="199" t="s">
        <v>1075</v>
      </c>
      <c r="H602" s="200">
        <v>812</v>
      </c>
      <c r="I602" s="201" t="s">
        <v>1077</v>
      </c>
      <c r="J602" s="165">
        <v>5</v>
      </c>
      <c r="K602" s="202">
        <f t="shared" si="1327"/>
        <v>1</v>
      </c>
      <c r="L602" s="202">
        <f t="shared" si="1332"/>
        <v>5</v>
      </c>
      <c r="M602" s="203">
        <v>13.05696</v>
      </c>
      <c r="N602" s="203">
        <f t="shared" si="1333"/>
        <v>65.284800000000004</v>
      </c>
      <c r="O602" s="203" t="s">
        <v>137</v>
      </c>
      <c r="P602" s="203" t="s">
        <v>11</v>
      </c>
      <c r="Q602" s="203" t="s">
        <v>148</v>
      </c>
      <c r="R602" s="203"/>
      <c r="S602" s="203"/>
      <c r="T602" s="203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0</v>
      </c>
      <c r="U602" s="203">
        <f t="shared" ca="1" si="1334"/>
        <v>5</v>
      </c>
      <c r="V602" s="203">
        <f t="shared" ca="1" si="1335"/>
        <v>0</v>
      </c>
      <c r="W602" s="203"/>
      <c r="X602" s="203"/>
      <c r="Y602" s="203"/>
      <c r="Z602" s="203"/>
      <c r="AA602" s="203"/>
      <c r="AB602" s="203"/>
      <c r="AC602" s="205" t="s">
        <v>1784</v>
      </c>
      <c r="AD602" s="206" t="s">
        <v>1785</v>
      </c>
      <c r="AE602" s="166"/>
      <c r="AF602" s="203" t="str">
        <f t="shared" si="1328"/>
        <v>N/A</v>
      </c>
      <c r="AG602" s="203">
        <f t="shared" si="1328"/>
        <v>0</v>
      </c>
      <c r="AH602" s="203">
        <f t="shared" si="1336"/>
        <v>0</v>
      </c>
      <c r="AI602" s="203">
        <f t="shared" ca="1" si="1337"/>
        <v>0</v>
      </c>
      <c r="AJ602" s="203">
        <f t="shared" ca="1" si="1338"/>
        <v>0</v>
      </c>
      <c r="AK602" s="203" t="str">
        <f t="shared" si="1329"/>
        <v>N/A</v>
      </c>
      <c r="AL602" s="203">
        <f t="shared" si="1329"/>
        <v>0</v>
      </c>
      <c r="AM602" s="203">
        <f t="shared" si="1339"/>
        <v>0</v>
      </c>
      <c r="AN602" s="203">
        <f t="shared" ca="1" si="1340"/>
        <v>0</v>
      </c>
      <c r="AO602" s="203">
        <f t="shared" ca="1" si="1341"/>
        <v>0</v>
      </c>
      <c r="AP602" s="203" t="str">
        <f t="shared" si="1330"/>
        <v>N/A</v>
      </c>
      <c r="AQ602" s="203">
        <f t="shared" si="1330"/>
        <v>0</v>
      </c>
      <c r="AR602" s="203">
        <f t="shared" si="1342"/>
        <v>0</v>
      </c>
      <c r="AS602" s="203">
        <f t="shared" ca="1" si="1343"/>
        <v>0</v>
      </c>
      <c r="AT602" s="203">
        <f t="shared" ca="1" si="1344"/>
        <v>0</v>
      </c>
      <c r="AU602" s="203" t="str">
        <f t="shared" si="1331"/>
        <v>AMC2-S1</v>
      </c>
      <c r="AV602" s="203">
        <f t="shared" si="1331"/>
        <v>1</v>
      </c>
      <c r="AW602" s="203">
        <f t="shared" si="1345"/>
        <v>5</v>
      </c>
      <c r="AX602" s="203">
        <f t="shared" ca="1" si="1346"/>
        <v>0</v>
      </c>
      <c r="AY602" s="203">
        <f t="shared" ca="1" si="1347"/>
        <v>5</v>
      </c>
      <c r="AZ602" s="203"/>
      <c r="BA602" s="204" t="s">
        <v>140</v>
      </c>
      <c r="BB602" s="204" t="s">
        <v>140</v>
      </c>
      <c r="BC602" s="204" t="s">
        <v>140</v>
      </c>
      <c r="BD602" s="204" t="s">
        <v>141</v>
      </c>
      <c r="BE602" s="166"/>
      <c r="BF602" s="203" t="s">
        <v>1789</v>
      </c>
      <c r="BG602" s="141"/>
      <c r="BH602" s="152"/>
      <c r="BI602" s="207"/>
      <c r="BJ602" s="207"/>
      <c r="BK602" s="207"/>
      <c r="BL602" s="153" t="s">
        <v>149</v>
      </c>
      <c r="BM602" s="153"/>
      <c r="BN602" s="153"/>
      <c r="BO602" s="153"/>
      <c r="BP602" s="153"/>
      <c r="BQ602" s="153"/>
      <c r="BR602" s="141">
        <v>0</v>
      </c>
      <c r="BS602" s="141">
        <v>0</v>
      </c>
      <c r="BT602" s="141">
        <v>0</v>
      </c>
      <c r="BU602" s="141">
        <v>1</v>
      </c>
      <c r="BV602" s="141">
        <v>0</v>
      </c>
      <c r="BW602" s="141">
        <v>0</v>
      </c>
      <c r="BX602" s="141">
        <v>0</v>
      </c>
      <c r="BY602" s="141" t="s">
        <v>1790</v>
      </c>
      <c r="BZ602" s="141" t="s">
        <v>2104</v>
      </c>
      <c r="CA602" s="165">
        <v>5</v>
      </c>
      <c r="CB602" s="153">
        <v>46238</v>
      </c>
      <c r="CC602" s="152"/>
      <c r="CD602" s="152"/>
      <c r="CE602" s="208"/>
      <c r="CF602" s="166">
        <f t="shared" si="1348"/>
        <v>0</v>
      </c>
    </row>
    <row r="603" spans="1:84" hidden="1">
      <c r="A603" s="186"/>
      <c r="B603" s="187" t="s">
        <v>1825</v>
      </c>
      <c r="C603" s="187" t="s">
        <v>2115</v>
      </c>
      <c r="D603" s="187"/>
      <c r="E603" s="187"/>
      <c r="F603" s="187"/>
      <c r="G603" s="187" t="s">
        <v>1830</v>
      </c>
      <c r="H603" s="188"/>
      <c r="I603" s="189"/>
      <c r="J603" s="190"/>
      <c r="K603" s="191">
        <f t="shared" si="1327"/>
        <v>1</v>
      </c>
      <c r="L603" s="190"/>
      <c r="M603" s="192">
        <v>1867.9</v>
      </c>
      <c r="N603" s="192">
        <v>1868</v>
      </c>
      <c r="O603" s="192" t="s">
        <v>137</v>
      </c>
      <c r="P603" s="192"/>
      <c r="Q603" s="192"/>
      <c r="R603" s="192"/>
      <c r="S603" s="192"/>
      <c r="T603" s="192"/>
      <c r="U603" s="192"/>
      <c r="V603" s="192"/>
      <c r="W603" s="192">
        <f ca="1">_xlfn.MINIFS(V:V,C:C,C603,AE:AE,"",AB:AB,"")</f>
        <v>0</v>
      </c>
      <c r="X603" s="192">
        <f ca="1">SUMIFS(T:T,C:C,C603,AE:AE,"")/SUMIFS(L:L,C:C,C603,AE:AE,"",AB:AB,"")</f>
        <v>0</v>
      </c>
      <c r="Y603" s="192"/>
      <c r="Z603" s="192"/>
      <c r="AA603" s="192"/>
      <c r="AB603" s="192"/>
      <c r="AC603" s="194" t="s">
        <v>1784</v>
      </c>
      <c r="AD603" s="195" t="s">
        <v>1785</v>
      </c>
      <c r="AE603" s="196" t="s">
        <v>1829</v>
      </c>
      <c r="AF603" s="192" t="str">
        <f t="shared" si="1328"/>
        <v>N/A</v>
      </c>
      <c r="AG603" s="192">
        <f t="shared" si="1328"/>
        <v>0</v>
      </c>
      <c r="AH603" s="192"/>
      <c r="AI603" s="192"/>
      <c r="AJ603" s="192"/>
      <c r="AK603" s="192" t="str">
        <f t="shared" si="1329"/>
        <v>N/A</v>
      </c>
      <c r="AL603" s="192">
        <f t="shared" si="1329"/>
        <v>0</v>
      </c>
      <c r="AM603" s="192"/>
      <c r="AN603" s="192"/>
      <c r="AO603" s="192"/>
      <c r="AP603" s="192" t="str">
        <f t="shared" si="1330"/>
        <v>N/A</v>
      </c>
      <c r="AQ603" s="192">
        <f t="shared" si="1330"/>
        <v>0</v>
      </c>
      <c r="AR603" s="192"/>
      <c r="AS603" s="192"/>
      <c r="AT603" s="192"/>
      <c r="AU603" s="192" t="str">
        <f t="shared" si="1331"/>
        <v>AMC2-S1</v>
      </c>
      <c r="AV603" s="192">
        <f t="shared" si="1331"/>
        <v>1</v>
      </c>
      <c r="AW603" s="192"/>
      <c r="AX603" s="192"/>
      <c r="AY603" s="192"/>
      <c r="AZ603" s="192"/>
      <c r="BA603" s="193" t="s">
        <v>140</v>
      </c>
      <c r="BB603" s="193" t="s">
        <v>140</v>
      </c>
      <c r="BC603" s="193" t="s">
        <v>140</v>
      </c>
      <c r="BD603" s="193" t="s">
        <v>141</v>
      </c>
      <c r="BE603" s="196" t="s">
        <v>741</v>
      </c>
      <c r="BF603" s="192"/>
      <c r="BG603" s="186"/>
      <c r="BH603" s="186"/>
      <c r="BI603" s="197"/>
      <c r="BJ603" s="197"/>
      <c r="BK603" s="197"/>
      <c r="BL603" s="197"/>
      <c r="BM603" s="197"/>
      <c r="BN603" s="197"/>
      <c r="BO603" s="197"/>
      <c r="BP603" s="197"/>
      <c r="BQ603" s="197"/>
      <c r="BR603" s="186"/>
      <c r="BS603" s="186"/>
      <c r="BT603" s="186"/>
      <c r="BU603" s="186"/>
      <c r="BV603" s="186"/>
      <c r="BW603" s="186"/>
      <c r="BX603" s="186"/>
      <c r="BY603" s="186"/>
      <c r="BZ603" s="186"/>
      <c r="CA603" s="186"/>
      <c r="CB603" s="197"/>
      <c r="CC603" s="186"/>
      <c r="CD603" s="186"/>
      <c r="CE603" s="198"/>
      <c r="CF603" s="198"/>
    </row>
    <row r="604" spans="1:84" hidden="1">
      <c r="A604" s="141"/>
      <c r="B604" s="199" t="s">
        <v>1825</v>
      </c>
      <c r="C604" s="199" t="s">
        <v>2115</v>
      </c>
      <c r="D604" s="199" t="s">
        <v>1084</v>
      </c>
      <c r="E604" s="199" t="s">
        <v>1799</v>
      </c>
      <c r="F604" s="199" t="s">
        <v>1165</v>
      </c>
      <c r="G604" s="199" t="s">
        <v>1166</v>
      </c>
      <c r="H604" s="200">
        <v>4829</v>
      </c>
      <c r="I604" s="201" t="s">
        <v>147</v>
      </c>
      <c r="J604" s="165">
        <v>1</v>
      </c>
      <c r="K604" s="202">
        <f t="shared" si="1327"/>
        <v>1</v>
      </c>
      <c r="L604" s="202">
        <f t="shared" ref="L604:L608" si="1349">+J604*K604</f>
        <v>1</v>
      </c>
      <c r="M604" s="203">
        <v>764.2</v>
      </c>
      <c r="N604" s="203">
        <f t="shared" ref="N604:N608" si="1350">+M604*L604</f>
        <v>764.2</v>
      </c>
      <c r="O604" s="203" t="s">
        <v>137</v>
      </c>
      <c r="P604" s="203" t="s">
        <v>13</v>
      </c>
      <c r="Q604" s="203" t="s">
        <v>154</v>
      </c>
      <c r="R604" s="203"/>
      <c r="S604" s="203"/>
      <c r="T604" s="203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0</v>
      </c>
      <c r="U604" s="203">
        <f t="shared" ref="U604:U608" ca="1" si="1351">+L604-T604</f>
        <v>1</v>
      </c>
      <c r="V604" s="203">
        <f t="shared" ref="V604:V608" ca="1" si="1352">ROUNDDOWN(T604/J604,0)</f>
        <v>0</v>
      </c>
      <c r="W604" s="203"/>
      <c r="X604" s="203"/>
      <c r="Y604" s="203"/>
      <c r="Z604" s="203"/>
      <c r="AA604" s="203"/>
      <c r="AB604" s="203"/>
      <c r="AC604" s="205" t="s">
        <v>1784</v>
      </c>
      <c r="AD604" s="206" t="s">
        <v>1785</v>
      </c>
      <c r="AE604" s="166"/>
      <c r="AF604" s="203" t="str">
        <f t="shared" si="1328"/>
        <v>N/A</v>
      </c>
      <c r="AG604" s="203">
        <f t="shared" si="1328"/>
        <v>0</v>
      </c>
      <c r="AH604" s="203">
        <f t="shared" ref="AH604:AH608" si="1353">+AG604*J604</f>
        <v>0</v>
      </c>
      <c r="AI604" s="203">
        <f t="shared" ref="AI604:AI608" ca="1" si="1354">MIN(T604,AH604)</f>
        <v>0</v>
      </c>
      <c r="AJ604" s="203">
        <f t="shared" ref="AJ604:AJ608" ca="1" si="1355">+AH604-AI604</f>
        <v>0</v>
      </c>
      <c r="AK604" s="203" t="str">
        <f t="shared" si="1329"/>
        <v>N/A</v>
      </c>
      <c r="AL604" s="203">
        <f t="shared" si="1329"/>
        <v>0</v>
      </c>
      <c r="AM604" s="203">
        <f t="shared" ref="AM604:AM608" si="1356">+AL604*J604</f>
        <v>0</v>
      </c>
      <c r="AN604" s="203">
        <f t="shared" ref="AN604:AN608" ca="1" si="1357">MIN(T604-AI604,AL604)</f>
        <v>0</v>
      </c>
      <c r="AO604" s="203">
        <f t="shared" ref="AO604:AO608" ca="1" si="1358">+AM604-AN604</f>
        <v>0</v>
      </c>
      <c r="AP604" s="203" t="str">
        <f t="shared" si="1330"/>
        <v>N/A</v>
      </c>
      <c r="AQ604" s="203">
        <f t="shared" si="1330"/>
        <v>0</v>
      </c>
      <c r="AR604" s="203">
        <f t="shared" ref="AR604:AR608" si="1359">+AQ604*J604</f>
        <v>0</v>
      </c>
      <c r="AS604" s="203">
        <f t="shared" ref="AS604:AS608" ca="1" si="1360">MIN(T604-AI604-AN604,AR604)</f>
        <v>0</v>
      </c>
      <c r="AT604" s="203">
        <f t="shared" ref="AT604:AT608" ca="1" si="1361">+AR604-AS604</f>
        <v>0</v>
      </c>
      <c r="AU604" s="203" t="str">
        <f t="shared" si="1331"/>
        <v>AMC2-S1</v>
      </c>
      <c r="AV604" s="203">
        <f t="shared" si="1331"/>
        <v>1</v>
      </c>
      <c r="AW604" s="203">
        <f t="shared" ref="AW604:AW608" si="1362">+AV604*J604</f>
        <v>1</v>
      </c>
      <c r="AX604" s="203">
        <f t="shared" ref="AX604:AX608" ca="1" si="1363">MIN(T604-AI604-AN604-AS604,AW604)</f>
        <v>0</v>
      </c>
      <c r="AY604" s="203">
        <f t="shared" ref="AY604:AY608" ca="1" si="1364">+AW604-AX604</f>
        <v>1</v>
      </c>
      <c r="AZ604" s="203"/>
      <c r="BA604" s="204" t="s">
        <v>140</v>
      </c>
      <c r="BB604" s="204" t="s">
        <v>140</v>
      </c>
      <c r="BC604" s="204" t="s">
        <v>140</v>
      </c>
      <c r="BD604" s="204" t="s">
        <v>141</v>
      </c>
      <c r="BE604" s="166"/>
      <c r="BF604" s="203" t="s">
        <v>1789</v>
      </c>
      <c r="BG604" s="141"/>
      <c r="BH604" s="152"/>
      <c r="BI604" s="207"/>
      <c r="BJ604" s="207"/>
      <c r="BK604" s="207"/>
      <c r="BL604" s="153" t="s">
        <v>149</v>
      </c>
      <c r="BM604" s="153"/>
      <c r="BN604" s="153"/>
      <c r="BO604" s="153"/>
      <c r="BP604" s="153"/>
      <c r="BQ604" s="153"/>
      <c r="BR604" s="141">
        <v>0</v>
      </c>
      <c r="BS604" s="141">
        <v>1</v>
      </c>
      <c r="BT604" s="141">
        <v>0</v>
      </c>
      <c r="BU604" s="141">
        <v>1</v>
      </c>
      <c r="BV604" s="141">
        <v>0</v>
      </c>
      <c r="BW604" s="141">
        <v>0</v>
      </c>
      <c r="BX604" s="141">
        <v>0</v>
      </c>
      <c r="BY604" s="141" t="s">
        <v>1790</v>
      </c>
      <c r="BZ604" s="141"/>
      <c r="CA604" s="141"/>
      <c r="CB604" s="153"/>
      <c r="CC604" s="152"/>
      <c r="CD604" s="152"/>
      <c r="CE604" s="208"/>
      <c r="CF604" s="166">
        <f>+L604-CA604</f>
        <v>1</v>
      </c>
    </row>
    <row r="605" spans="1:84" hidden="1">
      <c r="A605" s="141"/>
      <c r="B605" s="199" t="s">
        <v>1825</v>
      </c>
      <c r="C605" s="199" t="s">
        <v>2115</v>
      </c>
      <c r="D605" s="199" t="s">
        <v>1084</v>
      </c>
      <c r="E605" s="199" t="s">
        <v>1801</v>
      </c>
      <c r="F605" s="199" t="s">
        <v>1167</v>
      </c>
      <c r="G605" s="199" t="s">
        <v>1168</v>
      </c>
      <c r="H605" s="200">
        <v>2700</v>
      </c>
      <c r="I605" s="201" t="s">
        <v>147</v>
      </c>
      <c r="J605" s="165">
        <v>1</v>
      </c>
      <c r="K605" s="202">
        <f t="shared" si="1327"/>
        <v>1</v>
      </c>
      <c r="L605" s="202">
        <f t="shared" si="1349"/>
        <v>1</v>
      </c>
      <c r="M605" s="203">
        <v>601.9</v>
      </c>
      <c r="N605" s="203">
        <f t="shared" si="1350"/>
        <v>601.9</v>
      </c>
      <c r="O605" s="203" t="s">
        <v>137</v>
      </c>
      <c r="P605" s="203" t="s">
        <v>13</v>
      </c>
      <c r="Q605" s="203" t="s">
        <v>154</v>
      </c>
      <c r="R605" s="203"/>
      <c r="S605" s="203"/>
      <c r="T605" s="203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0</v>
      </c>
      <c r="U605" s="203">
        <f t="shared" ca="1" si="1351"/>
        <v>1</v>
      </c>
      <c r="V605" s="203">
        <f t="shared" ca="1" si="1352"/>
        <v>0</v>
      </c>
      <c r="W605" s="203"/>
      <c r="X605" s="203"/>
      <c r="Y605" s="203"/>
      <c r="Z605" s="203"/>
      <c r="AA605" s="203"/>
      <c r="AB605" s="203"/>
      <c r="AC605" s="205" t="s">
        <v>1784</v>
      </c>
      <c r="AD605" s="206" t="s">
        <v>1785</v>
      </c>
      <c r="AE605" s="166"/>
      <c r="AF605" s="203" t="str">
        <f t="shared" si="1328"/>
        <v>N/A</v>
      </c>
      <c r="AG605" s="203">
        <f t="shared" si="1328"/>
        <v>0</v>
      </c>
      <c r="AH605" s="203">
        <f t="shared" si="1353"/>
        <v>0</v>
      </c>
      <c r="AI605" s="203">
        <f t="shared" ca="1" si="1354"/>
        <v>0</v>
      </c>
      <c r="AJ605" s="203">
        <f t="shared" ca="1" si="1355"/>
        <v>0</v>
      </c>
      <c r="AK605" s="203" t="str">
        <f t="shared" si="1329"/>
        <v>N/A</v>
      </c>
      <c r="AL605" s="203">
        <f t="shared" si="1329"/>
        <v>0</v>
      </c>
      <c r="AM605" s="203">
        <f t="shared" si="1356"/>
        <v>0</v>
      </c>
      <c r="AN605" s="203">
        <f t="shared" ca="1" si="1357"/>
        <v>0</v>
      </c>
      <c r="AO605" s="203">
        <f t="shared" ca="1" si="1358"/>
        <v>0</v>
      </c>
      <c r="AP605" s="203" t="str">
        <f t="shared" si="1330"/>
        <v>N/A</v>
      </c>
      <c r="AQ605" s="203">
        <f t="shared" si="1330"/>
        <v>0</v>
      </c>
      <c r="AR605" s="203">
        <f t="shared" si="1359"/>
        <v>0</v>
      </c>
      <c r="AS605" s="203">
        <f t="shared" ca="1" si="1360"/>
        <v>0</v>
      </c>
      <c r="AT605" s="203">
        <f t="shared" ca="1" si="1361"/>
        <v>0</v>
      </c>
      <c r="AU605" s="203" t="str">
        <f t="shared" si="1331"/>
        <v>AMC2-S1</v>
      </c>
      <c r="AV605" s="203">
        <f t="shared" si="1331"/>
        <v>1</v>
      </c>
      <c r="AW605" s="203">
        <f t="shared" si="1362"/>
        <v>1</v>
      </c>
      <c r="AX605" s="203">
        <f t="shared" ca="1" si="1363"/>
        <v>0</v>
      </c>
      <c r="AY605" s="203">
        <f t="shared" ca="1" si="1364"/>
        <v>1</v>
      </c>
      <c r="AZ605" s="203"/>
      <c r="BA605" s="204" t="s">
        <v>140</v>
      </c>
      <c r="BB605" s="204" t="s">
        <v>140</v>
      </c>
      <c r="BC605" s="204" t="s">
        <v>140</v>
      </c>
      <c r="BD605" s="204" t="s">
        <v>141</v>
      </c>
      <c r="BE605" s="166"/>
      <c r="BF605" s="203" t="s">
        <v>1789</v>
      </c>
      <c r="BG605" s="141"/>
      <c r="BH605" s="152"/>
      <c r="BI605" s="207"/>
      <c r="BJ605" s="207"/>
      <c r="BK605" s="207"/>
      <c r="BL605" s="153" t="s">
        <v>149</v>
      </c>
      <c r="BM605" s="153"/>
      <c r="BN605" s="153"/>
      <c r="BO605" s="153"/>
      <c r="BP605" s="153"/>
      <c r="BQ605" s="153"/>
      <c r="BR605" s="141">
        <v>0</v>
      </c>
      <c r="BS605" s="141">
        <v>1</v>
      </c>
      <c r="BT605" s="141">
        <v>0</v>
      </c>
      <c r="BU605" s="141">
        <v>1</v>
      </c>
      <c r="BV605" s="141">
        <v>0</v>
      </c>
      <c r="BW605" s="141">
        <v>0</v>
      </c>
      <c r="BX605" s="141">
        <v>0</v>
      </c>
      <c r="BY605" s="141" t="s">
        <v>1790</v>
      </c>
      <c r="BZ605" s="117" t="s">
        <v>57</v>
      </c>
      <c r="CA605" s="141">
        <v>1</v>
      </c>
      <c r="CB605" s="153"/>
      <c r="CC605" s="152"/>
      <c r="CD605" s="152"/>
      <c r="CE605" s="208"/>
      <c r="CF605" s="166">
        <f>+L605-CA605</f>
        <v>0</v>
      </c>
    </row>
    <row r="606" spans="1:84" hidden="1">
      <c r="A606" s="141"/>
      <c r="B606" s="199" t="s">
        <v>1825</v>
      </c>
      <c r="C606" s="199" t="s">
        <v>2115</v>
      </c>
      <c r="D606" s="199" t="s">
        <v>13</v>
      </c>
      <c r="E606" s="199" t="s">
        <v>1815</v>
      </c>
      <c r="F606" s="199" t="s">
        <v>1169</v>
      </c>
      <c r="G606" s="199" t="s">
        <v>1170</v>
      </c>
      <c r="H606" s="200">
        <v>2373</v>
      </c>
      <c r="I606" s="201" t="s">
        <v>147</v>
      </c>
      <c r="J606" s="165">
        <v>1</v>
      </c>
      <c r="K606" s="202">
        <f t="shared" si="1327"/>
        <v>1</v>
      </c>
      <c r="L606" s="202">
        <f t="shared" si="1349"/>
        <v>1</v>
      </c>
      <c r="M606" s="203">
        <v>380</v>
      </c>
      <c r="N606" s="203">
        <f t="shared" si="1350"/>
        <v>380</v>
      </c>
      <c r="O606" s="203" t="s">
        <v>137</v>
      </c>
      <c r="P606" s="203" t="s">
        <v>13</v>
      </c>
      <c r="Q606" s="203" t="s">
        <v>154</v>
      </c>
      <c r="R606" s="203"/>
      <c r="S606" s="203"/>
      <c r="T606" s="203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0</v>
      </c>
      <c r="U606" s="203">
        <f t="shared" ca="1" si="1351"/>
        <v>1</v>
      </c>
      <c r="V606" s="203">
        <f t="shared" ca="1" si="1352"/>
        <v>0</v>
      </c>
      <c r="W606" s="203"/>
      <c r="X606" s="203"/>
      <c r="Y606" s="203"/>
      <c r="Z606" s="203"/>
      <c r="AA606" s="203"/>
      <c r="AB606" s="203"/>
      <c r="AC606" s="205" t="s">
        <v>1784</v>
      </c>
      <c r="AD606" s="206" t="s">
        <v>1785</v>
      </c>
      <c r="AE606" s="166"/>
      <c r="AF606" s="203" t="str">
        <f t="shared" si="1328"/>
        <v>N/A</v>
      </c>
      <c r="AG606" s="203">
        <f t="shared" si="1328"/>
        <v>0</v>
      </c>
      <c r="AH606" s="203">
        <f t="shared" si="1353"/>
        <v>0</v>
      </c>
      <c r="AI606" s="203">
        <f t="shared" ca="1" si="1354"/>
        <v>0</v>
      </c>
      <c r="AJ606" s="203">
        <f t="shared" ca="1" si="1355"/>
        <v>0</v>
      </c>
      <c r="AK606" s="203" t="str">
        <f t="shared" si="1329"/>
        <v>N/A</v>
      </c>
      <c r="AL606" s="203">
        <f t="shared" si="1329"/>
        <v>0</v>
      </c>
      <c r="AM606" s="203">
        <f t="shared" si="1356"/>
        <v>0</v>
      </c>
      <c r="AN606" s="203">
        <f t="shared" ca="1" si="1357"/>
        <v>0</v>
      </c>
      <c r="AO606" s="203">
        <f t="shared" ca="1" si="1358"/>
        <v>0</v>
      </c>
      <c r="AP606" s="203" t="str">
        <f t="shared" si="1330"/>
        <v>N/A</v>
      </c>
      <c r="AQ606" s="203">
        <f t="shared" si="1330"/>
        <v>0</v>
      </c>
      <c r="AR606" s="203">
        <f t="shared" si="1359"/>
        <v>0</v>
      </c>
      <c r="AS606" s="203">
        <f t="shared" ca="1" si="1360"/>
        <v>0</v>
      </c>
      <c r="AT606" s="203">
        <f t="shared" ca="1" si="1361"/>
        <v>0</v>
      </c>
      <c r="AU606" s="203" t="str">
        <f t="shared" si="1331"/>
        <v>AMC2-S1</v>
      </c>
      <c r="AV606" s="203">
        <f t="shared" si="1331"/>
        <v>1</v>
      </c>
      <c r="AW606" s="203">
        <f t="shared" si="1362"/>
        <v>1</v>
      </c>
      <c r="AX606" s="203">
        <f t="shared" ca="1" si="1363"/>
        <v>0</v>
      </c>
      <c r="AY606" s="203">
        <f t="shared" ca="1" si="1364"/>
        <v>1</v>
      </c>
      <c r="AZ606" s="203"/>
      <c r="BA606" s="204" t="s">
        <v>140</v>
      </c>
      <c r="BB606" s="204" t="s">
        <v>140</v>
      </c>
      <c r="BC606" s="204" t="s">
        <v>140</v>
      </c>
      <c r="BD606" s="204" t="s">
        <v>141</v>
      </c>
      <c r="BE606" s="166"/>
      <c r="BF606" s="203" t="s">
        <v>1789</v>
      </c>
      <c r="BG606" s="141"/>
      <c r="BH606" s="152"/>
      <c r="BI606" s="207"/>
      <c r="BJ606" s="207"/>
      <c r="BK606" s="207"/>
      <c r="BL606" s="153" t="s">
        <v>149</v>
      </c>
      <c r="BM606" s="153"/>
      <c r="BN606" s="153"/>
      <c r="BO606" s="153"/>
      <c r="BP606" s="153"/>
      <c r="BQ606" s="153"/>
      <c r="BR606" s="141">
        <v>0</v>
      </c>
      <c r="BS606" s="141">
        <v>1</v>
      </c>
      <c r="BT606" s="141">
        <v>0</v>
      </c>
      <c r="BU606" s="141">
        <v>1</v>
      </c>
      <c r="BV606" s="141">
        <v>0</v>
      </c>
      <c r="BW606" s="141">
        <v>0</v>
      </c>
      <c r="BX606" s="141">
        <v>0</v>
      </c>
      <c r="BY606" s="141" t="s">
        <v>1790</v>
      </c>
      <c r="BZ606" s="141"/>
      <c r="CA606" s="141"/>
      <c r="CB606" s="153"/>
      <c r="CC606" s="152"/>
      <c r="CD606" s="152"/>
      <c r="CE606" s="208"/>
      <c r="CF606" s="166">
        <f>+L606-CA606</f>
        <v>1</v>
      </c>
    </row>
    <row r="607" spans="1:84" hidden="1">
      <c r="A607" s="141"/>
      <c r="B607" s="199" t="s">
        <v>1825</v>
      </c>
      <c r="C607" s="199" t="s">
        <v>2115</v>
      </c>
      <c r="D607" s="199" t="s">
        <v>1084</v>
      </c>
      <c r="E607" s="199" t="s">
        <v>1805</v>
      </c>
      <c r="F607" s="199" t="s">
        <v>1171</v>
      </c>
      <c r="G607" s="199" t="s">
        <v>1172</v>
      </c>
      <c r="H607" s="200">
        <v>1992</v>
      </c>
      <c r="I607" s="201" t="s">
        <v>147</v>
      </c>
      <c r="J607" s="165">
        <v>3</v>
      </c>
      <c r="K607" s="202">
        <f t="shared" si="1327"/>
        <v>1</v>
      </c>
      <c r="L607" s="202">
        <f t="shared" si="1349"/>
        <v>3</v>
      </c>
      <c r="M607" s="203">
        <v>23.5</v>
      </c>
      <c r="N607" s="203">
        <f t="shared" si="1350"/>
        <v>70.5</v>
      </c>
      <c r="O607" s="203" t="s">
        <v>137</v>
      </c>
      <c r="P607" s="203" t="s">
        <v>13</v>
      </c>
      <c r="Q607" s="203" t="s">
        <v>148</v>
      </c>
      <c r="R607" s="203"/>
      <c r="S607" s="203"/>
      <c r="T607" s="203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0</v>
      </c>
      <c r="U607" s="203">
        <f t="shared" ca="1" si="1351"/>
        <v>3</v>
      </c>
      <c r="V607" s="203">
        <f t="shared" ca="1" si="1352"/>
        <v>0</v>
      </c>
      <c r="W607" s="203"/>
      <c r="X607" s="203"/>
      <c r="Y607" s="203"/>
      <c r="Z607" s="203"/>
      <c r="AA607" s="203"/>
      <c r="AB607" s="203"/>
      <c r="AC607" s="205" t="s">
        <v>1784</v>
      </c>
      <c r="AD607" s="206" t="s">
        <v>1785</v>
      </c>
      <c r="AE607" s="166"/>
      <c r="AF607" s="203" t="str">
        <f t="shared" si="1328"/>
        <v>N/A</v>
      </c>
      <c r="AG607" s="203">
        <f t="shared" si="1328"/>
        <v>0</v>
      </c>
      <c r="AH607" s="203">
        <f t="shared" si="1353"/>
        <v>0</v>
      </c>
      <c r="AI607" s="203">
        <f t="shared" ca="1" si="1354"/>
        <v>0</v>
      </c>
      <c r="AJ607" s="203">
        <f t="shared" ca="1" si="1355"/>
        <v>0</v>
      </c>
      <c r="AK607" s="203" t="str">
        <f t="shared" si="1329"/>
        <v>N/A</v>
      </c>
      <c r="AL607" s="203">
        <f t="shared" si="1329"/>
        <v>0</v>
      </c>
      <c r="AM607" s="203">
        <f t="shared" si="1356"/>
        <v>0</v>
      </c>
      <c r="AN607" s="203">
        <f t="shared" ca="1" si="1357"/>
        <v>0</v>
      </c>
      <c r="AO607" s="203">
        <f t="shared" ca="1" si="1358"/>
        <v>0</v>
      </c>
      <c r="AP607" s="203" t="str">
        <f t="shared" si="1330"/>
        <v>N/A</v>
      </c>
      <c r="AQ607" s="203">
        <f t="shared" si="1330"/>
        <v>0</v>
      </c>
      <c r="AR607" s="203">
        <f t="shared" si="1359"/>
        <v>0</v>
      </c>
      <c r="AS607" s="203">
        <f t="shared" ca="1" si="1360"/>
        <v>0</v>
      </c>
      <c r="AT607" s="203">
        <f t="shared" ca="1" si="1361"/>
        <v>0</v>
      </c>
      <c r="AU607" s="203" t="str">
        <f t="shared" si="1331"/>
        <v>AMC2-S1</v>
      </c>
      <c r="AV607" s="203">
        <f t="shared" si="1331"/>
        <v>1</v>
      </c>
      <c r="AW607" s="203">
        <f t="shared" si="1362"/>
        <v>3</v>
      </c>
      <c r="AX607" s="203">
        <f t="shared" ca="1" si="1363"/>
        <v>0</v>
      </c>
      <c r="AY607" s="203">
        <f t="shared" ca="1" si="1364"/>
        <v>3</v>
      </c>
      <c r="AZ607" s="203"/>
      <c r="BA607" s="204" t="s">
        <v>140</v>
      </c>
      <c r="BB607" s="204" t="s">
        <v>140</v>
      </c>
      <c r="BC607" s="204" t="s">
        <v>140</v>
      </c>
      <c r="BD607" s="204" t="s">
        <v>141</v>
      </c>
      <c r="BE607" s="166"/>
      <c r="BF607" s="203" t="s">
        <v>1789</v>
      </c>
      <c r="BG607" s="141"/>
      <c r="BH607" s="152"/>
      <c r="BI607" s="207"/>
      <c r="BJ607" s="207"/>
      <c r="BK607" s="207"/>
      <c r="BL607" s="153" t="s">
        <v>149</v>
      </c>
      <c r="BM607" s="153"/>
      <c r="BN607" s="150" t="s">
        <v>2111</v>
      </c>
      <c r="BO607" s="153"/>
      <c r="BP607" s="153"/>
      <c r="BQ607" s="153"/>
      <c r="BR607" s="141">
        <v>0</v>
      </c>
      <c r="BS607" s="141">
        <v>0</v>
      </c>
      <c r="BT607" s="141">
        <v>0</v>
      </c>
      <c r="BU607" s="141">
        <v>1</v>
      </c>
      <c r="BV607" s="141">
        <v>0</v>
      </c>
      <c r="BW607" s="141">
        <v>0</v>
      </c>
      <c r="BX607" s="141">
        <v>0</v>
      </c>
      <c r="BY607" s="141" t="s">
        <v>1790</v>
      </c>
      <c r="BZ607" s="141"/>
      <c r="CA607" s="141"/>
      <c r="CB607" s="153"/>
      <c r="CC607" s="152"/>
      <c r="CD607" s="152"/>
      <c r="CE607" s="208"/>
      <c r="CF607" s="166">
        <f>+L607-CA607</f>
        <v>3</v>
      </c>
    </row>
    <row r="608" spans="1:84" hidden="1">
      <c r="A608" s="141"/>
      <c r="B608" s="199" t="s">
        <v>1825</v>
      </c>
      <c r="C608" s="199" t="s">
        <v>2115</v>
      </c>
      <c r="D608" s="199" t="s">
        <v>13</v>
      </c>
      <c r="E608" s="199" t="s">
        <v>1816</v>
      </c>
      <c r="F608" s="199" t="s">
        <v>1173</v>
      </c>
      <c r="G608" s="199" t="s">
        <v>1174</v>
      </c>
      <c r="H608" s="200">
        <v>2317</v>
      </c>
      <c r="I608" s="201" t="s">
        <v>147</v>
      </c>
      <c r="J608" s="165">
        <v>1</v>
      </c>
      <c r="K608" s="202">
        <f t="shared" si="1327"/>
        <v>1</v>
      </c>
      <c r="L608" s="202">
        <f t="shared" si="1349"/>
        <v>1</v>
      </c>
      <c r="M608" s="203">
        <v>35.4</v>
      </c>
      <c r="N608" s="203">
        <f t="shared" si="1350"/>
        <v>35.4</v>
      </c>
      <c r="O608" s="203" t="s">
        <v>137</v>
      </c>
      <c r="P608" s="203" t="s">
        <v>13</v>
      </c>
      <c r="Q608" s="203" t="s">
        <v>148</v>
      </c>
      <c r="R608" s="203"/>
      <c r="S608" s="203"/>
      <c r="T608" s="203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0</v>
      </c>
      <c r="U608" s="203">
        <f t="shared" ca="1" si="1351"/>
        <v>1</v>
      </c>
      <c r="V608" s="203">
        <f t="shared" ca="1" si="1352"/>
        <v>0</v>
      </c>
      <c r="W608" s="203"/>
      <c r="X608" s="203"/>
      <c r="Y608" s="203"/>
      <c r="Z608" s="203"/>
      <c r="AA608" s="203"/>
      <c r="AB608" s="203"/>
      <c r="AC608" s="205" t="s">
        <v>1784</v>
      </c>
      <c r="AD608" s="206" t="s">
        <v>1785</v>
      </c>
      <c r="AE608" s="166"/>
      <c r="AF608" s="203" t="str">
        <f t="shared" ref="AF608:AG622" si="1365">AF607</f>
        <v>N/A</v>
      </c>
      <c r="AG608" s="203">
        <f t="shared" si="1365"/>
        <v>0</v>
      </c>
      <c r="AH608" s="203">
        <f t="shared" si="1353"/>
        <v>0</v>
      </c>
      <c r="AI608" s="203">
        <f t="shared" ca="1" si="1354"/>
        <v>0</v>
      </c>
      <c r="AJ608" s="203">
        <f t="shared" ca="1" si="1355"/>
        <v>0</v>
      </c>
      <c r="AK608" s="203" t="str">
        <f t="shared" ref="AK608:AL622" si="1366">AK607</f>
        <v>N/A</v>
      </c>
      <c r="AL608" s="203">
        <f t="shared" si="1366"/>
        <v>0</v>
      </c>
      <c r="AM608" s="203">
        <f t="shared" si="1356"/>
        <v>0</v>
      </c>
      <c r="AN608" s="203">
        <f t="shared" ca="1" si="1357"/>
        <v>0</v>
      </c>
      <c r="AO608" s="203">
        <f t="shared" ca="1" si="1358"/>
        <v>0</v>
      </c>
      <c r="AP608" s="203" t="str">
        <f t="shared" ref="AP608:AQ622" si="1367">AP607</f>
        <v>N/A</v>
      </c>
      <c r="AQ608" s="203">
        <f t="shared" si="1367"/>
        <v>0</v>
      </c>
      <c r="AR608" s="203">
        <f t="shared" si="1359"/>
        <v>0</v>
      </c>
      <c r="AS608" s="203">
        <f t="shared" ca="1" si="1360"/>
        <v>0</v>
      </c>
      <c r="AT608" s="203">
        <f t="shared" ca="1" si="1361"/>
        <v>0</v>
      </c>
      <c r="AU608" s="203" t="str">
        <f t="shared" ref="AU608:AV622" si="1368">AU607</f>
        <v>AMC2-S1</v>
      </c>
      <c r="AV608" s="203">
        <f t="shared" si="1368"/>
        <v>1</v>
      </c>
      <c r="AW608" s="203">
        <f t="shared" si="1362"/>
        <v>1</v>
      </c>
      <c r="AX608" s="203">
        <f t="shared" ca="1" si="1363"/>
        <v>0</v>
      </c>
      <c r="AY608" s="203">
        <f t="shared" ca="1" si="1364"/>
        <v>1</v>
      </c>
      <c r="AZ608" s="203"/>
      <c r="BA608" s="204" t="s">
        <v>140</v>
      </c>
      <c r="BB608" s="204" t="s">
        <v>140</v>
      </c>
      <c r="BC608" s="204" t="s">
        <v>140</v>
      </c>
      <c r="BD608" s="204" t="s">
        <v>141</v>
      </c>
      <c r="BE608" s="166"/>
      <c r="BF608" s="203" t="s">
        <v>1789</v>
      </c>
      <c r="BG608" s="141"/>
      <c r="BH608" s="152"/>
      <c r="BI608" s="207"/>
      <c r="BJ608" s="207"/>
      <c r="BK608" s="207"/>
      <c r="BL608" s="153" t="s">
        <v>149</v>
      </c>
      <c r="BM608" s="153"/>
      <c r="BN608" s="153"/>
      <c r="BO608" s="153"/>
      <c r="BP608" s="153"/>
      <c r="BQ608" s="153"/>
      <c r="BR608" s="141">
        <v>0</v>
      </c>
      <c r="BS608" s="141">
        <v>0</v>
      </c>
      <c r="BT608" s="141">
        <v>0</v>
      </c>
      <c r="BU608" s="141">
        <v>0</v>
      </c>
      <c r="BV608" s="141">
        <v>0</v>
      </c>
      <c r="BW608" s="141">
        <v>0</v>
      </c>
      <c r="BX608" s="141">
        <v>0</v>
      </c>
      <c r="BY608" s="141" t="s">
        <v>1790</v>
      </c>
      <c r="BZ608" s="141" t="s">
        <v>2099</v>
      </c>
      <c r="CA608" s="165">
        <v>1</v>
      </c>
      <c r="CB608" s="153">
        <v>46244</v>
      </c>
      <c r="CC608" s="152"/>
      <c r="CD608" s="152"/>
      <c r="CE608" s="208"/>
      <c r="CF608" s="166">
        <f>+L608-CA608</f>
        <v>0</v>
      </c>
    </row>
    <row r="609" spans="1:84" hidden="1">
      <c r="A609" s="186"/>
      <c r="B609" s="187" t="s">
        <v>1825</v>
      </c>
      <c r="C609" s="187" t="s">
        <v>2116</v>
      </c>
      <c r="D609" s="187"/>
      <c r="E609" s="187"/>
      <c r="F609" s="187"/>
      <c r="G609" s="187" t="s">
        <v>1831</v>
      </c>
      <c r="H609" s="188"/>
      <c r="I609" s="189"/>
      <c r="J609" s="190"/>
      <c r="K609" s="191">
        <f t="shared" si="1327"/>
        <v>1</v>
      </c>
      <c r="L609" s="190"/>
      <c r="M609" s="192">
        <v>1509.8</v>
      </c>
      <c r="N609" s="192">
        <v>1510</v>
      </c>
      <c r="O609" s="192" t="s">
        <v>137</v>
      </c>
      <c r="P609" s="192"/>
      <c r="Q609" s="192"/>
      <c r="R609" s="192"/>
      <c r="S609" s="192"/>
      <c r="T609" s="192"/>
      <c r="U609" s="192"/>
      <c r="V609" s="192"/>
      <c r="W609" s="192">
        <f ca="1">_xlfn.MINIFS(V:V,C:C,C609,AE:AE,"",AB:AB,"")</f>
        <v>0</v>
      </c>
      <c r="X609" s="192">
        <f ca="1">SUMIFS(T:T,C:C,C609,AE:AE,"")/SUMIFS(L:L,C:C,C609,AE:AE,"",AB:AB,"")</f>
        <v>0</v>
      </c>
      <c r="Y609" s="192"/>
      <c r="Z609" s="192"/>
      <c r="AA609" s="192"/>
      <c r="AB609" s="192"/>
      <c r="AC609" s="194" t="s">
        <v>1784</v>
      </c>
      <c r="AD609" s="195" t="s">
        <v>1785</v>
      </c>
      <c r="AE609" s="196" t="s">
        <v>1829</v>
      </c>
      <c r="AF609" s="192" t="str">
        <f t="shared" si="1365"/>
        <v>N/A</v>
      </c>
      <c r="AG609" s="192">
        <f t="shared" si="1365"/>
        <v>0</v>
      </c>
      <c r="AH609" s="192"/>
      <c r="AI609" s="192"/>
      <c r="AJ609" s="192"/>
      <c r="AK609" s="192" t="str">
        <f t="shared" si="1366"/>
        <v>N/A</v>
      </c>
      <c r="AL609" s="192">
        <f t="shared" si="1366"/>
        <v>0</v>
      </c>
      <c r="AM609" s="192"/>
      <c r="AN609" s="192"/>
      <c r="AO609" s="192"/>
      <c r="AP609" s="192" t="str">
        <f t="shared" si="1367"/>
        <v>N/A</v>
      </c>
      <c r="AQ609" s="192">
        <f t="shared" si="1367"/>
        <v>0</v>
      </c>
      <c r="AR609" s="192"/>
      <c r="AS609" s="192"/>
      <c r="AT609" s="192"/>
      <c r="AU609" s="192" t="str">
        <f t="shared" si="1368"/>
        <v>AMC2-S1</v>
      </c>
      <c r="AV609" s="192">
        <f t="shared" si="1368"/>
        <v>1</v>
      </c>
      <c r="AW609" s="192"/>
      <c r="AX609" s="192"/>
      <c r="AY609" s="192"/>
      <c r="AZ609" s="192"/>
      <c r="BA609" s="193" t="s">
        <v>140</v>
      </c>
      <c r="BB609" s="193" t="s">
        <v>140</v>
      </c>
      <c r="BC609" s="193" t="s">
        <v>140</v>
      </c>
      <c r="BD609" s="193" t="s">
        <v>141</v>
      </c>
      <c r="BE609" s="196" t="s">
        <v>741</v>
      </c>
      <c r="BF609" s="192"/>
      <c r="BG609" s="186"/>
      <c r="BH609" s="186"/>
      <c r="BI609" s="197"/>
      <c r="BJ609" s="197"/>
      <c r="BK609" s="197"/>
      <c r="BL609" s="197"/>
      <c r="BM609" s="197"/>
      <c r="BN609" s="197"/>
      <c r="BO609" s="197"/>
      <c r="BP609" s="197"/>
      <c r="BQ609" s="197"/>
      <c r="BR609" s="186"/>
      <c r="BS609" s="186"/>
      <c r="BT609" s="186"/>
      <c r="BU609" s="186"/>
      <c r="BV609" s="186"/>
      <c r="BW609" s="186"/>
      <c r="BX609" s="186"/>
      <c r="BY609" s="186"/>
      <c r="BZ609" s="186"/>
      <c r="CA609" s="186"/>
      <c r="CB609" s="197"/>
      <c r="CC609" s="186"/>
      <c r="CD609" s="186"/>
      <c r="CE609" s="198"/>
      <c r="CF609" s="198"/>
    </row>
    <row r="610" spans="1:84" hidden="1">
      <c r="A610" s="141"/>
      <c r="B610" s="199" t="s">
        <v>1825</v>
      </c>
      <c r="C610" s="199" t="s">
        <v>2116</v>
      </c>
      <c r="D610" s="199" t="s">
        <v>1084</v>
      </c>
      <c r="E610" s="199" t="s">
        <v>1817</v>
      </c>
      <c r="F610" s="199" t="s">
        <v>1175</v>
      </c>
      <c r="G610" s="199" t="s">
        <v>1176</v>
      </c>
      <c r="H610" s="200">
        <v>4829</v>
      </c>
      <c r="I610" s="201" t="s">
        <v>147</v>
      </c>
      <c r="J610" s="165">
        <v>1</v>
      </c>
      <c r="K610" s="202">
        <f t="shared" si="1327"/>
        <v>1</v>
      </c>
      <c r="L610" s="202">
        <f t="shared" ref="L610:L616" si="1369">+J610*K610</f>
        <v>1</v>
      </c>
      <c r="M610" s="203">
        <v>611.29999999999995</v>
      </c>
      <c r="N610" s="203">
        <f t="shared" ref="N610:N616" si="1370">+M610*L610</f>
        <v>611.29999999999995</v>
      </c>
      <c r="O610" s="203" t="s">
        <v>137</v>
      </c>
      <c r="P610" s="203" t="s">
        <v>13</v>
      </c>
      <c r="Q610" s="203" t="s">
        <v>154</v>
      </c>
      <c r="R610" s="203"/>
      <c r="S610" s="203"/>
      <c r="T610" s="203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0</v>
      </c>
      <c r="U610" s="203">
        <f t="shared" ref="U610:U616" ca="1" si="1371">+L610-T610</f>
        <v>1</v>
      </c>
      <c r="V610" s="203">
        <f t="shared" ref="V610:V616" ca="1" si="1372">ROUNDDOWN(T610/J610,0)</f>
        <v>0</v>
      </c>
      <c r="W610" s="203"/>
      <c r="X610" s="203"/>
      <c r="Y610" s="203"/>
      <c r="Z610" s="203"/>
      <c r="AA610" s="203"/>
      <c r="AB610" s="203"/>
      <c r="AC610" s="205" t="s">
        <v>1784</v>
      </c>
      <c r="AD610" s="206" t="s">
        <v>1785</v>
      </c>
      <c r="AE610" s="166"/>
      <c r="AF610" s="203" t="str">
        <f t="shared" si="1365"/>
        <v>N/A</v>
      </c>
      <c r="AG610" s="203">
        <f t="shared" si="1365"/>
        <v>0</v>
      </c>
      <c r="AH610" s="203">
        <f t="shared" ref="AH610:AH616" si="1373">+AG610*J610</f>
        <v>0</v>
      </c>
      <c r="AI610" s="203">
        <f t="shared" ref="AI610:AI616" ca="1" si="1374">MIN(T610,AH610)</f>
        <v>0</v>
      </c>
      <c r="AJ610" s="203">
        <f t="shared" ref="AJ610:AJ616" ca="1" si="1375">+AH610-AI610</f>
        <v>0</v>
      </c>
      <c r="AK610" s="203" t="str">
        <f t="shared" si="1366"/>
        <v>N/A</v>
      </c>
      <c r="AL610" s="203">
        <f t="shared" si="1366"/>
        <v>0</v>
      </c>
      <c r="AM610" s="203">
        <f t="shared" ref="AM610:AM616" si="1376">+AL610*J610</f>
        <v>0</v>
      </c>
      <c r="AN610" s="203">
        <f t="shared" ref="AN610:AN616" ca="1" si="1377">MIN(T610-AI610,AL610)</f>
        <v>0</v>
      </c>
      <c r="AO610" s="203">
        <f t="shared" ref="AO610:AO616" ca="1" si="1378">+AM610-AN610</f>
        <v>0</v>
      </c>
      <c r="AP610" s="203" t="str">
        <f t="shared" si="1367"/>
        <v>N/A</v>
      </c>
      <c r="AQ610" s="203">
        <f t="shared" si="1367"/>
        <v>0</v>
      </c>
      <c r="AR610" s="203">
        <f t="shared" ref="AR610:AR616" si="1379">+AQ610*J610</f>
        <v>0</v>
      </c>
      <c r="AS610" s="203">
        <f t="shared" ref="AS610:AS616" ca="1" si="1380">MIN(T610-AI610-AN610,AR610)</f>
        <v>0</v>
      </c>
      <c r="AT610" s="203">
        <f t="shared" ref="AT610:AT616" ca="1" si="1381">+AR610-AS610</f>
        <v>0</v>
      </c>
      <c r="AU610" s="203" t="str">
        <f t="shared" si="1368"/>
        <v>AMC2-S1</v>
      </c>
      <c r="AV610" s="203">
        <f t="shared" si="1368"/>
        <v>1</v>
      </c>
      <c r="AW610" s="203">
        <f t="shared" ref="AW610:AW616" si="1382">+AV610*J610</f>
        <v>1</v>
      </c>
      <c r="AX610" s="203">
        <f t="shared" ref="AX610:AX616" ca="1" si="1383">MIN(T610-AI610-AN610-AS610,AW610)</f>
        <v>0</v>
      </c>
      <c r="AY610" s="203">
        <f t="shared" ref="AY610:AY616" ca="1" si="1384">+AW610-AX610</f>
        <v>1</v>
      </c>
      <c r="AZ610" s="203"/>
      <c r="BA610" s="204" t="s">
        <v>140</v>
      </c>
      <c r="BB610" s="204" t="s">
        <v>140</v>
      </c>
      <c r="BC610" s="204" t="s">
        <v>140</v>
      </c>
      <c r="BD610" s="204" t="s">
        <v>141</v>
      </c>
      <c r="BE610" s="166"/>
      <c r="BF610" s="203" t="s">
        <v>1789</v>
      </c>
      <c r="BG610" s="141"/>
      <c r="BH610" s="152"/>
      <c r="BI610" s="207"/>
      <c r="BJ610" s="207"/>
      <c r="BK610" s="207"/>
      <c r="BL610" s="153" t="s">
        <v>149</v>
      </c>
      <c r="BM610" s="153"/>
      <c r="BN610" s="153"/>
      <c r="BO610" s="153"/>
      <c r="BP610" s="153"/>
      <c r="BQ610" s="153"/>
      <c r="BR610" s="141">
        <v>0</v>
      </c>
      <c r="BS610" s="141">
        <v>1</v>
      </c>
      <c r="BT610" s="141">
        <v>0</v>
      </c>
      <c r="BU610" s="141">
        <v>1</v>
      </c>
      <c r="BV610" s="141">
        <v>0</v>
      </c>
      <c r="BW610" s="141">
        <v>0</v>
      </c>
      <c r="BX610" s="141">
        <v>0</v>
      </c>
      <c r="BY610" s="141" t="s">
        <v>1790</v>
      </c>
      <c r="BZ610" s="141"/>
      <c r="CA610" s="141"/>
      <c r="CB610" s="153"/>
      <c r="CC610" s="152"/>
      <c r="CD610" s="152"/>
      <c r="CE610" s="208"/>
      <c r="CF610" s="166">
        <f t="shared" ref="CF610:CF616" si="1385">+L610-CA610</f>
        <v>1</v>
      </c>
    </row>
    <row r="611" spans="1:84" hidden="1">
      <c r="A611" s="141"/>
      <c r="B611" s="199" t="s">
        <v>1825</v>
      </c>
      <c r="C611" s="199" t="s">
        <v>2116</v>
      </c>
      <c r="D611" s="199" t="s">
        <v>1084</v>
      </c>
      <c r="E611" s="199" t="s">
        <v>1806</v>
      </c>
      <c r="F611" s="199" t="s">
        <v>1177</v>
      </c>
      <c r="G611" s="199" t="s">
        <v>1178</v>
      </c>
      <c r="H611" s="200">
        <v>2276</v>
      </c>
      <c r="I611" s="201" t="s">
        <v>147</v>
      </c>
      <c r="J611" s="165">
        <v>1</v>
      </c>
      <c r="K611" s="202">
        <f t="shared" si="1327"/>
        <v>1</v>
      </c>
      <c r="L611" s="202">
        <f t="shared" si="1369"/>
        <v>1</v>
      </c>
      <c r="M611" s="203">
        <v>307.3</v>
      </c>
      <c r="N611" s="203">
        <f t="shared" si="1370"/>
        <v>307.3</v>
      </c>
      <c r="O611" s="203" t="s">
        <v>137</v>
      </c>
      <c r="P611" s="203" t="s">
        <v>13</v>
      </c>
      <c r="Q611" s="203" t="s">
        <v>154</v>
      </c>
      <c r="R611" s="203"/>
      <c r="S611" s="203"/>
      <c r="T611" s="203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0</v>
      </c>
      <c r="U611" s="203">
        <f t="shared" ca="1" si="1371"/>
        <v>1</v>
      </c>
      <c r="V611" s="203">
        <f t="shared" ca="1" si="1372"/>
        <v>0</v>
      </c>
      <c r="W611" s="203"/>
      <c r="X611" s="203"/>
      <c r="Y611" s="203"/>
      <c r="Z611" s="203"/>
      <c r="AA611" s="203"/>
      <c r="AB611" s="203"/>
      <c r="AC611" s="205" t="s">
        <v>1784</v>
      </c>
      <c r="AD611" s="206" t="s">
        <v>1785</v>
      </c>
      <c r="AE611" s="166"/>
      <c r="AF611" s="203" t="str">
        <f t="shared" si="1365"/>
        <v>N/A</v>
      </c>
      <c r="AG611" s="203">
        <f t="shared" si="1365"/>
        <v>0</v>
      </c>
      <c r="AH611" s="203">
        <f t="shared" si="1373"/>
        <v>0</v>
      </c>
      <c r="AI611" s="203">
        <f t="shared" ca="1" si="1374"/>
        <v>0</v>
      </c>
      <c r="AJ611" s="203">
        <f t="shared" ca="1" si="1375"/>
        <v>0</v>
      </c>
      <c r="AK611" s="203" t="str">
        <f t="shared" si="1366"/>
        <v>N/A</v>
      </c>
      <c r="AL611" s="203">
        <f t="shared" si="1366"/>
        <v>0</v>
      </c>
      <c r="AM611" s="203">
        <f t="shared" si="1376"/>
        <v>0</v>
      </c>
      <c r="AN611" s="203">
        <f t="shared" ca="1" si="1377"/>
        <v>0</v>
      </c>
      <c r="AO611" s="203">
        <f t="shared" ca="1" si="1378"/>
        <v>0</v>
      </c>
      <c r="AP611" s="203" t="str">
        <f t="shared" si="1367"/>
        <v>N/A</v>
      </c>
      <c r="AQ611" s="203">
        <f t="shared" si="1367"/>
        <v>0</v>
      </c>
      <c r="AR611" s="203">
        <f t="shared" si="1379"/>
        <v>0</v>
      </c>
      <c r="AS611" s="203">
        <f t="shared" ca="1" si="1380"/>
        <v>0</v>
      </c>
      <c r="AT611" s="203">
        <f t="shared" ca="1" si="1381"/>
        <v>0</v>
      </c>
      <c r="AU611" s="203" t="str">
        <f t="shared" si="1368"/>
        <v>AMC2-S1</v>
      </c>
      <c r="AV611" s="203">
        <f t="shared" si="1368"/>
        <v>1</v>
      </c>
      <c r="AW611" s="203">
        <f t="shared" si="1382"/>
        <v>1</v>
      </c>
      <c r="AX611" s="203">
        <f t="shared" ca="1" si="1383"/>
        <v>0</v>
      </c>
      <c r="AY611" s="203">
        <f t="shared" ca="1" si="1384"/>
        <v>1</v>
      </c>
      <c r="AZ611" s="203"/>
      <c r="BA611" s="204" t="s">
        <v>140</v>
      </c>
      <c r="BB611" s="204" t="s">
        <v>140</v>
      </c>
      <c r="BC611" s="204" t="s">
        <v>140</v>
      </c>
      <c r="BD611" s="204" t="s">
        <v>141</v>
      </c>
      <c r="BE611" s="166"/>
      <c r="BF611" s="203" t="s">
        <v>1789</v>
      </c>
      <c r="BG611" s="141"/>
      <c r="BH611" s="152"/>
      <c r="BI611" s="207"/>
      <c r="BJ611" s="207"/>
      <c r="BK611" s="207"/>
      <c r="BL611" s="153" t="s">
        <v>149</v>
      </c>
      <c r="BM611" s="153"/>
      <c r="BN611" s="153"/>
      <c r="BO611" s="153"/>
      <c r="BP611" s="153"/>
      <c r="BQ611" s="153"/>
      <c r="BR611" s="141">
        <v>0</v>
      </c>
      <c r="BS611" s="141">
        <v>1</v>
      </c>
      <c r="BT611" s="141">
        <v>0</v>
      </c>
      <c r="BU611" s="141">
        <v>1</v>
      </c>
      <c r="BV611" s="141">
        <v>0</v>
      </c>
      <c r="BW611" s="141">
        <v>0</v>
      </c>
      <c r="BX611" s="141">
        <v>0</v>
      </c>
      <c r="BY611" s="141" t="s">
        <v>1790</v>
      </c>
      <c r="BZ611" s="141"/>
      <c r="CA611" s="141"/>
      <c r="CB611" s="153"/>
      <c r="CC611" s="152"/>
      <c r="CD611" s="152"/>
      <c r="CE611" s="208"/>
      <c r="CF611" s="166">
        <f t="shared" si="1385"/>
        <v>1</v>
      </c>
    </row>
    <row r="612" spans="1:84" hidden="1">
      <c r="A612" s="141"/>
      <c r="B612" s="199" t="s">
        <v>1825</v>
      </c>
      <c r="C612" s="199" t="s">
        <v>2116</v>
      </c>
      <c r="D612" s="199" t="s">
        <v>1084</v>
      </c>
      <c r="E612" s="199" t="s">
        <v>1807</v>
      </c>
      <c r="F612" s="199" t="s">
        <v>1179</v>
      </c>
      <c r="G612" s="199" t="s">
        <v>1180</v>
      </c>
      <c r="H612" s="200">
        <v>2700</v>
      </c>
      <c r="I612" s="201" t="s">
        <v>147</v>
      </c>
      <c r="J612" s="165">
        <v>1</v>
      </c>
      <c r="K612" s="202">
        <f t="shared" si="1327"/>
        <v>1</v>
      </c>
      <c r="L612" s="202">
        <f t="shared" si="1369"/>
        <v>1</v>
      </c>
      <c r="M612" s="203">
        <v>481.6</v>
      </c>
      <c r="N612" s="203">
        <f t="shared" si="1370"/>
        <v>481.6</v>
      </c>
      <c r="O612" s="203" t="s">
        <v>137</v>
      </c>
      <c r="P612" s="203" t="s">
        <v>13</v>
      </c>
      <c r="Q612" s="203" t="s">
        <v>154</v>
      </c>
      <c r="R612" s="203"/>
      <c r="S612" s="203"/>
      <c r="T612" s="203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0</v>
      </c>
      <c r="U612" s="203">
        <f t="shared" ca="1" si="1371"/>
        <v>1</v>
      </c>
      <c r="V612" s="203">
        <f t="shared" ca="1" si="1372"/>
        <v>0</v>
      </c>
      <c r="W612" s="203"/>
      <c r="X612" s="203"/>
      <c r="Y612" s="203"/>
      <c r="Z612" s="203"/>
      <c r="AA612" s="203"/>
      <c r="AB612" s="203"/>
      <c r="AC612" s="205" t="s">
        <v>1784</v>
      </c>
      <c r="AD612" s="206" t="s">
        <v>1785</v>
      </c>
      <c r="AE612" s="166"/>
      <c r="AF612" s="203" t="str">
        <f t="shared" si="1365"/>
        <v>N/A</v>
      </c>
      <c r="AG612" s="203">
        <f t="shared" si="1365"/>
        <v>0</v>
      </c>
      <c r="AH612" s="203">
        <f t="shared" si="1373"/>
        <v>0</v>
      </c>
      <c r="AI612" s="203">
        <f t="shared" ca="1" si="1374"/>
        <v>0</v>
      </c>
      <c r="AJ612" s="203">
        <f t="shared" ca="1" si="1375"/>
        <v>0</v>
      </c>
      <c r="AK612" s="203" t="str">
        <f t="shared" si="1366"/>
        <v>N/A</v>
      </c>
      <c r="AL612" s="203">
        <f t="shared" si="1366"/>
        <v>0</v>
      </c>
      <c r="AM612" s="203">
        <f t="shared" si="1376"/>
        <v>0</v>
      </c>
      <c r="AN612" s="203">
        <f t="shared" ca="1" si="1377"/>
        <v>0</v>
      </c>
      <c r="AO612" s="203">
        <f t="shared" ca="1" si="1378"/>
        <v>0</v>
      </c>
      <c r="AP612" s="203" t="str">
        <f t="shared" si="1367"/>
        <v>N/A</v>
      </c>
      <c r="AQ612" s="203">
        <f t="shared" si="1367"/>
        <v>0</v>
      </c>
      <c r="AR612" s="203">
        <f t="shared" si="1379"/>
        <v>0</v>
      </c>
      <c r="AS612" s="203">
        <f t="shared" ca="1" si="1380"/>
        <v>0</v>
      </c>
      <c r="AT612" s="203">
        <f t="shared" ca="1" si="1381"/>
        <v>0</v>
      </c>
      <c r="AU612" s="203" t="str">
        <f t="shared" si="1368"/>
        <v>AMC2-S1</v>
      </c>
      <c r="AV612" s="203">
        <f t="shared" si="1368"/>
        <v>1</v>
      </c>
      <c r="AW612" s="203">
        <f t="shared" si="1382"/>
        <v>1</v>
      </c>
      <c r="AX612" s="203">
        <f t="shared" ca="1" si="1383"/>
        <v>0</v>
      </c>
      <c r="AY612" s="203">
        <f t="shared" ca="1" si="1384"/>
        <v>1</v>
      </c>
      <c r="AZ612" s="203"/>
      <c r="BA612" s="204" t="s">
        <v>140</v>
      </c>
      <c r="BB612" s="204" t="s">
        <v>140</v>
      </c>
      <c r="BC612" s="204" t="s">
        <v>140</v>
      </c>
      <c r="BD612" s="204" t="s">
        <v>141</v>
      </c>
      <c r="BE612" s="166"/>
      <c r="BF612" s="203" t="s">
        <v>1789</v>
      </c>
      <c r="BG612" s="141"/>
      <c r="BH612" s="152"/>
      <c r="BI612" s="207"/>
      <c r="BJ612" s="207"/>
      <c r="BK612" s="207"/>
      <c r="BL612" s="153" t="s">
        <v>149</v>
      </c>
      <c r="BM612" s="153"/>
      <c r="BN612" s="153"/>
      <c r="BO612" s="153"/>
      <c r="BP612" s="153"/>
      <c r="BQ612" s="153"/>
      <c r="BR612" s="141">
        <v>0</v>
      </c>
      <c r="BS612" s="141">
        <v>1</v>
      </c>
      <c r="BT612" s="141">
        <v>0</v>
      </c>
      <c r="BU612" s="141">
        <v>1</v>
      </c>
      <c r="BV612" s="141">
        <v>0</v>
      </c>
      <c r="BW612" s="141">
        <v>0</v>
      </c>
      <c r="BX612" s="141">
        <v>0</v>
      </c>
      <c r="BY612" s="141" t="s">
        <v>1790</v>
      </c>
      <c r="BZ612" s="141" t="s">
        <v>2099</v>
      </c>
      <c r="CA612" s="165">
        <v>1</v>
      </c>
      <c r="CB612" s="153">
        <v>46244</v>
      </c>
      <c r="CC612" s="152"/>
      <c r="CD612" s="152"/>
      <c r="CE612" s="208"/>
      <c r="CF612" s="166">
        <f t="shared" si="1385"/>
        <v>0</v>
      </c>
    </row>
    <row r="613" spans="1:84" hidden="1">
      <c r="A613" s="141"/>
      <c r="B613" s="199" t="s">
        <v>1825</v>
      </c>
      <c r="C613" s="199" t="s">
        <v>2116</v>
      </c>
      <c r="D613" s="199" t="s">
        <v>13</v>
      </c>
      <c r="E613" s="199" t="s">
        <v>1818</v>
      </c>
      <c r="F613" s="199" t="s">
        <v>1181</v>
      </c>
      <c r="G613" s="199" t="s">
        <v>1182</v>
      </c>
      <c r="H613" s="200">
        <v>1671</v>
      </c>
      <c r="I613" s="201" t="s">
        <v>147</v>
      </c>
      <c r="J613" s="165">
        <v>3</v>
      </c>
      <c r="K613" s="202">
        <f t="shared" si="1327"/>
        <v>1</v>
      </c>
      <c r="L613" s="202">
        <f t="shared" si="1369"/>
        <v>3</v>
      </c>
      <c r="M613" s="203">
        <v>18.8</v>
      </c>
      <c r="N613" s="203">
        <f t="shared" si="1370"/>
        <v>56.400000000000006</v>
      </c>
      <c r="O613" s="203" t="s">
        <v>137</v>
      </c>
      <c r="P613" s="203" t="s">
        <v>13</v>
      </c>
      <c r="Q613" s="203" t="s">
        <v>148</v>
      </c>
      <c r="R613" s="203"/>
      <c r="S613" s="203"/>
      <c r="T613" s="203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0</v>
      </c>
      <c r="U613" s="203">
        <f t="shared" ca="1" si="1371"/>
        <v>3</v>
      </c>
      <c r="V613" s="203">
        <f t="shared" ca="1" si="1372"/>
        <v>0</v>
      </c>
      <c r="W613" s="203"/>
      <c r="X613" s="203"/>
      <c r="Y613" s="203"/>
      <c r="Z613" s="203"/>
      <c r="AA613" s="203"/>
      <c r="AB613" s="203"/>
      <c r="AC613" s="205" t="s">
        <v>1784</v>
      </c>
      <c r="AD613" s="206" t="s">
        <v>1785</v>
      </c>
      <c r="AE613" s="166"/>
      <c r="AF613" s="203" t="str">
        <f t="shared" si="1365"/>
        <v>N/A</v>
      </c>
      <c r="AG613" s="203">
        <f t="shared" si="1365"/>
        <v>0</v>
      </c>
      <c r="AH613" s="203">
        <f t="shared" si="1373"/>
        <v>0</v>
      </c>
      <c r="AI613" s="203">
        <f t="shared" ca="1" si="1374"/>
        <v>0</v>
      </c>
      <c r="AJ613" s="203">
        <f t="shared" ca="1" si="1375"/>
        <v>0</v>
      </c>
      <c r="AK613" s="203" t="str">
        <f t="shared" si="1366"/>
        <v>N/A</v>
      </c>
      <c r="AL613" s="203">
        <f t="shared" si="1366"/>
        <v>0</v>
      </c>
      <c r="AM613" s="203">
        <f t="shared" si="1376"/>
        <v>0</v>
      </c>
      <c r="AN613" s="203">
        <f t="shared" ca="1" si="1377"/>
        <v>0</v>
      </c>
      <c r="AO613" s="203">
        <f t="shared" ca="1" si="1378"/>
        <v>0</v>
      </c>
      <c r="AP613" s="203" t="str">
        <f t="shared" si="1367"/>
        <v>N/A</v>
      </c>
      <c r="AQ613" s="203">
        <f t="shared" si="1367"/>
        <v>0</v>
      </c>
      <c r="AR613" s="203">
        <f t="shared" si="1379"/>
        <v>0</v>
      </c>
      <c r="AS613" s="203">
        <f t="shared" ca="1" si="1380"/>
        <v>0</v>
      </c>
      <c r="AT613" s="203">
        <f t="shared" ca="1" si="1381"/>
        <v>0</v>
      </c>
      <c r="AU613" s="203" t="str">
        <f t="shared" si="1368"/>
        <v>AMC2-S1</v>
      </c>
      <c r="AV613" s="203">
        <f t="shared" si="1368"/>
        <v>1</v>
      </c>
      <c r="AW613" s="203">
        <f t="shared" si="1382"/>
        <v>3</v>
      </c>
      <c r="AX613" s="203">
        <f t="shared" ca="1" si="1383"/>
        <v>0</v>
      </c>
      <c r="AY613" s="203">
        <f t="shared" ca="1" si="1384"/>
        <v>3</v>
      </c>
      <c r="AZ613" s="203"/>
      <c r="BA613" s="204" t="s">
        <v>140</v>
      </c>
      <c r="BB613" s="204" t="s">
        <v>140</v>
      </c>
      <c r="BC613" s="204" t="s">
        <v>140</v>
      </c>
      <c r="BD613" s="204" t="s">
        <v>141</v>
      </c>
      <c r="BE613" s="166"/>
      <c r="BF613" s="203" t="s">
        <v>1789</v>
      </c>
      <c r="BG613" s="141"/>
      <c r="BH613" s="152"/>
      <c r="BI613" s="207"/>
      <c r="BJ613" s="207"/>
      <c r="BK613" s="207"/>
      <c r="BL613" s="153" t="s">
        <v>149</v>
      </c>
      <c r="BM613" s="153"/>
      <c r="BN613" s="153"/>
      <c r="BO613" s="153"/>
      <c r="BP613" s="153"/>
      <c r="BQ613" s="153"/>
      <c r="BR613" s="141">
        <v>0</v>
      </c>
      <c r="BS613" s="141">
        <v>0</v>
      </c>
      <c r="BT613" s="141">
        <v>0</v>
      </c>
      <c r="BU613" s="141">
        <v>0</v>
      </c>
      <c r="BV613" s="141">
        <v>0</v>
      </c>
      <c r="BW613" s="141">
        <v>0</v>
      </c>
      <c r="BX613" s="141">
        <v>0</v>
      </c>
      <c r="BY613" s="141" t="s">
        <v>1790</v>
      </c>
      <c r="BZ613" s="141"/>
      <c r="CA613" s="141"/>
      <c r="CB613" s="153"/>
      <c r="CC613" s="152"/>
      <c r="CD613" s="152"/>
      <c r="CE613" s="208"/>
      <c r="CF613" s="166">
        <f t="shared" si="1385"/>
        <v>3</v>
      </c>
    </row>
    <row r="614" spans="1:84" hidden="1">
      <c r="A614" s="141"/>
      <c r="B614" s="199" t="s">
        <v>1825</v>
      </c>
      <c r="C614" s="199" t="s">
        <v>2116</v>
      </c>
      <c r="D614" s="199" t="s">
        <v>13</v>
      </c>
      <c r="E614" s="199" t="s">
        <v>1819</v>
      </c>
      <c r="F614" s="199" t="s">
        <v>1183</v>
      </c>
      <c r="G614" s="199" t="s">
        <v>1184</v>
      </c>
      <c r="H614" s="200">
        <v>1944</v>
      </c>
      <c r="I614" s="201" t="s">
        <v>147</v>
      </c>
      <c r="J614" s="165">
        <v>1</v>
      </c>
      <c r="K614" s="202">
        <f t="shared" si="1327"/>
        <v>1</v>
      </c>
      <c r="L614" s="202">
        <f t="shared" si="1369"/>
        <v>1</v>
      </c>
      <c r="M614" s="203">
        <v>28.3</v>
      </c>
      <c r="N614" s="203">
        <f t="shared" si="1370"/>
        <v>28.3</v>
      </c>
      <c r="O614" s="203" t="s">
        <v>137</v>
      </c>
      <c r="P614" s="203" t="s">
        <v>13</v>
      </c>
      <c r="Q614" s="203" t="s">
        <v>148</v>
      </c>
      <c r="R614" s="203"/>
      <c r="S614" s="203"/>
      <c r="T614" s="203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0</v>
      </c>
      <c r="U614" s="203">
        <f t="shared" ca="1" si="1371"/>
        <v>1</v>
      </c>
      <c r="V614" s="203">
        <f t="shared" ca="1" si="1372"/>
        <v>0</v>
      </c>
      <c r="W614" s="203"/>
      <c r="X614" s="203"/>
      <c r="Y614" s="203"/>
      <c r="Z614" s="203"/>
      <c r="AA614" s="203"/>
      <c r="AB614" s="203"/>
      <c r="AC614" s="205" t="s">
        <v>1784</v>
      </c>
      <c r="AD614" s="206" t="s">
        <v>1785</v>
      </c>
      <c r="AE614" s="166"/>
      <c r="AF614" s="203" t="str">
        <f t="shared" si="1365"/>
        <v>N/A</v>
      </c>
      <c r="AG614" s="203">
        <f t="shared" si="1365"/>
        <v>0</v>
      </c>
      <c r="AH614" s="203">
        <f t="shared" si="1373"/>
        <v>0</v>
      </c>
      <c r="AI614" s="203">
        <f t="shared" ca="1" si="1374"/>
        <v>0</v>
      </c>
      <c r="AJ614" s="203">
        <f t="shared" ca="1" si="1375"/>
        <v>0</v>
      </c>
      <c r="AK614" s="203" t="str">
        <f t="shared" si="1366"/>
        <v>N/A</v>
      </c>
      <c r="AL614" s="203">
        <f t="shared" si="1366"/>
        <v>0</v>
      </c>
      <c r="AM614" s="203">
        <f t="shared" si="1376"/>
        <v>0</v>
      </c>
      <c r="AN614" s="203">
        <f t="shared" ca="1" si="1377"/>
        <v>0</v>
      </c>
      <c r="AO614" s="203">
        <f t="shared" ca="1" si="1378"/>
        <v>0</v>
      </c>
      <c r="AP614" s="203" t="str">
        <f t="shared" si="1367"/>
        <v>N/A</v>
      </c>
      <c r="AQ614" s="203">
        <f t="shared" si="1367"/>
        <v>0</v>
      </c>
      <c r="AR614" s="203">
        <f t="shared" si="1379"/>
        <v>0</v>
      </c>
      <c r="AS614" s="203">
        <f t="shared" ca="1" si="1380"/>
        <v>0</v>
      </c>
      <c r="AT614" s="203">
        <f t="shared" ca="1" si="1381"/>
        <v>0</v>
      </c>
      <c r="AU614" s="203" t="str">
        <f t="shared" si="1368"/>
        <v>AMC2-S1</v>
      </c>
      <c r="AV614" s="203">
        <f t="shared" si="1368"/>
        <v>1</v>
      </c>
      <c r="AW614" s="203">
        <f t="shared" si="1382"/>
        <v>1</v>
      </c>
      <c r="AX614" s="203">
        <f t="shared" ca="1" si="1383"/>
        <v>0</v>
      </c>
      <c r="AY614" s="203">
        <f t="shared" ca="1" si="1384"/>
        <v>1</v>
      </c>
      <c r="AZ614" s="203"/>
      <c r="BA614" s="204" t="s">
        <v>140</v>
      </c>
      <c r="BB614" s="204" t="s">
        <v>140</v>
      </c>
      <c r="BC614" s="204" t="s">
        <v>140</v>
      </c>
      <c r="BD614" s="204" t="s">
        <v>141</v>
      </c>
      <c r="BE614" s="166"/>
      <c r="BF614" s="203" t="s">
        <v>1789</v>
      </c>
      <c r="BG614" s="141"/>
      <c r="BH614" s="152"/>
      <c r="BI614" s="207"/>
      <c r="BJ614" s="207"/>
      <c r="BK614" s="207"/>
      <c r="BL614" s="153" t="s">
        <v>149</v>
      </c>
      <c r="BM614" s="153"/>
      <c r="BN614" s="153"/>
      <c r="BO614" s="153"/>
      <c r="BP614" s="153"/>
      <c r="BQ614" s="153"/>
      <c r="BR614" s="141">
        <v>0</v>
      </c>
      <c r="BS614" s="141">
        <v>0</v>
      </c>
      <c r="BT614" s="141">
        <v>0</v>
      </c>
      <c r="BU614" s="141">
        <v>0</v>
      </c>
      <c r="BV614" s="141">
        <v>0</v>
      </c>
      <c r="BW614" s="141">
        <v>0</v>
      </c>
      <c r="BX614" s="141">
        <v>0</v>
      </c>
      <c r="BY614" s="141" t="s">
        <v>1790</v>
      </c>
      <c r="BZ614" s="141" t="s">
        <v>2099</v>
      </c>
      <c r="CA614" s="165">
        <v>1</v>
      </c>
      <c r="CB614" s="153">
        <v>46244</v>
      </c>
      <c r="CC614" s="152"/>
      <c r="CD614" s="152"/>
      <c r="CE614" s="208"/>
      <c r="CF614" s="166">
        <f t="shared" si="1385"/>
        <v>0</v>
      </c>
    </row>
    <row r="615" spans="1:84" hidden="1">
      <c r="A615" s="141"/>
      <c r="B615" s="199" t="s">
        <v>1825</v>
      </c>
      <c r="C615" s="199" t="s">
        <v>2116</v>
      </c>
      <c r="D615" s="199" t="s">
        <v>13</v>
      </c>
      <c r="E615" s="199" t="s">
        <v>1820</v>
      </c>
      <c r="F615" s="199" t="s">
        <v>1185</v>
      </c>
      <c r="G615" s="199" t="s">
        <v>1123</v>
      </c>
      <c r="H615" s="200">
        <v>320</v>
      </c>
      <c r="I615" s="201" t="s">
        <v>147</v>
      </c>
      <c r="J615" s="165">
        <v>2</v>
      </c>
      <c r="K615" s="202">
        <f t="shared" si="1327"/>
        <v>1</v>
      </c>
      <c r="L615" s="202">
        <f t="shared" si="1369"/>
        <v>2</v>
      </c>
      <c r="M615" s="203">
        <v>7.6</v>
      </c>
      <c r="N615" s="203">
        <f t="shared" si="1370"/>
        <v>15.2</v>
      </c>
      <c r="O615" s="203" t="s">
        <v>137</v>
      </c>
      <c r="P615" s="203" t="s">
        <v>13</v>
      </c>
      <c r="Q615" s="203" t="s">
        <v>148</v>
      </c>
      <c r="R615" s="203"/>
      <c r="S615" s="203"/>
      <c r="T615" s="203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0</v>
      </c>
      <c r="U615" s="203">
        <f t="shared" ca="1" si="1371"/>
        <v>2</v>
      </c>
      <c r="V615" s="203">
        <f t="shared" ca="1" si="1372"/>
        <v>0</v>
      </c>
      <c r="W615" s="203"/>
      <c r="X615" s="203"/>
      <c r="Y615" s="203"/>
      <c r="Z615" s="203"/>
      <c r="AA615" s="203"/>
      <c r="AB615" s="203"/>
      <c r="AC615" s="205" t="s">
        <v>1784</v>
      </c>
      <c r="AD615" s="206" t="s">
        <v>1785</v>
      </c>
      <c r="AE615" s="166"/>
      <c r="AF615" s="203" t="str">
        <f t="shared" si="1365"/>
        <v>N/A</v>
      </c>
      <c r="AG615" s="203">
        <f t="shared" si="1365"/>
        <v>0</v>
      </c>
      <c r="AH615" s="203">
        <f t="shared" si="1373"/>
        <v>0</v>
      </c>
      <c r="AI615" s="203">
        <f t="shared" ca="1" si="1374"/>
        <v>0</v>
      </c>
      <c r="AJ615" s="203">
        <f t="shared" ca="1" si="1375"/>
        <v>0</v>
      </c>
      <c r="AK615" s="203" t="str">
        <f t="shared" si="1366"/>
        <v>N/A</v>
      </c>
      <c r="AL615" s="203">
        <f t="shared" si="1366"/>
        <v>0</v>
      </c>
      <c r="AM615" s="203">
        <f t="shared" si="1376"/>
        <v>0</v>
      </c>
      <c r="AN615" s="203">
        <f t="shared" ca="1" si="1377"/>
        <v>0</v>
      </c>
      <c r="AO615" s="203">
        <f t="shared" ca="1" si="1378"/>
        <v>0</v>
      </c>
      <c r="AP615" s="203" t="str">
        <f t="shared" si="1367"/>
        <v>N/A</v>
      </c>
      <c r="AQ615" s="203">
        <f t="shared" si="1367"/>
        <v>0</v>
      </c>
      <c r="AR615" s="203">
        <f t="shared" si="1379"/>
        <v>0</v>
      </c>
      <c r="AS615" s="203">
        <f t="shared" ca="1" si="1380"/>
        <v>0</v>
      </c>
      <c r="AT615" s="203">
        <f t="shared" ca="1" si="1381"/>
        <v>0</v>
      </c>
      <c r="AU615" s="203" t="str">
        <f t="shared" si="1368"/>
        <v>AMC2-S1</v>
      </c>
      <c r="AV615" s="203">
        <f t="shared" si="1368"/>
        <v>1</v>
      </c>
      <c r="AW615" s="203">
        <f t="shared" si="1382"/>
        <v>2</v>
      </c>
      <c r="AX615" s="203">
        <f t="shared" ca="1" si="1383"/>
        <v>0</v>
      </c>
      <c r="AY615" s="203">
        <f t="shared" ca="1" si="1384"/>
        <v>2</v>
      </c>
      <c r="AZ615" s="203"/>
      <c r="BA615" s="204" t="s">
        <v>140</v>
      </c>
      <c r="BB615" s="204" t="s">
        <v>140</v>
      </c>
      <c r="BC615" s="204" t="s">
        <v>140</v>
      </c>
      <c r="BD615" s="204" t="s">
        <v>141</v>
      </c>
      <c r="BE615" s="166"/>
      <c r="BF615" s="203" t="s">
        <v>1789</v>
      </c>
      <c r="BG615" s="141"/>
      <c r="BH615" s="152"/>
      <c r="BI615" s="207"/>
      <c r="BJ615" s="207"/>
      <c r="BK615" s="207"/>
      <c r="BL615" s="153" t="s">
        <v>149</v>
      </c>
      <c r="BM615" s="153"/>
      <c r="BN615" s="153"/>
      <c r="BO615" s="153"/>
      <c r="BP615" s="153"/>
      <c r="BQ615" s="153"/>
      <c r="BR615" s="141">
        <v>1</v>
      </c>
      <c r="BS615" s="141">
        <v>0</v>
      </c>
      <c r="BT615" s="141">
        <v>0</v>
      </c>
      <c r="BU615" s="141">
        <v>0</v>
      </c>
      <c r="BV615" s="141">
        <v>0</v>
      </c>
      <c r="BW615" s="141">
        <v>0</v>
      </c>
      <c r="BX615" s="141">
        <v>0</v>
      </c>
      <c r="BY615" s="141" t="s">
        <v>1790</v>
      </c>
      <c r="BZ615" s="141" t="s">
        <v>2101</v>
      </c>
      <c r="CA615" s="165">
        <v>2</v>
      </c>
      <c r="CB615" s="153">
        <v>46244</v>
      </c>
      <c r="CC615" s="152"/>
      <c r="CD615" s="152"/>
      <c r="CE615" s="208"/>
      <c r="CF615" s="166">
        <f t="shared" si="1385"/>
        <v>0</v>
      </c>
    </row>
    <row r="616" spans="1:84" hidden="1">
      <c r="A616" s="141"/>
      <c r="B616" s="199" t="s">
        <v>1825</v>
      </c>
      <c r="C616" s="199" t="s">
        <v>2116</v>
      </c>
      <c r="D616" s="199" t="s">
        <v>13</v>
      </c>
      <c r="E616" s="199" t="s">
        <v>1808</v>
      </c>
      <c r="F616" s="199" t="s">
        <v>1186</v>
      </c>
      <c r="G616" s="199" t="s">
        <v>1125</v>
      </c>
      <c r="H616" s="200">
        <v>200</v>
      </c>
      <c r="I616" s="201" t="s">
        <v>147</v>
      </c>
      <c r="J616" s="165">
        <v>2</v>
      </c>
      <c r="K616" s="202">
        <f t="shared" si="1327"/>
        <v>1</v>
      </c>
      <c r="L616" s="202">
        <f t="shared" si="1369"/>
        <v>2</v>
      </c>
      <c r="M616" s="203">
        <v>5.5</v>
      </c>
      <c r="N616" s="203">
        <f t="shared" si="1370"/>
        <v>11</v>
      </c>
      <c r="O616" s="203" t="s">
        <v>137</v>
      </c>
      <c r="P616" s="203" t="s">
        <v>13</v>
      </c>
      <c r="Q616" s="203" t="s">
        <v>148</v>
      </c>
      <c r="R616" s="203"/>
      <c r="S616" s="203"/>
      <c r="T616" s="203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0</v>
      </c>
      <c r="U616" s="203">
        <f t="shared" ca="1" si="1371"/>
        <v>2</v>
      </c>
      <c r="V616" s="203">
        <f t="shared" ca="1" si="1372"/>
        <v>0</v>
      </c>
      <c r="W616" s="203"/>
      <c r="X616" s="203"/>
      <c r="Y616" s="203"/>
      <c r="Z616" s="203"/>
      <c r="AA616" s="203"/>
      <c r="AB616" s="203"/>
      <c r="AC616" s="205" t="s">
        <v>1784</v>
      </c>
      <c r="AD616" s="206" t="s">
        <v>1785</v>
      </c>
      <c r="AE616" s="166"/>
      <c r="AF616" s="203" t="str">
        <f t="shared" si="1365"/>
        <v>N/A</v>
      </c>
      <c r="AG616" s="203">
        <f t="shared" si="1365"/>
        <v>0</v>
      </c>
      <c r="AH616" s="203">
        <f t="shared" si="1373"/>
        <v>0</v>
      </c>
      <c r="AI616" s="203">
        <f t="shared" ca="1" si="1374"/>
        <v>0</v>
      </c>
      <c r="AJ616" s="203">
        <f t="shared" ca="1" si="1375"/>
        <v>0</v>
      </c>
      <c r="AK616" s="203" t="str">
        <f t="shared" si="1366"/>
        <v>N/A</v>
      </c>
      <c r="AL616" s="203">
        <f t="shared" si="1366"/>
        <v>0</v>
      </c>
      <c r="AM616" s="203">
        <f t="shared" si="1376"/>
        <v>0</v>
      </c>
      <c r="AN616" s="203">
        <f t="shared" ca="1" si="1377"/>
        <v>0</v>
      </c>
      <c r="AO616" s="203">
        <f t="shared" ca="1" si="1378"/>
        <v>0</v>
      </c>
      <c r="AP616" s="203" t="str">
        <f t="shared" si="1367"/>
        <v>N/A</v>
      </c>
      <c r="AQ616" s="203">
        <f t="shared" si="1367"/>
        <v>0</v>
      </c>
      <c r="AR616" s="203">
        <f t="shared" si="1379"/>
        <v>0</v>
      </c>
      <c r="AS616" s="203">
        <f t="shared" ca="1" si="1380"/>
        <v>0</v>
      </c>
      <c r="AT616" s="203">
        <f t="shared" ca="1" si="1381"/>
        <v>0</v>
      </c>
      <c r="AU616" s="203" t="str">
        <f t="shared" si="1368"/>
        <v>AMC2-S1</v>
      </c>
      <c r="AV616" s="203">
        <f t="shared" si="1368"/>
        <v>1</v>
      </c>
      <c r="AW616" s="203">
        <f t="shared" si="1382"/>
        <v>2</v>
      </c>
      <c r="AX616" s="203">
        <f t="shared" ca="1" si="1383"/>
        <v>0</v>
      </c>
      <c r="AY616" s="203">
        <f t="shared" ca="1" si="1384"/>
        <v>2</v>
      </c>
      <c r="AZ616" s="203"/>
      <c r="BA616" s="204" t="s">
        <v>140</v>
      </c>
      <c r="BB616" s="204" t="s">
        <v>140</v>
      </c>
      <c r="BC616" s="204" t="s">
        <v>140</v>
      </c>
      <c r="BD616" s="204" t="s">
        <v>141</v>
      </c>
      <c r="BE616" s="166"/>
      <c r="BF616" s="203" t="s">
        <v>1789</v>
      </c>
      <c r="BG616" s="141"/>
      <c r="BH616" s="152"/>
      <c r="BI616" s="207"/>
      <c r="BJ616" s="207"/>
      <c r="BK616" s="207"/>
      <c r="BL616" s="153" t="s">
        <v>149</v>
      </c>
      <c r="BM616" s="153"/>
      <c r="BN616" s="153"/>
      <c r="BO616" s="153"/>
      <c r="BP616" s="153"/>
      <c r="BQ616" s="153"/>
      <c r="BR616" s="141">
        <v>1</v>
      </c>
      <c r="BS616" s="141">
        <v>0</v>
      </c>
      <c r="BT616" s="141">
        <v>0</v>
      </c>
      <c r="BU616" s="141">
        <v>0</v>
      </c>
      <c r="BV616" s="141">
        <v>0</v>
      </c>
      <c r="BW616" s="141">
        <v>0</v>
      </c>
      <c r="BX616" s="141">
        <v>0</v>
      </c>
      <c r="BY616" s="141" t="s">
        <v>1790</v>
      </c>
      <c r="BZ616" s="141" t="s">
        <v>2100</v>
      </c>
      <c r="CA616" s="165">
        <v>2</v>
      </c>
      <c r="CB616" s="153">
        <v>46238</v>
      </c>
      <c r="CC616" s="152"/>
      <c r="CD616" s="152"/>
      <c r="CE616" s="208"/>
      <c r="CF616" s="166">
        <f t="shared" si="1385"/>
        <v>0</v>
      </c>
    </row>
    <row r="617" spans="1:84" hidden="1">
      <c r="A617" s="186"/>
      <c r="B617" s="187" t="s">
        <v>1825</v>
      </c>
      <c r="C617" s="187" t="s">
        <v>2117</v>
      </c>
      <c r="D617" s="187"/>
      <c r="E617" s="187"/>
      <c r="F617" s="187"/>
      <c r="G617" s="187" t="s">
        <v>1830</v>
      </c>
      <c r="H617" s="188"/>
      <c r="I617" s="189"/>
      <c r="J617" s="190"/>
      <c r="K617" s="191">
        <f t="shared" si="1327"/>
        <v>1</v>
      </c>
      <c r="L617" s="190"/>
      <c r="M617" s="192">
        <v>1867.9</v>
      </c>
      <c r="N617" s="192">
        <v>1868</v>
      </c>
      <c r="O617" s="192" t="s">
        <v>137</v>
      </c>
      <c r="P617" s="192"/>
      <c r="Q617" s="192"/>
      <c r="R617" s="192"/>
      <c r="S617" s="192"/>
      <c r="T617" s="192"/>
      <c r="U617" s="192"/>
      <c r="V617" s="192"/>
      <c r="W617" s="192">
        <f ca="1">_xlfn.MINIFS(V:V,C:C,C617,AE:AE,"",AB:AB,"")</f>
        <v>0</v>
      </c>
      <c r="X617" s="192">
        <f ca="1">SUMIFS(T:T,C:C,C617,AE:AE,"")/SUMIFS(L:L,C:C,C617,AE:AE,"",AB:AB,"")</f>
        <v>0</v>
      </c>
      <c r="Y617" s="192"/>
      <c r="Z617" s="192"/>
      <c r="AA617" s="192"/>
      <c r="AB617" s="192"/>
      <c r="AC617" s="194" t="s">
        <v>1784</v>
      </c>
      <c r="AD617" s="195" t="s">
        <v>1785</v>
      </c>
      <c r="AE617" s="196" t="s">
        <v>1829</v>
      </c>
      <c r="AF617" s="192" t="str">
        <f t="shared" si="1365"/>
        <v>N/A</v>
      </c>
      <c r="AG617" s="192">
        <f t="shared" si="1365"/>
        <v>0</v>
      </c>
      <c r="AH617" s="192"/>
      <c r="AI617" s="192"/>
      <c r="AJ617" s="192"/>
      <c r="AK617" s="192" t="str">
        <f t="shared" si="1366"/>
        <v>N/A</v>
      </c>
      <c r="AL617" s="192">
        <f t="shared" si="1366"/>
        <v>0</v>
      </c>
      <c r="AM617" s="192"/>
      <c r="AN617" s="192"/>
      <c r="AO617" s="192"/>
      <c r="AP617" s="192" t="str">
        <f t="shared" si="1367"/>
        <v>N/A</v>
      </c>
      <c r="AQ617" s="192">
        <f t="shared" si="1367"/>
        <v>0</v>
      </c>
      <c r="AR617" s="192"/>
      <c r="AS617" s="192"/>
      <c r="AT617" s="192"/>
      <c r="AU617" s="192" t="str">
        <f t="shared" si="1368"/>
        <v>AMC2-S1</v>
      </c>
      <c r="AV617" s="192">
        <f t="shared" si="1368"/>
        <v>1</v>
      </c>
      <c r="AW617" s="192"/>
      <c r="AX617" s="192"/>
      <c r="AY617" s="192"/>
      <c r="AZ617" s="192"/>
      <c r="BA617" s="193" t="s">
        <v>140</v>
      </c>
      <c r="BB617" s="193" t="s">
        <v>140</v>
      </c>
      <c r="BC617" s="193" t="s">
        <v>140</v>
      </c>
      <c r="BD617" s="193" t="s">
        <v>141</v>
      </c>
      <c r="BE617" s="196" t="s">
        <v>741</v>
      </c>
      <c r="BF617" s="192"/>
      <c r="BG617" s="186"/>
      <c r="BH617" s="186"/>
      <c r="BI617" s="197"/>
      <c r="BJ617" s="197"/>
      <c r="BK617" s="197"/>
      <c r="BL617" s="197"/>
      <c r="BM617" s="197"/>
      <c r="BN617" s="197"/>
      <c r="BO617" s="197"/>
      <c r="BP617" s="197"/>
      <c r="BQ617" s="197"/>
      <c r="BR617" s="186"/>
      <c r="BS617" s="186"/>
      <c r="BT617" s="186"/>
      <c r="BU617" s="186"/>
      <c r="BV617" s="186"/>
      <c r="BW617" s="186"/>
      <c r="BX617" s="186"/>
      <c r="BY617" s="186"/>
      <c r="BZ617" s="186"/>
      <c r="CA617" s="186"/>
      <c r="CB617" s="197"/>
      <c r="CC617" s="186"/>
      <c r="CD617" s="186"/>
      <c r="CE617" s="198"/>
      <c r="CF617" s="198"/>
    </row>
    <row r="618" spans="1:84" hidden="1">
      <c r="A618" s="141"/>
      <c r="B618" s="199" t="s">
        <v>1825</v>
      </c>
      <c r="C618" s="199" t="s">
        <v>2117</v>
      </c>
      <c r="D618" s="199" t="s">
        <v>1084</v>
      </c>
      <c r="E618" s="199" t="s">
        <v>1799</v>
      </c>
      <c r="F618" s="199" t="s">
        <v>1187</v>
      </c>
      <c r="G618" s="199" t="s">
        <v>1166</v>
      </c>
      <c r="H618" s="200">
        <v>4829</v>
      </c>
      <c r="I618" s="201" t="s">
        <v>147</v>
      </c>
      <c r="J618" s="165">
        <v>1</v>
      </c>
      <c r="K618" s="202">
        <f t="shared" si="1327"/>
        <v>1</v>
      </c>
      <c r="L618" s="202">
        <f t="shared" ref="L618:L622" si="1386">+J618*K618</f>
        <v>1</v>
      </c>
      <c r="M618" s="203">
        <v>764.2</v>
      </c>
      <c r="N618" s="203">
        <f t="shared" ref="N618:N622" si="1387">+M618*L618</f>
        <v>764.2</v>
      </c>
      <c r="O618" s="203" t="s">
        <v>137</v>
      </c>
      <c r="P618" s="203" t="s">
        <v>13</v>
      </c>
      <c r="Q618" s="203" t="s">
        <v>154</v>
      </c>
      <c r="R618" s="203"/>
      <c r="S618" s="203"/>
      <c r="T618" s="203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0</v>
      </c>
      <c r="U618" s="203">
        <f t="shared" ref="U618:U622" ca="1" si="1388">+L618-T618</f>
        <v>1</v>
      </c>
      <c r="V618" s="203">
        <f t="shared" ref="V618:V622" ca="1" si="1389">ROUNDDOWN(T618/J618,0)</f>
        <v>0</v>
      </c>
      <c r="W618" s="203"/>
      <c r="X618" s="203"/>
      <c r="Y618" s="203"/>
      <c r="Z618" s="203"/>
      <c r="AA618" s="203"/>
      <c r="AB618" s="203"/>
      <c r="AC618" s="205" t="s">
        <v>1784</v>
      </c>
      <c r="AD618" s="206" t="s">
        <v>1785</v>
      </c>
      <c r="AE618" s="166"/>
      <c r="AF618" s="203" t="str">
        <f t="shared" si="1365"/>
        <v>N/A</v>
      </c>
      <c r="AG618" s="203">
        <f t="shared" si="1365"/>
        <v>0</v>
      </c>
      <c r="AH618" s="203">
        <f t="shared" ref="AH618:AH622" si="1390">+AG618*J618</f>
        <v>0</v>
      </c>
      <c r="AI618" s="203">
        <f t="shared" ref="AI618:AI622" ca="1" si="1391">MIN(T618,AH618)</f>
        <v>0</v>
      </c>
      <c r="AJ618" s="203">
        <f t="shared" ref="AJ618:AJ622" ca="1" si="1392">+AH618-AI618</f>
        <v>0</v>
      </c>
      <c r="AK618" s="203" t="str">
        <f t="shared" si="1366"/>
        <v>N/A</v>
      </c>
      <c r="AL618" s="203">
        <f t="shared" si="1366"/>
        <v>0</v>
      </c>
      <c r="AM618" s="203">
        <f t="shared" ref="AM618:AM622" si="1393">+AL618*J618</f>
        <v>0</v>
      </c>
      <c r="AN618" s="203">
        <f t="shared" ref="AN618:AN622" ca="1" si="1394">MIN(T618-AI618,AL618)</f>
        <v>0</v>
      </c>
      <c r="AO618" s="203">
        <f t="shared" ref="AO618:AO622" ca="1" si="1395">+AM618-AN618</f>
        <v>0</v>
      </c>
      <c r="AP618" s="203" t="str">
        <f t="shared" si="1367"/>
        <v>N/A</v>
      </c>
      <c r="AQ618" s="203">
        <f t="shared" si="1367"/>
        <v>0</v>
      </c>
      <c r="AR618" s="203">
        <f t="shared" ref="AR618:AR622" si="1396">+AQ618*J618</f>
        <v>0</v>
      </c>
      <c r="AS618" s="203">
        <f t="shared" ref="AS618:AS622" ca="1" si="1397">MIN(T618-AI618-AN618,AR618)</f>
        <v>0</v>
      </c>
      <c r="AT618" s="203">
        <f t="shared" ref="AT618:AT622" ca="1" si="1398">+AR618-AS618</f>
        <v>0</v>
      </c>
      <c r="AU618" s="203" t="str">
        <f t="shared" si="1368"/>
        <v>AMC2-S1</v>
      </c>
      <c r="AV618" s="203">
        <f t="shared" si="1368"/>
        <v>1</v>
      </c>
      <c r="AW618" s="203">
        <f t="shared" ref="AW618:AW622" si="1399">+AV618*J618</f>
        <v>1</v>
      </c>
      <c r="AX618" s="203">
        <f t="shared" ref="AX618:AX622" ca="1" si="1400">MIN(T618-AI618-AN618-AS618,AW618)</f>
        <v>0</v>
      </c>
      <c r="AY618" s="203">
        <f t="shared" ref="AY618:AY622" ca="1" si="1401">+AW618-AX618</f>
        <v>1</v>
      </c>
      <c r="AZ618" s="203"/>
      <c r="BA618" s="204" t="s">
        <v>140</v>
      </c>
      <c r="BB618" s="204" t="s">
        <v>140</v>
      </c>
      <c r="BC618" s="204" t="s">
        <v>140</v>
      </c>
      <c r="BD618" s="204" t="s">
        <v>141</v>
      </c>
      <c r="BE618" s="166"/>
      <c r="BF618" s="203" t="s">
        <v>1789</v>
      </c>
      <c r="BG618" s="141"/>
      <c r="BH618" s="152"/>
      <c r="BI618" s="207"/>
      <c r="BJ618" s="207"/>
      <c r="BK618" s="207"/>
      <c r="BL618" s="153" t="s">
        <v>149</v>
      </c>
      <c r="BM618" s="153"/>
      <c r="BN618" s="153"/>
      <c r="BO618" s="153"/>
      <c r="BP618" s="153"/>
      <c r="BQ618" s="153"/>
      <c r="BR618" s="141">
        <v>0</v>
      </c>
      <c r="BS618" s="141">
        <v>1</v>
      </c>
      <c r="BT618" s="141">
        <v>0</v>
      </c>
      <c r="BU618" s="141">
        <v>1</v>
      </c>
      <c r="BV618" s="141">
        <v>0</v>
      </c>
      <c r="BW618" s="141">
        <v>0</v>
      </c>
      <c r="BX618" s="141">
        <v>0</v>
      </c>
      <c r="BY618" s="141" t="s">
        <v>1790</v>
      </c>
      <c r="BZ618" s="141"/>
      <c r="CA618" s="141"/>
      <c r="CB618" s="153"/>
      <c r="CC618" s="152"/>
      <c r="CD618" s="152"/>
      <c r="CE618" s="208"/>
      <c r="CF618" s="166">
        <f>+L618-CA618</f>
        <v>1</v>
      </c>
    </row>
    <row r="619" spans="1:84" hidden="1">
      <c r="A619" s="141"/>
      <c r="B619" s="199" t="s">
        <v>1825</v>
      </c>
      <c r="C619" s="199" t="s">
        <v>2117</v>
      </c>
      <c r="D619" s="199" t="s">
        <v>1084</v>
      </c>
      <c r="E619" s="199" t="s">
        <v>1800</v>
      </c>
      <c r="F619" s="199" t="s">
        <v>1188</v>
      </c>
      <c r="G619" s="199" t="s">
        <v>1170</v>
      </c>
      <c r="H619" s="200">
        <v>2373</v>
      </c>
      <c r="I619" s="201" t="s">
        <v>147</v>
      </c>
      <c r="J619" s="165">
        <v>1</v>
      </c>
      <c r="K619" s="202">
        <f t="shared" si="1327"/>
        <v>1</v>
      </c>
      <c r="L619" s="202">
        <f t="shared" si="1386"/>
        <v>1</v>
      </c>
      <c r="M619" s="203">
        <v>380</v>
      </c>
      <c r="N619" s="203">
        <f t="shared" si="1387"/>
        <v>380</v>
      </c>
      <c r="O619" s="203" t="s">
        <v>137</v>
      </c>
      <c r="P619" s="203" t="s">
        <v>13</v>
      </c>
      <c r="Q619" s="203" t="s">
        <v>154</v>
      </c>
      <c r="R619" s="203"/>
      <c r="S619" s="203"/>
      <c r="T619" s="203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0</v>
      </c>
      <c r="U619" s="203">
        <f t="shared" ca="1" si="1388"/>
        <v>1</v>
      </c>
      <c r="V619" s="203">
        <f t="shared" ca="1" si="1389"/>
        <v>0</v>
      </c>
      <c r="W619" s="203"/>
      <c r="X619" s="203"/>
      <c r="Y619" s="203"/>
      <c r="Z619" s="203"/>
      <c r="AA619" s="203"/>
      <c r="AB619" s="203"/>
      <c r="AC619" s="205" t="s">
        <v>1784</v>
      </c>
      <c r="AD619" s="206" t="s">
        <v>1785</v>
      </c>
      <c r="AE619" s="166"/>
      <c r="AF619" s="203" t="str">
        <f t="shared" si="1365"/>
        <v>N/A</v>
      </c>
      <c r="AG619" s="203">
        <f t="shared" si="1365"/>
        <v>0</v>
      </c>
      <c r="AH619" s="203">
        <f t="shared" si="1390"/>
        <v>0</v>
      </c>
      <c r="AI619" s="203">
        <f t="shared" ca="1" si="1391"/>
        <v>0</v>
      </c>
      <c r="AJ619" s="203">
        <f t="shared" ca="1" si="1392"/>
        <v>0</v>
      </c>
      <c r="AK619" s="203" t="str">
        <f t="shared" si="1366"/>
        <v>N/A</v>
      </c>
      <c r="AL619" s="203">
        <f t="shared" si="1366"/>
        <v>0</v>
      </c>
      <c r="AM619" s="203">
        <f t="shared" si="1393"/>
        <v>0</v>
      </c>
      <c r="AN619" s="203">
        <f t="shared" ca="1" si="1394"/>
        <v>0</v>
      </c>
      <c r="AO619" s="203">
        <f t="shared" ca="1" si="1395"/>
        <v>0</v>
      </c>
      <c r="AP619" s="203" t="str">
        <f t="shared" si="1367"/>
        <v>N/A</v>
      </c>
      <c r="AQ619" s="203">
        <f t="shared" si="1367"/>
        <v>0</v>
      </c>
      <c r="AR619" s="203">
        <f t="shared" si="1396"/>
        <v>0</v>
      </c>
      <c r="AS619" s="203">
        <f t="shared" ca="1" si="1397"/>
        <v>0</v>
      </c>
      <c r="AT619" s="203">
        <f t="shared" ca="1" si="1398"/>
        <v>0</v>
      </c>
      <c r="AU619" s="203" t="str">
        <f t="shared" si="1368"/>
        <v>AMC2-S1</v>
      </c>
      <c r="AV619" s="203">
        <f t="shared" si="1368"/>
        <v>1</v>
      </c>
      <c r="AW619" s="203">
        <f t="shared" si="1399"/>
        <v>1</v>
      </c>
      <c r="AX619" s="203">
        <f t="shared" ca="1" si="1400"/>
        <v>0</v>
      </c>
      <c r="AY619" s="203">
        <f t="shared" ca="1" si="1401"/>
        <v>1</v>
      </c>
      <c r="AZ619" s="203"/>
      <c r="BA619" s="204" t="s">
        <v>140</v>
      </c>
      <c r="BB619" s="204" t="s">
        <v>140</v>
      </c>
      <c r="BC619" s="204" t="s">
        <v>140</v>
      </c>
      <c r="BD619" s="204" t="s">
        <v>141</v>
      </c>
      <c r="BE619" s="166"/>
      <c r="BF619" s="203" t="s">
        <v>1789</v>
      </c>
      <c r="BG619" s="141"/>
      <c r="BH619" s="152"/>
      <c r="BI619" s="207"/>
      <c r="BJ619" s="207"/>
      <c r="BK619" s="207"/>
      <c r="BL619" s="153" t="s">
        <v>149</v>
      </c>
      <c r="BM619" s="153"/>
      <c r="BN619" s="153"/>
      <c r="BO619" s="153"/>
      <c r="BP619" s="153"/>
      <c r="BQ619" s="153"/>
      <c r="BR619" s="141">
        <v>0</v>
      </c>
      <c r="BS619" s="141">
        <v>1</v>
      </c>
      <c r="BT619" s="141">
        <v>0</v>
      </c>
      <c r="BU619" s="141">
        <v>1</v>
      </c>
      <c r="BV619" s="141">
        <v>0</v>
      </c>
      <c r="BW619" s="141">
        <v>0</v>
      </c>
      <c r="BX619" s="141">
        <v>0</v>
      </c>
      <c r="BY619" s="141" t="s">
        <v>1790</v>
      </c>
      <c r="BZ619" s="141"/>
      <c r="CA619" s="141"/>
      <c r="CB619" s="153"/>
      <c r="CC619" s="152"/>
      <c r="CD619" s="152"/>
      <c r="CE619" s="208"/>
      <c r="CF619" s="166">
        <f>+L619-CA619</f>
        <v>1</v>
      </c>
    </row>
    <row r="620" spans="1:84" hidden="1">
      <c r="A620" s="141"/>
      <c r="B620" s="199" t="s">
        <v>1825</v>
      </c>
      <c r="C620" s="199" t="s">
        <v>2117</v>
      </c>
      <c r="D620" s="199" t="s">
        <v>1084</v>
      </c>
      <c r="E620" s="199" t="s">
        <v>1801</v>
      </c>
      <c r="F620" s="199" t="s">
        <v>1189</v>
      </c>
      <c r="G620" s="199" t="s">
        <v>1168</v>
      </c>
      <c r="H620" s="200">
        <v>2700</v>
      </c>
      <c r="I620" s="201" t="s">
        <v>147</v>
      </c>
      <c r="J620" s="165">
        <v>1</v>
      </c>
      <c r="K620" s="202">
        <f t="shared" si="1327"/>
        <v>1</v>
      </c>
      <c r="L620" s="202">
        <f t="shared" si="1386"/>
        <v>1</v>
      </c>
      <c r="M620" s="203">
        <v>601.9</v>
      </c>
      <c r="N620" s="203">
        <f t="shared" si="1387"/>
        <v>601.9</v>
      </c>
      <c r="O620" s="203" t="s">
        <v>137</v>
      </c>
      <c r="P620" s="203" t="s">
        <v>13</v>
      </c>
      <c r="Q620" s="203" t="s">
        <v>154</v>
      </c>
      <c r="R620" s="203"/>
      <c r="S620" s="203"/>
      <c r="T620" s="203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0</v>
      </c>
      <c r="U620" s="203">
        <f t="shared" ca="1" si="1388"/>
        <v>1</v>
      </c>
      <c r="V620" s="203">
        <f t="shared" ca="1" si="1389"/>
        <v>0</v>
      </c>
      <c r="W620" s="203"/>
      <c r="X620" s="203"/>
      <c r="Y620" s="203"/>
      <c r="Z620" s="203"/>
      <c r="AA620" s="203"/>
      <c r="AB620" s="203"/>
      <c r="AC620" s="205" t="s">
        <v>1784</v>
      </c>
      <c r="AD620" s="206" t="s">
        <v>1785</v>
      </c>
      <c r="AE620" s="166"/>
      <c r="AF620" s="203" t="str">
        <f t="shared" si="1365"/>
        <v>N/A</v>
      </c>
      <c r="AG620" s="203">
        <f t="shared" si="1365"/>
        <v>0</v>
      </c>
      <c r="AH620" s="203">
        <f t="shared" si="1390"/>
        <v>0</v>
      </c>
      <c r="AI620" s="203">
        <f t="shared" ca="1" si="1391"/>
        <v>0</v>
      </c>
      <c r="AJ620" s="203">
        <f t="shared" ca="1" si="1392"/>
        <v>0</v>
      </c>
      <c r="AK620" s="203" t="str">
        <f t="shared" si="1366"/>
        <v>N/A</v>
      </c>
      <c r="AL620" s="203">
        <f t="shared" si="1366"/>
        <v>0</v>
      </c>
      <c r="AM620" s="203">
        <f t="shared" si="1393"/>
        <v>0</v>
      </c>
      <c r="AN620" s="203">
        <f t="shared" ca="1" si="1394"/>
        <v>0</v>
      </c>
      <c r="AO620" s="203">
        <f t="shared" ca="1" si="1395"/>
        <v>0</v>
      </c>
      <c r="AP620" s="203" t="str">
        <f t="shared" si="1367"/>
        <v>N/A</v>
      </c>
      <c r="AQ620" s="203">
        <f t="shared" si="1367"/>
        <v>0</v>
      </c>
      <c r="AR620" s="203">
        <f t="shared" si="1396"/>
        <v>0</v>
      </c>
      <c r="AS620" s="203">
        <f t="shared" ca="1" si="1397"/>
        <v>0</v>
      </c>
      <c r="AT620" s="203">
        <f t="shared" ca="1" si="1398"/>
        <v>0</v>
      </c>
      <c r="AU620" s="203" t="str">
        <f t="shared" si="1368"/>
        <v>AMC2-S1</v>
      </c>
      <c r="AV620" s="203">
        <f t="shared" si="1368"/>
        <v>1</v>
      </c>
      <c r="AW620" s="203">
        <f t="shared" si="1399"/>
        <v>1</v>
      </c>
      <c r="AX620" s="203">
        <f t="shared" ca="1" si="1400"/>
        <v>0</v>
      </c>
      <c r="AY620" s="203">
        <f t="shared" ca="1" si="1401"/>
        <v>1</v>
      </c>
      <c r="AZ620" s="203"/>
      <c r="BA620" s="204" t="s">
        <v>140</v>
      </c>
      <c r="BB620" s="204" t="s">
        <v>140</v>
      </c>
      <c r="BC620" s="204" t="s">
        <v>140</v>
      </c>
      <c r="BD620" s="204" t="s">
        <v>141</v>
      </c>
      <c r="BE620" s="166"/>
      <c r="BF620" s="203" t="s">
        <v>1789</v>
      </c>
      <c r="BG620" s="141"/>
      <c r="BH620" s="152"/>
      <c r="BI620" s="207"/>
      <c r="BJ620" s="207"/>
      <c r="BK620" s="207"/>
      <c r="BL620" s="153" t="s">
        <v>149</v>
      </c>
      <c r="BM620" s="153"/>
      <c r="BN620" s="153"/>
      <c r="BO620" s="153"/>
      <c r="BP620" s="153"/>
      <c r="BQ620" s="153"/>
      <c r="BR620" s="141">
        <v>0</v>
      </c>
      <c r="BS620" s="141">
        <v>1</v>
      </c>
      <c r="BT620" s="141">
        <v>0</v>
      </c>
      <c r="BU620" s="141">
        <v>1</v>
      </c>
      <c r="BV620" s="141">
        <v>0</v>
      </c>
      <c r="BW620" s="141">
        <v>0</v>
      </c>
      <c r="BX620" s="141">
        <v>0</v>
      </c>
      <c r="BY620" s="141" t="s">
        <v>1790</v>
      </c>
      <c r="BZ620" s="117" t="s">
        <v>57</v>
      </c>
      <c r="CA620" s="141">
        <v>1</v>
      </c>
      <c r="CB620" s="153"/>
      <c r="CC620" s="152"/>
      <c r="CD620" s="152"/>
      <c r="CE620" s="208"/>
      <c r="CF620" s="166">
        <f>+L620-CA620</f>
        <v>0</v>
      </c>
    </row>
    <row r="621" spans="1:84" hidden="1">
      <c r="A621" s="141"/>
      <c r="B621" s="199" t="s">
        <v>1825</v>
      </c>
      <c r="C621" s="199" t="s">
        <v>2117</v>
      </c>
      <c r="D621" s="199" t="s">
        <v>13</v>
      </c>
      <c r="E621" s="199" t="s">
        <v>1805</v>
      </c>
      <c r="F621" s="199" t="s">
        <v>1190</v>
      </c>
      <c r="G621" s="199" t="s">
        <v>1172</v>
      </c>
      <c r="H621" s="200">
        <v>1992</v>
      </c>
      <c r="I621" s="201" t="s">
        <v>147</v>
      </c>
      <c r="J621" s="165">
        <v>3</v>
      </c>
      <c r="K621" s="202">
        <f t="shared" si="1327"/>
        <v>1</v>
      </c>
      <c r="L621" s="202">
        <f t="shared" si="1386"/>
        <v>3</v>
      </c>
      <c r="M621" s="203">
        <v>23.5</v>
      </c>
      <c r="N621" s="203">
        <f t="shared" si="1387"/>
        <v>70.5</v>
      </c>
      <c r="O621" s="203" t="s">
        <v>137</v>
      </c>
      <c r="P621" s="203" t="s">
        <v>13</v>
      </c>
      <c r="Q621" s="203" t="s">
        <v>148</v>
      </c>
      <c r="R621" s="203"/>
      <c r="S621" s="203"/>
      <c r="T621" s="203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0</v>
      </c>
      <c r="U621" s="203">
        <f t="shared" ca="1" si="1388"/>
        <v>3</v>
      </c>
      <c r="V621" s="203">
        <f t="shared" ca="1" si="1389"/>
        <v>0</v>
      </c>
      <c r="W621" s="203"/>
      <c r="X621" s="203"/>
      <c r="Y621" s="203"/>
      <c r="Z621" s="203"/>
      <c r="AA621" s="203"/>
      <c r="AB621" s="203"/>
      <c r="AC621" s="205" t="s">
        <v>1784</v>
      </c>
      <c r="AD621" s="206" t="s">
        <v>1785</v>
      </c>
      <c r="AE621" s="166"/>
      <c r="AF621" s="203" t="str">
        <f t="shared" si="1365"/>
        <v>N/A</v>
      </c>
      <c r="AG621" s="203">
        <f t="shared" si="1365"/>
        <v>0</v>
      </c>
      <c r="AH621" s="203">
        <f t="shared" si="1390"/>
        <v>0</v>
      </c>
      <c r="AI621" s="203">
        <f t="shared" ca="1" si="1391"/>
        <v>0</v>
      </c>
      <c r="AJ621" s="203">
        <f t="shared" ca="1" si="1392"/>
        <v>0</v>
      </c>
      <c r="AK621" s="203" t="str">
        <f t="shared" si="1366"/>
        <v>N/A</v>
      </c>
      <c r="AL621" s="203">
        <f t="shared" si="1366"/>
        <v>0</v>
      </c>
      <c r="AM621" s="203">
        <f t="shared" si="1393"/>
        <v>0</v>
      </c>
      <c r="AN621" s="203">
        <f t="shared" ca="1" si="1394"/>
        <v>0</v>
      </c>
      <c r="AO621" s="203">
        <f t="shared" ca="1" si="1395"/>
        <v>0</v>
      </c>
      <c r="AP621" s="203" t="str">
        <f t="shared" si="1367"/>
        <v>N/A</v>
      </c>
      <c r="AQ621" s="203">
        <f t="shared" si="1367"/>
        <v>0</v>
      </c>
      <c r="AR621" s="203">
        <f t="shared" si="1396"/>
        <v>0</v>
      </c>
      <c r="AS621" s="203">
        <f t="shared" ca="1" si="1397"/>
        <v>0</v>
      </c>
      <c r="AT621" s="203">
        <f t="shared" ca="1" si="1398"/>
        <v>0</v>
      </c>
      <c r="AU621" s="203" t="str">
        <f t="shared" si="1368"/>
        <v>AMC2-S1</v>
      </c>
      <c r="AV621" s="203">
        <f t="shared" si="1368"/>
        <v>1</v>
      </c>
      <c r="AW621" s="203">
        <f t="shared" si="1399"/>
        <v>3</v>
      </c>
      <c r="AX621" s="203">
        <f t="shared" ca="1" si="1400"/>
        <v>0</v>
      </c>
      <c r="AY621" s="203">
        <f t="shared" ca="1" si="1401"/>
        <v>3</v>
      </c>
      <c r="AZ621" s="203"/>
      <c r="BA621" s="204" t="s">
        <v>140</v>
      </c>
      <c r="BB621" s="204" t="s">
        <v>140</v>
      </c>
      <c r="BC621" s="204" t="s">
        <v>140</v>
      </c>
      <c r="BD621" s="204" t="s">
        <v>141</v>
      </c>
      <c r="BE621" s="166"/>
      <c r="BF621" s="203" t="s">
        <v>1789</v>
      </c>
      <c r="BG621" s="141"/>
      <c r="BH621" s="152"/>
      <c r="BI621" s="207"/>
      <c r="BJ621" s="207"/>
      <c r="BK621" s="207"/>
      <c r="BL621" s="153" t="s">
        <v>149</v>
      </c>
      <c r="BM621" s="153"/>
      <c r="BN621" s="150" t="s">
        <v>2111</v>
      </c>
      <c r="BO621" s="153"/>
      <c r="BP621" s="153"/>
      <c r="BQ621" s="153"/>
      <c r="BR621" s="141">
        <v>0</v>
      </c>
      <c r="BS621" s="141">
        <v>0</v>
      </c>
      <c r="BT621" s="141">
        <v>0</v>
      </c>
      <c r="BU621" s="141">
        <v>1</v>
      </c>
      <c r="BV621" s="141">
        <v>0</v>
      </c>
      <c r="BW621" s="141">
        <v>0</v>
      </c>
      <c r="BX621" s="141">
        <v>0</v>
      </c>
      <c r="BY621" s="141" t="s">
        <v>1790</v>
      </c>
      <c r="BZ621" s="141"/>
      <c r="CA621" s="141"/>
      <c r="CB621" s="153"/>
      <c r="CC621" s="152"/>
      <c r="CD621" s="152"/>
      <c r="CE621" s="208"/>
      <c r="CF621" s="166">
        <f>+L621-CA621</f>
        <v>3</v>
      </c>
    </row>
    <row r="622" spans="1:84" hidden="1">
      <c r="A622" s="141"/>
      <c r="B622" s="199" t="s">
        <v>1825</v>
      </c>
      <c r="C622" s="199" t="s">
        <v>2117</v>
      </c>
      <c r="D622" s="199" t="s">
        <v>13</v>
      </c>
      <c r="E622" s="199" t="s">
        <v>1816</v>
      </c>
      <c r="F622" s="199" t="s">
        <v>1191</v>
      </c>
      <c r="G622" s="199" t="s">
        <v>1174</v>
      </c>
      <c r="H622" s="200">
        <v>2317</v>
      </c>
      <c r="I622" s="201" t="s">
        <v>147</v>
      </c>
      <c r="J622" s="165">
        <v>1</v>
      </c>
      <c r="K622" s="202">
        <f t="shared" si="1327"/>
        <v>1</v>
      </c>
      <c r="L622" s="202">
        <f t="shared" si="1386"/>
        <v>1</v>
      </c>
      <c r="M622" s="203">
        <v>35.4</v>
      </c>
      <c r="N622" s="203">
        <f t="shared" si="1387"/>
        <v>35.4</v>
      </c>
      <c r="O622" s="203" t="s">
        <v>137</v>
      </c>
      <c r="P622" s="203" t="s">
        <v>13</v>
      </c>
      <c r="Q622" s="203" t="s">
        <v>148</v>
      </c>
      <c r="R622" s="203"/>
      <c r="S622" s="203"/>
      <c r="T622" s="203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0</v>
      </c>
      <c r="U622" s="203">
        <f t="shared" ca="1" si="1388"/>
        <v>1</v>
      </c>
      <c r="V622" s="203">
        <f t="shared" ca="1" si="1389"/>
        <v>0</v>
      </c>
      <c r="W622" s="203"/>
      <c r="X622" s="203"/>
      <c r="Y622" s="203"/>
      <c r="Z622" s="203"/>
      <c r="AA622" s="203"/>
      <c r="AB622" s="203"/>
      <c r="AC622" s="205" t="s">
        <v>1784</v>
      </c>
      <c r="AD622" s="206" t="s">
        <v>1785</v>
      </c>
      <c r="AE622" s="166"/>
      <c r="AF622" s="203" t="str">
        <f t="shared" si="1365"/>
        <v>N/A</v>
      </c>
      <c r="AG622" s="203">
        <f t="shared" si="1365"/>
        <v>0</v>
      </c>
      <c r="AH622" s="203">
        <f t="shared" si="1390"/>
        <v>0</v>
      </c>
      <c r="AI622" s="203">
        <f t="shared" ca="1" si="1391"/>
        <v>0</v>
      </c>
      <c r="AJ622" s="203">
        <f t="shared" ca="1" si="1392"/>
        <v>0</v>
      </c>
      <c r="AK622" s="203" t="str">
        <f t="shared" si="1366"/>
        <v>N/A</v>
      </c>
      <c r="AL622" s="203">
        <f t="shared" si="1366"/>
        <v>0</v>
      </c>
      <c r="AM622" s="203">
        <f t="shared" si="1393"/>
        <v>0</v>
      </c>
      <c r="AN622" s="203">
        <f t="shared" ca="1" si="1394"/>
        <v>0</v>
      </c>
      <c r="AO622" s="203">
        <f t="shared" ca="1" si="1395"/>
        <v>0</v>
      </c>
      <c r="AP622" s="203" t="str">
        <f t="shared" si="1367"/>
        <v>N/A</v>
      </c>
      <c r="AQ622" s="203">
        <f t="shared" si="1367"/>
        <v>0</v>
      </c>
      <c r="AR622" s="203">
        <f t="shared" si="1396"/>
        <v>0</v>
      </c>
      <c r="AS622" s="203">
        <f t="shared" ca="1" si="1397"/>
        <v>0</v>
      </c>
      <c r="AT622" s="203">
        <f t="shared" ca="1" si="1398"/>
        <v>0</v>
      </c>
      <c r="AU622" s="203" t="str">
        <f t="shared" si="1368"/>
        <v>AMC2-S1</v>
      </c>
      <c r="AV622" s="203">
        <f t="shared" si="1368"/>
        <v>1</v>
      </c>
      <c r="AW622" s="203">
        <f t="shared" si="1399"/>
        <v>1</v>
      </c>
      <c r="AX622" s="203">
        <f t="shared" ca="1" si="1400"/>
        <v>0</v>
      </c>
      <c r="AY622" s="203">
        <f t="shared" ca="1" si="1401"/>
        <v>1</v>
      </c>
      <c r="AZ622" s="203"/>
      <c r="BA622" s="204" t="s">
        <v>140</v>
      </c>
      <c r="BB622" s="204" t="s">
        <v>140</v>
      </c>
      <c r="BC622" s="204" t="s">
        <v>140</v>
      </c>
      <c r="BD622" s="204" t="s">
        <v>141</v>
      </c>
      <c r="BE622" s="166"/>
      <c r="BF622" s="203" t="s">
        <v>1789</v>
      </c>
      <c r="BG622" s="141"/>
      <c r="BH622" s="152"/>
      <c r="BI622" s="207"/>
      <c r="BJ622" s="207"/>
      <c r="BK622" s="207"/>
      <c r="BL622" s="153" t="s">
        <v>149</v>
      </c>
      <c r="BM622" s="153"/>
      <c r="BN622" s="153"/>
      <c r="BO622" s="153"/>
      <c r="BP622" s="153"/>
      <c r="BQ622" s="153"/>
      <c r="BR622" s="141">
        <v>0</v>
      </c>
      <c r="BS622" s="141">
        <v>0</v>
      </c>
      <c r="BT622" s="141">
        <v>0</v>
      </c>
      <c r="BU622" s="141">
        <v>0</v>
      </c>
      <c r="BV622" s="141">
        <v>0</v>
      </c>
      <c r="BW622" s="141">
        <v>0</v>
      </c>
      <c r="BX622" s="141">
        <v>0</v>
      </c>
      <c r="BY622" s="141" t="s">
        <v>1790</v>
      </c>
      <c r="BZ622" s="141" t="s">
        <v>2099</v>
      </c>
      <c r="CA622" s="165">
        <v>1</v>
      </c>
      <c r="CB622" s="153">
        <v>46244</v>
      </c>
      <c r="CC622" s="152"/>
      <c r="CD622" s="152"/>
      <c r="CE622" s="208"/>
      <c r="CF622" s="166">
        <f>+L622-CA622</f>
        <v>0</v>
      </c>
    </row>
    <row r="623" spans="1:84" hidden="1">
      <c r="A623" s="162">
        <v>33</v>
      </c>
      <c r="B623" s="177" t="s">
        <v>1832</v>
      </c>
      <c r="C623" s="177" t="s">
        <v>2118</v>
      </c>
      <c r="D623" s="177" t="s">
        <v>1833</v>
      </c>
      <c r="E623" s="177"/>
      <c r="F623" s="177"/>
      <c r="G623" s="177" t="s">
        <v>1834</v>
      </c>
      <c r="H623" s="178"/>
      <c r="I623" s="179"/>
      <c r="J623" s="160"/>
      <c r="K623" s="180">
        <f>+AG623+AL623+AQ623+AV623</f>
        <v>1</v>
      </c>
      <c r="L623" s="160"/>
      <c r="M623" s="181">
        <v>6730.4139199999981</v>
      </c>
      <c r="N623" s="181">
        <v>6730.41392</v>
      </c>
      <c r="O623" s="181" t="s">
        <v>137</v>
      </c>
      <c r="P623" s="181"/>
      <c r="Q623" s="181"/>
      <c r="R623" s="181"/>
      <c r="S623" s="181"/>
      <c r="T623" s="181"/>
      <c r="U623" s="181"/>
      <c r="V623" s="181"/>
      <c r="W623" s="181">
        <f ca="1">_xlfn.MINIFS(V:V,C:C,C623,AE:AE,"",AB:AB,"")</f>
        <v>0</v>
      </c>
      <c r="X623" s="181">
        <f ca="1">SUMIFS(T:T,C:C,C623,AE:AE,"")/SUMIFS(L:L,C:C,C623,AE:AE,"",AB:AB,"")</f>
        <v>0.1875</v>
      </c>
      <c r="Y623" s="181"/>
      <c r="Z623" s="181"/>
      <c r="AA623" s="181"/>
      <c r="AB623" s="181"/>
      <c r="AC623" s="183" t="s">
        <v>1784</v>
      </c>
      <c r="AD623" s="184" t="s">
        <v>1785</v>
      </c>
      <c r="AE623" s="162" t="s">
        <v>143</v>
      </c>
      <c r="AF623" s="181" t="s">
        <v>138</v>
      </c>
      <c r="AG623" s="181">
        <v>0</v>
      </c>
      <c r="AH623" s="181"/>
      <c r="AI623" s="181"/>
      <c r="AJ623" s="181"/>
      <c r="AK623" s="181" t="s">
        <v>138</v>
      </c>
      <c r="AL623" s="181">
        <v>0</v>
      </c>
      <c r="AM623" s="181"/>
      <c r="AN623" s="181"/>
      <c r="AO623" s="181"/>
      <c r="AP623" s="181" t="s">
        <v>138</v>
      </c>
      <c r="AQ623" s="181">
        <v>0</v>
      </c>
      <c r="AR623" s="181"/>
      <c r="AS623" s="181"/>
      <c r="AT623" s="181"/>
      <c r="AU623" s="181" t="s">
        <v>1783</v>
      </c>
      <c r="AV623" s="181">
        <v>1</v>
      </c>
      <c r="AW623" s="181"/>
      <c r="AX623" s="181"/>
      <c r="AY623" s="181"/>
      <c r="AZ623" s="181"/>
      <c r="BA623" s="182" t="s">
        <v>140</v>
      </c>
      <c r="BB623" s="182" t="s">
        <v>140</v>
      </c>
      <c r="BC623" s="182" t="s">
        <v>140</v>
      </c>
      <c r="BD623" s="182" t="s">
        <v>141</v>
      </c>
      <c r="BE623" s="162" t="s">
        <v>741</v>
      </c>
      <c r="BF623" s="181"/>
      <c r="BG623" s="161"/>
      <c r="BH623" s="161"/>
      <c r="BI623" s="163"/>
      <c r="BJ623" s="163"/>
      <c r="BK623" s="163"/>
      <c r="BL623" s="163"/>
      <c r="BM623" s="163"/>
      <c r="BN623" s="163"/>
      <c r="BO623" s="163"/>
      <c r="BP623" s="163"/>
      <c r="BQ623" s="163"/>
      <c r="BR623" s="161"/>
      <c r="BS623" s="161"/>
      <c r="BT623" s="161"/>
      <c r="BU623" s="161"/>
      <c r="BV623" s="161"/>
      <c r="BW623" s="161"/>
      <c r="BX623" s="161"/>
      <c r="BY623" s="161"/>
      <c r="BZ623" s="161"/>
      <c r="CA623" s="161"/>
      <c r="CB623" s="163"/>
      <c r="CC623" s="161"/>
      <c r="CD623" s="161"/>
      <c r="CE623" s="185"/>
      <c r="CF623" s="185"/>
    </row>
    <row r="624" spans="1:84" hidden="1">
      <c r="A624" s="148"/>
      <c r="B624" s="209" t="s">
        <v>1832</v>
      </c>
      <c r="C624" s="209" t="s">
        <v>2118</v>
      </c>
      <c r="D624" s="209" t="s">
        <v>1195</v>
      </c>
      <c r="E624" s="209" t="s">
        <v>1788</v>
      </c>
      <c r="F624" s="209" t="s">
        <v>1193</v>
      </c>
      <c r="G624" s="209" t="s">
        <v>1194</v>
      </c>
      <c r="H624" s="210">
        <v>9820</v>
      </c>
      <c r="I624" s="211" t="s">
        <v>147</v>
      </c>
      <c r="J624" s="144">
        <v>1</v>
      </c>
      <c r="K624" s="145">
        <f t="shared" ref="K624:K642" si="1402">K623</f>
        <v>1</v>
      </c>
      <c r="L624" s="202">
        <f t="shared" ref="L624:L642" si="1403">+J624*K624</f>
        <v>1</v>
      </c>
      <c r="M624" s="212">
        <v>4655.3</v>
      </c>
      <c r="N624" s="203">
        <f t="shared" ref="N624:N642" si="1404">+M624*L624</f>
        <v>4655.3</v>
      </c>
      <c r="O624" s="212" t="s">
        <v>137</v>
      </c>
      <c r="P624" s="212" t="s">
        <v>13</v>
      </c>
      <c r="Q624" s="212" t="s">
        <v>154</v>
      </c>
      <c r="R624" s="212"/>
      <c r="S624" s="212"/>
      <c r="T624" s="203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0</v>
      </c>
      <c r="U624" s="203">
        <f t="shared" ref="U624:U642" ca="1" si="1405">+L624-T624</f>
        <v>1</v>
      </c>
      <c r="V624" s="203">
        <f t="shared" ref="V624:V642" ca="1" si="1406">ROUNDDOWN(T624/J624,0)</f>
        <v>0</v>
      </c>
      <c r="W624" s="212"/>
      <c r="X624" s="212"/>
      <c r="Y624" s="212"/>
      <c r="Z624" s="212"/>
      <c r="AA624" s="212"/>
      <c r="AB624" s="212"/>
      <c r="AC624" s="214" t="s">
        <v>1784</v>
      </c>
      <c r="AD624" s="226" t="s">
        <v>1785</v>
      </c>
      <c r="AE624" s="148"/>
      <c r="AF624" s="212" t="str">
        <f t="shared" ref="AF624:AG639" si="1407">AF623</f>
        <v>N/A</v>
      </c>
      <c r="AG624" s="212">
        <f t="shared" si="1407"/>
        <v>0</v>
      </c>
      <c r="AH624" s="203">
        <f t="shared" ref="AH624:AH642" si="1408">+AG624*J624</f>
        <v>0</v>
      </c>
      <c r="AI624" s="203">
        <f t="shared" ref="AI624:AI642" ca="1" si="1409">MIN(T624,AH624)</f>
        <v>0</v>
      </c>
      <c r="AJ624" s="203">
        <f t="shared" ref="AJ624:AJ642" ca="1" si="1410">+AH624-AI624</f>
        <v>0</v>
      </c>
      <c r="AK624" s="212" t="str">
        <f t="shared" ref="AK624:AL639" si="1411">AK623</f>
        <v>N/A</v>
      </c>
      <c r="AL624" s="212">
        <f t="shared" si="1411"/>
        <v>0</v>
      </c>
      <c r="AM624" s="203">
        <f t="shared" ref="AM624:AM642" si="1412">+AL624*J624</f>
        <v>0</v>
      </c>
      <c r="AN624" s="203">
        <f t="shared" ref="AN624:AN642" ca="1" si="1413">MIN(T624-AI624,AL624)</f>
        <v>0</v>
      </c>
      <c r="AO624" s="203">
        <f t="shared" ref="AO624:AO642" ca="1" si="1414">+AM624-AN624</f>
        <v>0</v>
      </c>
      <c r="AP624" s="212" t="str">
        <f t="shared" ref="AP624:AQ639" si="1415">AP623</f>
        <v>N/A</v>
      </c>
      <c r="AQ624" s="212">
        <f t="shared" si="1415"/>
        <v>0</v>
      </c>
      <c r="AR624" s="203">
        <f t="shared" ref="AR624:AR642" si="1416">+AQ624*J624</f>
        <v>0</v>
      </c>
      <c r="AS624" s="203">
        <f t="shared" ref="AS624:AS642" ca="1" si="1417">MIN(T624-AI624-AN624,AR624)</f>
        <v>0</v>
      </c>
      <c r="AT624" s="203">
        <f t="shared" ref="AT624:AT642" ca="1" si="1418">+AR624-AS624</f>
        <v>0</v>
      </c>
      <c r="AU624" s="212" t="str">
        <f t="shared" ref="AU624:AV639" si="1419">AU623</f>
        <v>AMC2-S1</v>
      </c>
      <c r="AV624" s="212">
        <f t="shared" si="1419"/>
        <v>1</v>
      </c>
      <c r="AW624" s="203">
        <f t="shared" ref="AW624:AW642" si="1420">+AV624*J624</f>
        <v>1</v>
      </c>
      <c r="AX624" s="203">
        <f t="shared" ref="AX624:AX642" ca="1" si="1421">MIN(T624-AI624-AN624-AS624,AW624)</f>
        <v>0</v>
      </c>
      <c r="AY624" s="203">
        <f t="shared" ref="AY624:AY642" ca="1" si="1422">+AW624-AX624</f>
        <v>1</v>
      </c>
      <c r="AZ624" s="212"/>
      <c r="BA624" s="233" t="s">
        <v>140</v>
      </c>
      <c r="BB624" s="233" t="s">
        <v>140</v>
      </c>
      <c r="BC624" s="233" t="s">
        <v>140</v>
      </c>
      <c r="BD624" s="233" t="s">
        <v>141</v>
      </c>
      <c r="BE624" s="148"/>
      <c r="BF624" s="212"/>
      <c r="BG624" s="117"/>
      <c r="BH624" s="117"/>
      <c r="BI624" s="149"/>
      <c r="BJ624" s="149"/>
      <c r="BK624" s="149"/>
      <c r="BL624" s="149"/>
      <c r="BM624" s="149" t="s">
        <v>1835</v>
      </c>
      <c r="BN624" s="149"/>
      <c r="BO624" s="149"/>
      <c r="BP624" s="149"/>
      <c r="BQ624" s="149"/>
      <c r="BR624" s="117">
        <v>0</v>
      </c>
      <c r="BS624" s="117">
        <v>1</v>
      </c>
      <c r="BT624" s="117">
        <v>0</v>
      </c>
      <c r="BU624" s="117">
        <v>1</v>
      </c>
      <c r="BV624" s="117">
        <v>0</v>
      </c>
      <c r="BW624" s="117">
        <v>0</v>
      </c>
      <c r="BX624" s="117">
        <v>0</v>
      </c>
      <c r="BY624" s="117" t="s">
        <v>1790</v>
      </c>
      <c r="BZ624" s="117"/>
      <c r="CA624" s="117"/>
      <c r="CB624" s="149"/>
      <c r="CC624" s="117"/>
      <c r="CD624" s="117"/>
      <c r="CE624" s="148"/>
      <c r="CF624" s="148">
        <f t="shared" ref="CF624:CF642" si="1423">+L624-CA624</f>
        <v>1</v>
      </c>
    </row>
    <row r="625" spans="1:84" hidden="1">
      <c r="A625" s="148"/>
      <c r="B625" s="209" t="s">
        <v>1832</v>
      </c>
      <c r="C625" s="209" t="s">
        <v>2118</v>
      </c>
      <c r="D625" s="209" t="s">
        <v>1195</v>
      </c>
      <c r="E625" s="209" t="s">
        <v>1791</v>
      </c>
      <c r="F625" s="209" t="s">
        <v>1213</v>
      </c>
      <c r="G625" s="209" t="s">
        <v>1214</v>
      </c>
      <c r="H625" s="210">
        <v>6263</v>
      </c>
      <c r="I625" s="211" t="s">
        <v>147</v>
      </c>
      <c r="J625" s="144">
        <v>1</v>
      </c>
      <c r="K625" s="145">
        <f t="shared" si="1402"/>
        <v>1</v>
      </c>
      <c r="L625" s="202">
        <f t="shared" si="1403"/>
        <v>1</v>
      </c>
      <c r="M625" s="212">
        <v>795.6</v>
      </c>
      <c r="N625" s="203">
        <f t="shared" si="1404"/>
        <v>795.6</v>
      </c>
      <c r="O625" s="212" t="s">
        <v>137</v>
      </c>
      <c r="P625" s="212" t="s">
        <v>13</v>
      </c>
      <c r="Q625" s="212" t="s">
        <v>154</v>
      </c>
      <c r="R625" s="212"/>
      <c r="S625" s="212"/>
      <c r="T625" s="203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0</v>
      </c>
      <c r="U625" s="203">
        <f t="shared" ca="1" si="1405"/>
        <v>1</v>
      </c>
      <c r="V625" s="203">
        <f t="shared" ca="1" si="1406"/>
        <v>0</v>
      </c>
      <c r="W625" s="212"/>
      <c r="X625" s="212"/>
      <c r="Y625" s="212"/>
      <c r="Z625" s="212"/>
      <c r="AA625" s="212"/>
      <c r="AB625" s="212"/>
      <c r="AC625" s="214" t="s">
        <v>1784</v>
      </c>
      <c r="AD625" s="226" t="s">
        <v>1785</v>
      </c>
      <c r="AE625" s="148"/>
      <c r="AF625" s="212" t="str">
        <f t="shared" si="1407"/>
        <v>N/A</v>
      </c>
      <c r="AG625" s="212">
        <f t="shared" si="1407"/>
        <v>0</v>
      </c>
      <c r="AH625" s="203">
        <f t="shared" si="1408"/>
        <v>0</v>
      </c>
      <c r="AI625" s="203">
        <f t="shared" ca="1" si="1409"/>
        <v>0</v>
      </c>
      <c r="AJ625" s="203">
        <f t="shared" ca="1" si="1410"/>
        <v>0</v>
      </c>
      <c r="AK625" s="212" t="str">
        <f t="shared" si="1411"/>
        <v>N/A</v>
      </c>
      <c r="AL625" s="212">
        <f t="shared" si="1411"/>
        <v>0</v>
      </c>
      <c r="AM625" s="203">
        <f t="shared" si="1412"/>
        <v>0</v>
      </c>
      <c r="AN625" s="203">
        <f t="shared" ca="1" si="1413"/>
        <v>0</v>
      </c>
      <c r="AO625" s="203">
        <f t="shared" ca="1" si="1414"/>
        <v>0</v>
      </c>
      <c r="AP625" s="212" t="str">
        <f t="shared" si="1415"/>
        <v>N/A</v>
      </c>
      <c r="AQ625" s="212">
        <f t="shared" si="1415"/>
        <v>0</v>
      </c>
      <c r="AR625" s="203">
        <f t="shared" si="1416"/>
        <v>0</v>
      </c>
      <c r="AS625" s="203">
        <f t="shared" ca="1" si="1417"/>
        <v>0</v>
      </c>
      <c r="AT625" s="203">
        <f t="shared" ca="1" si="1418"/>
        <v>0</v>
      </c>
      <c r="AU625" s="212" t="str">
        <f t="shared" si="1419"/>
        <v>AMC2-S1</v>
      </c>
      <c r="AV625" s="212">
        <f t="shared" si="1419"/>
        <v>1</v>
      </c>
      <c r="AW625" s="203">
        <f t="shared" si="1420"/>
        <v>1</v>
      </c>
      <c r="AX625" s="203">
        <f t="shared" ca="1" si="1421"/>
        <v>0</v>
      </c>
      <c r="AY625" s="203">
        <f t="shared" ca="1" si="1422"/>
        <v>1</v>
      </c>
      <c r="AZ625" s="212"/>
      <c r="BA625" s="233" t="s">
        <v>140</v>
      </c>
      <c r="BB625" s="233" t="s">
        <v>140</v>
      </c>
      <c r="BC625" s="233" t="s">
        <v>140</v>
      </c>
      <c r="BD625" s="233" t="s">
        <v>141</v>
      </c>
      <c r="BE625" s="148"/>
      <c r="BF625" s="212"/>
      <c r="BG625" s="117"/>
      <c r="BH625" s="117"/>
      <c r="BI625" s="149"/>
      <c r="BJ625" s="149"/>
      <c r="BK625" s="149"/>
      <c r="BL625" s="149"/>
      <c r="BM625" s="149" t="s">
        <v>1835</v>
      </c>
      <c r="BN625" s="149"/>
      <c r="BO625" s="149"/>
      <c r="BP625" s="149"/>
      <c r="BQ625" s="149"/>
      <c r="BR625" s="117">
        <v>0</v>
      </c>
      <c r="BS625" s="117">
        <v>1</v>
      </c>
      <c r="BT625" s="117">
        <v>0</v>
      </c>
      <c r="BU625" s="117">
        <v>1</v>
      </c>
      <c r="BV625" s="117">
        <v>0</v>
      </c>
      <c r="BW625" s="117">
        <v>0</v>
      </c>
      <c r="BX625" s="117">
        <v>0</v>
      </c>
      <c r="BY625" s="117" t="s">
        <v>1790</v>
      </c>
      <c r="BZ625" s="117"/>
      <c r="CA625" s="117"/>
      <c r="CB625" s="149"/>
      <c r="CC625" s="117"/>
      <c r="CD625" s="117"/>
      <c r="CE625" s="148"/>
      <c r="CF625" s="148">
        <f t="shared" si="1423"/>
        <v>1</v>
      </c>
    </row>
    <row r="626" spans="1:84" hidden="1">
      <c r="A626" s="148"/>
      <c r="B626" s="209" t="s">
        <v>1832</v>
      </c>
      <c r="C626" s="209" t="s">
        <v>2118</v>
      </c>
      <c r="D626" s="209" t="s">
        <v>1204</v>
      </c>
      <c r="E626" s="209" t="s">
        <v>1792</v>
      </c>
      <c r="F626" s="209" t="s">
        <v>1215</v>
      </c>
      <c r="G626" s="209" t="s">
        <v>1216</v>
      </c>
      <c r="H626" s="210">
        <v>2300</v>
      </c>
      <c r="I626" s="211" t="s">
        <v>147</v>
      </c>
      <c r="J626" s="144">
        <v>1</v>
      </c>
      <c r="K626" s="145">
        <f t="shared" si="1402"/>
        <v>1</v>
      </c>
      <c r="L626" s="202">
        <f t="shared" si="1403"/>
        <v>1</v>
      </c>
      <c r="M626" s="212">
        <v>71.099999999999994</v>
      </c>
      <c r="N626" s="203">
        <f t="shared" si="1404"/>
        <v>71.099999999999994</v>
      </c>
      <c r="O626" s="212" t="s">
        <v>137</v>
      </c>
      <c r="P626" s="212" t="s">
        <v>13</v>
      </c>
      <c r="Q626" s="212" t="s">
        <v>148</v>
      </c>
      <c r="R626" s="212"/>
      <c r="S626" s="212"/>
      <c r="T626" s="203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0</v>
      </c>
      <c r="U626" s="203">
        <f t="shared" ca="1" si="1405"/>
        <v>1</v>
      </c>
      <c r="V626" s="203">
        <f t="shared" ca="1" si="1406"/>
        <v>0</v>
      </c>
      <c r="W626" s="212"/>
      <c r="X626" s="212"/>
      <c r="Y626" s="212"/>
      <c r="Z626" s="212"/>
      <c r="AA626" s="212"/>
      <c r="AB626" s="212"/>
      <c r="AC626" s="214" t="s">
        <v>1784</v>
      </c>
      <c r="AD626" s="226" t="s">
        <v>1785</v>
      </c>
      <c r="AE626" s="148"/>
      <c r="AF626" s="212" t="str">
        <f t="shared" si="1407"/>
        <v>N/A</v>
      </c>
      <c r="AG626" s="212">
        <f t="shared" si="1407"/>
        <v>0</v>
      </c>
      <c r="AH626" s="203">
        <f t="shared" si="1408"/>
        <v>0</v>
      </c>
      <c r="AI626" s="203">
        <f t="shared" ca="1" si="1409"/>
        <v>0</v>
      </c>
      <c r="AJ626" s="203">
        <f t="shared" ca="1" si="1410"/>
        <v>0</v>
      </c>
      <c r="AK626" s="212" t="str">
        <f t="shared" si="1411"/>
        <v>N/A</v>
      </c>
      <c r="AL626" s="212">
        <f t="shared" si="1411"/>
        <v>0</v>
      </c>
      <c r="AM626" s="203">
        <f t="shared" si="1412"/>
        <v>0</v>
      </c>
      <c r="AN626" s="203">
        <f t="shared" ca="1" si="1413"/>
        <v>0</v>
      </c>
      <c r="AO626" s="203">
        <f t="shared" ca="1" si="1414"/>
        <v>0</v>
      </c>
      <c r="AP626" s="212" t="str">
        <f t="shared" si="1415"/>
        <v>N/A</v>
      </c>
      <c r="AQ626" s="212">
        <f t="shared" si="1415"/>
        <v>0</v>
      </c>
      <c r="AR626" s="203">
        <f t="shared" si="1416"/>
        <v>0</v>
      </c>
      <c r="AS626" s="203">
        <f t="shared" ca="1" si="1417"/>
        <v>0</v>
      </c>
      <c r="AT626" s="203">
        <f t="shared" ca="1" si="1418"/>
        <v>0</v>
      </c>
      <c r="AU626" s="212" t="str">
        <f t="shared" si="1419"/>
        <v>AMC2-S1</v>
      </c>
      <c r="AV626" s="212">
        <f t="shared" si="1419"/>
        <v>1</v>
      </c>
      <c r="AW626" s="203">
        <f t="shared" si="1420"/>
        <v>1</v>
      </c>
      <c r="AX626" s="203">
        <f t="shared" ca="1" si="1421"/>
        <v>0</v>
      </c>
      <c r="AY626" s="203">
        <f t="shared" ca="1" si="1422"/>
        <v>1</v>
      </c>
      <c r="AZ626" s="212"/>
      <c r="BA626" s="233" t="s">
        <v>140</v>
      </c>
      <c r="BB626" s="233" t="s">
        <v>140</v>
      </c>
      <c r="BC626" s="233" t="s">
        <v>140</v>
      </c>
      <c r="BD626" s="233" t="s">
        <v>141</v>
      </c>
      <c r="BE626" s="148"/>
      <c r="BF626" s="212"/>
      <c r="BG626" s="117"/>
      <c r="BH626" s="117"/>
      <c r="BI626" s="149"/>
      <c r="BJ626" s="149"/>
      <c r="BK626" s="149"/>
      <c r="BL626" s="149"/>
      <c r="BM626" s="149" t="s">
        <v>1835</v>
      </c>
      <c r="BN626" s="149"/>
      <c r="BO626" s="149"/>
      <c r="BP626" s="149"/>
      <c r="BQ626" s="149"/>
      <c r="BR626" s="117">
        <v>0</v>
      </c>
      <c r="BS626" s="117">
        <v>0</v>
      </c>
      <c r="BT626" s="117">
        <v>0</v>
      </c>
      <c r="BU626" s="117">
        <v>0</v>
      </c>
      <c r="BV626" s="117">
        <v>0</v>
      </c>
      <c r="BW626" s="117">
        <v>0</v>
      </c>
      <c r="BX626" s="117">
        <v>0</v>
      </c>
      <c r="BY626" s="117" t="s">
        <v>1790</v>
      </c>
      <c r="BZ626" s="117"/>
      <c r="CA626" s="117"/>
      <c r="CB626" s="149"/>
      <c r="CC626" s="117"/>
      <c r="CD626" s="117"/>
      <c r="CE626" s="148"/>
      <c r="CF626" s="148">
        <f t="shared" si="1423"/>
        <v>1</v>
      </c>
    </row>
    <row r="627" spans="1:84" hidden="1">
      <c r="A627" s="148"/>
      <c r="B627" s="209" t="s">
        <v>1832</v>
      </c>
      <c r="C627" s="209" t="s">
        <v>2118</v>
      </c>
      <c r="D627" s="209" t="s">
        <v>1204</v>
      </c>
      <c r="E627" s="209" t="s">
        <v>1793</v>
      </c>
      <c r="F627" s="209" t="s">
        <v>1217</v>
      </c>
      <c r="G627" s="209" t="s">
        <v>1218</v>
      </c>
      <c r="H627" s="210">
        <v>2300</v>
      </c>
      <c r="I627" s="211" t="s">
        <v>147</v>
      </c>
      <c r="J627" s="144">
        <v>2</v>
      </c>
      <c r="K627" s="145">
        <f t="shared" si="1402"/>
        <v>1</v>
      </c>
      <c r="L627" s="202">
        <f t="shared" si="1403"/>
        <v>2</v>
      </c>
      <c r="M627" s="212">
        <v>74.599999999999994</v>
      </c>
      <c r="N627" s="203">
        <f t="shared" si="1404"/>
        <v>149.19999999999999</v>
      </c>
      <c r="O627" s="212" t="s">
        <v>137</v>
      </c>
      <c r="P627" s="212" t="s">
        <v>13</v>
      </c>
      <c r="Q627" s="212" t="s">
        <v>148</v>
      </c>
      <c r="R627" s="212"/>
      <c r="S627" s="212"/>
      <c r="T627" s="203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0</v>
      </c>
      <c r="U627" s="203">
        <f t="shared" ca="1" si="1405"/>
        <v>2</v>
      </c>
      <c r="V627" s="203">
        <f t="shared" ca="1" si="1406"/>
        <v>0</v>
      </c>
      <c r="W627" s="212"/>
      <c r="X627" s="212"/>
      <c r="Y627" s="212"/>
      <c r="Z627" s="212"/>
      <c r="AA627" s="212"/>
      <c r="AB627" s="212"/>
      <c r="AC627" s="214" t="s">
        <v>1784</v>
      </c>
      <c r="AD627" s="226" t="s">
        <v>1785</v>
      </c>
      <c r="AE627" s="148"/>
      <c r="AF627" s="212" t="str">
        <f t="shared" si="1407"/>
        <v>N/A</v>
      </c>
      <c r="AG627" s="212">
        <f t="shared" si="1407"/>
        <v>0</v>
      </c>
      <c r="AH627" s="203">
        <f t="shared" si="1408"/>
        <v>0</v>
      </c>
      <c r="AI627" s="203">
        <f t="shared" ca="1" si="1409"/>
        <v>0</v>
      </c>
      <c r="AJ627" s="203">
        <f t="shared" ca="1" si="1410"/>
        <v>0</v>
      </c>
      <c r="AK627" s="212" t="str">
        <f t="shared" si="1411"/>
        <v>N/A</v>
      </c>
      <c r="AL627" s="212">
        <f t="shared" si="1411"/>
        <v>0</v>
      </c>
      <c r="AM627" s="203">
        <f t="shared" si="1412"/>
        <v>0</v>
      </c>
      <c r="AN627" s="203">
        <f t="shared" ca="1" si="1413"/>
        <v>0</v>
      </c>
      <c r="AO627" s="203">
        <f t="shared" ca="1" si="1414"/>
        <v>0</v>
      </c>
      <c r="AP627" s="212" t="str">
        <f t="shared" si="1415"/>
        <v>N/A</v>
      </c>
      <c r="AQ627" s="212">
        <f t="shared" si="1415"/>
        <v>0</v>
      </c>
      <c r="AR627" s="203">
        <f t="shared" si="1416"/>
        <v>0</v>
      </c>
      <c r="AS627" s="203">
        <f t="shared" ca="1" si="1417"/>
        <v>0</v>
      </c>
      <c r="AT627" s="203">
        <f t="shared" ca="1" si="1418"/>
        <v>0</v>
      </c>
      <c r="AU627" s="212" t="str">
        <f t="shared" si="1419"/>
        <v>AMC2-S1</v>
      </c>
      <c r="AV627" s="212">
        <f t="shared" si="1419"/>
        <v>1</v>
      </c>
      <c r="AW627" s="203">
        <f t="shared" si="1420"/>
        <v>2</v>
      </c>
      <c r="AX627" s="203">
        <f t="shared" ca="1" si="1421"/>
        <v>0</v>
      </c>
      <c r="AY627" s="203">
        <f t="shared" ca="1" si="1422"/>
        <v>2</v>
      </c>
      <c r="AZ627" s="212"/>
      <c r="BA627" s="233" t="s">
        <v>140</v>
      </c>
      <c r="BB627" s="233" t="s">
        <v>140</v>
      </c>
      <c r="BC627" s="233" t="s">
        <v>140</v>
      </c>
      <c r="BD627" s="233" t="s">
        <v>141</v>
      </c>
      <c r="BE627" s="148"/>
      <c r="BF627" s="212"/>
      <c r="BG627" s="117"/>
      <c r="BH627" s="117"/>
      <c r="BI627" s="149"/>
      <c r="BJ627" s="149"/>
      <c r="BK627" s="149"/>
      <c r="BL627" s="149"/>
      <c r="BM627" s="149" t="s">
        <v>1835</v>
      </c>
      <c r="BN627" s="149"/>
      <c r="BO627" s="149"/>
      <c r="BP627" s="149"/>
      <c r="BQ627" s="149"/>
      <c r="BR627" s="117">
        <v>0</v>
      </c>
      <c r="BS627" s="117">
        <v>0</v>
      </c>
      <c r="BT627" s="117">
        <v>0</v>
      </c>
      <c r="BU627" s="117">
        <v>0</v>
      </c>
      <c r="BV627" s="117">
        <v>0</v>
      </c>
      <c r="BW627" s="117">
        <v>0</v>
      </c>
      <c r="BX627" s="117">
        <v>0</v>
      </c>
      <c r="BY627" s="117" t="s">
        <v>1790</v>
      </c>
      <c r="BZ627" s="117"/>
      <c r="CA627" s="117"/>
      <c r="CB627" s="149"/>
      <c r="CC627" s="117"/>
      <c r="CD627" s="117"/>
      <c r="CE627" s="148"/>
      <c r="CF627" s="148">
        <f t="shared" si="1423"/>
        <v>2</v>
      </c>
    </row>
    <row r="628" spans="1:84" hidden="1">
      <c r="A628" s="148"/>
      <c r="B628" s="209" t="s">
        <v>1832</v>
      </c>
      <c r="C628" s="209" t="s">
        <v>2118</v>
      </c>
      <c r="D628" s="209" t="s">
        <v>1204</v>
      </c>
      <c r="E628" s="209" t="s">
        <v>1794</v>
      </c>
      <c r="F628" s="209" t="s">
        <v>1219</v>
      </c>
      <c r="G628" s="209" t="s">
        <v>1220</v>
      </c>
      <c r="H628" s="210">
        <v>2300</v>
      </c>
      <c r="I628" s="211" t="s">
        <v>147</v>
      </c>
      <c r="J628" s="144">
        <v>1</v>
      </c>
      <c r="K628" s="145">
        <f t="shared" si="1402"/>
        <v>1</v>
      </c>
      <c r="L628" s="202">
        <f t="shared" si="1403"/>
        <v>1</v>
      </c>
      <c r="M628" s="212">
        <v>48.2</v>
      </c>
      <c r="N628" s="203">
        <f t="shared" si="1404"/>
        <v>48.2</v>
      </c>
      <c r="O628" s="212" t="s">
        <v>137</v>
      </c>
      <c r="P628" s="212" t="s">
        <v>13</v>
      </c>
      <c r="Q628" s="212" t="s">
        <v>148</v>
      </c>
      <c r="R628" s="212"/>
      <c r="S628" s="212"/>
      <c r="T628" s="203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0</v>
      </c>
      <c r="U628" s="203">
        <f t="shared" ca="1" si="1405"/>
        <v>1</v>
      </c>
      <c r="V628" s="203">
        <f t="shared" ca="1" si="1406"/>
        <v>0</v>
      </c>
      <c r="W628" s="212"/>
      <c r="X628" s="212"/>
      <c r="Y628" s="212"/>
      <c r="Z628" s="212"/>
      <c r="AA628" s="212"/>
      <c r="AB628" s="212"/>
      <c r="AC628" s="214" t="s">
        <v>1784</v>
      </c>
      <c r="AD628" s="226" t="s">
        <v>1785</v>
      </c>
      <c r="AE628" s="148"/>
      <c r="AF628" s="212" t="str">
        <f t="shared" si="1407"/>
        <v>N/A</v>
      </c>
      <c r="AG628" s="212">
        <f t="shared" si="1407"/>
        <v>0</v>
      </c>
      <c r="AH628" s="203">
        <f t="shared" si="1408"/>
        <v>0</v>
      </c>
      <c r="AI628" s="203">
        <f t="shared" ca="1" si="1409"/>
        <v>0</v>
      </c>
      <c r="AJ628" s="203">
        <f t="shared" ca="1" si="1410"/>
        <v>0</v>
      </c>
      <c r="AK628" s="212" t="str">
        <f t="shared" si="1411"/>
        <v>N/A</v>
      </c>
      <c r="AL628" s="212">
        <f t="shared" si="1411"/>
        <v>0</v>
      </c>
      <c r="AM628" s="203">
        <f t="shared" si="1412"/>
        <v>0</v>
      </c>
      <c r="AN628" s="203">
        <f t="shared" ca="1" si="1413"/>
        <v>0</v>
      </c>
      <c r="AO628" s="203">
        <f t="shared" ca="1" si="1414"/>
        <v>0</v>
      </c>
      <c r="AP628" s="212" t="str">
        <f t="shared" si="1415"/>
        <v>N/A</v>
      </c>
      <c r="AQ628" s="212">
        <f t="shared" si="1415"/>
        <v>0</v>
      </c>
      <c r="AR628" s="203">
        <f t="shared" si="1416"/>
        <v>0</v>
      </c>
      <c r="AS628" s="203">
        <f t="shared" ca="1" si="1417"/>
        <v>0</v>
      </c>
      <c r="AT628" s="203">
        <f t="shared" ca="1" si="1418"/>
        <v>0</v>
      </c>
      <c r="AU628" s="212" t="str">
        <f t="shared" si="1419"/>
        <v>AMC2-S1</v>
      </c>
      <c r="AV628" s="212">
        <f t="shared" si="1419"/>
        <v>1</v>
      </c>
      <c r="AW628" s="203">
        <f t="shared" si="1420"/>
        <v>1</v>
      </c>
      <c r="AX628" s="203">
        <f t="shared" ca="1" si="1421"/>
        <v>0</v>
      </c>
      <c r="AY628" s="203">
        <f t="shared" ca="1" si="1422"/>
        <v>1</v>
      </c>
      <c r="AZ628" s="212"/>
      <c r="BA628" s="233" t="s">
        <v>140</v>
      </c>
      <c r="BB628" s="233" t="s">
        <v>140</v>
      </c>
      <c r="BC628" s="233" t="s">
        <v>140</v>
      </c>
      <c r="BD628" s="233" t="s">
        <v>141</v>
      </c>
      <c r="BE628" s="148"/>
      <c r="BF628" s="212"/>
      <c r="BG628" s="117"/>
      <c r="BH628" s="117"/>
      <c r="BI628" s="149"/>
      <c r="BJ628" s="149"/>
      <c r="BK628" s="149"/>
      <c r="BL628" s="149"/>
      <c r="BM628" s="149" t="s">
        <v>1835</v>
      </c>
      <c r="BN628" s="149"/>
      <c r="BO628" s="149"/>
      <c r="BP628" s="149"/>
      <c r="BQ628" s="149"/>
      <c r="BR628" s="117">
        <v>0</v>
      </c>
      <c r="BS628" s="117">
        <v>0</v>
      </c>
      <c r="BT628" s="117">
        <v>0</v>
      </c>
      <c r="BU628" s="117">
        <v>1</v>
      </c>
      <c r="BV628" s="117">
        <v>0</v>
      </c>
      <c r="BW628" s="117">
        <v>0</v>
      </c>
      <c r="BX628" s="117">
        <v>0</v>
      </c>
      <c r="BY628" s="117" t="s">
        <v>1790</v>
      </c>
      <c r="BZ628" s="117"/>
      <c r="CA628" s="117"/>
      <c r="CB628" s="149"/>
      <c r="CC628" s="117"/>
      <c r="CD628" s="117"/>
      <c r="CE628" s="148"/>
      <c r="CF628" s="148">
        <f t="shared" si="1423"/>
        <v>1</v>
      </c>
    </row>
    <row r="629" spans="1:84" hidden="1">
      <c r="A629" s="148"/>
      <c r="B629" s="209" t="s">
        <v>1832</v>
      </c>
      <c r="C629" s="209" t="s">
        <v>2118</v>
      </c>
      <c r="D629" s="209" t="s">
        <v>13</v>
      </c>
      <c r="E629" s="209" t="s">
        <v>1795</v>
      </c>
      <c r="F629" s="209" t="s">
        <v>1221</v>
      </c>
      <c r="G629" s="209" t="s">
        <v>1222</v>
      </c>
      <c r="H629" s="210">
        <v>517</v>
      </c>
      <c r="I629" s="211" t="s">
        <v>147</v>
      </c>
      <c r="J629" s="144">
        <v>1</v>
      </c>
      <c r="K629" s="145">
        <f t="shared" si="1402"/>
        <v>1</v>
      </c>
      <c r="L629" s="202">
        <f t="shared" si="1403"/>
        <v>1</v>
      </c>
      <c r="M629" s="212">
        <v>13.2</v>
      </c>
      <c r="N629" s="203">
        <f t="shared" si="1404"/>
        <v>13.2</v>
      </c>
      <c r="O629" s="212" t="s">
        <v>137</v>
      </c>
      <c r="P629" s="212" t="s">
        <v>13</v>
      </c>
      <c r="Q629" s="212" t="s">
        <v>148</v>
      </c>
      <c r="R629" s="212"/>
      <c r="S629" s="212"/>
      <c r="T629" s="203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0</v>
      </c>
      <c r="U629" s="203">
        <f t="shared" ca="1" si="1405"/>
        <v>1</v>
      </c>
      <c r="V629" s="203">
        <f t="shared" ca="1" si="1406"/>
        <v>0</v>
      </c>
      <c r="W629" s="212"/>
      <c r="X629" s="212"/>
      <c r="Y629" s="212"/>
      <c r="Z629" s="212"/>
      <c r="AA629" s="212"/>
      <c r="AB629" s="212"/>
      <c r="AC629" s="214" t="s">
        <v>1784</v>
      </c>
      <c r="AD629" s="226" t="s">
        <v>1785</v>
      </c>
      <c r="AE629" s="148"/>
      <c r="AF629" s="212" t="str">
        <f t="shared" si="1407"/>
        <v>N/A</v>
      </c>
      <c r="AG629" s="212">
        <f t="shared" si="1407"/>
        <v>0</v>
      </c>
      <c r="AH629" s="203">
        <f t="shared" si="1408"/>
        <v>0</v>
      </c>
      <c r="AI629" s="203">
        <f t="shared" ca="1" si="1409"/>
        <v>0</v>
      </c>
      <c r="AJ629" s="203">
        <f t="shared" ca="1" si="1410"/>
        <v>0</v>
      </c>
      <c r="AK629" s="212" t="str">
        <f t="shared" si="1411"/>
        <v>N/A</v>
      </c>
      <c r="AL629" s="212">
        <f t="shared" si="1411"/>
        <v>0</v>
      </c>
      <c r="AM629" s="203">
        <f t="shared" si="1412"/>
        <v>0</v>
      </c>
      <c r="AN629" s="203">
        <f t="shared" ca="1" si="1413"/>
        <v>0</v>
      </c>
      <c r="AO629" s="203">
        <f t="shared" ca="1" si="1414"/>
        <v>0</v>
      </c>
      <c r="AP629" s="212" t="str">
        <f t="shared" si="1415"/>
        <v>N/A</v>
      </c>
      <c r="AQ629" s="212">
        <f t="shared" si="1415"/>
        <v>0</v>
      </c>
      <c r="AR629" s="203">
        <f t="shared" si="1416"/>
        <v>0</v>
      </c>
      <c r="AS629" s="203">
        <f t="shared" ca="1" si="1417"/>
        <v>0</v>
      </c>
      <c r="AT629" s="203">
        <f t="shared" ca="1" si="1418"/>
        <v>0</v>
      </c>
      <c r="AU629" s="212" t="str">
        <f t="shared" si="1419"/>
        <v>AMC2-S1</v>
      </c>
      <c r="AV629" s="212">
        <f t="shared" si="1419"/>
        <v>1</v>
      </c>
      <c r="AW629" s="203">
        <f t="shared" si="1420"/>
        <v>1</v>
      </c>
      <c r="AX629" s="203">
        <f t="shared" ca="1" si="1421"/>
        <v>0</v>
      </c>
      <c r="AY629" s="203">
        <f t="shared" ca="1" si="1422"/>
        <v>1</v>
      </c>
      <c r="AZ629" s="212"/>
      <c r="BA629" s="233" t="s">
        <v>140</v>
      </c>
      <c r="BB629" s="233" t="s">
        <v>140</v>
      </c>
      <c r="BC629" s="233" t="s">
        <v>140</v>
      </c>
      <c r="BD629" s="233" t="s">
        <v>141</v>
      </c>
      <c r="BE629" s="148"/>
      <c r="BF629" s="212"/>
      <c r="BG629" s="117"/>
      <c r="BH629" s="117"/>
      <c r="BI629" s="149"/>
      <c r="BJ629" s="149"/>
      <c r="BK629" s="149"/>
      <c r="BL629" s="149"/>
      <c r="BM629" s="149" t="s">
        <v>1835</v>
      </c>
      <c r="BN629" s="149"/>
      <c r="BO629" s="149"/>
      <c r="BP629" s="149"/>
      <c r="BQ629" s="149"/>
      <c r="BR629" s="117">
        <v>1</v>
      </c>
      <c r="BS629" s="117">
        <v>0</v>
      </c>
      <c r="BT629" s="117">
        <v>0</v>
      </c>
      <c r="BU629" s="117">
        <v>0</v>
      </c>
      <c r="BV629" s="117">
        <v>0</v>
      </c>
      <c r="BW629" s="117">
        <v>0</v>
      </c>
      <c r="BX629" s="117">
        <v>0</v>
      </c>
      <c r="BY629" s="117" t="s">
        <v>1790</v>
      </c>
      <c r="BZ629" s="141" t="s">
        <v>2100</v>
      </c>
      <c r="CA629" s="144">
        <v>1</v>
      </c>
      <c r="CB629" s="153">
        <v>46238</v>
      </c>
      <c r="CC629" s="117"/>
      <c r="CD629" s="117"/>
      <c r="CE629" s="148"/>
      <c r="CF629" s="148">
        <f t="shared" si="1423"/>
        <v>0</v>
      </c>
    </row>
    <row r="630" spans="1:84" hidden="1">
      <c r="A630" s="148"/>
      <c r="B630" s="209" t="s">
        <v>1832</v>
      </c>
      <c r="C630" s="209" t="s">
        <v>2118</v>
      </c>
      <c r="D630" s="209" t="s">
        <v>1204</v>
      </c>
      <c r="E630" s="209" t="s">
        <v>1796</v>
      </c>
      <c r="F630" s="209" t="s">
        <v>1223</v>
      </c>
      <c r="G630" s="209" t="s">
        <v>1224</v>
      </c>
      <c r="H630" s="210">
        <v>986</v>
      </c>
      <c r="I630" s="211" t="s">
        <v>147</v>
      </c>
      <c r="J630" s="144">
        <v>1</v>
      </c>
      <c r="K630" s="145">
        <f t="shared" si="1402"/>
        <v>1</v>
      </c>
      <c r="L630" s="202">
        <f t="shared" si="1403"/>
        <v>1</v>
      </c>
      <c r="M630" s="212">
        <v>10.4</v>
      </c>
      <c r="N630" s="203">
        <f t="shared" si="1404"/>
        <v>10.4</v>
      </c>
      <c r="O630" s="212" t="s">
        <v>137</v>
      </c>
      <c r="P630" s="212" t="s">
        <v>13</v>
      </c>
      <c r="Q630" s="212" t="s">
        <v>148</v>
      </c>
      <c r="R630" s="212"/>
      <c r="S630" s="212"/>
      <c r="T630" s="203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0</v>
      </c>
      <c r="U630" s="203">
        <f t="shared" ca="1" si="1405"/>
        <v>1</v>
      </c>
      <c r="V630" s="203">
        <f t="shared" ca="1" si="1406"/>
        <v>0</v>
      </c>
      <c r="W630" s="212"/>
      <c r="X630" s="212"/>
      <c r="Y630" s="212"/>
      <c r="Z630" s="212"/>
      <c r="AA630" s="212"/>
      <c r="AB630" s="212"/>
      <c r="AC630" s="214" t="s">
        <v>1784</v>
      </c>
      <c r="AD630" s="226" t="s">
        <v>1785</v>
      </c>
      <c r="AE630" s="148"/>
      <c r="AF630" s="212" t="str">
        <f t="shared" si="1407"/>
        <v>N/A</v>
      </c>
      <c r="AG630" s="212">
        <f t="shared" si="1407"/>
        <v>0</v>
      </c>
      <c r="AH630" s="203">
        <f t="shared" si="1408"/>
        <v>0</v>
      </c>
      <c r="AI630" s="203">
        <f t="shared" ca="1" si="1409"/>
        <v>0</v>
      </c>
      <c r="AJ630" s="203">
        <f t="shared" ca="1" si="1410"/>
        <v>0</v>
      </c>
      <c r="AK630" s="212" t="str">
        <f t="shared" si="1411"/>
        <v>N/A</v>
      </c>
      <c r="AL630" s="212">
        <f t="shared" si="1411"/>
        <v>0</v>
      </c>
      <c r="AM630" s="203">
        <f t="shared" si="1412"/>
        <v>0</v>
      </c>
      <c r="AN630" s="203">
        <f t="shared" ca="1" si="1413"/>
        <v>0</v>
      </c>
      <c r="AO630" s="203">
        <f t="shared" ca="1" si="1414"/>
        <v>0</v>
      </c>
      <c r="AP630" s="212" t="str">
        <f t="shared" si="1415"/>
        <v>N/A</v>
      </c>
      <c r="AQ630" s="212">
        <f t="shared" si="1415"/>
        <v>0</v>
      </c>
      <c r="AR630" s="203">
        <f t="shared" si="1416"/>
        <v>0</v>
      </c>
      <c r="AS630" s="203">
        <f t="shared" ca="1" si="1417"/>
        <v>0</v>
      </c>
      <c r="AT630" s="203">
        <f t="shared" ca="1" si="1418"/>
        <v>0</v>
      </c>
      <c r="AU630" s="212" t="str">
        <f t="shared" si="1419"/>
        <v>AMC2-S1</v>
      </c>
      <c r="AV630" s="212">
        <f t="shared" si="1419"/>
        <v>1</v>
      </c>
      <c r="AW630" s="203">
        <f t="shared" si="1420"/>
        <v>1</v>
      </c>
      <c r="AX630" s="203">
        <f t="shared" ca="1" si="1421"/>
        <v>0</v>
      </c>
      <c r="AY630" s="203">
        <f t="shared" ca="1" si="1422"/>
        <v>1</v>
      </c>
      <c r="AZ630" s="212"/>
      <c r="BA630" s="233" t="s">
        <v>140</v>
      </c>
      <c r="BB630" s="233" t="s">
        <v>140</v>
      </c>
      <c r="BC630" s="233" t="s">
        <v>140</v>
      </c>
      <c r="BD630" s="233" t="s">
        <v>141</v>
      </c>
      <c r="BE630" s="148"/>
      <c r="BF630" s="212"/>
      <c r="BG630" s="117"/>
      <c r="BH630" s="117"/>
      <c r="BI630" s="149"/>
      <c r="BJ630" s="149"/>
      <c r="BK630" s="149"/>
      <c r="BL630" s="149"/>
      <c r="BM630" s="149" t="s">
        <v>1835</v>
      </c>
      <c r="BN630" s="149"/>
      <c r="BO630" s="149"/>
      <c r="BP630" s="149"/>
      <c r="BQ630" s="149"/>
      <c r="BR630" s="117">
        <v>0</v>
      </c>
      <c r="BS630" s="117">
        <v>0</v>
      </c>
      <c r="BT630" s="117">
        <v>0</v>
      </c>
      <c r="BU630" s="117">
        <v>1</v>
      </c>
      <c r="BV630" s="117">
        <v>0</v>
      </c>
      <c r="BW630" s="117">
        <v>0</v>
      </c>
      <c r="BX630" s="117">
        <v>0</v>
      </c>
      <c r="BY630" s="117" t="s">
        <v>1790</v>
      </c>
      <c r="BZ630" s="117"/>
      <c r="CA630" s="117"/>
      <c r="CB630" s="149"/>
      <c r="CC630" s="117"/>
      <c r="CD630" s="117"/>
      <c r="CE630" s="148"/>
      <c r="CF630" s="148">
        <f t="shared" si="1423"/>
        <v>1</v>
      </c>
    </row>
    <row r="631" spans="1:84" hidden="1">
      <c r="A631" s="148"/>
      <c r="B631" s="209" t="s">
        <v>1832</v>
      </c>
      <c r="C631" s="209" t="s">
        <v>2118</v>
      </c>
      <c r="D631" s="209" t="s">
        <v>1204</v>
      </c>
      <c r="E631" s="209" t="s">
        <v>1797</v>
      </c>
      <c r="F631" s="209" t="s">
        <v>1225</v>
      </c>
      <c r="G631" s="209" t="s">
        <v>1226</v>
      </c>
      <c r="H631" s="210">
        <v>2442</v>
      </c>
      <c r="I631" s="211" t="s">
        <v>147</v>
      </c>
      <c r="J631" s="144">
        <v>2</v>
      </c>
      <c r="K631" s="145">
        <f t="shared" si="1402"/>
        <v>1</v>
      </c>
      <c r="L631" s="202">
        <f t="shared" si="1403"/>
        <v>2</v>
      </c>
      <c r="M631" s="212">
        <v>182.4</v>
      </c>
      <c r="N631" s="203">
        <f t="shared" si="1404"/>
        <v>364.8</v>
      </c>
      <c r="O631" s="212" t="s">
        <v>137</v>
      </c>
      <c r="P631" s="212" t="s">
        <v>13</v>
      </c>
      <c r="Q631" s="212" t="s">
        <v>148</v>
      </c>
      <c r="R631" s="212"/>
      <c r="S631" s="212"/>
      <c r="T631" s="203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0</v>
      </c>
      <c r="U631" s="203">
        <f t="shared" ca="1" si="1405"/>
        <v>2</v>
      </c>
      <c r="V631" s="203">
        <f t="shared" ca="1" si="1406"/>
        <v>0</v>
      </c>
      <c r="W631" s="212"/>
      <c r="X631" s="212"/>
      <c r="Y631" s="212"/>
      <c r="Z631" s="212"/>
      <c r="AA631" s="212"/>
      <c r="AB631" s="212"/>
      <c r="AC631" s="214" t="s">
        <v>1784</v>
      </c>
      <c r="AD631" s="226" t="s">
        <v>1785</v>
      </c>
      <c r="AE631" s="148"/>
      <c r="AF631" s="212" t="str">
        <f t="shared" si="1407"/>
        <v>N/A</v>
      </c>
      <c r="AG631" s="212">
        <f t="shared" si="1407"/>
        <v>0</v>
      </c>
      <c r="AH631" s="203">
        <f t="shared" si="1408"/>
        <v>0</v>
      </c>
      <c r="AI631" s="203">
        <f t="shared" ca="1" si="1409"/>
        <v>0</v>
      </c>
      <c r="AJ631" s="203">
        <f t="shared" ca="1" si="1410"/>
        <v>0</v>
      </c>
      <c r="AK631" s="212" t="str">
        <f t="shared" si="1411"/>
        <v>N/A</v>
      </c>
      <c r="AL631" s="212">
        <f t="shared" si="1411"/>
        <v>0</v>
      </c>
      <c r="AM631" s="203">
        <f t="shared" si="1412"/>
        <v>0</v>
      </c>
      <c r="AN631" s="203">
        <f t="shared" ca="1" si="1413"/>
        <v>0</v>
      </c>
      <c r="AO631" s="203">
        <f t="shared" ca="1" si="1414"/>
        <v>0</v>
      </c>
      <c r="AP631" s="212" t="str">
        <f t="shared" si="1415"/>
        <v>N/A</v>
      </c>
      <c r="AQ631" s="212">
        <f t="shared" si="1415"/>
        <v>0</v>
      </c>
      <c r="AR631" s="203">
        <f t="shared" si="1416"/>
        <v>0</v>
      </c>
      <c r="AS631" s="203">
        <f t="shared" ca="1" si="1417"/>
        <v>0</v>
      </c>
      <c r="AT631" s="203">
        <f t="shared" ca="1" si="1418"/>
        <v>0</v>
      </c>
      <c r="AU631" s="212" t="str">
        <f t="shared" si="1419"/>
        <v>AMC2-S1</v>
      </c>
      <c r="AV631" s="212">
        <f t="shared" si="1419"/>
        <v>1</v>
      </c>
      <c r="AW631" s="203">
        <f t="shared" si="1420"/>
        <v>2</v>
      </c>
      <c r="AX631" s="203">
        <f t="shared" ca="1" si="1421"/>
        <v>0</v>
      </c>
      <c r="AY631" s="203">
        <f t="shared" ca="1" si="1422"/>
        <v>2</v>
      </c>
      <c r="AZ631" s="212"/>
      <c r="BA631" s="233" t="s">
        <v>140</v>
      </c>
      <c r="BB631" s="233" t="s">
        <v>140</v>
      </c>
      <c r="BC631" s="233" t="s">
        <v>140</v>
      </c>
      <c r="BD631" s="233" t="s">
        <v>141</v>
      </c>
      <c r="BE631" s="148"/>
      <c r="BF631" s="212"/>
      <c r="BG631" s="117"/>
      <c r="BH631" s="117"/>
      <c r="BI631" s="149"/>
      <c r="BJ631" s="149"/>
      <c r="BK631" s="149"/>
      <c r="BL631" s="149"/>
      <c r="BM631" s="149" t="s">
        <v>1835</v>
      </c>
      <c r="BN631" s="149"/>
      <c r="BO631" s="149"/>
      <c r="BP631" s="149"/>
      <c r="BQ631" s="149"/>
      <c r="BR631" s="117">
        <v>0</v>
      </c>
      <c r="BS631" s="117">
        <v>0</v>
      </c>
      <c r="BT631" s="117">
        <v>0</v>
      </c>
      <c r="BU631" s="117">
        <v>0</v>
      </c>
      <c r="BV631" s="117">
        <v>0</v>
      </c>
      <c r="BW631" s="117">
        <v>0</v>
      </c>
      <c r="BX631" s="117">
        <v>0</v>
      </c>
      <c r="BY631" s="117" t="s">
        <v>1790</v>
      </c>
      <c r="BZ631" s="117" t="s">
        <v>57</v>
      </c>
      <c r="CA631" s="117">
        <v>2</v>
      </c>
      <c r="CB631" s="149"/>
      <c r="CC631" s="117"/>
      <c r="CD631" s="117"/>
      <c r="CE631" s="148"/>
      <c r="CF631" s="148">
        <f t="shared" si="1423"/>
        <v>0</v>
      </c>
    </row>
    <row r="632" spans="1:84" hidden="1">
      <c r="A632" s="148"/>
      <c r="B632" s="209" t="s">
        <v>1832</v>
      </c>
      <c r="C632" s="209" t="s">
        <v>2118</v>
      </c>
      <c r="D632" s="209" t="s">
        <v>13</v>
      </c>
      <c r="E632" s="209" t="s">
        <v>1798</v>
      </c>
      <c r="F632" s="209" t="s">
        <v>1227</v>
      </c>
      <c r="G632" s="209" t="s">
        <v>1228</v>
      </c>
      <c r="H632" s="210">
        <v>2338</v>
      </c>
      <c r="I632" s="211" t="s">
        <v>147</v>
      </c>
      <c r="J632" s="144">
        <v>1</v>
      </c>
      <c r="K632" s="145">
        <f t="shared" si="1402"/>
        <v>1</v>
      </c>
      <c r="L632" s="202">
        <f t="shared" si="1403"/>
        <v>1</v>
      </c>
      <c r="M632" s="212">
        <v>117.4</v>
      </c>
      <c r="N632" s="203">
        <f t="shared" si="1404"/>
        <v>117.4</v>
      </c>
      <c r="O632" s="212" t="s">
        <v>137</v>
      </c>
      <c r="P632" s="212" t="s">
        <v>13</v>
      </c>
      <c r="Q632" s="212" t="s">
        <v>154</v>
      </c>
      <c r="R632" s="212"/>
      <c r="S632" s="212"/>
      <c r="T632" s="203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0</v>
      </c>
      <c r="U632" s="203">
        <f t="shared" ca="1" si="1405"/>
        <v>1</v>
      </c>
      <c r="V632" s="203">
        <f t="shared" ca="1" si="1406"/>
        <v>0</v>
      </c>
      <c r="W632" s="212"/>
      <c r="X632" s="212"/>
      <c r="Y632" s="212"/>
      <c r="Z632" s="212"/>
      <c r="AA632" s="212"/>
      <c r="AB632" s="212"/>
      <c r="AC632" s="214" t="s">
        <v>1784</v>
      </c>
      <c r="AD632" s="226" t="s">
        <v>1785</v>
      </c>
      <c r="AE632" s="148"/>
      <c r="AF632" s="212" t="str">
        <f t="shared" si="1407"/>
        <v>N/A</v>
      </c>
      <c r="AG632" s="212">
        <f t="shared" si="1407"/>
        <v>0</v>
      </c>
      <c r="AH632" s="203">
        <f t="shared" si="1408"/>
        <v>0</v>
      </c>
      <c r="AI632" s="203">
        <f t="shared" ca="1" si="1409"/>
        <v>0</v>
      </c>
      <c r="AJ632" s="203">
        <f t="shared" ca="1" si="1410"/>
        <v>0</v>
      </c>
      <c r="AK632" s="212" t="str">
        <f t="shared" si="1411"/>
        <v>N/A</v>
      </c>
      <c r="AL632" s="212">
        <f t="shared" si="1411"/>
        <v>0</v>
      </c>
      <c r="AM632" s="203">
        <f t="shared" si="1412"/>
        <v>0</v>
      </c>
      <c r="AN632" s="203">
        <f t="shared" ca="1" si="1413"/>
        <v>0</v>
      </c>
      <c r="AO632" s="203">
        <f t="shared" ca="1" si="1414"/>
        <v>0</v>
      </c>
      <c r="AP632" s="212" t="str">
        <f t="shared" si="1415"/>
        <v>N/A</v>
      </c>
      <c r="AQ632" s="212">
        <f t="shared" si="1415"/>
        <v>0</v>
      </c>
      <c r="AR632" s="203">
        <f t="shared" si="1416"/>
        <v>0</v>
      </c>
      <c r="AS632" s="203">
        <f t="shared" ca="1" si="1417"/>
        <v>0</v>
      </c>
      <c r="AT632" s="203">
        <f t="shared" ca="1" si="1418"/>
        <v>0</v>
      </c>
      <c r="AU632" s="212" t="str">
        <f t="shared" si="1419"/>
        <v>AMC2-S1</v>
      </c>
      <c r="AV632" s="212">
        <f t="shared" si="1419"/>
        <v>1</v>
      </c>
      <c r="AW632" s="203">
        <f t="shared" si="1420"/>
        <v>1</v>
      </c>
      <c r="AX632" s="203">
        <f t="shared" ca="1" si="1421"/>
        <v>0</v>
      </c>
      <c r="AY632" s="203">
        <f t="shared" ca="1" si="1422"/>
        <v>1</v>
      </c>
      <c r="AZ632" s="212"/>
      <c r="BA632" s="233" t="s">
        <v>140</v>
      </c>
      <c r="BB632" s="233" t="s">
        <v>140</v>
      </c>
      <c r="BC632" s="233" t="s">
        <v>140</v>
      </c>
      <c r="BD632" s="233" t="s">
        <v>141</v>
      </c>
      <c r="BE632" s="148"/>
      <c r="BF632" s="212"/>
      <c r="BG632" s="117"/>
      <c r="BH632" s="117"/>
      <c r="BI632" s="149"/>
      <c r="BJ632" s="149"/>
      <c r="BK632" s="149"/>
      <c r="BL632" s="149"/>
      <c r="BM632" s="149" t="s">
        <v>1835</v>
      </c>
      <c r="BN632" s="149"/>
      <c r="BO632" s="149"/>
      <c r="BP632" s="149"/>
      <c r="BQ632" s="149"/>
      <c r="BR632" s="117">
        <v>0</v>
      </c>
      <c r="BS632" s="117">
        <v>1</v>
      </c>
      <c r="BT632" s="117">
        <v>0</v>
      </c>
      <c r="BU632" s="117">
        <v>0</v>
      </c>
      <c r="BV632" s="117">
        <v>0</v>
      </c>
      <c r="BW632" s="117">
        <v>0</v>
      </c>
      <c r="BX632" s="117">
        <v>0</v>
      </c>
      <c r="BY632" s="117" t="s">
        <v>1790</v>
      </c>
      <c r="BZ632" s="117"/>
      <c r="CA632" s="117"/>
      <c r="CB632" s="149"/>
      <c r="CC632" s="117"/>
      <c r="CD632" s="117"/>
      <c r="CE632" s="148"/>
      <c r="CF632" s="148">
        <f t="shared" si="1423"/>
        <v>1</v>
      </c>
    </row>
    <row r="633" spans="1:84" hidden="1">
      <c r="A633" s="148"/>
      <c r="B633" s="209" t="s">
        <v>1832</v>
      </c>
      <c r="C633" s="209" t="s">
        <v>2118</v>
      </c>
      <c r="D633" s="209" t="s">
        <v>13</v>
      </c>
      <c r="E633" s="209" t="s">
        <v>1799</v>
      </c>
      <c r="F633" s="209" t="s">
        <v>1196</v>
      </c>
      <c r="G633" s="209" t="s">
        <v>1104</v>
      </c>
      <c r="H633" s="210">
        <v>246</v>
      </c>
      <c r="I633" s="211" t="s">
        <v>147</v>
      </c>
      <c r="J633" s="144">
        <v>2</v>
      </c>
      <c r="K633" s="145">
        <f t="shared" si="1402"/>
        <v>1</v>
      </c>
      <c r="L633" s="202">
        <f t="shared" si="1403"/>
        <v>2</v>
      </c>
      <c r="M633" s="212">
        <v>7.7</v>
      </c>
      <c r="N633" s="203">
        <f t="shared" si="1404"/>
        <v>15.4</v>
      </c>
      <c r="O633" s="212" t="s">
        <v>137</v>
      </c>
      <c r="P633" s="212" t="s">
        <v>13</v>
      </c>
      <c r="Q633" s="212" t="s">
        <v>148</v>
      </c>
      <c r="R633" s="212"/>
      <c r="S633" s="212"/>
      <c r="T633" s="203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0</v>
      </c>
      <c r="U633" s="203">
        <f t="shared" ca="1" si="1405"/>
        <v>2</v>
      </c>
      <c r="V633" s="203">
        <f t="shared" ca="1" si="1406"/>
        <v>0</v>
      </c>
      <c r="W633" s="212"/>
      <c r="X633" s="212"/>
      <c r="Y633" s="212"/>
      <c r="Z633" s="212"/>
      <c r="AA633" s="212"/>
      <c r="AB633" s="212"/>
      <c r="AC633" s="214" t="s">
        <v>1784</v>
      </c>
      <c r="AD633" s="226" t="s">
        <v>1785</v>
      </c>
      <c r="AE633" s="148"/>
      <c r="AF633" s="212" t="str">
        <f t="shared" si="1407"/>
        <v>N/A</v>
      </c>
      <c r="AG633" s="212">
        <f t="shared" si="1407"/>
        <v>0</v>
      </c>
      <c r="AH633" s="203">
        <f t="shared" si="1408"/>
        <v>0</v>
      </c>
      <c r="AI633" s="203">
        <f t="shared" ca="1" si="1409"/>
        <v>0</v>
      </c>
      <c r="AJ633" s="203">
        <f t="shared" ca="1" si="1410"/>
        <v>0</v>
      </c>
      <c r="AK633" s="212" t="str">
        <f t="shared" si="1411"/>
        <v>N/A</v>
      </c>
      <c r="AL633" s="212">
        <f t="shared" si="1411"/>
        <v>0</v>
      </c>
      <c r="AM633" s="203">
        <f t="shared" si="1412"/>
        <v>0</v>
      </c>
      <c r="AN633" s="203">
        <f t="shared" ca="1" si="1413"/>
        <v>0</v>
      </c>
      <c r="AO633" s="203">
        <f t="shared" ca="1" si="1414"/>
        <v>0</v>
      </c>
      <c r="AP633" s="212" t="str">
        <f t="shared" si="1415"/>
        <v>N/A</v>
      </c>
      <c r="AQ633" s="212">
        <f t="shared" si="1415"/>
        <v>0</v>
      </c>
      <c r="AR633" s="203">
        <f t="shared" si="1416"/>
        <v>0</v>
      </c>
      <c r="AS633" s="203">
        <f t="shared" ca="1" si="1417"/>
        <v>0</v>
      </c>
      <c r="AT633" s="203">
        <f t="shared" ca="1" si="1418"/>
        <v>0</v>
      </c>
      <c r="AU633" s="212" t="str">
        <f t="shared" si="1419"/>
        <v>AMC2-S1</v>
      </c>
      <c r="AV633" s="212">
        <f t="shared" si="1419"/>
        <v>1</v>
      </c>
      <c r="AW633" s="203">
        <f t="shared" si="1420"/>
        <v>2</v>
      </c>
      <c r="AX633" s="203">
        <f t="shared" ca="1" si="1421"/>
        <v>0</v>
      </c>
      <c r="AY633" s="203">
        <f t="shared" ca="1" si="1422"/>
        <v>2</v>
      </c>
      <c r="AZ633" s="212"/>
      <c r="BA633" s="233" t="s">
        <v>140</v>
      </c>
      <c r="BB633" s="233" t="s">
        <v>140</v>
      </c>
      <c r="BC633" s="233" t="s">
        <v>140</v>
      </c>
      <c r="BD633" s="233" t="s">
        <v>141</v>
      </c>
      <c r="BE633" s="148"/>
      <c r="BF633" s="212"/>
      <c r="BG633" s="117"/>
      <c r="BH633" s="117"/>
      <c r="BI633" s="149"/>
      <c r="BJ633" s="149"/>
      <c r="BK633" s="149"/>
      <c r="BL633" s="149"/>
      <c r="BM633" s="149" t="s">
        <v>1835</v>
      </c>
      <c r="BN633" s="149"/>
      <c r="BO633" s="149"/>
      <c r="BP633" s="149"/>
      <c r="BQ633" s="149"/>
      <c r="BR633" s="117">
        <v>0</v>
      </c>
      <c r="BS633" s="117">
        <v>0</v>
      </c>
      <c r="BT633" s="117">
        <v>0</v>
      </c>
      <c r="BU633" s="117">
        <v>0</v>
      </c>
      <c r="BV633" s="117">
        <v>0</v>
      </c>
      <c r="BW633" s="117">
        <v>0</v>
      </c>
      <c r="BX633" s="117">
        <v>0</v>
      </c>
      <c r="BY633" s="117" t="s">
        <v>1790</v>
      </c>
      <c r="BZ633" s="141" t="s">
        <v>2101</v>
      </c>
      <c r="CA633" s="165">
        <v>2</v>
      </c>
      <c r="CB633" s="153">
        <v>46244</v>
      </c>
      <c r="CC633" s="117"/>
      <c r="CD633" s="117"/>
      <c r="CE633" s="148"/>
      <c r="CF633" s="148">
        <f t="shared" si="1423"/>
        <v>0</v>
      </c>
    </row>
    <row r="634" spans="1:84" hidden="1">
      <c r="A634" s="148"/>
      <c r="B634" s="209" t="s">
        <v>1832</v>
      </c>
      <c r="C634" s="209" t="s">
        <v>2118</v>
      </c>
      <c r="D634" s="209" t="s">
        <v>1200</v>
      </c>
      <c r="E634" s="209" t="s">
        <v>1800</v>
      </c>
      <c r="F634" s="209" t="s">
        <v>1198</v>
      </c>
      <c r="G634" s="209" t="s">
        <v>1199</v>
      </c>
      <c r="H634" s="210">
        <v>640</v>
      </c>
      <c r="I634" s="211" t="s">
        <v>147</v>
      </c>
      <c r="J634" s="144">
        <v>1</v>
      </c>
      <c r="K634" s="145">
        <f t="shared" si="1402"/>
        <v>1</v>
      </c>
      <c r="L634" s="202">
        <f t="shared" si="1403"/>
        <v>1</v>
      </c>
      <c r="M634" s="212">
        <v>36.200000000000003</v>
      </c>
      <c r="N634" s="203">
        <f t="shared" si="1404"/>
        <v>36.200000000000003</v>
      </c>
      <c r="O634" s="212" t="s">
        <v>137</v>
      </c>
      <c r="P634" s="212" t="s">
        <v>13</v>
      </c>
      <c r="Q634" s="212" t="s">
        <v>148</v>
      </c>
      <c r="R634" s="212"/>
      <c r="S634" s="212"/>
      <c r="T634" s="203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0</v>
      </c>
      <c r="U634" s="203">
        <f t="shared" ca="1" si="1405"/>
        <v>1</v>
      </c>
      <c r="V634" s="203">
        <f t="shared" ca="1" si="1406"/>
        <v>0</v>
      </c>
      <c r="W634" s="212"/>
      <c r="X634" s="212"/>
      <c r="Y634" s="212"/>
      <c r="Z634" s="212"/>
      <c r="AA634" s="212"/>
      <c r="AB634" s="212"/>
      <c r="AC634" s="214" t="s">
        <v>1784</v>
      </c>
      <c r="AD634" s="226" t="s">
        <v>1785</v>
      </c>
      <c r="AE634" s="148"/>
      <c r="AF634" s="212" t="str">
        <f t="shared" si="1407"/>
        <v>N/A</v>
      </c>
      <c r="AG634" s="212">
        <f t="shared" si="1407"/>
        <v>0</v>
      </c>
      <c r="AH634" s="203">
        <f t="shared" si="1408"/>
        <v>0</v>
      </c>
      <c r="AI634" s="203">
        <f t="shared" ca="1" si="1409"/>
        <v>0</v>
      </c>
      <c r="AJ634" s="203">
        <f t="shared" ca="1" si="1410"/>
        <v>0</v>
      </c>
      <c r="AK634" s="212" t="str">
        <f t="shared" si="1411"/>
        <v>N/A</v>
      </c>
      <c r="AL634" s="212">
        <f t="shared" si="1411"/>
        <v>0</v>
      </c>
      <c r="AM634" s="203">
        <f t="shared" si="1412"/>
        <v>0</v>
      </c>
      <c r="AN634" s="203">
        <f t="shared" ca="1" si="1413"/>
        <v>0</v>
      </c>
      <c r="AO634" s="203">
        <f t="shared" ca="1" si="1414"/>
        <v>0</v>
      </c>
      <c r="AP634" s="212" t="str">
        <f t="shared" si="1415"/>
        <v>N/A</v>
      </c>
      <c r="AQ634" s="212">
        <f t="shared" si="1415"/>
        <v>0</v>
      </c>
      <c r="AR634" s="203">
        <f t="shared" si="1416"/>
        <v>0</v>
      </c>
      <c r="AS634" s="203">
        <f t="shared" ca="1" si="1417"/>
        <v>0</v>
      </c>
      <c r="AT634" s="203">
        <f t="shared" ca="1" si="1418"/>
        <v>0</v>
      </c>
      <c r="AU634" s="212" t="str">
        <f t="shared" si="1419"/>
        <v>AMC2-S1</v>
      </c>
      <c r="AV634" s="212">
        <f t="shared" si="1419"/>
        <v>1</v>
      </c>
      <c r="AW634" s="203">
        <f t="shared" si="1420"/>
        <v>1</v>
      </c>
      <c r="AX634" s="203">
        <f t="shared" ca="1" si="1421"/>
        <v>0</v>
      </c>
      <c r="AY634" s="203">
        <f t="shared" ca="1" si="1422"/>
        <v>1</v>
      </c>
      <c r="AZ634" s="212"/>
      <c r="BA634" s="233" t="s">
        <v>140</v>
      </c>
      <c r="BB634" s="233" t="s">
        <v>140</v>
      </c>
      <c r="BC634" s="233" t="s">
        <v>140</v>
      </c>
      <c r="BD634" s="233" t="s">
        <v>141</v>
      </c>
      <c r="BE634" s="148"/>
      <c r="BF634" s="212"/>
      <c r="BG634" s="117"/>
      <c r="BH634" s="117"/>
      <c r="BI634" s="149"/>
      <c r="BJ634" s="149"/>
      <c r="BK634" s="149"/>
      <c r="BL634" s="149"/>
      <c r="BM634" s="149" t="s">
        <v>1835</v>
      </c>
      <c r="BN634" s="149"/>
      <c r="BO634" s="149"/>
      <c r="BP634" s="149"/>
      <c r="BQ634" s="149"/>
      <c r="BR634" s="117">
        <v>1</v>
      </c>
      <c r="BS634" s="117">
        <v>0</v>
      </c>
      <c r="BT634" s="117">
        <v>0</v>
      </c>
      <c r="BU634" s="117">
        <v>0</v>
      </c>
      <c r="BV634" s="117">
        <v>0</v>
      </c>
      <c r="BW634" s="117">
        <v>0</v>
      </c>
      <c r="BX634" s="117">
        <v>0</v>
      </c>
      <c r="BY634" s="117" t="s">
        <v>1790</v>
      </c>
      <c r="BZ634" s="141" t="s">
        <v>2119</v>
      </c>
      <c r="CA634" s="141">
        <v>1</v>
      </c>
      <c r="CB634" s="153">
        <v>46238</v>
      </c>
      <c r="CC634" s="117"/>
      <c r="CD634" s="117"/>
      <c r="CE634" s="148"/>
      <c r="CF634" s="148">
        <f t="shared" si="1423"/>
        <v>0</v>
      </c>
    </row>
    <row r="635" spans="1:84" hidden="1">
      <c r="A635" s="148"/>
      <c r="B635" s="209" t="s">
        <v>1832</v>
      </c>
      <c r="C635" s="209" t="s">
        <v>2118</v>
      </c>
      <c r="D635" s="209" t="s">
        <v>13</v>
      </c>
      <c r="E635" s="209" t="s">
        <v>1801</v>
      </c>
      <c r="F635" s="209" t="s">
        <v>1201</v>
      </c>
      <c r="G635" s="209" t="s">
        <v>1157</v>
      </c>
      <c r="H635" s="210">
        <v>1475</v>
      </c>
      <c r="I635" s="211" t="s">
        <v>147</v>
      </c>
      <c r="J635" s="144">
        <v>2</v>
      </c>
      <c r="K635" s="145">
        <f t="shared" si="1402"/>
        <v>1</v>
      </c>
      <c r="L635" s="202">
        <f t="shared" si="1403"/>
        <v>2</v>
      </c>
      <c r="M635" s="212">
        <v>55.6</v>
      </c>
      <c r="N635" s="203">
        <f t="shared" si="1404"/>
        <v>111.2</v>
      </c>
      <c r="O635" s="212" t="s">
        <v>137</v>
      </c>
      <c r="P635" s="212" t="s">
        <v>13</v>
      </c>
      <c r="Q635" s="212" t="s">
        <v>148</v>
      </c>
      <c r="R635" s="212"/>
      <c r="S635" s="212"/>
      <c r="T635" s="203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0</v>
      </c>
      <c r="U635" s="203">
        <f t="shared" ca="1" si="1405"/>
        <v>2</v>
      </c>
      <c r="V635" s="203">
        <f t="shared" ca="1" si="1406"/>
        <v>0</v>
      </c>
      <c r="W635" s="212"/>
      <c r="X635" s="212"/>
      <c r="Y635" s="212"/>
      <c r="Z635" s="212"/>
      <c r="AA635" s="212"/>
      <c r="AB635" s="212"/>
      <c r="AC635" s="214" t="s">
        <v>1784</v>
      </c>
      <c r="AD635" s="226" t="s">
        <v>1785</v>
      </c>
      <c r="AE635" s="148"/>
      <c r="AF635" s="212" t="str">
        <f t="shared" si="1407"/>
        <v>N/A</v>
      </c>
      <c r="AG635" s="212">
        <f t="shared" si="1407"/>
        <v>0</v>
      </c>
      <c r="AH635" s="203">
        <f t="shared" si="1408"/>
        <v>0</v>
      </c>
      <c r="AI635" s="203">
        <f t="shared" ca="1" si="1409"/>
        <v>0</v>
      </c>
      <c r="AJ635" s="203">
        <f t="shared" ca="1" si="1410"/>
        <v>0</v>
      </c>
      <c r="AK635" s="212" t="str">
        <f t="shared" si="1411"/>
        <v>N/A</v>
      </c>
      <c r="AL635" s="212">
        <f t="shared" si="1411"/>
        <v>0</v>
      </c>
      <c r="AM635" s="203">
        <f t="shared" si="1412"/>
        <v>0</v>
      </c>
      <c r="AN635" s="203">
        <f t="shared" ca="1" si="1413"/>
        <v>0</v>
      </c>
      <c r="AO635" s="203">
        <f t="shared" ca="1" si="1414"/>
        <v>0</v>
      </c>
      <c r="AP635" s="212" t="str">
        <f t="shared" si="1415"/>
        <v>N/A</v>
      </c>
      <c r="AQ635" s="212">
        <f t="shared" si="1415"/>
        <v>0</v>
      </c>
      <c r="AR635" s="203">
        <f t="shared" si="1416"/>
        <v>0</v>
      </c>
      <c r="AS635" s="203">
        <f t="shared" ca="1" si="1417"/>
        <v>0</v>
      </c>
      <c r="AT635" s="203">
        <f t="shared" ca="1" si="1418"/>
        <v>0</v>
      </c>
      <c r="AU635" s="212" t="str">
        <f t="shared" si="1419"/>
        <v>AMC2-S1</v>
      </c>
      <c r="AV635" s="212">
        <f t="shared" si="1419"/>
        <v>1</v>
      </c>
      <c r="AW635" s="203">
        <f t="shared" si="1420"/>
        <v>2</v>
      </c>
      <c r="AX635" s="203">
        <f t="shared" ca="1" si="1421"/>
        <v>0</v>
      </c>
      <c r="AY635" s="203">
        <f t="shared" ca="1" si="1422"/>
        <v>2</v>
      </c>
      <c r="AZ635" s="212"/>
      <c r="BA635" s="233" t="s">
        <v>140</v>
      </c>
      <c r="BB635" s="233" t="s">
        <v>140</v>
      </c>
      <c r="BC635" s="233" t="s">
        <v>140</v>
      </c>
      <c r="BD635" s="233" t="s">
        <v>141</v>
      </c>
      <c r="BE635" s="148"/>
      <c r="BF635" s="212"/>
      <c r="BG635" s="117"/>
      <c r="BH635" s="117"/>
      <c r="BI635" s="149"/>
      <c r="BJ635" s="149"/>
      <c r="BK635" s="149"/>
      <c r="BL635" s="149"/>
      <c r="BM635" s="149" t="s">
        <v>1835</v>
      </c>
      <c r="BN635" s="149"/>
      <c r="BO635" s="149"/>
      <c r="BP635" s="149"/>
      <c r="BQ635" s="149"/>
      <c r="BR635" s="117">
        <v>0</v>
      </c>
      <c r="BS635" s="117">
        <v>0</v>
      </c>
      <c r="BT635" s="117">
        <v>0</v>
      </c>
      <c r="BU635" s="117">
        <v>0</v>
      </c>
      <c r="BV635" s="117">
        <v>0</v>
      </c>
      <c r="BW635" s="117">
        <v>0</v>
      </c>
      <c r="BX635" s="117">
        <v>0</v>
      </c>
      <c r="BY635" s="117" t="s">
        <v>1790</v>
      </c>
      <c r="BZ635" s="141" t="s">
        <v>2100</v>
      </c>
      <c r="CA635" s="144">
        <v>2</v>
      </c>
      <c r="CB635" s="153">
        <v>46238</v>
      </c>
      <c r="CC635" s="117"/>
      <c r="CD635" s="117"/>
      <c r="CE635" s="148"/>
      <c r="CF635" s="148">
        <f t="shared" si="1423"/>
        <v>0</v>
      </c>
    </row>
    <row r="636" spans="1:84" hidden="1">
      <c r="A636" s="148"/>
      <c r="B636" s="209" t="s">
        <v>1832</v>
      </c>
      <c r="C636" s="209" t="s">
        <v>2118</v>
      </c>
      <c r="D636" s="209" t="s">
        <v>1204</v>
      </c>
      <c r="E636" s="209" t="s">
        <v>1815</v>
      </c>
      <c r="F636" s="209" t="s">
        <v>1202</v>
      </c>
      <c r="G636" s="209" t="s">
        <v>1203</v>
      </c>
      <c r="H636" s="210">
        <v>852</v>
      </c>
      <c r="I636" s="211" t="s">
        <v>147</v>
      </c>
      <c r="J636" s="144">
        <v>2</v>
      </c>
      <c r="K636" s="145">
        <f t="shared" si="1402"/>
        <v>1</v>
      </c>
      <c r="L636" s="202">
        <f t="shared" si="1403"/>
        <v>2</v>
      </c>
      <c r="M636" s="212">
        <v>8.9</v>
      </c>
      <c r="N636" s="203">
        <f t="shared" si="1404"/>
        <v>17.8</v>
      </c>
      <c r="O636" s="212" t="s">
        <v>137</v>
      </c>
      <c r="P636" s="212" t="s">
        <v>13</v>
      </c>
      <c r="Q636" s="212" t="s">
        <v>148</v>
      </c>
      <c r="R636" s="212"/>
      <c r="S636" s="212"/>
      <c r="T636" s="203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0</v>
      </c>
      <c r="U636" s="203">
        <f t="shared" ca="1" si="1405"/>
        <v>2</v>
      </c>
      <c r="V636" s="203">
        <f t="shared" ca="1" si="1406"/>
        <v>0</v>
      </c>
      <c r="W636" s="212"/>
      <c r="X636" s="212"/>
      <c r="Y636" s="212"/>
      <c r="Z636" s="212"/>
      <c r="AA636" s="212"/>
      <c r="AB636" s="212"/>
      <c r="AC636" s="214" t="s">
        <v>1784</v>
      </c>
      <c r="AD636" s="226" t="s">
        <v>1785</v>
      </c>
      <c r="AE636" s="148"/>
      <c r="AF636" s="212" t="str">
        <f t="shared" si="1407"/>
        <v>N/A</v>
      </c>
      <c r="AG636" s="212">
        <f t="shared" si="1407"/>
        <v>0</v>
      </c>
      <c r="AH636" s="203">
        <f t="shared" si="1408"/>
        <v>0</v>
      </c>
      <c r="AI636" s="203">
        <f t="shared" ca="1" si="1409"/>
        <v>0</v>
      </c>
      <c r="AJ636" s="203">
        <f t="shared" ca="1" si="1410"/>
        <v>0</v>
      </c>
      <c r="AK636" s="212" t="str">
        <f t="shared" si="1411"/>
        <v>N/A</v>
      </c>
      <c r="AL636" s="212">
        <f t="shared" si="1411"/>
        <v>0</v>
      </c>
      <c r="AM636" s="203">
        <f t="shared" si="1412"/>
        <v>0</v>
      </c>
      <c r="AN636" s="203">
        <f t="shared" ca="1" si="1413"/>
        <v>0</v>
      </c>
      <c r="AO636" s="203">
        <f t="shared" ca="1" si="1414"/>
        <v>0</v>
      </c>
      <c r="AP636" s="212" t="str">
        <f t="shared" si="1415"/>
        <v>N/A</v>
      </c>
      <c r="AQ636" s="212">
        <f t="shared" si="1415"/>
        <v>0</v>
      </c>
      <c r="AR636" s="203">
        <f t="shared" si="1416"/>
        <v>0</v>
      </c>
      <c r="AS636" s="203">
        <f t="shared" ca="1" si="1417"/>
        <v>0</v>
      </c>
      <c r="AT636" s="203">
        <f t="shared" ca="1" si="1418"/>
        <v>0</v>
      </c>
      <c r="AU636" s="212" t="str">
        <f t="shared" si="1419"/>
        <v>AMC2-S1</v>
      </c>
      <c r="AV636" s="212">
        <f t="shared" si="1419"/>
        <v>1</v>
      </c>
      <c r="AW636" s="203">
        <f t="shared" si="1420"/>
        <v>2</v>
      </c>
      <c r="AX636" s="203">
        <f t="shared" ca="1" si="1421"/>
        <v>0</v>
      </c>
      <c r="AY636" s="203">
        <f t="shared" ca="1" si="1422"/>
        <v>2</v>
      </c>
      <c r="AZ636" s="212"/>
      <c r="BA636" s="233" t="s">
        <v>140</v>
      </c>
      <c r="BB636" s="233" t="s">
        <v>140</v>
      </c>
      <c r="BC636" s="233" t="s">
        <v>140</v>
      </c>
      <c r="BD636" s="233" t="s">
        <v>141</v>
      </c>
      <c r="BE636" s="148"/>
      <c r="BF636" s="212"/>
      <c r="BG636" s="117"/>
      <c r="BH636" s="117"/>
      <c r="BI636" s="149"/>
      <c r="BJ636" s="149"/>
      <c r="BK636" s="149"/>
      <c r="BL636" s="149"/>
      <c r="BM636" s="149" t="s">
        <v>1835</v>
      </c>
      <c r="BN636" s="149"/>
      <c r="BO636" s="149"/>
      <c r="BP636" s="149"/>
      <c r="BQ636" s="149"/>
      <c r="BR636" s="117">
        <v>0</v>
      </c>
      <c r="BS636" s="117">
        <v>0</v>
      </c>
      <c r="BT636" s="117">
        <v>0</v>
      </c>
      <c r="BU636" s="117">
        <v>0</v>
      </c>
      <c r="BV636" s="117">
        <v>0</v>
      </c>
      <c r="BW636" s="117">
        <v>0</v>
      </c>
      <c r="BX636" s="117">
        <v>0</v>
      </c>
      <c r="BY636" s="117" t="s">
        <v>1790</v>
      </c>
      <c r="BZ636" s="117"/>
      <c r="CA636" s="117"/>
      <c r="CB636" s="149"/>
      <c r="CC636" s="117"/>
      <c r="CD636" s="117"/>
      <c r="CE636" s="148"/>
      <c r="CF636" s="148">
        <f t="shared" si="1423"/>
        <v>2</v>
      </c>
    </row>
    <row r="637" spans="1:84" hidden="1">
      <c r="A637" s="148"/>
      <c r="B637" s="209" t="s">
        <v>1832</v>
      </c>
      <c r="C637" s="209" t="s">
        <v>2118</v>
      </c>
      <c r="D637" s="209" t="s">
        <v>13</v>
      </c>
      <c r="E637" s="209" t="s">
        <v>1805</v>
      </c>
      <c r="F637" s="209" t="s">
        <v>1205</v>
      </c>
      <c r="G637" s="209" t="s">
        <v>1206</v>
      </c>
      <c r="H637" s="210">
        <v>301</v>
      </c>
      <c r="I637" s="211" t="s">
        <v>147</v>
      </c>
      <c r="J637" s="144">
        <v>4</v>
      </c>
      <c r="K637" s="145">
        <f t="shared" si="1402"/>
        <v>1</v>
      </c>
      <c r="L637" s="202">
        <f t="shared" si="1403"/>
        <v>4</v>
      </c>
      <c r="M637" s="212">
        <v>3</v>
      </c>
      <c r="N637" s="203">
        <f t="shared" si="1404"/>
        <v>12</v>
      </c>
      <c r="O637" s="212" t="s">
        <v>137</v>
      </c>
      <c r="P637" s="212" t="s">
        <v>13</v>
      </c>
      <c r="Q637" s="212" t="s">
        <v>148</v>
      </c>
      <c r="R637" s="212"/>
      <c r="S637" s="212"/>
      <c r="T637" s="203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4</v>
      </c>
      <c r="U637" s="203">
        <f t="shared" ca="1" si="1405"/>
        <v>0</v>
      </c>
      <c r="V637" s="203">
        <f t="shared" ca="1" si="1406"/>
        <v>1</v>
      </c>
      <c r="W637" s="212"/>
      <c r="X637" s="212"/>
      <c r="Y637" s="212"/>
      <c r="Z637" s="212"/>
      <c r="AA637" s="212"/>
      <c r="AB637" s="212"/>
      <c r="AC637" s="214" t="s">
        <v>1784</v>
      </c>
      <c r="AD637" s="226" t="s">
        <v>1785</v>
      </c>
      <c r="AE637" s="148"/>
      <c r="AF637" s="212" t="str">
        <f t="shared" si="1407"/>
        <v>N/A</v>
      </c>
      <c r="AG637" s="212">
        <f t="shared" si="1407"/>
        <v>0</v>
      </c>
      <c r="AH637" s="203">
        <f t="shared" si="1408"/>
        <v>0</v>
      </c>
      <c r="AI637" s="203">
        <f t="shared" ca="1" si="1409"/>
        <v>0</v>
      </c>
      <c r="AJ637" s="203">
        <f t="shared" ca="1" si="1410"/>
        <v>0</v>
      </c>
      <c r="AK637" s="212" t="str">
        <f t="shared" si="1411"/>
        <v>N/A</v>
      </c>
      <c r="AL637" s="212">
        <f t="shared" si="1411"/>
        <v>0</v>
      </c>
      <c r="AM637" s="203">
        <f t="shared" si="1412"/>
        <v>0</v>
      </c>
      <c r="AN637" s="203">
        <f t="shared" ca="1" si="1413"/>
        <v>0</v>
      </c>
      <c r="AO637" s="203">
        <f t="shared" ca="1" si="1414"/>
        <v>0</v>
      </c>
      <c r="AP637" s="212" t="str">
        <f t="shared" si="1415"/>
        <v>N/A</v>
      </c>
      <c r="AQ637" s="212">
        <f t="shared" si="1415"/>
        <v>0</v>
      </c>
      <c r="AR637" s="203">
        <f t="shared" si="1416"/>
        <v>0</v>
      </c>
      <c r="AS637" s="203">
        <f t="shared" ca="1" si="1417"/>
        <v>0</v>
      </c>
      <c r="AT637" s="203">
        <f t="shared" ca="1" si="1418"/>
        <v>0</v>
      </c>
      <c r="AU637" s="212" t="str">
        <f t="shared" si="1419"/>
        <v>AMC2-S1</v>
      </c>
      <c r="AV637" s="212">
        <f t="shared" si="1419"/>
        <v>1</v>
      </c>
      <c r="AW637" s="203">
        <f t="shared" si="1420"/>
        <v>4</v>
      </c>
      <c r="AX637" s="203">
        <f t="shared" ca="1" si="1421"/>
        <v>4</v>
      </c>
      <c r="AY637" s="203">
        <f t="shared" ca="1" si="1422"/>
        <v>0</v>
      </c>
      <c r="AZ637" s="212"/>
      <c r="BA637" s="233" t="s">
        <v>140</v>
      </c>
      <c r="BB637" s="233" t="s">
        <v>140</v>
      </c>
      <c r="BC637" s="233" t="s">
        <v>140</v>
      </c>
      <c r="BD637" s="233" t="s">
        <v>141</v>
      </c>
      <c r="BE637" s="148"/>
      <c r="BF637" s="212"/>
      <c r="BG637" s="117"/>
      <c r="BH637" s="117"/>
      <c r="BI637" s="149"/>
      <c r="BJ637" s="149"/>
      <c r="BK637" s="149"/>
      <c r="BL637" s="149"/>
      <c r="BM637" s="149" t="s">
        <v>1835</v>
      </c>
      <c r="BN637" s="149"/>
      <c r="BO637" s="149"/>
      <c r="BP637" s="149"/>
      <c r="BQ637" s="149"/>
      <c r="BR637" s="117">
        <v>0</v>
      </c>
      <c r="BS637" s="117">
        <v>0</v>
      </c>
      <c r="BT637" s="117">
        <v>0</v>
      </c>
      <c r="BU637" s="117">
        <v>0</v>
      </c>
      <c r="BV637" s="117">
        <v>0</v>
      </c>
      <c r="BW637" s="117">
        <v>0</v>
      </c>
      <c r="BX637" s="117">
        <v>0</v>
      </c>
      <c r="BY637" s="117" t="s">
        <v>1790</v>
      </c>
      <c r="BZ637" s="141" t="s">
        <v>2103</v>
      </c>
      <c r="CA637" s="144">
        <v>4</v>
      </c>
      <c r="CB637" s="153">
        <v>46238</v>
      </c>
      <c r="CC637" s="117"/>
      <c r="CD637" s="117"/>
      <c r="CE637" s="148"/>
      <c r="CF637" s="148">
        <f t="shared" si="1423"/>
        <v>0</v>
      </c>
    </row>
    <row r="638" spans="1:84" hidden="1">
      <c r="A638" s="148"/>
      <c r="B638" s="209" t="s">
        <v>1832</v>
      </c>
      <c r="C638" s="209" t="s">
        <v>2118</v>
      </c>
      <c r="D638" s="209" t="s">
        <v>13</v>
      </c>
      <c r="E638" s="209" t="s">
        <v>1816</v>
      </c>
      <c r="F638" s="209" t="s">
        <v>1207</v>
      </c>
      <c r="G638" s="209" t="s">
        <v>1157</v>
      </c>
      <c r="H638" s="210">
        <v>3385</v>
      </c>
      <c r="I638" s="211" t="s">
        <v>147</v>
      </c>
      <c r="J638" s="144">
        <v>2</v>
      </c>
      <c r="K638" s="145">
        <f t="shared" si="1402"/>
        <v>1</v>
      </c>
      <c r="L638" s="202">
        <f t="shared" si="1403"/>
        <v>2</v>
      </c>
      <c r="M638" s="212">
        <v>127.5</v>
      </c>
      <c r="N638" s="203">
        <f t="shared" si="1404"/>
        <v>255</v>
      </c>
      <c r="O638" s="212" t="s">
        <v>137</v>
      </c>
      <c r="P638" s="212" t="s">
        <v>13</v>
      </c>
      <c r="Q638" s="212" t="s">
        <v>148</v>
      </c>
      <c r="R638" s="212"/>
      <c r="S638" s="212"/>
      <c r="T638" s="203">
        <f ca="1">IF(SUMIFS(INDIRECT("'BTP-"&amp;$C$4&amp;"'!L:L"),INDIRECT("'BTP-"&amp;$C$4&amp;"'!D:D"),F638)-SUMIFS($T$10:T637,$F$10:F637,F638)&gt;0,MIN(SUMIFS(INDIRECT("'BTP-"&amp;$C$4&amp;"'!L:L"),INDIRECT("'BTP-"&amp;$C$4&amp;"'!D:D"),F638)-SUMIFS($T$10:T637,$F$10:F637,F638),L638),0)</f>
        <v>0</v>
      </c>
      <c r="U638" s="203">
        <f t="shared" ca="1" si="1405"/>
        <v>2</v>
      </c>
      <c r="V638" s="203">
        <f t="shared" ca="1" si="1406"/>
        <v>0</v>
      </c>
      <c r="W638" s="212"/>
      <c r="X638" s="212"/>
      <c r="Y638" s="212"/>
      <c r="Z638" s="212"/>
      <c r="AA638" s="212"/>
      <c r="AB638" s="212"/>
      <c r="AC638" s="214" t="s">
        <v>1784</v>
      </c>
      <c r="AD638" s="226" t="s">
        <v>1785</v>
      </c>
      <c r="AE638" s="148"/>
      <c r="AF638" s="212" t="str">
        <f t="shared" si="1407"/>
        <v>N/A</v>
      </c>
      <c r="AG638" s="212">
        <f t="shared" si="1407"/>
        <v>0</v>
      </c>
      <c r="AH638" s="203">
        <f t="shared" si="1408"/>
        <v>0</v>
      </c>
      <c r="AI638" s="203">
        <f t="shared" ca="1" si="1409"/>
        <v>0</v>
      </c>
      <c r="AJ638" s="203">
        <f t="shared" ca="1" si="1410"/>
        <v>0</v>
      </c>
      <c r="AK638" s="212" t="str">
        <f t="shared" si="1411"/>
        <v>N/A</v>
      </c>
      <c r="AL638" s="212">
        <f t="shared" si="1411"/>
        <v>0</v>
      </c>
      <c r="AM638" s="203">
        <f t="shared" si="1412"/>
        <v>0</v>
      </c>
      <c r="AN638" s="203">
        <f t="shared" ca="1" si="1413"/>
        <v>0</v>
      </c>
      <c r="AO638" s="203">
        <f t="shared" ca="1" si="1414"/>
        <v>0</v>
      </c>
      <c r="AP638" s="212" t="str">
        <f t="shared" si="1415"/>
        <v>N/A</v>
      </c>
      <c r="AQ638" s="212">
        <f t="shared" si="1415"/>
        <v>0</v>
      </c>
      <c r="AR638" s="203">
        <f t="shared" si="1416"/>
        <v>0</v>
      </c>
      <c r="AS638" s="203">
        <f t="shared" ca="1" si="1417"/>
        <v>0</v>
      </c>
      <c r="AT638" s="203">
        <f t="shared" ca="1" si="1418"/>
        <v>0</v>
      </c>
      <c r="AU638" s="212" t="str">
        <f t="shared" si="1419"/>
        <v>AMC2-S1</v>
      </c>
      <c r="AV638" s="212">
        <f t="shared" si="1419"/>
        <v>1</v>
      </c>
      <c r="AW638" s="203">
        <f t="shared" si="1420"/>
        <v>2</v>
      </c>
      <c r="AX638" s="203">
        <f t="shared" ca="1" si="1421"/>
        <v>0</v>
      </c>
      <c r="AY638" s="203">
        <f t="shared" ca="1" si="1422"/>
        <v>2</v>
      </c>
      <c r="AZ638" s="212"/>
      <c r="BA638" s="233" t="s">
        <v>140</v>
      </c>
      <c r="BB638" s="233" t="s">
        <v>140</v>
      </c>
      <c r="BC638" s="233" t="s">
        <v>140</v>
      </c>
      <c r="BD638" s="233" t="s">
        <v>141</v>
      </c>
      <c r="BE638" s="148"/>
      <c r="BF638" s="212"/>
      <c r="BG638" s="117"/>
      <c r="BH638" s="117"/>
      <c r="BI638" s="149"/>
      <c r="BJ638" s="149"/>
      <c r="BK638" s="149"/>
      <c r="BL638" s="149"/>
      <c r="BM638" s="149" t="s">
        <v>1835</v>
      </c>
      <c r="BN638" s="149"/>
      <c r="BO638" s="149"/>
      <c r="BP638" s="149"/>
      <c r="BQ638" s="149"/>
      <c r="BR638" s="117">
        <v>0</v>
      </c>
      <c r="BS638" s="117">
        <v>0</v>
      </c>
      <c r="BT638" s="117">
        <v>0</v>
      </c>
      <c r="BU638" s="117">
        <v>0</v>
      </c>
      <c r="BV638" s="117">
        <v>0</v>
      </c>
      <c r="BW638" s="117">
        <v>0</v>
      </c>
      <c r="BX638" s="117">
        <v>0</v>
      </c>
      <c r="BY638" s="117" t="s">
        <v>1790</v>
      </c>
      <c r="BZ638" s="141" t="s">
        <v>2100</v>
      </c>
      <c r="CA638" s="144">
        <v>2</v>
      </c>
      <c r="CB638" s="153">
        <v>46238</v>
      </c>
      <c r="CC638" s="117"/>
      <c r="CD638" s="117"/>
      <c r="CE638" s="148"/>
      <c r="CF638" s="148">
        <f t="shared" si="1423"/>
        <v>0</v>
      </c>
    </row>
    <row r="639" spans="1:84" hidden="1">
      <c r="A639" s="148"/>
      <c r="B639" s="209" t="s">
        <v>1832</v>
      </c>
      <c r="C639" s="209" t="s">
        <v>2118</v>
      </c>
      <c r="D639" s="209" t="s">
        <v>13</v>
      </c>
      <c r="E639" s="209" t="s">
        <v>1817</v>
      </c>
      <c r="F639" s="209" t="s">
        <v>1208</v>
      </c>
      <c r="G639" s="209" t="s">
        <v>1206</v>
      </c>
      <c r="H639" s="210">
        <v>310</v>
      </c>
      <c r="I639" s="211" t="s">
        <v>147</v>
      </c>
      <c r="J639" s="144">
        <v>2</v>
      </c>
      <c r="K639" s="145">
        <f t="shared" si="1402"/>
        <v>1</v>
      </c>
      <c r="L639" s="202">
        <f t="shared" si="1403"/>
        <v>2</v>
      </c>
      <c r="M639" s="212">
        <v>3.2</v>
      </c>
      <c r="N639" s="203">
        <f t="shared" si="1404"/>
        <v>6.4</v>
      </c>
      <c r="O639" s="212" t="s">
        <v>137</v>
      </c>
      <c r="P639" s="212" t="s">
        <v>13</v>
      </c>
      <c r="Q639" s="212" t="s">
        <v>148</v>
      </c>
      <c r="R639" s="212"/>
      <c r="S639" s="212"/>
      <c r="T639" s="203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2</v>
      </c>
      <c r="U639" s="203">
        <f t="shared" ca="1" si="1405"/>
        <v>0</v>
      </c>
      <c r="V639" s="203">
        <f t="shared" ca="1" si="1406"/>
        <v>1</v>
      </c>
      <c r="W639" s="212"/>
      <c r="X639" s="212"/>
      <c r="Y639" s="212"/>
      <c r="Z639" s="212"/>
      <c r="AA639" s="212"/>
      <c r="AB639" s="212"/>
      <c r="AC639" s="214" t="s">
        <v>1784</v>
      </c>
      <c r="AD639" s="226" t="s">
        <v>1785</v>
      </c>
      <c r="AE639" s="148"/>
      <c r="AF639" s="212" t="str">
        <f t="shared" si="1407"/>
        <v>N/A</v>
      </c>
      <c r="AG639" s="212">
        <f t="shared" si="1407"/>
        <v>0</v>
      </c>
      <c r="AH639" s="203">
        <f t="shared" si="1408"/>
        <v>0</v>
      </c>
      <c r="AI639" s="203">
        <f t="shared" ca="1" si="1409"/>
        <v>0</v>
      </c>
      <c r="AJ639" s="203">
        <f t="shared" ca="1" si="1410"/>
        <v>0</v>
      </c>
      <c r="AK639" s="212" t="str">
        <f t="shared" si="1411"/>
        <v>N/A</v>
      </c>
      <c r="AL639" s="212">
        <f t="shared" si="1411"/>
        <v>0</v>
      </c>
      <c r="AM639" s="203">
        <f t="shared" si="1412"/>
        <v>0</v>
      </c>
      <c r="AN639" s="203">
        <f t="shared" ca="1" si="1413"/>
        <v>0</v>
      </c>
      <c r="AO639" s="203">
        <f t="shared" ca="1" si="1414"/>
        <v>0</v>
      </c>
      <c r="AP639" s="212" t="str">
        <f t="shared" si="1415"/>
        <v>N/A</v>
      </c>
      <c r="AQ639" s="212">
        <f t="shared" si="1415"/>
        <v>0</v>
      </c>
      <c r="AR639" s="203">
        <f t="shared" si="1416"/>
        <v>0</v>
      </c>
      <c r="AS639" s="203">
        <f t="shared" ca="1" si="1417"/>
        <v>0</v>
      </c>
      <c r="AT639" s="203">
        <f t="shared" ca="1" si="1418"/>
        <v>0</v>
      </c>
      <c r="AU639" s="212" t="str">
        <f t="shared" si="1419"/>
        <v>AMC2-S1</v>
      </c>
      <c r="AV639" s="212">
        <f t="shared" si="1419"/>
        <v>1</v>
      </c>
      <c r="AW639" s="203">
        <f t="shared" si="1420"/>
        <v>2</v>
      </c>
      <c r="AX639" s="203">
        <f t="shared" ca="1" si="1421"/>
        <v>2</v>
      </c>
      <c r="AY639" s="203">
        <f t="shared" ca="1" si="1422"/>
        <v>0</v>
      </c>
      <c r="AZ639" s="212"/>
      <c r="BA639" s="233" t="s">
        <v>140</v>
      </c>
      <c r="BB639" s="233" t="s">
        <v>140</v>
      </c>
      <c r="BC639" s="233" t="s">
        <v>140</v>
      </c>
      <c r="BD639" s="233" t="s">
        <v>141</v>
      </c>
      <c r="BE639" s="148"/>
      <c r="BF639" s="212"/>
      <c r="BG639" s="117"/>
      <c r="BH639" s="117"/>
      <c r="BI639" s="149"/>
      <c r="BJ639" s="149"/>
      <c r="BK639" s="149"/>
      <c r="BL639" s="149"/>
      <c r="BM639" s="149" t="s">
        <v>1835</v>
      </c>
      <c r="BN639" s="149"/>
      <c r="BO639" s="149"/>
      <c r="BP639" s="149"/>
      <c r="BQ639" s="149"/>
      <c r="BR639" s="117">
        <v>0</v>
      </c>
      <c r="BS639" s="117">
        <v>0</v>
      </c>
      <c r="BT639" s="117">
        <v>0</v>
      </c>
      <c r="BU639" s="117">
        <v>0</v>
      </c>
      <c r="BV639" s="117">
        <v>0</v>
      </c>
      <c r="BW639" s="117">
        <v>0</v>
      </c>
      <c r="BX639" s="117">
        <v>0</v>
      </c>
      <c r="BY639" s="117" t="s">
        <v>1790</v>
      </c>
      <c r="BZ639" s="141" t="s">
        <v>2103</v>
      </c>
      <c r="CA639" s="144">
        <v>2</v>
      </c>
      <c r="CB639" s="153">
        <v>46238</v>
      </c>
      <c r="CC639" s="117"/>
      <c r="CD639" s="117"/>
      <c r="CE639" s="148"/>
      <c r="CF639" s="148">
        <f t="shared" si="1423"/>
        <v>0</v>
      </c>
    </row>
    <row r="640" spans="1:84" hidden="1">
      <c r="A640" s="148"/>
      <c r="B640" s="209" t="s">
        <v>1832</v>
      </c>
      <c r="C640" s="209" t="s">
        <v>2118</v>
      </c>
      <c r="D640" s="209" t="s">
        <v>1210</v>
      </c>
      <c r="E640" s="209" t="s">
        <v>1806</v>
      </c>
      <c r="F640" s="209" t="s">
        <v>1209</v>
      </c>
      <c r="G640" s="209" t="s">
        <v>1123</v>
      </c>
      <c r="H640" s="210">
        <v>260</v>
      </c>
      <c r="I640" s="211" t="s">
        <v>147</v>
      </c>
      <c r="J640" s="144">
        <v>2</v>
      </c>
      <c r="K640" s="145">
        <f t="shared" si="1402"/>
        <v>1</v>
      </c>
      <c r="L640" s="202">
        <f t="shared" si="1403"/>
        <v>2</v>
      </c>
      <c r="M640" s="212">
        <v>6.1</v>
      </c>
      <c r="N640" s="203">
        <f t="shared" si="1404"/>
        <v>12.2</v>
      </c>
      <c r="O640" s="212" t="s">
        <v>137</v>
      </c>
      <c r="P640" s="212" t="s">
        <v>13</v>
      </c>
      <c r="Q640" s="212" t="s">
        <v>148</v>
      </c>
      <c r="R640" s="212"/>
      <c r="S640" s="212"/>
      <c r="T640" s="203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0</v>
      </c>
      <c r="U640" s="203">
        <f t="shared" ca="1" si="1405"/>
        <v>2</v>
      </c>
      <c r="V640" s="203">
        <f t="shared" ca="1" si="1406"/>
        <v>0</v>
      </c>
      <c r="W640" s="212"/>
      <c r="X640" s="212"/>
      <c r="Y640" s="212"/>
      <c r="Z640" s="212"/>
      <c r="AA640" s="212"/>
      <c r="AB640" s="212"/>
      <c r="AC640" s="214" t="s">
        <v>1784</v>
      </c>
      <c r="AD640" s="226" t="s">
        <v>1785</v>
      </c>
      <c r="AE640" s="148"/>
      <c r="AF640" s="212" t="str">
        <f t="shared" ref="AF640:AG642" si="1424">AF639</f>
        <v>N/A</v>
      </c>
      <c r="AG640" s="212">
        <f t="shared" si="1424"/>
        <v>0</v>
      </c>
      <c r="AH640" s="203">
        <f t="shared" si="1408"/>
        <v>0</v>
      </c>
      <c r="AI640" s="203">
        <f t="shared" ca="1" si="1409"/>
        <v>0</v>
      </c>
      <c r="AJ640" s="203">
        <f t="shared" ca="1" si="1410"/>
        <v>0</v>
      </c>
      <c r="AK640" s="212" t="str">
        <f t="shared" ref="AK640:AL642" si="1425">AK639</f>
        <v>N/A</v>
      </c>
      <c r="AL640" s="212">
        <f t="shared" si="1425"/>
        <v>0</v>
      </c>
      <c r="AM640" s="203">
        <f t="shared" si="1412"/>
        <v>0</v>
      </c>
      <c r="AN640" s="203">
        <f t="shared" ca="1" si="1413"/>
        <v>0</v>
      </c>
      <c r="AO640" s="203">
        <f t="shared" ca="1" si="1414"/>
        <v>0</v>
      </c>
      <c r="AP640" s="212" t="str">
        <f t="shared" ref="AP640:AQ642" si="1426">AP639</f>
        <v>N/A</v>
      </c>
      <c r="AQ640" s="212">
        <f t="shared" si="1426"/>
        <v>0</v>
      </c>
      <c r="AR640" s="203">
        <f t="shared" si="1416"/>
        <v>0</v>
      </c>
      <c r="AS640" s="203">
        <f t="shared" ca="1" si="1417"/>
        <v>0</v>
      </c>
      <c r="AT640" s="203">
        <f t="shared" ca="1" si="1418"/>
        <v>0</v>
      </c>
      <c r="AU640" s="212" t="str">
        <f t="shared" ref="AU640:AV642" si="1427">AU639</f>
        <v>AMC2-S1</v>
      </c>
      <c r="AV640" s="212">
        <f t="shared" si="1427"/>
        <v>1</v>
      </c>
      <c r="AW640" s="203">
        <f t="shared" si="1420"/>
        <v>2</v>
      </c>
      <c r="AX640" s="203">
        <f t="shared" ca="1" si="1421"/>
        <v>0</v>
      </c>
      <c r="AY640" s="203">
        <f t="shared" ca="1" si="1422"/>
        <v>2</v>
      </c>
      <c r="AZ640" s="212"/>
      <c r="BA640" s="233" t="s">
        <v>140</v>
      </c>
      <c r="BB640" s="233" t="s">
        <v>140</v>
      </c>
      <c r="BC640" s="233" t="s">
        <v>140</v>
      </c>
      <c r="BD640" s="233" t="s">
        <v>141</v>
      </c>
      <c r="BE640" s="148"/>
      <c r="BF640" s="212"/>
      <c r="BG640" s="117"/>
      <c r="BH640" s="117"/>
      <c r="BI640" s="149"/>
      <c r="BJ640" s="149"/>
      <c r="BK640" s="149"/>
      <c r="BL640" s="149"/>
      <c r="BM640" s="149" t="s">
        <v>1835</v>
      </c>
      <c r="BN640" s="149"/>
      <c r="BO640" s="149"/>
      <c r="BP640" s="149"/>
      <c r="BQ640" s="149"/>
      <c r="BR640" s="117">
        <v>1</v>
      </c>
      <c r="BS640" s="117">
        <v>0</v>
      </c>
      <c r="BT640" s="117">
        <v>0</v>
      </c>
      <c r="BU640" s="117">
        <v>0</v>
      </c>
      <c r="BV640" s="117">
        <v>0</v>
      </c>
      <c r="BW640" s="117">
        <v>0</v>
      </c>
      <c r="BX640" s="117">
        <v>0</v>
      </c>
      <c r="BY640" s="117" t="s">
        <v>1790</v>
      </c>
      <c r="BZ640" s="141" t="s">
        <v>2101</v>
      </c>
      <c r="CA640" s="165">
        <v>2</v>
      </c>
      <c r="CB640" s="153">
        <v>46244</v>
      </c>
      <c r="CC640" s="117"/>
      <c r="CD640" s="117"/>
      <c r="CE640" s="148"/>
      <c r="CF640" s="148">
        <f t="shared" si="1423"/>
        <v>0</v>
      </c>
    </row>
    <row r="641" spans="1:84" hidden="1">
      <c r="A641" s="148"/>
      <c r="B641" s="209" t="s">
        <v>1832</v>
      </c>
      <c r="C641" s="209" t="s">
        <v>2118</v>
      </c>
      <c r="D641" s="209" t="s">
        <v>1212</v>
      </c>
      <c r="E641" s="209" t="s">
        <v>1807</v>
      </c>
      <c r="F641" s="209" t="s">
        <v>1211</v>
      </c>
      <c r="G641" s="209" t="s">
        <v>1125</v>
      </c>
      <c r="H641" s="210">
        <v>200</v>
      </c>
      <c r="I641" s="211" t="s">
        <v>147</v>
      </c>
      <c r="J641" s="144">
        <v>2</v>
      </c>
      <c r="K641" s="145">
        <f t="shared" si="1402"/>
        <v>1</v>
      </c>
      <c r="L641" s="202">
        <f t="shared" si="1403"/>
        <v>2</v>
      </c>
      <c r="M641" s="212">
        <v>2.6</v>
      </c>
      <c r="N641" s="203">
        <f t="shared" si="1404"/>
        <v>5.2</v>
      </c>
      <c r="O641" s="212" t="s">
        <v>137</v>
      </c>
      <c r="P641" s="212" t="s">
        <v>13</v>
      </c>
      <c r="Q641" s="212" t="s">
        <v>148</v>
      </c>
      <c r="R641" s="212"/>
      <c r="S641" s="212"/>
      <c r="T641" s="203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0</v>
      </c>
      <c r="U641" s="203">
        <f t="shared" ca="1" si="1405"/>
        <v>2</v>
      </c>
      <c r="V641" s="203">
        <f t="shared" ca="1" si="1406"/>
        <v>0</v>
      </c>
      <c r="W641" s="212"/>
      <c r="X641" s="212"/>
      <c r="Y641" s="212"/>
      <c r="Z641" s="212"/>
      <c r="AA641" s="212"/>
      <c r="AB641" s="212"/>
      <c r="AC641" s="214" t="s">
        <v>1784</v>
      </c>
      <c r="AD641" s="226" t="s">
        <v>1785</v>
      </c>
      <c r="AE641" s="148"/>
      <c r="AF641" s="212" t="str">
        <f t="shared" si="1424"/>
        <v>N/A</v>
      </c>
      <c r="AG641" s="212">
        <f t="shared" si="1424"/>
        <v>0</v>
      </c>
      <c r="AH641" s="203">
        <f t="shared" si="1408"/>
        <v>0</v>
      </c>
      <c r="AI641" s="203">
        <f t="shared" ca="1" si="1409"/>
        <v>0</v>
      </c>
      <c r="AJ641" s="203">
        <f t="shared" ca="1" si="1410"/>
        <v>0</v>
      </c>
      <c r="AK641" s="212" t="str">
        <f t="shared" si="1425"/>
        <v>N/A</v>
      </c>
      <c r="AL641" s="212">
        <f t="shared" si="1425"/>
        <v>0</v>
      </c>
      <c r="AM641" s="203">
        <f t="shared" si="1412"/>
        <v>0</v>
      </c>
      <c r="AN641" s="203">
        <f t="shared" ca="1" si="1413"/>
        <v>0</v>
      </c>
      <c r="AO641" s="203">
        <f t="shared" ca="1" si="1414"/>
        <v>0</v>
      </c>
      <c r="AP641" s="212" t="str">
        <f t="shared" si="1426"/>
        <v>N/A</v>
      </c>
      <c r="AQ641" s="212">
        <f t="shared" si="1426"/>
        <v>0</v>
      </c>
      <c r="AR641" s="203">
        <f t="shared" si="1416"/>
        <v>0</v>
      </c>
      <c r="AS641" s="203">
        <f t="shared" ca="1" si="1417"/>
        <v>0</v>
      </c>
      <c r="AT641" s="203">
        <f t="shared" ca="1" si="1418"/>
        <v>0</v>
      </c>
      <c r="AU641" s="212" t="str">
        <f t="shared" si="1427"/>
        <v>AMC2-S1</v>
      </c>
      <c r="AV641" s="212">
        <f t="shared" si="1427"/>
        <v>1</v>
      </c>
      <c r="AW641" s="203">
        <f t="shared" si="1420"/>
        <v>2</v>
      </c>
      <c r="AX641" s="203">
        <f t="shared" ca="1" si="1421"/>
        <v>0</v>
      </c>
      <c r="AY641" s="203">
        <f t="shared" ca="1" si="1422"/>
        <v>2</v>
      </c>
      <c r="AZ641" s="212"/>
      <c r="BA641" s="233" t="s">
        <v>140</v>
      </c>
      <c r="BB641" s="233" t="s">
        <v>140</v>
      </c>
      <c r="BC641" s="233" t="s">
        <v>140</v>
      </c>
      <c r="BD641" s="233" t="s">
        <v>141</v>
      </c>
      <c r="BE641" s="148"/>
      <c r="BF641" s="212"/>
      <c r="BG641" s="117"/>
      <c r="BH641" s="117"/>
      <c r="BI641" s="149"/>
      <c r="BJ641" s="149"/>
      <c r="BK641" s="149"/>
      <c r="BL641" s="149"/>
      <c r="BM641" s="149" t="s">
        <v>1835</v>
      </c>
      <c r="BN641" s="149"/>
      <c r="BO641" s="149"/>
      <c r="BP641" s="149"/>
      <c r="BQ641" s="149"/>
      <c r="BR641" s="117">
        <v>1</v>
      </c>
      <c r="BS641" s="117">
        <v>0</v>
      </c>
      <c r="BT641" s="117">
        <v>0</v>
      </c>
      <c r="BU641" s="117">
        <v>0</v>
      </c>
      <c r="BV641" s="117">
        <v>0</v>
      </c>
      <c r="BW641" s="117">
        <v>0</v>
      </c>
      <c r="BX641" s="117">
        <v>0</v>
      </c>
      <c r="BY641" s="117" t="s">
        <v>1790</v>
      </c>
      <c r="BZ641" s="141" t="s">
        <v>2100</v>
      </c>
      <c r="CA641" s="144">
        <v>2</v>
      </c>
      <c r="CB641" s="153">
        <v>46238</v>
      </c>
      <c r="CC641" s="117"/>
      <c r="CD641" s="117"/>
      <c r="CE641" s="148"/>
      <c r="CF641" s="148">
        <f t="shared" si="1423"/>
        <v>0</v>
      </c>
    </row>
    <row r="642" spans="1:84" hidden="1">
      <c r="A642" s="148"/>
      <c r="B642" s="209" t="s">
        <v>1832</v>
      </c>
      <c r="C642" s="209" t="s">
        <v>2118</v>
      </c>
      <c r="D642" s="209" t="s">
        <v>1010</v>
      </c>
      <c r="E642" s="209" t="s">
        <v>1802</v>
      </c>
      <c r="F642" s="209" t="s">
        <v>1192</v>
      </c>
      <c r="G642" s="209" t="s">
        <v>1075</v>
      </c>
      <c r="H642" s="210">
        <v>812</v>
      </c>
      <c r="I642" s="211" t="s">
        <v>1077</v>
      </c>
      <c r="J642" s="144">
        <v>2</v>
      </c>
      <c r="K642" s="145">
        <f t="shared" si="1402"/>
        <v>1</v>
      </c>
      <c r="L642" s="202">
        <f t="shared" si="1403"/>
        <v>2</v>
      </c>
      <c r="M642" s="212">
        <v>13.05696</v>
      </c>
      <c r="N642" s="203">
        <f t="shared" si="1404"/>
        <v>26.11392</v>
      </c>
      <c r="O642" s="212" t="s">
        <v>137</v>
      </c>
      <c r="P642" s="212" t="s">
        <v>11</v>
      </c>
      <c r="Q642" s="212" t="s">
        <v>148</v>
      </c>
      <c r="R642" s="212"/>
      <c r="S642" s="212"/>
      <c r="T642" s="203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0</v>
      </c>
      <c r="U642" s="203">
        <f t="shared" ca="1" si="1405"/>
        <v>2</v>
      </c>
      <c r="V642" s="203">
        <f t="shared" ca="1" si="1406"/>
        <v>0</v>
      </c>
      <c r="W642" s="212"/>
      <c r="X642" s="212"/>
      <c r="Y642" s="212"/>
      <c r="Z642" s="212"/>
      <c r="AA642" s="212"/>
      <c r="AB642" s="212"/>
      <c r="AC642" s="214" t="s">
        <v>1784</v>
      </c>
      <c r="AD642" s="226" t="s">
        <v>1785</v>
      </c>
      <c r="AE642" s="148"/>
      <c r="AF642" s="212" t="str">
        <f t="shared" si="1424"/>
        <v>N/A</v>
      </c>
      <c r="AG642" s="212">
        <f t="shared" si="1424"/>
        <v>0</v>
      </c>
      <c r="AH642" s="203">
        <f t="shared" si="1408"/>
        <v>0</v>
      </c>
      <c r="AI642" s="203">
        <f t="shared" ca="1" si="1409"/>
        <v>0</v>
      </c>
      <c r="AJ642" s="203">
        <f t="shared" ca="1" si="1410"/>
        <v>0</v>
      </c>
      <c r="AK642" s="212" t="str">
        <f t="shared" si="1425"/>
        <v>N/A</v>
      </c>
      <c r="AL642" s="212">
        <f t="shared" si="1425"/>
        <v>0</v>
      </c>
      <c r="AM642" s="203">
        <f t="shared" si="1412"/>
        <v>0</v>
      </c>
      <c r="AN642" s="203">
        <f t="shared" ca="1" si="1413"/>
        <v>0</v>
      </c>
      <c r="AO642" s="203">
        <f t="shared" ca="1" si="1414"/>
        <v>0</v>
      </c>
      <c r="AP642" s="212" t="str">
        <f t="shared" si="1426"/>
        <v>N/A</v>
      </c>
      <c r="AQ642" s="212">
        <f t="shared" si="1426"/>
        <v>0</v>
      </c>
      <c r="AR642" s="203">
        <f t="shared" si="1416"/>
        <v>0</v>
      </c>
      <c r="AS642" s="203">
        <f t="shared" ca="1" si="1417"/>
        <v>0</v>
      </c>
      <c r="AT642" s="203">
        <f t="shared" ca="1" si="1418"/>
        <v>0</v>
      </c>
      <c r="AU642" s="212" t="str">
        <f t="shared" si="1427"/>
        <v>AMC2-S1</v>
      </c>
      <c r="AV642" s="212">
        <f t="shared" si="1427"/>
        <v>1</v>
      </c>
      <c r="AW642" s="203">
        <f t="shared" si="1420"/>
        <v>2</v>
      </c>
      <c r="AX642" s="203">
        <f t="shared" ca="1" si="1421"/>
        <v>0</v>
      </c>
      <c r="AY642" s="203">
        <f t="shared" ca="1" si="1422"/>
        <v>2</v>
      </c>
      <c r="AZ642" s="212"/>
      <c r="BA642" s="233" t="s">
        <v>140</v>
      </c>
      <c r="BB642" s="233" t="s">
        <v>140</v>
      </c>
      <c r="BC642" s="233" t="s">
        <v>140</v>
      </c>
      <c r="BD642" s="233" t="s">
        <v>141</v>
      </c>
      <c r="BE642" s="148"/>
      <c r="BF642" s="212"/>
      <c r="BG642" s="117"/>
      <c r="BH642" s="117"/>
      <c r="BI642" s="149"/>
      <c r="BJ642" s="149"/>
      <c r="BK642" s="149"/>
      <c r="BL642" s="149"/>
      <c r="BM642" s="149" t="s">
        <v>1835</v>
      </c>
      <c r="BN642" s="149"/>
      <c r="BO642" s="149"/>
      <c r="BP642" s="149"/>
      <c r="BQ642" s="149"/>
      <c r="BR642" s="117">
        <v>0</v>
      </c>
      <c r="BS642" s="117">
        <v>0</v>
      </c>
      <c r="BT642" s="117">
        <v>0</v>
      </c>
      <c r="BU642" s="117">
        <v>1</v>
      </c>
      <c r="BV642" s="117">
        <v>0</v>
      </c>
      <c r="BW642" s="117">
        <v>0</v>
      </c>
      <c r="BX642" s="117">
        <v>0</v>
      </c>
      <c r="BY642" s="117" t="s">
        <v>1790</v>
      </c>
      <c r="BZ642" s="141" t="s">
        <v>2104</v>
      </c>
      <c r="CA642" s="144">
        <v>2</v>
      </c>
      <c r="CB642" s="153">
        <v>46238</v>
      </c>
      <c r="CC642" s="117"/>
      <c r="CD642" s="117"/>
      <c r="CE642" s="148"/>
      <c r="CF642" s="148">
        <f t="shared" si="1423"/>
        <v>0</v>
      </c>
    </row>
    <row r="643" spans="1:84" hidden="1">
      <c r="A643" s="162">
        <v>34</v>
      </c>
      <c r="B643" s="177" t="s">
        <v>1837</v>
      </c>
      <c r="C643" s="177" t="s">
        <v>2120</v>
      </c>
      <c r="D643" s="177" t="s">
        <v>1838</v>
      </c>
      <c r="E643" s="177"/>
      <c r="F643" s="177"/>
      <c r="G643" s="177" t="s">
        <v>1839</v>
      </c>
      <c r="H643" s="178"/>
      <c r="I643" s="179"/>
      <c r="J643" s="160"/>
      <c r="K643" s="180">
        <f>+AG643+AL643+AQ643+AV643</f>
        <v>1</v>
      </c>
      <c r="L643" s="160"/>
      <c r="M643" s="181">
        <v>6316.3417600000012</v>
      </c>
      <c r="N643" s="181">
        <v>6316.3417600000012</v>
      </c>
      <c r="O643" s="181" t="s">
        <v>137</v>
      </c>
      <c r="P643" s="181"/>
      <c r="Q643" s="181"/>
      <c r="R643" s="181"/>
      <c r="S643" s="181"/>
      <c r="T643" s="181"/>
      <c r="U643" s="181"/>
      <c r="V643" s="181"/>
      <c r="W643" s="181">
        <f ca="1">_xlfn.MINIFS(V:V,C:C,C643,AE:AE,"",AB:AB,"")</f>
        <v>0</v>
      </c>
      <c r="X643" s="181">
        <f ca="1">SUMIFS(T:T,C:C,C643,AE:AE,"")/SUMIFS(L:L,C:C,C643,AE:AE,"",AB:AB,"")</f>
        <v>0.32432432432432434</v>
      </c>
      <c r="Y643" s="181"/>
      <c r="Z643" s="181"/>
      <c r="AA643" s="181"/>
      <c r="AB643" s="181"/>
      <c r="AC643" s="183" t="s">
        <v>1784</v>
      </c>
      <c r="AD643" s="184" t="s">
        <v>1785</v>
      </c>
      <c r="AE643" s="162" t="s">
        <v>143</v>
      </c>
      <c r="AF643" s="181" t="s">
        <v>138</v>
      </c>
      <c r="AG643" s="181">
        <v>0</v>
      </c>
      <c r="AH643" s="181"/>
      <c r="AI643" s="181"/>
      <c r="AJ643" s="181"/>
      <c r="AK643" s="181" t="s">
        <v>138</v>
      </c>
      <c r="AL643" s="181">
        <v>0</v>
      </c>
      <c r="AM643" s="181"/>
      <c r="AN643" s="181"/>
      <c r="AO643" s="181"/>
      <c r="AP643" s="181" t="s">
        <v>138</v>
      </c>
      <c r="AQ643" s="181">
        <v>0</v>
      </c>
      <c r="AR643" s="181"/>
      <c r="AS643" s="181"/>
      <c r="AT643" s="181"/>
      <c r="AU643" s="181" t="s">
        <v>1783</v>
      </c>
      <c r="AV643" s="181">
        <v>1</v>
      </c>
      <c r="AW643" s="181"/>
      <c r="AX643" s="181"/>
      <c r="AY643" s="181"/>
      <c r="AZ643" s="181"/>
      <c r="BA643" s="182" t="s">
        <v>140</v>
      </c>
      <c r="BB643" s="182" t="s">
        <v>140</v>
      </c>
      <c r="BC643" s="182" t="s">
        <v>140</v>
      </c>
      <c r="BD643" s="182" t="s">
        <v>141</v>
      </c>
      <c r="BE643" s="162" t="s">
        <v>741</v>
      </c>
      <c r="BF643" s="181"/>
      <c r="BG643" s="161"/>
      <c r="BH643" s="161"/>
      <c r="BI643" s="163"/>
      <c r="BJ643" s="163"/>
      <c r="BK643" s="163"/>
      <c r="BL643" s="163"/>
      <c r="BM643" s="163"/>
      <c r="BN643" s="163"/>
      <c r="BO643" s="163"/>
      <c r="BP643" s="163"/>
      <c r="BQ643" s="163"/>
      <c r="BR643" s="161"/>
      <c r="BS643" s="161"/>
      <c r="BT643" s="161"/>
      <c r="BU643" s="161"/>
      <c r="BV643" s="161"/>
      <c r="BW643" s="161"/>
      <c r="BX643" s="161"/>
      <c r="BY643" s="161"/>
      <c r="BZ643" s="161"/>
      <c r="CA643" s="161"/>
      <c r="CB643" s="163"/>
      <c r="CC643" s="161"/>
      <c r="CD643" s="161"/>
      <c r="CE643" s="185"/>
      <c r="CF643" s="185"/>
    </row>
    <row r="644" spans="1:84" hidden="1">
      <c r="A644" s="148"/>
      <c r="B644" s="209" t="s">
        <v>1837</v>
      </c>
      <c r="C644" s="209" t="s">
        <v>2120</v>
      </c>
      <c r="D644" s="209" t="s">
        <v>1195</v>
      </c>
      <c r="E644" s="209" t="s">
        <v>1788</v>
      </c>
      <c r="F644" s="209" t="s">
        <v>1230</v>
      </c>
      <c r="G644" s="209" t="s">
        <v>1231</v>
      </c>
      <c r="H644" s="210">
        <v>11481</v>
      </c>
      <c r="I644" s="211" t="s">
        <v>147</v>
      </c>
      <c r="J644" s="144">
        <v>1</v>
      </c>
      <c r="K644" s="145">
        <f t="shared" ref="K644:K655" si="1428">K643</f>
        <v>1</v>
      </c>
      <c r="L644" s="202">
        <f t="shared" ref="L644:L655" si="1429">+J644*K644</f>
        <v>1</v>
      </c>
      <c r="M644" s="212">
        <v>4916.3</v>
      </c>
      <c r="N644" s="203">
        <f t="shared" ref="N644:N655" si="1430">+M644*L644</f>
        <v>4916.3</v>
      </c>
      <c r="O644" s="212" t="s">
        <v>137</v>
      </c>
      <c r="P644" s="212" t="s">
        <v>13</v>
      </c>
      <c r="Q644" s="212" t="s">
        <v>154</v>
      </c>
      <c r="R644" s="212"/>
      <c r="S644" s="212"/>
      <c r="T644" s="203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0</v>
      </c>
      <c r="U644" s="203">
        <f t="shared" ref="U644:U655" ca="1" si="1431">+L644-T644</f>
        <v>1</v>
      </c>
      <c r="V644" s="203">
        <f t="shared" ref="V644:V655" ca="1" si="1432">ROUNDDOWN(T644/J644,0)</f>
        <v>0</v>
      </c>
      <c r="W644" s="212"/>
      <c r="X644" s="212"/>
      <c r="Y644" s="212"/>
      <c r="Z644" s="212"/>
      <c r="AA644" s="212"/>
      <c r="AB644" s="212"/>
      <c r="AC644" s="214" t="s">
        <v>1784</v>
      </c>
      <c r="AD644" s="226" t="s">
        <v>1785</v>
      </c>
      <c r="AE644" s="148"/>
      <c r="AF644" s="212" t="str">
        <f t="shared" ref="AF644:AG655" si="1433">AF643</f>
        <v>N/A</v>
      </c>
      <c r="AG644" s="212">
        <f t="shared" si="1433"/>
        <v>0</v>
      </c>
      <c r="AH644" s="203">
        <f t="shared" ref="AH644:AH655" si="1434">+AG644*J644</f>
        <v>0</v>
      </c>
      <c r="AI644" s="203">
        <f t="shared" ref="AI644:AI655" ca="1" si="1435">MIN(T644,AH644)</f>
        <v>0</v>
      </c>
      <c r="AJ644" s="203">
        <f t="shared" ref="AJ644:AJ655" ca="1" si="1436">+AH644-AI644</f>
        <v>0</v>
      </c>
      <c r="AK644" s="212" t="str">
        <f t="shared" ref="AK644:AL655" si="1437">AK643</f>
        <v>N/A</v>
      </c>
      <c r="AL644" s="212">
        <f t="shared" si="1437"/>
        <v>0</v>
      </c>
      <c r="AM644" s="203">
        <f t="shared" ref="AM644:AM655" si="1438">+AL644*J644</f>
        <v>0</v>
      </c>
      <c r="AN644" s="203">
        <f t="shared" ref="AN644:AN655" ca="1" si="1439">MIN(T644-AI644,AL644)</f>
        <v>0</v>
      </c>
      <c r="AO644" s="203">
        <f t="shared" ref="AO644:AO655" ca="1" si="1440">+AM644-AN644</f>
        <v>0</v>
      </c>
      <c r="AP644" s="212" t="str">
        <f t="shared" ref="AP644:AQ655" si="1441">AP643</f>
        <v>N/A</v>
      </c>
      <c r="AQ644" s="212">
        <f t="shared" si="1441"/>
        <v>0</v>
      </c>
      <c r="AR644" s="203">
        <f t="shared" ref="AR644:AR655" si="1442">+AQ644*J644</f>
        <v>0</v>
      </c>
      <c r="AS644" s="203">
        <f t="shared" ref="AS644:AS655" ca="1" si="1443">MIN(T644-AI644-AN644,AR644)</f>
        <v>0</v>
      </c>
      <c r="AT644" s="203">
        <f t="shared" ref="AT644:AT655" ca="1" si="1444">+AR644-AS644</f>
        <v>0</v>
      </c>
      <c r="AU644" s="212" t="str">
        <f t="shared" ref="AU644:AV655" si="1445">AU643</f>
        <v>AMC2-S1</v>
      </c>
      <c r="AV644" s="212">
        <f t="shared" si="1445"/>
        <v>1</v>
      </c>
      <c r="AW644" s="203">
        <f t="shared" ref="AW644:AW655" si="1446">+AV644*J644</f>
        <v>1</v>
      </c>
      <c r="AX644" s="203">
        <f t="shared" ref="AX644:AX655" ca="1" si="1447">MIN(T644-AI644-AN644-AS644,AW644)</f>
        <v>0</v>
      </c>
      <c r="AY644" s="203">
        <f t="shared" ref="AY644:AY655" ca="1" si="1448">+AW644-AX644</f>
        <v>1</v>
      </c>
      <c r="AZ644" s="212"/>
      <c r="BA644" s="233" t="s">
        <v>140</v>
      </c>
      <c r="BB644" s="233" t="s">
        <v>140</v>
      </c>
      <c r="BC644" s="233" t="s">
        <v>140</v>
      </c>
      <c r="BD644" s="233" t="s">
        <v>141</v>
      </c>
      <c r="BE644" s="148"/>
      <c r="BF644" s="212"/>
      <c r="BG644" s="117"/>
      <c r="BH644" s="117"/>
      <c r="BI644" s="149"/>
      <c r="BJ644" s="149"/>
      <c r="BK644" s="149"/>
      <c r="BL644" s="149"/>
      <c r="BM644" s="149" t="s">
        <v>1835</v>
      </c>
      <c r="BN644" s="149"/>
      <c r="BO644" s="149"/>
      <c r="BP644" s="149"/>
      <c r="BQ644" s="149"/>
      <c r="BR644" s="117">
        <v>0</v>
      </c>
      <c r="BS644" s="117">
        <v>1</v>
      </c>
      <c r="BT644" s="117">
        <v>0</v>
      </c>
      <c r="BU644" s="117">
        <v>1</v>
      </c>
      <c r="BV644" s="117">
        <v>0</v>
      </c>
      <c r="BW644" s="117">
        <v>0</v>
      </c>
      <c r="BX644" s="117">
        <v>0</v>
      </c>
      <c r="BY644" s="117" t="s">
        <v>1790</v>
      </c>
      <c r="BZ644" s="117"/>
      <c r="CA644" s="117"/>
      <c r="CB644" s="149"/>
      <c r="CC644" s="117"/>
      <c r="CD644" s="117"/>
      <c r="CE644" s="148"/>
      <c r="CF644" s="148">
        <f t="shared" ref="CF644:CF655" si="1449">+L644-CA644</f>
        <v>1</v>
      </c>
    </row>
    <row r="645" spans="1:84" hidden="1">
      <c r="A645" s="148"/>
      <c r="B645" s="209" t="s">
        <v>1837</v>
      </c>
      <c r="C645" s="209" t="s">
        <v>2120</v>
      </c>
      <c r="D645" s="209" t="s">
        <v>13</v>
      </c>
      <c r="E645" s="209" t="s">
        <v>1791</v>
      </c>
      <c r="F645" s="209" t="s">
        <v>1234</v>
      </c>
      <c r="G645" s="209" t="s">
        <v>1157</v>
      </c>
      <c r="H645" s="210">
        <v>11491</v>
      </c>
      <c r="I645" s="211" t="s">
        <v>147</v>
      </c>
      <c r="J645" s="144">
        <v>2</v>
      </c>
      <c r="K645" s="145">
        <f t="shared" si="1428"/>
        <v>1</v>
      </c>
      <c r="L645" s="202">
        <f t="shared" si="1429"/>
        <v>2</v>
      </c>
      <c r="M645" s="212">
        <v>433</v>
      </c>
      <c r="N645" s="203">
        <f t="shared" si="1430"/>
        <v>866</v>
      </c>
      <c r="O645" s="212" t="s">
        <v>137</v>
      </c>
      <c r="P645" s="212" t="s">
        <v>13</v>
      </c>
      <c r="Q645" s="212" t="s">
        <v>148</v>
      </c>
      <c r="R645" s="212"/>
      <c r="S645" s="212"/>
      <c r="T645" s="203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0</v>
      </c>
      <c r="U645" s="203">
        <f t="shared" ca="1" si="1431"/>
        <v>2</v>
      </c>
      <c r="V645" s="203">
        <f t="shared" ca="1" si="1432"/>
        <v>0</v>
      </c>
      <c r="W645" s="212"/>
      <c r="X645" s="212"/>
      <c r="Y645" s="212"/>
      <c r="Z645" s="212"/>
      <c r="AA645" s="212"/>
      <c r="AB645" s="212"/>
      <c r="AC645" s="214" t="s">
        <v>1784</v>
      </c>
      <c r="AD645" s="226" t="s">
        <v>1785</v>
      </c>
      <c r="AE645" s="148"/>
      <c r="AF645" s="212" t="str">
        <f t="shared" si="1433"/>
        <v>N/A</v>
      </c>
      <c r="AG645" s="212">
        <f t="shared" si="1433"/>
        <v>0</v>
      </c>
      <c r="AH645" s="203">
        <f t="shared" si="1434"/>
        <v>0</v>
      </c>
      <c r="AI645" s="203">
        <f t="shared" ca="1" si="1435"/>
        <v>0</v>
      </c>
      <c r="AJ645" s="203">
        <f t="shared" ca="1" si="1436"/>
        <v>0</v>
      </c>
      <c r="AK645" s="212" t="str">
        <f t="shared" si="1437"/>
        <v>N/A</v>
      </c>
      <c r="AL645" s="212">
        <f t="shared" si="1437"/>
        <v>0</v>
      </c>
      <c r="AM645" s="203">
        <f t="shared" si="1438"/>
        <v>0</v>
      </c>
      <c r="AN645" s="203">
        <f t="shared" ca="1" si="1439"/>
        <v>0</v>
      </c>
      <c r="AO645" s="203">
        <f t="shared" ca="1" si="1440"/>
        <v>0</v>
      </c>
      <c r="AP645" s="212" t="str">
        <f t="shared" si="1441"/>
        <v>N/A</v>
      </c>
      <c r="AQ645" s="212">
        <f t="shared" si="1441"/>
        <v>0</v>
      </c>
      <c r="AR645" s="203">
        <f t="shared" si="1442"/>
        <v>0</v>
      </c>
      <c r="AS645" s="203">
        <f t="shared" ca="1" si="1443"/>
        <v>0</v>
      </c>
      <c r="AT645" s="203">
        <f t="shared" ca="1" si="1444"/>
        <v>0</v>
      </c>
      <c r="AU645" s="212" t="str">
        <f t="shared" si="1445"/>
        <v>AMC2-S1</v>
      </c>
      <c r="AV645" s="212">
        <f t="shared" si="1445"/>
        <v>1</v>
      </c>
      <c r="AW645" s="203">
        <f t="shared" si="1446"/>
        <v>2</v>
      </c>
      <c r="AX645" s="203">
        <f t="shared" ca="1" si="1447"/>
        <v>0</v>
      </c>
      <c r="AY645" s="203">
        <f t="shared" ca="1" si="1448"/>
        <v>2</v>
      </c>
      <c r="AZ645" s="212"/>
      <c r="BA645" s="233" t="s">
        <v>140</v>
      </c>
      <c r="BB645" s="233" t="s">
        <v>140</v>
      </c>
      <c r="BC645" s="233" t="s">
        <v>140</v>
      </c>
      <c r="BD645" s="233" t="s">
        <v>141</v>
      </c>
      <c r="BE645" s="148"/>
      <c r="BF645" s="212"/>
      <c r="BG645" s="117"/>
      <c r="BH645" s="117"/>
      <c r="BI645" s="149"/>
      <c r="BJ645" s="149"/>
      <c r="BK645" s="149"/>
      <c r="BL645" s="149"/>
      <c r="BM645" s="149" t="s">
        <v>1835</v>
      </c>
      <c r="BN645" s="149"/>
      <c r="BO645" s="149"/>
      <c r="BP645" s="149"/>
      <c r="BQ645" s="149"/>
      <c r="BR645" s="117">
        <v>0</v>
      </c>
      <c r="BS645" s="117">
        <v>0</v>
      </c>
      <c r="BT645" s="117">
        <v>0</v>
      </c>
      <c r="BU645" s="117">
        <v>0</v>
      </c>
      <c r="BV645" s="117">
        <v>0</v>
      </c>
      <c r="BW645" s="117">
        <v>0</v>
      </c>
      <c r="BX645" s="117">
        <v>0</v>
      </c>
      <c r="BY645" s="117" t="s">
        <v>1790</v>
      </c>
      <c r="BZ645" s="141" t="s">
        <v>2100</v>
      </c>
      <c r="CA645" s="144">
        <v>2</v>
      </c>
      <c r="CB645" s="153">
        <v>46238</v>
      </c>
      <c r="CC645" s="117"/>
      <c r="CD645" s="117"/>
      <c r="CE645" s="148"/>
      <c r="CF645" s="148">
        <f t="shared" si="1449"/>
        <v>0</v>
      </c>
    </row>
    <row r="646" spans="1:84" hidden="1">
      <c r="A646" s="148"/>
      <c r="B646" s="209" t="s">
        <v>1837</v>
      </c>
      <c r="C646" s="209" t="s">
        <v>2120</v>
      </c>
      <c r="D646" s="209" t="s">
        <v>1204</v>
      </c>
      <c r="E646" s="209" t="s">
        <v>1792</v>
      </c>
      <c r="F646" s="209" t="s">
        <v>1235</v>
      </c>
      <c r="G646" s="209" t="s">
        <v>1216</v>
      </c>
      <c r="H646" s="210">
        <v>2300</v>
      </c>
      <c r="I646" s="211" t="s">
        <v>147</v>
      </c>
      <c r="J646" s="144">
        <v>1</v>
      </c>
      <c r="K646" s="145">
        <f t="shared" si="1428"/>
        <v>1</v>
      </c>
      <c r="L646" s="202">
        <f t="shared" si="1429"/>
        <v>1</v>
      </c>
      <c r="M646" s="212">
        <v>71.099999999999994</v>
      </c>
      <c r="N646" s="203">
        <f t="shared" si="1430"/>
        <v>71.099999999999994</v>
      </c>
      <c r="O646" s="212" t="s">
        <v>137</v>
      </c>
      <c r="P646" s="212" t="s">
        <v>13</v>
      </c>
      <c r="Q646" s="212" t="s">
        <v>148</v>
      </c>
      <c r="R646" s="212"/>
      <c r="S646" s="212"/>
      <c r="T646" s="203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0</v>
      </c>
      <c r="U646" s="203">
        <f t="shared" ca="1" si="1431"/>
        <v>1</v>
      </c>
      <c r="V646" s="203">
        <f t="shared" ca="1" si="1432"/>
        <v>0</v>
      </c>
      <c r="W646" s="212"/>
      <c r="X646" s="212"/>
      <c r="Y646" s="212"/>
      <c r="Z646" s="212"/>
      <c r="AA646" s="212"/>
      <c r="AB646" s="212"/>
      <c r="AC646" s="214" t="s">
        <v>1784</v>
      </c>
      <c r="AD646" s="226" t="s">
        <v>1785</v>
      </c>
      <c r="AE646" s="148"/>
      <c r="AF646" s="212" t="str">
        <f t="shared" si="1433"/>
        <v>N/A</v>
      </c>
      <c r="AG646" s="212">
        <f t="shared" si="1433"/>
        <v>0</v>
      </c>
      <c r="AH646" s="203">
        <f t="shared" si="1434"/>
        <v>0</v>
      </c>
      <c r="AI646" s="203">
        <f t="shared" ca="1" si="1435"/>
        <v>0</v>
      </c>
      <c r="AJ646" s="203">
        <f t="shared" ca="1" si="1436"/>
        <v>0</v>
      </c>
      <c r="AK646" s="212" t="str">
        <f t="shared" si="1437"/>
        <v>N/A</v>
      </c>
      <c r="AL646" s="212">
        <f t="shared" si="1437"/>
        <v>0</v>
      </c>
      <c r="AM646" s="203">
        <f t="shared" si="1438"/>
        <v>0</v>
      </c>
      <c r="AN646" s="203">
        <f t="shared" ca="1" si="1439"/>
        <v>0</v>
      </c>
      <c r="AO646" s="203">
        <f t="shared" ca="1" si="1440"/>
        <v>0</v>
      </c>
      <c r="AP646" s="212" t="str">
        <f t="shared" si="1441"/>
        <v>N/A</v>
      </c>
      <c r="AQ646" s="212">
        <f t="shared" si="1441"/>
        <v>0</v>
      </c>
      <c r="AR646" s="203">
        <f t="shared" si="1442"/>
        <v>0</v>
      </c>
      <c r="AS646" s="203">
        <f t="shared" ca="1" si="1443"/>
        <v>0</v>
      </c>
      <c r="AT646" s="203">
        <f t="shared" ca="1" si="1444"/>
        <v>0</v>
      </c>
      <c r="AU646" s="212" t="str">
        <f t="shared" si="1445"/>
        <v>AMC2-S1</v>
      </c>
      <c r="AV646" s="212">
        <f t="shared" si="1445"/>
        <v>1</v>
      </c>
      <c r="AW646" s="203">
        <f t="shared" si="1446"/>
        <v>1</v>
      </c>
      <c r="AX646" s="203">
        <f t="shared" ca="1" si="1447"/>
        <v>0</v>
      </c>
      <c r="AY646" s="203">
        <f t="shared" ca="1" si="1448"/>
        <v>1</v>
      </c>
      <c r="AZ646" s="212"/>
      <c r="BA646" s="233" t="s">
        <v>140</v>
      </c>
      <c r="BB646" s="233" t="s">
        <v>140</v>
      </c>
      <c r="BC646" s="233" t="s">
        <v>140</v>
      </c>
      <c r="BD646" s="233" t="s">
        <v>141</v>
      </c>
      <c r="BE646" s="148"/>
      <c r="BF646" s="212"/>
      <c r="BG646" s="117"/>
      <c r="BH646" s="117"/>
      <c r="BI646" s="149"/>
      <c r="BJ646" s="149"/>
      <c r="BK646" s="149"/>
      <c r="BL646" s="149"/>
      <c r="BM646" s="149" t="s">
        <v>1835</v>
      </c>
      <c r="BN646" s="149"/>
      <c r="BO646" s="149"/>
      <c r="BP646" s="149"/>
      <c r="BQ646" s="149"/>
      <c r="BR646" s="117">
        <v>0</v>
      </c>
      <c r="BS646" s="117">
        <v>0</v>
      </c>
      <c r="BT646" s="117">
        <v>0</v>
      </c>
      <c r="BU646" s="117">
        <v>0</v>
      </c>
      <c r="BV646" s="117">
        <v>0</v>
      </c>
      <c r="BW646" s="117">
        <v>0</v>
      </c>
      <c r="BX646" s="117">
        <v>0</v>
      </c>
      <c r="BY646" s="117" t="s">
        <v>1790</v>
      </c>
      <c r="BZ646" s="117"/>
      <c r="CA646" s="117"/>
      <c r="CB646" s="149"/>
      <c r="CC646" s="117"/>
      <c r="CD646" s="117"/>
      <c r="CE646" s="148"/>
      <c r="CF646" s="148">
        <f t="shared" si="1449"/>
        <v>1</v>
      </c>
    </row>
    <row r="647" spans="1:84" hidden="1">
      <c r="A647" s="148"/>
      <c r="B647" s="209" t="s">
        <v>1837</v>
      </c>
      <c r="C647" s="209" t="s">
        <v>2120</v>
      </c>
      <c r="D647" s="209" t="s">
        <v>1204</v>
      </c>
      <c r="E647" s="209" t="s">
        <v>1793</v>
      </c>
      <c r="F647" s="209" t="s">
        <v>1236</v>
      </c>
      <c r="G647" s="209" t="s">
        <v>1216</v>
      </c>
      <c r="H647" s="210">
        <v>2300</v>
      </c>
      <c r="I647" s="211" t="s">
        <v>147</v>
      </c>
      <c r="J647" s="144">
        <v>3</v>
      </c>
      <c r="K647" s="145">
        <f t="shared" si="1428"/>
        <v>1</v>
      </c>
      <c r="L647" s="202">
        <f t="shared" si="1429"/>
        <v>3</v>
      </c>
      <c r="M647" s="212">
        <v>48.2</v>
      </c>
      <c r="N647" s="203">
        <f t="shared" si="1430"/>
        <v>144.60000000000002</v>
      </c>
      <c r="O647" s="212" t="s">
        <v>137</v>
      </c>
      <c r="P647" s="212" t="s">
        <v>13</v>
      </c>
      <c r="Q647" s="212" t="s">
        <v>148</v>
      </c>
      <c r="R647" s="212"/>
      <c r="S647" s="212"/>
      <c r="T647" s="203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0</v>
      </c>
      <c r="U647" s="203">
        <f t="shared" ca="1" si="1431"/>
        <v>3</v>
      </c>
      <c r="V647" s="203">
        <f t="shared" ca="1" si="1432"/>
        <v>0</v>
      </c>
      <c r="W647" s="212"/>
      <c r="X647" s="212"/>
      <c r="Y647" s="212"/>
      <c r="Z647" s="212"/>
      <c r="AA647" s="212"/>
      <c r="AB647" s="212"/>
      <c r="AC647" s="214" t="s">
        <v>1784</v>
      </c>
      <c r="AD647" s="226" t="s">
        <v>1785</v>
      </c>
      <c r="AE647" s="148"/>
      <c r="AF647" s="212" t="str">
        <f t="shared" si="1433"/>
        <v>N/A</v>
      </c>
      <c r="AG647" s="212">
        <f t="shared" si="1433"/>
        <v>0</v>
      </c>
      <c r="AH647" s="203">
        <f t="shared" si="1434"/>
        <v>0</v>
      </c>
      <c r="AI647" s="203">
        <f t="shared" ca="1" si="1435"/>
        <v>0</v>
      </c>
      <c r="AJ647" s="203">
        <f t="shared" ca="1" si="1436"/>
        <v>0</v>
      </c>
      <c r="AK647" s="212" t="str">
        <f t="shared" si="1437"/>
        <v>N/A</v>
      </c>
      <c r="AL647" s="212">
        <f t="shared" si="1437"/>
        <v>0</v>
      </c>
      <c r="AM647" s="203">
        <f t="shared" si="1438"/>
        <v>0</v>
      </c>
      <c r="AN647" s="203">
        <f t="shared" ca="1" si="1439"/>
        <v>0</v>
      </c>
      <c r="AO647" s="203">
        <f t="shared" ca="1" si="1440"/>
        <v>0</v>
      </c>
      <c r="AP647" s="212" t="str">
        <f t="shared" si="1441"/>
        <v>N/A</v>
      </c>
      <c r="AQ647" s="212">
        <f t="shared" si="1441"/>
        <v>0</v>
      </c>
      <c r="AR647" s="203">
        <f t="shared" si="1442"/>
        <v>0</v>
      </c>
      <c r="AS647" s="203">
        <f t="shared" ca="1" si="1443"/>
        <v>0</v>
      </c>
      <c r="AT647" s="203">
        <f t="shared" ca="1" si="1444"/>
        <v>0</v>
      </c>
      <c r="AU647" s="212" t="str">
        <f t="shared" si="1445"/>
        <v>AMC2-S1</v>
      </c>
      <c r="AV647" s="212">
        <f t="shared" si="1445"/>
        <v>1</v>
      </c>
      <c r="AW647" s="203">
        <f t="shared" si="1446"/>
        <v>3</v>
      </c>
      <c r="AX647" s="203">
        <f t="shared" ca="1" si="1447"/>
        <v>0</v>
      </c>
      <c r="AY647" s="203">
        <f t="shared" ca="1" si="1448"/>
        <v>3</v>
      </c>
      <c r="AZ647" s="212"/>
      <c r="BA647" s="233" t="s">
        <v>140</v>
      </c>
      <c r="BB647" s="233" t="s">
        <v>140</v>
      </c>
      <c r="BC647" s="233" t="s">
        <v>140</v>
      </c>
      <c r="BD647" s="233" t="s">
        <v>141</v>
      </c>
      <c r="BE647" s="148"/>
      <c r="BF647" s="212"/>
      <c r="BG647" s="117"/>
      <c r="BH647" s="117"/>
      <c r="BI647" s="149"/>
      <c r="BJ647" s="149"/>
      <c r="BK647" s="149"/>
      <c r="BL647" s="149"/>
      <c r="BM647" s="149" t="s">
        <v>1835</v>
      </c>
      <c r="BN647" s="149"/>
      <c r="BO647" s="149"/>
      <c r="BP647" s="149"/>
      <c r="BQ647" s="149"/>
      <c r="BR647" s="117">
        <v>0</v>
      </c>
      <c r="BS647" s="117">
        <v>0</v>
      </c>
      <c r="BT647" s="117">
        <v>0</v>
      </c>
      <c r="BU647" s="117">
        <v>1</v>
      </c>
      <c r="BV647" s="117">
        <v>0</v>
      </c>
      <c r="BW647" s="117">
        <v>0</v>
      </c>
      <c r="BX647" s="117">
        <v>0</v>
      </c>
      <c r="BY647" s="117" t="s">
        <v>1790</v>
      </c>
      <c r="BZ647" s="117"/>
      <c r="CA647" s="117"/>
      <c r="CB647" s="149"/>
      <c r="CC647" s="117"/>
      <c r="CD647" s="117"/>
      <c r="CE647" s="148"/>
      <c r="CF647" s="148">
        <f t="shared" si="1449"/>
        <v>3</v>
      </c>
    </row>
    <row r="648" spans="1:84" hidden="1">
      <c r="A648" s="148"/>
      <c r="B648" s="209" t="s">
        <v>1837</v>
      </c>
      <c r="C648" s="209" t="s">
        <v>2120</v>
      </c>
      <c r="D648" s="209" t="s">
        <v>13</v>
      </c>
      <c r="E648" s="209" t="s">
        <v>1794</v>
      </c>
      <c r="F648" s="209" t="s">
        <v>1237</v>
      </c>
      <c r="G648" s="209" t="s">
        <v>1238</v>
      </c>
      <c r="H648" s="210">
        <v>517</v>
      </c>
      <c r="I648" s="211" t="s">
        <v>147</v>
      </c>
      <c r="J648" s="144">
        <v>3</v>
      </c>
      <c r="K648" s="145">
        <f t="shared" si="1428"/>
        <v>1</v>
      </c>
      <c r="L648" s="202">
        <f t="shared" si="1429"/>
        <v>3</v>
      </c>
      <c r="M648" s="212">
        <v>13.2</v>
      </c>
      <c r="N648" s="203">
        <f t="shared" si="1430"/>
        <v>39.599999999999994</v>
      </c>
      <c r="O648" s="212" t="s">
        <v>137</v>
      </c>
      <c r="P648" s="212" t="s">
        <v>13</v>
      </c>
      <c r="Q648" s="212" t="s">
        <v>148</v>
      </c>
      <c r="R648" s="212"/>
      <c r="S648" s="212"/>
      <c r="T648" s="203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0</v>
      </c>
      <c r="U648" s="203">
        <f t="shared" ca="1" si="1431"/>
        <v>3</v>
      </c>
      <c r="V648" s="203">
        <f t="shared" ca="1" si="1432"/>
        <v>0</v>
      </c>
      <c r="W648" s="212"/>
      <c r="X648" s="212"/>
      <c r="Y648" s="212"/>
      <c r="Z648" s="212"/>
      <c r="AA648" s="212"/>
      <c r="AB648" s="212"/>
      <c r="AC648" s="214" t="s">
        <v>1784</v>
      </c>
      <c r="AD648" s="226" t="s">
        <v>1785</v>
      </c>
      <c r="AE648" s="148"/>
      <c r="AF648" s="212" t="str">
        <f t="shared" si="1433"/>
        <v>N/A</v>
      </c>
      <c r="AG648" s="212">
        <f t="shared" si="1433"/>
        <v>0</v>
      </c>
      <c r="AH648" s="203">
        <f t="shared" si="1434"/>
        <v>0</v>
      </c>
      <c r="AI648" s="203">
        <f t="shared" ca="1" si="1435"/>
        <v>0</v>
      </c>
      <c r="AJ648" s="203">
        <f t="shared" ca="1" si="1436"/>
        <v>0</v>
      </c>
      <c r="AK648" s="212" t="str">
        <f t="shared" si="1437"/>
        <v>N/A</v>
      </c>
      <c r="AL648" s="212">
        <f t="shared" si="1437"/>
        <v>0</v>
      </c>
      <c r="AM648" s="203">
        <f t="shared" si="1438"/>
        <v>0</v>
      </c>
      <c r="AN648" s="203">
        <f t="shared" ca="1" si="1439"/>
        <v>0</v>
      </c>
      <c r="AO648" s="203">
        <f t="shared" ca="1" si="1440"/>
        <v>0</v>
      </c>
      <c r="AP648" s="212" t="str">
        <f t="shared" si="1441"/>
        <v>N/A</v>
      </c>
      <c r="AQ648" s="212">
        <f t="shared" si="1441"/>
        <v>0</v>
      </c>
      <c r="AR648" s="203">
        <f t="shared" si="1442"/>
        <v>0</v>
      </c>
      <c r="AS648" s="203">
        <f t="shared" ca="1" si="1443"/>
        <v>0</v>
      </c>
      <c r="AT648" s="203">
        <f t="shared" ca="1" si="1444"/>
        <v>0</v>
      </c>
      <c r="AU648" s="212" t="str">
        <f t="shared" si="1445"/>
        <v>AMC2-S1</v>
      </c>
      <c r="AV648" s="212">
        <f t="shared" si="1445"/>
        <v>1</v>
      </c>
      <c r="AW648" s="203">
        <f t="shared" si="1446"/>
        <v>3</v>
      </c>
      <c r="AX648" s="203">
        <f t="shared" ca="1" si="1447"/>
        <v>0</v>
      </c>
      <c r="AY648" s="203">
        <f t="shared" ca="1" si="1448"/>
        <v>3</v>
      </c>
      <c r="AZ648" s="212"/>
      <c r="BA648" s="233" t="s">
        <v>140</v>
      </c>
      <c r="BB648" s="233" t="s">
        <v>140</v>
      </c>
      <c r="BC648" s="233" t="s">
        <v>140</v>
      </c>
      <c r="BD648" s="233" t="s">
        <v>141</v>
      </c>
      <c r="BE648" s="148"/>
      <c r="BF648" s="212"/>
      <c r="BG648" s="117"/>
      <c r="BH648" s="117"/>
      <c r="BI648" s="149"/>
      <c r="BJ648" s="149"/>
      <c r="BK648" s="149"/>
      <c r="BL648" s="149"/>
      <c r="BM648" s="149" t="s">
        <v>1835</v>
      </c>
      <c r="BN648" s="149"/>
      <c r="BO648" s="149"/>
      <c r="BP648" s="149"/>
      <c r="BQ648" s="149"/>
      <c r="BR648" s="117">
        <v>1</v>
      </c>
      <c r="BS648" s="117">
        <v>0</v>
      </c>
      <c r="BT648" s="117">
        <v>0</v>
      </c>
      <c r="BU648" s="117">
        <v>0</v>
      </c>
      <c r="BV648" s="117">
        <v>0</v>
      </c>
      <c r="BW648" s="117">
        <v>0</v>
      </c>
      <c r="BX648" s="117">
        <v>0</v>
      </c>
      <c r="BY648" s="117" t="s">
        <v>1790</v>
      </c>
      <c r="BZ648" s="141" t="s">
        <v>2100</v>
      </c>
      <c r="CA648" s="144">
        <v>3</v>
      </c>
      <c r="CB648" s="153">
        <v>46238</v>
      </c>
      <c r="CC648" s="117"/>
      <c r="CD648" s="117"/>
      <c r="CE648" s="148"/>
      <c r="CF648" s="148">
        <f t="shared" si="1449"/>
        <v>0</v>
      </c>
    </row>
    <row r="649" spans="1:84" hidden="1">
      <c r="A649" s="148"/>
      <c r="B649" s="209" t="s">
        <v>1837</v>
      </c>
      <c r="C649" s="209" t="s">
        <v>2120</v>
      </c>
      <c r="D649" s="209" t="s">
        <v>1204</v>
      </c>
      <c r="E649" s="209" t="s">
        <v>1795</v>
      </c>
      <c r="F649" s="209" t="s">
        <v>1239</v>
      </c>
      <c r="G649" s="209" t="s">
        <v>1224</v>
      </c>
      <c r="H649" s="210">
        <v>986</v>
      </c>
      <c r="I649" s="211" t="s">
        <v>147</v>
      </c>
      <c r="J649" s="144">
        <v>3</v>
      </c>
      <c r="K649" s="145">
        <f t="shared" si="1428"/>
        <v>1</v>
      </c>
      <c r="L649" s="202">
        <f t="shared" si="1429"/>
        <v>3</v>
      </c>
      <c r="M649" s="212">
        <v>10.4</v>
      </c>
      <c r="N649" s="203">
        <f t="shared" si="1430"/>
        <v>31.200000000000003</v>
      </c>
      <c r="O649" s="212" t="s">
        <v>137</v>
      </c>
      <c r="P649" s="212" t="s">
        <v>13</v>
      </c>
      <c r="Q649" s="212" t="s">
        <v>148</v>
      </c>
      <c r="R649" s="212"/>
      <c r="S649" s="212"/>
      <c r="T649" s="203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0</v>
      </c>
      <c r="U649" s="203">
        <f t="shared" ca="1" si="1431"/>
        <v>3</v>
      </c>
      <c r="V649" s="203">
        <f t="shared" ca="1" si="1432"/>
        <v>0</v>
      </c>
      <c r="W649" s="212"/>
      <c r="X649" s="212"/>
      <c r="Y649" s="212"/>
      <c r="Z649" s="212"/>
      <c r="AA649" s="212"/>
      <c r="AB649" s="212"/>
      <c r="AC649" s="214" t="s">
        <v>1784</v>
      </c>
      <c r="AD649" s="226" t="s">
        <v>1785</v>
      </c>
      <c r="AE649" s="148"/>
      <c r="AF649" s="212" t="str">
        <f t="shared" si="1433"/>
        <v>N/A</v>
      </c>
      <c r="AG649" s="212">
        <f t="shared" si="1433"/>
        <v>0</v>
      </c>
      <c r="AH649" s="203">
        <f t="shared" si="1434"/>
        <v>0</v>
      </c>
      <c r="AI649" s="203">
        <f t="shared" ca="1" si="1435"/>
        <v>0</v>
      </c>
      <c r="AJ649" s="203">
        <f t="shared" ca="1" si="1436"/>
        <v>0</v>
      </c>
      <c r="AK649" s="212" t="str">
        <f t="shared" si="1437"/>
        <v>N/A</v>
      </c>
      <c r="AL649" s="212">
        <f t="shared" si="1437"/>
        <v>0</v>
      </c>
      <c r="AM649" s="203">
        <f t="shared" si="1438"/>
        <v>0</v>
      </c>
      <c r="AN649" s="203">
        <f t="shared" ca="1" si="1439"/>
        <v>0</v>
      </c>
      <c r="AO649" s="203">
        <f t="shared" ca="1" si="1440"/>
        <v>0</v>
      </c>
      <c r="AP649" s="212" t="str">
        <f t="shared" si="1441"/>
        <v>N/A</v>
      </c>
      <c r="AQ649" s="212">
        <f t="shared" si="1441"/>
        <v>0</v>
      </c>
      <c r="AR649" s="203">
        <f t="shared" si="1442"/>
        <v>0</v>
      </c>
      <c r="AS649" s="203">
        <f t="shared" ca="1" si="1443"/>
        <v>0</v>
      </c>
      <c r="AT649" s="203">
        <f t="shared" ca="1" si="1444"/>
        <v>0</v>
      </c>
      <c r="AU649" s="212" t="str">
        <f t="shared" si="1445"/>
        <v>AMC2-S1</v>
      </c>
      <c r="AV649" s="212">
        <f t="shared" si="1445"/>
        <v>1</v>
      </c>
      <c r="AW649" s="203">
        <f t="shared" si="1446"/>
        <v>3</v>
      </c>
      <c r="AX649" s="203">
        <f t="shared" ca="1" si="1447"/>
        <v>0</v>
      </c>
      <c r="AY649" s="203">
        <f t="shared" ca="1" si="1448"/>
        <v>3</v>
      </c>
      <c r="AZ649" s="212"/>
      <c r="BA649" s="233" t="s">
        <v>140</v>
      </c>
      <c r="BB649" s="233" t="s">
        <v>140</v>
      </c>
      <c r="BC649" s="233" t="s">
        <v>140</v>
      </c>
      <c r="BD649" s="233" t="s">
        <v>141</v>
      </c>
      <c r="BE649" s="148"/>
      <c r="BF649" s="212"/>
      <c r="BG649" s="117"/>
      <c r="BH649" s="117"/>
      <c r="BI649" s="149"/>
      <c r="BJ649" s="149"/>
      <c r="BK649" s="149"/>
      <c r="BL649" s="149"/>
      <c r="BM649" s="149" t="s">
        <v>1835</v>
      </c>
      <c r="BN649" s="149"/>
      <c r="BO649" s="149" t="s">
        <v>2121</v>
      </c>
      <c r="BP649" s="149"/>
      <c r="BQ649" s="149"/>
      <c r="BR649" s="117">
        <v>0</v>
      </c>
      <c r="BS649" s="117">
        <v>0</v>
      </c>
      <c r="BT649" s="117">
        <v>0</v>
      </c>
      <c r="BU649" s="117">
        <v>1</v>
      </c>
      <c r="BV649" s="117">
        <v>0</v>
      </c>
      <c r="BW649" s="117">
        <v>0</v>
      </c>
      <c r="BX649" s="117">
        <v>0</v>
      </c>
      <c r="BY649" s="117" t="s">
        <v>1790</v>
      </c>
      <c r="BZ649" s="117"/>
      <c r="CA649" s="117"/>
      <c r="CB649" s="149"/>
      <c r="CC649" s="117"/>
      <c r="CD649" s="117"/>
      <c r="CE649" s="148"/>
      <c r="CF649" s="148">
        <f t="shared" si="1449"/>
        <v>3</v>
      </c>
    </row>
    <row r="650" spans="1:84" hidden="1">
      <c r="A650" s="148"/>
      <c r="B650" s="209" t="s">
        <v>1837</v>
      </c>
      <c r="C650" s="209" t="s">
        <v>2120</v>
      </c>
      <c r="D650" s="209" t="s">
        <v>1204</v>
      </c>
      <c r="E650" s="209" t="s">
        <v>1796</v>
      </c>
      <c r="F650" s="209" t="s">
        <v>1240</v>
      </c>
      <c r="G650" s="209" t="s">
        <v>1216</v>
      </c>
      <c r="H650" s="210">
        <v>2300</v>
      </c>
      <c r="I650" s="211" t="s">
        <v>147</v>
      </c>
      <c r="J650" s="144">
        <v>2</v>
      </c>
      <c r="K650" s="145">
        <f t="shared" si="1428"/>
        <v>1</v>
      </c>
      <c r="L650" s="202">
        <f t="shared" si="1429"/>
        <v>2</v>
      </c>
      <c r="M650" s="212">
        <v>64.3</v>
      </c>
      <c r="N650" s="203">
        <f t="shared" si="1430"/>
        <v>128.6</v>
      </c>
      <c r="O650" s="212" t="s">
        <v>137</v>
      </c>
      <c r="P650" s="212" t="s">
        <v>13</v>
      </c>
      <c r="Q650" s="212" t="s">
        <v>148</v>
      </c>
      <c r="R650" s="212"/>
      <c r="S650" s="212"/>
      <c r="T650" s="203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0</v>
      </c>
      <c r="U650" s="203">
        <f t="shared" ca="1" si="1431"/>
        <v>2</v>
      </c>
      <c r="V650" s="203">
        <f t="shared" ca="1" si="1432"/>
        <v>0</v>
      </c>
      <c r="W650" s="212"/>
      <c r="X650" s="212"/>
      <c r="Y650" s="212"/>
      <c r="Z650" s="212"/>
      <c r="AA650" s="212"/>
      <c r="AB650" s="212"/>
      <c r="AC650" s="214" t="s">
        <v>1784</v>
      </c>
      <c r="AD650" s="226" t="s">
        <v>1785</v>
      </c>
      <c r="AE650" s="148"/>
      <c r="AF650" s="212" t="str">
        <f t="shared" si="1433"/>
        <v>N/A</v>
      </c>
      <c r="AG650" s="212">
        <f t="shared" si="1433"/>
        <v>0</v>
      </c>
      <c r="AH650" s="203">
        <f t="shared" si="1434"/>
        <v>0</v>
      </c>
      <c r="AI650" s="203">
        <f t="shared" ca="1" si="1435"/>
        <v>0</v>
      </c>
      <c r="AJ650" s="203">
        <f t="shared" ca="1" si="1436"/>
        <v>0</v>
      </c>
      <c r="AK650" s="212" t="str">
        <f t="shared" si="1437"/>
        <v>N/A</v>
      </c>
      <c r="AL650" s="212">
        <f t="shared" si="1437"/>
        <v>0</v>
      </c>
      <c r="AM650" s="203">
        <f t="shared" si="1438"/>
        <v>0</v>
      </c>
      <c r="AN650" s="203">
        <f t="shared" ca="1" si="1439"/>
        <v>0</v>
      </c>
      <c r="AO650" s="203">
        <f t="shared" ca="1" si="1440"/>
        <v>0</v>
      </c>
      <c r="AP650" s="212" t="str">
        <f t="shared" si="1441"/>
        <v>N/A</v>
      </c>
      <c r="AQ650" s="212">
        <f t="shared" si="1441"/>
        <v>0</v>
      </c>
      <c r="AR650" s="203">
        <f t="shared" si="1442"/>
        <v>0</v>
      </c>
      <c r="AS650" s="203">
        <f t="shared" ca="1" si="1443"/>
        <v>0</v>
      </c>
      <c r="AT650" s="203">
        <f t="shared" ca="1" si="1444"/>
        <v>0</v>
      </c>
      <c r="AU650" s="212" t="str">
        <f t="shared" si="1445"/>
        <v>AMC2-S1</v>
      </c>
      <c r="AV650" s="212">
        <f t="shared" si="1445"/>
        <v>1</v>
      </c>
      <c r="AW650" s="203">
        <f t="shared" si="1446"/>
        <v>2</v>
      </c>
      <c r="AX650" s="203">
        <f t="shared" ca="1" si="1447"/>
        <v>0</v>
      </c>
      <c r="AY650" s="203">
        <f t="shared" ca="1" si="1448"/>
        <v>2</v>
      </c>
      <c r="AZ650" s="212"/>
      <c r="BA650" s="233" t="s">
        <v>140</v>
      </c>
      <c r="BB650" s="233" t="s">
        <v>140</v>
      </c>
      <c r="BC650" s="233" t="s">
        <v>140</v>
      </c>
      <c r="BD650" s="233" t="s">
        <v>141</v>
      </c>
      <c r="BE650" s="148"/>
      <c r="BF650" s="212"/>
      <c r="BG650" s="117"/>
      <c r="BH650" s="117"/>
      <c r="BI650" s="149"/>
      <c r="BJ650" s="149"/>
      <c r="BK650" s="149"/>
      <c r="BL650" s="149"/>
      <c r="BM650" s="149" t="s">
        <v>1835</v>
      </c>
      <c r="BN650" s="149"/>
      <c r="BO650" s="149"/>
      <c r="BP650" s="149"/>
      <c r="BQ650" s="149"/>
      <c r="BR650" s="117">
        <v>0</v>
      </c>
      <c r="BS650" s="117">
        <v>0</v>
      </c>
      <c r="BT650" s="117">
        <v>0</v>
      </c>
      <c r="BU650" s="117">
        <v>0</v>
      </c>
      <c r="BV650" s="117">
        <v>0</v>
      </c>
      <c r="BW650" s="117">
        <v>0</v>
      </c>
      <c r="BX650" s="117">
        <v>0</v>
      </c>
      <c r="BY650" s="117" t="s">
        <v>1790</v>
      </c>
      <c r="BZ650" s="117"/>
      <c r="CA650" s="117"/>
      <c r="CB650" s="149"/>
      <c r="CC650" s="117"/>
      <c r="CD650" s="117"/>
      <c r="CE650" s="148"/>
      <c r="CF650" s="148">
        <f t="shared" si="1449"/>
        <v>2</v>
      </c>
    </row>
    <row r="651" spans="1:84" hidden="1">
      <c r="A651" s="148"/>
      <c r="B651" s="209" t="s">
        <v>1837</v>
      </c>
      <c r="C651" s="209" t="s">
        <v>2120</v>
      </c>
      <c r="D651" s="209" t="s">
        <v>13</v>
      </c>
      <c r="E651" s="209" t="s">
        <v>1797</v>
      </c>
      <c r="F651" s="209" t="s">
        <v>1241</v>
      </c>
      <c r="G651" s="209" t="s">
        <v>1206</v>
      </c>
      <c r="H651" s="210">
        <v>301</v>
      </c>
      <c r="I651" s="211" t="s">
        <v>147</v>
      </c>
      <c r="J651" s="144">
        <v>2</v>
      </c>
      <c r="K651" s="145">
        <f t="shared" si="1428"/>
        <v>1</v>
      </c>
      <c r="L651" s="202">
        <f t="shared" si="1429"/>
        <v>2</v>
      </c>
      <c r="M651" s="212">
        <v>1.6</v>
      </c>
      <c r="N651" s="203">
        <f t="shared" si="1430"/>
        <v>3.2</v>
      </c>
      <c r="O651" s="212" t="s">
        <v>137</v>
      </c>
      <c r="P651" s="212" t="s">
        <v>13</v>
      </c>
      <c r="Q651" s="212" t="s">
        <v>148</v>
      </c>
      <c r="R651" s="212"/>
      <c r="S651" s="212"/>
      <c r="T651" s="203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2</v>
      </c>
      <c r="U651" s="203">
        <f t="shared" ca="1" si="1431"/>
        <v>0</v>
      </c>
      <c r="V651" s="203">
        <f t="shared" ca="1" si="1432"/>
        <v>1</v>
      </c>
      <c r="W651" s="212"/>
      <c r="X651" s="212"/>
      <c r="Y651" s="212"/>
      <c r="Z651" s="212"/>
      <c r="AA651" s="212"/>
      <c r="AB651" s="212"/>
      <c r="AC651" s="214" t="s">
        <v>1784</v>
      </c>
      <c r="AD651" s="226" t="s">
        <v>1785</v>
      </c>
      <c r="AE651" s="148"/>
      <c r="AF651" s="212" t="str">
        <f t="shared" si="1433"/>
        <v>N/A</v>
      </c>
      <c r="AG651" s="212">
        <f t="shared" si="1433"/>
        <v>0</v>
      </c>
      <c r="AH651" s="203">
        <f t="shared" si="1434"/>
        <v>0</v>
      </c>
      <c r="AI651" s="203">
        <f t="shared" ca="1" si="1435"/>
        <v>0</v>
      </c>
      <c r="AJ651" s="203">
        <f t="shared" ca="1" si="1436"/>
        <v>0</v>
      </c>
      <c r="AK651" s="212" t="str">
        <f t="shared" si="1437"/>
        <v>N/A</v>
      </c>
      <c r="AL651" s="212">
        <f t="shared" si="1437"/>
        <v>0</v>
      </c>
      <c r="AM651" s="203">
        <f t="shared" si="1438"/>
        <v>0</v>
      </c>
      <c r="AN651" s="203">
        <f t="shared" ca="1" si="1439"/>
        <v>0</v>
      </c>
      <c r="AO651" s="203">
        <f t="shared" ca="1" si="1440"/>
        <v>0</v>
      </c>
      <c r="AP651" s="212" t="str">
        <f t="shared" si="1441"/>
        <v>N/A</v>
      </c>
      <c r="AQ651" s="212">
        <f t="shared" si="1441"/>
        <v>0</v>
      </c>
      <c r="AR651" s="203">
        <f t="shared" si="1442"/>
        <v>0</v>
      </c>
      <c r="AS651" s="203">
        <f t="shared" ca="1" si="1443"/>
        <v>0</v>
      </c>
      <c r="AT651" s="203">
        <f t="shared" ca="1" si="1444"/>
        <v>0</v>
      </c>
      <c r="AU651" s="212" t="str">
        <f t="shared" si="1445"/>
        <v>AMC2-S1</v>
      </c>
      <c r="AV651" s="212">
        <f t="shared" si="1445"/>
        <v>1</v>
      </c>
      <c r="AW651" s="203">
        <f t="shared" si="1446"/>
        <v>2</v>
      </c>
      <c r="AX651" s="203">
        <f t="shared" ca="1" si="1447"/>
        <v>2</v>
      </c>
      <c r="AY651" s="203">
        <f t="shared" ca="1" si="1448"/>
        <v>0</v>
      </c>
      <c r="AZ651" s="212"/>
      <c r="BA651" s="233" t="s">
        <v>140</v>
      </c>
      <c r="BB651" s="233" t="s">
        <v>140</v>
      </c>
      <c r="BC651" s="233" t="s">
        <v>140</v>
      </c>
      <c r="BD651" s="233" t="s">
        <v>141</v>
      </c>
      <c r="BE651" s="148"/>
      <c r="BF651" s="212"/>
      <c r="BG651" s="117"/>
      <c r="BH651" s="117"/>
      <c r="BI651" s="149"/>
      <c r="BJ651" s="149"/>
      <c r="BK651" s="149"/>
      <c r="BL651" s="149"/>
      <c r="BM651" s="149" t="s">
        <v>1835</v>
      </c>
      <c r="BN651" s="149"/>
      <c r="BO651" s="149"/>
      <c r="BP651" s="149"/>
      <c r="BQ651" s="149"/>
      <c r="BR651" s="117">
        <v>0</v>
      </c>
      <c r="BS651" s="117">
        <v>0</v>
      </c>
      <c r="BT651" s="117">
        <v>0</v>
      </c>
      <c r="BU651" s="117">
        <v>0</v>
      </c>
      <c r="BV651" s="117">
        <v>0</v>
      </c>
      <c r="BW651" s="117">
        <v>0</v>
      </c>
      <c r="BX651" s="117">
        <v>0</v>
      </c>
      <c r="BY651" s="117" t="s">
        <v>1790</v>
      </c>
      <c r="BZ651" s="141" t="s">
        <v>2103</v>
      </c>
      <c r="CA651" s="144">
        <v>2</v>
      </c>
      <c r="CB651" s="153">
        <v>46238</v>
      </c>
      <c r="CC651" s="117"/>
      <c r="CD651" s="117"/>
      <c r="CE651" s="148"/>
      <c r="CF651" s="148">
        <f t="shared" si="1449"/>
        <v>0</v>
      </c>
    </row>
    <row r="652" spans="1:84" hidden="1">
      <c r="A652" s="148"/>
      <c r="B652" s="209" t="s">
        <v>1837</v>
      </c>
      <c r="C652" s="209" t="s">
        <v>2120</v>
      </c>
      <c r="D652" s="209" t="s">
        <v>13</v>
      </c>
      <c r="E652" s="209" t="s">
        <v>1798</v>
      </c>
      <c r="F652" s="209" t="s">
        <v>1242</v>
      </c>
      <c r="G652" s="209" t="s">
        <v>1206</v>
      </c>
      <c r="H652" s="210">
        <v>310</v>
      </c>
      <c r="I652" s="211" t="s">
        <v>147</v>
      </c>
      <c r="J652" s="144">
        <v>10</v>
      </c>
      <c r="K652" s="145">
        <f t="shared" si="1428"/>
        <v>1</v>
      </c>
      <c r="L652" s="202">
        <f t="shared" si="1429"/>
        <v>10</v>
      </c>
      <c r="M652" s="212">
        <v>2</v>
      </c>
      <c r="N652" s="203">
        <f t="shared" si="1430"/>
        <v>20</v>
      </c>
      <c r="O652" s="212" t="s">
        <v>137</v>
      </c>
      <c r="P652" s="212" t="s">
        <v>13</v>
      </c>
      <c r="Q652" s="212" t="s">
        <v>148</v>
      </c>
      <c r="R652" s="212"/>
      <c r="S652" s="212"/>
      <c r="T652" s="203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10</v>
      </c>
      <c r="U652" s="203">
        <f t="shared" ca="1" si="1431"/>
        <v>0</v>
      </c>
      <c r="V652" s="203">
        <f t="shared" ca="1" si="1432"/>
        <v>1</v>
      </c>
      <c r="W652" s="212"/>
      <c r="X652" s="212"/>
      <c r="Y652" s="212"/>
      <c r="Z652" s="212"/>
      <c r="AA652" s="212"/>
      <c r="AB652" s="212"/>
      <c r="AC652" s="214" t="s">
        <v>1784</v>
      </c>
      <c r="AD652" s="226" t="s">
        <v>1785</v>
      </c>
      <c r="AE652" s="148"/>
      <c r="AF652" s="212" t="str">
        <f t="shared" si="1433"/>
        <v>N/A</v>
      </c>
      <c r="AG652" s="212">
        <f t="shared" si="1433"/>
        <v>0</v>
      </c>
      <c r="AH652" s="203">
        <f t="shared" si="1434"/>
        <v>0</v>
      </c>
      <c r="AI652" s="203">
        <f t="shared" ca="1" si="1435"/>
        <v>0</v>
      </c>
      <c r="AJ652" s="203">
        <f t="shared" ca="1" si="1436"/>
        <v>0</v>
      </c>
      <c r="AK652" s="212" t="str">
        <f t="shared" si="1437"/>
        <v>N/A</v>
      </c>
      <c r="AL652" s="212">
        <f t="shared" si="1437"/>
        <v>0</v>
      </c>
      <c r="AM652" s="203">
        <f t="shared" si="1438"/>
        <v>0</v>
      </c>
      <c r="AN652" s="203">
        <f t="shared" ca="1" si="1439"/>
        <v>0</v>
      </c>
      <c r="AO652" s="203">
        <f t="shared" ca="1" si="1440"/>
        <v>0</v>
      </c>
      <c r="AP652" s="212" t="str">
        <f t="shared" si="1441"/>
        <v>N/A</v>
      </c>
      <c r="AQ652" s="212">
        <f t="shared" si="1441"/>
        <v>0</v>
      </c>
      <c r="AR652" s="203">
        <f t="shared" si="1442"/>
        <v>0</v>
      </c>
      <c r="AS652" s="203">
        <f t="shared" ca="1" si="1443"/>
        <v>0</v>
      </c>
      <c r="AT652" s="203">
        <f t="shared" ca="1" si="1444"/>
        <v>0</v>
      </c>
      <c r="AU652" s="212" t="str">
        <f t="shared" si="1445"/>
        <v>AMC2-S1</v>
      </c>
      <c r="AV652" s="212">
        <f t="shared" si="1445"/>
        <v>1</v>
      </c>
      <c r="AW652" s="203">
        <f t="shared" si="1446"/>
        <v>10</v>
      </c>
      <c r="AX652" s="203">
        <f t="shared" ca="1" si="1447"/>
        <v>10</v>
      </c>
      <c r="AY652" s="203">
        <f t="shared" ca="1" si="1448"/>
        <v>0</v>
      </c>
      <c r="AZ652" s="212"/>
      <c r="BA652" s="233" t="s">
        <v>140</v>
      </c>
      <c r="BB652" s="233" t="s">
        <v>140</v>
      </c>
      <c r="BC652" s="233" t="s">
        <v>140</v>
      </c>
      <c r="BD652" s="233" t="s">
        <v>141</v>
      </c>
      <c r="BE652" s="148"/>
      <c r="BF652" s="212"/>
      <c r="BG652" s="117"/>
      <c r="BH652" s="117"/>
      <c r="BI652" s="149"/>
      <c r="BJ652" s="149"/>
      <c r="BK652" s="149"/>
      <c r="BL652" s="149"/>
      <c r="BM652" s="149" t="s">
        <v>1835</v>
      </c>
      <c r="BN652" s="149"/>
      <c r="BO652" s="149"/>
      <c r="BP652" s="149"/>
      <c r="BQ652" s="149"/>
      <c r="BR652" s="117">
        <v>0</v>
      </c>
      <c r="BS652" s="117">
        <v>0</v>
      </c>
      <c r="BT652" s="117">
        <v>0</v>
      </c>
      <c r="BU652" s="117">
        <v>0</v>
      </c>
      <c r="BV652" s="117">
        <v>0</v>
      </c>
      <c r="BW652" s="117">
        <v>0</v>
      </c>
      <c r="BX652" s="117">
        <v>0</v>
      </c>
      <c r="BY652" s="117" t="s">
        <v>1790</v>
      </c>
      <c r="BZ652" s="141" t="s">
        <v>2103</v>
      </c>
      <c r="CA652" s="144">
        <v>10</v>
      </c>
      <c r="CB652" s="153">
        <v>46238</v>
      </c>
      <c r="CC652" s="117"/>
      <c r="CD652" s="117"/>
      <c r="CE652" s="148"/>
      <c r="CF652" s="148">
        <f t="shared" si="1449"/>
        <v>0</v>
      </c>
    </row>
    <row r="653" spans="1:84" hidden="1">
      <c r="A653" s="148"/>
      <c r="B653" s="209" t="s">
        <v>1837</v>
      </c>
      <c r="C653" s="209" t="s">
        <v>2120</v>
      </c>
      <c r="D653" s="209" t="s">
        <v>1210</v>
      </c>
      <c r="E653" s="209" t="s">
        <v>1799</v>
      </c>
      <c r="F653" s="209" t="s">
        <v>1232</v>
      </c>
      <c r="G653" s="209" t="s">
        <v>1123</v>
      </c>
      <c r="H653" s="210">
        <v>260</v>
      </c>
      <c r="I653" s="211" t="s">
        <v>147</v>
      </c>
      <c r="J653" s="144">
        <v>2</v>
      </c>
      <c r="K653" s="145">
        <f t="shared" si="1428"/>
        <v>1</v>
      </c>
      <c r="L653" s="202">
        <f t="shared" si="1429"/>
        <v>2</v>
      </c>
      <c r="M653" s="212">
        <v>6.1</v>
      </c>
      <c r="N653" s="203">
        <f t="shared" si="1430"/>
        <v>12.2</v>
      </c>
      <c r="O653" s="212" t="s">
        <v>137</v>
      </c>
      <c r="P653" s="212" t="s">
        <v>13</v>
      </c>
      <c r="Q653" s="212" t="s">
        <v>148</v>
      </c>
      <c r="R653" s="212"/>
      <c r="S653" s="212"/>
      <c r="T653" s="203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0</v>
      </c>
      <c r="U653" s="203">
        <f t="shared" ca="1" si="1431"/>
        <v>2</v>
      </c>
      <c r="V653" s="203">
        <f t="shared" ca="1" si="1432"/>
        <v>0</v>
      </c>
      <c r="W653" s="212"/>
      <c r="X653" s="212"/>
      <c r="Y653" s="212"/>
      <c r="Z653" s="212"/>
      <c r="AA653" s="212"/>
      <c r="AB653" s="212"/>
      <c r="AC653" s="214" t="s">
        <v>1784</v>
      </c>
      <c r="AD653" s="226" t="s">
        <v>1785</v>
      </c>
      <c r="AE653" s="148"/>
      <c r="AF653" s="212" t="str">
        <f t="shared" si="1433"/>
        <v>N/A</v>
      </c>
      <c r="AG653" s="212">
        <f t="shared" si="1433"/>
        <v>0</v>
      </c>
      <c r="AH653" s="203">
        <f t="shared" si="1434"/>
        <v>0</v>
      </c>
      <c r="AI653" s="203">
        <f t="shared" ca="1" si="1435"/>
        <v>0</v>
      </c>
      <c r="AJ653" s="203">
        <f t="shared" ca="1" si="1436"/>
        <v>0</v>
      </c>
      <c r="AK653" s="212" t="str">
        <f t="shared" si="1437"/>
        <v>N/A</v>
      </c>
      <c r="AL653" s="212">
        <f t="shared" si="1437"/>
        <v>0</v>
      </c>
      <c r="AM653" s="203">
        <f t="shared" si="1438"/>
        <v>0</v>
      </c>
      <c r="AN653" s="203">
        <f t="shared" ca="1" si="1439"/>
        <v>0</v>
      </c>
      <c r="AO653" s="203">
        <f t="shared" ca="1" si="1440"/>
        <v>0</v>
      </c>
      <c r="AP653" s="212" t="str">
        <f t="shared" si="1441"/>
        <v>N/A</v>
      </c>
      <c r="AQ653" s="212">
        <f t="shared" si="1441"/>
        <v>0</v>
      </c>
      <c r="AR653" s="203">
        <f t="shared" si="1442"/>
        <v>0</v>
      </c>
      <c r="AS653" s="203">
        <f t="shared" ca="1" si="1443"/>
        <v>0</v>
      </c>
      <c r="AT653" s="203">
        <f t="shared" ca="1" si="1444"/>
        <v>0</v>
      </c>
      <c r="AU653" s="212" t="str">
        <f t="shared" si="1445"/>
        <v>AMC2-S1</v>
      </c>
      <c r="AV653" s="212">
        <f t="shared" si="1445"/>
        <v>1</v>
      </c>
      <c r="AW653" s="203">
        <f t="shared" si="1446"/>
        <v>2</v>
      </c>
      <c r="AX653" s="203">
        <f t="shared" ca="1" si="1447"/>
        <v>0</v>
      </c>
      <c r="AY653" s="203">
        <f t="shared" ca="1" si="1448"/>
        <v>2</v>
      </c>
      <c r="AZ653" s="212"/>
      <c r="BA653" s="233" t="s">
        <v>140</v>
      </c>
      <c r="BB653" s="233" t="s">
        <v>140</v>
      </c>
      <c r="BC653" s="233" t="s">
        <v>140</v>
      </c>
      <c r="BD653" s="233" t="s">
        <v>141</v>
      </c>
      <c r="BE653" s="148"/>
      <c r="BF653" s="212"/>
      <c r="BG653" s="117"/>
      <c r="BH653" s="117"/>
      <c r="BI653" s="149"/>
      <c r="BJ653" s="149"/>
      <c r="BK653" s="149"/>
      <c r="BL653" s="149"/>
      <c r="BM653" s="149" t="s">
        <v>1835</v>
      </c>
      <c r="BN653" s="149"/>
      <c r="BO653" s="149"/>
      <c r="BP653" s="149"/>
      <c r="BQ653" s="149"/>
      <c r="BR653" s="117">
        <v>1</v>
      </c>
      <c r="BS653" s="117">
        <v>0</v>
      </c>
      <c r="BT653" s="117">
        <v>0</v>
      </c>
      <c r="BU653" s="117">
        <v>0</v>
      </c>
      <c r="BV653" s="117">
        <v>0</v>
      </c>
      <c r="BW653" s="117">
        <v>0</v>
      </c>
      <c r="BX653" s="117">
        <v>0</v>
      </c>
      <c r="BY653" s="117" t="s">
        <v>1790</v>
      </c>
      <c r="BZ653" s="141" t="s">
        <v>2101</v>
      </c>
      <c r="CA653" s="165">
        <v>2</v>
      </c>
      <c r="CB653" s="153">
        <v>46244</v>
      </c>
      <c r="CC653" s="117"/>
      <c r="CD653" s="117"/>
      <c r="CE653" s="148"/>
      <c r="CF653" s="148">
        <f t="shared" si="1449"/>
        <v>0</v>
      </c>
    </row>
    <row r="654" spans="1:84" hidden="1">
      <c r="A654" s="148"/>
      <c r="B654" s="209" t="s">
        <v>1837</v>
      </c>
      <c r="C654" s="209" t="s">
        <v>2120</v>
      </c>
      <c r="D654" s="209" t="s">
        <v>1212</v>
      </c>
      <c r="E654" s="209" t="s">
        <v>1800</v>
      </c>
      <c r="F654" s="209" t="s">
        <v>1233</v>
      </c>
      <c r="G654" s="209" t="s">
        <v>1125</v>
      </c>
      <c r="H654" s="210">
        <v>200</v>
      </c>
      <c r="I654" s="211" t="s">
        <v>147</v>
      </c>
      <c r="J654" s="144">
        <v>2</v>
      </c>
      <c r="K654" s="145">
        <f t="shared" si="1428"/>
        <v>1</v>
      </c>
      <c r="L654" s="202">
        <f t="shared" si="1429"/>
        <v>2</v>
      </c>
      <c r="M654" s="212">
        <v>2.6</v>
      </c>
      <c r="N654" s="203">
        <f t="shared" si="1430"/>
        <v>5.2</v>
      </c>
      <c r="O654" s="212" t="s">
        <v>137</v>
      </c>
      <c r="P654" s="212" t="s">
        <v>13</v>
      </c>
      <c r="Q654" s="212" t="s">
        <v>148</v>
      </c>
      <c r="R654" s="212"/>
      <c r="S654" s="212"/>
      <c r="T654" s="203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0</v>
      </c>
      <c r="U654" s="203">
        <f t="shared" ca="1" si="1431"/>
        <v>2</v>
      </c>
      <c r="V654" s="203">
        <f t="shared" ca="1" si="1432"/>
        <v>0</v>
      </c>
      <c r="W654" s="212"/>
      <c r="X654" s="212"/>
      <c r="Y654" s="212"/>
      <c r="Z654" s="212"/>
      <c r="AA654" s="212"/>
      <c r="AB654" s="212"/>
      <c r="AC654" s="214" t="s">
        <v>1784</v>
      </c>
      <c r="AD654" s="226" t="s">
        <v>1785</v>
      </c>
      <c r="AE654" s="148"/>
      <c r="AF654" s="212" t="str">
        <f t="shared" si="1433"/>
        <v>N/A</v>
      </c>
      <c r="AG654" s="212">
        <f t="shared" si="1433"/>
        <v>0</v>
      </c>
      <c r="AH654" s="203">
        <f t="shared" si="1434"/>
        <v>0</v>
      </c>
      <c r="AI654" s="203">
        <f t="shared" ca="1" si="1435"/>
        <v>0</v>
      </c>
      <c r="AJ654" s="203">
        <f t="shared" ca="1" si="1436"/>
        <v>0</v>
      </c>
      <c r="AK654" s="212" t="str">
        <f t="shared" si="1437"/>
        <v>N/A</v>
      </c>
      <c r="AL654" s="212">
        <f t="shared" si="1437"/>
        <v>0</v>
      </c>
      <c r="AM654" s="203">
        <f t="shared" si="1438"/>
        <v>0</v>
      </c>
      <c r="AN654" s="203">
        <f t="shared" ca="1" si="1439"/>
        <v>0</v>
      </c>
      <c r="AO654" s="203">
        <f t="shared" ca="1" si="1440"/>
        <v>0</v>
      </c>
      <c r="AP654" s="212" t="str">
        <f t="shared" si="1441"/>
        <v>N/A</v>
      </c>
      <c r="AQ654" s="212">
        <f t="shared" si="1441"/>
        <v>0</v>
      </c>
      <c r="AR654" s="203">
        <f t="shared" si="1442"/>
        <v>0</v>
      </c>
      <c r="AS654" s="203">
        <f t="shared" ca="1" si="1443"/>
        <v>0</v>
      </c>
      <c r="AT654" s="203">
        <f t="shared" ca="1" si="1444"/>
        <v>0</v>
      </c>
      <c r="AU654" s="212" t="str">
        <f t="shared" si="1445"/>
        <v>AMC2-S1</v>
      </c>
      <c r="AV654" s="212">
        <f t="shared" si="1445"/>
        <v>1</v>
      </c>
      <c r="AW654" s="203">
        <f t="shared" si="1446"/>
        <v>2</v>
      </c>
      <c r="AX654" s="203">
        <f t="shared" ca="1" si="1447"/>
        <v>0</v>
      </c>
      <c r="AY654" s="203">
        <f t="shared" ca="1" si="1448"/>
        <v>2</v>
      </c>
      <c r="AZ654" s="212"/>
      <c r="BA654" s="233" t="s">
        <v>140</v>
      </c>
      <c r="BB654" s="233" t="s">
        <v>140</v>
      </c>
      <c r="BC654" s="233" t="s">
        <v>140</v>
      </c>
      <c r="BD654" s="233" t="s">
        <v>141</v>
      </c>
      <c r="BE654" s="148"/>
      <c r="BF654" s="212"/>
      <c r="BG654" s="117"/>
      <c r="BH654" s="117"/>
      <c r="BI654" s="149"/>
      <c r="BJ654" s="149"/>
      <c r="BK654" s="149"/>
      <c r="BL654" s="149"/>
      <c r="BM654" s="149" t="s">
        <v>1835</v>
      </c>
      <c r="BN654" s="149"/>
      <c r="BO654" s="149"/>
      <c r="BP654" s="149"/>
      <c r="BQ654" s="149"/>
      <c r="BR654" s="117">
        <v>1</v>
      </c>
      <c r="BS654" s="117">
        <v>0</v>
      </c>
      <c r="BT654" s="117">
        <v>0</v>
      </c>
      <c r="BU654" s="117">
        <v>0</v>
      </c>
      <c r="BV654" s="117">
        <v>0</v>
      </c>
      <c r="BW654" s="117">
        <v>0</v>
      </c>
      <c r="BX654" s="117">
        <v>0</v>
      </c>
      <c r="BY654" s="117" t="s">
        <v>1790</v>
      </c>
      <c r="BZ654" s="141" t="s">
        <v>2100</v>
      </c>
      <c r="CA654" s="144">
        <v>2</v>
      </c>
      <c r="CB654" s="153">
        <v>46238</v>
      </c>
      <c r="CC654" s="117"/>
      <c r="CD654" s="117"/>
      <c r="CE654" s="148"/>
      <c r="CF654" s="148">
        <f t="shared" si="1449"/>
        <v>0</v>
      </c>
    </row>
    <row r="655" spans="1:84" hidden="1">
      <c r="A655" s="148"/>
      <c r="B655" s="209" t="s">
        <v>1837</v>
      </c>
      <c r="C655" s="209" t="s">
        <v>2120</v>
      </c>
      <c r="D655" s="209" t="s">
        <v>1010</v>
      </c>
      <c r="E655" s="209" t="s">
        <v>1802</v>
      </c>
      <c r="F655" s="209" t="s">
        <v>1229</v>
      </c>
      <c r="G655" s="209" t="s">
        <v>1075</v>
      </c>
      <c r="H655" s="210">
        <v>812</v>
      </c>
      <c r="I655" s="211" t="s">
        <v>1077</v>
      </c>
      <c r="J655" s="144">
        <v>6</v>
      </c>
      <c r="K655" s="145">
        <f t="shared" si="1428"/>
        <v>1</v>
      </c>
      <c r="L655" s="202">
        <f t="shared" si="1429"/>
        <v>6</v>
      </c>
      <c r="M655" s="212">
        <v>13.05696</v>
      </c>
      <c r="N655" s="203">
        <f t="shared" si="1430"/>
        <v>78.341759999999994</v>
      </c>
      <c r="O655" s="212" t="s">
        <v>137</v>
      </c>
      <c r="P655" s="212" t="s">
        <v>11</v>
      </c>
      <c r="Q655" s="212" t="s">
        <v>148</v>
      </c>
      <c r="R655" s="212"/>
      <c r="S655" s="212"/>
      <c r="T655" s="203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0</v>
      </c>
      <c r="U655" s="203">
        <f t="shared" ca="1" si="1431"/>
        <v>6</v>
      </c>
      <c r="V655" s="203">
        <f t="shared" ca="1" si="1432"/>
        <v>0</v>
      </c>
      <c r="W655" s="212"/>
      <c r="X655" s="212"/>
      <c r="Y655" s="212"/>
      <c r="Z655" s="212"/>
      <c r="AA655" s="212"/>
      <c r="AB655" s="212"/>
      <c r="AC655" s="214" t="s">
        <v>1784</v>
      </c>
      <c r="AD655" s="226" t="s">
        <v>1785</v>
      </c>
      <c r="AE655" s="148"/>
      <c r="AF655" s="212" t="str">
        <f t="shared" si="1433"/>
        <v>N/A</v>
      </c>
      <c r="AG655" s="212">
        <f t="shared" si="1433"/>
        <v>0</v>
      </c>
      <c r="AH655" s="203">
        <f t="shared" si="1434"/>
        <v>0</v>
      </c>
      <c r="AI655" s="203">
        <f t="shared" ca="1" si="1435"/>
        <v>0</v>
      </c>
      <c r="AJ655" s="203">
        <f t="shared" ca="1" si="1436"/>
        <v>0</v>
      </c>
      <c r="AK655" s="212" t="str">
        <f t="shared" si="1437"/>
        <v>N/A</v>
      </c>
      <c r="AL655" s="212">
        <f t="shared" si="1437"/>
        <v>0</v>
      </c>
      <c r="AM655" s="203">
        <f t="shared" si="1438"/>
        <v>0</v>
      </c>
      <c r="AN655" s="203">
        <f t="shared" ca="1" si="1439"/>
        <v>0</v>
      </c>
      <c r="AO655" s="203">
        <f t="shared" ca="1" si="1440"/>
        <v>0</v>
      </c>
      <c r="AP655" s="212" t="str">
        <f t="shared" si="1441"/>
        <v>N/A</v>
      </c>
      <c r="AQ655" s="212">
        <f t="shared" si="1441"/>
        <v>0</v>
      </c>
      <c r="AR655" s="203">
        <f t="shared" si="1442"/>
        <v>0</v>
      </c>
      <c r="AS655" s="203">
        <f t="shared" ca="1" si="1443"/>
        <v>0</v>
      </c>
      <c r="AT655" s="203">
        <f t="shared" ca="1" si="1444"/>
        <v>0</v>
      </c>
      <c r="AU655" s="212" t="str">
        <f t="shared" si="1445"/>
        <v>AMC2-S1</v>
      </c>
      <c r="AV655" s="212">
        <f t="shared" si="1445"/>
        <v>1</v>
      </c>
      <c r="AW655" s="203">
        <f t="shared" si="1446"/>
        <v>6</v>
      </c>
      <c r="AX655" s="203">
        <f t="shared" ca="1" si="1447"/>
        <v>0</v>
      </c>
      <c r="AY655" s="203">
        <f t="shared" ca="1" si="1448"/>
        <v>6</v>
      </c>
      <c r="AZ655" s="212"/>
      <c r="BA655" s="233" t="s">
        <v>140</v>
      </c>
      <c r="BB655" s="233" t="s">
        <v>140</v>
      </c>
      <c r="BC655" s="233" t="s">
        <v>140</v>
      </c>
      <c r="BD655" s="233" t="s">
        <v>141</v>
      </c>
      <c r="BE655" s="148"/>
      <c r="BF655" s="212"/>
      <c r="BG655" s="117"/>
      <c r="BH655" s="117"/>
      <c r="BI655" s="149"/>
      <c r="BJ655" s="149"/>
      <c r="BK655" s="149"/>
      <c r="BL655" s="149"/>
      <c r="BM655" s="149" t="s">
        <v>1835</v>
      </c>
      <c r="BN655" s="149"/>
      <c r="BO655" s="149"/>
      <c r="BP655" s="149"/>
      <c r="BQ655" s="149"/>
      <c r="BR655" s="117">
        <v>0</v>
      </c>
      <c r="BS655" s="117">
        <v>0</v>
      </c>
      <c r="BT655" s="117">
        <v>0</v>
      </c>
      <c r="BU655" s="117">
        <v>1</v>
      </c>
      <c r="BV655" s="117">
        <v>0</v>
      </c>
      <c r="BW655" s="117">
        <v>0</v>
      </c>
      <c r="BX655" s="117">
        <v>0</v>
      </c>
      <c r="BY655" s="117" t="s">
        <v>1790</v>
      </c>
      <c r="BZ655" s="141" t="s">
        <v>2104</v>
      </c>
      <c r="CA655" s="144">
        <v>6</v>
      </c>
      <c r="CB655" s="153">
        <v>46238</v>
      </c>
      <c r="CC655" s="117"/>
      <c r="CD655" s="117"/>
      <c r="CE655" s="148"/>
      <c r="CF655" s="148">
        <f t="shared" si="1449"/>
        <v>0</v>
      </c>
    </row>
    <row r="656" spans="1:84" hidden="1">
      <c r="A656" s="162">
        <v>35</v>
      </c>
      <c r="B656" s="177" t="s">
        <v>1840</v>
      </c>
      <c r="C656" s="177" t="s">
        <v>2122</v>
      </c>
      <c r="D656" s="177" t="s">
        <v>1841</v>
      </c>
      <c r="E656" s="177"/>
      <c r="F656" s="177"/>
      <c r="G656" s="177" t="s">
        <v>1842</v>
      </c>
      <c r="H656" s="178"/>
      <c r="I656" s="179"/>
      <c r="J656" s="160"/>
      <c r="K656" s="180">
        <f>+AG656+AL656+AQ656+AV656</f>
        <v>1</v>
      </c>
      <c r="L656" s="160"/>
      <c r="M656" s="181">
        <v>2424.3000000000002</v>
      </c>
      <c r="N656" s="181">
        <v>2424</v>
      </c>
      <c r="O656" s="181" t="s">
        <v>137</v>
      </c>
      <c r="P656" s="181"/>
      <c r="Q656" s="181"/>
      <c r="R656" s="181"/>
      <c r="S656" s="181"/>
      <c r="T656" s="181"/>
      <c r="U656" s="181"/>
      <c r="V656" s="181"/>
      <c r="W656" s="181">
        <f ca="1">_xlfn.MINIFS(V:V,C:C,C656,AE:AE,"",AB:AB,"")</f>
        <v>0</v>
      </c>
      <c r="X656" s="181">
        <f ca="1">SUMIFS(T:T,C:C,C656,AE:AE,"")/SUMIFS(L:L,C:C,C656,AE:AE,"",AB:AB,"")</f>
        <v>0.27272727272727271</v>
      </c>
      <c r="Y656" s="181"/>
      <c r="Z656" s="181"/>
      <c r="AA656" s="181"/>
      <c r="AB656" s="181"/>
      <c r="AC656" s="183" t="s">
        <v>1784</v>
      </c>
      <c r="AD656" s="184" t="s">
        <v>1785</v>
      </c>
      <c r="AE656" s="162" t="s">
        <v>143</v>
      </c>
      <c r="AF656" s="181" t="s">
        <v>138</v>
      </c>
      <c r="AG656" s="181">
        <v>0</v>
      </c>
      <c r="AH656" s="181"/>
      <c r="AI656" s="181"/>
      <c r="AJ656" s="181"/>
      <c r="AK656" s="181" t="s">
        <v>138</v>
      </c>
      <c r="AL656" s="181">
        <v>0</v>
      </c>
      <c r="AM656" s="181"/>
      <c r="AN656" s="181"/>
      <c r="AO656" s="181"/>
      <c r="AP656" s="181" t="s">
        <v>138</v>
      </c>
      <c r="AQ656" s="181">
        <v>0</v>
      </c>
      <c r="AR656" s="181"/>
      <c r="AS656" s="181"/>
      <c r="AT656" s="181"/>
      <c r="AU656" s="181" t="s">
        <v>1783</v>
      </c>
      <c r="AV656" s="181">
        <v>1</v>
      </c>
      <c r="AW656" s="181"/>
      <c r="AX656" s="181"/>
      <c r="AY656" s="181"/>
      <c r="AZ656" s="181"/>
      <c r="BA656" s="182" t="s">
        <v>140</v>
      </c>
      <c r="BB656" s="182" t="s">
        <v>140</v>
      </c>
      <c r="BC656" s="182" t="s">
        <v>140</v>
      </c>
      <c r="BD656" s="182" t="s">
        <v>141</v>
      </c>
      <c r="BE656" s="162" t="s">
        <v>741</v>
      </c>
      <c r="BF656" s="181"/>
      <c r="BG656" s="161"/>
      <c r="BH656" s="161"/>
      <c r="BI656" s="163"/>
      <c r="BJ656" s="163"/>
      <c r="BK656" s="163"/>
      <c r="BL656" s="163"/>
      <c r="BM656" s="163"/>
      <c r="BN656" s="163"/>
      <c r="BO656" s="163"/>
      <c r="BP656" s="163"/>
      <c r="BQ656" s="163"/>
      <c r="BR656" s="161"/>
      <c r="BS656" s="161"/>
      <c r="BT656" s="161"/>
      <c r="BU656" s="161"/>
      <c r="BV656" s="161"/>
      <c r="BW656" s="161"/>
      <c r="BX656" s="161"/>
      <c r="BY656" s="161"/>
      <c r="BZ656" s="161"/>
      <c r="CA656" s="161"/>
      <c r="CB656" s="163"/>
      <c r="CC656" s="161"/>
      <c r="CD656" s="161"/>
      <c r="CE656" s="185"/>
      <c r="CF656" s="185"/>
    </row>
    <row r="657" spans="1:84" hidden="1">
      <c r="A657" s="141"/>
      <c r="B657" s="199" t="s">
        <v>1840</v>
      </c>
      <c r="C657" s="199" t="s">
        <v>2122</v>
      </c>
      <c r="D657" s="199" t="s">
        <v>1195</v>
      </c>
      <c r="E657" s="199" t="s">
        <v>1788</v>
      </c>
      <c r="F657" s="199" t="s">
        <v>1244</v>
      </c>
      <c r="G657" s="199" t="s">
        <v>1245</v>
      </c>
      <c r="H657" s="200">
        <v>3797</v>
      </c>
      <c r="I657" s="201" t="s">
        <v>147</v>
      </c>
      <c r="J657" s="165">
        <v>1</v>
      </c>
      <c r="K657" s="202">
        <f t="shared" ref="K657:K667" si="1450">K656</f>
        <v>1</v>
      </c>
      <c r="L657" s="202">
        <f t="shared" ref="L657:L667" si="1451">+J657*K657</f>
        <v>1</v>
      </c>
      <c r="M657" s="203">
        <v>852.6</v>
      </c>
      <c r="N657" s="203">
        <f t="shared" ref="N657:N667" si="1452">+M657*L657</f>
        <v>852.6</v>
      </c>
      <c r="O657" s="203" t="s">
        <v>137</v>
      </c>
      <c r="P657" s="203" t="s">
        <v>13</v>
      </c>
      <c r="Q657" s="203" t="s">
        <v>154</v>
      </c>
      <c r="R657" s="203"/>
      <c r="S657" s="203"/>
      <c r="T657" s="203">
        <f ca="1">IF(SUMIFS(INDIRECT("'BTP-"&amp;$C$4&amp;"'!L:L"),INDIRECT("'BTP-"&amp;$C$4&amp;"'!D:D"),F657)-SUMIFS($T$10:T656,$F$10:F656,F657)&gt;0,MIN(SUMIFS(INDIRECT("'BTP-"&amp;$C$4&amp;"'!L:L"),INDIRECT("'BTP-"&amp;$C$4&amp;"'!D:D"),F657)-SUMIFS($T$10:T656,$F$10:F656,F657),L657),0)</f>
        <v>0</v>
      </c>
      <c r="U657" s="203">
        <f t="shared" ref="U657:U667" ca="1" si="1453">+L657-T657</f>
        <v>1</v>
      </c>
      <c r="V657" s="203">
        <f t="shared" ref="V657:V667" ca="1" si="1454">ROUNDDOWN(T657/J657,0)</f>
        <v>0</v>
      </c>
      <c r="W657" s="203"/>
      <c r="X657" s="203"/>
      <c r="Y657" s="203"/>
      <c r="Z657" s="203"/>
      <c r="AA657" s="203"/>
      <c r="AB657" s="203"/>
      <c r="AC657" s="205" t="s">
        <v>1784</v>
      </c>
      <c r="AD657" s="225" t="s">
        <v>1785</v>
      </c>
      <c r="AE657" s="166"/>
      <c r="AF657" s="203" t="str">
        <f t="shared" ref="AF657:AG667" si="1455">AF656</f>
        <v>N/A</v>
      </c>
      <c r="AG657" s="203">
        <f t="shared" si="1455"/>
        <v>0</v>
      </c>
      <c r="AH657" s="203">
        <f t="shared" ref="AH657:AH667" si="1456">+AG657*J657</f>
        <v>0</v>
      </c>
      <c r="AI657" s="203">
        <f t="shared" ref="AI657:AI667" ca="1" si="1457">MIN(T657,AH657)</f>
        <v>0</v>
      </c>
      <c r="AJ657" s="203">
        <f t="shared" ref="AJ657:AJ667" ca="1" si="1458">+AH657-AI657</f>
        <v>0</v>
      </c>
      <c r="AK657" s="203" t="str">
        <f t="shared" ref="AK657:AL667" si="1459">AK656</f>
        <v>N/A</v>
      </c>
      <c r="AL657" s="203">
        <f t="shared" si="1459"/>
        <v>0</v>
      </c>
      <c r="AM657" s="203">
        <f t="shared" ref="AM657:AM667" si="1460">+AL657*J657</f>
        <v>0</v>
      </c>
      <c r="AN657" s="203">
        <f t="shared" ref="AN657:AN667" ca="1" si="1461">MIN(T657-AI657,AL657)</f>
        <v>0</v>
      </c>
      <c r="AO657" s="203">
        <f t="shared" ref="AO657:AO667" ca="1" si="1462">+AM657-AN657</f>
        <v>0</v>
      </c>
      <c r="AP657" s="203" t="str">
        <f t="shared" ref="AP657:AQ667" si="1463">AP656</f>
        <v>N/A</v>
      </c>
      <c r="AQ657" s="203">
        <f t="shared" si="1463"/>
        <v>0</v>
      </c>
      <c r="AR657" s="203">
        <f t="shared" ref="AR657:AR667" si="1464">+AQ657*J657</f>
        <v>0</v>
      </c>
      <c r="AS657" s="203">
        <f t="shared" ref="AS657:AS667" ca="1" si="1465">MIN(T657-AI657-AN657,AR657)</f>
        <v>0</v>
      </c>
      <c r="AT657" s="203">
        <f t="shared" ref="AT657:AT667" ca="1" si="1466">+AR657-AS657</f>
        <v>0</v>
      </c>
      <c r="AU657" s="203" t="str">
        <f t="shared" ref="AU657:AV667" si="1467">AU656</f>
        <v>AMC2-S1</v>
      </c>
      <c r="AV657" s="203">
        <f t="shared" si="1467"/>
        <v>1</v>
      </c>
      <c r="AW657" s="203">
        <f t="shared" ref="AW657:AW667" si="1468">+AV657*J657</f>
        <v>1</v>
      </c>
      <c r="AX657" s="203">
        <f t="shared" ref="AX657:AX667" ca="1" si="1469">MIN(T657-AI657-AN657-AS657,AW657)</f>
        <v>0</v>
      </c>
      <c r="AY657" s="203">
        <f t="shared" ref="AY657:AY667" ca="1" si="1470">+AW657-AX657</f>
        <v>1</v>
      </c>
      <c r="AZ657" s="203"/>
      <c r="BA657" s="204" t="s">
        <v>140</v>
      </c>
      <c r="BB657" s="204" t="s">
        <v>140</v>
      </c>
      <c r="BC657" s="204" t="s">
        <v>140</v>
      </c>
      <c r="BD657" s="204" t="s">
        <v>141</v>
      </c>
      <c r="BE657" s="166"/>
      <c r="BF657" s="203" t="s">
        <v>1789</v>
      </c>
      <c r="BG657" s="141"/>
      <c r="BH657" s="141"/>
      <c r="BI657" s="153"/>
      <c r="BJ657" s="153"/>
      <c r="BK657" s="153"/>
      <c r="BL657" s="153" t="s">
        <v>149</v>
      </c>
      <c r="BM657" s="153"/>
      <c r="BN657" s="153"/>
      <c r="BO657" s="153"/>
      <c r="BP657" s="153"/>
      <c r="BQ657" s="153"/>
      <c r="BR657" s="141">
        <v>0</v>
      </c>
      <c r="BS657" s="141">
        <v>1</v>
      </c>
      <c r="BT657" s="141">
        <v>0</v>
      </c>
      <c r="BU657" s="141">
        <v>1</v>
      </c>
      <c r="BV657" s="141">
        <v>0</v>
      </c>
      <c r="BW657" s="141">
        <v>0</v>
      </c>
      <c r="BX657" s="141">
        <v>0</v>
      </c>
      <c r="BY657" s="141" t="s">
        <v>1790</v>
      </c>
      <c r="BZ657" s="117" t="s">
        <v>57</v>
      </c>
      <c r="CA657" s="141">
        <v>1</v>
      </c>
      <c r="CB657" s="153"/>
      <c r="CC657" s="141"/>
      <c r="CD657" s="141"/>
      <c r="CE657" s="166"/>
      <c r="CF657" s="166">
        <f t="shared" ref="CF657:CF667" si="1471">+L657-CA657</f>
        <v>0</v>
      </c>
    </row>
    <row r="658" spans="1:84" hidden="1">
      <c r="A658" s="141"/>
      <c r="B658" s="199" t="s">
        <v>1840</v>
      </c>
      <c r="C658" s="199" t="s">
        <v>2122</v>
      </c>
      <c r="D658" s="199" t="s">
        <v>1195</v>
      </c>
      <c r="E658" s="199" t="s">
        <v>1791</v>
      </c>
      <c r="F658" s="199" t="s">
        <v>1247</v>
      </c>
      <c r="G658" s="199" t="s">
        <v>1248</v>
      </c>
      <c r="H658" s="200">
        <v>5126</v>
      </c>
      <c r="I658" s="201" t="s">
        <v>147</v>
      </c>
      <c r="J658" s="165">
        <v>1</v>
      </c>
      <c r="K658" s="202">
        <f t="shared" si="1450"/>
        <v>1</v>
      </c>
      <c r="L658" s="202">
        <f t="shared" si="1451"/>
        <v>1</v>
      </c>
      <c r="M658" s="203">
        <v>935.3</v>
      </c>
      <c r="N658" s="203">
        <f t="shared" si="1452"/>
        <v>935.3</v>
      </c>
      <c r="O658" s="203" t="s">
        <v>137</v>
      </c>
      <c r="P658" s="203" t="s">
        <v>13</v>
      </c>
      <c r="Q658" s="203" t="s">
        <v>154</v>
      </c>
      <c r="R658" s="203"/>
      <c r="S658" s="203"/>
      <c r="T658" s="203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0</v>
      </c>
      <c r="U658" s="203">
        <f t="shared" ca="1" si="1453"/>
        <v>1</v>
      </c>
      <c r="V658" s="203">
        <f t="shared" ca="1" si="1454"/>
        <v>0</v>
      </c>
      <c r="W658" s="203"/>
      <c r="X658" s="203"/>
      <c r="Y658" s="203"/>
      <c r="Z658" s="203"/>
      <c r="AA658" s="203"/>
      <c r="AB658" s="203"/>
      <c r="AC658" s="205" t="s">
        <v>1784</v>
      </c>
      <c r="AD658" s="225" t="s">
        <v>1785</v>
      </c>
      <c r="AE658" s="166"/>
      <c r="AF658" s="203" t="str">
        <f t="shared" si="1455"/>
        <v>N/A</v>
      </c>
      <c r="AG658" s="203">
        <f t="shared" si="1455"/>
        <v>0</v>
      </c>
      <c r="AH658" s="203">
        <f t="shared" si="1456"/>
        <v>0</v>
      </c>
      <c r="AI658" s="203">
        <f t="shared" ca="1" si="1457"/>
        <v>0</v>
      </c>
      <c r="AJ658" s="203">
        <f t="shared" ca="1" si="1458"/>
        <v>0</v>
      </c>
      <c r="AK658" s="203" t="str">
        <f t="shared" si="1459"/>
        <v>N/A</v>
      </c>
      <c r="AL658" s="203">
        <f t="shared" si="1459"/>
        <v>0</v>
      </c>
      <c r="AM658" s="203">
        <f t="shared" si="1460"/>
        <v>0</v>
      </c>
      <c r="AN658" s="203">
        <f t="shared" ca="1" si="1461"/>
        <v>0</v>
      </c>
      <c r="AO658" s="203">
        <f t="shared" ca="1" si="1462"/>
        <v>0</v>
      </c>
      <c r="AP658" s="203" t="str">
        <f t="shared" si="1463"/>
        <v>N/A</v>
      </c>
      <c r="AQ658" s="203">
        <f t="shared" si="1463"/>
        <v>0</v>
      </c>
      <c r="AR658" s="203">
        <f t="shared" si="1464"/>
        <v>0</v>
      </c>
      <c r="AS658" s="203">
        <f t="shared" ca="1" si="1465"/>
        <v>0</v>
      </c>
      <c r="AT658" s="203">
        <f t="shared" ca="1" si="1466"/>
        <v>0</v>
      </c>
      <c r="AU658" s="203" t="str">
        <f t="shared" si="1467"/>
        <v>AMC2-S1</v>
      </c>
      <c r="AV658" s="203">
        <f t="shared" si="1467"/>
        <v>1</v>
      </c>
      <c r="AW658" s="203">
        <f t="shared" si="1468"/>
        <v>1</v>
      </c>
      <c r="AX658" s="203">
        <f t="shared" ca="1" si="1469"/>
        <v>0</v>
      </c>
      <c r="AY658" s="203">
        <f t="shared" ca="1" si="1470"/>
        <v>1</v>
      </c>
      <c r="AZ658" s="203"/>
      <c r="BA658" s="204" t="s">
        <v>140</v>
      </c>
      <c r="BB658" s="204" t="s">
        <v>140</v>
      </c>
      <c r="BC658" s="204" t="s">
        <v>140</v>
      </c>
      <c r="BD658" s="204" t="s">
        <v>141</v>
      </c>
      <c r="BE658" s="166"/>
      <c r="BF658" s="203" t="s">
        <v>1789</v>
      </c>
      <c r="BG658" s="141"/>
      <c r="BH658" s="141"/>
      <c r="BI658" s="153"/>
      <c r="BJ658" s="153"/>
      <c r="BK658" s="153"/>
      <c r="BL658" s="153" t="s">
        <v>149</v>
      </c>
      <c r="BM658" s="153"/>
      <c r="BN658" s="153"/>
      <c r="BO658" s="153"/>
      <c r="BP658" s="153"/>
      <c r="BQ658" s="153"/>
      <c r="BR658" s="141">
        <v>0</v>
      </c>
      <c r="BS658" s="141">
        <v>1</v>
      </c>
      <c r="BT658" s="141">
        <v>0</v>
      </c>
      <c r="BU658" s="141">
        <v>1</v>
      </c>
      <c r="BV658" s="141">
        <v>0</v>
      </c>
      <c r="BW658" s="141">
        <v>0</v>
      </c>
      <c r="BX658" s="141">
        <v>0</v>
      </c>
      <c r="BY658" s="141" t="s">
        <v>1790</v>
      </c>
      <c r="BZ658" s="141"/>
      <c r="CA658" s="141"/>
      <c r="CB658" s="153"/>
      <c r="CC658" s="141"/>
      <c r="CD658" s="141"/>
      <c r="CE658" s="166"/>
      <c r="CF658" s="166">
        <f t="shared" si="1471"/>
        <v>1</v>
      </c>
    </row>
    <row r="659" spans="1:84" hidden="1">
      <c r="A659" s="141"/>
      <c r="B659" s="199" t="s">
        <v>1840</v>
      </c>
      <c r="C659" s="199" t="s">
        <v>2122</v>
      </c>
      <c r="D659" s="199" t="s">
        <v>1204</v>
      </c>
      <c r="E659" s="199" t="s">
        <v>1792</v>
      </c>
      <c r="F659" s="199" t="s">
        <v>1249</v>
      </c>
      <c r="G659" s="199" t="s">
        <v>1250</v>
      </c>
      <c r="H659" s="200">
        <v>1616</v>
      </c>
      <c r="I659" s="201" t="s">
        <v>147</v>
      </c>
      <c r="J659" s="165">
        <v>2</v>
      </c>
      <c r="K659" s="202">
        <f t="shared" si="1450"/>
        <v>1</v>
      </c>
      <c r="L659" s="202">
        <f t="shared" si="1451"/>
        <v>2</v>
      </c>
      <c r="M659" s="203">
        <v>27.8</v>
      </c>
      <c r="N659" s="203">
        <f t="shared" si="1452"/>
        <v>55.6</v>
      </c>
      <c r="O659" s="203" t="s">
        <v>137</v>
      </c>
      <c r="P659" s="203" t="s">
        <v>13</v>
      </c>
      <c r="Q659" s="203" t="s">
        <v>148</v>
      </c>
      <c r="R659" s="203"/>
      <c r="S659" s="203"/>
      <c r="T659" s="203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0</v>
      </c>
      <c r="U659" s="203">
        <f t="shared" ca="1" si="1453"/>
        <v>2</v>
      </c>
      <c r="V659" s="203">
        <f t="shared" ca="1" si="1454"/>
        <v>0</v>
      </c>
      <c r="W659" s="203"/>
      <c r="X659" s="203"/>
      <c r="Y659" s="203"/>
      <c r="Z659" s="203"/>
      <c r="AA659" s="203"/>
      <c r="AB659" s="203"/>
      <c r="AC659" s="205" t="s">
        <v>1784</v>
      </c>
      <c r="AD659" s="225" t="s">
        <v>1785</v>
      </c>
      <c r="AE659" s="166"/>
      <c r="AF659" s="203" t="str">
        <f t="shared" si="1455"/>
        <v>N/A</v>
      </c>
      <c r="AG659" s="203">
        <f t="shared" si="1455"/>
        <v>0</v>
      </c>
      <c r="AH659" s="203">
        <f t="shared" si="1456"/>
        <v>0</v>
      </c>
      <c r="AI659" s="203">
        <f t="shared" ca="1" si="1457"/>
        <v>0</v>
      </c>
      <c r="AJ659" s="203">
        <f t="shared" ca="1" si="1458"/>
        <v>0</v>
      </c>
      <c r="AK659" s="203" t="str">
        <f t="shared" si="1459"/>
        <v>N/A</v>
      </c>
      <c r="AL659" s="203">
        <f t="shared" si="1459"/>
        <v>0</v>
      </c>
      <c r="AM659" s="203">
        <f t="shared" si="1460"/>
        <v>0</v>
      </c>
      <c r="AN659" s="203">
        <f t="shared" ca="1" si="1461"/>
        <v>0</v>
      </c>
      <c r="AO659" s="203">
        <f t="shared" ca="1" si="1462"/>
        <v>0</v>
      </c>
      <c r="AP659" s="203" t="str">
        <f t="shared" si="1463"/>
        <v>N/A</v>
      </c>
      <c r="AQ659" s="203">
        <f t="shared" si="1463"/>
        <v>0</v>
      </c>
      <c r="AR659" s="203">
        <f t="shared" si="1464"/>
        <v>0</v>
      </c>
      <c r="AS659" s="203">
        <f t="shared" ca="1" si="1465"/>
        <v>0</v>
      </c>
      <c r="AT659" s="203">
        <f t="shared" ca="1" si="1466"/>
        <v>0</v>
      </c>
      <c r="AU659" s="203" t="str">
        <f t="shared" si="1467"/>
        <v>AMC2-S1</v>
      </c>
      <c r="AV659" s="203">
        <f t="shared" si="1467"/>
        <v>1</v>
      </c>
      <c r="AW659" s="203">
        <f t="shared" si="1468"/>
        <v>2</v>
      </c>
      <c r="AX659" s="203">
        <f t="shared" ca="1" si="1469"/>
        <v>0</v>
      </c>
      <c r="AY659" s="203">
        <f t="shared" ca="1" si="1470"/>
        <v>2</v>
      </c>
      <c r="AZ659" s="203"/>
      <c r="BA659" s="204" t="s">
        <v>140</v>
      </c>
      <c r="BB659" s="204" t="s">
        <v>140</v>
      </c>
      <c r="BC659" s="204" t="s">
        <v>140</v>
      </c>
      <c r="BD659" s="204" t="s">
        <v>141</v>
      </c>
      <c r="BE659" s="166"/>
      <c r="BF659" s="203" t="s">
        <v>1789</v>
      </c>
      <c r="BG659" s="141"/>
      <c r="BH659" s="141"/>
      <c r="BI659" s="153"/>
      <c r="BJ659" s="153"/>
      <c r="BK659" s="153"/>
      <c r="BL659" s="153" t="s">
        <v>149</v>
      </c>
      <c r="BM659" s="153"/>
      <c r="BN659" s="153"/>
      <c r="BO659" s="153"/>
      <c r="BP659" s="153"/>
      <c r="BQ659" s="153"/>
      <c r="BR659" s="141">
        <v>0</v>
      </c>
      <c r="BS659" s="141">
        <v>0</v>
      </c>
      <c r="BT659" s="141">
        <v>0</v>
      </c>
      <c r="BU659" s="141">
        <v>0</v>
      </c>
      <c r="BV659" s="141">
        <v>0</v>
      </c>
      <c r="BW659" s="141">
        <v>0</v>
      </c>
      <c r="BX659" s="141">
        <v>0</v>
      </c>
      <c r="BY659" s="141" t="s">
        <v>1790</v>
      </c>
      <c r="BZ659" s="117" t="s">
        <v>57</v>
      </c>
      <c r="CA659" s="141">
        <v>2</v>
      </c>
      <c r="CB659" s="153"/>
      <c r="CC659" s="141"/>
      <c r="CD659" s="141"/>
      <c r="CE659" s="166"/>
      <c r="CF659" s="166">
        <f t="shared" si="1471"/>
        <v>0</v>
      </c>
    </row>
    <row r="660" spans="1:84" hidden="1">
      <c r="A660" s="141"/>
      <c r="B660" s="199" t="s">
        <v>1840</v>
      </c>
      <c r="C660" s="199" t="s">
        <v>2122</v>
      </c>
      <c r="D660" s="199" t="s">
        <v>1204</v>
      </c>
      <c r="E660" s="199" t="s">
        <v>1793</v>
      </c>
      <c r="F660" s="199" t="s">
        <v>1251</v>
      </c>
      <c r="G660" s="199" t="s">
        <v>1250</v>
      </c>
      <c r="H660" s="200">
        <v>1616</v>
      </c>
      <c r="I660" s="201" t="s">
        <v>147</v>
      </c>
      <c r="J660" s="165">
        <v>1</v>
      </c>
      <c r="K660" s="202">
        <f t="shared" si="1450"/>
        <v>1</v>
      </c>
      <c r="L660" s="202">
        <f t="shared" si="1451"/>
        <v>1</v>
      </c>
      <c r="M660" s="203">
        <v>24.2</v>
      </c>
      <c r="N660" s="203">
        <f t="shared" si="1452"/>
        <v>24.2</v>
      </c>
      <c r="O660" s="203" t="s">
        <v>137</v>
      </c>
      <c r="P660" s="203" t="s">
        <v>13</v>
      </c>
      <c r="Q660" s="203" t="s">
        <v>148</v>
      </c>
      <c r="R660" s="203"/>
      <c r="S660" s="203"/>
      <c r="T660" s="203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0</v>
      </c>
      <c r="U660" s="203">
        <f t="shared" ca="1" si="1453"/>
        <v>1</v>
      </c>
      <c r="V660" s="203">
        <f t="shared" ca="1" si="1454"/>
        <v>0</v>
      </c>
      <c r="W660" s="203"/>
      <c r="X660" s="203"/>
      <c r="Y660" s="203"/>
      <c r="Z660" s="203"/>
      <c r="AA660" s="203"/>
      <c r="AB660" s="203"/>
      <c r="AC660" s="205" t="s">
        <v>1784</v>
      </c>
      <c r="AD660" s="225" t="s">
        <v>1785</v>
      </c>
      <c r="AE660" s="166"/>
      <c r="AF660" s="203" t="str">
        <f t="shared" si="1455"/>
        <v>N/A</v>
      </c>
      <c r="AG660" s="203">
        <f t="shared" si="1455"/>
        <v>0</v>
      </c>
      <c r="AH660" s="203">
        <f t="shared" si="1456"/>
        <v>0</v>
      </c>
      <c r="AI660" s="203">
        <f t="shared" ca="1" si="1457"/>
        <v>0</v>
      </c>
      <c r="AJ660" s="203">
        <f t="shared" ca="1" si="1458"/>
        <v>0</v>
      </c>
      <c r="AK660" s="203" t="str">
        <f t="shared" si="1459"/>
        <v>N/A</v>
      </c>
      <c r="AL660" s="203">
        <f t="shared" si="1459"/>
        <v>0</v>
      </c>
      <c r="AM660" s="203">
        <f t="shared" si="1460"/>
        <v>0</v>
      </c>
      <c r="AN660" s="203">
        <f t="shared" ca="1" si="1461"/>
        <v>0</v>
      </c>
      <c r="AO660" s="203">
        <f t="shared" ca="1" si="1462"/>
        <v>0</v>
      </c>
      <c r="AP660" s="203" t="str">
        <f t="shared" si="1463"/>
        <v>N/A</v>
      </c>
      <c r="AQ660" s="203">
        <f t="shared" si="1463"/>
        <v>0</v>
      </c>
      <c r="AR660" s="203">
        <f t="shared" si="1464"/>
        <v>0</v>
      </c>
      <c r="AS660" s="203">
        <f t="shared" ca="1" si="1465"/>
        <v>0</v>
      </c>
      <c r="AT660" s="203">
        <f t="shared" ca="1" si="1466"/>
        <v>0</v>
      </c>
      <c r="AU660" s="203" t="str">
        <f t="shared" si="1467"/>
        <v>AMC2-S1</v>
      </c>
      <c r="AV660" s="203">
        <f t="shared" si="1467"/>
        <v>1</v>
      </c>
      <c r="AW660" s="203">
        <f t="shared" si="1468"/>
        <v>1</v>
      </c>
      <c r="AX660" s="203">
        <f t="shared" ca="1" si="1469"/>
        <v>0</v>
      </c>
      <c r="AY660" s="203">
        <f t="shared" ca="1" si="1470"/>
        <v>1</v>
      </c>
      <c r="AZ660" s="203"/>
      <c r="BA660" s="204" t="s">
        <v>140</v>
      </c>
      <c r="BB660" s="204" t="s">
        <v>140</v>
      </c>
      <c r="BC660" s="204" t="s">
        <v>140</v>
      </c>
      <c r="BD660" s="204" t="s">
        <v>141</v>
      </c>
      <c r="BE660" s="166"/>
      <c r="BF660" s="203" t="s">
        <v>1789</v>
      </c>
      <c r="BG660" s="141"/>
      <c r="BH660" s="141"/>
      <c r="BI660" s="153"/>
      <c r="BJ660" s="153"/>
      <c r="BK660" s="153"/>
      <c r="BL660" s="153" t="s">
        <v>149</v>
      </c>
      <c r="BM660" s="153"/>
      <c r="BN660" s="153"/>
      <c r="BO660" s="153"/>
      <c r="BP660" s="153"/>
      <c r="BQ660" s="153"/>
      <c r="BR660" s="141">
        <v>0</v>
      </c>
      <c r="BS660" s="141">
        <v>0</v>
      </c>
      <c r="BT660" s="141">
        <v>0</v>
      </c>
      <c r="BU660" s="141">
        <v>0</v>
      </c>
      <c r="BV660" s="141">
        <v>0</v>
      </c>
      <c r="BW660" s="141">
        <v>0</v>
      </c>
      <c r="BX660" s="141">
        <v>0</v>
      </c>
      <c r="BY660" s="141" t="s">
        <v>1790</v>
      </c>
      <c r="BZ660" s="117" t="s">
        <v>57</v>
      </c>
      <c r="CA660" s="141">
        <v>1</v>
      </c>
      <c r="CB660" s="153"/>
      <c r="CC660" s="141"/>
      <c r="CD660" s="141"/>
      <c r="CE660" s="166"/>
      <c r="CF660" s="166">
        <f t="shared" si="1471"/>
        <v>0</v>
      </c>
    </row>
    <row r="661" spans="1:84" hidden="1">
      <c r="A661" s="141"/>
      <c r="B661" s="199" t="s">
        <v>1840</v>
      </c>
      <c r="C661" s="199" t="s">
        <v>2122</v>
      </c>
      <c r="D661" s="199" t="s">
        <v>13</v>
      </c>
      <c r="E661" s="199" t="s">
        <v>1794</v>
      </c>
      <c r="F661" s="199" t="s">
        <v>1252</v>
      </c>
      <c r="G661" s="199" t="s">
        <v>1157</v>
      </c>
      <c r="H661" s="200">
        <v>6413</v>
      </c>
      <c r="I661" s="201" t="s">
        <v>147</v>
      </c>
      <c r="J661" s="165">
        <v>2</v>
      </c>
      <c r="K661" s="202">
        <f t="shared" si="1450"/>
        <v>1</v>
      </c>
      <c r="L661" s="202">
        <f t="shared" si="1451"/>
        <v>2</v>
      </c>
      <c r="M661" s="203">
        <v>241.6</v>
      </c>
      <c r="N661" s="203">
        <f t="shared" si="1452"/>
        <v>483.2</v>
      </c>
      <c r="O661" s="203" t="s">
        <v>137</v>
      </c>
      <c r="P661" s="203" t="s">
        <v>13</v>
      </c>
      <c r="Q661" s="203" t="s">
        <v>148</v>
      </c>
      <c r="R661" s="203"/>
      <c r="S661" s="203"/>
      <c r="T661" s="203">
        <f ca="1">IF(SUMIFS(INDIRECT("'BTP-"&amp;$C$4&amp;"'!L:L"),INDIRECT("'BTP-"&amp;$C$4&amp;"'!D:D"),F661)-SUMIFS($T$10:T660,$F$10:F660,F661)&gt;0,MIN(SUMIFS(INDIRECT("'BTP-"&amp;$C$4&amp;"'!L:L"),INDIRECT("'BTP-"&amp;$C$4&amp;"'!D:D"),F661)-SUMIFS($T$10:T660,$F$10:F660,F661),L661),0)</f>
        <v>0</v>
      </c>
      <c r="U661" s="203">
        <f t="shared" ca="1" si="1453"/>
        <v>2</v>
      </c>
      <c r="V661" s="203">
        <f t="shared" ca="1" si="1454"/>
        <v>0</v>
      </c>
      <c r="W661" s="203"/>
      <c r="X661" s="203"/>
      <c r="Y661" s="203"/>
      <c r="Z661" s="203"/>
      <c r="AA661" s="203"/>
      <c r="AB661" s="203"/>
      <c r="AC661" s="205" t="s">
        <v>1784</v>
      </c>
      <c r="AD661" s="225" t="s">
        <v>1785</v>
      </c>
      <c r="AE661" s="166"/>
      <c r="AF661" s="203" t="str">
        <f t="shared" si="1455"/>
        <v>N/A</v>
      </c>
      <c r="AG661" s="203">
        <f t="shared" si="1455"/>
        <v>0</v>
      </c>
      <c r="AH661" s="203">
        <f t="shared" si="1456"/>
        <v>0</v>
      </c>
      <c r="AI661" s="203">
        <f t="shared" ca="1" si="1457"/>
        <v>0</v>
      </c>
      <c r="AJ661" s="203">
        <f t="shared" ca="1" si="1458"/>
        <v>0</v>
      </c>
      <c r="AK661" s="203" t="str">
        <f t="shared" si="1459"/>
        <v>N/A</v>
      </c>
      <c r="AL661" s="203">
        <f t="shared" si="1459"/>
        <v>0</v>
      </c>
      <c r="AM661" s="203">
        <f t="shared" si="1460"/>
        <v>0</v>
      </c>
      <c r="AN661" s="203">
        <f t="shared" ca="1" si="1461"/>
        <v>0</v>
      </c>
      <c r="AO661" s="203">
        <f t="shared" ca="1" si="1462"/>
        <v>0</v>
      </c>
      <c r="AP661" s="203" t="str">
        <f t="shared" si="1463"/>
        <v>N/A</v>
      </c>
      <c r="AQ661" s="203">
        <f t="shared" si="1463"/>
        <v>0</v>
      </c>
      <c r="AR661" s="203">
        <f t="shared" si="1464"/>
        <v>0</v>
      </c>
      <c r="AS661" s="203">
        <f t="shared" ca="1" si="1465"/>
        <v>0</v>
      </c>
      <c r="AT661" s="203">
        <f t="shared" ca="1" si="1466"/>
        <v>0</v>
      </c>
      <c r="AU661" s="203" t="str">
        <f t="shared" si="1467"/>
        <v>AMC2-S1</v>
      </c>
      <c r="AV661" s="203">
        <f t="shared" si="1467"/>
        <v>1</v>
      </c>
      <c r="AW661" s="203">
        <f t="shared" si="1468"/>
        <v>2</v>
      </c>
      <c r="AX661" s="203">
        <f t="shared" ca="1" si="1469"/>
        <v>0</v>
      </c>
      <c r="AY661" s="203">
        <f t="shared" ca="1" si="1470"/>
        <v>2</v>
      </c>
      <c r="AZ661" s="203"/>
      <c r="BA661" s="204" t="s">
        <v>140</v>
      </c>
      <c r="BB661" s="204" t="s">
        <v>140</v>
      </c>
      <c r="BC661" s="204" t="s">
        <v>140</v>
      </c>
      <c r="BD661" s="204" t="s">
        <v>141</v>
      </c>
      <c r="BE661" s="166"/>
      <c r="BF661" s="203" t="s">
        <v>1789</v>
      </c>
      <c r="BG661" s="141"/>
      <c r="BH661" s="141"/>
      <c r="BI661" s="153"/>
      <c r="BJ661" s="153"/>
      <c r="BK661" s="153"/>
      <c r="BL661" s="153" t="s">
        <v>149</v>
      </c>
      <c r="BM661" s="153"/>
      <c r="BN661" s="153"/>
      <c r="BO661" s="153"/>
      <c r="BP661" s="153"/>
      <c r="BQ661" s="153"/>
      <c r="BR661" s="141">
        <v>0</v>
      </c>
      <c r="BS661" s="141">
        <v>0</v>
      </c>
      <c r="BT661" s="141">
        <v>0</v>
      </c>
      <c r="BU661" s="141">
        <v>0</v>
      </c>
      <c r="BV661" s="141">
        <v>0</v>
      </c>
      <c r="BW661" s="141">
        <v>0</v>
      </c>
      <c r="BX661" s="141">
        <v>0</v>
      </c>
      <c r="BY661" s="141" t="s">
        <v>1790</v>
      </c>
      <c r="BZ661" s="141" t="s">
        <v>2100</v>
      </c>
      <c r="CA661" s="165">
        <v>2</v>
      </c>
      <c r="CB661" s="153">
        <v>46238</v>
      </c>
      <c r="CC661" s="141"/>
      <c r="CD661" s="141"/>
      <c r="CE661" s="166"/>
      <c r="CF661" s="166">
        <f t="shared" si="1471"/>
        <v>0</v>
      </c>
    </row>
    <row r="662" spans="1:84" hidden="1">
      <c r="A662" s="141"/>
      <c r="B662" s="199" t="s">
        <v>1840</v>
      </c>
      <c r="C662" s="199" t="s">
        <v>2122</v>
      </c>
      <c r="D662" s="199" t="s">
        <v>13</v>
      </c>
      <c r="E662" s="199" t="s">
        <v>1795</v>
      </c>
      <c r="F662" s="199" t="s">
        <v>1253</v>
      </c>
      <c r="G662" s="199" t="s">
        <v>1254</v>
      </c>
      <c r="H662" s="200">
        <v>520</v>
      </c>
      <c r="I662" s="201" t="s">
        <v>147</v>
      </c>
      <c r="J662" s="165">
        <v>2</v>
      </c>
      <c r="K662" s="202">
        <f t="shared" si="1450"/>
        <v>1</v>
      </c>
      <c r="L662" s="202">
        <f t="shared" si="1451"/>
        <v>2</v>
      </c>
      <c r="M662" s="203">
        <v>7.8</v>
      </c>
      <c r="N662" s="203">
        <f t="shared" si="1452"/>
        <v>15.6</v>
      </c>
      <c r="O662" s="203" t="s">
        <v>137</v>
      </c>
      <c r="P662" s="203" t="s">
        <v>13</v>
      </c>
      <c r="Q662" s="203" t="s">
        <v>148</v>
      </c>
      <c r="R662" s="203"/>
      <c r="S662" s="203"/>
      <c r="T662" s="203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0</v>
      </c>
      <c r="U662" s="203">
        <f t="shared" ca="1" si="1453"/>
        <v>2</v>
      </c>
      <c r="V662" s="203">
        <f t="shared" ca="1" si="1454"/>
        <v>0</v>
      </c>
      <c r="W662" s="203"/>
      <c r="X662" s="203"/>
      <c r="Y662" s="203"/>
      <c r="Z662" s="203"/>
      <c r="AA662" s="203"/>
      <c r="AB662" s="203"/>
      <c r="AC662" s="205" t="s">
        <v>1784</v>
      </c>
      <c r="AD662" s="225" t="s">
        <v>1785</v>
      </c>
      <c r="AE662" s="166"/>
      <c r="AF662" s="203" t="str">
        <f t="shared" si="1455"/>
        <v>N/A</v>
      </c>
      <c r="AG662" s="203">
        <f t="shared" si="1455"/>
        <v>0</v>
      </c>
      <c r="AH662" s="203">
        <f t="shared" si="1456"/>
        <v>0</v>
      </c>
      <c r="AI662" s="203">
        <f t="shared" ca="1" si="1457"/>
        <v>0</v>
      </c>
      <c r="AJ662" s="203">
        <f t="shared" ca="1" si="1458"/>
        <v>0</v>
      </c>
      <c r="AK662" s="203" t="str">
        <f t="shared" si="1459"/>
        <v>N/A</v>
      </c>
      <c r="AL662" s="203">
        <f t="shared" si="1459"/>
        <v>0</v>
      </c>
      <c r="AM662" s="203">
        <f t="shared" si="1460"/>
        <v>0</v>
      </c>
      <c r="AN662" s="203">
        <f t="shared" ca="1" si="1461"/>
        <v>0</v>
      </c>
      <c r="AO662" s="203">
        <f t="shared" ca="1" si="1462"/>
        <v>0</v>
      </c>
      <c r="AP662" s="203" t="str">
        <f t="shared" si="1463"/>
        <v>N/A</v>
      </c>
      <c r="AQ662" s="203">
        <f t="shared" si="1463"/>
        <v>0</v>
      </c>
      <c r="AR662" s="203">
        <f t="shared" si="1464"/>
        <v>0</v>
      </c>
      <c r="AS662" s="203">
        <f t="shared" ca="1" si="1465"/>
        <v>0</v>
      </c>
      <c r="AT662" s="203">
        <f t="shared" ca="1" si="1466"/>
        <v>0</v>
      </c>
      <c r="AU662" s="203" t="str">
        <f t="shared" si="1467"/>
        <v>AMC2-S1</v>
      </c>
      <c r="AV662" s="203">
        <f t="shared" si="1467"/>
        <v>1</v>
      </c>
      <c r="AW662" s="203">
        <f t="shared" si="1468"/>
        <v>2</v>
      </c>
      <c r="AX662" s="203">
        <f t="shared" ca="1" si="1469"/>
        <v>0</v>
      </c>
      <c r="AY662" s="203">
        <f t="shared" ca="1" si="1470"/>
        <v>2</v>
      </c>
      <c r="AZ662" s="203"/>
      <c r="BA662" s="204" t="s">
        <v>140</v>
      </c>
      <c r="BB662" s="204" t="s">
        <v>140</v>
      </c>
      <c r="BC662" s="204" t="s">
        <v>140</v>
      </c>
      <c r="BD662" s="204" t="s">
        <v>141</v>
      </c>
      <c r="BE662" s="166"/>
      <c r="BF662" s="203" t="s">
        <v>1789</v>
      </c>
      <c r="BG662" s="141"/>
      <c r="BH662" s="141"/>
      <c r="BI662" s="153"/>
      <c r="BJ662" s="153"/>
      <c r="BK662" s="153"/>
      <c r="BL662" s="153" t="s">
        <v>149</v>
      </c>
      <c r="BM662" s="153"/>
      <c r="BN662" s="153"/>
      <c r="BO662" s="153"/>
      <c r="BP662" s="153"/>
      <c r="BQ662" s="153"/>
      <c r="BR662" s="141">
        <v>1</v>
      </c>
      <c r="BS662" s="141">
        <v>0</v>
      </c>
      <c r="BT662" s="141">
        <v>0</v>
      </c>
      <c r="BU662" s="141">
        <v>0</v>
      </c>
      <c r="BV662" s="141">
        <v>0</v>
      </c>
      <c r="BW662" s="141">
        <v>0</v>
      </c>
      <c r="BX662" s="141">
        <v>0</v>
      </c>
      <c r="BY662" s="141" t="s">
        <v>1790</v>
      </c>
      <c r="BZ662" s="141" t="s">
        <v>2100</v>
      </c>
      <c r="CA662" s="165">
        <v>2</v>
      </c>
      <c r="CB662" s="153">
        <v>46238</v>
      </c>
      <c r="CC662" s="141"/>
      <c r="CD662" s="141"/>
      <c r="CE662" s="166"/>
      <c r="CF662" s="166">
        <f t="shared" si="1471"/>
        <v>0</v>
      </c>
    </row>
    <row r="663" spans="1:84" hidden="1">
      <c r="A663" s="141"/>
      <c r="B663" s="199" t="s">
        <v>1840</v>
      </c>
      <c r="C663" s="199" t="s">
        <v>2122</v>
      </c>
      <c r="D663" s="199" t="s">
        <v>13</v>
      </c>
      <c r="E663" s="199" t="s">
        <v>1796</v>
      </c>
      <c r="F663" s="199" t="s">
        <v>1255</v>
      </c>
      <c r="G663" s="199" t="s">
        <v>1256</v>
      </c>
      <c r="H663" s="200">
        <v>178</v>
      </c>
      <c r="I663" s="201" t="s">
        <v>147</v>
      </c>
      <c r="J663" s="165">
        <v>4</v>
      </c>
      <c r="K663" s="202">
        <f t="shared" si="1450"/>
        <v>1</v>
      </c>
      <c r="L663" s="202">
        <f t="shared" si="1451"/>
        <v>4</v>
      </c>
      <c r="M663" s="203">
        <v>1.3</v>
      </c>
      <c r="N663" s="203">
        <f t="shared" si="1452"/>
        <v>5.2</v>
      </c>
      <c r="O663" s="203" t="s">
        <v>137</v>
      </c>
      <c r="P663" s="203" t="s">
        <v>13</v>
      </c>
      <c r="Q663" s="203" t="s">
        <v>148</v>
      </c>
      <c r="R663" s="203"/>
      <c r="S663" s="203"/>
      <c r="T663" s="203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4</v>
      </c>
      <c r="U663" s="203">
        <f t="shared" ca="1" si="1453"/>
        <v>0</v>
      </c>
      <c r="V663" s="203">
        <f t="shared" ca="1" si="1454"/>
        <v>1</v>
      </c>
      <c r="W663" s="203"/>
      <c r="X663" s="203"/>
      <c r="Y663" s="203"/>
      <c r="Z663" s="203"/>
      <c r="AA663" s="203"/>
      <c r="AB663" s="203"/>
      <c r="AC663" s="205" t="s">
        <v>1784</v>
      </c>
      <c r="AD663" s="225" t="s">
        <v>1785</v>
      </c>
      <c r="AE663" s="166"/>
      <c r="AF663" s="203" t="str">
        <f t="shared" si="1455"/>
        <v>N/A</v>
      </c>
      <c r="AG663" s="203">
        <f t="shared" si="1455"/>
        <v>0</v>
      </c>
      <c r="AH663" s="203">
        <f t="shared" si="1456"/>
        <v>0</v>
      </c>
      <c r="AI663" s="203">
        <f t="shared" ca="1" si="1457"/>
        <v>0</v>
      </c>
      <c r="AJ663" s="203">
        <f t="shared" ca="1" si="1458"/>
        <v>0</v>
      </c>
      <c r="AK663" s="203" t="str">
        <f t="shared" si="1459"/>
        <v>N/A</v>
      </c>
      <c r="AL663" s="203">
        <f t="shared" si="1459"/>
        <v>0</v>
      </c>
      <c r="AM663" s="203">
        <f t="shared" si="1460"/>
        <v>0</v>
      </c>
      <c r="AN663" s="203">
        <f t="shared" ca="1" si="1461"/>
        <v>0</v>
      </c>
      <c r="AO663" s="203">
        <f t="shared" ca="1" si="1462"/>
        <v>0</v>
      </c>
      <c r="AP663" s="203" t="str">
        <f t="shared" si="1463"/>
        <v>N/A</v>
      </c>
      <c r="AQ663" s="203">
        <f t="shared" si="1463"/>
        <v>0</v>
      </c>
      <c r="AR663" s="203">
        <f t="shared" si="1464"/>
        <v>0</v>
      </c>
      <c r="AS663" s="203">
        <f t="shared" ca="1" si="1465"/>
        <v>0</v>
      </c>
      <c r="AT663" s="203">
        <f t="shared" ca="1" si="1466"/>
        <v>0</v>
      </c>
      <c r="AU663" s="203" t="str">
        <f t="shared" si="1467"/>
        <v>AMC2-S1</v>
      </c>
      <c r="AV663" s="203">
        <f t="shared" si="1467"/>
        <v>1</v>
      </c>
      <c r="AW663" s="203">
        <f t="shared" si="1468"/>
        <v>4</v>
      </c>
      <c r="AX663" s="203">
        <f t="shared" ca="1" si="1469"/>
        <v>4</v>
      </c>
      <c r="AY663" s="203">
        <f t="shared" ca="1" si="1470"/>
        <v>0</v>
      </c>
      <c r="AZ663" s="203"/>
      <c r="BA663" s="204" t="s">
        <v>140</v>
      </c>
      <c r="BB663" s="204" t="s">
        <v>140</v>
      </c>
      <c r="BC663" s="204" t="s">
        <v>140</v>
      </c>
      <c r="BD663" s="204" t="s">
        <v>141</v>
      </c>
      <c r="BE663" s="166"/>
      <c r="BF663" s="203" t="s">
        <v>1789</v>
      </c>
      <c r="BG663" s="141"/>
      <c r="BH663" s="141"/>
      <c r="BI663" s="153"/>
      <c r="BJ663" s="153"/>
      <c r="BK663" s="153"/>
      <c r="BL663" s="153" t="s">
        <v>149</v>
      </c>
      <c r="BM663" s="153"/>
      <c r="BN663" s="153"/>
      <c r="BO663" s="153"/>
      <c r="BP663" s="153"/>
      <c r="BQ663" s="153"/>
      <c r="BR663" s="141">
        <v>0</v>
      </c>
      <c r="BS663" s="141">
        <v>0</v>
      </c>
      <c r="BT663" s="141">
        <v>0</v>
      </c>
      <c r="BU663" s="141">
        <v>0</v>
      </c>
      <c r="BV663" s="141">
        <v>0</v>
      </c>
      <c r="BW663" s="141">
        <v>0</v>
      </c>
      <c r="BX663" s="141">
        <v>0</v>
      </c>
      <c r="BY663" s="141" t="s">
        <v>1790</v>
      </c>
      <c r="BZ663" s="141" t="s">
        <v>2103</v>
      </c>
      <c r="CA663" s="165">
        <v>4</v>
      </c>
      <c r="CB663" s="153">
        <v>46238</v>
      </c>
      <c r="CC663" s="141"/>
      <c r="CD663" s="141"/>
      <c r="CE663" s="166"/>
      <c r="CF663" s="166">
        <f t="shared" si="1471"/>
        <v>0</v>
      </c>
    </row>
    <row r="664" spans="1:84" hidden="1">
      <c r="A664" s="141"/>
      <c r="B664" s="199" t="s">
        <v>1840</v>
      </c>
      <c r="C664" s="199" t="s">
        <v>2122</v>
      </c>
      <c r="D664" s="199" t="s">
        <v>13</v>
      </c>
      <c r="E664" s="199" t="s">
        <v>1797</v>
      </c>
      <c r="F664" s="199" t="s">
        <v>1257</v>
      </c>
      <c r="G664" s="199" t="s">
        <v>1256</v>
      </c>
      <c r="H664" s="200">
        <v>188.5</v>
      </c>
      <c r="I664" s="201" t="s">
        <v>147</v>
      </c>
      <c r="J664" s="165">
        <v>2</v>
      </c>
      <c r="K664" s="202">
        <f t="shared" si="1450"/>
        <v>1</v>
      </c>
      <c r="L664" s="202">
        <f t="shared" si="1451"/>
        <v>2</v>
      </c>
      <c r="M664" s="203">
        <v>1.5</v>
      </c>
      <c r="N664" s="203">
        <f t="shared" si="1452"/>
        <v>3</v>
      </c>
      <c r="O664" s="203" t="s">
        <v>137</v>
      </c>
      <c r="P664" s="203" t="s">
        <v>13</v>
      </c>
      <c r="Q664" s="203" t="s">
        <v>148</v>
      </c>
      <c r="R664" s="203"/>
      <c r="S664" s="203"/>
      <c r="T664" s="203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2</v>
      </c>
      <c r="U664" s="203">
        <f t="shared" ca="1" si="1453"/>
        <v>0</v>
      </c>
      <c r="V664" s="203">
        <f t="shared" ca="1" si="1454"/>
        <v>1</v>
      </c>
      <c r="W664" s="203"/>
      <c r="X664" s="203"/>
      <c r="Y664" s="203"/>
      <c r="Z664" s="203"/>
      <c r="AA664" s="203"/>
      <c r="AB664" s="203"/>
      <c r="AC664" s="205" t="s">
        <v>1784</v>
      </c>
      <c r="AD664" s="225" t="s">
        <v>1785</v>
      </c>
      <c r="AE664" s="166"/>
      <c r="AF664" s="203" t="str">
        <f t="shared" si="1455"/>
        <v>N/A</v>
      </c>
      <c r="AG664" s="203">
        <f t="shared" si="1455"/>
        <v>0</v>
      </c>
      <c r="AH664" s="203">
        <f t="shared" si="1456"/>
        <v>0</v>
      </c>
      <c r="AI664" s="203">
        <f t="shared" ca="1" si="1457"/>
        <v>0</v>
      </c>
      <c r="AJ664" s="203">
        <f t="shared" ca="1" si="1458"/>
        <v>0</v>
      </c>
      <c r="AK664" s="203" t="str">
        <f t="shared" si="1459"/>
        <v>N/A</v>
      </c>
      <c r="AL664" s="203">
        <f t="shared" si="1459"/>
        <v>0</v>
      </c>
      <c r="AM664" s="203">
        <f t="shared" si="1460"/>
        <v>0</v>
      </c>
      <c r="AN664" s="203">
        <f t="shared" ca="1" si="1461"/>
        <v>0</v>
      </c>
      <c r="AO664" s="203">
        <f t="shared" ca="1" si="1462"/>
        <v>0</v>
      </c>
      <c r="AP664" s="203" t="str">
        <f t="shared" si="1463"/>
        <v>N/A</v>
      </c>
      <c r="AQ664" s="203">
        <f t="shared" si="1463"/>
        <v>0</v>
      </c>
      <c r="AR664" s="203">
        <f t="shared" si="1464"/>
        <v>0</v>
      </c>
      <c r="AS664" s="203">
        <f t="shared" ca="1" si="1465"/>
        <v>0</v>
      </c>
      <c r="AT664" s="203">
        <f t="shared" ca="1" si="1466"/>
        <v>0</v>
      </c>
      <c r="AU664" s="203" t="str">
        <f t="shared" si="1467"/>
        <v>AMC2-S1</v>
      </c>
      <c r="AV664" s="203">
        <f t="shared" si="1467"/>
        <v>1</v>
      </c>
      <c r="AW664" s="203">
        <f t="shared" si="1468"/>
        <v>2</v>
      </c>
      <c r="AX664" s="203">
        <f t="shared" ca="1" si="1469"/>
        <v>2</v>
      </c>
      <c r="AY664" s="203">
        <f t="shared" ca="1" si="1470"/>
        <v>0</v>
      </c>
      <c r="AZ664" s="203"/>
      <c r="BA664" s="204" t="s">
        <v>140</v>
      </c>
      <c r="BB664" s="204" t="s">
        <v>140</v>
      </c>
      <c r="BC664" s="204" t="s">
        <v>140</v>
      </c>
      <c r="BD664" s="204" t="s">
        <v>141</v>
      </c>
      <c r="BE664" s="166"/>
      <c r="BF664" s="203" t="s">
        <v>1789</v>
      </c>
      <c r="BG664" s="141"/>
      <c r="BH664" s="141"/>
      <c r="BI664" s="153"/>
      <c r="BJ664" s="153"/>
      <c r="BK664" s="153"/>
      <c r="BL664" s="153" t="s">
        <v>149</v>
      </c>
      <c r="BM664" s="153"/>
      <c r="BN664" s="153"/>
      <c r="BO664" s="153"/>
      <c r="BP664" s="153"/>
      <c r="BQ664" s="153"/>
      <c r="BR664" s="141">
        <v>0</v>
      </c>
      <c r="BS664" s="141">
        <v>0</v>
      </c>
      <c r="BT664" s="141">
        <v>0</v>
      </c>
      <c r="BU664" s="141">
        <v>0</v>
      </c>
      <c r="BV664" s="141">
        <v>0</v>
      </c>
      <c r="BW664" s="141">
        <v>0</v>
      </c>
      <c r="BX664" s="141">
        <v>0</v>
      </c>
      <c r="BY664" s="141" t="s">
        <v>1790</v>
      </c>
      <c r="BZ664" s="141" t="s">
        <v>2103</v>
      </c>
      <c r="CA664" s="165">
        <v>2</v>
      </c>
      <c r="CB664" s="153">
        <v>46238</v>
      </c>
      <c r="CC664" s="141"/>
      <c r="CD664" s="141"/>
      <c r="CE664" s="166"/>
      <c r="CF664" s="166">
        <f t="shared" si="1471"/>
        <v>0</v>
      </c>
    </row>
    <row r="665" spans="1:84" hidden="1">
      <c r="A665" s="141"/>
      <c r="B665" s="199" t="s">
        <v>1840</v>
      </c>
      <c r="C665" s="199" t="s">
        <v>2122</v>
      </c>
      <c r="D665" s="199" t="s">
        <v>1210</v>
      </c>
      <c r="E665" s="199" t="s">
        <v>1798</v>
      </c>
      <c r="F665" s="199" t="s">
        <v>1259</v>
      </c>
      <c r="G665" s="199" t="s">
        <v>1123</v>
      </c>
      <c r="H665" s="200">
        <v>260</v>
      </c>
      <c r="I665" s="201" t="s">
        <v>147</v>
      </c>
      <c r="J665" s="165">
        <v>2</v>
      </c>
      <c r="K665" s="202">
        <f t="shared" si="1450"/>
        <v>1</v>
      </c>
      <c r="L665" s="202">
        <f t="shared" si="1451"/>
        <v>2</v>
      </c>
      <c r="M665" s="203">
        <v>6.1</v>
      </c>
      <c r="N665" s="203">
        <f t="shared" si="1452"/>
        <v>12.2</v>
      </c>
      <c r="O665" s="203" t="s">
        <v>137</v>
      </c>
      <c r="P665" s="203" t="s">
        <v>13</v>
      </c>
      <c r="Q665" s="203" t="s">
        <v>148</v>
      </c>
      <c r="R665" s="203"/>
      <c r="S665" s="203"/>
      <c r="T665" s="203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0</v>
      </c>
      <c r="U665" s="203">
        <f t="shared" ca="1" si="1453"/>
        <v>2</v>
      </c>
      <c r="V665" s="203">
        <f t="shared" ca="1" si="1454"/>
        <v>0</v>
      </c>
      <c r="W665" s="203"/>
      <c r="X665" s="203"/>
      <c r="Y665" s="203"/>
      <c r="Z665" s="203"/>
      <c r="AA665" s="203"/>
      <c r="AB665" s="203"/>
      <c r="AC665" s="205" t="s">
        <v>1784</v>
      </c>
      <c r="AD665" s="225" t="s">
        <v>1785</v>
      </c>
      <c r="AE665" s="166"/>
      <c r="AF665" s="203" t="str">
        <f t="shared" si="1455"/>
        <v>N/A</v>
      </c>
      <c r="AG665" s="203">
        <f t="shared" si="1455"/>
        <v>0</v>
      </c>
      <c r="AH665" s="203">
        <f t="shared" si="1456"/>
        <v>0</v>
      </c>
      <c r="AI665" s="203">
        <f t="shared" ca="1" si="1457"/>
        <v>0</v>
      </c>
      <c r="AJ665" s="203">
        <f t="shared" ca="1" si="1458"/>
        <v>0</v>
      </c>
      <c r="AK665" s="203" t="str">
        <f t="shared" si="1459"/>
        <v>N/A</v>
      </c>
      <c r="AL665" s="203">
        <f t="shared" si="1459"/>
        <v>0</v>
      </c>
      <c r="AM665" s="203">
        <f t="shared" si="1460"/>
        <v>0</v>
      </c>
      <c r="AN665" s="203">
        <f t="shared" ca="1" si="1461"/>
        <v>0</v>
      </c>
      <c r="AO665" s="203">
        <f t="shared" ca="1" si="1462"/>
        <v>0</v>
      </c>
      <c r="AP665" s="203" t="str">
        <f t="shared" si="1463"/>
        <v>N/A</v>
      </c>
      <c r="AQ665" s="203">
        <f t="shared" si="1463"/>
        <v>0</v>
      </c>
      <c r="AR665" s="203">
        <f t="shared" si="1464"/>
        <v>0</v>
      </c>
      <c r="AS665" s="203">
        <f t="shared" ca="1" si="1465"/>
        <v>0</v>
      </c>
      <c r="AT665" s="203">
        <f t="shared" ca="1" si="1466"/>
        <v>0</v>
      </c>
      <c r="AU665" s="203" t="str">
        <f t="shared" si="1467"/>
        <v>AMC2-S1</v>
      </c>
      <c r="AV665" s="203">
        <f t="shared" si="1467"/>
        <v>1</v>
      </c>
      <c r="AW665" s="203">
        <f t="shared" si="1468"/>
        <v>2</v>
      </c>
      <c r="AX665" s="203">
        <f t="shared" ca="1" si="1469"/>
        <v>0</v>
      </c>
      <c r="AY665" s="203">
        <f t="shared" ca="1" si="1470"/>
        <v>2</v>
      </c>
      <c r="AZ665" s="203"/>
      <c r="BA665" s="204" t="s">
        <v>140</v>
      </c>
      <c r="BB665" s="204" t="s">
        <v>140</v>
      </c>
      <c r="BC665" s="204" t="s">
        <v>140</v>
      </c>
      <c r="BD665" s="204" t="s">
        <v>141</v>
      </c>
      <c r="BE665" s="166"/>
      <c r="BF665" s="203" t="s">
        <v>1789</v>
      </c>
      <c r="BG665" s="141"/>
      <c r="BH665" s="141"/>
      <c r="BI665" s="153"/>
      <c r="BJ665" s="153"/>
      <c r="BK665" s="153"/>
      <c r="BL665" s="153" t="s">
        <v>149</v>
      </c>
      <c r="BM665" s="153"/>
      <c r="BN665" s="153"/>
      <c r="BO665" s="153"/>
      <c r="BP665" s="153"/>
      <c r="BQ665" s="153"/>
      <c r="BR665" s="141">
        <v>1</v>
      </c>
      <c r="BS665" s="141">
        <v>0</v>
      </c>
      <c r="BT665" s="141">
        <v>0</v>
      </c>
      <c r="BU665" s="141">
        <v>0</v>
      </c>
      <c r="BV665" s="141">
        <v>0</v>
      </c>
      <c r="BW665" s="141">
        <v>0</v>
      </c>
      <c r="BX665" s="141">
        <v>0</v>
      </c>
      <c r="BY665" s="141" t="s">
        <v>1790</v>
      </c>
      <c r="BZ665" s="141" t="s">
        <v>2101</v>
      </c>
      <c r="CA665" s="165">
        <v>2</v>
      </c>
      <c r="CB665" s="153">
        <v>46244</v>
      </c>
      <c r="CC665" s="141"/>
      <c r="CD665" s="141"/>
      <c r="CE665" s="166"/>
      <c r="CF665" s="166">
        <f t="shared" si="1471"/>
        <v>0</v>
      </c>
    </row>
    <row r="666" spans="1:84" hidden="1">
      <c r="A666" s="141"/>
      <c r="B666" s="199" t="s">
        <v>1840</v>
      </c>
      <c r="C666" s="199" t="s">
        <v>2122</v>
      </c>
      <c r="D666" s="199" t="s">
        <v>1212</v>
      </c>
      <c r="E666" s="199" t="s">
        <v>1799</v>
      </c>
      <c r="F666" s="199" t="s">
        <v>1246</v>
      </c>
      <c r="G666" s="199" t="s">
        <v>1125</v>
      </c>
      <c r="H666" s="200">
        <v>200</v>
      </c>
      <c r="I666" s="201" t="s">
        <v>147</v>
      </c>
      <c r="J666" s="165">
        <v>2</v>
      </c>
      <c r="K666" s="202">
        <f t="shared" si="1450"/>
        <v>1</v>
      </c>
      <c r="L666" s="202">
        <f t="shared" si="1451"/>
        <v>2</v>
      </c>
      <c r="M666" s="203">
        <v>2.6</v>
      </c>
      <c r="N666" s="203">
        <f t="shared" si="1452"/>
        <v>5.2</v>
      </c>
      <c r="O666" s="203" t="s">
        <v>137</v>
      </c>
      <c r="P666" s="203" t="s">
        <v>13</v>
      </c>
      <c r="Q666" s="203" t="s">
        <v>148</v>
      </c>
      <c r="R666" s="203"/>
      <c r="S666" s="203"/>
      <c r="T666" s="203">
        <f ca="1">IF(SUMIFS(INDIRECT("'BTP-"&amp;$C$4&amp;"'!L:L"),INDIRECT("'BTP-"&amp;$C$4&amp;"'!D:D"),F666)-SUMIFS($T$10:T665,$F$10:F665,F666)&gt;0,MIN(SUMIFS(INDIRECT("'BTP-"&amp;$C$4&amp;"'!L:L"),INDIRECT("'BTP-"&amp;$C$4&amp;"'!D:D"),F666)-SUMIFS($T$10:T665,$F$10:F665,F666),L666),0)</f>
        <v>0</v>
      </c>
      <c r="U666" s="203">
        <f t="shared" ca="1" si="1453"/>
        <v>2</v>
      </c>
      <c r="V666" s="203">
        <f t="shared" ca="1" si="1454"/>
        <v>0</v>
      </c>
      <c r="W666" s="203"/>
      <c r="X666" s="203"/>
      <c r="Y666" s="203"/>
      <c r="Z666" s="203"/>
      <c r="AA666" s="203"/>
      <c r="AB666" s="203"/>
      <c r="AC666" s="205" t="s">
        <v>1784</v>
      </c>
      <c r="AD666" s="225" t="s">
        <v>1785</v>
      </c>
      <c r="AE666" s="166"/>
      <c r="AF666" s="203" t="str">
        <f t="shared" si="1455"/>
        <v>N/A</v>
      </c>
      <c r="AG666" s="203">
        <f t="shared" si="1455"/>
        <v>0</v>
      </c>
      <c r="AH666" s="203">
        <f t="shared" si="1456"/>
        <v>0</v>
      </c>
      <c r="AI666" s="203">
        <f t="shared" ca="1" si="1457"/>
        <v>0</v>
      </c>
      <c r="AJ666" s="203">
        <f t="shared" ca="1" si="1458"/>
        <v>0</v>
      </c>
      <c r="AK666" s="203" t="str">
        <f t="shared" si="1459"/>
        <v>N/A</v>
      </c>
      <c r="AL666" s="203">
        <f t="shared" si="1459"/>
        <v>0</v>
      </c>
      <c r="AM666" s="203">
        <f t="shared" si="1460"/>
        <v>0</v>
      </c>
      <c r="AN666" s="203">
        <f t="shared" ca="1" si="1461"/>
        <v>0</v>
      </c>
      <c r="AO666" s="203">
        <f t="shared" ca="1" si="1462"/>
        <v>0</v>
      </c>
      <c r="AP666" s="203" t="str">
        <f t="shared" si="1463"/>
        <v>N/A</v>
      </c>
      <c r="AQ666" s="203">
        <f t="shared" si="1463"/>
        <v>0</v>
      </c>
      <c r="AR666" s="203">
        <f t="shared" si="1464"/>
        <v>0</v>
      </c>
      <c r="AS666" s="203">
        <f t="shared" ca="1" si="1465"/>
        <v>0</v>
      </c>
      <c r="AT666" s="203">
        <f t="shared" ca="1" si="1466"/>
        <v>0</v>
      </c>
      <c r="AU666" s="203" t="str">
        <f t="shared" si="1467"/>
        <v>AMC2-S1</v>
      </c>
      <c r="AV666" s="203">
        <f t="shared" si="1467"/>
        <v>1</v>
      </c>
      <c r="AW666" s="203">
        <f t="shared" si="1468"/>
        <v>2</v>
      </c>
      <c r="AX666" s="203">
        <f t="shared" ca="1" si="1469"/>
        <v>0</v>
      </c>
      <c r="AY666" s="203">
        <f t="shared" ca="1" si="1470"/>
        <v>2</v>
      </c>
      <c r="AZ666" s="203"/>
      <c r="BA666" s="204" t="s">
        <v>140</v>
      </c>
      <c r="BB666" s="204" t="s">
        <v>140</v>
      </c>
      <c r="BC666" s="204" t="s">
        <v>140</v>
      </c>
      <c r="BD666" s="204" t="s">
        <v>141</v>
      </c>
      <c r="BE666" s="166"/>
      <c r="BF666" s="203" t="s">
        <v>1789</v>
      </c>
      <c r="BG666" s="141"/>
      <c r="BH666" s="141"/>
      <c r="BI666" s="153"/>
      <c r="BJ666" s="153"/>
      <c r="BK666" s="153"/>
      <c r="BL666" s="153" t="s">
        <v>149</v>
      </c>
      <c r="BM666" s="153"/>
      <c r="BN666" s="153"/>
      <c r="BO666" s="153"/>
      <c r="BP666" s="153"/>
      <c r="BQ666" s="153"/>
      <c r="BR666" s="141">
        <v>1</v>
      </c>
      <c r="BS666" s="141">
        <v>0</v>
      </c>
      <c r="BT666" s="141">
        <v>0</v>
      </c>
      <c r="BU666" s="141">
        <v>0</v>
      </c>
      <c r="BV666" s="141">
        <v>0</v>
      </c>
      <c r="BW666" s="141">
        <v>0</v>
      </c>
      <c r="BX666" s="141">
        <v>0</v>
      </c>
      <c r="BY666" s="141" t="s">
        <v>1790</v>
      </c>
      <c r="BZ666" s="141" t="s">
        <v>2100</v>
      </c>
      <c r="CA666" s="165">
        <v>2</v>
      </c>
      <c r="CB666" s="153">
        <v>46238</v>
      </c>
      <c r="CC666" s="141"/>
      <c r="CD666" s="141"/>
      <c r="CE666" s="166"/>
      <c r="CF666" s="166">
        <f t="shared" si="1471"/>
        <v>0</v>
      </c>
    </row>
    <row r="667" spans="1:84" hidden="1">
      <c r="A667" s="141"/>
      <c r="B667" s="199" t="s">
        <v>1840</v>
      </c>
      <c r="C667" s="199" t="s">
        <v>2122</v>
      </c>
      <c r="D667" s="199" t="s">
        <v>1010</v>
      </c>
      <c r="E667" s="199" t="s">
        <v>1802</v>
      </c>
      <c r="F667" s="199" t="s">
        <v>1243</v>
      </c>
      <c r="G667" s="199" t="s">
        <v>1075</v>
      </c>
      <c r="H667" s="200">
        <v>812</v>
      </c>
      <c r="I667" s="201" t="s">
        <v>1077</v>
      </c>
      <c r="J667" s="165">
        <v>3</v>
      </c>
      <c r="K667" s="202">
        <f t="shared" si="1450"/>
        <v>1</v>
      </c>
      <c r="L667" s="202">
        <f t="shared" si="1451"/>
        <v>3</v>
      </c>
      <c r="M667" s="203">
        <v>13.05696</v>
      </c>
      <c r="N667" s="203">
        <f t="shared" si="1452"/>
        <v>39.170879999999997</v>
      </c>
      <c r="O667" s="203" t="s">
        <v>137</v>
      </c>
      <c r="P667" s="203" t="s">
        <v>11</v>
      </c>
      <c r="Q667" s="203" t="s">
        <v>148</v>
      </c>
      <c r="R667" s="203"/>
      <c r="S667" s="203"/>
      <c r="T667" s="203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0</v>
      </c>
      <c r="U667" s="203">
        <f t="shared" ca="1" si="1453"/>
        <v>3</v>
      </c>
      <c r="V667" s="203">
        <f t="shared" ca="1" si="1454"/>
        <v>0</v>
      </c>
      <c r="W667" s="203"/>
      <c r="X667" s="203"/>
      <c r="Y667" s="203"/>
      <c r="Z667" s="203"/>
      <c r="AA667" s="203"/>
      <c r="AB667" s="203"/>
      <c r="AC667" s="205" t="s">
        <v>1784</v>
      </c>
      <c r="AD667" s="225" t="s">
        <v>1785</v>
      </c>
      <c r="AE667" s="166"/>
      <c r="AF667" s="203" t="str">
        <f t="shared" si="1455"/>
        <v>N/A</v>
      </c>
      <c r="AG667" s="203">
        <f t="shared" si="1455"/>
        <v>0</v>
      </c>
      <c r="AH667" s="203">
        <f t="shared" si="1456"/>
        <v>0</v>
      </c>
      <c r="AI667" s="203">
        <f t="shared" ca="1" si="1457"/>
        <v>0</v>
      </c>
      <c r="AJ667" s="203">
        <f t="shared" ca="1" si="1458"/>
        <v>0</v>
      </c>
      <c r="AK667" s="203" t="str">
        <f t="shared" si="1459"/>
        <v>N/A</v>
      </c>
      <c r="AL667" s="203">
        <f t="shared" si="1459"/>
        <v>0</v>
      </c>
      <c r="AM667" s="203">
        <f t="shared" si="1460"/>
        <v>0</v>
      </c>
      <c r="AN667" s="203">
        <f t="shared" ca="1" si="1461"/>
        <v>0</v>
      </c>
      <c r="AO667" s="203">
        <f t="shared" ca="1" si="1462"/>
        <v>0</v>
      </c>
      <c r="AP667" s="203" t="str">
        <f t="shared" si="1463"/>
        <v>N/A</v>
      </c>
      <c r="AQ667" s="203">
        <f t="shared" si="1463"/>
        <v>0</v>
      </c>
      <c r="AR667" s="203">
        <f t="shared" si="1464"/>
        <v>0</v>
      </c>
      <c r="AS667" s="203">
        <f t="shared" ca="1" si="1465"/>
        <v>0</v>
      </c>
      <c r="AT667" s="203">
        <f t="shared" ca="1" si="1466"/>
        <v>0</v>
      </c>
      <c r="AU667" s="203" t="str">
        <f t="shared" si="1467"/>
        <v>AMC2-S1</v>
      </c>
      <c r="AV667" s="203">
        <f t="shared" si="1467"/>
        <v>1</v>
      </c>
      <c r="AW667" s="203">
        <f t="shared" si="1468"/>
        <v>3</v>
      </c>
      <c r="AX667" s="203">
        <f t="shared" ca="1" si="1469"/>
        <v>0</v>
      </c>
      <c r="AY667" s="203">
        <f t="shared" ca="1" si="1470"/>
        <v>3</v>
      </c>
      <c r="AZ667" s="203"/>
      <c r="BA667" s="204" t="s">
        <v>140</v>
      </c>
      <c r="BB667" s="204" t="s">
        <v>140</v>
      </c>
      <c r="BC667" s="204" t="s">
        <v>140</v>
      </c>
      <c r="BD667" s="204" t="s">
        <v>141</v>
      </c>
      <c r="BE667" s="166"/>
      <c r="BF667" s="203" t="s">
        <v>1789</v>
      </c>
      <c r="BG667" s="141"/>
      <c r="BH667" s="141"/>
      <c r="BI667" s="153"/>
      <c r="BJ667" s="153"/>
      <c r="BK667" s="153"/>
      <c r="BL667" s="153" t="s">
        <v>149</v>
      </c>
      <c r="BM667" s="153"/>
      <c r="BN667" s="153"/>
      <c r="BO667" s="153"/>
      <c r="BP667" s="153"/>
      <c r="BQ667" s="153"/>
      <c r="BR667" s="141">
        <v>0</v>
      </c>
      <c r="BS667" s="141">
        <v>0</v>
      </c>
      <c r="BT667" s="141">
        <v>0</v>
      </c>
      <c r="BU667" s="141">
        <v>1</v>
      </c>
      <c r="BV667" s="141">
        <v>0</v>
      </c>
      <c r="BW667" s="141">
        <v>0</v>
      </c>
      <c r="BX667" s="141">
        <v>0</v>
      </c>
      <c r="BY667" s="141" t="s">
        <v>1790</v>
      </c>
      <c r="BZ667" s="141" t="s">
        <v>2104</v>
      </c>
      <c r="CA667" s="165">
        <v>3</v>
      </c>
      <c r="CB667" s="153">
        <v>46238</v>
      </c>
      <c r="CC667" s="141"/>
      <c r="CD667" s="141"/>
      <c r="CE667" s="166"/>
      <c r="CF667" s="166">
        <f t="shared" si="1471"/>
        <v>0</v>
      </c>
    </row>
    <row r="668" spans="1:84" hidden="1">
      <c r="A668" s="162">
        <v>36</v>
      </c>
      <c r="B668" s="177" t="s">
        <v>1843</v>
      </c>
      <c r="C668" s="177" t="s">
        <v>2124</v>
      </c>
      <c r="D668" s="177" t="s">
        <v>1844</v>
      </c>
      <c r="E668" s="177"/>
      <c r="F668" s="177"/>
      <c r="G668" s="177" t="s">
        <v>1845</v>
      </c>
      <c r="H668" s="178"/>
      <c r="I668" s="179"/>
      <c r="J668" s="160"/>
      <c r="K668" s="180">
        <f>+AG668+AL668+AQ668+AV668</f>
        <v>1</v>
      </c>
      <c r="L668" s="160"/>
      <c r="M668" s="181">
        <v>4132.3999999999996</v>
      </c>
      <c r="N668" s="181">
        <v>4132</v>
      </c>
      <c r="O668" s="181" t="s">
        <v>137</v>
      </c>
      <c r="P668" s="181"/>
      <c r="Q668" s="181"/>
      <c r="R668" s="181"/>
      <c r="S668" s="181"/>
      <c r="T668" s="181"/>
      <c r="U668" s="181"/>
      <c r="V668" s="181"/>
      <c r="W668" s="181">
        <f ca="1">_xlfn.MINIFS(V:V,C:C,C668,AE:AE,"",AB:AB,"")</f>
        <v>0</v>
      </c>
      <c r="X668" s="181">
        <f ca="1">SUMIFS(T:T,C:C,C668,AE:AE,"")/SUMIFS(L:L,C:C,C668,AE:AE,"",AB:AB,"")</f>
        <v>0.37209302325581395</v>
      </c>
      <c r="Y668" s="181"/>
      <c r="Z668" s="181"/>
      <c r="AA668" s="181"/>
      <c r="AB668" s="181"/>
      <c r="AC668" s="183" t="s">
        <v>1784</v>
      </c>
      <c r="AD668" s="184" t="s">
        <v>1785</v>
      </c>
      <c r="AE668" s="162" t="s">
        <v>143</v>
      </c>
      <c r="AF668" s="181" t="s">
        <v>138</v>
      </c>
      <c r="AG668" s="181">
        <v>0</v>
      </c>
      <c r="AH668" s="181"/>
      <c r="AI668" s="181"/>
      <c r="AJ668" s="181"/>
      <c r="AK668" s="181" t="s">
        <v>138</v>
      </c>
      <c r="AL668" s="181">
        <v>0</v>
      </c>
      <c r="AM668" s="181"/>
      <c r="AN668" s="181"/>
      <c r="AO668" s="181"/>
      <c r="AP668" s="181" t="s">
        <v>138</v>
      </c>
      <c r="AQ668" s="181">
        <v>0</v>
      </c>
      <c r="AR668" s="181"/>
      <c r="AS668" s="181"/>
      <c r="AT668" s="181"/>
      <c r="AU668" s="181" t="s">
        <v>1783</v>
      </c>
      <c r="AV668" s="181">
        <v>1</v>
      </c>
      <c r="AW668" s="181"/>
      <c r="AX668" s="181"/>
      <c r="AY668" s="181"/>
      <c r="AZ668" s="181"/>
      <c r="BA668" s="182" t="s">
        <v>140</v>
      </c>
      <c r="BB668" s="182" t="s">
        <v>140</v>
      </c>
      <c r="BC668" s="182" t="s">
        <v>140</v>
      </c>
      <c r="BD668" s="182" t="s">
        <v>141</v>
      </c>
      <c r="BE668" s="162" t="s">
        <v>741</v>
      </c>
      <c r="BF668" s="181"/>
      <c r="BG668" s="161"/>
      <c r="BH668" s="161"/>
      <c r="BI668" s="163"/>
      <c r="BJ668" s="163"/>
      <c r="BK668" s="163"/>
      <c r="BL668" s="163"/>
      <c r="BM668" s="163"/>
      <c r="BN668" s="163"/>
      <c r="BO668" s="163"/>
      <c r="BP668" s="163"/>
      <c r="BQ668" s="163"/>
      <c r="BR668" s="161"/>
      <c r="BS668" s="161"/>
      <c r="BT668" s="161"/>
      <c r="BU668" s="161"/>
      <c r="BV668" s="161"/>
      <c r="BW668" s="161"/>
      <c r="BX668" s="161"/>
      <c r="BY668" s="161"/>
      <c r="BZ668" s="161"/>
      <c r="CA668" s="161"/>
      <c r="CB668" s="163"/>
      <c r="CC668" s="161"/>
      <c r="CD668" s="161"/>
      <c r="CE668" s="185"/>
      <c r="CF668" s="185"/>
    </row>
    <row r="669" spans="1:84" hidden="1">
      <c r="A669" s="141"/>
      <c r="B669" s="199" t="s">
        <v>1843</v>
      </c>
      <c r="C669" s="199" t="s">
        <v>2124</v>
      </c>
      <c r="D669" s="199" t="s">
        <v>1195</v>
      </c>
      <c r="E669" s="199" t="s">
        <v>1788</v>
      </c>
      <c r="F669" s="199" t="s">
        <v>1261</v>
      </c>
      <c r="G669" s="199" t="s">
        <v>1245</v>
      </c>
      <c r="H669" s="200">
        <v>11651</v>
      </c>
      <c r="I669" s="201" t="s">
        <v>147</v>
      </c>
      <c r="J669" s="165">
        <v>1</v>
      </c>
      <c r="K669" s="202">
        <f t="shared" ref="K669:K685" si="1472">K668</f>
        <v>1</v>
      </c>
      <c r="L669" s="202">
        <f t="shared" ref="L669:L685" si="1473">+J669*K669</f>
        <v>1</v>
      </c>
      <c r="M669" s="203">
        <v>2616.3000000000002</v>
      </c>
      <c r="N669" s="203">
        <f t="shared" ref="N669:N685" si="1474">+M669*L669</f>
        <v>2616.3000000000002</v>
      </c>
      <c r="O669" s="203" t="s">
        <v>137</v>
      </c>
      <c r="P669" s="203" t="s">
        <v>13</v>
      </c>
      <c r="Q669" s="203" t="s">
        <v>154</v>
      </c>
      <c r="R669" s="203"/>
      <c r="S669" s="203"/>
      <c r="T669" s="203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0</v>
      </c>
      <c r="U669" s="203">
        <f t="shared" ref="U669:U685" ca="1" si="1475">+L669-T669</f>
        <v>1</v>
      </c>
      <c r="V669" s="203">
        <f t="shared" ref="V669:V685" ca="1" si="1476">ROUNDDOWN(T669/J669,0)</f>
        <v>0</v>
      </c>
      <c r="W669" s="203"/>
      <c r="X669" s="203"/>
      <c r="Y669" s="203"/>
      <c r="Z669" s="203"/>
      <c r="AA669" s="203"/>
      <c r="AB669" s="203"/>
      <c r="AC669" s="205" t="s">
        <v>1784</v>
      </c>
      <c r="AD669" s="225" t="s">
        <v>1785</v>
      </c>
      <c r="AE669" s="166"/>
      <c r="AF669" s="203" t="str">
        <f t="shared" ref="AF669:AG684" si="1477">AF668</f>
        <v>N/A</v>
      </c>
      <c r="AG669" s="203">
        <f t="shared" si="1477"/>
        <v>0</v>
      </c>
      <c r="AH669" s="203">
        <f t="shared" ref="AH669:AH685" si="1478">+AG669*J669</f>
        <v>0</v>
      </c>
      <c r="AI669" s="203">
        <f t="shared" ref="AI669:AI685" ca="1" si="1479">MIN(T669,AH669)</f>
        <v>0</v>
      </c>
      <c r="AJ669" s="203">
        <f t="shared" ref="AJ669:AJ685" ca="1" si="1480">+AH669-AI669</f>
        <v>0</v>
      </c>
      <c r="AK669" s="203" t="str">
        <f t="shared" ref="AK669:AL684" si="1481">AK668</f>
        <v>N/A</v>
      </c>
      <c r="AL669" s="203">
        <f t="shared" si="1481"/>
        <v>0</v>
      </c>
      <c r="AM669" s="203">
        <f t="shared" ref="AM669:AM685" si="1482">+AL669*J669</f>
        <v>0</v>
      </c>
      <c r="AN669" s="203">
        <f t="shared" ref="AN669:AN685" ca="1" si="1483">MIN(T669-AI669,AL669)</f>
        <v>0</v>
      </c>
      <c r="AO669" s="203">
        <f t="shared" ref="AO669:AO685" ca="1" si="1484">+AM669-AN669</f>
        <v>0</v>
      </c>
      <c r="AP669" s="203" t="str">
        <f t="shared" ref="AP669:AQ684" si="1485">AP668</f>
        <v>N/A</v>
      </c>
      <c r="AQ669" s="203">
        <f t="shared" si="1485"/>
        <v>0</v>
      </c>
      <c r="AR669" s="203">
        <f t="shared" ref="AR669:AR685" si="1486">+AQ669*J669</f>
        <v>0</v>
      </c>
      <c r="AS669" s="203">
        <f t="shared" ref="AS669:AS685" ca="1" si="1487">MIN(T669-AI669-AN669,AR669)</f>
        <v>0</v>
      </c>
      <c r="AT669" s="203">
        <f t="shared" ref="AT669:AT685" ca="1" si="1488">+AR669-AS669</f>
        <v>0</v>
      </c>
      <c r="AU669" s="203" t="str">
        <f t="shared" ref="AU669:AV684" si="1489">AU668</f>
        <v>AMC2-S1</v>
      </c>
      <c r="AV669" s="203">
        <f t="shared" si="1489"/>
        <v>1</v>
      </c>
      <c r="AW669" s="203">
        <f t="shared" ref="AW669:AW685" si="1490">+AV669*J669</f>
        <v>1</v>
      </c>
      <c r="AX669" s="203">
        <f t="shared" ref="AX669:AX685" ca="1" si="1491">MIN(T669-AI669-AN669-AS669,AW669)</f>
        <v>0</v>
      </c>
      <c r="AY669" s="203">
        <f t="shared" ref="AY669:AY685" ca="1" si="1492">+AW669-AX669</f>
        <v>1</v>
      </c>
      <c r="AZ669" s="203"/>
      <c r="BA669" s="204" t="s">
        <v>140</v>
      </c>
      <c r="BB669" s="204" t="s">
        <v>140</v>
      </c>
      <c r="BC669" s="204" t="s">
        <v>140</v>
      </c>
      <c r="BD669" s="204" t="s">
        <v>141</v>
      </c>
      <c r="BE669" s="166"/>
      <c r="BF669" s="203" t="s">
        <v>1789</v>
      </c>
      <c r="BG669" s="141"/>
      <c r="BH669" s="141"/>
      <c r="BI669" s="153"/>
      <c r="BJ669" s="153"/>
      <c r="BK669" s="153"/>
      <c r="BL669" s="153" t="s">
        <v>149</v>
      </c>
      <c r="BM669" s="153"/>
      <c r="BN669" s="153"/>
      <c r="BO669" s="153"/>
      <c r="BP669" s="153"/>
      <c r="BQ669" s="153"/>
      <c r="BR669" s="141">
        <v>0</v>
      </c>
      <c r="BS669" s="141">
        <v>1</v>
      </c>
      <c r="BT669" s="141">
        <v>0</v>
      </c>
      <c r="BU669" s="141">
        <v>1</v>
      </c>
      <c r="BV669" s="141">
        <v>0</v>
      </c>
      <c r="BW669" s="141">
        <v>0</v>
      </c>
      <c r="BX669" s="141">
        <v>0</v>
      </c>
      <c r="BY669" s="141" t="s">
        <v>1790</v>
      </c>
      <c r="BZ669" s="117" t="s">
        <v>57</v>
      </c>
      <c r="CA669" s="141">
        <v>1</v>
      </c>
      <c r="CB669" s="153"/>
      <c r="CC669" s="141"/>
      <c r="CD669" s="141"/>
      <c r="CE669" s="166"/>
      <c r="CF669" s="166">
        <f t="shared" ref="CF669:CF685" si="1493">+L669-CA669</f>
        <v>0</v>
      </c>
    </row>
    <row r="670" spans="1:84" hidden="1">
      <c r="A670" s="141"/>
      <c r="B670" s="199" t="s">
        <v>1843</v>
      </c>
      <c r="C670" s="199" t="s">
        <v>2124</v>
      </c>
      <c r="D670" s="199" t="s">
        <v>1204</v>
      </c>
      <c r="E670" s="199" t="s">
        <v>1791</v>
      </c>
      <c r="F670" s="199" t="s">
        <v>1274</v>
      </c>
      <c r="G670" s="199" t="s">
        <v>1275</v>
      </c>
      <c r="H670" s="200">
        <v>1616</v>
      </c>
      <c r="I670" s="201" t="s">
        <v>147</v>
      </c>
      <c r="J670" s="165">
        <v>3</v>
      </c>
      <c r="K670" s="202">
        <f t="shared" si="1472"/>
        <v>1</v>
      </c>
      <c r="L670" s="202">
        <f t="shared" si="1473"/>
        <v>3</v>
      </c>
      <c r="M670" s="203">
        <v>24.2</v>
      </c>
      <c r="N670" s="203">
        <f t="shared" si="1474"/>
        <v>72.599999999999994</v>
      </c>
      <c r="O670" s="203" t="s">
        <v>137</v>
      </c>
      <c r="P670" s="203" t="s">
        <v>13</v>
      </c>
      <c r="Q670" s="203" t="s">
        <v>148</v>
      </c>
      <c r="R670" s="203"/>
      <c r="S670" s="203"/>
      <c r="T670" s="203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0</v>
      </c>
      <c r="U670" s="203">
        <f t="shared" ca="1" si="1475"/>
        <v>3</v>
      </c>
      <c r="V670" s="203">
        <f t="shared" ca="1" si="1476"/>
        <v>0</v>
      </c>
      <c r="W670" s="203"/>
      <c r="X670" s="203"/>
      <c r="Y670" s="203"/>
      <c r="Z670" s="203"/>
      <c r="AA670" s="203"/>
      <c r="AB670" s="203"/>
      <c r="AC670" s="205" t="s">
        <v>1784</v>
      </c>
      <c r="AD670" s="225" t="s">
        <v>1785</v>
      </c>
      <c r="AE670" s="166"/>
      <c r="AF670" s="203" t="str">
        <f t="shared" si="1477"/>
        <v>N/A</v>
      </c>
      <c r="AG670" s="203">
        <f t="shared" si="1477"/>
        <v>0</v>
      </c>
      <c r="AH670" s="203">
        <f t="shared" si="1478"/>
        <v>0</v>
      </c>
      <c r="AI670" s="203">
        <f t="shared" ca="1" si="1479"/>
        <v>0</v>
      </c>
      <c r="AJ670" s="203">
        <f t="shared" ca="1" si="1480"/>
        <v>0</v>
      </c>
      <c r="AK670" s="203" t="str">
        <f t="shared" si="1481"/>
        <v>N/A</v>
      </c>
      <c r="AL670" s="203">
        <f t="shared" si="1481"/>
        <v>0</v>
      </c>
      <c r="AM670" s="203">
        <f t="shared" si="1482"/>
        <v>0</v>
      </c>
      <c r="AN670" s="203">
        <f t="shared" ca="1" si="1483"/>
        <v>0</v>
      </c>
      <c r="AO670" s="203">
        <f t="shared" ca="1" si="1484"/>
        <v>0</v>
      </c>
      <c r="AP670" s="203" t="str">
        <f t="shared" si="1485"/>
        <v>N/A</v>
      </c>
      <c r="AQ670" s="203">
        <f t="shared" si="1485"/>
        <v>0</v>
      </c>
      <c r="AR670" s="203">
        <f t="shared" si="1486"/>
        <v>0</v>
      </c>
      <c r="AS670" s="203">
        <f t="shared" ca="1" si="1487"/>
        <v>0</v>
      </c>
      <c r="AT670" s="203">
        <f t="shared" ca="1" si="1488"/>
        <v>0</v>
      </c>
      <c r="AU670" s="203" t="str">
        <f t="shared" si="1489"/>
        <v>AMC2-S1</v>
      </c>
      <c r="AV670" s="203">
        <f t="shared" si="1489"/>
        <v>1</v>
      </c>
      <c r="AW670" s="203">
        <f t="shared" si="1490"/>
        <v>3</v>
      </c>
      <c r="AX670" s="203">
        <f t="shared" ca="1" si="1491"/>
        <v>0</v>
      </c>
      <c r="AY670" s="203">
        <f t="shared" ca="1" si="1492"/>
        <v>3</v>
      </c>
      <c r="AZ670" s="203"/>
      <c r="BA670" s="204" t="s">
        <v>140</v>
      </c>
      <c r="BB670" s="204" t="s">
        <v>140</v>
      </c>
      <c r="BC670" s="204" t="s">
        <v>140</v>
      </c>
      <c r="BD670" s="204" t="s">
        <v>141</v>
      </c>
      <c r="BE670" s="166"/>
      <c r="BF670" s="203" t="s">
        <v>1789</v>
      </c>
      <c r="BG670" s="141"/>
      <c r="BH670" s="141"/>
      <c r="BI670" s="153"/>
      <c r="BJ670" s="153"/>
      <c r="BK670" s="153"/>
      <c r="BL670" s="153" t="s">
        <v>149</v>
      </c>
      <c r="BM670" s="153"/>
      <c r="BN670" s="153"/>
      <c r="BO670" s="153"/>
      <c r="BP670" s="153"/>
      <c r="BQ670" s="153"/>
      <c r="BR670" s="141">
        <v>0</v>
      </c>
      <c r="BS670" s="141">
        <v>0</v>
      </c>
      <c r="BT670" s="141">
        <v>0</v>
      </c>
      <c r="BU670" s="141">
        <v>0</v>
      </c>
      <c r="BV670" s="141">
        <v>0</v>
      </c>
      <c r="BW670" s="141">
        <v>0</v>
      </c>
      <c r="BX670" s="141">
        <v>0</v>
      </c>
      <c r="BY670" s="141" t="s">
        <v>1790</v>
      </c>
      <c r="BZ670" s="117" t="s">
        <v>57</v>
      </c>
      <c r="CA670" s="141">
        <v>3</v>
      </c>
      <c r="CB670" s="153"/>
      <c r="CC670" s="141"/>
      <c r="CD670" s="141"/>
      <c r="CE670" s="166"/>
      <c r="CF670" s="166">
        <f t="shared" si="1493"/>
        <v>0</v>
      </c>
    </row>
    <row r="671" spans="1:84" hidden="1">
      <c r="A671" s="141"/>
      <c r="B671" s="199" t="s">
        <v>1843</v>
      </c>
      <c r="C671" s="199" t="s">
        <v>2124</v>
      </c>
      <c r="D671" s="199" t="s">
        <v>1278</v>
      </c>
      <c r="E671" s="199" t="s">
        <v>1792</v>
      </c>
      <c r="F671" s="199" t="s">
        <v>1276</v>
      </c>
      <c r="G671" s="199" t="s">
        <v>1277</v>
      </c>
      <c r="H671" s="200">
        <v>1669</v>
      </c>
      <c r="I671" s="201" t="s">
        <v>147</v>
      </c>
      <c r="J671" s="165">
        <v>1</v>
      </c>
      <c r="K671" s="202">
        <f t="shared" si="1472"/>
        <v>1</v>
      </c>
      <c r="L671" s="202">
        <f t="shared" si="1473"/>
        <v>1</v>
      </c>
      <c r="M671" s="203">
        <v>321.60000000000002</v>
      </c>
      <c r="N671" s="203">
        <f t="shared" si="1474"/>
        <v>321.60000000000002</v>
      </c>
      <c r="O671" s="203" t="s">
        <v>137</v>
      </c>
      <c r="P671" s="203" t="s">
        <v>13</v>
      </c>
      <c r="Q671" s="203" t="s">
        <v>148</v>
      </c>
      <c r="R671" s="203"/>
      <c r="S671" s="203"/>
      <c r="T671" s="203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0</v>
      </c>
      <c r="U671" s="203">
        <f t="shared" ca="1" si="1475"/>
        <v>1</v>
      </c>
      <c r="V671" s="203">
        <f t="shared" ca="1" si="1476"/>
        <v>0</v>
      </c>
      <c r="W671" s="203"/>
      <c r="X671" s="203"/>
      <c r="Y671" s="203"/>
      <c r="Z671" s="203"/>
      <c r="AA671" s="203"/>
      <c r="AB671" s="203"/>
      <c r="AC671" s="205" t="s">
        <v>1784</v>
      </c>
      <c r="AD671" s="225" t="s">
        <v>1785</v>
      </c>
      <c r="AE671" s="166"/>
      <c r="AF671" s="203" t="str">
        <f t="shared" si="1477"/>
        <v>N/A</v>
      </c>
      <c r="AG671" s="203">
        <f t="shared" si="1477"/>
        <v>0</v>
      </c>
      <c r="AH671" s="203">
        <f t="shared" si="1478"/>
        <v>0</v>
      </c>
      <c r="AI671" s="203">
        <f t="shared" ca="1" si="1479"/>
        <v>0</v>
      </c>
      <c r="AJ671" s="203">
        <f t="shared" ca="1" si="1480"/>
        <v>0</v>
      </c>
      <c r="AK671" s="203" t="str">
        <f t="shared" si="1481"/>
        <v>N/A</v>
      </c>
      <c r="AL671" s="203">
        <f t="shared" si="1481"/>
        <v>0</v>
      </c>
      <c r="AM671" s="203">
        <f t="shared" si="1482"/>
        <v>0</v>
      </c>
      <c r="AN671" s="203">
        <f t="shared" ca="1" si="1483"/>
        <v>0</v>
      </c>
      <c r="AO671" s="203">
        <f t="shared" ca="1" si="1484"/>
        <v>0</v>
      </c>
      <c r="AP671" s="203" t="str">
        <f t="shared" si="1485"/>
        <v>N/A</v>
      </c>
      <c r="AQ671" s="203">
        <f t="shared" si="1485"/>
        <v>0</v>
      </c>
      <c r="AR671" s="203">
        <f t="shared" si="1486"/>
        <v>0</v>
      </c>
      <c r="AS671" s="203">
        <f t="shared" ca="1" si="1487"/>
        <v>0</v>
      </c>
      <c r="AT671" s="203">
        <f t="shared" ca="1" si="1488"/>
        <v>0</v>
      </c>
      <c r="AU671" s="203" t="str">
        <f t="shared" si="1489"/>
        <v>AMC2-S1</v>
      </c>
      <c r="AV671" s="203">
        <f t="shared" si="1489"/>
        <v>1</v>
      </c>
      <c r="AW671" s="203">
        <f t="shared" si="1490"/>
        <v>1</v>
      </c>
      <c r="AX671" s="203">
        <f t="shared" ca="1" si="1491"/>
        <v>0</v>
      </c>
      <c r="AY671" s="203">
        <f t="shared" ca="1" si="1492"/>
        <v>1</v>
      </c>
      <c r="AZ671" s="203"/>
      <c r="BA671" s="204" t="s">
        <v>140</v>
      </c>
      <c r="BB671" s="204" t="s">
        <v>140</v>
      </c>
      <c r="BC671" s="204" t="s">
        <v>140</v>
      </c>
      <c r="BD671" s="204" t="s">
        <v>141</v>
      </c>
      <c r="BE671" s="166"/>
      <c r="BF671" s="203" t="s">
        <v>1789</v>
      </c>
      <c r="BG671" s="141"/>
      <c r="BH671" s="141"/>
      <c r="BI671" s="153"/>
      <c r="BJ671" s="153"/>
      <c r="BK671" s="153"/>
      <c r="BL671" s="153" t="s">
        <v>149</v>
      </c>
      <c r="BM671" s="153"/>
      <c r="BN671" s="153"/>
      <c r="BO671" s="153"/>
      <c r="BP671" s="153"/>
      <c r="BQ671" s="153"/>
      <c r="BR671" s="141">
        <v>0</v>
      </c>
      <c r="BS671" s="141">
        <v>0</v>
      </c>
      <c r="BT671" s="141">
        <v>0</v>
      </c>
      <c r="BU671" s="141">
        <v>0</v>
      </c>
      <c r="BV671" s="141">
        <v>0</v>
      </c>
      <c r="BW671" s="141">
        <v>0</v>
      </c>
      <c r="BX671" s="141">
        <v>0</v>
      </c>
      <c r="BY671" s="141" t="s">
        <v>1790</v>
      </c>
      <c r="BZ671" s="141" t="s">
        <v>2101</v>
      </c>
      <c r="CA671" s="165">
        <v>1</v>
      </c>
      <c r="CB671" s="153">
        <v>46244</v>
      </c>
      <c r="CC671" s="141"/>
      <c r="CD671" s="141"/>
      <c r="CE671" s="166"/>
      <c r="CF671" s="166">
        <f t="shared" si="1493"/>
        <v>0</v>
      </c>
    </row>
    <row r="672" spans="1:84" hidden="1">
      <c r="A672" s="141"/>
      <c r="B672" s="199" t="s">
        <v>1843</v>
      </c>
      <c r="C672" s="199" t="s">
        <v>2124</v>
      </c>
      <c r="D672" s="199" t="s">
        <v>1200</v>
      </c>
      <c r="E672" s="199" t="s">
        <v>1793</v>
      </c>
      <c r="F672" s="199" t="s">
        <v>1279</v>
      </c>
      <c r="G672" s="199" t="s">
        <v>1280</v>
      </c>
      <c r="H672" s="200">
        <v>1100</v>
      </c>
      <c r="I672" s="201" t="s">
        <v>147</v>
      </c>
      <c r="J672" s="165">
        <v>1</v>
      </c>
      <c r="K672" s="202">
        <f t="shared" si="1472"/>
        <v>1</v>
      </c>
      <c r="L672" s="202">
        <f t="shared" si="1473"/>
        <v>1</v>
      </c>
      <c r="M672" s="203">
        <v>47.5</v>
      </c>
      <c r="N672" s="203">
        <f t="shared" si="1474"/>
        <v>47.5</v>
      </c>
      <c r="O672" s="203" t="s">
        <v>137</v>
      </c>
      <c r="P672" s="203" t="s">
        <v>13</v>
      </c>
      <c r="Q672" s="203" t="s">
        <v>148</v>
      </c>
      <c r="R672" s="203"/>
      <c r="S672" s="203"/>
      <c r="T672" s="203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0</v>
      </c>
      <c r="U672" s="203">
        <f t="shared" ca="1" si="1475"/>
        <v>1</v>
      </c>
      <c r="V672" s="203">
        <f t="shared" ca="1" si="1476"/>
        <v>0</v>
      </c>
      <c r="W672" s="203"/>
      <c r="X672" s="203"/>
      <c r="Y672" s="203"/>
      <c r="Z672" s="203"/>
      <c r="AA672" s="203"/>
      <c r="AB672" s="203"/>
      <c r="AC672" s="205" t="s">
        <v>1784</v>
      </c>
      <c r="AD672" s="225" t="s">
        <v>1785</v>
      </c>
      <c r="AE672" s="166"/>
      <c r="AF672" s="203" t="str">
        <f t="shared" si="1477"/>
        <v>N/A</v>
      </c>
      <c r="AG672" s="203">
        <f t="shared" si="1477"/>
        <v>0</v>
      </c>
      <c r="AH672" s="203">
        <f t="shared" si="1478"/>
        <v>0</v>
      </c>
      <c r="AI672" s="203">
        <f t="shared" ca="1" si="1479"/>
        <v>0</v>
      </c>
      <c r="AJ672" s="203">
        <f t="shared" ca="1" si="1480"/>
        <v>0</v>
      </c>
      <c r="AK672" s="203" t="str">
        <f t="shared" si="1481"/>
        <v>N/A</v>
      </c>
      <c r="AL672" s="203">
        <f t="shared" si="1481"/>
        <v>0</v>
      </c>
      <c r="AM672" s="203">
        <f t="shared" si="1482"/>
        <v>0</v>
      </c>
      <c r="AN672" s="203">
        <f t="shared" ca="1" si="1483"/>
        <v>0</v>
      </c>
      <c r="AO672" s="203">
        <f t="shared" ca="1" si="1484"/>
        <v>0</v>
      </c>
      <c r="AP672" s="203" t="str">
        <f t="shared" si="1485"/>
        <v>N/A</v>
      </c>
      <c r="AQ672" s="203">
        <f t="shared" si="1485"/>
        <v>0</v>
      </c>
      <c r="AR672" s="203">
        <f t="shared" si="1486"/>
        <v>0</v>
      </c>
      <c r="AS672" s="203">
        <f t="shared" ca="1" si="1487"/>
        <v>0</v>
      </c>
      <c r="AT672" s="203">
        <f t="shared" ca="1" si="1488"/>
        <v>0</v>
      </c>
      <c r="AU672" s="203" t="str">
        <f t="shared" si="1489"/>
        <v>AMC2-S1</v>
      </c>
      <c r="AV672" s="203">
        <f t="shared" si="1489"/>
        <v>1</v>
      </c>
      <c r="AW672" s="203">
        <f t="shared" si="1490"/>
        <v>1</v>
      </c>
      <c r="AX672" s="203">
        <f t="shared" ca="1" si="1491"/>
        <v>0</v>
      </c>
      <c r="AY672" s="203">
        <f t="shared" ca="1" si="1492"/>
        <v>1</v>
      </c>
      <c r="AZ672" s="203"/>
      <c r="BA672" s="204" t="s">
        <v>140</v>
      </c>
      <c r="BB672" s="204" t="s">
        <v>140</v>
      </c>
      <c r="BC672" s="204" t="s">
        <v>140</v>
      </c>
      <c r="BD672" s="204" t="s">
        <v>141</v>
      </c>
      <c r="BE672" s="166"/>
      <c r="BF672" s="203" t="s">
        <v>1789</v>
      </c>
      <c r="BG672" s="141"/>
      <c r="BH672" s="141"/>
      <c r="BI672" s="153"/>
      <c r="BJ672" s="153"/>
      <c r="BK672" s="153"/>
      <c r="BL672" s="153" t="s">
        <v>149</v>
      </c>
      <c r="BM672" s="153"/>
      <c r="BN672" s="153"/>
      <c r="BO672" s="153"/>
      <c r="BP672" s="153"/>
      <c r="BQ672" s="153"/>
      <c r="BR672" s="141">
        <v>0</v>
      </c>
      <c r="BS672" s="141">
        <v>0</v>
      </c>
      <c r="BT672" s="141">
        <v>0</v>
      </c>
      <c r="BU672" s="141">
        <v>0</v>
      </c>
      <c r="BV672" s="141">
        <v>0</v>
      </c>
      <c r="BW672" s="141">
        <v>0</v>
      </c>
      <c r="BX672" s="141">
        <v>0</v>
      </c>
      <c r="BY672" s="141" t="s">
        <v>1790</v>
      </c>
      <c r="BZ672" s="141" t="s">
        <v>2101</v>
      </c>
      <c r="CA672" s="165">
        <v>1</v>
      </c>
      <c r="CB672" s="153">
        <v>46244</v>
      </c>
      <c r="CC672" s="141"/>
      <c r="CD672" s="141"/>
      <c r="CE672" s="166"/>
      <c r="CF672" s="166">
        <f t="shared" si="1493"/>
        <v>0</v>
      </c>
    </row>
    <row r="673" spans="1:84" hidden="1">
      <c r="A673" s="141"/>
      <c r="B673" s="199" t="s">
        <v>1843</v>
      </c>
      <c r="C673" s="199" t="s">
        <v>2124</v>
      </c>
      <c r="D673" s="199" t="s">
        <v>13</v>
      </c>
      <c r="E673" s="199" t="s">
        <v>1794</v>
      </c>
      <c r="F673" s="199" t="s">
        <v>1281</v>
      </c>
      <c r="G673" s="199" t="s">
        <v>1282</v>
      </c>
      <c r="H673" s="200">
        <v>630</v>
      </c>
      <c r="I673" s="201" t="s">
        <v>147</v>
      </c>
      <c r="J673" s="165">
        <v>3</v>
      </c>
      <c r="K673" s="202">
        <f t="shared" si="1472"/>
        <v>1</v>
      </c>
      <c r="L673" s="202">
        <f t="shared" si="1473"/>
        <v>3</v>
      </c>
      <c r="M673" s="203">
        <v>9.3000000000000007</v>
      </c>
      <c r="N673" s="203">
        <f t="shared" si="1474"/>
        <v>27.900000000000002</v>
      </c>
      <c r="O673" s="203" t="s">
        <v>137</v>
      </c>
      <c r="P673" s="203" t="s">
        <v>13</v>
      </c>
      <c r="Q673" s="203" t="s">
        <v>148</v>
      </c>
      <c r="R673" s="203"/>
      <c r="S673" s="203"/>
      <c r="T673" s="203">
        <f ca="1">IF(SUMIFS(INDIRECT("'BTP-"&amp;$C$4&amp;"'!L:L"),INDIRECT("'BTP-"&amp;$C$4&amp;"'!D:D"),F673)-SUMIFS($T$10:T672,$F$10:F672,F673)&gt;0,MIN(SUMIFS(INDIRECT("'BTP-"&amp;$C$4&amp;"'!L:L"),INDIRECT("'BTP-"&amp;$C$4&amp;"'!D:D"),F673)-SUMIFS($T$10:T672,$F$10:F672,F673),L673),0)</f>
        <v>3</v>
      </c>
      <c r="U673" s="203">
        <f t="shared" ca="1" si="1475"/>
        <v>0</v>
      </c>
      <c r="V673" s="203">
        <f t="shared" ca="1" si="1476"/>
        <v>1</v>
      </c>
      <c r="W673" s="203"/>
      <c r="X673" s="203"/>
      <c r="Y673" s="203"/>
      <c r="Z673" s="203"/>
      <c r="AA673" s="203"/>
      <c r="AB673" s="203"/>
      <c r="AC673" s="205" t="s">
        <v>1784</v>
      </c>
      <c r="AD673" s="225" t="s">
        <v>1785</v>
      </c>
      <c r="AE673" s="166"/>
      <c r="AF673" s="203" t="str">
        <f t="shared" si="1477"/>
        <v>N/A</v>
      </c>
      <c r="AG673" s="203">
        <f t="shared" si="1477"/>
        <v>0</v>
      </c>
      <c r="AH673" s="203">
        <f t="shared" si="1478"/>
        <v>0</v>
      </c>
      <c r="AI673" s="203">
        <f t="shared" ca="1" si="1479"/>
        <v>0</v>
      </c>
      <c r="AJ673" s="203">
        <f t="shared" ca="1" si="1480"/>
        <v>0</v>
      </c>
      <c r="AK673" s="203" t="str">
        <f t="shared" si="1481"/>
        <v>N/A</v>
      </c>
      <c r="AL673" s="203">
        <f t="shared" si="1481"/>
        <v>0</v>
      </c>
      <c r="AM673" s="203">
        <f t="shared" si="1482"/>
        <v>0</v>
      </c>
      <c r="AN673" s="203">
        <f t="shared" ca="1" si="1483"/>
        <v>0</v>
      </c>
      <c r="AO673" s="203">
        <f t="shared" ca="1" si="1484"/>
        <v>0</v>
      </c>
      <c r="AP673" s="203" t="str">
        <f t="shared" si="1485"/>
        <v>N/A</v>
      </c>
      <c r="AQ673" s="203">
        <f t="shared" si="1485"/>
        <v>0</v>
      </c>
      <c r="AR673" s="203">
        <f t="shared" si="1486"/>
        <v>0</v>
      </c>
      <c r="AS673" s="203">
        <f t="shared" ca="1" si="1487"/>
        <v>0</v>
      </c>
      <c r="AT673" s="203">
        <f t="shared" ca="1" si="1488"/>
        <v>0</v>
      </c>
      <c r="AU673" s="203" t="str">
        <f t="shared" si="1489"/>
        <v>AMC2-S1</v>
      </c>
      <c r="AV673" s="203">
        <f t="shared" si="1489"/>
        <v>1</v>
      </c>
      <c r="AW673" s="203">
        <f t="shared" si="1490"/>
        <v>3</v>
      </c>
      <c r="AX673" s="203">
        <f t="shared" ca="1" si="1491"/>
        <v>3</v>
      </c>
      <c r="AY673" s="203">
        <f t="shared" ca="1" si="1492"/>
        <v>0</v>
      </c>
      <c r="AZ673" s="203"/>
      <c r="BA673" s="204" t="s">
        <v>140</v>
      </c>
      <c r="BB673" s="204" t="s">
        <v>140</v>
      </c>
      <c r="BC673" s="204" t="s">
        <v>140</v>
      </c>
      <c r="BD673" s="204" t="s">
        <v>141</v>
      </c>
      <c r="BE673" s="166"/>
      <c r="BF673" s="203" t="s">
        <v>1789</v>
      </c>
      <c r="BG673" s="141"/>
      <c r="BH673" s="141"/>
      <c r="BI673" s="153"/>
      <c r="BJ673" s="153"/>
      <c r="BK673" s="153"/>
      <c r="BL673" s="153" t="s">
        <v>149</v>
      </c>
      <c r="BM673" s="153"/>
      <c r="BN673" s="153"/>
      <c r="BO673" s="153"/>
      <c r="BP673" s="153"/>
      <c r="BQ673" s="153"/>
      <c r="BR673" s="141">
        <v>0</v>
      </c>
      <c r="BS673" s="141">
        <v>0</v>
      </c>
      <c r="BT673" s="141">
        <v>0</v>
      </c>
      <c r="BU673" s="141">
        <v>0</v>
      </c>
      <c r="BV673" s="141">
        <v>0</v>
      </c>
      <c r="BW673" s="141">
        <v>0</v>
      </c>
      <c r="BX673" s="141">
        <v>0</v>
      </c>
      <c r="BY673" s="141" t="s">
        <v>1790</v>
      </c>
      <c r="BZ673" s="141" t="s">
        <v>2103</v>
      </c>
      <c r="CA673" s="165">
        <v>3</v>
      </c>
      <c r="CB673" s="153">
        <v>46238</v>
      </c>
      <c r="CC673" s="141"/>
      <c r="CD673" s="141"/>
      <c r="CE673" s="166"/>
      <c r="CF673" s="166">
        <f t="shared" si="1493"/>
        <v>0</v>
      </c>
    </row>
    <row r="674" spans="1:84" hidden="1">
      <c r="A674" s="141"/>
      <c r="B674" s="199" t="s">
        <v>1843</v>
      </c>
      <c r="C674" s="199" t="s">
        <v>2124</v>
      </c>
      <c r="D674" s="199" t="s">
        <v>13</v>
      </c>
      <c r="E674" s="199" t="s">
        <v>1795</v>
      </c>
      <c r="F674" s="199" t="s">
        <v>1283</v>
      </c>
      <c r="G674" s="199" t="s">
        <v>1284</v>
      </c>
      <c r="H674" s="200">
        <v>100</v>
      </c>
      <c r="I674" s="201" t="s">
        <v>147</v>
      </c>
      <c r="J674" s="165">
        <v>1</v>
      </c>
      <c r="K674" s="202">
        <f t="shared" si="1472"/>
        <v>1</v>
      </c>
      <c r="L674" s="202">
        <f t="shared" si="1473"/>
        <v>1</v>
      </c>
      <c r="M674" s="203">
        <v>0.8</v>
      </c>
      <c r="N674" s="203">
        <f t="shared" si="1474"/>
        <v>0.8</v>
      </c>
      <c r="O674" s="203" t="s">
        <v>137</v>
      </c>
      <c r="P674" s="203" t="s">
        <v>13</v>
      </c>
      <c r="Q674" s="203" t="s">
        <v>148</v>
      </c>
      <c r="R674" s="203"/>
      <c r="S674" s="203"/>
      <c r="T674" s="203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1</v>
      </c>
      <c r="U674" s="203">
        <f t="shared" ca="1" si="1475"/>
        <v>0</v>
      </c>
      <c r="V674" s="203">
        <f t="shared" ca="1" si="1476"/>
        <v>1</v>
      </c>
      <c r="W674" s="203"/>
      <c r="X674" s="203"/>
      <c r="Y674" s="203"/>
      <c r="Z674" s="203"/>
      <c r="AA674" s="203"/>
      <c r="AB674" s="203"/>
      <c r="AC674" s="205" t="s">
        <v>1784</v>
      </c>
      <c r="AD674" s="225" t="s">
        <v>1785</v>
      </c>
      <c r="AE674" s="166"/>
      <c r="AF674" s="203" t="str">
        <f t="shared" si="1477"/>
        <v>N/A</v>
      </c>
      <c r="AG674" s="203">
        <f t="shared" si="1477"/>
        <v>0</v>
      </c>
      <c r="AH674" s="203">
        <f t="shared" si="1478"/>
        <v>0</v>
      </c>
      <c r="AI674" s="203">
        <f t="shared" ca="1" si="1479"/>
        <v>0</v>
      </c>
      <c r="AJ674" s="203">
        <f t="shared" ca="1" si="1480"/>
        <v>0</v>
      </c>
      <c r="AK674" s="203" t="str">
        <f t="shared" si="1481"/>
        <v>N/A</v>
      </c>
      <c r="AL674" s="203">
        <f t="shared" si="1481"/>
        <v>0</v>
      </c>
      <c r="AM674" s="203">
        <f t="shared" si="1482"/>
        <v>0</v>
      </c>
      <c r="AN674" s="203">
        <f t="shared" ca="1" si="1483"/>
        <v>0</v>
      </c>
      <c r="AO674" s="203">
        <f t="shared" ca="1" si="1484"/>
        <v>0</v>
      </c>
      <c r="AP674" s="203" t="str">
        <f t="shared" si="1485"/>
        <v>N/A</v>
      </c>
      <c r="AQ674" s="203">
        <f t="shared" si="1485"/>
        <v>0</v>
      </c>
      <c r="AR674" s="203">
        <f t="shared" si="1486"/>
        <v>0</v>
      </c>
      <c r="AS674" s="203">
        <f t="shared" ca="1" si="1487"/>
        <v>0</v>
      </c>
      <c r="AT674" s="203">
        <f t="shared" ca="1" si="1488"/>
        <v>0</v>
      </c>
      <c r="AU674" s="203" t="str">
        <f t="shared" si="1489"/>
        <v>AMC2-S1</v>
      </c>
      <c r="AV674" s="203">
        <f t="shared" si="1489"/>
        <v>1</v>
      </c>
      <c r="AW674" s="203">
        <f t="shared" si="1490"/>
        <v>1</v>
      </c>
      <c r="AX674" s="203">
        <f t="shared" ca="1" si="1491"/>
        <v>1</v>
      </c>
      <c r="AY674" s="203">
        <f t="shared" ca="1" si="1492"/>
        <v>0</v>
      </c>
      <c r="AZ674" s="203"/>
      <c r="BA674" s="204" t="s">
        <v>140</v>
      </c>
      <c r="BB674" s="204" t="s">
        <v>140</v>
      </c>
      <c r="BC674" s="204" t="s">
        <v>140</v>
      </c>
      <c r="BD674" s="204" t="s">
        <v>141</v>
      </c>
      <c r="BE674" s="166"/>
      <c r="BF674" s="203" t="s">
        <v>1789</v>
      </c>
      <c r="BG674" s="141"/>
      <c r="BH674" s="141"/>
      <c r="BI674" s="153"/>
      <c r="BJ674" s="153"/>
      <c r="BK674" s="153"/>
      <c r="BL674" s="153" t="s">
        <v>149</v>
      </c>
      <c r="BM674" s="153"/>
      <c r="BN674" s="153"/>
      <c r="BO674" s="153"/>
      <c r="BP674" s="153"/>
      <c r="BQ674" s="153"/>
      <c r="BR674" s="141">
        <v>0</v>
      </c>
      <c r="BS674" s="141">
        <v>0</v>
      </c>
      <c r="BT674" s="141">
        <v>0</v>
      </c>
      <c r="BU674" s="141">
        <v>0</v>
      </c>
      <c r="BV674" s="141">
        <v>0</v>
      </c>
      <c r="BW674" s="141">
        <v>0</v>
      </c>
      <c r="BX674" s="141">
        <v>0</v>
      </c>
      <c r="BY674" s="141" t="s">
        <v>1790</v>
      </c>
      <c r="BZ674" s="141" t="s">
        <v>2103</v>
      </c>
      <c r="CA674" s="165">
        <v>1</v>
      </c>
      <c r="CB674" s="153">
        <v>46238</v>
      </c>
      <c r="CC674" s="141"/>
      <c r="CD674" s="141"/>
      <c r="CE674" s="166"/>
      <c r="CF674" s="166">
        <f t="shared" si="1493"/>
        <v>0</v>
      </c>
    </row>
    <row r="675" spans="1:84" hidden="1">
      <c r="A675" s="141"/>
      <c r="B675" s="199" t="s">
        <v>1843</v>
      </c>
      <c r="C675" s="199" t="s">
        <v>2124</v>
      </c>
      <c r="D675" s="199" t="s">
        <v>13</v>
      </c>
      <c r="E675" s="199" t="s">
        <v>1796</v>
      </c>
      <c r="F675" s="199" t="s">
        <v>1285</v>
      </c>
      <c r="G675" s="199" t="s">
        <v>1157</v>
      </c>
      <c r="H675" s="200">
        <v>11551</v>
      </c>
      <c r="I675" s="201" t="s">
        <v>147</v>
      </c>
      <c r="J675" s="165">
        <v>2</v>
      </c>
      <c r="K675" s="202">
        <f t="shared" si="1472"/>
        <v>1</v>
      </c>
      <c r="L675" s="202">
        <f t="shared" si="1473"/>
        <v>2</v>
      </c>
      <c r="M675" s="203">
        <v>435.2</v>
      </c>
      <c r="N675" s="203">
        <f t="shared" si="1474"/>
        <v>870.4</v>
      </c>
      <c r="O675" s="203" t="s">
        <v>137</v>
      </c>
      <c r="P675" s="203" t="s">
        <v>13</v>
      </c>
      <c r="Q675" s="203" t="s">
        <v>148</v>
      </c>
      <c r="R675" s="203"/>
      <c r="S675" s="203"/>
      <c r="T675" s="203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0</v>
      </c>
      <c r="U675" s="203">
        <f t="shared" ca="1" si="1475"/>
        <v>2</v>
      </c>
      <c r="V675" s="203">
        <f t="shared" ca="1" si="1476"/>
        <v>0</v>
      </c>
      <c r="W675" s="203"/>
      <c r="X675" s="203"/>
      <c r="Y675" s="203"/>
      <c r="Z675" s="203"/>
      <c r="AA675" s="203"/>
      <c r="AB675" s="203"/>
      <c r="AC675" s="205" t="s">
        <v>1784</v>
      </c>
      <c r="AD675" s="225" t="s">
        <v>1785</v>
      </c>
      <c r="AE675" s="166"/>
      <c r="AF675" s="203" t="str">
        <f t="shared" si="1477"/>
        <v>N/A</v>
      </c>
      <c r="AG675" s="203">
        <f t="shared" si="1477"/>
        <v>0</v>
      </c>
      <c r="AH675" s="203">
        <f t="shared" si="1478"/>
        <v>0</v>
      </c>
      <c r="AI675" s="203">
        <f t="shared" ca="1" si="1479"/>
        <v>0</v>
      </c>
      <c r="AJ675" s="203">
        <f t="shared" ca="1" si="1480"/>
        <v>0</v>
      </c>
      <c r="AK675" s="203" t="str">
        <f t="shared" si="1481"/>
        <v>N/A</v>
      </c>
      <c r="AL675" s="203">
        <f t="shared" si="1481"/>
        <v>0</v>
      </c>
      <c r="AM675" s="203">
        <f t="shared" si="1482"/>
        <v>0</v>
      </c>
      <c r="AN675" s="203">
        <f t="shared" ca="1" si="1483"/>
        <v>0</v>
      </c>
      <c r="AO675" s="203">
        <f t="shared" ca="1" si="1484"/>
        <v>0</v>
      </c>
      <c r="AP675" s="203" t="str">
        <f t="shared" si="1485"/>
        <v>N/A</v>
      </c>
      <c r="AQ675" s="203">
        <f t="shared" si="1485"/>
        <v>0</v>
      </c>
      <c r="AR675" s="203">
        <f t="shared" si="1486"/>
        <v>0</v>
      </c>
      <c r="AS675" s="203">
        <f t="shared" ca="1" si="1487"/>
        <v>0</v>
      </c>
      <c r="AT675" s="203">
        <f t="shared" ca="1" si="1488"/>
        <v>0</v>
      </c>
      <c r="AU675" s="203" t="str">
        <f t="shared" si="1489"/>
        <v>AMC2-S1</v>
      </c>
      <c r="AV675" s="203">
        <f t="shared" si="1489"/>
        <v>1</v>
      </c>
      <c r="AW675" s="203">
        <f t="shared" si="1490"/>
        <v>2</v>
      </c>
      <c r="AX675" s="203">
        <f t="shared" ca="1" si="1491"/>
        <v>0</v>
      </c>
      <c r="AY675" s="203">
        <f t="shared" ca="1" si="1492"/>
        <v>2</v>
      </c>
      <c r="AZ675" s="203"/>
      <c r="BA675" s="204" t="s">
        <v>140</v>
      </c>
      <c r="BB675" s="204" t="s">
        <v>140</v>
      </c>
      <c r="BC675" s="204" t="s">
        <v>140</v>
      </c>
      <c r="BD675" s="204" t="s">
        <v>141</v>
      </c>
      <c r="BE675" s="166"/>
      <c r="BF675" s="203" t="s">
        <v>1789</v>
      </c>
      <c r="BG675" s="141"/>
      <c r="BH675" s="141"/>
      <c r="BI675" s="153"/>
      <c r="BJ675" s="153"/>
      <c r="BK675" s="153"/>
      <c r="BL675" s="153" t="s">
        <v>149</v>
      </c>
      <c r="BM675" s="153"/>
      <c r="BN675" s="153"/>
      <c r="BO675" s="153"/>
      <c r="BP675" s="153"/>
      <c r="BQ675" s="153"/>
      <c r="BR675" s="141">
        <v>0</v>
      </c>
      <c r="BS675" s="141">
        <v>0</v>
      </c>
      <c r="BT675" s="141">
        <v>0</v>
      </c>
      <c r="BU675" s="141">
        <v>0</v>
      </c>
      <c r="BV675" s="141">
        <v>0</v>
      </c>
      <c r="BW675" s="141">
        <v>0</v>
      </c>
      <c r="BX675" s="141">
        <v>0</v>
      </c>
      <c r="BY675" s="141" t="s">
        <v>1790</v>
      </c>
      <c r="BZ675" s="141" t="s">
        <v>2100</v>
      </c>
      <c r="CA675" s="165">
        <v>2</v>
      </c>
      <c r="CB675" s="153">
        <v>46238</v>
      </c>
      <c r="CC675" s="141"/>
      <c r="CD675" s="141"/>
      <c r="CE675" s="166"/>
      <c r="CF675" s="166">
        <f t="shared" si="1493"/>
        <v>0</v>
      </c>
    </row>
    <row r="676" spans="1:84" hidden="1">
      <c r="A676" s="141"/>
      <c r="B676" s="199" t="s">
        <v>1843</v>
      </c>
      <c r="C676" s="199" t="s">
        <v>2124</v>
      </c>
      <c r="D676" s="199" t="s">
        <v>13</v>
      </c>
      <c r="E676" s="199" t="s">
        <v>1797</v>
      </c>
      <c r="F676" s="199" t="s">
        <v>1286</v>
      </c>
      <c r="G676" s="199" t="s">
        <v>1284</v>
      </c>
      <c r="H676" s="200">
        <v>325</v>
      </c>
      <c r="I676" s="201" t="s">
        <v>147</v>
      </c>
      <c r="J676" s="165">
        <v>2</v>
      </c>
      <c r="K676" s="202">
        <f t="shared" si="1472"/>
        <v>1</v>
      </c>
      <c r="L676" s="202">
        <f t="shared" si="1473"/>
        <v>2</v>
      </c>
      <c r="M676" s="203">
        <v>3.1</v>
      </c>
      <c r="N676" s="203">
        <f t="shared" si="1474"/>
        <v>6.2</v>
      </c>
      <c r="O676" s="203" t="s">
        <v>137</v>
      </c>
      <c r="P676" s="203" t="s">
        <v>13</v>
      </c>
      <c r="Q676" s="203" t="s">
        <v>148</v>
      </c>
      <c r="R676" s="203"/>
      <c r="S676" s="203"/>
      <c r="T676" s="203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2</v>
      </c>
      <c r="U676" s="203">
        <f t="shared" ca="1" si="1475"/>
        <v>0</v>
      </c>
      <c r="V676" s="203">
        <f t="shared" ca="1" si="1476"/>
        <v>1</v>
      </c>
      <c r="W676" s="203"/>
      <c r="X676" s="203"/>
      <c r="Y676" s="203"/>
      <c r="Z676" s="203"/>
      <c r="AA676" s="203"/>
      <c r="AB676" s="203"/>
      <c r="AC676" s="205" t="s">
        <v>1784</v>
      </c>
      <c r="AD676" s="225" t="s">
        <v>1785</v>
      </c>
      <c r="AE676" s="166"/>
      <c r="AF676" s="203" t="str">
        <f t="shared" si="1477"/>
        <v>N/A</v>
      </c>
      <c r="AG676" s="203">
        <f t="shared" si="1477"/>
        <v>0</v>
      </c>
      <c r="AH676" s="203">
        <f t="shared" si="1478"/>
        <v>0</v>
      </c>
      <c r="AI676" s="203">
        <f t="shared" ca="1" si="1479"/>
        <v>0</v>
      </c>
      <c r="AJ676" s="203">
        <f t="shared" ca="1" si="1480"/>
        <v>0</v>
      </c>
      <c r="AK676" s="203" t="str">
        <f t="shared" si="1481"/>
        <v>N/A</v>
      </c>
      <c r="AL676" s="203">
        <f t="shared" si="1481"/>
        <v>0</v>
      </c>
      <c r="AM676" s="203">
        <f t="shared" si="1482"/>
        <v>0</v>
      </c>
      <c r="AN676" s="203">
        <f t="shared" ca="1" si="1483"/>
        <v>0</v>
      </c>
      <c r="AO676" s="203">
        <f t="shared" ca="1" si="1484"/>
        <v>0</v>
      </c>
      <c r="AP676" s="203" t="str">
        <f t="shared" si="1485"/>
        <v>N/A</v>
      </c>
      <c r="AQ676" s="203">
        <f t="shared" si="1485"/>
        <v>0</v>
      </c>
      <c r="AR676" s="203">
        <f t="shared" si="1486"/>
        <v>0</v>
      </c>
      <c r="AS676" s="203">
        <f t="shared" ca="1" si="1487"/>
        <v>0</v>
      </c>
      <c r="AT676" s="203">
        <f t="shared" ca="1" si="1488"/>
        <v>0</v>
      </c>
      <c r="AU676" s="203" t="str">
        <f t="shared" si="1489"/>
        <v>AMC2-S1</v>
      </c>
      <c r="AV676" s="203">
        <f t="shared" si="1489"/>
        <v>1</v>
      </c>
      <c r="AW676" s="203">
        <f t="shared" si="1490"/>
        <v>2</v>
      </c>
      <c r="AX676" s="203">
        <f t="shared" ca="1" si="1491"/>
        <v>2</v>
      </c>
      <c r="AY676" s="203">
        <f t="shared" ca="1" si="1492"/>
        <v>0</v>
      </c>
      <c r="AZ676" s="203"/>
      <c r="BA676" s="204" t="s">
        <v>140</v>
      </c>
      <c r="BB676" s="204" t="s">
        <v>140</v>
      </c>
      <c r="BC676" s="204" t="s">
        <v>140</v>
      </c>
      <c r="BD676" s="204" t="s">
        <v>141</v>
      </c>
      <c r="BE676" s="166"/>
      <c r="BF676" s="203" t="s">
        <v>1789</v>
      </c>
      <c r="BG676" s="141"/>
      <c r="BH676" s="141"/>
      <c r="BI676" s="153"/>
      <c r="BJ676" s="153"/>
      <c r="BK676" s="153"/>
      <c r="BL676" s="153" t="s">
        <v>149</v>
      </c>
      <c r="BM676" s="153"/>
      <c r="BN676" s="153"/>
      <c r="BO676" s="153"/>
      <c r="BP676" s="153"/>
      <c r="BQ676" s="153"/>
      <c r="BR676" s="141">
        <v>0</v>
      </c>
      <c r="BS676" s="141">
        <v>0</v>
      </c>
      <c r="BT676" s="141">
        <v>0</v>
      </c>
      <c r="BU676" s="141">
        <v>0</v>
      </c>
      <c r="BV676" s="141">
        <v>0</v>
      </c>
      <c r="BW676" s="141">
        <v>0</v>
      </c>
      <c r="BX676" s="141">
        <v>0</v>
      </c>
      <c r="BY676" s="141" t="s">
        <v>1790</v>
      </c>
      <c r="BZ676" s="141" t="s">
        <v>2103</v>
      </c>
      <c r="CA676" s="165">
        <v>2</v>
      </c>
      <c r="CB676" s="153">
        <v>46238</v>
      </c>
      <c r="CC676" s="141"/>
      <c r="CD676" s="141"/>
      <c r="CE676" s="166"/>
      <c r="CF676" s="166">
        <f t="shared" si="1493"/>
        <v>0</v>
      </c>
    </row>
    <row r="677" spans="1:84" hidden="1">
      <c r="A677" s="141"/>
      <c r="B677" s="199" t="s">
        <v>1843</v>
      </c>
      <c r="C677" s="199" t="s">
        <v>2124</v>
      </c>
      <c r="D677" s="199" t="s">
        <v>13</v>
      </c>
      <c r="E677" s="199" t="s">
        <v>1798</v>
      </c>
      <c r="F677" s="199" t="s">
        <v>1287</v>
      </c>
      <c r="G677" s="199" t="s">
        <v>1256</v>
      </c>
      <c r="H677" s="200">
        <v>188.5</v>
      </c>
      <c r="I677" s="201" t="s">
        <v>147</v>
      </c>
      <c r="J677" s="165">
        <v>10</v>
      </c>
      <c r="K677" s="202">
        <f t="shared" si="1472"/>
        <v>1</v>
      </c>
      <c r="L677" s="202">
        <f t="shared" si="1473"/>
        <v>10</v>
      </c>
      <c r="M677" s="203">
        <v>1.5</v>
      </c>
      <c r="N677" s="203">
        <f t="shared" si="1474"/>
        <v>15</v>
      </c>
      <c r="O677" s="203" t="s">
        <v>137</v>
      </c>
      <c r="P677" s="203" t="s">
        <v>13</v>
      </c>
      <c r="Q677" s="203" t="s">
        <v>148</v>
      </c>
      <c r="R677" s="203"/>
      <c r="S677" s="203"/>
      <c r="T677" s="203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10</v>
      </c>
      <c r="U677" s="203">
        <f t="shared" ca="1" si="1475"/>
        <v>0</v>
      </c>
      <c r="V677" s="203">
        <f t="shared" ca="1" si="1476"/>
        <v>1</v>
      </c>
      <c r="W677" s="203"/>
      <c r="X677" s="203"/>
      <c r="Y677" s="203"/>
      <c r="Z677" s="203"/>
      <c r="AA677" s="203"/>
      <c r="AB677" s="203"/>
      <c r="AC677" s="205" t="s">
        <v>1784</v>
      </c>
      <c r="AD677" s="225" t="s">
        <v>1785</v>
      </c>
      <c r="AE677" s="166"/>
      <c r="AF677" s="203" t="str">
        <f t="shared" si="1477"/>
        <v>N/A</v>
      </c>
      <c r="AG677" s="203">
        <f t="shared" si="1477"/>
        <v>0</v>
      </c>
      <c r="AH677" s="203">
        <f t="shared" si="1478"/>
        <v>0</v>
      </c>
      <c r="AI677" s="203">
        <f t="shared" ca="1" si="1479"/>
        <v>0</v>
      </c>
      <c r="AJ677" s="203">
        <f t="shared" ca="1" si="1480"/>
        <v>0</v>
      </c>
      <c r="AK677" s="203" t="str">
        <f t="shared" si="1481"/>
        <v>N/A</v>
      </c>
      <c r="AL677" s="203">
        <f t="shared" si="1481"/>
        <v>0</v>
      </c>
      <c r="AM677" s="203">
        <f t="shared" si="1482"/>
        <v>0</v>
      </c>
      <c r="AN677" s="203">
        <f t="shared" ca="1" si="1483"/>
        <v>0</v>
      </c>
      <c r="AO677" s="203">
        <f t="shared" ca="1" si="1484"/>
        <v>0</v>
      </c>
      <c r="AP677" s="203" t="str">
        <f t="shared" si="1485"/>
        <v>N/A</v>
      </c>
      <c r="AQ677" s="203">
        <f t="shared" si="1485"/>
        <v>0</v>
      </c>
      <c r="AR677" s="203">
        <f t="shared" si="1486"/>
        <v>0</v>
      </c>
      <c r="AS677" s="203">
        <f t="shared" ca="1" si="1487"/>
        <v>0</v>
      </c>
      <c r="AT677" s="203">
        <f t="shared" ca="1" si="1488"/>
        <v>0</v>
      </c>
      <c r="AU677" s="203" t="str">
        <f t="shared" si="1489"/>
        <v>AMC2-S1</v>
      </c>
      <c r="AV677" s="203">
        <f t="shared" si="1489"/>
        <v>1</v>
      </c>
      <c r="AW677" s="203">
        <f t="shared" si="1490"/>
        <v>10</v>
      </c>
      <c r="AX677" s="203">
        <f t="shared" ca="1" si="1491"/>
        <v>10</v>
      </c>
      <c r="AY677" s="203">
        <f t="shared" ca="1" si="1492"/>
        <v>0</v>
      </c>
      <c r="AZ677" s="203"/>
      <c r="BA677" s="204" t="s">
        <v>140</v>
      </c>
      <c r="BB677" s="204" t="s">
        <v>140</v>
      </c>
      <c r="BC677" s="204" t="s">
        <v>140</v>
      </c>
      <c r="BD677" s="204" t="s">
        <v>141</v>
      </c>
      <c r="BE677" s="166"/>
      <c r="BF677" s="203" t="s">
        <v>1789</v>
      </c>
      <c r="BG677" s="141"/>
      <c r="BH677" s="141"/>
      <c r="BI677" s="153"/>
      <c r="BJ677" s="153"/>
      <c r="BK677" s="153"/>
      <c r="BL677" s="153" t="s">
        <v>149</v>
      </c>
      <c r="BM677" s="153"/>
      <c r="BN677" s="153"/>
      <c r="BO677" s="153"/>
      <c r="BP677" s="153"/>
      <c r="BQ677" s="153"/>
      <c r="BR677" s="141">
        <v>0</v>
      </c>
      <c r="BS677" s="141">
        <v>0</v>
      </c>
      <c r="BT677" s="141">
        <v>0</v>
      </c>
      <c r="BU677" s="141">
        <v>0</v>
      </c>
      <c r="BV677" s="141">
        <v>0</v>
      </c>
      <c r="BW677" s="141">
        <v>0</v>
      </c>
      <c r="BX677" s="141">
        <v>0</v>
      </c>
      <c r="BY677" s="141" t="s">
        <v>1790</v>
      </c>
      <c r="BZ677" s="141" t="s">
        <v>2103</v>
      </c>
      <c r="CA677" s="165">
        <v>10</v>
      </c>
      <c r="CB677" s="153">
        <v>46238</v>
      </c>
      <c r="CC677" s="141"/>
      <c r="CD677" s="141"/>
      <c r="CE677" s="166"/>
      <c r="CF677" s="166">
        <f t="shared" si="1493"/>
        <v>0</v>
      </c>
    </row>
    <row r="678" spans="1:84" hidden="1">
      <c r="A678" s="141"/>
      <c r="B678" s="199" t="s">
        <v>1843</v>
      </c>
      <c r="C678" s="199" t="s">
        <v>2124</v>
      </c>
      <c r="D678" s="199" t="s">
        <v>1204</v>
      </c>
      <c r="E678" s="199" t="s">
        <v>1799</v>
      </c>
      <c r="F678" s="199" t="s">
        <v>1262</v>
      </c>
      <c r="G678" s="199" t="s">
        <v>1263</v>
      </c>
      <c r="H678" s="200">
        <v>1616</v>
      </c>
      <c r="I678" s="201" t="s">
        <v>147</v>
      </c>
      <c r="J678" s="165">
        <v>2</v>
      </c>
      <c r="K678" s="202">
        <f t="shared" si="1472"/>
        <v>1</v>
      </c>
      <c r="L678" s="202">
        <f t="shared" si="1473"/>
        <v>2</v>
      </c>
      <c r="M678" s="203">
        <v>18</v>
      </c>
      <c r="N678" s="203">
        <f t="shared" si="1474"/>
        <v>36</v>
      </c>
      <c r="O678" s="203" t="s">
        <v>137</v>
      </c>
      <c r="P678" s="203" t="s">
        <v>13</v>
      </c>
      <c r="Q678" s="203" t="s">
        <v>148</v>
      </c>
      <c r="R678" s="203"/>
      <c r="S678" s="203"/>
      <c r="T678" s="203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0</v>
      </c>
      <c r="U678" s="203">
        <f t="shared" ca="1" si="1475"/>
        <v>2</v>
      </c>
      <c r="V678" s="203">
        <f t="shared" ca="1" si="1476"/>
        <v>0</v>
      </c>
      <c r="W678" s="203"/>
      <c r="X678" s="203"/>
      <c r="Y678" s="203"/>
      <c r="Z678" s="203"/>
      <c r="AA678" s="203"/>
      <c r="AB678" s="203"/>
      <c r="AC678" s="205" t="s">
        <v>1784</v>
      </c>
      <c r="AD678" s="225" t="s">
        <v>1785</v>
      </c>
      <c r="AE678" s="166"/>
      <c r="AF678" s="203" t="str">
        <f t="shared" si="1477"/>
        <v>N/A</v>
      </c>
      <c r="AG678" s="203">
        <f t="shared" si="1477"/>
        <v>0</v>
      </c>
      <c r="AH678" s="203">
        <f t="shared" si="1478"/>
        <v>0</v>
      </c>
      <c r="AI678" s="203">
        <f t="shared" ca="1" si="1479"/>
        <v>0</v>
      </c>
      <c r="AJ678" s="203">
        <f t="shared" ca="1" si="1480"/>
        <v>0</v>
      </c>
      <c r="AK678" s="203" t="str">
        <f t="shared" si="1481"/>
        <v>N/A</v>
      </c>
      <c r="AL678" s="203">
        <f t="shared" si="1481"/>
        <v>0</v>
      </c>
      <c r="AM678" s="203">
        <f t="shared" si="1482"/>
        <v>0</v>
      </c>
      <c r="AN678" s="203">
        <f t="shared" ca="1" si="1483"/>
        <v>0</v>
      </c>
      <c r="AO678" s="203">
        <f t="shared" ca="1" si="1484"/>
        <v>0</v>
      </c>
      <c r="AP678" s="203" t="str">
        <f t="shared" si="1485"/>
        <v>N/A</v>
      </c>
      <c r="AQ678" s="203">
        <f t="shared" si="1485"/>
        <v>0</v>
      </c>
      <c r="AR678" s="203">
        <f t="shared" si="1486"/>
        <v>0</v>
      </c>
      <c r="AS678" s="203">
        <f t="shared" ca="1" si="1487"/>
        <v>0</v>
      </c>
      <c r="AT678" s="203">
        <f t="shared" ca="1" si="1488"/>
        <v>0</v>
      </c>
      <c r="AU678" s="203" t="str">
        <f t="shared" si="1489"/>
        <v>AMC2-S1</v>
      </c>
      <c r="AV678" s="203">
        <f t="shared" si="1489"/>
        <v>1</v>
      </c>
      <c r="AW678" s="203">
        <f t="shared" si="1490"/>
        <v>2</v>
      </c>
      <c r="AX678" s="203">
        <f t="shared" ca="1" si="1491"/>
        <v>0</v>
      </c>
      <c r="AY678" s="203">
        <f t="shared" ca="1" si="1492"/>
        <v>2</v>
      </c>
      <c r="AZ678" s="203"/>
      <c r="BA678" s="204" t="s">
        <v>140</v>
      </c>
      <c r="BB678" s="204" t="s">
        <v>140</v>
      </c>
      <c r="BC678" s="204" t="s">
        <v>140</v>
      </c>
      <c r="BD678" s="204" t="s">
        <v>141</v>
      </c>
      <c r="BE678" s="166"/>
      <c r="BF678" s="203" t="s">
        <v>1789</v>
      </c>
      <c r="BG678" s="141"/>
      <c r="BH678" s="141"/>
      <c r="BI678" s="153"/>
      <c r="BJ678" s="153"/>
      <c r="BK678" s="153"/>
      <c r="BL678" s="153" t="s">
        <v>149</v>
      </c>
      <c r="BM678" s="153"/>
      <c r="BN678" s="153"/>
      <c r="BO678" s="153"/>
      <c r="BP678" s="153"/>
      <c r="BQ678" s="153"/>
      <c r="BR678" s="141">
        <v>0</v>
      </c>
      <c r="BS678" s="141">
        <v>0</v>
      </c>
      <c r="BT678" s="141">
        <v>0</v>
      </c>
      <c r="BU678" s="141">
        <v>0</v>
      </c>
      <c r="BV678" s="141">
        <v>0</v>
      </c>
      <c r="BW678" s="141">
        <v>0</v>
      </c>
      <c r="BX678" s="141">
        <v>0</v>
      </c>
      <c r="BY678" s="141" t="s">
        <v>1790</v>
      </c>
      <c r="BZ678" s="117" t="s">
        <v>57</v>
      </c>
      <c r="CA678" s="141">
        <v>2</v>
      </c>
      <c r="CB678" s="153"/>
      <c r="CC678" s="141"/>
      <c r="CD678" s="141"/>
      <c r="CE678" s="166"/>
      <c r="CF678" s="166">
        <f t="shared" si="1493"/>
        <v>0</v>
      </c>
    </row>
    <row r="679" spans="1:84" hidden="1">
      <c r="A679" s="141"/>
      <c r="B679" s="199" t="s">
        <v>1843</v>
      </c>
      <c r="C679" s="199" t="s">
        <v>2124</v>
      </c>
      <c r="D679" s="199" t="s">
        <v>1204</v>
      </c>
      <c r="E679" s="199" t="s">
        <v>1800</v>
      </c>
      <c r="F679" s="199" t="s">
        <v>1264</v>
      </c>
      <c r="G679" s="199" t="s">
        <v>1265</v>
      </c>
      <c r="H679" s="200">
        <v>500</v>
      </c>
      <c r="I679" s="201" t="s">
        <v>147</v>
      </c>
      <c r="J679" s="165">
        <v>2</v>
      </c>
      <c r="K679" s="202">
        <f t="shared" si="1472"/>
        <v>1</v>
      </c>
      <c r="L679" s="202">
        <f t="shared" si="1473"/>
        <v>2</v>
      </c>
      <c r="M679" s="203">
        <v>2.8</v>
      </c>
      <c r="N679" s="203">
        <f t="shared" si="1474"/>
        <v>5.6</v>
      </c>
      <c r="O679" s="203" t="s">
        <v>137</v>
      </c>
      <c r="P679" s="203" t="s">
        <v>13</v>
      </c>
      <c r="Q679" s="203" t="s">
        <v>148</v>
      </c>
      <c r="R679" s="203"/>
      <c r="S679" s="203"/>
      <c r="T679" s="203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0</v>
      </c>
      <c r="U679" s="203">
        <f t="shared" ca="1" si="1475"/>
        <v>2</v>
      </c>
      <c r="V679" s="203">
        <f t="shared" ca="1" si="1476"/>
        <v>0</v>
      </c>
      <c r="W679" s="203"/>
      <c r="X679" s="203"/>
      <c r="Y679" s="203"/>
      <c r="Z679" s="203"/>
      <c r="AA679" s="203"/>
      <c r="AB679" s="203"/>
      <c r="AC679" s="205" t="s">
        <v>1784</v>
      </c>
      <c r="AD679" s="225" t="s">
        <v>1785</v>
      </c>
      <c r="AE679" s="166"/>
      <c r="AF679" s="203" t="str">
        <f t="shared" si="1477"/>
        <v>N/A</v>
      </c>
      <c r="AG679" s="203">
        <f t="shared" si="1477"/>
        <v>0</v>
      </c>
      <c r="AH679" s="203">
        <f t="shared" si="1478"/>
        <v>0</v>
      </c>
      <c r="AI679" s="203">
        <f t="shared" ca="1" si="1479"/>
        <v>0</v>
      </c>
      <c r="AJ679" s="203">
        <f t="shared" ca="1" si="1480"/>
        <v>0</v>
      </c>
      <c r="AK679" s="203" t="str">
        <f t="shared" si="1481"/>
        <v>N/A</v>
      </c>
      <c r="AL679" s="203">
        <f t="shared" si="1481"/>
        <v>0</v>
      </c>
      <c r="AM679" s="203">
        <f t="shared" si="1482"/>
        <v>0</v>
      </c>
      <c r="AN679" s="203">
        <f t="shared" ca="1" si="1483"/>
        <v>0</v>
      </c>
      <c r="AO679" s="203">
        <f t="shared" ca="1" si="1484"/>
        <v>0</v>
      </c>
      <c r="AP679" s="203" t="str">
        <f t="shared" si="1485"/>
        <v>N/A</v>
      </c>
      <c r="AQ679" s="203">
        <f t="shared" si="1485"/>
        <v>0</v>
      </c>
      <c r="AR679" s="203">
        <f t="shared" si="1486"/>
        <v>0</v>
      </c>
      <c r="AS679" s="203">
        <f t="shared" ca="1" si="1487"/>
        <v>0</v>
      </c>
      <c r="AT679" s="203">
        <f t="shared" ca="1" si="1488"/>
        <v>0</v>
      </c>
      <c r="AU679" s="203" t="str">
        <f t="shared" si="1489"/>
        <v>AMC2-S1</v>
      </c>
      <c r="AV679" s="203">
        <f t="shared" si="1489"/>
        <v>1</v>
      </c>
      <c r="AW679" s="203">
        <f t="shared" si="1490"/>
        <v>2</v>
      </c>
      <c r="AX679" s="203">
        <f t="shared" ca="1" si="1491"/>
        <v>0</v>
      </c>
      <c r="AY679" s="203">
        <f t="shared" ca="1" si="1492"/>
        <v>2</v>
      </c>
      <c r="AZ679" s="203"/>
      <c r="BA679" s="204" t="s">
        <v>140</v>
      </c>
      <c r="BB679" s="204" t="s">
        <v>140</v>
      </c>
      <c r="BC679" s="204" t="s">
        <v>140</v>
      </c>
      <c r="BD679" s="204" t="s">
        <v>141</v>
      </c>
      <c r="BE679" s="166"/>
      <c r="BF679" s="203" t="s">
        <v>1789</v>
      </c>
      <c r="BG679" s="141"/>
      <c r="BH679" s="141"/>
      <c r="BI679" s="153"/>
      <c r="BJ679" s="153"/>
      <c r="BK679" s="153"/>
      <c r="BL679" s="153" t="s">
        <v>149</v>
      </c>
      <c r="BM679" s="153"/>
      <c r="BN679" s="153"/>
      <c r="BO679" s="153"/>
      <c r="BP679" s="153"/>
      <c r="BQ679" s="153"/>
      <c r="BR679" s="141">
        <v>0</v>
      </c>
      <c r="BS679" s="141">
        <v>0</v>
      </c>
      <c r="BT679" s="141">
        <v>0</v>
      </c>
      <c r="BU679" s="141">
        <v>0</v>
      </c>
      <c r="BV679" s="141">
        <v>0</v>
      </c>
      <c r="BW679" s="141">
        <v>0</v>
      </c>
      <c r="BX679" s="141">
        <v>0</v>
      </c>
      <c r="BY679" s="141" t="s">
        <v>1790</v>
      </c>
      <c r="BZ679" s="141" t="s">
        <v>2123</v>
      </c>
      <c r="CA679" s="165">
        <v>2</v>
      </c>
      <c r="CB679" s="153">
        <v>46245</v>
      </c>
      <c r="CC679" s="141"/>
      <c r="CD679" s="141"/>
      <c r="CE679" s="166"/>
      <c r="CF679" s="166">
        <f t="shared" si="1493"/>
        <v>0</v>
      </c>
    </row>
    <row r="680" spans="1:84" hidden="1">
      <c r="A680" s="141"/>
      <c r="B680" s="199" t="s">
        <v>1843</v>
      </c>
      <c r="C680" s="199" t="s">
        <v>2124</v>
      </c>
      <c r="D680" s="199" t="s">
        <v>13</v>
      </c>
      <c r="E680" s="199" t="s">
        <v>1801</v>
      </c>
      <c r="F680" s="199" t="s">
        <v>1266</v>
      </c>
      <c r="G680" s="199" t="s">
        <v>1267</v>
      </c>
      <c r="H680" s="200">
        <v>520</v>
      </c>
      <c r="I680" s="201" t="s">
        <v>147</v>
      </c>
      <c r="J680" s="165">
        <v>2</v>
      </c>
      <c r="K680" s="202">
        <f t="shared" si="1472"/>
        <v>1</v>
      </c>
      <c r="L680" s="202">
        <f t="shared" si="1473"/>
        <v>2</v>
      </c>
      <c r="M680" s="203">
        <v>14.1</v>
      </c>
      <c r="N680" s="203">
        <f t="shared" si="1474"/>
        <v>28.2</v>
      </c>
      <c r="O680" s="203" t="s">
        <v>137</v>
      </c>
      <c r="P680" s="203" t="s">
        <v>13</v>
      </c>
      <c r="Q680" s="203" t="s">
        <v>148</v>
      </c>
      <c r="R680" s="203"/>
      <c r="S680" s="203"/>
      <c r="T680" s="203">
        <f ca="1">IF(SUMIFS(INDIRECT("'BTP-"&amp;$C$4&amp;"'!L:L"),INDIRECT("'BTP-"&amp;$C$4&amp;"'!D:D"),F680)-SUMIFS($T$10:T679,$F$10:F679,F680)&gt;0,MIN(SUMIFS(INDIRECT("'BTP-"&amp;$C$4&amp;"'!L:L"),INDIRECT("'BTP-"&amp;$C$4&amp;"'!D:D"),F680)-SUMIFS($T$10:T679,$F$10:F679,F680),L680),0)</f>
        <v>0</v>
      </c>
      <c r="U680" s="203">
        <f t="shared" ca="1" si="1475"/>
        <v>2</v>
      </c>
      <c r="V680" s="203">
        <f t="shared" ca="1" si="1476"/>
        <v>0</v>
      </c>
      <c r="W680" s="203"/>
      <c r="X680" s="203"/>
      <c r="Y680" s="203"/>
      <c r="Z680" s="203"/>
      <c r="AA680" s="203"/>
      <c r="AB680" s="203"/>
      <c r="AC680" s="205" t="s">
        <v>1784</v>
      </c>
      <c r="AD680" s="225" t="s">
        <v>1785</v>
      </c>
      <c r="AE680" s="166"/>
      <c r="AF680" s="203" t="str">
        <f t="shared" si="1477"/>
        <v>N/A</v>
      </c>
      <c r="AG680" s="203">
        <f t="shared" si="1477"/>
        <v>0</v>
      </c>
      <c r="AH680" s="203">
        <f t="shared" si="1478"/>
        <v>0</v>
      </c>
      <c r="AI680" s="203">
        <f t="shared" ca="1" si="1479"/>
        <v>0</v>
      </c>
      <c r="AJ680" s="203">
        <f t="shared" ca="1" si="1480"/>
        <v>0</v>
      </c>
      <c r="AK680" s="203" t="str">
        <f t="shared" si="1481"/>
        <v>N/A</v>
      </c>
      <c r="AL680" s="203">
        <f t="shared" si="1481"/>
        <v>0</v>
      </c>
      <c r="AM680" s="203">
        <f t="shared" si="1482"/>
        <v>0</v>
      </c>
      <c r="AN680" s="203">
        <f t="shared" ca="1" si="1483"/>
        <v>0</v>
      </c>
      <c r="AO680" s="203">
        <f t="shared" ca="1" si="1484"/>
        <v>0</v>
      </c>
      <c r="AP680" s="203" t="str">
        <f t="shared" si="1485"/>
        <v>N/A</v>
      </c>
      <c r="AQ680" s="203">
        <f t="shared" si="1485"/>
        <v>0</v>
      </c>
      <c r="AR680" s="203">
        <f t="shared" si="1486"/>
        <v>0</v>
      </c>
      <c r="AS680" s="203">
        <f t="shared" ca="1" si="1487"/>
        <v>0</v>
      </c>
      <c r="AT680" s="203">
        <f t="shared" ca="1" si="1488"/>
        <v>0</v>
      </c>
      <c r="AU680" s="203" t="str">
        <f t="shared" si="1489"/>
        <v>AMC2-S1</v>
      </c>
      <c r="AV680" s="203">
        <f t="shared" si="1489"/>
        <v>1</v>
      </c>
      <c r="AW680" s="203">
        <f t="shared" si="1490"/>
        <v>2</v>
      </c>
      <c r="AX680" s="203">
        <f t="shared" ca="1" si="1491"/>
        <v>0</v>
      </c>
      <c r="AY680" s="203">
        <f t="shared" ca="1" si="1492"/>
        <v>2</v>
      </c>
      <c r="AZ680" s="203"/>
      <c r="BA680" s="204" t="s">
        <v>140</v>
      </c>
      <c r="BB680" s="204" t="s">
        <v>140</v>
      </c>
      <c r="BC680" s="204" t="s">
        <v>140</v>
      </c>
      <c r="BD680" s="204" t="s">
        <v>141</v>
      </c>
      <c r="BE680" s="166"/>
      <c r="BF680" s="203" t="s">
        <v>1789</v>
      </c>
      <c r="BG680" s="141"/>
      <c r="BH680" s="141"/>
      <c r="BI680" s="153"/>
      <c r="BJ680" s="153"/>
      <c r="BK680" s="153"/>
      <c r="BL680" s="153" t="s">
        <v>149</v>
      </c>
      <c r="BM680" s="153"/>
      <c r="BN680" s="153"/>
      <c r="BO680" s="153"/>
      <c r="BP680" s="153"/>
      <c r="BQ680" s="153"/>
      <c r="BR680" s="141">
        <v>1</v>
      </c>
      <c r="BS680" s="141">
        <v>0</v>
      </c>
      <c r="BT680" s="141">
        <v>0</v>
      </c>
      <c r="BU680" s="141">
        <v>0</v>
      </c>
      <c r="BV680" s="141">
        <v>0</v>
      </c>
      <c r="BW680" s="141">
        <v>0</v>
      </c>
      <c r="BX680" s="141">
        <v>0</v>
      </c>
      <c r="BY680" s="141" t="s">
        <v>1790</v>
      </c>
      <c r="BZ680" s="141" t="s">
        <v>2100</v>
      </c>
      <c r="CA680" s="165">
        <v>2</v>
      </c>
      <c r="CB680" s="153">
        <v>46238</v>
      </c>
      <c r="CC680" s="141"/>
      <c r="CD680" s="141"/>
      <c r="CE680" s="166"/>
      <c r="CF680" s="166">
        <f t="shared" si="1493"/>
        <v>0</v>
      </c>
    </row>
    <row r="681" spans="1:84" hidden="1">
      <c r="A681" s="141"/>
      <c r="B681" s="199" t="s">
        <v>1843</v>
      </c>
      <c r="C681" s="199" t="s">
        <v>2124</v>
      </c>
      <c r="D681" s="199" t="s">
        <v>13</v>
      </c>
      <c r="E681" s="199" t="s">
        <v>1815</v>
      </c>
      <c r="F681" s="199" t="s">
        <v>1268</v>
      </c>
      <c r="G681" s="199" t="s">
        <v>1269</v>
      </c>
      <c r="H681" s="200">
        <v>604</v>
      </c>
      <c r="I681" s="201" t="s">
        <v>147</v>
      </c>
      <c r="J681" s="165">
        <v>2</v>
      </c>
      <c r="K681" s="202">
        <f t="shared" si="1472"/>
        <v>1</v>
      </c>
      <c r="L681" s="202">
        <f t="shared" si="1473"/>
        <v>2</v>
      </c>
      <c r="M681" s="203">
        <v>16.8</v>
      </c>
      <c r="N681" s="203">
        <f t="shared" si="1474"/>
        <v>33.6</v>
      </c>
      <c r="O681" s="203" t="s">
        <v>137</v>
      </c>
      <c r="P681" s="203" t="s">
        <v>13</v>
      </c>
      <c r="Q681" s="203" t="s">
        <v>148</v>
      </c>
      <c r="R681" s="203"/>
      <c r="S681" s="203"/>
      <c r="T681" s="203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0</v>
      </c>
      <c r="U681" s="203">
        <f t="shared" ca="1" si="1475"/>
        <v>2</v>
      </c>
      <c r="V681" s="203">
        <f t="shared" ca="1" si="1476"/>
        <v>0</v>
      </c>
      <c r="W681" s="203"/>
      <c r="X681" s="203"/>
      <c r="Y681" s="203"/>
      <c r="Z681" s="203"/>
      <c r="AA681" s="203"/>
      <c r="AB681" s="203"/>
      <c r="AC681" s="205" t="s">
        <v>1784</v>
      </c>
      <c r="AD681" s="225" t="s">
        <v>1785</v>
      </c>
      <c r="AE681" s="166"/>
      <c r="AF681" s="203" t="str">
        <f t="shared" si="1477"/>
        <v>N/A</v>
      </c>
      <c r="AG681" s="203">
        <f t="shared" si="1477"/>
        <v>0</v>
      </c>
      <c r="AH681" s="203">
        <f t="shared" si="1478"/>
        <v>0</v>
      </c>
      <c r="AI681" s="203">
        <f t="shared" ca="1" si="1479"/>
        <v>0</v>
      </c>
      <c r="AJ681" s="203">
        <f t="shared" ca="1" si="1480"/>
        <v>0</v>
      </c>
      <c r="AK681" s="203" t="str">
        <f t="shared" si="1481"/>
        <v>N/A</v>
      </c>
      <c r="AL681" s="203">
        <f t="shared" si="1481"/>
        <v>0</v>
      </c>
      <c r="AM681" s="203">
        <f t="shared" si="1482"/>
        <v>0</v>
      </c>
      <c r="AN681" s="203">
        <f t="shared" ca="1" si="1483"/>
        <v>0</v>
      </c>
      <c r="AO681" s="203">
        <f t="shared" ca="1" si="1484"/>
        <v>0</v>
      </c>
      <c r="AP681" s="203" t="str">
        <f t="shared" si="1485"/>
        <v>N/A</v>
      </c>
      <c r="AQ681" s="203">
        <f t="shared" si="1485"/>
        <v>0</v>
      </c>
      <c r="AR681" s="203">
        <f t="shared" si="1486"/>
        <v>0</v>
      </c>
      <c r="AS681" s="203">
        <f t="shared" ca="1" si="1487"/>
        <v>0</v>
      </c>
      <c r="AT681" s="203">
        <f t="shared" ca="1" si="1488"/>
        <v>0</v>
      </c>
      <c r="AU681" s="203" t="str">
        <f t="shared" si="1489"/>
        <v>AMC2-S1</v>
      </c>
      <c r="AV681" s="203">
        <f t="shared" si="1489"/>
        <v>1</v>
      </c>
      <c r="AW681" s="203">
        <f t="shared" si="1490"/>
        <v>2</v>
      </c>
      <c r="AX681" s="203">
        <f t="shared" ca="1" si="1491"/>
        <v>0</v>
      </c>
      <c r="AY681" s="203">
        <f t="shared" ca="1" si="1492"/>
        <v>2</v>
      </c>
      <c r="AZ681" s="203"/>
      <c r="BA681" s="204" t="s">
        <v>140</v>
      </c>
      <c r="BB681" s="204" t="s">
        <v>140</v>
      </c>
      <c r="BC681" s="204" t="s">
        <v>140</v>
      </c>
      <c r="BD681" s="204" t="s">
        <v>141</v>
      </c>
      <c r="BE681" s="166"/>
      <c r="BF681" s="203" t="s">
        <v>1789</v>
      </c>
      <c r="BG681" s="141"/>
      <c r="BH681" s="141"/>
      <c r="BI681" s="153"/>
      <c r="BJ681" s="153"/>
      <c r="BK681" s="153"/>
      <c r="BL681" s="153" t="s">
        <v>149</v>
      </c>
      <c r="BM681" s="153"/>
      <c r="BN681" s="153"/>
      <c r="BO681" s="153"/>
      <c r="BP681" s="153"/>
      <c r="BQ681" s="153"/>
      <c r="BR681" s="141">
        <v>1</v>
      </c>
      <c r="BS681" s="141">
        <v>0</v>
      </c>
      <c r="BT681" s="141">
        <v>0</v>
      </c>
      <c r="BU681" s="141">
        <v>0</v>
      </c>
      <c r="BV681" s="141">
        <v>0</v>
      </c>
      <c r="BW681" s="141">
        <v>0</v>
      </c>
      <c r="BX681" s="141">
        <v>0</v>
      </c>
      <c r="BY681" s="141" t="s">
        <v>1790</v>
      </c>
      <c r="BZ681" s="141" t="s">
        <v>2100</v>
      </c>
      <c r="CA681" s="165">
        <v>2</v>
      </c>
      <c r="CB681" s="153">
        <v>46238</v>
      </c>
      <c r="CC681" s="141"/>
      <c r="CD681" s="141"/>
      <c r="CE681" s="166"/>
      <c r="CF681" s="166">
        <f t="shared" si="1493"/>
        <v>0</v>
      </c>
    </row>
    <row r="682" spans="1:84" hidden="1">
      <c r="A682" s="141"/>
      <c r="B682" s="199" t="s">
        <v>1843</v>
      </c>
      <c r="C682" s="199" t="s">
        <v>2124</v>
      </c>
      <c r="D682" s="199" t="s">
        <v>1210</v>
      </c>
      <c r="E682" s="199" t="s">
        <v>1805</v>
      </c>
      <c r="F682" s="199" t="s">
        <v>1270</v>
      </c>
      <c r="G682" s="199" t="s">
        <v>1123</v>
      </c>
      <c r="H682" s="200">
        <v>260</v>
      </c>
      <c r="I682" s="201" t="s">
        <v>147</v>
      </c>
      <c r="J682" s="165">
        <v>2</v>
      </c>
      <c r="K682" s="202">
        <f t="shared" si="1472"/>
        <v>1</v>
      </c>
      <c r="L682" s="202">
        <f t="shared" si="1473"/>
        <v>2</v>
      </c>
      <c r="M682" s="203">
        <v>6.1</v>
      </c>
      <c r="N682" s="203">
        <f t="shared" si="1474"/>
        <v>12.2</v>
      </c>
      <c r="O682" s="203" t="s">
        <v>137</v>
      </c>
      <c r="P682" s="203" t="s">
        <v>13</v>
      </c>
      <c r="Q682" s="203" t="s">
        <v>148</v>
      </c>
      <c r="R682" s="203"/>
      <c r="S682" s="203"/>
      <c r="T682" s="203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0</v>
      </c>
      <c r="U682" s="203">
        <f t="shared" ca="1" si="1475"/>
        <v>2</v>
      </c>
      <c r="V682" s="203">
        <f t="shared" ca="1" si="1476"/>
        <v>0</v>
      </c>
      <c r="W682" s="203"/>
      <c r="X682" s="203"/>
      <c r="Y682" s="203"/>
      <c r="Z682" s="203"/>
      <c r="AA682" s="203"/>
      <c r="AB682" s="203"/>
      <c r="AC682" s="205" t="s">
        <v>1784</v>
      </c>
      <c r="AD682" s="225" t="s">
        <v>1785</v>
      </c>
      <c r="AE682" s="166"/>
      <c r="AF682" s="203" t="str">
        <f t="shared" si="1477"/>
        <v>N/A</v>
      </c>
      <c r="AG682" s="203">
        <f t="shared" si="1477"/>
        <v>0</v>
      </c>
      <c r="AH682" s="203">
        <f t="shared" si="1478"/>
        <v>0</v>
      </c>
      <c r="AI682" s="203">
        <f t="shared" ca="1" si="1479"/>
        <v>0</v>
      </c>
      <c r="AJ682" s="203">
        <f t="shared" ca="1" si="1480"/>
        <v>0</v>
      </c>
      <c r="AK682" s="203" t="str">
        <f t="shared" si="1481"/>
        <v>N/A</v>
      </c>
      <c r="AL682" s="203">
        <f t="shared" si="1481"/>
        <v>0</v>
      </c>
      <c r="AM682" s="203">
        <f t="shared" si="1482"/>
        <v>0</v>
      </c>
      <c r="AN682" s="203">
        <f t="shared" ca="1" si="1483"/>
        <v>0</v>
      </c>
      <c r="AO682" s="203">
        <f t="shared" ca="1" si="1484"/>
        <v>0</v>
      </c>
      <c r="AP682" s="203" t="str">
        <f t="shared" si="1485"/>
        <v>N/A</v>
      </c>
      <c r="AQ682" s="203">
        <f t="shared" si="1485"/>
        <v>0</v>
      </c>
      <c r="AR682" s="203">
        <f t="shared" si="1486"/>
        <v>0</v>
      </c>
      <c r="AS682" s="203">
        <f t="shared" ca="1" si="1487"/>
        <v>0</v>
      </c>
      <c r="AT682" s="203">
        <f t="shared" ca="1" si="1488"/>
        <v>0</v>
      </c>
      <c r="AU682" s="203" t="str">
        <f t="shared" si="1489"/>
        <v>AMC2-S1</v>
      </c>
      <c r="AV682" s="203">
        <f t="shared" si="1489"/>
        <v>1</v>
      </c>
      <c r="AW682" s="203">
        <f t="shared" si="1490"/>
        <v>2</v>
      </c>
      <c r="AX682" s="203">
        <f t="shared" ca="1" si="1491"/>
        <v>0</v>
      </c>
      <c r="AY682" s="203">
        <f t="shared" ca="1" si="1492"/>
        <v>2</v>
      </c>
      <c r="AZ682" s="203"/>
      <c r="BA682" s="204" t="s">
        <v>140</v>
      </c>
      <c r="BB682" s="204" t="s">
        <v>140</v>
      </c>
      <c r="BC682" s="204" t="s">
        <v>140</v>
      </c>
      <c r="BD682" s="204" t="s">
        <v>141</v>
      </c>
      <c r="BE682" s="166"/>
      <c r="BF682" s="203" t="s">
        <v>1789</v>
      </c>
      <c r="BG682" s="141"/>
      <c r="BH682" s="141"/>
      <c r="BI682" s="153"/>
      <c r="BJ682" s="153"/>
      <c r="BK682" s="153"/>
      <c r="BL682" s="153" t="s">
        <v>149</v>
      </c>
      <c r="BM682" s="153"/>
      <c r="BN682" s="153"/>
      <c r="BO682" s="153"/>
      <c r="BP682" s="153"/>
      <c r="BQ682" s="153"/>
      <c r="BR682" s="141">
        <v>1</v>
      </c>
      <c r="BS682" s="141">
        <v>0</v>
      </c>
      <c r="BT682" s="141">
        <v>0</v>
      </c>
      <c r="BU682" s="141">
        <v>0</v>
      </c>
      <c r="BV682" s="141">
        <v>0</v>
      </c>
      <c r="BW682" s="141">
        <v>0</v>
      </c>
      <c r="BX682" s="141">
        <v>0</v>
      </c>
      <c r="BY682" s="141" t="s">
        <v>1790</v>
      </c>
      <c r="BZ682" s="141" t="s">
        <v>2101</v>
      </c>
      <c r="CA682" s="165">
        <v>2</v>
      </c>
      <c r="CB682" s="153">
        <v>46244</v>
      </c>
      <c r="CC682" s="141"/>
      <c r="CD682" s="141"/>
      <c r="CE682" s="166"/>
      <c r="CF682" s="166">
        <f t="shared" si="1493"/>
        <v>0</v>
      </c>
    </row>
    <row r="683" spans="1:84" hidden="1">
      <c r="A683" s="141"/>
      <c r="B683" s="199" t="s">
        <v>1843</v>
      </c>
      <c r="C683" s="199" t="s">
        <v>2124</v>
      </c>
      <c r="D683" s="199" t="s">
        <v>1212</v>
      </c>
      <c r="E683" s="199" t="s">
        <v>1816</v>
      </c>
      <c r="F683" s="199" t="s">
        <v>1271</v>
      </c>
      <c r="G683" s="199" t="s">
        <v>1125</v>
      </c>
      <c r="H683" s="200">
        <v>200</v>
      </c>
      <c r="I683" s="201" t="s">
        <v>147</v>
      </c>
      <c r="J683" s="165">
        <v>2</v>
      </c>
      <c r="K683" s="202">
        <f t="shared" si="1472"/>
        <v>1</v>
      </c>
      <c r="L683" s="202">
        <f t="shared" si="1473"/>
        <v>2</v>
      </c>
      <c r="M683" s="203">
        <v>2.6</v>
      </c>
      <c r="N683" s="203">
        <f t="shared" si="1474"/>
        <v>5.2</v>
      </c>
      <c r="O683" s="203" t="s">
        <v>137</v>
      </c>
      <c r="P683" s="203" t="s">
        <v>13</v>
      </c>
      <c r="Q683" s="203" t="s">
        <v>148</v>
      </c>
      <c r="R683" s="203"/>
      <c r="S683" s="203"/>
      <c r="T683" s="203">
        <f ca="1">IF(SUMIFS(INDIRECT("'BTP-"&amp;$C$4&amp;"'!L:L"),INDIRECT("'BTP-"&amp;$C$4&amp;"'!D:D"),F683)-SUMIFS($T$10:T682,$F$10:F682,F683)&gt;0,MIN(SUMIFS(INDIRECT("'BTP-"&amp;$C$4&amp;"'!L:L"),INDIRECT("'BTP-"&amp;$C$4&amp;"'!D:D"),F683)-SUMIFS($T$10:T682,$F$10:F682,F683),L683),0)</f>
        <v>0</v>
      </c>
      <c r="U683" s="203">
        <f t="shared" ca="1" si="1475"/>
        <v>2</v>
      </c>
      <c r="V683" s="203">
        <f t="shared" ca="1" si="1476"/>
        <v>0</v>
      </c>
      <c r="W683" s="203"/>
      <c r="X683" s="203"/>
      <c r="Y683" s="203"/>
      <c r="Z683" s="203"/>
      <c r="AA683" s="203"/>
      <c r="AB683" s="203"/>
      <c r="AC683" s="205" t="s">
        <v>1784</v>
      </c>
      <c r="AD683" s="225" t="s">
        <v>1785</v>
      </c>
      <c r="AE683" s="166"/>
      <c r="AF683" s="203" t="str">
        <f t="shared" si="1477"/>
        <v>N/A</v>
      </c>
      <c r="AG683" s="203">
        <f t="shared" si="1477"/>
        <v>0</v>
      </c>
      <c r="AH683" s="203">
        <f t="shared" si="1478"/>
        <v>0</v>
      </c>
      <c r="AI683" s="203">
        <f t="shared" ca="1" si="1479"/>
        <v>0</v>
      </c>
      <c r="AJ683" s="203">
        <f t="shared" ca="1" si="1480"/>
        <v>0</v>
      </c>
      <c r="AK683" s="203" t="str">
        <f t="shared" si="1481"/>
        <v>N/A</v>
      </c>
      <c r="AL683" s="203">
        <f t="shared" si="1481"/>
        <v>0</v>
      </c>
      <c r="AM683" s="203">
        <f t="shared" si="1482"/>
        <v>0</v>
      </c>
      <c r="AN683" s="203">
        <f t="shared" ca="1" si="1483"/>
        <v>0</v>
      </c>
      <c r="AO683" s="203">
        <f t="shared" ca="1" si="1484"/>
        <v>0</v>
      </c>
      <c r="AP683" s="203" t="str">
        <f t="shared" si="1485"/>
        <v>N/A</v>
      </c>
      <c r="AQ683" s="203">
        <f t="shared" si="1485"/>
        <v>0</v>
      </c>
      <c r="AR683" s="203">
        <f t="shared" si="1486"/>
        <v>0</v>
      </c>
      <c r="AS683" s="203">
        <f t="shared" ca="1" si="1487"/>
        <v>0</v>
      </c>
      <c r="AT683" s="203">
        <f t="shared" ca="1" si="1488"/>
        <v>0</v>
      </c>
      <c r="AU683" s="203" t="str">
        <f t="shared" si="1489"/>
        <v>AMC2-S1</v>
      </c>
      <c r="AV683" s="203">
        <f t="shared" si="1489"/>
        <v>1</v>
      </c>
      <c r="AW683" s="203">
        <f t="shared" si="1490"/>
        <v>2</v>
      </c>
      <c r="AX683" s="203">
        <f t="shared" ca="1" si="1491"/>
        <v>0</v>
      </c>
      <c r="AY683" s="203">
        <f t="shared" ca="1" si="1492"/>
        <v>2</v>
      </c>
      <c r="AZ683" s="203"/>
      <c r="BA683" s="204" t="s">
        <v>140</v>
      </c>
      <c r="BB683" s="204" t="s">
        <v>140</v>
      </c>
      <c r="BC683" s="204" t="s">
        <v>140</v>
      </c>
      <c r="BD683" s="204" t="s">
        <v>141</v>
      </c>
      <c r="BE683" s="166"/>
      <c r="BF683" s="203" t="s">
        <v>1789</v>
      </c>
      <c r="BG683" s="141"/>
      <c r="BH683" s="141"/>
      <c r="BI683" s="153"/>
      <c r="BJ683" s="153"/>
      <c r="BK683" s="153"/>
      <c r="BL683" s="153" t="s">
        <v>149</v>
      </c>
      <c r="BM683" s="153"/>
      <c r="BN683" s="153"/>
      <c r="BO683" s="153"/>
      <c r="BP683" s="153"/>
      <c r="BQ683" s="153"/>
      <c r="BR683" s="141">
        <v>1</v>
      </c>
      <c r="BS683" s="141">
        <v>0</v>
      </c>
      <c r="BT683" s="141">
        <v>0</v>
      </c>
      <c r="BU683" s="141">
        <v>0</v>
      </c>
      <c r="BV683" s="141">
        <v>0</v>
      </c>
      <c r="BW683" s="141">
        <v>0</v>
      </c>
      <c r="BX683" s="141">
        <v>0</v>
      </c>
      <c r="BY683" s="141" t="s">
        <v>1790</v>
      </c>
      <c r="BZ683" s="141" t="s">
        <v>2100</v>
      </c>
      <c r="CA683" s="165">
        <v>2</v>
      </c>
      <c r="CB683" s="153">
        <v>46238</v>
      </c>
      <c r="CC683" s="141"/>
      <c r="CD683" s="141"/>
      <c r="CE683" s="166"/>
      <c r="CF683" s="166">
        <f t="shared" si="1493"/>
        <v>0</v>
      </c>
    </row>
    <row r="684" spans="1:84" hidden="1">
      <c r="A684" s="141"/>
      <c r="B684" s="199" t="s">
        <v>1843</v>
      </c>
      <c r="C684" s="199" t="s">
        <v>2124</v>
      </c>
      <c r="D684" s="199" t="s">
        <v>13</v>
      </c>
      <c r="E684" s="199" t="s">
        <v>1817</v>
      </c>
      <c r="F684" s="199" t="s">
        <v>1272</v>
      </c>
      <c r="G684" s="199" t="s">
        <v>1273</v>
      </c>
      <c r="H684" s="200">
        <v>255</v>
      </c>
      <c r="I684" s="201" t="s">
        <v>652</v>
      </c>
      <c r="J684" s="165">
        <v>2</v>
      </c>
      <c r="K684" s="202">
        <f t="shared" si="1472"/>
        <v>1</v>
      </c>
      <c r="L684" s="202">
        <f t="shared" si="1473"/>
        <v>2</v>
      </c>
      <c r="M684" s="203">
        <v>1.9193630573248406</v>
      </c>
      <c r="N684" s="203">
        <f t="shared" si="1474"/>
        <v>3.8387261146496812</v>
      </c>
      <c r="O684" s="203" t="s">
        <v>137</v>
      </c>
      <c r="P684" s="203" t="s">
        <v>13</v>
      </c>
      <c r="Q684" s="203" t="s">
        <v>148</v>
      </c>
      <c r="R684" s="203"/>
      <c r="S684" s="203"/>
      <c r="T684" s="203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0</v>
      </c>
      <c r="U684" s="203">
        <f t="shared" ca="1" si="1475"/>
        <v>2</v>
      </c>
      <c r="V684" s="203">
        <f t="shared" ca="1" si="1476"/>
        <v>0</v>
      </c>
      <c r="W684" s="203"/>
      <c r="X684" s="203"/>
      <c r="Y684" s="203"/>
      <c r="Z684" s="203"/>
      <c r="AA684" s="203"/>
      <c r="AB684" s="203"/>
      <c r="AC684" s="205" t="s">
        <v>1784</v>
      </c>
      <c r="AD684" s="225" t="s">
        <v>1785</v>
      </c>
      <c r="AE684" s="166"/>
      <c r="AF684" s="203" t="str">
        <f t="shared" si="1477"/>
        <v>N/A</v>
      </c>
      <c r="AG684" s="203">
        <f t="shared" si="1477"/>
        <v>0</v>
      </c>
      <c r="AH684" s="203">
        <f t="shared" si="1478"/>
        <v>0</v>
      </c>
      <c r="AI684" s="203">
        <f t="shared" ca="1" si="1479"/>
        <v>0</v>
      </c>
      <c r="AJ684" s="203">
        <f t="shared" ca="1" si="1480"/>
        <v>0</v>
      </c>
      <c r="AK684" s="203" t="str">
        <f t="shared" si="1481"/>
        <v>N/A</v>
      </c>
      <c r="AL684" s="203">
        <f t="shared" si="1481"/>
        <v>0</v>
      </c>
      <c r="AM684" s="203">
        <f t="shared" si="1482"/>
        <v>0</v>
      </c>
      <c r="AN684" s="203">
        <f t="shared" ca="1" si="1483"/>
        <v>0</v>
      </c>
      <c r="AO684" s="203">
        <f t="shared" ca="1" si="1484"/>
        <v>0</v>
      </c>
      <c r="AP684" s="203" t="str">
        <f t="shared" si="1485"/>
        <v>N/A</v>
      </c>
      <c r="AQ684" s="203">
        <f t="shared" si="1485"/>
        <v>0</v>
      </c>
      <c r="AR684" s="203">
        <f t="shared" si="1486"/>
        <v>0</v>
      </c>
      <c r="AS684" s="203">
        <f t="shared" ca="1" si="1487"/>
        <v>0</v>
      </c>
      <c r="AT684" s="203">
        <f t="shared" ca="1" si="1488"/>
        <v>0</v>
      </c>
      <c r="AU684" s="203" t="str">
        <f t="shared" si="1489"/>
        <v>AMC2-S1</v>
      </c>
      <c r="AV684" s="203">
        <f t="shared" si="1489"/>
        <v>1</v>
      </c>
      <c r="AW684" s="203">
        <f t="shared" si="1490"/>
        <v>2</v>
      </c>
      <c r="AX684" s="203">
        <f t="shared" ca="1" si="1491"/>
        <v>0</v>
      </c>
      <c r="AY684" s="203">
        <f t="shared" ca="1" si="1492"/>
        <v>2</v>
      </c>
      <c r="AZ684" s="203"/>
      <c r="BA684" s="204" t="s">
        <v>140</v>
      </c>
      <c r="BB684" s="204" t="s">
        <v>140</v>
      </c>
      <c r="BC684" s="204" t="s">
        <v>140</v>
      </c>
      <c r="BD684" s="204" t="s">
        <v>141</v>
      </c>
      <c r="BE684" s="166"/>
      <c r="BF684" s="203"/>
      <c r="BG684" s="141"/>
      <c r="BH684" s="141"/>
      <c r="BI684" s="153"/>
      <c r="BJ684" s="153"/>
      <c r="BK684" s="153"/>
      <c r="BL684" s="153" t="s">
        <v>149</v>
      </c>
      <c r="BM684" s="153"/>
      <c r="BN684" s="153"/>
      <c r="BO684" s="153"/>
      <c r="BP684" s="153"/>
      <c r="BQ684" s="153"/>
      <c r="BR684" s="141">
        <v>0</v>
      </c>
      <c r="BS684" s="141">
        <v>0</v>
      </c>
      <c r="BT684" s="141">
        <v>0</v>
      </c>
      <c r="BU684" s="141">
        <v>0</v>
      </c>
      <c r="BV684" s="141">
        <v>0</v>
      </c>
      <c r="BW684" s="141">
        <v>0</v>
      </c>
      <c r="BX684" s="141">
        <v>0</v>
      </c>
      <c r="BY684" s="141" t="s">
        <v>1790</v>
      </c>
      <c r="BZ684" s="141" t="s">
        <v>2102</v>
      </c>
      <c r="CA684" s="141">
        <v>2</v>
      </c>
      <c r="CB684" s="153">
        <v>46238</v>
      </c>
      <c r="CC684" s="141"/>
      <c r="CD684" s="141"/>
      <c r="CE684" s="166"/>
      <c r="CF684" s="166">
        <f t="shared" si="1493"/>
        <v>0</v>
      </c>
    </row>
    <row r="685" spans="1:84" hidden="1">
      <c r="A685" s="141"/>
      <c r="B685" s="199" t="s">
        <v>1843</v>
      </c>
      <c r="C685" s="199" t="s">
        <v>2124</v>
      </c>
      <c r="D685" s="199" t="s">
        <v>1010</v>
      </c>
      <c r="E685" s="199" t="s">
        <v>1802</v>
      </c>
      <c r="F685" s="199" t="s">
        <v>1260</v>
      </c>
      <c r="G685" s="199" t="s">
        <v>1075</v>
      </c>
      <c r="H685" s="200">
        <v>812</v>
      </c>
      <c r="I685" s="201" t="s">
        <v>1077</v>
      </c>
      <c r="J685" s="165">
        <v>5</v>
      </c>
      <c r="K685" s="202">
        <f t="shared" si="1472"/>
        <v>1</v>
      </c>
      <c r="L685" s="202">
        <f t="shared" si="1473"/>
        <v>5</v>
      </c>
      <c r="M685" s="203">
        <v>13.05696</v>
      </c>
      <c r="N685" s="203">
        <f t="shared" si="1474"/>
        <v>65.284800000000004</v>
      </c>
      <c r="O685" s="203" t="s">
        <v>137</v>
      </c>
      <c r="P685" s="203" t="s">
        <v>11</v>
      </c>
      <c r="Q685" s="203" t="s">
        <v>148</v>
      </c>
      <c r="R685" s="203"/>
      <c r="S685" s="203"/>
      <c r="T685" s="203">
        <f ca="1">IF(SUMIFS(INDIRECT("'BTP-"&amp;$C$4&amp;"'!L:L"),INDIRECT("'BTP-"&amp;$C$4&amp;"'!D:D"),F685)-SUMIFS($T$10:T684,$F$10:F684,F685)&gt;0,MIN(SUMIFS(INDIRECT("'BTP-"&amp;$C$4&amp;"'!L:L"),INDIRECT("'BTP-"&amp;$C$4&amp;"'!D:D"),F685)-SUMIFS($T$10:T684,$F$10:F684,F685),L685),0)</f>
        <v>0</v>
      </c>
      <c r="U685" s="203">
        <f t="shared" ca="1" si="1475"/>
        <v>5</v>
      </c>
      <c r="V685" s="203">
        <f t="shared" ca="1" si="1476"/>
        <v>0</v>
      </c>
      <c r="W685" s="203"/>
      <c r="X685" s="203"/>
      <c r="Y685" s="203"/>
      <c r="Z685" s="203"/>
      <c r="AA685" s="203"/>
      <c r="AB685" s="203"/>
      <c r="AC685" s="205" t="s">
        <v>1784</v>
      </c>
      <c r="AD685" s="225" t="s">
        <v>1785</v>
      </c>
      <c r="AE685" s="166"/>
      <c r="AF685" s="203" t="str">
        <f t="shared" ref="AF685:AG685" si="1494">AF684</f>
        <v>N/A</v>
      </c>
      <c r="AG685" s="203">
        <f t="shared" si="1494"/>
        <v>0</v>
      </c>
      <c r="AH685" s="203">
        <f t="shared" si="1478"/>
        <v>0</v>
      </c>
      <c r="AI685" s="203">
        <f t="shared" ca="1" si="1479"/>
        <v>0</v>
      </c>
      <c r="AJ685" s="203">
        <f t="shared" ca="1" si="1480"/>
        <v>0</v>
      </c>
      <c r="AK685" s="203" t="str">
        <f t="shared" ref="AK685:AL685" si="1495">AK684</f>
        <v>N/A</v>
      </c>
      <c r="AL685" s="203">
        <f t="shared" si="1495"/>
        <v>0</v>
      </c>
      <c r="AM685" s="203">
        <f t="shared" si="1482"/>
        <v>0</v>
      </c>
      <c r="AN685" s="203">
        <f t="shared" ca="1" si="1483"/>
        <v>0</v>
      </c>
      <c r="AO685" s="203">
        <f t="shared" ca="1" si="1484"/>
        <v>0</v>
      </c>
      <c r="AP685" s="203" t="str">
        <f t="shared" ref="AP685:AQ685" si="1496">AP684</f>
        <v>N/A</v>
      </c>
      <c r="AQ685" s="203">
        <f t="shared" si="1496"/>
        <v>0</v>
      </c>
      <c r="AR685" s="203">
        <f t="shared" si="1486"/>
        <v>0</v>
      </c>
      <c r="AS685" s="203">
        <f t="shared" ca="1" si="1487"/>
        <v>0</v>
      </c>
      <c r="AT685" s="203">
        <f t="shared" ca="1" si="1488"/>
        <v>0</v>
      </c>
      <c r="AU685" s="203" t="str">
        <f t="shared" ref="AU685:AV685" si="1497">AU684</f>
        <v>AMC2-S1</v>
      </c>
      <c r="AV685" s="203">
        <f t="shared" si="1497"/>
        <v>1</v>
      </c>
      <c r="AW685" s="203">
        <f t="shared" si="1490"/>
        <v>5</v>
      </c>
      <c r="AX685" s="203">
        <f t="shared" ca="1" si="1491"/>
        <v>0</v>
      </c>
      <c r="AY685" s="203">
        <f t="shared" ca="1" si="1492"/>
        <v>5</v>
      </c>
      <c r="AZ685" s="203"/>
      <c r="BA685" s="204" t="s">
        <v>140</v>
      </c>
      <c r="BB685" s="204" t="s">
        <v>140</v>
      </c>
      <c r="BC685" s="204" t="s">
        <v>140</v>
      </c>
      <c r="BD685" s="204" t="s">
        <v>141</v>
      </c>
      <c r="BE685" s="166"/>
      <c r="BF685" s="203" t="s">
        <v>1789</v>
      </c>
      <c r="BG685" s="141"/>
      <c r="BH685" s="141"/>
      <c r="BI685" s="153"/>
      <c r="BJ685" s="153"/>
      <c r="BK685" s="153"/>
      <c r="BL685" s="153" t="s">
        <v>149</v>
      </c>
      <c r="BM685" s="153"/>
      <c r="BN685" s="153"/>
      <c r="BO685" s="153"/>
      <c r="BP685" s="153"/>
      <c r="BQ685" s="153"/>
      <c r="BR685" s="141">
        <v>0</v>
      </c>
      <c r="BS685" s="141">
        <v>0</v>
      </c>
      <c r="BT685" s="141">
        <v>0</v>
      </c>
      <c r="BU685" s="141">
        <v>1</v>
      </c>
      <c r="BV685" s="141">
        <v>0</v>
      </c>
      <c r="BW685" s="141">
        <v>0</v>
      </c>
      <c r="BX685" s="141">
        <v>0</v>
      </c>
      <c r="BY685" s="141" t="s">
        <v>1790</v>
      </c>
      <c r="BZ685" s="141" t="s">
        <v>2104</v>
      </c>
      <c r="CA685" s="165">
        <v>5</v>
      </c>
      <c r="CB685" s="153">
        <v>46238</v>
      </c>
      <c r="CC685" s="141"/>
      <c r="CD685" s="141"/>
      <c r="CE685" s="166"/>
      <c r="CF685" s="166">
        <f t="shared" si="1493"/>
        <v>0</v>
      </c>
    </row>
    <row r="686" spans="1:84" hidden="1">
      <c r="A686" s="162">
        <v>37</v>
      </c>
      <c r="B686" s="177" t="s">
        <v>1846</v>
      </c>
      <c r="C686" s="177" t="s">
        <v>2125</v>
      </c>
      <c r="D686" s="177" t="s">
        <v>1847</v>
      </c>
      <c r="E686" s="177"/>
      <c r="F686" s="177"/>
      <c r="G686" s="177" t="s">
        <v>1848</v>
      </c>
      <c r="H686" s="178"/>
      <c r="I686" s="179"/>
      <c r="J686" s="160"/>
      <c r="K686" s="180">
        <f>+AG686+AL686+AQ686+AV686</f>
        <v>4</v>
      </c>
      <c r="L686" s="160"/>
      <c r="M686" s="181">
        <v>4.9000000000000004</v>
      </c>
      <c r="N686" s="181">
        <v>20</v>
      </c>
      <c r="O686" s="181" t="s">
        <v>137</v>
      </c>
      <c r="P686" s="181"/>
      <c r="Q686" s="181"/>
      <c r="R686" s="181"/>
      <c r="S686" s="181"/>
      <c r="T686" s="181"/>
      <c r="U686" s="181"/>
      <c r="V686" s="181"/>
      <c r="W686" s="181">
        <f ca="1">_xlfn.MINIFS(V:V,C:C,C686,AE:AE,"",AB:AB,"")</f>
        <v>0</v>
      </c>
      <c r="X686" s="181">
        <f ca="1">SUMIFS(T:T,C:C,C686,AE:AE,"")/SUMIFS(L:L,C:C,C686,AE:AE,"",AB:AB,"")</f>
        <v>0.31818181818181818</v>
      </c>
      <c r="Y686" s="181"/>
      <c r="Z686" s="181"/>
      <c r="AA686" s="181"/>
      <c r="AB686" s="181"/>
      <c r="AC686" s="183" t="s">
        <v>1784</v>
      </c>
      <c r="AD686" s="184" t="s">
        <v>1785</v>
      </c>
      <c r="AE686" s="162" t="s">
        <v>143</v>
      </c>
      <c r="AF686" s="181" t="s">
        <v>138</v>
      </c>
      <c r="AG686" s="181">
        <v>0</v>
      </c>
      <c r="AH686" s="181"/>
      <c r="AI686" s="181"/>
      <c r="AJ686" s="181"/>
      <c r="AK686" s="181" t="s">
        <v>138</v>
      </c>
      <c r="AL686" s="181">
        <v>0</v>
      </c>
      <c r="AM686" s="181"/>
      <c r="AN686" s="181"/>
      <c r="AO686" s="181"/>
      <c r="AP686" s="181" t="s">
        <v>138</v>
      </c>
      <c r="AQ686" s="181">
        <v>0</v>
      </c>
      <c r="AR686" s="181"/>
      <c r="AS686" s="181"/>
      <c r="AT686" s="181"/>
      <c r="AU686" s="181" t="s">
        <v>1783</v>
      </c>
      <c r="AV686" s="181">
        <v>4</v>
      </c>
      <c r="AW686" s="181"/>
      <c r="AX686" s="181"/>
      <c r="AY686" s="181"/>
      <c r="AZ686" s="181"/>
      <c r="BA686" s="182" t="s">
        <v>140</v>
      </c>
      <c r="BB686" s="182" t="s">
        <v>140</v>
      </c>
      <c r="BC686" s="182" t="s">
        <v>140</v>
      </c>
      <c r="BD686" s="182" t="s">
        <v>141</v>
      </c>
      <c r="BE686" s="162" t="s">
        <v>741</v>
      </c>
      <c r="BF686" s="181"/>
      <c r="BG686" s="161"/>
      <c r="BH686" s="161"/>
      <c r="BI686" s="163"/>
      <c r="BJ686" s="163"/>
      <c r="BK686" s="163"/>
      <c r="BL686" s="163"/>
      <c r="BM686" s="163"/>
      <c r="BN686" s="163"/>
      <c r="BO686" s="163"/>
      <c r="BP686" s="163"/>
      <c r="BQ686" s="163"/>
      <c r="BR686" s="161"/>
      <c r="BS686" s="161"/>
      <c r="BT686" s="161"/>
      <c r="BU686" s="161"/>
      <c r="BV686" s="161"/>
      <c r="BW686" s="161"/>
      <c r="BX686" s="161"/>
      <c r="BY686" s="161"/>
      <c r="BZ686" s="161"/>
      <c r="CA686" s="161"/>
      <c r="CB686" s="163"/>
      <c r="CC686" s="161"/>
      <c r="CD686" s="161"/>
      <c r="CE686" s="185"/>
      <c r="CF686" s="185"/>
    </row>
    <row r="687" spans="1:84" hidden="1">
      <c r="A687" s="141"/>
      <c r="B687" s="199" t="s">
        <v>1846</v>
      </c>
      <c r="C687" s="199" t="s">
        <v>2125</v>
      </c>
      <c r="D687" s="199" t="s">
        <v>954</v>
      </c>
      <c r="E687" s="199" t="s">
        <v>1788</v>
      </c>
      <c r="F687" s="199" t="s">
        <v>952</v>
      </c>
      <c r="G687" s="199" t="s">
        <v>953</v>
      </c>
      <c r="H687" s="200">
        <v>200</v>
      </c>
      <c r="I687" s="201" t="s">
        <v>147</v>
      </c>
      <c r="J687" s="165">
        <v>2</v>
      </c>
      <c r="K687" s="202">
        <f t="shared" ref="K687:K690" si="1498">K686</f>
        <v>4</v>
      </c>
      <c r="L687" s="202">
        <f t="shared" ref="L687:L690" si="1499">+J687*K687</f>
        <v>8</v>
      </c>
      <c r="M687" s="203">
        <v>0.6</v>
      </c>
      <c r="N687" s="203">
        <f t="shared" ref="N687:N690" si="1500">+M687*L687</f>
        <v>4.8</v>
      </c>
      <c r="O687" s="203" t="s">
        <v>137</v>
      </c>
      <c r="P687" s="203" t="s">
        <v>13</v>
      </c>
      <c r="Q687" s="203" t="s">
        <v>148</v>
      </c>
      <c r="R687" s="203"/>
      <c r="S687" s="203"/>
      <c r="T687" s="203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8</v>
      </c>
      <c r="U687" s="203">
        <f t="shared" ref="U687:U690" ca="1" si="1501">+L687-T687</f>
        <v>0</v>
      </c>
      <c r="V687" s="203">
        <f t="shared" ref="V687:V690" ca="1" si="1502">ROUNDDOWN(T687/J687,0)</f>
        <v>4</v>
      </c>
      <c r="W687" s="203"/>
      <c r="X687" s="203"/>
      <c r="Y687" s="203"/>
      <c r="Z687" s="203"/>
      <c r="AA687" s="203"/>
      <c r="AB687" s="203"/>
      <c r="AC687" s="205" t="s">
        <v>1784</v>
      </c>
      <c r="AD687" s="225" t="s">
        <v>1785</v>
      </c>
      <c r="AE687" s="166"/>
      <c r="AF687" s="203" t="str">
        <f t="shared" ref="AF687:AG687" si="1503">AF686</f>
        <v>N/A</v>
      </c>
      <c r="AG687" s="203">
        <f t="shared" si="1503"/>
        <v>0</v>
      </c>
      <c r="AH687" s="203">
        <f t="shared" ref="AH687:AH690" si="1504">+AG687*J687</f>
        <v>0</v>
      </c>
      <c r="AI687" s="203">
        <f t="shared" ref="AI687:AI690" ca="1" si="1505">MIN(T687,AH687)</f>
        <v>0</v>
      </c>
      <c r="AJ687" s="203">
        <f t="shared" ref="AJ687:AJ690" ca="1" si="1506">+AH687-AI687</f>
        <v>0</v>
      </c>
      <c r="AK687" s="203" t="str">
        <f t="shared" ref="AK687:AL687" si="1507">AK686</f>
        <v>N/A</v>
      </c>
      <c r="AL687" s="203">
        <f t="shared" si="1507"/>
        <v>0</v>
      </c>
      <c r="AM687" s="203">
        <f t="shared" ref="AM687:AM690" si="1508">+AL687*J687</f>
        <v>0</v>
      </c>
      <c r="AN687" s="203">
        <f t="shared" ref="AN687:AN690" ca="1" si="1509">MIN(T687-AI687,AL687)</f>
        <v>0</v>
      </c>
      <c r="AO687" s="203">
        <f t="shared" ref="AO687:AO690" ca="1" si="1510">+AM687-AN687</f>
        <v>0</v>
      </c>
      <c r="AP687" s="203" t="str">
        <f t="shared" ref="AP687:AQ687" si="1511">AP686</f>
        <v>N/A</v>
      </c>
      <c r="AQ687" s="203">
        <f t="shared" si="1511"/>
        <v>0</v>
      </c>
      <c r="AR687" s="203">
        <f t="shared" ref="AR687:AR690" si="1512">+AQ687*J687</f>
        <v>0</v>
      </c>
      <c r="AS687" s="203">
        <f t="shared" ref="AS687:AS690" ca="1" si="1513">MIN(T687-AI687-AN687,AR687)</f>
        <v>0</v>
      </c>
      <c r="AT687" s="203">
        <f t="shared" ref="AT687:AT690" ca="1" si="1514">+AR687-AS687</f>
        <v>0</v>
      </c>
      <c r="AU687" s="203" t="str">
        <f t="shared" ref="AU687:AV687" si="1515">AU686</f>
        <v>AMC2-S1</v>
      </c>
      <c r="AV687" s="203">
        <f t="shared" si="1515"/>
        <v>4</v>
      </c>
      <c r="AW687" s="203">
        <f t="shared" ref="AW687:AW690" si="1516">+AV687*J687</f>
        <v>8</v>
      </c>
      <c r="AX687" s="203">
        <f t="shared" ref="AX687:AX690" ca="1" si="1517">MIN(T687-AI687-AN687-AS687,AW687)</f>
        <v>8</v>
      </c>
      <c r="AY687" s="203">
        <f t="shared" ref="AY687:AY690" ca="1" si="1518">+AW687-AX687</f>
        <v>0</v>
      </c>
      <c r="AZ687" s="203"/>
      <c r="BA687" s="204" t="s">
        <v>140</v>
      </c>
      <c r="BB687" s="204" t="s">
        <v>140</v>
      </c>
      <c r="BC687" s="204" t="s">
        <v>140</v>
      </c>
      <c r="BD687" s="204" t="s">
        <v>141</v>
      </c>
      <c r="BE687" s="166"/>
      <c r="BF687" s="203" t="s">
        <v>1789</v>
      </c>
      <c r="BG687" s="141"/>
      <c r="BH687" s="141"/>
      <c r="BI687" s="153"/>
      <c r="BJ687" s="153"/>
      <c r="BK687" s="153"/>
      <c r="BL687" s="153" t="s">
        <v>149</v>
      </c>
      <c r="BM687" s="153"/>
      <c r="BN687" s="153"/>
      <c r="BO687" s="153"/>
      <c r="BP687" s="153"/>
      <c r="BQ687" s="153"/>
      <c r="BR687" s="141">
        <v>0</v>
      </c>
      <c r="BS687" s="141">
        <v>0</v>
      </c>
      <c r="BT687" s="141">
        <v>0</v>
      </c>
      <c r="BU687" s="141">
        <v>0</v>
      </c>
      <c r="BV687" s="141">
        <v>0</v>
      </c>
      <c r="BW687" s="141">
        <v>0</v>
      </c>
      <c r="BX687" s="141">
        <v>0</v>
      </c>
      <c r="BY687" s="141" t="s">
        <v>1790</v>
      </c>
      <c r="BZ687" s="141" t="s">
        <v>2126</v>
      </c>
      <c r="CA687" s="165">
        <v>8</v>
      </c>
      <c r="CB687" s="153">
        <v>46238</v>
      </c>
      <c r="CC687" s="141"/>
      <c r="CD687" s="141"/>
      <c r="CE687" s="166"/>
      <c r="CF687" s="166">
        <f>+L687-CA687</f>
        <v>0</v>
      </c>
    </row>
    <row r="688" spans="1:84" hidden="1">
      <c r="A688" s="141"/>
      <c r="B688" s="199" t="s">
        <v>1846</v>
      </c>
      <c r="C688" s="199" t="s">
        <v>2125</v>
      </c>
      <c r="D688" s="199" t="s">
        <v>954</v>
      </c>
      <c r="E688" s="199" t="s">
        <v>1791</v>
      </c>
      <c r="F688" s="199" t="s">
        <v>958</v>
      </c>
      <c r="G688" s="199" t="s">
        <v>959</v>
      </c>
      <c r="H688" s="200">
        <v>200</v>
      </c>
      <c r="I688" s="201" t="s">
        <v>147</v>
      </c>
      <c r="J688" s="165">
        <v>2</v>
      </c>
      <c r="K688" s="202">
        <f t="shared" si="1498"/>
        <v>4</v>
      </c>
      <c r="L688" s="202">
        <f t="shared" si="1499"/>
        <v>8</v>
      </c>
      <c r="M688" s="203">
        <v>0.4</v>
      </c>
      <c r="N688" s="203">
        <f t="shared" si="1500"/>
        <v>3.2</v>
      </c>
      <c r="O688" s="203" t="s">
        <v>137</v>
      </c>
      <c r="P688" s="203" t="s">
        <v>13</v>
      </c>
      <c r="Q688" s="203" t="s">
        <v>148</v>
      </c>
      <c r="R688" s="203"/>
      <c r="S688" s="203"/>
      <c r="T688" s="203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0</v>
      </c>
      <c r="U688" s="203">
        <f t="shared" ca="1" si="1501"/>
        <v>8</v>
      </c>
      <c r="V688" s="203">
        <f t="shared" ca="1" si="1502"/>
        <v>0</v>
      </c>
      <c r="W688" s="203"/>
      <c r="X688" s="203"/>
      <c r="Y688" s="203"/>
      <c r="Z688" s="203"/>
      <c r="AA688" s="203"/>
      <c r="AB688" s="203"/>
      <c r="AC688" s="205" t="s">
        <v>1784</v>
      </c>
      <c r="AD688" s="225" t="s">
        <v>1785</v>
      </c>
      <c r="AE688" s="166"/>
      <c r="AF688" s="203" t="str">
        <f t="shared" ref="AF688:AG688" si="1519">AF687</f>
        <v>N/A</v>
      </c>
      <c r="AG688" s="203">
        <f t="shared" si="1519"/>
        <v>0</v>
      </c>
      <c r="AH688" s="203">
        <f t="shared" si="1504"/>
        <v>0</v>
      </c>
      <c r="AI688" s="203">
        <f t="shared" ca="1" si="1505"/>
        <v>0</v>
      </c>
      <c r="AJ688" s="203">
        <f t="shared" ca="1" si="1506"/>
        <v>0</v>
      </c>
      <c r="AK688" s="203" t="str">
        <f t="shared" ref="AK688:AL688" si="1520">AK687</f>
        <v>N/A</v>
      </c>
      <c r="AL688" s="203">
        <f t="shared" si="1520"/>
        <v>0</v>
      </c>
      <c r="AM688" s="203">
        <f t="shared" si="1508"/>
        <v>0</v>
      </c>
      <c r="AN688" s="203">
        <f t="shared" ca="1" si="1509"/>
        <v>0</v>
      </c>
      <c r="AO688" s="203">
        <f t="shared" ca="1" si="1510"/>
        <v>0</v>
      </c>
      <c r="AP688" s="203" t="str">
        <f t="shared" ref="AP688:AQ688" si="1521">AP687</f>
        <v>N/A</v>
      </c>
      <c r="AQ688" s="203">
        <f t="shared" si="1521"/>
        <v>0</v>
      </c>
      <c r="AR688" s="203">
        <f t="shared" si="1512"/>
        <v>0</v>
      </c>
      <c r="AS688" s="203">
        <f t="shared" ca="1" si="1513"/>
        <v>0</v>
      </c>
      <c r="AT688" s="203">
        <f t="shared" ca="1" si="1514"/>
        <v>0</v>
      </c>
      <c r="AU688" s="203" t="str">
        <f t="shared" ref="AU688:AV688" si="1522">AU687</f>
        <v>AMC2-S1</v>
      </c>
      <c r="AV688" s="203">
        <f t="shared" si="1522"/>
        <v>4</v>
      </c>
      <c r="AW688" s="203">
        <f t="shared" si="1516"/>
        <v>8</v>
      </c>
      <c r="AX688" s="203">
        <f t="shared" ca="1" si="1517"/>
        <v>0</v>
      </c>
      <c r="AY688" s="203">
        <f t="shared" ca="1" si="1518"/>
        <v>8</v>
      </c>
      <c r="AZ688" s="203"/>
      <c r="BA688" s="204" t="s">
        <v>140</v>
      </c>
      <c r="BB688" s="204" t="s">
        <v>140</v>
      </c>
      <c r="BC688" s="204" t="s">
        <v>140</v>
      </c>
      <c r="BD688" s="204" t="s">
        <v>141</v>
      </c>
      <c r="BE688" s="166"/>
      <c r="BF688" s="203" t="s">
        <v>1789</v>
      </c>
      <c r="BG688" s="141"/>
      <c r="BH688" s="141"/>
      <c r="BI688" s="153"/>
      <c r="BJ688" s="153"/>
      <c r="BK688" s="153"/>
      <c r="BL688" s="153" t="s">
        <v>149</v>
      </c>
      <c r="BM688" s="153"/>
      <c r="BN688" s="153"/>
      <c r="BO688" s="153"/>
      <c r="BP688" s="153"/>
      <c r="BQ688" s="153"/>
      <c r="BR688" s="141">
        <v>0</v>
      </c>
      <c r="BS688" s="141">
        <v>0</v>
      </c>
      <c r="BT688" s="141">
        <v>0</v>
      </c>
      <c r="BU688" s="141">
        <v>0</v>
      </c>
      <c r="BV688" s="141">
        <v>0</v>
      </c>
      <c r="BW688" s="141">
        <v>0</v>
      </c>
      <c r="BX688" s="141">
        <v>0</v>
      </c>
      <c r="BY688" s="141" t="s">
        <v>1790</v>
      </c>
      <c r="BZ688" s="141" t="s">
        <v>2127</v>
      </c>
      <c r="CA688" s="141">
        <v>8</v>
      </c>
      <c r="CB688" s="153">
        <v>46238</v>
      </c>
      <c r="CC688" s="141"/>
      <c r="CD688" s="141"/>
      <c r="CE688" s="166"/>
      <c r="CF688" s="166">
        <f>+L688-CA688</f>
        <v>0</v>
      </c>
    </row>
    <row r="689" spans="1:84" hidden="1">
      <c r="A689" s="141"/>
      <c r="B689" s="199" t="s">
        <v>1846</v>
      </c>
      <c r="C689" s="199" t="s">
        <v>2125</v>
      </c>
      <c r="D689" s="199" t="s">
        <v>954</v>
      </c>
      <c r="E689" s="199" t="s">
        <v>1792</v>
      </c>
      <c r="F689" s="199" t="s">
        <v>963</v>
      </c>
      <c r="G689" s="199" t="s">
        <v>964</v>
      </c>
      <c r="H689" s="200">
        <v>200</v>
      </c>
      <c r="I689" s="201" t="s">
        <v>147</v>
      </c>
      <c r="J689" s="165">
        <v>6</v>
      </c>
      <c r="K689" s="202">
        <f t="shared" si="1498"/>
        <v>4</v>
      </c>
      <c r="L689" s="202">
        <f t="shared" si="1499"/>
        <v>24</v>
      </c>
      <c r="M689" s="203">
        <v>0.2</v>
      </c>
      <c r="N689" s="203">
        <f t="shared" si="1500"/>
        <v>4.8000000000000007</v>
      </c>
      <c r="O689" s="203" t="s">
        <v>137</v>
      </c>
      <c r="P689" s="203" t="s">
        <v>13</v>
      </c>
      <c r="Q689" s="203" t="s">
        <v>148</v>
      </c>
      <c r="R689" s="203"/>
      <c r="S689" s="203"/>
      <c r="T689" s="203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0</v>
      </c>
      <c r="U689" s="203">
        <f t="shared" ca="1" si="1501"/>
        <v>24</v>
      </c>
      <c r="V689" s="203">
        <f t="shared" ca="1" si="1502"/>
        <v>0</v>
      </c>
      <c r="W689" s="203"/>
      <c r="X689" s="203"/>
      <c r="Y689" s="203"/>
      <c r="Z689" s="203"/>
      <c r="AA689" s="203"/>
      <c r="AB689" s="203"/>
      <c r="AC689" s="205" t="s">
        <v>1784</v>
      </c>
      <c r="AD689" s="225" t="s">
        <v>1785</v>
      </c>
      <c r="AE689" s="166"/>
      <c r="AF689" s="203" t="str">
        <f t="shared" ref="AF689:AG689" si="1523">AF688</f>
        <v>N/A</v>
      </c>
      <c r="AG689" s="203">
        <f t="shared" si="1523"/>
        <v>0</v>
      </c>
      <c r="AH689" s="203">
        <f t="shared" si="1504"/>
        <v>0</v>
      </c>
      <c r="AI689" s="203">
        <f t="shared" ca="1" si="1505"/>
        <v>0</v>
      </c>
      <c r="AJ689" s="203">
        <f t="shared" ca="1" si="1506"/>
        <v>0</v>
      </c>
      <c r="AK689" s="203" t="str">
        <f t="shared" ref="AK689:AL689" si="1524">AK688</f>
        <v>N/A</v>
      </c>
      <c r="AL689" s="203">
        <f t="shared" si="1524"/>
        <v>0</v>
      </c>
      <c r="AM689" s="203">
        <f t="shared" si="1508"/>
        <v>0</v>
      </c>
      <c r="AN689" s="203">
        <f t="shared" ca="1" si="1509"/>
        <v>0</v>
      </c>
      <c r="AO689" s="203">
        <f t="shared" ca="1" si="1510"/>
        <v>0</v>
      </c>
      <c r="AP689" s="203" t="str">
        <f t="shared" ref="AP689:AQ689" si="1525">AP688</f>
        <v>N/A</v>
      </c>
      <c r="AQ689" s="203">
        <f t="shared" si="1525"/>
        <v>0</v>
      </c>
      <c r="AR689" s="203">
        <f t="shared" si="1512"/>
        <v>0</v>
      </c>
      <c r="AS689" s="203">
        <f t="shared" ca="1" si="1513"/>
        <v>0</v>
      </c>
      <c r="AT689" s="203">
        <f t="shared" ca="1" si="1514"/>
        <v>0</v>
      </c>
      <c r="AU689" s="203" t="str">
        <f t="shared" ref="AU689:AV689" si="1526">AU688</f>
        <v>AMC2-S1</v>
      </c>
      <c r="AV689" s="203">
        <f t="shared" si="1526"/>
        <v>4</v>
      </c>
      <c r="AW689" s="203">
        <f t="shared" si="1516"/>
        <v>24</v>
      </c>
      <c r="AX689" s="203">
        <f t="shared" ca="1" si="1517"/>
        <v>0</v>
      </c>
      <c r="AY689" s="203">
        <f t="shared" ca="1" si="1518"/>
        <v>24</v>
      </c>
      <c r="AZ689" s="203"/>
      <c r="BA689" s="204" t="s">
        <v>140</v>
      </c>
      <c r="BB689" s="204" t="s">
        <v>140</v>
      </c>
      <c r="BC689" s="204" t="s">
        <v>140</v>
      </c>
      <c r="BD689" s="204" t="s">
        <v>141</v>
      </c>
      <c r="BE689" s="166"/>
      <c r="BF689" s="203" t="s">
        <v>1789</v>
      </c>
      <c r="BG689" s="141"/>
      <c r="BH689" s="141"/>
      <c r="BI689" s="153"/>
      <c r="BJ689" s="153"/>
      <c r="BK689" s="153"/>
      <c r="BL689" s="153" t="s">
        <v>149</v>
      </c>
      <c r="BM689" s="153"/>
      <c r="BN689" s="153"/>
      <c r="BO689" s="153"/>
      <c r="BP689" s="153"/>
      <c r="BQ689" s="153"/>
      <c r="BR689" s="141">
        <v>0</v>
      </c>
      <c r="BS689" s="141">
        <v>0</v>
      </c>
      <c r="BT689" s="141">
        <v>0</v>
      </c>
      <c r="BU689" s="141">
        <v>0</v>
      </c>
      <c r="BV689" s="141">
        <v>0</v>
      </c>
      <c r="BW689" s="141">
        <v>0</v>
      </c>
      <c r="BX689" s="141">
        <v>0</v>
      </c>
      <c r="BY689" s="141" t="s">
        <v>1790</v>
      </c>
      <c r="BZ689" s="141" t="s">
        <v>2128</v>
      </c>
      <c r="CA689" s="141">
        <v>24</v>
      </c>
      <c r="CB689" s="153">
        <v>46238</v>
      </c>
      <c r="CC689" s="141"/>
      <c r="CD689" s="141"/>
      <c r="CE689" s="166"/>
      <c r="CF689" s="166">
        <f>+L689-CA689</f>
        <v>0</v>
      </c>
    </row>
    <row r="690" spans="1:84" hidden="1">
      <c r="A690" s="141"/>
      <c r="B690" s="199" t="s">
        <v>1846</v>
      </c>
      <c r="C690" s="199" t="s">
        <v>2125</v>
      </c>
      <c r="D690" s="199" t="s">
        <v>954</v>
      </c>
      <c r="E690" s="199" t="s">
        <v>1793</v>
      </c>
      <c r="F690" s="199" t="s">
        <v>968</v>
      </c>
      <c r="G690" s="199" t="s">
        <v>969</v>
      </c>
      <c r="H690" s="200">
        <v>200</v>
      </c>
      <c r="I690" s="201" t="s">
        <v>147</v>
      </c>
      <c r="J690" s="165">
        <v>12</v>
      </c>
      <c r="K690" s="202">
        <f t="shared" si="1498"/>
        <v>4</v>
      </c>
      <c r="L690" s="202">
        <f t="shared" si="1499"/>
        <v>48</v>
      </c>
      <c r="M690" s="203">
        <v>0.1</v>
      </c>
      <c r="N690" s="203">
        <f t="shared" si="1500"/>
        <v>4.8000000000000007</v>
      </c>
      <c r="O690" s="203" t="s">
        <v>137</v>
      </c>
      <c r="P690" s="203" t="s">
        <v>13</v>
      </c>
      <c r="Q690" s="203" t="s">
        <v>148</v>
      </c>
      <c r="R690" s="203"/>
      <c r="S690" s="203"/>
      <c r="T690" s="203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0</v>
      </c>
      <c r="U690" s="203">
        <f t="shared" ca="1" si="1501"/>
        <v>48</v>
      </c>
      <c r="V690" s="203">
        <f t="shared" ca="1" si="1502"/>
        <v>0</v>
      </c>
      <c r="W690" s="203"/>
      <c r="X690" s="203"/>
      <c r="Y690" s="203"/>
      <c r="Z690" s="203"/>
      <c r="AA690" s="203"/>
      <c r="AB690" s="203"/>
      <c r="AC690" s="205" t="s">
        <v>1784</v>
      </c>
      <c r="AD690" s="225" t="s">
        <v>1785</v>
      </c>
      <c r="AE690" s="166"/>
      <c r="AF690" s="203" t="str">
        <f t="shared" ref="AF690:AG690" si="1527">AF689</f>
        <v>N/A</v>
      </c>
      <c r="AG690" s="203">
        <f t="shared" si="1527"/>
        <v>0</v>
      </c>
      <c r="AH690" s="203">
        <f t="shared" si="1504"/>
        <v>0</v>
      </c>
      <c r="AI690" s="203">
        <f t="shared" ca="1" si="1505"/>
        <v>0</v>
      </c>
      <c r="AJ690" s="203">
        <f t="shared" ca="1" si="1506"/>
        <v>0</v>
      </c>
      <c r="AK690" s="203" t="str">
        <f t="shared" ref="AK690:AL690" si="1528">AK689</f>
        <v>N/A</v>
      </c>
      <c r="AL690" s="203">
        <f t="shared" si="1528"/>
        <v>0</v>
      </c>
      <c r="AM690" s="203">
        <f t="shared" si="1508"/>
        <v>0</v>
      </c>
      <c r="AN690" s="203">
        <f t="shared" ca="1" si="1509"/>
        <v>0</v>
      </c>
      <c r="AO690" s="203">
        <f t="shared" ca="1" si="1510"/>
        <v>0</v>
      </c>
      <c r="AP690" s="203" t="str">
        <f t="shared" ref="AP690:AQ690" si="1529">AP689</f>
        <v>N/A</v>
      </c>
      <c r="AQ690" s="203">
        <f t="shared" si="1529"/>
        <v>0</v>
      </c>
      <c r="AR690" s="203">
        <f t="shared" si="1512"/>
        <v>0</v>
      </c>
      <c r="AS690" s="203">
        <f t="shared" ca="1" si="1513"/>
        <v>0</v>
      </c>
      <c r="AT690" s="203">
        <f t="shared" ca="1" si="1514"/>
        <v>0</v>
      </c>
      <c r="AU690" s="203" t="str">
        <f t="shared" ref="AU690:AV690" si="1530">AU689</f>
        <v>AMC2-S1</v>
      </c>
      <c r="AV690" s="203">
        <f t="shared" si="1530"/>
        <v>4</v>
      </c>
      <c r="AW690" s="203">
        <f t="shared" si="1516"/>
        <v>48</v>
      </c>
      <c r="AX690" s="203">
        <f t="shared" ca="1" si="1517"/>
        <v>0</v>
      </c>
      <c r="AY690" s="203">
        <f t="shared" ca="1" si="1518"/>
        <v>48</v>
      </c>
      <c r="AZ690" s="203"/>
      <c r="BA690" s="204" t="s">
        <v>140</v>
      </c>
      <c r="BB690" s="204" t="s">
        <v>140</v>
      </c>
      <c r="BC690" s="204" t="s">
        <v>140</v>
      </c>
      <c r="BD690" s="204" t="s">
        <v>141</v>
      </c>
      <c r="BE690" s="166"/>
      <c r="BF690" s="203" t="s">
        <v>1789</v>
      </c>
      <c r="BG690" s="141"/>
      <c r="BH690" s="141"/>
      <c r="BI690" s="153"/>
      <c r="BJ690" s="153"/>
      <c r="BK690" s="153"/>
      <c r="BL690" s="153" t="s">
        <v>149</v>
      </c>
      <c r="BM690" s="153"/>
      <c r="BN690" s="153"/>
      <c r="BO690" s="153"/>
      <c r="BP690" s="153"/>
      <c r="BQ690" s="153"/>
      <c r="BR690" s="141">
        <v>0</v>
      </c>
      <c r="BS690" s="141">
        <v>0</v>
      </c>
      <c r="BT690" s="141">
        <v>0</v>
      </c>
      <c r="BU690" s="141">
        <v>0</v>
      </c>
      <c r="BV690" s="141">
        <v>0</v>
      </c>
      <c r="BW690" s="141">
        <v>0</v>
      </c>
      <c r="BX690" s="141">
        <v>0</v>
      </c>
      <c r="BY690" s="141" t="s">
        <v>1790</v>
      </c>
      <c r="BZ690" s="141" t="s">
        <v>2129</v>
      </c>
      <c r="CA690" s="165">
        <v>48</v>
      </c>
      <c r="CB690" s="153">
        <v>46238</v>
      </c>
      <c r="CC690" s="141"/>
      <c r="CD690" s="141"/>
      <c r="CE690" s="166"/>
      <c r="CF690" s="166">
        <f>+L690-CA690</f>
        <v>0</v>
      </c>
    </row>
    <row r="691" spans="1:84" hidden="1">
      <c r="A691" s="162">
        <v>38</v>
      </c>
      <c r="B691" s="177" t="s">
        <v>1846</v>
      </c>
      <c r="C691" s="177" t="s">
        <v>2130</v>
      </c>
      <c r="D691" s="177" t="s">
        <v>1849</v>
      </c>
      <c r="E691" s="177"/>
      <c r="F691" s="177"/>
      <c r="G691" s="177" t="s">
        <v>1850</v>
      </c>
      <c r="H691" s="178"/>
      <c r="I691" s="179"/>
      <c r="J691" s="160"/>
      <c r="K691" s="180">
        <f>+AG691+AL691+AQ691+AV691</f>
        <v>4</v>
      </c>
      <c r="L691" s="160"/>
      <c r="M691" s="181">
        <v>5.8</v>
      </c>
      <c r="N691" s="181">
        <v>23</v>
      </c>
      <c r="O691" s="181" t="s">
        <v>137</v>
      </c>
      <c r="P691" s="181"/>
      <c r="Q691" s="181"/>
      <c r="R691" s="181"/>
      <c r="S691" s="181"/>
      <c r="T691" s="181"/>
      <c r="U691" s="181"/>
      <c r="V691" s="181"/>
      <c r="W691" s="181">
        <f ca="1">_xlfn.MINIFS(V:V,C:C,C691,AE:AE,"",AB:AB,"")</f>
        <v>0</v>
      </c>
      <c r="X691" s="181">
        <f ca="1">SUMIFS(T:T,C:C,C691,AE:AE,"")/SUMIFS(L:L,C:C,C691,AE:AE,"",AB:AB,"")</f>
        <v>0.125</v>
      </c>
      <c r="Y691" s="181"/>
      <c r="Z691" s="181"/>
      <c r="AA691" s="181"/>
      <c r="AB691" s="181"/>
      <c r="AC691" s="183" t="s">
        <v>1784</v>
      </c>
      <c r="AD691" s="184" t="s">
        <v>1785</v>
      </c>
      <c r="AE691" s="162" t="s">
        <v>143</v>
      </c>
      <c r="AF691" s="181" t="s">
        <v>138</v>
      </c>
      <c r="AG691" s="181">
        <v>0</v>
      </c>
      <c r="AH691" s="181"/>
      <c r="AI691" s="181"/>
      <c r="AJ691" s="181"/>
      <c r="AK691" s="181" t="s">
        <v>138</v>
      </c>
      <c r="AL691" s="181">
        <v>0</v>
      </c>
      <c r="AM691" s="181"/>
      <c r="AN691" s="181"/>
      <c r="AO691" s="181"/>
      <c r="AP691" s="181" t="s">
        <v>138</v>
      </c>
      <c r="AQ691" s="181">
        <v>0</v>
      </c>
      <c r="AR691" s="181"/>
      <c r="AS691" s="181"/>
      <c r="AT691" s="181"/>
      <c r="AU691" s="181" t="s">
        <v>1783</v>
      </c>
      <c r="AV691" s="181">
        <v>4</v>
      </c>
      <c r="AW691" s="181"/>
      <c r="AX691" s="181"/>
      <c r="AY691" s="181"/>
      <c r="AZ691" s="181"/>
      <c r="BA691" s="182" t="s">
        <v>140</v>
      </c>
      <c r="BB691" s="182" t="s">
        <v>140</v>
      </c>
      <c r="BC691" s="182" t="s">
        <v>140</v>
      </c>
      <c r="BD691" s="182" t="s">
        <v>141</v>
      </c>
      <c r="BE691" s="162" t="s">
        <v>741</v>
      </c>
      <c r="BF691" s="181"/>
      <c r="BG691" s="161"/>
      <c r="BH691" s="161"/>
      <c r="BI691" s="163"/>
      <c r="BJ691" s="163"/>
      <c r="BK691" s="163"/>
      <c r="BL691" s="163"/>
      <c r="BM691" s="163"/>
      <c r="BN691" s="163"/>
      <c r="BO691" s="163"/>
      <c r="BP691" s="163"/>
      <c r="BQ691" s="163"/>
      <c r="BR691" s="161"/>
      <c r="BS691" s="161"/>
      <c r="BT691" s="161"/>
      <c r="BU691" s="161"/>
      <c r="BV691" s="161"/>
      <c r="BW691" s="161"/>
      <c r="BX691" s="161"/>
      <c r="BY691" s="161"/>
      <c r="BZ691" s="161"/>
      <c r="CA691" s="161"/>
      <c r="CB691" s="163"/>
      <c r="CC691" s="161"/>
      <c r="CD691" s="161"/>
      <c r="CE691" s="185"/>
      <c r="CF691" s="185"/>
    </row>
    <row r="692" spans="1:84" ht="36" hidden="1">
      <c r="A692" s="141"/>
      <c r="B692" s="199" t="s">
        <v>1846</v>
      </c>
      <c r="C692" s="199" t="s">
        <v>2130</v>
      </c>
      <c r="D692" s="199" t="s">
        <v>979</v>
      </c>
      <c r="E692" s="199" t="s">
        <v>1851</v>
      </c>
      <c r="F692" s="199" t="s">
        <v>977</v>
      </c>
      <c r="G692" s="199" t="s">
        <v>978</v>
      </c>
      <c r="H692" s="200">
        <v>95</v>
      </c>
      <c r="I692" s="201"/>
      <c r="J692" s="165">
        <v>4</v>
      </c>
      <c r="K692" s="202">
        <f t="shared" ref="K692:K695" si="1531">K691</f>
        <v>4</v>
      </c>
      <c r="L692" s="202">
        <f t="shared" ref="L692:L695" si="1532">+J692*K692</f>
        <v>16</v>
      </c>
      <c r="M692" s="203">
        <v>0.3</v>
      </c>
      <c r="N692" s="203">
        <f t="shared" ref="N692:N695" si="1533">+M692*L692</f>
        <v>4.8</v>
      </c>
      <c r="O692" s="203" t="s">
        <v>137</v>
      </c>
      <c r="P692" s="203" t="s">
        <v>11</v>
      </c>
      <c r="Q692" s="203" t="s">
        <v>154</v>
      </c>
      <c r="R692" s="203"/>
      <c r="S692" s="203"/>
      <c r="T692" s="203">
        <f ca="1">IF(SUMIFS(INDIRECT("'BTP-"&amp;$C$4&amp;"'!L:L"),INDIRECT("'BTP-"&amp;$C$4&amp;"'!D:D"),F692)-SUMIFS($T$10:T691,$F$10:F691,F692)&gt;0,MIN(SUMIFS(INDIRECT("'BTP-"&amp;$C$4&amp;"'!L:L"),INDIRECT("'BTP-"&amp;$C$4&amp;"'!D:D"),F692)-SUMIFS($T$10:T691,$F$10:F691,F692),L692),0)</f>
        <v>0</v>
      </c>
      <c r="U692" s="203">
        <f t="shared" ref="U692:U695" ca="1" si="1534">+L692-T692</f>
        <v>16</v>
      </c>
      <c r="V692" s="203">
        <f t="shared" ref="V692:V695" ca="1" si="1535">ROUNDDOWN(T692/J692,0)</f>
        <v>0</v>
      </c>
      <c r="W692" s="203"/>
      <c r="X692" s="203"/>
      <c r="Y692" s="203"/>
      <c r="Z692" s="203"/>
      <c r="AA692" s="203"/>
      <c r="AB692" s="203"/>
      <c r="AC692" s="205" t="s">
        <v>1784</v>
      </c>
      <c r="AD692" s="225" t="s">
        <v>1852</v>
      </c>
      <c r="AE692" s="166"/>
      <c r="AF692" s="203" t="str">
        <f t="shared" ref="AF692:AG692" si="1536">AF691</f>
        <v>N/A</v>
      </c>
      <c r="AG692" s="203">
        <f t="shared" si="1536"/>
        <v>0</v>
      </c>
      <c r="AH692" s="203">
        <f t="shared" ref="AH692:AH695" si="1537">+AG692*J692</f>
        <v>0</v>
      </c>
      <c r="AI692" s="203">
        <f t="shared" ref="AI692:AI695" ca="1" si="1538">MIN(T692,AH692)</f>
        <v>0</v>
      </c>
      <c r="AJ692" s="203">
        <f t="shared" ref="AJ692:AJ695" ca="1" si="1539">+AH692-AI692</f>
        <v>0</v>
      </c>
      <c r="AK692" s="203" t="str">
        <f t="shared" ref="AK692:AL692" si="1540">AK691</f>
        <v>N/A</v>
      </c>
      <c r="AL692" s="203">
        <f t="shared" si="1540"/>
        <v>0</v>
      </c>
      <c r="AM692" s="203">
        <f t="shared" ref="AM692:AM695" si="1541">+AL692*J692</f>
        <v>0</v>
      </c>
      <c r="AN692" s="203">
        <f t="shared" ref="AN692:AN695" ca="1" si="1542">MIN(T692-AI692,AL692)</f>
        <v>0</v>
      </c>
      <c r="AO692" s="203">
        <f t="shared" ref="AO692:AO695" ca="1" si="1543">+AM692-AN692</f>
        <v>0</v>
      </c>
      <c r="AP692" s="203" t="str">
        <f t="shared" ref="AP692:AQ692" si="1544">AP691</f>
        <v>N/A</v>
      </c>
      <c r="AQ692" s="203">
        <f t="shared" si="1544"/>
        <v>0</v>
      </c>
      <c r="AR692" s="203">
        <f t="shared" ref="AR692:AR695" si="1545">+AQ692*J692</f>
        <v>0</v>
      </c>
      <c r="AS692" s="203">
        <f t="shared" ref="AS692:AS695" ca="1" si="1546">MIN(T692-AI692-AN692,AR692)</f>
        <v>0</v>
      </c>
      <c r="AT692" s="203">
        <f t="shared" ref="AT692:AT695" ca="1" si="1547">+AR692-AS692</f>
        <v>0</v>
      </c>
      <c r="AU692" s="203" t="str">
        <f t="shared" ref="AU692:AV692" si="1548">AU691</f>
        <v>AMC2-S1</v>
      </c>
      <c r="AV692" s="203">
        <f t="shared" si="1548"/>
        <v>4</v>
      </c>
      <c r="AW692" s="203">
        <f t="shared" ref="AW692:AW695" si="1549">+AV692*J692</f>
        <v>16</v>
      </c>
      <c r="AX692" s="203">
        <f t="shared" ref="AX692:AX695" ca="1" si="1550">MIN(T692-AI692-AN692-AS692,AW692)</f>
        <v>0</v>
      </c>
      <c r="AY692" s="203">
        <f t="shared" ref="AY692:AY695" ca="1" si="1551">+AW692-AX692</f>
        <v>16</v>
      </c>
      <c r="AZ692" s="203"/>
      <c r="BA692" s="204" t="s">
        <v>140</v>
      </c>
      <c r="BB692" s="204" t="s">
        <v>140</v>
      </c>
      <c r="BC692" s="204" t="s">
        <v>140</v>
      </c>
      <c r="BD692" s="204" t="s">
        <v>141</v>
      </c>
      <c r="BE692" s="166"/>
      <c r="BF692" s="212" t="s">
        <v>1789</v>
      </c>
      <c r="BG692" s="141"/>
      <c r="BH692" s="141"/>
      <c r="BI692" s="153"/>
      <c r="BJ692" s="153"/>
      <c r="BK692" s="153" t="s">
        <v>1853</v>
      </c>
      <c r="BL692" s="153"/>
      <c r="BM692" s="153"/>
      <c r="BN692" s="153"/>
      <c r="BO692" s="153"/>
      <c r="BP692" s="153"/>
      <c r="BQ692" s="153"/>
      <c r="BR692" s="141">
        <v>0</v>
      </c>
      <c r="BS692" s="141">
        <v>0</v>
      </c>
      <c r="BT692" s="141">
        <v>0</v>
      </c>
      <c r="BU692" s="141">
        <v>0</v>
      </c>
      <c r="BV692" s="141">
        <v>1</v>
      </c>
      <c r="BW692" s="141">
        <v>0</v>
      </c>
      <c r="BX692" s="141">
        <v>0</v>
      </c>
      <c r="BY692" s="141" t="s">
        <v>1790</v>
      </c>
      <c r="BZ692" s="141" t="s">
        <v>2131</v>
      </c>
      <c r="CA692" s="141">
        <v>16</v>
      </c>
      <c r="CB692" s="153">
        <v>46238</v>
      </c>
      <c r="CC692" s="141"/>
      <c r="CD692" s="141"/>
      <c r="CE692" s="166"/>
      <c r="CF692" s="166"/>
    </row>
    <row r="693" spans="1:84" ht="36" hidden="1">
      <c r="A693" s="117"/>
      <c r="B693" s="209" t="s">
        <v>1846</v>
      </c>
      <c r="C693" s="209" t="s">
        <v>2130</v>
      </c>
      <c r="D693" s="209" t="s">
        <v>975</v>
      </c>
      <c r="E693" s="209" t="s">
        <v>1854</v>
      </c>
      <c r="F693" s="209" t="s">
        <v>973</v>
      </c>
      <c r="G693" s="209" t="s">
        <v>974</v>
      </c>
      <c r="H693" s="210"/>
      <c r="I693" s="211"/>
      <c r="J693" s="144">
        <v>4</v>
      </c>
      <c r="K693" s="145">
        <f t="shared" si="1531"/>
        <v>4</v>
      </c>
      <c r="L693" s="202">
        <f t="shared" si="1532"/>
        <v>16</v>
      </c>
      <c r="M693" s="212">
        <v>3.5999999999999997E-2</v>
      </c>
      <c r="N693" s="203">
        <f t="shared" si="1533"/>
        <v>0.57599999999999996</v>
      </c>
      <c r="O693" s="212" t="s">
        <v>137</v>
      </c>
      <c r="P693" s="212" t="s">
        <v>14</v>
      </c>
      <c r="Q693" s="212" t="s">
        <v>976</v>
      </c>
      <c r="R693" s="212"/>
      <c r="S693" s="212"/>
      <c r="T693" s="203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0</v>
      </c>
      <c r="U693" s="203">
        <f t="shared" ca="1" si="1534"/>
        <v>16</v>
      </c>
      <c r="V693" s="203">
        <f t="shared" ca="1" si="1535"/>
        <v>0</v>
      </c>
      <c r="W693" s="212"/>
      <c r="X693" s="212"/>
      <c r="Y693" s="212"/>
      <c r="Z693" s="212"/>
      <c r="AA693" s="212"/>
      <c r="AB693" s="212"/>
      <c r="AC693" s="214" t="s">
        <v>1784</v>
      </c>
      <c r="AD693" s="226" t="s">
        <v>1785</v>
      </c>
      <c r="AE693" s="148"/>
      <c r="AF693" s="212" t="str">
        <f t="shared" ref="AF693:AG693" si="1552">AF692</f>
        <v>N/A</v>
      </c>
      <c r="AG693" s="212">
        <f t="shared" si="1552"/>
        <v>0</v>
      </c>
      <c r="AH693" s="203">
        <f t="shared" si="1537"/>
        <v>0</v>
      </c>
      <c r="AI693" s="203">
        <f t="shared" ca="1" si="1538"/>
        <v>0</v>
      </c>
      <c r="AJ693" s="203">
        <f t="shared" ca="1" si="1539"/>
        <v>0</v>
      </c>
      <c r="AK693" s="212" t="str">
        <f t="shared" ref="AK693:AL693" si="1553">AK692</f>
        <v>N/A</v>
      </c>
      <c r="AL693" s="212">
        <f t="shared" si="1553"/>
        <v>0</v>
      </c>
      <c r="AM693" s="203">
        <f t="shared" si="1541"/>
        <v>0</v>
      </c>
      <c r="AN693" s="203">
        <f t="shared" ca="1" si="1542"/>
        <v>0</v>
      </c>
      <c r="AO693" s="203">
        <f t="shared" ca="1" si="1543"/>
        <v>0</v>
      </c>
      <c r="AP693" s="212" t="str">
        <f t="shared" ref="AP693:AQ693" si="1554">AP692</f>
        <v>N/A</v>
      </c>
      <c r="AQ693" s="212">
        <f t="shared" si="1554"/>
        <v>0</v>
      </c>
      <c r="AR693" s="203">
        <f t="shared" si="1545"/>
        <v>0</v>
      </c>
      <c r="AS693" s="203">
        <f t="shared" ca="1" si="1546"/>
        <v>0</v>
      </c>
      <c r="AT693" s="203">
        <f t="shared" ca="1" si="1547"/>
        <v>0</v>
      </c>
      <c r="AU693" s="212" t="str">
        <f t="shared" ref="AU693:AV693" si="1555">AU692</f>
        <v>AMC2-S1</v>
      </c>
      <c r="AV693" s="212">
        <f t="shared" si="1555"/>
        <v>4</v>
      </c>
      <c r="AW693" s="203">
        <f t="shared" si="1549"/>
        <v>16</v>
      </c>
      <c r="AX693" s="203">
        <f t="shared" ca="1" si="1550"/>
        <v>0</v>
      </c>
      <c r="AY693" s="203">
        <f t="shared" ca="1" si="1551"/>
        <v>16</v>
      </c>
      <c r="AZ693" s="212"/>
      <c r="BA693" s="213" t="s">
        <v>140</v>
      </c>
      <c r="BB693" s="213" t="s">
        <v>140</v>
      </c>
      <c r="BC693" s="213" t="s">
        <v>140</v>
      </c>
      <c r="BD693" s="213" t="s">
        <v>141</v>
      </c>
      <c r="BE693" s="148"/>
      <c r="BF693" s="212"/>
      <c r="BG693" s="117"/>
      <c r="BH693" s="117"/>
      <c r="BI693" s="149"/>
      <c r="BJ693" s="149"/>
      <c r="BK693" s="149"/>
      <c r="BL693" s="149"/>
      <c r="BM693" s="149"/>
      <c r="BN693" s="149"/>
      <c r="BO693" s="149"/>
      <c r="BP693" s="149"/>
      <c r="BQ693" s="149"/>
      <c r="BR693" s="117" t="s">
        <v>140</v>
      </c>
      <c r="BS693" s="117" t="s">
        <v>140</v>
      </c>
      <c r="BT693" s="117" t="s">
        <v>140</v>
      </c>
      <c r="BU693" s="117" t="s">
        <v>140</v>
      </c>
      <c r="BV693" s="117" t="s">
        <v>140</v>
      </c>
      <c r="BW693" s="117" t="s">
        <v>140</v>
      </c>
      <c r="BX693" s="117" t="s">
        <v>140</v>
      </c>
      <c r="BY693" s="117" t="s">
        <v>14</v>
      </c>
      <c r="BZ693" s="117"/>
      <c r="CA693" s="117"/>
      <c r="CB693" s="149"/>
      <c r="CC693" s="117"/>
      <c r="CD693" s="117"/>
      <c r="CE693" s="148"/>
      <c r="CF693" s="148"/>
    </row>
    <row r="694" spans="1:84" hidden="1">
      <c r="A694" s="141"/>
      <c r="B694" s="199" t="s">
        <v>1846</v>
      </c>
      <c r="C694" s="199" t="s">
        <v>2130</v>
      </c>
      <c r="D694" s="199" t="s">
        <v>13</v>
      </c>
      <c r="E694" s="199" t="s">
        <v>1788</v>
      </c>
      <c r="F694" s="199" t="s">
        <v>985</v>
      </c>
      <c r="G694" s="199" t="s">
        <v>986</v>
      </c>
      <c r="H694" s="200">
        <v>200</v>
      </c>
      <c r="I694" s="201" t="s">
        <v>147</v>
      </c>
      <c r="J694" s="165">
        <v>1</v>
      </c>
      <c r="K694" s="202">
        <f t="shared" si="1531"/>
        <v>4</v>
      </c>
      <c r="L694" s="202">
        <f t="shared" si="1532"/>
        <v>4</v>
      </c>
      <c r="M694" s="203">
        <v>5</v>
      </c>
      <c r="N694" s="203">
        <f t="shared" si="1533"/>
        <v>20</v>
      </c>
      <c r="O694" s="203" t="s">
        <v>137</v>
      </c>
      <c r="P694" s="203" t="s">
        <v>13</v>
      </c>
      <c r="Q694" s="203" t="s">
        <v>154</v>
      </c>
      <c r="R694" s="203"/>
      <c r="S694" s="203"/>
      <c r="T694" s="203">
        <f ca="1">IF(SUMIFS(INDIRECT("'BTP-"&amp;$C$4&amp;"'!L:L"),INDIRECT("'BTP-"&amp;$C$4&amp;"'!D:D"),F694)-SUMIFS($T$10:T693,$F$10:F693,F694)&gt;0,MIN(SUMIFS(INDIRECT("'BTP-"&amp;$C$4&amp;"'!L:L"),INDIRECT("'BTP-"&amp;$C$4&amp;"'!D:D"),F694)-SUMIFS($T$10:T693,$F$10:F693,F694),L694),0)</f>
        <v>0</v>
      </c>
      <c r="U694" s="203">
        <f t="shared" ca="1" si="1534"/>
        <v>4</v>
      </c>
      <c r="V694" s="203">
        <f t="shared" ca="1" si="1535"/>
        <v>0</v>
      </c>
      <c r="W694" s="203"/>
      <c r="X694" s="203"/>
      <c r="Y694" s="203"/>
      <c r="Z694" s="203"/>
      <c r="AA694" s="203"/>
      <c r="AB694" s="203"/>
      <c r="AC694" s="205" t="s">
        <v>1784</v>
      </c>
      <c r="AD694" s="225" t="s">
        <v>1785</v>
      </c>
      <c r="AE694" s="166"/>
      <c r="AF694" s="203" t="str">
        <f t="shared" ref="AF694:AG694" si="1556">AF693</f>
        <v>N/A</v>
      </c>
      <c r="AG694" s="203">
        <f t="shared" si="1556"/>
        <v>0</v>
      </c>
      <c r="AH694" s="203">
        <f t="shared" si="1537"/>
        <v>0</v>
      </c>
      <c r="AI694" s="203">
        <f t="shared" ca="1" si="1538"/>
        <v>0</v>
      </c>
      <c r="AJ694" s="203">
        <f t="shared" ca="1" si="1539"/>
        <v>0</v>
      </c>
      <c r="AK694" s="203" t="str">
        <f t="shared" ref="AK694:AL694" si="1557">AK693</f>
        <v>N/A</v>
      </c>
      <c r="AL694" s="203">
        <f t="shared" si="1557"/>
        <v>0</v>
      </c>
      <c r="AM694" s="203">
        <f t="shared" si="1541"/>
        <v>0</v>
      </c>
      <c r="AN694" s="203">
        <f t="shared" ca="1" si="1542"/>
        <v>0</v>
      </c>
      <c r="AO694" s="203">
        <f t="shared" ca="1" si="1543"/>
        <v>0</v>
      </c>
      <c r="AP694" s="203" t="str">
        <f t="shared" ref="AP694:AQ694" si="1558">AP693</f>
        <v>N/A</v>
      </c>
      <c r="AQ694" s="203">
        <f t="shared" si="1558"/>
        <v>0</v>
      </c>
      <c r="AR694" s="203">
        <f t="shared" si="1545"/>
        <v>0</v>
      </c>
      <c r="AS694" s="203">
        <f t="shared" ca="1" si="1546"/>
        <v>0</v>
      </c>
      <c r="AT694" s="203">
        <f t="shared" ca="1" si="1547"/>
        <v>0</v>
      </c>
      <c r="AU694" s="203" t="str">
        <f t="shared" ref="AU694:AV694" si="1559">AU693</f>
        <v>AMC2-S1</v>
      </c>
      <c r="AV694" s="203">
        <f t="shared" si="1559"/>
        <v>4</v>
      </c>
      <c r="AW694" s="203">
        <f t="shared" si="1549"/>
        <v>4</v>
      </c>
      <c r="AX694" s="203">
        <f t="shared" ca="1" si="1550"/>
        <v>0</v>
      </c>
      <c r="AY694" s="203">
        <f t="shared" ca="1" si="1551"/>
        <v>4</v>
      </c>
      <c r="AZ694" s="203"/>
      <c r="BA694" s="204" t="s">
        <v>140</v>
      </c>
      <c r="BB694" s="204" t="s">
        <v>140</v>
      </c>
      <c r="BC694" s="204" t="s">
        <v>140</v>
      </c>
      <c r="BD694" s="204" t="s">
        <v>141</v>
      </c>
      <c r="BE694" s="166"/>
      <c r="BF694" s="203" t="s">
        <v>1789</v>
      </c>
      <c r="BG694" s="141"/>
      <c r="BH694" s="141"/>
      <c r="BI694" s="153"/>
      <c r="BJ694" s="153"/>
      <c r="BK694" s="153"/>
      <c r="BL694" s="153" t="s">
        <v>149</v>
      </c>
      <c r="BM694" s="153"/>
      <c r="BN694" s="153"/>
      <c r="BO694" s="153"/>
      <c r="BP694" s="153"/>
      <c r="BQ694" s="153"/>
      <c r="BR694" s="141">
        <v>1</v>
      </c>
      <c r="BS694" s="141">
        <v>0</v>
      </c>
      <c r="BT694" s="141">
        <v>0</v>
      </c>
      <c r="BU694" s="141">
        <v>0</v>
      </c>
      <c r="BV694" s="141">
        <v>1</v>
      </c>
      <c r="BW694" s="141">
        <v>0</v>
      </c>
      <c r="BX694" s="141">
        <v>0</v>
      </c>
      <c r="BY694" s="141" t="s">
        <v>1790</v>
      </c>
      <c r="BZ694" s="141" t="s">
        <v>2103</v>
      </c>
      <c r="CA694" s="165">
        <v>4</v>
      </c>
      <c r="CB694" s="153">
        <v>46238</v>
      </c>
      <c r="CC694" s="141"/>
      <c r="CD694" s="141"/>
      <c r="CE694" s="166"/>
      <c r="CF694" s="166">
        <f>+L694-CA694</f>
        <v>0</v>
      </c>
    </row>
    <row r="695" spans="1:84" ht="36" hidden="1">
      <c r="A695" s="117"/>
      <c r="B695" s="209" t="s">
        <v>1846</v>
      </c>
      <c r="C695" s="209" t="s">
        <v>2130</v>
      </c>
      <c r="D695" s="209" t="s">
        <v>983</v>
      </c>
      <c r="E695" s="209" t="s">
        <v>1823</v>
      </c>
      <c r="F695" s="209" t="s">
        <v>981</v>
      </c>
      <c r="G695" s="209" t="s">
        <v>982</v>
      </c>
      <c r="H695" s="210"/>
      <c r="I695" s="211" t="s">
        <v>984</v>
      </c>
      <c r="J695" s="144">
        <v>1</v>
      </c>
      <c r="K695" s="145">
        <f t="shared" si="1531"/>
        <v>4</v>
      </c>
      <c r="L695" s="202">
        <f t="shared" si="1532"/>
        <v>4</v>
      </c>
      <c r="M695" s="212">
        <v>0.28160000000000007</v>
      </c>
      <c r="N695" s="203">
        <f t="shared" si="1533"/>
        <v>1.1264000000000003</v>
      </c>
      <c r="O695" s="212" t="s">
        <v>137</v>
      </c>
      <c r="P695" s="212" t="s">
        <v>14</v>
      </c>
      <c r="Q695" s="212" t="s">
        <v>976</v>
      </c>
      <c r="R695" s="212"/>
      <c r="S695" s="212"/>
      <c r="T695" s="203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0</v>
      </c>
      <c r="U695" s="203">
        <f t="shared" ca="1" si="1534"/>
        <v>4</v>
      </c>
      <c r="V695" s="203">
        <f t="shared" ca="1" si="1535"/>
        <v>0</v>
      </c>
      <c r="W695" s="212"/>
      <c r="X695" s="212"/>
      <c r="Y695" s="212"/>
      <c r="Z695" s="212"/>
      <c r="AA695" s="212"/>
      <c r="AB695" s="212"/>
      <c r="AC695" s="214" t="s">
        <v>1784</v>
      </c>
      <c r="AD695" s="226" t="s">
        <v>1785</v>
      </c>
      <c r="AE695" s="148"/>
      <c r="AF695" s="212" t="str">
        <f t="shared" ref="AF695:AG695" si="1560">AF694</f>
        <v>N/A</v>
      </c>
      <c r="AG695" s="212">
        <f t="shared" si="1560"/>
        <v>0</v>
      </c>
      <c r="AH695" s="203">
        <f t="shared" si="1537"/>
        <v>0</v>
      </c>
      <c r="AI695" s="203">
        <f t="shared" ca="1" si="1538"/>
        <v>0</v>
      </c>
      <c r="AJ695" s="203">
        <f t="shared" ca="1" si="1539"/>
        <v>0</v>
      </c>
      <c r="AK695" s="212" t="str">
        <f t="shared" ref="AK695:AL695" si="1561">AK694</f>
        <v>N/A</v>
      </c>
      <c r="AL695" s="212">
        <f t="shared" si="1561"/>
        <v>0</v>
      </c>
      <c r="AM695" s="203">
        <f t="shared" si="1541"/>
        <v>0</v>
      </c>
      <c r="AN695" s="203">
        <f t="shared" ca="1" si="1542"/>
        <v>0</v>
      </c>
      <c r="AO695" s="203">
        <f t="shared" ca="1" si="1543"/>
        <v>0</v>
      </c>
      <c r="AP695" s="212" t="str">
        <f t="shared" ref="AP695:AQ695" si="1562">AP694</f>
        <v>N/A</v>
      </c>
      <c r="AQ695" s="212">
        <f t="shared" si="1562"/>
        <v>0</v>
      </c>
      <c r="AR695" s="203">
        <f t="shared" si="1545"/>
        <v>0</v>
      </c>
      <c r="AS695" s="203">
        <f t="shared" ca="1" si="1546"/>
        <v>0</v>
      </c>
      <c r="AT695" s="203">
        <f t="shared" ca="1" si="1547"/>
        <v>0</v>
      </c>
      <c r="AU695" s="212" t="str">
        <f t="shared" ref="AU695:AV695" si="1563">AU694</f>
        <v>AMC2-S1</v>
      </c>
      <c r="AV695" s="212">
        <f t="shared" si="1563"/>
        <v>4</v>
      </c>
      <c r="AW695" s="203">
        <f t="shared" si="1549"/>
        <v>4</v>
      </c>
      <c r="AX695" s="203">
        <f t="shared" ca="1" si="1550"/>
        <v>0</v>
      </c>
      <c r="AY695" s="203">
        <f t="shared" ca="1" si="1551"/>
        <v>4</v>
      </c>
      <c r="AZ695" s="212"/>
      <c r="BA695" s="213" t="s">
        <v>140</v>
      </c>
      <c r="BB695" s="213" t="s">
        <v>140</v>
      </c>
      <c r="BC695" s="213" t="s">
        <v>140</v>
      </c>
      <c r="BD695" s="213" t="s">
        <v>141</v>
      </c>
      <c r="BE695" s="148"/>
      <c r="BF695" s="212"/>
      <c r="BG695" s="117"/>
      <c r="BH695" s="117"/>
      <c r="BI695" s="149"/>
      <c r="BJ695" s="149"/>
      <c r="BK695" s="149"/>
      <c r="BL695" s="149"/>
      <c r="BM695" s="149"/>
      <c r="BN695" s="149"/>
      <c r="BO695" s="149"/>
      <c r="BP695" s="149"/>
      <c r="BQ695" s="149"/>
      <c r="BR695" s="117" t="s">
        <v>140</v>
      </c>
      <c r="BS695" s="117" t="s">
        <v>140</v>
      </c>
      <c r="BT695" s="117" t="s">
        <v>140</v>
      </c>
      <c r="BU695" s="117" t="s">
        <v>140</v>
      </c>
      <c r="BV695" s="117" t="s">
        <v>140</v>
      </c>
      <c r="BW695" s="117" t="s">
        <v>140</v>
      </c>
      <c r="BX695" s="117" t="s">
        <v>140</v>
      </c>
      <c r="BY695" s="117" t="s">
        <v>14</v>
      </c>
      <c r="BZ695" s="117"/>
      <c r="CA695" s="117"/>
      <c r="CB695" s="149"/>
      <c r="CC695" s="117"/>
      <c r="CD695" s="117"/>
      <c r="CE695" s="148"/>
      <c r="CF695" s="148"/>
    </row>
    <row r="696" spans="1:84" hidden="1">
      <c r="A696" s="162">
        <v>39</v>
      </c>
      <c r="B696" s="177" t="s">
        <v>1846</v>
      </c>
      <c r="C696" s="177" t="s">
        <v>2132</v>
      </c>
      <c r="D696" s="177" t="s">
        <v>1855</v>
      </c>
      <c r="E696" s="177"/>
      <c r="F696" s="177"/>
      <c r="G696" s="177" t="s">
        <v>1856</v>
      </c>
      <c r="H696" s="178"/>
      <c r="I696" s="179"/>
      <c r="J696" s="160"/>
      <c r="K696" s="180">
        <f>+AG696+AL696+AQ696+AV696</f>
        <v>4</v>
      </c>
      <c r="L696" s="160"/>
      <c r="M696" s="181">
        <v>17.2</v>
      </c>
      <c r="N696" s="181">
        <v>69</v>
      </c>
      <c r="O696" s="181" t="s">
        <v>137</v>
      </c>
      <c r="P696" s="181"/>
      <c r="Q696" s="181"/>
      <c r="R696" s="181"/>
      <c r="S696" s="181"/>
      <c r="T696" s="181"/>
      <c r="U696" s="181"/>
      <c r="V696" s="181"/>
      <c r="W696" s="181">
        <f ca="1">_xlfn.MINIFS(V:V,C:C,C696,AE:AE,"",AB:AB,"")</f>
        <v>0</v>
      </c>
      <c r="X696" s="181">
        <f ca="1">SUMIFS(T:T,C:C,C696,AE:AE,"")/SUMIFS(L:L,C:C,C696,AE:AE,"",AB:AB,"")</f>
        <v>0.3125</v>
      </c>
      <c r="Y696" s="181"/>
      <c r="Z696" s="181"/>
      <c r="AA696" s="181"/>
      <c r="AB696" s="181"/>
      <c r="AC696" s="183" t="s">
        <v>1784</v>
      </c>
      <c r="AD696" s="184" t="s">
        <v>1785</v>
      </c>
      <c r="AE696" s="162" t="s">
        <v>143</v>
      </c>
      <c r="AF696" s="181" t="s">
        <v>138</v>
      </c>
      <c r="AG696" s="181">
        <v>0</v>
      </c>
      <c r="AH696" s="181"/>
      <c r="AI696" s="181"/>
      <c r="AJ696" s="181"/>
      <c r="AK696" s="181" t="s">
        <v>138</v>
      </c>
      <c r="AL696" s="181">
        <v>0</v>
      </c>
      <c r="AM696" s="181"/>
      <c r="AN696" s="181"/>
      <c r="AO696" s="181"/>
      <c r="AP696" s="181" t="s">
        <v>138</v>
      </c>
      <c r="AQ696" s="181">
        <v>0</v>
      </c>
      <c r="AR696" s="181"/>
      <c r="AS696" s="181"/>
      <c r="AT696" s="181"/>
      <c r="AU696" s="181" t="s">
        <v>1783</v>
      </c>
      <c r="AV696" s="181">
        <v>4</v>
      </c>
      <c r="AW696" s="181"/>
      <c r="AX696" s="181"/>
      <c r="AY696" s="181"/>
      <c r="AZ696" s="181"/>
      <c r="BA696" s="182" t="s">
        <v>140</v>
      </c>
      <c r="BB696" s="182" t="s">
        <v>140</v>
      </c>
      <c r="BC696" s="182" t="s">
        <v>140</v>
      </c>
      <c r="BD696" s="182" t="s">
        <v>141</v>
      </c>
      <c r="BE696" s="162" t="s">
        <v>741</v>
      </c>
      <c r="BF696" s="181"/>
      <c r="BG696" s="161"/>
      <c r="BH696" s="161"/>
      <c r="BI696" s="163"/>
      <c r="BJ696" s="163"/>
      <c r="BK696" s="163"/>
      <c r="BL696" s="163"/>
      <c r="BM696" s="163"/>
      <c r="BN696" s="163"/>
      <c r="BO696" s="163"/>
      <c r="BP696" s="163"/>
      <c r="BQ696" s="163"/>
      <c r="BR696" s="161"/>
      <c r="BS696" s="161"/>
      <c r="BT696" s="161"/>
      <c r="BU696" s="161"/>
      <c r="BV696" s="161"/>
      <c r="BW696" s="161"/>
      <c r="BX696" s="161"/>
      <c r="BY696" s="161"/>
      <c r="BZ696" s="161"/>
      <c r="CA696" s="161"/>
      <c r="CB696" s="163"/>
      <c r="CC696" s="161"/>
      <c r="CD696" s="161"/>
      <c r="CE696" s="185"/>
      <c r="CF696" s="185"/>
    </row>
    <row r="697" spans="1:84" hidden="1">
      <c r="A697" s="141"/>
      <c r="B697" s="199" t="s">
        <v>1846</v>
      </c>
      <c r="C697" s="199" t="s">
        <v>2132</v>
      </c>
      <c r="D697" s="199" t="s">
        <v>13</v>
      </c>
      <c r="E697" s="199" t="s">
        <v>1788</v>
      </c>
      <c r="F697" s="199" t="s">
        <v>990</v>
      </c>
      <c r="G697" s="199" t="s">
        <v>991</v>
      </c>
      <c r="H697" s="200">
        <v>200</v>
      </c>
      <c r="I697" s="201" t="s">
        <v>147</v>
      </c>
      <c r="J697" s="165">
        <v>1</v>
      </c>
      <c r="K697" s="202">
        <f t="shared" ref="K697:K698" si="1564">K696</f>
        <v>4</v>
      </c>
      <c r="L697" s="202">
        <f t="shared" ref="L697:L698" si="1565">+J697*K697</f>
        <v>4</v>
      </c>
      <c r="M697" s="203">
        <v>9.5</v>
      </c>
      <c r="N697" s="203">
        <f t="shared" ref="N697:N698" si="1566">+M697*L697</f>
        <v>38</v>
      </c>
      <c r="O697" s="203" t="s">
        <v>137</v>
      </c>
      <c r="P697" s="203" t="s">
        <v>13</v>
      </c>
      <c r="Q697" s="203" t="s">
        <v>148</v>
      </c>
      <c r="R697" s="203"/>
      <c r="S697" s="203"/>
      <c r="T697" s="203">
        <f ca="1">IF(SUMIFS(INDIRECT("'BTP-"&amp;$C$4&amp;"'!L:L"),INDIRECT("'BTP-"&amp;$C$4&amp;"'!D:D"),F697)-SUMIFS($T$10:T696,$F$10:F696,F697)&gt;0,MIN(SUMIFS(INDIRECT("'BTP-"&amp;$C$4&amp;"'!L:L"),INDIRECT("'BTP-"&amp;$C$4&amp;"'!D:D"),F697)-SUMIFS($T$10:T696,$F$10:F696,F697),L697),0)</f>
        <v>0</v>
      </c>
      <c r="U697" s="203">
        <f t="shared" ref="U697:U698" ca="1" si="1567">+L697-T697</f>
        <v>4</v>
      </c>
      <c r="V697" s="203">
        <f t="shared" ref="V697:V698" ca="1" si="1568">ROUNDDOWN(T697/J697,0)</f>
        <v>0</v>
      </c>
      <c r="W697" s="203"/>
      <c r="X697" s="203"/>
      <c r="Y697" s="203"/>
      <c r="Z697" s="203"/>
      <c r="AA697" s="203"/>
      <c r="AB697" s="203"/>
      <c r="AC697" s="205" t="s">
        <v>1784</v>
      </c>
      <c r="AD697" s="225" t="s">
        <v>1785</v>
      </c>
      <c r="AE697" s="166"/>
      <c r="AF697" s="203" t="str">
        <f t="shared" ref="AF697:AG697" si="1569">AF696</f>
        <v>N/A</v>
      </c>
      <c r="AG697" s="203">
        <f t="shared" si="1569"/>
        <v>0</v>
      </c>
      <c r="AH697" s="203">
        <f t="shared" ref="AH697:AH698" si="1570">+AG697*J697</f>
        <v>0</v>
      </c>
      <c r="AI697" s="203">
        <f t="shared" ref="AI697:AI698" ca="1" si="1571">MIN(T697,AH697)</f>
        <v>0</v>
      </c>
      <c r="AJ697" s="203">
        <f t="shared" ref="AJ697:AJ698" ca="1" si="1572">+AH697-AI697</f>
        <v>0</v>
      </c>
      <c r="AK697" s="203" t="str">
        <f t="shared" ref="AK697:AL697" si="1573">AK696</f>
        <v>N/A</v>
      </c>
      <c r="AL697" s="203">
        <f t="shared" si="1573"/>
        <v>0</v>
      </c>
      <c r="AM697" s="203">
        <f t="shared" ref="AM697:AM698" si="1574">+AL697*J697</f>
        <v>0</v>
      </c>
      <c r="AN697" s="203">
        <f t="shared" ref="AN697:AN698" ca="1" si="1575">MIN(T697-AI697,AL697)</f>
        <v>0</v>
      </c>
      <c r="AO697" s="203">
        <f t="shared" ref="AO697:AO698" ca="1" si="1576">+AM697-AN697</f>
        <v>0</v>
      </c>
      <c r="AP697" s="203" t="str">
        <f t="shared" ref="AP697:AQ697" si="1577">AP696</f>
        <v>N/A</v>
      </c>
      <c r="AQ697" s="203">
        <f t="shared" si="1577"/>
        <v>0</v>
      </c>
      <c r="AR697" s="203">
        <f t="shared" ref="AR697:AR698" si="1578">+AQ697*J697</f>
        <v>0</v>
      </c>
      <c r="AS697" s="203">
        <f t="shared" ref="AS697:AS698" ca="1" si="1579">MIN(T697-AI697-AN697,AR697)</f>
        <v>0</v>
      </c>
      <c r="AT697" s="203">
        <f t="shared" ref="AT697:AT698" ca="1" si="1580">+AR697-AS697</f>
        <v>0</v>
      </c>
      <c r="AU697" s="203" t="str">
        <f t="shared" ref="AU697:AV697" si="1581">AU696</f>
        <v>AMC2-S1</v>
      </c>
      <c r="AV697" s="203">
        <f t="shared" si="1581"/>
        <v>4</v>
      </c>
      <c r="AW697" s="203">
        <f t="shared" ref="AW697:AW698" si="1582">+AV697*J697</f>
        <v>4</v>
      </c>
      <c r="AX697" s="203">
        <f t="shared" ref="AX697:AX698" ca="1" si="1583">MIN(T697-AI697-AN697-AS697,AW697)</f>
        <v>0</v>
      </c>
      <c r="AY697" s="203">
        <f t="shared" ref="AY697:AY698" ca="1" si="1584">+AW697-AX697</f>
        <v>4</v>
      </c>
      <c r="AZ697" s="203"/>
      <c r="BA697" s="204" t="s">
        <v>140</v>
      </c>
      <c r="BB697" s="204" t="s">
        <v>140</v>
      </c>
      <c r="BC697" s="204" t="s">
        <v>140</v>
      </c>
      <c r="BD697" s="204" t="s">
        <v>141</v>
      </c>
      <c r="BE697" s="166"/>
      <c r="BF697" s="203" t="s">
        <v>1789</v>
      </c>
      <c r="BG697" s="141"/>
      <c r="BH697" s="141"/>
      <c r="BI697" s="153"/>
      <c r="BJ697" s="153"/>
      <c r="BK697" s="153"/>
      <c r="BL697" s="153" t="s">
        <v>149</v>
      </c>
      <c r="BM697" s="153"/>
      <c r="BN697" s="153"/>
      <c r="BO697" s="153"/>
      <c r="BP697" s="153"/>
      <c r="BQ697" s="153"/>
      <c r="BR697" s="141">
        <v>0</v>
      </c>
      <c r="BS697" s="141">
        <v>0</v>
      </c>
      <c r="BT697" s="141">
        <v>0</v>
      </c>
      <c r="BU697" s="141">
        <v>1</v>
      </c>
      <c r="BV697" s="141">
        <v>0</v>
      </c>
      <c r="BW697" s="141">
        <v>0</v>
      </c>
      <c r="BX697" s="141">
        <v>0</v>
      </c>
      <c r="BY697" s="141" t="s">
        <v>1790</v>
      </c>
      <c r="BZ697" s="141" t="s">
        <v>2133</v>
      </c>
      <c r="CA697" s="141">
        <v>4</v>
      </c>
      <c r="CB697" s="153">
        <v>46238</v>
      </c>
      <c r="CC697" s="141"/>
      <c r="CD697" s="141"/>
      <c r="CE697" s="166"/>
      <c r="CF697" s="166">
        <f>+L697-CA697</f>
        <v>0</v>
      </c>
    </row>
    <row r="698" spans="1:84" hidden="1">
      <c r="A698" s="141"/>
      <c r="B698" s="199" t="s">
        <v>1846</v>
      </c>
      <c r="C698" s="199" t="s">
        <v>2132</v>
      </c>
      <c r="D698" s="199" t="s">
        <v>13</v>
      </c>
      <c r="E698" s="199" t="s">
        <v>1791</v>
      </c>
      <c r="F698" s="199" t="s">
        <v>995</v>
      </c>
      <c r="G698" s="199" t="s">
        <v>996</v>
      </c>
      <c r="H698" s="200">
        <v>170</v>
      </c>
      <c r="I698" s="201" t="s">
        <v>147</v>
      </c>
      <c r="J698" s="165">
        <v>1</v>
      </c>
      <c r="K698" s="202">
        <f t="shared" si="1564"/>
        <v>4</v>
      </c>
      <c r="L698" s="202">
        <f t="shared" si="1565"/>
        <v>4</v>
      </c>
      <c r="M698" s="203">
        <v>8</v>
      </c>
      <c r="N698" s="203">
        <f t="shared" si="1566"/>
        <v>32</v>
      </c>
      <c r="O698" s="203" t="s">
        <v>137</v>
      </c>
      <c r="P698" s="203" t="s">
        <v>13</v>
      </c>
      <c r="Q698" s="203" t="s">
        <v>148</v>
      </c>
      <c r="R698" s="203"/>
      <c r="S698" s="203"/>
      <c r="T698" s="203">
        <f ca="1">IF(SUMIFS(INDIRECT("'BTP-"&amp;$C$4&amp;"'!L:L"),INDIRECT("'BTP-"&amp;$C$4&amp;"'!D:D"),F698)-SUMIFS($T$10:T697,$F$10:F697,F698)&gt;0,MIN(SUMIFS(INDIRECT("'BTP-"&amp;$C$4&amp;"'!L:L"),INDIRECT("'BTP-"&amp;$C$4&amp;"'!D:D"),F698)-SUMIFS($T$10:T697,$F$10:F697,F698),L698),0)</f>
        <v>0</v>
      </c>
      <c r="U698" s="203">
        <f t="shared" ca="1" si="1567"/>
        <v>4</v>
      </c>
      <c r="V698" s="203">
        <f t="shared" ca="1" si="1568"/>
        <v>0</v>
      </c>
      <c r="W698" s="203"/>
      <c r="X698" s="203"/>
      <c r="Y698" s="203"/>
      <c r="Z698" s="203"/>
      <c r="AA698" s="203"/>
      <c r="AB698" s="203"/>
      <c r="AC698" s="205" t="s">
        <v>1784</v>
      </c>
      <c r="AD698" s="225" t="s">
        <v>1785</v>
      </c>
      <c r="AE698" s="166"/>
      <c r="AF698" s="203" t="str">
        <f t="shared" ref="AF698:AG698" si="1585">AF697</f>
        <v>N/A</v>
      </c>
      <c r="AG698" s="203">
        <f t="shared" si="1585"/>
        <v>0</v>
      </c>
      <c r="AH698" s="203">
        <f t="shared" si="1570"/>
        <v>0</v>
      </c>
      <c r="AI698" s="203">
        <f t="shared" ca="1" si="1571"/>
        <v>0</v>
      </c>
      <c r="AJ698" s="203">
        <f t="shared" ca="1" si="1572"/>
        <v>0</v>
      </c>
      <c r="AK698" s="203" t="str">
        <f t="shared" ref="AK698:AL698" si="1586">AK697</f>
        <v>N/A</v>
      </c>
      <c r="AL698" s="203">
        <f t="shared" si="1586"/>
        <v>0</v>
      </c>
      <c r="AM698" s="203">
        <f t="shared" si="1574"/>
        <v>0</v>
      </c>
      <c r="AN698" s="203">
        <f t="shared" ca="1" si="1575"/>
        <v>0</v>
      </c>
      <c r="AO698" s="203">
        <f t="shared" ca="1" si="1576"/>
        <v>0</v>
      </c>
      <c r="AP698" s="203" t="str">
        <f t="shared" ref="AP698:AQ698" si="1587">AP697</f>
        <v>N/A</v>
      </c>
      <c r="AQ698" s="203">
        <f t="shared" si="1587"/>
        <v>0</v>
      </c>
      <c r="AR698" s="203">
        <f t="shared" si="1578"/>
        <v>0</v>
      </c>
      <c r="AS698" s="203">
        <f t="shared" ca="1" si="1579"/>
        <v>0</v>
      </c>
      <c r="AT698" s="203">
        <f t="shared" ca="1" si="1580"/>
        <v>0</v>
      </c>
      <c r="AU698" s="203" t="str">
        <f t="shared" ref="AU698:AV698" si="1588">AU697</f>
        <v>AMC2-S1</v>
      </c>
      <c r="AV698" s="203">
        <f t="shared" si="1588"/>
        <v>4</v>
      </c>
      <c r="AW698" s="203">
        <f t="shared" si="1582"/>
        <v>4</v>
      </c>
      <c r="AX698" s="203">
        <f t="shared" ca="1" si="1583"/>
        <v>0</v>
      </c>
      <c r="AY698" s="203">
        <f t="shared" ca="1" si="1584"/>
        <v>4</v>
      </c>
      <c r="AZ698" s="203"/>
      <c r="BA698" s="204" t="s">
        <v>140</v>
      </c>
      <c r="BB698" s="204" t="s">
        <v>140</v>
      </c>
      <c r="BC698" s="204" t="s">
        <v>140</v>
      </c>
      <c r="BD698" s="204" t="s">
        <v>141</v>
      </c>
      <c r="BE698" s="166"/>
      <c r="BF698" s="203" t="s">
        <v>1789</v>
      </c>
      <c r="BG698" s="141"/>
      <c r="BH698" s="141"/>
      <c r="BI698" s="153"/>
      <c r="BJ698" s="153"/>
      <c r="BK698" s="153"/>
      <c r="BL698" s="153" t="s">
        <v>149</v>
      </c>
      <c r="BM698" s="153"/>
      <c r="BN698" s="153"/>
      <c r="BO698" s="153"/>
      <c r="BP698" s="153"/>
      <c r="BQ698" s="153"/>
      <c r="BR698" s="141">
        <v>0</v>
      </c>
      <c r="BS698" s="141">
        <v>0</v>
      </c>
      <c r="BT698" s="141">
        <v>0</v>
      </c>
      <c r="BU698" s="141">
        <v>1</v>
      </c>
      <c r="BV698" s="141">
        <v>0</v>
      </c>
      <c r="BW698" s="141">
        <v>0</v>
      </c>
      <c r="BX698" s="141">
        <v>0</v>
      </c>
      <c r="BY698" s="141" t="s">
        <v>1790</v>
      </c>
      <c r="BZ698" s="141" t="s">
        <v>2133</v>
      </c>
      <c r="CA698" s="141">
        <v>4</v>
      </c>
      <c r="CB698" s="153">
        <v>46238</v>
      </c>
      <c r="CC698" s="141"/>
      <c r="CD698" s="141"/>
      <c r="CE698" s="166"/>
      <c r="CF698" s="166">
        <f>+L698-CA698</f>
        <v>0</v>
      </c>
    </row>
    <row r="699" spans="1:84" hidden="1">
      <c r="A699" s="162">
        <v>40</v>
      </c>
      <c r="B699" s="177" t="s">
        <v>1857</v>
      </c>
      <c r="C699" s="177" t="s">
        <v>2134</v>
      </c>
      <c r="D699" s="177" t="s">
        <v>1858</v>
      </c>
      <c r="E699" s="177"/>
      <c r="F699" s="177"/>
      <c r="G699" s="177" t="s">
        <v>1859</v>
      </c>
      <c r="H699" s="178"/>
      <c r="I699" s="179" t="s">
        <v>147</v>
      </c>
      <c r="J699" s="160"/>
      <c r="K699" s="180">
        <f t="shared" ref="K699:K701" si="1589">+AG699+AL699+AQ699+AV699</f>
        <v>2</v>
      </c>
      <c r="L699" s="160"/>
      <c r="M699" s="181">
        <v>5.3</v>
      </c>
      <c r="N699" s="181">
        <v>11</v>
      </c>
      <c r="O699" s="181" t="s">
        <v>137</v>
      </c>
      <c r="P699" s="181"/>
      <c r="Q699" s="181"/>
      <c r="R699" s="181"/>
      <c r="S699" s="181"/>
      <c r="T699" s="181"/>
      <c r="U699" s="181"/>
      <c r="V699" s="181"/>
      <c r="W699" s="181">
        <f>_xlfn.MINIFS(V:V,C:C,C699,AE:AE,"",AB:AB,"")</f>
        <v>0</v>
      </c>
      <c r="X699" s="181" t="e">
        <f>SUMIFS(T:T,C:C,C699,AE:AE,"")/SUMIFS(L:L,C:C,C699,AE:AE,"",AB:AB,"")</f>
        <v>#DIV/0!</v>
      </c>
      <c r="Y699" s="181"/>
      <c r="Z699" s="181"/>
      <c r="AA699" s="181"/>
      <c r="AB699" s="181"/>
      <c r="AC699" s="183" t="s">
        <v>1784</v>
      </c>
      <c r="AD699" s="184" t="s">
        <v>1785</v>
      </c>
      <c r="AE699" s="162" t="s">
        <v>143</v>
      </c>
      <c r="AF699" s="181" t="s">
        <v>138</v>
      </c>
      <c r="AG699" s="181">
        <v>0</v>
      </c>
      <c r="AH699" s="181"/>
      <c r="AI699" s="181"/>
      <c r="AJ699" s="181"/>
      <c r="AK699" s="181" t="s">
        <v>138</v>
      </c>
      <c r="AL699" s="181">
        <v>0</v>
      </c>
      <c r="AM699" s="181"/>
      <c r="AN699" s="181"/>
      <c r="AO699" s="181"/>
      <c r="AP699" s="181" t="s">
        <v>138</v>
      </c>
      <c r="AQ699" s="181">
        <v>0</v>
      </c>
      <c r="AR699" s="181"/>
      <c r="AS699" s="181"/>
      <c r="AT699" s="181"/>
      <c r="AU699" s="181" t="s">
        <v>1783</v>
      </c>
      <c r="AV699" s="181">
        <v>2</v>
      </c>
      <c r="AW699" s="181"/>
      <c r="AX699" s="181">
        <v>2</v>
      </c>
      <c r="AY699" s="181"/>
      <c r="AZ699" s="181"/>
      <c r="BA699" s="182" t="s">
        <v>140</v>
      </c>
      <c r="BB699" s="182" t="s">
        <v>140</v>
      </c>
      <c r="BC699" s="182" t="s">
        <v>140</v>
      </c>
      <c r="BD699" s="182" t="s">
        <v>141</v>
      </c>
      <c r="BE699" s="162" t="s">
        <v>741</v>
      </c>
      <c r="BF699" s="181"/>
      <c r="BG699" s="161"/>
      <c r="BH699" s="161"/>
      <c r="BI699" s="163"/>
      <c r="BJ699" s="163"/>
      <c r="BK699" s="163"/>
      <c r="BL699" s="163"/>
      <c r="BM699" s="163"/>
      <c r="BN699" s="163"/>
      <c r="BO699" s="163"/>
      <c r="BP699" s="163"/>
      <c r="BQ699" s="163"/>
      <c r="BR699" s="161"/>
      <c r="BS699" s="161"/>
      <c r="BT699" s="161"/>
      <c r="BU699" s="161"/>
      <c r="BV699" s="161"/>
      <c r="BW699" s="161"/>
      <c r="BX699" s="161"/>
      <c r="BY699" s="161"/>
      <c r="BZ699" s="161"/>
      <c r="CA699" s="161"/>
      <c r="CB699" s="163"/>
      <c r="CC699" s="161"/>
      <c r="CD699" s="161"/>
      <c r="CE699" s="185"/>
      <c r="CF699" s="185"/>
    </row>
    <row r="700" spans="1:84" hidden="1">
      <c r="A700" s="162">
        <v>41</v>
      </c>
      <c r="B700" s="177" t="s">
        <v>1857</v>
      </c>
      <c r="C700" s="177" t="s">
        <v>2135</v>
      </c>
      <c r="D700" s="177" t="s">
        <v>1858</v>
      </c>
      <c r="E700" s="177"/>
      <c r="F700" s="177"/>
      <c r="G700" s="177" t="s">
        <v>1860</v>
      </c>
      <c r="H700" s="178"/>
      <c r="I700" s="179" t="s">
        <v>147</v>
      </c>
      <c r="J700" s="160"/>
      <c r="K700" s="180">
        <f t="shared" si="1589"/>
        <v>6</v>
      </c>
      <c r="L700" s="160"/>
      <c r="M700" s="181">
        <v>7.5</v>
      </c>
      <c r="N700" s="181">
        <v>45</v>
      </c>
      <c r="O700" s="181" t="s">
        <v>137</v>
      </c>
      <c r="P700" s="181"/>
      <c r="Q700" s="181"/>
      <c r="R700" s="181"/>
      <c r="S700" s="181"/>
      <c r="T700" s="181"/>
      <c r="U700" s="181"/>
      <c r="V700" s="181"/>
      <c r="W700" s="181">
        <f>_xlfn.MINIFS(V:V,C:C,C700,AE:AE,"",AB:AB,"")</f>
        <v>0</v>
      </c>
      <c r="X700" s="181" t="e">
        <f>SUMIFS(T:T,C:C,C700,AE:AE,"")/SUMIFS(L:L,C:C,C700,AE:AE,"",AB:AB,"")</f>
        <v>#DIV/0!</v>
      </c>
      <c r="Y700" s="181"/>
      <c r="Z700" s="181"/>
      <c r="AA700" s="181"/>
      <c r="AB700" s="181"/>
      <c r="AC700" s="183" t="s">
        <v>1784</v>
      </c>
      <c r="AD700" s="184" t="s">
        <v>1785</v>
      </c>
      <c r="AE700" s="162" t="s">
        <v>143</v>
      </c>
      <c r="AF700" s="181" t="s">
        <v>138</v>
      </c>
      <c r="AG700" s="181">
        <v>0</v>
      </c>
      <c r="AH700" s="181"/>
      <c r="AI700" s="181"/>
      <c r="AJ700" s="181"/>
      <c r="AK700" s="181" t="s">
        <v>138</v>
      </c>
      <c r="AL700" s="181">
        <v>0</v>
      </c>
      <c r="AM700" s="181"/>
      <c r="AN700" s="181"/>
      <c r="AO700" s="181"/>
      <c r="AP700" s="181" t="s">
        <v>138</v>
      </c>
      <c r="AQ700" s="181">
        <v>0</v>
      </c>
      <c r="AR700" s="181"/>
      <c r="AS700" s="181"/>
      <c r="AT700" s="181"/>
      <c r="AU700" s="181" t="s">
        <v>1783</v>
      </c>
      <c r="AV700" s="181">
        <v>6</v>
      </c>
      <c r="AW700" s="181"/>
      <c r="AX700" s="181"/>
      <c r="AY700" s="181"/>
      <c r="AZ700" s="181"/>
      <c r="BA700" s="182" t="s">
        <v>140</v>
      </c>
      <c r="BB700" s="182" t="s">
        <v>140</v>
      </c>
      <c r="BC700" s="182" t="s">
        <v>140</v>
      </c>
      <c r="BD700" s="182" t="s">
        <v>141</v>
      </c>
      <c r="BE700" s="162" t="s">
        <v>741</v>
      </c>
      <c r="BF700" s="181"/>
      <c r="BG700" s="161"/>
      <c r="BH700" s="161"/>
      <c r="BI700" s="163"/>
      <c r="BJ700" s="163"/>
      <c r="BK700" s="163"/>
      <c r="BL700" s="163"/>
      <c r="BM700" s="163"/>
      <c r="BN700" s="163"/>
      <c r="BO700" s="163"/>
      <c r="BP700" s="163"/>
      <c r="BQ700" s="163"/>
      <c r="BR700" s="161"/>
      <c r="BS700" s="161"/>
      <c r="BT700" s="161"/>
      <c r="BU700" s="161"/>
      <c r="BV700" s="161"/>
      <c r="BW700" s="161"/>
      <c r="BX700" s="161"/>
      <c r="BY700" s="161"/>
      <c r="BZ700" s="161"/>
      <c r="CA700" s="161"/>
      <c r="CB700" s="163"/>
      <c r="CC700" s="161"/>
      <c r="CD700" s="161"/>
      <c r="CE700" s="185"/>
      <c r="CF700" s="185"/>
    </row>
    <row r="701" spans="1:84" hidden="1">
      <c r="A701" s="162">
        <v>42</v>
      </c>
      <c r="B701" s="177" t="s">
        <v>1846</v>
      </c>
      <c r="C701" s="177" t="s">
        <v>2136</v>
      </c>
      <c r="D701" s="177" t="s">
        <v>1861</v>
      </c>
      <c r="E701" s="177"/>
      <c r="F701" s="177"/>
      <c r="G701" s="177" t="s">
        <v>1862</v>
      </c>
      <c r="H701" s="178"/>
      <c r="I701" s="179" t="s">
        <v>147</v>
      </c>
      <c r="J701" s="160"/>
      <c r="K701" s="180">
        <f t="shared" si="1589"/>
        <v>10</v>
      </c>
      <c r="L701" s="160"/>
      <c r="M701" s="181">
        <v>0.5</v>
      </c>
      <c r="N701" s="181">
        <v>5</v>
      </c>
      <c r="O701" s="181" t="s">
        <v>137</v>
      </c>
      <c r="P701" s="181"/>
      <c r="Q701" s="181"/>
      <c r="R701" s="181"/>
      <c r="S701" s="181"/>
      <c r="T701" s="181"/>
      <c r="U701" s="181"/>
      <c r="V701" s="181"/>
      <c r="W701" s="181">
        <f ca="1">_xlfn.MINIFS(V:V,C:C,C701,AE:AE,"",AB:AB,"")</f>
        <v>0</v>
      </c>
      <c r="X701" s="181">
        <f ca="1">SUMIFS(T:T,C:C,C701,AE:AE,"")/SUMIFS(L:L,C:C,C701,AE:AE,"",AB:AB,"")</f>
        <v>0.45454545454545453</v>
      </c>
      <c r="Y701" s="181"/>
      <c r="Z701" s="181"/>
      <c r="AA701" s="181"/>
      <c r="AB701" s="181"/>
      <c r="AC701" s="183" t="s">
        <v>1784</v>
      </c>
      <c r="AD701" s="184" t="s">
        <v>1785</v>
      </c>
      <c r="AE701" s="162" t="s">
        <v>143</v>
      </c>
      <c r="AF701" s="181" t="s">
        <v>138</v>
      </c>
      <c r="AG701" s="181">
        <v>0</v>
      </c>
      <c r="AH701" s="181"/>
      <c r="AI701" s="181"/>
      <c r="AJ701" s="181"/>
      <c r="AK701" s="181" t="s">
        <v>138</v>
      </c>
      <c r="AL701" s="181">
        <v>0</v>
      </c>
      <c r="AM701" s="181"/>
      <c r="AN701" s="181"/>
      <c r="AO701" s="181"/>
      <c r="AP701" s="181" t="s">
        <v>138</v>
      </c>
      <c r="AQ701" s="181">
        <v>0</v>
      </c>
      <c r="AR701" s="181"/>
      <c r="AS701" s="181"/>
      <c r="AT701" s="181"/>
      <c r="AU701" s="181" t="s">
        <v>1783</v>
      </c>
      <c r="AV701" s="181">
        <v>10</v>
      </c>
      <c r="AW701" s="181"/>
      <c r="AX701" s="181"/>
      <c r="AY701" s="181"/>
      <c r="AZ701" s="179"/>
      <c r="BA701" s="182" t="s">
        <v>140</v>
      </c>
      <c r="BB701" s="182" t="s">
        <v>140</v>
      </c>
      <c r="BC701" s="182" t="s">
        <v>140</v>
      </c>
      <c r="BD701" s="182" t="s">
        <v>141</v>
      </c>
      <c r="BE701" s="162" t="s">
        <v>741</v>
      </c>
      <c r="BF701" s="181"/>
      <c r="BG701" s="161"/>
      <c r="BH701" s="161"/>
      <c r="BI701" s="163"/>
      <c r="BJ701" s="163"/>
      <c r="BK701" s="163"/>
      <c r="BL701" s="163"/>
      <c r="BM701" s="163"/>
      <c r="BN701" s="163"/>
      <c r="BO701" s="163"/>
      <c r="BP701" s="163"/>
      <c r="BQ701" s="163"/>
      <c r="BR701" s="161"/>
      <c r="BS701" s="161"/>
      <c r="BT701" s="161"/>
      <c r="BU701" s="161"/>
      <c r="BV701" s="161"/>
      <c r="BW701" s="161"/>
      <c r="BX701" s="161"/>
      <c r="BY701" s="161"/>
      <c r="BZ701" s="161"/>
      <c r="CA701" s="161"/>
      <c r="CB701" s="163"/>
      <c r="CC701" s="161"/>
      <c r="CD701" s="161"/>
      <c r="CE701" s="185"/>
      <c r="CF701" s="185"/>
    </row>
    <row r="702" spans="1:84" hidden="1">
      <c r="A702" s="141"/>
      <c r="B702" s="199" t="s">
        <v>1846</v>
      </c>
      <c r="C702" s="199" t="s">
        <v>2136</v>
      </c>
      <c r="D702" s="199" t="s">
        <v>954</v>
      </c>
      <c r="E702" s="199" t="s">
        <v>1788</v>
      </c>
      <c r="F702" s="199" t="s">
        <v>997</v>
      </c>
      <c r="G702" s="199" t="s">
        <v>998</v>
      </c>
      <c r="H702" s="200">
        <v>640</v>
      </c>
      <c r="I702" s="201" t="s">
        <v>147</v>
      </c>
      <c r="J702" s="165">
        <v>1</v>
      </c>
      <c r="K702" s="202">
        <f>K701</f>
        <v>10</v>
      </c>
      <c r="L702" s="202">
        <f>+J702*K702</f>
        <v>10</v>
      </c>
      <c r="M702" s="203">
        <v>0.5</v>
      </c>
      <c r="N702" s="203">
        <f>+M702*L702</f>
        <v>5</v>
      </c>
      <c r="O702" s="203" t="s">
        <v>137</v>
      </c>
      <c r="P702" s="203" t="s">
        <v>13</v>
      </c>
      <c r="Q702" s="203" t="s">
        <v>148</v>
      </c>
      <c r="R702" s="203"/>
      <c r="S702" s="203"/>
      <c r="T702" s="203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0</v>
      </c>
      <c r="U702" s="203">
        <f t="shared" ref="U702" ca="1" si="1590">+L702-T702</f>
        <v>10</v>
      </c>
      <c r="V702" s="203">
        <f t="shared" ref="V702" ca="1" si="1591">ROUNDDOWN(T702/J702,0)</f>
        <v>0</v>
      </c>
      <c r="W702" s="203"/>
      <c r="X702" s="203"/>
      <c r="Y702" s="203"/>
      <c r="Z702" s="203"/>
      <c r="AA702" s="203"/>
      <c r="AB702" s="203"/>
      <c r="AC702" s="205" t="s">
        <v>1784</v>
      </c>
      <c r="AD702" s="225" t="s">
        <v>1785</v>
      </c>
      <c r="AE702" s="166"/>
      <c r="AF702" s="203" t="str">
        <f t="shared" ref="AF702:AG702" si="1592">AF701</f>
        <v>N/A</v>
      </c>
      <c r="AG702" s="203">
        <f t="shared" si="1592"/>
        <v>0</v>
      </c>
      <c r="AH702" s="203">
        <f>+AG702*J702</f>
        <v>0</v>
      </c>
      <c r="AI702" s="203">
        <f ca="1">MIN(T702,AH702)</f>
        <v>0</v>
      </c>
      <c r="AJ702" s="203">
        <f ca="1">+AH702-AI702</f>
        <v>0</v>
      </c>
      <c r="AK702" s="203" t="str">
        <f t="shared" ref="AK702:AL702" si="1593">AK701</f>
        <v>N/A</v>
      </c>
      <c r="AL702" s="203">
        <f t="shared" si="1593"/>
        <v>0</v>
      </c>
      <c r="AM702" s="203">
        <f>+AL702*J702</f>
        <v>0</v>
      </c>
      <c r="AN702" s="203">
        <f ca="1">MIN(T702-AI702,AL702)</f>
        <v>0</v>
      </c>
      <c r="AO702" s="203">
        <f ca="1">+AM702-AN702</f>
        <v>0</v>
      </c>
      <c r="AP702" s="203" t="str">
        <f t="shared" ref="AP702:AQ702" si="1594">AP701</f>
        <v>N/A</v>
      </c>
      <c r="AQ702" s="203">
        <f t="shared" si="1594"/>
        <v>0</v>
      </c>
      <c r="AR702" s="203">
        <f>+AQ702*J702</f>
        <v>0</v>
      </c>
      <c r="AS702" s="203">
        <f ca="1">MIN(T702-AI702-AN702,AR702)</f>
        <v>0</v>
      </c>
      <c r="AT702" s="203">
        <f ca="1">+AR702-AS702</f>
        <v>0</v>
      </c>
      <c r="AU702" s="203" t="str">
        <f t="shared" ref="AU702:AV702" si="1595">AU701</f>
        <v>AMC2-S1</v>
      </c>
      <c r="AV702" s="203">
        <f t="shared" si="1595"/>
        <v>10</v>
      </c>
      <c r="AW702" s="203">
        <f>+AV702*J702</f>
        <v>10</v>
      </c>
      <c r="AX702" s="203">
        <f ca="1">MIN(T702-AI702-AN702-AS702,AW702)</f>
        <v>0</v>
      </c>
      <c r="AY702" s="203">
        <f ca="1">+AW702-AX702</f>
        <v>10</v>
      </c>
      <c r="AZ702" s="203"/>
      <c r="BA702" s="204" t="s">
        <v>140</v>
      </c>
      <c r="BB702" s="204" t="s">
        <v>140</v>
      </c>
      <c r="BC702" s="204" t="s">
        <v>140</v>
      </c>
      <c r="BD702" s="204" t="s">
        <v>141</v>
      </c>
      <c r="BE702" s="166"/>
      <c r="BF702" s="203" t="s">
        <v>1789</v>
      </c>
      <c r="BG702" s="141"/>
      <c r="BH702" s="141"/>
      <c r="BI702" s="153"/>
      <c r="BJ702" s="153"/>
      <c r="BK702" s="153"/>
      <c r="BL702" s="153" t="s">
        <v>149</v>
      </c>
      <c r="BM702" s="153"/>
      <c r="BN702" s="153"/>
      <c r="BO702" s="153"/>
      <c r="BP702" s="153"/>
      <c r="BQ702" s="153"/>
      <c r="BR702" s="141">
        <v>0</v>
      </c>
      <c r="BS702" s="141">
        <v>0</v>
      </c>
      <c r="BT702" s="141">
        <v>0</v>
      </c>
      <c r="BU702" s="141">
        <v>0</v>
      </c>
      <c r="BV702" s="141">
        <v>0</v>
      </c>
      <c r="BW702" s="141">
        <v>0</v>
      </c>
      <c r="BX702" s="141">
        <v>0</v>
      </c>
      <c r="BY702" s="141" t="s">
        <v>1790</v>
      </c>
      <c r="BZ702" s="141" t="s">
        <v>2129</v>
      </c>
      <c r="CA702" s="165">
        <v>10</v>
      </c>
      <c r="CB702" s="153">
        <v>46238</v>
      </c>
      <c r="CC702" s="141"/>
      <c r="CD702" s="141"/>
      <c r="CE702" s="166"/>
      <c r="CF702" s="166">
        <f>+L702-CA702</f>
        <v>0</v>
      </c>
    </row>
    <row r="703" spans="1:84" hidden="1">
      <c r="A703" s="162">
        <v>43</v>
      </c>
      <c r="B703" s="177" t="s">
        <v>1863</v>
      </c>
      <c r="C703" s="177" t="s">
        <v>2137</v>
      </c>
      <c r="D703" s="177" t="s">
        <v>1864</v>
      </c>
      <c r="E703" s="177"/>
      <c r="F703" s="177"/>
      <c r="G703" s="177" t="s">
        <v>1865</v>
      </c>
      <c r="H703" s="178"/>
      <c r="I703" s="179"/>
      <c r="J703" s="160"/>
      <c r="K703" s="180">
        <f>+AG703+AL703+AQ703+AV703</f>
        <v>1</v>
      </c>
      <c r="L703" s="160"/>
      <c r="M703" s="181">
        <v>121.5</v>
      </c>
      <c r="N703" s="181">
        <v>121</v>
      </c>
      <c r="O703" s="181" t="s">
        <v>137</v>
      </c>
      <c r="P703" s="181"/>
      <c r="Q703" s="181"/>
      <c r="R703" s="181"/>
      <c r="S703" s="181"/>
      <c r="T703" s="181"/>
      <c r="U703" s="181"/>
      <c r="V703" s="181"/>
      <c r="W703" s="181">
        <f ca="1">_xlfn.MINIFS(V:V,C:C,C703,AE:AE,"",AB:AB,"")</f>
        <v>0</v>
      </c>
      <c r="X703" s="181">
        <f ca="1">SUMIFS(T:T,C:C,C703,AE:AE,"")/SUMIFS(L:L,C:C,C703,AE:AE,"",AB:AB,"")</f>
        <v>0.25</v>
      </c>
      <c r="Y703" s="181"/>
      <c r="Z703" s="181"/>
      <c r="AA703" s="181"/>
      <c r="AB703" s="181"/>
      <c r="AC703" s="183" t="s">
        <v>1784</v>
      </c>
      <c r="AD703" s="184" t="s">
        <v>1785</v>
      </c>
      <c r="AE703" s="162" t="s">
        <v>143</v>
      </c>
      <c r="AF703" s="181" t="s">
        <v>138</v>
      </c>
      <c r="AG703" s="181">
        <v>0</v>
      </c>
      <c r="AH703" s="181"/>
      <c r="AI703" s="181"/>
      <c r="AJ703" s="181"/>
      <c r="AK703" s="181" t="s">
        <v>138</v>
      </c>
      <c r="AL703" s="181">
        <v>0</v>
      </c>
      <c r="AM703" s="181"/>
      <c r="AN703" s="181"/>
      <c r="AO703" s="181"/>
      <c r="AP703" s="181" t="s">
        <v>138</v>
      </c>
      <c r="AQ703" s="181">
        <v>0</v>
      </c>
      <c r="AR703" s="181"/>
      <c r="AS703" s="181"/>
      <c r="AT703" s="181"/>
      <c r="AU703" s="181" t="s">
        <v>1783</v>
      </c>
      <c r="AV703" s="181">
        <v>1</v>
      </c>
      <c r="AW703" s="181"/>
      <c r="AX703" s="181"/>
      <c r="AY703" s="181"/>
      <c r="AZ703" s="181"/>
      <c r="BA703" s="182" t="s">
        <v>140</v>
      </c>
      <c r="BB703" s="182" t="s">
        <v>140</v>
      </c>
      <c r="BC703" s="182" t="s">
        <v>140</v>
      </c>
      <c r="BD703" s="182" t="s">
        <v>141</v>
      </c>
      <c r="BE703" s="162" t="s">
        <v>741</v>
      </c>
      <c r="BF703" s="181"/>
      <c r="BG703" s="161"/>
      <c r="BH703" s="161"/>
      <c r="BI703" s="163"/>
      <c r="BJ703" s="163"/>
      <c r="BK703" s="163"/>
      <c r="BL703" s="163"/>
      <c r="BM703" s="163"/>
      <c r="BN703" s="163"/>
      <c r="BO703" s="163"/>
      <c r="BP703" s="163"/>
      <c r="BQ703" s="163"/>
      <c r="BR703" s="161"/>
      <c r="BS703" s="161"/>
      <c r="BT703" s="161"/>
      <c r="BU703" s="161"/>
      <c r="BV703" s="161"/>
      <c r="BW703" s="161"/>
      <c r="BX703" s="161"/>
      <c r="BY703" s="161"/>
      <c r="BZ703" s="161"/>
      <c r="CA703" s="161"/>
      <c r="CB703" s="163"/>
      <c r="CC703" s="161"/>
      <c r="CD703" s="161"/>
      <c r="CE703" s="185"/>
      <c r="CF703" s="185"/>
    </row>
    <row r="704" spans="1:84" ht="36" hidden="1">
      <c r="A704" s="117"/>
      <c r="B704" s="209" t="s">
        <v>1863</v>
      </c>
      <c r="C704" s="209" t="s">
        <v>2137</v>
      </c>
      <c r="D704" s="209" t="s">
        <v>1016</v>
      </c>
      <c r="E704" s="209" t="s">
        <v>1823</v>
      </c>
      <c r="F704" s="209" t="s">
        <v>1014</v>
      </c>
      <c r="G704" s="209" t="s">
        <v>1015</v>
      </c>
      <c r="H704" s="210"/>
      <c r="I704" s="211" t="s">
        <v>1017</v>
      </c>
      <c r="J704" s="144">
        <v>1</v>
      </c>
      <c r="K704" s="145">
        <f t="shared" ref="K704:K706" si="1596">K703</f>
        <v>1</v>
      </c>
      <c r="L704" s="202">
        <f t="shared" ref="L704:L706" si="1597">+J704*K704</f>
        <v>1</v>
      </c>
      <c r="M704" s="212">
        <v>100</v>
      </c>
      <c r="N704" s="203">
        <f t="shared" ref="N704:N706" si="1598">+M704*L704</f>
        <v>100</v>
      </c>
      <c r="O704" s="212" t="s">
        <v>137</v>
      </c>
      <c r="P704" s="212" t="s">
        <v>14</v>
      </c>
      <c r="Q704" s="212" t="s">
        <v>976</v>
      </c>
      <c r="R704" s="212"/>
      <c r="S704" s="212"/>
      <c r="T704" s="203">
        <f ca="1">IF(SUMIFS(INDIRECT("'BTP-"&amp;$C$4&amp;"'!L:L"),INDIRECT("'BTP-"&amp;$C$4&amp;"'!D:D"),F704)-SUMIFS($T$10:T703,$F$10:F703,F704)&gt;0,MIN(SUMIFS(INDIRECT("'BTP-"&amp;$C$4&amp;"'!L:L"),INDIRECT("'BTP-"&amp;$C$4&amp;"'!D:D"),F704)-SUMIFS($T$10:T703,$F$10:F703,F704),L704),0)</f>
        <v>0</v>
      </c>
      <c r="U704" s="203">
        <f t="shared" ref="U704:U706" ca="1" si="1599">+L704-T704</f>
        <v>1</v>
      </c>
      <c r="V704" s="203">
        <f t="shared" ref="V704:V706" ca="1" si="1600">ROUNDDOWN(T704/J704,0)</f>
        <v>0</v>
      </c>
      <c r="W704" s="212"/>
      <c r="X704" s="212"/>
      <c r="Y704" s="212"/>
      <c r="Z704" s="212"/>
      <c r="AA704" s="212"/>
      <c r="AB704" s="212"/>
      <c r="AC704" s="214" t="s">
        <v>1784</v>
      </c>
      <c r="AD704" s="226" t="s">
        <v>1785</v>
      </c>
      <c r="AE704" s="148"/>
      <c r="AF704" s="212" t="str">
        <f t="shared" ref="AF704:AG704" si="1601">AF703</f>
        <v>N/A</v>
      </c>
      <c r="AG704" s="212">
        <f t="shared" si="1601"/>
        <v>0</v>
      </c>
      <c r="AH704" s="203">
        <f t="shared" ref="AH704:AH706" si="1602">+AG704*J704</f>
        <v>0</v>
      </c>
      <c r="AI704" s="203">
        <f t="shared" ref="AI704:AI706" ca="1" si="1603">MIN(T704,AH704)</f>
        <v>0</v>
      </c>
      <c r="AJ704" s="203">
        <f t="shared" ref="AJ704:AJ706" ca="1" si="1604">+AH704-AI704</f>
        <v>0</v>
      </c>
      <c r="AK704" s="212" t="str">
        <f t="shared" ref="AK704:AL704" si="1605">AK703</f>
        <v>N/A</v>
      </c>
      <c r="AL704" s="212">
        <f t="shared" si="1605"/>
        <v>0</v>
      </c>
      <c r="AM704" s="203">
        <f t="shared" ref="AM704:AM706" si="1606">+AL704*J704</f>
        <v>0</v>
      </c>
      <c r="AN704" s="203">
        <f t="shared" ref="AN704:AN706" ca="1" si="1607">MIN(T704-AI704,AL704)</f>
        <v>0</v>
      </c>
      <c r="AO704" s="203">
        <f t="shared" ref="AO704:AO706" ca="1" si="1608">+AM704-AN704</f>
        <v>0</v>
      </c>
      <c r="AP704" s="212" t="str">
        <f t="shared" ref="AP704:AQ704" si="1609">AP703</f>
        <v>N/A</v>
      </c>
      <c r="AQ704" s="212">
        <f t="shared" si="1609"/>
        <v>0</v>
      </c>
      <c r="AR704" s="203">
        <f t="shared" ref="AR704:AR706" si="1610">+AQ704*J704</f>
        <v>0</v>
      </c>
      <c r="AS704" s="203">
        <f t="shared" ref="AS704:AS706" ca="1" si="1611">MIN(T704-AI704-AN704,AR704)</f>
        <v>0</v>
      </c>
      <c r="AT704" s="203">
        <f t="shared" ref="AT704:AT706" ca="1" si="1612">+AR704-AS704</f>
        <v>0</v>
      </c>
      <c r="AU704" s="212" t="str">
        <f t="shared" ref="AU704:AV704" si="1613">AU703</f>
        <v>AMC2-S1</v>
      </c>
      <c r="AV704" s="212">
        <f t="shared" si="1613"/>
        <v>1</v>
      </c>
      <c r="AW704" s="203">
        <f t="shared" ref="AW704:AW706" si="1614">+AV704*J704</f>
        <v>1</v>
      </c>
      <c r="AX704" s="203">
        <f t="shared" ref="AX704:AX706" ca="1" si="1615">MIN(T704-AI704-AN704-AS704,AW704)</f>
        <v>0</v>
      </c>
      <c r="AY704" s="203">
        <f t="shared" ref="AY704:AY706" ca="1" si="1616">+AW704-AX704</f>
        <v>1</v>
      </c>
      <c r="AZ704" s="212"/>
      <c r="BA704" s="213" t="s">
        <v>140</v>
      </c>
      <c r="BB704" s="213" t="s">
        <v>140</v>
      </c>
      <c r="BC704" s="213" t="s">
        <v>140</v>
      </c>
      <c r="BD704" s="213" t="s">
        <v>141</v>
      </c>
      <c r="BE704" s="148"/>
      <c r="BF704" s="212"/>
      <c r="BG704" s="117"/>
      <c r="BH704" s="117"/>
      <c r="BI704" s="149"/>
      <c r="BJ704" s="149"/>
      <c r="BK704" s="149"/>
      <c r="BL704" s="149"/>
      <c r="BM704" s="149"/>
      <c r="BN704" s="149"/>
      <c r="BO704" s="149"/>
      <c r="BP704" s="149"/>
      <c r="BQ704" s="149"/>
      <c r="BR704" s="117" t="s">
        <v>140</v>
      </c>
      <c r="BS704" s="117" t="s">
        <v>140</v>
      </c>
      <c r="BT704" s="117" t="s">
        <v>140</v>
      </c>
      <c r="BU704" s="117" t="s">
        <v>140</v>
      </c>
      <c r="BV704" s="117" t="s">
        <v>140</v>
      </c>
      <c r="BW704" s="117" t="s">
        <v>140</v>
      </c>
      <c r="BX704" s="117" t="s">
        <v>140</v>
      </c>
      <c r="BY704" s="117" t="s">
        <v>14</v>
      </c>
      <c r="BZ704" s="117"/>
      <c r="CA704" s="117"/>
      <c r="CB704" s="149"/>
      <c r="CC704" s="117"/>
      <c r="CD704" s="117"/>
      <c r="CE704" s="148"/>
      <c r="CF704" s="148"/>
    </row>
    <row r="705" spans="1:84" hidden="1">
      <c r="A705" s="141"/>
      <c r="B705" s="199" t="s">
        <v>1863</v>
      </c>
      <c r="C705" s="199" t="s">
        <v>2137</v>
      </c>
      <c r="D705" s="199" t="s">
        <v>1010</v>
      </c>
      <c r="E705" s="199" t="s">
        <v>1802</v>
      </c>
      <c r="F705" s="199" t="s">
        <v>1008</v>
      </c>
      <c r="G705" s="199" t="s">
        <v>1009</v>
      </c>
      <c r="H705" s="200">
        <v>1891</v>
      </c>
      <c r="I705" s="201" t="s">
        <v>147</v>
      </c>
      <c r="J705" s="165">
        <v>1</v>
      </c>
      <c r="K705" s="202">
        <f t="shared" si="1596"/>
        <v>1</v>
      </c>
      <c r="L705" s="202">
        <f t="shared" si="1597"/>
        <v>1</v>
      </c>
      <c r="M705" s="203">
        <v>29.7</v>
      </c>
      <c r="N705" s="203">
        <f t="shared" si="1598"/>
        <v>29.7</v>
      </c>
      <c r="O705" s="203" t="s">
        <v>137</v>
      </c>
      <c r="P705" s="203" t="s">
        <v>13</v>
      </c>
      <c r="Q705" s="203" t="s">
        <v>154</v>
      </c>
      <c r="R705" s="203"/>
      <c r="S705" s="203"/>
      <c r="T705" s="203">
        <f ca="1">IF(SUMIFS(INDIRECT("'BTP-"&amp;$C$4&amp;"'!L:L"),INDIRECT("'BTP-"&amp;$C$4&amp;"'!D:D"),F705)-SUMIFS($T$10:T704,$F$10:F704,F705)&gt;0,MIN(SUMIFS(INDIRECT("'BTP-"&amp;$C$4&amp;"'!L:L"),INDIRECT("'BTP-"&amp;$C$4&amp;"'!D:D"),F705)-SUMIFS($T$10:T704,$F$10:F704,F705),L705),0)</f>
        <v>0</v>
      </c>
      <c r="U705" s="203">
        <f t="shared" ca="1" si="1599"/>
        <v>1</v>
      </c>
      <c r="V705" s="203">
        <f t="shared" ca="1" si="1600"/>
        <v>0</v>
      </c>
      <c r="W705" s="203"/>
      <c r="X705" s="203"/>
      <c r="Y705" s="203"/>
      <c r="Z705" s="203"/>
      <c r="AA705" s="203"/>
      <c r="AB705" s="203"/>
      <c r="AC705" s="205" t="s">
        <v>1784</v>
      </c>
      <c r="AD705" s="225" t="s">
        <v>1785</v>
      </c>
      <c r="AE705" s="166"/>
      <c r="AF705" s="203" t="str">
        <f t="shared" ref="AF705:AG705" si="1617">AF704</f>
        <v>N/A</v>
      </c>
      <c r="AG705" s="203">
        <f t="shared" si="1617"/>
        <v>0</v>
      </c>
      <c r="AH705" s="203">
        <f t="shared" si="1602"/>
        <v>0</v>
      </c>
      <c r="AI705" s="203">
        <f t="shared" ca="1" si="1603"/>
        <v>0</v>
      </c>
      <c r="AJ705" s="203">
        <f t="shared" ca="1" si="1604"/>
        <v>0</v>
      </c>
      <c r="AK705" s="203" t="str">
        <f t="shared" ref="AK705:AL705" si="1618">AK704</f>
        <v>N/A</v>
      </c>
      <c r="AL705" s="203">
        <f t="shared" si="1618"/>
        <v>0</v>
      </c>
      <c r="AM705" s="203">
        <f t="shared" si="1606"/>
        <v>0</v>
      </c>
      <c r="AN705" s="203">
        <f t="shared" ca="1" si="1607"/>
        <v>0</v>
      </c>
      <c r="AO705" s="203">
        <f t="shared" ca="1" si="1608"/>
        <v>0</v>
      </c>
      <c r="AP705" s="203" t="str">
        <f t="shared" ref="AP705:AQ705" si="1619">AP704</f>
        <v>N/A</v>
      </c>
      <c r="AQ705" s="203">
        <f t="shared" si="1619"/>
        <v>0</v>
      </c>
      <c r="AR705" s="203">
        <f t="shared" si="1610"/>
        <v>0</v>
      </c>
      <c r="AS705" s="203">
        <f t="shared" ca="1" si="1611"/>
        <v>0</v>
      </c>
      <c r="AT705" s="203">
        <f t="shared" ca="1" si="1612"/>
        <v>0</v>
      </c>
      <c r="AU705" s="203" t="str">
        <f t="shared" ref="AU705:AV705" si="1620">AU704</f>
        <v>AMC2-S1</v>
      </c>
      <c r="AV705" s="203">
        <f t="shared" si="1620"/>
        <v>1</v>
      </c>
      <c r="AW705" s="203">
        <f t="shared" si="1614"/>
        <v>1</v>
      </c>
      <c r="AX705" s="203">
        <f t="shared" ca="1" si="1615"/>
        <v>0</v>
      </c>
      <c r="AY705" s="203">
        <f t="shared" ca="1" si="1616"/>
        <v>1</v>
      </c>
      <c r="AZ705" s="203"/>
      <c r="BA705" s="204" t="s">
        <v>140</v>
      </c>
      <c r="BB705" s="204" t="s">
        <v>140</v>
      </c>
      <c r="BC705" s="204" t="s">
        <v>140</v>
      </c>
      <c r="BD705" s="204" t="s">
        <v>141</v>
      </c>
      <c r="BE705" s="166"/>
      <c r="BF705" s="203" t="s">
        <v>1789</v>
      </c>
      <c r="BG705" s="141"/>
      <c r="BH705" s="141"/>
      <c r="BI705" s="153"/>
      <c r="BJ705" s="153"/>
      <c r="BK705" s="153"/>
      <c r="BL705" s="153" t="s">
        <v>149</v>
      </c>
      <c r="BM705" s="153"/>
      <c r="BN705" s="153"/>
      <c r="BO705" s="153"/>
      <c r="BP705" s="153"/>
      <c r="BQ705" s="153"/>
      <c r="BR705" s="141">
        <v>0</v>
      </c>
      <c r="BS705" s="141">
        <v>1</v>
      </c>
      <c r="BT705" s="141">
        <v>0</v>
      </c>
      <c r="BU705" s="141">
        <v>1</v>
      </c>
      <c r="BV705" s="141">
        <v>0</v>
      </c>
      <c r="BW705" s="141">
        <v>0</v>
      </c>
      <c r="BX705" s="141">
        <v>0</v>
      </c>
      <c r="BY705" s="141" t="s">
        <v>1790</v>
      </c>
      <c r="BZ705" s="141" t="s">
        <v>2123</v>
      </c>
      <c r="CA705" s="165">
        <v>1</v>
      </c>
      <c r="CB705" s="153">
        <v>46245</v>
      </c>
      <c r="CC705" s="141"/>
      <c r="CD705" s="141"/>
      <c r="CE705" s="166"/>
      <c r="CF705" s="166">
        <f>+L705-CA705</f>
        <v>0</v>
      </c>
    </row>
    <row r="706" spans="1:84" hidden="1">
      <c r="A706" s="141"/>
      <c r="B706" s="199" t="s">
        <v>1863</v>
      </c>
      <c r="C706" s="199" t="s">
        <v>2137</v>
      </c>
      <c r="D706" s="199" t="s">
        <v>13</v>
      </c>
      <c r="E706" s="199" t="s">
        <v>1788</v>
      </c>
      <c r="F706" s="199" t="s">
        <v>1018</v>
      </c>
      <c r="G706" s="199" t="s">
        <v>1019</v>
      </c>
      <c r="H706" s="200">
        <v>716</v>
      </c>
      <c r="I706" s="201" t="s">
        <v>147</v>
      </c>
      <c r="J706" s="165">
        <v>1</v>
      </c>
      <c r="K706" s="202">
        <f t="shared" si="1596"/>
        <v>1</v>
      </c>
      <c r="L706" s="202">
        <f t="shared" si="1597"/>
        <v>1</v>
      </c>
      <c r="M706" s="203">
        <v>6.7</v>
      </c>
      <c r="N706" s="203">
        <f t="shared" si="1598"/>
        <v>6.7</v>
      </c>
      <c r="O706" s="203" t="s">
        <v>137</v>
      </c>
      <c r="P706" s="203" t="s">
        <v>13</v>
      </c>
      <c r="Q706" s="203" t="s">
        <v>154</v>
      </c>
      <c r="R706" s="203"/>
      <c r="S706" s="203"/>
      <c r="T706" s="203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0</v>
      </c>
      <c r="U706" s="203">
        <f t="shared" ca="1" si="1599"/>
        <v>1</v>
      </c>
      <c r="V706" s="203">
        <f t="shared" ca="1" si="1600"/>
        <v>0</v>
      </c>
      <c r="W706" s="203"/>
      <c r="X706" s="203"/>
      <c r="Y706" s="203"/>
      <c r="Z706" s="203"/>
      <c r="AA706" s="203"/>
      <c r="AB706" s="203"/>
      <c r="AC706" s="205" t="s">
        <v>1784</v>
      </c>
      <c r="AD706" s="225" t="s">
        <v>1785</v>
      </c>
      <c r="AE706" s="166"/>
      <c r="AF706" s="203" t="str">
        <f t="shared" ref="AF706:AG706" si="1621">AF705</f>
        <v>N/A</v>
      </c>
      <c r="AG706" s="203">
        <f t="shared" si="1621"/>
        <v>0</v>
      </c>
      <c r="AH706" s="203">
        <f t="shared" si="1602"/>
        <v>0</v>
      </c>
      <c r="AI706" s="203">
        <f t="shared" ca="1" si="1603"/>
        <v>0</v>
      </c>
      <c r="AJ706" s="203">
        <f t="shared" ca="1" si="1604"/>
        <v>0</v>
      </c>
      <c r="AK706" s="203" t="str">
        <f t="shared" ref="AK706:AL706" si="1622">AK705</f>
        <v>N/A</v>
      </c>
      <c r="AL706" s="203">
        <f t="shared" si="1622"/>
        <v>0</v>
      </c>
      <c r="AM706" s="203">
        <f t="shared" si="1606"/>
        <v>0</v>
      </c>
      <c r="AN706" s="203">
        <f t="shared" ca="1" si="1607"/>
        <v>0</v>
      </c>
      <c r="AO706" s="203">
        <f t="shared" ca="1" si="1608"/>
        <v>0</v>
      </c>
      <c r="AP706" s="203" t="str">
        <f t="shared" ref="AP706:AQ706" si="1623">AP705</f>
        <v>N/A</v>
      </c>
      <c r="AQ706" s="203">
        <f t="shared" si="1623"/>
        <v>0</v>
      </c>
      <c r="AR706" s="203">
        <f t="shared" si="1610"/>
        <v>0</v>
      </c>
      <c r="AS706" s="203">
        <f t="shared" ca="1" si="1611"/>
        <v>0</v>
      </c>
      <c r="AT706" s="203">
        <f t="shared" ca="1" si="1612"/>
        <v>0</v>
      </c>
      <c r="AU706" s="203" t="str">
        <f t="shared" ref="AU706:AV706" si="1624">AU705</f>
        <v>AMC2-S1</v>
      </c>
      <c r="AV706" s="203">
        <f t="shared" si="1624"/>
        <v>1</v>
      </c>
      <c r="AW706" s="203">
        <f t="shared" si="1614"/>
        <v>1</v>
      </c>
      <c r="AX706" s="203">
        <f t="shared" ca="1" si="1615"/>
        <v>0</v>
      </c>
      <c r="AY706" s="203">
        <f t="shared" ca="1" si="1616"/>
        <v>1</v>
      </c>
      <c r="AZ706" s="203"/>
      <c r="BA706" s="204" t="s">
        <v>140</v>
      </c>
      <c r="BB706" s="204" t="s">
        <v>140</v>
      </c>
      <c r="BC706" s="204" t="s">
        <v>140</v>
      </c>
      <c r="BD706" s="204" t="s">
        <v>141</v>
      </c>
      <c r="BE706" s="166"/>
      <c r="BF706" s="203" t="s">
        <v>1789</v>
      </c>
      <c r="BG706" s="141"/>
      <c r="BH706" s="141"/>
      <c r="BI706" s="153"/>
      <c r="BJ706" s="153"/>
      <c r="BK706" s="153"/>
      <c r="BL706" s="153" t="s">
        <v>149</v>
      </c>
      <c r="BM706" s="153"/>
      <c r="BN706" s="153"/>
      <c r="BO706" s="153"/>
      <c r="BP706" s="153"/>
      <c r="BQ706" s="153"/>
      <c r="BR706" s="141">
        <v>1</v>
      </c>
      <c r="BS706" s="141">
        <v>0</v>
      </c>
      <c r="BT706" s="141">
        <v>1</v>
      </c>
      <c r="BU706" s="141">
        <v>0</v>
      </c>
      <c r="BV706" s="141">
        <v>0</v>
      </c>
      <c r="BW706" s="141">
        <v>0</v>
      </c>
      <c r="BX706" s="141">
        <v>0</v>
      </c>
      <c r="BY706" s="141" t="s">
        <v>1790</v>
      </c>
      <c r="BZ706" s="141" t="s">
        <v>2099</v>
      </c>
      <c r="CA706" s="165">
        <v>1</v>
      </c>
      <c r="CB706" s="153">
        <v>46244</v>
      </c>
      <c r="CC706" s="141"/>
      <c r="CD706" s="141"/>
      <c r="CE706" s="166"/>
      <c r="CF706" s="166">
        <f>+L706-CA706</f>
        <v>0</v>
      </c>
    </row>
    <row r="707" spans="1:84" hidden="1">
      <c r="A707" s="162">
        <v>44</v>
      </c>
      <c r="B707" s="177" t="s">
        <v>1863</v>
      </c>
      <c r="C707" s="177" t="s">
        <v>2138</v>
      </c>
      <c r="D707" s="177" t="s">
        <v>1866</v>
      </c>
      <c r="E707" s="177"/>
      <c r="F707" s="177"/>
      <c r="G707" s="177" t="s">
        <v>1867</v>
      </c>
      <c r="H707" s="178"/>
      <c r="I707" s="179"/>
      <c r="J707" s="160"/>
      <c r="K707" s="180">
        <f>+AG707+AL707+AQ707+AV707</f>
        <v>1</v>
      </c>
      <c r="L707" s="160"/>
      <c r="M707" s="181">
        <v>25.4</v>
      </c>
      <c r="N707" s="181">
        <v>25</v>
      </c>
      <c r="O707" s="181" t="s">
        <v>137</v>
      </c>
      <c r="P707" s="181"/>
      <c r="Q707" s="181"/>
      <c r="R707" s="181"/>
      <c r="S707" s="181"/>
      <c r="T707" s="181"/>
      <c r="U707" s="181"/>
      <c r="V707" s="181"/>
      <c r="W707" s="181">
        <f ca="1">_xlfn.MINIFS(V:V,C:C,C707,AE:AE,"",AB:AB,"")</f>
        <v>0</v>
      </c>
      <c r="X707" s="181">
        <f ca="1">SUMIFS(T:T,C:C,C707,AE:AE,"")/SUMIFS(L:L,C:C,C707,AE:AE,"",AB:AB,"")</f>
        <v>0.25</v>
      </c>
      <c r="Y707" s="181"/>
      <c r="Z707" s="181"/>
      <c r="AA707" s="181"/>
      <c r="AB707" s="181"/>
      <c r="AC707" s="183" t="s">
        <v>1784</v>
      </c>
      <c r="AD707" s="184" t="s">
        <v>1785</v>
      </c>
      <c r="AE707" s="162" t="s">
        <v>143</v>
      </c>
      <c r="AF707" s="181" t="s">
        <v>138</v>
      </c>
      <c r="AG707" s="181">
        <v>0</v>
      </c>
      <c r="AH707" s="181"/>
      <c r="AI707" s="181"/>
      <c r="AJ707" s="181"/>
      <c r="AK707" s="181" t="s">
        <v>138</v>
      </c>
      <c r="AL707" s="181">
        <v>0</v>
      </c>
      <c r="AM707" s="181"/>
      <c r="AN707" s="181"/>
      <c r="AO707" s="181"/>
      <c r="AP707" s="181" t="s">
        <v>138</v>
      </c>
      <c r="AQ707" s="181">
        <v>0</v>
      </c>
      <c r="AR707" s="181"/>
      <c r="AS707" s="181"/>
      <c r="AT707" s="181"/>
      <c r="AU707" s="181" t="s">
        <v>1783</v>
      </c>
      <c r="AV707" s="181">
        <v>1</v>
      </c>
      <c r="AW707" s="181"/>
      <c r="AX707" s="181"/>
      <c r="AY707" s="181"/>
      <c r="AZ707" s="181"/>
      <c r="BA707" s="182" t="s">
        <v>140</v>
      </c>
      <c r="BB707" s="182" t="s">
        <v>140</v>
      </c>
      <c r="BC707" s="182" t="s">
        <v>140</v>
      </c>
      <c r="BD707" s="182" t="s">
        <v>141</v>
      </c>
      <c r="BE707" s="162" t="s">
        <v>741</v>
      </c>
      <c r="BF707" s="181"/>
      <c r="BG707" s="161"/>
      <c r="BH707" s="161"/>
      <c r="BI707" s="163"/>
      <c r="BJ707" s="163"/>
      <c r="BK707" s="163"/>
      <c r="BL707" s="163"/>
      <c r="BM707" s="163"/>
      <c r="BN707" s="163"/>
      <c r="BO707" s="163"/>
      <c r="BP707" s="163"/>
      <c r="BQ707" s="163"/>
      <c r="BR707" s="161"/>
      <c r="BS707" s="161"/>
      <c r="BT707" s="161"/>
      <c r="BU707" s="161"/>
      <c r="BV707" s="161"/>
      <c r="BW707" s="161"/>
      <c r="BX707" s="161"/>
      <c r="BY707" s="161"/>
      <c r="BZ707" s="161"/>
      <c r="CA707" s="161"/>
      <c r="CB707" s="163"/>
      <c r="CC707" s="161"/>
      <c r="CD707" s="161"/>
      <c r="CE707" s="185"/>
      <c r="CF707" s="185"/>
    </row>
    <row r="708" spans="1:84" hidden="1">
      <c r="A708" s="141"/>
      <c r="B708" s="199" t="s">
        <v>1863</v>
      </c>
      <c r="C708" s="199" t="s">
        <v>2138</v>
      </c>
      <c r="D708" s="199" t="s">
        <v>1007</v>
      </c>
      <c r="E708" s="199" t="s">
        <v>1868</v>
      </c>
      <c r="F708" s="199" t="s">
        <v>1031</v>
      </c>
      <c r="G708" s="199" t="s">
        <v>1032</v>
      </c>
      <c r="H708" s="200">
        <v>1096</v>
      </c>
      <c r="I708" s="201" t="s">
        <v>147</v>
      </c>
      <c r="J708" s="165">
        <v>1</v>
      </c>
      <c r="K708" s="202">
        <f t="shared" ref="K708:K710" si="1625">K707</f>
        <v>1</v>
      </c>
      <c r="L708" s="202">
        <f t="shared" ref="L708:L710" si="1626">+J708*K708</f>
        <v>1</v>
      </c>
      <c r="M708" s="203">
        <v>24.3</v>
      </c>
      <c r="N708" s="203">
        <f t="shared" ref="N708:N710" si="1627">+M708*L708</f>
        <v>24.3</v>
      </c>
      <c r="O708" s="203" t="s">
        <v>137</v>
      </c>
      <c r="P708" s="203" t="s">
        <v>11</v>
      </c>
      <c r="Q708" s="203" t="s">
        <v>154</v>
      </c>
      <c r="R708" s="203"/>
      <c r="S708" s="203"/>
      <c r="T708" s="203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0</v>
      </c>
      <c r="U708" s="203">
        <f t="shared" ref="U708:U710" ca="1" si="1628">+L708-T708</f>
        <v>1</v>
      </c>
      <c r="V708" s="203">
        <f t="shared" ref="V708:V710" ca="1" si="1629">ROUNDDOWN(T708/J708,0)</f>
        <v>0</v>
      </c>
      <c r="W708" s="203"/>
      <c r="X708" s="203"/>
      <c r="Y708" s="203"/>
      <c r="Z708" s="203"/>
      <c r="AA708" s="203"/>
      <c r="AB708" s="203"/>
      <c r="AC708" s="205" t="s">
        <v>1784</v>
      </c>
      <c r="AD708" s="225" t="s">
        <v>1785</v>
      </c>
      <c r="AE708" s="166"/>
      <c r="AF708" s="203" t="str">
        <f t="shared" ref="AF708:AG708" si="1630">AF707</f>
        <v>N/A</v>
      </c>
      <c r="AG708" s="203">
        <f t="shared" si="1630"/>
        <v>0</v>
      </c>
      <c r="AH708" s="203">
        <f t="shared" ref="AH708:AH710" si="1631">+AG708*J708</f>
        <v>0</v>
      </c>
      <c r="AI708" s="203">
        <f t="shared" ref="AI708:AI710" ca="1" si="1632">MIN(T708,AH708)</f>
        <v>0</v>
      </c>
      <c r="AJ708" s="203">
        <f t="shared" ref="AJ708:AJ710" ca="1" si="1633">+AH708-AI708</f>
        <v>0</v>
      </c>
      <c r="AK708" s="203" t="str">
        <f t="shared" ref="AK708:AL708" si="1634">AK707</f>
        <v>N/A</v>
      </c>
      <c r="AL708" s="203">
        <f t="shared" si="1634"/>
        <v>0</v>
      </c>
      <c r="AM708" s="203">
        <f t="shared" ref="AM708:AM710" si="1635">+AL708*J708</f>
        <v>0</v>
      </c>
      <c r="AN708" s="203">
        <f t="shared" ref="AN708:AN710" ca="1" si="1636">MIN(T708-AI708,AL708)</f>
        <v>0</v>
      </c>
      <c r="AO708" s="203">
        <f t="shared" ref="AO708:AO710" ca="1" si="1637">+AM708-AN708</f>
        <v>0</v>
      </c>
      <c r="AP708" s="203" t="str">
        <f t="shared" ref="AP708:AQ708" si="1638">AP707</f>
        <v>N/A</v>
      </c>
      <c r="AQ708" s="203">
        <f t="shared" si="1638"/>
        <v>0</v>
      </c>
      <c r="AR708" s="203">
        <f t="shared" ref="AR708:AR710" si="1639">+AQ708*J708</f>
        <v>0</v>
      </c>
      <c r="AS708" s="203">
        <f t="shared" ref="AS708:AS710" ca="1" si="1640">MIN(T708-AI708-AN708,AR708)</f>
        <v>0</v>
      </c>
      <c r="AT708" s="203">
        <f t="shared" ref="AT708:AT710" ca="1" si="1641">+AR708-AS708</f>
        <v>0</v>
      </c>
      <c r="AU708" s="203" t="str">
        <f t="shared" ref="AU708:AV708" si="1642">AU707</f>
        <v>AMC2-S1</v>
      </c>
      <c r="AV708" s="203">
        <f t="shared" si="1642"/>
        <v>1</v>
      </c>
      <c r="AW708" s="203">
        <f t="shared" ref="AW708:AW710" si="1643">+AV708*J708</f>
        <v>1</v>
      </c>
      <c r="AX708" s="203">
        <f t="shared" ref="AX708:AX710" ca="1" si="1644">MIN(T708-AI708-AN708-AS708,AW708)</f>
        <v>0</v>
      </c>
      <c r="AY708" s="203">
        <f t="shared" ref="AY708:AY710" ca="1" si="1645">+AW708-AX708</f>
        <v>1</v>
      </c>
      <c r="AZ708" s="203"/>
      <c r="BA708" s="204" t="s">
        <v>140</v>
      </c>
      <c r="BB708" s="204" t="s">
        <v>140</v>
      </c>
      <c r="BC708" s="204" t="s">
        <v>140</v>
      </c>
      <c r="BD708" s="204" t="s">
        <v>141</v>
      </c>
      <c r="BE708" s="166"/>
      <c r="BF708" s="203" t="s">
        <v>1789</v>
      </c>
      <c r="BG708" s="141"/>
      <c r="BH708" s="141"/>
      <c r="BI708" s="153"/>
      <c r="BJ708" s="153"/>
      <c r="BK708" s="153"/>
      <c r="BL708" s="153" t="s">
        <v>149</v>
      </c>
      <c r="BM708" s="153"/>
      <c r="BN708" s="153"/>
      <c r="BO708" s="153"/>
      <c r="BP708" s="153"/>
      <c r="BQ708" s="153"/>
      <c r="BR708" s="141">
        <v>0</v>
      </c>
      <c r="BS708" s="141">
        <v>1</v>
      </c>
      <c r="BT708" s="141">
        <v>0</v>
      </c>
      <c r="BU708" s="141">
        <v>0</v>
      </c>
      <c r="BV708" s="141">
        <v>0</v>
      </c>
      <c r="BW708" s="141">
        <v>0</v>
      </c>
      <c r="BX708" s="141">
        <v>0</v>
      </c>
      <c r="BY708" s="141" t="s">
        <v>1790</v>
      </c>
      <c r="BZ708" s="141" t="s">
        <v>2139</v>
      </c>
      <c r="CA708" s="141">
        <v>1</v>
      </c>
      <c r="CB708" s="153">
        <v>46235</v>
      </c>
      <c r="CC708" s="141"/>
      <c r="CD708" s="141"/>
      <c r="CE708" s="166"/>
      <c r="CF708" s="166">
        <f>+L708-CA708</f>
        <v>0</v>
      </c>
    </row>
    <row r="709" spans="1:84" ht="36" hidden="1">
      <c r="A709" s="141"/>
      <c r="B709" s="199" t="s">
        <v>1863</v>
      </c>
      <c r="C709" s="199" t="s">
        <v>2138</v>
      </c>
      <c r="D709" s="199" t="s">
        <v>1025</v>
      </c>
      <c r="E709" s="199" t="s">
        <v>1869</v>
      </c>
      <c r="F709" s="199" t="s">
        <v>1023</v>
      </c>
      <c r="G709" s="199" t="s">
        <v>1024</v>
      </c>
      <c r="H709" s="200">
        <v>80</v>
      </c>
      <c r="I709" s="201" t="s">
        <v>147</v>
      </c>
      <c r="J709" s="165">
        <v>1</v>
      </c>
      <c r="K709" s="202">
        <f t="shared" si="1625"/>
        <v>1</v>
      </c>
      <c r="L709" s="202">
        <f t="shared" si="1626"/>
        <v>1</v>
      </c>
      <c r="M709" s="203">
        <v>1.1000000000000001</v>
      </c>
      <c r="N709" s="203">
        <f t="shared" si="1627"/>
        <v>1.1000000000000001</v>
      </c>
      <c r="O709" s="203" t="s">
        <v>137</v>
      </c>
      <c r="P709" s="203" t="s">
        <v>11</v>
      </c>
      <c r="Q709" s="203" t="s">
        <v>148</v>
      </c>
      <c r="R709" s="203"/>
      <c r="S709" s="203"/>
      <c r="T709" s="203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0</v>
      </c>
      <c r="U709" s="203">
        <f t="shared" ca="1" si="1628"/>
        <v>1</v>
      </c>
      <c r="V709" s="203">
        <f t="shared" ca="1" si="1629"/>
        <v>0</v>
      </c>
      <c r="W709" s="203"/>
      <c r="X709" s="203"/>
      <c r="Y709" s="203"/>
      <c r="Z709" s="203"/>
      <c r="AA709" s="203"/>
      <c r="AB709" s="203"/>
      <c r="AC709" s="205" t="s">
        <v>1784</v>
      </c>
      <c r="AD709" s="225" t="s">
        <v>1870</v>
      </c>
      <c r="AE709" s="166"/>
      <c r="AF709" s="203" t="str">
        <f t="shared" ref="AF709:AG709" si="1646">AF708</f>
        <v>N/A</v>
      </c>
      <c r="AG709" s="203">
        <f t="shared" si="1646"/>
        <v>0</v>
      </c>
      <c r="AH709" s="203">
        <f t="shared" si="1631"/>
        <v>0</v>
      </c>
      <c r="AI709" s="203">
        <f t="shared" ca="1" si="1632"/>
        <v>0</v>
      </c>
      <c r="AJ709" s="203">
        <f t="shared" ca="1" si="1633"/>
        <v>0</v>
      </c>
      <c r="AK709" s="203" t="str">
        <f t="shared" ref="AK709:AL709" si="1647">AK708</f>
        <v>N/A</v>
      </c>
      <c r="AL709" s="203">
        <f t="shared" si="1647"/>
        <v>0</v>
      </c>
      <c r="AM709" s="203">
        <f t="shared" si="1635"/>
        <v>0</v>
      </c>
      <c r="AN709" s="203">
        <f t="shared" ca="1" si="1636"/>
        <v>0</v>
      </c>
      <c r="AO709" s="203">
        <f t="shared" ca="1" si="1637"/>
        <v>0</v>
      </c>
      <c r="AP709" s="203" t="str">
        <f t="shared" ref="AP709:AQ709" si="1648">AP708</f>
        <v>N/A</v>
      </c>
      <c r="AQ709" s="203">
        <f t="shared" si="1648"/>
        <v>0</v>
      </c>
      <c r="AR709" s="203">
        <f t="shared" si="1639"/>
        <v>0</v>
      </c>
      <c r="AS709" s="203">
        <f t="shared" ca="1" si="1640"/>
        <v>0</v>
      </c>
      <c r="AT709" s="203">
        <f t="shared" ca="1" si="1641"/>
        <v>0</v>
      </c>
      <c r="AU709" s="203" t="str">
        <f t="shared" ref="AU709:AV709" si="1649">AU708</f>
        <v>AMC2-S1</v>
      </c>
      <c r="AV709" s="203">
        <f t="shared" si="1649"/>
        <v>1</v>
      </c>
      <c r="AW709" s="203">
        <f t="shared" si="1643"/>
        <v>1</v>
      </c>
      <c r="AX709" s="203">
        <f t="shared" ca="1" si="1644"/>
        <v>0</v>
      </c>
      <c r="AY709" s="203">
        <f t="shared" ca="1" si="1645"/>
        <v>1</v>
      </c>
      <c r="AZ709" s="203"/>
      <c r="BA709" s="204" t="s">
        <v>140</v>
      </c>
      <c r="BB709" s="204" t="s">
        <v>140</v>
      </c>
      <c r="BC709" s="204" t="s">
        <v>140</v>
      </c>
      <c r="BD709" s="204" t="s">
        <v>141</v>
      </c>
      <c r="BE709" s="166"/>
      <c r="BF709" s="203" t="s">
        <v>1789</v>
      </c>
      <c r="BG709" s="141"/>
      <c r="BH709" s="141"/>
      <c r="BI709" s="153"/>
      <c r="BJ709" s="153"/>
      <c r="BK709" s="153"/>
      <c r="BL709" s="153" t="s">
        <v>149</v>
      </c>
      <c r="BM709" s="153"/>
      <c r="BN709" s="153"/>
      <c r="BO709" s="153"/>
      <c r="BP709" s="153"/>
      <c r="BQ709" s="153"/>
      <c r="BR709" s="141">
        <v>1</v>
      </c>
      <c r="BS709" s="141">
        <v>0</v>
      </c>
      <c r="BT709" s="141">
        <v>0</v>
      </c>
      <c r="BU709" s="141">
        <v>0</v>
      </c>
      <c r="BV709" s="141">
        <v>0</v>
      </c>
      <c r="BW709" s="141">
        <v>0</v>
      </c>
      <c r="BX709" s="141">
        <v>0</v>
      </c>
      <c r="BY709" s="141" t="s">
        <v>1790</v>
      </c>
      <c r="BZ709" s="141" t="s">
        <v>2140</v>
      </c>
      <c r="CA709" s="141">
        <v>1</v>
      </c>
      <c r="CB709" s="153">
        <v>46238</v>
      </c>
      <c r="CC709" s="141"/>
      <c r="CD709" s="141"/>
      <c r="CE709" s="166"/>
      <c r="CF709" s="166">
        <f>+L709-CA709</f>
        <v>0</v>
      </c>
    </row>
    <row r="710" spans="1:84" hidden="1">
      <c r="A710" s="141"/>
      <c r="B710" s="199" t="s">
        <v>1863</v>
      </c>
      <c r="C710" s="199" t="s">
        <v>2138</v>
      </c>
      <c r="D710" s="199" t="s">
        <v>13</v>
      </c>
      <c r="E710" s="199" t="s">
        <v>1788</v>
      </c>
      <c r="F710" s="199" t="s">
        <v>1029</v>
      </c>
      <c r="G710" s="199" t="s">
        <v>1030</v>
      </c>
      <c r="H710" s="200">
        <v>80</v>
      </c>
      <c r="I710" s="201" t="s">
        <v>147</v>
      </c>
      <c r="J710" s="165">
        <v>1</v>
      </c>
      <c r="K710" s="202">
        <f t="shared" si="1625"/>
        <v>1</v>
      </c>
      <c r="L710" s="202">
        <f t="shared" si="1626"/>
        <v>1</v>
      </c>
      <c r="M710" s="203">
        <v>0.2</v>
      </c>
      <c r="N710" s="203">
        <f t="shared" si="1627"/>
        <v>0.2</v>
      </c>
      <c r="O710" s="203" t="s">
        <v>137</v>
      </c>
      <c r="P710" s="203" t="s">
        <v>13</v>
      </c>
      <c r="Q710" s="203" t="s">
        <v>148</v>
      </c>
      <c r="R710" s="203"/>
      <c r="S710" s="203"/>
      <c r="T710" s="203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0</v>
      </c>
      <c r="U710" s="203">
        <f t="shared" ca="1" si="1628"/>
        <v>1</v>
      </c>
      <c r="V710" s="203">
        <f t="shared" ca="1" si="1629"/>
        <v>0</v>
      </c>
      <c r="W710" s="203"/>
      <c r="X710" s="203"/>
      <c r="Y710" s="203"/>
      <c r="Z710" s="203"/>
      <c r="AA710" s="203"/>
      <c r="AB710" s="203"/>
      <c r="AC710" s="205" t="s">
        <v>1784</v>
      </c>
      <c r="AD710" s="225" t="s">
        <v>1785</v>
      </c>
      <c r="AE710" s="166"/>
      <c r="AF710" s="203" t="str">
        <f t="shared" ref="AF710:AG710" si="1650">AF709</f>
        <v>N/A</v>
      </c>
      <c r="AG710" s="203">
        <f t="shared" si="1650"/>
        <v>0</v>
      </c>
      <c r="AH710" s="203">
        <f t="shared" si="1631"/>
        <v>0</v>
      </c>
      <c r="AI710" s="203">
        <f t="shared" ca="1" si="1632"/>
        <v>0</v>
      </c>
      <c r="AJ710" s="203">
        <f t="shared" ca="1" si="1633"/>
        <v>0</v>
      </c>
      <c r="AK710" s="203" t="str">
        <f t="shared" ref="AK710:AL710" si="1651">AK709</f>
        <v>N/A</v>
      </c>
      <c r="AL710" s="203">
        <f t="shared" si="1651"/>
        <v>0</v>
      </c>
      <c r="AM710" s="203">
        <f t="shared" si="1635"/>
        <v>0</v>
      </c>
      <c r="AN710" s="203">
        <f t="shared" ca="1" si="1636"/>
        <v>0</v>
      </c>
      <c r="AO710" s="203">
        <f t="shared" ca="1" si="1637"/>
        <v>0</v>
      </c>
      <c r="AP710" s="203" t="str">
        <f t="shared" ref="AP710:AQ710" si="1652">AP709</f>
        <v>N/A</v>
      </c>
      <c r="AQ710" s="203">
        <f t="shared" si="1652"/>
        <v>0</v>
      </c>
      <c r="AR710" s="203">
        <f t="shared" si="1639"/>
        <v>0</v>
      </c>
      <c r="AS710" s="203">
        <f t="shared" ca="1" si="1640"/>
        <v>0</v>
      </c>
      <c r="AT710" s="203">
        <f t="shared" ca="1" si="1641"/>
        <v>0</v>
      </c>
      <c r="AU710" s="203" t="str">
        <f t="shared" ref="AU710:AV710" si="1653">AU709</f>
        <v>AMC2-S1</v>
      </c>
      <c r="AV710" s="203">
        <f t="shared" si="1653"/>
        <v>1</v>
      </c>
      <c r="AW710" s="203">
        <f t="shared" si="1643"/>
        <v>1</v>
      </c>
      <c r="AX710" s="203">
        <f t="shared" ca="1" si="1644"/>
        <v>0</v>
      </c>
      <c r="AY710" s="203">
        <f t="shared" ca="1" si="1645"/>
        <v>1</v>
      </c>
      <c r="AZ710" s="203"/>
      <c r="BA710" s="204" t="s">
        <v>140</v>
      </c>
      <c r="BB710" s="204" t="s">
        <v>140</v>
      </c>
      <c r="BC710" s="204" t="s">
        <v>140</v>
      </c>
      <c r="BD710" s="204" t="s">
        <v>141</v>
      </c>
      <c r="BE710" s="166"/>
      <c r="BF710" s="203" t="s">
        <v>1789</v>
      </c>
      <c r="BG710" s="141"/>
      <c r="BH710" s="141"/>
      <c r="BI710" s="153"/>
      <c r="BJ710" s="153"/>
      <c r="BK710" s="153"/>
      <c r="BL710" s="153" t="s">
        <v>149</v>
      </c>
      <c r="BM710" s="153"/>
      <c r="BN710" s="153"/>
      <c r="BO710" s="153"/>
      <c r="BP710" s="153"/>
      <c r="BQ710" s="153"/>
      <c r="BR710" s="141">
        <v>1</v>
      </c>
      <c r="BS710" s="141">
        <v>0</v>
      </c>
      <c r="BT710" s="141">
        <v>0</v>
      </c>
      <c r="BU710" s="141">
        <v>0</v>
      </c>
      <c r="BV710" s="141">
        <v>0</v>
      </c>
      <c r="BW710" s="141">
        <v>0</v>
      </c>
      <c r="BX710" s="141">
        <v>0</v>
      </c>
      <c r="BY710" s="141" t="s">
        <v>1790</v>
      </c>
      <c r="BZ710" s="141" t="s">
        <v>2099</v>
      </c>
      <c r="CA710" s="165">
        <v>1</v>
      </c>
      <c r="CB710" s="153">
        <v>46244</v>
      </c>
      <c r="CC710" s="141"/>
      <c r="CD710" s="141"/>
      <c r="CE710" s="166"/>
      <c r="CF710" s="166">
        <f>+L710-CA710</f>
        <v>0</v>
      </c>
    </row>
    <row r="711" spans="1:84" hidden="1">
      <c r="A711" s="162">
        <v>45</v>
      </c>
      <c r="B711" s="177" t="s">
        <v>1863</v>
      </c>
      <c r="C711" s="177" t="s">
        <v>2141</v>
      </c>
      <c r="D711" s="177" t="s">
        <v>1871</v>
      </c>
      <c r="E711" s="177"/>
      <c r="F711" s="177"/>
      <c r="G711" s="177" t="s">
        <v>1872</v>
      </c>
      <c r="H711" s="178"/>
      <c r="I711" s="179"/>
      <c r="J711" s="160"/>
      <c r="K711" s="180">
        <f>+AG711+AL711+AQ711+AV711</f>
        <v>1</v>
      </c>
      <c r="L711" s="160"/>
      <c r="M711" s="181">
        <v>187.3</v>
      </c>
      <c r="N711" s="181">
        <v>187</v>
      </c>
      <c r="O711" s="181" t="s">
        <v>137</v>
      </c>
      <c r="P711" s="181"/>
      <c r="Q711" s="181"/>
      <c r="R711" s="181"/>
      <c r="S711" s="181"/>
      <c r="T711" s="181"/>
      <c r="U711" s="181"/>
      <c r="V711" s="181"/>
      <c r="W711" s="181">
        <f ca="1">_xlfn.MINIFS(V:V,C:C,C711,AE:AE,"",AB:AB,"")</f>
        <v>0</v>
      </c>
      <c r="X711" s="181">
        <f ca="1">SUMIFS(T:T,C:C,C711,AE:AE,"")/SUMIFS(L:L,C:C,C711,AE:AE,"",AB:AB,"")</f>
        <v>0.3</v>
      </c>
      <c r="Y711" s="181"/>
      <c r="Z711" s="181"/>
      <c r="AA711" s="181"/>
      <c r="AB711" s="181"/>
      <c r="AC711" s="183" t="s">
        <v>1784</v>
      </c>
      <c r="AD711" s="184" t="s">
        <v>1785</v>
      </c>
      <c r="AE711" s="162" t="s">
        <v>143</v>
      </c>
      <c r="AF711" s="181" t="s">
        <v>138</v>
      </c>
      <c r="AG711" s="181">
        <v>0</v>
      </c>
      <c r="AH711" s="181"/>
      <c r="AI711" s="181"/>
      <c r="AJ711" s="181"/>
      <c r="AK711" s="181" t="s">
        <v>138</v>
      </c>
      <c r="AL711" s="181">
        <v>0</v>
      </c>
      <c r="AM711" s="181"/>
      <c r="AN711" s="181"/>
      <c r="AO711" s="181"/>
      <c r="AP711" s="181" t="s">
        <v>138</v>
      </c>
      <c r="AQ711" s="181">
        <v>0</v>
      </c>
      <c r="AR711" s="181"/>
      <c r="AS711" s="181"/>
      <c r="AT711" s="181"/>
      <c r="AU711" s="181" t="s">
        <v>1783</v>
      </c>
      <c r="AV711" s="181">
        <v>1</v>
      </c>
      <c r="AW711" s="181"/>
      <c r="AX711" s="181"/>
      <c r="AY711" s="181"/>
      <c r="AZ711" s="179"/>
      <c r="BA711" s="182" t="s">
        <v>140</v>
      </c>
      <c r="BB711" s="182" t="s">
        <v>140</v>
      </c>
      <c r="BC711" s="182" t="s">
        <v>140</v>
      </c>
      <c r="BD711" s="182" t="s">
        <v>141</v>
      </c>
      <c r="BE711" s="162" t="s">
        <v>741</v>
      </c>
      <c r="BF711" s="181"/>
      <c r="BG711" s="161"/>
      <c r="BH711" s="161"/>
      <c r="BI711" s="163"/>
      <c r="BJ711" s="163"/>
      <c r="BK711" s="163"/>
      <c r="BL711" s="163"/>
      <c r="BM711" s="163"/>
      <c r="BN711" s="163"/>
      <c r="BO711" s="163"/>
      <c r="BP711" s="163"/>
      <c r="BQ711" s="163"/>
      <c r="BR711" s="161"/>
      <c r="BS711" s="161"/>
      <c r="BT711" s="161"/>
      <c r="BU711" s="161"/>
      <c r="BV711" s="161"/>
      <c r="BW711" s="161"/>
      <c r="BX711" s="161"/>
      <c r="BY711" s="161"/>
      <c r="BZ711" s="161"/>
      <c r="CA711" s="161"/>
      <c r="CB711" s="163"/>
      <c r="CC711" s="161"/>
      <c r="CD711" s="161"/>
      <c r="CE711" s="185"/>
      <c r="CF711" s="185"/>
    </row>
    <row r="712" spans="1:84" ht="36" hidden="1">
      <c r="A712" s="117"/>
      <c r="B712" s="209" t="s">
        <v>1863</v>
      </c>
      <c r="C712" s="209" t="s">
        <v>2141</v>
      </c>
      <c r="D712" s="209" t="s">
        <v>1873</v>
      </c>
      <c r="E712" s="209" t="s">
        <v>1823</v>
      </c>
      <c r="F712" s="209" t="s">
        <v>1035</v>
      </c>
      <c r="G712" s="209" t="s">
        <v>1874</v>
      </c>
      <c r="H712" s="210"/>
      <c r="I712" s="211" t="s">
        <v>1017</v>
      </c>
      <c r="J712" s="144">
        <v>1</v>
      </c>
      <c r="K712" s="145">
        <f t="shared" ref="K712:K715" si="1654">K711</f>
        <v>1</v>
      </c>
      <c r="L712" s="202">
        <f t="shared" ref="L712:L715" si="1655">+J712*K712</f>
        <v>1</v>
      </c>
      <c r="M712" s="212">
        <v>100</v>
      </c>
      <c r="N712" s="203">
        <f t="shared" ref="N712:N715" si="1656">+M712*L712</f>
        <v>100</v>
      </c>
      <c r="O712" s="212" t="s">
        <v>137</v>
      </c>
      <c r="P712" s="212" t="s">
        <v>14</v>
      </c>
      <c r="Q712" s="212" t="s">
        <v>976</v>
      </c>
      <c r="R712" s="212"/>
      <c r="S712" s="212"/>
      <c r="T712" s="203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0</v>
      </c>
      <c r="U712" s="203">
        <f t="shared" ref="U712:U715" ca="1" si="1657">+L712-T712</f>
        <v>1</v>
      </c>
      <c r="V712" s="203">
        <f t="shared" ref="V712:V715" ca="1" si="1658">ROUNDDOWN(T712/J712,0)</f>
        <v>0</v>
      </c>
      <c r="W712" s="212"/>
      <c r="X712" s="212"/>
      <c r="Y712" s="212"/>
      <c r="Z712" s="212"/>
      <c r="AA712" s="212"/>
      <c r="AB712" s="212"/>
      <c r="AC712" s="214" t="s">
        <v>1784</v>
      </c>
      <c r="AD712" s="226" t="s">
        <v>1785</v>
      </c>
      <c r="AE712" s="148"/>
      <c r="AF712" s="212" t="str">
        <f t="shared" ref="AF712:AG712" si="1659">AF711</f>
        <v>N/A</v>
      </c>
      <c r="AG712" s="212">
        <f t="shared" si="1659"/>
        <v>0</v>
      </c>
      <c r="AH712" s="203">
        <f t="shared" ref="AH712:AH715" si="1660">+AG712*J712</f>
        <v>0</v>
      </c>
      <c r="AI712" s="203">
        <f t="shared" ref="AI712:AI715" ca="1" si="1661">MIN(T712,AH712)</f>
        <v>0</v>
      </c>
      <c r="AJ712" s="203">
        <f t="shared" ref="AJ712:AJ715" ca="1" si="1662">+AH712-AI712</f>
        <v>0</v>
      </c>
      <c r="AK712" s="212" t="str">
        <f t="shared" ref="AK712:AL712" si="1663">AK711</f>
        <v>N/A</v>
      </c>
      <c r="AL712" s="212">
        <f t="shared" si="1663"/>
        <v>0</v>
      </c>
      <c r="AM712" s="203">
        <f t="shared" ref="AM712:AM715" si="1664">+AL712*J712</f>
        <v>0</v>
      </c>
      <c r="AN712" s="203">
        <f t="shared" ref="AN712:AN715" ca="1" si="1665">MIN(T712-AI712,AL712)</f>
        <v>0</v>
      </c>
      <c r="AO712" s="203">
        <f t="shared" ref="AO712:AO715" ca="1" si="1666">+AM712-AN712</f>
        <v>0</v>
      </c>
      <c r="AP712" s="212" t="str">
        <f t="shared" ref="AP712:AQ712" si="1667">AP711</f>
        <v>N/A</v>
      </c>
      <c r="AQ712" s="212">
        <f t="shared" si="1667"/>
        <v>0</v>
      </c>
      <c r="AR712" s="203">
        <f t="shared" ref="AR712:AR715" si="1668">+AQ712*J712</f>
        <v>0</v>
      </c>
      <c r="AS712" s="203">
        <f t="shared" ref="AS712:AS715" ca="1" si="1669">MIN(T712-AI712-AN712,AR712)</f>
        <v>0</v>
      </c>
      <c r="AT712" s="203">
        <f t="shared" ref="AT712:AT715" ca="1" si="1670">+AR712-AS712</f>
        <v>0</v>
      </c>
      <c r="AU712" s="212" t="str">
        <f t="shared" ref="AU712:AV712" si="1671">AU711</f>
        <v>AMC2-S1</v>
      </c>
      <c r="AV712" s="212">
        <f t="shared" si="1671"/>
        <v>1</v>
      </c>
      <c r="AW712" s="203">
        <f t="shared" ref="AW712:AW715" si="1672">+AV712*J712</f>
        <v>1</v>
      </c>
      <c r="AX712" s="203">
        <f t="shared" ref="AX712:AX715" ca="1" si="1673">MIN(T712-AI712-AN712-AS712,AW712)</f>
        <v>0</v>
      </c>
      <c r="AY712" s="203">
        <f t="shared" ref="AY712:AY715" ca="1" si="1674">+AW712-AX712</f>
        <v>1</v>
      </c>
      <c r="AZ712" s="212"/>
      <c r="BA712" s="213" t="s">
        <v>140</v>
      </c>
      <c r="BB712" s="213" t="s">
        <v>140</v>
      </c>
      <c r="BC712" s="213" t="s">
        <v>140</v>
      </c>
      <c r="BD712" s="213" t="s">
        <v>141</v>
      </c>
      <c r="BE712" s="148"/>
      <c r="BF712" s="212"/>
      <c r="BG712" s="117"/>
      <c r="BH712" s="117"/>
      <c r="BI712" s="149"/>
      <c r="BJ712" s="149"/>
      <c r="BK712" s="149"/>
      <c r="BL712" s="149"/>
      <c r="BM712" s="149"/>
      <c r="BN712" s="149"/>
      <c r="BO712" s="149"/>
      <c r="BP712" s="149"/>
      <c r="BQ712" s="149"/>
      <c r="BR712" s="117" t="s">
        <v>140</v>
      </c>
      <c r="BS712" s="117" t="s">
        <v>140</v>
      </c>
      <c r="BT712" s="117" t="s">
        <v>140</v>
      </c>
      <c r="BU712" s="117" t="s">
        <v>140</v>
      </c>
      <c r="BV712" s="117" t="s">
        <v>140</v>
      </c>
      <c r="BW712" s="117" t="s">
        <v>140</v>
      </c>
      <c r="BX712" s="117" t="s">
        <v>140</v>
      </c>
      <c r="BY712" s="117" t="s">
        <v>14</v>
      </c>
      <c r="BZ712" s="117"/>
      <c r="CA712" s="117"/>
      <c r="CB712" s="149"/>
      <c r="CC712" s="117"/>
      <c r="CD712" s="117"/>
      <c r="CE712" s="148"/>
      <c r="CF712" s="148"/>
    </row>
    <row r="713" spans="1:84" hidden="1">
      <c r="A713" s="141"/>
      <c r="B713" s="199" t="s">
        <v>1863</v>
      </c>
      <c r="C713" s="199" t="s">
        <v>2141</v>
      </c>
      <c r="D713" s="199" t="s">
        <v>1007</v>
      </c>
      <c r="E713" s="199" t="s">
        <v>1868</v>
      </c>
      <c r="F713" s="199" t="s">
        <v>1039</v>
      </c>
      <c r="G713" s="199" t="s">
        <v>1040</v>
      </c>
      <c r="H713" s="200">
        <v>326</v>
      </c>
      <c r="I713" s="201" t="s">
        <v>147</v>
      </c>
      <c r="J713" s="165">
        <v>2</v>
      </c>
      <c r="K713" s="202">
        <f t="shared" si="1654"/>
        <v>1</v>
      </c>
      <c r="L713" s="202">
        <f t="shared" si="1655"/>
        <v>2</v>
      </c>
      <c r="M713" s="203">
        <v>0.8</v>
      </c>
      <c r="N713" s="203">
        <f t="shared" si="1656"/>
        <v>1.6</v>
      </c>
      <c r="O713" s="203" t="s">
        <v>137</v>
      </c>
      <c r="P713" s="203" t="s">
        <v>11</v>
      </c>
      <c r="Q713" s="203" t="s">
        <v>154</v>
      </c>
      <c r="R713" s="203"/>
      <c r="S713" s="203"/>
      <c r="T713" s="203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0</v>
      </c>
      <c r="U713" s="203">
        <f t="shared" ca="1" si="1657"/>
        <v>2</v>
      </c>
      <c r="V713" s="203">
        <f t="shared" ca="1" si="1658"/>
        <v>0</v>
      </c>
      <c r="W713" s="203"/>
      <c r="X713" s="203"/>
      <c r="Y713" s="203"/>
      <c r="Z713" s="203"/>
      <c r="AA713" s="203"/>
      <c r="AB713" s="203"/>
      <c r="AC713" s="205" t="s">
        <v>1784</v>
      </c>
      <c r="AD713" s="225" t="s">
        <v>1785</v>
      </c>
      <c r="AE713" s="166"/>
      <c r="AF713" s="203" t="str">
        <f t="shared" ref="AF713:AG713" si="1675">AF712</f>
        <v>N/A</v>
      </c>
      <c r="AG713" s="203">
        <f t="shared" si="1675"/>
        <v>0</v>
      </c>
      <c r="AH713" s="203">
        <f t="shared" si="1660"/>
        <v>0</v>
      </c>
      <c r="AI713" s="203">
        <f t="shared" ca="1" si="1661"/>
        <v>0</v>
      </c>
      <c r="AJ713" s="203">
        <f t="shared" ca="1" si="1662"/>
        <v>0</v>
      </c>
      <c r="AK713" s="203" t="str">
        <f t="shared" ref="AK713:AL713" si="1676">AK712</f>
        <v>N/A</v>
      </c>
      <c r="AL713" s="203">
        <f t="shared" si="1676"/>
        <v>0</v>
      </c>
      <c r="AM713" s="203">
        <f t="shared" si="1664"/>
        <v>0</v>
      </c>
      <c r="AN713" s="203">
        <f t="shared" ca="1" si="1665"/>
        <v>0</v>
      </c>
      <c r="AO713" s="203">
        <f t="shared" ca="1" si="1666"/>
        <v>0</v>
      </c>
      <c r="AP713" s="203" t="str">
        <f t="shared" ref="AP713:AQ713" si="1677">AP712</f>
        <v>N/A</v>
      </c>
      <c r="AQ713" s="203">
        <f t="shared" si="1677"/>
        <v>0</v>
      </c>
      <c r="AR713" s="203">
        <f t="shared" si="1668"/>
        <v>0</v>
      </c>
      <c r="AS713" s="203">
        <f t="shared" ca="1" si="1669"/>
        <v>0</v>
      </c>
      <c r="AT713" s="203">
        <f t="shared" ca="1" si="1670"/>
        <v>0</v>
      </c>
      <c r="AU713" s="203" t="str">
        <f t="shared" ref="AU713:AV713" si="1678">AU712</f>
        <v>AMC2-S1</v>
      </c>
      <c r="AV713" s="203">
        <f t="shared" si="1678"/>
        <v>1</v>
      </c>
      <c r="AW713" s="203">
        <f t="shared" si="1672"/>
        <v>2</v>
      </c>
      <c r="AX713" s="203">
        <f t="shared" ca="1" si="1673"/>
        <v>0</v>
      </c>
      <c r="AY713" s="203">
        <f t="shared" ca="1" si="1674"/>
        <v>2</v>
      </c>
      <c r="AZ713" s="203"/>
      <c r="BA713" s="204" t="s">
        <v>140</v>
      </c>
      <c r="BB713" s="204" t="s">
        <v>140</v>
      </c>
      <c r="BC713" s="204" t="s">
        <v>140</v>
      </c>
      <c r="BD713" s="204" t="s">
        <v>141</v>
      </c>
      <c r="BE713" s="166"/>
      <c r="BF713" s="203" t="s">
        <v>1789</v>
      </c>
      <c r="BG713" s="141"/>
      <c r="BH713" s="141"/>
      <c r="BI713" s="153"/>
      <c r="BJ713" s="153"/>
      <c r="BK713" s="153"/>
      <c r="BL713" s="153" t="s">
        <v>149</v>
      </c>
      <c r="BM713" s="153"/>
      <c r="BN713" s="153"/>
      <c r="BO713" s="153"/>
      <c r="BP713" s="153"/>
      <c r="BQ713" s="153"/>
      <c r="BR713" s="141">
        <v>0</v>
      </c>
      <c r="BS713" s="141">
        <v>1</v>
      </c>
      <c r="BT713" s="141">
        <v>0</v>
      </c>
      <c r="BU713" s="141">
        <v>0</v>
      </c>
      <c r="BV713" s="141">
        <v>0</v>
      </c>
      <c r="BW713" s="141">
        <v>0</v>
      </c>
      <c r="BX713" s="141">
        <v>0</v>
      </c>
      <c r="BY713" s="141" t="s">
        <v>1790</v>
      </c>
      <c r="BZ713" s="141" t="s">
        <v>2142</v>
      </c>
      <c r="CA713" s="141">
        <v>2</v>
      </c>
      <c r="CB713" s="153">
        <v>46238</v>
      </c>
      <c r="CC713" s="141"/>
      <c r="CD713" s="141"/>
      <c r="CE713" s="166"/>
      <c r="CF713" s="166">
        <f>+L713-CA713</f>
        <v>0</v>
      </c>
    </row>
    <row r="714" spans="1:84" hidden="1">
      <c r="A714" s="141"/>
      <c r="B714" s="199" t="s">
        <v>1863</v>
      </c>
      <c r="C714" s="199" t="s">
        <v>2141</v>
      </c>
      <c r="D714" s="199" t="s">
        <v>1007</v>
      </c>
      <c r="E714" s="199" t="s">
        <v>1875</v>
      </c>
      <c r="F714" s="199" t="s">
        <v>1043</v>
      </c>
      <c r="G714" s="199" t="s">
        <v>1044</v>
      </c>
      <c r="H714" s="200">
        <v>188</v>
      </c>
      <c r="I714" s="201" t="s">
        <v>147</v>
      </c>
      <c r="J714" s="165">
        <v>1</v>
      </c>
      <c r="K714" s="202">
        <f t="shared" si="1654"/>
        <v>1</v>
      </c>
      <c r="L714" s="202">
        <f t="shared" si="1655"/>
        <v>1</v>
      </c>
      <c r="M714" s="203">
        <v>0.3</v>
      </c>
      <c r="N714" s="203">
        <f t="shared" si="1656"/>
        <v>0.3</v>
      </c>
      <c r="O714" s="203" t="s">
        <v>137</v>
      </c>
      <c r="P714" s="203" t="s">
        <v>11</v>
      </c>
      <c r="Q714" s="203" t="s">
        <v>154</v>
      </c>
      <c r="R714" s="203"/>
      <c r="S714" s="203"/>
      <c r="T714" s="203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0</v>
      </c>
      <c r="U714" s="203">
        <f t="shared" ca="1" si="1657"/>
        <v>1</v>
      </c>
      <c r="V714" s="203">
        <f t="shared" ca="1" si="1658"/>
        <v>0</v>
      </c>
      <c r="W714" s="203"/>
      <c r="X714" s="203"/>
      <c r="Y714" s="203"/>
      <c r="Z714" s="203"/>
      <c r="AA714" s="203"/>
      <c r="AB714" s="203"/>
      <c r="AC714" s="205" t="s">
        <v>1784</v>
      </c>
      <c r="AD714" s="225" t="s">
        <v>1785</v>
      </c>
      <c r="AE714" s="166"/>
      <c r="AF714" s="203" t="str">
        <f t="shared" ref="AF714:AG714" si="1679">AF713</f>
        <v>N/A</v>
      </c>
      <c r="AG714" s="203">
        <f t="shared" si="1679"/>
        <v>0</v>
      </c>
      <c r="AH714" s="203">
        <f t="shared" si="1660"/>
        <v>0</v>
      </c>
      <c r="AI714" s="203">
        <f t="shared" ca="1" si="1661"/>
        <v>0</v>
      </c>
      <c r="AJ714" s="203">
        <f t="shared" ca="1" si="1662"/>
        <v>0</v>
      </c>
      <c r="AK714" s="203" t="str">
        <f t="shared" ref="AK714:AL714" si="1680">AK713</f>
        <v>N/A</v>
      </c>
      <c r="AL714" s="203">
        <f t="shared" si="1680"/>
        <v>0</v>
      </c>
      <c r="AM714" s="203">
        <f t="shared" si="1664"/>
        <v>0</v>
      </c>
      <c r="AN714" s="203">
        <f t="shared" ca="1" si="1665"/>
        <v>0</v>
      </c>
      <c r="AO714" s="203">
        <f t="shared" ca="1" si="1666"/>
        <v>0</v>
      </c>
      <c r="AP714" s="203" t="str">
        <f t="shared" ref="AP714:AQ714" si="1681">AP713</f>
        <v>N/A</v>
      </c>
      <c r="AQ714" s="203">
        <f t="shared" si="1681"/>
        <v>0</v>
      </c>
      <c r="AR714" s="203">
        <f t="shared" si="1668"/>
        <v>0</v>
      </c>
      <c r="AS714" s="203">
        <f t="shared" ca="1" si="1669"/>
        <v>0</v>
      </c>
      <c r="AT714" s="203">
        <f t="shared" ca="1" si="1670"/>
        <v>0</v>
      </c>
      <c r="AU714" s="203" t="str">
        <f t="shared" ref="AU714:AV714" si="1682">AU713</f>
        <v>AMC2-S1</v>
      </c>
      <c r="AV714" s="203">
        <f t="shared" si="1682"/>
        <v>1</v>
      </c>
      <c r="AW714" s="203">
        <f t="shared" si="1672"/>
        <v>1</v>
      </c>
      <c r="AX714" s="203">
        <f t="shared" ca="1" si="1673"/>
        <v>0</v>
      </c>
      <c r="AY714" s="203">
        <f t="shared" ca="1" si="1674"/>
        <v>1</v>
      </c>
      <c r="AZ714" s="203"/>
      <c r="BA714" s="204" t="s">
        <v>140</v>
      </c>
      <c r="BB714" s="204" t="s">
        <v>140</v>
      </c>
      <c r="BC714" s="204" t="s">
        <v>140</v>
      </c>
      <c r="BD714" s="204" t="s">
        <v>141</v>
      </c>
      <c r="BE714" s="166"/>
      <c r="BF714" s="203" t="s">
        <v>1789</v>
      </c>
      <c r="BG714" s="141"/>
      <c r="BH714" s="141"/>
      <c r="BI714" s="153"/>
      <c r="BJ714" s="153"/>
      <c r="BK714" s="153"/>
      <c r="BL714" s="153" t="s">
        <v>149</v>
      </c>
      <c r="BM714" s="153"/>
      <c r="BN714" s="153"/>
      <c r="BO714" s="153"/>
      <c r="BP714" s="153"/>
      <c r="BQ714" s="153"/>
      <c r="BR714" s="141">
        <v>0</v>
      </c>
      <c r="BS714" s="141">
        <v>1</v>
      </c>
      <c r="BT714" s="141">
        <v>0</v>
      </c>
      <c r="BU714" s="141">
        <v>0</v>
      </c>
      <c r="BV714" s="141">
        <v>0</v>
      </c>
      <c r="BW714" s="141">
        <v>0</v>
      </c>
      <c r="BX714" s="141">
        <v>0</v>
      </c>
      <c r="BY714" s="141" t="s">
        <v>1790</v>
      </c>
      <c r="BZ714" s="141" t="s">
        <v>2143</v>
      </c>
      <c r="CA714" s="141">
        <v>1</v>
      </c>
      <c r="CB714" s="153">
        <v>46238</v>
      </c>
      <c r="CC714" s="141"/>
      <c r="CD714" s="141"/>
      <c r="CE714" s="166"/>
      <c r="CF714" s="166">
        <f>+L714-CA714</f>
        <v>0</v>
      </c>
    </row>
    <row r="715" spans="1:84" ht="36" hidden="1">
      <c r="A715" s="117"/>
      <c r="B715" s="209" t="s">
        <v>1863</v>
      </c>
      <c r="C715" s="209" t="s">
        <v>2141</v>
      </c>
      <c r="D715" s="209" t="s">
        <v>1037</v>
      </c>
      <c r="E715" s="209" t="s">
        <v>1823</v>
      </c>
      <c r="F715" s="209"/>
      <c r="G715" s="209" t="s">
        <v>1036</v>
      </c>
      <c r="H715" s="210" t="s">
        <v>1038</v>
      </c>
      <c r="I715" s="211" t="s">
        <v>147</v>
      </c>
      <c r="J715" s="144">
        <v>1</v>
      </c>
      <c r="K715" s="145">
        <f t="shared" si="1654"/>
        <v>1</v>
      </c>
      <c r="L715" s="202">
        <f t="shared" si="1655"/>
        <v>1</v>
      </c>
      <c r="M715" s="212">
        <v>0.6</v>
      </c>
      <c r="N715" s="203">
        <f t="shared" si="1656"/>
        <v>0.6</v>
      </c>
      <c r="O715" s="212" t="s">
        <v>137</v>
      </c>
      <c r="P715" s="212" t="s">
        <v>14</v>
      </c>
      <c r="Q715" s="212" t="s">
        <v>976</v>
      </c>
      <c r="R715" s="212"/>
      <c r="S715" s="212"/>
      <c r="T715" s="203">
        <f ca="1">IF(SUMIFS(INDIRECT("'BTP-"&amp;$C$4&amp;"'!L:L"),INDIRECT("'BTP-"&amp;$C$4&amp;"'!D:D"),F715)-SUMIFS($T$10:T714,$F$10:F714,F715)&gt;0,MIN(SUMIFS(INDIRECT("'BTP-"&amp;$C$4&amp;"'!L:L"),INDIRECT("'BTP-"&amp;$C$4&amp;"'!D:D"),F715)-SUMIFS($T$10:T714,$F$10:F714,F715),L715),0)</f>
        <v>0</v>
      </c>
      <c r="U715" s="203">
        <f t="shared" ca="1" si="1657"/>
        <v>1</v>
      </c>
      <c r="V715" s="203">
        <f t="shared" ca="1" si="1658"/>
        <v>0</v>
      </c>
      <c r="W715" s="212"/>
      <c r="X715" s="212"/>
      <c r="Y715" s="212"/>
      <c r="Z715" s="212"/>
      <c r="AA715" s="212"/>
      <c r="AB715" s="212"/>
      <c r="AC715" s="214" t="s">
        <v>1784</v>
      </c>
      <c r="AD715" s="226" t="s">
        <v>1785</v>
      </c>
      <c r="AE715" s="148"/>
      <c r="AF715" s="212" t="str">
        <f t="shared" ref="AF715:AG715" si="1683">AF714</f>
        <v>N/A</v>
      </c>
      <c r="AG715" s="212">
        <f t="shared" si="1683"/>
        <v>0</v>
      </c>
      <c r="AH715" s="203">
        <f t="shared" si="1660"/>
        <v>0</v>
      </c>
      <c r="AI715" s="203">
        <f t="shared" ca="1" si="1661"/>
        <v>0</v>
      </c>
      <c r="AJ715" s="203">
        <f t="shared" ca="1" si="1662"/>
        <v>0</v>
      </c>
      <c r="AK715" s="212" t="str">
        <f t="shared" ref="AK715:AL715" si="1684">AK714</f>
        <v>N/A</v>
      </c>
      <c r="AL715" s="212">
        <f t="shared" si="1684"/>
        <v>0</v>
      </c>
      <c r="AM715" s="203">
        <f t="shared" si="1664"/>
        <v>0</v>
      </c>
      <c r="AN715" s="203">
        <f t="shared" ca="1" si="1665"/>
        <v>0</v>
      </c>
      <c r="AO715" s="203">
        <f t="shared" ca="1" si="1666"/>
        <v>0</v>
      </c>
      <c r="AP715" s="212" t="str">
        <f t="shared" ref="AP715:AQ715" si="1685">AP714</f>
        <v>N/A</v>
      </c>
      <c r="AQ715" s="212">
        <f t="shared" si="1685"/>
        <v>0</v>
      </c>
      <c r="AR715" s="203">
        <f t="shared" si="1668"/>
        <v>0</v>
      </c>
      <c r="AS715" s="203">
        <f t="shared" ca="1" si="1669"/>
        <v>0</v>
      </c>
      <c r="AT715" s="203">
        <f t="shared" ca="1" si="1670"/>
        <v>0</v>
      </c>
      <c r="AU715" s="212" t="str">
        <f t="shared" ref="AU715:AV715" si="1686">AU714</f>
        <v>AMC2-S1</v>
      </c>
      <c r="AV715" s="212">
        <f t="shared" si="1686"/>
        <v>1</v>
      </c>
      <c r="AW715" s="203">
        <f t="shared" si="1672"/>
        <v>1</v>
      </c>
      <c r="AX715" s="203">
        <f t="shared" ca="1" si="1673"/>
        <v>0</v>
      </c>
      <c r="AY715" s="203">
        <f t="shared" ca="1" si="1674"/>
        <v>1</v>
      </c>
      <c r="AZ715" s="212"/>
      <c r="BA715" s="213" t="s">
        <v>140</v>
      </c>
      <c r="BB715" s="213" t="s">
        <v>140</v>
      </c>
      <c r="BC715" s="213" t="s">
        <v>140</v>
      </c>
      <c r="BD715" s="213" t="s">
        <v>141</v>
      </c>
      <c r="BE715" s="148"/>
      <c r="BF715" s="212"/>
      <c r="BG715" s="117"/>
      <c r="BH715" s="117"/>
      <c r="BI715" s="149"/>
      <c r="BJ715" s="149"/>
      <c r="BK715" s="149"/>
      <c r="BL715" s="149"/>
      <c r="BM715" s="149"/>
      <c r="BN715" s="149"/>
      <c r="BO715" s="149"/>
      <c r="BP715" s="149"/>
      <c r="BQ715" s="149"/>
      <c r="BR715" s="117" t="s">
        <v>140</v>
      </c>
      <c r="BS715" s="117" t="s">
        <v>140</v>
      </c>
      <c r="BT715" s="117" t="s">
        <v>140</v>
      </c>
      <c r="BU715" s="117" t="s">
        <v>140</v>
      </c>
      <c r="BV715" s="117" t="s">
        <v>140</v>
      </c>
      <c r="BW715" s="117" t="s">
        <v>140</v>
      </c>
      <c r="BX715" s="117" t="s">
        <v>140</v>
      </c>
      <c r="BY715" s="117" t="s">
        <v>14</v>
      </c>
      <c r="BZ715" s="117"/>
      <c r="CA715" s="117"/>
      <c r="CB715" s="149"/>
      <c r="CC715" s="117"/>
      <c r="CD715" s="117"/>
      <c r="CE715" s="148"/>
      <c r="CF715" s="148"/>
    </row>
    <row r="716" spans="1:84" hidden="1">
      <c r="A716" s="162">
        <v>46</v>
      </c>
      <c r="B716" s="177" t="s">
        <v>1863</v>
      </c>
      <c r="C716" s="177" t="s">
        <v>2144</v>
      </c>
      <c r="D716" s="177" t="s">
        <v>1876</v>
      </c>
      <c r="E716" s="177"/>
      <c r="F716" s="177"/>
      <c r="G716" s="177" t="s">
        <v>1877</v>
      </c>
      <c r="H716" s="178"/>
      <c r="I716" s="179"/>
      <c r="J716" s="160"/>
      <c r="K716" s="180">
        <f>+AG716+AL716+AQ716+AV716</f>
        <v>1</v>
      </c>
      <c r="L716" s="160"/>
      <c r="M716" s="181">
        <v>305.60000000000002</v>
      </c>
      <c r="N716" s="181">
        <v>306</v>
      </c>
      <c r="O716" s="181" t="s">
        <v>137</v>
      </c>
      <c r="P716" s="181"/>
      <c r="Q716" s="181"/>
      <c r="R716" s="181"/>
      <c r="S716" s="181"/>
      <c r="T716" s="181"/>
      <c r="U716" s="181"/>
      <c r="V716" s="181"/>
      <c r="W716" s="181">
        <f ca="1">_xlfn.MINIFS(V:V,C:C,C716,AE:AE,"",AB:AB,"")</f>
        <v>0</v>
      </c>
      <c r="X716" s="181">
        <f ca="1">SUMIFS(T:T,C:C,C716,AE:AE,"")/SUMIFS(L:L,C:C,C716,AE:AE,"",AB:AB,"")</f>
        <v>0.39285714285714285</v>
      </c>
      <c r="Y716" s="181"/>
      <c r="Z716" s="181"/>
      <c r="AA716" s="181"/>
      <c r="AB716" s="181"/>
      <c r="AC716" s="183" t="s">
        <v>1784</v>
      </c>
      <c r="AD716" s="184" t="s">
        <v>1785</v>
      </c>
      <c r="AE716" s="162" t="s">
        <v>143</v>
      </c>
      <c r="AF716" s="181" t="s">
        <v>138</v>
      </c>
      <c r="AG716" s="181">
        <v>0</v>
      </c>
      <c r="AH716" s="181"/>
      <c r="AI716" s="181"/>
      <c r="AJ716" s="181"/>
      <c r="AK716" s="181" t="s">
        <v>138</v>
      </c>
      <c r="AL716" s="181">
        <v>0</v>
      </c>
      <c r="AM716" s="181"/>
      <c r="AN716" s="181"/>
      <c r="AO716" s="181"/>
      <c r="AP716" s="181" t="s">
        <v>138</v>
      </c>
      <c r="AQ716" s="181">
        <v>0</v>
      </c>
      <c r="AR716" s="181"/>
      <c r="AS716" s="181"/>
      <c r="AT716" s="181"/>
      <c r="AU716" s="181" t="s">
        <v>1783</v>
      </c>
      <c r="AV716" s="181">
        <v>1</v>
      </c>
      <c r="AW716" s="181"/>
      <c r="AX716" s="181"/>
      <c r="AY716" s="181"/>
      <c r="AZ716" s="181"/>
      <c r="BA716" s="182" t="s">
        <v>140</v>
      </c>
      <c r="BB716" s="182" t="s">
        <v>140</v>
      </c>
      <c r="BC716" s="182" t="s">
        <v>140</v>
      </c>
      <c r="BD716" s="182" t="s">
        <v>141</v>
      </c>
      <c r="BE716" s="162" t="s">
        <v>741</v>
      </c>
      <c r="BF716" s="181"/>
      <c r="BG716" s="161"/>
      <c r="BH716" s="161"/>
      <c r="BI716" s="163"/>
      <c r="BJ716" s="163"/>
      <c r="BK716" s="163"/>
      <c r="BL716" s="163"/>
      <c r="BM716" s="163"/>
      <c r="BN716" s="163"/>
      <c r="BO716" s="163"/>
      <c r="BP716" s="163"/>
      <c r="BQ716" s="163"/>
      <c r="BR716" s="161"/>
      <c r="BS716" s="161"/>
      <c r="BT716" s="161"/>
      <c r="BU716" s="161"/>
      <c r="BV716" s="161"/>
      <c r="BW716" s="161"/>
      <c r="BX716" s="161"/>
      <c r="BY716" s="161"/>
      <c r="BZ716" s="161"/>
      <c r="CA716" s="161"/>
      <c r="CB716" s="163"/>
      <c r="CC716" s="161"/>
      <c r="CD716" s="161"/>
      <c r="CE716" s="185"/>
      <c r="CF716" s="185"/>
    </row>
    <row r="717" spans="1:84" ht="36" hidden="1">
      <c r="A717" s="117"/>
      <c r="B717" s="209" t="s">
        <v>1863</v>
      </c>
      <c r="C717" s="209" t="s">
        <v>2144</v>
      </c>
      <c r="D717" s="209" t="s">
        <v>1016</v>
      </c>
      <c r="E717" s="209" t="s">
        <v>1823</v>
      </c>
      <c r="F717" s="209" t="s">
        <v>1052</v>
      </c>
      <c r="G717" s="209" t="s">
        <v>1053</v>
      </c>
      <c r="H717" s="210"/>
      <c r="I717" s="211" t="s">
        <v>1017</v>
      </c>
      <c r="J717" s="144">
        <v>1</v>
      </c>
      <c r="K717" s="145">
        <f t="shared" ref="K717:K722" si="1687">K716</f>
        <v>1</v>
      </c>
      <c r="L717" s="202">
        <f t="shared" ref="L717:L722" si="1688">+J717*K717</f>
        <v>1</v>
      </c>
      <c r="M717" s="212">
        <v>155</v>
      </c>
      <c r="N717" s="203">
        <f t="shared" ref="N717:N722" si="1689">+M717*L717</f>
        <v>155</v>
      </c>
      <c r="O717" s="212" t="s">
        <v>137</v>
      </c>
      <c r="P717" s="212" t="s">
        <v>14</v>
      </c>
      <c r="Q717" s="212" t="s">
        <v>976</v>
      </c>
      <c r="R717" s="212"/>
      <c r="S717" s="212"/>
      <c r="T717" s="203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0</v>
      </c>
      <c r="U717" s="203">
        <f t="shared" ref="U717:U722" ca="1" si="1690">+L717-T717</f>
        <v>1</v>
      </c>
      <c r="V717" s="203">
        <f t="shared" ref="V717:V722" ca="1" si="1691">ROUNDDOWN(T717/J717,0)</f>
        <v>0</v>
      </c>
      <c r="W717" s="212"/>
      <c r="X717" s="212"/>
      <c r="Y717" s="212"/>
      <c r="Z717" s="212"/>
      <c r="AA717" s="212"/>
      <c r="AB717" s="212"/>
      <c r="AC717" s="214" t="s">
        <v>1784</v>
      </c>
      <c r="AD717" s="226" t="s">
        <v>1785</v>
      </c>
      <c r="AE717" s="148"/>
      <c r="AF717" s="212" t="str">
        <f t="shared" ref="AF717:AG717" si="1692">AF716</f>
        <v>N/A</v>
      </c>
      <c r="AG717" s="212">
        <f t="shared" si="1692"/>
        <v>0</v>
      </c>
      <c r="AH717" s="203">
        <f t="shared" ref="AH717:AH722" si="1693">+AG717*J717</f>
        <v>0</v>
      </c>
      <c r="AI717" s="203">
        <f t="shared" ref="AI717:AI722" ca="1" si="1694">MIN(T717,AH717)</f>
        <v>0</v>
      </c>
      <c r="AJ717" s="203">
        <f t="shared" ref="AJ717:AJ722" ca="1" si="1695">+AH717-AI717</f>
        <v>0</v>
      </c>
      <c r="AK717" s="212" t="str">
        <f t="shared" ref="AK717:AL717" si="1696">AK716</f>
        <v>N/A</v>
      </c>
      <c r="AL717" s="212">
        <f t="shared" si="1696"/>
        <v>0</v>
      </c>
      <c r="AM717" s="203">
        <f t="shared" ref="AM717:AM722" si="1697">+AL717*J717</f>
        <v>0</v>
      </c>
      <c r="AN717" s="203">
        <f t="shared" ref="AN717:AN722" ca="1" si="1698">MIN(T717-AI717,AL717)</f>
        <v>0</v>
      </c>
      <c r="AO717" s="203">
        <f t="shared" ref="AO717:AO722" ca="1" si="1699">+AM717-AN717</f>
        <v>0</v>
      </c>
      <c r="AP717" s="212" t="str">
        <f t="shared" ref="AP717:AQ717" si="1700">AP716</f>
        <v>N/A</v>
      </c>
      <c r="AQ717" s="212">
        <f t="shared" si="1700"/>
        <v>0</v>
      </c>
      <c r="AR717" s="203">
        <f t="shared" ref="AR717:AR722" si="1701">+AQ717*J717</f>
        <v>0</v>
      </c>
      <c r="AS717" s="203">
        <f t="shared" ref="AS717:AS722" ca="1" si="1702">MIN(T717-AI717-AN717,AR717)</f>
        <v>0</v>
      </c>
      <c r="AT717" s="203">
        <f t="shared" ref="AT717:AT722" ca="1" si="1703">+AR717-AS717</f>
        <v>0</v>
      </c>
      <c r="AU717" s="212" t="str">
        <f t="shared" ref="AU717:AV717" si="1704">AU716</f>
        <v>AMC2-S1</v>
      </c>
      <c r="AV717" s="212">
        <f t="shared" si="1704"/>
        <v>1</v>
      </c>
      <c r="AW717" s="203">
        <f t="shared" ref="AW717:AW722" si="1705">+AV717*J717</f>
        <v>1</v>
      </c>
      <c r="AX717" s="203">
        <f t="shared" ref="AX717:AX722" ca="1" si="1706">MIN(T717-AI717-AN717-AS717,AW717)</f>
        <v>0</v>
      </c>
      <c r="AY717" s="203">
        <f t="shared" ref="AY717:AY722" ca="1" si="1707">+AW717-AX717</f>
        <v>1</v>
      </c>
      <c r="AZ717" s="212"/>
      <c r="BA717" s="213" t="s">
        <v>140</v>
      </c>
      <c r="BB717" s="213" t="s">
        <v>140</v>
      </c>
      <c r="BC717" s="213" t="s">
        <v>140</v>
      </c>
      <c r="BD717" s="213" t="s">
        <v>141</v>
      </c>
      <c r="BE717" s="148"/>
      <c r="BF717" s="212"/>
      <c r="BG717" s="117"/>
      <c r="BH717" s="117"/>
      <c r="BI717" s="149"/>
      <c r="BJ717" s="149"/>
      <c r="BK717" s="149"/>
      <c r="BL717" s="149"/>
      <c r="BM717" s="149"/>
      <c r="BN717" s="149"/>
      <c r="BO717" s="149"/>
      <c r="BP717" s="149"/>
      <c r="BQ717" s="149"/>
      <c r="BR717" s="117" t="s">
        <v>140</v>
      </c>
      <c r="BS717" s="117" t="s">
        <v>140</v>
      </c>
      <c r="BT717" s="117" t="s">
        <v>140</v>
      </c>
      <c r="BU717" s="117" t="s">
        <v>140</v>
      </c>
      <c r="BV717" s="117" t="s">
        <v>140</v>
      </c>
      <c r="BW717" s="117" t="s">
        <v>140</v>
      </c>
      <c r="BX717" s="117" t="s">
        <v>140</v>
      </c>
      <c r="BY717" s="117" t="s">
        <v>14</v>
      </c>
      <c r="BZ717" s="117"/>
      <c r="CA717" s="117"/>
      <c r="CB717" s="149"/>
      <c r="CC717" s="117"/>
      <c r="CD717" s="117"/>
      <c r="CE717" s="148"/>
      <c r="CF717" s="148"/>
    </row>
    <row r="718" spans="1:84" hidden="1">
      <c r="A718" s="141"/>
      <c r="B718" s="199" t="s">
        <v>1863</v>
      </c>
      <c r="C718" s="199" t="s">
        <v>2144</v>
      </c>
      <c r="D718" s="199" t="s">
        <v>1010</v>
      </c>
      <c r="E718" s="199" t="s">
        <v>1802</v>
      </c>
      <c r="F718" s="199" t="s">
        <v>1047</v>
      </c>
      <c r="G718" s="199" t="s">
        <v>1048</v>
      </c>
      <c r="H718" s="200">
        <v>761</v>
      </c>
      <c r="I718" s="201" t="s">
        <v>1049</v>
      </c>
      <c r="J718" s="165">
        <v>1</v>
      </c>
      <c r="K718" s="202">
        <f t="shared" si="1687"/>
        <v>1</v>
      </c>
      <c r="L718" s="202">
        <f t="shared" si="1688"/>
        <v>1</v>
      </c>
      <c r="M718" s="203">
        <f>164.86*H718/1000</f>
        <v>125.45846</v>
      </c>
      <c r="N718" s="203">
        <f t="shared" si="1689"/>
        <v>125.45846</v>
      </c>
      <c r="O718" s="203" t="s">
        <v>137</v>
      </c>
      <c r="P718" s="203" t="s">
        <v>11</v>
      </c>
      <c r="Q718" s="203" t="s">
        <v>148</v>
      </c>
      <c r="R718" s="203"/>
      <c r="S718" s="203"/>
      <c r="T718" s="203">
        <f ca="1">IF(SUMIFS(INDIRECT("'BTP-"&amp;$C$4&amp;"'!L:L"),INDIRECT("'BTP-"&amp;$C$4&amp;"'!D:D"),F718)-SUMIFS($T$10:T717,$F$10:F717,F718)&gt;0,MIN(SUMIFS(INDIRECT("'BTP-"&amp;$C$4&amp;"'!L:L"),INDIRECT("'BTP-"&amp;$C$4&amp;"'!D:D"),F718)-SUMIFS($T$10:T717,$F$10:F717,F718),L718),0)</f>
        <v>0</v>
      </c>
      <c r="U718" s="203">
        <f t="shared" ca="1" si="1690"/>
        <v>1</v>
      </c>
      <c r="V718" s="203">
        <f t="shared" ca="1" si="1691"/>
        <v>0</v>
      </c>
      <c r="W718" s="203"/>
      <c r="X718" s="203"/>
      <c r="Y718" s="203"/>
      <c r="Z718" s="203"/>
      <c r="AA718" s="203"/>
      <c r="AB718" s="203"/>
      <c r="AC718" s="205" t="s">
        <v>1784</v>
      </c>
      <c r="AD718" s="225" t="s">
        <v>1785</v>
      </c>
      <c r="AE718" s="166"/>
      <c r="AF718" s="203" t="str">
        <f t="shared" ref="AF718:AG718" si="1708">AF717</f>
        <v>N/A</v>
      </c>
      <c r="AG718" s="203">
        <f t="shared" si="1708"/>
        <v>0</v>
      </c>
      <c r="AH718" s="203">
        <f t="shared" si="1693"/>
        <v>0</v>
      </c>
      <c r="AI718" s="203">
        <f t="shared" ca="1" si="1694"/>
        <v>0</v>
      </c>
      <c r="AJ718" s="203">
        <f t="shared" ca="1" si="1695"/>
        <v>0</v>
      </c>
      <c r="AK718" s="203" t="str">
        <f t="shared" ref="AK718:AL718" si="1709">AK717</f>
        <v>N/A</v>
      </c>
      <c r="AL718" s="203">
        <f t="shared" si="1709"/>
        <v>0</v>
      </c>
      <c r="AM718" s="203">
        <f t="shared" si="1697"/>
        <v>0</v>
      </c>
      <c r="AN718" s="203">
        <f t="shared" ca="1" si="1698"/>
        <v>0</v>
      </c>
      <c r="AO718" s="203">
        <f t="shared" ca="1" si="1699"/>
        <v>0</v>
      </c>
      <c r="AP718" s="203" t="str">
        <f t="shared" ref="AP718:AQ718" si="1710">AP717</f>
        <v>N/A</v>
      </c>
      <c r="AQ718" s="203">
        <f t="shared" si="1710"/>
        <v>0</v>
      </c>
      <c r="AR718" s="203">
        <f t="shared" si="1701"/>
        <v>0</v>
      </c>
      <c r="AS718" s="203">
        <f t="shared" ca="1" si="1702"/>
        <v>0</v>
      </c>
      <c r="AT718" s="203">
        <f t="shared" ca="1" si="1703"/>
        <v>0</v>
      </c>
      <c r="AU718" s="203" t="str">
        <f t="shared" ref="AU718:AV718" si="1711">AU717</f>
        <v>AMC2-S1</v>
      </c>
      <c r="AV718" s="203">
        <f t="shared" si="1711"/>
        <v>1</v>
      </c>
      <c r="AW718" s="203">
        <f t="shared" si="1705"/>
        <v>1</v>
      </c>
      <c r="AX718" s="203">
        <f t="shared" ca="1" si="1706"/>
        <v>0</v>
      </c>
      <c r="AY718" s="203">
        <f t="shared" ca="1" si="1707"/>
        <v>1</v>
      </c>
      <c r="AZ718" s="203"/>
      <c r="BA718" s="204" t="s">
        <v>140</v>
      </c>
      <c r="BB718" s="204" t="s">
        <v>140</v>
      </c>
      <c r="BC718" s="204" t="s">
        <v>140</v>
      </c>
      <c r="BD718" s="204" t="s">
        <v>141</v>
      </c>
      <c r="BE718" s="166"/>
      <c r="BF718" s="203" t="s">
        <v>1789</v>
      </c>
      <c r="BG718" s="141"/>
      <c r="BH718" s="141"/>
      <c r="BI718" s="153"/>
      <c r="BJ718" s="153"/>
      <c r="BK718" s="153"/>
      <c r="BL718" s="153" t="s">
        <v>149</v>
      </c>
      <c r="BM718" s="153"/>
      <c r="BN718" s="153"/>
      <c r="BO718" s="153"/>
      <c r="BP718" s="153"/>
      <c r="BQ718" s="153"/>
      <c r="BR718" s="141">
        <v>0</v>
      </c>
      <c r="BS718" s="141">
        <v>0</v>
      </c>
      <c r="BT718" s="141">
        <v>0</v>
      </c>
      <c r="BU718" s="141">
        <v>1</v>
      </c>
      <c r="BV718" s="141">
        <v>0</v>
      </c>
      <c r="BW718" s="141">
        <v>0</v>
      </c>
      <c r="BX718" s="141">
        <v>0</v>
      </c>
      <c r="BY718" s="141" t="s">
        <v>1790</v>
      </c>
      <c r="BZ718" s="141" t="s">
        <v>2145</v>
      </c>
      <c r="CA718" s="141">
        <v>1</v>
      </c>
      <c r="CB718" s="153">
        <v>46238</v>
      </c>
      <c r="CC718" s="141"/>
      <c r="CD718" s="141"/>
      <c r="CE718" s="166"/>
      <c r="CF718" s="166">
        <f>+L718-CA718</f>
        <v>0</v>
      </c>
    </row>
    <row r="719" spans="1:84" hidden="1">
      <c r="A719" s="141"/>
      <c r="B719" s="199" t="s">
        <v>1863</v>
      </c>
      <c r="C719" s="199" t="s">
        <v>2144</v>
      </c>
      <c r="D719" s="199" t="s">
        <v>13</v>
      </c>
      <c r="E719" s="199" t="s">
        <v>1788</v>
      </c>
      <c r="F719" s="199" t="s">
        <v>1056</v>
      </c>
      <c r="G719" s="199" t="s">
        <v>1057</v>
      </c>
      <c r="H719" s="200">
        <v>250</v>
      </c>
      <c r="I719" s="201" t="s">
        <v>147</v>
      </c>
      <c r="J719" s="165">
        <v>1</v>
      </c>
      <c r="K719" s="202">
        <f t="shared" si="1687"/>
        <v>1</v>
      </c>
      <c r="L719" s="202">
        <f t="shared" si="1688"/>
        <v>1</v>
      </c>
      <c r="M719" s="203">
        <v>10.5</v>
      </c>
      <c r="N719" s="203">
        <f t="shared" si="1689"/>
        <v>10.5</v>
      </c>
      <c r="O719" s="203" t="s">
        <v>137</v>
      </c>
      <c r="P719" s="203" t="s">
        <v>13</v>
      </c>
      <c r="Q719" s="203" t="s">
        <v>148</v>
      </c>
      <c r="R719" s="203"/>
      <c r="S719" s="203"/>
      <c r="T719" s="203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0</v>
      </c>
      <c r="U719" s="203">
        <f t="shared" ca="1" si="1690"/>
        <v>1</v>
      </c>
      <c r="V719" s="203">
        <f t="shared" ca="1" si="1691"/>
        <v>0</v>
      </c>
      <c r="W719" s="203"/>
      <c r="X719" s="203"/>
      <c r="Y719" s="203"/>
      <c r="Z719" s="203"/>
      <c r="AA719" s="203"/>
      <c r="AB719" s="203"/>
      <c r="AC719" s="205" t="s">
        <v>1784</v>
      </c>
      <c r="AD719" s="225" t="s">
        <v>1785</v>
      </c>
      <c r="AE719" s="166"/>
      <c r="AF719" s="203" t="str">
        <f t="shared" ref="AF719:AG719" si="1712">AF718</f>
        <v>N/A</v>
      </c>
      <c r="AG719" s="203">
        <f t="shared" si="1712"/>
        <v>0</v>
      </c>
      <c r="AH719" s="203">
        <f t="shared" si="1693"/>
        <v>0</v>
      </c>
      <c r="AI719" s="203">
        <f t="shared" ca="1" si="1694"/>
        <v>0</v>
      </c>
      <c r="AJ719" s="203">
        <f t="shared" ca="1" si="1695"/>
        <v>0</v>
      </c>
      <c r="AK719" s="203" t="str">
        <f t="shared" ref="AK719:AL719" si="1713">AK718</f>
        <v>N/A</v>
      </c>
      <c r="AL719" s="203">
        <f t="shared" si="1713"/>
        <v>0</v>
      </c>
      <c r="AM719" s="203">
        <f t="shared" si="1697"/>
        <v>0</v>
      </c>
      <c r="AN719" s="203">
        <f t="shared" ca="1" si="1698"/>
        <v>0</v>
      </c>
      <c r="AO719" s="203">
        <f t="shared" ca="1" si="1699"/>
        <v>0</v>
      </c>
      <c r="AP719" s="203" t="str">
        <f t="shared" ref="AP719:AQ719" si="1714">AP718</f>
        <v>N/A</v>
      </c>
      <c r="AQ719" s="203">
        <f t="shared" si="1714"/>
        <v>0</v>
      </c>
      <c r="AR719" s="203">
        <f t="shared" si="1701"/>
        <v>0</v>
      </c>
      <c r="AS719" s="203">
        <f t="shared" ca="1" si="1702"/>
        <v>0</v>
      </c>
      <c r="AT719" s="203">
        <f t="shared" ca="1" si="1703"/>
        <v>0</v>
      </c>
      <c r="AU719" s="203" t="str">
        <f t="shared" ref="AU719:AV719" si="1715">AU718</f>
        <v>AMC2-S1</v>
      </c>
      <c r="AV719" s="203">
        <f t="shared" si="1715"/>
        <v>1</v>
      </c>
      <c r="AW719" s="203">
        <f t="shared" si="1705"/>
        <v>1</v>
      </c>
      <c r="AX719" s="203">
        <f t="shared" ca="1" si="1706"/>
        <v>0</v>
      </c>
      <c r="AY719" s="203">
        <f t="shared" ca="1" si="1707"/>
        <v>1</v>
      </c>
      <c r="AZ719" s="203"/>
      <c r="BA719" s="204" t="s">
        <v>140</v>
      </c>
      <c r="BB719" s="204" t="s">
        <v>140</v>
      </c>
      <c r="BC719" s="204" t="s">
        <v>140</v>
      </c>
      <c r="BD719" s="204" t="s">
        <v>141</v>
      </c>
      <c r="BE719" s="166"/>
      <c r="BF719" s="203" t="s">
        <v>1789</v>
      </c>
      <c r="BG719" s="141"/>
      <c r="BH719" s="141"/>
      <c r="BI719" s="153"/>
      <c r="BJ719" s="153"/>
      <c r="BK719" s="153"/>
      <c r="BL719" s="153" t="s">
        <v>149</v>
      </c>
      <c r="BM719" s="153"/>
      <c r="BN719" s="153"/>
      <c r="BO719" s="153"/>
      <c r="BP719" s="153"/>
      <c r="BQ719" s="153"/>
      <c r="BR719" s="141">
        <v>0</v>
      </c>
      <c r="BS719" s="141">
        <v>0</v>
      </c>
      <c r="BT719" s="141">
        <v>0</v>
      </c>
      <c r="BU719" s="141">
        <v>0</v>
      </c>
      <c r="BV719" s="141">
        <v>0</v>
      </c>
      <c r="BW719" s="141">
        <v>0</v>
      </c>
      <c r="BX719" s="141">
        <v>0</v>
      </c>
      <c r="BY719" s="141" t="s">
        <v>1790</v>
      </c>
      <c r="BZ719" s="141" t="s">
        <v>2119</v>
      </c>
      <c r="CA719" s="141">
        <v>1</v>
      </c>
      <c r="CB719" s="153">
        <v>46238</v>
      </c>
      <c r="CC719" s="141"/>
      <c r="CD719" s="141"/>
      <c r="CE719" s="166"/>
      <c r="CF719" s="166">
        <f>+L719-CA719</f>
        <v>0</v>
      </c>
    </row>
    <row r="720" spans="1:84" hidden="1">
      <c r="A720" s="141"/>
      <c r="B720" s="199" t="s">
        <v>1863</v>
      </c>
      <c r="C720" s="199" t="s">
        <v>2144</v>
      </c>
      <c r="D720" s="199" t="s">
        <v>13</v>
      </c>
      <c r="E720" s="199" t="s">
        <v>1791</v>
      </c>
      <c r="F720" s="199" t="s">
        <v>1061</v>
      </c>
      <c r="G720" s="199" t="s">
        <v>1062</v>
      </c>
      <c r="H720" s="200">
        <v>620</v>
      </c>
      <c r="I720" s="201" t="s">
        <v>147</v>
      </c>
      <c r="J720" s="165">
        <v>2</v>
      </c>
      <c r="K720" s="202">
        <f t="shared" si="1687"/>
        <v>1</v>
      </c>
      <c r="L720" s="202">
        <f t="shared" si="1688"/>
        <v>2</v>
      </c>
      <c r="M720" s="203">
        <v>2.9</v>
      </c>
      <c r="N720" s="203">
        <f t="shared" si="1689"/>
        <v>5.8</v>
      </c>
      <c r="O720" s="203" t="s">
        <v>137</v>
      </c>
      <c r="P720" s="203" t="s">
        <v>13</v>
      </c>
      <c r="Q720" s="203" t="s">
        <v>148</v>
      </c>
      <c r="R720" s="203"/>
      <c r="S720" s="203"/>
      <c r="T720" s="203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0</v>
      </c>
      <c r="U720" s="203">
        <f t="shared" ca="1" si="1690"/>
        <v>2</v>
      </c>
      <c r="V720" s="203">
        <f t="shared" ca="1" si="1691"/>
        <v>0</v>
      </c>
      <c r="W720" s="203"/>
      <c r="X720" s="203"/>
      <c r="Y720" s="203"/>
      <c r="Z720" s="203"/>
      <c r="AA720" s="203"/>
      <c r="AB720" s="203"/>
      <c r="AC720" s="205" t="s">
        <v>1784</v>
      </c>
      <c r="AD720" s="225" t="s">
        <v>1785</v>
      </c>
      <c r="AE720" s="166"/>
      <c r="AF720" s="203" t="str">
        <f t="shared" ref="AF720:AG720" si="1716">AF719</f>
        <v>N/A</v>
      </c>
      <c r="AG720" s="203">
        <f t="shared" si="1716"/>
        <v>0</v>
      </c>
      <c r="AH720" s="203">
        <f t="shared" si="1693"/>
        <v>0</v>
      </c>
      <c r="AI720" s="203">
        <f t="shared" ca="1" si="1694"/>
        <v>0</v>
      </c>
      <c r="AJ720" s="203">
        <f t="shared" ca="1" si="1695"/>
        <v>0</v>
      </c>
      <c r="AK720" s="203" t="str">
        <f t="shared" ref="AK720:AL720" si="1717">AK719</f>
        <v>N/A</v>
      </c>
      <c r="AL720" s="203">
        <f t="shared" si="1717"/>
        <v>0</v>
      </c>
      <c r="AM720" s="203">
        <f t="shared" si="1697"/>
        <v>0</v>
      </c>
      <c r="AN720" s="203">
        <f t="shared" ca="1" si="1698"/>
        <v>0</v>
      </c>
      <c r="AO720" s="203">
        <f t="shared" ca="1" si="1699"/>
        <v>0</v>
      </c>
      <c r="AP720" s="203" t="str">
        <f t="shared" ref="AP720:AQ720" si="1718">AP719</f>
        <v>N/A</v>
      </c>
      <c r="AQ720" s="203">
        <f t="shared" si="1718"/>
        <v>0</v>
      </c>
      <c r="AR720" s="203">
        <f t="shared" si="1701"/>
        <v>0</v>
      </c>
      <c r="AS720" s="203">
        <f t="shared" ca="1" si="1702"/>
        <v>0</v>
      </c>
      <c r="AT720" s="203">
        <f t="shared" ca="1" si="1703"/>
        <v>0</v>
      </c>
      <c r="AU720" s="203" t="str">
        <f t="shared" ref="AU720:AV720" si="1719">AU719</f>
        <v>AMC2-S1</v>
      </c>
      <c r="AV720" s="203">
        <f t="shared" si="1719"/>
        <v>1</v>
      </c>
      <c r="AW720" s="203">
        <f t="shared" si="1705"/>
        <v>2</v>
      </c>
      <c r="AX720" s="203">
        <f t="shared" ca="1" si="1706"/>
        <v>0</v>
      </c>
      <c r="AY720" s="203">
        <f t="shared" ca="1" si="1707"/>
        <v>2</v>
      </c>
      <c r="AZ720" s="203"/>
      <c r="BA720" s="204" t="s">
        <v>140</v>
      </c>
      <c r="BB720" s="204" t="s">
        <v>140</v>
      </c>
      <c r="BC720" s="204" t="s">
        <v>140</v>
      </c>
      <c r="BD720" s="204" t="s">
        <v>141</v>
      </c>
      <c r="BE720" s="166"/>
      <c r="BF720" s="203" t="s">
        <v>1789</v>
      </c>
      <c r="BG720" s="141"/>
      <c r="BH720" s="141"/>
      <c r="BI720" s="153"/>
      <c r="BJ720" s="153"/>
      <c r="BK720" s="153"/>
      <c r="BL720" s="153" t="s">
        <v>149</v>
      </c>
      <c r="BM720" s="153"/>
      <c r="BN720" s="153"/>
      <c r="BO720" s="153"/>
      <c r="BP720" s="153"/>
      <c r="BQ720" s="153"/>
      <c r="BR720" s="141">
        <v>0</v>
      </c>
      <c r="BS720" s="141">
        <v>0</v>
      </c>
      <c r="BT720" s="141">
        <v>0</v>
      </c>
      <c r="BU720" s="141">
        <v>0</v>
      </c>
      <c r="BV720" s="141">
        <v>0</v>
      </c>
      <c r="BW720" s="141">
        <v>0</v>
      </c>
      <c r="BX720" s="141">
        <v>0</v>
      </c>
      <c r="BY720" s="141" t="s">
        <v>1790</v>
      </c>
      <c r="BZ720" s="141"/>
      <c r="CA720" s="141"/>
      <c r="CB720" s="153"/>
      <c r="CC720" s="141"/>
      <c r="CD720" s="141"/>
      <c r="CE720" s="166"/>
      <c r="CF720" s="166">
        <f>+L720-CA720</f>
        <v>2</v>
      </c>
    </row>
    <row r="721" spans="1:84" hidden="1">
      <c r="A721" s="141"/>
      <c r="B721" s="199" t="s">
        <v>1863</v>
      </c>
      <c r="C721" s="199" t="s">
        <v>2144</v>
      </c>
      <c r="D721" s="199" t="s">
        <v>13</v>
      </c>
      <c r="E721" s="199" t="s">
        <v>1792</v>
      </c>
      <c r="F721" s="199" t="s">
        <v>1064</v>
      </c>
      <c r="G721" s="199" t="s">
        <v>1065</v>
      </c>
      <c r="H721" s="200">
        <v>80</v>
      </c>
      <c r="I721" s="201" t="s">
        <v>147</v>
      </c>
      <c r="J721" s="165">
        <v>1</v>
      </c>
      <c r="K721" s="202">
        <f t="shared" si="1687"/>
        <v>1</v>
      </c>
      <c r="L721" s="202">
        <f t="shared" si="1688"/>
        <v>1</v>
      </c>
      <c r="M721" s="203">
        <v>0.4</v>
      </c>
      <c r="N721" s="203">
        <f t="shared" si="1689"/>
        <v>0.4</v>
      </c>
      <c r="O721" s="203" t="s">
        <v>137</v>
      </c>
      <c r="P721" s="203" t="s">
        <v>13</v>
      </c>
      <c r="Q721" s="203" t="s">
        <v>148</v>
      </c>
      <c r="R721" s="203"/>
      <c r="S721" s="203"/>
      <c r="T721" s="203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0</v>
      </c>
      <c r="U721" s="203">
        <f t="shared" ca="1" si="1690"/>
        <v>1</v>
      </c>
      <c r="V721" s="203">
        <f t="shared" ca="1" si="1691"/>
        <v>0</v>
      </c>
      <c r="W721" s="203"/>
      <c r="X721" s="203"/>
      <c r="Y721" s="203"/>
      <c r="Z721" s="203"/>
      <c r="AA721" s="203"/>
      <c r="AB721" s="203"/>
      <c r="AC721" s="205" t="s">
        <v>1784</v>
      </c>
      <c r="AD721" s="225" t="s">
        <v>1785</v>
      </c>
      <c r="AE721" s="166"/>
      <c r="AF721" s="203" t="str">
        <f t="shared" ref="AF721:AG721" si="1720">AF720</f>
        <v>N/A</v>
      </c>
      <c r="AG721" s="203">
        <f t="shared" si="1720"/>
        <v>0</v>
      </c>
      <c r="AH721" s="203">
        <f t="shared" si="1693"/>
        <v>0</v>
      </c>
      <c r="AI721" s="203">
        <f t="shared" ca="1" si="1694"/>
        <v>0</v>
      </c>
      <c r="AJ721" s="203">
        <f t="shared" ca="1" si="1695"/>
        <v>0</v>
      </c>
      <c r="AK721" s="203" t="str">
        <f t="shared" ref="AK721:AL721" si="1721">AK720</f>
        <v>N/A</v>
      </c>
      <c r="AL721" s="203">
        <f t="shared" si="1721"/>
        <v>0</v>
      </c>
      <c r="AM721" s="203">
        <f t="shared" si="1697"/>
        <v>0</v>
      </c>
      <c r="AN721" s="203">
        <f t="shared" ca="1" si="1698"/>
        <v>0</v>
      </c>
      <c r="AO721" s="203">
        <f t="shared" ca="1" si="1699"/>
        <v>0</v>
      </c>
      <c r="AP721" s="203" t="str">
        <f t="shared" ref="AP721:AQ721" si="1722">AP720</f>
        <v>N/A</v>
      </c>
      <c r="AQ721" s="203">
        <f t="shared" si="1722"/>
        <v>0</v>
      </c>
      <c r="AR721" s="203">
        <f t="shared" si="1701"/>
        <v>0</v>
      </c>
      <c r="AS721" s="203">
        <f t="shared" ca="1" si="1702"/>
        <v>0</v>
      </c>
      <c r="AT721" s="203">
        <f t="shared" ca="1" si="1703"/>
        <v>0</v>
      </c>
      <c r="AU721" s="203" t="str">
        <f t="shared" ref="AU721:AV721" si="1723">AU720</f>
        <v>AMC2-S1</v>
      </c>
      <c r="AV721" s="203">
        <f t="shared" si="1723"/>
        <v>1</v>
      </c>
      <c r="AW721" s="203">
        <f t="shared" si="1705"/>
        <v>1</v>
      </c>
      <c r="AX721" s="203">
        <f t="shared" ca="1" si="1706"/>
        <v>0</v>
      </c>
      <c r="AY721" s="203">
        <f t="shared" ca="1" si="1707"/>
        <v>1</v>
      </c>
      <c r="AZ721" s="203"/>
      <c r="BA721" s="204" t="s">
        <v>140</v>
      </c>
      <c r="BB721" s="204" t="s">
        <v>140</v>
      </c>
      <c r="BC721" s="204" t="s">
        <v>140</v>
      </c>
      <c r="BD721" s="204" t="s">
        <v>141</v>
      </c>
      <c r="BE721" s="166"/>
      <c r="BF721" s="203" t="s">
        <v>1789</v>
      </c>
      <c r="BG721" s="141"/>
      <c r="BH721" s="141"/>
      <c r="BI721" s="153"/>
      <c r="BJ721" s="153"/>
      <c r="BK721" s="153"/>
      <c r="BL721" s="153" t="s">
        <v>149</v>
      </c>
      <c r="BM721" s="153"/>
      <c r="BN721" s="153"/>
      <c r="BO721" s="153"/>
      <c r="BP721" s="153"/>
      <c r="BQ721" s="153"/>
      <c r="BR721" s="141">
        <v>0</v>
      </c>
      <c r="BS721" s="141">
        <v>0</v>
      </c>
      <c r="BT721" s="141">
        <v>0</v>
      </c>
      <c r="BU721" s="141">
        <v>0</v>
      </c>
      <c r="BV721" s="141">
        <v>0</v>
      </c>
      <c r="BW721" s="141">
        <v>0</v>
      </c>
      <c r="BX721" s="141">
        <v>0</v>
      </c>
      <c r="BY721" s="141" t="s">
        <v>1790</v>
      </c>
      <c r="BZ721" s="141"/>
      <c r="CA721" s="141"/>
      <c r="CB721" s="153"/>
      <c r="CC721" s="141"/>
      <c r="CD721" s="141"/>
      <c r="CE721" s="166"/>
      <c r="CF721" s="166">
        <f>+L721-CA721</f>
        <v>1</v>
      </c>
    </row>
    <row r="722" spans="1:84" ht="36">
      <c r="A722" s="117"/>
      <c r="B722" s="209" t="s">
        <v>1863</v>
      </c>
      <c r="C722" s="209" t="s">
        <v>2144</v>
      </c>
      <c r="D722" s="209" t="s">
        <v>1055</v>
      </c>
      <c r="E722" s="209" t="s">
        <v>1878</v>
      </c>
      <c r="F722" s="209" t="s">
        <v>1054</v>
      </c>
      <c r="G722" s="209" t="s">
        <v>140</v>
      </c>
      <c r="H722" s="210"/>
      <c r="I722" s="211"/>
      <c r="J722" s="144">
        <v>1</v>
      </c>
      <c r="K722" s="145">
        <f t="shared" si="1687"/>
        <v>1</v>
      </c>
      <c r="L722" s="202">
        <f t="shared" si="1688"/>
        <v>1</v>
      </c>
      <c r="M722" s="212">
        <v>0.1</v>
      </c>
      <c r="N722" s="203">
        <f t="shared" si="1689"/>
        <v>0.1</v>
      </c>
      <c r="O722" s="212" t="s">
        <v>137</v>
      </c>
      <c r="P722" s="212" t="s">
        <v>14</v>
      </c>
      <c r="Q722" s="212" t="s">
        <v>976</v>
      </c>
      <c r="R722" s="212"/>
      <c r="S722" s="212"/>
      <c r="T722" s="203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0</v>
      </c>
      <c r="U722" s="203">
        <f t="shared" ca="1" si="1690"/>
        <v>1</v>
      </c>
      <c r="V722" s="203">
        <f t="shared" ca="1" si="1691"/>
        <v>0</v>
      </c>
      <c r="W722" s="212"/>
      <c r="X722" s="212"/>
      <c r="Y722" s="212"/>
      <c r="Z722" s="212"/>
      <c r="AA722" s="212"/>
      <c r="AB722" s="212"/>
      <c r="AC722" s="214" t="s">
        <v>1784</v>
      </c>
      <c r="AD722" s="226" t="s">
        <v>1785</v>
      </c>
      <c r="AE722" s="148"/>
      <c r="AF722" s="212" t="str">
        <f t="shared" ref="AF722:AG722" si="1724">AF721</f>
        <v>N/A</v>
      </c>
      <c r="AG722" s="212">
        <f t="shared" si="1724"/>
        <v>0</v>
      </c>
      <c r="AH722" s="203">
        <f t="shared" si="1693"/>
        <v>0</v>
      </c>
      <c r="AI722" s="203">
        <f t="shared" ca="1" si="1694"/>
        <v>0</v>
      </c>
      <c r="AJ722" s="203">
        <f t="shared" ca="1" si="1695"/>
        <v>0</v>
      </c>
      <c r="AK722" s="212" t="str">
        <f t="shared" ref="AK722:AL722" si="1725">AK721</f>
        <v>N/A</v>
      </c>
      <c r="AL722" s="212">
        <f t="shared" si="1725"/>
        <v>0</v>
      </c>
      <c r="AM722" s="203">
        <f t="shared" si="1697"/>
        <v>0</v>
      </c>
      <c r="AN722" s="203">
        <f t="shared" ca="1" si="1698"/>
        <v>0</v>
      </c>
      <c r="AO722" s="203">
        <f t="shared" ca="1" si="1699"/>
        <v>0</v>
      </c>
      <c r="AP722" s="212" t="str">
        <f t="shared" ref="AP722:AQ722" si="1726">AP721</f>
        <v>N/A</v>
      </c>
      <c r="AQ722" s="212">
        <f t="shared" si="1726"/>
        <v>0</v>
      </c>
      <c r="AR722" s="203">
        <f t="shared" si="1701"/>
        <v>0</v>
      </c>
      <c r="AS722" s="203">
        <f t="shared" ca="1" si="1702"/>
        <v>0</v>
      </c>
      <c r="AT722" s="203">
        <f t="shared" ca="1" si="1703"/>
        <v>0</v>
      </c>
      <c r="AU722" s="212" t="str">
        <f t="shared" ref="AU722:AV722" si="1727">AU721</f>
        <v>AMC2-S1</v>
      </c>
      <c r="AV722" s="212">
        <f t="shared" si="1727"/>
        <v>1</v>
      </c>
      <c r="AW722" s="203">
        <f t="shared" si="1705"/>
        <v>1</v>
      </c>
      <c r="AX722" s="203">
        <f t="shared" ca="1" si="1706"/>
        <v>0</v>
      </c>
      <c r="AY722" s="203">
        <f t="shared" ca="1" si="1707"/>
        <v>1</v>
      </c>
      <c r="AZ722" s="212"/>
      <c r="BA722" s="213" t="s">
        <v>140</v>
      </c>
      <c r="BB722" s="213" t="s">
        <v>140</v>
      </c>
      <c r="BC722" s="213" t="s">
        <v>140</v>
      </c>
      <c r="BD722" s="213" t="s">
        <v>141</v>
      </c>
      <c r="BE722" s="148"/>
      <c r="BF722" s="212"/>
      <c r="BG722" s="117"/>
      <c r="BH722" s="117"/>
      <c r="BI722" s="149"/>
      <c r="BJ722" s="149"/>
      <c r="BK722" s="149"/>
      <c r="BL722" s="149"/>
      <c r="BM722" s="149"/>
      <c r="BN722" s="149"/>
      <c r="BO722" s="149"/>
      <c r="BP722" s="149"/>
      <c r="BQ722" s="149"/>
      <c r="BR722" s="117" t="s">
        <v>140</v>
      </c>
      <c r="BS722" s="117" t="s">
        <v>140</v>
      </c>
      <c r="BT722" s="117" t="s">
        <v>140</v>
      </c>
      <c r="BU722" s="117" t="s">
        <v>140</v>
      </c>
      <c r="BV722" s="117" t="s">
        <v>140</v>
      </c>
      <c r="BW722" s="117" t="s">
        <v>140</v>
      </c>
      <c r="BX722" s="117" t="s">
        <v>140</v>
      </c>
      <c r="BY722" s="117" t="s">
        <v>14</v>
      </c>
      <c r="BZ722" s="117"/>
      <c r="CA722" s="117"/>
      <c r="CB722" s="149"/>
      <c r="CC722" s="117"/>
      <c r="CD722" s="117"/>
      <c r="CE722" s="148"/>
      <c r="CF722" s="148"/>
    </row>
    <row r="723" spans="1:84" hidden="1">
      <c r="A723" s="162">
        <v>47</v>
      </c>
      <c r="B723" s="177" t="s">
        <v>1863</v>
      </c>
      <c r="C723" s="177" t="s">
        <v>2146</v>
      </c>
      <c r="D723" s="177" t="s">
        <v>1879</v>
      </c>
      <c r="E723" s="177"/>
      <c r="F723" s="177"/>
      <c r="G723" s="177" t="s">
        <v>1880</v>
      </c>
      <c r="H723" s="178"/>
      <c r="I723" s="179"/>
      <c r="J723" s="160"/>
      <c r="K723" s="180">
        <f>+AG723+AL723+AQ723+AV723</f>
        <v>1</v>
      </c>
      <c r="L723" s="160"/>
      <c r="M723" s="181">
        <v>250.4</v>
      </c>
      <c r="N723" s="181">
        <v>250</v>
      </c>
      <c r="O723" s="181" t="s">
        <v>137</v>
      </c>
      <c r="P723" s="181"/>
      <c r="Q723" s="181"/>
      <c r="R723" s="181"/>
      <c r="S723" s="181"/>
      <c r="T723" s="181"/>
      <c r="U723" s="181"/>
      <c r="V723" s="181"/>
      <c r="W723" s="181">
        <f ca="1">_xlfn.MINIFS(V:V,C:C,C723,AE:AE,"",AB:AB,"")</f>
        <v>0</v>
      </c>
      <c r="X723" s="181">
        <f ca="1">SUMIFS(T:T,C:C,C723,AE:AE,"")/SUMIFS(L:L,C:C,C723,AE:AE,"",AB:AB,"")</f>
        <v>0.3125</v>
      </c>
      <c r="Y723" s="181"/>
      <c r="Z723" s="181"/>
      <c r="AA723" s="181"/>
      <c r="AB723" s="181"/>
      <c r="AC723" s="183" t="s">
        <v>1784</v>
      </c>
      <c r="AD723" s="184" t="s">
        <v>1785</v>
      </c>
      <c r="AE723" s="162" t="s">
        <v>143</v>
      </c>
      <c r="AF723" s="181" t="s">
        <v>138</v>
      </c>
      <c r="AG723" s="181">
        <v>0</v>
      </c>
      <c r="AH723" s="181"/>
      <c r="AI723" s="181"/>
      <c r="AJ723" s="181"/>
      <c r="AK723" s="181" t="s">
        <v>138</v>
      </c>
      <c r="AL723" s="181">
        <v>0</v>
      </c>
      <c r="AM723" s="181"/>
      <c r="AN723" s="181"/>
      <c r="AO723" s="181"/>
      <c r="AP723" s="181" t="s">
        <v>138</v>
      </c>
      <c r="AQ723" s="181">
        <v>0</v>
      </c>
      <c r="AR723" s="181"/>
      <c r="AS723" s="181"/>
      <c r="AT723" s="181"/>
      <c r="AU723" s="181" t="s">
        <v>1783</v>
      </c>
      <c r="AV723" s="181">
        <v>1</v>
      </c>
      <c r="AW723" s="181"/>
      <c r="AX723" s="181"/>
      <c r="AY723" s="181"/>
      <c r="AZ723" s="181"/>
      <c r="BA723" s="182" t="s">
        <v>140</v>
      </c>
      <c r="BB723" s="182" t="s">
        <v>140</v>
      </c>
      <c r="BC723" s="182" t="s">
        <v>140</v>
      </c>
      <c r="BD723" s="182" t="s">
        <v>141</v>
      </c>
      <c r="BE723" s="162" t="s">
        <v>741</v>
      </c>
      <c r="BF723" s="181"/>
      <c r="BG723" s="161"/>
      <c r="BH723" s="161"/>
      <c r="BI723" s="163"/>
      <c r="BJ723" s="163"/>
      <c r="BK723" s="163"/>
      <c r="BL723" s="163"/>
      <c r="BM723" s="163"/>
      <c r="BN723" s="163"/>
      <c r="BO723" s="163"/>
      <c r="BP723" s="163"/>
      <c r="BQ723" s="163"/>
      <c r="BR723" s="161"/>
      <c r="BS723" s="161"/>
      <c r="BT723" s="161"/>
      <c r="BU723" s="161"/>
      <c r="BV723" s="161"/>
      <c r="BW723" s="161"/>
      <c r="BX723" s="161"/>
      <c r="BY723" s="161"/>
      <c r="BZ723" s="161"/>
      <c r="CA723" s="161"/>
      <c r="CB723" s="163"/>
      <c r="CC723" s="161"/>
      <c r="CD723" s="161"/>
      <c r="CE723" s="185"/>
      <c r="CF723" s="185"/>
    </row>
    <row r="724" spans="1:84" ht="36" hidden="1">
      <c r="A724" s="117"/>
      <c r="B724" s="209" t="s">
        <v>1863</v>
      </c>
      <c r="C724" s="209" t="s">
        <v>2146</v>
      </c>
      <c r="D724" s="209" t="s">
        <v>1016</v>
      </c>
      <c r="E724" s="209" t="s">
        <v>1823</v>
      </c>
      <c r="F724" s="209" t="s">
        <v>1067</v>
      </c>
      <c r="G724" s="209" t="s">
        <v>1053</v>
      </c>
      <c r="H724" s="210"/>
      <c r="I724" s="211" t="s">
        <v>1017</v>
      </c>
      <c r="J724" s="144">
        <v>1</v>
      </c>
      <c r="K724" s="145">
        <f t="shared" ref="K724:K727" si="1728">K723</f>
        <v>1</v>
      </c>
      <c r="L724" s="202">
        <f t="shared" ref="L724:L727" si="1729">+J724*K724</f>
        <v>1</v>
      </c>
      <c r="M724" s="212">
        <v>155</v>
      </c>
      <c r="N724" s="203">
        <f t="shared" ref="N724:N727" si="1730">+M724*L724</f>
        <v>155</v>
      </c>
      <c r="O724" s="212" t="s">
        <v>137</v>
      </c>
      <c r="P724" s="212" t="s">
        <v>14</v>
      </c>
      <c r="Q724" s="212" t="s">
        <v>976</v>
      </c>
      <c r="R724" s="212"/>
      <c r="S724" s="212"/>
      <c r="T724" s="203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0</v>
      </c>
      <c r="U724" s="203">
        <f t="shared" ref="U724:U727" ca="1" si="1731">+L724-T724</f>
        <v>1</v>
      </c>
      <c r="V724" s="203">
        <f t="shared" ref="V724:V727" ca="1" si="1732">ROUNDDOWN(T724/J724,0)</f>
        <v>0</v>
      </c>
      <c r="W724" s="212"/>
      <c r="X724" s="212"/>
      <c r="Y724" s="212"/>
      <c r="Z724" s="212"/>
      <c r="AA724" s="212"/>
      <c r="AB724" s="212"/>
      <c r="AC724" s="214" t="s">
        <v>1784</v>
      </c>
      <c r="AD724" s="226" t="s">
        <v>1785</v>
      </c>
      <c r="AE724" s="148"/>
      <c r="AF724" s="212" t="str">
        <f t="shared" ref="AF724:AG724" si="1733">AF723</f>
        <v>N/A</v>
      </c>
      <c r="AG724" s="212">
        <f t="shared" si="1733"/>
        <v>0</v>
      </c>
      <c r="AH724" s="203">
        <f t="shared" ref="AH724:AH727" si="1734">+AG724*J724</f>
        <v>0</v>
      </c>
      <c r="AI724" s="203">
        <f t="shared" ref="AI724:AI727" ca="1" si="1735">MIN(T724,AH724)</f>
        <v>0</v>
      </c>
      <c r="AJ724" s="203">
        <f t="shared" ref="AJ724:AJ727" ca="1" si="1736">+AH724-AI724</f>
        <v>0</v>
      </c>
      <c r="AK724" s="212" t="str">
        <f t="shared" ref="AK724:AL724" si="1737">AK723</f>
        <v>N/A</v>
      </c>
      <c r="AL724" s="212">
        <f t="shared" si="1737"/>
        <v>0</v>
      </c>
      <c r="AM724" s="203">
        <f t="shared" ref="AM724:AM727" si="1738">+AL724*J724</f>
        <v>0</v>
      </c>
      <c r="AN724" s="203">
        <f t="shared" ref="AN724:AN727" ca="1" si="1739">MIN(T724-AI724,AL724)</f>
        <v>0</v>
      </c>
      <c r="AO724" s="203">
        <f t="shared" ref="AO724:AO727" ca="1" si="1740">+AM724-AN724</f>
        <v>0</v>
      </c>
      <c r="AP724" s="212" t="str">
        <f t="shared" ref="AP724:AQ724" si="1741">AP723</f>
        <v>N/A</v>
      </c>
      <c r="AQ724" s="212">
        <f t="shared" si="1741"/>
        <v>0</v>
      </c>
      <c r="AR724" s="203">
        <f t="shared" ref="AR724:AR727" si="1742">+AQ724*J724</f>
        <v>0</v>
      </c>
      <c r="AS724" s="203">
        <f t="shared" ref="AS724:AS727" ca="1" si="1743">MIN(T724-AI724-AN724,AR724)</f>
        <v>0</v>
      </c>
      <c r="AT724" s="203">
        <f t="shared" ref="AT724:AT727" ca="1" si="1744">+AR724-AS724</f>
        <v>0</v>
      </c>
      <c r="AU724" s="212" t="str">
        <f t="shared" ref="AU724:AV724" si="1745">AU723</f>
        <v>AMC2-S1</v>
      </c>
      <c r="AV724" s="212">
        <f t="shared" si="1745"/>
        <v>1</v>
      </c>
      <c r="AW724" s="203">
        <f t="shared" ref="AW724:AW727" si="1746">+AV724*J724</f>
        <v>1</v>
      </c>
      <c r="AX724" s="203">
        <f t="shared" ref="AX724:AX727" ca="1" si="1747">MIN(T724-AI724-AN724-AS724,AW724)</f>
        <v>0</v>
      </c>
      <c r="AY724" s="203">
        <f t="shared" ref="AY724:AY727" ca="1" si="1748">+AW724-AX724</f>
        <v>1</v>
      </c>
      <c r="AZ724" s="212"/>
      <c r="BA724" s="213" t="s">
        <v>140</v>
      </c>
      <c r="BB724" s="213" t="s">
        <v>140</v>
      </c>
      <c r="BC724" s="213" t="s">
        <v>140</v>
      </c>
      <c r="BD724" s="213" t="s">
        <v>141</v>
      </c>
      <c r="BE724" s="148"/>
      <c r="BF724" s="212"/>
      <c r="BG724" s="117"/>
      <c r="BH724" s="117"/>
      <c r="BI724" s="149"/>
      <c r="BJ724" s="149"/>
      <c r="BK724" s="149"/>
      <c r="BL724" s="149"/>
      <c r="BM724" s="149"/>
      <c r="BN724" s="149"/>
      <c r="BO724" s="149"/>
      <c r="BP724" s="149"/>
      <c r="BQ724" s="149"/>
      <c r="BR724" s="117" t="s">
        <v>140</v>
      </c>
      <c r="BS724" s="117" t="s">
        <v>140</v>
      </c>
      <c r="BT724" s="117" t="s">
        <v>140</v>
      </c>
      <c r="BU724" s="117" t="s">
        <v>140</v>
      </c>
      <c r="BV724" s="117" t="s">
        <v>140</v>
      </c>
      <c r="BW724" s="117" t="s">
        <v>140</v>
      </c>
      <c r="BX724" s="117" t="s">
        <v>140</v>
      </c>
      <c r="BY724" s="117" t="s">
        <v>14</v>
      </c>
      <c r="BZ724" s="117"/>
      <c r="CA724" s="117"/>
      <c r="CB724" s="149"/>
      <c r="CC724" s="117"/>
      <c r="CD724" s="117"/>
      <c r="CE724" s="148"/>
      <c r="CF724" s="148"/>
    </row>
    <row r="725" spans="1:84" hidden="1">
      <c r="A725" s="141"/>
      <c r="B725" s="199" t="s">
        <v>1863</v>
      </c>
      <c r="C725" s="199" t="s">
        <v>2146</v>
      </c>
      <c r="D725" s="199" t="s">
        <v>1010</v>
      </c>
      <c r="E725" s="199" t="s">
        <v>1802</v>
      </c>
      <c r="F725" s="199" t="s">
        <v>1066</v>
      </c>
      <c r="G725" s="199" t="s">
        <v>1048</v>
      </c>
      <c r="H725" s="200">
        <v>604</v>
      </c>
      <c r="I725" s="201" t="s">
        <v>1049</v>
      </c>
      <c r="J725" s="165">
        <v>1</v>
      </c>
      <c r="K725" s="202">
        <f t="shared" si="1728"/>
        <v>1</v>
      </c>
      <c r="L725" s="202">
        <f t="shared" si="1729"/>
        <v>1</v>
      </c>
      <c r="M725" s="203">
        <f>164.86*H725/1000</f>
        <v>99.57544</v>
      </c>
      <c r="N725" s="203">
        <f t="shared" si="1730"/>
        <v>99.57544</v>
      </c>
      <c r="O725" s="203" t="s">
        <v>137</v>
      </c>
      <c r="P725" s="203" t="s">
        <v>11</v>
      </c>
      <c r="Q725" s="203" t="s">
        <v>148</v>
      </c>
      <c r="R725" s="203"/>
      <c r="S725" s="203"/>
      <c r="T725" s="203">
        <f ca="1">IF(SUMIFS(INDIRECT("'BTP-"&amp;$C$4&amp;"'!L:L"),INDIRECT("'BTP-"&amp;$C$4&amp;"'!D:D"),F725)-SUMIFS($T$10:T724,$F$10:F724,F725)&gt;0,MIN(SUMIFS(INDIRECT("'BTP-"&amp;$C$4&amp;"'!L:L"),INDIRECT("'BTP-"&amp;$C$4&amp;"'!D:D"),F725)-SUMIFS($T$10:T724,$F$10:F724,F725),L725),0)</f>
        <v>0</v>
      </c>
      <c r="U725" s="203">
        <f t="shared" ca="1" si="1731"/>
        <v>1</v>
      </c>
      <c r="V725" s="203">
        <f t="shared" ca="1" si="1732"/>
        <v>0</v>
      </c>
      <c r="W725" s="203"/>
      <c r="X725" s="203"/>
      <c r="Y725" s="203"/>
      <c r="Z725" s="203"/>
      <c r="AA725" s="203"/>
      <c r="AB725" s="203"/>
      <c r="AC725" s="205" t="s">
        <v>1784</v>
      </c>
      <c r="AD725" s="225" t="s">
        <v>1785</v>
      </c>
      <c r="AE725" s="166"/>
      <c r="AF725" s="203" t="str">
        <f t="shared" ref="AF725:AG725" si="1749">AF724</f>
        <v>N/A</v>
      </c>
      <c r="AG725" s="203">
        <f t="shared" si="1749"/>
        <v>0</v>
      </c>
      <c r="AH725" s="203">
        <f t="shared" si="1734"/>
        <v>0</v>
      </c>
      <c r="AI725" s="203">
        <f t="shared" ca="1" si="1735"/>
        <v>0</v>
      </c>
      <c r="AJ725" s="203">
        <f t="shared" ca="1" si="1736"/>
        <v>0</v>
      </c>
      <c r="AK725" s="203" t="str">
        <f t="shared" ref="AK725:AL725" si="1750">AK724</f>
        <v>N/A</v>
      </c>
      <c r="AL725" s="203">
        <f t="shared" si="1750"/>
        <v>0</v>
      </c>
      <c r="AM725" s="203">
        <f t="shared" si="1738"/>
        <v>0</v>
      </c>
      <c r="AN725" s="203">
        <f t="shared" ca="1" si="1739"/>
        <v>0</v>
      </c>
      <c r="AO725" s="203">
        <f t="shared" ca="1" si="1740"/>
        <v>0</v>
      </c>
      <c r="AP725" s="203" t="str">
        <f t="shared" ref="AP725:AQ725" si="1751">AP724</f>
        <v>N/A</v>
      </c>
      <c r="AQ725" s="203">
        <f t="shared" si="1751"/>
        <v>0</v>
      </c>
      <c r="AR725" s="203">
        <f t="shared" si="1742"/>
        <v>0</v>
      </c>
      <c r="AS725" s="203">
        <f t="shared" ca="1" si="1743"/>
        <v>0</v>
      </c>
      <c r="AT725" s="203">
        <f t="shared" ca="1" si="1744"/>
        <v>0</v>
      </c>
      <c r="AU725" s="203" t="str">
        <f t="shared" ref="AU725:AV725" si="1752">AU724</f>
        <v>AMC2-S1</v>
      </c>
      <c r="AV725" s="203">
        <f t="shared" si="1752"/>
        <v>1</v>
      </c>
      <c r="AW725" s="203">
        <f t="shared" si="1746"/>
        <v>1</v>
      </c>
      <c r="AX725" s="203">
        <f t="shared" ca="1" si="1747"/>
        <v>0</v>
      </c>
      <c r="AY725" s="203">
        <f t="shared" ca="1" si="1748"/>
        <v>1</v>
      </c>
      <c r="AZ725" s="203"/>
      <c r="BA725" s="204" t="s">
        <v>140</v>
      </c>
      <c r="BB725" s="204" t="s">
        <v>140</v>
      </c>
      <c r="BC725" s="204" t="s">
        <v>140</v>
      </c>
      <c r="BD725" s="204" t="s">
        <v>141</v>
      </c>
      <c r="BE725" s="166"/>
      <c r="BF725" s="203" t="s">
        <v>1789</v>
      </c>
      <c r="BG725" s="141"/>
      <c r="BH725" s="141"/>
      <c r="BI725" s="153"/>
      <c r="BJ725" s="153"/>
      <c r="BK725" s="153"/>
      <c r="BL725" s="153" t="s">
        <v>149</v>
      </c>
      <c r="BM725" s="153"/>
      <c r="BN725" s="153"/>
      <c r="BO725" s="153"/>
      <c r="BP725" s="153"/>
      <c r="BQ725" s="153"/>
      <c r="BR725" s="141">
        <v>0</v>
      </c>
      <c r="BS725" s="141">
        <v>0</v>
      </c>
      <c r="BT725" s="141">
        <v>0</v>
      </c>
      <c r="BU725" s="141">
        <v>1</v>
      </c>
      <c r="BV725" s="141">
        <v>0</v>
      </c>
      <c r="BW725" s="141">
        <v>0</v>
      </c>
      <c r="BX725" s="141">
        <v>0</v>
      </c>
      <c r="BY725" s="141" t="s">
        <v>1790</v>
      </c>
      <c r="BZ725" s="141" t="s">
        <v>2145</v>
      </c>
      <c r="CA725" s="141">
        <v>1</v>
      </c>
      <c r="CB725" s="153">
        <v>46238</v>
      </c>
      <c r="CC725" s="141"/>
      <c r="CD725" s="141"/>
      <c r="CE725" s="166"/>
      <c r="CF725" s="166">
        <f>+L725-CA725</f>
        <v>0</v>
      </c>
    </row>
    <row r="726" spans="1:84" hidden="1">
      <c r="A726" s="141"/>
      <c r="B726" s="199" t="s">
        <v>1863</v>
      </c>
      <c r="C726" s="199" t="s">
        <v>2146</v>
      </c>
      <c r="D726" s="199" t="s">
        <v>13</v>
      </c>
      <c r="E726" s="199" t="s">
        <v>1788</v>
      </c>
      <c r="F726" s="199" t="s">
        <v>1069</v>
      </c>
      <c r="G726" s="199" t="s">
        <v>1070</v>
      </c>
      <c r="H726" s="200">
        <v>376</v>
      </c>
      <c r="I726" s="201" t="s">
        <v>147</v>
      </c>
      <c r="J726" s="165">
        <v>1</v>
      </c>
      <c r="K726" s="202">
        <f t="shared" si="1728"/>
        <v>1</v>
      </c>
      <c r="L726" s="202">
        <f t="shared" si="1729"/>
        <v>1</v>
      </c>
      <c r="M726" s="203">
        <v>2.4</v>
      </c>
      <c r="N726" s="203">
        <f t="shared" si="1730"/>
        <v>2.4</v>
      </c>
      <c r="O726" s="203" t="s">
        <v>137</v>
      </c>
      <c r="P726" s="203" t="s">
        <v>13</v>
      </c>
      <c r="Q726" s="203" t="s">
        <v>154</v>
      </c>
      <c r="R726" s="203"/>
      <c r="S726" s="203"/>
      <c r="T726" s="203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0</v>
      </c>
      <c r="U726" s="203">
        <f t="shared" ca="1" si="1731"/>
        <v>1</v>
      </c>
      <c r="V726" s="203">
        <f t="shared" ca="1" si="1732"/>
        <v>0</v>
      </c>
      <c r="W726" s="203"/>
      <c r="X726" s="203"/>
      <c r="Y726" s="203"/>
      <c r="Z726" s="203"/>
      <c r="AA726" s="203"/>
      <c r="AB726" s="203"/>
      <c r="AC726" s="205" t="s">
        <v>1784</v>
      </c>
      <c r="AD726" s="225" t="s">
        <v>1785</v>
      </c>
      <c r="AE726" s="166"/>
      <c r="AF726" s="203" t="str">
        <f t="shared" ref="AF726:AG726" si="1753">AF725</f>
        <v>N/A</v>
      </c>
      <c r="AG726" s="203">
        <f t="shared" si="1753"/>
        <v>0</v>
      </c>
      <c r="AH726" s="203">
        <f t="shared" si="1734"/>
        <v>0</v>
      </c>
      <c r="AI726" s="203">
        <f t="shared" ca="1" si="1735"/>
        <v>0</v>
      </c>
      <c r="AJ726" s="203">
        <f t="shared" ca="1" si="1736"/>
        <v>0</v>
      </c>
      <c r="AK726" s="203" t="str">
        <f t="shared" ref="AK726:AL726" si="1754">AK725</f>
        <v>N/A</v>
      </c>
      <c r="AL726" s="203">
        <f t="shared" si="1754"/>
        <v>0</v>
      </c>
      <c r="AM726" s="203">
        <f t="shared" si="1738"/>
        <v>0</v>
      </c>
      <c r="AN726" s="203">
        <f t="shared" ca="1" si="1739"/>
        <v>0</v>
      </c>
      <c r="AO726" s="203">
        <f t="shared" ca="1" si="1740"/>
        <v>0</v>
      </c>
      <c r="AP726" s="203" t="str">
        <f t="shared" ref="AP726:AQ726" si="1755">AP725</f>
        <v>N/A</v>
      </c>
      <c r="AQ726" s="203">
        <f t="shared" si="1755"/>
        <v>0</v>
      </c>
      <c r="AR726" s="203">
        <f t="shared" si="1742"/>
        <v>0</v>
      </c>
      <c r="AS726" s="203">
        <f t="shared" ca="1" si="1743"/>
        <v>0</v>
      </c>
      <c r="AT726" s="203">
        <f t="shared" ca="1" si="1744"/>
        <v>0</v>
      </c>
      <c r="AU726" s="203" t="str">
        <f t="shared" ref="AU726:AV726" si="1756">AU725</f>
        <v>AMC2-S1</v>
      </c>
      <c r="AV726" s="203">
        <f t="shared" si="1756"/>
        <v>1</v>
      </c>
      <c r="AW726" s="203">
        <f t="shared" si="1746"/>
        <v>1</v>
      </c>
      <c r="AX726" s="203">
        <f t="shared" ca="1" si="1747"/>
        <v>0</v>
      </c>
      <c r="AY726" s="203">
        <f t="shared" ca="1" si="1748"/>
        <v>1</v>
      </c>
      <c r="AZ726" s="203"/>
      <c r="BA726" s="204" t="s">
        <v>140</v>
      </c>
      <c r="BB726" s="204" t="s">
        <v>140</v>
      </c>
      <c r="BC726" s="204" t="s">
        <v>140</v>
      </c>
      <c r="BD726" s="204" t="s">
        <v>141</v>
      </c>
      <c r="BE726" s="166"/>
      <c r="BF726" s="203" t="s">
        <v>1789</v>
      </c>
      <c r="BG726" s="141"/>
      <c r="BH726" s="141"/>
      <c r="BI726" s="153"/>
      <c r="BJ726" s="153"/>
      <c r="BK726" s="153"/>
      <c r="BL726" s="153" t="s">
        <v>149</v>
      </c>
      <c r="BM726" s="153"/>
      <c r="BN726" s="153"/>
      <c r="BO726" s="153"/>
      <c r="BP726" s="153"/>
      <c r="BQ726" s="153"/>
      <c r="BR726" s="141">
        <v>1</v>
      </c>
      <c r="BS726" s="141">
        <v>0</v>
      </c>
      <c r="BT726" s="141">
        <v>1</v>
      </c>
      <c r="BU726" s="141">
        <v>0</v>
      </c>
      <c r="BV726" s="141">
        <v>0</v>
      </c>
      <c r="BW726" s="141">
        <v>0</v>
      </c>
      <c r="BX726" s="141">
        <v>0</v>
      </c>
      <c r="BY726" s="141" t="s">
        <v>1790</v>
      </c>
      <c r="BZ726" s="141" t="s">
        <v>2123</v>
      </c>
      <c r="CA726" s="165">
        <v>1</v>
      </c>
      <c r="CB726" s="153">
        <v>46245</v>
      </c>
      <c r="CC726" s="141"/>
      <c r="CD726" s="141"/>
      <c r="CE726" s="166"/>
      <c r="CF726" s="166">
        <f>+L726-CA726</f>
        <v>0</v>
      </c>
    </row>
    <row r="727" spans="1:84" ht="36">
      <c r="A727" s="117"/>
      <c r="B727" s="209" t="s">
        <v>1863</v>
      </c>
      <c r="C727" s="209" t="s">
        <v>2146</v>
      </c>
      <c r="D727" s="209" t="s">
        <v>1055</v>
      </c>
      <c r="E727" s="209" t="s">
        <v>1878</v>
      </c>
      <c r="F727" s="209" t="s">
        <v>1068</v>
      </c>
      <c r="G727" s="209" t="s">
        <v>140</v>
      </c>
      <c r="H727" s="210"/>
      <c r="I727" s="211"/>
      <c r="J727" s="144">
        <v>1</v>
      </c>
      <c r="K727" s="145">
        <f t="shared" si="1728"/>
        <v>1</v>
      </c>
      <c r="L727" s="202">
        <f t="shared" si="1729"/>
        <v>1</v>
      </c>
      <c r="M727" s="212">
        <v>0.1</v>
      </c>
      <c r="N727" s="203">
        <f t="shared" si="1730"/>
        <v>0.1</v>
      </c>
      <c r="O727" s="212" t="s">
        <v>137</v>
      </c>
      <c r="P727" s="212" t="s">
        <v>14</v>
      </c>
      <c r="Q727" s="212" t="s">
        <v>976</v>
      </c>
      <c r="R727" s="212"/>
      <c r="S727" s="212"/>
      <c r="T727" s="203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0</v>
      </c>
      <c r="U727" s="203">
        <f t="shared" ca="1" si="1731"/>
        <v>1</v>
      </c>
      <c r="V727" s="203">
        <f t="shared" ca="1" si="1732"/>
        <v>0</v>
      </c>
      <c r="W727" s="212"/>
      <c r="X727" s="212"/>
      <c r="Y727" s="212"/>
      <c r="Z727" s="212"/>
      <c r="AA727" s="212"/>
      <c r="AB727" s="212"/>
      <c r="AC727" s="214" t="s">
        <v>1784</v>
      </c>
      <c r="AD727" s="226" t="s">
        <v>1785</v>
      </c>
      <c r="AE727" s="148"/>
      <c r="AF727" s="212" t="str">
        <f t="shared" ref="AF727:AG727" si="1757">AF726</f>
        <v>N/A</v>
      </c>
      <c r="AG727" s="212">
        <f t="shared" si="1757"/>
        <v>0</v>
      </c>
      <c r="AH727" s="203">
        <f t="shared" si="1734"/>
        <v>0</v>
      </c>
      <c r="AI727" s="203">
        <f t="shared" ca="1" si="1735"/>
        <v>0</v>
      </c>
      <c r="AJ727" s="203">
        <f t="shared" ca="1" si="1736"/>
        <v>0</v>
      </c>
      <c r="AK727" s="212" t="str">
        <f t="shared" ref="AK727:AL727" si="1758">AK726</f>
        <v>N/A</v>
      </c>
      <c r="AL727" s="212">
        <f t="shared" si="1758"/>
        <v>0</v>
      </c>
      <c r="AM727" s="203">
        <f t="shared" si="1738"/>
        <v>0</v>
      </c>
      <c r="AN727" s="203">
        <f t="shared" ca="1" si="1739"/>
        <v>0</v>
      </c>
      <c r="AO727" s="203">
        <f t="shared" ca="1" si="1740"/>
        <v>0</v>
      </c>
      <c r="AP727" s="212" t="str">
        <f t="shared" ref="AP727:AQ727" si="1759">AP726</f>
        <v>N/A</v>
      </c>
      <c r="AQ727" s="212">
        <f t="shared" si="1759"/>
        <v>0</v>
      </c>
      <c r="AR727" s="203">
        <f t="shared" si="1742"/>
        <v>0</v>
      </c>
      <c r="AS727" s="203">
        <f t="shared" ca="1" si="1743"/>
        <v>0</v>
      </c>
      <c r="AT727" s="203">
        <f t="shared" ca="1" si="1744"/>
        <v>0</v>
      </c>
      <c r="AU727" s="212" t="str">
        <f t="shared" ref="AU727:AV727" si="1760">AU726</f>
        <v>AMC2-S1</v>
      </c>
      <c r="AV727" s="212">
        <f t="shared" si="1760"/>
        <v>1</v>
      </c>
      <c r="AW727" s="203">
        <f t="shared" si="1746"/>
        <v>1</v>
      </c>
      <c r="AX727" s="203">
        <f t="shared" ca="1" si="1747"/>
        <v>0</v>
      </c>
      <c r="AY727" s="203">
        <f t="shared" ca="1" si="1748"/>
        <v>1</v>
      </c>
      <c r="AZ727" s="212"/>
      <c r="BA727" s="213" t="s">
        <v>140</v>
      </c>
      <c r="BB727" s="213" t="s">
        <v>140</v>
      </c>
      <c r="BC727" s="213" t="s">
        <v>140</v>
      </c>
      <c r="BD727" s="213" t="s">
        <v>141</v>
      </c>
      <c r="BE727" s="148"/>
      <c r="BF727" s="212"/>
      <c r="BG727" s="117"/>
      <c r="BH727" s="117"/>
      <c r="BI727" s="149"/>
      <c r="BJ727" s="149"/>
      <c r="BK727" s="149"/>
      <c r="BL727" s="149"/>
      <c r="BM727" s="149"/>
      <c r="BN727" s="149"/>
      <c r="BO727" s="149"/>
      <c r="BP727" s="149"/>
      <c r="BQ727" s="149"/>
      <c r="BR727" s="117" t="s">
        <v>140</v>
      </c>
      <c r="BS727" s="117" t="s">
        <v>140</v>
      </c>
      <c r="BT727" s="117" t="s">
        <v>140</v>
      </c>
      <c r="BU727" s="117" t="s">
        <v>140</v>
      </c>
      <c r="BV727" s="117" t="s">
        <v>140</v>
      </c>
      <c r="BW727" s="117" t="s">
        <v>140</v>
      </c>
      <c r="BX727" s="117" t="s">
        <v>140</v>
      </c>
      <c r="BY727" s="117" t="s">
        <v>14</v>
      </c>
      <c r="BZ727" s="117"/>
      <c r="CA727" s="117"/>
      <c r="CB727" s="149"/>
      <c r="CC727" s="117"/>
      <c r="CD727" s="117"/>
      <c r="CE727" s="148"/>
      <c r="CF727" s="148"/>
    </row>
    <row r="728" spans="1:84" hidden="1">
      <c r="A728" s="162">
        <v>48</v>
      </c>
      <c r="B728" s="177" t="s">
        <v>1863</v>
      </c>
      <c r="C728" s="177" t="s">
        <v>2147</v>
      </c>
      <c r="D728" s="177" t="s">
        <v>1881</v>
      </c>
      <c r="E728" s="177"/>
      <c r="F728" s="177"/>
      <c r="G728" s="177" t="s">
        <v>1882</v>
      </c>
      <c r="H728" s="178"/>
      <c r="I728" s="179" t="s">
        <v>147</v>
      </c>
      <c r="J728" s="160"/>
      <c r="K728" s="180">
        <f>+AG728+AL728+AQ728+AV728</f>
        <v>1</v>
      </c>
      <c r="L728" s="160"/>
      <c r="M728" s="181">
        <v>0.2</v>
      </c>
      <c r="N728" s="181">
        <v>0.2</v>
      </c>
      <c r="O728" s="181" t="s">
        <v>137</v>
      </c>
      <c r="P728" s="181"/>
      <c r="Q728" s="181"/>
      <c r="R728" s="181"/>
      <c r="S728" s="181"/>
      <c r="T728" s="181"/>
      <c r="U728" s="181"/>
      <c r="V728" s="181"/>
      <c r="W728" s="181">
        <f ca="1">_xlfn.MINIFS(V:V,C:C,C728,AE:AE,"",AB:AB,"")</f>
        <v>1</v>
      </c>
      <c r="X728" s="181">
        <f ca="1">SUMIFS(T:T,C:C,C728,AE:AE,"")/SUMIFS(L:L,C:C,C728,AE:AE,"",AB:AB,"")</f>
        <v>1</v>
      </c>
      <c r="Y728" s="181"/>
      <c r="Z728" s="181"/>
      <c r="AA728" s="181"/>
      <c r="AB728" s="181"/>
      <c r="AC728" s="183" t="s">
        <v>1784</v>
      </c>
      <c r="AD728" s="184" t="s">
        <v>1785</v>
      </c>
      <c r="AE728" s="162" t="s">
        <v>143</v>
      </c>
      <c r="AF728" s="181" t="s">
        <v>138</v>
      </c>
      <c r="AG728" s="181">
        <v>0</v>
      </c>
      <c r="AH728" s="181"/>
      <c r="AI728" s="181"/>
      <c r="AJ728" s="181"/>
      <c r="AK728" s="181" t="s">
        <v>138</v>
      </c>
      <c r="AL728" s="181">
        <v>0</v>
      </c>
      <c r="AM728" s="181"/>
      <c r="AN728" s="181"/>
      <c r="AO728" s="181"/>
      <c r="AP728" s="181" t="s">
        <v>138</v>
      </c>
      <c r="AQ728" s="181">
        <v>0</v>
      </c>
      <c r="AR728" s="181"/>
      <c r="AS728" s="181"/>
      <c r="AT728" s="181"/>
      <c r="AU728" s="181" t="s">
        <v>1783</v>
      </c>
      <c r="AV728" s="181">
        <v>1</v>
      </c>
      <c r="AW728" s="181"/>
      <c r="AX728" s="181"/>
      <c r="AY728" s="181"/>
      <c r="AZ728" s="179" t="s">
        <v>1038</v>
      </c>
      <c r="BA728" s="182" t="s">
        <v>140</v>
      </c>
      <c r="BB728" s="182" t="s">
        <v>140</v>
      </c>
      <c r="BC728" s="182" t="s">
        <v>140</v>
      </c>
      <c r="BD728" s="182" t="s">
        <v>141</v>
      </c>
      <c r="BE728" s="162" t="s">
        <v>741</v>
      </c>
      <c r="BF728" s="181"/>
      <c r="BG728" s="161"/>
      <c r="BH728" s="161"/>
      <c r="BI728" s="163"/>
      <c r="BJ728" s="163"/>
      <c r="BK728" s="163"/>
      <c r="BL728" s="163"/>
      <c r="BM728" s="163"/>
      <c r="BN728" s="163"/>
      <c r="BO728" s="163"/>
      <c r="BP728" s="163"/>
      <c r="BQ728" s="163"/>
      <c r="BR728" s="161"/>
      <c r="BS728" s="161"/>
      <c r="BT728" s="161"/>
      <c r="BU728" s="161"/>
      <c r="BV728" s="161"/>
      <c r="BW728" s="161"/>
      <c r="BX728" s="161"/>
      <c r="BY728" s="161"/>
      <c r="BZ728" s="161"/>
      <c r="CA728" s="161"/>
      <c r="CB728" s="163"/>
      <c r="CC728" s="161"/>
      <c r="CD728" s="161"/>
      <c r="CE728" s="185"/>
      <c r="CF728" s="185"/>
    </row>
    <row r="729" spans="1:84" hidden="1">
      <c r="A729" s="141"/>
      <c r="B729" s="199" t="s">
        <v>1863</v>
      </c>
      <c r="C729" s="199" t="s">
        <v>2147</v>
      </c>
      <c r="D729" s="199" t="s">
        <v>1073</v>
      </c>
      <c r="E729" s="199" t="s">
        <v>1883</v>
      </c>
      <c r="F729" s="199" t="s">
        <v>1071</v>
      </c>
      <c r="G729" s="199" t="s">
        <v>1072</v>
      </c>
      <c r="H729" s="200">
        <v>80</v>
      </c>
      <c r="I729" s="201" t="s">
        <v>147</v>
      </c>
      <c r="J729" s="165">
        <v>1</v>
      </c>
      <c r="K729" s="202">
        <f>K728</f>
        <v>1</v>
      </c>
      <c r="L729" s="202">
        <f>+J729*K729</f>
        <v>1</v>
      </c>
      <c r="M729" s="203">
        <v>0.2</v>
      </c>
      <c r="N729" s="203">
        <f>+M729*L729</f>
        <v>0.2</v>
      </c>
      <c r="O729" s="203" t="s">
        <v>137</v>
      </c>
      <c r="P729" s="203" t="s">
        <v>13</v>
      </c>
      <c r="Q729" s="203" t="s">
        <v>148</v>
      </c>
      <c r="R729" s="203"/>
      <c r="S729" s="203"/>
      <c r="T729" s="203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1</v>
      </c>
      <c r="U729" s="203">
        <f t="shared" ref="U729" ca="1" si="1761">+L729-T729</f>
        <v>0</v>
      </c>
      <c r="V729" s="203">
        <f t="shared" ref="V729" ca="1" si="1762">ROUNDDOWN(T729/J729,0)</f>
        <v>1</v>
      </c>
      <c r="W729" s="203"/>
      <c r="X729" s="203"/>
      <c r="Y729" s="203"/>
      <c r="Z729" s="203"/>
      <c r="AA729" s="203"/>
      <c r="AB729" s="203"/>
      <c r="AC729" s="205" t="s">
        <v>1784</v>
      </c>
      <c r="AD729" s="225" t="s">
        <v>1785</v>
      </c>
      <c r="AE729" s="166"/>
      <c r="AF729" s="203" t="str">
        <f t="shared" ref="AF729:AG729" si="1763">AF728</f>
        <v>N/A</v>
      </c>
      <c r="AG729" s="203">
        <f t="shared" si="1763"/>
        <v>0</v>
      </c>
      <c r="AH729" s="203">
        <f>+AG729*J729</f>
        <v>0</v>
      </c>
      <c r="AI729" s="203">
        <f ca="1">MIN(T729,AH729)</f>
        <v>0</v>
      </c>
      <c r="AJ729" s="203">
        <f ca="1">+AH729-AI729</f>
        <v>0</v>
      </c>
      <c r="AK729" s="203" t="str">
        <f t="shared" ref="AK729:AL729" si="1764">AK728</f>
        <v>N/A</v>
      </c>
      <c r="AL729" s="203">
        <f t="shared" si="1764"/>
        <v>0</v>
      </c>
      <c r="AM729" s="203">
        <f>+AL729*J729</f>
        <v>0</v>
      </c>
      <c r="AN729" s="203">
        <f ca="1">MIN(T729-AI729,AL729)</f>
        <v>0</v>
      </c>
      <c r="AO729" s="203">
        <f ca="1">+AM729-AN729</f>
        <v>0</v>
      </c>
      <c r="AP729" s="203" t="str">
        <f t="shared" ref="AP729:AQ729" si="1765">AP728</f>
        <v>N/A</v>
      </c>
      <c r="AQ729" s="203">
        <f t="shared" si="1765"/>
        <v>0</v>
      </c>
      <c r="AR729" s="203">
        <f>+AQ729*J729</f>
        <v>0</v>
      </c>
      <c r="AS729" s="203">
        <f ca="1">MIN(T729-AI729-AN729,AR729)</f>
        <v>0</v>
      </c>
      <c r="AT729" s="203">
        <f ca="1">+AR729-AS729</f>
        <v>0</v>
      </c>
      <c r="AU729" s="203" t="str">
        <f t="shared" ref="AU729:AV729" si="1766">AU728</f>
        <v>AMC2-S1</v>
      </c>
      <c r="AV729" s="203">
        <f t="shared" si="1766"/>
        <v>1</v>
      </c>
      <c r="AW729" s="203">
        <f>+AV729*J729</f>
        <v>1</v>
      </c>
      <c r="AX729" s="203">
        <f ca="1">MIN(T729-AI729-AN729-AS729,AW729)</f>
        <v>1</v>
      </c>
      <c r="AY729" s="203">
        <f ca="1">+AW729-AX729</f>
        <v>0</v>
      </c>
      <c r="AZ729" s="203"/>
      <c r="BA729" s="204" t="s">
        <v>140</v>
      </c>
      <c r="BB729" s="204" t="s">
        <v>140</v>
      </c>
      <c r="BC729" s="204" t="s">
        <v>140</v>
      </c>
      <c r="BD729" s="204" t="s">
        <v>141</v>
      </c>
      <c r="BE729" s="166"/>
      <c r="BF729" s="203" t="s">
        <v>1789</v>
      </c>
      <c r="BG729" s="141"/>
      <c r="BH729" s="141"/>
      <c r="BI729" s="153"/>
      <c r="BJ729" s="153"/>
      <c r="BK729" s="153"/>
      <c r="BL729" s="153" t="s">
        <v>149</v>
      </c>
      <c r="BM729" s="153"/>
      <c r="BN729" s="153"/>
      <c r="BO729" s="153"/>
      <c r="BP729" s="153"/>
      <c r="BQ729" s="153"/>
      <c r="BR729" s="141">
        <v>1</v>
      </c>
      <c r="BS729" s="141">
        <v>0</v>
      </c>
      <c r="BT729" s="141">
        <v>0</v>
      </c>
      <c r="BU729" s="141">
        <v>0</v>
      </c>
      <c r="BV729" s="141">
        <v>0</v>
      </c>
      <c r="BW729" s="141">
        <v>0</v>
      </c>
      <c r="BX729" s="141">
        <v>0</v>
      </c>
      <c r="BY729" s="141" t="s">
        <v>1790</v>
      </c>
      <c r="BZ729" s="141" t="s">
        <v>2126</v>
      </c>
      <c r="CA729" s="165">
        <v>1</v>
      </c>
      <c r="CB729" s="153">
        <v>46238</v>
      </c>
      <c r="CC729" s="141"/>
      <c r="CD729" s="141"/>
      <c r="CE729" s="166"/>
      <c r="CF729" s="166">
        <f>+L729-CA729</f>
        <v>0</v>
      </c>
    </row>
    <row r="730" spans="1:84" hidden="1">
      <c r="A730" s="162">
        <v>49</v>
      </c>
      <c r="B730" s="177" t="s">
        <v>1857</v>
      </c>
      <c r="C730" s="177" t="s">
        <v>2148</v>
      </c>
      <c r="D730" s="177" t="s">
        <v>1884</v>
      </c>
      <c r="E730" s="177"/>
      <c r="F730" s="177"/>
      <c r="G730" s="177" t="s">
        <v>1885</v>
      </c>
      <c r="H730" s="178">
        <v>3000</v>
      </c>
      <c r="I730" s="179" t="s">
        <v>147</v>
      </c>
      <c r="J730" s="160"/>
      <c r="K730" s="180">
        <f t="shared" ref="K730:K744" si="1767">+AG730+AL730+AQ730+AV730</f>
        <v>17</v>
      </c>
      <c r="L730" s="160"/>
      <c r="M730" s="181">
        <v>25</v>
      </c>
      <c r="N730" s="181">
        <v>425</v>
      </c>
      <c r="O730" s="181" t="s">
        <v>137</v>
      </c>
      <c r="P730" s="181"/>
      <c r="Q730" s="181"/>
      <c r="R730" s="181"/>
      <c r="S730" s="181"/>
      <c r="T730" s="181"/>
      <c r="U730" s="181"/>
      <c r="V730" s="181"/>
      <c r="W730" s="181">
        <f t="shared" ref="W730:W744" si="1768">_xlfn.MINIFS(V:V,C:C,C730,AE:AE,"",AB:AB,"")</f>
        <v>0</v>
      </c>
      <c r="X730" s="181" t="e">
        <f t="shared" ref="X730:X744" si="1769">SUMIFS(T:T,C:C,C730,AE:AE,"")/SUMIFS(L:L,C:C,C730,AE:AE,"",AB:AB,"")</f>
        <v>#DIV/0!</v>
      </c>
      <c r="Y730" s="181"/>
      <c r="Z730" s="181"/>
      <c r="AA730" s="181"/>
      <c r="AB730" s="181"/>
      <c r="AC730" s="183" t="s">
        <v>1784</v>
      </c>
      <c r="AD730" s="184" t="s">
        <v>1785</v>
      </c>
      <c r="AE730" s="162" t="s">
        <v>143</v>
      </c>
      <c r="AF730" s="181" t="s">
        <v>138</v>
      </c>
      <c r="AG730" s="181">
        <v>0</v>
      </c>
      <c r="AH730" s="181"/>
      <c r="AI730" s="181"/>
      <c r="AJ730" s="181"/>
      <c r="AK730" s="181" t="s">
        <v>138</v>
      </c>
      <c r="AL730" s="181">
        <v>0</v>
      </c>
      <c r="AM730" s="181"/>
      <c r="AN730" s="181"/>
      <c r="AO730" s="181"/>
      <c r="AP730" s="181" t="s">
        <v>138</v>
      </c>
      <c r="AQ730" s="181">
        <v>0</v>
      </c>
      <c r="AR730" s="181"/>
      <c r="AS730" s="181"/>
      <c r="AT730" s="181"/>
      <c r="AU730" s="181" t="s">
        <v>1783</v>
      </c>
      <c r="AV730" s="181">
        <v>17</v>
      </c>
      <c r="AW730" s="181"/>
      <c r="AX730" s="181">
        <v>17</v>
      </c>
      <c r="AY730" s="181"/>
      <c r="AZ730" s="181"/>
      <c r="BA730" s="182" t="s">
        <v>140</v>
      </c>
      <c r="BB730" s="182" t="s">
        <v>140</v>
      </c>
      <c r="BC730" s="182" t="s">
        <v>140</v>
      </c>
      <c r="BD730" s="182" t="s">
        <v>141</v>
      </c>
      <c r="BE730" s="162" t="s">
        <v>741</v>
      </c>
      <c r="BF730" s="181"/>
      <c r="BG730" s="161"/>
      <c r="BH730" s="161"/>
      <c r="BI730" s="163"/>
      <c r="BJ730" s="163"/>
      <c r="BK730" s="163"/>
      <c r="BL730" s="163"/>
      <c r="BM730" s="163"/>
      <c r="BN730" s="163"/>
      <c r="BO730" s="163"/>
      <c r="BP730" s="163"/>
      <c r="BQ730" s="163"/>
      <c r="BR730" s="161"/>
      <c r="BS730" s="161"/>
      <c r="BT730" s="161"/>
      <c r="BU730" s="161"/>
      <c r="BV730" s="161"/>
      <c r="BW730" s="161"/>
      <c r="BX730" s="161"/>
      <c r="BY730" s="161"/>
      <c r="BZ730" s="161"/>
      <c r="CA730" s="161"/>
      <c r="CB730" s="163"/>
      <c r="CC730" s="161"/>
      <c r="CD730" s="161"/>
      <c r="CE730" s="185"/>
      <c r="CF730" s="185"/>
    </row>
    <row r="731" spans="1:84" hidden="1">
      <c r="A731" s="162">
        <v>50</v>
      </c>
      <c r="B731" s="177" t="s">
        <v>1857</v>
      </c>
      <c r="C731" s="177" t="s">
        <v>2149</v>
      </c>
      <c r="D731" s="177" t="s">
        <v>1884</v>
      </c>
      <c r="E731" s="177"/>
      <c r="F731" s="177"/>
      <c r="G731" s="177" t="s">
        <v>1885</v>
      </c>
      <c r="H731" s="227">
        <v>2788</v>
      </c>
      <c r="I731" s="179" t="s">
        <v>147</v>
      </c>
      <c r="J731" s="160"/>
      <c r="K731" s="180">
        <f t="shared" si="1767"/>
        <v>1</v>
      </c>
      <c r="L731" s="160"/>
      <c r="M731" s="181">
        <v>22.4</v>
      </c>
      <c r="N731" s="181">
        <v>22</v>
      </c>
      <c r="O731" s="181" t="s">
        <v>137</v>
      </c>
      <c r="P731" s="181"/>
      <c r="Q731" s="181"/>
      <c r="R731" s="181"/>
      <c r="S731" s="181"/>
      <c r="T731" s="181"/>
      <c r="U731" s="181"/>
      <c r="V731" s="181"/>
      <c r="W731" s="181">
        <f t="shared" si="1768"/>
        <v>0</v>
      </c>
      <c r="X731" s="181" t="e">
        <f t="shared" si="1769"/>
        <v>#DIV/0!</v>
      </c>
      <c r="Y731" s="181"/>
      <c r="Z731" s="181"/>
      <c r="AA731" s="181"/>
      <c r="AB731" s="181"/>
      <c r="AC731" s="183" t="s">
        <v>1784</v>
      </c>
      <c r="AD731" s="184" t="s">
        <v>1785</v>
      </c>
      <c r="AE731" s="162" t="s">
        <v>143</v>
      </c>
      <c r="AF731" s="181" t="s">
        <v>138</v>
      </c>
      <c r="AG731" s="181">
        <v>0</v>
      </c>
      <c r="AH731" s="181"/>
      <c r="AI731" s="181"/>
      <c r="AJ731" s="181"/>
      <c r="AK731" s="181" t="s">
        <v>138</v>
      </c>
      <c r="AL731" s="181">
        <v>0</v>
      </c>
      <c r="AM731" s="181"/>
      <c r="AN731" s="181"/>
      <c r="AO731" s="181"/>
      <c r="AP731" s="181" t="s">
        <v>138</v>
      </c>
      <c r="AQ731" s="181">
        <v>0</v>
      </c>
      <c r="AR731" s="181"/>
      <c r="AS731" s="181"/>
      <c r="AT731" s="181"/>
      <c r="AU731" s="181" t="s">
        <v>1783</v>
      </c>
      <c r="AV731" s="181">
        <v>1</v>
      </c>
      <c r="AW731" s="181"/>
      <c r="AX731" s="181">
        <v>1</v>
      </c>
      <c r="AY731" s="181"/>
      <c r="AZ731" s="181"/>
      <c r="BA731" s="182" t="s">
        <v>140</v>
      </c>
      <c r="BB731" s="182" t="s">
        <v>140</v>
      </c>
      <c r="BC731" s="182" t="s">
        <v>140</v>
      </c>
      <c r="BD731" s="182" t="s">
        <v>141</v>
      </c>
      <c r="BE731" s="162" t="s">
        <v>741</v>
      </c>
      <c r="BF731" s="181"/>
      <c r="BG731" s="161"/>
      <c r="BH731" s="161"/>
      <c r="BI731" s="163"/>
      <c r="BJ731" s="163"/>
      <c r="BK731" s="163"/>
      <c r="BL731" s="163"/>
      <c r="BM731" s="163"/>
      <c r="BN731" s="163"/>
      <c r="BO731" s="163"/>
      <c r="BP731" s="163"/>
      <c r="BQ731" s="163"/>
      <c r="BR731" s="161"/>
      <c r="BS731" s="161"/>
      <c r="BT731" s="161"/>
      <c r="BU731" s="161"/>
      <c r="BV731" s="161"/>
      <c r="BW731" s="161"/>
      <c r="BX731" s="161"/>
      <c r="BY731" s="161"/>
      <c r="BZ731" s="161"/>
      <c r="CA731" s="161"/>
      <c r="CB731" s="163"/>
      <c r="CC731" s="161"/>
      <c r="CD731" s="161"/>
      <c r="CE731" s="185"/>
      <c r="CF731" s="185"/>
    </row>
    <row r="732" spans="1:84" hidden="1">
      <c r="A732" s="162">
        <v>51</v>
      </c>
      <c r="B732" s="177" t="s">
        <v>1857</v>
      </c>
      <c r="C732" s="177" t="s">
        <v>2150</v>
      </c>
      <c r="D732" s="177" t="s">
        <v>1884</v>
      </c>
      <c r="E732" s="177"/>
      <c r="F732" s="177"/>
      <c r="G732" s="177" t="s">
        <v>1885</v>
      </c>
      <c r="H732" s="227">
        <v>800</v>
      </c>
      <c r="I732" s="179" t="s">
        <v>147</v>
      </c>
      <c r="J732" s="160"/>
      <c r="K732" s="180">
        <f t="shared" si="1767"/>
        <v>1</v>
      </c>
      <c r="L732" s="160"/>
      <c r="M732" s="181">
        <v>5.8</v>
      </c>
      <c r="N732" s="181">
        <v>6</v>
      </c>
      <c r="O732" s="181" t="s">
        <v>137</v>
      </c>
      <c r="P732" s="181"/>
      <c r="Q732" s="181"/>
      <c r="R732" s="181"/>
      <c r="S732" s="181"/>
      <c r="T732" s="181"/>
      <c r="U732" s="181"/>
      <c r="V732" s="181"/>
      <c r="W732" s="181">
        <f t="shared" si="1768"/>
        <v>0</v>
      </c>
      <c r="X732" s="181" t="e">
        <f t="shared" si="1769"/>
        <v>#DIV/0!</v>
      </c>
      <c r="Y732" s="181"/>
      <c r="Z732" s="181"/>
      <c r="AA732" s="181"/>
      <c r="AB732" s="181"/>
      <c r="AC732" s="183" t="s">
        <v>1784</v>
      </c>
      <c r="AD732" s="184" t="s">
        <v>1785</v>
      </c>
      <c r="AE732" s="162" t="s">
        <v>143</v>
      </c>
      <c r="AF732" s="181" t="s">
        <v>138</v>
      </c>
      <c r="AG732" s="181">
        <v>0</v>
      </c>
      <c r="AH732" s="181"/>
      <c r="AI732" s="181"/>
      <c r="AJ732" s="181"/>
      <c r="AK732" s="181" t="s">
        <v>138</v>
      </c>
      <c r="AL732" s="181">
        <v>0</v>
      </c>
      <c r="AM732" s="181"/>
      <c r="AN732" s="181"/>
      <c r="AO732" s="181"/>
      <c r="AP732" s="181" t="s">
        <v>138</v>
      </c>
      <c r="AQ732" s="181">
        <v>0</v>
      </c>
      <c r="AR732" s="181"/>
      <c r="AS732" s="181"/>
      <c r="AT732" s="181"/>
      <c r="AU732" s="181" t="s">
        <v>1783</v>
      </c>
      <c r="AV732" s="181">
        <v>1</v>
      </c>
      <c r="AW732" s="181"/>
      <c r="AX732" s="181">
        <v>1</v>
      </c>
      <c r="AY732" s="181"/>
      <c r="AZ732" s="181"/>
      <c r="BA732" s="182" t="s">
        <v>140</v>
      </c>
      <c r="BB732" s="182" t="s">
        <v>140</v>
      </c>
      <c r="BC732" s="182" t="s">
        <v>140</v>
      </c>
      <c r="BD732" s="182" t="s">
        <v>141</v>
      </c>
      <c r="BE732" s="162" t="s">
        <v>741</v>
      </c>
      <c r="BF732" s="181"/>
      <c r="BG732" s="161"/>
      <c r="BH732" s="161"/>
      <c r="BI732" s="163"/>
      <c r="BJ732" s="163"/>
      <c r="BK732" s="163"/>
      <c r="BL732" s="163"/>
      <c r="BM732" s="163"/>
      <c r="BN732" s="163"/>
      <c r="BO732" s="163"/>
      <c r="BP732" s="163"/>
      <c r="BQ732" s="163"/>
      <c r="BR732" s="161"/>
      <c r="BS732" s="161"/>
      <c r="BT732" s="161"/>
      <c r="BU732" s="161"/>
      <c r="BV732" s="161"/>
      <c r="BW732" s="161"/>
      <c r="BX732" s="161"/>
      <c r="BY732" s="161"/>
      <c r="BZ732" s="161"/>
      <c r="CA732" s="161"/>
      <c r="CB732" s="163"/>
      <c r="CC732" s="161"/>
      <c r="CD732" s="161"/>
      <c r="CE732" s="185"/>
      <c r="CF732" s="185"/>
    </row>
    <row r="733" spans="1:84" hidden="1">
      <c r="A733" s="162">
        <v>52</v>
      </c>
      <c r="B733" s="177" t="s">
        <v>1857</v>
      </c>
      <c r="C733" s="177" t="s">
        <v>2151</v>
      </c>
      <c r="D733" s="177" t="s">
        <v>1886</v>
      </c>
      <c r="E733" s="177"/>
      <c r="F733" s="177"/>
      <c r="G733" s="177" t="s">
        <v>1887</v>
      </c>
      <c r="H733" s="178">
        <v>100</v>
      </c>
      <c r="I733" s="179" t="s">
        <v>147</v>
      </c>
      <c r="J733" s="160"/>
      <c r="K733" s="180">
        <f t="shared" si="1767"/>
        <v>1</v>
      </c>
      <c r="L733" s="160"/>
      <c r="M733" s="181">
        <v>0.1</v>
      </c>
      <c r="N733" s="181">
        <v>0</v>
      </c>
      <c r="O733" s="181" t="s">
        <v>137</v>
      </c>
      <c r="P733" s="181"/>
      <c r="Q733" s="181"/>
      <c r="R733" s="181"/>
      <c r="S733" s="181"/>
      <c r="T733" s="181"/>
      <c r="U733" s="181"/>
      <c r="V733" s="181"/>
      <c r="W733" s="181">
        <f t="shared" si="1768"/>
        <v>0</v>
      </c>
      <c r="X733" s="181" t="e">
        <f t="shared" si="1769"/>
        <v>#DIV/0!</v>
      </c>
      <c r="Y733" s="181"/>
      <c r="Z733" s="181"/>
      <c r="AA733" s="181"/>
      <c r="AB733" s="181"/>
      <c r="AC733" s="183" t="s">
        <v>1784</v>
      </c>
      <c r="AD733" s="184" t="s">
        <v>1785</v>
      </c>
      <c r="AE733" s="162" t="s">
        <v>143</v>
      </c>
      <c r="AF733" s="181" t="s">
        <v>138</v>
      </c>
      <c r="AG733" s="181">
        <v>0</v>
      </c>
      <c r="AH733" s="181"/>
      <c r="AI733" s="181"/>
      <c r="AJ733" s="181"/>
      <c r="AK733" s="181" t="s">
        <v>138</v>
      </c>
      <c r="AL733" s="181">
        <v>0</v>
      </c>
      <c r="AM733" s="181"/>
      <c r="AN733" s="181"/>
      <c r="AO733" s="181"/>
      <c r="AP733" s="181" t="s">
        <v>138</v>
      </c>
      <c r="AQ733" s="181">
        <v>0</v>
      </c>
      <c r="AR733" s="181"/>
      <c r="AS733" s="181"/>
      <c r="AT733" s="181"/>
      <c r="AU733" s="181" t="s">
        <v>1783</v>
      </c>
      <c r="AV733" s="181">
        <v>1</v>
      </c>
      <c r="AW733" s="181"/>
      <c r="AX733" s="181"/>
      <c r="AY733" s="181"/>
      <c r="AZ733" s="181"/>
      <c r="BA733" s="182" t="s">
        <v>140</v>
      </c>
      <c r="BB733" s="182" t="s">
        <v>140</v>
      </c>
      <c r="BC733" s="182" t="s">
        <v>140</v>
      </c>
      <c r="BD733" s="182" t="s">
        <v>141</v>
      </c>
      <c r="BE733" s="162" t="s">
        <v>741</v>
      </c>
      <c r="BF733" s="181"/>
      <c r="BG733" s="161"/>
      <c r="BH733" s="161"/>
      <c r="BI733" s="163"/>
      <c r="BJ733" s="163"/>
      <c r="BK733" s="163"/>
      <c r="BL733" s="163"/>
      <c r="BM733" s="163"/>
      <c r="BN733" s="163"/>
      <c r="BO733" s="163"/>
      <c r="BP733" s="163"/>
      <c r="BQ733" s="163"/>
      <c r="BR733" s="161"/>
      <c r="BS733" s="161"/>
      <c r="BT733" s="161"/>
      <c r="BU733" s="161"/>
      <c r="BV733" s="161"/>
      <c r="BW733" s="161"/>
      <c r="BX733" s="161"/>
      <c r="BY733" s="161"/>
      <c r="BZ733" s="161"/>
      <c r="CA733" s="161"/>
      <c r="CB733" s="163"/>
      <c r="CC733" s="161"/>
      <c r="CD733" s="161"/>
      <c r="CE733" s="185"/>
      <c r="CF733" s="185"/>
    </row>
    <row r="734" spans="1:84" ht="24" hidden="1">
      <c r="A734" s="162">
        <v>53</v>
      </c>
      <c r="B734" s="177" t="s">
        <v>1857</v>
      </c>
      <c r="C734" s="177" t="s">
        <v>1888</v>
      </c>
      <c r="D734" s="177" t="s">
        <v>1889</v>
      </c>
      <c r="E734" s="177"/>
      <c r="F734" s="177"/>
      <c r="G734" s="177" t="s">
        <v>1890</v>
      </c>
      <c r="H734" s="178"/>
      <c r="I734" s="179" t="s">
        <v>1891</v>
      </c>
      <c r="J734" s="160"/>
      <c r="K734" s="180">
        <f t="shared" si="1767"/>
        <v>6</v>
      </c>
      <c r="L734" s="160"/>
      <c r="M734" s="181">
        <v>0.5</v>
      </c>
      <c r="N734" s="181">
        <v>3</v>
      </c>
      <c r="O734" s="181" t="s">
        <v>137</v>
      </c>
      <c r="P734" s="181"/>
      <c r="Q734" s="181"/>
      <c r="R734" s="181"/>
      <c r="S734" s="181"/>
      <c r="T734" s="181"/>
      <c r="U734" s="181"/>
      <c r="V734" s="181"/>
      <c r="W734" s="181">
        <f t="shared" si="1768"/>
        <v>0</v>
      </c>
      <c r="X734" s="181" t="e">
        <f t="shared" si="1769"/>
        <v>#DIV/0!</v>
      </c>
      <c r="Y734" s="181"/>
      <c r="Z734" s="181"/>
      <c r="AA734" s="181"/>
      <c r="AB734" s="181"/>
      <c r="AC734" s="183" t="s">
        <v>1784</v>
      </c>
      <c r="AD734" s="184" t="s">
        <v>1785</v>
      </c>
      <c r="AE734" s="162" t="s">
        <v>143</v>
      </c>
      <c r="AF734" s="181" t="s">
        <v>138</v>
      </c>
      <c r="AG734" s="181">
        <v>0</v>
      </c>
      <c r="AH734" s="181"/>
      <c r="AI734" s="181"/>
      <c r="AJ734" s="181"/>
      <c r="AK734" s="181" t="s">
        <v>138</v>
      </c>
      <c r="AL734" s="181">
        <v>0</v>
      </c>
      <c r="AM734" s="181"/>
      <c r="AN734" s="181"/>
      <c r="AO734" s="181"/>
      <c r="AP734" s="181" t="s">
        <v>138</v>
      </c>
      <c r="AQ734" s="181">
        <v>0</v>
      </c>
      <c r="AR734" s="181"/>
      <c r="AS734" s="181"/>
      <c r="AT734" s="181"/>
      <c r="AU734" s="181" t="s">
        <v>1783</v>
      </c>
      <c r="AV734" s="181">
        <v>6</v>
      </c>
      <c r="AW734" s="181"/>
      <c r="AX734" s="181"/>
      <c r="AY734" s="181"/>
      <c r="AZ734" s="181"/>
      <c r="BA734" s="182" t="s">
        <v>140</v>
      </c>
      <c r="BB734" s="182" t="s">
        <v>140</v>
      </c>
      <c r="BC734" s="182" t="s">
        <v>140</v>
      </c>
      <c r="BD734" s="182" t="s">
        <v>141</v>
      </c>
      <c r="BE734" s="162" t="s">
        <v>741</v>
      </c>
      <c r="BF734" s="181"/>
      <c r="BG734" s="161"/>
      <c r="BH734" s="161"/>
      <c r="BI734" s="163"/>
      <c r="BJ734" s="163"/>
      <c r="BK734" s="163"/>
      <c r="BL734" s="163"/>
      <c r="BM734" s="163"/>
      <c r="BN734" s="163"/>
      <c r="BO734" s="163"/>
      <c r="BP734" s="163"/>
      <c r="BQ734" s="163"/>
      <c r="BR734" s="161"/>
      <c r="BS734" s="161"/>
      <c r="BT734" s="161"/>
      <c r="BU734" s="161"/>
      <c r="BV734" s="161"/>
      <c r="BW734" s="161"/>
      <c r="BX734" s="161"/>
      <c r="BY734" s="161" t="s">
        <v>14</v>
      </c>
      <c r="BZ734" s="161"/>
      <c r="CA734" s="161"/>
      <c r="CB734" s="163"/>
      <c r="CC734" s="161"/>
      <c r="CD734" s="161"/>
      <c r="CE734" s="185"/>
      <c r="CF734" s="185"/>
    </row>
    <row r="735" spans="1:84" ht="24" hidden="1">
      <c r="A735" s="162">
        <v>54</v>
      </c>
      <c r="B735" s="177" t="s">
        <v>1857</v>
      </c>
      <c r="C735" s="177" t="s">
        <v>1892</v>
      </c>
      <c r="D735" s="177" t="s">
        <v>1893</v>
      </c>
      <c r="E735" s="177"/>
      <c r="F735" s="177"/>
      <c r="G735" s="177" t="s">
        <v>1894</v>
      </c>
      <c r="H735" s="178"/>
      <c r="I735" s="179" t="s">
        <v>1895</v>
      </c>
      <c r="J735" s="160"/>
      <c r="K735" s="180">
        <f t="shared" si="1767"/>
        <v>1</v>
      </c>
      <c r="L735" s="160"/>
      <c r="M735" s="181">
        <v>1.7</v>
      </c>
      <c r="N735" s="181">
        <v>2</v>
      </c>
      <c r="O735" s="181" t="s">
        <v>137</v>
      </c>
      <c r="P735" s="181"/>
      <c r="Q735" s="181"/>
      <c r="R735" s="181"/>
      <c r="S735" s="181"/>
      <c r="T735" s="181"/>
      <c r="U735" s="181"/>
      <c r="V735" s="181"/>
      <c r="W735" s="181">
        <f t="shared" si="1768"/>
        <v>0</v>
      </c>
      <c r="X735" s="181" t="e">
        <f t="shared" si="1769"/>
        <v>#DIV/0!</v>
      </c>
      <c r="Y735" s="181"/>
      <c r="Z735" s="181"/>
      <c r="AA735" s="181"/>
      <c r="AB735" s="181"/>
      <c r="AC735" s="183" t="s">
        <v>1784</v>
      </c>
      <c r="AD735" s="184" t="s">
        <v>1785</v>
      </c>
      <c r="AE735" s="162" t="s">
        <v>143</v>
      </c>
      <c r="AF735" s="181" t="s">
        <v>138</v>
      </c>
      <c r="AG735" s="181">
        <v>0</v>
      </c>
      <c r="AH735" s="181"/>
      <c r="AI735" s="181"/>
      <c r="AJ735" s="181"/>
      <c r="AK735" s="181" t="s">
        <v>138</v>
      </c>
      <c r="AL735" s="181">
        <v>0</v>
      </c>
      <c r="AM735" s="181"/>
      <c r="AN735" s="181"/>
      <c r="AO735" s="181"/>
      <c r="AP735" s="181" t="s">
        <v>138</v>
      </c>
      <c r="AQ735" s="181">
        <v>0</v>
      </c>
      <c r="AR735" s="181"/>
      <c r="AS735" s="181"/>
      <c r="AT735" s="181"/>
      <c r="AU735" s="181" t="s">
        <v>1783</v>
      </c>
      <c r="AV735" s="181">
        <v>1</v>
      </c>
      <c r="AW735" s="181"/>
      <c r="AX735" s="181"/>
      <c r="AY735" s="181"/>
      <c r="AZ735" s="181"/>
      <c r="BA735" s="182" t="s">
        <v>140</v>
      </c>
      <c r="BB735" s="182" t="s">
        <v>140</v>
      </c>
      <c r="BC735" s="182" t="s">
        <v>140</v>
      </c>
      <c r="BD735" s="182" t="s">
        <v>141</v>
      </c>
      <c r="BE735" s="162" t="s">
        <v>741</v>
      </c>
      <c r="BF735" s="181"/>
      <c r="BG735" s="161"/>
      <c r="BH735" s="161"/>
      <c r="BI735" s="163"/>
      <c r="BJ735" s="163"/>
      <c r="BK735" s="163"/>
      <c r="BL735" s="163"/>
      <c r="BM735" s="163"/>
      <c r="BN735" s="163"/>
      <c r="BO735" s="163"/>
      <c r="BP735" s="163"/>
      <c r="BQ735" s="163"/>
      <c r="BR735" s="161"/>
      <c r="BS735" s="161"/>
      <c r="BT735" s="161"/>
      <c r="BU735" s="161"/>
      <c r="BV735" s="161"/>
      <c r="BW735" s="161"/>
      <c r="BX735" s="161"/>
      <c r="BY735" s="161" t="s">
        <v>14</v>
      </c>
      <c r="BZ735" s="161"/>
      <c r="CA735" s="161"/>
      <c r="CB735" s="163"/>
      <c r="CC735" s="161"/>
      <c r="CD735" s="161"/>
      <c r="CE735" s="185"/>
      <c r="CF735" s="185"/>
    </row>
    <row r="736" spans="1:84" hidden="1">
      <c r="A736" s="162">
        <v>55</v>
      </c>
      <c r="B736" s="177" t="s">
        <v>1857</v>
      </c>
      <c r="C736" s="177" t="s">
        <v>1896</v>
      </c>
      <c r="D736" s="177" t="s">
        <v>1897</v>
      </c>
      <c r="E736" s="177"/>
      <c r="F736" s="177"/>
      <c r="G736" s="177" t="s">
        <v>1898</v>
      </c>
      <c r="H736" s="178"/>
      <c r="I736" s="179" t="s">
        <v>1899</v>
      </c>
      <c r="J736" s="160"/>
      <c r="K736" s="180">
        <f t="shared" si="1767"/>
        <v>1</v>
      </c>
      <c r="L736" s="160"/>
      <c r="M736" s="181">
        <v>1.5</v>
      </c>
      <c r="N736" s="181">
        <v>1</v>
      </c>
      <c r="O736" s="181" t="s">
        <v>137</v>
      </c>
      <c r="P736" s="181"/>
      <c r="Q736" s="181"/>
      <c r="R736" s="181"/>
      <c r="S736" s="181"/>
      <c r="T736" s="181"/>
      <c r="U736" s="181"/>
      <c r="V736" s="181"/>
      <c r="W736" s="181">
        <f t="shared" si="1768"/>
        <v>0</v>
      </c>
      <c r="X736" s="181" t="e">
        <f t="shared" si="1769"/>
        <v>#DIV/0!</v>
      </c>
      <c r="Y736" s="181"/>
      <c r="Z736" s="181"/>
      <c r="AA736" s="181"/>
      <c r="AB736" s="181"/>
      <c r="AC736" s="183" t="s">
        <v>1784</v>
      </c>
      <c r="AD736" s="184" t="s">
        <v>1785</v>
      </c>
      <c r="AE736" s="162" t="s">
        <v>143</v>
      </c>
      <c r="AF736" s="181" t="s">
        <v>138</v>
      </c>
      <c r="AG736" s="181">
        <v>0</v>
      </c>
      <c r="AH736" s="181"/>
      <c r="AI736" s="181"/>
      <c r="AJ736" s="181"/>
      <c r="AK736" s="181" t="s">
        <v>138</v>
      </c>
      <c r="AL736" s="181">
        <v>0</v>
      </c>
      <c r="AM736" s="181"/>
      <c r="AN736" s="181"/>
      <c r="AO736" s="181"/>
      <c r="AP736" s="181" t="s">
        <v>138</v>
      </c>
      <c r="AQ736" s="181">
        <v>0</v>
      </c>
      <c r="AR736" s="181"/>
      <c r="AS736" s="181"/>
      <c r="AT736" s="181"/>
      <c r="AU736" s="181" t="s">
        <v>1783</v>
      </c>
      <c r="AV736" s="181">
        <v>1</v>
      </c>
      <c r="AW736" s="181"/>
      <c r="AX736" s="181"/>
      <c r="AY736" s="181"/>
      <c r="AZ736" s="181"/>
      <c r="BA736" s="182" t="s">
        <v>140</v>
      </c>
      <c r="BB736" s="182" t="s">
        <v>140</v>
      </c>
      <c r="BC736" s="182" t="s">
        <v>140</v>
      </c>
      <c r="BD736" s="182" t="s">
        <v>141</v>
      </c>
      <c r="BE736" s="162" t="s">
        <v>741</v>
      </c>
      <c r="BF736" s="181"/>
      <c r="BG736" s="161"/>
      <c r="BH736" s="161"/>
      <c r="BI736" s="163"/>
      <c r="BJ736" s="163"/>
      <c r="BK736" s="163"/>
      <c r="BL736" s="163"/>
      <c r="BM736" s="163"/>
      <c r="BN736" s="163"/>
      <c r="BO736" s="163"/>
      <c r="BP736" s="163"/>
      <c r="BQ736" s="163"/>
      <c r="BR736" s="161"/>
      <c r="BS736" s="161"/>
      <c r="BT736" s="161"/>
      <c r="BU736" s="161"/>
      <c r="BV736" s="161"/>
      <c r="BW736" s="161"/>
      <c r="BX736" s="161"/>
      <c r="BY736" s="161" t="s">
        <v>14</v>
      </c>
      <c r="BZ736" s="161"/>
      <c r="CA736" s="161"/>
      <c r="CB736" s="163"/>
      <c r="CC736" s="161"/>
      <c r="CD736" s="161"/>
      <c r="CE736" s="185"/>
      <c r="CF736" s="185"/>
    </row>
    <row r="737" spans="1:84" ht="24" hidden="1">
      <c r="A737" s="162">
        <v>56</v>
      </c>
      <c r="B737" s="177" t="s">
        <v>1857</v>
      </c>
      <c r="C737" s="177" t="s">
        <v>1900</v>
      </c>
      <c r="D737" s="177" t="s">
        <v>1901</v>
      </c>
      <c r="E737" s="177"/>
      <c r="F737" s="177"/>
      <c r="G737" s="177" t="s">
        <v>1902</v>
      </c>
      <c r="H737" s="178"/>
      <c r="I737" s="179" t="s">
        <v>1903</v>
      </c>
      <c r="J737" s="160"/>
      <c r="K737" s="180">
        <f t="shared" si="1767"/>
        <v>20</v>
      </c>
      <c r="L737" s="160"/>
      <c r="M737" s="181">
        <v>1.2</v>
      </c>
      <c r="N737" s="181">
        <v>23</v>
      </c>
      <c r="O737" s="181" t="s">
        <v>137</v>
      </c>
      <c r="P737" s="181"/>
      <c r="Q737" s="181"/>
      <c r="R737" s="181"/>
      <c r="S737" s="181"/>
      <c r="T737" s="181"/>
      <c r="U737" s="181"/>
      <c r="V737" s="181"/>
      <c r="W737" s="181">
        <f t="shared" si="1768"/>
        <v>0</v>
      </c>
      <c r="X737" s="181" t="e">
        <f t="shared" si="1769"/>
        <v>#DIV/0!</v>
      </c>
      <c r="Y737" s="181"/>
      <c r="Z737" s="181"/>
      <c r="AA737" s="181"/>
      <c r="AB737" s="181"/>
      <c r="AC737" s="183" t="s">
        <v>1784</v>
      </c>
      <c r="AD737" s="184" t="s">
        <v>1785</v>
      </c>
      <c r="AE737" s="162" t="s">
        <v>143</v>
      </c>
      <c r="AF737" s="181" t="s">
        <v>138</v>
      </c>
      <c r="AG737" s="181">
        <v>0</v>
      </c>
      <c r="AH737" s="181"/>
      <c r="AI737" s="181"/>
      <c r="AJ737" s="181"/>
      <c r="AK737" s="181" t="s">
        <v>138</v>
      </c>
      <c r="AL737" s="181">
        <v>0</v>
      </c>
      <c r="AM737" s="181"/>
      <c r="AN737" s="181"/>
      <c r="AO737" s="181"/>
      <c r="AP737" s="181" t="s">
        <v>138</v>
      </c>
      <c r="AQ737" s="181">
        <v>0</v>
      </c>
      <c r="AR737" s="181"/>
      <c r="AS737" s="181"/>
      <c r="AT737" s="181"/>
      <c r="AU737" s="181" t="s">
        <v>1783</v>
      </c>
      <c r="AV737" s="181">
        <v>20</v>
      </c>
      <c r="AW737" s="181"/>
      <c r="AX737" s="181"/>
      <c r="AY737" s="181"/>
      <c r="AZ737" s="181"/>
      <c r="BA737" s="182" t="s">
        <v>140</v>
      </c>
      <c r="BB737" s="182" t="s">
        <v>140</v>
      </c>
      <c r="BC737" s="182" t="s">
        <v>140</v>
      </c>
      <c r="BD737" s="182" t="s">
        <v>141</v>
      </c>
      <c r="BE737" s="162" t="s">
        <v>741</v>
      </c>
      <c r="BF737" s="181"/>
      <c r="BG737" s="161"/>
      <c r="BH737" s="161"/>
      <c r="BI737" s="163"/>
      <c r="BJ737" s="163"/>
      <c r="BK737" s="163"/>
      <c r="BL737" s="163"/>
      <c r="BM737" s="163"/>
      <c r="BN737" s="163"/>
      <c r="BO737" s="163"/>
      <c r="BP737" s="163"/>
      <c r="BQ737" s="163"/>
      <c r="BR737" s="161"/>
      <c r="BS737" s="161"/>
      <c r="BT737" s="161"/>
      <c r="BU737" s="161"/>
      <c r="BV737" s="161"/>
      <c r="BW737" s="161"/>
      <c r="BX737" s="161"/>
      <c r="BY737" s="161" t="s">
        <v>14</v>
      </c>
      <c r="BZ737" s="161"/>
      <c r="CA737" s="161"/>
      <c r="CB737" s="163"/>
      <c r="CC737" s="161"/>
      <c r="CD737" s="161"/>
      <c r="CE737" s="185"/>
      <c r="CF737" s="185"/>
    </row>
    <row r="738" spans="1:84" ht="24" hidden="1">
      <c r="A738" s="162">
        <v>57</v>
      </c>
      <c r="B738" s="177" t="s">
        <v>1857</v>
      </c>
      <c r="C738" s="177" t="s">
        <v>1904</v>
      </c>
      <c r="D738" s="177" t="s">
        <v>1901</v>
      </c>
      <c r="E738" s="177"/>
      <c r="F738" s="177"/>
      <c r="G738" s="177" t="s">
        <v>1905</v>
      </c>
      <c r="H738" s="178"/>
      <c r="I738" s="179" t="s">
        <v>1903</v>
      </c>
      <c r="J738" s="160"/>
      <c r="K738" s="180">
        <f t="shared" si="1767"/>
        <v>28</v>
      </c>
      <c r="L738" s="160"/>
      <c r="M738" s="181">
        <v>1.5</v>
      </c>
      <c r="N738" s="181">
        <v>42</v>
      </c>
      <c r="O738" s="181" t="s">
        <v>137</v>
      </c>
      <c r="P738" s="181"/>
      <c r="Q738" s="181"/>
      <c r="R738" s="181"/>
      <c r="S738" s="181"/>
      <c r="T738" s="181"/>
      <c r="U738" s="181"/>
      <c r="V738" s="181"/>
      <c r="W738" s="181">
        <f t="shared" si="1768"/>
        <v>0</v>
      </c>
      <c r="X738" s="181" t="e">
        <f t="shared" si="1769"/>
        <v>#DIV/0!</v>
      </c>
      <c r="Y738" s="181"/>
      <c r="Z738" s="181"/>
      <c r="AA738" s="181"/>
      <c r="AB738" s="181"/>
      <c r="AC738" s="183" t="s">
        <v>1784</v>
      </c>
      <c r="AD738" s="184" t="s">
        <v>1785</v>
      </c>
      <c r="AE738" s="162" t="s">
        <v>143</v>
      </c>
      <c r="AF738" s="181" t="s">
        <v>138</v>
      </c>
      <c r="AG738" s="181">
        <v>0</v>
      </c>
      <c r="AH738" s="181"/>
      <c r="AI738" s="181"/>
      <c r="AJ738" s="181"/>
      <c r="AK738" s="181" t="s">
        <v>138</v>
      </c>
      <c r="AL738" s="181">
        <v>0</v>
      </c>
      <c r="AM738" s="181"/>
      <c r="AN738" s="181"/>
      <c r="AO738" s="181"/>
      <c r="AP738" s="181" t="s">
        <v>138</v>
      </c>
      <c r="AQ738" s="181">
        <v>0</v>
      </c>
      <c r="AR738" s="181"/>
      <c r="AS738" s="181"/>
      <c r="AT738" s="181"/>
      <c r="AU738" s="181" t="s">
        <v>1783</v>
      </c>
      <c r="AV738" s="181">
        <v>28</v>
      </c>
      <c r="AW738" s="181"/>
      <c r="AX738" s="181"/>
      <c r="AY738" s="181"/>
      <c r="AZ738" s="181"/>
      <c r="BA738" s="182" t="s">
        <v>140</v>
      </c>
      <c r="BB738" s="182" t="s">
        <v>140</v>
      </c>
      <c r="BC738" s="182" t="s">
        <v>140</v>
      </c>
      <c r="BD738" s="182" t="s">
        <v>141</v>
      </c>
      <c r="BE738" s="162" t="s">
        <v>741</v>
      </c>
      <c r="BF738" s="181"/>
      <c r="BG738" s="161"/>
      <c r="BH738" s="161"/>
      <c r="BI738" s="163"/>
      <c r="BJ738" s="163"/>
      <c r="BK738" s="163"/>
      <c r="BL738" s="163"/>
      <c r="BM738" s="163"/>
      <c r="BN738" s="163"/>
      <c r="BO738" s="163"/>
      <c r="BP738" s="163"/>
      <c r="BQ738" s="163"/>
      <c r="BR738" s="161"/>
      <c r="BS738" s="161"/>
      <c r="BT738" s="161"/>
      <c r="BU738" s="161"/>
      <c r="BV738" s="161"/>
      <c r="BW738" s="161"/>
      <c r="BX738" s="161"/>
      <c r="BY738" s="161" t="s">
        <v>14</v>
      </c>
      <c r="BZ738" s="161"/>
      <c r="CA738" s="161"/>
      <c r="CB738" s="163"/>
      <c r="CC738" s="161"/>
      <c r="CD738" s="161"/>
      <c r="CE738" s="185"/>
      <c r="CF738" s="185"/>
    </row>
    <row r="739" spans="1:84" hidden="1">
      <c r="A739" s="162">
        <v>58</v>
      </c>
      <c r="B739" s="177" t="s">
        <v>1857</v>
      </c>
      <c r="C739" s="177" t="s">
        <v>1906</v>
      </c>
      <c r="D739" s="177" t="s">
        <v>1907</v>
      </c>
      <c r="E739" s="177"/>
      <c r="F739" s="177"/>
      <c r="G739" s="177" t="s">
        <v>1908</v>
      </c>
      <c r="H739" s="178"/>
      <c r="I739" s="179" t="s">
        <v>1909</v>
      </c>
      <c r="J739" s="160"/>
      <c r="K739" s="180">
        <f t="shared" si="1767"/>
        <v>16</v>
      </c>
      <c r="L739" s="160"/>
      <c r="M739" s="181">
        <v>0.1</v>
      </c>
      <c r="N739" s="181">
        <v>2</v>
      </c>
      <c r="O739" s="181" t="s">
        <v>137</v>
      </c>
      <c r="P739" s="181"/>
      <c r="Q739" s="181"/>
      <c r="R739" s="181"/>
      <c r="S739" s="181"/>
      <c r="T739" s="181"/>
      <c r="U739" s="181"/>
      <c r="V739" s="181"/>
      <c r="W739" s="181">
        <f t="shared" si="1768"/>
        <v>0</v>
      </c>
      <c r="X739" s="181" t="e">
        <f t="shared" si="1769"/>
        <v>#DIV/0!</v>
      </c>
      <c r="Y739" s="181"/>
      <c r="Z739" s="181"/>
      <c r="AA739" s="181"/>
      <c r="AB739" s="181"/>
      <c r="AC739" s="183" t="s">
        <v>1784</v>
      </c>
      <c r="AD739" s="184" t="s">
        <v>1785</v>
      </c>
      <c r="AE739" s="162" t="s">
        <v>143</v>
      </c>
      <c r="AF739" s="181" t="s">
        <v>138</v>
      </c>
      <c r="AG739" s="181">
        <v>0</v>
      </c>
      <c r="AH739" s="181"/>
      <c r="AI739" s="181"/>
      <c r="AJ739" s="181"/>
      <c r="AK739" s="181" t="s">
        <v>138</v>
      </c>
      <c r="AL739" s="181">
        <v>0</v>
      </c>
      <c r="AM739" s="181"/>
      <c r="AN739" s="181"/>
      <c r="AO739" s="181"/>
      <c r="AP739" s="181" t="s">
        <v>138</v>
      </c>
      <c r="AQ739" s="181">
        <v>0</v>
      </c>
      <c r="AR739" s="181"/>
      <c r="AS739" s="181"/>
      <c r="AT739" s="181"/>
      <c r="AU739" s="181" t="s">
        <v>1783</v>
      </c>
      <c r="AV739" s="181">
        <v>16</v>
      </c>
      <c r="AW739" s="181"/>
      <c r="AX739" s="181"/>
      <c r="AY739" s="181"/>
      <c r="AZ739" s="181"/>
      <c r="BA739" s="182" t="s">
        <v>140</v>
      </c>
      <c r="BB739" s="182" t="s">
        <v>140</v>
      </c>
      <c r="BC739" s="182" t="s">
        <v>140</v>
      </c>
      <c r="BD739" s="182" t="s">
        <v>141</v>
      </c>
      <c r="BE739" s="162" t="s">
        <v>741</v>
      </c>
      <c r="BF739" s="181"/>
      <c r="BG739" s="161"/>
      <c r="BH739" s="161"/>
      <c r="BI739" s="163"/>
      <c r="BJ739" s="163"/>
      <c r="BK739" s="163"/>
      <c r="BL739" s="163"/>
      <c r="BM739" s="163"/>
      <c r="BN739" s="163"/>
      <c r="BO739" s="163"/>
      <c r="BP739" s="163"/>
      <c r="BQ739" s="163"/>
      <c r="BR739" s="161"/>
      <c r="BS739" s="161"/>
      <c r="BT739" s="161"/>
      <c r="BU739" s="161"/>
      <c r="BV739" s="161"/>
      <c r="BW739" s="161"/>
      <c r="BX739" s="161"/>
      <c r="BY739" s="161" t="s">
        <v>14</v>
      </c>
      <c r="BZ739" s="161"/>
      <c r="CA739" s="161"/>
      <c r="CB739" s="163"/>
      <c r="CC739" s="161"/>
      <c r="CD739" s="161"/>
      <c r="CE739" s="185"/>
      <c r="CF739" s="185"/>
    </row>
    <row r="740" spans="1:84" ht="24" hidden="1">
      <c r="A740" s="162">
        <v>59</v>
      </c>
      <c r="B740" s="177" t="s">
        <v>1857</v>
      </c>
      <c r="C740" s="177" t="s">
        <v>1910</v>
      </c>
      <c r="D740" s="177" t="s">
        <v>1907</v>
      </c>
      <c r="E740" s="177"/>
      <c r="F740" s="177"/>
      <c r="G740" s="177" t="s">
        <v>1911</v>
      </c>
      <c r="H740" s="178"/>
      <c r="I740" s="179" t="s">
        <v>1912</v>
      </c>
      <c r="J740" s="160"/>
      <c r="K740" s="180">
        <f t="shared" si="1767"/>
        <v>52</v>
      </c>
      <c r="L740" s="160"/>
      <c r="M740" s="181">
        <v>0.3</v>
      </c>
      <c r="N740" s="181">
        <v>13</v>
      </c>
      <c r="O740" s="181" t="s">
        <v>137</v>
      </c>
      <c r="P740" s="181"/>
      <c r="Q740" s="181"/>
      <c r="R740" s="181"/>
      <c r="S740" s="181"/>
      <c r="T740" s="181"/>
      <c r="U740" s="181"/>
      <c r="V740" s="181"/>
      <c r="W740" s="181">
        <f t="shared" si="1768"/>
        <v>0</v>
      </c>
      <c r="X740" s="181" t="e">
        <f t="shared" si="1769"/>
        <v>#DIV/0!</v>
      </c>
      <c r="Y740" s="181"/>
      <c r="Z740" s="181"/>
      <c r="AA740" s="181"/>
      <c r="AB740" s="181"/>
      <c r="AC740" s="183" t="s">
        <v>1784</v>
      </c>
      <c r="AD740" s="184" t="s">
        <v>1785</v>
      </c>
      <c r="AE740" s="162" t="s">
        <v>143</v>
      </c>
      <c r="AF740" s="181" t="s">
        <v>138</v>
      </c>
      <c r="AG740" s="181">
        <v>0</v>
      </c>
      <c r="AH740" s="181"/>
      <c r="AI740" s="181"/>
      <c r="AJ740" s="181"/>
      <c r="AK740" s="181" t="s">
        <v>138</v>
      </c>
      <c r="AL740" s="181">
        <v>0</v>
      </c>
      <c r="AM740" s="181"/>
      <c r="AN740" s="181"/>
      <c r="AO740" s="181"/>
      <c r="AP740" s="181" t="s">
        <v>138</v>
      </c>
      <c r="AQ740" s="181">
        <v>0</v>
      </c>
      <c r="AR740" s="181"/>
      <c r="AS740" s="181"/>
      <c r="AT740" s="181"/>
      <c r="AU740" s="181" t="s">
        <v>1783</v>
      </c>
      <c r="AV740" s="181">
        <v>52</v>
      </c>
      <c r="AW740" s="181"/>
      <c r="AX740" s="181"/>
      <c r="AY740" s="181"/>
      <c r="AZ740" s="181"/>
      <c r="BA740" s="182" t="s">
        <v>140</v>
      </c>
      <c r="BB740" s="182" t="s">
        <v>140</v>
      </c>
      <c r="BC740" s="182" t="s">
        <v>140</v>
      </c>
      <c r="BD740" s="182" t="s">
        <v>141</v>
      </c>
      <c r="BE740" s="162" t="s">
        <v>741</v>
      </c>
      <c r="BF740" s="181"/>
      <c r="BG740" s="161"/>
      <c r="BH740" s="161"/>
      <c r="BI740" s="163"/>
      <c r="BJ740" s="163"/>
      <c r="BK740" s="163"/>
      <c r="BL740" s="163"/>
      <c r="BM740" s="163"/>
      <c r="BN740" s="163"/>
      <c r="BO740" s="163"/>
      <c r="BP740" s="163"/>
      <c r="BQ740" s="163"/>
      <c r="BR740" s="161"/>
      <c r="BS740" s="161"/>
      <c r="BT740" s="161"/>
      <c r="BU740" s="161"/>
      <c r="BV740" s="161"/>
      <c r="BW740" s="161"/>
      <c r="BX740" s="161"/>
      <c r="BY740" s="161" t="s">
        <v>14</v>
      </c>
      <c r="BZ740" s="161"/>
      <c r="CA740" s="161"/>
      <c r="CB740" s="163"/>
      <c r="CC740" s="161"/>
      <c r="CD740" s="161"/>
      <c r="CE740" s="185"/>
      <c r="CF740" s="185"/>
    </row>
    <row r="741" spans="1:84" hidden="1">
      <c r="A741" s="162">
        <v>60</v>
      </c>
      <c r="B741" s="177" t="s">
        <v>1857</v>
      </c>
      <c r="C741" s="177" t="s">
        <v>1913</v>
      </c>
      <c r="D741" s="177" t="s">
        <v>1907</v>
      </c>
      <c r="E741" s="177"/>
      <c r="F741" s="177"/>
      <c r="G741" s="177" t="s">
        <v>1914</v>
      </c>
      <c r="H741" s="178"/>
      <c r="I741" s="179" t="s">
        <v>1909</v>
      </c>
      <c r="J741" s="160"/>
      <c r="K741" s="180">
        <f t="shared" si="1767"/>
        <v>3</v>
      </c>
      <c r="L741" s="160"/>
      <c r="M741" s="181">
        <v>0.1</v>
      </c>
      <c r="N741" s="181">
        <v>0.3</v>
      </c>
      <c r="O741" s="181" t="s">
        <v>137</v>
      </c>
      <c r="P741" s="181"/>
      <c r="Q741" s="181"/>
      <c r="R741" s="181"/>
      <c r="S741" s="181"/>
      <c r="T741" s="181"/>
      <c r="U741" s="181"/>
      <c r="V741" s="181"/>
      <c r="W741" s="181">
        <f t="shared" si="1768"/>
        <v>0</v>
      </c>
      <c r="X741" s="181" t="e">
        <f t="shared" si="1769"/>
        <v>#DIV/0!</v>
      </c>
      <c r="Y741" s="181"/>
      <c r="Z741" s="181"/>
      <c r="AA741" s="181"/>
      <c r="AB741" s="181"/>
      <c r="AC741" s="183" t="s">
        <v>1784</v>
      </c>
      <c r="AD741" s="184" t="s">
        <v>1785</v>
      </c>
      <c r="AE741" s="162" t="s">
        <v>143</v>
      </c>
      <c r="AF741" s="181" t="s">
        <v>138</v>
      </c>
      <c r="AG741" s="181">
        <v>0</v>
      </c>
      <c r="AH741" s="181"/>
      <c r="AI741" s="181"/>
      <c r="AJ741" s="181"/>
      <c r="AK741" s="181" t="s">
        <v>138</v>
      </c>
      <c r="AL741" s="181">
        <v>0</v>
      </c>
      <c r="AM741" s="181"/>
      <c r="AN741" s="181"/>
      <c r="AO741" s="181"/>
      <c r="AP741" s="181" t="s">
        <v>138</v>
      </c>
      <c r="AQ741" s="181">
        <v>0</v>
      </c>
      <c r="AR741" s="181"/>
      <c r="AS741" s="181"/>
      <c r="AT741" s="181"/>
      <c r="AU741" s="181" t="s">
        <v>1783</v>
      </c>
      <c r="AV741" s="181">
        <v>3</v>
      </c>
      <c r="AW741" s="181"/>
      <c r="AX741" s="181"/>
      <c r="AY741" s="181"/>
      <c r="AZ741" s="181"/>
      <c r="BA741" s="182" t="s">
        <v>140</v>
      </c>
      <c r="BB741" s="182" t="s">
        <v>140</v>
      </c>
      <c r="BC741" s="182" t="s">
        <v>140</v>
      </c>
      <c r="BD741" s="182" t="s">
        <v>141</v>
      </c>
      <c r="BE741" s="162" t="s">
        <v>741</v>
      </c>
      <c r="BF741" s="181"/>
      <c r="BG741" s="161"/>
      <c r="BH741" s="161"/>
      <c r="BI741" s="163"/>
      <c r="BJ741" s="163"/>
      <c r="BK741" s="163"/>
      <c r="BL741" s="163"/>
      <c r="BM741" s="163"/>
      <c r="BN741" s="163"/>
      <c r="BO741" s="163"/>
      <c r="BP741" s="163"/>
      <c r="BQ741" s="163"/>
      <c r="BR741" s="161"/>
      <c r="BS741" s="161"/>
      <c r="BT741" s="161"/>
      <c r="BU741" s="161"/>
      <c r="BV741" s="161"/>
      <c r="BW741" s="161"/>
      <c r="BX741" s="161"/>
      <c r="BY741" s="161" t="s">
        <v>14</v>
      </c>
      <c r="BZ741" s="161"/>
      <c r="CA741" s="161"/>
      <c r="CB741" s="163"/>
      <c r="CC741" s="161"/>
      <c r="CD741" s="161"/>
      <c r="CE741" s="185"/>
      <c r="CF741" s="185"/>
    </row>
    <row r="742" spans="1:84" hidden="1">
      <c r="A742" s="162">
        <v>61</v>
      </c>
      <c r="B742" s="177" t="s">
        <v>1857</v>
      </c>
      <c r="C742" s="177" t="s">
        <v>1915</v>
      </c>
      <c r="D742" s="177" t="s">
        <v>1073</v>
      </c>
      <c r="E742" s="177"/>
      <c r="F742" s="177"/>
      <c r="G742" s="177" t="s">
        <v>1914</v>
      </c>
      <c r="H742" s="178"/>
      <c r="I742" s="179" t="s">
        <v>1916</v>
      </c>
      <c r="J742" s="160"/>
      <c r="K742" s="180">
        <f t="shared" si="1767"/>
        <v>2</v>
      </c>
      <c r="L742" s="160"/>
      <c r="M742" s="181">
        <v>0.1</v>
      </c>
      <c r="N742" s="181">
        <v>0.2</v>
      </c>
      <c r="O742" s="181" t="s">
        <v>137</v>
      </c>
      <c r="P742" s="181"/>
      <c r="Q742" s="181"/>
      <c r="R742" s="181"/>
      <c r="S742" s="181"/>
      <c r="T742" s="181"/>
      <c r="U742" s="181"/>
      <c r="V742" s="181"/>
      <c r="W742" s="181">
        <f t="shared" si="1768"/>
        <v>0</v>
      </c>
      <c r="X742" s="181" t="e">
        <f t="shared" si="1769"/>
        <v>#DIV/0!</v>
      </c>
      <c r="Y742" s="181"/>
      <c r="Z742" s="181"/>
      <c r="AA742" s="181"/>
      <c r="AB742" s="181"/>
      <c r="AC742" s="183" t="s">
        <v>1784</v>
      </c>
      <c r="AD742" s="184" t="s">
        <v>1785</v>
      </c>
      <c r="AE742" s="162" t="s">
        <v>143</v>
      </c>
      <c r="AF742" s="181" t="s">
        <v>138</v>
      </c>
      <c r="AG742" s="181">
        <v>0</v>
      </c>
      <c r="AH742" s="181"/>
      <c r="AI742" s="181"/>
      <c r="AJ742" s="181"/>
      <c r="AK742" s="181" t="s">
        <v>138</v>
      </c>
      <c r="AL742" s="181">
        <v>0</v>
      </c>
      <c r="AM742" s="181"/>
      <c r="AN742" s="181"/>
      <c r="AO742" s="181"/>
      <c r="AP742" s="181" t="s">
        <v>138</v>
      </c>
      <c r="AQ742" s="181">
        <v>0</v>
      </c>
      <c r="AR742" s="181"/>
      <c r="AS742" s="181"/>
      <c r="AT742" s="181"/>
      <c r="AU742" s="181" t="s">
        <v>1783</v>
      </c>
      <c r="AV742" s="181">
        <v>2</v>
      </c>
      <c r="AW742" s="181"/>
      <c r="AX742" s="181"/>
      <c r="AY742" s="181"/>
      <c r="AZ742" s="181"/>
      <c r="BA742" s="182" t="s">
        <v>140</v>
      </c>
      <c r="BB742" s="182" t="s">
        <v>140</v>
      </c>
      <c r="BC742" s="182" t="s">
        <v>140</v>
      </c>
      <c r="BD742" s="182" t="s">
        <v>141</v>
      </c>
      <c r="BE742" s="162" t="s">
        <v>741</v>
      </c>
      <c r="BF742" s="181"/>
      <c r="BG742" s="161"/>
      <c r="BH742" s="161"/>
      <c r="BI742" s="163"/>
      <c r="BJ742" s="163"/>
      <c r="BK742" s="163"/>
      <c r="BL742" s="163"/>
      <c r="BM742" s="163"/>
      <c r="BN742" s="163"/>
      <c r="BO742" s="163"/>
      <c r="BP742" s="163"/>
      <c r="BQ742" s="163"/>
      <c r="BR742" s="161"/>
      <c r="BS742" s="161"/>
      <c r="BT742" s="161"/>
      <c r="BU742" s="161"/>
      <c r="BV742" s="161"/>
      <c r="BW742" s="161"/>
      <c r="BX742" s="161"/>
      <c r="BY742" s="161" t="s">
        <v>14</v>
      </c>
      <c r="BZ742" s="161"/>
      <c r="CA742" s="161"/>
      <c r="CB742" s="163"/>
      <c r="CC742" s="161"/>
      <c r="CD742" s="161"/>
      <c r="CE742" s="185"/>
      <c r="CF742" s="185"/>
    </row>
    <row r="743" spans="1:84" hidden="1">
      <c r="A743" s="162">
        <v>62</v>
      </c>
      <c r="B743" s="177" t="s">
        <v>1857</v>
      </c>
      <c r="C743" s="177" t="s">
        <v>1917</v>
      </c>
      <c r="D743" s="177" t="s">
        <v>1073</v>
      </c>
      <c r="E743" s="177"/>
      <c r="F743" s="177"/>
      <c r="G743" s="177" t="s">
        <v>1908</v>
      </c>
      <c r="H743" s="178"/>
      <c r="I743" s="179" t="s">
        <v>1916</v>
      </c>
      <c r="J743" s="160"/>
      <c r="K743" s="180">
        <f t="shared" si="1767"/>
        <v>22</v>
      </c>
      <c r="L743" s="160"/>
      <c r="M743" s="181">
        <v>3.3333333333333333E-2</v>
      </c>
      <c r="N743" s="181">
        <v>0.73333333333333328</v>
      </c>
      <c r="O743" s="181" t="s">
        <v>137</v>
      </c>
      <c r="P743" s="181"/>
      <c r="Q743" s="181"/>
      <c r="R743" s="181"/>
      <c r="S743" s="181"/>
      <c r="T743" s="181"/>
      <c r="U743" s="181"/>
      <c r="V743" s="181"/>
      <c r="W743" s="181">
        <f t="shared" si="1768"/>
        <v>0</v>
      </c>
      <c r="X743" s="181" t="e">
        <f t="shared" si="1769"/>
        <v>#DIV/0!</v>
      </c>
      <c r="Y743" s="181"/>
      <c r="Z743" s="181"/>
      <c r="AA743" s="181"/>
      <c r="AB743" s="181"/>
      <c r="AC743" s="183" t="s">
        <v>1784</v>
      </c>
      <c r="AD743" s="184" t="s">
        <v>1785</v>
      </c>
      <c r="AE743" s="162" t="s">
        <v>143</v>
      </c>
      <c r="AF743" s="181" t="s">
        <v>138</v>
      </c>
      <c r="AG743" s="181">
        <v>0</v>
      </c>
      <c r="AH743" s="181"/>
      <c r="AI743" s="181"/>
      <c r="AJ743" s="181"/>
      <c r="AK743" s="181" t="s">
        <v>138</v>
      </c>
      <c r="AL743" s="181">
        <v>0</v>
      </c>
      <c r="AM743" s="181"/>
      <c r="AN743" s="181"/>
      <c r="AO743" s="181"/>
      <c r="AP743" s="181" t="s">
        <v>138</v>
      </c>
      <c r="AQ743" s="181">
        <v>0</v>
      </c>
      <c r="AR743" s="181"/>
      <c r="AS743" s="181"/>
      <c r="AT743" s="181"/>
      <c r="AU743" s="181" t="s">
        <v>1783</v>
      </c>
      <c r="AV743" s="181">
        <v>22</v>
      </c>
      <c r="AW743" s="181"/>
      <c r="AX743" s="181"/>
      <c r="AY743" s="181"/>
      <c r="AZ743" s="181"/>
      <c r="BA743" s="182" t="s">
        <v>140</v>
      </c>
      <c r="BB743" s="182" t="s">
        <v>140</v>
      </c>
      <c r="BC743" s="182" t="s">
        <v>140</v>
      </c>
      <c r="BD743" s="182" t="s">
        <v>141</v>
      </c>
      <c r="BE743" s="162" t="s">
        <v>741</v>
      </c>
      <c r="BF743" s="181"/>
      <c r="BG743" s="161"/>
      <c r="BH743" s="161"/>
      <c r="BI743" s="163"/>
      <c r="BJ743" s="163"/>
      <c r="BK743" s="163"/>
      <c r="BL743" s="163"/>
      <c r="BM743" s="163"/>
      <c r="BN743" s="163"/>
      <c r="BO743" s="163"/>
      <c r="BP743" s="163"/>
      <c r="BQ743" s="163"/>
      <c r="BR743" s="161"/>
      <c r="BS743" s="161"/>
      <c r="BT743" s="161"/>
      <c r="BU743" s="161"/>
      <c r="BV743" s="161"/>
      <c r="BW743" s="161"/>
      <c r="BX743" s="161"/>
      <c r="BY743" s="161" t="s">
        <v>14</v>
      </c>
      <c r="BZ743" s="161"/>
      <c r="CA743" s="161"/>
      <c r="CB743" s="163"/>
      <c r="CC743" s="161"/>
      <c r="CD743" s="161"/>
      <c r="CE743" s="185"/>
      <c r="CF743" s="185"/>
    </row>
    <row r="744" spans="1:84" hidden="1">
      <c r="A744" s="162">
        <v>63</v>
      </c>
      <c r="B744" s="177" t="s">
        <v>1857</v>
      </c>
      <c r="C744" s="177" t="s">
        <v>1918</v>
      </c>
      <c r="D744" s="177" t="s">
        <v>1073</v>
      </c>
      <c r="E744" s="177"/>
      <c r="F744" s="177"/>
      <c r="G744" s="177" t="s">
        <v>1911</v>
      </c>
      <c r="H744" s="178"/>
      <c r="I744" s="179" t="s">
        <v>1916</v>
      </c>
      <c r="J744" s="160"/>
      <c r="K744" s="180">
        <f t="shared" si="1767"/>
        <v>96</v>
      </c>
      <c r="L744" s="160"/>
      <c r="M744" s="181">
        <v>0.1</v>
      </c>
      <c r="N744" s="181">
        <v>5</v>
      </c>
      <c r="O744" s="181" t="s">
        <v>137</v>
      </c>
      <c r="P744" s="181"/>
      <c r="Q744" s="181"/>
      <c r="R744" s="181"/>
      <c r="S744" s="181"/>
      <c r="T744" s="181"/>
      <c r="U744" s="181"/>
      <c r="V744" s="181"/>
      <c r="W744" s="181">
        <f t="shared" si="1768"/>
        <v>0</v>
      </c>
      <c r="X744" s="181" t="e">
        <f t="shared" si="1769"/>
        <v>#DIV/0!</v>
      </c>
      <c r="Y744" s="181"/>
      <c r="Z744" s="181"/>
      <c r="AA744" s="181"/>
      <c r="AB744" s="181"/>
      <c r="AC744" s="183" t="s">
        <v>1784</v>
      </c>
      <c r="AD744" s="184" t="s">
        <v>1785</v>
      </c>
      <c r="AE744" s="162" t="s">
        <v>143</v>
      </c>
      <c r="AF744" s="181" t="s">
        <v>138</v>
      </c>
      <c r="AG744" s="181">
        <v>0</v>
      </c>
      <c r="AH744" s="181"/>
      <c r="AI744" s="181"/>
      <c r="AJ744" s="181"/>
      <c r="AK744" s="181" t="s">
        <v>138</v>
      </c>
      <c r="AL744" s="181">
        <v>0</v>
      </c>
      <c r="AM744" s="181"/>
      <c r="AN744" s="181"/>
      <c r="AO744" s="181"/>
      <c r="AP744" s="181" t="s">
        <v>138</v>
      </c>
      <c r="AQ744" s="181">
        <v>0</v>
      </c>
      <c r="AR744" s="181"/>
      <c r="AS744" s="181"/>
      <c r="AT744" s="181"/>
      <c r="AU744" s="181" t="s">
        <v>1783</v>
      </c>
      <c r="AV744" s="181">
        <v>96</v>
      </c>
      <c r="AW744" s="181"/>
      <c r="AX744" s="181"/>
      <c r="AY744" s="181"/>
      <c r="AZ744" s="181"/>
      <c r="BA744" s="182" t="s">
        <v>140</v>
      </c>
      <c r="BB744" s="182" t="s">
        <v>140</v>
      </c>
      <c r="BC744" s="182" t="s">
        <v>140</v>
      </c>
      <c r="BD744" s="182" t="s">
        <v>141</v>
      </c>
      <c r="BE744" s="162" t="s">
        <v>741</v>
      </c>
      <c r="BF744" s="181"/>
      <c r="BG744" s="161"/>
      <c r="BH744" s="161"/>
      <c r="BI744" s="163"/>
      <c r="BJ744" s="163"/>
      <c r="BK744" s="163"/>
      <c r="BL744" s="163"/>
      <c r="BM744" s="163"/>
      <c r="BN744" s="163"/>
      <c r="BO744" s="163"/>
      <c r="BP744" s="163"/>
      <c r="BQ744" s="163"/>
      <c r="BR744" s="161"/>
      <c r="BS744" s="161"/>
      <c r="BT744" s="161"/>
      <c r="BU744" s="161"/>
      <c r="BV744" s="161"/>
      <c r="BW744" s="161"/>
      <c r="BX744" s="161"/>
      <c r="BY744" s="161" t="s">
        <v>14</v>
      </c>
      <c r="BZ744" s="161"/>
      <c r="CA744" s="161"/>
      <c r="CB744" s="163"/>
      <c r="CC744" s="161"/>
      <c r="CD744" s="161"/>
      <c r="CE744" s="185"/>
      <c r="CF744" s="185"/>
    </row>
  </sheetData>
  <autoFilter ref="A9:CF744" xr:uid="{74CA1F72-2CC8-4DDE-A828-AD23E50C817B}">
    <filterColumn colId="4">
      <filters>
        <filter val="M2"/>
      </filters>
    </filterColumn>
  </autoFilter>
  <mergeCells count="4">
    <mergeCell ref="BG6:BQ6"/>
    <mergeCell ref="BR6:BX6"/>
    <mergeCell ref="BZ6:CF6"/>
    <mergeCell ref="E8:F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CA99-CDCD-49A1-8069-8F5F745EC139}">
  <dimension ref="A1:AP58"/>
  <sheetViews>
    <sheetView topLeftCell="D7" zoomScale="70" zoomScaleNormal="70" workbookViewId="0">
      <selection activeCell="Q63" sqref="Q63"/>
    </sheetView>
  </sheetViews>
  <sheetFormatPr defaultRowHeight="15.75"/>
  <cols>
    <col min="1" max="1" width="5" customWidth="1"/>
    <col min="2" max="2" width="22.5" customWidth="1"/>
    <col min="3" max="3" width="18.125" customWidth="1"/>
    <col min="4" max="4" width="22.5" customWidth="1"/>
    <col min="5" max="5" width="18.125" customWidth="1"/>
    <col min="6" max="6" width="19.75" customWidth="1"/>
    <col min="7" max="7" width="22.5" customWidth="1"/>
    <col min="8" max="8" width="9.375" customWidth="1"/>
    <col min="9" max="9" width="18.5" customWidth="1"/>
    <col min="10" max="12" width="7.625" customWidth="1"/>
    <col min="13" max="13" width="11.125" customWidth="1"/>
    <col min="14" max="17" width="10.75" customWidth="1"/>
    <col min="18" max="18" width="9.125" customWidth="1"/>
    <col min="19" max="20" width="13.75" customWidth="1"/>
    <col min="21" max="22" width="11.125" customWidth="1"/>
    <col min="23" max="23" width="22" customWidth="1"/>
    <col min="24" max="25" width="7.625" customWidth="1"/>
    <col min="26" max="26" width="13.75" customWidth="1"/>
    <col min="27" max="30" width="9.375" customWidth="1"/>
    <col min="31" max="32" width="11.125" customWidth="1"/>
    <col min="33" max="33" width="9.375" customWidth="1"/>
    <col min="34" max="34" width="13.375" bestFit="1" customWidth="1"/>
    <col min="35" max="35" width="18.125" customWidth="1"/>
    <col min="36" max="36" width="9.375" customWidth="1"/>
    <col min="37" max="37" width="13.625" customWidth="1"/>
    <col min="38" max="38" width="9.375" customWidth="1"/>
    <col min="39" max="39" width="18.125" customWidth="1"/>
    <col min="40" max="40" width="9.375" customWidth="1"/>
    <col min="41" max="41" width="15.875" customWidth="1"/>
    <col min="42" max="42" width="9.375" customWidth="1"/>
  </cols>
  <sheetData>
    <row r="1" spans="1:42" ht="24.75" thickTop="1">
      <c r="A1" s="239" t="s">
        <v>55</v>
      </c>
      <c r="B1" s="111"/>
      <c r="C1" s="111"/>
      <c r="D1" s="240"/>
      <c r="E1" s="240"/>
      <c r="F1" s="240"/>
      <c r="G1" s="240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244" t="s">
        <v>2264</v>
      </c>
      <c r="AM1" s="111"/>
      <c r="AN1" s="111"/>
      <c r="AO1" s="111"/>
      <c r="AP1" s="244" t="s">
        <v>2264</v>
      </c>
    </row>
    <row r="2" spans="1:42">
      <c r="A2" s="114" t="s">
        <v>2254</v>
      </c>
      <c r="B2" s="112"/>
      <c r="C2" s="113"/>
      <c r="D2" s="115"/>
      <c r="E2" s="116"/>
      <c r="F2" s="116"/>
      <c r="G2" s="116"/>
      <c r="H2" s="113"/>
      <c r="I2" s="113"/>
      <c r="J2" s="112"/>
      <c r="K2" s="112"/>
      <c r="L2" s="112"/>
      <c r="M2" s="112"/>
      <c r="N2" s="113"/>
      <c r="O2" s="113"/>
      <c r="P2" s="113"/>
      <c r="Q2" s="113"/>
      <c r="R2" s="112"/>
      <c r="S2" s="113"/>
      <c r="T2" s="113"/>
      <c r="U2" s="112"/>
      <c r="V2" s="112"/>
      <c r="W2" s="112"/>
      <c r="X2" s="112"/>
      <c r="Y2" s="113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245"/>
      <c r="AM2" s="112"/>
      <c r="AN2" s="112"/>
      <c r="AO2" s="112"/>
      <c r="AP2" s="245"/>
    </row>
    <row r="3" spans="1:42">
      <c r="A3" s="114" t="s">
        <v>2255</v>
      </c>
      <c r="B3" s="112"/>
      <c r="C3" s="112"/>
      <c r="D3" s="241"/>
      <c r="E3" s="116"/>
      <c r="F3" s="116"/>
      <c r="G3" s="116"/>
      <c r="H3" s="113"/>
      <c r="I3" s="113"/>
      <c r="J3" s="112"/>
      <c r="K3" s="112"/>
      <c r="L3" s="112"/>
      <c r="M3" s="112"/>
      <c r="N3" s="113"/>
      <c r="O3" s="113"/>
      <c r="P3" s="113"/>
      <c r="Q3" s="113"/>
      <c r="R3" s="112"/>
      <c r="S3" s="113"/>
      <c r="T3" s="113"/>
      <c r="U3" s="112"/>
      <c r="V3" s="112"/>
      <c r="W3" s="112"/>
      <c r="X3" s="112"/>
      <c r="Y3" s="113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2"/>
    </row>
    <row r="4" spans="1:42">
      <c r="A4" s="114" t="s">
        <v>59</v>
      </c>
      <c r="B4" s="112"/>
      <c r="C4" s="112"/>
      <c r="D4" s="115"/>
      <c r="E4" s="116"/>
      <c r="F4" s="116"/>
      <c r="G4" s="116"/>
      <c r="H4" s="113"/>
      <c r="I4" s="113"/>
      <c r="J4" s="112"/>
      <c r="K4" s="112"/>
      <c r="L4" s="112"/>
      <c r="M4" s="112"/>
      <c r="N4" s="113"/>
      <c r="O4" s="113"/>
      <c r="P4" s="113"/>
      <c r="Q4" s="113"/>
      <c r="R4" s="112"/>
      <c r="S4" s="113"/>
      <c r="T4" s="113"/>
      <c r="U4" s="112"/>
      <c r="V4" s="112"/>
      <c r="W4" s="112"/>
      <c r="X4" s="112"/>
      <c r="Y4" s="113"/>
      <c r="Z4" s="112"/>
      <c r="AA4" s="112"/>
      <c r="AB4" s="112"/>
      <c r="AC4" s="112"/>
      <c r="AD4" s="112"/>
      <c r="AE4" s="112"/>
      <c r="AF4" s="112"/>
      <c r="AG4" s="112"/>
      <c r="AH4" s="112"/>
      <c r="AI4" s="117" t="s">
        <v>57</v>
      </c>
      <c r="AJ4" s="112"/>
      <c r="AK4" s="112"/>
      <c r="AL4" s="246" t="s">
        <v>2265</v>
      </c>
      <c r="AM4" s="112"/>
      <c r="AN4" s="112"/>
      <c r="AO4" s="112"/>
      <c r="AP4" s="246" t="s">
        <v>2265</v>
      </c>
    </row>
    <row r="5" spans="1:42">
      <c r="A5" s="114" t="s">
        <v>2256</v>
      </c>
      <c r="B5" s="112"/>
      <c r="C5" s="112"/>
      <c r="D5" s="115"/>
      <c r="E5" s="116"/>
      <c r="F5" s="116"/>
      <c r="G5" s="116"/>
      <c r="H5" s="113"/>
      <c r="I5" s="113"/>
      <c r="J5" s="112"/>
      <c r="K5" s="112"/>
      <c r="L5" s="112"/>
      <c r="M5" s="112"/>
      <c r="N5" s="118"/>
      <c r="O5" s="118"/>
      <c r="P5" s="118"/>
      <c r="Q5" s="118"/>
      <c r="R5" s="116"/>
      <c r="S5" s="118"/>
      <c r="T5" s="118"/>
      <c r="U5" s="116"/>
      <c r="V5" s="116"/>
      <c r="W5" s="112"/>
      <c r="X5" s="118"/>
      <c r="Y5" s="118"/>
      <c r="Z5" s="116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21"/>
      <c r="AL5" s="247">
        <v>2</v>
      </c>
      <c r="AM5" s="118"/>
      <c r="AN5" s="118"/>
      <c r="AO5" s="118"/>
      <c r="AP5" s="247">
        <v>2</v>
      </c>
    </row>
    <row r="6" spans="1:42">
      <c r="A6" s="114" t="s">
        <v>2257</v>
      </c>
      <c r="B6" s="112"/>
      <c r="C6" s="112"/>
      <c r="D6" s="115"/>
      <c r="E6" s="122"/>
      <c r="F6" s="122"/>
      <c r="G6" s="122"/>
      <c r="H6" s="113"/>
      <c r="I6" s="123" t="s">
        <v>2258</v>
      </c>
      <c r="J6" s="112"/>
      <c r="K6" s="112"/>
      <c r="L6" s="112"/>
      <c r="M6" s="124"/>
      <c r="N6" s="118"/>
      <c r="O6" s="118"/>
      <c r="P6" s="118"/>
      <c r="Q6" s="118"/>
      <c r="R6" s="116"/>
      <c r="S6" s="118"/>
      <c r="T6" s="118"/>
      <c r="U6" s="116"/>
      <c r="V6" s="116"/>
      <c r="W6" s="174" t="s">
        <v>2259</v>
      </c>
      <c r="X6" s="118"/>
      <c r="Y6" s="118"/>
      <c r="Z6" s="116"/>
      <c r="AA6" s="248" t="s">
        <v>63</v>
      </c>
      <c r="AB6" s="249"/>
      <c r="AC6" s="249"/>
      <c r="AD6" s="249"/>
      <c r="AE6" s="249"/>
      <c r="AF6" s="249"/>
      <c r="AG6" s="250"/>
      <c r="AH6" s="126" t="s">
        <v>64</v>
      </c>
      <c r="AI6" s="249"/>
      <c r="AJ6" s="249"/>
      <c r="AK6" s="249"/>
      <c r="AL6" s="249"/>
      <c r="AM6" s="249"/>
      <c r="AN6" s="249"/>
      <c r="AO6" s="249"/>
      <c r="AP6" s="250"/>
    </row>
    <row r="7" spans="1:42">
      <c r="A7" s="127" t="s">
        <v>66</v>
      </c>
      <c r="B7" s="127" t="s">
        <v>66</v>
      </c>
      <c r="C7" s="127" t="s">
        <v>66</v>
      </c>
      <c r="D7" s="127" t="s">
        <v>66</v>
      </c>
      <c r="E7" s="242" t="s">
        <v>66</v>
      </c>
      <c r="F7" s="243"/>
      <c r="G7" s="127" t="s">
        <v>66</v>
      </c>
      <c r="H7" s="127" t="s">
        <v>66</v>
      </c>
      <c r="I7" s="127" t="s">
        <v>66</v>
      </c>
      <c r="J7" s="127" t="s">
        <v>66</v>
      </c>
      <c r="K7" s="127" t="s">
        <v>66</v>
      </c>
      <c r="L7" s="127" t="s">
        <v>66</v>
      </c>
      <c r="M7" s="127" t="s">
        <v>66</v>
      </c>
      <c r="N7" s="127" t="s">
        <v>66</v>
      </c>
      <c r="O7" s="127"/>
      <c r="P7" s="127"/>
      <c r="Q7" s="127"/>
      <c r="R7" s="127" t="s">
        <v>66</v>
      </c>
      <c r="S7" s="127" t="s">
        <v>66</v>
      </c>
      <c r="T7" s="127" t="s">
        <v>66</v>
      </c>
      <c r="U7" s="127" t="s">
        <v>66</v>
      </c>
      <c r="V7" s="127" t="s">
        <v>66</v>
      </c>
      <c r="W7" s="127" t="s">
        <v>66</v>
      </c>
      <c r="X7" s="127" t="s">
        <v>66</v>
      </c>
      <c r="Y7" s="127" t="s">
        <v>66</v>
      </c>
      <c r="Z7" s="127" t="s">
        <v>66</v>
      </c>
      <c r="AA7" s="127" t="s">
        <v>66</v>
      </c>
      <c r="AB7" s="127" t="s">
        <v>67</v>
      </c>
      <c r="AC7" s="127" t="s">
        <v>68</v>
      </c>
      <c r="AD7" s="127" t="s">
        <v>69</v>
      </c>
      <c r="AE7" s="127" t="s">
        <v>70</v>
      </c>
      <c r="AF7" s="127" t="s">
        <v>71</v>
      </c>
      <c r="AG7" s="127" t="s">
        <v>72</v>
      </c>
      <c r="AH7" s="127" t="s">
        <v>66</v>
      </c>
      <c r="AI7" s="127" t="s">
        <v>66</v>
      </c>
      <c r="AJ7" s="127" t="s">
        <v>66</v>
      </c>
      <c r="AK7" s="129" t="s">
        <v>66</v>
      </c>
      <c r="AL7" s="127" t="s">
        <v>66</v>
      </c>
      <c r="AM7" s="127" t="s">
        <v>66</v>
      </c>
      <c r="AN7" s="127" t="s">
        <v>66</v>
      </c>
      <c r="AO7" s="127" t="s">
        <v>66</v>
      </c>
      <c r="AP7" s="127" t="s">
        <v>66</v>
      </c>
    </row>
    <row r="8" spans="1:42" ht="45">
      <c r="A8" s="126" t="s">
        <v>73</v>
      </c>
      <c r="B8" s="127" t="s">
        <v>74</v>
      </c>
      <c r="C8" s="127" t="s">
        <v>75</v>
      </c>
      <c r="D8" s="127" t="s">
        <v>30</v>
      </c>
      <c r="E8" s="127" t="s">
        <v>117</v>
      </c>
      <c r="F8" s="127" t="s">
        <v>118</v>
      </c>
      <c r="G8" s="127" t="s">
        <v>29</v>
      </c>
      <c r="H8" s="127" t="s">
        <v>31</v>
      </c>
      <c r="I8" s="127" t="s">
        <v>32</v>
      </c>
      <c r="J8" s="127" t="s">
        <v>76</v>
      </c>
      <c r="K8" s="127" t="s">
        <v>77</v>
      </c>
      <c r="L8" s="127" t="s">
        <v>6</v>
      </c>
      <c r="M8" s="127" t="s">
        <v>33</v>
      </c>
      <c r="N8" s="127" t="s">
        <v>7</v>
      </c>
      <c r="O8" s="127" t="s">
        <v>2</v>
      </c>
      <c r="P8" s="127" t="s">
        <v>3</v>
      </c>
      <c r="Q8" s="127" t="s">
        <v>2374</v>
      </c>
      <c r="R8" s="127" t="s">
        <v>87</v>
      </c>
      <c r="S8" s="127" t="s">
        <v>2260</v>
      </c>
      <c r="T8" s="127" t="s">
        <v>2261</v>
      </c>
      <c r="U8" s="127" t="s">
        <v>92</v>
      </c>
      <c r="V8" s="127" t="s">
        <v>93</v>
      </c>
      <c r="W8" s="127" t="s">
        <v>94</v>
      </c>
      <c r="X8" s="128" t="s">
        <v>95</v>
      </c>
      <c r="Y8" s="128" t="s">
        <v>96</v>
      </c>
      <c r="Z8" s="127" t="s">
        <v>2262</v>
      </c>
      <c r="AA8" s="126" t="s">
        <v>101</v>
      </c>
      <c r="AB8" s="127" t="s">
        <v>102</v>
      </c>
      <c r="AC8" s="127" t="s">
        <v>103</v>
      </c>
      <c r="AD8" s="127" t="s">
        <v>104</v>
      </c>
      <c r="AE8" s="131" t="s">
        <v>105</v>
      </c>
      <c r="AF8" s="131" t="s">
        <v>106</v>
      </c>
      <c r="AG8" s="127" t="s">
        <v>107</v>
      </c>
      <c r="AH8" s="127" t="s">
        <v>108</v>
      </c>
      <c r="AI8" s="127" t="s">
        <v>42</v>
      </c>
      <c r="AJ8" s="126" t="s">
        <v>111</v>
      </c>
      <c r="AK8" s="132" t="s">
        <v>44</v>
      </c>
      <c r="AL8" s="127" t="s">
        <v>112</v>
      </c>
      <c r="AM8" s="127" t="s">
        <v>42</v>
      </c>
      <c r="AN8" s="126" t="s">
        <v>111</v>
      </c>
      <c r="AO8" s="126" t="s">
        <v>44</v>
      </c>
      <c r="AP8" s="127" t="s">
        <v>112</v>
      </c>
    </row>
    <row r="9" spans="1:42" ht="24">
      <c r="A9" s="126" t="s">
        <v>113</v>
      </c>
      <c r="B9" s="126" t="s">
        <v>114</v>
      </c>
      <c r="C9" s="126" t="s">
        <v>115</v>
      </c>
      <c r="D9" s="126" t="s">
        <v>116</v>
      </c>
      <c r="E9" s="127" t="s">
        <v>117</v>
      </c>
      <c r="F9" s="127" t="s">
        <v>118</v>
      </c>
      <c r="G9" s="127" t="s">
        <v>119</v>
      </c>
      <c r="H9" s="127" t="s">
        <v>120</v>
      </c>
      <c r="I9" s="127" t="s">
        <v>121</v>
      </c>
      <c r="J9" s="127" t="s">
        <v>122</v>
      </c>
      <c r="K9" s="127" t="s">
        <v>123</v>
      </c>
      <c r="L9" s="127" t="s">
        <v>124</v>
      </c>
      <c r="M9" s="127" t="s">
        <v>125</v>
      </c>
      <c r="N9" s="127" t="s">
        <v>126</v>
      </c>
      <c r="O9" s="127"/>
      <c r="P9" s="127"/>
      <c r="Q9" s="127"/>
      <c r="R9" s="127" t="s">
        <v>127</v>
      </c>
      <c r="S9" s="127" t="s">
        <v>128</v>
      </c>
      <c r="T9" s="127" t="s">
        <v>129</v>
      </c>
      <c r="U9" s="127" t="s">
        <v>130</v>
      </c>
      <c r="V9" s="127" t="s">
        <v>131</v>
      </c>
      <c r="W9" s="127" t="s">
        <v>132</v>
      </c>
      <c r="X9" s="127" t="s">
        <v>133</v>
      </c>
      <c r="Y9" s="127" t="s">
        <v>134</v>
      </c>
      <c r="Z9" s="127" t="s">
        <v>2263</v>
      </c>
      <c r="AA9" s="127">
        <v>31</v>
      </c>
      <c r="AB9" s="127">
        <v>32</v>
      </c>
      <c r="AC9" s="127">
        <v>33</v>
      </c>
      <c r="AD9" s="127">
        <v>34</v>
      </c>
      <c r="AE9" s="127">
        <v>35</v>
      </c>
      <c r="AF9" s="127">
        <v>36</v>
      </c>
      <c r="AG9" s="127">
        <v>37</v>
      </c>
      <c r="AH9" s="127">
        <v>38</v>
      </c>
      <c r="AI9" s="127">
        <v>41</v>
      </c>
      <c r="AJ9" s="127">
        <v>42</v>
      </c>
      <c r="AK9" s="127">
        <v>43</v>
      </c>
      <c r="AL9" s="127">
        <v>47</v>
      </c>
      <c r="AM9" s="127">
        <v>44</v>
      </c>
      <c r="AN9" s="127">
        <v>45</v>
      </c>
      <c r="AO9" s="127">
        <v>46</v>
      </c>
      <c r="AP9" s="127">
        <v>47</v>
      </c>
    </row>
    <row r="10" spans="1:42">
      <c r="A10" s="161">
        <v>9</v>
      </c>
      <c r="B10" s="177" t="s">
        <v>2266</v>
      </c>
      <c r="C10" s="177" t="s">
        <v>2267</v>
      </c>
      <c r="D10" s="177" t="s">
        <v>2268</v>
      </c>
      <c r="E10" s="177"/>
      <c r="F10" s="177"/>
      <c r="G10" s="181" t="s">
        <v>2269</v>
      </c>
      <c r="H10" s="251"/>
      <c r="I10" s="160"/>
      <c r="J10" s="160"/>
      <c r="K10" s="160">
        <v>27</v>
      </c>
      <c r="L10" s="251"/>
      <c r="M10" s="252">
        <v>3.4</v>
      </c>
      <c r="N10" s="252">
        <v>91.8</v>
      </c>
      <c r="O10" s="252"/>
      <c r="P10" s="252"/>
      <c r="Q10" s="252"/>
      <c r="R10" s="253"/>
      <c r="S10" s="181" t="s">
        <v>141</v>
      </c>
      <c r="T10" s="212" t="s">
        <v>2379</v>
      </c>
      <c r="U10" s="178">
        <v>0.1</v>
      </c>
      <c r="V10" s="252">
        <v>0.4</v>
      </c>
      <c r="W10" s="162"/>
      <c r="X10" s="162" t="s">
        <v>143</v>
      </c>
      <c r="Y10" s="179"/>
      <c r="Z10" s="181"/>
      <c r="AA10" s="161"/>
      <c r="AB10" s="161"/>
      <c r="AC10" s="161"/>
      <c r="AD10" s="161"/>
      <c r="AE10" s="161"/>
      <c r="AF10" s="161"/>
      <c r="AG10" s="161"/>
      <c r="AH10" s="161" t="s">
        <v>1790</v>
      </c>
      <c r="AI10" s="161"/>
      <c r="AJ10" s="251"/>
      <c r="AK10" s="163"/>
      <c r="AL10" s="161"/>
      <c r="AM10" s="161"/>
      <c r="AN10" s="251"/>
      <c r="AO10" s="257"/>
      <c r="AP10" s="161"/>
    </row>
    <row r="11" spans="1:42">
      <c r="A11" s="117">
        <v>10</v>
      </c>
      <c r="B11" s="209" t="s">
        <v>2266</v>
      </c>
      <c r="C11" s="209" t="s">
        <v>2267</v>
      </c>
      <c r="D11" s="209" t="s">
        <v>1296</v>
      </c>
      <c r="E11" s="209" t="s">
        <v>2270</v>
      </c>
      <c r="F11" s="209" t="s">
        <v>2271</v>
      </c>
      <c r="G11" s="212" t="s">
        <v>2272</v>
      </c>
      <c r="H11" s="213">
        <v>90</v>
      </c>
      <c r="I11" s="144" t="s">
        <v>2273</v>
      </c>
      <c r="J11" s="144">
        <v>1</v>
      </c>
      <c r="K11" s="144"/>
      <c r="L11" s="213">
        <v>27</v>
      </c>
      <c r="M11" s="254">
        <v>0.9</v>
      </c>
      <c r="N11" s="254">
        <v>24.3</v>
      </c>
      <c r="O11" s="254">
        <v>27</v>
      </c>
      <c r="P11" s="254">
        <f>+L11-O11</f>
        <v>0</v>
      </c>
      <c r="Q11" s="270">
        <v>46277</v>
      </c>
      <c r="R11" s="255"/>
      <c r="S11" s="212" t="s">
        <v>141</v>
      </c>
      <c r="T11" s="181"/>
      <c r="U11" s="210">
        <v>0.1</v>
      </c>
      <c r="V11" s="210">
        <v>0.4</v>
      </c>
      <c r="W11" s="256"/>
      <c r="X11" s="148"/>
      <c r="Y11" s="211"/>
      <c r="Z11" s="212"/>
      <c r="AA11" s="117">
        <v>1</v>
      </c>
      <c r="AB11" s="117">
        <v>0</v>
      </c>
      <c r="AC11" s="117">
        <v>0</v>
      </c>
      <c r="AD11" s="117">
        <v>1</v>
      </c>
      <c r="AE11" s="117">
        <v>0</v>
      </c>
      <c r="AF11" s="117">
        <v>0</v>
      </c>
      <c r="AG11" s="117">
        <v>0</v>
      </c>
      <c r="AH11" s="117" t="s">
        <v>1790</v>
      </c>
      <c r="AI11" s="258" t="s">
        <v>2277</v>
      </c>
      <c r="AJ11" s="259">
        <v>27</v>
      </c>
      <c r="AK11" s="260">
        <v>46274</v>
      </c>
      <c r="AL11" s="258">
        <v>0</v>
      </c>
      <c r="AM11" s="258"/>
      <c r="AN11" s="259">
        <v>54</v>
      </c>
      <c r="AO11" s="261"/>
      <c r="AP11" s="258" t="e">
        <f t="shared" ref="AP11:AP12" si="0">+B11-AN11</f>
        <v>#VALUE!</v>
      </c>
    </row>
    <row r="12" spans="1:42">
      <c r="A12" s="117">
        <v>11</v>
      </c>
      <c r="B12" s="209" t="s">
        <v>2266</v>
      </c>
      <c r="C12" s="209" t="s">
        <v>2267</v>
      </c>
      <c r="D12" s="209" t="s">
        <v>1296</v>
      </c>
      <c r="E12" s="209" t="s">
        <v>2274</v>
      </c>
      <c r="F12" s="209" t="s">
        <v>2275</v>
      </c>
      <c r="G12" s="212" t="s">
        <v>2276</v>
      </c>
      <c r="H12" s="213">
        <v>160</v>
      </c>
      <c r="I12" s="144" t="s">
        <v>2273</v>
      </c>
      <c r="J12" s="144">
        <v>1</v>
      </c>
      <c r="K12" s="144"/>
      <c r="L12" s="213">
        <v>27</v>
      </c>
      <c r="M12" s="254">
        <v>2.5</v>
      </c>
      <c r="N12" s="254">
        <v>67.5</v>
      </c>
      <c r="O12" s="254">
        <v>27</v>
      </c>
      <c r="P12" s="254">
        <f>+L12-O12</f>
        <v>0</v>
      </c>
      <c r="Q12" s="270">
        <v>46277</v>
      </c>
      <c r="R12" s="255"/>
      <c r="S12" s="212" t="s">
        <v>141</v>
      </c>
      <c r="T12" s="212"/>
      <c r="U12" s="210">
        <v>0.1</v>
      </c>
      <c r="V12" s="210">
        <v>1.2</v>
      </c>
      <c r="W12" s="148"/>
      <c r="X12" s="148"/>
      <c r="Y12" s="211"/>
      <c r="Z12" s="212"/>
      <c r="AA12" s="117">
        <v>0</v>
      </c>
      <c r="AB12" s="117">
        <v>0</v>
      </c>
      <c r="AC12" s="117">
        <v>0</v>
      </c>
      <c r="AD12" s="117">
        <v>0</v>
      </c>
      <c r="AE12" s="117">
        <v>0</v>
      </c>
      <c r="AF12" s="117">
        <v>0</v>
      </c>
      <c r="AG12" s="117">
        <v>0</v>
      </c>
      <c r="AH12" s="117" t="s">
        <v>1790</v>
      </c>
      <c r="AI12" s="258" t="s">
        <v>2278</v>
      </c>
      <c r="AJ12" s="259">
        <v>27</v>
      </c>
      <c r="AK12" s="260">
        <v>46274</v>
      </c>
      <c r="AL12" s="258">
        <v>0</v>
      </c>
      <c r="AM12" s="258"/>
      <c r="AN12" s="259">
        <v>54</v>
      </c>
      <c r="AO12" s="261"/>
      <c r="AP12" s="258" t="e">
        <f t="shared" si="0"/>
        <v>#VALUE!</v>
      </c>
    </row>
    <row r="13" spans="1:42">
      <c r="A13" s="161">
        <v>12</v>
      </c>
      <c r="B13" s="177" t="s">
        <v>2279</v>
      </c>
      <c r="C13" s="177" t="s">
        <v>2280</v>
      </c>
      <c r="D13" s="177" t="s">
        <v>2268</v>
      </c>
      <c r="E13" s="177"/>
      <c r="F13" s="177"/>
      <c r="G13" s="181" t="s">
        <v>2269</v>
      </c>
      <c r="H13" s="251"/>
      <c r="I13" s="160"/>
      <c r="J13" s="160"/>
      <c r="K13" s="160">
        <v>27</v>
      </c>
      <c r="L13" s="251"/>
      <c r="M13" s="252">
        <v>3.4</v>
      </c>
      <c r="N13" s="252">
        <v>91.8</v>
      </c>
      <c r="O13" s="252"/>
      <c r="P13" s="252"/>
      <c r="Q13" s="252"/>
      <c r="R13" s="253"/>
      <c r="S13" s="181" t="s">
        <v>141</v>
      </c>
      <c r="T13" s="181" t="s">
        <v>2379</v>
      </c>
      <c r="U13" s="178">
        <v>0.1</v>
      </c>
      <c r="V13" s="252">
        <v>0.4</v>
      </c>
      <c r="W13" s="262"/>
      <c r="X13" s="162" t="s">
        <v>143</v>
      </c>
      <c r="Y13" s="179"/>
      <c r="Z13" s="181"/>
      <c r="AA13" s="161"/>
      <c r="AB13" s="164"/>
      <c r="AC13" s="164"/>
      <c r="AD13" s="164"/>
      <c r="AE13" s="164"/>
      <c r="AF13" s="164"/>
      <c r="AG13" s="164"/>
      <c r="AH13" s="161" t="s">
        <v>1790</v>
      </c>
      <c r="AI13" s="164"/>
      <c r="AJ13" s="164"/>
      <c r="AK13" s="263"/>
      <c r="AL13" s="161"/>
      <c r="AM13" s="164"/>
      <c r="AN13" s="164"/>
      <c r="AO13" s="164"/>
      <c r="AP13" s="161"/>
    </row>
    <row r="14" spans="1:42">
      <c r="A14" s="117">
        <v>13</v>
      </c>
      <c r="B14" s="209" t="s">
        <v>2279</v>
      </c>
      <c r="C14" s="209" t="s">
        <v>2280</v>
      </c>
      <c r="D14" s="209" t="s">
        <v>1296</v>
      </c>
      <c r="E14" s="209" t="s">
        <v>2270</v>
      </c>
      <c r="F14" s="209" t="s">
        <v>2281</v>
      </c>
      <c r="G14" s="212" t="s">
        <v>2272</v>
      </c>
      <c r="H14" s="213">
        <v>90</v>
      </c>
      <c r="I14" s="144" t="s">
        <v>2273</v>
      </c>
      <c r="J14" s="144">
        <v>1</v>
      </c>
      <c r="K14" s="144"/>
      <c r="L14" s="213">
        <v>27</v>
      </c>
      <c r="M14" s="254">
        <v>0.9</v>
      </c>
      <c r="N14" s="254">
        <v>24.3</v>
      </c>
      <c r="O14" s="254">
        <v>27</v>
      </c>
      <c r="P14" s="254">
        <f t="shared" ref="P14:P15" si="1">+L14-O14</f>
        <v>0</v>
      </c>
      <c r="Q14" s="270">
        <v>46277</v>
      </c>
      <c r="R14" s="255"/>
      <c r="S14" s="212" t="s">
        <v>141</v>
      </c>
      <c r="T14" s="212"/>
      <c r="U14" s="210">
        <v>0.1</v>
      </c>
      <c r="V14" s="210">
        <v>0.4</v>
      </c>
      <c r="W14" s="148"/>
      <c r="X14" s="148"/>
      <c r="Y14" s="211"/>
      <c r="Z14" s="212"/>
      <c r="AA14" s="117">
        <v>1</v>
      </c>
      <c r="AB14" s="117">
        <v>0</v>
      </c>
      <c r="AC14" s="117">
        <v>0</v>
      </c>
      <c r="AD14" s="117">
        <v>1</v>
      </c>
      <c r="AE14" s="117">
        <v>0</v>
      </c>
      <c r="AF14" s="117">
        <v>0</v>
      </c>
      <c r="AG14" s="117">
        <v>0</v>
      </c>
      <c r="AH14" s="117" t="s">
        <v>1790</v>
      </c>
      <c r="AI14" s="258" t="s">
        <v>2277</v>
      </c>
      <c r="AJ14" s="259">
        <v>27</v>
      </c>
      <c r="AK14" s="260">
        <v>46274</v>
      </c>
      <c r="AL14" s="258">
        <v>0</v>
      </c>
      <c r="AM14" s="258"/>
      <c r="AN14" s="259">
        <v>54</v>
      </c>
      <c r="AO14" s="261"/>
      <c r="AP14" s="258" t="e">
        <f t="shared" ref="AP14:AP15" si="2">+B14-AN14</f>
        <v>#VALUE!</v>
      </c>
    </row>
    <row r="15" spans="1:42">
      <c r="A15" s="117">
        <v>14</v>
      </c>
      <c r="B15" s="209" t="s">
        <v>2279</v>
      </c>
      <c r="C15" s="209" t="s">
        <v>2280</v>
      </c>
      <c r="D15" s="209" t="s">
        <v>1296</v>
      </c>
      <c r="E15" s="209" t="s">
        <v>2274</v>
      </c>
      <c r="F15" s="209" t="s">
        <v>2282</v>
      </c>
      <c r="G15" s="212" t="s">
        <v>2276</v>
      </c>
      <c r="H15" s="213">
        <v>160</v>
      </c>
      <c r="I15" s="144" t="s">
        <v>2273</v>
      </c>
      <c r="J15" s="144">
        <v>1</v>
      </c>
      <c r="K15" s="144"/>
      <c r="L15" s="213">
        <v>27</v>
      </c>
      <c r="M15" s="254">
        <v>2.5</v>
      </c>
      <c r="N15" s="254">
        <v>67.5</v>
      </c>
      <c r="O15" s="254">
        <v>27</v>
      </c>
      <c r="P15" s="254">
        <f t="shared" si="1"/>
        <v>0</v>
      </c>
      <c r="Q15" s="270">
        <v>46277</v>
      </c>
      <c r="R15" s="255"/>
      <c r="S15" s="212" t="s">
        <v>141</v>
      </c>
      <c r="T15" s="181"/>
      <c r="U15" s="210">
        <v>0.1</v>
      </c>
      <c r="V15" s="210">
        <v>1.2</v>
      </c>
      <c r="W15" s="256"/>
      <c r="X15" s="148"/>
      <c r="Y15" s="211"/>
      <c r="Z15" s="212"/>
      <c r="AA15" s="117">
        <v>0</v>
      </c>
      <c r="AB15" s="117">
        <v>0</v>
      </c>
      <c r="AC15" s="117">
        <v>0</v>
      </c>
      <c r="AD15" s="117">
        <v>0</v>
      </c>
      <c r="AE15" s="117">
        <v>0</v>
      </c>
      <c r="AF15" s="117">
        <v>0</v>
      </c>
      <c r="AG15" s="117">
        <v>0</v>
      </c>
      <c r="AH15" s="117" t="s">
        <v>1790</v>
      </c>
      <c r="AI15" s="258" t="s">
        <v>2278</v>
      </c>
      <c r="AJ15" s="259">
        <v>27</v>
      </c>
      <c r="AK15" s="260">
        <v>46274</v>
      </c>
      <c r="AL15" s="258">
        <v>0</v>
      </c>
      <c r="AM15" s="258"/>
      <c r="AN15" s="259">
        <v>54</v>
      </c>
      <c r="AO15" s="261"/>
      <c r="AP15" s="258" t="e">
        <f t="shared" si="2"/>
        <v>#VALUE!</v>
      </c>
    </row>
    <row r="16" spans="1:42">
      <c r="A16" s="161">
        <v>23</v>
      </c>
      <c r="B16" s="177" t="s">
        <v>2283</v>
      </c>
      <c r="C16" s="177" t="s">
        <v>2284</v>
      </c>
      <c r="D16" s="177" t="s">
        <v>2285</v>
      </c>
      <c r="E16" s="177"/>
      <c r="F16" s="177"/>
      <c r="G16" s="181" t="s">
        <v>2286</v>
      </c>
      <c r="H16" s="251"/>
      <c r="I16" s="160"/>
      <c r="J16" s="160"/>
      <c r="K16" s="160">
        <v>1</v>
      </c>
      <c r="L16" s="251"/>
      <c r="M16" s="252">
        <v>7.6</v>
      </c>
      <c r="N16" s="252">
        <v>7.6</v>
      </c>
      <c r="O16" s="252"/>
      <c r="P16" s="252"/>
      <c r="Q16" s="252"/>
      <c r="R16" s="253" t="s">
        <v>53</v>
      </c>
      <c r="S16" s="181" t="s">
        <v>141</v>
      </c>
      <c r="T16" s="212" t="s">
        <v>2380</v>
      </c>
      <c r="U16" s="178">
        <v>0.2</v>
      </c>
      <c r="V16" s="252">
        <v>0.4</v>
      </c>
      <c r="W16" s="162"/>
      <c r="X16" s="162" t="s">
        <v>143</v>
      </c>
      <c r="Y16" s="179"/>
      <c r="Z16" s="181"/>
      <c r="AA16" s="161"/>
      <c r="AB16" s="161"/>
      <c r="AC16" s="161"/>
      <c r="AD16" s="161"/>
      <c r="AE16" s="161"/>
      <c r="AF16" s="161"/>
      <c r="AG16" s="161"/>
      <c r="AH16" s="161" t="s">
        <v>1790</v>
      </c>
      <c r="AI16" s="161"/>
      <c r="AJ16" s="251"/>
      <c r="AK16" s="163"/>
      <c r="AL16" s="161"/>
      <c r="AM16" s="161"/>
      <c r="AN16" s="251"/>
      <c r="AO16" s="257"/>
      <c r="AP16" s="161"/>
    </row>
    <row r="17" spans="1:42">
      <c r="A17" s="117">
        <v>24</v>
      </c>
      <c r="B17" s="209" t="s">
        <v>2283</v>
      </c>
      <c r="C17" s="209" t="s">
        <v>2284</v>
      </c>
      <c r="D17" s="209" t="s">
        <v>1296</v>
      </c>
      <c r="E17" s="209" t="s">
        <v>2287</v>
      </c>
      <c r="F17" s="209" t="s">
        <v>2288</v>
      </c>
      <c r="G17" s="212" t="s">
        <v>2289</v>
      </c>
      <c r="H17" s="213">
        <v>810</v>
      </c>
      <c r="I17" s="144" t="s">
        <v>2273</v>
      </c>
      <c r="J17" s="144">
        <v>1</v>
      </c>
      <c r="K17" s="144"/>
      <c r="L17" s="213">
        <v>1</v>
      </c>
      <c r="M17" s="254">
        <v>7.6</v>
      </c>
      <c r="N17" s="254">
        <v>7.6</v>
      </c>
      <c r="O17" s="254">
        <v>1</v>
      </c>
      <c r="P17" s="254">
        <f>+L17-O17</f>
        <v>0</v>
      </c>
      <c r="Q17" s="270">
        <v>46302</v>
      </c>
      <c r="R17" s="255" t="s">
        <v>53</v>
      </c>
      <c r="S17" s="212" t="s">
        <v>141</v>
      </c>
      <c r="T17" s="181"/>
      <c r="U17" s="210">
        <v>0.2</v>
      </c>
      <c r="V17" s="210">
        <v>0.4</v>
      </c>
      <c r="W17" s="256"/>
      <c r="X17" s="148"/>
      <c r="Y17" s="211"/>
      <c r="Z17" s="212"/>
      <c r="AA17" s="117">
        <v>0</v>
      </c>
      <c r="AB17" s="117">
        <v>0</v>
      </c>
      <c r="AC17" s="117">
        <v>0</v>
      </c>
      <c r="AD17" s="117">
        <v>0</v>
      </c>
      <c r="AE17" s="117">
        <v>0</v>
      </c>
      <c r="AF17" s="117">
        <v>0</v>
      </c>
      <c r="AG17" s="117">
        <v>0</v>
      </c>
      <c r="AH17" s="117" t="s">
        <v>1790</v>
      </c>
      <c r="AI17" s="264" t="s">
        <v>2297</v>
      </c>
      <c r="AJ17" s="264">
        <v>1</v>
      </c>
      <c r="AK17" s="265">
        <v>46291</v>
      </c>
      <c r="AL17" s="258">
        <v>0</v>
      </c>
      <c r="AM17" s="258"/>
      <c r="AN17" s="259">
        <v>0</v>
      </c>
      <c r="AO17" s="261"/>
      <c r="AP17" s="258" t="e">
        <f>+B17-AN17</f>
        <v>#VALUE!</v>
      </c>
    </row>
    <row r="18" spans="1:42">
      <c r="A18" s="161">
        <v>25</v>
      </c>
      <c r="B18" s="177" t="s">
        <v>2290</v>
      </c>
      <c r="C18" s="177" t="s">
        <v>2291</v>
      </c>
      <c r="D18" s="177" t="s">
        <v>2285</v>
      </c>
      <c r="E18" s="177"/>
      <c r="F18" s="177"/>
      <c r="G18" s="181" t="s">
        <v>2292</v>
      </c>
      <c r="H18" s="251"/>
      <c r="I18" s="160"/>
      <c r="J18" s="160"/>
      <c r="K18" s="160">
        <v>2</v>
      </c>
      <c r="L18" s="251"/>
      <c r="M18" s="252">
        <v>6.5</v>
      </c>
      <c r="N18" s="252">
        <v>13</v>
      </c>
      <c r="O18" s="252"/>
      <c r="P18" s="252"/>
      <c r="Q18" s="252"/>
      <c r="R18" s="253" t="s">
        <v>53</v>
      </c>
      <c r="S18" s="181" t="s">
        <v>141</v>
      </c>
      <c r="T18" s="212" t="s">
        <v>2380</v>
      </c>
      <c r="U18" s="178">
        <v>0.2</v>
      </c>
      <c r="V18" s="252">
        <v>0.8</v>
      </c>
      <c r="W18" s="162"/>
      <c r="X18" s="162" t="s">
        <v>143</v>
      </c>
      <c r="Y18" s="179"/>
      <c r="Z18" s="181"/>
      <c r="AA18" s="161"/>
      <c r="AB18" s="161"/>
      <c r="AC18" s="161"/>
      <c r="AD18" s="161"/>
      <c r="AE18" s="161"/>
      <c r="AF18" s="161"/>
      <c r="AG18" s="161"/>
      <c r="AH18" s="161" t="s">
        <v>1790</v>
      </c>
      <c r="AI18" s="161"/>
      <c r="AJ18" s="251"/>
      <c r="AK18" s="163"/>
      <c r="AL18" s="161"/>
      <c r="AM18" s="161"/>
      <c r="AN18" s="251"/>
      <c r="AO18" s="257"/>
      <c r="AP18" s="161"/>
    </row>
    <row r="19" spans="1:42">
      <c r="A19" s="117">
        <v>26</v>
      </c>
      <c r="B19" s="209" t="s">
        <v>2290</v>
      </c>
      <c r="C19" s="209" t="s">
        <v>2291</v>
      </c>
      <c r="D19" s="209" t="s">
        <v>2293</v>
      </c>
      <c r="E19" s="209" t="s">
        <v>2294</v>
      </c>
      <c r="F19" s="209" t="s">
        <v>2295</v>
      </c>
      <c r="G19" s="212" t="s">
        <v>2296</v>
      </c>
      <c r="H19" s="213">
        <v>524</v>
      </c>
      <c r="I19" s="144" t="s">
        <v>2273</v>
      </c>
      <c r="J19" s="144">
        <v>1</v>
      </c>
      <c r="K19" s="144"/>
      <c r="L19" s="213">
        <v>2</v>
      </c>
      <c r="M19" s="254">
        <v>6.5</v>
      </c>
      <c r="N19" s="254">
        <v>13</v>
      </c>
      <c r="O19" s="254">
        <v>2</v>
      </c>
      <c r="P19" s="254">
        <f>+L19-O19</f>
        <v>0</v>
      </c>
      <c r="Q19" s="270">
        <v>46302</v>
      </c>
      <c r="R19" s="255" t="s">
        <v>53</v>
      </c>
      <c r="S19" s="212" t="s">
        <v>141</v>
      </c>
      <c r="T19" s="181"/>
      <c r="U19" s="210">
        <v>0.2</v>
      </c>
      <c r="V19" s="210">
        <v>0.8</v>
      </c>
      <c r="W19" s="256"/>
      <c r="X19" s="148"/>
      <c r="Y19" s="211"/>
      <c r="Z19" s="212"/>
      <c r="AA19" s="117">
        <v>0</v>
      </c>
      <c r="AB19" s="117">
        <v>0</v>
      </c>
      <c r="AC19" s="117">
        <v>0</v>
      </c>
      <c r="AD19" s="117">
        <v>0</v>
      </c>
      <c r="AE19" s="117">
        <v>0</v>
      </c>
      <c r="AF19" s="117">
        <v>0</v>
      </c>
      <c r="AG19" s="117">
        <v>0</v>
      </c>
      <c r="AH19" s="117" t="s">
        <v>1790</v>
      </c>
      <c r="AI19" s="264" t="s">
        <v>2297</v>
      </c>
      <c r="AJ19" s="264">
        <v>2</v>
      </c>
      <c r="AK19" s="265">
        <v>46291</v>
      </c>
      <c r="AL19" s="258">
        <v>0</v>
      </c>
      <c r="AM19" s="258"/>
      <c r="AN19" s="259">
        <v>0</v>
      </c>
      <c r="AO19" s="261"/>
      <c r="AP19" s="258" t="e">
        <f>+B19-AN19</f>
        <v>#VALUE!</v>
      </c>
    </row>
    <row r="20" spans="1:42">
      <c r="A20" s="161">
        <v>43</v>
      </c>
      <c r="B20" s="177" t="s">
        <v>2298</v>
      </c>
      <c r="C20" s="177" t="s">
        <v>2299</v>
      </c>
      <c r="D20" s="177" t="s">
        <v>2285</v>
      </c>
      <c r="E20" s="177"/>
      <c r="F20" s="177"/>
      <c r="G20" s="181" t="s">
        <v>2300</v>
      </c>
      <c r="H20" s="251"/>
      <c r="I20" s="160"/>
      <c r="J20" s="160"/>
      <c r="K20" s="160">
        <v>3</v>
      </c>
      <c r="L20" s="251"/>
      <c r="M20" s="252">
        <v>37.299999999999997</v>
      </c>
      <c r="N20" s="252">
        <v>111.89999999999999</v>
      </c>
      <c r="O20" s="252"/>
      <c r="P20" s="252"/>
      <c r="Q20" s="252"/>
      <c r="R20" s="253" t="s">
        <v>53</v>
      </c>
      <c r="S20" s="181" t="s">
        <v>141</v>
      </c>
      <c r="T20" s="181" t="s">
        <v>2380</v>
      </c>
      <c r="U20" s="178">
        <v>0.9</v>
      </c>
      <c r="V20" s="252">
        <v>5.4</v>
      </c>
      <c r="W20" s="262"/>
      <c r="X20" s="162" t="s">
        <v>143</v>
      </c>
      <c r="Y20" s="179"/>
      <c r="Z20" s="181"/>
      <c r="AA20" s="161"/>
      <c r="AB20" s="164"/>
      <c r="AC20" s="164"/>
      <c r="AD20" s="164"/>
      <c r="AE20" s="164"/>
      <c r="AF20" s="164"/>
      <c r="AG20" s="164"/>
      <c r="AH20" s="161" t="s">
        <v>1790</v>
      </c>
      <c r="AI20" s="164"/>
      <c r="AJ20" s="164"/>
      <c r="AK20" s="263"/>
      <c r="AL20" s="161"/>
      <c r="AM20" s="164"/>
      <c r="AN20" s="164"/>
      <c r="AO20" s="164"/>
      <c r="AP20" s="161"/>
    </row>
    <row r="21" spans="1:42">
      <c r="A21" s="117">
        <v>44</v>
      </c>
      <c r="B21" s="209" t="s">
        <v>2298</v>
      </c>
      <c r="C21" s="209" t="s">
        <v>2299</v>
      </c>
      <c r="D21" s="209" t="s">
        <v>2293</v>
      </c>
      <c r="E21" s="209" t="s">
        <v>2301</v>
      </c>
      <c r="F21" s="209" t="s">
        <v>2302</v>
      </c>
      <c r="G21" s="212" t="s">
        <v>2303</v>
      </c>
      <c r="H21" s="213">
        <v>2523</v>
      </c>
      <c r="I21" s="144" t="s">
        <v>2273</v>
      </c>
      <c r="J21" s="144">
        <v>1</v>
      </c>
      <c r="K21" s="144"/>
      <c r="L21" s="213">
        <v>3</v>
      </c>
      <c r="M21" s="254">
        <v>37.299999999999997</v>
      </c>
      <c r="N21" s="254">
        <v>111.89999999999999</v>
      </c>
      <c r="O21" s="254">
        <v>3</v>
      </c>
      <c r="P21" s="254">
        <f>+L21-O21</f>
        <v>0</v>
      </c>
      <c r="Q21" s="270">
        <v>46302</v>
      </c>
      <c r="R21" s="255" t="s">
        <v>53</v>
      </c>
      <c r="S21" s="212" t="s">
        <v>141</v>
      </c>
      <c r="T21" s="212"/>
      <c r="U21" s="210">
        <v>0.9</v>
      </c>
      <c r="V21" s="210">
        <v>5.4</v>
      </c>
      <c r="W21" s="148"/>
      <c r="X21" s="148"/>
      <c r="Y21" s="211"/>
      <c r="Z21" s="212"/>
      <c r="AA21" s="117">
        <v>0</v>
      </c>
      <c r="AB21" s="117">
        <v>0</v>
      </c>
      <c r="AC21" s="117">
        <v>0</v>
      </c>
      <c r="AD21" s="117">
        <v>0</v>
      </c>
      <c r="AE21" s="117">
        <v>0</v>
      </c>
      <c r="AF21" s="117">
        <v>0</v>
      </c>
      <c r="AG21" s="117">
        <v>0</v>
      </c>
      <c r="AH21" s="117" t="s">
        <v>1790</v>
      </c>
      <c r="AI21" s="264" t="s">
        <v>2304</v>
      </c>
      <c r="AJ21" s="264">
        <v>3</v>
      </c>
      <c r="AK21" s="265">
        <v>46291</v>
      </c>
      <c r="AL21" s="258">
        <v>0</v>
      </c>
      <c r="AM21" s="258"/>
      <c r="AN21" s="259">
        <v>0</v>
      </c>
      <c r="AO21" s="261"/>
      <c r="AP21" s="258" t="e">
        <f>+B21-AN21</f>
        <v>#VALUE!</v>
      </c>
    </row>
    <row r="22" spans="1:42">
      <c r="A22" s="161">
        <v>62</v>
      </c>
      <c r="B22" s="177" t="s">
        <v>2305</v>
      </c>
      <c r="C22" s="177" t="s">
        <v>2306</v>
      </c>
      <c r="D22" s="177" t="s">
        <v>2268</v>
      </c>
      <c r="E22" s="177"/>
      <c r="F22" s="177"/>
      <c r="G22" s="181" t="s">
        <v>2269</v>
      </c>
      <c r="H22" s="251"/>
      <c r="I22" s="160"/>
      <c r="J22" s="160"/>
      <c r="K22" s="160">
        <v>3</v>
      </c>
      <c r="L22" s="251"/>
      <c r="M22" s="252">
        <v>3.4</v>
      </c>
      <c r="N22" s="252">
        <v>10.199999999999999</v>
      </c>
      <c r="O22" s="252"/>
      <c r="P22" s="252"/>
      <c r="Q22" s="252"/>
      <c r="R22" s="253"/>
      <c r="S22" s="162" t="s">
        <v>141</v>
      </c>
      <c r="T22" s="212" t="s">
        <v>2380</v>
      </c>
      <c r="U22" s="178">
        <v>0.1</v>
      </c>
      <c r="V22" s="252">
        <v>0</v>
      </c>
      <c r="W22" s="162"/>
      <c r="X22" s="162" t="s">
        <v>143</v>
      </c>
      <c r="Y22" s="179"/>
      <c r="Z22" s="181"/>
      <c r="AA22" s="161"/>
      <c r="AB22" s="161"/>
      <c r="AC22" s="161"/>
      <c r="AD22" s="161"/>
      <c r="AE22" s="161"/>
      <c r="AF22" s="161"/>
      <c r="AG22" s="161"/>
      <c r="AH22" s="161" t="s">
        <v>1790</v>
      </c>
      <c r="AI22" s="161"/>
      <c r="AJ22" s="251"/>
      <c r="AK22" s="163"/>
      <c r="AL22" s="161"/>
      <c r="AM22" s="161"/>
      <c r="AN22" s="251"/>
      <c r="AO22" s="257"/>
      <c r="AP22" s="161"/>
    </row>
    <row r="23" spans="1:42">
      <c r="A23" s="117">
        <v>63</v>
      </c>
      <c r="B23" s="209" t="s">
        <v>2305</v>
      </c>
      <c r="C23" s="209" t="s">
        <v>2306</v>
      </c>
      <c r="D23" s="209" t="s">
        <v>1296</v>
      </c>
      <c r="E23" s="209" t="s">
        <v>2270</v>
      </c>
      <c r="F23" s="209" t="s">
        <v>2307</v>
      </c>
      <c r="G23" s="212" t="s">
        <v>2272</v>
      </c>
      <c r="H23" s="213">
        <v>90</v>
      </c>
      <c r="I23" s="144" t="s">
        <v>2273</v>
      </c>
      <c r="J23" s="144">
        <v>1</v>
      </c>
      <c r="K23" s="144"/>
      <c r="L23" s="213">
        <v>3</v>
      </c>
      <c r="M23" s="254">
        <v>0.9</v>
      </c>
      <c r="N23" s="254">
        <v>2.7</v>
      </c>
      <c r="O23" s="254">
        <v>3</v>
      </c>
      <c r="P23" s="254">
        <f t="shared" ref="P23:P24" si="3">+L23-O23</f>
        <v>0</v>
      </c>
      <c r="Q23" s="270">
        <v>46287</v>
      </c>
      <c r="R23" s="255"/>
      <c r="S23" s="256" t="s">
        <v>141</v>
      </c>
      <c r="T23" s="181"/>
      <c r="U23" s="210">
        <v>0</v>
      </c>
      <c r="V23" s="210">
        <v>0</v>
      </c>
      <c r="W23" s="256"/>
      <c r="X23" s="148"/>
      <c r="Y23" s="211"/>
      <c r="Z23" s="212"/>
      <c r="AA23" s="117">
        <v>1</v>
      </c>
      <c r="AB23" s="117">
        <v>0</v>
      </c>
      <c r="AC23" s="117">
        <v>0</v>
      </c>
      <c r="AD23" s="117">
        <v>1</v>
      </c>
      <c r="AE23" s="117">
        <v>0</v>
      </c>
      <c r="AF23" s="117">
        <v>0</v>
      </c>
      <c r="AG23" s="117">
        <v>0</v>
      </c>
      <c r="AH23" s="117" t="s">
        <v>1790</v>
      </c>
      <c r="AI23" s="258"/>
      <c r="AJ23" s="259"/>
      <c r="AK23" s="260"/>
      <c r="AL23" s="258">
        <v>3</v>
      </c>
      <c r="AM23" s="258"/>
      <c r="AN23" s="259">
        <v>6</v>
      </c>
      <c r="AO23" s="261"/>
      <c r="AP23" s="258" t="e">
        <f t="shared" ref="AP23:AP24" si="4">+B23-AN23</f>
        <v>#VALUE!</v>
      </c>
    </row>
    <row r="24" spans="1:42">
      <c r="A24" s="117">
        <v>64</v>
      </c>
      <c r="B24" s="209" t="s">
        <v>2305</v>
      </c>
      <c r="C24" s="209" t="s">
        <v>2306</v>
      </c>
      <c r="D24" s="209" t="s">
        <v>1296</v>
      </c>
      <c r="E24" s="209" t="s">
        <v>2308</v>
      </c>
      <c r="F24" s="209" t="s">
        <v>2309</v>
      </c>
      <c r="G24" s="212" t="s">
        <v>2276</v>
      </c>
      <c r="H24" s="213">
        <v>160</v>
      </c>
      <c r="I24" s="144" t="s">
        <v>2273</v>
      </c>
      <c r="J24" s="144">
        <v>1</v>
      </c>
      <c r="K24" s="144"/>
      <c r="L24" s="213">
        <v>3</v>
      </c>
      <c r="M24" s="254">
        <v>2.5</v>
      </c>
      <c r="N24" s="254">
        <v>7.5</v>
      </c>
      <c r="O24" s="254">
        <v>3</v>
      </c>
      <c r="P24" s="254">
        <f t="shared" si="3"/>
        <v>0</v>
      </c>
      <c r="Q24" s="270">
        <v>46302</v>
      </c>
      <c r="R24" s="255"/>
      <c r="S24" s="148" t="s">
        <v>141</v>
      </c>
      <c r="T24" s="212"/>
      <c r="U24" s="210">
        <v>0.1</v>
      </c>
      <c r="V24" s="210">
        <v>0.4</v>
      </c>
      <c r="W24" s="148"/>
      <c r="X24" s="148"/>
      <c r="Y24" s="211"/>
      <c r="Z24" s="212"/>
      <c r="AA24" s="117">
        <v>0</v>
      </c>
      <c r="AB24" s="117">
        <v>0</v>
      </c>
      <c r="AC24" s="117">
        <v>0</v>
      </c>
      <c r="AD24" s="117">
        <v>0</v>
      </c>
      <c r="AE24" s="117">
        <v>0</v>
      </c>
      <c r="AF24" s="117">
        <v>0</v>
      </c>
      <c r="AG24" s="117">
        <v>0</v>
      </c>
      <c r="AH24" s="117" t="s">
        <v>1790</v>
      </c>
      <c r="AI24" s="264" t="s">
        <v>2297</v>
      </c>
      <c r="AJ24" s="264">
        <v>3</v>
      </c>
      <c r="AK24" s="265">
        <v>46291</v>
      </c>
      <c r="AL24" s="258">
        <v>0</v>
      </c>
      <c r="AM24" s="258"/>
      <c r="AN24" s="259">
        <v>0</v>
      </c>
      <c r="AO24" s="261"/>
      <c r="AP24" s="258" t="e">
        <f t="shared" si="4"/>
        <v>#VALUE!</v>
      </c>
    </row>
    <row r="25" spans="1:42">
      <c r="A25" s="161">
        <v>62</v>
      </c>
      <c r="B25" s="177" t="s">
        <v>2305</v>
      </c>
      <c r="C25" s="177" t="s">
        <v>2306</v>
      </c>
      <c r="D25" s="177" t="s">
        <v>2268</v>
      </c>
      <c r="E25" s="177"/>
      <c r="F25" s="177"/>
      <c r="G25" s="181" t="s">
        <v>2269</v>
      </c>
      <c r="H25" s="251"/>
      <c r="I25" s="160"/>
      <c r="J25" s="160"/>
      <c r="K25" s="160">
        <v>3</v>
      </c>
      <c r="L25" s="251"/>
      <c r="M25" s="252">
        <v>3.4</v>
      </c>
      <c r="N25" s="252">
        <v>10.199999999999999</v>
      </c>
      <c r="O25" s="252"/>
      <c r="P25" s="252"/>
      <c r="Q25" s="252"/>
      <c r="R25" s="253"/>
      <c r="S25" s="162" t="s">
        <v>141</v>
      </c>
      <c r="T25" s="212" t="s">
        <v>2380</v>
      </c>
      <c r="U25" s="178">
        <v>0.1</v>
      </c>
      <c r="V25" s="252">
        <v>0</v>
      </c>
      <c r="W25" s="162"/>
      <c r="X25" s="162" t="s">
        <v>143</v>
      </c>
      <c r="Y25" s="179"/>
      <c r="Z25" s="181"/>
      <c r="AA25" s="161"/>
      <c r="AB25" s="161"/>
      <c r="AC25" s="161"/>
      <c r="AD25" s="161"/>
      <c r="AE25" s="161"/>
      <c r="AF25" s="161"/>
      <c r="AG25" s="161"/>
      <c r="AH25" s="161" t="s">
        <v>1790</v>
      </c>
      <c r="AI25" s="161"/>
      <c r="AJ25" s="251"/>
      <c r="AK25" s="163"/>
      <c r="AL25" s="161"/>
      <c r="AM25" s="161"/>
      <c r="AN25" s="251"/>
      <c r="AO25" s="257"/>
      <c r="AP25" s="161"/>
    </row>
    <row r="26" spans="1:42">
      <c r="A26" s="117">
        <v>63</v>
      </c>
      <c r="B26" s="209" t="s">
        <v>2305</v>
      </c>
      <c r="C26" s="209" t="s">
        <v>2306</v>
      </c>
      <c r="D26" s="209" t="s">
        <v>1296</v>
      </c>
      <c r="E26" s="209" t="s">
        <v>2270</v>
      </c>
      <c r="F26" s="209" t="s">
        <v>2307</v>
      </c>
      <c r="G26" s="212" t="s">
        <v>2272</v>
      </c>
      <c r="H26" s="213">
        <v>90</v>
      </c>
      <c r="I26" s="144" t="s">
        <v>2273</v>
      </c>
      <c r="J26" s="144">
        <v>1</v>
      </c>
      <c r="K26" s="144"/>
      <c r="L26" s="213">
        <v>3</v>
      </c>
      <c r="M26" s="254">
        <v>0.9</v>
      </c>
      <c r="N26" s="254">
        <v>2.7</v>
      </c>
      <c r="O26" s="254">
        <v>3</v>
      </c>
      <c r="P26" s="254">
        <f t="shared" ref="P26:P27" si="5">+L26-O26</f>
        <v>0</v>
      </c>
      <c r="Q26" s="270">
        <v>46287</v>
      </c>
      <c r="R26" s="255"/>
      <c r="S26" s="256" t="s">
        <v>141</v>
      </c>
      <c r="T26" s="181"/>
      <c r="U26" s="210">
        <v>0</v>
      </c>
      <c r="V26" s="210">
        <v>0</v>
      </c>
      <c r="W26" s="256"/>
      <c r="X26" s="148"/>
      <c r="Y26" s="211"/>
      <c r="Z26" s="212"/>
      <c r="AA26" s="117">
        <v>1</v>
      </c>
      <c r="AB26" s="117">
        <v>0</v>
      </c>
      <c r="AC26" s="117">
        <v>0</v>
      </c>
      <c r="AD26" s="117">
        <v>1</v>
      </c>
      <c r="AE26" s="117">
        <v>0</v>
      </c>
      <c r="AF26" s="117">
        <v>0</v>
      </c>
      <c r="AG26" s="117">
        <v>0</v>
      </c>
      <c r="AH26" s="117" t="s">
        <v>1790</v>
      </c>
      <c r="AI26" s="258"/>
      <c r="AJ26" s="259"/>
      <c r="AK26" s="260"/>
      <c r="AL26" s="258">
        <v>3</v>
      </c>
      <c r="AM26" s="258"/>
      <c r="AN26" s="259">
        <v>6</v>
      </c>
      <c r="AO26" s="261"/>
      <c r="AP26" s="258" t="e">
        <f t="shared" ref="AP26:AP27" si="6">+B26-AN26</f>
        <v>#VALUE!</v>
      </c>
    </row>
    <row r="27" spans="1:42">
      <c r="A27" s="117">
        <v>64</v>
      </c>
      <c r="B27" s="209" t="s">
        <v>2305</v>
      </c>
      <c r="C27" s="209" t="s">
        <v>2306</v>
      </c>
      <c r="D27" s="209" t="s">
        <v>1296</v>
      </c>
      <c r="E27" s="209" t="s">
        <v>2308</v>
      </c>
      <c r="F27" s="209" t="s">
        <v>2309</v>
      </c>
      <c r="G27" s="212" t="s">
        <v>2276</v>
      </c>
      <c r="H27" s="213">
        <v>160</v>
      </c>
      <c r="I27" s="144" t="s">
        <v>2273</v>
      </c>
      <c r="J27" s="144">
        <v>1</v>
      </c>
      <c r="K27" s="144"/>
      <c r="L27" s="213">
        <v>3</v>
      </c>
      <c r="M27" s="254">
        <v>2.5</v>
      </c>
      <c r="N27" s="254">
        <v>7.5</v>
      </c>
      <c r="O27" s="254">
        <v>3</v>
      </c>
      <c r="P27" s="254">
        <f t="shared" si="5"/>
        <v>0</v>
      </c>
      <c r="Q27" s="270">
        <v>46302</v>
      </c>
      <c r="R27" s="255"/>
      <c r="S27" s="148" t="s">
        <v>141</v>
      </c>
      <c r="T27" s="212"/>
      <c r="U27" s="210">
        <v>0.1</v>
      </c>
      <c r="V27" s="210">
        <v>0.4</v>
      </c>
      <c r="W27" s="148"/>
      <c r="X27" s="148"/>
      <c r="Y27" s="211"/>
      <c r="Z27" s="212"/>
      <c r="AA27" s="117">
        <v>0</v>
      </c>
      <c r="AB27" s="117">
        <v>0</v>
      </c>
      <c r="AC27" s="117">
        <v>0</v>
      </c>
      <c r="AD27" s="117">
        <v>0</v>
      </c>
      <c r="AE27" s="117">
        <v>0</v>
      </c>
      <c r="AF27" s="117">
        <v>0</v>
      </c>
      <c r="AG27" s="117">
        <v>0</v>
      </c>
      <c r="AH27" s="117" t="s">
        <v>1790</v>
      </c>
      <c r="AI27" s="264" t="s">
        <v>2297</v>
      </c>
      <c r="AJ27" s="264">
        <v>3</v>
      </c>
      <c r="AK27" s="265">
        <v>46291</v>
      </c>
      <c r="AL27" s="258">
        <v>0</v>
      </c>
      <c r="AM27" s="258"/>
      <c r="AN27" s="259">
        <v>0</v>
      </c>
      <c r="AO27" s="261"/>
      <c r="AP27" s="258" t="e">
        <f t="shared" si="6"/>
        <v>#VALUE!</v>
      </c>
    </row>
    <row r="28" spans="1:42">
      <c r="A28" s="161">
        <v>89</v>
      </c>
      <c r="B28" s="177" t="s">
        <v>2283</v>
      </c>
      <c r="C28" s="177" t="s">
        <v>2284</v>
      </c>
      <c r="D28" s="177" t="s">
        <v>2285</v>
      </c>
      <c r="E28" s="177"/>
      <c r="F28" s="177"/>
      <c r="G28" s="181" t="s">
        <v>2286</v>
      </c>
      <c r="H28" s="251"/>
      <c r="I28" s="160"/>
      <c r="J28" s="160"/>
      <c r="K28" s="160">
        <v>1</v>
      </c>
      <c r="L28" s="251"/>
      <c r="M28" s="252">
        <v>7.6</v>
      </c>
      <c r="N28" s="252">
        <v>7.6</v>
      </c>
      <c r="O28" s="252"/>
      <c r="P28" s="252"/>
      <c r="Q28" s="252"/>
      <c r="R28" s="253" t="s">
        <v>53</v>
      </c>
      <c r="S28" s="181" t="s">
        <v>141</v>
      </c>
      <c r="T28" s="212" t="s">
        <v>2380</v>
      </c>
      <c r="U28" s="178">
        <v>0.2</v>
      </c>
      <c r="V28" s="252">
        <v>0.2</v>
      </c>
      <c r="W28" s="162"/>
      <c r="X28" s="162" t="s">
        <v>143</v>
      </c>
      <c r="Y28" s="179"/>
      <c r="Z28" s="181"/>
      <c r="AA28" s="161"/>
      <c r="AB28" s="161"/>
      <c r="AC28" s="161"/>
      <c r="AD28" s="161"/>
      <c r="AE28" s="161"/>
      <c r="AF28" s="161"/>
      <c r="AG28" s="161"/>
      <c r="AH28" s="161" t="s">
        <v>1790</v>
      </c>
      <c r="AI28" s="161"/>
      <c r="AJ28" s="251"/>
      <c r="AK28" s="163"/>
      <c r="AL28" s="161"/>
      <c r="AM28" s="161"/>
      <c r="AN28" s="251"/>
      <c r="AO28" s="257"/>
      <c r="AP28" s="161"/>
    </row>
    <row r="29" spans="1:42">
      <c r="A29" s="117">
        <v>90</v>
      </c>
      <c r="B29" s="209" t="s">
        <v>2283</v>
      </c>
      <c r="C29" s="209" t="s">
        <v>2284</v>
      </c>
      <c r="D29" s="209" t="s">
        <v>1296</v>
      </c>
      <c r="E29" s="209" t="s">
        <v>2287</v>
      </c>
      <c r="F29" s="209" t="s">
        <v>2288</v>
      </c>
      <c r="G29" s="212" t="s">
        <v>2289</v>
      </c>
      <c r="H29" s="213">
        <v>810</v>
      </c>
      <c r="I29" s="144" t="s">
        <v>2273</v>
      </c>
      <c r="J29" s="144">
        <v>1</v>
      </c>
      <c r="K29" s="144"/>
      <c r="L29" s="213">
        <v>1</v>
      </c>
      <c r="M29" s="254">
        <v>7.6</v>
      </c>
      <c r="N29" s="254">
        <v>7.6</v>
      </c>
      <c r="O29" s="254">
        <v>1</v>
      </c>
      <c r="P29" s="254">
        <f>+L29-O29</f>
        <v>0</v>
      </c>
      <c r="Q29" s="270">
        <v>46302</v>
      </c>
      <c r="R29" s="255" t="s">
        <v>53</v>
      </c>
      <c r="S29" s="212" t="s">
        <v>141</v>
      </c>
      <c r="T29" s="212"/>
      <c r="U29" s="210">
        <v>0.2</v>
      </c>
      <c r="V29" s="210">
        <v>0.2</v>
      </c>
      <c r="W29" s="148"/>
      <c r="X29" s="148"/>
      <c r="Y29" s="211"/>
      <c r="Z29" s="212"/>
      <c r="AA29" s="117">
        <v>0</v>
      </c>
      <c r="AB29" s="117">
        <v>0</v>
      </c>
      <c r="AC29" s="117">
        <v>0</v>
      </c>
      <c r="AD29" s="117">
        <v>0</v>
      </c>
      <c r="AE29" s="117">
        <v>0</v>
      </c>
      <c r="AF29" s="117">
        <v>0</v>
      </c>
      <c r="AG29" s="117">
        <v>0</v>
      </c>
      <c r="AH29" s="117" t="s">
        <v>1790</v>
      </c>
      <c r="AI29" s="264" t="s">
        <v>2297</v>
      </c>
      <c r="AJ29" s="264">
        <v>1</v>
      </c>
      <c r="AK29" s="265">
        <v>46291</v>
      </c>
      <c r="AL29" s="258">
        <v>0</v>
      </c>
      <c r="AM29" s="258"/>
      <c r="AN29" s="259">
        <v>0</v>
      </c>
      <c r="AO29" s="261"/>
      <c r="AP29" s="258" t="e">
        <f>+B29-AN29</f>
        <v>#VALUE!</v>
      </c>
    </row>
    <row r="30" spans="1:42">
      <c r="A30" s="161">
        <v>91</v>
      </c>
      <c r="B30" s="177" t="s">
        <v>2310</v>
      </c>
      <c r="C30" s="177" t="s">
        <v>2311</v>
      </c>
      <c r="D30" s="177" t="s">
        <v>2285</v>
      </c>
      <c r="E30" s="177"/>
      <c r="F30" s="177"/>
      <c r="G30" s="181" t="s">
        <v>2312</v>
      </c>
      <c r="H30" s="251"/>
      <c r="I30" s="160"/>
      <c r="J30" s="160"/>
      <c r="K30" s="160">
        <v>2</v>
      </c>
      <c r="L30" s="251"/>
      <c r="M30" s="252">
        <v>6.5</v>
      </c>
      <c r="N30" s="252">
        <v>13.1</v>
      </c>
      <c r="O30" s="252"/>
      <c r="P30" s="252"/>
      <c r="Q30" s="252"/>
      <c r="R30" s="253" t="s">
        <v>53</v>
      </c>
      <c r="S30" s="181" t="s">
        <v>141</v>
      </c>
      <c r="T30" s="212" t="s">
        <v>2380</v>
      </c>
      <c r="U30" s="178">
        <v>0.2</v>
      </c>
      <c r="V30" s="252">
        <v>0.4</v>
      </c>
      <c r="W30" s="162"/>
      <c r="X30" s="162" t="s">
        <v>143</v>
      </c>
      <c r="Y30" s="179"/>
      <c r="Z30" s="181"/>
      <c r="AA30" s="161"/>
      <c r="AB30" s="161"/>
      <c r="AC30" s="161"/>
      <c r="AD30" s="161"/>
      <c r="AE30" s="161"/>
      <c r="AF30" s="161"/>
      <c r="AG30" s="161"/>
      <c r="AH30" s="161" t="s">
        <v>1790</v>
      </c>
      <c r="AI30" s="161"/>
      <c r="AJ30" s="251"/>
      <c r="AK30" s="163"/>
      <c r="AL30" s="161"/>
      <c r="AM30" s="161"/>
      <c r="AN30" s="251"/>
      <c r="AO30" s="257"/>
      <c r="AP30" s="161"/>
    </row>
    <row r="31" spans="1:42">
      <c r="A31" s="117">
        <v>92</v>
      </c>
      <c r="B31" s="209" t="s">
        <v>2310</v>
      </c>
      <c r="C31" s="209" t="s">
        <v>2311</v>
      </c>
      <c r="D31" s="209" t="s">
        <v>2293</v>
      </c>
      <c r="E31" s="209" t="s">
        <v>2313</v>
      </c>
      <c r="F31" s="209" t="s">
        <v>2314</v>
      </c>
      <c r="G31" s="212" t="s">
        <v>2296</v>
      </c>
      <c r="H31" s="213">
        <v>554</v>
      </c>
      <c r="I31" s="144" t="s">
        <v>2273</v>
      </c>
      <c r="J31" s="144">
        <v>1</v>
      </c>
      <c r="K31" s="144"/>
      <c r="L31" s="213">
        <v>2</v>
      </c>
      <c r="M31" s="254">
        <v>6.5</v>
      </c>
      <c r="N31" s="254">
        <v>13.1</v>
      </c>
      <c r="O31" s="254">
        <v>2</v>
      </c>
      <c r="P31" s="254">
        <f>+L31-O31</f>
        <v>0</v>
      </c>
      <c r="Q31" s="270">
        <v>46302</v>
      </c>
      <c r="R31" s="255" t="s">
        <v>53</v>
      </c>
      <c r="S31" s="212" t="s">
        <v>141</v>
      </c>
      <c r="T31" s="212"/>
      <c r="U31" s="210">
        <v>0.2</v>
      </c>
      <c r="V31" s="210">
        <v>0.4</v>
      </c>
      <c r="W31" s="148"/>
      <c r="X31" s="148"/>
      <c r="Y31" s="211"/>
      <c r="Z31" s="212"/>
      <c r="AA31" s="117">
        <v>0</v>
      </c>
      <c r="AB31" s="117">
        <v>0</v>
      </c>
      <c r="AC31" s="117">
        <v>0</v>
      </c>
      <c r="AD31" s="117">
        <v>0</v>
      </c>
      <c r="AE31" s="117">
        <v>0</v>
      </c>
      <c r="AF31" s="117">
        <v>0</v>
      </c>
      <c r="AG31" s="117">
        <v>0</v>
      </c>
      <c r="AH31" s="117" t="s">
        <v>1790</v>
      </c>
      <c r="AI31" s="264" t="s">
        <v>2297</v>
      </c>
      <c r="AJ31" s="264">
        <v>2</v>
      </c>
      <c r="AK31" s="265">
        <v>46291</v>
      </c>
      <c r="AL31" s="258">
        <v>0</v>
      </c>
      <c r="AM31" s="258"/>
      <c r="AN31" s="259">
        <v>0</v>
      </c>
      <c r="AO31" s="261"/>
      <c r="AP31" s="258" t="e">
        <f>+B31-AN31</f>
        <v>#VALUE!</v>
      </c>
    </row>
    <row r="32" spans="1:42">
      <c r="A32" s="161">
        <v>93</v>
      </c>
      <c r="B32" s="177" t="s">
        <v>2315</v>
      </c>
      <c r="C32" s="177" t="s">
        <v>2316</v>
      </c>
      <c r="D32" s="177" t="s">
        <v>2285</v>
      </c>
      <c r="E32" s="177"/>
      <c r="F32" s="177"/>
      <c r="G32" s="181" t="s">
        <v>2317</v>
      </c>
      <c r="H32" s="251"/>
      <c r="I32" s="160"/>
      <c r="J32" s="160"/>
      <c r="K32" s="160">
        <v>1</v>
      </c>
      <c r="L32" s="251"/>
      <c r="M32" s="252">
        <v>19.8</v>
      </c>
      <c r="N32" s="252">
        <v>19.8</v>
      </c>
      <c r="O32" s="252"/>
      <c r="P32" s="252"/>
      <c r="Q32" s="252"/>
      <c r="R32" s="253" t="s">
        <v>53</v>
      </c>
      <c r="S32" s="181" t="s">
        <v>141</v>
      </c>
      <c r="T32" s="266" t="s">
        <v>2380</v>
      </c>
      <c r="U32" s="178">
        <v>0.5</v>
      </c>
      <c r="V32" s="252">
        <v>0.5</v>
      </c>
      <c r="W32" s="162"/>
      <c r="X32" s="162" t="s">
        <v>143</v>
      </c>
      <c r="Y32" s="179"/>
      <c r="Z32" s="181"/>
      <c r="AA32" s="161"/>
      <c r="AB32" s="161"/>
      <c r="AC32" s="161"/>
      <c r="AD32" s="161"/>
      <c r="AE32" s="161"/>
      <c r="AF32" s="161"/>
      <c r="AG32" s="161"/>
      <c r="AH32" s="161" t="s">
        <v>1790</v>
      </c>
      <c r="AI32" s="267"/>
      <c r="AJ32" s="251"/>
      <c r="AK32" s="163"/>
      <c r="AL32" s="161"/>
      <c r="AM32" s="161"/>
      <c r="AN32" s="251"/>
      <c r="AO32" s="257"/>
      <c r="AP32" s="161"/>
    </row>
    <row r="33" spans="1:42">
      <c r="A33" s="117">
        <v>94</v>
      </c>
      <c r="B33" s="209" t="s">
        <v>2315</v>
      </c>
      <c r="C33" s="209" t="s">
        <v>2316</v>
      </c>
      <c r="D33" s="209" t="s">
        <v>2293</v>
      </c>
      <c r="E33" s="209" t="s">
        <v>2318</v>
      </c>
      <c r="F33" s="209" t="s">
        <v>2319</v>
      </c>
      <c r="G33" s="212" t="s">
        <v>2296</v>
      </c>
      <c r="H33" s="213">
        <v>1596</v>
      </c>
      <c r="I33" s="144" t="s">
        <v>2273</v>
      </c>
      <c r="J33" s="144">
        <v>1</v>
      </c>
      <c r="K33" s="144"/>
      <c r="L33" s="213">
        <v>1</v>
      </c>
      <c r="M33" s="254">
        <v>19.8</v>
      </c>
      <c r="N33" s="254">
        <v>19.8</v>
      </c>
      <c r="O33" s="254">
        <v>1</v>
      </c>
      <c r="P33" s="254">
        <f>+L33-O33</f>
        <v>0</v>
      </c>
      <c r="Q33" s="270">
        <v>46302</v>
      </c>
      <c r="R33" s="255" t="s">
        <v>53</v>
      </c>
      <c r="S33" s="212" t="s">
        <v>141</v>
      </c>
      <c r="T33" s="266"/>
      <c r="U33" s="210">
        <v>0.5</v>
      </c>
      <c r="V33" s="210">
        <v>0.5</v>
      </c>
      <c r="W33" s="148"/>
      <c r="X33" s="148"/>
      <c r="Y33" s="211"/>
      <c r="Z33" s="212"/>
      <c r="AA33" s="117">
        <v>0</v>
      </c>
      <c r="AB33" s="117">
        <v>0</v>
      </c>
      <c r="AC33" s="117">
        <v>0</v>
      </c>
      <c r="AD33" s="117">
        <v>0</v>
      </c>
      <c r="AE33" s="117">
        <v>0</v>
      </c>
      <c r="AF33" s="117">
        <v>0</v>
      </c>
      <c r="AG33" s="117">
        <v>0</v>
      </c>
      <c r="AH33" s="117" t="s">
        <v>1790</v>
      </c>
      <c r="AI33" s="264" t="s">
        <v>2297</v>
      </c>
      <c r="AJ33" s="264">
        <v>1</v>
      </c>
      <c r="AK33" s="265">
        <v>46291</v>
      </c>
      <c r="AL33" s="258">
        <v>0</v>
      </c>
      <c r="AM33" s="258"/>
      <c r="AN33" s="259">
        <v>0</v>
      </c>
      <c r="AO33" s="261"/>
      <c r="AP33" s="258" t="e">
        <f>+B33-AN33</f>
        <v>#VALUE!</v>
      </c>
    </row>
    <row r="34" spans="1:42">
      <c r="A34" s="161">
        <v>121</v>
      </c>
      <c r="B34" s="177" t="s">
        <v>2320</v>
      </c>
      <c r="C34" s="177" t="s">
        <v>2321</v>
      </c>
      <c r="D34" s="177" t="s">
        <v>2285</v>
      </c>
      <c r="E34" s="177"/>
      <c r="F34" s="177"/>
      <c r="G34" s="181" t="s">
        <v>2322</v>
      </c>
      <c r="H34" s="251"/>
      <c r="I34" s="160"/>
      <c r="J34" s="160"/>
      <c r="K34" s="160">
        <v>3</v>
      </c>
      <c r="L34" s="251"/>
      <c r="M34" s="252">
        <v>23.3</v>
      </c>
      <c r="N34" s="252">
        <v>69.900000000000006</v>
      </c>
      <c r="O34" s="252"/>
      <c r="P34" s="252"/>
      <c r="Q34" s="252"/>
      <c r="R34" s="253" t="s">
        <v>53</v>
      </c>
      <c r="S34" s="181" t="s">
        <v>141</v>
      </c>
      <c r="T34" s="212" t="s">
        <v>2380</v>
      </c>
      <c r="U34" s="178">
        <v>0.6</v>
      </c>
      <c r="V34" s="252">
        <v>1.7999999999999998</v>
      </c>
      <c r="W34" s="162"/>
      <c r="X34" s="162" t="s">
        <v>143</v>
      </c>
      <c r="Y34" s="179"/>
      <c r="Z34" s="181"/>
      <c r="AA34" s="161"/>
      <c r="AB34" s="161"/>
      <c r="AC34" s="161"/>
      <c r="AD34" s="161"/>
      <c r="AE34" s="161"/>
      <c r="AF34" s="161"/>
      <c r="AG34" s="161"/>
      <c r="AH34" s="161" t="s">
        <v>1790</v>
      </c>
      <c r="AI34" s="267"/>
      <c r="AJ34" s="251"/>
      <c r="AK34" s="163"/>
      <c r="AL34" s="161"/>
      <c r="AM34" s="161"/>
      <c r="AN34" s="251"/>
      <c r="AO34" s="257"/>
      <c r="AP34" s="161"/>
    </row>
    <row r="35" spans="1:42">
      <c r="A35" s="117">
        <v>122</v>
      </c>
      <c r="B35" s="209" t="s">
        <v>2320</v>
      </c>
      <c r="C35" s="209" t="s">
        <v>2321</v>
      </c>
      <c r="D35" s="209" t="s">
        <v>2293</v>
      </c>
      <c r="E35" s="209" t="s">
        <v>2323</v>
      </c>
      <c r="F35" s="209" t="s">
        <v>2324</v>
      </c>
      <c r="G35" s="212" t="s">
        <v>2296</v>
      </c>
      <c r="H35" s="213">
        <v>1892</v>
      </c>
      <c r="I35" s="144" t="s">
        <v>2273</v>
      </c>
      <c r="J35" s="144">
        <v>1</v>
      </c>
      <c r="K35" s="144"/>
      <c r="L35" s="213">
        <v>3</v>
      </c>
      <c r="M35" s="254">
        <v>23.3</v>
      </c>
      <c r="N35" s="254">
        <v>69.900000000000006</v>
      </c>
      <c r="O35" s="254">
        <v>3</v>
      </c>
      <c r="P35" s="254">
        <f>+L35-O35</f>
        <v>0</v>
      </c>
      <c r="Q35" s="270">
        <v>46302</v>
      </c>
      <c r="R35" s="255" t="s">
        <v>53</v>
      </c>
      <c r="S35" s="212" t="s">
        <v>141</v>
      </c>
      <c r="T35" s="212"/>
      <c r="U35" s="210">
        <v>0.6</v>
      </c>
      <c r="V35" s="254">
        <v>1.7999999999999998</v>
      </c>
      <c r="W35" s="148"/>
      <c r="X35" s="148"/>
      <c r="Y35" s="211"/>
      <c r="Z35" s="212"/>
      <c r="AA35" s="117">
        <v>0</v>
      </c>
      <c r="AB35" s="117">
        <v>0</v>
      </c>
      <c r="AC35" s="117">
        <v>0</v>
      </c>
      <c r="AD35" s="117">
        <v>0</v>
      </c>
      <c r="AE35" s="117">
        <v>0</v>
      </c>
      <c r="AF35" s="117">
        <v>0</v>
      </c>
      <c r="AG35" s="117">
        <v>0</v>
      </c>
      <c r="AH35" s="117" t="s">
        <v>1790</v>
      </c>
      <c r="AI35" s="264" t="s">
        <v>2297</v>
      </c>
      <c r="AJ35" s="264">
        <v>3</v>
      </c>
      <c r="AK35" s="265">
        <v>46291</v>
      </c>
      <c r="AL35" s="258">
        <v>0</v>
      </c>
      <c r="AM35" s="258"/>
      <c r="AN35" s="259">
        <v>0</v>
      </c>
      <c r="AO35" s="261"/>
      <c r="AP35" s="258" t="e">
        <f>+B35-AN35</f>
        <v>#VALUE!</v>
      </c>
    </row>
    <row r="36" spans="1:42">
      <c r="A36" s="161">
        <v>123</v>
      </c>
      <c r="B36" s="177" t="s">
        <v>2325</v>
      </c>
      <c r="C36" s="177" t="s">
        <v>2326</v>
      </c>
      <c r="D36" s="177" t="s">
        <v>2285</v>
      </c>
      <c r="E36" s="177"/>
      <c r="F36" s="177"/>
      <c r="G36" s="181" t="s">
        <v>2327</v>
      </c>
      <c r="H36" s="251"/>
      <c r="I36" s="160"/>
      <c r="J36" s="160"/>
      <c r="K36" s="160">
        <v>3</v>
      </c>
      <c r="L36" s="251"/>
      <c r="M36" s="252">
        <v>19.8</v>
      </c>
      <c r="N36" s="252">
        <v>59.400000000000006</v>
      </c>
      <c r="O36" s="252"/>
      <c r="P36" s="252"/>
      <c r="Q36" s="252"/>
      <c r="R36" s="253" t="s">
        <v>53</v>
      </c>
      <c r="S36" s="181" t="s">
        <v>141</v>
      </c>
      <c r="T36" s="212" t="s">
        <v>2380</v>
      </c>
      <c r="U36" s="178">
        <v>0.5</v>
      </c>
      <c r="V36" s="252">
        <v>1.5</v>
      </c>
      <c r="W36" s="162"/>
      <c r="X36" s="162" t="s">
        <v>143</v>
      </c>
      <c r="Y36" s="179"/>
      <c r="Z36" s="181"/>
      <c r="AA36" s="161"/>
      <c r="AB36" s="161"/>
      <c r="AC36" s="161"/>
      <c r="AD36" s="161"/>
      <c r="AE36" s="161"/>
      <c r="AF36" s="161"/>
      <c r="AG36" s="161"/>
      <c r="AH36" s="161" t="s">
        <v>1790</v>
      </c>
      <c r="AI36" s="161"/>
      <c r="AJ36" s="251"/>
      <c r="AK36" s="163"/>
      <c r="AL36" s="161"/>
      <c r="AM36" s="161"/>
      <c r="AN36" s="251"/>
      <c r="AO36" s="257"/>
      <c r="AP36" s="161"/>
    </row>
    <row r="37" spans="1:42">
      <c r="A37" s="117">
        <v>124</v>
      </c>
      <c r="B37" s="209" t="s">
        <v>2325</v>
      </c>
      <c r="C37" s="209" t="s">
        <v>2326</v>
      </c>
      <c r="D37" s="209" t="s">
        <v>2293</v>
      </c>
      <c r="E37" s="209" t="s">
        <v>2328</v>
      </c>
      <c r="F37" s="209" t="s">
        <v>2329</v>
      </c>
      <c r="G37" s="212" t="s">
        <v>2296</v>
      </c>
      <c r="H37" s="213">
        <v>1599</v>
      </c>
      <c r="I37" s="144" t="s">
        <v>2273</v>
      </c>
      <c r="J37" s="144">
        <v>1</v>
      </c>
      <c r="K37" s="144"/>
      <c r="L37" s="213">
        <v>3</v>
      </c>
      <c r="M37" s="254">
        <v>19.8</v>
      </c>
      <c r="N37" s="254">
        <v>59.400000000000006</v>
      </c>
      <c r="O37" s="254">
        <v>3</v>
      </c>
      <c r="P37" s="254">
        <f>+L37-O37</f>
        <v>0</v>
      </c>
      <c r="Q37" s="270">
        <v>46302</v>
      </c>
      <c r="R37" s="255" t="s">
        <v>53</v>
      </c>
      <c r="S37" s="212" t="s">
        <v>141</v>
      </c>
      <c r="T37" s="212"/>
      <c r="U37" s="210">
        <v>0.5</v>
      </c>
      <c r="V37" s="254">
        <v>1.5</v>
      </c>
      <c r="W37" s="148"/>
      <c r="X37" s="148"/>
      <c r="Y37" s="211"/>
      <c r="Z37" s="212"/>
      <c r="AA37" s="117">
        <v>0</v>
      </c>
      <c r="AB37" s="117">
        <v>0</v>
      </c>
      <c r="AC37" s="117">
        <v>0</v>
      </c>
      <c r="AD37" s="117">
        <v>0</v>
      </c>
      <c r="AE37" s="117">
        <v>0</v>
      </c>
      <c r="AF37" s="117">
        <v>0</v>
      </c>
      <c r="AG37" s="117">
        <v>0</v>
      </c>
      <c r="AH37" s="117" t="s">
        <v>1790</v>
      </c>
      <c r="AI37" s="264" t="s">
        <v>2297</v>
      </c>
      <c r="AJ37" s="264">
        <v>3</v>
      </c>
      <c r="AK37" s="265">
        <v>46291</v>
      </c>
      <c r="AL37" s="258">
        <v>0</v>
      </c>
      <c r="AM37" s="258"/>
      <c r="AN37" s="259">
        <v>0</v>
      </c>
      <c r="AO37" s="261"/>
      <c r="AP37" s="258" t="e">
        <f>+B37-AN37</f>
        <v>#VALUE!</v>
      </c>
    </row>
    <row r="38" spans="1:42">
      <c r="A38" s="161">
        <v>133</v>
      </c>
      <c r="B38" s="177" t="s">
        <v>2330</v>
      </c>
      <c r="C38" s="177" t="s">
        <v>2331</v>
      </c>
      <c r="D38" s="177" t="s">
        <v>2285</v>
      </c>
      <c r="E38" s="177"/>
      <c r="F38" s="177"/>
      <c r="G38" s="181" t="s">
        <v>2332</v>
      </c>
      <c r="H38" s="251"/>
      <c r="I38" s="160"/>
      <c r="J38" s="160"/>
      <c r="K38" s="160">
        <v>1</v>
      </c>
      <c r="L38" s="251"/>
      <c r="M38" s="252">
        <v>28.4</v>
      </c>
      <c r="N38" s="252">
        <v>28.4</v>
      </c>
      <c r="O38" s="252"/>
      <c r="P38" s="252"/>
      <c r="Q38" s="252"/>
      <c r="R38" s="253"/>
      <c r="S38" s="181" t="s">
        <v>141</v>
      </c>
      <c r="T38" s="266" t="s">
        <v>2381</v>
      </c>
      <c r="U38" s="178">
        <v>1.8</v>
      </c>
      <c r="V38" s="252">
        <v>1.8</v>
      </c>
      <c r="W38" s="162"/>
      <c r="X38" s="162" t="s">
        <v>143</v>
      </c>
      <c r="Y38" s="179"/>
      <c r="Z38" s="181"/>
      <c r="AA38" s="161"/>
      <c r="AB38" s="161"/>
      <c r="AC38" s="161"/>
      <c r="AD38" s="161"/>
      <c r="AE38" s="161"/>
      <c r="AF38" s="161"/>
      <c r="AG38" s="161"/>
      <c r="AH38" s="161" t="s">
        <v>1790</v>
      </c>
      <c r="AI38" s="267"/>
      <c r="AJ38" s="251"/>
      <c r="AK38" s="163"/>
      <c r="AL38" s="161"/>
      <c r="AM38" s="161"/>
      <c r="AN38" s="251"/>
      <c r="AO38" s="257"/>
      <c r="AP38" s="161"/>
    </row>
    <row r="39" spans="1:42">
      <c r="A39" s="117">
        <v>134</v>
      </c>
      <c r="B39" s="209" t="s">
        <v>2330</v>
      </c>
      <c r="C39" s="209" t="s">
        <v>2331</v>
      </c>
      <c r="D39" s="209" t="s">
        <v>2333</v>
      </c>
      <c r="E39" s="209" t="s">
        <v>2334</v>
      </c>
      <c r="F39" s="209" t="s">
        <v>2335</v>
      </c>
      <c r="G39" s="212" t="s">
        <v>2336</v>
      </c>
      <c r="H39" s="213">
        <v>2100</v>
      </c>
      <c r="I39" s="144" t="s">
        <v>2273</v>
      </c>
      <c r="J39" s="144">
        <v>1</v>
      </c>
      <c r="K39" s="144"/>
      <c r="L39" s="213">
        <v>1</v>
      </c>
      <c r="M39" s="254">
        <v>12.7</v>
      </c>
      <c r="N39" s="254">
        <v>12.7</v>
      </c>
      <c r="O39" s="254"/>
      <c r="P39" s="254">
        <f t="shared" ref="P39:P42" si="7">+L39-O39</f>
        <v>1</v>
      </c>
      <c r="Q39" s="254"/>
      <c r="R39" s="255"/>
      <c r="S39" s="212" t="s">
        <v>141</v>
      </c>
      <c r="T39" s="266"/>
      <c r="U39" s="210">
        <v>0.8</v>
      </c>
      <c r="V39" s="210">
        <v>0.8</v>
      </c>
      <c r="W39" s="148"/>
      <c r="X39" s="148"/>
      <c r="Y39" s="211"/>
      <c r="Z39" s="212"/>
      <c r="AA39" s="117">
        <v>0</v>
      </c>
      <c r="AB39" s="117">
        <v>0</v>
      </c>
      <c r="AC39" s="117">
        <v>0</v>
      </c>
      <c r="AD39" s="117">
        <v>0</v>
      </c>
      <c r="AE39" s="117">
        <v>0</v>
      </c>
      <c r="AF39" s="117">
        <v>0</v>
      </c>
      <c r="AG39" s="117">
        <v>0</v>
      </c>
      <c r="AH39" s="117" t="s">
        <v>1790</v>
      </c>
      <c r="AI39" s="258"/>
      <c r="AJ39" s="259"/>
      <c r="AK39" s="260"/>
      <c r="AL39" s="258">
        <v>1</v>
      </c>
      <c r="AM39" s="258"/>
      <c r="AN39" s="259">
        <v>2</v>
      </c>
      <c r="AO39" s="261"/>
      <c r="AP39" s="258" t="e">
        <f t="shared" ref="AP39:AP42" si="8">+B39-AN39</f>
        <v>#VALUE!</v>
      </c>
    </row>
    <row r="40" spans="1:42">
      <c r="A40" s="117">
        <v>135</v>
      </c>
      <c r="B40" s="209" t="s">
        <v>2330</v>
      </c>
      <c r="C40" s="209" t="s">
        <v>2331</v>
      </c>
      <c r="D40" s="209" t="s">
        <v>2333</v>
      </c>
      <c r="E40" s="209" t="s">
        <v>2337</v>
      </c>
      <c r="F40" s="209" t="s">
        <v>2338</v>
      </c>
      <c r="G40" s="212" t="s">
        <v>2336</v>
      </c>
      <c r="H40" s="213">
        <v>985</v>
      </c>
      <c r="I40" s="144" t="s">
        <v>2273</v>
      </c>
      <c r="J40" s="144">
        <v>2</v>
      </c>
      <c r="K40" s="144"/>
      <c r="L40" s="213">
        <v>2</v>
      </c>
      <c r="M40" s="254">
        <v>5.9</v>
      </c>
      <c r="N40" s="254">
        <v>11.9</v>
      </c>
      <c r="O40" s="254"/>
      <c r="P40" s="254">
        <f t="shared" si="7"/>
        <v>2</v>
      </c>
      <c r="Q40" s="254"/>
      <c r="R40" s="255"/>
      <c r="S40" s="212" t="s">
        <v>141</v>
      </c>
      <c r="T40" s="223"/>
      <c r="U40" s="210">
        <v>0.4</v>
      </c>
      <c r="V40" s="210">
        <v>0.8</v>
      </c>
      <c r="W40" s="148"/>
      <c r="X40" s="148"/>
      <c r="Y40" s="211"/>
      <c r="Z40" s="212"/>
      <c r="AA40" s="117">
        <v>0</v>
      </c>
      <c r="AB40" s="117">
        <v>0</v>
      </c>
      <c r="AC40" s="117">
        <v>0</v>
      </c>
      <c r="AD40" s="117">
        <v>0</v>
      </c>
      <c r="AE40" s="117">
        <v>0</v>
      </c>
      <c r="AF40" s="117">
        <v>0</v>
      </c>
      <c r="AG40" s="117">
        <v>0</v>
      </c>
      <c r="AH40" s="117" t="s">
        <v>1790</v>
      </c>
      <c r="AI40" s="258"/>
      <c r="AJ40" s="259"/>
      <c r="AK40" s="260"/>
      <c r="AL40" s="258">
        <v>2</v>
      </c>
      <c r="AM40" s="258"/>
      <c r="AN40" s="259">
        <v>4</v>
      </c>
      <c r="AO40" s="261"/>
      <c r="AP40" s="258" t="e">
        <f t="shared" si="8"/>
        <v>#VALUE!</v>
      </c>
    </row>
    <row r="41" spans="1:42">
      <c r="A41" s="117">
        <v>136</v>
      </c>
      <c r="B41" s="209" t="s">
        <v>2330</v>
      </c>
      <c r="C41" s="209" t="s">
        <v>2331</v>
      </c>
      <c r="D41" s="209" t="s">
        <v>1296</v>
      </c>
      <c r="E41" s="209" t="s">
        <v>2339</v>
      </c>
      <c r="F41" s="209" t="s">
        <v>2340</v>
      </c>
      <c r="G41" s="212" t="s">
        <v>2341</v>
      </c>
      <c r="H41" s="213">
        <v>120</v>
      </c>
      <c r="I41" s="144" t="s">
        <v>2273</v>
      </c>
      <c r="J41" s="144">
        <v>4</v>
      </c>
      <c r="K41" s="144"/>
      <c r="L41" s="213">
        <v>4</v>
      </c>
      <c r="M41" s="254">
        <v>0.6</v>
      </c>
      <c r="N41" s="254">
        <v>2.5</v>
      </c>
      <c r="O41" s="254">
        <v>4</v>
      </c>
      <c r="P41" s="254">
        <f t="shared" si="7"/>
        <v>0</v>
      </c>
      <c r="Q41" s="270">
        <v>46283</v>
      </c>
      <c r="R41" s="255"/>
      <c r="S41" s="212" t="s">
        <v>141</v>
      </c>
      <c r="T41" s="181"/>
      <c r="U41" s="210">
        <v>0</v>
      </c>
      <c r="V41" s="210">
        <v>0.1</v>
      </c>
      <c r="W41" s="256"/>
      <c r="X41" s="148"/>
      <c r="Y41" s="211"/>
      <c r="Z41" s="212"/>
      <c r="AA41" s="117">
        <v>0</v>
      </c>
      <c r="AB41" s="117">
        <v>0</v>
      </c>
      <c r="AC41" s="117">
        <v>0</v>
      </c>
      <c r="AD41" s="117">
        <v>0</v>
      </c>
      <c r="AE41" s="117">
        <v>0</v>
      </c>
      <c r="AF41" s="117">
        <v>0</v>
      </c>
      <c r="AG41" s="117">
        <v>0</v>
      </c>
      <c r="AH41" s="117" t="s">
        <v>1790</v>
      </c>
      <c r="AI41" s="258"/>
      <c r="AJ41" s="259"/>
      <c r="AK41" s="260"/>
      <c r="AL41" s="258">
        <v>4</v>
      </c>
      <c r="AM41" s="258"/>
      <c r="AN41" s="259">
        <v>8</v>
      </c>
      <c r="AO41" s="261"/>
      <c r="AP41" s="258" t="e">
        <f t="shared" si="8"/>
        <v>#VALUE!</v>
      </c>
    </row>
    <row r="42" spans="1:42">
      <c r="A42" s="117">
        <v>137</v>
      </c>
      <c r="B42" s="209" t="s">
        <v>2330</v>
      </c>
      <c r="C42" s="209" t="s">
        <v>2331</v>
      </c>
      <c r="D42" s="209" t="s">
        <v>1296</v>
      </c>
      <c r="E42" s="209" t="s">
        <v>2342</v>
      </c>
      <c r="F42" s="209" t="s">
        <v>2343</v>
      </c>
      <c r="G42" s="212" t="s">
        <v>2344</v>
      </c>
      <c r="H42" s="213">
        <v>133</v>
      </c>
      <c r="I42" s="144" t="s">
        <v>2273</v>
      </c>
      <c r="J42" s="144">
        <v>1</v>
      </c>
      <c r="K42" s="144"/>
      <c r="L42" s="213">
        <v>1</v>
      </c>
      <c r="M42" s="254">
        <v>1.4</v>
      </c>
      <c r="N42" s="254">
        <v>1.4</v>
      </c>
      <c r="O42" s="254">
        <v>1</v>
      </c>
      <c r="P42" s="254">
        <f t="shared" si="7"/>
        <v>0</v>
      </c>
      <c r="Q42" s="270">
        <v>46283</v>
      </c>
      <c r="R42" s="255"/>
      <c r="S42" s="212" t="s">
        <v>141</v>
      </c>
      <c r="T42" s="212"/>
      <c r="U42" s="210">
        <v>0.1</v>
      </c>
      <c r="V42" s="210">
        <v>0.1</v>
      </c>
      <c r="W42" s="148"/>
      <c r="X42" s="148"/>
      <c r="Y42" s="211"/>
      <c r="Z42" s="212"/>
      <c r="AA42" s="117">
        <v>0</v>
      </c>
      <c r="AB42" s="117">
        <v>0</v>
      </c>
      <c r="AC42" s="117">
        <v>0</v>
      </c>
      <c r="AD42" s="117">
        <v>0</v>
      </c>
      <c r="AE42" s="117">
        <v>0</v>
      </c>
      <c r="AF42" s="117">
        <v>0</v>
      </c>
      <c r="AG42" s="117">
        <v>0</v>
      </c>
      <c r="AH42" s="117" t="s">
        <v>1790</v>
      </c>
      <c r="AI42" s="258"/>
      <c r="AJ42" s="259"/>
      <c r="AK42" s="260"/>
      <c r="AL42" s="258">
        <v>1</v>
      </c>
      <c r="AM42" s="258"/>
      <c r="AN42" s="259">
        <v>2</v>
      </c>
      <c r="AO42" s="261"/>
      <c r="AP42" s="258" t="e">
        <f t="shared" si="8"/>
        <v>#VALUE!</v>
      </c>
    </row>
    <row r="43" spans="1:42">
      <c r="A43" s="161">
        <v>138</v>
      </c>
      <c r="B43" s="177" t="s">
        <v>2345</v>
      </c>
      <c r="C43" s="177" t="s">
        <v>2346</v>
      </c>
      <c r="D43" s="177" t="s">
        <v>2285</v>
      </c>
      <c r="E43" s="177"/>
      <c r="F43" s="177"/>
      <c r="G43" s="181" t="s">
        <v>2347</v>
      </c>
      <c r="H43" s="251"/>
      <c r="I43" s="160"/>
      <c r="J43" s="160"/>
      <c r="K43" s="160">
        <v>1</v>
      </c>
      <c r="L43" s="251"/>
      <c r="M43" s="252">
        <v>9.1999999999999993</v>
      </c>
      <c r="N43" s="252">
        <v>9.1999999999999993</v>
      </c>
      <c r="O43" s="252"/>
      <c r="P43" s="252"/>
      <c r="Q43" s="252"/>
      <c r="R43" s="253"/>
      <c r="S43" s="181" t="s">
        <v>141</v>
      </c>
      <c r="T43" s="212" t="s">
        <v>2381</v>
      </c>
      <c r="U43" s="178">
        <v>0.3</v>
      </c>
      <c r="V43" s="252">
        <v>0.3</v>
      </c>
      <c r="W43" s="162"/>
      <c r="X43" s="162" t="s">
        <v>143</v>
      </c>
      <c r="Y43" s="179"/>
      <c r="Z43" s="181"/>
      <c r="AA43" s="161"/>
      <c r="AB43" s="161"/>
      <c r="AC43" s="161"/>
      <c r="AD43" s="161"/>
      <c r="AE43" s="161"/>
      <c r="AF43" s="161"/>
      <c r="AG43" s="161"/>
      <c r="AH43" s="161" t="s">
        <v>1790</v>
      </c>
      <c r="AI43" s="161"/>
      <c r="AJ43" s="251"/>
      <c r="AK43" s="163"/>
      <c r="AL43" s="161"/>
      <c r="AM43" s="161"/>
      <c r="AN43" s="251"/>
      <c r="AO43" s="257"/>
      <c r="AP43" s="161"/>
    </row>
    <row r="44" spans="1:42">
      <c r="A44" s="117">
        <v>139</v>
      </c>
      <c r="B44" s="209" t="s">
        <v>2345</v>
      </c>
      <c r="C44" s="209" t="s">
        <v>2346</v>
      </c>
      <c r="D44" s="209" t="s">
        <v>1296</v>
      </c>
      <c r="E44" s="209" t="s">
        <v>2348</v>
      </c>
      <c r="F44" s="209" t="s">
        <v>2349</v>
      </c>
      <c r="G44" s="212" t="s">
        <v>2289</v>
      </c>
      <c r="H44" s="213">
        <v>965</v>
      </c>
      <c r="I44" s="144" t="s">
        <v>2273</v>
      </c>
      <c r="J44" s="144">
        <v>1</v>
      </c>
      <c r="K44" s="144"/>
      <c r="L44" s="213">
        <v>1</v>
      </c>
      <c r="M44" s="254">
        <v>9.1999999999999993</v>
      </c>
      <c r="N44" s="254">
        <v>9.1999999999999993</v>
      </c>
      <c r="O44" s="254">
        <v>1</v>
      </c>
      <c r="P44" s="254">
        <f>+L44-O44</f>
        <v>0</v>
      </c>
      <c r="Q44" s="270">
        <v>46302</v>
      </c>
      <c r="R44" s="255"/>
      <c r="S44" s="212" t="s">
        <v>141</v>
      </c>
      <c r="T44" s="212"/>
      <c r="U44" s="210">
        <v>0.3</v>
      </c>
      <c r="V44" s="210">
        <v>0.3</v>
      </c>
      <c r="W44" s="148"/>
      <c r="X44" s="148"/>
      <c r="Y44" s="211"/>
      <c r="Z44" s="212"/>
      <c r="AA44" s="117">
        <v>0</v>
      </c>
      <c r="AB44" s="117">
        <v>0</v>
      </c>
      <c r="AC44" s="117">
        <v>0</v>
      </c>
      <c r="AD44" s="117">
        <v>0</v>
      </c>
      <c r="AE44" s="117">
        <v>0</v>
      </c>
      <c r="AF44" s="117">
        <v>0</v>
      </c>
      <c r="AG44" s="117">
        <v>0</v>
      </c>
      <c r="AH44" s="117" t="s">
        <v>1790</v>
      </c>
      <c r="AI44" s="264" t="s">
        <v>2297</v>
      </c>
      <c r="AJ44" s="264">
        <v>1</v>
      </c>
      <c r="AK44" s="265">
        <v>46291</v>
      </c>
      <c r="AL44" s="258">
        <v>0</v>
      </c>
      <c r="AM44" s="258"/>
      <c r="AN44" s="259">
        <v>0</v>
      </c>
      <c r="AO44" s="261"/>
      <c r="AP44" s="258" t="e">
        <f>+B44-AN44</f>
        <v>#VALUE!</v>
      </c>
    </row>
    <row r="45" spans="1:42">
      <c r="A45" s="161">
        <v>140</v>
      </c>
      <c r="B45" s="177" t="s">
        <v>2350</v>
      </c>
      <c r="C45" s="177" t="s">
        <v>2351</v>
      </c>
      <c r="D45" s="177" t="s">
        <v>2285</v>
      </c>
      <c r="E45" s="177"/>
      <c r="F45" s="177"/>
      <c r="G45" s="181" t="s">
        <v>2352</v>
      </c>
      <c r="H45" s="251"/>
      <c r="I45" s="160"/>
      <c r="J45" s="160"/>
      <c r="K45" s="160">
        <v>1</v>
      </c>
      <c r="L45" s="251"/>
      <c r="M45" s="252">
        <v>26</v>
      </c>
      <c r="N45" s="252">
        <v>26</v>
      </c>
      <c r="O45" s="252"/>
      <c r="P45" s="252"/>
      <c r="Q45" s="252"/>
      <c r="R45" s="253"/>
      <c r="S45" s="181" t="s">
        <v>141</v>
      </c>
      <c r="T45" s="212" t="s">
        <v>2381</v>
      </c>
      <c r="U45" s="178">
        <v>1.6</v>
      </c>
      <c r="V45" s="252">
        <v>1.6</v>
      </c>
      <c r="W45" s="162"/>
      <c r="X45" s="162" t="s">
        <v>143</v>
      </c>
      <c r="Y45" s="179"/>
      <c r="Z45" s="181"/>
      <c r="AA45" s="161"/>
      <c r="AB45" s="161"/>
      <c r="AC45" s="161"/>
      <c r="AD45" s="161"/>
      <c r="AE45" s="161"/>
      <c r="AF45" s="161"/>
      <c r="AG45" s="161"/>
      <c r="AH45" s="161" t="s">
        <v>1790</v>
      </c>
      <c r="AI45" s="161"/>
      <c r="AJ45" s="161"/>
      <c r="AK45" s="163"/>
      <c r="AL45" s="161"/>
      <c r="AM45" s="161"/>
      <c r="AN45" s="161"/>
      <c r="AO45" s="257"/>
      <c r="AP45" s="161"/>
    </row>
    <row r="46" spans="1:42">
      <c r="A46" s="117">
        <v>141</v>
      </c>
      <c r="B46" s="209" t="s">
        <v>2350</v>
      </c>
      <c r="C46" s="209" t="s">
        <v>2351</v>
      </c>
      <c r="D46" s="209" t="s">
        <v>2333</v>
      </c>
      <c r="E46" s="209" t="s">
        <v>2353</v>
      </c>
      <c r="F46" s="209" t="s">
        <v>2354</v>
      </c>
      <c r="G46" s="212" t="s">
        <v>2336</v>
      </c>
      <c r="H46" s="213">
        <v>885</v>
      </c>
      <c r="I46" s="144" t="s">
        <v>2273</v>
      </c>
      <c r="J46" s="144">
        <v>2</v>
      </c>
      <c r="K46" s="144"/>
      <c r="L46" s="213">
        <v>2</v>
      </c>
      <c r="M46" s="254">
        <v>5.3</v>
      </c>
      <c r="N46" s="254">
        <v>10.7</v>
      </c>
      <c r="O46" s="254"/>
      <c r="P46" s="254">
        <f t="shared" ref="P46:P49" si="9">+L46-O46</f>
        <v>2</v>
      </c>
      <c r="Q46" s="254"/>
      <c r="R46" s="255"/>
      <c r="S46" s="212" t="s">
        <v>141</v>
      </c>
      <c r="T46" s="212"/>
      <c r="U46" s="210">
        <v>0.3</v>
      </c>
      <c r="V46" s="210">
        <v>0.7</v>
      </c>
      <c r="W46" s="148"/>
      <c r="X46" s="148"/>
      <c r="Y46" s="211"/>
      <c r="Z46" s="212"/>
      <c r="AA46" s="117">
        <v>0</v>
      </c>
      <c r="AB46" s="117">
        <v>0</v>
      </c>
      <c r="AC46" s="117">
        <v>0</v>
      </c>
      <c r="AD46" s="117">
        <v>0</v>
      </c>
      <c r="AE46" s="117">
        <v>0</v>
      </c>
      <c r="AF46" s="117">
        <v>0</v>
      </c>
      <c r="AG46" s="117">
        <v>0</v>
      </c>
      <c r="AH46" s="117" t="s">
        <v>1790</v>
      </c>
      <c r="AI46" s="258"/>
      <c r="AJ46" s="259"/>
      <c r="AK46" s="260"/>
      <c r="AL46" s="258">
        <v>2</v>
      </c>
      <c r="AM46" s="258"/>
      <c r="AN46" s="259">
        <v>4</v>
      </c>
      <c r="AO46" s="261"/>
      <c r="AP46" s="258" t="e">
        <f t="shared" ref="AP46:AP49" si="10">+B46-AN46</f>
        <v>#VALUE!</v>
      </c>
    </row>
    <row r="47" spans="1:42">
      <c r="A47" s="117">
        <v>142</v>
      </c>
      <c r="B47" s="209" t="s">
        <v>2350</v>
      </c>
      <c r="C47" s="209" t="s">
        <v>2351</v>
      </c>
      <c r="D47" s="209" t="s">
        <v>2333</v>
      </c>
      <c r="E47" s="209" t="s">
        <v>2355</v>
      </c>
      <c r="F47" s="209" t="s">
        <v>2356</v>
      </c>
      <c r="G47" s="212" t="s">
        <v>2336</v>
      </c>
      <c r="H47" s="213">
        <v>1900</v>
      </c>
      <c r="I47" s="144" t="s">
        <v>2273</v>
      </c>
      <c r="J47" s="144">
        <v>1</v>
      </c>
      <c r="K47" s="144"/>
      <c r="L47" s="213">
        <v>1</v>
      </c>
      <c r="M47" s="254">
        <v>11.5</v>
      </c>
      <c r="N47" s="254">
        <v>11.5</v>
      </c>
      <c r="O47" s="254"/>
      <c r="P47" s="254">
        <f t="shared" si="9"/>
        <v>1</v>
      </c>
      <c r="Q47" s="254"/>
      <c r="R47" s="255"/>
      <c r="S47" s="212" t="s">
        <v>141</v>
      </c>
      <c r="T47" s="212"/>
      <c r="U47" s="210">
        <v>0.7</v>
      </c>
      <c r="V47" s="210">
        <v>0.7</v>
      </c>
      <c r="W47" s="148"/>
      <c r="X47" s="148"/>
      <c r="Y47" s="211"/>
      <c r="Z47" s="212"/>
      <c r="AA47" s="117">
        <v>0</v>
      </c>
      <c r="AB47" s="117">
        <v>0</v>
      </c>
      <c r="AC47" s="117">
        <v>0</v>
      </c>
      <c r="AD47" s="117">
        <v>0</v>
      </c>
      <c r="AE47" s="117">
        <v>0</v>
      </c>
      <c r="AF47" s="117">
        <v>0</v>
      </c>
      <c r="AG47" s="117">
        <v>0</v>
      </c>
      <c r="AH47" s="117" t="s">
        <v>1790</v>
      </c>
      <c r="AI47" s="258"/>
      <c r="AJ47" s="259"/>
      <c r="AK47" s="260"/>
      <c r="AL47" s="258">
        <v>1</v>
      </c>
      <c r="AM47" s="258"/>
      <c r="AN47" s="259">
        <v>2</v>
      </c>
      <c r="AO47" s="261"/>
      <c r="AP47" s="258" t="e">
        <f t="shared" si="10"/>
        <v>#VALUE!</v>
      </c>
    </row>
    <row r="48" spans="1:42">
      <c r="A48" s="117">
        <v>143</v>
      </c>
      <c r="B48" s="209" t="s">
        <v>2350</v>
      </c>
      <c r="C48" s="209" t="s">
        <v>2351</v>
      </c>
      <c r="D48" s="209" t="s">
        <v>1296</v>
      </c>
      <c r="E48" s="209" t="s">
        <v>2339</v>
      </c>
      <c r="F48" s="209" t="s">
        <v>2357</v>
      </c>
      <c r="G48" s="212" t="s">
        <v>2341</v>
      </c>
      <c r="H48" s="213">
        <v>120</v>
      </c>
      <c r="I48" s="144" t="s">
        <v>2273</v>
      </c>
      <c r="J48" s="144">
        <v>4</v>
      </c>
      <c r="K48" s="144"/>
      <c r="L48" s="213">
        <v>4</v>
      </c>
      <c r="M48" s="254">
        <v>0.6</v>
      </c>
      <c r="N48" s="254">
        <v>2.5</v>
      </c>
      <c r="O48" s="254">
        <v>4</v>
      </c>
      <c r="P48" s="254">
        <f t="shared" si="9"/>
        <v>0</v>
      </c>
      <c r="Q48" s="270">
        <v>46283</v>
      </c>
      <c r="R48" s="255"/>
      <c r="S48" s="212" t="s">
        <v>141</v>
      </c>
      <c r="T48" s="212"/>
      <c r="U48" s="210">
        <v>0</v>
      </c>
      <c r="V48" s="210">
        <v>0.1</v>
      </c>
      <c r="W48" s="148"/>
      <c r="X48" s="148"/>
      <c r="Y48" s="211"/>
      <c r="Z48" s="212"/>
      <c r="AA48" s="117">
        <v>0</v>
      </c>
      <c r="AB48" s="117">
        <v>0</v>
      </c>
      <c r="AC48" s="117">
        <v>0</v>
      </c>
      <c r="AD48" s="117">
        <v>0</v>
      </c>
      <c r="AE48" s="117">
        <v>0</v>
      </c>
      <c r="AF48" s="117">
        <v>0</v>
      </c>
      <c r="AG48" s="117">
        <v>0</v>
      </c>
      <c r="AH48" s="117" t="s">
        <v>1790</v>
      </c>
      <c r="AI48" s="258"/>
      <c r="AJ48" s="259"/>
      <c r="AK48" s="260"/>
      <c r="AL48" s="258">
        <v>4</v>
      </c>
      <c r="AM48" s="258"/>
      <c r="AN48" s="259">
        <v>8</v>
      </c>
      <c r="AO48" s="261"/>
      <c r="AP48" s="258" t="e">
        <f t="shared" si="10"/>
        <v>#VALUE!</v>
      </c>
    </row>
    <row r="49" spans="1:42">
      <c r="A49" s="117">
        <v>144</v>
      </c>
      <c r="B49" s="209" t="s">
        <v>2350</v>
      </c>
      <c r="C49" s="209" t="s">
        <v>2351</v>
      </c>
      <c r="D49" s="209" t="s">
        <v>1296</v>
      </c>
      <c r="E49" s="209" t="s">
        <v>2342</v>
      </c>
      <c r="F49" s="209" t="s">
        <v>2358</v>
      </c>
      <c r="G49" s="212" t="s">
        <v>2344</v>
      </c>
      <c r="H49" s="213">
        <v>133</v>
      </c>
      <c r="I49" s="144" t="s">
        <v>2273</v>
      </c>
      <c r="J49" s="144">
        <v>1</v>
      </c>
      <c r="K49" s="144"/>
      <c r="L49" s="213">
        <v>1</v>
      </c>
      <c r="M49" s="254">
        <v>1.4</v>
      </c>
      <c r="N49" s="254">
        <v>1.4</v>
      </c>
      <c r="O49" s="254">
        <v>1</v>
      </c>
      <c r="P49" s="254">
        <f t="shared" si="9"/>
        <v>0</v>
      </c>
      <c r="Q49" s="270">
        <v>46283</v>
      </c>
      <c r="R49" s="255"/>
      <c r="S49" s="212" t="s">
        <v>141</v>
      </c>
      <c r="T49" s="212"/>
      <c r="U49" s="210">
        <v>0.1</v>
      </c>
      <c r="V49" s="210">
        <v>0.1</v>
      </c>
      <c r="W49" s="148"/>
      <c r="X49" s="148"/>
      <c r="Y49" s="211"/>
      <c r="Z49" s="212"/>
      <c r="AA49" s="117">
        <v>0</v>
      </c>
      <c r="AB49" s="117">
        <v>0</v>
      </c>
      <c r="AC49" s="117">
        <v>0</v>
      </c>
      <c r="AD49" s="117">
        <v>0</v>
      </c>
      <c r="AE49" s="117">
        <v>0</v>
      </c>
      <c r="AF49" s="117">
        <v>0</v>
      </c>
      <c r="AG49" s="117">
        <v>0</v>
      </c>
      <c r="AH49" s="117" t="s">
        <v>1790</v>
      </c>
      <c r="AI49" s="258"/>
      <c r="AJ49" s="259"/>
      <c r="AK49" s="260"/>
      <c r="AL49" s="258">
        <v>1</v>
      </c>
      <c r="AM49" s="258"/>
      <c r="AN49" s="259">
        <v>2</v>
      </c>
      <c r="AO49" s="261"/>
      <c r="AP49" s="258" t="e">
        <f t="shared" si="10"/>
        <v>#VALUE!</v>
      </c>
    </row>
    <row r="50" spans="1:42">
      <c r="A50" s="161">
        <v>145</v>
      </c>
      <c r="B50" s="177" t="s">
        <v>2359</v>
      </c>
      <c r="C50" s="177" t="s">
        <v>2360</v>
      </c>
      <c r="D50" s="177" t="s">
        <v>2285</v>
      </c>
      <c r="E50" s="177"/>
      <c r="F50" s="177"/>
      <c r="G50" s="181" t="s">
        <v>2347</v>
      </c>
      <c r="H50" s="251"/>
      <c r="I50" s="160"/>
      <c r="J50" s="160"/>
      <c r="K50" s="160">
        <v>1</v>
      </c>
      <c r="L50" s="251"/>
      <c r="M50" s="252">
        <v>9.1999999999999993</v>
      </c>
      <c r="N50" s="252">
        <v>9.1999999999999993</v>
      </c>
      <c r="O50" s="252"/>
      <c r="P50" s="252"/>
      <c r="Q50" s="252"/>
      <c r="R50" s="253"/>
      <c r="S50" s="181" t="s">
        <v>141</v>
      </c>
      <c r="T50" s="212" t="s">
        <v>2381</v>
      </c>
      <c r="U50" s="178">
        <v>0.3</v>
      </c>
      <c r="V50" s="252">
        <v>0.3</v>
      </c>
      <c r="W50" s="162"/>
      <c r="X50" s="162" t="s">
        <v>143</v>
      </c>
      <c r="Y50" s="179"/>
      <c r="Z50" s="181"/>
      <c r="AA50" s="161"/>
      <c r="AB50" s="161"/>
      <c r="AC50" s="161"/>
      <c r="AD50" s="161"/>
      <c r="AE50" s="161"/>
      <c r="AF50" s="161"/>
      <c r="AG50" s="161"/>
      <c r="AH50" s="161" t="s">
        <v>1790</v>
      </c>
      <c r="AI50" s="161"/>
      <c r="AJ50" s="251"/>
      <c r="AK50" s="163"/>
      <c r="AL50" s="161"/>
      <c r="AM50" s="161"/>
      <c r="AN50" s="251"/>
      <c r="AO50" s="257"/>
      <c r="AP50" s="161"/>
    </row>
    <row r="51" spans="1:42">
      <c r="A51" s="117">
        <v>146</v>
      </c>
      <c r="B51" s="209" t="s">
        <v>2359</v>
      </c>
      <c r="C51" s="209" t="s">
        <v>2360</v>
      </c>
      <c r="D51" s="209" t="s">
        <v>1296</v>
      </c>
      <c r="E51" s="209" t="s">
        <v>2348</v>
      </c>
      <c r="F51" s="209" t="s">
        <v>2361</v>
      </c>
      <c r="G51" s="212" t="s">
        <v>2289</v>
      </c>
      <c r="H51" s="213">
        <v>965</v>
      </c>
      <c r="I51" s="144" t="s">
        <v>2273</v>
      </c>
      <c r="J51" s="144">
        <v>1</v>
      </c>
      <c r="K51" s="144"/>
      <c r="L51" s="213">
        <v>1</v>
      </c>
      <c r="M51" s="254">
        <v>9.1999999999999993</v>
      </c>
      <c r="N51" s="254">
        <v>9.1999999999999993</v>
      </c>
      <c r="O51" s="254">
        <v>1</v>
      </c>
      <c r="P51" s="254">
        <f>+L51-O51</f>
        <v>0</v>
      </c>
      <c r="Q51" s="270">
        <v>46302</v>
      </c>
      <c r="R51" s="255"/>
      <c r="S51" s="212" t="s">
        <v>141</v>
      </c>
      <c r="T51" s="212"/>
      <c r="U51" s="210">
        <v>0.3</v>
      </c>
      <c r="V51" s="210">
        <v>0.3</v>
      </c>
      <c r="W51" s="148"/>
      <c r="X51" s="148"/>
      <c r="Y51" s="211"/>
      <c r="Z51" s="212"/>
      <c r="AA51" s="117">
        <v>0</v>
      </c>
      <c r="AB51" s="117">
        <v>0</v>
      </c>
      <c r="AC51" s="117">
        <v>0</v>
      </c>
      <c r="AD51" s="117">
        <v>0</v>
      </c>
      <c r="AE51" s="117">
        <v>0</v>
      </c>
      <c r="AF51" s="117">
        <v>0</v>
      </c>
      <c r="AG51" s="117">
        <v>0</v>
      </c>
      <c r="AH51" s="117" t="s">
        <v>1790</v>
      </c>
      <c r="AI51" s="264" t="s">
        <v>2297</v>
      </c>
      <c r="AJ51" s="264">
        <v>1</v>
      </c>
      <c r="AK51" s="265">
        <v>46291</v>
      </c>
      <c r="AL51" s="258">
        <v>0</v>
      </c>
      <c r="AM51" s="258"/>
      <c r="AN51" s="259">
        <v>0</v>
      </c>
      <c r="AO51" s="261"/>
      <c r="AP51" s="258" t="e">
        <f>+B51-AN51</f>
        <v>#VALUE!</v>
      </c>
    </row>
    <row r="52" spans="1:42">
      <c r="A52" s="161">
        <v>147</v>
      </c>
      <c r="B52" s="177" t="s">
        <v>2362</v>
      </c>
      <c r="C52" s="177" t="s">
        <v>2363</v>
      </c>
      <c r="D52" s="177" t="s">
        <v>2285</v>
      </c>
      <c r="E52" s="177"/>
      <c r="F52" s="177"/>
      <c r="G52" s="181" t="s">
        <v>2364</v>
      </c>
      <c r="H52" s="251"/>
      <c r="I52" s="160"/>
      <c r="J52" s="160"/>
      <c r="K52" s="160">
        <v>1</v>
      </c>
      <c r="L52" s="251"/>
      <c r="M52" s="252">
        <v>18.7</v>
      </c>
      <c r="N52" s="252">
        <v>18.7</v>
      </c>
      <c r="O52" s="252"/>
      <c r="P52" s="252"/>
      <c r="Q52" s="252"/>
      <c r="R52" s="253"/>
      <c r="S52" s="181" t="s">
        <v>141</v>
      </c>
      <c r="T52" s="212" t="s">
        <v>2381</v>
      </c>
      <c r="U52" s="178">
        <v>1.2</v>
      </c>
      <c r="V52" s="252">
        <v>1.2</v>
      </c>
      <c r="W52" s="268"/>
      <c r="X52" s="162" t="s">
        <v>143</v>
      </c>
      <c r="Y52" s="179"/>
      <c r="Z52" s="181"/>
      <c r="AA52" s="161"/>
      <c r="AB52" s="161"/>
      <c r="AC52" s="161"/>
      <c r="AD52" s="161"/>
      <c r="AE52" s="161"/>
      <c r="AF52" s="161"/>
      <c r="AG52" s="161"/>
      <c r="AH52" s="161" t="s">
        <v>1790</v>
      </c>
      <c r="AI52" s="161"/>
      <c r="AJ52" s="161"/>
      <c r="AK52" s="163"/>
      <c r="AL52" s="161"/>
      <c r="AM52" s="161"/>
      <c r="AN52" s="161"/>
      <c r="AO52" s="161"/>
      <c r="AP52" s="161"/>
    </row>
    <row r="53" spans="1:42">
      <c r="A53" s="117">
        <v>148</v>
      </c>
      <c r="B53" s="209" t="s">
        <v>2362</v>
      </c>
      <c r="C53" s="209" t="s">
        <v>2363</v>
      </c>
      <c r="D53" s="209" t="s">
        <v>2333</v>
      </c>
      <c r="E53" s="209" t="s">
        <v>2365</v>
      </c>
      <c r="F53" s="209" t="s">
        <v>2366</v>
      </c>
      <c r="G53" s="212" t="s">
        <v>2336</v>
      </c>
      <c r="H53" s="213">
        <v>585</v>
      </c>
      <c r="I53" s="144" t="s">
        <v>2273</v>
      </c>
      <c r="J53" s="144">
        <v>2</v>
      </c>
      <c r="K53" s="144"/>
      <c r="L53" s="213">
        <v>2</v>
      </c>
      <c r="M53" s="254">
        <v>3.5</v>
      </c>
      <c r="N53" s="254">
        <v>7.1</v>
      </c>
      <c r="O53" s="254"/>
      <c r="P53" s="254">
        <f t="shared" ref="P53:P56" si="11">+L53-O53</f>
        <v>2</v>
      </c>
      <c r="Q53" s="254"/>
      <c r="R53" s="255"/>
      <c r="S53" s="212" t="s">
        <v>141</v>
      </c>
      <c r="T53" s="266"/>
      <c r="U53" s="210">
        <v>0.2</v>
      </c>
      <c r="V53" s="210">
        <v>0.5</v>
      </c>
      <c r="W53" s="269"/>
      <c r="X53" s="148"/>
      <c r="Y53" s="211"/>
      <c r="Z53" s="212"/>
      <c r="AA53" s="117">
        <v>0</v>
      </c>
      <c r="AB53" s="117">
        <v>0</v>
      </c>
      <c r="AC53" s="117">
        <v>0</v>
      </c>
      <c r="AD53" s="117">
        <v>0</v>
      </c>
      <c r="AE53" s="117">
        <v>0</v>
      </c>
      <c r="AF53" s="117">
        <v>0</v>
      </c>
      <c r="AG53" s="117">
        <v>0</v>
      </c>
      <c r="AH53" s="117" t="s">
        <v>1790</v>
      </c>
      <c r="AI53" s="258"/>
      <c r="AJ53" s="259"/>
      <c r="AK53" s="260"/>
      <c r="AL53" s="258">
        <v>2</v>
      </c>
      <c r="AM53" s="258"/>
      <c r="AN53" s="259">
        <v>4</v>
      </c>
      <c r="AO53" s="261"/>
      <c r="AP53" s="258" t="e">
        <f t="shared" ref="AP53:AP56" si="12">+B53-AN53</f>
        <v>#VALUE!</v>
      </c>
    </row>
    <row r="54" spans="1:42">
      <c r="A54" s="117">
        <v>149</v>
      </c>
      <c r="B54" s="209" t="s">
        <v>2362</v>
      </c>
      <c r="C54" s="209" t="s">
        <v>2363</v>
      </c>
      <c r="D54" s="209" t="s">
        <v>2333</v>
      </c>
      <c r="E54" s="209" t="s">
        <v>2367</v>
      </c>
      <c r="F54" s="209" t="s">
        <v>2368</v>
      </c>
      <c r="G54" s="212" t="s">
        <v>2336</v>
      </c>
      <c r="H54" s="213">
        <v>1300</v>
      </c>
      <c r="I54" s="144" t="s">
        <v>2273</v>
      </c>
      <c r="J54" s="144">
        <v>1</v>
      </c>
      <c r="K54" s="144"/>
      <c r="L54" s="213">
        <v>1</v>
      </c>
      <c r="M54" s="254">
        <v>7.8</v>
      </c>
      <c r="N54" s="254">
        <v>7.8</v>
      </c>
      <c r="O54" s="254"/>
      <c r="P54" s="254">
        <f t="shared" si="11"/>
        <v>1</v>
      </c>
      <c r="Q54" s="254"/>
      <c r="R54" s="255"/>
      <c r="S54" s="212" t="s">
        <v>141</v>
      </c>
      <c r="T54" s="266"/>
      <c r="U54" s="210">
        <v>0.5</v>
      </c>
      <c r="V54" s="210">
        <v>0.5</v>
      </c>
      <c r="W54" s="269"/>
      <c r="X54" s="148"/>
      <c r="Y54" s="211"/>
      <c r="Z54" s="212"/>
      <c r="AA54" s="117">
        <v>0</v>
      </c>
      <c r="AB54" s="117">
        <v>0</v>
      </c>
      <c r="AC54" s="117">
        <v>0</v>
      </c>
      <c r="AD54" s="117">
        <v>0</v>
      </c>
      <c r="AE54" s="117">
        <v>0</v>
      </c>
      <c r="AF54" s="117">
        <v>0</v>
      </c>
      <c r="AG54" s="117">
        <v>0</v>
      </c>
      <c r="AH54" s="117" t="s">
        <v>1790</v>
      </c>
      <c r="AI54" s="258"/>
      <c r="AJ54" s="259"/>
      <c r="AK54" s="260"/>
      <c r="AL54" s="258">
        <v>1</v>
      </c>
      <c r="AM54" s="258"/>
      <c r="AN54" s="259">
        <v>2</v>
      </c>
      <c r="AO54" s="261"/>
      <c r="AP54" s="258" t="e">
        <f t="shared" si="12"/>
        <v>#VALUE!</v>
      </c>
    </row>
    <row r="55" spans="1:42">
      <c r="A55" s="117">
        <v>150</v>
      </c>
      <c r="B55" s="209" t="s">
        <v>2362</v>
      </c>
      <c r="C55" s="209" t="s">
        <v>2363</v>
      </c>
      <c r="D55" s="209" t="s">
        <v>1296</v>
      </c>
      <c r="E55" s="209" t="s">
        <v>2339</v>
      </c>
      <c r="F55" s="209" t="s">
        <v>2369</v>
      </c>
      <c r="G55" s="212" t="s">
        <v>2341</v>
      </c>
      <c r="H55" s="213">
        <v>120</v>
      </c>
      <c r="I55" s="144" t="s">
        <v>2273</v>
      </c>
      <c r="J55" s="144">
        <v>4</v>
      </c>
      <c r="K55" s="144"/>
      <c r="L55" s="213">
        <v>4</v>
      </c>
      <c r="M55" s="254">
        <v>0.6</v>
      </c>
      <c r="N55" s="254">
        <v>2.5</v>
      </c>
      <c r="O55" s="254">
        <v>4</v>
      </c>
      <c r="P55" s="254">
        <f t="shared" si="11"/>
        <v>0</v>
      </c>
      <c r="Q55" s="270">
        <v>46283</v>
      </c>
      <c r="R55" s="255"/>
      <c r="S55" s="212" t="s">
        <v>141</v>
      </c>
      <c r="T55" s="266"/>
      <c r="U55" s="210">
        <v>0</v>
      </c>
      <c r="V55" s="210">
        <v>0.1</v>
      </c>
      <c r="W55" s="269"/>
      <c r="X55" s="148"/>
      <c r="Y55" s="211"/>
      <c r="Z55" s="212"/>
      <c r="AA55" s="117">
        <v>0</v>
      </c>
      <c r="AB55" s="117">
        <v>0</v>
      </c>
      <c r="AC55" s="117">
        <v>0</v>
      </c>
      <c r="AD55" s="117">
        <v>0</v>
      </c>
      <c r="AE55" s="117">
        <v>0</v>
      </c>
      <c r="AF55" s="117">
        <v>0</v>
      </c>
      <c r="AG55" s="117">
        <v>0</v>
      </c>
      <c r="AH55" s="117" t="s">
        <v>1790</v>
      </c>
      <c r="AI55" s="258"/>
      <c r="AJ55" s="259"/>
      <c r="AK55" s="260"/>
      <c r="AL55" s="258">
        <v>4</v>
      </c>
      <c r="AM55" s="258"/>
      <c r="AN55" s="259">
        <v>8</v>
      </c>
      <c r="AO55" s="261"/>
      <c r="AP55" s="258" t="e">
        <f t="shared" si="12"/>
        <v>#VALUE!</v>
      </c>
    </row>
    <row r="56" spans="1:42">
      <c r="A56" s="117">
        <v>151</v>
      </c>
      <c r="B56" s="209" t="s">
        <v>2362</v>
      </c>
      <c r="C56" s="209" t="s">
        <v>2363</v>
      </c>
      <c r="D56" s="209" t="s">
        <v>1296</v>
      </c>
      <c r="E56" s="209" t="s">
        <v>2342</v>
      </c>
      <c r="F56" s="209" t="s">
        <v>2370</v>
      </c>
      <c r="G56" s="212" t="s">
        <v>2344</v>
      </c>
      <c r="H56" s="213">
        <v>133</v>
      </c>
      <c r="I56" s="144" t="s">
        <v>2273</v>
      </c>
      <c r="J56" s="144">
        <v>1</v>
      </c>
      <c r="K56" s="144"/>
      <c r="L56" s="213">
        <v>1</v>
      </c>
      <c r="M56" s="254">
        <v>1.4</v>
      </c>
      <c r="N56" s="254">
        <v>1.4</v>
      </c>
      <c r="O56" s="254">
        <v>1</v>
      </c>
      <c r="P56" s="254">
        <f t="shared" si="11"/>
        <v>0</v>
      </c>
      <c r="Q56" s="270">
        <v>46283</v>
      </c>
      <c r="R56" s="255"/>
      <c r="S56" s="212" t="s">
        <v>141</v>
      </c>
      <c r="T56" s="212"/>
      <c r="U56" s="210">
        <v>0.1</v>
      </c>
      <c r="V56" s="210">
        <v>0.1</v>
      </c>
      <c r="W56" s="269"/>
      <c r="X56" s="148"/>
      <c r="Y56" s="211"/>
      <c r="Z56" s="212"/>
      <c r="AA56" s="117">
        <v>0</v>
      </c>
      <c r="AB56" s="117">
        <v>0</v>
      </c>
      <c r="AC56" s="117">
        <v>0</v>
      </c>
      <c r="AD56" s="117">
        <v>0</v>
      </c>
      <c r="AE56" s="117">
        <v>0</v>
      </c>
      <c r="AF56" s="117">
        <v>0</v>
      </c>
      <c r="AG56" s="117">
        <v>0</v>
      </c>
      <c r="AH56" s="117" t="s">
        <v>1790</v>
      </c>
      <c r="AI56" s="258"/>
      <c r="AJ56" s="259"/>
      <c r="AK56" s="260"/>
      <c r="AL56" s="258">
        <v>1</v>
      </c>
      <c r="AM56" s="258"/>
      <c r="AN56" s="259">
        <v>2</v>
      </c>
      <c r="AO56" s="261"/>
      <c r="AP56" s="258" t="e">
        <f t="shared" si="12"/>
        <v>#VALUE!</v>
      </c>
    </row>
    <row r="57" spans="1:42">
      <c r="A57" s="161">
        <v>152</v>
      </c>
      <c r="B57" s="177" t="s">
        <v>2371</v>
      </c>
      <c r="C57" s="177" t="s">
        <v>2372</v>
      </c>
      <c r="D57" s="177" t="s">
        <v>2285</v>
      </c>
      <c r="E57" s="177"/>
      <c r="F57" s="177"/>
      <c r="G57" s="181" t="s">
        <v>2347</v>
      </c>
      <c r="H57" s="251"/>
      <c r="I57" s="160"/>
      <c r="J57" s="160"/>
      <c r="K57" s="160">
        <v>1</v>
      </c>
      <c r="L57" s="251"/>
      <c r="M57" s="252">
        <v>9.1999999999999993</v>
      </c>
      <c r="N57" s="252">
        <v>9.1999999999999993</v>
      </c>
      <c r="O57" s="252"/>
      <c r="P57" s="252"/>
      <c r="Q57" s="252"/>
      <c r="R57" s="253"/>
      <c r="S57" s="181" t="s">
        <v>141</v>
      </c>
      <c r="T57" s="266" t="s">
        <v>2381</v>
      </c>
      <c r="U57" s="178">
        <v>0.3</v>
      </c>
      <c r="V57" s="252">
        <v>0.3</v>
      </c>
      <c r="W57" s="268"/>
      <c r="X57" s="162" t="s">
        <v>143</v>
      </c>
      <c r="Y57" s="179"/>
      <c r="Z57" s="181"/>
      <c r="AA57" s="161"/>
      <c r="AB57" s="161"/>
      <c r="AC57" s="161"/>
      <c r="AD57" s="161"/>
      <c r="AE57" s="161"/>
      <c r="AF57" s="161"/>
      <c r="AG57" s="161"/>
      <c r="AH57" s="161" t="s">
        <v>1790</v>
      </c>
      <c r="AI57" s="267"/>
      <c r="AJ57" s="251"/>
      <c r="AK57" s="163"/>
      <c r="AL57" s="161"/>
      <c r="AM57" s="161"/>
      <c r="AN57" s="251"/>
      <c r="AO57" s="257"/>
      <c r="AP57" s="161"/>
    </row>
    <row r="58" spans="1:42">
      <c r="A58" s="117">
        <v>153</v>
      </c>
      <c r="B58" s="209" t="s">
        <v>2371</v>
      </c>
      <c r="C58" s="209" t="s">
        <v>2372</v>
      </c>
      <c r="D58" s="209" t="s">
        <v>1296</v>
      </c>
      <c r="E58" s="209" t="s">
        <v>2348</v>
      </c>
      <c r="F58" s="209" t="s">
        <v>2373</v>
      </c>
      <c r="G58" s="212" t="s">
        <v>2289</v>
      </c>
      <c r="H58" s="213">
        <v>965</v>
      </c>
      <c r="I58" s="144" t="s">
        <v>2273</v>
      </c>
      <c r="J58" s="144">
        <v>1</v>
      </c>
      <c r="K58" s="144"/>
      <c r="L58" s="213">
        <v>1</v>
      </c>
      <c r="M58" s="254">
        <v>9.1999999999999993</v>
      </c>
      <c r="N58" s="254">
        <v>9.1999999999999993</v>
      </c>
      <c r="O58" s="254">
        <v>1</v>
      </c>
      <c r="P58" s="254">
        <f>+L58-O58</f>
        <v>0</v>
      </c>
      <c r="Q58" s="270">
        <v>46302</v>
      </c>
      <c r="R58" s="255"/>
      <c r="S58" s="212" t="s">
        <v>141</v>
      </c>
      <c r="T58" s="266"/>
      <c r="U58" s="210">
        <v>0.3</v>
      </c>
      <c r="V58" s="210">
        <v>0.3</v>
      </c>
      <c r="W58" s="269"/>
      <c r="X58" s="148"/>
      <c r="Y58" s="211"/>
      <c r="Z58" s="212"/>
      <c r="AA58" s="117">
        <v>0</v>
      </c>
      <c r="AB58" s="117">
        <v>0</v>
      </c>
      <c r="AC58" s="117">
        <v>0</v>
      </c>
      <c r="AD58" s="117">
        <v>0</v>
      </c>
      <c r="AE58" s="117">
        <v>0</v>
      </c>
      <c r="AF58" s="117">
        <v>0</v>
      </c>
      <c r="AG58" s="117">
        <v>0</v>
      </c>
      <c r="AH58" s="117" t="s">
        <v>1790</v>
      </c>
      <c r="AI58" s="264" t="s">
        <v>2297</v>
      </c>
      <c r="AJ58" s="264">
        <v>1</v>
      </c>
      <c r="AK58" s="265">
        <v>46291</v>
      </c>
      <c r="AL58" s="258">
        <v>0</v>
      </c>
      <c r="AM58" s="258"/>
      <c r="AN58" s="259">
        <v>0</v>
      </c>
      <c r="AO58" s="261"/>
      <c r="AP58" s="258" t="e">
        <f>+B58-AN58</f>
        <v>#VALUE!</v>
      </c>
    </row>
  </sheetData>
  <autoFilter ref="A9:AP58" xr:uid="{A95DCA99-CDCD-49A1-8069-8F5F745EC1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BTP-A320M4120</vt:lpstr>
      <vt:lpstr>A320M4120</vt:lpstr>
      <vt:lpstr>BTP-A320M4130</vt:lpstr>
      <vt:lpstr>A320M4130</vt:lpstr>
      <vt:lpstr>BRM4130L1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Hiếu Nguyễn</cp:lastModifiedBy>
  <dcterms:created xsi:type="dcterms:W3CDTF">2026-04-09T04:12:54Z</dcterms:created>
  <dcterms:modified xsi:type="dcterms:W3CDTF">2026-10-31T06:51:41Z</dcterms:modified>
</cp:coreProperties>
</file>