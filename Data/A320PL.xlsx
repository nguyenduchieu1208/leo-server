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7DBA73ED-FAF3-4A13-BC12-55F232F28AF4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'BTP-A320M4130'!$C$29:$BH$556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7" i="6" l="1" a="1"/>
  <c r="AU27" i="6" s="1"/>
  <c r="AU28" i="6"/>
  <c r="AP27" i="4" a="1"/>
  <c r="AP27" i="4" s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7" i="4" s="1"/>
  <c r="AO28" i="4"/>
  <c r="AN27" i="4" a="1"/>
  <c r="AN27" i="4" s="1"/>
  <c r="AN28" i="4"/>
  <c r="AT27" i="6" a="1"/>
  <c r="AT27" i="6" s="1"/>
  <c r="AT28" i="6"/>
  <c r="AV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H280" i="9"/>
  <c r="AJ280" i="9" s="1"/>
  <c r="AH281" i="9"/>
  <c r="AJ281" i="9" s="1"/>
  <c r="AH282" i="9"/>
  <c r="AJ282" i="9" s="1"/>
  <c r="AH279" i="9"/>
  <c r="AJ279" i="9" s="1"/>
  <c r="AI27" i="4" a="1"/>
  <c r="AI27" i="4" s="1"/>
  <c r="AI28" i="4"/>
  <c r="AM27" i="6" a="1"/>
  <c r="AM27" i="6" s="1"/>
  <c r="AM28" i="6"/>
  <c r="AY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AZ458" i="6"/>
  <c r="AY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7" i="6" s="1"/>
  <c r="Y28" i="6"/>
  <c r="AB27" i="4" a="1"/>
  <c r="AB27" i="4" s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Y27" i="4" s="1"/>
  <c r="AA27" i="4" a="1"/>
  <c r="AA27" i="4" s="1"/>
  <c r="AA28" i="4"/>
  <c r="Z27" i="4" a="1"/>
  <c r="Z27" i="4" s="1"/>
  <c r="Z28" i="4"/>
  <c r="AZ549" i="6"/>
  <c r="AY549" i="6"/>
  <c r="L549" i="6"/>
  <c r="AZ548" i="6"/>
  <c r="AY548" i="6"/>
  <c r="L548" i="6"/>
  <c r="AZ547" i="6"/>
  <c r="AY547" i="6"/>
  <c r="L547" i="6"/>
  <c r="AZ546" i="6"/>
  <c r="AY546" i="6"/>
  <c r="L546" i="6"/>
  <c r="AZ545" i="6"/>
  <c r="AY545" i="6"/>
  <c r="L545" i="6"/>
  <c r="AZ544" i="6"/>
  <c r="AY544" i="6"/>
  <c r="L544" i="6"/>
  <c r="AZ543" i="6"/>
  <c r="AY543" i="6"/>
  <c r="L543" i="6"/>
  <c r="AZ542" i="6"/>
  <c r="AY542" i="6"/>
  <c r="L542" i="6"/>
  <c r="AZ541" i="6"/>
  <c r="AY541" i="6"/>
  <c r="L541" i="6"/>
  <c r="AZ540" i="6"/>
  <c r="AY540" i="6"/>
  <c r="L540" i="6"/>
  <c r="AZ539" i="6"/>
  <c r="AY539" i="6"/>
  <c r="L539" i="6"/>
  <c r="AZ538" i="6"/>
  <c r="AY538" i="6"/>
  <c r="L538" i="6"/>
  <c r="AZ537" i="6"/>
  <c r="AY537" i="6"/>
  <c r="L537" i="6"/>
  <c r="AZ536" i="6"/>
  <c r="AY536" i="6"/>
  <c r="L536" i="6"/>
  <c r="AZ535" i="6"/>
  <c r="AY535" i="6"/>
  <c r="L535" i="6"/>
  <c r="AZ534" i="6"/>
  <c r="AY534" i="6"/>
  <c r="L534" i="6"/>
  <c r="M534" i="6" s="1"/>
  <c r="AZ533" i="6"/>
  <c r="AY533" i="6"/>
  <c r="L533" i="6"/>
  <c r="M533" i="6" s="1"/>
  <c r="AZ532" i="6"/>
  <c r="AY532" i="6"/>
  <c r="L532" i="6"/>
  <c r="M532" i="6" s="1"/>
  <c r="AZ531" i="6"/>
  <c r="AY531" i="6"/>
  <c r="L531" i="6"/>
  <c r="M531" i="6" s="1"/>
  <c r="AZ530" i="6"/>
  <c r="AY530" i="6"/>
  <c r="L530" i="6"/>
  <c r="M530" i="6" s="1"/>
  <c r="AZ529" i="6"/>
  <c r="AY529" i="6"/>
  <c r="L529" i="6"/>
  <c r="M529" i="6" s="1"/>
  <c r="AZ528" i="6"/>
  <c r="AY528" i="6"/>
  <c r="L528" i="6"/>
  <c r="M528" i="6" s="1"/>
  <c r="AZ527" i="6"/>
  <c r="AY527" i="6"/>
  <c r="L527" i="6"/>
  <c r="AZ526" i="6"/>
  <c r="AY526" i="6"/>
  <c r="L526" i="6"/>
  <c r="AZ525" i="6"/>
  <c r="AY525" i="6"/>
  <c r="L525" i="6"/>
  <c r="M525" i="6" s="1"/>
  <c r="AZ524" i="6"/>
  <c r="AY524" i="6"/>
  <c r="L524" i="6"/>
  <c r="M524" i="6" s="1"/>
  <c r="AZ523" i="6"/>
  <c r="AY523" i="6"/>
  <c r="L523" i="6"/>
  <c r="M523" i="6" s="1"/>
  <c r="AZ522" i="6"/>
  <c r="AY522" i="6"/>
  <c r="L522" i="6"/>
  <c r="M522" i="6" s="1"/>
  <c r="AZ521" i="6"/>
  <c r="AY521" i="6"/>
  <c r="L521" i="6"/>
  <c r="M521" i="6" s="1"/>
  <c r="AZ520" i="6"/>
  <c r="AY520" i="6"/>
  <c r="L520" i="6"/>
  <c r="M520" i="6" s="1"/>
  <c r="AZ519" i="6"/>
  <c r="AY519" i="6"/>
  <c r="L519" i="6"/>
  <c r="M519" i="6" s="1"/>
  <c r="AZ518" i="6"/>
  <c r="AY518" i="6"/>
  <c r="L518" i="6"/>
  <c r="M518" i="6" s="1"/>
  <c r="AZ517" i="6"/>
  <c r="AY517" i="6"/>
  <c r="L517" i="6"/>
  <c r="AZ516" i="6"/>
  <c r="AY516" i="6"/>
  <c r="L516" i="6"/>
  <c r="M516" i="6" s="1"/>
  <c r="AZ515" i="6"/>
  <c r="AY515" i="6"/>
  <c r="L515" i="6"/>
  <c r="AZ514" i="6"/>
  <c r="AY514" i="6"/>
  <c r="L514" i="6"/>
  <c r="AZ513" i="6"/>
  <c r="AY513" i="6"/>
  <c r="L513" i="6"/>
  <c r="AZ512" i="6"/>
  <c r="AY512" i="6"/>
  <c r="L512" i="6"/>
  <c r="AZ511" i="6"/>
  <c r="AY511" i="6"/>
  <c r="L511" i="6"/>
  <c r="AZ510" i="6"/>
  <c r="AY510" i="6"/>
  <c r="L510" i="6"/>
  <c r="AZ509" i="6"/>
  <c r="AY509" i="6"/>
  <c r="L509" i="6"/>
  <c r="AZ508" i="6"/>
  <c r="AY508" i="6"/>
  <c r="L508" i="6"/>
  <c r="AZ507" i="6"/>
  <c r="AY507" i="6"/>
  <c r="L507" i="6"/>
  <c r="AZ506" i="6"/>
  <c r="AY506" i="6"/>
  <c r="L506" i="6"/>
  <c r="AZ505" i="6"/>
  <c r="AY505" i="6"/>
  <c r="L505" i="6"/>
  <c r="AZ504" i="6"/>
  <c r="AY504" i="6"/>
  <c r="L504" i="6"/>
  <c r="AZ503" i="6"/>
  <c r="AY503" i="6"/>
  <c r="L503" i="6"/>
  <c r="AZ502" i="6"/>
  <c r="AY502" i="6"/>
  <c r="L502" i="6"/>
  <c r="AZ501" i="6"/>
  <c r="AY501" i="6"/>
  <c r="L501" i="6"/>
  <c r="M501" i="6" s="1"/>
  <c r="AZ500" i="6"/>
  <c r="AY500" i="6"/>
  <c r="L500" i="6"/>
  <c r="M500" i="6" s="1"/>
  <c r="AZ499" i="6"/>
  <c r="AY499" i="6"/>
  <c r="L499" i="6"/>
  <c r="M499" i="6" s="1"/>
  <c r="AZ498" i="6"/>
  <c r="AY498" i="6"/>
  <c r="L498" i="6"/>
  <c r="M498" i="6" s="1"/>
  <c r="AZ497" i="6"/>
  <c r="AY497" i="6"/>
  <c r="L497" i="6"/>
  <c r="M497" i="6" s="1"/>
  <c r="AZ496" i="6"/>
  <c r="AY496" i="6"/>
  <c r="L496" i="6"/>
  <c r="AZ495" i="6"/>
  <c r="AY495" i="6"/>
  <c r="L495" i="6"/>
  <c r="AZ494" i="6"/>
  <c r="AY494" i="6"/>
  <c r="L494" i="6"/>
  <c r="AZ493" i="6"/>
  <c r="AY493" i="6"/>
  <c r="L493" i="6"/>
  <c r="M493" i="6" s="1"/>
  <c r="AZ492" i="6"/>
  <c r="AY492" i="6"/>
  <c r="L492" i="6"/>
  <c r="M492" i="6" s="1"/>
  <c r="AZ491" i="6"/>
  <c r="AY491" i="6"/>
  <c r="L491" i="6"/>
  <c r="M491" i="6" s="1"/>
  <c r="AZ490" i="6"/>
  <c r="AY490" i="6"/>
  <c r="L490" i="6"/>
  <c r="M490" i="6" s="1"/>
  <c r="AZ489" i="6"/>
  <c r="AY489" i="6"/>
  <c r="L489" i="6"/>
  <c r="M489" i="6" s="1"/>
  <c r="AZ488" i="6"/>
  <c r="AY488" i="6"/>
  <c r="L488" i="6"/>
  <c r="M488" i="6" s="1"/>
  <c r="AZ487" i="6"/>
  <c r="AY487" i="6"/>
  <c r="L487" i="6"/>
  <c r="M487" i="6" s="1"/>
  <c r="AZ486" i="6"/>
  <c r="AY486" i="6"/>
  <c r="L486" i="6"/>
  <c r="M486" i="6" s="1"/>
  <c r="AZ485" i="6"/>
  <c r="AY485" i="6"/>
  <c r="L485" i="6"/>
  <c r="AZ484" i="6"/>
  <c r="AY484" i="6"/>
  <c r="L484" i="6"/>
  <c r="M484" i="6" s="1"/>
  <c r="AZ483" i="6"/>
  <c r="AY483" i="6"/>
  <c r="L483" i="6"/>
  <c r="AZ482" i="6"/>
  <c r="AY482" i="6"/>
  <c r="L482" i="6"/>
  <c r="AZ481" i="6"/>
  <c r="AY481" i="6"/>
  <c r="L481" i="6"/>
  <c r="AZ480" i="6"/>
  <c r="AY480" i="6"/>
  <c r="L480" i="6"/>
  <c r="AZ479" i="6"/>
  <c r="AY479" i="6"/>
  <c r="L479" i="6"/>
  <c r="AZ478" i="6"/>
  <c r="AY478" i="6"/>
  <c r="L478" i="6"/>
  <c r="AZ477" i="6"/>
  <c r="AY477" i="6"/>
  <c r="L477" i="6"/>
  <c r="AZ476" i="6"/>
  <c r="AY476" i="6"/>
  <c r="L476" i="6"/>
  <c r="AZ475" i="6"/>
  <c r="AY475" i="6"/>
  <c r="L475" i="6"/>
  <c r="AZ474" i="6"/>
  <c r="AY474" i="6"/>
  <c r="L474" i="6"/>
  <c r="AZ473" i="6"/>
  <c r="AY473" i="6"/>
  <c r="L473" i="6"/>
  <c r="AZ472" i="6"/>
  <c r="AY472" i="6"/>
  <c r="L472" i="6"/>
  <c r="AZ471" i="6"/>
  <c r="AY471" i="6"/>
  <c r="L471" i="6"/>
  <c r="AZ470" i="6"/>
  <c r="AY470" i="6"/>
  <c r="L470" i="6"/>
  <c r="AZ469" i="6"/>
  <c r="AY469" i="6"/>
  <c r="L469" i="6"/>
  <c r="AZ468" i="6"/>
  <c r="AY468" i="6"/>
  <c r="L468" i="6"/>
  <c r="AZ467" i="6"/>
  <c r="AY467" i="6"/>
  <c r="L467" i="6"/>
  <c r="AZ466" i="6"/>
  <c r="AY466" i="6"/>
  <c r="L466" i="6"/>
  <c r="AZ465" i="6"/>
  <c r="AY465" i="6"/>
  <c r="L465" i="6"/>
  <c r="M465" i="6" s="1"/>
  <c r="AZ464" i="6"/>
  <c r="AY464" i="6"/>
  <c r="L464" i="6"/>
  <c r="M464" i="6" s="1"/>
  <c r="AZ463" i="6"/>
  <c r="AY463" i="6"/>
  <c r="L463" i="6"/>
  <c r="M463" i="6" s="1"/>
  <c r="AZ462" i="6"/>
  <c r="AY462" i="6"/>
  <c r="L462" i="6"/>
  <c r="M462" i="6" s="1"/>
  <c r="AZ461" i="6"/>
  <c r="AY461" i="6"/>
  <c r="L461" i="6"/>
  <c r="M461" i="6" s="1"/>
  <c r="AZ460" i="6"/>
  <c r="AY460" i="6"/>
  <c r="L460" i="6"/>
  <c r="AZ459" i="6"/>
  <c r="AY459" i="6"/>
  <c r="L459" i="6"/>
  <c r="AZ457" i="6"/>
  <c r="AY457" i="6"/>
  <c r="L457" i="6"/>
  <c r="M457" i="6" s="1"/>
  <c r="AZ456" i="6"/>
  <c r="AY456" i="6"/>
  <c r="L456" i="6"/>
  <c r="M456" i="6" s="1"/>
  <c r="AZ455" i="6"/>
  <c r="AY455" i="6"/>
  <c r="L455" i="6"/>
  <c r="M455" i="6" s="1"/>
  <c r="AZ454" i="6"/>
  <c r="AY454" i="6"/>
  <c r="L454" i="6"/>
  <c r="AZ453" i="6"/>
  <c r="AY453" i="6"/>
  <c r="L453" i="6"/>
  <c r="M453" i="6" s="1"/>
  <c r="AZ452" i="6"/>
  <c r="AY452" i="6"/>
  <c r="L452" i="6"/>
  <c r="M452" i="6" s="1"/>
  <c r="AZ451" i="6"/>
  <c r="AY451" i="6"/>
  <c r="L451" i="6"/>
  <c r="M451" i="6" s="1"/>
  <c r="AZ450" i="6"/>
  <c r="AY450" i="6"/>
  <c r="L450" i="6"/>
  <c r="M450" i="6" s="1"/>
  <c r="AZ449" i="6"/>
  <c r="AY449" i="6"/>
  <c r="L449" i="6"/>
  <c r="AZ448" i="6"/>
  <c r="AY448" i="6"/>
  <c r="L448" i="6"/>
  <c r="M448" i="6" s="1"/>
  <c r="AZ447" i="6"/>
  <c r="AY447" i="6"/>
  <c r="L447" i="6"/>
  <c r="M447" i="6" s="1"/>
  <c r="AZ446" i="6"/>
  <c r="AY446" i="6"/>
  <c r="L446" i="6"/>
  <c r="M446" i="6" s="1"/>
  <c r="AZ445" i="6"/>
  <c r="AY445" i="6"/>
  <c r="L445" i="6"/>
  <c r="M445" i="6" s="1"/>
  <c r="AZ444" i="6"/>
  <c r="AY444" i="6"/>
  <c r="L444" i="6"/>
  <c r="M444" i="6" s="1"/>
  <c r="AZ443" i="6"/>
  <c r="AY443" i="6"/>
  <c r="L443" i="6"/>
  <c r="AZ442" i="6"/>
  <c r="AY442" i="6"/>
  <c r="L442" i="6"/>
  <c r="M442" i="6" s="1"/>
  <c r="AZ441" i="6"/>
  <c r="AY441" i="6"/>
  <c r="L441" i="6"/>
  <c r="AZ440" i="6"/>
  <c r="AY440" i="6"/>
  <c r="L440" i="6"/>
  <c r="AZ439" i="6"/>
  <c r="AY439" i="6"/>
  <c r="L439" i="6"/>
  <c r="AZ438" i="6"/>
  <c r="AY438" i="6"/>
  <c r="L438" i="6"/>
  <c r="AZ437" i="6"/>
  <c r="AY437" i="6"/>
  <c r="L437" i="6"/>
  <c r="AZ436" i="6"/>
  <c r="AY436" i="6"/>
  <c r="L436" i="6"/>
  <c r="AZ435" i="6"/>
  <c r="AY435" i="6"/>
  <c r="L435" i="6"/>
  <c r="AZ434" i="6"/>
  <c r="L434" i="6"/>
  <c r="AZ433" i="6"/>
  <c r="AY433" i="6"/>
  <c r="L433" i="6"/>
  <c r="AZ432" i="6"/>
  <c r="AY432" i="6"/>
  <c r="L432" i="6"/>
  <c r="AZ431" i="6"/>
  <c r="AY431" i="6"/>
  <c r="L431" i="6"/>
  <c r="AZ430" i="6"/>
  <c r="AY430" i="6"/>
  <c r="L430" i="6"/>
  <c r="AZ429" i="6"/>
  <c r="AY429" i="6"/>
  <c r="L429" i="6"/>
  <c r="AZ428" i="6"/>
  <c r="AY428" i="6"/>
  <c r="L428" i="6"/>
  <c r="AZ427" i="6"/>
  <c r="AY427" i="6"/>
  <c r="L427" i="6"/>
  <c r="AZ426" i="6"/>
  <c r="AY426" i="6"/>
  <c r="L426" i="6"/>
  <c r="M426" i="6" s="1"/>
  <c r="AZ425" i="6"/>
  <c r="AY425" i="6"/>
  <c r="L425" i="6"/>
  <c r="M425" i="6" s="1"/>
  <c r="AZ424" i="6"/>
  <c r="AY424" i="6"/>
  <c r="L424" i="6"/>
  <c r="M424" i="6" s="1"/>
  <c r="AZ423" i="6"/>
  <c r="AY423" i="6"/>
  <c r="L423" i="6"/>
  <c r="M423" i="6" s="1"/>
  <c r="AZ422" i="6"/>
  <c r="AY422" i="6"/>
  <c r="L422" i="6"/>
  <c r="M422" i="6" s="1"/>
  <c r="AZ421" i="6"/>
  <c r="AY421" i="6"/>
  <c r="L421" i="6"/>
  <c r="M421" i="6" s="1"/>
  <c r="AZ420" i="6"/>
  <c r="AY420" i="6"/>
  <c r="L420" i="6"/>
  <c r="M420" i="6" s="1"/>
  <c r="AZ419" i="6"/>
  <c r="AY419" i="6"/>
  <c r="L419" i="6"/>
  <c r="M419" i="6" s="1"/>
  <c r="AZ418" i="6"/>
  <c r="AY418" i="6"/>
  <c r="L418" i="6"/>
  <c r="M418" i="6" s="1"/>
  <c r="AZ417" i="6"/>
  <c r="AY417" i="6"/>
  <c r="L417" i="6"/>
  <c r="M417" i="6" s="1"/>
  <c r="AZ416" i="6"/>
  <c r="AY416" i="6"/>
  <c r="L416" i="6"/>
  <c r="M416" i="6" s="1"/>
  <c r="AZ415" i="6"/>
  <c r="AY415" i="6"/>
  <c r="L415" i="6"/>
  <c r="M415" i="6" s="1"/>
  <c r="AZ414" i="6"/>
  <c r="AY414" i="6"/>
  <c r="L414" i="6"/>
  <c r="M414" i="6" s="1"/>
  <c r="AZ413" i="6"/>
  <c r="AY413" i="6"/>
  <c r="L413" i="6"/>
  <c r="M413" i="6" s="1"/>
  <c r="AZ412" i="6"/>
  <c r="AY412" i="6"/>
  <c r="L412" i="6"/>
  <c r="AZ411" i="6"/>
  <c r="AY411" i="6"/>
  <c r="L411" i="6"/>
  <c r="AZ410" i="6"/>
  <c r="AY410" i="6"/>
  <c r="L410" i="6"/>
  <c r="AZ409" i="6"/>
  <c r="AY409" i="6"/>
  <c r="L409" i="6"/>
  <c r="M409" i="6" s="1"/>
  <c r="AZ408" i="6"/>
  <c r="AY408" i="6"/>
  <c r="L408" i="6"/>
  <c r="AZ407" i="6"/>
  <c r="AY407" i="6"/>
  <c r="L407" i="6"/>
  <c r="AZ406" i="6"/>
  <c r="AY406" i="6"/>
  <c r="L406" i="6"/>
  <c r="AZ405" i="6"/>
  <c r="AY405" i="6"/>
  <c r="L405" i="6"/>
  <c r="AZ404" i="6"/>
  <c r="AY404" i="6"/>
  <c r="L404" i="6"/>
  <c r="AZ403" i="6"/>
  <c r="AY403" i="6"/>
  <c r="L403" i="6"/>
  <c r="AZ402" i="6"/>
  <c r="AY402" i="6"/>
  <c r="L402" i="6"/>
  <c r="AZ401" i="6"/>
  <c r="AY401" i="6"/>
  <c r="L401" i="6"/>
  <c r="AZ400" i="6"/>
  <c r="AY400" i="6"/>
  <c r="L400" i="6"/>
  <c r="AZ399" i="6"/>
  <c r="AY399" i="6"/>
  <c r="L399" i="6"/>
  <c r="AZ398" i="6"/>
  <c r="AY398" i="6"/>
  <c r="L398" i="6"/>
  <c r="AZ397" i="6"/>
  <c r="AY397" i="6"/>
  <c r="L397" i="6"/>
  <c r="AZ396" i="6"/>
  <c r="AY396" i="6"/>
  <c r="L396" i="6"/>
  <c r="AZ395" i="6"/>
  <c r="AY395" i="6"/>
  <c r="L395" i="6"/>
  <c r="AZ394" i="6"/>
  <c r="AY394" i="6"/>
  <c r="L394" i="6"/>
  <c r="AZ393" i="6"/>
  <c r="AY393" i="6"/>
  <c r="L393" i="6"/>
  <c r="AZ392" i="6"/>
  <c r="AY392" i="6"/>
  <c r="L392" i="6"/>
  <c r="AZ391" i="6"/>
  <c r="AY391" i="6"/>
  <c r="L391" i="6"/>
  <c r="AZ390" i="6"/>
  <c r="AY390" i="6"/>
  <c r="L390" i="6"/>
  <c r="AZ389" i="6"/>
  <c r="AY389" i="6"/>
  <c r="L389" i="6"/>
  <c r="AZ388" i="6"/>
  <c r="AY388" i="6"/>
  <c r="L388" i="6"/>
  <c r="AZ387" i="6"/>
  <c r="AY387" i="6"/>
  <c r="L387" i="6"/>
  <c r="AZ386" i="6"/>
  <c r="AY386" i="6"/>
  <c r="L386" i="6"/>
  <c r="AZ385" i="6"/>
  <c r="AY385" i="6"/>
  <c r="L385" i="6"/>
  <c r="AZ384" i="6"/>
  <c r="AY384" i="6"/>
  <c r="L384" i="6"/>
  <c r="AZ383" i="6"/>
  <c r="AY383" i="6"/>
  <c r="L383" i="6"/>
  <c r="AZ382" i="6"/>
  <c r="AY382" i="6"/>
  <c r="L382" i="6"/>
  <c r="AZ381" i="6"/>
  <c r="AY381" i="6"/>
  <c r="L381" i="6"/>
  <c r="AZ380" i="6"/>
  <c r="AY380" i="6"/>
  <c r="L380" i="6"/>
  <c r="AZ379" i="6"/>
  <c r="AY379" i="6"/>
  <c r="L379" i="6"/>
  <c r="AZ378" i="6"/>
  <c r="AY378" i="6"/>
  <c r="L378" i="6"/>
  <c r="AZ377" i="6"/>
  <c r="AY377" i="6"/>
  <c r="L377" i="6"/>
  <c r="AZ376" i="6"/>
  <c r="AY376" i="6"/>
  <c r="L376" i="6"/>
  <c r="AZ375" i="6"/>
  <c r="AY375" i="6"/>
  <c r="L375" i="6"/>
  <c r="AZ374" i="6"/>
  <c r="AY374" i="6"/>
  <c r="L374" i="6"/>
  <c r="AZ373" i="6"/>
  <c r="AY373" i="6"/>
  <c r="L373" i="6"/>
  <c r="AZ372" i="6"/>
  <c r="AY372" i="6"/>
  <c r="L372" i="6"/>
  <c r="AZ371" i="6"/>
  <c r="AY371" i="6"/>
  <c r="L371" i="6"/>
  <c r="AZ370" i="6"/>
  <c r="AY370" i="6"/>
  <c r="L370" i="6"/>
  <c r="M370" i="6" s="1"/>
  <c r="AZ369" i="6"/>
  <c r="AY369" i="6"/>
  <c r="L369" i="6"/>
  <c r="M369" i="6" s="1"/>
  <c r="AZ368" i="6"/>
  <c r="AY368" i="6"/>
  <c r="L368" i="6"/>
  <c r="M368" i="6" s="1"/>
  <c r="AZ367" i="6"/>
  <c r="AY367" i="6"/>
  <c r="L367" i="6"/>
  <c r="AZ366" i="6"/>
  <c r="AY366" i="6"/>
  <c r="L366" i="6"/>
  <c r="M366" i="6" s="1"/>
  <c r="AZ365" i="6"/>
  <c r="AY365" i="6"/>
  <c r="L365" i="6"/>
  <c r="M365" i="6" s="1"/>
  <c r="AZ364" i="6"/>
  <c r="AY364" i="6"/>
  <c r="L364" i="6"/>
  <c r="M364" i="6" s="1"/>
  <c r="AZ363" i="6"/>
  <c r="AY363" i="6"/>
  <c r="L363" i="6"/>
  <c r="M363" i="6" s="1"/>
  <c r="AZ362" i="6"/>
  <c r="AY362" i="6"/>
  <c r="L362" i="6"/>
  <c r="M362" i="6" s="1"/>
  <c r="AZ361" i="6"/>
  <c r="AY361" i="6"/>
  <c r="L361" i="6"/>
  <c r="M361" i="6" s="1"/>
  <c r="AZ360" i="6"/>
  <c r="AY360" i="6"/>
  <c r="L360" i="6"/>
  <c r="AZ359" i="6"/>
  <c r="AY359" i="6"/>
  <c r="L359" i="6"/>
  <c r="M359" i="6" s="1"/>
  <c r="AZ358" i="6"/>
  <c r="AY358" i="6"/>
  <c r="L358" i="6"/>
  <c r="M358" i="6" s="1"/>
  <c r="AZ357" i="6"/>
  <c r="AY357" i="6"/>
  <c r="L357" i="6"/>
  <c r="M357" i="6" s="1"/>
  <c r="AZ356" i="6"/>
  <c r="AY356" i="6"/>
  <c r="L356" i="6"/>
  <c r="M356" i="6" s="1"/>
  <c r="AZ355" i="6"/>
  <c r="AY355" i="6"/>
  <c r="L355" i="6"/>
  <c r="M355" i="6" s="1"/>
  <c r="AZ354" i="6"/>
  <c r="AY354" i="6"/>
  <c r="L354" i="6"/>
  <c r="M354" i="6" s="1"/>
  <c r="AZ353" i="6"/>
  <c r="AY353" i="6"/>
  <c r="L353" i="6"/>
  <c r="M353" i="6" s="1"/>
  <c r="AZ352" i="6"/>
  <c r="AY352" i="6"/>
  <c r="L352" i="6"/>
  <c r="M352" i="6" s="1"/>
  <c r="AZ351" i="6"/>
  <c r="AY351" i="6"/>
  <c r="L351" i="6"/>
  <c r="M351" i="6" s="1"/>
  <c r="AZ350" i="6"/>
  <c r="AY350" i="6"/>
  <c r="L350" i="6"/>
  <c r="M350" i="6" s="1"/>
  <c r="AZ349" i="6"/>
  <c r="AY349" i="6"/>
  <c r="L349" i="6"/>
  <c r="M349" i="6" s="1"/>
  <c r="AZ348" i="6"/>
  <c r="AY348" i="6"/>
  <c r="L348" i="6"/>
  <c r="M348" i="6" s="1"/>
  <c r="AZ347" i="6"/>
  <c r="AY347" i="6"/>
  <c r="L347" i="6"/>
  <c r="AZ346" i="6"/>
  <c r="AY346" i="6"/>
  <c r="L346" i="6"/>
  <c r="M346" i="6" s="1"/>
  <c r="AZ345" i="6"/>
  <c r="AY345" i="6"/>
  <c r="L345" i="6"/>
  <c r="M345" i="6" s="1"/>
  <c r="AZ344" i="6"/>
  <c r="AY344" i="6"/>
  <c r="L344" i="6"/>
  <c r="M344" i="6" s="1"/>
  <c r="AZ343" i="6"/>
  <c r="AY343" i="6"/>
  <c r="L343" i="6"/>
  <c r="M343" i="6" s="1"/>
  <c r="AZ342" i="6"/>
  <c r="AY342" i="6"/>
  <c r="L342" i="6"/>
  <c r="M342" i="6" s="1"/>
  <c r="AZ341" i="6"/>
  <c r="AY341" i="6"/>
  <c r="L341" i="6"/>
  <c r="AZ340" i="6"/>
  <c r="AY340" i="6"/>
  <c r="L340" i="6"/>
  <c r="M340" i="6" s="1"/>
  <c r="AZ339" i="6"/>
  <c r="AY339" i="6"/>
  <c r="L339" i="6"/>
  <c r="M339" i="6" s="1"/>
  <c r="AZ338" i="6"/>
  <c r="AY338" i="6"/>
  <c r="L338" i="6"/>
  <c r="M338" i="6" s="1"/>
  <c r="AZ337" i="6"/>
  <c r="AY337" i="6"/>
  <c r="L337" i="6"/>
  <c r="M337" i="6" s="1"/>
  <c r="AZ336" i="6"/>
  <c r="AY336" i="6"/>
  <c r="L336" i="6"/>
  <c r="AZ335" i="6"/>
  <c r="AY335" i="6"/>
  <c r="L335" i="6"/>
  <c r="AZ334" i="6"/>
  <c r="AY334" i="6"/>
  <c r="L334" i="6"/>
  <c r="M334" i="6" s="1"/>
  <c r="AZ333" i="6"/>
  <c r="AY333" i="6"/>
  <c r="L333" i="6"/>
  <c r="M333" i="6" s="1"/>
  <c r="AZ332" i="6"/>
  <c r="AY332" i="6"/>
  <c r="L332" i="6"/>
  <c r="M332" i="6" s="1"/>
  <c r="AZ331" i="6"/>
  <c r="AY331" i="6"/>
  <c r="L331" i="6"/>
  <c r="AZ330" i="6"/>
  <c r="AY330" i="6"/>
  <c r="L330" i="6"/>
  <c r="AZ329" i="6"/>
  <c r="AY329" i="6"/>
  <c r="L329" i="6"/>
  <c r="AZ328" i="6"/>
  <c r="AY328" i="6"/>
  <c r="L328" i="6"/>
  <c r="M328" i="6" s="1"/>
  <c r="AZ327" i="6"/>
  <c r="AY327" i="6"/>
  <c r="L327" i="6"/>
  <c r="AZ326" i="6"/>
  <c r="AY326" i="6"/>
  <c r="L326" i="6"/>
  <c r="AZ325" i="6"/>
  <c r="AY325" i="6"/>
  <c r="L325" i="6"/>
  <c r="AZ324" i="6"/>
  <c r="AY324" i="6"/>
  <c r="L324" i="6"/>
  <c r="AZ323" i="6"/>
  <c r="AY323" i="6"/>
  <c r="L323" i="6"/>
  <c r="AZ322" i="6"/>
  <c r="AY322" i="6"/>
  <c r="L322" i="6"/>
  <c r="AZ321" i="6"/>
  <c r="AY321" i="6"/>
  <c r="L321" i="6"/>
  <c r="AZ320" i="6"/>
  <c r="AY320" i="6"/>
  <c r="L320" i="6"/>
  <c r="AZ319" i="6"/>
  <c r="AY319" i="6"/>
  <c r="L319" i="6"/>
  <c r="AZ318" i="6"/>
  <c r="AY318" i="6"/>
  <c r="L318" i="6"/>
  <c r="AZ317" i="6"/>
  <c r="AY317" i="6"/>
  <c r="L317" i="6"/>
  <c r="AZ316" i="6"/>
  <c r="AY316" i="6"/>
  <c r="L316" i="6"/>
  <c r="AZ315" i="6"/>
  <c r="AY315" i="6"/>
  <c r="L315" i="6"/>
  <c r="AZ314" i="6"/>
  <c r="AY314" i="6"/>
  <c r="L314" i="6"/>
  <c r="AZ313" i="6"/>
  <c r="AY313" i="6"/>
  <c r="L313" i="6"/>
  <c r="AZ312" i="6"/>
  <c r="AY312" i="6"/>
  <c r="L312" i="6"/>
  <c r="AZ311" i="6"/>
  <c r="AY311" i="6"/>
  <c r="L311" i="6"/>
  <c r="AZ310" i="6"/>
  <c r="AY310" i="6"/>
  <c r="L310" i="6"/>
  <c r="AZ309" i="6"/>
  <c r="AY309" i="6"/>
  <c r="L309" i="6"/>
  <c r="AZ308" i="6"/>
  <c r="AY308" i="6"/>
  <c r="L308" i="6"/>
  <c r="AZ307" i="6"/>
  <c r="AY307" i="6"/>
  <c r="L307" i="6"/>
  <c r="AZ306" i="6"/>
  <c r="AY306" i="6"/>
  <c r="L306" i="6"/>
  <c r="AZ305" i="6"/>
  <c r="AY305" i="6"/>
  <c r="L305" i="6"/>
  <c r="AZ304" i="6"/>
  <c r="AY304" i="6"/>
  <c r="L304" i="6"/>
  <c r="AZ303" i="6"/>
  <c r="AY303" i="6"/>
  <c r="L303" i="6"/>
  <c r="AZ302" i="6"/>
  <c r="AY302" i="6"/>
  <c r="L302" i="6"/>
  <c r="AZ301" i="6"/>
  <c r="AY301" i="6"/>
  <c r="L301" i="6"/>
  <c r="AZ300" i="6"/>
  <c r="AY300" i="6"/>
  <c r="L300" i="6"/>
  <c r="AZ299" i="6"/>
  <c r="AY299" i="6"/>
  <c r="L299" i="6"/>
  <c r="M299" i="6" s="1"/>
  <c r="AZ298" i="6"/>
  <c r="AY298" i="6"/>
  <c r="L298" i="6"/>
  <c r="AZ297" i="6"/>
  <c r="AY297" i="6"/>
  <c r="L297" i="6"/>
  <c r="AZ296" i="6"/>
  <c r="AY296" i="6"/>
  <c r="L296" i="6"/>
  <c r="M296" i="6" s="1"/>
  <c r="AZ295" i="6"/>
  <c r="AY295" i="6"/>
  <c r="L295" i="6"/>
  <c r="AZ294" i="6"/>
  <c r="AY294" i="6"/>
  <c r="L294" i="6"/>
  <c r="M294" i="6" s="1"/>
  <c r="AZ293" i="6"/>
  <c r="AY293" i="6"/>
  <c r="L293" i="6"/>
  <c r="M293" i="6" s="1"/>
  <c r="AZ292" i="6"/>
  <c r="AY292" i="6"/>
  <c r="L292" i="6"/>
  <c r="M292" i="6" s="1"/>
  <c r="AZ291" i="6"/>
  <c r="AY291" i="6"/>
  <c r="L291" i="6"/>
  <c r="M291" i="6" s="1"/>
  <c r="AZ290" i="6"/>
  <c r="AY290" i="6"/>
  <c r="L290" i="6"/>
  <c r="M290" i="6" s="1"/>
  <c r="AZ289" i="6"/>
  <c r="AY289" i="6"/>
  <c r="L289" i="6"/>
  <c r="AZ288" i="6"/>
  <c r="AY288" i="6"/>
  <c r="L288" i="6"/>
  <c r="M288" i="6" s="1"/>
  <c r="AZ287" i="6"/>
  <c r="AY287" i="6"/>
  <c r="L287" i="6"/>
  <c r="M287" i="6" s="1"/>
  <c r="AZ286" i="6"/>
  <c r="AY286" i="6"/>
  <c r="L286" i="6"/>
  <c r="M286" i="6" s="1"/>
  <c r="AZ285" i="6"/>
  <c r="AY285" i="6"/>
  <c r="L285" i="6"/>
  <c r="M285" i="6" s="1"/>
  <c r="AZ284" i="6"/>
  <c r="AY284" i="6"/>
  <c r="L284" i="6"/>
  <c r="M284" i="6" s="1"/>
  <c r="AZ283" i="6"/>
  <c r="AY283" i="6"/>
  <c r="L283" i="6"/>
  <c r="M283" i="6" s="1"/>
  <c r="AZ282" i="6"/>
  <c r="AY282" i="6"/>
  <c r="L282" i="6"/>
  <c r="M282" i="6" s="1"/>
  <c r="AZ281" i="6"/>
  <c r="AY281" i="6"/>
  <c r="L281" i="6"/>
  <c r="M281" i="6" s="1"/>
  <c r="AZ280" i="6"/>
  <c r="AY280" i="6"/>
  <c r="L280" i="6"/>
  <c r="M280" i="6" s="1"/>
  <c r="AZ279" i="6"/>
  <c r="AY279" i="6"/>
  <c r="L279" i="6"/>
  <c r="M279" i="6" s="1"/>
  <c r="AZ278" i="6"/>
  <c r="AY278" i="6"/>
  <c r="L278" i="6"/>
  <c r="M278" i="6" s="1"/>
  <c r="AZ277" i="6"/>
  <c r="AY277" i="6"/>
  <c r="L277" i="6"/>
  <c r="AZ276" i="6"/>
  <c r="AY276" i="6"/>
  <c r="L276" i="6"/>
  <c r="M276" i="6" s="1"/>
  <c r="AZ275" i="6"/>
  <c r="AY275" i="6"/>
  <c r="L275" i="6"/>
  <c r="M275" i="6" s="1"/>
  <c r="AZ274" i="6"/>
  <c r="AY274" i="6"/>
  <c r="L274" i="6"/>
  <c r="M274" i="6" s="1"/>
  <c r="AZ273" i="6"/>
  <c r="AY273" i="6"/>
  <c r="L273" i="6"/>
  <c r="M273" i="6" s="1"/>
  <c r="AZ272" i="6"/>
  <c r="AY272" i="6"/>
  <c r="L272" i="6"/>
  <c r="M272" i="6" s="1"/>
  <c r="AZ271" i="6"/>
  <c r="AY271" i="6"/>
  <c r="L271" i="6"/>
  <c r="M271" i="6" s="1"/>
  <c r="AZ270" i="6"/>
  <c r="AY270" i="6"/>
  <c r="L270" i="6"/>
  <c r="M270" i="6" s="1"/>
  <c r="AZ269" i="6"/>
  <c r="AY269" i="6"/>
  <c r="L269" i="6"/>
  <c r="AZ268" i="6"/>
  <c r="AY268" i="6"/>
  <c r="L268" i="6"/>
  <c r="AZ267" i="6"/>
  <c r="AY267" i="6"/>
  <c r="L267" i="6"/>
  <c r="AZ266" i="6"/>
  <c r="AY266" i="6"/>
  <c r="L266" i="6"/>
  <c r="M266" i="6" s="1"/>
  <c r="AZ265" i="6"/>
  <c r="AY265" i="6"/>
  <c r="L265" i="6"/>
  <c r="AZ264" i="6"/>
  <c r="AY264" i="6"/>
  <c r="L264" i="6"/>
  <c r="AZ263" i="6"/>
  <c r="AY263" i="6"/>
  <c r="L263" i="6"/>
  <c r="AZ262" i="6"/>
  <c r="AY262" i="6"/>
  <c r="L262" i="6"/>
  <c r="M262" i="6" s="1"/>
  <c r="AZ261" i="6"/>
  <c r="AY261" i="6"/>
  <c r="L261" i="6"/>
  <c r="AZ260" i="6"/>
  <c r="AY260" i="6"/>
  <c r="L260" i="6"/>
  <c r="AZ259" i="6"/>
  <c r="AY259" i="6"/>
  <c r="L259" i="6"/>
  <c r="AZ258" i="6"/>
  <c r="AY258" i="6"/>
  <c r="L258" i="6"/>
  <c r="AZ257" i="6"/>
  <c r="AY257" i="6"/>
  <c r="L257" i="6"/>
  <c r="AZ256" i="6"/>
  <c r="AY256" i="6"/>
  <c r="L256" i="6"/>
  <c r="AZ255" i="6"/>
  <c r="AY255" i="6"/>
  <c r="L255" i="6"/>
  <c r="AZ254" i="6"/>
  <c r="AY254" i="6"/>
  <c r="L254" i="6"/>
  <c r="AZ253" i="6"/>
  <c r="AY253" i="6"/>
  <c r="L253" i="6"/>
  <c r="AZ252" i="6"/>
  <c r="AY252" i="6"/>
  <c r="L252" i="6"/>
  <c r="M252" i="6" s="1"/>
  <c r="AZ251" i="6"/>
  <c r="AY251" i="6"/>
  <c r="L251" i="6"/>
  <c r="AZ250" i="6"/>
  <c r="AY250" i="6"/>
  <c r="L250" i="6"/>
  <c r="AZ249" i="6"/>
  <c r="AY249" i="6"/>
  <c r="L249" i="6"/>
  <c r="AZ248" i="6"/>
  <c r="AY248" i="6"/>
  <c r="L248" i="6"/>
  <c r="AZ247" i="6"/>
  <c r="AY247" i="6"/>
  <c r="L247" i="6"/>
  <c r="AZ246" i="6"/>
  <c r="AY246" i="6"/>
  <c r="L246" i="6"/>
  <c r="AZ245" i="6"/>
  <c r="AY245" i="6"/>
  <c r="L245" i="6"/>
  <c r="AZ244" i="6"/>
  <c r="AY244" i="6"/>
  <c r="L244" i="6"/>
  <c r="M244" i="6" s="1"/>
  <c r="AZ243" i="6"/>
  <c r="AY243" i="6"/>
  <c r="L243" i="6"/>
  <c r="AZ242" i="6"/>
  <c r="AY242" i="6"/>
  <c r="L242" i="6"/>
  <c r="AZ241" i="6"/>
  <c r="AY241" i="6"/>
  <c r="L241" i="6"/>
  <c r="AZ240" i="6"/>
  <c r="AY240" i="6"/>
  <c r="L240" i="6"/>
  <c r="AZ239" i="6"/>
  <c r="AY239" i="6"/>
  <c r="L239" i="6"/>
  <c r="AZ238" i="6"/>
  <c r="AY238" i="6"/>
  <c r="L238" i="6"/>
  <c r="AZ237" i="6"/>
  <c r="AY237" i="6"/>
  <c r="L237" i="6"/>
  <c r="AZ236" i="6"/>
  <c r="AY236" i="6"/>
  <c r="L236" i="6"/>
  <c r="AZ235" i="6"/>
  <c r="AY235" i="6"/>
  <c r="L235" i="6"/>
  <c r="AZ234" i="6"/>
  <c r="AY234" i="6"/>
  <c r="L234" i="6"/>
  <c r="AZ233" i="6"/>
  <c r="AY233" i="6"/>
  <c r="L233" i="6"/>
  <c r="AZ232" i="6"/>
  <c r="AY232" i="6"/>
  <c r="L232" i="6"/>
  <c r="AZ231" i="6"/>
  <c r="AY231" i="6"/>
  <c r="L231" i="6"/>
  <c r="AZ230" i="6"/>
  <c r="AY230" i="6"/>
  <c r="L230" i="6"/>
  <c r="AZ229" i="6"/>
  <c r="AY229" i="6"/>
  <c r="L229" i="6"/>
  <c r="AZ228" i="6"/>
  <c r="AY228" i="6"/>
  <c r="L228" i="6"/>
  <c r="AZ227" i="6"/>
  <c r="AY227" i="6"/>
  <c r="L227" i="6"/>
  <c r="M227" i="6" s="1"/>
  <c r="AZ226" i="6"/>
  <c r="AY226" i="6"/>
  <c r="L226" i="6"/>
  <c r="M226" i="6" s="1"/>
  <c r="AZ225" i="6"/>
  <c r="AY225" i="6"/>
  <c r="L225" i="6"/>
  <c r="M225" i="6" s="1"/>
  <c r="AZ224" i="6"/>
  <c r="AY224" i="6"/>
  <c r="L224" i="6"/>
  <c r="M224" i="6" s="1"/>
  <c r="AZ223" i="6"/>
  <c r="AY223" i="6"/>
  <c r="L223" i="6"/>
  <c r="AZ222" i="6"/>
  <c r="AY222" i="6"/>
  <c r="L222" i="6"/>
  <c r="AZ221" i="6"/>
  <c r="AY221" i="6"/>
  <c r="L221" i="6"/>
  <c r="AZ220" i="6"/>
  <c r="AY220" i="6"/>
  <c r="L220" i="6"/>
  <c r="M220" i="6" s="1"/>
  <c r="AZ219" i="6"/>
  <c r="AY219" i="6"/>
  <c r="L219" i="6"/>
  <c r="AZ218" i="6"/>
  <c r="AY218" i="6"/>
  <c r="L218" i="6"/>
  <c r="M218" i="6" s="1"/>
  <c r="AZ217" i="6"/>
  <c r="AY217" i="6"/>
  <c r="L217" i="6"/>
  <c r="M217" i="6" s="1"/>
  <c r="AZ216" i="6"/>
  <c r="AY216" i="6"/>
  <c r="L216" i="6"/>
  <c r="AZ215" i="6"/>
  <c r="AY215" i="6"/>
  <c r="L215" i="6"/>
  <c r="AZ214" i="6"/>
  <c r="AY214" i="6"/>
  <c r="L214" i="6"/>
  <c r="M214" i="6" s="1"/>
  <c r="AZ213" i="6"/>
  <c r="AY213" i="6"/>
  <c r="L213" i="6"/>
  <c r="M213" i="6" s="1"/>
  <c r="AZ212" i="6"/>
  <c r="AY212" i="6"/>
  <c r="L212" i="6"/>
  <c r="M212" i="6" s="1"/>
  <c r="AZ211" i="6"/>
  <c r="AY211" i="6"/>
  <c r="L211" i="6"/>
  <c r="M211" i="6" s="1"/>
  <c r="AZ210" i="6"/>
  <c r="AY210" i="6"/>
  <c r="L210" i="6"/>
  <c r="M210" i="6" s="1"/>
  <c r="AZ209" i="6"/>
  <c r="AY209" i="6"/>
  <c r="L209" i="6"/>
  <c r="M209" i="6" s="1"/>
  <c r="AZ208" i="6"/>
  <c r="AY208" i="6"/>
  <c r="L208" i="6"/>
  <c r="M208" i="6" s="1"/>
  <c r="AZ207" i="6"/>
  <c r="AY207" i="6"/>
  <c r="L207" i="6"/>
  <c r="M207" i="6" s="1"/>
  <c r="AZ206" i="6"/>
  <c r="AY206" i="6"/>
  <c r="L206" i="6"/>
  <c r="M206" i="6" s="1"/>
  <c r="AZ205" i="6"/>
  <c r="AY205" i="6"/>
  <c r="L205" i="6"/>
  <c r="AZ204" i="6"/>
  <c r="AY204" i="6"/>
  <c r="L204" i="6"/>
  <c r="M204" i="6" s="1"/>
  <c r="AZ203" i="6"/>
  <c r="AY203" i="6"/>
  <c r="L203" i="6"/>
  <c r="AZ202" i="6"/>
  <c r="AY202" i="6"/>
  <c r="L202" i="6"/>
  <c r="M202" i="6" s="1"/>
  <c r="AZ201" i="6"/>
  <c r="AY201" i="6"/>
  <c r="L201" i="6"/>
  <c r="M201" i="6" s="1"/>
  <c r="AZ200" i="6"/>
  <c r="AY200" i="6"/>
  <c r="L200" i="6"/>
  <c r="M200" i="6" s="1"/>
  <c r="AZ199" i="6"/>
  <c r="AY199" i="6"/>
  <c r="L199" i="6"/>
  <c r="M199" i="6" s="1"/>
  <c r="AZ198" i="6"/>
  <c r="AY198" i="6"/>
  <c r="L198" i="6"/>
  <c r="M198" i="6" s="1"/>
  <c r="AZ197" i="6"/>
  <c r="AY197" i="6"/>
  <c r="L197" i="6"/>
  <c r="M197" i="6" s="1"/>
  <c r="AZ196" i="6"/>
  <c r="AY196" i="6"/>
  <c r="L196" i="6"/>
  <c r="AZ195" i="6"/>
  <c r="AY195" i="6"/>
  <c r="L195" i="6"/>
  <c r="AZ194" i="6"/>
  <c r="AY194" i="6"/>
  <c r="L194" i="6"/>
  <c r="M194" i="6" s="1"/>
  <c r="AZ193" i="6"/>
  <c r="AY193" i="6"/>
  <c r="L193" i="6"/>
  <c r="M193" i="6" s="1"/>
  <c r="AZ192" i="6"/>
  <c r="AY192" i="6"/>
  <c r="L192" i="6"/>
  <c r="M192" i="6" s="1"/>
  <c r="AZ191" i="6"/>
  <c r="AY191" i="6"/>
  <c r="L191" i="6"/>
  <c r="M191" i="6" s="1"/>
  <c r="AZ190" i="6"/>
  <c r="AY190" i="6"/>
  <c r="L190" i="6"/>
  <c r="AZ189" i="6"/>
  <c r="AY189" i="6"/>
  <c r="L189" i="6"/>
  <c r="AZ188" i="6"/>
  <c r="AY188" i="6"/>
  <c r="L188" i="6"/>
  <c r="M188" i="6" s="1"/>
  <c r="AZ187" i="6"/>
  <c r="AY187" i="6"/>
  <c r="L187" i="6"/>
  <c r="AZ186" i="6"/>
  <c r="AY186" i="6"/>
  <c r="L186" i="6"/>
  <c r="AZ185" i="6"/>
  <c r="AY185" i="6"/>
  <c r="L185" i="6"/>
  <c r="AZ184" i="6"/>
  <c r="AY184" i="6"/>
  <c r="L184" i="6"/>
  <c r="AZ183" i="6"/>
  <c r="AY183" i="6"/>
  <c r="L183" i="6"/>
  <c r="AZ182" i="6"/>
  <c r="AY182" i="6"/>
  <c r="L182" i="6"/>
  <c r="AZ181" i="6"/>
  <c r="AY181" i="6"/>
  <c r="L181" i="6"/>
  <c r="AZ180" i="6"/>
  <c r="AY180" i="6"/>
  <c r="L180" i="6"/>
  <c r="AZ179" i="6"/>
  <c r="AY179" i="6"/>
  <c r="L179" i="6"/>
  <c r="AZ178" i="6"/>
  <c r="AY178" i="6"/>
  <c r="L178" i="6"/>
  <c r="AZ177" i="6"/>
  <c r="AY177" i="6"/>
  <c r="L177" i="6"/>
  <c r="AZ176" i="6"/>
  <c r="AY176" i="6"/>
  <c r="L176" i="6"/>
  <c r="AZ175" i="6"/>
  <c r="AY175" i="6"/>
  <c r="L175" i="6"/>
  <c r="AZ174" i="6"/>
  <c r="AY174" i="6"/>
  <c r="L174" i="6"/>
  <c r="AZ173" i="6"/>
  <c r="AY173" i="6"/>
  <c r="L173" i="6"/>
  <c r="AZ172" i="6"/>
  <c r="AY172" i="6"/>
  <c r="L172" i="6"/>
  <c r="AZ171" i="6"/>
  <c r="AY171" i="6"/>
  <c r="L171" i="6"/>
  <c r="AZ170" i="6"/>
  <c r="AY170" i="6"/>
  <c r="L170" i="6"/>
  <c r="AZ169" i="6"/>
  <c r="AY169" i="6"/>
  <c r="L169" i="6"/>
  <c r="AZ168" i="6"/>
  <c r="AY168" i="6"/>
  <c r="L168" i="6"/>
  <c r="AZ167" i="6"/>
  <c r="AY167" i="6"/>
  <c r="L167" i="6"/>
  <c r="AZ166" i="6"/>
  <c r="AY166" i="6"/>
  <c r="L166" i="6"/>
  <c r="AZ165" i="6"/>
  <c r="AY165" i="6"/>
  <c r="L165" i="6"/>
  <c r="AZ164" i="6"/>
  <c r="AY164" i="6"/>
  <c r="L164" i="6"/>
  <c r="AZ163" i="6"/>
  <c r="AY163" i="6"/>
  <c r="L163" i="6"/>
  <c r="AZ162" i="6"/>
  <c r="AY162" i="6"/>
  <c r="L162" i="6"/>
  <c r="AZ161" i="6"/>
  <c r="AY161" i="6"/>
  <c r="L161" i="6"/>
  <c r="AZ160" i="6"/>
  <c r="AY160" i="6"/>
  <c r="L160" i="6"/>
  <c r="AZ159" i="6"/>
  <c r="AY159" i="6"/>
  <c r="L159" i="6"/>
  <c r="AZ158" i="6"/>
  <c r="AY158" i="6"/>
  <c r="L158" i="6"/>
  <c r="AZ157" i="6"/>
  <c r="AY157" i="6"/>
  <c r="L157" i="6"/>
  <c r="AZ156" i="6"/>
  <c r="AY156" i="6"/>
  <c r="L156" i="6"/>
  <c r="AZ155" i="6"/>
  <c r="AY155" i="6"/>
  <c r="L155" i="6"/>
  <c r="AZ154" i="6"/>
  <c r="AY154" i="6"/>
  <c r="L154" i="6"/>
  <c r="AZ153" i="6"/>
  <c r="AY153" i="6"/>
  <c r="L153" i="6"/>
  <c r="AZ152" i="6"/>
  <c r="AY152" i="6"/>
  <c r="L152" i="6"/>
  <c r="AZ151" i="6"/>
  <c r="AY151" i="6"/>
  <c r="L151" i="6"/>
  <c r="AZ150" i="6"/>
  <c r="AY150" i="6"/>
  <c r="L150" i="6"/>
  <c r="AZ149" i="6"/>
  <c r="AY149" i="6"/>
  <c r="L149" i="6"/>
  <c r="AZ148" i="6"/>
  <c r="AY148" i="6"/>
  <c r="L148" i="6"/>
  <c r="AZ147" i="6"/>
  <c r="AY147" i="6"/>
  <c r="L147" i="6"/>
  <c r="AZ146" i="6"/>
  <c r="AY146" i="6"/>
  <c r="L146" i="6"/>
  <c r="AZ145" i="6"/>
  <c r="AY145" i="6"/>
  <c r="L145" i="6"/>
  <c r="AZ144" i="6"/>
  <c r="AY144" i="6"/>
  <c r="L144" i="6"/>
  <c r="AZ143" i="6"/>
  <c r="AY143" i="6"/>
  <c r="L143" i="6"/>
  <c r="AZ142" i="6"/>
  <c r="AY142" i="6"/>
  <c r="L142" i="6"/>
  <c r="AZ141" i="6"/>
  <c r="AY141" i="6"/>
  <c r="L141" i="6"/>
  <c r="AZ140" i="6"/>
  <c r="AY140" i="6"/>
  <c r="L140" i="6"/>
  <c r="AZ139" i="6"/>
  <c r="AY139" i="6"/>
  <c r="L139" i="6"/>
  <c r="AZ138" i="6"/>
  <c r="AY138" i="6"/>
  <c r="L138" i="6"/>
  <c r="AZ137" i="6"/>
  <c r="AY137" i="6"/>
  <c r="L137" i="6"/>
  <c r="AZ136" i="6"/>
  <c r="AY136" i="6"/>
  <c r="L136" i="6"/>
  <c r="AZ135" i="6"/>
  <c r="AY135" i="6"/>
  <c r="L135" i="6"/>
  <c r="AZ134" i="6"/>
  <c r="AY134" i="6"/>
  <c r="L134" i="6"/>
  <c r="AZ133" i="6"/>
  <c r="AY133" i="6"/>
  <c r="L133" i="6"/>
  <c r="AZ132" i="6"/>
  <c r="AY132" i="6"/>
  <c r="L132" i="6"/>
  <c r="AZ131" i="6"/>
  <c r="AY131" i="6"/>
  <c r="L131" i="6"/>
  <c r="M131" i="6" s="1"/>
  <c r="AZ130" i="6"/>
  <c r="AY130" i="6"/>
  <c r="L130" i="6"/>
  <c r="AZ129" i="6"/>
  <c r="AY129" i="6"/>
  <c r="L129" i="6"/>
  <c r="AZ128" i="6"/>
  <c r="AY128" i="6"/>
  <c r="L128" i="6"/>
  <c r="AZ127" i="6"/>
  <c r="AY127" i="6"/>
  <c r="L127" i="6"/>
  <c r="AZ126" i="6"/>
  <c r="AY126" i="6"/>
  <c r="L126" i="6"/>
  <c r="AZ125" i="6"/>
  <c r="AY125" i="6"/>
  <c r="L125" i="6"/>
  <c r="AZ124" i="6"/>
  <c r="AY124" i="6"/>
  <c r="L124" i="6"/>
  <c r="AZ123" i="6"/>
  <c r="AY123" i="6"/>
  <c r="L123" i="6"/>
  <c r="AZ122" i="6"/>
  <c r="AY122" i="6"/>
  <c r="L122" i="6"/>
  <c r="AZ121" i="6"/>
  <c r="AY121" i="6"/>
  <c r="L121" i="6"/>
  <c r="AZ120" i="6"/>
  <c r="AY120" i="6"/>
  <c r="L120" i="6"/>
  <c r="AZ119" i="6"/>
  <c r="AY119" i="6"/>
  <c r="L119" i="6"/>
  <c r="AZ118" i="6"/>
  <c r="AY118" i="6"/>
  <c r="L118" i="6"/>
  <c r="AZ117" i="6"/>
  <c r="AY117" i="6"/>
  <c r="L117" i="6"/>
  <c r="AZ116" i="6"/>
  <c r="AY116" i="6"/>
  <c r="L116" i="6"/>
  <c r="AZ115" i="6"/>
  <c r="AY115" i="6"/>
  <c r="L115" i="6"/>
  <c r="AZ114" i="6"/>
  <c r="AY114" i="6"/>
  <c r="L114" i="6"/>
  <c r="AZ113" i="6"/>
  <c r="AY113" i="6"/>
  <c r="L113" i="6"/>
  <c r="AZ112" i="6"/>
  <c r="AY112" i="6"/>
  <c r="L112" i="6"/>
  <c r="AZ111" i="6"/>
  <c r="AY111" i="6"/>
  <c r="L111" i="6"/>
  <c r="AZ110" i="6"/>
  <c r="AY110" i="6"/>
  <c r="L110" i="6"/>
  <c r="AZ109" i="6"/>
  <c r="AY109" i="6"/>
  <c r="L109" i="6"/>
  <c r="AZ108" i="6"/>
  <c r="AY108" i="6"/>
  <c r="L108" i="6"/>
  <c r="AZ107" i="6"/>
  <c r="AY107" i="6"/>
  <c r="L107" i="6"/>
  <c r="AZ106" i="6"/>
  <c r="AY106" i="6"/>
  <c r="L106" i="6"/>
  <c r="AZ105" i="6"/>
  <c r="AY105" i="6"/>
  <c r="L105" i="6"/>
  <c r="AZ104" i="6"/>
  <c r="AY104" i="6"/>
  <c r="L104" i="6"/>
  <c r="AZ103" i="6"/>
  <c r="AY103" i="6"/>
  <c r="L103" i="6"/>
  <c r="AZ102" i="6"/>
  <c r="AY102" i="6"/>
  <c r="L102" i="6"/>
  <c r="AZ101" i="6"/>
  <c r="AY101" i="6"/>
  <c r="L101" i="6"/>
  <c r="AZ100" i="6"/>
  <c r="AY100" i="6"/>
  <c r="L100" i="6"/>
  <c r="AZ99" i="6"/>
  <c r="AY99" i="6"/>
  <c r="L99" i="6"/>
  <c r="AZ98" i="6"/>
  <c r="AY98" i="6"/>
  <c r="L98" i="6"/>
  <c r="AZ97" i="6"/>
  <c r="AY97" i="6"/>
  <c r="L97" i="6"/>
  <c r="AZ96" i="6"/>
  <c r="AY96" i="6"/>
  <c r="L96" i="6"/>
  <c r="AZ95" i="6"/>
  <c r="AY95" i="6"/>
  <c r="L95" i="6"/>
  <c r="AZ94" i="6"/>
  <c r="AY94" i="6"/>
  <c r="L94" i="6"/>
  <c r="AZ93" i="6"/>
  <c r="AY93" i="6"/>
  <c r="L93" i="6"/>
  <c r="AZ92" i="6"/>
  <c r="AY92" i="6"/>
  <c r="L92" i="6"/>
  <c r="AZ91" i="6"/>
  <c r="AY91" i="6"/>
  <c r="L91" i="6"/>
  <c r="AZ90" i="6"/>
  <c r="AY90" i="6"/>
  <c r="L90" i="6"/>
  <c r="AZ89" i="6"/>
  <c r="AY89" i="6"/>
  <c r="L89" i="6"/>
  <c r="AZ88" i="6"/>
  <c r="AY88" i="6"/>
  <c r="L88" i="6"/>
  <c r="AZ87" i="6"/>
  <c r="AY87" i="6"/>
  <c r="L87" i="6"/>
  <c r="AZ86" i="6"/>
  <c r="AY86" i="6"/>
  <c r="L86" i="6"/>
  <c r="AZ85" i="6"/>
  <c r="AY85" i="6"/>
  <c r="L85" i="6"/>
  <c r="AZ84" i="6"/>
  <c r="AY84" i="6"/>
  <c r="L84" i="6"/>
  <c r="AZ83" i="6"/>
  <c r="AY83" i="6"/>
  <c r="L83" i="6"/>
  <c r="AZ82" i="6"/>
  <c r="AY82" i="6"/>
  <c r="L82" i="6"/>
  <c r="AZ81" i="6"/>
  <c r="AY81" i="6"/>
  <c r="L81" i="6"/>
  <c r="AZ80" i="6"/>
  <c r="AY80" i="6"/>
  <c r="L80" i="6"/>
  <c r="AZ79" i="6"/>
  <c r="AY79" i="6"/>
  <c r="L79" i="6"/>
  <c r="AZ78" i="6"/>
  <c r="AY78" i="6"/>
  <c r="L78" i="6"/>
  <c r="AZ77" i="6"/>
  <c r="AY77" i="6"/>
  <c r="L77" i="6"/>
  <c r="AZ76" i="6"/>
  <c r="AY76" i="6"/>
  <c r="L76" i="6"/>
  <c r="AZ75" i="6"/>
  <c r="AY75" i="6"/>
  <c r="L75" i="6"/>
  <c r="AZ74" i="6"/>
  <c r="AY74" i="6"/>
  <c r="L74" i="6"/>
  <c r="AZ73" i="6"/>
  <c r="AY73" i="6"/>
  <c r="L73" i="6"/>
  <c r="AZ72" i="6"/>
  <c r="AY72" i="6"/>
  <c r="L72" i="6"/>
  <c r="AZ71" i="6"/>
  <c r="AY71" i="6"/>
  <c r="L71" i="6"/>
  <c r="AZ70" i="6"/>
  <c r="AY70" i="6"/>
  <c r="L70" i="6"/>
  <c r="AZ69" i="6"/>
  <c r="AY69" i="6"/>
  <c r="L69" i="6"/>
  <c r="AZ68" i="6"/>
  <c r="AY68" i="6"/>
  <c r="L68" i="6"/>
  <c r="AZ67" i="6"/>
  <c r="AY67" i="6"/>
  <c r="L67" i="6"/>
  <c r="AZ66" i="6"/>
  <c r="AY66" i="6"/>
  <c r="L66" i="6"/>
  <c r="AZ65" i="6"/>
  <c r="AY65" i="6"/>
  <c r="L65" i="6"/>
  <c r="AZ64" i="6"/>
  <c r="AY64" i="6"/>
  <c r="L64" i="6"/>
  <c r="AZ63" i="6"/>
  <c r="AY63" i="6"/>
  <c r="L63" i="6"/>
  <c r="AZ62" i="6"/>
  <c r="AY62" i="6"/>
  <c r="L62" i="6"/>
  <c r="AZ61" i="6"/>
  <c r="AY61" i="6"/>
  <c r="L61" i="6"/>
  <c r="AZ60" i="6"/>
  <c r="AY60" i="6"/>
  <c r="L60" i="6"/>
  <c r="AZ59" i="6"/>
  <c r="AY59" i="6"/>
  <c r="L59" i="6"/>
  <c r="AZ58" i="6"/>
  <c r="AY58" i="6"/>
  <c r="L58" i="6"/>
  <c r="AZ57" i="6"/>
  <c r="AY57" i="6"/>
  <c r="L57" i="6"/>
  <c r="AZ56" i="6"/>
  <c r="AY56" i="6"/>
  <c r="L56" i="6"/>
  <c r="AZ55" i="6"/>
  <c r="AY55" i="6"/>
  <c r="L55" i="6"/>
  <c r="AZ54" i="6"/>
  <c r="AY54" i="6"/>
  <c r="L54" i="6"/>
  <c r="AZ53" i="6"/>
  <c r="AY53" i="6"/>
  <c r="L53" i="6"/>
  <c r="AZ52" i="6"/>
  <c r="AY52" i="6"/>
  <c r="L52" i="6"/>
  <c r="AZ51" i="6"/>
  <c r="AY51" i="6"/>
  <c r="L51" i="6"/>
  <c r="AZ50" i="6"/>
  <c r="AY50" i="6"/>
  <c r="L50" i="6"/>
  <c r="AZ49" i="6"/>
  <c r="AY49" i="6"/>
  <c r="L49" i="6"/>
  <c r="AZ48" i="6"/>
  <c r="AY48" i="6"/>
  <c r="L48" i="6"/>
  <c r="AZ47" i="6"/>
  <c r="AY47" i="6"/>
  <c r="L47" i="6"/>
  <c r="AZ46" i="6"/>
  <c r="AY46" i="6"/>
  <c r="L46" i="6"/>
  <c r="AZ45" i="6"/>
  <c r="AY45" i="6"/>
  <c r="L45" i="6"/>
  <c r="AZ44" i="6"/>
  <c r="AY44" i="6"/>
  <c r="L44" i="6"/>
  <c r="AZ43" i="6"/>
  <c r="AY43" i="6"/>
  <c r="L43" i="6"/>
  <c r="AZ42" i="6"/>
  <c r="AY42" i="6"/>
  <c r="L42" i="6"/>
  <c r="AZ41" i="6"/>
  <c r="AY41" i="6"/>
  <c r="L41" i="6"/>
  <c r="AZ40" i="6"/>
  <c r="AY40" i="6"/>
  <c r="L40" i="6"/>
  <c r="AZ39" i="6"/>
  <c r="AY39" i="6"/>
  <c r="L39" i="6"/>
  <c r="AZ38" i="6"/>
  <c r="AY38" i="6"/>
  <c r="L38" i="6"/>
  <c r="AZ37" i="6"/>
  <c r="AY37" i="6"/>
  <c r="L37" i="6"/>
  <c r="AZ36" i="6"/>
  <c r="AY36" i="6"/>
  <c r="L36" i="6"/>
  <c r="AZ35" i="6"/>
  <c r="AY35" i="6"/>
  <c r="L35" i="6"/>
  <c r="AZ34" i="6"/>
  <c r="AY34" i="6"/>
  <c r="L34" i="6"/>
  <c r="AZ33" i="6"/>
  <c r="AY33" i="6"/>
  <c r="L33" i="6"/>
  <c r="AZ32" i="6"/>
  <c r="AY32" i="6"/>
  <c r="L32" i="6"/>
  <c r="AZ31" i="6"/>
  <c r="AY31" i="6"/>
  <c r="L31" i="6"/>
  <c r="AZ30" i="6"/>
  <c r="AY30" i="6"/>
  <c r="L30" i="6"/>
  <c r="X28" i="6"/>
  <c r="W28" i="6"/>
  <c r="V28" i="6"/>
  <c r="U28" i="6"/>
  <c r="T28" i="6"/>
  <c r="S28" i="6"/>
  <c r="R28" i="6"/>
  <c r="Q28" i="6"/>
  <c r="P28" i="6"/>
  <c r="O28" i="6"/>
  <c r="N28" i="6"/>
  <c r="AV27" i="6" a="1"/>
  <c r="AV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AQ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359" i="9"/>
  <c r="T587" i="9"/>
  <c r="T648" i="9"/>
  <c r="T681" i="9"/>
  <c r="T675" i="9"/>
  <c r="T99" i="9"/>
  <c r="T409" i="9"/>
  <c r="T375" i="9"/>
  <c r="T665" i="9"/>
  <c r="T356" i="9"/>
  <c r="T309" i="9"/>
  <c r="T597" i="9"/>
  <c r="T636" i="9"/>
  <c r="T195" i="9"/>
  <c r="T630" i="9"/>
  <c r="T355" i="9"/>
  <c r="T593" i="9"/>
  <c r="T148" i="9"/>
  <c r="T146" i="9"/>
  <c r="T626" i="9"/>
  <c r="T404" i="9"/>
  <c r="T469" i="9"/>
  <c r="T622" i="9"/>
  <c r="T605" i="9"/>
  <c r="T298" i="9"/>
  <c r="T435" i="9"/>
  <c r="T350" i="5"/>
  <c r="T416" i="9"/>
  <c r="T194" i="9"/>
  <c r="T645" i="9"/>
  <c r="T421" i="9"/>
  <c r="T193" i="9"/>
  <c r="T380" i="9"/>
  <c r="T422" i="9"/>
  <c r="T610" i="9"/>
  <c r="T612" i="9"/>
  <c r="T614" i="9"/>
  <c r="T387" i="9"/>
  <c r="T642" i="9"/>
  <c r="T358" i="5"/>
  <c r="T652" i="9"/>
  <c r="T627" i="9"/>
  <c r="T647" i="9"/>
  <c r="T370" i="9"/>
  <c r="T480" i="9"/>
  <c r="T588" i="9"/>
  <c r="T576" i="9"/>
  <c r="T465" i="9"/>
  <c r="T301" i="9"/>
  <c r="T601" i="9"/>
  <c r="T352" i="5"/>
  <c r="T196" i="9"/>
  <c r="T100" i="9"/>
  <c r="T167" i="9"/>
  <c r="T608" i="9"/>
  <c r="T147" i="9"/>
  <c r="T653" i="9"/>
  <c r="T437" i="9"/>
  <c r="T347" i="9"/>
  <c r="T362" i="5"/>
  <c r="T479" i="9"/>
  <c r="T660" i="9"/>
  <c r="T353" i="9"/>
  <c r="T470" i="9"/>
  <c r="T635" i="9"/>
  <c r="T611" i="9"/>
  <c r="T364" i="5"/>
  <c r="T214" i="9"/>
  <c r="T583" i="9"/>
  <c r="T463" i="9"/>
  <c r="T619" i="9"/>
  <c r="T455" i="9"/>
  <c r="T471" i="9"/>
  <c r="T383" i="9"/>
  <c r="T628" i="9"/>
  <c r="T667" i="9"/>
  <c r="T456" i="9"/>
  <c r="T61" i="9"/>
  <c r="T319" i="9"/>
  <c r="T555" i="9"/>
  <c r="T59" i="9"/>
  <c r="T97" i="9"/>
  <c r="T441" i="9"/>
  <c r="T417" i="9"/>
  <c r="T669" i="9"/>
  <c r="T454" i="9"/>
  <c r="T451" i="9"/>
  <c r="T373" i="9"/>
  <c r="T13" i="9"/>
  <c r="T554" i="9"/>
  <c r="T366" i="5"/>
  <c r="T570" i="9"/>
  <c r="T384" i="9"/>
  <c r="T323" i="9"/>
  <c r="T567" i="9"/>
  <c r="T662" i="9"/>
  <c r="T475" i="9"/>
  <c r="T641" i="9"/>
  <c r="T453" i="9"/>
  <c r="T392" i="9"/>
  <c r="T322" i="9"/>
  <c r="T604" i="9"/>
  <c r="T674" i="9"/>
  <c r="T388" i="9"/>
  <c r="T613" i="9"/>
  <c r="T60" i="9"/>
  <c r="T472" i="9"/>
  <c r="T634" i="9"/>
  <c r="T638" i="9"/>
  <c r="T210" i="9"/>
  <c r="T191" i="9"/>
  <c r="T585" i="9"/>
  <c r="T637" i="9"/>
  <c r="T341" i="9"/>
  <c r="T649" i="9"/>
  <c r="T578" i="9"/>
  <c r="T673" i="9"/>
  <c r="T316" i="9"/>
  <c r="T382" i="9"/>
  <c r="T595" i="9"/>
  <c r="T574" i="9"/>
  <c r="T317" i="9"/>
  <c r="T12" i="9"/>
  <c r="T466" i="9"/>
  <c r="T420" i="9"/>
  <c r="T659" i="9"/>
  <c r="T354" i="5"/>
  <c r="T580" i="9"/>
  <c r="T436" i="9"/>
  <c r="T561" i="9"/>
  <c r="T336" i="9"/>
  <c r="T311" i="9"/>
  <c r="T680" i="9"/>
  <c r="T644" i="9"/>
  <c r="T551" i="9"/>
  <c r="T657" i="9"/>
  <c r="T602" i="9"/>
  <c r="T624" i="9"/>
  <c r="T640" i="9"/>
  <c r="T631" i="9"/>
  <c r="T318" i="9"/>
  <c r="T374" i="9"/>
  <c r="T171" i="9"/>
  <c r="T418" i="9"/>
  <c r="T563" i="9"/>
  <c r="T98" i="9"/>
  <c r="T211" i="9"/>
  <c r="T685" i="9"/>
  <c r="T363" i="9"/>
  <c r="T581" i="9"/>
  <c r="T434" i="9"/>
  <c r="T651" i="9"/>
  <c r="T655" i="9"/>
  <c r="T672" i="9"/>
  <c r="T473" i="9"/>
  <c r="T478" i="9"/>
  <c r="T461" i="9"/>
  <c r="T481" i="9"/>
  <c r="T356" i="5"/>
  <c r="T639" i="9"/>
  <c r="T598" i="9"/>
  <c r="T557" i="9"/>
  <c r="T552" i="9"/>
  <c r="T666" i="9"/>
  <c r="T658" i="9"/>
  <c r="T14" i="9"/>
  <c r="T589" i="9"/>
  <c r="T360" i="5"/>
  <c r="T633" i="9"/>
  <c r="T439" i="9"/>
  <c r="T324" i="9"/>
  <c r="T474" i="9"/>
  <c r="T573" i="9"/>
  <c r="T629" i="9"/>
  <c r="T579" i="9"/>
  <c r="T344" i="9"/>
  <c r="T401" i="9"/>
  <c r="T632" i="9"/>
  <c r="T682" i="9"/>
  <c r="T376" i="9"/>
  <c r="T58" i="9"/>
  <c r="T562" i="9"/>
  <c r="T468" i="9"/>
  <c r="T192" i="9"/>
  <c r="R5" i="6" a="1"/>
  <c r="T553" i="9"/>
  <c r="T590" i="9"/>
  <c r="T419" i="9"/>
  <c r="T646" i="9"/>
  <c r="T346" i="5"/>
  <c r="T169" i="9"/>
  <c r="T620" i="9"/>
  <c r="T166" i="9"/>
  <c r="T663" i="9"/>
  <c r="T664" i="9"/>
  <c r="T345" i="9"/>
  <c r="T607" i="9"/>
  <c r="T560" i="9"/>
  <c r="T170" i="9"/>
  <c r="T297" i="9"/>
  <c r="T684" i="9"/>
  <c r="T599" i="9"/>
  <c r="T625" i="9"/>
  <c r="T564" i="9"/>
  <c r="T145" i="9"/>
  <c r="T340" i="9"/>
  <c r="T378" i="9"/>
  <c r="T413" i="9"/>
  <c r="T346" i="9"/>
  <c r="T457" i="9"/>
  <c r="T302" i="9"/>
  <c r="T679" i="9"/>
  <c r="T477" i="9"/>
  <c r="T367" i="9"/>
  <c r="T683" i="9"/>
  <c r="T650" i="9"/>
  <c r="T394" i="9"/>
  <c r="T556" i="9"/>
  <c r="T559" i="9"/>
  <c r="T444" i="9"/>
  <c r="T566" i="9"/>
  <c r="T616" i="9"/>
  <c r="T350" i="9"/>
  <c r="T16" i="9"/>
  <c r="T596" i="9"/>
  <c r="T462" i="9"/>
  <c r="T476" i="9"/>
  <c r="T411" i="9"/>
  <c r="T149" i="9"/>
  <c r="T572" i="9"/>
  <c r="T212" i="9"/>
  <c r="T62" i="9"/>
  <c r="T615" i="9"/>
  <c r="T661" i="9"/>
  <c r="T438" i="9"/>
  <c r="T348" i="5"/>
  <c r="T168" i="9"/>
  <c r="T458" i="9"/>
  <c r="T15" i="9"/>
  <c r="T618" i="9"/>
  <c r="T343" i="9"/>
  <c r="T575" i="9"/>
  <c r="T299" i="9"/>
  <c r="T310" i="9"/>
  <c r="T676" i="9"/>
  <c r="T586" i="9"/>
  <c r="T448" i="9"/>
  <c r="T446" i="9"/>
  <c r="T558" i="9"/>
  <c r="T671" i="9"/>
  <c r="T670" i="9"/>
  <c r="T403" i="9"/>
  <c r="T600" i="9"/>
  <c r="T621" i="9"/>
  <c r="T300" i="9"/>
  <c r="T325" i="9"/>
  <c r="T594" i="9"/>
  <c r="T584" i="9"/>
  <c r="T303" i="9"/>
  <c r="T369" i="9"/>
  <c r="T377" i="9"/>
  <c r="T677" i="9"/>
  <c r="T213" i="9"/>
  <c r="T678" i="9"/>
  <c r="T654" i="9"/>
  <c r="T569" i="9"/>
  <c r="T606" i="9"/>
  <c r="T342" i="9"/>
  <c r="T101" i="9"/>
  <c r="T249" i="9"/>
  <c r="T341" i="5"/>
  <c r="T172" i="9"/>
  <c r="T251" i="9"/>
  <c r="T248" i="9"/>
  <c r="T197" i="9"/>
  <c r="T102" i="9"/>
  <c r="T340" i="5"/>
  <c r="T63" i="9"/>
  <c r="T17" i="9"/>
  <c r="T304" i="9"/>
  <c r="T215" i="9"/>
  <c r="T150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446" i="9"/>
  <c r="V448" i="9"/>
  <c r="V586" i="9"/>
  <c r="U676" i="9"/>
  <c r="AI676" i="9"/>
  <c r="AJ676" i="9" s="1"/>
  <c r="V676" i="9"/>
  <c r="V310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V462" i="9"/>
  <c r="AI596" i="9"/>
  <c r="AJ596" i="9" s="1"/>
  <c r="V596" i="9"/>
  <c r="U596" i="9"/>
  <c r="AI16" i="9"/>
  <c r="AJ16" i="9" s="1"/>
  <c r="U16" i="9"/>
  <c r="V16" i="9"/>
  <c r="V350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R5" i="6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V481" i="9"/>
  <c r="AI461" i="9"/>
  <c r="AN461" i="9" s="1"/>
  <c r="AO461" i="9" s="1"/>
  <c r="V461" i="9"/>
  <c r="V478" i="9"/>
  <c r="AI478" i="9"/>
  <c r="AJ478" i="9" s="1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363" i="9"/>
  <c r="V685" i="9"/>
  <c r="AI211" i="9"/>
  <c r="AJ211" i="9" s="1"/>
  <c r="V211" i="9"/>
  <c r="U211" i="9"/>
  <c r="V98" i="9"/>
  <c r="AI98" i="9"/>
  <c r="AJ98" i="9" s="1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466" i="9"/>
  <c r="V12" i="9"/>
  <c r="AI12" i="9"/>
  <c r="AJ12" i="9" s="1"/>
  <c r="U12" i="9"/>
  <c r="V317" i="9"/>
  <c r="V574" i="9"/>
  <c r="AI595" i="9"/>
  <c r="AJ595" i="9" s="1"/>
  <c r="V595" i="9"/>
  <c r="U595" i="9"/>
  <c r="V382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V388" i="9"/>
  <c r="AI674" i="9"/>
  <c r="AJ674" i="9" s="1"/>
  <c r="V674" i="9"/>
  <c r="U674" i="9"/>
  <c r="V604" i="9"/>
  <c r="V322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23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1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463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479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AJ167" i="9" s="1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465" i="9"/>
  <c r="V576" i="9"/>
  <c r="V588" i="9"/>
  <c r="V480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387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W603" i="9" s="1"/>
  <c r="V622" i="9"/>
  <c r="AI469" i="9"/>
  <c r="AJ469" i="9" s="1"/>
  <c r="V469" i="9"/>
  <c r="U469" i="9"/>
  <c r="V404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09" i="9"/>
  <c r="V356" i="9"/>
  <c r="V665" i="9"/>
  <c r="W656" i="9" s="1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462" i="9"/>
  <c r="AJ462" i="9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479" i="9"/>
  <c r="AJ479" i="9" s="1"/>
  <c r="AJ441" i="9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N555" i="9"/>
  <c r="AO555" i="9" s="1"/>
  <c r="AN626" i="9"/>
  <c r="AO626" i="9" s="1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AS441" i="9"/>
  <c r="AT441" i="9" s="1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N342" i="9"/>
  <c r="AS342" i="9" s="1"/>
  <c r="AT342" i="9" s="1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N167" i="9"/>
  <c r="AS167" i="9" s="1"/>
  <c r="AT167" i="9" s="1"/>
  <c r="AN98" i="9"/>
  <c r="AO98" i="9" s="1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6" i="5"/>
  <c r="T88" i="5"/>
  <c r="T204" i="5"/>
  <c r="T296" i="5"/>
  <c r="T139" i="5"/>
  <c r="T174" i="5"/>
  <c r="T254" i="5"/>
  <c r="T110" i="5"/>
  <c r="T127" i="5"/>
  <c r="T62" i="5"/>
  <c r="T84" i="5"/>
  <c r="T216" i="5"/>
  <c r="T242" i="5"/>
  <c r="T146" i="5"/>
  <c r="T502" i="9"/>
  <c r="T181" i="5"/>
  <c r="T503" i="9"/>
  <c r="T20" i="5"/>
  <c r="T268" i="9"/>
  <c r="T237" i="9"/>
  <c r="T255" i="5"/>
  <c r="T338" i="5"/>
  <c r="T331" i="5"/>
  <c r="T269" i="9"/>
  <c r="T162" i="5"/>
  <c r="T210" i="5"/>
  <c r="T12" i="5"/>
  <c r="T83" i="5"/>
  <c r="T337" i="5"/>
  <c r="T290" i="5"/>
  <c r="T51" i="5"/>
  <c r="T41" i="5"/>
  <c r="T165" i="5"/>
  <c r="T234" i="5"/>
  <c r="T130" i="5"/>
  <c r="T241" i="5"/>
  <c r="T310" i="5"/>
  <c r="T236" i="5"/>
  <c r="T223" i="5"/>
  <c r="T97" i="5"/>
  <c r="T197" i="5"/>
  <c r="T25" i="5"/>
  <c r="T42" i="5"/>
  <c r="T265" i="5"/>
  <c r="T125" i="5"/>
  <c r="T63" i="5"/>
  <c r="T36" i="5"/>
  <c r="T259" i="9"/>
  <c r="T124" i="5"/>
  <c r="T71" i="5"/>
  <c r="T198" i="5"/>
  <c r="T28" i="5"/>
  <c r="T344" i="5"/>
  <c r="T111" i="5"/>
  <c r="T95" i="5"/>
  <c r="T285" i="5"/>
  <c r="T67" i="5"/>
  <c r="T278" i="9"/>
  <c r="T335" i="5"/>
  <c r="T81" i="5"/>
  <c r="T211" i="5"/>
  <c r="T160" i="5"/>
  <c r="T212" i="5"/>
  <c r="T86" i="5"/>
  <c r="T68" i="5"/>
  <c r="T532" i="9"/>
  <c r="T22" i="5"/>
  <c r="T14" i="5"/>
  <c r="T241" i="9"/>
  <c r="T254" i="9"/>
  <c r="T236" i="9"/>
  <c r="T302" i="5"/>
  <c r="T270" i="5"/>
  <c r="T144" i="5"/>
  <c r="T40" i="5"/>
  <c r="T75" i="5"/>
  <c r="T221" i="5"/>
  <c r="T102" i="5"/>
  <c r="T168" i="5"/>
  <c r="T104" i="5"/>
  <c r="T300" i="5"/>
  <c r="T136" i="5"/>
  <c r="T72" i="5"/>
  <c r="T44" i="5"/>
  <c r="T16" i="5"/>
  <c r="T305" i="9"/>
  <c r="T323" i="5"/>
  <c r="T58" i="5"/>
  <c r="T288" i="5"/>
  <c r="T313" i="5"/>
  <c r="T316" i="5"/>
  <c r="T262" i="5"/>
  <c r="T18" i="9"/>
  <c r="T64" i="9"/>
  <c r="T235" i="9"/>
  <c r="T182" i="5"/>
  <c r="T77" i="5"/>
  <c r="T249" i="5"/>
  <c r="T227" i="5"/>
  <c r="T263" i="9"/>
  <c r="T257" i="5"/>
  <c r="T325" i="5"/>
  <c r="T156" i="5"/>
  <c r="T321" i="5"/>
  <c r="T91" i="5"/>
  <c r="T295" i="5"/>
  <c r="T317" i="5"/>
  <c r="T505" i="9"/>
  <c r="T261" i="5"/>
  <c r="T87" i="5"/>
  <c r="T258" i="5"/>
  <c r="T185" i="5"/>
  <c r="T229" i="5"/>
  <c r="T126" i="5"/>
  <c r="T187" i="5"/>
  <c r="T145" i="5"/>
  <c r="T164" i="5"/>
  <c r="T61" i="5"/>
  <c r="T293" i="5"/>
  <c r="T273" i="5"/>
  <c r="T191" i="5"/>
  <c r="T115" i="5"/>
  <c r="T13" i="5"/>
  <c r="T45" i="5"/>
  <c r="T122" i="5"/>
  <c r="T137" i="5"/>
  <c r="T169" i="5"/>
  <c r="T98" i="5"/>
  <c r="T157" i="5"/>
  <c r="T272" i="5"/>
  <c r="T269" i="5"/>
  <c r="T172" i="5"/>
  <c r="T180" i="5"/>
  <c r="T213" i="5"/>
  <c r="T166" i="5"/>
  <c r="T315" i="5"/>
  <c r="T203" i="5"/>
  <c r="T259" i="5"/>
  <c r="T179" i="5"/>
  <c r="T46" i="5"/>
  <c r="T247" i="5"/>
  <c r="T235" i="5"/>
  <c r="T216" i="9"/>
  <c r="T287" i="5"/>
  <c r="T170" i="5"/>
  <c r="T231" i="9"/>
  <c r="T194" i="5"/>
  <c r="T163" i="5"/>
  <c r="T153" i="5"/>
  <c r="T177" i="5"/>
  <c r="T192" i="5"/>
  <c r="T93" i="5"/>
  <c r="T233" i="5"/>
  <c r="T333" i="5"/>
  <c r="T116" i="5"/>
  <c r="T159" i="5"/>
  <c r="T270" i="9"/>
  <c r="T198" i="9"/>
  <c r="T106" i="5"/>
  <c r="T311" i="5"/>
  <c r="T29" i="5"/>
  <c r="T237" i="5"/>
  <c r="T89" i="5"/>
  <c r="T240" i="9"/>
  <c r="T494" i="9" s="1"/>
  <c r="T112" i="5"/>
  <c r="T135" i="5"/>
  <c r="T233" i="9"/>
  <c r="T245" i="9"/>
  <c r="T268" i="5"/>
  <c r="T294" i="5"/>
  <c r="T78" i="5"/>
  <c r="T267" i="9"/>
  <c r="T225" i="5"/>
  <c r="T18" i="5"/>
  <c r="T231" i="5"/>
  <c r="T252" i="5"/>
  <c r="T173" i="9"/>
  <c r="T43" i="5"/>
  <c r="T101" i="5"/>
  <c r="T56" i="5"/>
  <c r="T96" i="5"/>
  <c r="T260" i="5"/>
  <c r="T31" i="5"/>
  <c r="T266" i="5"/>
  <c r="T150" i="5"/>
  <c r="T298" i="5"/>
  <c r="T158" i="5"/>
  <c r="T329" i="5"/>
  <c r="T11" i="5"/>
  <c r="T292" i="5"/>
  <c r="T99" i="5"/>
  <c r="T60" i="5"/>
  <c r="T66" i="5"/>
  <c r="T275" i="9"/>
  <c r="T175" i="5"/>
  <c r="T289" i="5"/>
  <c r="T128" i="5"/>
  <c r="T304" i="5"/>
  <c r="T271" i="9"/>
  <c r="T286" i="5"/>
  <c r="T132" i="5"/>
  <c r="T258" i="9"/>
  <c r="T330" i="5"/>
  <c r="T207" i="5"/>
  <c r="T188" i="5"/>
  <c r="T263" i="5"/>
  <c r="T276" i="9"/>
  <c r="T266" i="9"/>
  <c r="T273" i="9"/>
  <c r="T26" i="5"/>
  <c r="T120" i="5"/>
  <c r="T123" i="5"/>
  <c r="T238" i="9"/>
  <c r="T224" i="5"/>
  <c r="T117" i="5"/>
  <c r="T201" i="5"/>
  <c r="T32" i="5"/>
  <c r="T205" i="5"/>
  <c r="T154" i="5"/>
  <c r="T319" i="5"/>
  <c r="T48" i="5"/>
  <c r="T222" i="5"/>
  <c r="T219" i="5"/>
  <c r="T267" i="5"/>
  <c r="T264" i="5"/>
  <c r="T327" i="5"/>
  <c r="T131" i="5"/>
  <c r="T218" i="5"/>
  <c r="T230" i="9"/>
  <c r="T343" i="5"/>
  <c r="T85" i="5"/>
  <c r="T21" i="5"/>
  <c r="T109" i="5"/>
  <c r="T38" i="5"/>
  <c r="T257" i="9"/>
  <c r="T70" i="5"/>
  <c r="T379" i="9"/>
  <c r="T27" i="5"/>
  <c r="T217" i="5"/>
  <c r="T246" i="5"/>
  <c r="T253" i="9"/>
  <c r="T301" i="5"/>
  <c r="T262" i="9"/>
  <c r="T516" i="9" s="1"/>
  <c r="T209" i="5"/>
  <c r="T19" i="5"/>
  <c r="T52" i="5"/>
  <c r="T255" i="9"/>
  <c r="T176" i="5"/>
  <c r="T121" i="5"/>
  <c r="T129" i="5"/>
  <c r="T151" i="9"/>
  <c r="T183" i="5"/>
  <c r="T215" i="5"/>
  <c r="T142" i="5"/>
  <c r="T243" i="5"/>
  <c r="T140" i="5"/>
  <c r="T308" i="5"/>
  <c r="T186" i="5"/>
  <c r="T148" i="5"/>
  <c r="T228" i="5"/>
  <c r="T134" i="5"/>
  <c r="T171" i="5"/>
  <c r="T189" i="5"/>
  <c r="T155" i="5"/>
  <c r="T103" i="9"/>
  <c r="T195" i="5"/>
  <c r="T80" i="5"/>
  <c r="T193" i="5"/>
  <c r="T113" i="5"/>
  <c r="T141" i="5"/>
  <c r="T161" i="5"/>
  <c r="T108" i="5"/>
  <c r="T23" i="5"/>
  <c r="T55" i="5"/>
  <c r="T107" i="5"/>
  <c r="T57" i="5"/>
  <c r="T149" i="5"/>
  <c r="T90" i="5"/>
  <c r="T73" i="5"/>
  <c r="T47" i="5"/>
  <c r="T459" i="9"/>
  <c r="T206" i="5"/>
  <c r="T30" i="5"/>
  <c r="T17" i="5"/>
  <c r="T37" i="5"/>
  <c r="T248" i="5"/>
  <c r="T245" i="5"/>
  <c r="T33" i="5"/>
  <c r="T94" i="5"/>
  <c r="T133" i="5"/>
  <c r="T50" i="5"/>
  <c r="T151" i="5"/>
  <c r="T495" i="9"/>
  <c r="T65" i="5"/>
  <c r="T173" i="5"/>
  <c r="T54" i="5"/>
  <c r="T35" i="5"/>
  <c r="T239" i="5"/>
  <c r="T53" i="5"/>
  <c r="T152" i="5"/>
  <c r="T105" i="5"/>
  <c r="R5" i="4" a="1"/>
  <c r="T440" i="9"/>
  <c r="T253" i="5"/>
  <c r="T240" i="5"/>
  <c r="T274" i="9"/>
  <c r="T291" i="5"/>
  <c r="T143" i="5"/>
  <c r="T147" i="5"/>
  <c r="T82" i="5"/>
  <c r="T178" i="5"/>
  <c r="T251" i="5"/>
  <c r="T119" i="5"/>
  <c r="T306" i="5"/>
  <c r="T100" i="5"/>
  <c r="T232" i="9"/>
  <c r="T297" i="5"/>
  <c r="AN474" i="9" l="1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2" i="9"/>
  <c r="AS462" i="9" s="1"/>
  <c r="AT462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J461" i="9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S419" i="9"/>
  <c r="AT41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26" i="9"/>
  <c r="AT626" i="9" s="1"/>
  <c r="AS474" i="9"/>
  <c r="AT474" i="9" s="1"/>
  <c r="AS555" i="9"/>
  <c r="AT555" i="9" s="1"/>
  <c r="AS600" i="9"/>
  <c r="V305" i="9"/>
  <c r="AL478" i="9"/>
  <c r="AM477" i="9"/>
  <c r="L443" i="9"/>
  <c r="K444" i="9"/>
  <c r="AQ307" i="9"/>
  <c r="AR306" i="9"/>
  <c r="AG350" i="9"/>
  <c r="AH349" i="9"/>
  <c r="AS624" i="9"/>
  <c r="AT624" i="9" s="1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AS472" i="9"/>
  <c r="AT472" i="9" s="1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494" i="9"/>
  <c r="AJ494" i="9" s="1"/>
  <c r="V494" i="9"/>
  <c r="U494" i="9"/>
  <c r="AI532" i="9"/>
  <c r="AJ532" i="9" s="1"/>
  <c r="V532" i="9"/>
  <c r="U532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AI516" i="9"/>
  <c r="AJ516" i="9" s="1"/>
  <c r="V516" i="9"/>
  <c r="U516" i="9"/>
  <c r="V495" i="9"/>
  <c r="AI495" i="9"/>
  <c r="AJ495" i="9" s="1"/>
  <c r="U495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O342" i="9"/>
  <c r="AX342" i="9"/>
  <c r="AY342" i="9" s="1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I463" i="9"/>
  <c r="AJ463" i="9" s="1"/>
  <c r="AL464" i="9"/>
  <c r="AM463" i="9"/>
  <c r="U477" i="9"/>
  <c r="N477" i="9"/>
  <c r="CF477" i="9"/>
  <c r="AX441" i="9"/>
  <c r="AY441" i="9" s="1"/>
  <c r="AM382" i="9"/>
  <c r="AL383" i="9"/>
  <c r="AH481" i="9"/>
  <c r="AG482" i="9"/>
  <c r="AH482" i="9" s="1"/>
  <c r="AN380" i="9"/>
  <c r="AO380" i="9" s="1"/>
  <c r="N381" i="9"/>
  <c r="CF381" i="9"/>
  <c r="L478" i="9"/>
  <c r="K479" i="9"/>
  <c r="AI480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X167" i="9"/>
  <c r="AY167" i="9" s="1"/>
  <c r="AO167" i="9"/>
  <c r="AS98" i="9"/>
  <c r="AT98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28" i="9"/>
  <c r="T485" i="9"/>
  <c r="T19" i="9"/>
  <c r="T487" i="9"/>
  <c r="T521" i="9"/>
  <c r="T199" i="9"/>
  <c r="T527" i="9"/>
  <c r="T424" i="9"/>
  <c r="T507" i="9"/>
  <c r="T697" i="9"/>
  <c r="T688" i="9"/>
  <c r="T274" i="5"/>
  <c r="T525" i="9"/>
  <c r="T529" i="9"/>
  <c r="T306" i="9"/>
  <c r="T499" i="9"/>
  <c r="T698" i="9"/>
  <c r="T508" i="9"/>
  <c r="T705" i="9"/>
  <c r="T199" i="5"/>
  <c r="T261" i="9"/>
  <c r="T460" i="9"/>
  <c r="T104" i="9"/>
  <c r="T486" i="9"/>
  <c r="T517" i="9"/>
  <c r="T520" i="9"/>
  <c r="T717" i="9" s="1"/>
  <c r="T725" i="9"/>
  <c r="T523" i="9"/>
  <c r="T491" i="9"/>
  <c r="T522" i="9"/>
  <c r="T690" i="9"/>
  <c r="T492" i="9"/>
  <c r="T530" i="9"/>
  <c r="T729" i="9"/>
  <c r="T509" i="9"/>
  <c r="T348" i="9"/>
  <c r="T174" i="9"/>
  <c r="T695" i="9"/>
  <c r="T490" i="9"/>
  <c r="T153" i="9"/>
  <c r="T512" i="9"/>
  <c r="T709" i="9" s="1"/>
  <c r="T217" i="9"/>
  <c r="T511" i="9"/>
  <c r="T708" i="9" s="1"/>
  <c r="T484" i="9"/>
  <c r="T489" i="9"/>
  <c r="T513" i="9"/>
  <c r="T702" i="9"/>
  <c r="T713" i="9"/>
  <c r="T524" i="9"/>
  <c r="T721" i="9" s="1"/>
  <c r="T65" i="9"/>
  <c r="T722" i="9"/>
  <c r="T714" i="9"/>
  <c r="AS671" i="9" l="1"/>
  <c r="AT671" i="9" s="1"/>
  <c r="AS632" i="9"/>
  <c r="AT632" i="9" s="1"/>
  <c r="AS436" i="9"/>
  <c r="AT436" i="9" s="1"/>
  <c r="AS377" i="9"/>
  <c r="AT377" i="9" s="1"/>
  <c r="AS299" i="9"/>
  <c r="AT299" i="9" s="1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O462" i="9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X462" i="9"/>
  <c r="AY462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W531" i="9" s="1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X419" i="9"/>
  <c r="AY419" i="9" s="1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V708" i="9"/>
  <c r="AI708" i="9"/>
  <c r="AJ708" i="9" s="1"/>
  <c r="U708" i="9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AX436" i="9"/>
  <c r="AY436" i="9" s="1"/>
  <c r="W504" i="9"/>
  <c r="AX299" i="9"/>
  <c r="AY299" i="9" s="1"/>
  <c r="AN502" i="9"/>
  <c r="AX477" i="9"/>
  <c r="AY477" i="9" s="1"/>
  <c r="AN503" i="9"/>
  <c r="AO503" i="9" s="1"/>
  <c r="AI717" i="9"/>
  <c r="AJ717" i="9" s="1"/>
  <c r="V717" i="9"/>
  <c r="U717" i="9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X498" i="9"/>
  <c r="X701" i="9"/>
  <c r="AI702" i="9"/>
  <c r="AJ702" i="9" s="1"/>
  <c r="U702" i="9"/>
  <c r="V702" i="9"/>
  <c r="X244" i="9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474" i="9"/>
  <c r="AY474" i="9" s="1"/>
  <c r="AX555" i="9"/>
  <c r="AY555" i="9" s="1"/>
  <c r="AX626" i="9"/>
  <c r="AY626" i="9" s="1"/>
  <c r="AI714" i="9"/>
  <c r="AJ714" i="9" s="1"/>
  <c r="V714" i="9"/>
  <c r="U714" i="9"/>
  <c r="AI713" i="9"/>
  <c r="AJ713" i="9" s="1"/>
  <c r="V713" i="9"/>
  <c r="U713" i="9"/>
  <c r="AI695" i="9"/>
  <c r="AJ695" i="9" s="1"/>
  <c r="V695" i="9"/>
  <c r="U695" i="9"/>
  <c r="V725" i="9"/>
  <c r="AI725" i="9"/>
  <c r="AJ725" i="9" s="1"/>
  <c r="U725" i="9"/>
  <c r="AI690" i="9"/>
  <c r="AJ690" i="9" s="1"/>
  <c r="V690" i="9"/>
  <c r="U690" i="9"/>
  <c r="V705" i="9"/>
  <c r="AI705" i="9"/>
  <c r="AJ705" i="9" s="1"/>
  <c r="U705" i="9"/>
  <c r="AI688" i="9"/>
  <c r="AJ688" i="9" s="1"/>
  <c r="V688" i="9"/>
  <c r="U688" i="9"/>
  <c r="AI722" i="9"/>
  <c r="AJ722" i="9" s="1"/>
  <c r="V722" i="9"/>
  <c r="U722" i="9"/>
  <c r="V721" i="9"/>
  <c r="AI721" i="9"/>
  <c r="AJ721" i="9" s="1"/>
  <c r="U721" i="9"/>
  <c r="X239" i="9"/>
  <c r="AI698" i="9"/>
  <c r="AJ698" i="9" s="1"/>
  <c r="V698" i="9"/>
  <c r="X696" i="9"/>
  <c r="X493" i="9"/>
  <c r="U698" i="9"/>
  <c r="V709" i="9"/>
  <c r="AI709" i="9"/>
  <c r="AJ709" i="9" s="1"/>
  <c r="U709" i="9"/>
  <c r="AX377" i="9"/>
  <c r="AY377" i="9" s="1"/>
  <c r="AX624" i="9"/>
  <c r="AY624" i="9" s="1"/>
  <c r="AT601" i="9"/>
  <c r="AX662" i="9"/>
  <c r="AY662" i="9" s="1"/>
  <c r="AX551" i="9"/>
  <c r="AY551" i="9" s="1"/>
  <c r="AT600" i="9"/>
  <c r="AX600" i="9"/>
  <c r="AY600" i="9" s="1"/>
  <c r="AN494" i="9"/>
  <c r="AO494" i="9" s="1"/>
  <c r="AS558" i="9"/>
  <c r="AT558" i="9" s="1"/>
  <c r="V306" i="9"/>
  <c r="AN532" i="9"/>
  <c r="AO532" i="9" s="1"/>
  <c r="AH350" i="9"/>
  <c r="AI350" i="9" s="1"/>
  <c r="AG351" i="9"/>
  <c r="AG352" i="9" s="1"/>
  <c r="AX671" i="9"/>
  <c r="AY671" i="9" s="1"/>
  <c r="AQ446" i="9"/>
  <c r="AR445" i="9"/>
  <c r="AR307" i="9"/>
  <c r="AQ308" i="9"/>
  <c r="AM427" i="9"/>
  <c r="AL428" i="9"/>
  <c r="AL429" i="9" s="1"/>
  <c r="AX472" i="9"/>
  <c r="AY472" i="9" s="1"/>
  <c r="AR634" i="9"/>
  <c r="AQ635" i="9"/>
  <c r="K445" i="9"/>
  <c r="L444" i="9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AN516" i="9"/>
  <c r="AO516" i="9" s="1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AN495" i="9"/>
  <c r="AO495" i="9" s="1"/>
  <c r="K464" i="9"/>
  <c r="L463" i="9"/>
  <c r="AJ480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AX98" i="9"/>
  <c r="AY98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692" i="9"/>
  <c r="T200" i="5"/>
  <c r="T727" i="9"/>
  <c r="T381" i="9"/>
  <c r="T719" i="9"/>
  <c r="T720" i="9"/>
  <c r="T726" i="9"/>
  <c r="T218" i="9"/>
  <c r="T200" i="9"/>
  <c r="T693" i="9"/>
  <c r="T154" i="9"/>
  <c r="T704" i="9"/>
  <c r="T706" i="9"/>
  <c r="T66" i="9"/>
  <c r="T710" i="9"/>
  <c r="T105" i="9"/>
  <c r="T175" i="9"/>
  <c r="T442" i="9"/>
  <c r="T689" i="9"/>
  <c r="T515" i="9"/>
  <c r="T349" i="9"/>
  <c r="T724" i="9"/>
  <c r="T275" i="5"/>
  <c r="T307" i="9"/>
  <c r="T425" i="9"/>
  <c r="T694" i="9"/>
  <c r="T687" i="9"/>
  <c r="T230" i="5"/>
  <c r="T718" i="9"/>
  <c r="T20" i="9"/>
  <c r="T518" i="9"/>
  <c r="AX648" i="9" l="1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W498" i="9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W256" i="9" s="1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708" i="9"/>
  <c r="AS708" i="9" s="1"/>
  <c r="AT708" i="9" s="1"/>
  <c r="AN714" i="9"/>
  <c r="AO714" i="9" s="1"/>
  <c r="AN717" i="9"/>
  <c r="AO717" i="9" s="1"/>
  <c r="AN522" i="9"/>
  <c r="AO522" i="9" s="1"/>
  <c r="AS503" i="9"/>
  <c r="AX503" i="9" s="1"/>
  <c r="AY503" i="9" s="1"/>
  <c r="AN527" i="9"/>
  <c r="AO527" i="9" s="1"/>
  <c r="AN529" i="9"/>
  <c r="AO529" i="9" s="1"/>
  <c r="AN725" i="9"/>
  <c r="AS725" i="9" s="1"/>
  <c r="AT725" i="9" s="1"/>
  <c r="W701" i="9"/>
  <c r="AI518" i="9"/>
  <c r="AJ518" i="9" s="1"/>
  <c r="V518" i="9"/>
  <c r="U518" i="9"/>
  <c r="AN513" i="9"/>
  <c r="AO513" i="9" s="1"/>
  <c r="AN507" i="9"/>
  <c r="AO507" i="9" s="1"/>
  <c r="AN489" i="9"/>
  <c r="AO489" i="9" s="1"/>
  <c r="W244" i="9"/>
  <c r="AN490" i="9"/>
  <c r="AS490" i="9" s="1"/>
  <c r="AT490" i="9" s="1"/>
  <c r="AN511" i="9"/>
  <c r="AS511" i="9" s="1"/>
  <c r="AT511" i="9" s="1"/>
  <c r="AN521" i="9"/>
  <c r="AO521" i="9" s="1"/>
  <c r="AN697" i="9"/>
  <c r="AO697" i="9" s="1"/>
  <c r="AS505" i="9"/>
  <c r="AT505" i="9" s="1"/>
  <c r="AN530" i="9"/>
  <c r="AO530" i="9" s="1"/>
  <c r="AN713" i="9"/>
  <c r="AO713" i="9" s="1"/>
  <c r="AN487" i="9"/>
  <c r="AO487" i="9" s="1"/>
  <c r="AN523" i="9"/>
  <c r="AO523" i="9" s="1"/>
  <c r="AN509" i="9"/>
  <c r="AO509" i="9" s="1"/>
  <c r="AN721" i="9"/>
  <c r="AO721" i="9" s="1"/>
  <c r="AN705" i="9"/>
  <c r="AO705" i="9" s="1"/>
  <c r="AN524" i="9"/>
  <c r="AS524" i="9" s="1"/>
  <c r="AT524" i="9" s="1"/>
  <c r="AN698" i="9"/>
  <c r="AS698" i="9" s="1"/>
  <c r="AT698" i="9" s="1"/>
  <c r="W493" i="9"/>
  <c r="AN491" i="9"/>
  <c r="AO491" i="9" s="1"/>
  <c r="W239" i="9"/>
  <c r="AN486" i="9"/>
  <c r="AO486" i="9" s="1"/>
  <c r="AN520" i="9"/>
  <c r="AO520" i="9" s="1"/>
  <c r="W696" i="9"/>
  <c r="AO502" i="9"/>
  <c r="AS502" i="9"/>
  <c r="AN484" i="9"/>
  <c r="AO484" i="9" s="1"/>
  <c r="AN702" i="9"/>
  <c r="AO702" i="9" s="1"/>
  <c r="AN722" i="9"/>
  <c r="AS722" i="9" s="1"/>
  <c r="AT722" i="9" s="1"/>
  <c r="AS494" i="9"/>
  <c r="AT494" i="9" s="1"/>
  <c r="AN690" i="9"/>
  <c r="AO690" i="9" s="1"/>
  <c r="AN695" i="9"/>
  <c r="AS695" i="9" s="1"/>
  <c r="AT695" i="9" s="1"/>
  <c r="AN688" i="9"/>
  <c r="AO688" i="9" s="1"/>
  <c r="AN709" i="9"/>
  <c r="AO709" i="9" s="1"/>
  <c r="AS532" i="9"/>
  <c r="AT532" i="9" s="1"/>
  <c r="AX478" i="9"/>
  <c r="AY478" i="9" s="1"/>
  <c r="AO478" i="9"/>
  <c r="AX558" i="9"/>
  <c r="AY558" i="9" s="1"/>
  <c r="AS516" i="9"/>
  <c r="AT516" i="9" s="1"/>
  <c r="AS495" i="9"/>
  <c r="AT495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712" i="9"/>
  <c r="T67" i="9"/>
  <c r="T219" i="9"/>
  <c r="T426" i="9"/>
  <c r="T201" i="9"/>
  <c r="T106" i="9"/>
  <c r="T308" i="9"/>
  <c r="T21" i="9"/>
  <c r="T155" i="9"/>
  <c r="T176" i="9"/>
  <c r="T276" i="5"/>
  <c r="T443" i="9"/>
  <c r="W703" i="9" l="1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X711" i="9"/>
  <c r="AI712" i="9"/>
  <c r="AJ712" i="9" s="1"/>
  <c r="U712" i="9"/>
  <c r="X260" i="9"/>
  <c r="V712" i="9"/>
  <c r="W711" i="9" s="1"/>
  <c r="X514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714" i="9"/>
  <c r="AT714" i="9" s="1"/>
  <c r="AS529" i="9"/>
  <c r="AT529" i="9" s="1"/>
  <c r="AO722" i="9"/>
  <c r="AT503" i="9"/>
  <c r="AN518" i="9"/>
  <c r="AO518" i="9" s="1"/>
  <c r="AO708" i="9"/>
  <c r="AS717" i="9"/>
  <c r="AT717" i="9" s="1"/>
  <c r="AS527" i="9"/>
  <c r="AT527" i="9" s="1"/>
  <c r="AS491" i="9"/>
  <c r="AT491" i="9" s="1"/>
  <c r="AO698" i="9"/>
  <c r="AX725" i="9"/>
  <c r="AY725" i="9" s="1"/>
  <c r="AO725" i="9"/>
  <c r="AX698" i="9"/>
  <c r="AY698" i="9" s="1"/>
  <c r="AX490" i="9"/>
  <c r="AY490" i="9" s="1"/>
  <c r="AS693" i="9"/>
  <c r="AT693" i="9" s="1"/>
  <c r="AO490" i="9"/>
  <c r="AS713" i="9"/>
  <c r="AT713" i="9" s="1"/>
  <c r="AO511" i="9"/>
  <c r="AS697" i="9"/>
  <c r="AT697" i="9" s="1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721" i="9"/>
  <c r="AT721" i="9" s="1"/>
  <c r="AS705" i="9"/>
  <c r="AT705" i="9" s="1"/>
  <c r="AX722" i="9"/>
  <c r="AY722" i="9" s="1"/>
  <c r="AS702" i="9"/>
  <c r="AT702" i="9" s="1"/>
  <c r="AS486" i="9"/>
  <c r="AS688" i="9"/>
  <c r="AT688" i="9" s="1"/>
  <c r="AS520" i="9"/>
  <c r="AT520" i="9" s="1"/>
  <c r="AT502" i="9"/>
  <c r="AX502" i="9"/>
  <c r="AY502" i="9" s="1"/>
  <c r="AS690" i="9"/>
  <c r="AT690" i="9" s="1"/>
  <c r="AS484" i="9"/>
  <c r="AJ307" i="9"/>
  <c r="AX494" i="9"/>
  <c r="AY494" i="9" s="1"/>
  <c r="AX695" i="9"/>
  <c r="AY695" i="9" s="1"/>
  <c r="AO695" i="9"/>
  <c r="AX525" i="9"/>
  <c r="AY525" i="9" s="1"/>
  <c r="AX516" i="9"/>
  <c r="AY516" i="9" s="1"/>
  <c r="AS709" i="9"/>
  <c r="AT709" i="9" s="1"/>
  <c r="AX495" i="9"/>
  <c r="AY495" i="9" s="1"/>
  <c r="AX532" i="9"/>
  <c r="AY532" i="9" s="1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AX708" i="9"/>
  <c r="AY708" i="9" s="1"/>
  <c r="K565" i="9"/>
  <c r="K566" i="9" s="1"/>
  <c r="L564" i="9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8" i="9"/>
  <c r="T220" i="9"/>
  <c r="T22" i="9"/>
  <c r="T177" i="9"/>
  <c r="T107" i="9"/>
  <c r="T202" i="9"/>
  <c r="T156" i="9"/>
  <c r="T277" i="5"/>
  <c r="T427" i="9"/>
  <c r="T352" i="9"/>
  <c r="AX729" i="9" l="1"/>
  <c r="AY729" i="9" s="1"/>
  <c r="AX515" i="9"/>
  <c r="AY515" i="9" s="1"/>
  <c r="AO515" i="9"/>
  <c r="AX517" i="9"/>
  <c r="AY517" i="9" s="1"/>
  <c r="AX528" i="9"/>
  <c r="AY528" i="9" s="1"/>
  <c r="W260" i="9"/>
  <c r="AO724" i="9"/>
  <c r="AX724" i="9"/>
  <c r="AY724" i="9" s="1"/>
  <c r="AX689" i="9"/>
  <c r="AY689" i="9" s="1"/>
  <c r="W514" i="9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N712" i="9"/>
  <c r="AO71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S718" i="9"/>
  <c r="AT718" i="9" s="1"/>
  <c r="AT508" i="9"/>
  <c r="AX499" i="9"/>
  <c r="AY499" i="9" s="1"/>
  <c r="AX522" i="9"/>
  <c r="AY522" i="9" s="1"/>
  <c r="AS687" i="9"/>
  <c r="AT687" i="9" s="1"/>
  <c r="AO710" i="9"/>
  <c r="AX693" i="9"/>
  <c r="AY693" i="9" s="1"/>
  <c r="AX491" i="9"/>
  <c r="AY491" i="9" s="1"/>
  <c r="AX529" i="9"/>
  <c r="AY529" i="9" s="1"/>
  <c r="AX714" i="9"/>
  <c r="AY714" i="9" s="1"/>
  <c r="AX717" i="9"/>
  <c r="AY717" i="9" s="1"/>
  <c r="AS518" i="9"/>
  <c r="AT518" i="9" s="1"/>
  <c r="AX527" i="9"/>
  <c r="AY527" i="9" s="1"/>
  <c r="AX713" i="9"/>
  <c r="AY713" i="9" s="1"/>
  <c r="AX507" i="9"/>
  <c r="AY507" i="9" s="1"/>
  <c r="AX513" i="9"/>
  <c r="AY513" i="9" s="1"/>
  <c r="AX523" i="9"/>
  <c r="AY523" i="9" s="1"/>
  <c r="AX721" i="9"/>
  <c r="AY721" i="9" s="1"/>
  <c r="AX697" i="9"/>
  <c r="AY697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702" i="9"/>
  <c r="AY702" i="9" s="1"/>
  <c r="AX705" i="9"/>
  <c r="AY705" i="9" s="1"/>
  <c r="AX520" i="9"/>
  <c r="AY520" i="9" s="1"/>
  <c r="AT486" i="9"/>
  <c r="AX486" i="9"/>
  <c r="AY486" i="9" s="1"/>
  <c r="AX688" i="9"/>
  <c r="AY688" i="9" s="1"/>
  <c r="AX709" i="9"/>
  <c r="AY709" i="9" s="1"/>
  <c r="AX690" i="9"/>
  <c r="AY690" i="9" s="1"/>
  <c r="AT484" i="9"/>
  <c r="AX484" i="9"/>
  <c r="AY484" i="9" s="1"/>
  <c r="AT719" i="9"/>
  <c r="AX719" i="9"/>
  <c r="AY719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29" i="9"/>
  <c r="T178" i="9"/>
  <c r="T158" i="9"/>
  <c r="T464" i="9"/>
  <c r="T70" i="9"/>
  <c r="T278" i="5"/>
  <c r="T23" i="9"/>
  <c r="T108" i="9"/>
  <c r="T203" i="9"/>
  <c r="T445" i="9"/>
  <c r="T221" i="9"/>
  <c r="AX692" i="9" l="1"/>
  <c r="AY692" i="9" s="1"/>
  <c r="AX704" i="9"/>
  <c r="AY704" i="9" s="1"/>
  <c r="AS712" i="9"/>
  <c r="AT712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AX518" i="9"/>
  <c r="AY518" i="9" s="1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222" i="9"/>
  <c r="T71" i="9"/>
  <c r="T385" i="9"/>
  <c r="T354" i="9"/>
  <c r="T109" i="9"/>
  <c r="T430" i="9"/>
  <c r="T179" i="9"/>
  <c r="T24" i="9"/>
  <c r="T204" i="9"/>
  <c r="T159" i="9"/>
  <c r="T279" i="5"/>
  <c r="AX712" i="9" l="1"/>
  <c r="AY712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431" i="9"/>
  <c r="T25" i="9"/>
  <c r="T72" i="9"/>
  <c r="T313" i="9"/>
  <c r="T223" i="9"/>
  <c r="T110" i="9"/>
  <c r="T386" i="9"/>
  <c r="T160" i="9"/>
  <c r="T432" i="9"/>
  <c r="T280" i="5"/>
  <c r="T482" i="9"/>
  <c r="T180" i="9"/>
  <c r="T447" i="9"/>
  <c r="T205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314" i="9"/>
  <c r="T281" i="5"/>
  <c r="T161" i="9"/>
  <c r="T181" i="9"/>
  <c r="T26" i="9"/>
  <c r="T111" i="9"/>
  <c r="T206" i="9"/>
  <c r="T73" i="9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112" i="9"/>
  <c r="T162" i="9"/>
  <c r="T74" i="9"/>
  <c r="T182" i="9"/>
  <c r="T283" i="5"/>
  <c r="T225" i="9"/>
  <c r="T358" i="9"/>
  <c r="T449" i="9"/>
  <c r="T28" i="9"/>
  <c r="T207" i="9"/>
  <c r="T282" i="5"/>
  <c r="T208" i="9"/>
  <c r="T315" i="9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226" i="9"/>
  <c r="T76" i="9"/>
  <c r="T164" i="9"/>
  <c r="T450" i="9"/>
  <c r="T163" i="9"/>
  <c r="T183" i="9"/>
  <c r="T114" i="9"/>
  <c r="T390" i="9"/>
  <c r="T29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184" i="9"/>
  <c r="T115" i="9"/>
  <c r="T77" i="9"/>
  <c r="T391" i="9"/>
  <c r="T30" i="9"/>
  <c r="T360" i="9"/>
  <c r="T227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61" i="9"/>
  <c r="T116" i="9"/>
  <c r="T31" i="9"/>
  <c r="T78" i="9"/>
  <c r="T185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2" i="9"/>
  <c r="T186" i="9"/>
  <c r="T79" i="9"/>
  <c r="T117" i="9"/>
  <c r="T393" i="9"/>
  <c r="T362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80" i="9"/>
  <c r="T187" i="9"/>
  <c r="T118" i="9"/>
  <c r="T33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395" i="9"/>
  <c r="T321" i="9"/>
  <c r="T81" i="9"/>
  <c r="T34" i="9"/>
  <c r="T189" i="9"/>
  <c r="T364" i="9"/>
  <c r="T188" i="9"/>
  <c r="T11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120" i="9"/>
  <c r="T396" i="9"/>
  <c r="T366" i="9"/>
  <c r="T82" i="9"/>
  <c r="T35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6" i="9"/>
  <c r="T84" i="9"/>
  <c r="T398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99" i="9"/>
  <c r="T37" i="9"/>
  <c r="T123" i="9"/>
  <c r="T368" i="9"/>
  <c r="T85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82" i="9"/>
  <c r="T86" i="9"/>
  <c r="T38" i="9"/>
  <c r="T400" i="9"/>
  <c r="T124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87" i="9"/>
  <c r="T125" i="9"/>
  <c r="T39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2" i="9"/>
  <c r="T40" i="9"/>
  <c r="T88" i="9"/>
  <c r="T126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127" i="9"/>
  <c r="T42" i="9"/>
  <c r="T89" i="9"/>
  <c r="T32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128" i="9"/>
  <c r="T330" i="9"/>
  <c r="T328" i="9"/>
  <c r="T43" i="9"/>
  <c r="T90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4" i="9"/>
  <c r="T91" i="9"/>
  <c r="T331" i="9"/>
  <c r="T405" i="9"/>
  <c r="T129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407" i="9"/>
  <c r="T131" i="9"/>
  <c r="T45" i="9"/>
  <c r="T92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6" i="9"/>
  <c r="T132" i="9"/>
  <c r="T93" i="9"/>
  <c r="T94" i="9"/>
  <c r="T408" i="9"/>
  <c r="T33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48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134" i="9"/>
  <c r="T49" i="9"/>
  <c r="T410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50" i="9"/>
  <c r="T135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136" i="9"/>
  <c r="T412" i="9"/>
  <c r="T51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138" i="9"/>
  <c r="T53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5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W458" i="6" l="1"/>
  <c r="AW373" i="6"/>
  <c r="AR237" i="4"/>
  <c r="AW424" i="6"/>
  <c r="AW520" i="6"/>
  <c r="AR170" i="4"/>
  <c r="AW353" i="6"/>
  <c r="AW522" i="6"/>
  <c r="AW81" i="6"/>
  <c r="AW457" i="6"/>
  <c r="AR39" i="4"/>
  <c r="AR100" i="4"/>
  <c r="AW459" i="6"/>
  <c r="AW53" i="6"/>
  <c r="AW548" i="6"/>
  <c r="AW360" i="6"/>
  <c r="AW296" i="6"/>
  <c r="AW441" i="6"/>
  <c r="AR289" i="4"/>
  <c r="AW427" i="6"/>
  <c r="AR179" i="4"/>
  <c r="AW144" i="6"/>
  <c r="AW437" i="6"/>
  <c r="AW78" i="6"/>
  <c r="AW526" i="6"/>
  <c r="AR281" i="4"/>
  <c r="AW374" i="6"/>
  <c r="AW151" i="6"/>
  <c r="AW282" i="6"/>
  <c r="AW442" i="6"/>
  <c r="AW155" i="6"/>
  <c r="AW206" i="6"/>
  <c r="AW321" i="6"/>
  <c r="AW344" i="6"/>
  <c r="AR66" i="4"/>
  <c r="AR184" i="4"/>
  <c r="AR314" i="4"/>
  <c r="AW44" i="6"/>
  <c r="AW356" i="6"/>
  <c r="AW131" i="6"/>
  <c r="AW191" i="6"/>
  <c r="AW546" i="6"/>
  <c r="AR123" i="4"/>
  <c r="AR244" i="4"/>
  <c r="AR38" i="4"/>
  <c r="AR252" i="4"/>
  <c r="AW184" i="6"/>
  <c r="AR220" i="4"/>
  <c r="AW404" i="6"/>
  <c r="AR273" i="4"/>
  <c r="AR231" i="4"/>
  <c r="AW256" i="6"/>
  <c r="AW84" i="6"/>
  <c r="AR300" i="4"/>
  <c r="AW133" i="6"/>
  <c r="AR134" i="4"/>
  <c r="AW72" i="6"/>
  <c r="AW474" i="6"/>
  <c r="AW531" i="6"/>
  <c r="AW217" i="6"/>
  <c r="AR93" i="4"/>
  <c r="AW200" i="6"/>
  <c r="AW464" i="6"/>
  <c r="AR70" i="4"/>
  <c r="AR148" i="4"/>
  <c r="AW180" i="6"/>
  <c r="AR152" i="4"/>
  <c r="AW172" i="6"/>
  <c r="AW433" i="6"/>
  <c r="AW102" i="6"/>
  <c r="AW394" i="6"/>
  <c r="AW514" i="6"/>
  <c r="AR278" i="4"/>
  <c r="AW207" i="6"/>
  <c r="AW173" i="6"/>
  <c r="AW362" i="6"/>
  <c r="AR202" i="4"/>
  <c r="AW60" i="6"/>
  <c r="AW293" i="6"/>
  <c r="AR95" i="4"/>
  <c r="AW368" i="6"/>
  <c r="AW335" i="6"/>
  <c r="AW428" i="6"/>
  <c r="AR49" i="4"/>
  <c r="AW494" i="6"/>
  <c r="AW271" i="6"/>
  <c r="AR294" i="4"/>
  <c r="AW456" i="6"/>
  <c r="AW401" i="6"/>
  <c r="AW98" i="6"/>
  <c r="AW248" i="6"/>
  <c r="AR290" i="4"/>
  <c r="AR291" i="4"/>
  <c r="AR276" i="4"/>
  <c r="AW537" i="6"/>
  <c r="AR101" i="4"/>
  <c r="AW306" i="6"/>
  <c r="AW288" i="6"/>
  <c r="AR155" i="4"/>
  <c r="AR277" i="4"/>
  <c r="AW104" i="6"/>
  <c r="AW149" i="6"/>
  <c r="AW488" i="6"/>
  <c r="AW34" i="6"/>
  <c r="AW245" i="6"/>
  <c r="AR90" i="4"/>
  <c r="AW38" i="6"/>
  <c r="AW495" i="6"/>
  <c r="AW303" i="6"/>
  <c r="AR286" i="4"/>
  <c r="AW398" i="6"/>
  <c r="AW467" i="6"/>
  <c r="AW80" i="6"/>
  <c r="AR162" i="4"/>
  <c r="AR180" i="4"/>
  <c r="AR216" i="4"/>
  <c r="AW255" i="6"/>
  <c r="AR264" i="4"/>
  <c r="AR63" i="4"/>
  <c r="AR173" i="4"/>
  <c r="AW346" i="6"/>
  <c r="AW336" i="6"/>
  <c r="AW145" i="6"/>
  <c r="AW337" i="6"/>
  <c r="AW536" i="6"/>
  <c r="AW213" i="6"/>
  <c r="AW33" i="6"/>
  <c r="AW113" i="6"/>
  <c r="AW192" i="6"/>
  <c r="AW228" i="6"/>
  <c r="AR313" i="4"/>
  <c r="AW118" i="6"/>
  <c r="AR51" i="4"/>
  <c r="AW175" i="6"/>
  <c r="AW235" i="6"/>
  <c r="AW421" i="6"/>
  <c r="AW236" i="6"/>
  <c r="AW447" i="6"/>
  <c r="AW159" i="6"/>
  <c r="AR239" i="4"/>
  <c r="AW119" i="6"/>
  <c r="AR246" i="4"/>
  <c r="AW477" i="6"/>
  <c r="AR188" i="4"/>
  <c r="AW199" i="6"/>
  <c r="AW130" i="6"/>
  <c r="AW47" i="6"/>
  <c r="AW253" i="6"/>
  <c r="AW501" i="6"/>
  <c r="AW504" i="6"/>
  <c r="AW407" i="6"/>
  <c r="AW429" i="6"/>
  <c r="AW181" i="6"/>
  <c r="AW35" i="6"/>
  <c r="AR301" i="4"/>
  <c r="AW277" i="6"/>
  <c r="AW238" i="6"/>
  <c r="AW530" i="6"/>
  <c r="AR283" i="4"/>
  <c r="AW174" i="6"/>
  <c r="AR108" i="4"/>
  <c r="AW106" i="6"/>
  <c r="AW274" i="6"/>
  <c r="AR47" i="4"/>
  <c r="AW348" i="6"/>
  <c r="AW137" i="6"/>
  <c r="AW224" i="6"/>
  <c r="AR128" i="4"/>
  <c r="AW510" i="6"/>
  <c r="AR109" i="4"/>
  <c r="AW326" i="6"/>
  <c r="AW123" i="6"/>
  <c r="AR223" i="4"/>
  <c r="AW77" i="6"/>
  <c r="AW347" i="6"/>
  <c r="AR76" i="4"/>
  <c r="AR309" i="4"/>
  <c r="AW355" i="6"/>
  <c r="AR307" i="4"/>
  <c r="AR156" i="4"/>
  <c r="AW462" i="6"/>
  <c r="AR217" i="4"/>
  <c r="AR86" i="4"/>
  <c r="AW309" i="6"/>
  <c r="AW179" i="6"/>
  <c r="AR284" i="4"/>
  <c r="AW454" i="6"/>
  <c r="AW393" i="6"/>
  <c r="AW519" i="6"/>
  <c r="AW230" i="6"/>
  <c r="AW95" i="6"/>
  <c r="AW319" i="6"/>
  <c r="AW188" i="6"/>
  <c r="AR150" i="4"/>
  <c r="AW443" i="6"/>
  <c r="AW322" i="6"/>
  <c r="AR245" i="4"/>
  <c r="AR64" i="4"/>
  <c r="AW310" i="6"/>
  <c r="AW198" i="6"/>
  <c r="AR88" i="4"/>
  <c r="AW345" i="6"/>
  <c r="AW265" i="6"/>
  <c r="AR262" i="4"/>
  <c r="AR116" i="4"/>
  <c r="AW382" i="6"/>
  <c r="AW263" i="6"/>
  <c r="AR211" i="4"/>
  <c r="AW482" i="6"/>
  <c r="AW239" i="6"/>
  <c r="AR105" i="4"/>
  <c r="AW330" i="6"/>
  <c r="AW410" i="6"/>
  <c r="AW69" i="6"/>
  <c r="AW423" i="6"/>
  <c r="AR265" i="4"/>
  <c r="AR168" i="4"/>
  <c r="AR149" i="4"/>
  <c r="AW278" i="6"/>
  <c r="AW100" i="6"/>
  <c r="AW176" i="6"/>
  <c r="AR203" i="4"/>
  <c r="AW549" i="6"/>
  <c r="AW41" i="6"/>
  <c r="AR133" i="4"/>
  <c r="AW369" i="6"/>
  <c r="AR37" i="4"/>
  <c r="AR305" i="4"/>
  <c r="AW261" i="6"/>
  <c r="AR158" i="4"/>
  <c r="AR259" i="4"/>
  <c r="AW205" i="6"/>
  <c r="AR140" i="4"/>
  <c r="AW444" i="6"/>
  <c r="AR81" i="4"/>
  <c r="AR117" i="4"/>
  <c r="AW73" i="6"/>
  <c r="AR306" i="4"/>
  <c r="AR232" i="4"/>
  <c r="AW493" i="6"/>
  <c r="AW161" i="6"/>
  <c r="AW327" i="6"/>
  <c r="AW311" i="6"/>
  <c r="AW308" i="6"/>
  <c r="AW85" i="6"/>
  <c r="AW52" i="6"/>
  <c r="AW109" i="6"/>
  <c r="AR193" i="4"/>
  <c r="AR189" i="4"/>
  <c r="AW30" i="6"/>
  <c r="AW108" i="6"/>
  <c r="AW165" i="6"/>
  <c r="AW129" i="6"/>
  <c r="AW499" i="6"/>
  <c r="AW289" i="6"/>
  <c r="AW391" i="6"/>
  <c r="AW349" i="6"/>
  <c r="AW357" i="6"/>
  <c r="AW269" i="6"/>
  <c r="AW266" i="6"/>
  <c r="AW134" i="6"/>
  <c r="AW333" i="6"/>
  <c r="AW338" i="6"/>
  <c r="AW249" i="6"/>
  <c r="AR141" i="4"/>
  <c r="AW481" i="6"/>
  <c r="AR186" i="4"/>
  <c r="AR91" i="4"/>
  <c r="AR271" i="4"/>
  <c r="AR41" i="4"/>
  <c r="AW409" i="6"/>
  <c r="AW352" i="6"/>
  <c r="AW461" i="6"/>
  <c r="AW63" i="6"/>
  <c r="AW82" i="6"/>
  <c r="AW465" i="6"/>
  <c r="AR60" i="4"/>
  <c r="AW257" i="6"/>
  <c r="AW250" i="6"/>
  <c r="AR243" i="4"/>
  <c r="AW523" i="6"/>
  <c r="AW55" i="6"/>
  <c r="AW64" i="6"/>
  <c r="AW512" i="6"/>
  <c r="AW312" i="6"/>
  <c r="AR53" i="4"/>
  <c r="AR181" i="4"/>
  <c r="AR138" i="4"/>
  <c r="AW273" i="6"/>
  <c r="AW490" i="6"/>
  <c r="AR84" i="4"/>
  <c r="AR107" i="4"/>
  <c r="AR92" i="4"/>
  <c r="AW412" i="6"/>
  <c r="AW182" i="6"/>
  <c r="AR177" i="4"/>
  <c r="AR208" i="4"/>
  <c r="AW183" i="6"/>
  <c r="AW381" i="6"/>
  <c r="AW83" i="6"/>
  <c r="AW110" i="6"/>
  <c r="AW380" i="6"/>
  <c r="AR222" i="4"/>
  <c r="AR256" i="4"/>
  <c r="AR282" i="4"/>
  <c r="AR147" i="4"/>
  <c r="AR212" i="4"/>
  <c r="AW489" i="6"/>
  <c r="AW411" i="6"/>
  <c r="AW233" i="6"/>
  <c r="AR228" i="4"/>
  <c r="AR34" i="4"/>
  <c r="AW505" i="6"/>
  <c r="AW471" i="6"/>
  <c r="AW243" i="6"/>
  <c r="AW470" i="6"/>
  <c r="AW221" i="6"/>
  <c r="AR200" i="4"/>
  <c r="AR137" i="4"/>
  <c r="AR324" i="4"/>
  <c r="AR165" i="4"/>
  <c r="AW297" i="6"/>
  <c r="AW350" i="6"/>
  <c r="AW227" i="6"/>
  <c r="AW56" i="6"/>
  <c r="AR241" i="4"/>
  <c r="AW197" i="6"/>
  <c r="AR183" i="4"/>
  <c r="AR46" i="4"/>
  <c r="AW74" i="6"/>
  <c r="AR151" i="4"/>
  <c r="AR253" i="4"/>
  <c r="AR196" i="4"/>
  <c r="AW540" i="6"/>
  <c r="AR272" i="4"/>
  <c r="AW445" i="6"/>
  <c r="AR267" i="4"/>
  <c r="AW125" i="6"/>
  <c r="AW396" i="6"/>
  <c r="AW378" i="6"/>
  <c r="AW511" i="6"/>
  <c r="AW533" i="6"/>
  <c r="AW496" i="6"/>
  <c r="AW90" i="6"/>
  <c r="AR233" i="4"/>
  <c r="AR304" i="4"/>
  <c r="AW302" i="6"/>
  <c r="AW469" i="6"/>
  <c r="AW295" i="6"/>
  <c r="AW426" i="6"/>
  <c r="AW478" i="6"/>
  <c r="AW201" i="6"/>
  <c r="AW219" i="6"/>
  <c r="AR190" i="4"/>
  <c r="AR103" i="4"/>
  <c r="AW341" i="6"/>
  <c r="AW425" i="6"/>
  <c r="AW516" i="6"/>
  <c r="AW54" i="6"/>
  <c r="AW529" i="6"/>
  <c r="AR308" i="4"/>
  <c r="AR310" i="4"/>
  <c r="AR197" i="4"/>
  <c r="AR302" i="4"/>
  <c r="AW305" i="6"/>
  <c r="AW413" i="6"/>
  <c r="AW37" i="6"/>
  <c r="AW500" i="6"/>
  <c r="AR167" i="4"/>
  <c r="AW39" i="6"/>
  <c r="AW316" i="6"/>
  <c r="AW376" i="6"/>
  <c r="AW340" i="6"/>
  <c r="AW452" i="6"/>
  <c r="AW48" i="6"/>
  <c r="AR209" i="4"/>
  <c r="AW453" i="6"/>
  <c r="AR113" i="4"/>
  <c r="AW524" i="6"/>
  <c r="AW262" i="6"/>
  <c r="AR114" i="4"/>
  <c r="AR143" i="4"/>
  <c r="AW32" i="6"/>
  <c r="AW320" i="6"/>
  <c r="AR214" i="4"/>
  <c r="AW275" i="6"/>
  <c r="AW331" i="6"/>
  <c r="AW455" i="6"/>
  <c r="AW229" i="6"/>
  <c r="AW178" i="6"/>
  <c r="AW126" i="6"/>
  <c r="AW70" i="6"/>
  <c r="AW431" i="6"/>
  <c r="AW417" i="6"/>
  <c r="AW202" i="6"/>
  <c r="AR153" i="4"/>
  <c r="AW460" i="6"/>
  <c r="AW31" i="6"/>
  <c r="AR280" i="4"/>
  <c r="AW475" i="6"/>
  <c r="AW121" i="6"/>
  <c r="AW432" i="6"/>
  <c r="AR198" i="4"/>
  <c r="AR154" i="4"/>
  <c r="AW214" i="6"/>
  <c r="AW241" i="6"/>
  <c r="AR247" i="4"/>
  <c r="AR171" i="4"/>
  <c r="AW284" i="6"/>
  <c r="AW58" i="6"/>
  <c r="AW515" i="6"/>
  <c r="AR229" i="4"/>
  <c r="AW242" i="6"/>
  <c r="AW287" i="6"/>
  <c r="AW116" i="6"/>
  <c r="AW71" i="6"/>
  <c r="AR35" i="4"/>
  <c r="AW127" i="6"/>
  <c r="AR159" i="4"/>
  <c r="AW89" i="6"/>
  <c r="AW539" i="6"/>
  <c r="AW313" i="6"/>
  <c r="AR161" i="4"/>
  <c r="AW517" i="6"/>
  <c r="AW383" i="6"/>
  <c r="AW317" i="6"/>
  <c r="AW342" i="6"/>
  <c r="AW222" i="6"/>
  <c r="AW168" i="6"/>
  <c r="AW487" i="6"/>
  <c r="AR215" i="4"/>
  <c r="AW215" i="6"/>
  <c r="AW93" i="6"/>
  <c r="AW387" i="6"/>
  <c r="AW513" i="6"/>
  <c r="AW497" i="6"/>
  <c r="AR192" i="4"/>
  <c r="AW299" i="6"/>
  <c r="AR94" i="4"/>
  <c r="AR296" i="4"/>
  <c r="AW435" i="6"/>
  <c r="AR227" i="4"/>
  <c r="AW139" i="6"/>
  <c r="AW276" i="6"/>
  <c r="AR293" i="4"/>
  <c r="AW450" i="6"/>
  <c r="AR297" i="4"/>
  <c r="AR207" i="4"/>
  <c r="AW385" i="6"/>
  <c r="AW132" i="6"/>
  <c r="AW66" i="6"/>
  <c r="AW220" i="6"/>
  <c r="AR226" i="4"/>
  <c r="AW399" i="6"/>
  <c r="AW135" i="6"/>
  <c r="AR204" i="4"/>
  <c r="AR124" i="4"/>
  <c r="AR199" i="4"/>
  <c r="AW466" i="6"/>
  <c r="AW143" i="6"/>
  <c r="AW507" i="6"/>
  <c r="AR176" i="4"/>
  <c r="AW234" i="6"/>
  <c r="AW75" i="6"/>
  <c r="AR268" i="4"/>
  <c r="AR254" i="4"/>
  <c r="AR219" i="4"/>
  <c r="AW334" i="6"/>
  <c r="AR238" i="4"/>
  <c r="AW117" i="6"/>
  <c r="AW209" i="6"/>
  <c r="AW472" i="6"/>
  <c r="AR125" i="4"/>
  <c r="AW323" i="6"/>
  <c r="AW163" i="6"/>
  <c r="AR78" i="4"/>
  <c r="AW247" i="6"/>
  <c r="AW286" i="6"/>
  <c r="AW434" i="6"/>
  <c r="AR50" i="4"/>
  <c r="AW94" i="6"/>
  <c r="AW99" i="6"/>
  <c r="AW527" i="6"/>
  <c r="AW76" i="6"/>
  <c r="AR249" i="4"/>
  <c r="AW328" i="6"/>
  <c r="AW185" i="6"/>
  <c r="AW279" i="6"/>
  <c r="AW86" i="6"/>
  <c r="AW148" i="6"/>
  <c r="AW158" i="6"/>
  <c r="AW415" i="6"/>
  <c r="AW292" i="6"/>
  <c r="AW414" i="6"/>
  <c r="AW301" i="6"/>
  <c r="AW270" i="6"/>
  <c r="AW534" i="6"/>
  <c r="AR182" i="4"/>
  <c r="AW480" i="6"/>
  <c r="AW177" i="6"/>
  <c r="AW545" i="6"/>
  <c r="AW422" i="6"/>
  <c r="AR57" i="4"/>
  <c r="AR44" i="4"/>
  <c r="AW509" i="6"/>
  <c r="AW543" i="6"/>
  <c r="AW547" i="6"/>
  <c r="AW361" i="6"/>
  <c r="AR74" i="4"/>
  <c r="AW252" i="6"/>
  <c r="AR118" i="4"/>
  <c r="AR120" i="4"/>
  <c r="AW146" i="6"/>
  <c r="AW485" i="6"/>
  <c r="AW218" i="6"/>
  <c r="AW264" i="6"/>
  <c r="AR185" i="4"/>
  <c r="AR213" i="4"/>
  <c r="AW240" i="6"/>
  <c r="AR187" i="4"/>
  <c r="AR172" i="4"/>
  <c r="AW212" i="6"/>
  <c r="AR279" i="4"/>
  <c r="AW389" i="6"/>
  <c r="AW544" i="6"/>
  <c r="AW542" i="6"/>
  <c r="AR87" i="4"/>
  <c r="AR321" i="4"/>
  <c r="AW538" i="6"/>
  <c r="AW395" i="6"/>
  <c r="AR115" i="4"/>
  <c r="AW267" i="6"/>
  <c r="AW231" i="6"/>
  <c r="AW57" i="6"/>
  <c r="AW372" i="6"/>
  <c r="AR195" i="4"/>
  <c r="AR240" i="4"/>
  <c r="AR303" i="4"/>
  <c r="AW208" i="6"/>
  <c r="AR32" i="4"/>
  <c r="AW124" i="6"/>
  <c r="AR71" i="4"/>
  <c r="AW237" i="6"/>
  <c r="AW79" i="6"/>
  <c r="AR58" i="4"/>
  <c r="AW154" i="6"/>
  <c r="AR323" i="4"/>
  <c r="AW364" i="6"/>
  <c r="AW166" i="6"/>
  <c r="AW503" i="6"/>
  <c r="AW304" i="6"/>
  <c r="AR218" i="4"/>
  <c r="AR68" i="4"/>
  <c r="AW193" i="6"/>
  <c r="AW343" i="6"/>
  <c r="AR275" i="4"/>
  <c r="AW366" i="6"/>
  <c r="AW446" i="6"/>
  <c r="AW115" i="6"/>
  <c r="AW260" i="6"/>
  <c r="AR201" i="4"/>
  <c r="AW196" i="6"/>
  <c r="AW473" i="6"/>
  <c r="AW105" i="6"/>
  <c r="AR139" i="4"/>
  <c r="AW186" i="6"/>
  <c r="AW315" i="6"/>
  <c r="AR96" i="4"/>
  <c r="AW216" i="6"/>
  <c r="AR250" i="4"/>
  <c r="AR110" i="4"/>
  <c r="AW508" i="6"/>
  <c r="AR257" i="4"/>
  <c r="AW160" i="6"/>
  <c r="AW114" i="6"/>
  <c r="AW45" i="6"/>
  <c r="AR206" i="4"/>
  <c r="AW358" i="6"/>
  <c r="AW451" i="6"/>
  <c r="AR242" i="4"/>
  <c r="AW111" i="6"/>
  <c r="AR260" i="4"/>
  <c r="AW430" i="6"/>
  <c r="AW400" i="6"/>
  <c r="AW532" i="6"/>
  <c r="AR135" i="4"/>
  <c r="AW51" i="6"/>
  <c r="AW62" i="6"/>
  <c r="AR315" i="4"/>
  <c r="AR157" i="4"/>
  <c r="AW339" i="6"/>
  <c r="AW332" i="6"/>
  <c r="AR205" i="4"/>
  <c r="AR65" i="4"/>
  <c r="AW449" i="6"/>
  <c r="AW204" i="6"/>
  <c r="AW484" i="6"/>
  <c r="AR174" i="4"/>
  <c r="AW419" i="6"/>
  <c r="AR45" i="4"/>
  <c r="AW476" i="6"/>
  <c r="AR104" i="4"/>
  <c r="AW535" i="6"/>
  <c r="AR251" i="4"/>
  <c r="AW152" i="6"/>
  <c r="AR136" i="4"/>
  <c r="AW244" i="6"/>
  <c r="AR169" i="4"/>
  <c r="AW223" i="6"/>
  <c r="AR221" i="4"/>
  <c r="AR98" i="4"/>
  <c r="AW528" i="6"/>
  <c r="AW153" i="6"/>
  <c r="AR146" i="4"/>
  <c r="AW138" i="6"/>
  <c r="AW388" i="6"/>
  <c r="AR33" i="4"/>
  <c r="AW156" i="6"/>
  <c r="AW122" i="6"/>
  <c r="AW463" i="6"/>
  <c r="AW392" i="6"/>
  <c r="AR234" i="4"/>
  <c r="AW418" i="6"/>
  <c r="AW363" i="6"/>
  <c r="AR142" i="4"/>
  <c r="AW506" i="6"/>
  <c r="AW403" i="6"/>
  <c r="AW468" i="6"/>
  <c r="AW61" i="6"/>
  <c r="AW157" i="6"/>
  <c r="AR295" i="4"/>
  <c r="AW351" i="6"/>
  <c r="AW367" i="6"/>
  <c r="AW187" i="6"/>
  <c r="AR225" i="4"/>
  <c r="AW386" i="6"/>
  <c r="AW397" i="6"/>
  <c r="AR194" i="4"/>
  <c r="AR311" i="4"/>
  <c r="AR127" i="4"/>
  <c r="AW483" i="6"/>
  <c r="AW88" i="6"/>
  <c r="AR83" i="4"/>
  <c r="AR112" i="4"/>
  <c r="AR319" i="4"/>
  <c r="AW307" i="6"/>
  <c r="AR163" i="4"/>
  <c r="AR97" i="4"/>
  <c r="AW354" i="6"/>
  <c r="AR48" i="4"/>
  <c r="AW280" i="6"/>
  <c r="AW420" i="6"/>
  <c r="AR59" i="4"/>
  <c r="AW290" i="6"/>
  <c r="AW36" i="6"/>
  <c r="AR72" i="4"/>
  <c r="AR318" i="4"/>
  <c r="AR288" i="4"/>
  <c r="AW492" i="6"/>
  <c r="AR61" i="4"/>
  <c r="AW281" i="6"/>
  <c r="AR42" i="4"/>
  <c r="AW150" i="6"/>
  <c r="AW324" i="6"/>
  <c r="AR255" i="4"/>
  <c r="AR191" i="4"/>
  <c r="AW107" i="6"/>
  <c r="AW203" i="6"/>
  <c r="AW40" i="6"/>
  <c r="AW226" i="6"/>
  <c r="AW379" i="6"/>
  <c r="AR122" i="4"/>
  <c r="AW525" i="6"/>
  <c r="AW68" i="6"/>
  <c r="AW195" i="6"/>
  <c r="AW164" i="6"/>
  <c r="AR160" i="4"/>
  <c r="AW448" i="6"/>
  <c r="AW502" i="6"/>
  <c r="AW259" i="6"/>
  <c r="AR230" i="4"/>
  <c r="AR285" i="4"/>
  <c r="AR312" i="4"/>
  <c r="AW46" i="6"/>
  <c r="AW405" i="6"/>
  <c r="AR274" i="4"/>
  <c r="AR144" i="4"/>
  <c r="AR269" i="4"/>
  <c r="AR320" i="4"/>
  <c r="AW406" i="6"/>
  <c r="AW518" i="6"/>
  <c r="AW318" i="6"/>
  <c r="AR178" i="4"/>
  <c r="AR287" i="4"/>
  <c r="AW408" i="6"/>
  <c r="AW377" i="6"/>
  <c r="AW169" i="6"/>
  <c r="AW371" i="6"/>
  <c r="AW384" i="6"/>
  <c r="AR263" i="4"/>
  <c r="AR77" i="4"/>
  <c r="AW268" i="6"/>
  <c r="AW283" i="6"/>
  <c r="AW390" i="6"/>
  <c r="AR224" i="4"/>
  <c r="AR126" i="4"/>
  <c r="AW170" i="6"/>
  <c r="AW300" i="6"/>
  <c r="AW65" i="6"/>
  <c r="AR62" i="4"/>
  <c r="AW438" i="6"/>
  <c r="AR130" i="4"/>
  <c r="AR31" i="4"/>
  <c r="AW49" i="6"/>
  <c r="AR266" i="4"/>
  <c r="AW128" i="6"/>
  <c r="AW59" i="6"/>
  <c r="AR54" i="4"/>
  <c r="AW246" i="6"/>
  <c r="AR69" i="4"/>
  <c r="AW285" i="6"/>
  <c r="AW194" i="6"/>
  <c r="AR298" i="4"/>
  <c r="AR131" i="4"/>
  <c r="AR30" i="4"/>
  <c r="AR102" i="4"/>
  <c r="AR317" i="4"/>
  <c r="AW439" i="6"/>
  <c r="AR121" i="4"/>
  <c r="AR261" i="4"/>
  <c r="AR322" i="4"/>
  <c r="AR145" i="4"/>
  <c r="AR111" i="4"/>
  <c r="AR99" i="4"/>
  <c r="AW314" i="6"/>
  <c r="AW162" i="6"/>
  <c r="AW370" i="6"/>
  <c r="AR175" i="4"/>
  <c r="AW141" i="6"/>
  <c r="AR248" i="4"/>
  <c r="AW254" i="6"/>
  <c r="AR299" i="4"/>
  <c r="AW97" i="6"/>
  <c r="AW291" i="6"/>
  <c r="AR316" i="4"/>
  <c r="AW171" i="6"/>
  <c r="AR52" i="4"/>
  <c r="AW112" i="6"/>
  <c r="AR164" i="4"/>
  <c r="AR80" i="4"/>
  <c r="AR235" i="4"/>
  <c r="AR67" i="4"/>
  <c r="AW140" i="6"/>
  <c r="AW211" i="6"/>
  <c r="AW491" i="6"/>
  <c r="AW50" i="6"/>
  <c r="AR82" i="4"/>
  <c r="AW167" i="6"/>
  <c r="AR292" i="4"/>
  <c r="AR79" i="4"/>
  <c r="AR119" i="4"/>
  <c r="AR40" i="4"/>
  <c r="AW402" i="6"/>
  <c r="AW436" i="6"/>
  <c r="AW479" i="6"/>
  <c r="AR270" i="4"/>
  <c r="AR166" i="4"/>
  <c r="AW92" i="6"/>
  <c r="AW359" i="6"/>
  <c r="AW210" i="6"/>
  <c r="AW42" i="6"/>
  <c r="AW136" i="6"/>
  <c r="AR43" i="4"/>
  <c r="AW325" i="6"/>
  <c r="AW498" i="6"/>
  <c r="AW189" i="6"/>
  <c r="AR325" i="4"/>
  <c r="AW258" i="6"/>
  <c r="AW67" i="6"/>
  <c r="AW365" i="6"/>
  <c r="AW416" i="6"/>
  <c r="AR85" i="4"/>
  <c r="AR55" i="4"/>
  <c r="AR210" i="4"/>
  <c r="AR236" i="4"/>
  <c r="AW96" i="6"/>
  <c r="AR73" i="4"/>
  <c r="AR258" i="4"/>
  <c r="AR36" i="4"/>
  <c r="AW101" i="6"/>
  <c r="AR75" i="4"/>
  <c r="AW87" i="6"/>
  <c r="AW440" i="6"/>
  <c r="AW91" i="6"/>
  <c r="AW298" i="6"/>
  <c r="AR132" i="4"/>
  <c r="AW120" i="6"/>
  <c r="AW225" i="6"/>
  <c r="AW190" i="6"/>
  <c r="AR56" i="4"/>
  <c r="AW147" i="6"/>
  <c r="AW142" i="6"/>
  <c r="AW251" i="6"/>
  <c r="AW541" i="6"/>
  <c r="AW375" i="6"/>
  <c r="AW103" i="6"/>
  <c r="AW294" i="6"/>
  <c r="AW272" i="6"/>
  <c r="AW486" i="6"/>
  <c r="AR89" i="4"/>
  <c r="AW521" i="6"/>
  <c r="AW329" i="6"/>
  <c r="AW232" i="6"/>
  <c r="AR106" i="4"/>
  <c r="AR129" i="4"/>
  <c r="AW43" i="6"/>
  <c r="AW27" i="6" l="1" a="1"/>
  <c r="AW27" i="6" s="1"/>
  <c r="AW28" i="6"/>
  <c r="AR28" i="4"/>
  <c r="AR27" i="4" a="1"/>
  <c r="AR27" i="4" s="1"/>
  <c r="W6" i="9" l="1"/>
  <c r="P5" i="6"/>
  <c r="H3" i="2"/>
  <c r="W6" i="9" a="1"/>
  <c r="P5" i="6" a="1"/>
  <c r="H5" i="2"/>
  <c r="K5" i="2"/>
  <c r="K3" i="2"/>
  <c r="W6" i="5"/>
  <c r="P5" i="4"/>
  <c r="W6" i="5" a="1"/>
  <c r="P5" i="4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<sst xmlns="http://schemas.openxmlformats.org/spreadsheetml/2006/main" count="28158" uniqueCount="2387">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</sst>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SDM_A5C_4-1A_D1</v>
          </cell>
          <cell r="J3">
            <v>6</v>
          </cell>
        </row>
        <row r="4">
          <cell r="D4" t="str">
            <v>SDM_A5C_3-1A_D1</v>
          </cell>
          <cell r="J4">
            <v>1</v>
          </cell>
        </row>
        <row r="5">
          <cell r="D5" t="str">
            <v>SDM_A5C_3-1A_D1</v>
          </cell>
          <cell r="J5">
            <v>2</v>
          </cell>
        </row>
        <row r="6">
          <cell r="D6" t="str">
            <v>SDM_A5C_2-1A_D1</v>
          </cell>
          <cell r="J6">
            <v>6</v>
          </cell>
        </row>
        <row r="7">
          <cell r="D7" t="str">
            <v>SDM_A5C_1-1A_D1</v>
          </cell>
          <cell r="J7">
            <v>4</v>
          </cell>
        </row>
        <row r="8">
          <cell r="D8" t="str">
            <v>SDM_A5C_6-1_D1</v>
          </cell>
          <cell r="J8">
            <v>5</v>
          </cell>
        </row>
        <row r="9">
          <cell r="D9" t="str">
            <v>SDM_A5C_5-1_D1</v>
          </cell>
          <cell r="J9">
            <v>2</v>
          </cell>
        </row>
        <row r="10">
          <cell r="D10" t="str">
            <v>SDM_A5C_7-1_D1</v>
          </cell>
          <cell r="J10">
            <v>3</v>
          </cell>
        </row>
        <row r="11">
          <cell r="D11" t="str">
            <v>SDM_A5C_7-1_D1</v>
          </cell>
          <cell r="J11">
            <v>2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214050.80670000002</v>
      </c>
      <c r="G3" s="94">
        <f>SUM(G4:G23)</f>
        <v>119986.45674611475</v>
      </c>
      <c r="H3" s="94">
        <f ca="1">SUM(H4:H23)</f>
        <v>9242</v>
      </c>
      <c r="I3" s="95">
        <f>IFERROR(F3/E3," ")</f>
        <v>0.64079918656898471</v>
      </c>
      <c r="J3" s="94">
        <f>SUM(J4:J23)</f>
        <v>51008.607039999988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119090.30670000002</v>
      </c>
      <c r="G5" s="100">
        <f t="shared" ref="G5:G7" si="1">+E5-F5</f>
        <v>74859.356746114674</v>
      </c>
      <c r="H5" s="100">
        <f ca="1">'BTP-A320M4130'!P5</f>
        <v>9242</v>
      </c>
      <c r="I5" s="101">
        <f t="shared" si="0"/>
        <v>0.61402687988209392</v>
      </c>
      <c r="J5" s="100">
        <f>[2]Progress!$BH$4</f>
        <v>51008.607039999988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cm="1">
        <f t="array" ref="AR27">SUMPRODUCT($J$30:$J$332,AR30:AR332,--(AR30:AR332&lt;&gt;""))</f>
        <v>0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>
        <f t="shared" ref="AR28" si="11">SUM(AR30:AR332)</f>
        <v>0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>
        <f>SUMIFS([1]Up!$J:$J,[1]Up!$D:$D,D30)</f>
        <v>0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>
        <f>SUMIFS([1]Up!$J:$J,[1]Up!$D:$D,D31)</f>
        <v>0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>
        <f>SUMIFS([1]Up!$J:$J,[1]Up!$D:$D,D32)</f>
        <v>0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>
        <f>SUMIFS([1]Up!$J:$J,[1]Up!$D:$D,D33)</f>
        <v>0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>
        <f>SUMIFS([1]Up!$J:$J,[1]Up!$D:$D,D34)</f>
        <v>0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>
        <f>SUMIFS([1]Up!$J:$J,[1]Up!$D:$D,D35)</f>
        <v>0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>
        <f>SUMIFS([1]Up!$J:$J,[1]Up!$D:$D,D36)</f>
        <v>0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>
        <f>SUMIFS([1]Up!$J:$J,[1]Up!$D:$D,D37)</f>
        <v>0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>
        <f>SUMIFS([1]Up!$J:$J,[1]Up!$D:$D,D38)</f>
        <v>0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>
        <f>SUMIFS([1]Up!$J:$J,[1]Up!$D:$D,D39)</f>
        <v>0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>
        <f>SUMIFS([1]Up!$J:$J,[1]Up!$D:$D,D40)</f>
        <v>0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>
        <f>SUMIFS([1]Up!$J:$J,[1]Up!$D:$D,D41)</f>
        <v>0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>
        <f>SUMIFS([1]Up!$J:$J,[1]Up!$D:$D,D42)</f>
        <v>0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>
        <f>SUMIFS([1]Up!$J:$J,[1]Up!$D:$D,D43)</f>
        <v>0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>
        <f>SUMIFS([1]Up!$J:$J,[1]Up!$D:$D,D44)</f>
        <v>0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>
        <f>SUMIFS([1]Up!$J:$J,[1]Up!$D:$D,D45)</f>
        <v>0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>
        <f>SUMIFS([1]Up!$J:$J,[1]Up!$D:$D,D46)</f>
        <v>0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>
        <f>SUMIFS([1]Up!$J:$J,[1]Up!$D:$D,D47)</f>
        <v>0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>
        <f>SUMIFS([1]Up!$J:$J,[1]Up!$D:$D,D48)</f>
        <v>0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>
        <f>SUMIFS([1]Up!$J:$J,[1]Up!$D:$D,D49)</f>
        <v>0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>
        <f>SUMIFS([1]Up!$J:$J,[1]Up!$D:$D,D50)</f>
        <v>0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>
        <f>SUMIFS([1]Up!$J:$J,[1]Up!$D:$D,D51)</f>
        <v>0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>
        <f>SUMIFS([1]Up!$J:$J,[1]Up!$D:$D,D52)</f>
        <v>0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>
        <f>SUMIFS([1]Up!$J:$J,[1]Up!$D:$D,D53)</f>
        <v>0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>
        <f>SUMIFS([1]Up!$J:$J,[1]Up!$D:$D,D54)</f>
        <v>0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>
        <f>SUMIFS([1]Up!$J:$J,[1]Up!$D:$D,D55)</f>
        <v>0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>
        <f>SUMIFS([1]Up!$J:$J,[1]Up!$D:$D,D56)</f>
        <v>0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>
        <f>SUMIFS([1]Up!$J:$J,[1]Up!$D:$D,D57)</f>
        <v>0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>
        <f>SUMIFS([1]Up!$J:$J,[1]Up!$D:$D,D58)</f>
        <v>0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>
        <f>SUMIFS([1]Up!$J:$J,[1]Up!$D:$D,D59)</f>
        <v>0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>
        <f>SUMIFS([1]Up!$J:$J,[1]Up!$D:$D,D60)</f>
        <v>0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>
        <f>SUMIFS([1]Up!$J:$J,[1]Up!$D:$D,D61)</f>
        <v>0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>
        <f>SUMIFS([1]Up!$J:$J,[1]Up!$D:$D,D62)</f>
        <v>0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>
        <f>SUMIFS([1]Up!$J:$J,[1]Up!$D:$D,D63)</f>
        <v>0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>
        <f>SUMIFS([1]Up!$J:$J,[1]Up!$D:$D,D64)</f>
        <v>0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>
        <f>SUMIFS([1]Up!$J:$J,[1]Up!$D:$D,D65)</f>
        <v>0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>
        <f>SUMIFS([1]Up!$J:$J,[1]Up!$D:$D,D66)</f>
        <v>0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>
        <f>SUMIFS([1]Up!$J:$J,[1]Up!$D:$D,D67)</f>
        <v>0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>
        <f>SUMIFS([1]Up!$J:$J,[1]Up!$D:$D,D68)</f>
        <v>0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>
        <f>SUMIFS([1]Up!$J:$J,[1]Up!$D:$D,D69)</f>
        <v>0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>
        <f>SUMIFS([1]Up!$J:$J,[1]Up!$D:$D,D70)</f>
        <v>0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>
        <f>SUMIFS([1]Up!$J:$J,[1]Up!$D:$D,D71)</f>
        <v>0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>
        <f>SUMIFS([1]Up!$J:$J,[1]Up!$D:$D,D72)</f>
        <v>0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>
        <f>SUMIFS([1]Up!$J:$J,[1]Up!$D:$D,D73)</f>
        <v>0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>
        <f>SUMIFS([1]Up!$J:$J,[1]Up!$D:$D,D74)</f>
        <v>0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>
        <f>SUMIFS([1]Up!$J:$J,[1]Up!$D:$D,D75)</f>
        <v>0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>
        <f>SUMIFS([1]Up!$J:$J,[1]Up!$D:$D,D76)</f>
        <v>0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>
        <f>SUMIFS([1]Up!$J:$J,[1]Up!$D:$D,D77)</f>
        <v>0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>
        <f>SUMIFS([1]Up!$J:$J,[1]Up!$D:$D,D78)</f>
        <v>0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>
        <f>SUMIFS([1]Up!$J:$J,[1]Up!$D:$D,D79)</f>
        <v>0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>
        <f>SUMIFS([1]Up!$J:$J,[1]Up!$D:$D,D80)</f>
        <v>0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>
        <f>SUMIFS([1]Up!$J:$J,[1]Up!$D:$D,D81)</f>
        <v>0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>
        <f>SUMIFS([1]Up!$J:$J,[1]Up!$D:$D,D82)</f>
        <v>0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>
        <f>SUMIFS([1]Up!$J:$J,[1]Up!$D:$D,D83)</f>
        <v>0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>
        <f>SUMIFS([1]Up!$J:$J,[1]Up!$D:$D,D84)</f>
        <v>0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>
        <f>SUMIFS([1]Up!$J:$J,[1]Up!$D:$D,D85)</f>
        <v>0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>
        <f>SUMIFS([1]Up!$J:$J,[1]Up!$D:$D,D86)</f>
        <v>0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>
        <f>SUMIFS([1]Up!$J:$J,[1]Up!$D:$D,D87)</f>
        <v>0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>
        <f>SUMIFS([1]Up!$J:$J,[1]Up!$D:$D,D88)</f>
        <v>0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>
        <f>SUMIFS([1]Up!$J:$J,[1]Up!$D:$D,D89)</f>
        <v>0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>
        <f>SUMIFS([1]Up!$J:$J,[1]Up!$D:$D,D90)</f>
        <v>0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>
        <f>SUMIFS([1]Up!$J:$J,[1]Up!$D:$D,D91)</f>
        <v>0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>
        <f>SUMIFS([1]Up!$J:$J,[1]Up!$D:$D,D92)</f>
        <v>0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>
        <f>SUMIFS([1]Up!$J:$J,[1]Up!$D:$D,D93)</f>
        <v>0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>
        <f>SUMIFS([1]Up!$J:$J,[1]Up!$D:$D,D94)</f>
        <v>0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>
        <f>SUMIFS([1]Up!$J:$J,[1]Up!$D:$D,D95)</f>
        <v>0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>
        <f>SUMIFS([1]Up!$J:$J,[1]Up!$D:$D,D96)</f>
        <v>0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>
        <f>SUMIFS([1]Up!$J:$J,[1]Up!$D:$D,D97)</f>
        <v>0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>
        <f>SUMIFS([1]Up!$J:$J,[1]Up!$D:$D,D98)</f>
        <v>0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>
        <f>SUMIFS([1]Up!$J:$J,[1]Up!$D:$D,D99)</f>
        <v>0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>
        <f>SUMIFS([1]Up!$J:$J,[1]Up!$D:$D,D100)</f>
        <v>0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>
        <f>SUMIFS([1]Up!$J:$J,[1]Up!$D:$D,D101)</f>
        <v>0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>
        <f>SUMIFS([1]Up!$J:$J,[1]Up!$D:$D,D102)</f>
        <v>0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>
        <f>SUMIFS([1]Up!$J:$J,[1]Up!$D:$D,D103)</f>
        <v>0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>
        <f>SUMIFS([1]Up!$J:$J,[1]Up!$D:$D,D104)</f>
        <v>0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>
        <f>SUMIFS([1]Up!$J:$J,[1]Up!$D:$D,D105)</f>
        <v>0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>
        <f>SUMIFS([1]Up!$J:$J,[1]Up!$D:$D,D106)</f>
        <v>0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>
        <f>SUMIFS([1]Up!$J:$J,[1]Up!$D:$D,D107)</f>
        <v>0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>
        <f>SUMIFS([1]Up!$J:$J,[1]Up!$D:$D,D108)</f>
        <v>0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>
        <f>SUMIFS([1]Up!$J:$J,[1]Up!$D:$D,D109)</f>
        <v>0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>
        <f>SUMIFS([1]Up!$J:$J,[1]Up!$D:$D,D110)</f>
        <v>0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>
        <f>SUMIFS([1]Up!$J:$J,[1]Up!$D:$D,D111)</f>
        <v>0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>
        <f>SUMIFS([1]Up!$J:$J,[1]Up!$D:$D,D112)</f>
        <v>0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>
        <f>SUMIFS([1]Up!$J:$J,[1]Up!$D:$D,D113)</f>
        <v>0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>
        <f>SUMIFS([1]Up!$J:$J,[1]Up!$D:$D,D114)</f>
        <v>0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>
        <f>SUMIFS([1]Up!$J:$J,[1]Up!$D:$D,D115)</f>
        <v>0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>
        <f>SUMIFS([1]Up!$J:$J,[1]Up!$D:$D,D116)</f>
        <v>0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>
        <f>SUMIFS([1]Up!$J:$J,[1]Up!$D:$D,D117)</f>
        <v>0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>
        <f>SUMIFS([1]Up!$J:$J,[1]Up!$D:$D,D118)</f>
        <v>0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>
        <f>SUMIFS([1]Up!$J:$J,[1]Up!$D:$D,D119)</f>
        <v>0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>
        <f>SUMIFS([1]Up!$J:$J,[1]Up!$D:$D,D120)</f>
        <v>0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>
        <f>SUMIFS([1]Up!$J:$J,[1]Up!$D:$D,D121)</f>
        <v>0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>
        <f>SUMIFS([1]Up!$J:$J,[1]Up!$D:$D,D122)</f>
        <v>0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>
        <f>SUMIFS([1]Up!$J:$J,[1]Up!$D:$D,D123)</f>
        <v>0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>
        <f>SUMIFS([1]Up!$J:$J,[1]Up!$D:$D,D124)</f>
        <v>0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>
        <f>SUMIFS([1]Up!$J:$J,[1]Up!$D:$D,D125)</f>
        <v>0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>
        <f>SUMIFS([1]Up!$J:$J,[1]Up!$D:$D,D126)</f>
        <v>0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>
        <f>SUMIFS([1]Up!$J:$J,[1]Up!$D:$D,D127)</f>
        <v>0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>
        <f>SUMIFS([1]Up!$J:$J,[1]Up!$D:$D,D128)</f>
        <v>0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>
        <f>SUMIFS([1]Up!$J:$J,[1]Up!$D:$D,D129)</f>
        <v>0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>
        <f>SUMIFS([1]Up!$J:$J,[1]Up!$D:$D,D130)</f>
        <v>0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>
        <f>SUMIFS([1]Up!$J:$J,[1]Up!$D:$D,D131)</f>
        <v>0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>
        <f>SUMIFS([1]Up!$J:$J,[1]Up!$D:$D,D132)</f>
        <v>0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>
        <f>SUMIFS([1]Up!$J:$J,[1]Up!$D:$D,D133)</f>
        <v>0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>
        <f>SUMIFS([1]Up!$J:$J,[1]Up!$D:$D,D134)</f>
        <v>0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>
        <f>SUMIFS([1]Up!$J:$J,[1]Up!$D:$D,D135)</f>
        <v>0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>
        <f>SUMIFS([1]Up!$J:$J,[1]Up!$D:$D,D136)</f>
        <v>0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>
        <f>SUMIFS([1]Up!$J:$J,[1]Up!$D:$D,D137)</f>
        <v>0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>
        <f>SUMIFS([1]Up!$J:$J,[1]Up!$D:$D,D138)</f>
        <v>0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>
        <f>SUMIFS([1]Up!$J:$J,[1]Up!$D:$D,D139)</f>
        <v>0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>
        <f>SUMIFS([1]Up!$J:$J,[1]Up!$D:$D,D140)</f>
        <v>0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>
        <f>SUMIFS([1]Up!$J:$J,[1]Up!$D:$D,D141)</f>
        <v>0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>
        <f>SUMIFS([1]Up!$J:$J,[1]Up!$D:$D,D142)</f>
        <v>0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>
        <f>SUMIFS([1]Up!$J:$J,[1]Up!$D:$D,D143)</f>
        <v>0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>
        <f>SUMIFS([1]Up!$J:$J,[1]Up!$D:$D,D144)</f>
        <v>0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>
        <f>SUMIFS([1]Up!$J:$J,[1]Up!$D:$D,D145)</f>
        <v>0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>
        <f>SUMIFS([1]Up!$J:$J,[1]Up!$D:$D,D146)</f>
        <v>0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>
        <f>SUMIFS([1]Up!$J:$J,[1]Up!$D:$D,D147)</f>
        <v>0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>
        <f>SUMIFS([1]Up!$J:$J,[1]Up!$D:$D,D148)</f>
        <v>0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>
        <f>SUMIFS([1]Up!$J:$J,[1]Up!$D:$D,D149)</f>
        <v>0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>
        <f>SUMIFS([1]Up!$J:$J,[1]Up!$D:$D,D150)</f>
        <v>0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>
        <f>SUMIFS([1]Up!$J:$J,[1]Up!$D:$D,D151)</f>
        <v>0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>
        <f>SUMIFS([1]Up!$J:$J,[1]Up!$D:$D,D152)</f>
        <v>0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>
        <f>SUMIFS([1]Up!$J:$J,[1]Up!$D:$D,D153)</f>
        <v>0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>
        <f>SUMIFS([1]Up!$J:$J,[1]Up!$D:$D,D154)</f>
        <v>0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>
        <f>SUMIFS([1]Up!$J:$J,[1]Up!$D:$D,D155)</f>
        <v>0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>
        <f>SUMIFS([1]Up!$J:$J,[1]Up!$D:$D,D156)</f>
        <v>0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>
        <f>SUMIFS([1]Up!$J:$J,[1]Up!$D:$D,D157)</f>
        <v>0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>
        <f>SUMIFS([1]Up!$J:$J,[1]Up!$D:$D,D158)</f>
        <v>0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>
        <f>SUMIFS([1]Up!$J:$J,[1]Up!$D:$D,D159)</f>
        <v>0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>
        <f>SUMIFS([1]Up!$J:$J,[1]Up!$D:$D,D160)</f>
        <v>0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>
        <f>SUMIFS([1]Up!$J:$J,[1]Up!$D:$D,D161)</f>
        <v>0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>
        <f>SUMIFS([1]Up!$J:$J,[1]Up!$D:$D,D162)</f>
        <v>0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>
        <f>SUMIFS([1]Up!$J:$J,[1]Up!$D:$D,D163)</f>
        <v>0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>
        <f>SUMIFS([1]Up!$J:$J,[1]Up!$D:$D,D164)</f>
        <v>0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>
        <f>SUMIFS([1]Up!$J:$J,[1]Up!$D:$D,D165)</f>
        <v>0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>
        <f>SUMIFS([1]Up!$J:$J,[1]Up!$D:$D,D166)</f>
        <v>0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>
        <f>SUMIFS([1]Up!$J:$J,[1]Up!$D:$D,D167)</f>
        <v>0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>
        <f>SUMIFS([1]Up!$J:$J,[1]Up!$D:$D,D168)</f>
        <v>0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>
        <f>SUMIFS([1]Up!$J:$J,[1]Up!$D:$D,D169)</f>
        <v>0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>
        <f>SUMIFS([1]Up!$J:$J,[1]Up!$D:$D,D170)</f>
        <v>0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>
        <f>SUMIFS([1]Up!$J:$J,[1]Up!$D:$D,D171)</f>
        <v>0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>
        <f>SUMIFS([1]Up!$J:$J,[1]Up!$D:$D,D172)</f>
        <v>0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>
        <f>SUMIFS([1]Up!$J:$J,[1]Up!$D:$D,D173)</f>
        <v>0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>
        <f>SUMIFS([1]Up!$J:$J,[1]Up!$D:$D,D174)</f>
        <v>0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>
        <f>SUMIFS([1]Up!$J:$J,[1]Up!$D:$D,D175)</f>
        <v>0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>
        <f>SUMIFS([1]Up!$J:$J,[1]Up!$D:$D,D176)</f>
        <v>0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>
        <f>SUMIFS([1]Up!$J:$J,[1]Up!$D:$D,D177)</f>
        <v>0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>
        <f>SUMIFS([1]Up!$J:$J,[1]Up!$D:$D,D178)</f>
        <v>0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>
        <f>SUMIFS([1]Up!$J:$J,[1]Up!$D:$D,D179)</f>
        <v>0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>
        <f>SUMIFS([1]Up!$J:$J,[1]Up!$D:$D,D180)</f>
        <v>0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>
        <f>SUMIFS([1]Up!$J:$J,[1]Up!$D:$D,D181)</f>
        <v>0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>
        <f>SUMIFS([1]Up!$J:$J,[1]Up!$D:$D,D182)</f>
        <v>0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>
        <f>SUMIFS([1]Up!$J:$J,[1]Up!$D:$D,D183)</f>
        <v>0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>
        <f>SUMIFS([1]Up!$J:$J,[1]Up!$D:$D,D184)</f>
        <v>0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>
        <f>SUMIFS([1]Up!$J:$J,[1]Up!$D:$D,D185)</f>
        <v>0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>
        <f>SUMIFS([1]Up!$J:$J,[1]Up!$D:$D,D186)</f>
        <v>0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>
        <f>SUMIFS([1]Up!$J:$J,[1]Up!$D:$D,D187)</f>
        <v>0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>
        <f>SUMIFS([1]Up!$J:$J,[1]Up!$D:$D,D188)</f>
        <v>0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>
        <f>SUMIFS([1]Up!$J:$J,[1]Up!$D:$D,D189)</f>
        <v>0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>
        <f>SUMIFS([1]Up!$J:$J,[1]Up!$D:$D,D190)</f>
        <v>0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>
        <f>SUMIFS([1]Up!$J:$J,[1]Up!$D:$D,D191)</f>
        <v>0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>
        <f>SUMIFS([1]Up!$J:$J,[1]Up!$D:$D,D192)</f>
        <v>0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>
        <f>SUMIFS([1]Up!$J:$J,[1]Up!$D:$D,D193)</f>
        <v>0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>
        <f>SUMIFS([1]Up!$J:$J,[1]Up!$D:$D,D194)</f>
        <v>0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>
        <f>SUMIFS([1]Up!$J:$J,[1]Up!$D:$D,D195)</f>
        <v>0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>
        <f>SUMIFS([1]Up!$J:$J,[1]Up!$D:$D,D196)</f>
        <v>0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>
        <f>SUMIFS([1]Up!$J:$J,[1]Up!$D:$D,D197)</f>
        <v>0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>
        <f>SUMIFS([1]Up!$J:$J,[1]Up!$D:$D,D198)</f>
        <v>0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>
        <f>SUMIFS([1]Up!$J:$J,[1]Up!$D:$D,D199)</f>
        <v>0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>
        <f>SUMIFS([1]Up!$J:$J,[1]Up!$D:$D,D200)</f>
        <v>0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>
        <f>SUMIFS([1]Up!$J:$J,[1]Up!$D:$D,D201)</f>
        <v>0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>
        <f>SUMIFS([1]Up!$J:$J,[1]Up!$D:$D,D202)</f>
        <v>0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>
        <f>SUMIFS([1]Up!$J:$J,[1]Up!$D:$D,D203)</f>
        <v>0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>
        <f>SUMIFS([1]Up!$J:$J,[1]Up!$D:$D,D204)</f>
        <v>0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>
        <f>SUMIFS([1]Up!$J:$J,[1]Up!$D:$D,D205)</f>
        <v>0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>
        <f>SUMIFS([1]Up!$J:$J,[1]Up!$D:$D,D206)</f>
        <v>0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>
        <f>SUMIFS([1]Up!$J:$J,[1]Up!$D:$D,D207)</f>
        <v>0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>
        <f>SUMIFS([1]Up!$J:$J,[1]Up!$D:$D,D208)</f>
        <v>0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>
        <f>SUMIFS([1]Up!$J:$J,[1]Up!$D:$D,D209)</f>
        <v>0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>
        <f>SUMIFS([1]Up!$J:$J,[1]Up!$D:$D,D210)</f>
        <v>0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>
        <f>SUMIFS([1]Up!$J:$J,[1]Up!$D:$D,D211)</f>
        <v>0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>
        <f>SUMIFS([1]Up!$J:$J,[1]Up!$D:$D,D212)</f>
        <v>0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>
        <f>SUMIFS([1]Up!$J:$J,[1]Up!$D:$D,D213)</f>
        <v>0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>
        <f>SUMIFS([1]Up!$J:$J,[1]Up!$D:$D,D214)</f>
        <v>0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>
        <f>SUMIFS([1]Up!$J:$J,[1]Up!$D:$D,D215)</f>
        <v>0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>
        <f>SUMIFS([1]Up!$J:$J,[1]Up!$D:$D,D216)</f>
        <v>0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>
        <f>SUMIFS([1]Up!$J:$J,[1]Up!$D:$D,D217)</f>
        <v>0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>
        <f>SUMIFS([1]Up!$J:$J,[1]Up!$D:$D,D218)</f>
        <v>0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>
        <f>SUMIFS([1]Up!$J:$J,[1]Up!$D:$D,D219)</f>
        <v>0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>
        <f>SUMIFS([1]Up!$J:$J,[1]Up!$D:$D,D220)</f>
        <v>0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>
        <f>SUMIFS([1]Up!$J:$J,[1]Up!$D:$D,D221)</f>
        <v>0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>
        <f>SUMIFS([1]Up!$J:$J,[1]Up!$D:$D,D222)</f>
        <v>0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>
        <f>SUMIFS([1]Up!$J:$J,[1]Up!$D:$D,D223)</f>
        <v>0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>
        <f>SUMIFS([1]Up!$J:$J,[1]Up!$D:$D,D224)</f>
        <v>0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>
        <f>SUMIFS([1]Up!$J:$J,[1]Up!$D:$D,D225)</f>
        <v>0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>
        <f>SUMIFS([1]Up!$J:$J,[1]Up!$D:$D,D226)</f>
        <v>0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>
        <f>SUMIFS([1]Up!$J:$J,[1]Up!$D:$D,D227)</f>
        <v>0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>
        <f>SUMIFS([1]Up!$J:$J,[1]Up!$D:$D,D228)</f>
        <v>0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>
        <f>SUMIFS([1]Up!$J:$J,[1]Up!$D:$D,D229)</f>
        <v>0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>
        <f>SUMIFS([1]Up!$J:$J,[1]Up!$D:$D,D230)</f>
        <v>0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>
        <f>SUMIFS([1]Up!$J:$J,[1]Up!$D:$D,D231)</f>
        <v>0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>
        <f>SUMIFS([1]Up!$J:$J,[1]Up!$D:$D,D232)</f>
        <v>0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>
        <f>SUMIFS([1]Up!$J:$J,[1]Up!$D:$D,D233)</f>
        <v>0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>
        <f>SUMIFS([1]Up!$J:$J,[1]Up!$D:$D,D234)</f>
        <v>0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>
        <f>SUMIFS([1]Up!$J:$J,[1]Up!$D:$D,D235)</f>
        <v>0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>
        <f>SUMIFS([1]Up!$J:$J,[1]Up!$D:$D,D236)</f>
        <v>0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>
        <f>SUMIFS([1]Up!$J:$J,[1]Up!$D:$D,D237)</f>
        <v>0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>
        <f>SUMIFS([1]Up!$J:$J,[1]Up!$D:$D,D238)</f>
        <v>0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>
        <f>SUMIFS([1]Up!$J:$J,[1]Up!$D:$D,D239)</f>
        <v>0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>
        <f>SUMIFS([1]Up!$J:$J,[1]Up!$D:$D,D240)</f>
        <v>0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>
        <f>SUMIFS([1]Up!$J:$J,[1]Up!$D:$D,D241)</f>
        <v>0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>
        <f>SUMIFS([1]Up!$J:$J,[1]Up!$D:$D,D242)</f>
        <v>0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>
        <f>SUMIFS([1]Up!$J:$J,[1]Up!$D:$D,D243)</f>
        <v>0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>
        <f>SUMIFS([1]Up!$J:$J,[1]Up!$D:$D,D244)</f>
        <v>0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>
        <f>SUMIFS([1]Up!$J:$J,[1]Up!$D:$D,D245)</f>
        <v>0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>
        <f>SUMIFS([1]Up!$J:$J,[1]Up!$D:$D,D246)</f>
        <v>0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>
        <f>SUMIFS([1]Up!$J:$J,[1]Up!$D:$D,D247)</f>
        <v>0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>
        <f>SUMIFS([1]Up!$J:$J,[1]Up!$D:$D,D248)</f>
        <v>0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>
        <f>SUMIFS([1]Up!$J:$J,[1]Up!$D:$D,D249)</f>
        <v>0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>
        <f>SUMIFS([1]Up!$J:$J,[1]Up!$D:$D,D250)</f>
        <v>0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>
        <f>SUMIFS([1]Up!$J:$J,[1]Up!$D:$D,D251)</f>
        <v>0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>
        <f>SUMIFS([1]Up!$J:$J,[1]Up!$D:$D,D252)</f>
        <v>0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>
        <f>SUMIFS([1]Up!$J:$J,[1]Up!$D:$D,D253)</f>
        <v>0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>
        <f>SUMIFS([1]Up!$J:$J,[1]Up!$D:$D,D254)</f>
        <v>0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>
        <f>SUMIFS([1]Up!$J:$J,[1]Up!$D:$D,D255)</f>
        <v>0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>
        <f>SUMIFS([1]Up!$J:$J,[1]Up!$D:$D,D256)</f>
        <v>0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>
        <f>SUMIFS([1]Up!$J:$J,[1]Up!$D:$D,D257)</f>
        <v>0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>
        <f>SUMIFS([1]Up!$J:$J,[1]Up!$D:$D,D258)</f>
        <v>0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>
        <f>SUMIFS([1]Up!$J:$J,[1]Up!$D:$D,D259)</f>
        <v>0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>
        <f>SUMIFS([1]Up!$J:$J,[1]Up!$D:$D,D260)</f>
        <v>0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>
        <f>SUMIFS([1]Up!$J:$J,[1]Up!$D:$D,D261)</f>
        <v>0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>
        <f>SUMIFS([1]Up!$J:$J,[1]Up!$D:$D,D262)</f>
        <v>0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>
        <f>SUMIFS([1]Up!$J:$J,[1]Up!$D:$D,D263)</f>
        <v>0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>
        <f>SUMIFS([1]Up!$J:$J,[1]Up!$D:$D,D264)</f>
        <v>0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>
        <f>SUMIFS([1]Up!$J:$J,[1]Up!$D:$D,D265)</f>
        <v>0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>
        <f>SUMIFS([1]Up!$J:$J,[1]Up!$D:$D,D266)</f>
        <v>0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>
        <f>SUMIFS([1]Up!$J:$J,[1]Up!$D:$D,D267)</f>
        <v>0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>
        <f>SUMIFS([1]Up!$J:$J,[1]Up!$D:$D,D268)</f>
        <v>0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>
        <f>SUMIFS([1]Up!$J:$J,[1]Up!$D:$D,D269)</f>
        <v>0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>
        <f>SUMIFS([1]Up!$J:$J,[1]Up!$D:$D,D270)</f>
        <v>0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>
        <f>SUMIFS([1]Up!$J:$J,[1]Up!$D:$D,D271)</f>
        <v>0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>
        <f>SUMIFS([1]Up!$J:$J,[1]Up!$D:$D,D272)</f>
        <v>0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>
        <f>SUMIFS([1]Up!$J:$J,[1]Up!$D:$D,D273)</f>
        <v>0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>
        <f>SUMIFS([1]Up!$J:$J,[1]Up!$D:$D,D274)</f>
        <v>0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>
        <f>SUMIFS([1]Up!$J:$J,[1]Up!$D:$D,D275)</f>
        <v>0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>
        <f>SUMIFS([1]Up!$J:$J,[1]Up!$D:$D,D276)</f>
        <v>0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>
        <f>SUMIFS([1]Up!$J:$J,[1]Up!$D:$D,D277)</f>
        <v>0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>
        <f>SUMIFS([1]Up!$J:$J,[1]Up!$D:$D,D278)</f>
        <v>0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>
        <f>SUMIFS([1]Up!$J:$J,[1]Up!$D:$D,D279)</f>
        <v>0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>
        <f>SUMIFS([1]Up!$J:$J,[1]Up!$D:$D,D280)</f>
        <v>0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>
        <f>SUMIFS([1]Up!$J:$J,[1]Up!$D:$D,D281)</f>
        <v>0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>
        <f>SUMIFS([1]Up!$J:$J,[1]Up!$D:$D,D282)</f>
        <v>0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>
        <f>SUMIFS([1]Up!$J:$J,[1]Up!$D:$D,D283)</f>
        <v>0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>
        <f>SUMIFS([1]Up!$J:$J,[1]Up!$D:$D,D284)</f>
        <v>0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>
        <f>SUMIFS([1]Up!$J:$J,[1]Up!$D:$D,D285)</f>
        <v>0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>
        <f>SUMIFS([1]Up!$J:$J,[1]Up!$D:$D,D286)</f>
        <v>0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>
        <f>SUMIFS([1]Up!$J:$J,[1]Up!$D:$D,D287)</f>
        <v>0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>
        <f>SUMIFS([1]Up!$J:$J,[1]Up!$D:$D,D288)</f>
        <v>0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>
        <f>SUMIFS([1]Up!$J:$J,[1]Up!$D:$D,D289)</f>
        <v>0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>
        <f>SUMIFS([1]Up!$J:$J,[1]Up!$D:$D,D290)</f>
        <v>0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>
        <f>SUMIFS([1]Up!$J:$J,[1]Up!$D:$D,D291)</f>
        <v>0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>
        <f>SUMIFS([1]Up!$J:$J,[1]Up!$D:$D,D292)</f>
        <v>0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>
        <f>SUMIFS([1]Up!$J:$J,[1]Up!$D:$D,D293)</f>
        <v>0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>
        <f>SUMIFS([1]Up!$J:$J,[1]Up!$D:$D,D294)</f>
        <v>0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>
        <f>SUMIFS([1]Up!$J:$J,[1]Up!$D:$D,D295)</f>
        <v>0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>
        <f>SUMIFS([1]Up!$J:$J,[1]Up!$D:$D,D296)</f>
        <v>0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>
        <f>SUMIFS([1]Up!$J:$J,[1]Up!$D:$D,D297)</f>
        <v>0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>
        <f>SUMIFS([1]Up!$J:$J,[1]Up!$D:$D,D298)</f>
        <v>0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>
        <f>SUMIFS([1]Up!$J:$J,[1]Up!$D:$D,D299)</f>
        <v>0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>
        <f>SUMIFS([1]Up!$J:$J,[1]Up!$D:$D,D300)</f>
        <v>0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>
        <f>SUMIFS([1]Up!$J:$J,[1]Up!$D:$D,D301)</f>
        <v>0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>
        <f>SUMIFS([1]Up!$J:$J,[1]Up!$D:$D,D302)</f>
        <v>0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>
        <f>SUMIFS([1]Up!$J:$J,[1]Up!$D:$D,D303)</f>
        <v>0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>
        <f>SUMIFS([1]Up!$J:$J,[1]Up!$D:$D,D304)</f>
        <v>0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>
        <f>SUMIFS([1]Up!$J:$J,[1]Up!$D:$D,D305)</f>
        <v>0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>
        <f>SUMIFS([1]Up!$J:$J,[1]Up!$D:$D,D306)</f>
        <v>0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>
        <f>SUMIFS([1]Up!$J:$J,[1]Up!$D:$D,D307)</f>
        <v>0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>
        <f>SUMIFS([1]Up!$J:$J,[1]Up!$D:$D,D308)</f>
        <v>0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>
        <f>SUMIFS([1]Up!$J:$J,[1]Up!$D:$D,D309)</f>
        <v>0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>
        <f>SUMIFS([1]Up!$J:$J,[1]Up!$D:$D,D310)</f>
        <v>0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>
        <f>SUMIFS([1]Up!$J:$J,[1]Up!$D:$D,D311)</f>
        <v>0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>
        <f>SUMIFS([1]Up!$J:$J,[1]Up!$D:$D,D312)</f>
        <v>0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>
        <f>SUMIFS([1]Up!$J:$J,[1]Up!$D:$D,D313)</f>
        <v>0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>
        <f>SUMIFS([1]Up!$J:$J,[1]Up!$D:$D,D314)</f>
        <v>0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>
        <f>SUMIFS([1]Up!$J:$J,[1]Up!$D:$D,D315)</f>
        <v>0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>
        <f>SUMIFS([1]Up!$J:$J,[1]Up!$D:$D,D316)</f>
        <v>0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>
        <f>SUMIFS([1]Up!$J:$J,[1]Up!$D:$D,D317)</f>
        <v>0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>
        <f>SUMIFS([1]Up!$J:$J,[1]Up!$D:$D,D318)</f>
        <v>0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>
        <f>SUMIFS([1]Up!$J:$J,[1]Up!$D:$D,D319)</f>
        <v>0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>
        <f>SUMIFS([1]Up!$J:$J,[1]Up!$D:$D,D320)</f>
        <v>0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>
        <f>SUMIFS([1]Up!$J:$J,[1]Up!$D:$D,D321)</f>
        <v>0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>
        <f>SUMIFS([1]Up!$J:$J,[1]Up!$D:$D,D322)</f>
        <v>0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>
        <f>SUMIFS([1]Up!$J:$J,[1]Up!$D:$D,D323)</f>
        <v>0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>
        <f>SUMIFS([1]Up!$J:$J,[1]Up!$D:$D,D324)</f>
        <v>0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>
        <f>SUMIFS([1]Up!$J:$J,[1]Up!$D:$D,D325)</f>
        <v>0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I559"/>
  <sheetViews>
    <sheetView tabSelected="1" zoomScale="115" zoomScaleNormal="115" workbookViewId="0">
      <pane xSplit="13" ySplit="29" topLeftCell="AO30" activePane="bottomRight" state="frozen"/>
      <selection activeCell="AJ30" sqref="AJ30"/>
      <selection pane="topRight" activeCell="AJ30" sqref="AJ30"/>
      <selection pane="bottomLeft" activeCell="AJ30" sqref="AJ30"/>
      <selection pane="bottomRight" activeCell="AV4" sqref="AV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7" width="6.875" style="3" customWidth="1"/>
    <col min="48" max="48" width="7.25" style="3" customWidth="1"/>
    <col min="49" max="49" width="8.625" style="3" customWidth="1"/>
    <col min="50" max="50" width="9.875" style="3" customWidth="1"/>
    <col min="51" max="51" width="8.625" style="3" customWidth="1"/>
    <col min="52" max="52" width="8.75" style="3" customWidth="1"/>
    <col min="53" max="53" width="7.5" style="3" customWidth="1"/>
    <col min="54" max="54" width="11.125" style="3" customWidth="1"/>
    <col min="55" max="56" width="9" style="3" customWidth="1"/>
    <col min="57" max="57" width="8.75" style="3" customWidth="1"/>
    <col min="58" max="58" width="8.625" style="3" customWidth="1"/>
    <col min="59" max="60" width="9" style="3" customWidth="1"/>
    <col min="61" max="16384" width="8.75" style="3"/>
  </cols>
  <sheetData>
    <row r="1" spans="4:48" ht="19.5">
      <c r="D1" s="1" t="s">
        <v>952</v>
      </c>
      <c r="E1" s="2"/>
      <c r="F1" s="2"/>
      <c r="G1" s="2"/>
      <c r="H1" s="2"/>
    </row>
    <row r="2" spans="4:48" ht="13.5" thickBot="1"/>
    <row r="3" spans="4:48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</row>
    <row r="4" spans="4:48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5"/>
    </row>
    <row r="5" spans="4:48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652</v>
      </c>
      <c r="N5" s="30">
        <f>H8</f>
        <v>119090.30670000002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</row>
    <row r="6" spans="4:48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575</v>
      </c>
      <c r="H6" s="26" cm="1">
        <f t="array" ref="H6">SUMPRODUCT(--($C$30:$C$556=$D6),$L$30:$L$556,$J$30:$J$556)</f>
        <v>118013.12000000001</v>
      </c>
      <c r="I6" s="26" cm="1">
        <f t="array" ref="I6">SUMPRODUCT(--($C$30:$C$556=$D6),$M$30:$M$556)</f>
        <v>1167</v>
      </c>
      <c r="J6" s="27" cm="1">
        <f t="array" ref="J6">SUMPRODUCT(--($C$30:$C$556=$D6),$M$30:$M$556,$J$30:$J$556)</f>
        <v>71048.038726114639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</row>
    <row r="7" spans="4:48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8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652</v>
      </c>
      <c r="H8" s="41">
        <f t="shared" si="0"/>
        <v>119090.30670000002</v>
      </c>
      <c r="I8" s="41">
        <f t="shared" si="0"/>
        <v>1441</v>
      </c>
      <c r="J8" s="42">
        <f t="shared" si="0"/>
        <v>74859.356746114645</v>
      </c>
    </row>
    <row r="9" spans="4:48" ht="13.5" hidden="1" outlineLevel="1" thickTop="1"/>
    <row r="10" spans="4:48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8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</row>
    <row r="12" spans="4:48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</row>
    <row r="13" spans="4:48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</row>
    <row r="14" spans="4:48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</row>
    <row r="15" spans="4:48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</row>
    <row r="16" spans="4:48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</row>
    <row r="17" spans="3:60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</row>
    <row r="18" spans="3:60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</row>
    <row r="19" spans="3:60" ht="13.5" hidden="1" outlineLevel="1" thickTop="1"/>
    <row r="20" spans="3:60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0" ht="13.5" hidden="1" outlineLevel="1" thickTop="1">
      <c r="D21" s="63" t="s">
        <v>13</v>
      </c>
      <c r="E21" s="64" t="str" cm="1">
        <f t="array" ref="E21:P21">_xlfn._xlws.SORT(MID(TRANSPOSE(_xlfn.UNIQUE(_xlfn._xlws.FILTER(AY30:AY556,(C30:C556=$D$21)*(M30:M556&lt;&gt;0)))),3,3),,1)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</row>
    <row r="22" spans="3:60" ht="30.75" hidden="1" customHeight="1" outlineLevel="2">
      <c r="D22" s="66" t="s">
        <v>24</v>
      </c>
      <c r="E22" s="67" cm="1">
        <f t="array" ref="E22">SUMPRODUCT(--($C$30:$C$556=$D$21),--($AY$30:$AY$556="PL"&amp;E$21),$J$30:$J$556,$I$30:$I$556)/(7.85*E$21)</f>
        <v>1.1627700920929855</v>
      </c>
      <c r="F22" s="67" cm="1">
        <f t="array" ref="F22">SUMPRODUCT(--($C$30:$C$556=$D$21),--($AY$30:$AY$556="PL"&amp;F$21),$J$30:$J$556,$I$30:$I$556)/(7.85*F$21)</f>
        <v>0.81188959660297255</v>
      </c>
      <c r="G22" s="67" cm="1">
        <f t="array" ref="G22">SUMPRODUCT(--($C$30:$C$556=$D$21),--($AY$30:$AY$556="PL"&amp;G$21),$J$30:$J$556,$I$30:$I$556)/(7.85*G$21)</f>
        <v>2.6751592356687901</v>
      </c>
      <c r="H22" s="67" cm="1">
        <f t="array" ref="H22">SUMPRODUCT(--($C$30:$C$556=$D$21),--($AY$30:$AY$556="PL"&amp;H$21),$J$30:$J$556,$I$30:$I$556)/(7.85*H$21)</f>
        <v>3.8471337579617839</v>
      </c>
      <c r="I22" s="67" cm="1">
        <f t="array" ref="I22">SUMPRODUCT(--($C$30:$C$556=$D$21),--($AY$30:$AY$556="PL"&amp;I$21),$J$30:$J$556,$I$30:$I$556)/(7.85*I$21)</f>
        <v>8.4920382165605055</v>
      </c>
      <c r="J22" s="67" cm="1">
        <f t="array" ref="J22">SUMPRODUCT(--($C$30:$C$556=$D$21),--($AY$30:$AY$556="PL"&amp;J$21),$J$30:$J$556,$I$30:$I$556)/(7.85*J$21)</f>
        <v>0.89171974522292996</v>
      </c>
      <c r="K22" s="67" cm="1">
        <f t="array" ref="K22">SUMPRODUCT(--($C$30:$C$556=$D$21),--($AY$30:$AY$556="PL"&amp;K$21),$J$30:$J$556,$I$30:$I$556)/(7.85*K$21)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</row>
    <row r="23" spans="3:60" ht="21" hidden="1" customHeight="1" outlineLevel="2">
      <c r="D23" s="66" t="s">
        <v>17</v>
      </c>
      <c r="E23" s="69" cm="1">
        <f t="array" ref="E23">SUMPRODUCT(--($C$30:$C$556=$D$21),--($AY$30:$AY$556="PL"&amp;E$21),$I$30:$I$556)</f>
        <v>52</v>
      </c>
      <c r="F23" s="69" cm="1">
        <f t="array" ref="F23">SUMPRODUCT(--($C$30:$C$556=$D$21),--($AY$30:$AY$556="PL"&amp;F$21),$I$30:$I$556)</f>
        <v>35</v>
      </c>
      <c r="G23" s="69" cm="1">
        <f t="array" ref="G23">SUMPRODUCT(--($C$30:$C$556=$D$21),--($AY$30:$AY$556="PL"&amp;G$21),$I$30:$I$556)</f>
        <v>111</v>
      </c>
      <c r="H23" s="69" cm="1">
        <f t="array" ref="H23">SUMPRODUCT(--($C$30:$C$556=$D$21),--($AY$30:$AY$556="PL"&amp;H$21),$I$30:$I$556)</f>
        <v>214</v>
      </c>
      <c r="I23" s="69" cm="1">
        <f t="array" ref="I23">SUMPRODUCT(--($C$30:$C$556=$D$21),--($AY$30:$AY$556="PL"&amp;I$21),$I$30:$I$556)</f>
        <v>296</v>
      </c>
      <c r="J23" s="69" cm="1">
        <f t="array" ref="J23">SUMPRODUCT(--($C$30:$C$556=$D$21),--($AY$30:$AY$556="PL"&amp;J$21),$I$30:$I$556)</f>
        <v>32</v>
      </c>
      <c r="K23" s="69" cm="1">
        <f t="array" ref="K23">SUMPRODUCT(--($C$30:$C$556=$D$21),--($AY$30:$AY$556="PL"&amp;K$21),$I$30:$I$556)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</row>
    <row r="24" spans="3:60" ht="25.9" hidden="1" customHeight="1" outlineLevel="2">
      <c r="D24" s="66" t="s">
        <v>25</v>
      </c>
      <c r="E24" s="67" cm="1">
        <f t="array" ref="E24">SUMPRODUCT(--($C$30:$C$556=$D$21),--($AY$30:$AY$556="PL"&amp;E$21),$J$30:$J$556,$M$30:$M$556)/(7.85*E$21)</f>
        <v>0.99971276725222114</v>
      </c>
      <c r="F24" s="67" cm="1">
        <f t="array" ref="F24">SUMPRODUCT(--($C$30:$C$556=$D$21),--($AY$30:$AY$556="PL"&amp;F$21),$J$30:$J$556,$M$30:$M$556)/(7.85*F$21)</f>
        <v>0.72186836518046715</v>
      </c>
      <c r="G24" s="67" cm="1">
        <f t="array" ref="G24">SUMPRODUCT(--($C$30:$C$556=$D$21),--($AY$30:$AY$556="PL"&amp;G$21),$J$30:$J$556,$M$30:$M$556)/(7.85*G$21)</f>
        <v>2.6751592356687901</v>
      </c>
      <c r="H24" s="67" cm="1">
        <f t="array" ref="H24">SUMPRODUCT(--($C$30:$C$556=$D$21),--($AY$30:$AY$556="PL"&amp;H$21),$J$30:$J$556,$M$30:$M$556)/(7.85*H$21)</f>
        <v>3.8471337579617839</v>
      </c>
      <c r="I24" s="67" cm="1">
        <f t="array" ref="I24">SUMPRODUCT(--($C$30:$C$556=$D$21),--($AY$30:$AY$556="PL"&amp;I$21),$J$30:$J$556,$M$30:$M$556)/(7.85*I$21)</f>
        <v>6.3288216560509554</v>
      </c>
      <c r="J24" s="67" cm="1">
        <f t="array" ref="J24">SUMPRODUCT(--($C$30:$C$556=$D$21),--($AY$30:$AY$556="PL"&amp;J$21),$J$30:$J$556,$M$30:$M$556)/(7.85*J$21)</f>
        <v>0.89171974522292996</v>
      </c>
      <c r="K24" s="67" cm="1">
        <f t="array" ref="K24">SUMPRODUCT(--($C$30:$C$556=$D$21),--($AY$30:$AY$556="PL"&amp;K$21),$J$30:$J$556,$M$30:$M$556)/(7.85*K$21)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</row>
    <row r="25" spans="3:60" ht="19.5" hidden="1" customHeight="1" outlineLevel="2">
      <c r="D25" s="71" t="s">
        <v>26</v>
      </c>
      <c r="E25" s="69" cm="1">
        <f t="array" ref="E25">SUMPRODUCT(--($C$30:$C$556=$D$21),--($AY$30:$AY$556="PL"&amp;E$21),$M$30:$M$556)</f>
        <v>48</v>
      </c>
      <c r="F25" s="69" cm="1">
        <f t="array" ref="F25">SUMPRODUCT(--($C$30:$C$556=$D$21),--($AY$30:$AY$556="PL"&amp;F$21),$M$30:$M$556)</f>
        <v>34</v>
      </c>
      <c r="G25" s="69" cm="1">
        <f t="array" ref="G25">SUMPRODUCT(--($C$30:$C$556=$D$21),--($AY$30:$AY$556="PL"&amp;G$21),$M$30:$M$556)</f>
        <v>111</v>
      </c>
      <c r="H25" s="69" cm="1">
        <f t="array" ref="H25">SUMPRODUCT(--($C$30:$C$556=$D$21),--($AY$30:$AY$556="PL"&amp;H$21),$M$30:$M$556)</f>
        <v>214</v>
      </c>
      <c r="I25" s="69" cm="1">
        <f t="array" ref="I25">SUMPRODUCT(--($C$30:$C$556=$D$21),--($AY$30:$AY$556="PL"&amp;I$21),$M$30:$M$556)</f>
        <v>223</v>
      </c>
      <c r="J25" s="69" cm="1">
        <f t="array" ref="J25">SUMPRODUCT(--($C$30:$C$556=$D$21),--($AY$30:$AY$556="PL"&amp;J$21),$M$30:$M$556)</f>
        <v>32</v>
      </c>
      <c r="K25" s="69" cm="1">
        <f t="array" ref="K25">SUMPRODUCT(--($C$30:$C$556=$D$21),--($AY$30:$AY$556="PL"&amp;K$21),$M$30:$M$556)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</row>
    <row r="26" spans="3:60" ht="25.9" hidden="1" customHeight="1" outlineLevel="1" collapsed="1" thickBot="1">
      <c r="D26" s="72" t="s">
        <v>27</v>
      </c>
      <c r="E26" s="67" cm="1">
        <f t="array" ref="E26">SUMPRODUCT(--($C$30:$C$556=$D$21),--($AY$30:$AY$556="PL"&amp;E$21),$J$30:$J$556,$M$30:$M$556)</f>
        <v>39.23872611464968</v>
      </c>
      <c r="F26" s="67" cm="1">
        <f t="array" ref="F26">SUMPRODUCT(--($C$30:$C$556=$D$21),--($AY$30:$AY$556="PL"&amp;F$21),$J$30:$J$556,$M$30:$M$556)</f>
        <v>17</v>
      </c>
      <c r="G26" s="67" cm="1">
        <f t="array" ref="G26">SUMPRODUCT(--($C$30:$C$556=$D$21),--($AY$30:$AY$556="PL"&amp;G$21),$J$30:$J$556,$M$30:$M$556)</f>
        <v>42</v>
      </c>
      <c r="H26" s="67" cm="1">
        <f t="array" ref="H26">SUMPRODUCT(--($C$30:$C$556=$D$21),--($AY$30:$AY$556="PL"&amp;H$21),$J$30:$J$556,$M$30:$M$556)</f>
        <v>30.200000000000003</v>
      </c>
      <c r="I26" s="67" cm="1">
        <f t="array" ref="I26">SUMPRODUCT(--($C$30:$C$556=$D$21),--($AY$30:$AY$556="PL"&amp;I$21),$J$30:$J$556,$M$30:$M$556)</f>
        <v>794.9</v>
      </c>
      <c r="J26" s="67" cm="1">
        <f t="array" ref="J26">SUMPRODUCT(--($C$30:$C$556=$D$21),--($AY$30:$AY$556="PL"&amp;J$21),$J$30:$J$556,$M$30:$M$556)</f>
        <v>280</v>
      </c>
      <c r="K26" s="67" cm="1">
        <f t="array" ref="K26">SUMPRODUCT(--($C$30:$C$556=$D$21),--($AY$30:$AY$556="PL"&amp;K$21),$J$30:$J$556,$M$30:$M$556)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</row>
    <row r="27" spans="3:60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316.88</v>
      </c>
      <c r="AW27" s="73" cm="1">
        <f t="array" ref="AW27">SUMPRODUCT($J$30:$J$556,AW30:AW556,--(AW30:AW556&lt;&gt;""))</f>
        <v>404.76576</v>
      </c>
    </row>
    <row r="28" spans="3:6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>SUM(AV30:AV556)</f>
        <v>7</v>
      </c>
      <c r="AW28" s="75">
        <f t="shared" ref="AW28" si="14">SUM(AW30:AW556)</f>
        <v>31</v>
      </c>
      <c r="AX28" s="74"/>
      <c r="AY28" s="74"/>
    </row>
    <row r="29" spans="3:60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46298</v>
      </c>
      <c r="AV29" s="78" t="s">
        <v>34</v>
      </c>
      <c r="AW29" s="77" t="s">
        <v>35</v>
      </c>
      <c r="AX29" s="77" t="s">
        <v>36</v>
      </c>
      <c r="AY29" s="77" t="s">
        <v>37</v>
      </c>
      <c r="AZ29" s="80" t="s">
        <v>38</v>
      </c>
      <c r="BA29" s="80" t="s">
        <v>39</v>
      </c>
      <c r="BB29" s="80" t="s">
        <v>40</v>
      </c>
      <c r="BC29" s="80" t="s">
        <v>41</v>
      </c>
      <c r="BD29" s="80" t="s">
        <v>42</v>
      </c>
      <c r="BE29" s="80" t="s">
        <v>43</v>
      </c>
      <c r="BF29" s="81" t="s">
        <v>44</v>
      </c>
      <c r="BG29" s="80"/>
      <c r="BH29" s="80"/>
    </row>
    <row r="30" spans="3:60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5">MIN(SUM(N30:AV30),I30)</f>
        <v>0</v>
      </c>
      <c r="M30" s="26">
        <f t="shared" ref="M30:M284" si="16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67">
        <f>SUMIFS([1]Up!$J:$J,[1]Up!$D:$D,D30)</f>
        <v>0</v>
      </c>
      <c r="AX30" s="82"/>
      <c r="AY30" s="82" t="str">
        <f t="shared" ref="AY30:AY93" si="17">IFERROR(IF(C30="Plate",LEFT(E30,FIND("*",E30,1)-1),""),IF(C30="Plate",LEFT(E30,FIND("x",E30,1)-1),""))</f>
        <v>PL5</v>
      </c>
      <c r="AZ30" s="53" t="str">
        <f t="shared" ref="AZ30:AZ93" si="18">IF(ROUND(SUM(N30:AV30)-I30,0)&gt;0,"Thừa "&amp;SUM(N30:AV30)-I30,"")</f>
        <v/>
      </c>
      <c r="BA30" s="53" t="s">
        <v>148</v>
      </c>
      <c r="BB30" s="53" t="s">
        <v>956</v>
      </c>
      <c r="BC30" s="53" t="s">
        <v>957</v>
      </c>
      <c r="BD30" s="53" t="s">
        <v>958</v>
      </c>
      <c r="BE30" s="53">
        <v>8</v>
      </c>
      <c r="BF30" s="83" t="s">
        <v>2223</v>
      </c>
      <c r="BG30" s="53"/>
      <c r="BH30" s="53"/>
    </row>
    <row r="31" spans="3:60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5"/>
        <v>0</v>
      </c>
      <c r="M31" s="26">
        <f t="shared" si="16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67">
        <f>SUMIFS([1]Up!$J:$J,[1]Up!$D:$D,D31)</f>
        <v>0</v>
      </c>
      <c r="AX31" s="82"/>
      <c r="AY31" s="82" t="str">
        <f t="shared" si="17"/>
        <v>PL3</v>
      </c>
      <c r="AZ31" s="53" t="str">
        <f t="shared" si="18"/>
        <v/>
      </c>
      <c r="BA31" s="53" t="s">
        <v>148</v>
      </c>
      <c r="BB31" s="53" t="s">
        <v>961</v>
      </c>
      <c r="BC31" s="53" t="s">
        <v>962</v>
      </c>
      <c r="BD31" s="53" t="s">
        <v>963</v>
      </c>
      <c r="BE31" s="53">
        <v>8</v>
      </c>
      <c r="BF31" s="83" t="s">
        <v>2223</v>
      </c>
      <c r="BG31" s="53"/>
      <c r="BH31" s="53"/>
    </row>
    <row r="32" spans="3:60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5"/>
        <v>0</v>
      </c>
      <c r="M32" s="26">
        <f t="shared" si="16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67">
        <f>SUMIFS([1]Up!$J:$J,[1]Up!$D:$D,D32)</f>
        <v>0</v>
      </c>
      <c r="AX32" s="82"/>
      <c r="AY32" s="82" t="str">
        <f t="shared" si="17"/>
        <v>PL2</v>
      </c>
      <c r="AZ32" s="53" t="str">
        <f t="shared" si="18"/>
        <v/>
      </c>
      <c r="BA32" s="53" t="s">
        <v>148</v>
      </c>
      <c r="BB32" s="53" t="s">
        <v>966</v>
      </c>
      <c r="BC32" s="53" t="s">
        <v>967</v>
      </c>
      <c r="BD32" s="53" t="s">
        <v>968</v>
      </c>
      <c r="BE32" s="53">
        <v>24</v>
      </c>
      <c r="BF32" s="83" t="s">
        <v>2223</v>
      </c>
      <c r="BG32" s="53"/>
      <c r="BH32" s="53"/>
    </row>
    <row r="33" spans="3:61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5"/>
        <v>0</v>
      </c>
      <c r="M33" s="26">
        <f t="shared" si="16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67">
        <f>SUMIFS([1]Up!$J:$J,[1]Up!$D:$D,D33)</f>
        <v>0</v>
      </c>
      <c r="AX33" s="82"/>
      <c r="AY33" s="82" t="str">
        <f t="shared" si="17"/>
        <v>PL1</v>
      </c>
      <c r="AZ33" s="53" t="str">
        <f t="shared" si="18"/>
        <v/>
      </c>
      <c r="BA33" s="53" t="s">
        <v>148</v>
      </c>
      <c r="BB33" s="53" t="s">
        <v>971</v>
      </c>
      <c r="BC33" s="53" t="s">
        <v>972</v>
      </c>
      <c r="BD33" s="53" t="s">
        <v>973</v>
      </c>
      <c r="BE33" s="53">
        <v>48</v>
      </c>
      <c r="BF33" s="83" t="s">
        <v>2223</v>
      </c>
      <c r="BG33" s="53"/>
      <c r="BH33" s="53"/>
    </row>
    <row r="34" spans="3:61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5"/>
        <v>0</v>
      </c>
      <c r="M34" s="26">
        <f t="shared" si="16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67">
        <f>SUMIFS([1]Up!$J:$J,[1]Up!$D:$D,D34)</f>
        <v>0</v>
      </c>
      <c r="AX34" s="82"/>
      <c r="AY34" s="82" t="str">
        <f t="shared" si="17"/>
        <v/>
      </c>
      <c r="AZ34" s="53" t="str">
        <f t="shared" si="18"/>
        <v/>
      </c>
      <c r="BA34" s="53" t="s">
        <v>977</v>
      </c>
      <c r="BB34" s="53"/>
      <c r="BC34" s="53"/>
      <c r="BD34" s="53"/>
      <c r="BE34" s="53"/>
      <c r="BF34" s="83"/>
      <c r="BG34" s="53"/>
      <c r="BH34" s="53"/>
    </row>
    <row r="35" spans="3:61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5"/>
        <v>0</v>
      </c>
      <c r="M35" s="26">
        <f t="shared" si="16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67">
        <f>SUMIFS([1]Up!$J:$J,[1]Up!$D:$D,D35)</f>
        <v>0</v>
      </c>
      <c r="AX35" s="82"/>
      <c r="AY35" s="82" t="str">
        <f t="shared" si="17"/>
        <v/>
      </c>
      <c r="AZ35" s="53" t="str">
        <f t="shared" si="18"/>
        <v/>
      </c>
      <c r="BA35" s="53" t="s">
        <v>154</v>
      </c>
      <c r="BB35" s="53"/>
      <c r="BC35" s="53" t="s">
        <v>981</v>
      </c>
      <c r="BD35" s="53"/>
      <c r="BE35" s="53"/>
      <c r="BF35" s="83"/>
      <c r="BG35" s="53"/>
      <c r="BH35" s="53"/>
    </row>
    <row r="36" spans="3:61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5"/>
        <v>0</v>
      </c>
      <c r="M36" s="26">
        <f t="shared" si="16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67">
        <f>SUMIFS([1]Up!$J:$J,[1]Up!$D:$D,D36)</f>
        <v>0</v>
      </c>
      <c r="AX36" s="82"/>
      <c r="AY36" s="82" t="str">
        <f t="shared" si="17"/>
        <v/>
      </c>
      <c r="AZ36" s="53" t="str">
        <f t="shared" si="18"/>
        <v/>
      </c>
      <c r="BA36" s="53" t="s">
        <v>977</v>
      </c>
      <c r="BB36" s="53"/>
      <c r="BC36" s="53"/>
      <c r="BD36" s="53"/>
      <c r="BE36" s="53"/>
      <c r="BF36" s="83"/>
      <c r="BG36" s="53"/>
      <c r="BH36" s="53"/>
    </row>
    <row r="37" spans="3:61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5"/>
        <v>1</v>
      </c>
      <c r="M37" s="26">
        <f t="shared" si="16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67">
        <f>SUMIFS([1]Up!$J:$J,[1]Up!$D:$D,D37)</f>
        <v>0</v>
      </c>
      <c r="AX37" s="82"/>
      <c r="AY37" s="82" t="str">
        <f t="shared" si="17"/>
        <v>PL16</v>
      </c>
      <c r="AZ37" s="53" t="str">
        <f t="shared" si="18"/>
        <v/>
      </c>
      <c r="BA37" s="53" t="s">
        <v>154</v>
      </c>
      <c r="BB37" s="53" t="s">
        <v>988</v>
      </c>
      <c r="BC37" s="53" t="s">
        <v>989</v>
      </c>
      <c r="BD37" s="53" t="s">
        <v>990</v>
      </c>
      <c r="BE37" s="53">
        <v>4</v>
      </c>
      <c r="BF37" s="83" t="s">
        <v>2223</v>
      </c>
      <c r="BG37" s="53"/>
      <c r="BH37" s="53"/>
    </row>
    <row r="38" spans="3:61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5"/>
        <v>0</v>
      </c>
      <c r="M38" s="26">
        <f t="shared" si="16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67">
        <f>SUMIFS([1]Up!$J:$J,[1]Up!$D:$D,D38)</f>
        <v>0</v>
      </c>
      <c r="AX38" s="82"/>
      <c r="AY38" s="82" t="str">
        <f t="shared" si="17"/>
        <v>PL40</v>
      </c>
      <c r="AZ38" s="53" t="str">
        <f t="shared" si="18"/>
        <v/>
      </c>
      <c r="BA38" s="53" t="s">
        <v>148</v>
      </c>
      <c r="BB38" s="53" t="s">
        <v>993</v>
      </c>
      <c r="BC38" s="53" t="s">
        <v>994</v>
      </c>
      <c r="BD38" s="53" t="s">
        <v>995</v>
      </c>
      <c r="BE38" s="53">
        <v>4</v>
      </c>
      <c r="BF38" s="83" t="s">
        <v>2223</v>
      </c>
      <c r="BG38" s="53"/>
      <c r="BH38" s="53"/>
    </row>
    <row r="39" spans="3:61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5"/>
        <v>0</v>
      </c>
      <c r="M39" s="26">
        <f t="shared" si="16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67">
        <f>SUMIFS([1]Up!$J:$J,[1]Up!$D:$D,D39)</f>
        <v>0</v>
      </c>
      <c r="AX39" s="82"/>
      <c r="AY39" s="82" t="str">
        <f t="shared" si="17"/>
        <v>PL40</v>
      </c>
      <c r="AZ39" s="53" t="str">
        <f t="shared" si="18"/>
        <v/>
      </c>
      <c r="BA39" s="53" t="s">
        <v>148</v>
      </c>
      <c r="BB39" s="53" t="s">
        <v>993</v>
      </c>
      <c r="BC39" s="53" t="s">
        <v>994</v>
      </c>
      <c r="BD39" s="53" t="s">
        <v>995</v>
      </c>
      <c r="BE39" s="53">
        <v>4</v>
      </c>
      <c r="BF39" s="83" t="s">
        <v>2223</v>
      </c>
      <c r="BG39" s="53"/>
      <c r="BH39" s="53"/>
    </row>
    <row r="40" spans="3:61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5"/>
        <v>0</v>
      </c>
      <c r="M40" s="26">
        <f t="shared" si="16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67">
        <f>SUMIFS([1]Up!$J:$J,[1]Up!$D:$D,D40)</f>
        <v>0</v>
      </c>
      <c r="AX40" s="82"/>
      <c r="AY40" s="82" t="str">
        <f t="shared" si="17"/>
        <v>PL1</v>
      </c>
      <c r="AZ40" s="53" t="str">
        <f t="shared" si="18"/>
        <v/>
      </c>
      <c r="BA40" s="53" t="s">
        <v>148</v>
      </c>
      <c r="BB40" s="53" t="s">
        <v>971</v>
      </c>
      <c r="BC40" s="53" t="s">
        <v>972</v>
      </c>
      <c r="BD40" s="84" t="s">
        <v>1000</v>
      </c>
      <c r="BE40" s="53">
        <v>10</v>
      </c>
      <c r="BF40" s="83" t="s">
        <v>2224</v>
      </c>
      <c r="BG40" s="53"/>
      <c r="BH40" s="53"/>
      <c r="BI40" s="238"/>
    </row>
    <row r="41" spans="3:61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5"/>
        <v>0</v>
      </c>
      <c r="M41" s="26">
        <f t="shared" si="16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67">
        <f>SUMIFS([1]Up!$J:$J,[1]Up!$D:$D,D41)</f>
        <v>0</v>
      </c>
      <c r="AX41" s="82"/>
      <c r="AY41" s="82" t="str">
        <f t="shared" si="17"/>
        <v/>
      </c>
      <c r="AZ41" s="53" t="str">
        <f t="shared" si="18"/>
        <v/>
      </c>
      <c r="BA41" s="53" t="s">
        <v>977</v>
      </c>
      <c r="BB41" s="53"/>
      <c r="BC41" s="53"/>
      <c r="BD41" s="53"/>
      <c r="BE41" s="53"/>
      <c r="BF41" s="83"/>
      <c r="BG41" s="53"/>
      <c r="BH41" s="53"/>
    </row>
    <row r="42" spans="3:61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5"/>
        <v>0</v>
      </c>
      <c r="M42" s="26">
        <f t="shared" si="16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67">
        <f>SUMIFS([1]Up!$J:$J,[1]Up!$D:$D,D42)</f>
        <v>0</v>
      </c>
      <c r="AX42" s="82"/>
      <c r="AY42" s="82" t="str">
        <f t="shared" si="17"/>
        <v>PL2</v>
      </c>
      <c r="AZ42" s="53" t="str">
        <f t="shared" si="18"/>
        <v/>
      </c>
      <c r="BA42" s="53" t="s">
        <v>154</v>
      </c>
      <c r="BB42" s="53" t="s">
        <v>1005</v>
      </c>
      <c r="BC42" s="53" t="s">
        <v>1006</v>
      </c>
      <c r="BD42" s="53"/>
      <c r="BE42" s="53"/>
      <c r="BF42" s="83"/>
      <c r="BG42" s="53"/>
      <c r="BH42" s="53"/>
    </row>
    <row r="43" spans="3:61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5"/>
        <v>0</v>
      </c>
      <c r="M43" s="26">
        <f t="shared" si="16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67">
        <f>SUMIFS([1]Up!$J:$J,[1]Up!$D:$D,D43)</f>
        <v>0</v>
      </c>
      <c r="AX43" s="82"/>
      <c r="AY43" s="82" t="str">
        <f t="shared" si="17"/>
        <v>PL2</v>
      </c>
      <c r="AZ43" s="53" t="str">
        <f t="shared" si="18"/>
        <v/>
      </c>
      <c r="BA43" s="53" t="s">
        <v>154</v>
      </c>
      <c r="BB43" s="53" t="s">
        <v>966</v>
      </c>
      <c r="BC43" s="53" t="s">
        <v>967</v>
      </c>
      <c r="BD43" s="53" t="s">
        <v>968</v>
      </c>
      <c r="BE43" s="53">
        <v>4</v>
      </c>
      <c r="BF43" s="83" t="s">
        <v>2223</v>
      </c>
      <c r="BG43" s="53"/>
      <c r="BH43" s="53"/>
    </row>
    <row r="44" spans="3:61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5"/>
        <v>2</v>
      </c>
      <c r="M44" s="26">
        <f t="shared" si="16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67">
        <f>SUMIFS([1]Up!$J:$J,[1]Up!$D:$D,D44)</f>
        <v>0</v>
      </c>
      <c r="AX44" s="82"/>
      <c r="AY44" s="82" t="str">
        <f t="shared" si="17"/>
        <v>PL8</v>
      </c>
      <c r="AZ44" s="53" t="str">
        <f t="shared" si="18"/>
        <v/>
      </c>
      <c r="BA44" s="53" t="s">
        <v>154</v>
      </c>
      <c r="BB44" s="53" t="s">
        <v>1012</v>
      </c>
      <c r="BC44" s="53" t="s">
        <v>1013</v>
      </c>
      <c r="BD44" s="53" t="s">
        <v>1014</v>
      </c>
      <c r="BE44" s="53">
        <v>1</v>
      </c>
      <c r="BF44" s="83">
        <v>46088</v>
      </c>
      <c r="BG44" s="53"/>
      <c r="BH44" s="53"/>
    </row>
    <row r="45" spans="3:61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67">
        <f>SUMIFS([1]Up!$J:$J,[1]Up!$D:$D,D45)</f>
        <v>0</v>
      </c>
      <c r="AX45" s="82"/>
      <c r="AY45" s="82" t="str">
        <f t="shared" si="17"/>
        <v/>
      </c>
      <c r="AZ45" s="53" t="str">
        <f t="shared" si="18"/>
        <v/>
      </c>
      <c r="BA45" s="53" t="s">
        <v>977</v>
      </c>
      <c r="BB45" s="53"/>
      <c r="BC45" s="53"/>
      <c r="BD45" s="53"/>
      <c r="BE45" s="53"/>
      <c r="BF45" s="83"/>
      <c r="BG45" s="53"/>
      <c r="BH45" s="53"/>
    </row>
    <row r="46" spans="3:61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5"/>
        <v>0</v>
      </c>
      <c r="M46" s="26">
        <f t="shared" si="16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67">
        <f>SUMIFS([1]Up!$J:$J,[1]Up!$D:$D,D46)</f>
        <v>0</v>
      </c>
      <c r="AX46" s="82"/>
      <c r="AY46" s="82" t="str">
        <f t="shared" si="17"/>
        <v>PL12</v>
      </c>
      <c r="AZ46" s="53" t="str">
        <f t="shared" si="18"/>
        <v/>
      </c>
      <c r="BA46" s="53" t="s">
        <v>154</v>
      </c>
      <c r="BB46" s="53" t="s">
        <v>1021</v>
      </c>
      <c r="BC46" s="53" t="s">
        <v>1022</v>
      </c>
      <c r="BD46" s="53" t="s">
        <v>1023</v>
      </c>
      <c r="BE46" s="53">
        <v>1</v>
      </c>
      <c r="BF46" s="83">
        <v>46088</v>
      </c>
      <c r="BG46" s="53"/>
      <c r="BH46" s="53"/>
    </row>
    <row r="47" spans="3:61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5"/>
        <v>1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67">
        <f>SUMIFS([1]Up!$J:$J,[1]Up!$D:$D,D47)</f>
        <v>0</v>
      </c>
      <c r="AX47" s="82"/>
      <c r="AY47" s="82" t="str">
        <f t="shared" si="17"/>
        <v/>
      </c>
      <c r="AZ47" s="53" t="str">
        <f t="shared" si="18"/>
        <v/>
      </c>
      <c r="BA47" s="53" t="s">
        <v>148</v>
      </c>
      <c r="BB47" s="53" t="s">
        <v>1027</v>
      </c>
      <c r="BC47" s="53" t="s">
        <v>1028</v>
      </c>
      <c r="BD47" s="53" t="s">
        <v>1029</v>
      </c>
      <c r="BE47" s="53">
        <v>1</v>
      </c>
      <c r="BF47" s="83">
        <v>46362</v>
      </c>
      <c r="BG47" s="53"/>
      <c r="BH47" s="53"/>
    </row>
    <row r="48" spans="3:61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5"/>
        <v>1</v>
      </c>
      <c r="M48" s="26">
        <f t="shared" si="16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67">
        <f>SUMIFS([1]Up!$J:$J,[1]Up!$D:$D,D48)</f>
        <v>0</v>
      </c>
      <c r="AX48" s="82"/>
      <c r="AY48" s="82" t="str">
        <f t="shared" si="17"/>
        <v>PL12</v>
      </c>
      <c r="AZ48" s="53" t="str">
        <f t="shared" si="18"/>
        <v/>
      </c>
      <c r="BA48" s="53" t="s">
        <v>148</v>
      </c>
      <c r="BB48" s="53" t="s">
        <v>1021</v>
      </c>
      <c r="BC48" s="53" t="s">
        <v>1022</v>
      </c>
      <c r="BD48" s="53" t="s">
        <v>1023</v>
      </c>
      <c r="BE48" s="53">
        <v>1</v>
      </c>
      <c r="BF48" s="83">
        <v>46088</v>
      </c>
      <c r="BG48" s="53"/>
      <c r="BH48" s="53"/>
    </row>
    <row r="49" spans="3:60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5"/>
        <v>1</v>
      </c>
      <c r="M49" s="26">
        <f t="shared" si="16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67">
        <f>SUMIFS([1]Up!$J:$J,[1]Up!$D:$D,D49)</f>
        <v>0</v>
      </c>
      <c r="AX49" s="82"/>
      <c r="AY49" s="82" t="str">
        <f t="shared" si="17"/>
        <v/>
      </c>
      <c r="AZ49" s="53" t="str">
        <f t="shared" si="18"/>
        <v/>
      </c>
      <c r="BA49" s="53" t="s">
        <v>154</v>
      </c>
      <c r="BB49" s="53" t="s">
        <v>1034</v>
      </c>
      <c r="BC49" s="53" t="s">
        <v>1033</v>
      </c>
      <c r="BD49" s="53" t="s">
        <v>1035</v>
      </c>
      <c r="BE49" s="53">
        <v>1</v>
      </c>
      <c r="BF49" s="83">
        <v>46362</v>
      </c>
      <c r="BG49" s="53"/>
      <c r="BH49" s="53"/>
    </row>
    <row r="50" spans="3:60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67">
        <f>SUMIFS([1]Up!$J:$J,[1]Up!$D:$D,D50)</f>
        <v>0</v>
      </c>
      <c r="AX50" s="82"/>
      <c r="AY50" s="82" t="str">
        <f t="shared" si="17"/>
        <v/>
      </c>
      <c r="AZ50" s="53" t="str">
        <f t="shared" si="18"/>
        <v/>
      </c>
      <c r="BA50" s="53" t="s">
        <v>977</v>
      </c>
      <c r="BB50" s="53"/>
      <c r="BC50" s="53"/>
      <c r="BD50" s="53"/>
      <c r="BE50" s="53"/>
      <c r="BF50" s="83"/>
      <c r="BG50" s="53"/>
      <c r="BH50" s="53"/>
    </row>
    <row r="51" spans="3:60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5"/>
        <v>2</v>
      </c>
      <c r="M51" s="26">
        <f t="shared" si="16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67">
        <f>SUMIFS([1]Up!$J:$J,[1]Up!$D:$D,D51)</f>
        <v>0</v>
      </c>
      <c r="AX51" s="82"/>
      <c r="AY51" s="82" t="str">
        <f t="shared" si="17"/>
        <v/>
      </c>
      <c r="AZ51" s="53" t="str">
        <f t="shared" si="18"/>
        <v/>
      </c>
      <c r="BA51" s="53" t="s">
        <v>154</v>
      </c>
      <c r="BB51" s="53" t="s">
        <v>1042</v>
      </c>
      <c r="BC51" s="53" t="s">
        <v>1041</v>
      </c>
      <c r="BD51" s="53" t="s">
        <v>1043</v>
      </c>
      <c r="BE51" s="53">
        <v>2</v>
      </c>
      <c r="BF51" s="83">
        <v>46362</v>
      </c>
      <c r="BG51" s="53"/>
      <c r="BH51" s="53"/>
    </row>
    <row r="52" spans="3:60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5"/>
        <v>1</v>
      </c>
      <c r="M52" s="26">
        <f t="shared" si="16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67">
        <f>SUMIFS([1]Up!$J:$J,[1]Up!$D:$D,D52)</f>
        <v>0</v>
      </c>
      <c r="AX52" s="82"/>
      <c r="AY52" s="82" t="str">
        <f t="shared" si="17"/>
        <v/>
      </c>
      <c r="AZ52" s="53" t="str">
        <f t="shared" si="18"/>
        <v/>
      </c>
      <c r="BA52" s="53" t="s">
        <v>154</v>
      </c>
      <c r="BB52" s="53" t="s">
        <v>1046</v>
      </c>
      <c r="BC52" s="53" t="s">
        <v>1045</v>
      </c>
      <c r="BD52" s="53" t="s">
        <v>1047</v>
      </c>
      <c r="BE52" s="53">
        <v>1</v>
      </c>
      <c r="BF52" s="83">
        <v>46362</v>
      </c>
      <c r="BG52" s="53"/>
      <c r="BH52" s="53"/>
    </row>
    <row r="53" spans="3:60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5"/>
        <v>1</v>
      </c>
      <c r="M53" s="26">
        <f t="shared" si="16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67">
        <f>SUMIFS([1]Up!$J:$J,[1]Up!$D:$D,D53)</f>
        <v>0</v>
      </c>
      <c r="AX53" s="82"/>
      <c r="AY53" s="82" t="str">
        <f t="shared" si="17"/>
        <v/>
      </c>
      <c r="AZ53" s="53" t="str">
        <f t="shared" si="18"/>
        <v/>
      </c>
      <c r="BA53" s="53" t="s">
        <v>148</v>
      </c>
      <c r="BB53" s="53" t="s">
        <v>1051</v>
      </c>
      <c r="BC53" s="53" t="s">
        <v>1049</v>
      </c>
      <c r="BD53" s="53" t="s">
        <v>1052</v>
      </c>
      <c r="BE53" s="53">
        <v>1</v>
      </c>
      <c r="BF53" s="83">
        <v>46362</v>
      </c>
      <c r="BG53" s="53"/>
      <c r="BH53" s="53"/>
    </row>
    <row r="54" spans="3:60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5"/>
        <v>0</v>
      </c>
      <c r="M54" s="26">
        <f t="shared" si="16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67">
        <f>SUMIFS([1]Up!$J:$J,[1]Up!$D:$D,D54)</f>
        <v>0</v>
      </c>
      <c r="AX54" s="82"/>
      <c r="AY54" s="82" t="str">
        <f t="shared" si="17"/>
        <v/>
      </c>
      <c r="AZ54" s="53" t="str">
        <f t="shared" si="18"/>
        <v/>
      </c>
      <c r="BA54" s="53" t="s">
        <v>977</v>
      </c>
      <c r="BB54" s="53"/>
      <c r="BC54" s="53"/>
      <c r="BD54" s="53"/>
      <c r="BE54" s="53"/>
      <c r="BF54" s="83"/>
      <c r="BG54" s="53"/>
      <c r="BH54" s="53"/>
    </row>
    <row r="55" spans="3:60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67">
        <f>SUMIFS([1]Up!$J:$J,[1]Up!$D:$D,D55)</f>
        <v>0</v>
      </c>
      <c r="AX55" s="82"/>
      <c r="AY55" s="82" t="str">
        <f t="shared" si="17"/>
        <v/>
      </c>
      <c r="AZ55" s="53" t="str">
        <f t="shared" si="18"/>
        <v/>
      </c>
      <c r="BA55" s="53" t="s">
        <v>977</v>
      </c>
      <c r="BB55" s="53"/>
      <c r="BC55" s="53"/>
      <c r="BD55" s="53"/>
      <c r="BE55" s="53"/>
      <c r="BF55" s="83"/>
      <c r="BG55" s="53"/>
      <c r="BH55" s="53"/>
    </row>
    <row r="56" spans="3:60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67">
        <f>SUMIFS([1]Up!$J:$J,[1]Up!$D:$D,D56)</f>
        <v>0</v>
      </c>
      <c r="AX56" s="82"/>
      <c r="AY56" s="82" t="str">
        <f t="shared" si="17"/>
        <v>PL30</v>
      </c>
      <c r="AZ56" s="53" t="str">
        <f t="shared" si="18"/>
        <v/>
      </c>
      <c r="BA56" s="53" t="s">
        <v>148</v>
      </c>
      <c r="BB56" s="53" t="s">
        <v>1059</v>
      </c>
      <c r="BC56" s="53" t="s">
        <v>1060</v>
      </c>
      <c r="BD56" s="53" t="s">
        <v>1061</v>
      </c>
      <c r="BE56" s="53">
        <v>1</v>
      </c>
      <c r="BF56" s="83" t="s">
        <v>2223</v>
      </c>
      <c r="BG56" s="53"/>
      <c r="BH56" s="53"/>
    </row>
    <row r="57" spans="3:60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5"/>
        <v>2</v>
      </c>
      <c r="M57" s="26">
        <f t="shared" si="16"/>
        <v>6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67">
        <f>SUMIFS([1]Up!$J:$J,[1]Up!$D:$D,D57)</f>
        <v>0</v>
      </c>
      <c r="AX57" s="82"/>
      <c r="AY57" s="82" t="str">
        <f t="shared" si="17"/>
        <v>PL10</v>
      </c>
      <c r="AZ57" s="53" t="str">
        <f t="shared" si="18"/>
        <v/>
      </c>
      <c r="BA57" s="53" t="s">
        <v>148</v>
      </c>
      <c r="BB57" s="53" t="s">
        <v>1005</v>
      </c>
      <c r="BC57" s="53" t="s">
        <v>1006</v>
      </c>
      <c r="BD57" s="53" t="s">
        <v>1064</v>
      </c>
      <c r="BE57" s="53">
        <v>2</v>
      </c>
      <c r="BF57" s="83">
        <v>46088</v>
      </c>
      <c r="BG57" s="53"/>
      <c r="BH57" s="53"/>
    </row>
    <row r="58" spans="3:60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5"/>
        <v>1</v>
      </c>
      <c r="M58" s="26">
        <f t="shared" si="16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67">
        <f>SUMIFS([1]Up!$J:$J,[1]Up!$D:$D,D58)</f>
        <v>0</v>
      </c>
      <c r="AX58" s="82"/>
      <c r="AY58" s="82" t="str">
        <f t="shared" si="17"/>
        <v>PL10</v>
      </c>
      <c r="AZ58" s="53" t="str">
        <f t="shared" si="18"/>
        <v/>
      </c>
      <c r="BA58" s="53" t="s">
        <v>148</v>
      </c>
      <c r="BB58" s="53" t="s">
        <v>1005</v>
      </c>
      <c r="BC58" s="53" t="s">
        <v>1006</v>
      </c>
      <c r="BD58" s="53" t="s">
        <v>1064</v>
      </c>
      <c r="BE58" s="53">
        <v>1</v>
      </c>
      <c r="BF58" s="83">
        <v>46088</v>
      </c>
      <c r="BG58" s="53"/>
      <c r="BH58" s="53"/>
    </row>
    <row r="59" spans="3:60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5"/>
        <v>1</v>
      </c>
      <c r="M59" s="26">
        <f t="shared" si="16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67">
        <f>SUMIFS([1]Up!$J:$J,[1]Up!$D:$D,D59)</f>
        <v>0</v>
      </c>
      <c r="AX59" s="82"/>
      <c r="AY59" s="82" t="str">
        <f t="shared" si="17"/>
        <v/>
      </c>
      <c r="AZ59" s="53" t="str">
        <f t="shared" si="18"/>
        <v/>
      </c>
      <c r="BA59" s="53" t="s">
        <v>148</v>
      </c>
      <c r="BB59" s="53" t="s">
        <v>1051</v>
      </c>
      <c r="BC59" s="53" t="s">
        <v>1049</v>
      </c>
      <c r="BD59" s="53" t="s">
        <v>1052</v>
      </c>
      <c r="BE59" s="53">
        <v>1</v>
      </c>
      <c r="BF59" s="83">
        <v>46362</v>
      </c>
      <c r="BG59" s="53"/>
      <c r="BH59" s="53"/>
    </row>
    <row r="60" spans="3:60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5"/>
        <v>0</v>
      </c>
      <c r="M60" s="26">
        <f t="shared" si="16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67">
        <f>SUMIFS([1]Up!$J:$J,[1]Up!$D:$D,D60)</f>
        <v>0</v>
      </c>
      <c r="AX60" s="82"/>
      <c r="AY60" s="82" t="str">
        <f t="shared" si="17"/>
        <v/>
      </c>
      <c r="AZ60" s="53" t="str">
        <f t="shared" si="18"/>
        <v/>
      </c>
      <c r="BA60" s="53" t="s">
        <v>977</v>
      </c>
      <c r="BB60" s="53"/>
      <c r="BC60" s="53"/>
      <c r="BD60" s="53"/>
      <c r="BE60" s="53"/>
      <c r="BF60" s="83"/>
      <c r="BG60" s="53"/>
      <c r="BH60" s="53"/>
    </row>
    <row r="61" spans="3:60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5"/>
        <v>0</v>
      </c>
      <c r="M61" s="26">
        <f t="shared" si="16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67">
        <f>SUMIFS([1]Up!$J:$J,[1]Up!$D:$D,D61)</f>
        <v>0</v>
      </c>
      <c r="AX61" s="82"/>
      <c r="AY61" s="82" t="str">
        <f t="shared" si="17"/>
        <v/>
      </c>
      <c r="AZ61" s="53" t="str">
        <f t="shared" si="18"/>
        <v/>
      </c>
      <c r="BA61" s="53" t="s">
        <v>977</v>
      </c>
      <c r="BB61" s="53"/>
      <c r="BC61" s="53"/>
      <c r="BD61" s="53"/>
      <c r="BE61" s="53"/>
      <c r="BF61" s="83"/>
      <c r="BG61" s="53"/>
      <c r="BH61" s="53"/>
    </row>
    <row r="62" spans="3:60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5"/>
        <v>1</v>
      </c>
      <c r="M62" s="26">
        <f t="shared" si="16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67">
        <f>SUMIFS([1]Up!$J:$J,[1]Up!$D:$D,D62)</f>
        <v>0</v>
      </c>
      <c r="AX62" s="82"/>
      <c r="AY62" s="82" t="str">
        <f t="shared" si="17"/>
        <v>PL8</v>
      </c>
      <c r="AZ62" s="53" t="str">
        <f t="shared" si="18"/>
        <v/>
      </c>
      <c r="BA62" s="53" t="s">
        <v>154</v>
      </c>
      <c r="BB62" s="53" t="s">
        <v>1012</v>
      </c>
      <c r="BC62" s="53" t="s">
        <v>1013</v>
      </c>
      <c r="BD62" s="53" t="s">
        <v>1014</v>
      </c>
      <c r="BE62" s="53">
        <v>1</v>
      </c>
      <c r="BF62" s="83">
        <v>46088</v>
      </c>
      <c r="BG62" s="53"/>
      <c r="BH62" s="53"/>
    </row>
    <row r="63" spans="3:60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5"/>
        <v>0</v>
      </c>
      <c r="M63" s="26">
        <f t="shared" si="16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67">
        <f>SUMIFS([1]Up!$J:$J,[1]Up!$D:$D,D63)</f>
        <v>0</v>
      </c>
      <c r="AX63" s="82"/>
      <c r="AY63" s="82" t="str">
        <f t="shared" si="17"/>
        <v>PL5</v>
      </c>
      <c r="AZ63" s="53" t="str">
        <f t="shared" si="18"/>
        <v/>
      </c>
      <c r="BA63" s="53" t="s">
        <v>148</v>
      </c>
      <c r="BB63" s="53" t="s">
        <v>956</v>
      </c>
      <c r="BC63" s="53" t="s">
        <v>957</v>
      </c>
      <c r="BD63" s="53" t="s">
        <v>958</v>
      </c>
      <c r="BE63" s="53">
        <v>1</v>
      </c>
      <c r="BF63" s="83" t="s">
        <v>2223</v>
      </c>
      <c r="BG63" s="53"/>
      <c r="BH63" s="53"/>
    </row>
    <row r="64" spans="3:60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5"/>
        <v>0</v>
      </c>
      <c r="M64" s="26">
        <f t="shared" si="16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67">
        <f>SUMIFS([1]Up!$J:$J,[1]Up!$D:$D,D64)</f>
        <v>0</v>
      </c>
      <c r="AX64" s="82"/>
      <c r="AY64" s="82" t="str">
        <f t="shared" si="17"/>
        <v/>
      </c>
      <c r="AZ64" s="53" t="str">
        <f t="shared" si="18"/>
        <v/>
      </c>
      <c r="BA64" s="53" t="s">
        <v>148</v>
      </c>
      <c r="BB64" s="53" t="s">
        <v>1079</v>
      </c>
      <c r="BC64" s="53" t="s">
        <v>1076</v>
      </c>
      <c r="BD64" s="53" t="s">
        <v>2105</v>
      </c>
      <c r="BE64" s="53">
        <v>5</v>
      </c>
      <c r="BF64" s="83">
        <v>46120</v>
      </c>
      <c r="BG64" s="53"/>
      <c r="BH64" s="53"/>
    </row>
    <row r="65" spans="3:60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5"/>
        <v>0</v>
      </c>
      <c r="M65" s="26">
        <f t="shared" si="16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67">
        <f>SUMIFS([1]Up!$J:$J,[1]Up!$D:$D,D65)</f>
        <v>0</v>
      </c>
      <c r="AX65" s="82"/>
      <c r="AY65" s="82" t="str">
        <f t="shared" si="17"/>
        <v/>
      </c>
      <c r="AZ65" s="53" t="str">
        <f t="shared" si="18"/>
        <v/>
      </c>
      <c r="BA65" s="53" t="s">
        <v>154</v>
      </c>
      <c r="BB65" s="53" t="s">
        <v>1082</v>
      </c>
      <c r="BC65" s="53" t="s">
        <v>1081</v>
      </c>
      <c r="BD65" s="53" t="s">
        <v>2106</v>
      </c>
      <c r="BE65" s="53">
        <v>1</v>
      </c>
      <c r="BF65" s="83">
        <v>46120</v>
      </c>
      <c r="BG65" s="53"/>
      <c r="BH65" s="53"/>
    </row>
    <row r="66" spans="3:60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5"/>
        <v>0</v>
      </c>
      <c r="M66" s="26">
        <f t="shared" si="16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67">
        <f>SUMIFS([1]Up!$J:$J,[1]Up!$D:$D,D66)</f>
        <v>0</v>
      </c>
      <c r="AX66" s="82"/>
      <c r="AY66" s="82" t="str">
        <f t="shared" si="17"/>
        <v>PL12</v>
      </c>
      <c r="AZ66" s="53" t="str">
        <f t="shared" si="18"/>
        <v/>
      </c>
      <c r="BA66" s="53" t="s">
        <v>154</v>
      </c>
      <c r="BB66" s="53" t="s">
        <v>1021</v>
      </c>
      <c r="BC66" s="53" t="s">
        <v>1022</v>
      </c>
      <c r="BD66" s="53" t="s">
        <v>57</v>
      </c>
      <c r="BE66" s="53">
        <v>1</v>
      </c>
      <c r="BF66" s="83"/>
      <c r="BG66" s="53"/>
      <c r="BH66" s="53"/>
    </row>
    <row r="67" spans="3:60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5"/>
        <v>0</v>
      </c>
      <c r="M67" s="26">
        <f t="shared" si="16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67">
        <f>SUMIFS([1]Up!$J:$J,[1]Up!$D:$D,D67)</f>
        <v>0</v>
      </c>
      <c r="AX67" s="82"/>
      <c r="AY67" s="82" t="str">
        <f t="shared" si="17"/>
        <v>PL10</v>
      </c>
      <c r="AZ67" s="53" t="str">
        <f t="shared" si="18"/>
        <v/>
      </c>
      <c r="BA67" s="53" t="s">
        <v>148</v>
      </c>
      <c r="BB67" s="53" t="s">
        <v>1005</v>
      </c>
      <c r="BC67" s="53" t="s">
        <v>1006</v>
      </c>
      <c r="BD67" s="53"/>
      <c r="BE67" s="53"/>
      <c r="BF67" s="83"/>
      <c r="BG67" s="53"/>
      <c r="BH67" s="53"/>
    </row>
    <row r="68" spans="3:60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5"/>
        <v>0</v>
      </c>
      <c r="M68" s="26">
        <f t="shared" si="16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67">
        <f>SUMIFS([1]Up!$J:$J,[1]Up!$D:$D,D68)</f>
        <v>0</v>
      </c>
      <c r="AX68" s="82"/>
      <c r="AY68" s="82" t="str">
        <f t="shared" si="17"/>
        <v>PL12</v>
      </c>
      <c r="AZ68" s="53" t="str">
        <f t="shared" si="18"/>
        <v/>
      </c>
      <c r="BA68" s="53" t="s">
        <v>148</v>
      </c>
      <c r="BB68" s="53" t="s">
        <v>1021</v>
      </c>
      <c r="BC68" s="53" t="s">
        <v>1022</v>
      </c>
      <c r="BD68" s="53" t="s">
        <v>2100</v>
      </c>
      <c r="BE68" s="53">
        <v>10</v>
      </c>
      <c r="BF68" s="83">
        <v>46303</v>
      </c>
      <c r="BG68" s="53"/>
      <c r="BH68" s="53"/>
    </row>
    <row r="69" spans="3:60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5"/>
        <v>0</v>
      </c>
      <c r="M69" s="26">
        <f t="shared" si="16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67">
        <f>SUMIFS([1]Up!$J:$J,[1]Up!$D:$D,D69)</f>
        <v>0</v>
      </c>
      <c r="AX69" s="82"/>
      <c r="AY69" s="82" t="str">
        <f t="shared" si="17"/>
        <v>PL16</v>
      </c>
      <c r="AZ69" s="53" t="str">
        <f t="shared" si="18"/>
        <v/>
      </c>
      <c r="BA69" s="53" t="s">
        <v>148</v>
      </c>
      <c r="BB69" s="53" t="s">
        <v>988</v>
      </c>
      <c r="BC69" s="53" t="s">
        <v>989</v>
      </c>
      <c r="BD69" s="53" t="s">
        <v>2104</v>
      </c>
      <c r="BE69" s="53">
        <v>10</v>
      </c>
      <c r="BF69" s="83">
        <v>46120</v>
      </c>
      <c r="BG69" s="53"/>
      <c r="BH69" s="53"/>
    </row>
    <row r="70" spans="3:60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67">
        <f>SUMIFS([1]Up!$J:$J,[1]Up!$D:$D,D70)</f>
        <v>0</v>
      </c>
      <c r="AX70" s="82"/>
      <c r="AY70" s="82" t="str">
        <f t="shared" si="17"/>
        <v>PL15</v>
      </c>
      <c r="AZ70" s="53" t="str">
        <f t="shared" si="18"/>
        <v/>
      </c>
      <c r="BA70" s="53" t="s">
        <v>148</v>
      </c>
      <c r="BB70" s="53" t="s">
        <v>1094</v>
      </c>
      <c r="BC70" s="53" t="s">
        <v>1095</v>
      </c>
      <c r="BD70" s="53" t="s">
        <v>2101</v>
      </c>
      <c r="BE70" s="53">
        <v>2</v>
      </c>
      <c r="BF70" s="83">
        <v>46120</v>
      </c>
      <c r="BG70" s="53"/>
      <c r="BH70" s="53"/>
    </row>
    <row r="71" spans="3:60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5"/>
        <v>0</v>
      </c>
      <c r="M71" s="26">
        <f t="shared" si="16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67">
        <f>SUMIFS([1]Up!$J:$J,[1]Up!$D:$D,D71)</f>
        <v>0</v>
      </c>
      <c r="AX71" s="82"/>
      <c r="AY71" s="82" t="str">
        <f t="shared" si="17"/>
        <v>PL10</v>
      </c>
      <c r="AZ71" s="53" t="str">
        <f t="shared" si="18"/>
        <v/>
      </c>
      <c r="BA71" s="53" t="s">
        <v>154</v>
      </c>
      <c r="BB71" s="53" t="s">
        <v>1005</v>
      </c>
      <c r="BC71" s="53" t="s">
        <v>1006</v>
      </c>
      <c r="BD71" s="53"/>
      <c r="BE71" s="53"/>
      <c r="BF71" s="83"/>
      <c r="BG71" s="53"/>
      <c r="BH71" s="53"/>
    </row>
    <row r="72" spans="3:60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5"/>
        <v>0</v>
      </c>
      <c r="M72" s="26">
        <f t="shared" si="16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67">
        <f>SUMIFS([1]Up!$J:$J,[1]Up!$D:$D,D72)</f>
        <v>0</v>
      </c>
      <c r="AX72" s="82"/>
      <c r="AY72" s="82" t="str">
        <f t="shared" si="17"/>
        <v>PL20</v>
      </c>
      <c r="AZ72" s="53" t="str">
        <f t="shared" si="18"/>
        <v/>
      </c>
      <c r="BA72" s="53" t="s">
        <v>148</v>
      </c>
      <c r="BB72" s="53" t="s">
        <v>1100</v>
      </c>
      <c r="BC72" s="53" t="s">
        <v>1101</v>
      </c>
      <c r="BD72" s="53" t="s">
        <v>2102</v>
      </c>
      <c r="BE72" s="53">
        <v>1</v>
      </c>
      <c r="BF72" s="83">
        <v>46303</v>
      </c>
      <c r="BG72" s="53"/>
      <c r="BH72" s="53"/>
    </row>
    <row r="73" spans="3:60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5"/>
        <v>0</v>
      </c>
      <c r="M73" s="26">
        <f t="shared" si="16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67">
        <f>SUMIFS([1]Up!$J:$J,[1]Up!$D:$D,D73)</f>
        <v>0</v>
      </c>
      <c r="AX73" s="82"/>
      <c r="AY73" s="82" t="str">
        <f t="shared" si="17"/>
        <v>PL12</v>
      </c>
      <c r="AZ73" s="53" t="str">
        <f t="shared" si="18"/>
        <v/>
      </c>
      <c r="BA73" s="53" t="s">
        <v>148</v>
      </c>
      <c r="BB73" s="53" t="s">
        <v>1021</v>
      </c>
      <c r="BC73" s="53" t="s">
        <v>1022</v>
      </c>
      <c r="BD73" s="53" t="s">
        <v>2100</v>
      </c>
      <c r="BE73" s="53">
        <v>4</v>
      </c>
      <c r="BF73" s="83">
        <v>46303</v>
      </c>
      <c r="BG73" s="53"/>
      <c r="BH73" s="53"/>
    </row>
    <row r="74" spans="3:60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5"/>
        <v>0</v>
      </c>
      <c r="M74" s="26">
        <f t="shared" si="16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67">
        <f>SUMIFS([1]Up!$J:$J,[1]Up!$D:$D,D74)</f>
        <v>0</v>
      </c>
      <c r="AX74" s="82"/>
      <c r="AY74" s="82" t="str">
        <f t="shared" si="17"/>
        <v>PL12</v>
      </c>
      <c r="AZ74" s="53" t="str">
        <f t="shared" si="18"/>
        <v/>
      </c>
      <c r="BA74" s="53" t="s">
        <v>148</v>
      </c>
      <c r="BB74" s="53" t="s">
        <v>1021</v>
      </c>
      <c r="BC74" s="53" t="s">
        <v>1022</v>
      </c>
      <c r="BD74" s="53" t="s">
        <v>2100</v>
      </c>
      <c r="BE74" s="53">
        <v>2</v>
      </c>
      <c r="BF74" s="83">
        <v>46303</v>
      </c>
      <c r="BG74" s="53"/>
      <c r="BH74" s="53"/>
    </row>
    <row r="75" spans="3:60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5"/>
        <v>0</v>
      </c>
      <c r="M75" s="26">
        <f t="shared" si="16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67">
        <f>SUMIFS([1]Up!$J:$J,[1]Up!$D:$D,D75)</f>
        <v>0</v>
      </c>
      <c r="AX75" s="82"/>
      <c r="AY75" s="82" t="str">
        <f t="shared" si="17"/>
        <v>PL20</v>
      </c>
      <c r="AZ75" s="53" t="str">
        <f t="shared" si="18"/>
        <v/>
      </c>
      <c r="BA75" s="53" t="s">
        <v>148</v>
      </c>
      <c r="BB75" s="53" t="s">
        <v>1100</v>
      </c>
      <c r="BC75" s="53" t="s">
        <v>1101</v>
      </c>
      <c r="BD75" s="53" t="s">
        <v>2102</v>
      </c>
      <c r="BE75" s="53">
        <v>1</v>
      </c>
      <c r="BF75" s="83">
        <v>46303</v>
      </c>
      <c r="BG75" s="53"/>
      <c r="BH75" s="53"/>
    </row>
    <row r="76" spans="3:60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5"/>
        <v>0</v>
      </c>
      <c r="M76" s="26">
        <f t="shared" si="16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67">
        <f>SUMIFS([1]Up!$J:$J,[1]Up!$D:$D,D76)</f>
        <v>0</v>
      </c>
      <c r="AX76" s="82"/>
      <c r="AY76" s="82" t="str">
        <f t="shared" si="17"/>
        <v>PL5</v>
      </c>
      <c r="AZ76" s="53" t="str">
        <f t="shared" si="18"/>
        <v/>
      </c>
      <c r="BA76" s="53" t="s">
        <v>148</v>
      </c>
      <c r="BB76" s="53" t="s">
        <v>1108</v>
      </c>
      <c r="BC76" s="53" t="s">
        <v>957</v>
      </c>
      <c r="BD76" s="53" t="s">
        <v>2103</v>
      </c>
      <c r="BE76" s="53">
        <v>2</v>
      </c>
      <c r="BF76" s="83">
        <v>46120</v>
      </c>
      <c r="BG76" s="53"/>
      <c r="BH76" s="53"/>
    </row>
    <row r="77" spans="3:60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5"/>
        <v>0</v>
      </c>
      <c r="M77" s="26">
        <f t="shared" si="16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67">
        <f>SUMIFS([1]Up!$J:$J,[1]Up!$D:$D,D77)</f>
        <v>0</v>
      </c>
      <c r="AX77" s="82"/>
      <c r="AY77" s="82" t="str">
        <f t="shared" si="17"/>
        <v>PL10</v>
      </c>
      <c r="AZ77" s="53" t="str">
        <f t="shared" si="18"/>
        <v/>
      </c>
      <c r="BA77" s="53" t="s">
        <v>148</v>
      </c>
      <c r="BB77" s="53" t="s">
        <v>1005</v>
      </c>
      <c r="BC77" s="53" t="s">
        <v>1006</v>
      </c>
      <c r="BD77" s="53"/>
      <c r="BE77" s="53"/>
      <c r="BF77" s="83"/>
      <c r="BG77" s="53"/>
      <c r="BH77" s="53"/>
    </row>
    <row r="78" spans="3:60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5"/>
        <v>0</v>
      </c>
      <c r="M78" s="26">
        <f t="shared" si="16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67">
        <f>SUMIFS([1]Up!$J:$J,[1]Up!$D:$D,D78)</f>
        <v>0</v>
      </c>
      <c r="AX78" s="82"/>
      <c r="AY78" s="82" t="str">
        <f t="shared" si="17"/>
        <v>PL12</v>
      </c>
      <c r="AZ78" s="53" t="str">
        <f t="shared" si="18"/>
        <v/>
      </c>
      <c r="BA78" s="53" t="s">
        <v>154</v>
      </c>
      <c r="BB78" s="53" t="s">
        <v>1021</v>
      </c>
      <c r="BC78" s="53" t="s">
        <v>1022</v>
      </c>
      <c r="BD78" s="53" t="s">
        <v>57</v>
      </c>
      <c r="BE78" s="53">
        <v>1</v>
      </c>
      <c r="BF78" s="83"/>
      <c r="BG78" s="53"/>
      <c r="BH78" s="53"/>
    </row>
    <row r="79" spans="3:60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5"/>
        <v>0</v>
      </c>
      <c r="M79" s="26">
        <f t="shared" si="16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67">
        <f>SUMIFS([1]Up!$J:$J,[1]Up!$D:$D,D79)</f>
        <v>0</v>
      </c>
      <c r="AX79" s="82"/>
      <c r="AY79" s="82" t="str">
        <f t="shared" si="17"/>
        <v>PL10</v>
      </c>
      <c r="AZ79" s="53" t="str">
        <f t="shared" si="18"/>
        <v/>
      </c>
      <c r="BA79" s="53" t="s">
        <v>154</v>
      </c>
      <c r="BB79" s="53" t="s">
        <v>1005</v>
      </c>
      <c r="BC79" s="53" t="s">
        <v>1006</v>
      </c>
      <c r="BD79" s="53"/>
      <c r="BE79" s="53"/>
      <c r="BF79" s="83"/>
      <c r="BG79" s="53"/>
      <c r="BH79" s="53"/>
    </row>
    <row r="80" spans="3:60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5"/>
        <v>1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67">
        <f>SUMIFS([1]Up!$J:$J,[1]Up!$D:$D,D80)</f>
        <v>0</v>
      </c>
      <c r="AX80" s="82"/>
      <c r="AY80" s="82" t="str">
        <f t="shared" si="17"/>
        <v>PL20</v>
      </c>
      <c r="AZ80" s="53" t="str">
        <f t="shared" si="18"/>
        <v/>
      </c>
      <c r="BA80" s="53" t="s">
        <v>148</v>
      </c>
      <c r="BB80" s="53" t="s">
        <v>1100</v>
      </c>
      <c r="BC80" s="53" t="s">
        <v>1101</v>
      </c>
      <c r="BD80" s="53" t="s">
        <v>2102</v>
      </c>
      <c r="BE80" s="53">
        <v>1</v>
      </c>
      <c r="BF80" s="83">
        <v>46303</v>
      </c>
      <c r="BG80" s="53"/>
      <c r="BH80" s="53"/>
    </row>
    <row r="81" spans="3:60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5"/>
        <v>0</v>
      </c>
      <c r="M81" s="26">
        <f t="shared" si="16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67">
        <f>SUMIFS([1]Up!$J:$J,[1]Up!$D:$D,D81)</f>
        <v>0</v>
      </c>
      <c r="AX81" s="82"/>
      <c r="AY81" s="82" t="str">
        <f t="shared" si="17"/>
        <v>PL12</v>
      </c>
      <c r="AZ81" s="53" t="str">
        <f t="shared" si="18"/>
        <v/>
      </c>
      <c r="BA81" s="53" t="s">
        <v>148</v>
      </c>
      <c r="BB81" s="53" t="s">
        <v>1021</v>
      </c>
      <c r="BC81" s="53" t="s">
        <v>1022</v>
      </c>
      <c r="BD81" s="53" t="s">
        <v>2100</v>
      </c>
      <c r="BE81" s="53">
        <v>5</v>
      </c>
      <c r="BF81" s="83">
        <v>46303</v>
      </c>
      <c r="BG81" s="53"/>
      <c r="BH81" s="53"/>
    </row>
    <row r="82" spans="3:60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5"/>
        <v>0</v>
      </c>
      <c r="M82" s="26">
        <f t="shared" si="16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67">
        <f>SUMIFS([1]Up!$J:$J,[1]Up!$D:$D,D82)</f>
        <v>0</v>
      </c>
      <c r="AX82" s="82"/>
      <c r="AY82" s="82" t="str">
        <f t="shared" si="17"/>
        <v>PL15</v>
      </c>
      <c r="AZ82" s="53" t="str">
        <f t="shared" si="18"/>
        <v/>
      </c>
      <c r="BA82" s="53" t="s">
        <v>148</v>
      </c>
      <c r="BB82" s="53" t="s">
        <v>1094</v>
      </c>
      <c r="BC82" s="53" t="s">
        <v>1095</v>
      </c>
      <c r="BD82" s="53" t="s">
        <v>2101</v>
      </c>
      <c r="BE82" s="53">
        <v>1</v>
      </c>
      <c r="BF82" s="83">
        <v>46120</v>
      </c>
      <c r="BG82" s="53"/>
      <c r="BH82" s="53"/>
    </row>
    <row r="83" spans="3:60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5"/>
        <v>0</v>
      </c>
      <c r="M83" s="26">
        <f t="shared" si="16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67">
        <f>SUMIFS([1]Up!$J:$J,[1]Up!$D:$D,D83)</f>
        <v>0</v>
      </c>
      <c r="AX83" s="82"/>
      <c r="AY83" s="82" t="str">
        <f t="shared" si="17"/>
        <v>PL12</v>
      </c>
      <c r="AZ83" s="53" t="str">
        <f t="shared" si="18"/>
        <v/>
      </c>
      <c r="BA83" s="53" t="s">
        <v>154</v>
      </c>
      <c r="BB83" s="53" t="s">
        <v>1021</v>
      </c>
      <c r="BC83" s="53" t="s">
        <v>1022</v>
      </c>
      <c r="BD83" s="53" t="s">
        <v>57</v>
      </c>
      <c r="BE83" s="53">
        <v>1</v>
      </c>
      <c r="BF83" s="83"/>
      <c r="BG83" s="53"/>
      <c r="BH83" s="53"/>
    </row>
    <row r="84" spans="3:60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5"/>
        <v>0</v>
      </c>
      <c r="M84" s="26">
        <f t="shared" si="16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67">
        <f>SUMIFS([1]Up!$J:$J,[1]Up!$D:$D,D84)</f>
        <v>0</v>
      </c>
      <c r="AX84" s="82"/>
      <c r="AY84" s="82" t="str">
        <f t="shared" si="17"/>
        <v>PL12</v>
      </c>
      <c r="AZ84" s="53" t="str">
        <f t="shared" si="18"/>
        <v/>
      </c>
      <c r="BA84" s="53" t="s">
        <v>148</v>
      </c>
      <c r="BB84" s="53" t="s">
        <v>1021</v>
      </c>
      <c r="BC84" s="53" t="s">
        <v>1022</v>
      </c>
      <c r="BD84" s="53" t="s">
        <v>2100</v>
      </c>
      <c r="BE84" s="53">
        <v>5</v>
      </c>
      <c r="BF84" s="83">
        <v>46303</v>
      </c>
      <c r="BG84" s="53"/>
      <c r="BH84" s="53"/>
    </row>
    <row r="85" spans="3:60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5"/>
        <v>0</v>
      </c>
      <c r="M85" s="26">
        <f t="shared" si="16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67">
        <f>SUMIFS([1]Up!$J:$J,[1]Up!$D:$D,D85)</f>
        <v>0</v>
      </c>
      <c r="AX85" s="82"/>
      <c r="AY85" s="82" t="str">
        <f t="shared" si="17"/>
        <v>PL20</v>
      </c>
      <c r="AZ85" s="53" t="str">
        <f t="shared" si="18"/>
        <v/>
      </c>
      <c r="BA85" s="53" t="s">
        <v>148</v>
      </c>
      <c r="BB85" s="53" t="s">
        <v>1100</v>
      </c>
      <c r="BC85" s="53" t="s">
        <v>1101</v>
      </c>
      <c r="BD85" s="53" t="s">
        <v>2102</v>
      </c>
      <c r="BE85" s="53">
        <v>1</v>
      </c>
      <c r="BF85" s="83">
        <v>46303</v>
      </c>
      <c r="BG85" s="53"/>
      <c r="BH85" s="53"/>
    </row>
    <row r="86" spans="3:60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67">
        <f>SUMIFS([1]Up!$J:$J,[1]Up!$D:$D,D86)</f>
        <v>0</v>
      </c>
      <c r="AX86" s="82"/>
      <c r="AY86" s="82" t="str">
        <f t="shared" si="17"/>
        <v>PL20</v>
      </c>
      <c r="AZ86" s="53" t="str">
        <f t="shared" si="18"/>
        <v/>
      </c>
      <c r="BA86" s="53" t="s">
        <v>148</v>
      </c>
      <c r="BB86" s="53" t="s">
        <v>1100</v>
      </c>
      <c r="BC86" s="53" t="s">
        <v>1101</v>
      </c>
      <c r="BD86" s="53"/>
      <c r="BE86" s="53"/>
      <c r="BF86" s="83"/>
      <c r="BG86" s="53"/>
      <c r="BH86" s="53"/>
    </row>
    <row r="87" spans="3:60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67">
        <f>SUMIFS([1]Up!$J:$J,[1]Up!$D:$D,D87)</f>
        <v>0</v>
      </c>
      <c r="AX87" s="82"/>
      <c r="AY87" s="82" t="str">
        <f t="shared" si="17"/>
        <v>PL20</v>
      </c>
      <c r="AZ87" s="53" t="str">
        <f t="shared" si="18"/>
        <v/>
      </c>
      <c r="BA87" s="53" t="s">
        <v>148</v>
      </c>
      <c r="BB87" s="53" t="s">
        <v>1094</v>
      </c>
      <c r="BC87" s="53" t="s">
        <v>1095</v>
      </c>
      <c r="BD87" s="53" t="s">
        <v>2102</v>
      </c>
      <c r="BE87" s="53">
        <v>2</v>
      </c>
      <c r="BF87" s="83">
        <v>46303</v>
      </c>
      <c r="BG87" s="53"/>
      <c r="BH87" s="53"/>
    </row>
    <row r="88" spans="3:60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5"/>
        <v>0</v>
      </c>
      <c r="M88" s="26">
        <f t="shared" si="16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67">
        <f>SUMIFS([1]Up!$J:$J,[1]Up!$D:$D,D88)</f>
        <v>0</v>
      </c>
      <c r="AX88" s="82"/>
      <c r="AY88" s="82" t="str">
        <f t="shared" si="17"/>
        <v/>
      </c>
      <c r="AZ88" s="53" t="str">
        <f t="shared" si="18"/>
        <v/>
      </c>
      <c r="BA88" s="53" t="s">
        <v>154</v>
      </c>
      <c r="BB88" s="53" t="s">
        <v>1082</v>
      </c>
      <c r="BC88" s="53" t="s">
        <v>1081</v>
      </c>
      <c r="BD88" s="53" t="s">
        <v>2106</v>
      </c>
      <c r="BE88" s="53">
        <v>5</v>
      </c>
      <c r="BF88" s="83">
        <v>46120</v>
      </c>
      <c r="BG88" s="53"/>
      <c r="BH88" s="53"/>
    </row>
    <row r="89" spans="3:60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5"/>
        <v>0</v>
      </c>
      <c r="M89" s="26">
        <f t="shared" si="16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67">
        <f>SUMIFS([1]Up!$J:$J,[1]Up!$D:$D,D89)</f>
        <v>0</v>
      </c>
      <c r="AX89" s="82"/>
      <c r="AY89" s="82" t="str">
        <f t="shared" si="17"/>
        <v/>
      </c>
      <c r="AZ89" s="53" t="str">
        <f t="shared" si="18"/>
        <v/>
      </c>
      <c r="BA89" s="53" t="s">
        <v>154</v>
      </c>
      <c r="BB89" s="53"/>
      <c r="BC89" s="53" t="s">
        <v>1129</v>
      </c>
      <c r="BD89" s="53" t="s">
        <v>2113</v>
      </c>
      <c r="BE89" s="53">
        <v>1</v>
      </c>
      <c r="BF89" s="83">
        <v>46120</v>
      </c>
      <c r="BG89" s="53"/>
      <c r="BH89" s="53"/>
    </row>
    <row r="90" spans="3:60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5"/>
        <v>0</v>
      </c>
      <c r="M90" s="26">
        <f t="shared" si="16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67">
        <f>SUMIFS([1]Up!$J:$J,[1]Up!$D:$D,D90)</f>
        <v>0</v>
      </c>
      <c r="AX90" s="82"/>
      <c r="AY90" s="82" t="str">
        <f t="shared" si="17"/>
        <v>PL12</v>
      </c>
      <c r="AZ90" s="53" t="str">
        <f t="shared" si="18"/>
        <v/>
      </c>
      <c r="BA90" s="53" t="s">
        <v>154</v>
      </c>
      <c r="BB90" s="53" t="s">
        <v>1021</v>
      </c>
      <c r="BC90" s="53" t="s">
        <v>1022</v>
      </c>
      <c r="BD90" s="53" t="s">
        <v>57</v>
      </c>
      <c r="BE90" s="53">
        <v>1</v>
      </c>
      <c r="BF90" s="83"/>
      <c r="BG90" s="53"/>
      <c r="BH90" s="53"/>
    </row>
    <row r="91" spans="3:60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5"/>
        <v>0</v>
      </c>
      <c r="M91" s="26">
        <f t="shared" si="16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67">
        <f>SUMIFS([1]Up!$J:$J,[1]Up!$D:$D,D91)</f>
        <v>0</v>
      </c>
      <c r="AX91" s="82"/>
      <c r="AY91" s="82" t="str">
        <f t="shared" si="17"/>
        <v>PL10</v>
      </c>
      <c r="AZ91" s="53" t="str">
        <f t="shared" si="18"/>
        <v/>
      </c>
      <c r="BA91" s="53" t="s">
        <v>148</v>
      </c>
      <c r="BB91" s="53" t="s">
        <v>1005</v>
      </c>
      <c r="BC91" s="53" t="s">
        <v>1006</v>
      </c>
      <c r="BD91" s="53"/>
      <c r="BE91" s="53"/>
      <c r="BF91" s="83"/>
      <c r="BG91" s="53"/>
      <c r="BH91" s="53"/>
    </row>
    <row r="92" spans="3:60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67">
        <f>SUMIFS([1]Up!$J:$J,[1]Up!$D:$D,D92)</f>
        <v>0</v>
      </c>
      <c r="AX92" s="82"/>
      <c r="AY92" s="82" t="str">
        <f t="shared" si="17"/>
        <v>PL10</v>
      </c>
      <c r="AZ92" s="53" t="str">
        <f t="shared" si="18"/>
        <v/>
      </c>
      <c r="BA92" s="53" t="s">
        <v>148</v>
      </c>
      <c r="BB92" s="53" t="s">
        <v>1005</v>
      </c>
      <c r="BC92" s="53" t="s">
        <v>1006</v>
      </c>
      <c r="BD92" s="53"/>
      <c r="BE92" s="53"/>
      <c r="BF92" s="83"/>
      <c r="BG92" s="53"/>
      <c r="BH92" s="53"/>
    </row>
    <row r="93" spans="3:60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67">
        <f>SUMIFS([1]Up!$J:$J,[1]Up!$D:$D,D93)</f>
        <v>0</v>
      </c>
      <c r="AX93" s="82"/>
      <c r="AY93" s="82" t="str">
        <f t="shared" si="17"/>
        <v>PL10</v>
      </c>
      <c r="AZ93" s="53" t="str">
        <f t="shared" si="18"/>
        <v/>
      </c>
      <c r="BA93" s="53" t="s">
        <v>154</v>
      </c>
      <c r="BB93" s="53" t="s">
        <v>1005</v>
      </c>
      <c r="BC93" s="53" t="s">
        <v>1006</v>
      </c>
      <c r="BD93" s="53"/>
      <c r="BE93" s="53"/>
      <c r="BF93" s="83"/>
      <c r="BG93" s="53"/>
      <c r="BH93" s="53"/>
    </row>
    <row r="94" spans="3:60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9">MIN(SUM(N94:AV94),I94)</f>
        <v>1</v>
      </c>
      <c r="M94" s="26">
        <f t="shared" si="16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67">
        <f>SUMIFS([1]Up!$J:$J,[1]Up!$D:$D,D94)</f>
        <v>0</v>
      </c>
      <c r="AX94" s="82"/>
      <c r="AY94" s="82" t="str">
        <f t="shared" ref="AY94:AY157" si="20">IFERROR(IF(C94="Plate",LEFT(E94,FIND("*",E94,1)-1),""),IF(C94="Plate",LEFT(E94,FIND("x",E94,1)-1),""))</f>
        <v>PL20</v>
      </c>
      <c r="AZ94" s="53" t="str">
        <f t="shared" ref="AZ94:AZ157" si="21">IF(ROUND(SUM(N94:AV94)-I94,0)&gt;0,"Thừa "&amp;SUM(N94:AV94)-I94,"")</f>
        <v/>
      </c>
      <c r="BA94" s="53" t="s">
        <v>148</v>
      </c>
      <c r="BB94" s="53" t="s">
        <v>1100</v>
      </c>
      <c r="BC94" s="53" t="s">
        <v>1101</v>
      </c>
      <c r="BD94" s="53" t="s">
        <v>2102</v>
      </c>
      <c r="BE94" s="53">
        <v>1</v>
      </c>
      <c r="BF94" s="83">
        <v>46303</v>
      </c>
      <c r="BG94" s="53"/>
      <c r="BH94" s="53"/>
    </row>
    <row r="95" spans="3:60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9"/>
        <v>0</v>
      </c>
      <c r="M95" s="26">
        <f t="shared" si="16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67">
        <f>SUMIFS([1]Up!$J:$J,[1]Up!$D:$D,D95)</f>
        <v>0</v>
      </c>
      <c r="AX95" s="82"/>
      <c r="AY95" s="82" t="str">
        <f t="shared" si="20"/>
        <v>PL10</v>
      </c>
      <c r="AZ95" s="53" t="str">
        <f t="shared" si="21"/>
        <v/>
      </c>
      <c r="BA95" s="53" t="s">
        <v>154</v>
      </c>
      <c r="BB95" s="53" t="s">
        <v>1005</v>
      </c>
      <c r="BC95" s="53" t="s">
        <v>1006</v>
      </c>
      <c r="BD95" s="53"/>
      <c r="BE95" s="53"/>
      <c r="BF95" s="83"/>
      <c r="BG95" s="53"/>
      <c r="BH95" s="53"/>
    </row>
    <row r="96" spans="3:60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9"/>
        <v>0</v>
      </c>
      <c r="M96" s="26">
        <f t="shared" si="16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67">
        <f>SUMIFS([1]Up!$J:$J,[1]Up!$D:$D,D96)</f>
        <v>0</v>
      </c>
      <c r="AX96" s="82"/>
      <c r="AY96" s="82" t="str">
        <f t="shared" si="20"/>
        <v>PL10</v>
      </c>
      <c r="AZ96" s="53" t="str">
        <f t="shared" si="21"/>
        <v/>
      </c>
      <c r="BA96" s="53" t="s">
        <v>154</v>
      </c>
      <c r="BB96" s="53" t="s">
        <v>1005</v>
      </c>
      <c r="BC96" s="53" t="s">
        <v>1006</v>
      </c>
      <c r="BD96" s="53"/>
      <c r="BE96" s="53"/>
      <c r="BF96" s="83"/>
      <c r="BG96" s="53"/>
      <c r="BH96" s="53"/>
    </row>
    <row r="97" spans="3:60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9"/>
        <v>0</v>
      </c>
      <c r="M97" s="26">
        <f t="shared" si="16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67">
        <f>SUMIFS([1]Up!$J:$J,[1]Up!$D:$D,D97)</f>
        <v>0</v>
      </c>
      <c r="AX97" s="82"/>
      <c r="AY97" s="82" t="str">
        <f t="shared" si="20"/>
        <v>PL10</v>
      </c>
      <c r="AZ97" s="53" t="str">
        <f t="shared" si="21"/>
        <v/>
      </c>
      <c r="BA97" s="53" t="s">
        <v>154</v>
      </c>
      <c r="BB97" s="53" t="s">
        <v>1005</v>
      </c>
      <c r="BC97" s="53" t="s">
        <v>1006</v>
      </c>
      <c r="BD97" s="53"/>
      <c r="BE97" s="53"/>
      <c r="BF97" s="83"/>
      <c r="BG97" s="53"/>
      <c r="BH97" s="53"/>
    </row>
    <row r="98" spans="3:60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9"/>
        <v>0</v>
      </c>
      <c r="M98" s="26">
        <f t="shared" si="16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67">
        <f>SUMIFS([1]Up!$J:$J,[1]Up!$D:$D,D98)</f>
        <v>0</v>
      </c>
      <c r="AX98" s="82"/>
      <c r="AY98" s="82" t="str">
        <f t="shared" si="20"/>
        <v>PL12</v>
      </c>
      <c r="AZ98" s="53" t="str">
        <f t="shared" si="21"/>
        <v/>
      </c>
      <c r="BA98" s="53" t="s">
        <v>148</v>
      </c>
      <c r="BB98" s="53" t="s">
        <v>1021</v>
      </c>
      <c r="BC98" s="53" t="s">
        <v>1022</v>
      </c>
      <c r="BD98" s="53" t="s">
        <v>2100</v>
      </c>
      <c r="BE98" s="53">
        <v>5</v>
      </c>
      <c r="BF98" s="83">
        <v>46303</v>
      </c>
      <c r="BG98" s="53"/>
      <c r="BH98" s="53"/>
    </row>
    <row r="99" spans="3:60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9"/>
        <v>0</v>
      </c>
      <c r="M99" s="26">
        <f t="shared" si="16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67">
        <f>SUMIFS([1]Up!$J:$J,[1]Up!$D:$D,D99)</f>
        <v>0</v>
      </c>
      <c r="AX99" s="82"/>
      <c r="AY99" s="82" t="str">
        <f t="shared" si="20"/>
        <v>PL15</v>
      </c>
      <c r="AZ99" s="53" t="str">
        <f t="shared" si="21"/>
        <v/>
      </c>
      <c r="BA99" s="53" t="s">
        <v>148</v>
      </c>
      <c r="BB99" s="53" t="s">
        <v>1094</v>
      </c>
      <c r="BC99" s="53" t="s">
        <v>1095</v>
      </c>
      <c r="BD99" s="53" t="s">
        <v>2101</v>
      </c>
      <c r="BE99" s="53">
        <v>1</v>
      </c>
      <c r="BF99" s="83">
        <v>46120</v>
      </c>
      <c r="BG99" s="53"/>
      <c r="BH99" s="53"/>
    </row>
    <row r="100" spans="3:60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9"/>
        <v>0</v>
      </c>
      <c r="M100" s="26">
        <f t="shared" si="16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67">
        <f>SUMIFS([1]Up!$J:$J,[1]Up!$D:$D,D100)</f>
        <v>0</v>
      </c>
      <c r="AX100" s="82"/>
      <c r="AY100" s="82" t="str">
        <f t="shared" si="20"/>
        <v>PL15</v>
      </c>
      <c r="AZ100" s="53" t="str">
        <f t="shared" si="21"/>
        <v/>
      </c>
      <c r="BA100" s="53" t="s">
        <v>148</v>
      </c>
      <c r="BB100" s="53" t="s">
        <v>1094</v>
      </c>
      <c r="BC100" s="53" t="s">
        <v>1095</v>
      </c>
      <c r="BD100" s="53" t="s">
        <v>2101</v>
      </c>
      <c r="BE100" s="53">
        <v>1</v>
      </c>
      <c r="BF100" s="83">
        <v>46120</v>
      </c>
      <c r="BG100" s="53"/>
      <c r="BH100" s="53"/>
    </row>
    <row r="101" spans="3:60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9"/>
        <v>0</v>
      </c>
      <c r="M101" s="26">
        <f t="shared" si="16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67">
        <f>SUMIFS([1]Up!$J:$J,[1]Up!$D:$D,D101)</f>
        <v>0</v>
      </c>
      <c r="AX101" s="82"/>
      <c r="AY101" s="82" t="str">
        <f t="shared" si="20"/>
        <v/>
      </c>
      <c r="AZ101" s="53" t="str">
        <f t="shared" si="21"/>
        <v/>
      </c>
      <c r="BA101" s="53" t="s">
        <v>148</v>
      </c>
      <c r="BB101" s="53" t="s">
        <v>1079</v>
      </c>
      <c r="BC101" s="53" t="s">
        <v>1076</v>
      </c>
      <c r="BD101" s="53" t="s">
        <v>2105</v>
      </c>
      <c r="BE101" s="53">
        <v>5</v>
      </c>
      <c r="BF101" s="83">
        <v>46120</v>
      </c>
      <c r="BG101" s="53"/>
      <c r="BH101" s="53"/>
    </row>
    <row r="102" spans="3:60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9"/>
        <v>0</v>
      </c>
      <c r="M102" s="26">
        <f t="shared" si="16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67">
        <f>SUMIFS([1]Up!$J:$J,[1]Up!$D:$D,D102)</f>
        <v>0</v>
      </c>
      <c r="AX102" s="82"/>
      <c r="AY102" s="82" t="str">
        <f t="shared" si="20"/>
        <v>PL10</v>
      </c>
      <c r="AZ102" s="53" t="str">
        <f t="shared" si="21"/>
        <v/>
      </c>
      <c r="BA102" s="53" t="s">
        <v>154</v>
      </c>
      <c r="BB102" s="53" t="s">
        <v>1005</v>
      </c>
      <c r="BC102" s="53" t="s">
        <v>1006</v>
      </c>
      <c r="BD102" s="53"/>
      <c r="BE102" s="53"/>
      <c r="BF102" s="83"/>
      <c r="BG102" s="53"/>
      <c r="BH102" s="53"/>
    </row>
    <row r="103" spans="3:60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9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67">
        <f>SUMIFS([1]Up!$J:$J,[1]Up!$D:$D,D103)</f>
        <v>0</v>
      </c>
      <c r="AX103" s="82"/>
      <c r="AY103" s="82" t="str">
        <f t="shared" si="20"/>
        <v>PL10</v>
      </c>
      <c r="AZ103" s="53" t="str">
        <f t="shared" si="21"/>
        <v/>
      </c>
      <c r="BA103" s="53" t="s">
        <v>154</v>
      </c>
      <c r="BB103" s="53" t="s">
        <v>1005</v>
      </c>
      <c r="BC103" s="53" t="s">
        <v>1006</v>
      </c>
      <c r="BD103" s="53"/>
      <c r="BE103" s="53"/>
      <c r="BF103" s="83"/>
      <c r="BG103" s="53"/>
      <c r="BH103" s="53"/>
    </row>
    <row r="104" spans="3:60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9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67">
        <f>SUMIFS([1]Up!$J:$J,[1]Up!$D:$D,D104)</f>
        <v>0</v>
      </c>
      <c r="AX104" s="82"/>
      <c r="AY104" s="82" t="str">
        <f t="shared" si="20"/>
        <v>PL10</v>
      </c>
      <c r="AZ104" s="53" t="str">
        <f t="shared" si="21"/>
        <v/>
      </c>
      <c r="BA104" s="53" t="s">
        <v>154</v>
      </c>
      <c r="BB104" s="53" t="s">
        <v>1005</v>
      </c>
      <c r="BC104" s="53" t="s">
        <v>1006</v>
      </c>
      <c r="BD104" s="53"/>
      <c r="BE104" s="53"/>
      <c r="BF104" s="83"/>
      <c r="BG104" s="53"/>
      <c r="BH104" s="53"/>
    </row>
    <row r="105" spans="3:60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9"/>
        <v>0</v>
      </c>
      <c r="M105" s="26">
        <f t="shared" si="16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67">
        <f>SUMIFS([1]Up!$J:$J,[1]Up!$D:$D,D105)</f>
        <v>0</v>
      </c>
      <c r="AX105" s="82"/>
      <c r="AY105" s="82" t="str">
        <f t="shared" si="20"/>
        <v>PL12</v>
      </c>
      <c r="AZ105" s="53" t="str">
        <f t="shared" si="21"/>
        <v/>
      </c>
      <c r="BA105" s="53" t="s">
        <v>154</v>
      </c>
      <c r="BB105" s="53" t="s">
        <v>1021</v>
      </c>
      <c r="BC105" s="53" t="s">
        <v>1022</v>
      </c>
      <c r="BD105" s="53" t="s">
        <v>2100</v>
      </c>
      <c r="BE105" s="53">
        <v>2</v>
      </c>
      <c r="BF105" s="83">
        <v>46303</v>
      </c>
      <c r="BG105" s="53"/>
      <c r="BH105" s="53"/>
    </row>
    <row r="106" spans="3:60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9"/>
        <v>0</v>
      </c>
      <c r="M106" s="26">
        <f t="shared" si="16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67">
        <f>SUMIFS([1]Up!$J:$J,[1]Up!$D:$D,D106)</f>
        <v>0</v>
      </c>
      <c r="AX106" s="82"/>
      <c r="AY106" s="82" t="str">
        <f t="shared" si="20"/>
        <v>PL15</v>
      </c>
      <c r="AZ106" s="53" t="str">
        <f t="shared" si="21"/>
        <v/>
      </c>
      <c r="BA106" s="53" t="s">
        <v>148</v>
      </c>
      <c r="BB106" s="53" t="s">
        <v>1094</v>
      </c>
      <c r="BC106" s="53" t="s">
        <v>1095</v>
      </c>
      <c r="BD106" s="53" t="s">
        <v>2101</v>
      </c>
      <c r="BE106" s="53">
        <v>2</v>
      </c>
      <c r="BF106" s="83">
        <v>46120</v>
      </c>
      <c r="BG106" s="53"/>
      <c r="BH106" s="53"/>
    </row>
    <row r="107" spans="3:60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9"/>
        <v>0</v>
      </c>
      <c r="M107" s="26">
        <f t="shared" si="16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67">
        <f>SUMIFS([1]Up!$J:$J,[1]Up!$D:$D,D107)</f>
        <v>0</v>
      </c>
      <c r="AX107" s="82"/>
      <c r="AY107" s="82" t="str">
        <f t="shared" si="20"/>
        <v>PL10</v>
      </c>
      <c r="AZ107" s="53" t="str">
        <f t="shared" si="21"/>
        <v/>
      </c>
      <c r="BA107" s="53" t="s">
        <v>148</v>
      </c>
      <c r="BB107" s="53" t="s">
        <v>1005</v>
      </c>
      <c r="BC107" s="53" t="s">
        <v>1006</v>
      </c>
      <c r="BD107" s="53"/>
      <c r="BE107" s="53"/>
      <c r="BF107" s="83"/>
      <c r="BG107" s="53"/>
      <c r="BH107" s="53"/>
    </row>
    <row r="108" spans="3:60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9"/>
        <v>0</v>
      </c>
      <c r="M108" s="26">
        <f t="shared" si="16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67">
        <f>SUMIFS([1]Up!$J:$J,[1]Up!$D:$D,D108)</f>
        <v>0</v>
      </c>
      <c r="AX108" s="82"/>
      <c r="AY108" s="82" t="str">
        <f t="shared" si="20"/>
        <v>PL12</v>
      </c>
      <c r="AZ108" s="53" t="str">
        <f t="shared" si="21"/>
        <v/>
      </c>
      <c r="BA108" s="53" t="s">
        <v>148</v>
      </c>
      <c r="BB108" s="53" t="s">
        <v>1021</v>
      </c>
      <c r="BC108" s="53" t="s">
        <v>1022</v>
      </c>
      <c r="BD108" s="53" t="s">
        <v>2100</v>
      </c>
      <c r="BE108" s="53">
        <v>2</v>
      </c>
      <c r="BF108" s="83">
        <v>46303</v>
      </c>
      <c r="BG108" s="53"/>
      <c r="BH108" s="53"/>
    </row>
    <row r="109" spans="3:60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9"/>
        <v>0</v>
      </c>
      <c r="M109" s="26">
        <f t="shared" si="16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67">
        <f>SUMIFS([1]Up!$J:$J,[1]Up!$D:$D,D109)</f>
        <v>0</v>
      </c>
      <c r="AX109" s="82"/>
      <c r="AY109" s="82" t="str">
        <f t="shared" si="20"/>
        <v>PL16</v>
      </c>
      <c r="AZ109" s="53" t="str">
        <f t="shared" si="21"/>
        <v/>
      </c>
      <c r="BA109" s="53" t="s">
        <v>148</v>
      </c>
      <c r="BB109" s="53" t="s">
        <v>988</v>
      </c>
      <c r="BC109" s="53" t="s">
        <v>989</v>
      </c>
      <c r="BD109" s="53" t="s">
        <v>2104</v>
      </c>
      <c r="BE109" s="53">
        <v>6</v>
      </c>
      <c r="BF109" s="83">
        <v>46120</v>
      </c>
      <c r="BG109" s="53"/>
      <c r="BH109" s="53"/>
    </row>
    <row r="110" spans="3:60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9"/>
        <v>0</v>
      </c>
      <c r="M110" s="26">
        <f t="shared" si="16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67">
        <f>SUMIFS([1]Up!$J:$J,[1]Up!$D:$D,D110)</f>
        <v>0</v>
      </c>
      <c r="AX110" s="82"/>
      <c r="AY110" s="82" t="str">
        <f t="shared" si="20"/>
        <v>PL16</v>
      </c>
      <c r="AZ110" s="53" t="str">
        <f t="shared" si="21"/>
        <v/>
      </c>
      <c r="BA110" s="53" t="s">
        <v>148</v>
      </c>
      <c r="BB110" s="53" t="s">
        <v>988</v>
      </c>
      <c r="BC110" s="53" t="s">
        <v>989</v>
      </c>
      <c r="BD110" s="53" t="s">
        <v>2104</v>
      </c>
      <c r="BE110" s="53">
        <v>2</v>
      </c>
      <c r="BF110" s="83">
        <v>46120</v>
      </c>
      <c r="BG110" s="53"/>
      <c r="BH110" s="53"/>
    </row>
    <row r="111" spans="3:60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9"/>
        <v>0</v>
      </c>
      <c r="M111" s="26">
        <f t="shared" si="16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67">
        <f>SUMIFS([1]Up!$J:$J,[1]Up!$D:$D,D111)</f>
        <v>0</v>
      </c>
      <c r="AX111" s="82"/>
      <c r="AY111" s="82" t="str">
        <f t="shared" si="20"/>
        <v>PL10</v>
      </c>
      <c r="AZ111" s="53" t="str">
        <f t="shared" si="21"/>
        <v/>
      </c>
      <c r="BA111" s="53" t="s">
        <v>154</v>
      </c>
      <c r="BB111" s="53" t="s">
        <v>1005</v>
      </c>
      <c r="BC111" s="53" t="s">
        <v>1006</v>
      </c>
      <c r="BD111" s="53"/>
      <c r="BE111" s="53"/>
      <c r="BF111" s="83"/>
      <c r="BG111" s="53"/>
      <c r="BH111" s="53"/>
    </row>
    <row r="112" spans="3:60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9"/>
        <v>0</v>
      </c>
      <c r="M112" s="26">
        <f t="shared" si="16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67">
        <f>SUMIFS([1]Up!$J:$J,[1]Up!$D:$D,D112)</f>
        <v>0</v>
      </c>
      <c r="AX112" s="82"/>
      <c r="AY112" s="82" t="str">
        <f t="shared" si="20"/>
        <v>PL12</v>
      </c>
      <c r="AZ112" s="53" t="str">
        <f t="shared" si="21"/>
        <v/>
      </c>
      <c r="BA112" s="53" t="s">
        <v>154</v>
      </c>
      <c r="BB112" s="53" t="s">
        <v>1021</v>
      </c>
      <c r="BC112" s="53" t="s">
        <v>1022</v>
      </c>
      <c r="BD112" s="53" t="s">
        <v>57</v>
      </c>
      <c r="BE112" s="53">
        <v>1</v>
      </c>
      <c r="BF112" s="83"/>
      <c r="BG112" s="53"/>
      <c r="BH112" s="53"/>
    </row>
    <row r="113" spans="3:60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9"/>
        <v>0</v>
      </c>
      <c r="M113" s="26">
        <f t="shared" si="1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67">
        <f>SUMIFS([1]Up!$J:$J,[1]Up!$D:$D,D113)</f>
        <v>0</v>
      </c>
      <c r="AX113" s="82"/>
      <c r="AY113" s="82" t="str">
        <f t="shared" si="20"/>
        <v>PL10</v>
      </c>
      <c r="AZ113" s="53" t="str">
        <f t="shared" si="21"/>
        <v/>
      </c>
      <c r="BA113" s="53" t="s">
        <v>154</v>
      </c>
      <c r="BB113" s="53" t="s">
        <v>1005</v>
      </c>
      <c r="BC113" s="53" t="s">
        <v>1006</v>
      </c>
      <c r="BD113" s="53"/>
      <c r="BE113" s="53"/>
      <c r="BF113" s="83"/>
      <c r="BG113" s="53"/>
      <c r="BH113" s="53"/>
    </row>
    <row r="114" spans="3:60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9"/>
        <v>0</v>
      </c>
      <c r="M114" s="26">
        <f t="shared" si="16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67">
        <f>SUMIFS([1]Up!$J:$J,[1]Up!$D:$D,D114)</f>
        <v>0</v>
      </c>
      <c r="AX114" s="82"/>
      <c r="AY114" s="82" t="str">
        <f t="shared" si="20"/>
        <v>PL10</v>
      </c>
      <c r="AZ114" s="53" t="str">
        <f t="shared" si="21"/>
        <v/>
      </c>
      <c r="BA114" s="53" t="s">
        <v>148</v>
      </c>
      <c r="BB114" s="53" t="s">
        <v>1005</v>
      </c>
      <c r="BC114" s="53" t="s">
        <v>1006</v>
      </c>
      <c r="BD114" s="53"/>
      <c r="BE114" s="53"/>
      <c r="BF114" s="83"/>
      <c r="BG114" s="53"/>
      <c r="BH114" s="53"/>
    </row>
    <row r="115" spans="3:60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9"/>
        <v>0</v>
      </c>
      <c r="M115" s="26">
        <f t="shared" si="16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67">
        <f>SUMIFS([1]Up!$J:$J,[1]Up!$D:$D,D115)</f>
        <v>0</v>
      </c>
      <c r="AX115" s="82"/>
      <c r="AY115" s="82" t="str">
        <f t="shared" si="20"/>
        <v>PL12</v>
      </c>
      <c r="AZ115" s="53" t="str">
        <f t="shared" si="21"/>
        <v/>
      </c>
      <c r="BA115" s="53" t="s">
        <v>148</v>
      </c>
      <c r="BB115" s="53" t="s">
        <v>1021</v>
      </c>
      <c r="BC115" s="53" t="s">
        <v>1022</v>
      </c>
      <c r="BD115" s="53" t="s">
        <v>2100</v>
      </c>
      <c r="BE115" s="53">
        <v>1</v>
      </c>
      <c r="BF115" s="83">
        <v>46303</v>
      </c>
      <c r="BG115" s="53"/>
      <c r="BH115" s="53"/>
    </row>
    <row r="116" spans="3:60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9"/>
        <v>0</v>
      </c>
      <c r="M116" s="26">
        <f t="shared" si="16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67">
        <f>SUMIFS([1]Up!$J:$J,[1]Up!$D:$D,D116)</f>
        <v>0</v>
      </c>
      <c r="AX116" s="82"/>
      <c r="AY116" s="82" t="str">
        <f t="shared" si="20"/>
        <v>PL10</v>
      </c>
      <c r="AZ116" s="53" t="str">
        <f t="shared" si="21"/>
        <v/>
      </c>
      <c r="BA116" s="53" t="s">
        <v>154</v>
      </c>
      <c r="BB116" s="53" t="s">
        <v>1005</v>
      </c>
      <c r="BC116" s="53" t="s">
        <v>1006</v>
      </c>
      <c r="BD116" s="53"/>
      <c r="BE116" s="53"/>
      <c r="BF116" s="83"/>
      <c r="BG116" s="53"/>
      <c r="BH116" s="53"/>
    </row>
    <row r="117" spans="3:60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9"/>
        <v>0</v>
      </c>
      <c r="M117" s="26">
        <f t="shared" si="16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67">
        <f>SUMIFS([1]Up!$J:$J,[1]Up!$D:$D,D117)</f>
        <v>0</v>
      </c>
      <c r="AX117" s="82"/>
      <c r="AY117" s="82" t="str">
        <f t="shared" si="20"/>
        <v>PL10</v>
      </c>
      <c r="AZ117" s="53" t="str">
        <f t="shared" si="21"/>
        <v/>
      </c>
      <c r="BA117" s="53" t="s">
        <v>154</v>
      </c>
      <c r="BB117" s="53" t="s">
        <v>1005</v>
      </c>
      <c r="BC117" s="53" t="s">
        <v>1006</v>
      </c>
      <c r="BD117" s="53"/>
      <c r="BE117" s="53"/>
      <c r="BF117" s="83"/>
      <c r="BG117" s="53"/>
      <c r="BH117" s="53"/>
    </row>
    <row r="118" spans="3:60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9"/>
        <v>0</v>
      </c>
      <c r="M118" s="26">
        <f t="shared" si="16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67">
        <f>SUMIFS([1]Up!$J:$J,[1]Up!$D:$D,D118)</f>
        <v>0</v>
      </c>
      <c r="AX118" s="82"/>
      <c r="AY118" s="82" t="str">
        <f t="shared" si="20"/>
        <v>PL12</v>
      </c>
      <c r="AZ118" s="53" t="str">
        <f t="shared" si="21"/>
        <v/>
      </c>
      <c r="BA118" s="53" t="s">
        <v>154</v>
      </c>
      <c r="BB118" s="53" t="s">
        <v>1021</v>
      </c>
      <c r="BC118" s="53" t="s">
        <v>1022</v>
      </c>
      <c r="BD118" s="53" t="s">
        <v>2100</v>
      </c>
      <c r="BE118" s="53">
        <v>1</v>
      </c>
      <c r="BF118" s="83">
        <v>46303</v>
      </c>
      <c r="BG118" s="53"/>
      <c r="BH118" s="53"/>
    </row>
    <row r="119" spans="3:60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9"/>
        <v>0</v>
      </c>
      <c r="M119" s="26">
        <f t="shared" si="16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67">
        <f>SUMIFS([1]Up!$J:$J,[1]Up!$D:$D,D119)</f>
        <v>0</v>
      </c>
      <c r="AX119" s="82"/>
      <c r="AY119" s="82" t="str">
        <f t="shared" si="20"/>
        <v>PL10</v>
      </c>
      <c r="AZ119" s="53" t="str">
        <f t="shared" si="21"/>
        <v/>
      </c>
      <c r="BA119" s="53" t="s">
        <v>148</v>
      </c>
      <c r="BB119" s="53" t="s">
        <v>1005</v>
      </c>
      <c r="BC119" s="53" t="s">
        <v>1006</v>
      </c>
      <c r="BD119" s="53"/>
      <c r="BE119" s="53"/>
      <c r="BF119" s="83"/>
      <c r="BG119" s="53"/>
      <c r="BH119" s="53"/>
    </row>
    <row r="120" spans="3:60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9"/>
        <v>0</v>
      </c>
      <c r="M120" s="26">
        <f t="shared" si="16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67">
        <f>SUMIFS([1]Up!$J:$J,[1]Up!$D:$D,D120)</f>
        <v>0</v>
      </c>
      <c r="AX120" s="82"/>
      <c r="AY120" s="82" t="str">
        <f t="shared" si="20"/>
        <v>PL12</v>
      </c>
      <c r="AZ120" s="53" t="str">
        <f t="shared" si="21"/>
        <v/>
      </c>
      <c r="BA120" s="53" t="s">
        <v>148</v>
      </c>
      <c r="BB120" s="53" t="s">
        <v>1021</v>
      </c>
      <c r="BC120" s="53" t="s">
        <v>1022</v>
      </c>
      <c r="BD120" s="53" t="s">
        <v>2100</v>
      </c>
      <c r="BE120" s="53">
        <v>1</v>
      </c>
      <c r="BF120" s="83">
        <v>46303</v>
      </c>
      <c r="BG120" s="53"/>
      <c r="BH120" s="53"/>
    </row>
    <row r="121" spans="3:60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9"/>
        <v>0</v>
      </c>
      <c r="M121" s="26">
        <f t="shared" si="16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67">
        <f>SUMIFS([1]Up!$J:$J,[1]Up!$D:$D,D121)</f>
        <v>0</v>
      </c>
      <c r="AX121" s="82"/>
      <c r="AY121" s="82" t="str">
        <f t="shared" si="20"/>
        <v>PL20</v>
      </c>
      <c r="AZ121" s="53" t="str">
        <f t="shared" si="21"/>
        <v/>
      </c>
      <c r="BA121" s="53" t="s">
        <v>148</v>
      </c>
      <c r="BB121" s="53" t="s">
        <v>1100</v>
      </c>
      <c r="BC121" s="53" t="s">
        <v>1101</v>
      </c>
      <c r="BD121" s="53" t="s">
        <v>2102</v>
      </c>
      <c r="BE121" s="53">
        <v>2</v>
      </c>
      <c r="BF121" s="83">
        <v>46303</v>
      </c>
      <c r="BG121" s="53"/>
      <c r="BH121" s="53"/>
    </row>
    <row r="122" spans="3:60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9"/>
        <v>0</v>
      </c>
      <c r="M122" s="26">
        <f t="shared" si="16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67">
        <f>SUMIFS([1]Up!$J:$J,[1]Up!$D:$D,D122)</f>
        <v>0</v>
      </c>
      <c r="AX122" s="82"/>
      <c r="AY122" s="82" t="str">
        <f t="shared" si="20"/>
        <v>PL15</v>
      </c>
      <c r="AZ122" s="53" t="str">
        <f t="shared" si="21"/>
        <v/>
      </c>
      <c r="BA122" s="53" t="s">
        <v>148</v>
      </c>
      <c r="BB122" s="53" t="s">
        <v>1094</v>
      </c>
      <c r="BC122" s="53" t="s">
        <v>1095</v>
      </c>
      <c r="BD122" s="53" t="s">
        <v>2101</v>
      </c>
      <c r="BE122" s="53">
        <v>2</v>
      </c>
      <c r="BF122" s="83">
        <v>46120</v>
      </c>
      <c r="BG122" s="53"/>
      <c r="BH122" s="53"/>
    </row>
    <row r="123" spans="3:60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9"/>
        <v>0</v>
      </c>
      <c r="M123" s="26">
        <f t="shared" si="1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67">
        <f>SUMIFS([1]Up!$J:$J,[1]Up!$D:$D,D123)</f>
        <v>0</v>
      </c>
      <c r="AX123" s="82"/>
      <c r="AY123" s="82" t="str">
        <f t="shared" si="20"/>
        <v>PL10</v>
      </c>
      <c r="AZ123" s="53" t="str">
        <f t="shared" si="21"/>
        <v/>
      </c>
      <c r="BA123" s="53" t="s">
        <v>154</v>
      </c>
      <c r="BB123" s="53" t="s">
        <v>1005</v>
      </c>
      <c r="BC123" s="53" t="s">
        <v>1006</v>
      </c>
      <c r="BD123" s="53"/>
      <c r="BE123" s="53"/>
      <c r="BF123" s="83"/>
      <c r="BG123" s="53"/>
      <c r="BH123" s="53"/>
    </row>
    <row r="124" spans="3:60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9"/>
        <v>0</v>
      </c>
      <c r="M124" s="26">
        <f t="shared" si="16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67">
        <f>SUMIFS([1]Up!$J:$J,[1]Up!$D:$D,D124)</f>
        <v>0</v>
      </c>
      <c r="AX124" s="82"/>
      <c r="AY124" s="82" t="str">
        <f t="shared" si="20"/>
        <v>PL10</v>
      </c>
      <c r="AZ124" s="53" t="str">
        <f t="shared" si="21"/>
        <v/>
      </c>
      <c r="BA124" s="53" t="s">
        <v>154</v>
      </c>
      <c r="BB124" s="53" t="s">
        <v>1005</v>
      </c>
      <c r="BC124" s="53" t="s">
        <v>1006</v>
      </c>
      <c r="BD124" s="53"/>
      <c r="BE124" s="53"/>
      <c r="BF124" s="83"/>
      <c r="BG124" s="53"/>
      <c r="BH124" s="53"/>
    </row>
    <row r="125" spans="3:60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9"/>
        <v>0</v>
      </c>
      <c r="M125" s="26">
        <f t="shared" si="16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67">
        <f>SUMIFS([1]Up!$J:$J,[1]Up!$D:$D,D125)</f>
        <v>0</v>
      </c>
      <c r="AX125" s="82"/>
      <c r="AY125" s="82" t="str">
        <f t="shared" si="20"/>
        <v>PL12</v>
      </c>
      <c r="AZ125" s="53" t="str">
        <f t="shared" si="21"/>
        <v/>
      </c>
      <c r="BA125" s="53" t="s">
        <v>154</v>
      </c>
      <c r="BB125" s="53" t="s">
        <v>1021</v>
      </c>
      <c r="BC125" s="53" t="s">
        <v>1022</v>
      </c>
      <c r="BD125" s="53" t="s">
        <v>57</v>
      </c>
      <c r="BE125" s="53">
        <v>1</v>
      </c>
      <c r="BF125" s="83"/>
      <c r="BG125" s="53"/>
      <c r="BH125" s="53"/>
    </row>
    <row r="126" spans="3:60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9"/>
        <v>0</v>
      </c>
      <c r="M126" s="26">
        <f t="shared" si="16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67">
        <f>SUMIFS([1]Up!$J:$J,[1]Up!$D:$D,D126)</f>
        <v>0</v>
      </c>
      <c r="AX126" s="82"/>
      <c r="AY126" s="82" t="str">
        <f t="shared" si="20"/>
        <v>PL10</v>
      </c>
      <c r="AZ126" s="53" t="str">
        <f t="shared" si="21"/>
        <v/>
      </c>
      <c r="BA126" s="53" t="s">
        <v>148</v>
      </c>
      <c r="BB126" s="53" t="s">
        <v>1005</v>
      </c>
      <c r="BC126" s="53" t="s">
        <v>1006</v>
      </c>
      <c r="BD126" s="53"/>
      <c r="BE126" s="53"/>
      <c r="BF126" s="83"/>
      <c r="BG126" s="53"/>
      <c r="BH126" s="53"/>
    </row>
    <row r="127" spans="3:60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9"/>
        <v>0</v>
      </c>
      <c r="M127" s="26">
        <f t="shared" si="16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67">
        <f>SUMIFS([1]Up!$J:$J,[1]Up!$D:$D,D127)</f>
        <v>0</v>
      </c>
      <c r="AX127" s="82"/>
      <c r="AY127" s="82" t="str">
        <f t="shared" si="20"/>
        <v>PL12</v>
      </c>
      <c r="AZ127" s="53" t="str">
        <f t="shared" si="21"/>
        <v/>
      </c>
      <c r="BA127" s="53" t="s">
        <v>148</v>
      </c>
      <c r="BB127" s="53" t="s">
        <v>1021</v>
      </c>
      <c r="BC127" s="53" t="s">
        <v>1022</v>
      </c>
      <c r="BD127" s="53" t="s">
        <v>2100</v>
      </c>
      <c r="BE127" s="53">
        <v>1</v>
      </c>
      <c r="BF127" s="83">
        <v>46303</v>
      </c>
      <c r="BG127" s="53"/>
      <c r="BH127" s="53"/>
    </row>
    <row r="128" spans="3:60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9"/>
        <v>0</v>
      </c>
      <c r="M128" s="26">
        <f t="shared" si="16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67">
        <f>SUMIFS([1]Up!$J:$J,[1]Up!$D:$D,D128)</f>
        <v>0</v>
      </c>
      <c r="AX128" s="82"/>
      <c r="AY128" s="82" t="str">
        <f t="shared" si="20"/>
        <v/>
      </c>
      <c r="AZ128" s="53" t="str">
        <f t="shared" si="21"/>
        <v/>
      </c>
      <c r="BA128" s="53" t="s">
        <v>148</v>
      </c>
      <c r="BB128" s="53" t="s">
        <v>1079</v>
      </c>
      <c r="BC128" s="53" t="s">
        <v>1076</v>
      </c>
      <c r="BD128" s="53" t="s">
        <v>2105</v>
      </c>
      <c r="BE128" s="53">
        <v>2</v>
      </c>
      <c r="BF128" s="83">
        <v>46120</v>
      </c>
      <c r="BG128" s="53"/>
      <c r="BH128" s="53"/>
    </row>
    <row r="129" spans="3:60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9"/>
        <v>0</v>
      </c>
      <c r="M129" s="26">
        <f t="shared" si="16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67">
        <f>SUMIFS([1]Up!$J:$J,[1]Up!$D:$D,D129)</f>
        <v>0</v>
      </c>
      <c r="AX129" s="82"/>
      <c r="AY129" s="82" t="str">
        <f t="shared" si="20"/>
        <v>PL10</v>
      </c>
      <c r="AZ129" s="53" t="str">
        <f t="shared" si="21"/>
        <v/>
      </c>
      <c r="BA129" s="53" t="s">
        <v>154</v>
      </c>
      <c r="BB129" s="53" t="s">
        <v>1005</v>
      </c>
      <c r="BC129" s="53" t="s">
        <v>1006</v>
      </c>
      <c r="BD129" s="53"/>
      <c r="BE129" s="53"/>
      <c r="BF129" s="83"/>
      <c r="BG129" s="53"/>
      <c r="BH129" s="53"/>
    </row>
    <row r="130" spans="3:60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9"/>
        <v>0</v>
      </c>
      <c r="M130" s="26">
        <f t="shared" si="1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67">
        <f>SUMIFS([1]Up!$J:$J,[1]Up!$D:$D,D130)</f>
        <v>0</v>
      </c>
      <c r="AX130" s="82"/>
      <c r="AY130" s="82" t="str">
        <f t="shared" si="20"/>
        <v>PL20</v>
      </c>
      <c r="AZ130" s="53" t="str">
        <f t="shared" si="21"/>
        <v/>
      </c>
      <c r="BA130" s="53" t="s">
        <v>148</v>
      </c>
      <c r="BB130" s="53" t="s">
        <v>1100</v>
      </c>
      <c r="BC130" s="53" t="s">
        <v>1101</v>
      </c>
      <c r="BD130" s="53" t="s">
        <v>2102</v>
      </c>
      <c r="BE130" s="53">
        <v>2</v>
      </c>
      <c r="BF130" s="83">
        <v>46303</v>
      </c>
      <c r="BG130" s="53"/>
      <c r="BH130" s="53"/>
    </row>
    <row r="131" spans="3:60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9"/>
        <v>0</v>
      </c>
      <c r="M131" s="26">
        <f t="shared" si="1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67">
        <f>SUMIFS([1]Up!$J:$J,[1]Up!$D:$D,D131)</f>
        <v>0</v>
      </c>
      <c r="AX131" s="82"/>
      <c r="AY131" s="82" t="str">
        <f t="shared" si="20"/>
        <v/>
      </c>
      <c r="AZ131" s="53" t="str">
        <f t="shared" si="21"/>
        <v/>
      </c>
      <c r="BA131" s="53" t="s">
        <v>148</v>
      </c>
      <c r="BB131" s="53" t="s">
        <v>1100</v>
      </c>
      <c r="BC131" s="53" t="s">
        <v>1101</v>
      </c>
      <c r="BD131" s="53"/>
      <c r="BE131" s="53"/>
      <c r="BF131" s="83"/>
      <c r="BG131" s="53"/>
      <c r="BH131" s="53"/>
    </row>
    <row r="132" spans="3:60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9"/>
        <v>0</v>
      </c>
      <c r="M132" s="26">
        <f t="shared" si="16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67">
        <f>SUMIFS([1]Up!$J:$J,[1]Up!$D:$D,D132)</f>
        <v>0</v>
      </c>
      <c r="AX132" s="82"/>
      <c r="AY132" s="82" t="str">
        <f t="shared" si="20"/>
        <v>PL30</v>
      </c>
      <c r="AZ132" s="53" t="str">
        <f t="shared" si="21"/>
        <v/>
      </c>
      <c r="BA132" s="53" t="s">
        <v>148</v>
      </c>
      <c r="BB132" s="53" t="s">
        <v>1059</v>
      </c>
      <c r="BC132" s="53" t="s">
        <v>1060</v>
      </c>
      <c r="BD132" s="53" t="s">
        <v>2120</v>
      </c>
      <c r="BE132" s="53">
        <v>1</v>
      </c>
      <c r="BF132" s="83">
        <v>46120</v>
      </c>
      <c r="BG132" s="53"/>
      <c r="BH132" s="53"/>
    </row>
    <row r="133" spans="3:60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9"/>
        <v>0</v>
      </c>
      <c r="M133" s="26">
        <f t="shared" si="16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67">
        <f>SUMIFS([1]Up!$J:$J,[1]Up!$D:$D,D133)</f>
        <v>0</v>
      </c>
      <c r="AX133" s="82"/>
      <c r="AY133" s="82" t="str">
        <f t="shared" si="20"/>
        <v>PL15</v>
      </c>
      <c r="AZ133" s="53" t="str">
        <f t="shared" si="21"/>
        <v/>
      </c>
      <c r="BA133" s="53" t="s">
        <v>148</v>
      </c>
      <c r="BB133" s="53" t="s">
        <v>1094</v>
      </c>
      <c r="BC133" s="53" t="s">
        <v>1095</v>
      </c>
      <c r="BD133" s="53" t="s">
        <v>2101</v>
      </c>
      <c r="BE133" s="53">
        <v>2</v>
      </c>
      <c r="BF133" s="83">
        <v>46120</v>
      </c>
      <c r="BG133" s="53"/>
      <c r="BH133" s="53"/>
    </row>
    <row r="134" spans="3:60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9"/>
        <v>0</v>
      </c>
      <c r="M134" s="26">
        <f t="shared" si="1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67">
        <f>SUMIFS([1]Up!$J:$J,[1]Up!$D:$D,D134)</f>
        <v>0</v>
      </c>
      <c r="AX134" s="82"/>
      <c r="AY134" s="82" t="str">
        <f t="shared" si="20"/>
        <v>PL10</v>
      </c>
      <c r="AZ134" s="53" t="str">
        <f t="shared" si="21"/>
        <v/>
      </c>
      <c r="BA134" s="53" t="s">
        <v>148</v>
      </c>
      <c r="BB134" s="53" t="s">
        <v>1005</v>
      </c>
      <c r="BC134" s="53" t="s">
        <v>1006</v>
      </c>
      <c r="BD134" s="53"/>
      <c r="BE134" s="53"/>
      <c r="BF134" s="83"/>
      <c r="BG134" s="53"/>
      <c r="BH134" s="53"/>
    </row>
    <row r="135" spans="3:60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9"/>
        <v>0</v>
      </c>
      <c r="M135" s="26">
        <f t="shared" si="16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67">
        <f>SUMIFS([1]Up!$J:$J,[1]Up!$D:$D,D135)</f>
        <v>0</v>
      </c>
      <c r="AX135" s="82"/>
      <c r="AY135" s="82" t="str">
        <f t="shared" si="20"/>
        <v>PL16</v>
      </c>
      <c r="AZ135" s="53" t="str">
        <f t="shared" si="21"/>
        <v/>
      </c>
      <c r="BA135" s="53" t="s">
        <v>148</v>
      </c>
      <c r="BB135" s="53" t="s">
        <v>988</v>
      </c>
      <c r="BC135" s="53" t="s">
        <v>989</v>
      </c>
      <c r="BD135" s="53" t="s">
        <v>2104</v>
      </c>
      <c r="BE135" s="53">
        <v>4</v>
      </c>
      <c r="BF135" s="83">
        <v>46120</v>
      </c>
      <c r="BG135" s="53"/>
      <c r="BH135" s="53"/>
    </row>
    <row r="136" spans="3:60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9"/>
        <v>0</v>
      </c>
      <c r="M136" s="26">
        <f t="shared" si="16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67">
        <f>SUMIFS([1]Up!$J:$J,[1]Up!$D:$D,D136)</f>
        <v>0</v>
      </c>
      <c r="AX136" s="82"/>
      <c r="AY136" s="82" t="str">
        <f t="shared" si="20"/>
        <v>PL15</v>
      </c>
      <c r="AZ136" s="53" t="str">
        <f t="shared" si="21"/>
        <v/>
      </c>
      <c r="BA136" s="53" t="s">
        <v>148</v>
      </c>
      <c r="BB136" s="53" t="s">
        <v>1094</v>
      </c>
      <c r="BC136" s="53" t="s">
        <v>1095</v>
      </c>
      <c r="BD136" s="53" t="s">
        <v>2101</v>
      </c>
      <c r="BE136" s="53">
        <v>2</v>
      </c>
      <c r="BF136" s="83">
        <v>46120</v>
      </c>
      <c r="BG136" s="53"/>
      <c r="BH136" s="53"/>
    </row>
    <row r="137" spans="3:60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9"/>
        <v>0</v>
      </c>
      <c r="M137" s="26">
        <f t="shared" si="1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67">
        <f>SUMIFS([1]Up!$J:$J,[1]Up!$D:$D,D137)</f>
        <v>0</v>
      </c>
      <c r="AX137" s="82"/>
      <c r="AY137" s="82" t="str">
        <f t="shared" si="20"/>
        <v>PL16</v>
      </c>
      <c r="AZ137" s="53" t="str">
        <f t="shared" si="21"/>
        <v/>
      </c>
      <c r="BA137" s="53" t="s">
        <v>148</v>
      </c>
      <c r="BB137" s="53" t="s">
        <v>988</v>
      </c>
      <c r="BC137" s="53" t="s">
        <v>989</v>
      </c>
      <c r="BD137" s="53" t="s">
        <v>2104</v>
      </c>
      <c r="BE137" s="53">
        <v>2</v>
      </c>
      <c r="BF137" s="83">
        <v>46120</v>
      </c>
      <c r="BG137" s="53"/>
      <c r="BH137" s="53"/>
    </row>
    <row r="138" spans="3:60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9"/>
        <v>0</v>
      </c>
      <c r="M138" s="26">
        <f t="shared" si="16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67">
        <f>SUMIFS([1]Up!$J:$J,[1]Up!$D:$D,D138)</f>
        <v>0</v>
      </c>
      <c r="AX138" s="82"/>
      <c r="AY138" s="82" t="str">
        <f t="shared" si="20"/>
        <v>PL20</v>
      </c>
      <c r="AZ138" s="53" t="str">
        <f t="shared" si="21"/>
        <v/>
      </c>
      <c r="BA138" s="53" t="s">
        <v>148</v>
      </c>
      <c r="BB138" s="53" t="s">
        <v>1100</v>
      </c>
      <c r="BC138" s="53" t="s">
        <v>1101</v>
      </c>
      <c r="BD138" s="53" t="s">
        <v>2102</v>
      </c>
      <c r="BE138" s="53">
        <v>2</v>
      </c>
      <c r="BF138" s="83">
        <v>46303</v>
      </c>
      <c r="BG138" s="53"/>
      <c r="BH138" s="53"/>
    </row>
    <row r="139" spans="3:60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9"/>
        <v>0</v>
      </c>
      <c r="M139" s="26">
        <f t="shared" si="16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67">
        <f>SUMIFS([1]Up!$J:$J,[1]Up!$D:$D,D139)</f>
        <v>0</v>
      </c>
      <c r="AX139" s="82"/>
      <c r="AY139" s="82" t="str">
        <f t="shared" si="20"/>
        <v>PL15</v>
      </c>
      <c r="AZ139" s="53" t="str">
        <f t="shared" si="21"/>
        <v/>
      </c>
      <c r="BA139" s="53" t="s">
        <v>148</v>
      </c>
      <c r="BB139" s="53" t="s">
        <v>1094</v>
      </c>
      <c r="BC139" s="53" t="s">
        <v>1095</v>
      </c>
      <c r="BD139" s="53" t="s">
        <v>2101</v>
      </c>
      <c r="BE139" s="53">
        <v>2</v>
      </c>
      <c r="BF139" s="83">
        <v>46120</v>
      </c>
      <c r="BG139" s="53"/>
      <c r="BH139" s="53"/>
    </row>
    <row r="140" spans="3:60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9"/>
        <v>0</v>
      </c>
      <c r="M140" s="26">
        <f t="shared" si="16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67">
        <f>SUMIFS([1]Up!$J:$J,[1]Up!$D:$D,D140)</f>
        <v>0</v>
      </c>
      <c r="AX140" s="82"/>
      <c r="AY140" s="82" t="str">
        <f t="shared" si="20"/>
        <v>PL10</v>
      </c>
      <c r="AZ140" s="53" t="str">
        <f t="shared" si="21"/>
        <v/>
      </c>
      <c r="BA140" s="53" t="s">
        <v>154</v>
      </c>
      <c r="BB140" s="53" t="s">
        <v>1005</v>
      </c>
      <c r="BC140" s="53" t="s">
        <v>1006</v>
      </c>
      <c r="BD140" s="53"/>
      <c r="BE140" s="53"/>
      <c r="BF140" s="83"/>
      <c r="BG140" s="53"/>
      <c r="BH140" s="53"/>
    </row>
    <row r="141" spans="3:60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9"/>
        <v>0</v>
      </c>
      <c r="M141" s="26">
        <f t="shared" si="16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67">
        <f>SUMIFS([1]Up!$J:$J,[1]Up!$D:$D,D141)</f>
        <v>0</v>
      </c>
      <c r="AX141" s="82"/>
      <c r="AY141" s="82" t="str">
        <f t="shared" si="20"/>
        <v>PL10</v>
      </c>
      <c r="AZ141" s="53" t="str">
        <f t="shared" si="21"/>
        <v/>
      </c>
      <c r="BA141" s="53" t="s">
        <v>148</v>
      </c>
      <c r="BB141" s="53" t="s">
        <v>1005</v>
      </c>
      <c r="BC141" s="53" t="s">
        <v>1006</v>
      </c>
      <c r="BD141" s="53"/>
      <c r="BE141" s="53"/>
      <c r="BF141" s="83"/>
      <c r="BG141" s="53"/>
      <c r="BH141" s="53"/>
    </row>
    <row r="142" spans="3:60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9"/>
        <v>0</v>
      </c>
      <c r="M142" s="26">
        <f t="shared" si="1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67">
        <f>SUMIFS([1]Up!$J:$J,[1]Up!$D:$D,D142)</f>
        <v>0</v>
      </c>
      <c r="AX142" s="82"/>
      <c r="AY142" s="82" t="str">
        <f t="shared" si="20"/>
        <v>PL10</v>
      </c>
      <c r="AZ142" s="53" t="str">
        <f t="shared" si="21"/>
        <v/>
      </c>
      <c r="BA142" s="53" t="s">
        <v>148</v>
      </c>
      <c r="BB142" s="53" t="s">
        <v>1005</v>
      </c>
      <c r="BC142" s="53" t="s">
        <v>1006</v>
      </c>
      <c r="BD142" s="53"/>
      <c r="BE142" s="53"/>
      <c r="BF142" s="83"/>
      <c r="BG142" s="53"/>
      <c r="BH142" s="53"/>
    </row>
    <row r="143" spans="3:60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9"/>
        <v>0</v>
      </c>
      <c r="M143" s="26">
        <f t="shared" si="16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67">
        <f>SUMIFS([1]Up!$J:$J,[1]Up!$D:$D,D143)</f>
        <v>0</v>
      </c>
      <c r="AX143" s="82"/>
      <c r="AY143" s="82" t="str">
        <f t="shared" si="20"/>
        <v>PL10</v>
      </c>
      <c r="AZ143" s="53" t="str">
        <f t="shared" si="21"/>
        <v/>
      </c>
      <c r="BA143" s="53" t="s">
        <v>148</v>
      </c>
      <c r="BB143" s="53" t="s">
        <v>1005</v>
      </c>
      <c r="BC143" s="53" t="s">
        <v>1006</v>
      </c>
      <c r="BD143" s="53"/>
      <c r="BE143" s="53"/>
      <c r="BF143" s="83"/>
      <c r="BG143" s="53"/>
      <c r="BH143" s="53"/>
    </row>
    <row r="144" spans="3:60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9"/>
        <v>0</v>
      </c>
      <c r="M144" s="26">
        <f t="shared" si="16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67">
        <f>SUMIFS([1]Up!$J:$J,[1]Up!$D:$D,D144)</f>
        <v>0</v>
      </c>
      <c r="AX144" s="82"/>
      <c r="AY144" s="82" t="str">
        <f t="shared" si="20"/>
        <v>PL15</v>
      </c>
      <c r="AZ144" s="53" t="str">
        <f t="shared" si="21"/>
        <v/>
      </c>
      <c r="BA144" s="53" t="s">
        <v>148</v>
      </c>
      <c r="BB144" s="53" t="s">
        <v>1094</v>
      </c>
      <c r="BC144" s="53" t="s">
        <v>1095</v>
      </c>
      <c r="BD144" s="53" t="s">
        <v>2101</v>
      </c>
      <c r="BE144" s="53">
        <v>1</v>
      </c>
      <c r="BF144" s="83">
        <v>46120</v>
      </c>
      <c r="BG144" s="53"/>
      <c r="BH144" s="53"/>
    </row>
    <row r="145" spans="3:60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9"/>
        <v>0</v>
      </c>
      <c r="M145" s="26">
        <f t="shared" si="16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67">
        <f>SUMIFS([1]Up!$J:$J,[1]Up!$D:$D,D145)</f>
        <v>0</v>
      </c>
      <c r="AX145" s="82"/>
      <c r="AY145" s="82" t="str">
        <f t="shared" si="20"/>
        <v>PL10</v>
      </c>
      <c r="AZ145" s="53" t="str">
        <f t="shared" si="21"/>
        <v/>
      </c>
      <c r="BA145" s="53" t="s">
        <v>148</v>
      </c>
      <c r="BB145" s="53" t="s">
        <v>1005</v>
      </c>
      <c r="BC145" s="53" t="s">
        <v>1006</v>
      </c>
      <c r="BD145" s="53"/>
      <c r="BE145" s="53"/>
      <c r="BF145" s="83"/>
      <c r="BG145" s="53"/>
      <c r="BH145" s="53"/>
    </row>
    <row r="146" spans="3:60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9"/>
        <v>0</v>
      </c>
      <c r="M146" s="26">
        <f t="shared" si="16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67">
        <f>SUMIFS([1]Up!$J:$J,[1]Up!$D:$D,D146)</f>
        <v>0</v>
      </c>
      <c r="AX146" s="82"/>
      <c r="AY146" s="82" t="str">
        <f t="shared" si="20"/>
        <v>PL20</v>
      </c>
      <c r="AZ146" s="53" t="str">
        <f t="shared" si="21"/>
        <v/>
      </c>
      <c r="BA146" s="53" t="s">
        <v>148</v>
      </c>
      <c r="BB146" s="53" t="s">
        <v>1100</v>
      </c>
      <c r="BC146" s="53" t="s">
        <v>1101</v>
      </c>
      <c r="BD146" s="53" t="s">
        <v>57</v>
      </c>
      <c r="BE146" s="53">
        <v>2</v>
      </c>
      <c r="BF146" s="83"/>
      <c r="BG146" s="53"/>
      <c r="BH146" s="53"/>
    </row>
    <row r="147" spans="3:60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9"/>
        <v>0</v>
      </c>
      <c r="M147" s="26">
        <f t="shared" si="16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67">
        <f>SUMIFS([1]Up!$J:$J,[1]Up!$D:$D,D147)</f>
        <v>0</v>
      </c>
      <c r="AX147" s="82"/>
      <c r="AY147" s="82" t="str">
        <f t="shared" si="20"/>
        <v>PL10</v>
      </c>
      <c r="AZ147" s="53" t="str">
        <f t="shared" si="21"/>
        <v/>
      </c>
      <c r="BA147" s="53" t="s">
        <v>154</v>
      </c>
      <c r="BB147" s="53" t="s">
        <v>1005</v>
      </c>
      <c r="BC147" s="53" t="s">
        <v>1006</v>
      </c>
      <c r="BD147" s="53"/>
      <c r="BE147" s="53"/>
      <c r="BF147" s="83"/>
      <c r="BG147" s="53"/>
      <c r="BH147" s="53"/>
    </row>
    <row r="148" spans="3:60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9"/>
        <v>0</v>
      </c>
      <c r="M148" s="26">
        <f t="shared" si="16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67">
        <f>SUMIFS([1]Up!$J:$J,[1]Up!$D:$D,D148)</f>
        <v>0</v>
      </c>
      <c r="AX148" s="82"/>
      <c r="AY148" s="82" t="str">
        <f t="shared" si="20"/>
        <v/>
      </c>
      <c r="AZ148" s="53" t="str">
        <f t="shared" si="21"/>
        <v/>
      </c>
      <c r="BA148" s="53" t="s">
        <v>148</v>
      </c>
      <c r="BB148" s="53" t="s">
        <v>1079</v>
      </c>
      <c r="BC148" s="53" t="s">
        <v>1076</v>
      </c>
      <c r="BD148" s="53" t="s">
        <v>2105</v>
      </c>
      <c r="BE148" s="53">
        <v>6</v>
      </c>
      <c r="BF148" s="83">
        <v>46120</v>
      </c>
      <c r="BG148" s="53"/>
      <c r="BH148" s="53"/>
    </row>
    <row r="149" spans="3:60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9"/>
        <v>0</v>
      </c>
      <c r="M149" s="26">
        <f t="shared" si="16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67">
        <f>SUMIFS([1]Up!$J:$J,[1]Up!$D:$D,D149)</f>
        <v>0</v>
      </c>
      <c r="AX149" s="82"/>
      <c r="AY149" s="82" t="str">
        <f t="shared" si="20"/>
        <v>PL10</v>
      </c>
      <c r="AZ149" s="53" t="str">
        <f t="shared" si="21"/>
        <v/>
      </c>
      <c r="BA149" s="53" t="s">
        <v>154</v>
      </c>
      <c r="BB149" s="53" t="s">
        <v>1005</v>
      </c>
      <c r="BC149" s="53" t="s">
        <v>1006</v>
      </c>
      <c r="BD149" s="53"/>
      <c r="BE149" s="53"/>
      <c r="BF149" s="83"/>
      <c r="BG149" s="53"/>
      <c r="BH149" s="53"/>
    </row>
    <row r="150" spans="3:60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9"/>
        <v>0</v>
      </c>
      <c r="M150" s="26">
        <f t="shared" si="16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67">
        <f>SUMIFS([1]Up!$J:$J,[1]Up!$D:$D,D150)</f>
        <v>0</v>
      </c>
      <c r="AX150" s="82"/>
      <c r="AY150" s="82" t="str">
        <f t="shared" si="20"/>
        <v>PL20</v>
      </c>
      <c r="AZ150" s="53" t="str">
        <f t="shared" si="21"/>
        <v/>
      </c>
      <c r="BA150" s="53" t="s">
        <v>148</v>
      </c>
      <c r="BB150" s="53" t="s">
        <v>1100</v>
      </c>
      <c r="BC150" s="53" t="s">
        <v>1101</v>
      </c>
      <c r="BD150" s="53" t="s">
        <v>2102</v>
      </c>
      <c r="BE150" s="53">
        <v>2</v>
      </c>
      <c r="BF150" s="83">
        <v>46303</v>
      </c>
      <c r="BG150" s="53"/>
      <c r="BH150" s="53"/>
    </row>
    <row r="151" spans="3:60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9"/>
        <v>0</v>
      </c>
      <c r="M151" s="26">
        <f t="shared" si="16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67">
        <f>SUMIFS([1]Up!$J:$J,[1]Up!$D:$D,D151)</f>
        <v>0</v>
      </c>
      <c r="AX151" s="82"/>
      <c r="AY151" s="82" t="str">
        <f t="shared" si="20"/>
        <v>PL15</v>
      </c>
      <c r="AZ151" s="53" t="str">
        <f t="shared" si="21"/>
        <v/>
      </c>
      <c r="BA151" s="53" t="s">
        <v>148</v>
      </c>
      <c r="BB151" s="53" t="s">
        <v>1094</v>
      </c>
      <c r="BC151" s="53" t="s">
        <v>1095</v>
      </c>
      <c r="BD151" s="53" t="s">
        <v>2101</v>
      </c>
      <c r="BE151" s="53">
        <v>2</v>
      </c>
      <c r="BF151" s="83">
        <v>46120</v>
      </c>
      <c r="BG151" s="53"/>
      <c r="BH151" s="53"/>
    </row>
    <row r="152" spans="3:60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9"/>
        <v>0</v>
      </c>
      <c r="M152" s="26">
        <f t="shared" si="16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67">
        <f>SUMIFS([1]Up!$J:$J,[1]Up!$D:$D,D152)</f>
        <v>0</v>
      </c>
      <c r="AX152" s="82"/>
      <c r="AY152" s="82" t="str">
        <f t="shared" si="20"/>
        <v>PL15</v>
      </c>
      <c r="AZ152" s="53" t="str">
        <f t="shared" si="21"/>
        <v/>
      </c>
      <c r="BA152" s="53" t="s">
        <v>148</v>
      </c>
      <c r="BB152" s="53" t="s">
        <v>1094</v>
      </c>
      <c r="BC152" s="53" t="s">
        <v>1095</v>
      </c>
      <c r="BD152" s="53" t="s">
        <v>2101</v>
      </c>
      <c r="BE152" s="53">
        <v>2</v>
      </c>
      <c r="BF152" s="83">
        <v>46120</v>
      </c>
      <c r="BG152" s="53"/>
      <c r="BH152" s="53"/>
    </row>
    <row r="153" spans="3:60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9"/>
        <v>0</v>
      </c>
      <c r="M153" s="26">
        <f t="shared" si="16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67">
        <f>SUMIFS([1]Up!$J:$J,[1]Up!$D:$D,D153)</f>
        <v>0</v>
      </c>
      <c r="AX153" s="82"/>
      <c r="AY153" s="82" t="str">
        <f t="shared" si="20"/>
        <v>PL10</v>
      </c>
      <c r="AZ153" s="53" t="str">
        <f t="shared" si="21"/>
        <v/>
      </c>
      <c r="BA153" s="53" t="s">
        <v>148</v>
      </c>
      <c r="BB153" s="53" t="s">
        <v>1005</v>
      </c>
      <c r="BC153" s="53" t="s">
        <v>1006</v>
      </c>
      <c r="BD153" s="53"/>
      <c r="BE153" s="53"/>
      <c r="BF153" s="83"/>
      <c r="BG153" s="53"/>
      <c r="BH153" s="53"/>
    </row>
    <row r="154" spans="3:60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9"/>
        <v>0</v>
      </c>
      <c r="M154" s="26">
        <f t="shared" si="16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67">
        <f>SUMIFS([1]Up!$J:$J,[1]Up!$D:$D,D154)</f>
        <v>0</v>
      </c>
      <c r="AX154" s="82"/>
      <c r="AY154" s="82" t="str">
        <f t="shared" si="20"/>
        <v>PL10</v>
      </c>
      <c r="AZ154" s="53" t="str">
        <f t="shared" si="21"/>
        <v/>
      </c>
      <c r="BA154" s="53" t="s">
        <v>148</v>
      </c>
      <c r="BB154" s="53" t="s">
        <v>1005</v>
      </c>
      <c r="BC154" s="53" t="s">
        <v>1006</v>
      </c>
      <c r="BD154" s="53"/>
      <c r="BE154" s="53"/>
      <c r="BF154" s="83"/>
      <c r="BG154" s="53"/>
      <c r="BH154" s="53"/>
    </row>
    <row r="155" spans="3:60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9"/>
        <v>0</v>
      </c>
      <c r="M155" s="26">
        <f t="shared" si="16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67">
        <f>SUMIFS([1]Up!$J:$J,[1]Up!$D:$D,D155)</f>
        <v>0</v>
      </c>
      <c r="AX155" s="82"/>
      <c r="AY155" s="82" t="str">
        <f t="shared" si="20"/>
        <v>PL15</v>
      </c>
      <c r="AZ155" s="53" t="str">
        <f t="shared" si="21"/>
        <v/>
      </c>
      <c r="BA155" s="53" t="s">
        <v>148</v>
      </c>
      <c r="BB155" s="53" t="s">
        <v>1094</v>
      </c>
      <c r="BC155" s="53" t="s">
        <v>1095</v>
      </c>
      <c r="BD155" s="53" t="s">
        <v>2101</v>
      </c>
      <c r="BE155" s="53">
        <v>3</v>
      </c>
      <c r="BF155" s="83">
        <v>46120</v>
      </c>
      <c r="BG155" s="53"/>
      <c r="BH155" s="53"/>
    </row>
    <row r="156" spans="3:60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9"/>
        <v>0</v>
      </c>
      <c r="M156" s="26">
        <f t="shared" si="16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67">
        <f>SUMIFS([1]Up!$J:$J,[1]Up!$D:$D,D156)</f>
        <v>0</v>
      </c>
      <c r="AX156" s="82"/>
      <c r="AY156" s="82" t="str">
        <f t="shared" si="20"/>
        <v>PL10</v>
      </c>
      <c r="AZ156" s="53" t="str">
        <f t="shared" si="21"/>
        <v/>
      </c>
      <c r="BA156" s="53" t="s">
        <v>148</v>
      </c>
      <c r="BB156" s="53" t="s">
        <v>1094</v>
      </c>
      <c r="BC156" s="53" t="s">
        <v>1095</v>
      </c>
      <c r="BD156" s="53"/>
      <c r="BE156" s="53"/>
      <c r="BF156" s="83"/>
      <c r="BG156" s="53"/>
      <c r="BH156" s="53"/>
    </row>
    <row r="157" spans="3:60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9"/>
        <v>0</v>
      </c>
      <c r="M157" s="26">
        <f t="shared" si="16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67">
        <f>SUMIFS([1]Up!$J:$J,[1]Up!$D:$D,D157)</f>
        <v>0</v>
      </c>
      <c r="AX157" s="82"/>
      <c r="AY157" s="82" t="str">
        <f t="shared" si="20"/>
        <v>PL10</v>
      </c>
      <c r="AZ157" s="53" t="str">
        <f t="shared" si="21"/>
        <v/>
      </c>
      <c r="BA157" s="53" t="s">
        <v>148</v>
      </c>
      <c r="BB157" s="53" t="s">
        <v>1005</v>
      </c>
      <c r="BC157" s="53" t="s">
        <v>1006</v>
      </c>
      <c r="BD157" s="53"/>
      <c r="BE157" s="53"/>
      <c r="BF157" s="83"/>
      <c r="BG157" s="53"/>
      <c r="BH157" s="53"/>
    </row>
    <row r="158" spans="3:60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2">MIN(SUM(N158:AV158),I158)</f>
        <v>0</v>
      </c>
      <c r="M158" s="26">
        <f t="shared" si="16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67">
        <f>SUMIFS([1]Up!$J:$J,[1]Up!$D:$D,D158)</f>
        <v>0</v>
      </c>
      <c r="AX158" s="82"/>
      <c r="AY158" s="82" t="str">
        <f t="shared" ref="AY158:AY221" si="23">IFERROR(IF(C158="Plate",LEFT(E158,FIND("*",E158,1)-1),""),IF(C158="Plate",LEFT(E158,FIND("x",E158,1)-1),""))</f>
        <v>PL16</v>
      </c>
      <c r="AZ158" s="53" t="str">
        <f t="shared" ref="AZ158:AZ221" si="24">IF(ROUND(SUM(N158:AV158)-I158,0)&gt;0,"Thừa "&amp;SUM(N158:AV158)-I158,"")</f>
        <v/>
      </c>
      <c r="BA158" s="53" t="s">
        <v>148</v>
      </c>
      <c r="BB158" s="53" t="s">
        <v>988</v>
      </c>
      <c r="BC158" s="53" t="s">
        <v>989</v>
      </c>
      <c r="BD158" s="53" t="s">
        <v>2104</v>
      </c>
      <c r="BE158" s="53">
        <v>2</v>
      </c>
      <c r="BF158" s="83">
        <v>46120</v>
      </c>
      <c r="BG158" s="53"/>
      <c r="BH158" s="53"/>
    </row>
    <row r="159" spans="3:60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2"/>
        <v>0</v>
      </c>
      <c r="M159" s="26">
        <f t="shared" si="16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67">
        <f>SUMIFS([1]Up!$J:$J,[1]Up!$D:$D,D159)</f>
        <v>0</v>
      </c>
      <c r="AX159" s="82"/>
      <c r="AY159" s="82" t="str">
        <f t="shared" si="23"/>
        <v>PL16</v>
      </c>
      <c r="AZ159" s="53" t="str">
        <f t="shared" si="24"/>
        <v/>
      </c>
      <c r="BA159" s="53" t="s">
        <v>148</v>
      </c>
      <c r="BB159" s="53" t="s">
        <v>988</v>
      </c>
      <c r="BC159" s="53" t="s">
        <v>989</v>
      </c>
      <c r="BD159" s="53" t="s">
        <v>2104</v>
      </c>
      <c r="BE159" s="53">
        <v>10</v>
      </c>
      <c r="BF159" s="83">
        <v>46120</v>
      </c>
      <c r="BG159" s="53"/>
      <c r="BH159" s="53"/>
    </row>
    <row r="160" spans="3:60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2"/>
        <v>0</v>
      </c>
      <c r="M160" s="26">
        <f t="shared" si="16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67">
        <f>SUMIFS([1]Up!$J:$J,[1]Up!$D:$D,D160)</f>
        <v>0</v>
      </c>
      <c r="AX160" s="82"/>
      <c r="AY160" s="82" t="str">
        <f t="shared" si="23"/>
        <v/>
      </c>
      <c r="AZ160" s="53" t="str">
        <f t="shared" si="24"/>
        <v/>
      </c>
      <c r="BA160" s="53" t="s">
        <v>148</v>
      </c>
      <c r="BB160" s="53" t="s">
        <v>1079</v>
      </c>
      <c r="BC160" s="53" t="s">
        <v>1076</v>
      </c>
      <c r="BD160" s="53" t="s">
        <v>2105</v>
      </c>
      <c r="BE160" s="53">
        <v>3</v>
      </c>
      <c r="BF160" s="83">
        <v>46120</v>
      </c>
      <c r="BG160" s="53"/>
      <c r="BH160" s="53"/>
    </row>
    <row r="161" spans="3:60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2"/>
        <v>0</v>
      </c>
      <c r="M161" s="26">
        <f t="shared" si="16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67">
        <f>SUMIFS([1]Up!$J:$J,[1]Up!$D:$D,D161)</f>
        <v>0</v>
      </c>
      <c r="AX161" s="82"/>
      <c r="AY161" s="82" t="str">
        <f t="shared" si="23"/>
        <v>PL8</v>
      </c>
      <c r="AZ161" s="53" t="str">
        <f t="shared" si="24"/>
        <v/>
      </c>
      <c r="BA161" s="53" t="s">
        <v>154</v>
      </c>
      <c r="BB161" s="53" t="s">
        <v>1012</v>
      </c>
      <c r="BC161" s="53" t="s">
        <v>1013</v>
      </c>
      <c r="BD161" s="53" t="s">
        <v>57</v>
      </c>
      <c r="BE161" s="53">
        <v>1</v>
      </c>
      <c r="BF161" s="83"/>
      <c r="BG161" s="53"/>
      <c r="BH161" s="53"/>
    </row>
    <row r="162" spans="3:60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2"/>
        <v>0</v>
      </c>
      <c r="M162" s="26">
        <f t="shared" si="16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67">
        <f>SUMIFS([1]Up!$J:$J,[1]Up!$D:$D,D162)</f>
        <v>0</v>
      </c>
      <c r="AX162" s="82"/>
      <c r="AY162" s="82" t="str">
        <f t="shared" si="23"/>
        <v>PL15</v>
      </c>
      <c r="AZ162" s="53" t="str">
        <f t="shared" si="24"/>
        <v/>
      </c>
      <c r="BA162" s="53" t="s">
        <v>148</v>
      </c>
      <c r="BB162" s="53" t="s">
        <v>1094</v>
      </c>
      <c r="BC162" s="53" t="s">
        <v>1095</v>
      </c>
      <c r="BD162" s="53" t="s">
        <v>2101</v>
      </c>
      <c r="BE162" s="53">
        <v>2</v>
      </c>
      <c r="BF162" s="83">
        <v>46120</v>
      </c>
      <c r="BG162" s="53"/>
      <c r="BH162" s="53"/>
    </row>
    <row r="163" spans="3:60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2"/>
        <v>0</v>
      </c>
      <c r="M163" s="26">
        <f t="shared" si="16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67">
        <f>SUMIFS([1]Up!$J:$J,[1]Up!$D:$D,D163)</f>
        <v>0</v>
      </c>
      <c r="AX163" s="82"/>
      <c r="AY163" s="82" t="str">
        <f t="shared" si="23"/>
        <v>PL10</v>
      </c>
      <c r="AZ163" s="53" t="str">
        <f t="shared" si="24"/>
        <v/>
      </c>
      <c r="BA163" s="53" t="s">
        <v>154</v>
      </c>
      <c r="BB163" s="53" t="s">
        <v>1005</v>
      </c>
      <c r="BC163" s="53" t="s">
        <v>1006</v>
      </c>
      <c r="BD163" s="53"/>
      <c r="BE163" s="53"/>
      <c r="BF163" s="83"/>
      <c r="BG163" s="53"/>
      <c r="BH163" s="53"/>
    </row>
    <row r="164" spans="3:60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2"/>
        <v>0</v>
      </c>
      <c r="M164" s="26">
        <f t="shared" si="16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67">
        <f>SUMIFS([1]Up!$J:$J,[1]Up!$D:$D,D164)</f>
        <v>0</v>
      </c>
      <c r="AX164" s="82"/>
      <c r="AY164" s="82" t="str">
        <f t="shared" si="23"/>
        <v>PL8</v>
      </c>
      <c r="AZ164" s="53" t="str">
        <f t="shared" si="24"/>
        <v/>
      </c>
      <c r="BA164" s="53" t="s">
        <v>148</v>
      </c>
      <c r="BB164" s="53" t="s">
        <v>1012</v>
      </c>
      <c r="BC164" s="53" t="s">
        <v>1013</v>
      </c>
      <c r="BD164" s="53" t="s">
        <v>57</v>
      </c>
      <c r="BE164" s="53">
        <v>2</v>
      </c>
      <c r="BF164" s="83"/>
      <c r="BG164" s="53"/>
      <c r="BH164" s="53"/>
    </row>
    <row r="165" spans="3:60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2"/>
        <v>0</v>
      </c>
      <c r="M165" s="26">
        <f t="shared" si="1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67">
        <f>SUMIFS([1]Up!$J:$J,[1]Up!$D:$D,D165)</f>
        <v>0</v>
      </c>
      <c r="AX165" s="82"/>
      <c r="AY165" s="82" t="str">
        <f t="shared" si="23"/>
        <v>PL8</v>
      </c>
      <c r="AZ165" s="53" t="str">
        <f t="shared" si="24"/>
        <v/>
      </c>
      <c r="BA165" s="53" t="s">
        <v>148</v>
      </c>
      <c r="BB165" s="53" t="s">
        <v>1012</v>
      </c>
      <c r="BC165" s="53" t="s">
        <v>1013</v>
      </c>
      <c r="BD165" s="53" t="s">
        <v>57</v>
      </c>
      <c r="BE165" s="53">
        <v>1</v>
      </c>
      <c r="BF165" s="83"/>
      <c r="BG165" s="53"/>
      <c r="BH165" s="53"/>
    </row>
    <row r="166" spans="3:60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2"/>
        <v>0</v>
      </c>
      <c r="M166" s="26">
        <f t="shared" si="16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67">
        <f>SUMIFS([1]Up!$J:$J,[1]Up!$D:$D,D166)</f>
        <v>0</v>
      </c>
      <c r="AX166" s="82"/>
      <c r="AY166" s="82" t="str">
        <f t="shared" si="23"/>
        <v>PL15</v>
      </c>
      <c r="AZ166" s="53" t="str">
        <f t="shared" si="24"/>
        <v/>
      </c>
      <c r="BA166" s="53" t="s">
        <v>148</v>
      </c>
      <c r="BB166" s="53" t="s">
        <v>1094</v>
      </c>
      <c r="BC166" s="53" t="s">
        <v>1095</v>
      </c>
      <c r="BD166" s="53" t="s">
        <v>2101</v>
      </c>
      <c r="BE166" s="53">
        <v>2</v>
      </c>
      <c r="BF166" s="83">
        <v>46120</v>
      </c>
      <c r="BG166" s="53"/>
      <c r="BH166" s="53"/>
    </row>
    <row r="167" spans="3:60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2"/>
        <v>0</v>
      </c>
      <c r="M167" s="26">
        <f t="shared" si="16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67">
        <f>SUMIFS([1]Up!$J:$J,[1]Up!$D:$D,D167)</f>
        <v>0</v>
      </c>
      <c r="AX167" s="82"/>
      <c r="AY167" s="82" t="str">
        <f t="shared" si="23"/>
        <v>PL15</v>
      </c>
      <c r="AZ167" s="53" t="str">
        <f t="shared" si="24"/>
        <v/>
      </c>
      <c r="BA167" s="53" t="s">
        <v>148</v>
      </c>
      <c r="BB167" s="53" t="s">
        <v>1094</v>
      </c>
      <c r="BC167" s="53" t="s">
        <v>1095</v>
      </c>
      <c r="BD167" s="53" t="s">
        <v>2101</v>
      </c>
      <c r="BE167" s="53">
        <v>2</v>
      </c>
      <c r="BF167" s="83">
        <v>46120</v>
      </c>
      <c r="BG167" s="53"/>
      <c r="BH167" s="53"/>
    </row>
    <row r="168" spans="3:60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2"/>
        <v>0</v>
      </c>
      <c r="M168" s="26">
        <f t="shared" si="16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67">
        <f>SUMIFS([1]Up!$J:$J,[1]Up!$D:$D,D168)</f>
        <v>0</v>
      </c>
      <c r="AX168" s="82"/>
      <c r="AY168" s="82" t="str">
        <f t="shared" si="23"/>
        <v>PL16</v>
      </c>
      <c r="AZ168" s="53" t="str">
        <f t="shared" si="24"/>
        <v/>
      </c>
      <c r="BA168" s="53" t="s">
        <v>148</v>
      </c>
      <c r="BB168" s="53" t="s">
        <v>988</v>
      </c>
      <c r="BC168" s="53" t="s">
        <v>989</v>
      </c>
      <c r="BD168" s="53" t="s">
        <v>2104</v>
      </c>
      <c r="BE168" s="53">
        <v>4</v>
      </c>
      <c r="BF168" s="83">
        <v>46120</v>
      </c>
      <c r="BG168" s="53"/>
      <c r="BH168" s="53"/>
    </row>
    <row r="169" spans="3:60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2"/>
        <v>0</v>
      </c>
      <c r="M169" s="26">
        <f t="shared" si="16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67">
        <f>SUMIFS([1]Up!$J:$J,[1]Up!$D:$D,D169)</f>
        <v>0</v>
      </c>
      <c r="AX169" s="82"/>
      <c r="AY169" s="82" t="str">
        <f t="shared" si="23"/>
        <v>PL16</v>
      </c>
      <c r="AZ169" s="53" t="str">
        <f t="shared" si="24"/>
        <v/>
      </c>
      <c r="BA169" s="53" t="s">
        <v>148</v>
      </c>
      <c r="BB169" s="53" t="s">
        <v>988</v>
      </c>
      <c r="BC169" s="53" t="s">
        <v>989</v>
      </c>
      <c r="BD169" s="53" t="s">
        <v>2104</v>
      </c>
      <c r="BE169" s="53">
        <v>2</v>
      </c>
      <c r="BF169" s="83">
        <v>46120</v>
      </c>
      <c r="BG169" s="53"/>
      <c r="BH169" s="53"/>
    </row>
    <row r="170" spans="3:60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2"/>
        <v>0</v>
      </c>
      <c r="M170" s="26">
        <f t="shared" si="16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67">
        <f>SUMIFS([1]Up!$J:$J,[1]Up!$D:$D,D170)</f>
        <v>0</v>
      </c>
      <c r="AX170" s="82"/>
      <c r="AY170" s="82" t="str">
        <f t="shared" si="23"/>
        <v>PL20</v>
      </c>
      <c r="AZ170" s="53" t="str">
        <f t="shared" si="24"/>
        <v/>
      </c>
      <c r="BA170" s="53" t="s">
        <v>148</v>
      </c>
      <c r="BB170" s="53" t="s">
        <v>1100</v>
      </c>
      <c r="BC170" s="53" t="s">
        <v>1101</v>
      </c>
      <c r="BD170" s="53" t="s">
        <v>2102</v>
      </c>
      <c r="BE170" s="53">
        <v>2</v>
      </c>
      <c r="BF170" s="83">
        <v>46303</v>
      </c>
      <c r="BG170" s="53"/>
      <c r="BH170" s="53"/>
    </row>
    <row r="171" spans="3:60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2"/>
        <v>0</v>
      </c>
      <c r="M171" s="26">
        <f t="shared" si="16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67">
        <f>SUMIFS([1]Up!$J:$J,[1]Up!$D:$D,D171)</f>
        <v>0</v>
      </c>
      <c r="AX171" s="82"/>
      <c r="AY171" s="82" t="str">
        <f t="shared" si="23"/>
        <v/>
      </c>
      <c r="AZ171" s="53" t="str">
        <f t="shared" si="24"/>
        <v/>
      </c>
      <c r="BA171" s="53" t="s">
        <v>148</v>
      </c>
      <c r="BB171" s="53" t="s">
        <v>1079</v>
      </c>
      <c r="BC171" s="53" t="s">
        <v>1076</v>
      </c>
      <c r="BD171" s="53" t="s">
        <v>2105</v>
      </c>
      <c r="BE171" s="53">
        <v>5</v>
      </c>
      <c r="BF171" s="83">
        <v>46120</v>
      </c>
      <c r="BG171" s="53"/>
      <c r="BH171" s="53"/>
    </row>
    <row r="172" spans="3:60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2"/>
        <v>0</v>
      </c>
      <c r="M172" s="26">
        <f t="shared" si="16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67">
        <f>SUMIFS([1]Up!$J:$J,[1]Up!$D:$D,D172)</f>
        <v>0</v>
      </c>
      <c r="AX172" s="82"/>
      <c r="AY172" s="82" t="str">
        <f t="shared" si="23"/>
        <v>PL8</v>
      </c>
      <c r="AZ172" s="53" t="str">
        <f t="shared" si="24"/>
        <v/>
      </c>
      <c r="BA172" s="53" t="s">
        <v>154</v>
      </c>
      <c r="BB172" s="53" t="s">
        <v>1012</v>
      </c>
      <c r="BC172" s="53" t="s">
        <v>1013</v>
      </c>
      <c r="BD172" s="53" t="s">
        <v>57</v>
      </c>
      <c r="BE172" s="53">
        <v>1</v>
      </c>
      <c r="BF172" s="83"/>
      <c r="BG172" s="53"/>
      <c r="BH172" s="53"/>
    </row>
    <row r="173" spans="3:60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2"/>
        <v>0</v>
      </c>
      <c r="M173" s="26">
        <f t="shared" si="16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67">
        <f>SUMIFS([1]Up!$J:$J,[1]Up!$D:$D,D173)</f>
        <v>0</v>
      </c>
      <c r="AX173" s="82"/>
      <c r="AY173" s="82" t="str">
        <f t="shared" si="23"/>
        <v>PL8</v>
      </c>
      <c r="AZ173" s="53" t="str">
        <f t="shared" si="24"/>
        <v/>
      </c>
      <c r="BA173" s="53" t="s">
        <v>148</v>
      </c>
      <c r="BB173" s="53" t="s">
        <v>1012</v>
      </c>
      <c r="BC173" s="53" t="s">
        <v>1013</v>
      </c>
      <c r="BD173" s="53" t="s">
        <v>57</v>
      </c>
      <c r="BE173" s="53">
        <v>2</v>
      </c>
      <c r="BF173" s="83"/>
      <c r="BG173" s="53"/>
      <c r="BH173" s="53"/>
    </row>
    <row r="174" spans="3:60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2"/>
        <v>0</v>
      </c>
      <c r="M174" s="26">
        <f t="shared" si="16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67">
        <f>SUMIFS([1]Up!$J:$J,[1]Up!$D:$D,D174)</f>
        <v>0</v>
      </c>
      <c r="AX174" s="82"/>
      <c r="AY174" s="82" t="str">
        <f t="shared" si="23"/>
        <v>PL8</v>
      </c>
      <c r="AZ174" s="53" t="str">
        <f t="shared" si="24"/>
        <v/>
      </c>
      <c r="BA174" s="53" t="s">
        <v>148</v>
      </c>
      <c r="BB174" s="53" t="s">
        <v>1012</v>
      </c>
      <c r="BC174" s="53" t="s">
        <v>1013</v>
      </c>
      <c r="BD174" s="53" t="s">
        <v>2124</v>
      </c>
      <c r="BE174" s="53">
        <v>2</v>
      </c>
      <c r="BF174" s="83">
        <v>46334</v>
      </c>
      <c r="BG174" s="53"/>
      <c r="BH174" s="53"/>
    </row>
    <row r="175" spans="3:60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2"/>
        <v>0</v>
      </c>
      <c r="M175" s="26">
        <f t="shared" si="16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67">
        <f>SUMIFS([1]Up!$J:$J,[1]Up!$D:$D,D175)</f>
        <v>0</v>
      </c>
      <c r="AX175" s="82"/>
      <c r="AY175" s="82" t="str">
        <f t="shared" si="23"/>
        <v>PL15</v>
      </c>
      <c r="AZ175" s="53" t="str">
        <f t="shared" si="24"/>
        <v/>
      </c>
      <c r="BA175" s="53" t="s">
        <v>148</v>
      </c>
      <c r="BB175" s="53" t="s">
        <v>1094</v>
      </c>
      <c r="BC175" s="53" t="s">
        <v>1095</v>
      </c>
      <c r="BD175" s="53" t="s">
        <v>2101</v>
      </c>
      <c r="BE175" s="53">
        <v>2</v>
      </c>
      <c r="BF175" s="83">
        <v>46120</v>
      </c>
      <c r="BG175" s="53"/>
      <c r="BH175" s="53"/>
    </row>
    <row r="176" spans="3:60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2"/>
        <v>0</v>
      </c>
      <c r="M176" s="26">
        <f t="shared" si="1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67">
        <f>SUMIFS([1]Up!$J:$J,[1]Up!$D:$D,D176)</f>
        <v>0</v>
      </c>
      <c r="AX176" s="82"/>
      <c r="AY176" s="82" t="str">
        <f t="shared" si="23"/>
        <v>PL15</v>
      </c>
      <c r="AZ176" s="53" t="str">
        <f t="shared" si="24"/>
        <v/>
      </c>
      <c r="BA176" s="53" t="s">
        <v>148</v>
      </c>
      <c r="BB176" s="53" t="s">
        <v>1094</v>
      </c>
      <c r="BC176" s="53" t="s">
        <v>1095</v>
      </c>
      <c r="BD176" s="53" t="s">
        <v>2101</v>
      </c>
      <c r="BE176" s="53">
        <v>2</v>
      </c>
      <c r="BF176" s="83">
        <v>46120</v>
      </c>
      <c r="BG176" s="53"/>
      <c r="BH176" s="53"/>
    </row>
    <row r="177" spans="3:60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2"/>
        <v>0</v>
      </c>
      <c r="M177" s="26">
        <f t="shared" si="16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67">
        <f>SUMIFS([1]Up!$J:$J,[1]Up!$D:$D,D177)</f>
        <v>0</v>
      </c>
      <c r="AX177" s="82"/>
      <c r="AY177" s="82" t="str">
        <f t="shared" si="23"/>
        <v>PL20</v>
      </c>
      <c r="AZ177" s="53" t="str">
        <f t="shared" si="24"/>
        <v/>
      </c>
      <c r="BA177" s="53" t="s">
        <v>148</v>
      </c>
      <c r="BB177" s="53" t="s">
        <v>1100</v>
      </c>
      <c r="BC177" s="53" t="s">
        <v>1101</v>
      </c>
      <c r="BD177" s="53" t="s">
        <v>2102</v>
      </c>
      <c r="BE177" s="53">
        <v>2</v>
      </c>
      <c r="BF177" s="83">
        <v>46303</v>
      </c>
      <c r="BG177" s="53"/>
      <c r="BH177" s="53"/>
    </row>
    <row r="178" spans="3:60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2"/>
        <v>0</v>
      </c>
      <c r="M178" s="26">
        <f t="shared" si="16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67">
        <f>SUMIFS([1]Up!$J:$J,[1]Up!$D:$D,D178)</f>
        <v>0</v>
      </c>
      <c r="AX178" s="82"/>
      <c r="AY178" s="82" t="str">
        <f t="shared" si="23"/>
        <v>PL15</v>
      </c>
      <c r="AZ178" s="53" t="str">
        <f t="shared" si="24"/>
        <v/>
      </c>
      <c r="BA178" s="53" t="s">
        <v>148</v>
      </c>
      <c r="BB178" s="53" t="s">
        <v>1094</v>
      </c>
      <c r="BC178" s="53" t="s">
        <v>1095</v>
      </c>
      <c r="BD178" s="53" t="s">
        <v>2101</v>
      </c>
      <c r="BE178" s="53">
        <v>2</v>
      </c>
      <c r="BF178" s="83">
        <v>46120</v>
      </c>
      <c r="BG178" s="53"/>
      <c r="BH178" s="53"/>
    </row>
    <row r="179" spans="3:60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2"/>
        <v>0</v>
      </c>
      <c r="M179" s="26">
        <f t="shared" si="1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67">
        <f>SUMIFS([1]Up!$J:$J,[1]Up!$D:$D,D179)</f>
        <v>0</v>
      </c>
      <c r="AX179" s="82"/>
      <c r="AY179" s="82" t="str">
        <f t="shared" si="23"/>
        <v>PL5</v>
      </c>
      <c r="AZ179" s="53" t="str">
        <f t="shared" si="24"/>
        <v/>
      </c>
      <c r="BA179" s="53" t="s">
        <v>148</v>
      </c>
      <c r="BB179" s="53" t="s">
        <v>1108</v>
      </c>
      <c r="BC179" s="53" t="s">
        <v>957</v>
      </c>
      <c r="BD179" s="53" t="s">
        <v>2103</v>
      </c>
      <c r="BE179" s="53">
        <v>2</v>
      </c>
      <c r="BF179" s="83">
        <v>46120</v>
      </c>
      <c r="BG179" s="53"/>
      <c r="BH179" s="53"/>
    </row>
    <row r="180" spans="3:60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2"/>
        <v>0</v>
      </c>
      <c r="M180" s="26">
        <f t="shared" si="16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67">
        <f>SUMIFS([1]Up!$J:$J,[1]Up!$D:$D,D180)</f>
        <v>0</v>
      </c>
      <c r="AX180" s="82"/>
      <c r="AY180" s="82" t="str">
        <f t="shared" si="23"/>
        <v>PL8</v>
      </c>
      <c r="AZ180" s="53" t="str">
        <f t="shared" si="24"/>
        <v/>
      </c>
      <c r="BA180" s="53" t="s">
        <v>148</v>
      </c>
      <c r="BB180" s="53" t="s">
        <v>1012</v>
      </c>
      <c r="BC180" s="53" t="s">
        <v>1013</v>
      </c>
      <c r="BD180" s="53" t="s">
        <v>57</v>
      </c>
      <c r="BE180" s="53">
        <v>3</v>
      </c>
      <c r="BF180" s="83"/>
      <c r="BG180" s="53"/>
      <c r="BH180" s="53"/>
    </row>
    <row r="181" spans="3:60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2"/>
        <v>0</v>
      </c>
      <c r="M181" s="26">
        <f t="shared" si="16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67">
        <f>SUMIFS([1]Up!$J:$J,[1]Up!$D:$D,D181)</f>
        <v>0</v>
      </c>
      <c r="AX181" s="82"/>
      <c r="AY181" s="82" t="str">
        <f t="shared" si="23"/>
        <v>PL20</v>
      </c>
      <c r="AZ181" s="53" t="str">
        <f t="shared" si="24"/>
        <v/>
      </c>
      <c r="BA181" s="53" t="s">
        <v>148</v>
      </c>
      <c r="BB181" s="53" t="s">
        <v>1100</v>
      </c>
      <c r="BC181" s="53" t="s">
        <v>1101</v>
      </c>
      <c r="BD181" s="53" t="s">
        <v>2102</v>
      </c>
      <c r="BE181" s="53">
        <v>1</v>
      </c>
      <c r="BF181" s="83">
        <v>46303</v>
      </c>
      <c r="BG181" s="53"/>
      <c r="BH181" s="53"/>
    </row>
    <row r="182" spans="3:60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2"/>
        <v>0</v>
      </c>
      <c r="M182" s="26">
        <f t="shared" si="16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67">
        <f>SUMIFS([1]Up!$J:$J,[1]Up!$D:$D,D182)</f>
        <v>0</v>
      </c>
      <c r="AX182" s="82"/>
      <c r="AY182" s="82" t="str">
        <f t="shared" si="23"/>
        <v>PL20</v>
      </c>
      <c r="AZ182" s="53" t="str">
        <f t="shared" si="24"/>
        <v/>
      </c>
      <c r="BA182" s="53" t="s">
        <v>148</v>
      </c>
      <c r="BB182" s="53" t="s">
        <v>1100</v>
      </c>
      <c r="BC182" s="53" t="s">
        <v>1101</v>
      </c>
      <c r="BD182" s="53" t="s">
        <v>2102</v>
      </c>
      <c r="BE182" s="53">
        <v>1</v>
      </c>
      <c r="BF182" s="83">
        <v>46303</v>
      </c>
      <c r="BG182" s="53"/>
      <c r="BH182" s="53"/>
    </row>
    <row r="183" spans="3:60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2"/>
        <v>0</v>
      </c>
      <c r="M183" s="26">
        <f t="shared" si="16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67">
        <f>SUMIFS([1]Up!$J:$J,[1]Up!$D:$D,D183)</f>
        <v>0</v>
      </c>
      <c r="AX183" s="82"/>
      <c r="AY183" s="82" t="str">
        <f t="shared" si="23"/>
        <v>PL16</v>
      </c>
      <c r="AZ183" s="53" t="str">
        <f t="shared" si="24"/>
        <v/>
      </c>
      <c r="BA183" s="53" t="s">
        <v>148</v>
      </c>
      <c r="BB183" s="53" t="s">
        <v>988</v>
      </c>
      <c r="BC183" s="53" t="s">
        <v>989</v>
      </c>
      <c r="BD183" s="53" t="s">
        <v>2104</v>
      </c>
      <c r="BE183" s="53">
        <v>3</v>
      </c>
      <c r="BF183" s="83">
        <v>46120</v>
      </c>
      <c r="BG183" s="53"/>
      <c r="BH183" s="53"/>
    </row>
    <row r="184" spans="3:60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2"/>
        <v>0</v>
      </c>
      <c r="M184" s="26">
        <f t="shared" si="16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67">
        <f>SUMIFS([1]Up!$J:$J,[1]Up!$D:$D,D184)</f>
        <v>0</v>
      </c>
      <c r="AX184" s="82"/>
      <c r="AY184" s="82" t="str">
        <f t="shared" si="23"/>
        <v>PL16</v>
      </c>
      <c r="AZ184" s="53" t="str">
        <f t="shared" si="24"/>
        <v/>
      </c>
      <c r="BA184" s="53" t="s">
        <v>148</v>
      </c>
      <c r="BB184" s="53" t="s">
        <v>988</v>
      </c>
      <c r="BC184" s="53" t="s">
        <v>989</v>
      </c>
      <c r="BD184" s="53" t="s">
        <v>2104</v>
      </c>
      <c r="BE184" s="53">
        <v>1</v>
      </c>
      <c r="BF184" s="83">
        <v>46120</v>
      </c>
      <c r="BG184" s="53"/>
      <c r="BH184" s="53"/>
    </row>
    <row r="185" spans="3:60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2"/>
        <v>0</v>
      </c>
      <c r="M185" s="26">
        <f t="shared" si="16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67">
        <f>SUMIFS([1]Up!$J:$J,[1]Up!$D:$D,D185)</f>
        <v>0</v>
      </c>
      <c r="AX185" s="82"/>
      <c r="AY185" s="82" t="str">
        <f t="shared" si="23"/>
        <v>PL15</v>
      </c>
      <c r="AZ185" s="53" t="str">
        <f t="shared" si="24"/>
        <v/>
      </c>
      <c r="BA185" s="53" t="s">
        <v>148</v>
      </c>
      <c r="BB185" s="53" t="s">
        <v>1094</v>
      </c>
      <c r="BC185" s="53" t="s">
        <v>1095</v>
      </c>
      <c r="BD185" s="53" t="s">
        <v>2101</v>
      </c>
      <c r="BE185" s="53">
        <v>2</v>
      </c>
      <c r="BF185" s="83">
        <v>46120</v>
      </c>
      <c r="BG185" s="53"/>
      <c r="BH185" s="53"/>
    </row>
    <row r="186" spans="3:60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2"/>
        <v>0</v>
      </c>
      <c r="M186" s="26">
        <f t="shared" si="16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67">
        <f>SUMIFS([1]Up!$J:$J,[1]Up!$D:$D,D186)</f>
        <v>0</v>
      </c>
      <c r="AX186" s="82"/>
      <c r="AY186" s="82" t="str">
        <f t="shared" si="23"/>
        <v>PL16</v>
      </c>
      <c r="AZ186" s="53" t="str">
        <f t="shared" si="24"/>
        <v/>
      </c>
      <c r="BA186" s="53" t="s">
        <v>148</v>
      </c>
      <c r="BB186" s="53" t="s">
        <v>988</v>
      </c>
      <c r="BC186" s="53" t="s">
        <v>989</v>
      </c>
      <c r="BD186" s="53" t="s">
        <v>2104</v>
      </c>
      <c r="BE186" s="53">
        <v>2</v>
      </c>
      <c r="BF186" s="83">
        <v>46120</v>
      </c>
      <c r="BG186" s="53"/>
      <c r="BH186" s="53"/>
    </row>
    <row r="187" spans="3:60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2"/>
        <v>0</v>
      </c>
      <c r="M187" s="26">
        <f t="shared" si="16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67">
        <f>SUMIFS([1]Up!$J:$J,[1]Up!$D:$D,D187)</f>
        <v>0</v>
      </c>
      <c r="AX187" s="82"/>
      <c r="AY187" s="82" t="str">
        <f t="shared" si="23"/>
        <v>PL16</v>
      </c>
      <c r="AZ187" s="53" t="str">
        <f t="shared" si="24"/>
        <v/>
      </c>
      <c r="BA187" s="53" t="s">
        <v>148</v>
      </c>
      <c r="BB187" s="53" t="s">
        <v>988</v>
      </c>
      <c r="BC187" s="53" t="s">
        <v>989</v>
      </c>
      <c r="BD187" s="53" t="s">
        <v>2104</v>
      </c>
      <c r="BE187" s="53">
        <v>10</v>
      </c>
      <c r="BF187" s="83">
        <v>46120</v>
      </c>
      <c r="BG187" s="53"/>
      <c r="BH187" s="53"/>
    </row>
    <row r="188" spans="3:60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2"/>
        <v>4</v>
      </c>
      <c r="M188" s="26">
        <f t="shared" si="16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67">
        <f>SUMIFS([1]Up!$J:$J,[1]Up!$D:$D,D188)</f>
        <v>0</v>
      </c>
      <c r="AX188" s="82"/>
      <c r="AY188" s="82" t="str">
        <f t="shared" si="23"/>
        <v/>
      </c>
      <c r="AZ188" s="53" t="str">
        <f t="shared" si="24"/>
        <v/>
      </c>
      <c r="BA188" s="53" t="s">
        <v>148</v>
      </c>
      <c r="BB188" s="53" t="s">
        <v>1079</v>
      </c>
      <c r="BC188" s="53" t="s">
        <v>1076</v>
      </c>
      <c r="BD188" s="53" t="s">
        <v>1290</v>
      </c>
      <c r="BE188" s="53">
        <v>4</v>
      </c>
      <c r="BF188" s="83">
        <v>46362</v>
      </c>
      <c r="BG188" s="53"/>
      <c r="BH188" s="53"/>
    </row>
    <row r="189" spans="3:60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2"/>
        <v>2</v>
      </c>
      <c r="M189" s="26">
        <f t="shared" si="16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67">
        <f>SUMIFS([1]Up!$J:$J,[1]Up!$D:$D,D189)</f>
        <v>0</v>
      </c>
      <c r="AX189" s="82"/>
      <c r="AY189" s="82" t="str">
        <f t="shared" si="23"/>
        <v/>
      </c>
      <c r="AZ189" s="53" t="str">
        <f t="shared" si="24"/>
        <v/>
      </c>
      <c r="BA189" s="53" t="s">
        <v>154</v>
      </c>
      <c r="BB189" s="53" t="s">
        <v>1082</v>
      </c>
      <c r="BC189" s="53" t="s">
        <v>1081</v>
      </c>
      <c r="BD189" s="53" t="s">
        <v>1292</v>
      </c>
      <c r="BE189" s="53">
        <v>2</v>
      </c>
      <c r="BF189" s="83">
        <v>46362</v>
      </c>
      <c r="BG189" s="53"/>
      <c r="BH189" s="53"/>
    </row>
    <row r="190" spans="3:60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2"/>
        <v>1</v>
      </c>
      <c r="M190" s="26">
        <f t="shared" si="16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67">
        <f>SUMIFS([1]Up!$J:$J,[1]Up!$D:$D,D190)</f>
        <v>0</v>
      </c>
      <c r="AX190" s="82" t="s">
        <v>2232</v>
      </c>
      <c r="AY190" s="82" t="str">
        <f t="shared" si="23"/>
        <v>PL12</v>
      </c>
      <c r="AZ190" s="53" t="str">
        <f t="shared" si="24"/>
        <v>Thừa 5</v>
      </c>
      <c r="BA190" s="53" t="s">
        <v>154</v>
      </c>
      <c r="BB190" s="53" t="s">
        <v>1021</v>
      </c>
      <c r="BC190" s="53" t="s">
        <v>1022</v>
      </c>
      <c r="BD190" s="53" t="s">
        <v>57</v>
      </c>
      <c r="BE190" s="53">
        <v>1</v>
      </c>
      <c r="BF190" s="83"/>
      <c r="BG190" s="53"/>
      <c r="BH190" s="53"/>
    </row>
    <row r="191" spans="3:60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2"/>
        <v>2</v>
      </c>
      <c r="M191" s="26">
        <f t="shared" si="16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67">
        <f>SUMIFS([1]Up!$J:$J,[1]Up!$D:$D,D191)</f>
        <v>0</v>
      </c>
      <c r="AX191" s="82"/>
      <c r="AY191" s="82" t="str">
        <f t="shared" si="23"/>
        <v>PL10</v>
      </c>
      <c r="AZ191" s="53" t="str">
        <f t="shared" si="24"/>
        <v/>
      </c>
      <c r="BA191" s="53" t="s">
        <v>148</v>
      </c>
      <c r="BB191" s="53" t="s">
        <v>1005</v>
      </c>
      <c r="BC191" s="53" t="s">
        <v>1006</v>
      </c>
      <c r="BD191" s="53" t="s">
        <v>1064</v>
      </c>
      <c r="BE191" s="53">
        <v>2</v>
      </c>
      <c r="BF191" s="83">
        <v>46088</v>
      </c>
      <c r="BG191" s="53"/>
      <c r="BH191" s="53"/>
    </row>
    <row r="192" spans="3:60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2"/>
        <v>4</v>
      </c>
      <c r="M192" s="26">
        <f t="shared" si="16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67">
        <f>SUMIFS([1]Up!$J:$J,[1]Up!$D:$D,D192)</f>
        <v>0</v>
      </c>
      <c r="AX192" s="82"/>
      <c r="AY192" s="82" t="str">
        <f t="shared" si="23"/>
        <v>PL12</v>
      </c>
      <c r="AZ192" s="53" t="str">
        <f t="shared" si="24"/>
        <v/>
      </c>
      <c r="BA192" s="53" t="s">
        <v>148</v>
      </c>
      <c r="BB192" s="53" t="s">
        <v>1021</v>
      </c>
      <c r="BC192" s="53" t="s">
        <v>1022</v>
      </c>
      <c r="BD192" s="53" t="s">
        <v>1023</v>
      </c>
      <c r="BE192" s="53">
        <v>4</v>
      </c>
      <c r="BF192" s="83">
        <v>46088</v>
      </c>
      <c r="BG192" s="53"/>
      <c r="BH192" s="53"/>
    </row>
    <row r="193" spans="3:60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2"/>
        <v>4</v>
      </c>
      <c r="M193" s="26">
        <f t="shared" si="16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67">
        <f>SUMIFS([1]Up!$J:$J,[1]Up!$D:$D,D193)</f>
        <v>0</v>
      </c>
      <c r="AX193" s="82"/>
      <c r="AY193" s="82" t="str">
        <f t="shared" si="23"/>
        <v>PL12</v>
      </c>
      <c r="AZ193" s="53" t="str">
        <f t="shared" si="24"/>
        <v/>
      </c>
      <c r="BA193" s="53" t="s">
        <v>148</v>
      </c>
      <c r="BB193" s="53" t="s">
        <v>1021</v>
      </c>
      <c r="BC193" s="53" t="s">
        <v>1022</v>
      </c>
      <c r="BD193" s="53" t="s">
        <v>1023</v>
      </c>
      <c r="BE193" s="53">
        <v>4</v>
      </c>
      <c r="BF193" s="83">
        <v>46088</v>
      </c>
      <c r="BG193" s="53"/>
      <c r="BH193" s="53"/>
    </row>
    <row r="194" spans="3:60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2"/>
        <v>8</v>
      </c>
      <c r="M194" s="26">
        <f t="shared" si="16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67">
        <f>SUMIFS([1]Up!$J:$J,[1]Up!$D:$D,D194)</f>
        <v>0</v>
      </c>
      <c r="AX194" s="82"/>
      <c r="AY194" s="82" t="str">
        <f t="shared" si="23"/>
        <v>PL16</v>
      </c>
      <c r="AZ194" s="53" t="str">
        <f t="shared" si="24"/>
        <v/>
      </c>
      <c r="BA194" s="53" t="s">
        <v>148</v>
      </c>
      <c r="BB194" s="53" t="s">
        <v>988</v>
      </c>
      <c r="BC194" s="53" t="s">
        <v>989</v>
      </c>
      <c r="BD194" s="53" t="s">
        <v>990</v>
      </c>
      <c r="BE194" s="53">
        <v>8</v>
      </c>
      <c r="BF194" s="83" t="s">
        <v>2223</v>
      </c>
      <c r="BG194" s="53"/>
      <c r="BH194" s="53"/>
    </row>
    <row r="195" spans="3:60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2"/>
        <v>2</v>
      </c>
      <c r="M195" s="26">
        <f t="shared" si="16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67">
        <f>SUMIFS([1]Up!$J:$J,[1]Up!$D:$D,D195)</f>
        <v>0</v>
      </c>
      <c r="AX195" s="82"/>
      <c r="AY195" s="82" t="str">
        <f t="shared" si="23"/>
        <v>PL15</v>
      </c>
      <c r="AZ195" s="53" t="str">
        <f t="shared" si="24"/>
        <v/>
      </c>
      <c r="BA195" s="53" t="s">
        <v>148</v>
      </c>
      <c r="BB195" s="53" t="s">
        <v>1094</v>
      </c>
      <c r="BC195" s="53" t="s">
        <v>1095</v>
      </c>
      <c r="BD195" s="53" t="s">
        <v>1304</v>
      </c>
      <c r="BE195" s="53">
        <v>2</v>
      </c>
      <c r="BF195" s="83">
        <v>46088</v>
      </c>
      <c r="BG195" s="53"/>
      <c r="BH195" s="53"/>
    </row>
    <row r="196" spans="3:60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2"/>
        <v>1</v>
      </c>
      <c r="M196" s="26">
        <f t="shared" si="16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67">
        <f>SUMIFS([1]Up!$J:$J,[1]Up!$D:$D,D196)</f>
        <v>0</v>
      </c>
      <c r="AX196" s="82"/>
      <c r="AY196" s="82" t="str">
        <f t="shared" si="23"/>
        <v>PL10</v>
      </c>
      <c r="AZ196" s="53" t="str">
        <f t="shared" si="24"/>
        <v/>
      </c>
      <c r="BA196" s="53" t="s">
        <v>154</v>
      </c>
      <c r="BB196" s="53" t="s">
        <v>1005</v>
      </c>
      <c r="BC196" s="53" t="s">
        <v>1006</v>
      </c>
      <c r="BD196" s="53" t="s">
        <v>1064</v>
      </c>
      <c r="BE196" s="53">
        <v>1</v>
      </c>
      <c r="BF196" s="83">
        <v>46088</v>
      </c>
      <c r="BG196" s="53"/>
      <c r="BH196" s="53"/>
    </row>
    <row r="197" spans="3:60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2"/>
        <v>1</v>
      </c>
      <c r="M197" s="26">
        <f t="shared" si="16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67">
        <f>SUMIFS([1]Up!$J:$J,[1]Up!$D:$D,D197)</f>
        <v>0</v>
      </c>
      <c r="AX197" s="82"/>
      <c r="AY197" s="82" t="str">
        <f t="shared" si="23"/>
        <v>PL20</v>
      </c>
      <c r="AZ197" s="53" t="str">
        <f t="shared" si="24"/>
        <v/>
      </c>
      <c r="BA197" s="53" t="s">
        <v>148</v>
      </c>
      <c r="BB197" s="53" t="s">
        <v>1100</v>
      </c>
      <c r="BC197" s="53" t="s">
        <v>1101</v>
      </c>
      <c r="BD197" s="53" t="s">
        <v>1308</v>
      </c>
      <c r="BE197" s="53">
        <v>1</v>
      </c>
      <c r="BF197" s="83">
        <v>46242</v>
      </c>
      <c r="BG197" s="53"/>
      <c r="BH197" s="53"/>
    </row>
    <row r="198" spans="3:60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2"/>
        <v>1</v>
      </c>
      <c r="M198" s="26">
        <f t="shared" si="16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67">
        <f>SUMIFS([1]Up!$J:$J,[1]Up!$D:$D,D198)</f>
        <v>0</v>
      </c>
      <c r="AX198" s="82"/>
      <c r="AY198" s="82" t="str">
        <f t="shared" si="23"/>
        <v>PL20</v>
      </c>
      <c r="AZ198" s="53" t="str">
        <f t="shared" si="24"/>
        <v/>
      </c>
      <c r="BA198" s="53" t="s">
        <v>148</v>
      </c>
      <c r="BB198" s="53" t="s">
        <v>1100</v>
      </c>
      <c r="BC198" s="53" t="s">
        <v>1101</v>
      </c>
      <c r="BD198" s="53" t="s">
        <v>1308</v>
      </c>
      <c r="BE198" s="53">
        <v>1</v>
      </c>
      <c r="BF198" s="83">
        <v>46242</v>
      </c>
      <c r="BG198" s="53"/>
      <c r="BH198" s="53"/>
    </row>
    <row r="199" spans="3:60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2"/>
        <v>1</v>
      </c>
      <c r="M199" s="26">
        <f t="shared" si="16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67">
        <f>SUMIFS([1]Up!$J:$J,[1]Up!$D:$D,D199)</f>
        <v>0</v>
      </c>
      <c r="AX199" s="82"/>
      <c r="AY199" s="82" t="str">
        <f t="shared" si="23"/>
        <v>PL10</v>
      </c>
      <c r="AZ199" s="53" t="str">
        <f t="shared" si="24"/>
        <v/>
      </c>
      <c r="BA199" s="53" t="s">
        <v>148</v>
      </c>
      <c r="BB199" s="53" t="s">
        <v>1005</v>
      </c>
      <c r="BC199" s="53" t="s">
        <v>1006</v>
      </c>
      <c r="BD199" s="53" t="s">
        <v>1064</v>
      </c>
      <c r="BE199" s="53">
        <v>1</v>
      </c>
      <c r="BF199" s="83">
        <v>46088</v>
      </c>
      <c r="BG199" s="53"/>
      <c r="BH199" s="53"/>
    </row>
    <row r="200" spans="3:60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2"/>
        <v>2</v>
      </c>
      <c r="M200" s="26">
        <f t="shared" si="16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67">
        <f>SUMIFS([1]Up!$J:$J,[1]Up!$D:$D,D200)</f>
        <v>0</v>
      </c>
      <c r="AX200" s="82"/>
      <c r="AY200" s="82" t="str">
        <f t="shared" si="23"/>
        <v>PL5</v>
      </c>
      <c r="AZ200" s="53" t="str">
        <f t="shared" si="24"/>
        <v/>
      </c>
      <c r="BA200" s="53" t="s">
        <v>148</v>
      </c>
      <c r="BB200" s="53" t="s">
        <v>1108</v>
      </c>
      <c r="BC200" s="53" t="s">
        <v>957</v>
      </c>
      <c r="BD200" s="53" t="s">
        <v>1313</v>
      </c>
      <c r="BE200" s="53">
        <v>2</v>
      </c>
      <c r="BF200" s="83" t="s">
        <v>2223</v>
      </c>
      <c r="BG200" s="53"/>
      <c r="BH200" s="53"/>
    </row>
    <row r="201" spans="3:60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2"/>
        <v>4</v>
      </c>
      <c r="M201" s="26">
        <f t="shared" si="16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67">
        <f>SUMIFS([1]Up!$J:$J,[1]Up!$D:$D,D201)</f>
        <v>0</v>
      </c>
      <c r="AX201" s="82"/>
      <c r="AY201" s="82" t="str">
        <f t="shared" si="23"/>
        <v>PL12</v>
      </c>
      <c r="AZ201" s="53" t="str">
        <f t="shared" si="24"/>
        <v/>
      </c>
      <c r="BA201" s="53" t="s">
        <v>148</v>
      </c>
      <c r="BB201" s="53" t="s">
        <v>1021</v>
      </c>
      <c r="BC201" s="53" t="s">
        <v>1022</v>
      </c>
      <c r="BD201" s="53" t="s">
        <v>1023</v>
      </c>
      <c r="BE201" s="53">
        <v>4</v>
      </c>
      <c r="BF201" s="83">
        <v>46088</v>
      </c>
      <c r="BG201" s="53"/>
      <c r="BH201" s="53"/>
    </row>
    <row r="202" spans="3:60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2"/>
        <v>2</v>
      </c>
      <c r="M202" s="26">
        <f t="shared" si="16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67">
        <f>SUMIFS([1]Up!$J:$J,[1]Up!$D:$D,D202)</f>
        <v>0</v>
      </c>
      <c r="AX202" s="82"/>
      <c r="AY202" s="82" t="str">
        <f t="shared" si="23"/>
        <v>PL12</v>
      </c>
      <c r="AZ202" s="53" t="str">
        <f t="shared" si="24"/>
        <v/>
      </c>
      <c r="BA202" s="53" t="s">
        <v>148</v>
      </c>
      <c r="BB202" s="53" t="s">
        <v>1021</v>
      </c>
      <c r="BC202" s="53" t="s">
        <v>1022</v>
      </c>
      <c r="BD202" s="53" t="s">
        <v>1023</v>
      </c>
      <c r="BE202" s="53">
        <v>2</v>
      </c>
      <c r="BF202" s="83">
        <v>46088</v>
      </c>
      <c r="BG202" s="53"/>
      <c r="BH202" s="53"/>
    </row>
    <row r="203" spans="3:60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2"/>
        <v>1</v>
      </c>
      <c r="M203" s="26">
        <f t="shared" si="16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67">
        <f>SUMIFS([1]Up!$J:$J,[1]Up!$D:$D,D203)</f>
        <v>0</v>
      </c>
      <c r="AX203" s="82"/>
      <c r="AY203" s="82" t="str">
        <f t="shared" si="23"/>
        <v>PL20</v>
      </c>
      <c r="AZ203" s="53" t="str">
        <f t="shared" si="24"/>
        <v/>
      </c>
      <c r="BA203" s="53" t="s">
        <v>148</v>
      </c>
      <c r="BB203" s="53" t="s">
        <v>1100</v>
      </c>
      <c r="BC203" s="53" t="s">
        <v>1101</v>
      </c>
      <c r="BD203" s="53" t="s">
        <v>1318</v>
      </c>
      <c r="BE203" s="53">
        <v>1</v>
      </c>
      <c r="BF203" s="83">
        <v>46242</v>
      </c>
      <c r="BG203" s="53"/>
      <c r="BH203" s="53"/>
    </row>
    <row r="204" spans="3:60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2"/>
        <v>2</v>
      </c>
      <c r="M204" s="26">
        <f t="shared" si="16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67">
        <f>SUMIFS([1]Up!$J:$J,[1]Up!$D:$D,D204)</f>
        <v>0</v>
      </c>
      <c r="AX204" s="82"/>
      <c r="AY204" s="82" t="str">
        <f t="shared" si="23"/>
        <v>PL12</v>
      </c>
      <c r="AZ204" s="53" t="str">
        <f t="shared" si="24"/>
        <v/>
      </c>
      <c r="BA204" s="53" t="s">
        <v>148</v>
      </c>
      <c r="BB204" s="53" t="s">
        <v>1021</v>
      </c>
      <c r="BC204" s="53" t="s">
        <v>1022</v>
      </c>
      <c r="BD204" s="53" t="s">
        <v>1023</v>
      </c>
      <c r="BE204" s="53">
        <v>2</v>
      </c>
      <c r="BF204" s="83">
        <v>46088</v>
      </c>
      <c r="BG204" s="53"/>
      <c r="BH204" s="53"/>
    </row>
    <row r="205" spans="3:60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2"/>
        <v>2</v>
      </c>
      <c r="M205" s="26">
        <f t="shared" si="16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>
        <v>2</v>
      </c>
      <c r="AW205" s="67">
        <f>SUMIFS([1]Up!$J:$J,[1]Up!$D:$D,D205)</f>
        <v>0</v>
      </c>
      <c r="AX205" s="82"/>
      <c r="AY205" s="82" t="str">
        <f t="shared" si="23"/>
        <v>PL10</v>
      </c>
      <c r="AZ205" s="53" t="str">
        <f t="shared" si="24"/>
        <v/>
      </c>
      <c r="BA205" s="53" t="s">
        <v>154</v>
      </c>
      <c r="BB205" s="53" t="s">
        <v>1005</v>
      </c>
      <c r="BC205" s="53" t="s">
        <v>1006</v>
      </c>
      <c r="BD205" s="53" t="s">
        <v>1064</v>
      </c>
      <c r="BE205" s="53">
        <v>2</v>
      </c>
      <c r="BF205" s="83">
        <v>46088</v>
      </c>
      <c r="BG205" s="53"/>
      <c r="BH205" s="53"/>
    </row>
    <row r="206" spans="3:60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2"/>
        <v>1</v>
      </c>
      <c r="M206" s="26">
        <f t="shared" si="16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67">
        <f>SUMIFS([1]Up!$J:$J,[1]Up!$D:$D,D206)</f>
        <v>0</v>
      </c>
      <c r="AX206" s="82" t="s">
        <v>2071</v>
      </c>
      <c r="AY206" s="82" t="str">
        <f t="shared" si="23"/>
        <v>PL12</v>
      </c>
      <c r="AZ206" s="53" t="str">
        <f t="shared" si="24"/>
        <v>Thừa 4</v>
      </c>
      <c r="BA206" s="53" t="s">
        <v>154</v>
      </c>
      <c r="BB206" s="53" t="s">
        <v>1021</v>
      </c>
      <c r="BC206" s="53" t="s">
        <v>1022</v>
      </c>
      <c r="BD206" s="53" t="s">
        <v>57</v>
      </c>
      <c r="BE206" s="53">
        <v>1</v>
      </c>
      <c r="BF206" s="83"/>
      <c r="BG206" s="53"/>
      <c r="BH206" s="53"/>
    </row>
    <row r="207" spans="3:60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2"/>
        <v>2</v>
      </c>
      <c r="M207" s="26">
        <f t="shared" si="16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67">
        <f>SUMIFS([1]Up!$J:$J,[1]Up!$D:$D,D207)</f>
        <v>0</v>
      </c>
      <c r="AX207" s="82"/>
      <c r="AY207" s="82" t="str">
        <f t="shared" si="23"/>
        <v>PL12</v>
      </c>
      <c r="AZ207" s="53" t="str">
        <f t="shared" si="24"/>
        <v/>
      </c>
      <c r="BA207" s="53" t="s">
        <v>148</v>
      </c>
      <c r="BB207" s="53" t="s">
        <v>1021</v>
      </c>
      <c r="BC207" s="53" t="s">
        <v>1022</v>
      </c>
      <c r="BD207" s="53" t="s">
        <v>1023</v>
      </c>
      <c r="BE207" s="53">
        <v>2</v>
      </c>
      <c r="BF207" s="83">
        <v>46088</v>
      </c>
      <c r="BG207" s="53"/>
      <c r="BH207" s="53"/>
    </row>
    <row r="208" spans="3:60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2"/>
        <v>2</v>
      </c>
      <c r="M208" s="26">
        <f t="shared" si="16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67">
        <f>SUMIFS([1]Up!$J:$J,[1]Up!$D:$D,D208)</f>
        <v>0</v>
      </c>
      <c r="AX208" s="82"/>
      <c r="AY208" s="82" t="str">
        <f t="shared" si="23"/>
        <v>PL12</v>
      </c>
      <c r="AZ208" s="53" t="str">
        <f t="shared" si="24"/>
        <v/>
      </c>
      <c r="BA208" s="53" t="s">
        <v>148</v>
      </c>
      <c r="BB208" s="53" t="s">
        <v>1021</v>
      </c>
      <c r="BC208" s="53" t="s">
        <v>1022</v>
      </c>
      <c r="BD208" s="53" t="s">
        <v>1023</v>
      </c>
      <c r="BE208" s="53">
        <v>2</v>
      </c>
      <c r="BF208" s="83">
        <v>46088</v>
      </c>
      <c r="BG208" s="53"/>
      <c r="BH208" s="53"/>
    </row>
    <row r="209" spans="3:60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2"/>
        <v>2</v>
      </c>
      <c r="M209" s="26">
        <f t="shared" si="16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67">
        <f>SUMIFS([1]Up!$J:$J,[1]Up!$D:$D,D209)</f>
        <v>0</v>
      </c>
      <c r="AX209" s="82"/>
      <c r="AY209" s="82" t="str">
        <f t="shared" si="23"/>
        <v>PL15</v>
      </c>
      <c r="AZ209" s="53" t="str">
        <f t="shared" si="24"/>
        <v/>
      </c>
      <c r="BA209" s="53" t="s">
        <v>148</v>
      </c>
      <c r="BB209" s="53" t="s">
        <v>1094</v>
      </c>
      <c r="BC209" s="53" t="s">
        <v>1095</v>
      </c>
      <c r="BD209" s="53" t="s">
        <v>1304</v>
      </c>
      <c r="BE209" s="53">
        <v>2</v>
      </c>
      <c r="BF209" s="83">
        <v>46088</v>
      </c>
      <c r="BG209" s="53"/>
      <c r="BH209" s="53"/>
    </row>
    <row r="210" spans="3:60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2"/>
        <v>1</v>
      </c>
      <c r="M210" s="26">
        <f t="shared" si="16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67">
        <f>SUMIFS([1]Up!$J:$J,[1]Up!$D:$D,D210)</f>
        <v>0</v>
      </c>
      <c r="AX210" s="82"/>
      <c r="AY210" s="82" t="str">
        <f t="shared" si="23"/>
        <v>PL15</v>
      </c>
      <c r="AZ210" s="53" t="str">
        <f t="shared" si="24"/>
        <v/>
      </c>
      <c r="BA210" s="53" t="s">
        <v>148</v>
      </c>
      <c r="BB210" s="53" t="s">
        <v>1094</v>
      </c>
      <c r="BC210" s="53" t="s">
        <v>1095</v>
      </c>
      <c r="BD210" s="53" t="s">
        <v>1304</v>
      </c>
      <c r="BE210" s="53">
        <v>1</v>
      </c>
      <c r="BF210" s="83">
        <v>46088</v>
      </c>
      <c r="BG210" s="53"/>
      <c r="BH210" s="53"/>
    </row>
    <row r="211" spans="3:60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2"/>
        <v>4</v>
      </c>
      <c r="M211" s="26">
        <f t="shared" si="16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67">
        <f>SUMIFS([1]Up!$J:$J,[1]Up!$D:$D,D211)</f>
        <v>0</v>
      </c>
      <c r="AX211" s="82"/>
      <c r="AY211" s="82" t="str">
        <f t="shared" si="23"/>
        <v>PL12</v>
      </c>
      <c r="AZ211" s="53" t="str">
        <f t="shared" si="24"/>
        <v/>
      </c>
      <c r="BA211" s="53" t="s">
        <v>148</v>
      </c>
      <c r="BB211" s="53" t="s">
        <v>1021</v>
      </c>
      <c r="BC211" s="53" t="s">
        <v>1022</v>
      </c>
      <c r="BD211" s="53" t="s">
        <v>1023</v>
      </c>
      <c r="BE211" s="53">
        <v>4</v>
      </c>
      <c r="BF211" s="83">
        <v>46088</v>
      </c>
      <c r="BG211" s="53"/>
      <c r="BH211" s="53"/>
    </row>
    <row r="212" spans="3:60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2"/>
        <v>1</v>
      </c>
      <c r="M212" s="26">
        <f t="shared" si="16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67">
        <f>SUMIFS([1]Up!$J:$J,[1]Up!$D:$D,D212)</f>
        <v>0</v>
      </c>
      <c r="AX212" s="82" t="s">
        <v>2071</v>
      </c>
      <c r="AY212" s="82" t="str">
        <f t="shared" si="23"/>
        <v>PL12</v>
      </c>
      <c r="AZ212" s="53" t="str">
        <f t="shared" si="24"/>
        <v>Thừa 4</v>
      </c>
      <c r="BA212" s="53" t="s">
        <v>154</v>
      </c>
      <c r="BB212" s="53" t="s">
        <v>1021</v>
      </c>
      <c r="BC212" s="53" t="s">
        <v>1022</v>
      </c>
      <c r="BD212" s="53" t="s">
        <v>57</v>
      </c>
      <c r="BE212" s="53">
        <v>1</v>
      </c>
      <c r="BF212" s="83"/>
      <c r="BG212" s="53"/>
      <c r="BH212" s="53"/>
    </row>
    <row r="213" spans="3:60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2"/>
        <v>2</v>
      </c>
      <c r="M213" s="26">
        <f t="shared" si="16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67">
        <f>SUMIFS([1]Up!$J:$J,[1]Up!$D:$D,D213)</f>
        <v>0</v>
      </c>
      <c r="AX213" s="82"/>
      <c r="AY213" s="82" t="str">
        <f t="shared" si="23"/>
        <v>PL15</v>
      </c>
      <c r="AZ213" s="53" t="str">
        <f t="shared" si="24"/>
        <v/>
      </c>
      <c r="BA213" s="53" t="s">
        <v>148</v>
      </c>
      <c r="BB213" s="53" t="s">
        <v>1094</v>
      </c>
      <c r="BC213" s="53" t="s">
        <v>1095</v>
      </c>
      <c r="BD213" s="53" t="s">
        <v>1304</v>
      </c>
      <c r="BE213" s="53">
        <v>2</v>
      </c>
      <c r="BF213" s="83">
        <v>46088</v>
      </c>
      <c r="BG213" s="53"/>
      <c r="BH213" s="53"/>
    </row>
    <row r="214" spans="3:60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2"/>
        <v>2</v>
      </c>
      <c r="M214" s="26">
        <f t="shared" si="16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67">
        <f>SUMIFS([1]Up!$J:$J,[1]Up!$D:$D,D214)</f>
        <v>0</v>
      </c>
      <c r="AX214" s="82"/>
      <c r="AY214" s="82" t="str">
        <f t="shared" si="23"/>
        <v>PL20</v>
      </c>
      <c r="AZ214" s="53" t="str">
        <f t="shared" si="24"/>
        <v/>
      </c>
      <c r="BA214" s="53" t="s">
        <v>148</v>
      </c>
      <c r="BB214" s="53" t="s">
        <v>1100</v>
      </c>
      <c r="BC214" s="53" t="s">
        <v>1101</v>
      </c>
      <c r="BD214" s="53" t="s">
        <v>1308</v>
      </c>
      <c r="BE214" s="53">
        <v>2</v>
      </c>
      <c r="BF214" s="83">
        <v>46242</v>
      </c>
      <c r="BG214" s="53"/>
      <c r="BH214" s="53"/>
    </row>
    <row r="215" spans="3:60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2"/>
        <v>1</v>
      </c>
      <c r="M215" s="26">
        <f t="shared" si="16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67">
        <f>SUMIFS([1]Up!$J:$J,[1]Up!$D:$D,D215)</f>
        <v>0</v>
      </c>
      <c r="AX215" s="82"/>
      <c r="AY215" s="82" t="str">
        <f t="shared" si="23"/>
        <v>PL20</v>
      </c>
      <c r="AZ215" s="53" t="str">
        <f t="shared" si="24"/>
        <v/>
      </c>
      <c r="BA215" s="53" t="s">
        <v>148</v>
      </c>
      <c r="BB215" s="53" t="s">
        <v>1100</v>
      </c>
      <c r="BC215" s="53" t="s">
        <v>1101</v>
      </c>
      <c r="BD215" s="53" t="s">
        <v>1318</v>
      </c>
      <c r="BE215" s="53">
        <v>1</v>
      </c>
      <c r="BF215" s="83">
        <v>46242</v>
      </c>
      <c r="BG215" s="53"/>
      <c r="BH215" s="53"/>
    </row>
    <row r="216" spans="3:60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2"/>
        <v>5</v>
      </c>
      <c r="M216" s="26">
        <f t="shared" si="16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67">
        <f>SUMIFS([1]Up!$J:$J,[1]Up!$D:$D,D216)</f>
        <v>0</v>
      </c>
      <c r="AX216" s="82"/>
      <c r="AY216" s="82" t="str">
        <f t="shared" si="23"/>
        <v/>
      </c>
      <c r="AZ216" s="53" t="str">
        <f t="shared" si="24"/>
        <v/>
      </c>
      <c r="BA216" s="53" t="s">
        <v>154</v>
      </c>
      <c r="BB216" s="53" t="s">
        <v>1082</v>
      </c>
      <c r="BC216" s="53" t="s">
        <v>1081</v>
      </c>
      <c r="BD216" s="53" t="s">
        <v>1292</v>
      </c>
      <c r="BE216" s="53">
        <v>5</v>
      </c>
      <c r="BF216" s="83">
        <v>46362</v>
      </c>
      <c r="BG216" s="53"/>
      <c r="BH216" s="53"/>
    </row>
    <row r="217" spans="3:60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2"/>
        <v>1</v>
      </c>
      <c r="M217" s="26">
        <f t="shared" si="16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67">
        <f>SUMIFS([1]Up!$J:$J,[1]Up!$D:$D,D217)</f>
        <v>0</v>
      </c>
      <c r="AX217" s="82"/>
      <c r="AY217" s="82" t="str">
        <f t="shared" si="23"/>
        <v/>
      </c>
      <c r="AZ217" s="53" t="str">
        <f t="shared" si="24"/>
        <v/>
      </c>
      <c r="BA217" s="53" t="s">
        <v>154</v>
      </c>
      <c r="BB217" s="53"/>
      <c r="BC217" s="53" t="s">
        <v>1129</v>
      </c>
      <c r="BD217" s="53" t="s">
        <v>1339</v>
      </c>
      <c r="BE217" s="53">
        <v>1</v>
      </c>
      <c r="BF217" s="83" t="s">
        <v>2224</v>
      </c>
      <c r="BG217" s="53"/>
      <c r="BH217" s="53"/>
    </row>
    <row r="218" spans="3:60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2"/>
        <v>1</v>
      </c>
      <c r="M218" s="26">
        <f t="shared" si="16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67">
        <f>SUMIFS([1]Up!$J:$J,[1]Up!$D:$D,D218)</f>
        <v>0</v>
      </c>
      <c r="AX218" s="82" t="s">
        <v>2085</v>
      </c>
      <c r="AY218" s="82" t="str">
        <f t="shared" si="23"/>
        <v>PL12</v>
      </c>
      <c r="AZ218" s="53" t="str">
        <f t="shared" si="24"/>
        <v>Thừa 4</v>
      </c>
      <c r="BA218" s="53" t="s">
        <v>154</v>
      </c>
      <c r="BB218" s="53" t="s">
        <v>1021</v>
      </c>
      <c r="BC218" s="53" t="s">
        <v>1022</v>
      </c>
      <c r="BD218" s="53" t="s">
        <v>57</v>
      </c>
      <c r="BE218" s="53">
        <v>1</v>
      </c>
      <c r="BF218" s="83"/>
      <c r="BG218" s="53"/>
      <c r="BH218" s="53"/>
    </row>
    <row r="219" spans="3:60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2"/>
        <v>1</v>
      </c>
      <c r="M219" s="26">
        <f t="shared" si="16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67">
        <f>SUMIFS([1]Up!$J:$J,[1]Up!$D:$D,D219)</f>
        <v>0</v>
      </c>
      <c r="AX219" s="82"/>
      <c r="AY219" s="82" t="str">
        <f t="shared" si="23"/>
        <v>PL20</v>
      </c>
      <c r="AZ219" s="53" t="str">
        <f t="shared" si="24"/>
        <v/>
      </c>
      <c r="BA219" s="53" t="s">
        <v>148</v>
      </c>
      <c r="BB219" s="53" t="s">
        <v>1100</v>
      </c>
      <c r="BC219" s="53" t="s">
        <v>1101</v>
      </c>
      <c r="BD219" s="53" t="s">
        <v>1318</v>
      </c>
      <c r="BE219" s="53">
        <v>1</v>
      </c>
      <c r="BF219" s="83">
        <v>46242</v>
      </c>
      <c r="BG219" s="53"/>
      <c r="BH219" s="53"/>
    </row>
    <row r="220" spans="3:60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2"/>
        <v>4</v>
      </c>
      <c r="M220" s="26">
        <f t="shared" si="16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67">
        <f>SUMIFS([1]Up!$J:$J,[1]Up!$D:$D,D220)</f>
        <v>0</v>
      </c>
      <c r="AX220" s="82"/>
      <c r="AY220" s="82" t="str">
        <f t="shared" si="23"/>
        <v>PL12</v>
      </c>
      <c r="AZ220" s="53" t="str">
        <f t="shared" si="24"/>
        <v/>
      </c>
      <c r="BA220" s="53" t="s">
        <v>148</v>
      </c>
      <c r="BB220" s="53" t="s">
        <v>1021</v>
      </c>
      <c r="BC220" s="53" t="s">
        <v>1022</v>
      </c>
      <c r="BD220" s="53" t="s">
        <v>1023</v>
      </c>
      <c r="BE220" s="53">
        <v>4</v>
      </c>
      <c r="BF220" s="83">
        <v>46088</v>
      </c>
      <c r="BG220" s="53"/>
      <c r="BH220" s="53"/>
    </row>
    <row r="221" spans="3:60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2"/>
        <v>1</v>
      </c>
      <c r="M221" s="26">
        <f t="shared" si="16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>
        <v>1</v>
      </c>
      <c r="AW221" s="67">
        <f>SUMIFS([1]Up!$J:$J,[1]Up!$D:$D,D221)</f>
        <v>0</v>
      </c>
      <c r="AX221" s="82"/>
      <c r="AY221" s="82" t="str">
        <f t="shared" si="23"/>
        <v>PL10</v>
      </c>
      <c r="AZ221" s="53" t="str">
        <f t="shared" si="24"/>
        <v/>
      </c>
      <c r="BA221" s="53" t="s">
        <v>154</v>
      </c>
      <c r="BB221" s="53" t="s">
        <v>1005</v>
      </c>
      <c r="BC221" s="53" t="s">
        <v>1006</v>
      </c>
      <c r="BD221" s="53" t="s">
        <v>1345</v>
      </c>
      <c r="BE221" s="53">
        <v>1</v>
      </c>
      <c r="BF221" s="83" t="s">
        <v>2224</v>
      </c>
      <c r="BG221" s="53"/>
      <c r="BH221" s="53"/>
    </row>
    <row r="222" spans="3:60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5">MIN(SUM(N222:AV222),I222)</f>
        <v>1</v>
      </c>
      <c r="M222" s="26">
        <f t="shared" si="16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>
        <v>1</v>
      </c>
      <c r="AW222" s="67">
        <f>SUMIFS([1]Up!$J:$J,[1]Up!$D:$D,D222)</f>
        <v>0</v>
      </c>
      <c r="AX222" s="82"/>
      <c r="AY222" s="82" t="str">
        <f t="shared" ref="AY222:AY285" si="26">IFERROR(IF(C222="Plate",LEFT(E222,FIND("*",E222,1)-1),""),IF(C222="Plate",LEFT(E222,FIND("x",E222,1)-1),""))</f>
        <v>PL10</v>
      </c>
      <c r="AZ222" s="53" t="str">
        <f t="shared" ref="AZ222:AZ285" si="27">IF(ROUND(SUM(N222:AV222)-I222,0)&gt;0,"Thừa "&amp;SUM(N222:AV222)-I222,"")</f>
        <v/>
      </c>
      <c r="BA222" s="53" t="s">
        <v>154</v>
      </c>
      <c r="BB222" s="53" t="s">
        <v>1005</v>
      </c>
      <c r="BC222" s="53" t="s">
        <v>1006</v>
      </c>
      <c r="BD222" s="53" t="s">
        <v>1345</v>
      </c>
      <c r="BE222" s="53">
        <v>1</v>
      </c>
      <c r="BF222" s="83" t="s">
        <v>2224</v>
      </c>
      <c r="BG222" s="53"/>
      <c r="BH222" s="53"/>
    </row>
    <row r="223" spans="3:60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5"/>
        <v>1</v>
      </c>
      <c r="M223" s="26">
        <f t="shared" si="1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>
        <v>1</v>
      </c>
      <c r="AW223" s="67">
        <f>SUMIFS([1]Up!$J:$J,[1]Up!$D:$D,D223)</f>
        <v>0</v>
      </c>
      <c r="AX223" s="82"/>
      <c r="AY223" s="82" t="str">
        <f t="shared" si="26"/>
        <v>PL10</v>
      </c>
      <c r="AZ223" s="53" t="str">
        <f t="shared" si="27"/>
        <v/>
      </c>
      <c r="BA223" s="53" t="s">
        <v>154</v>
      </c>
      <c r="BB223" s="53" t="s">
        <v>1005</v>
      </c>
      <c r="BC223" s="53" t="s">
        <v>1006</v>
      </c>
      <c r="BD223" s="53" t="s">
        <v>1064</v>
      </c>
      <c r="BE223" s="53">
        <v>1</v>
      </c>
      <c r="BF223" s="83">
        <v>46088</v>
      </c>
      <c r="BG223" s="53"/>
      <c r="BH223" s="53"/>
    </row>
    <row r="224" spans="3:60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5"/>
        <v>2</v>
      </c>
      <c r="M224" s="26">
        <f t="shared" si="16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67">
        <f>SUMIFS([1]Up!$J:$J,[1]Up!$D:$D,D224)</f>
        <v>0</v>
      </c>
      <c r="AX224" s="82"/>
      <c r="AY224" s="82" t="str">
        <f t="shared" si="26"/>
        <v>PL10</v>
      </c>
      <c r="AZ224" s="53" t="str">
        <f t="shared" si="27"/>
        <v/>
      </c>
      <c r="BA224" s="53" t="s">
        <v>148</v>
      </c>
      <c r="BB224" s="53" t="s">
        <v>1005</v>
      </c>
      <c r="BC224" s="53" t="s">
        <v>1006</v>
      </c>
      <c r="BD224" s="53" t="s">
        <v>1064</v>
      </c>
      <c r="BE224" s="53">
        <v>2</v>
      </c>
      <c r="BF224" s="83">
        <v>46088</v>
      </c>
      <c r="BG224" s="53"/>
      <c r="BH224" s="53"/>
    </row>
    <row r="225" spans="3:61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5"/>
        <v>1</v>
      </c>
      <c r="M225" s="26">
        <f t="shared" si="16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67">
        <f>SUMIFS([1]Up!$J:$J,[1]Up!$D:$D,D225)</f>
        <v>0</v>
      </c>
      <c r="AX225" s="82"/>
      <c r="AY225" s="82" t="str">
        <f t="shared" si="26"/>
        <v>PL10</v>
      </c>
      <c r="AZ225" s="53" t="str">
        <f t="shared" si="27"/>
        <v/>
      </c>
      <c r="BA225" s="53" t="s">
        <v>148</v>
      </c>
      <c r="BB225" s="53" t="s">
        <v>1005</v>
      </c>
      <c r="BC225" s="53" t="s">
        <v>1006</v>
      </c>
      <c r="BD225" s="53" t="s">
        <v>1064</v>
      </c>
      <c r="BE225" s="53">
        <v>1</v>
      </c>
      <c r="BF225" s="83">
        <v>46088</v>
      </c>
      <c r="BG225" s="53"/>
      <c r="BH225" s="53"/>
    </row>
    <row r="226" spans="3:61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5"/>
        <v>1</v>
      </c>
      <c r="M226" s="26">
        <f t="shared" si="16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67">
        <f>SUMIFS([1]Up!$J:$J,[1]Up!$D:$D,D226)</f>
        <v>0</v>
      </c>
      <c r="AX226" s="82"/>
      <c r="AY226" s="82" t="str">
        <f t="shared" si="26"/>
        <v>PL15</v>
      </c>
      <c r="AZ226" s="53" t="str">
        <f t="shared" si="27"/>
        <v/>
      </c>
      <c r="BA226" s="53" t="s">
        <v>148</v>
      </c>
      <c r="BB226" s="53" t="s">
        <v>1094</v>
      </c>
      <c r="BC226" s="53" t="s">
        <v>1095</v>
      </c>
      <c r="BD226" s="53" t="s">
        <v>1304</v>
      </c>
      <c r="BE226" s="53">
        <v>1</v>
      </c>
      <c r="BF226" s="83">
        <v>46088</v>
      </c>
      <c r="BG226" s="53"/>
      <c r="BH226" s="53"/>
    </row>
    <row r="227" spans="3:61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5"/>
        <v>1</v>
      </c>
      <c r="M227" s="26">
        <f t="shared" si="16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67">
        <f>SUMIFS([1]Up!$J:$J,[1]Up!$D:$D,D227)</f>
        <v>0</v>
      </c>
      <c r="AX227" s="82"/>
      <c r="AY227" s="82" t="str">
        <f t="shared" si="26"/>
        <v>PL15</v>
      </c>
      <c r="AZ227" s="53" t="str">
        <f t="shared" si="27"/>
        <v/>
      </c>
      <c r="BA227" s="53" t="s">
        <v>148</v>
      </c>
      <c r="BB227" s="53" t="s">
        <v>1094</v>
      </c>
      <c r="BC227" s="53" t="s">
        <v>1095</v>
      </c>
      <c r="BD227" s="53" t="s">
        <v>1304</v>
      </c>
      <c r="BE227" s="53">
        <v>1</v>
      </c>
      <c r="BF227" s="83">
        <v>46088</v>
      </c>
      <c r="BG227" s="53"/>
      <c r="BH227" s="53"/>
    </row>
    <row r="228" spans="3:61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5"/>
        <v>1</v>
      </c>
      <c r="M228" s="26">
        <f t="shared" si="1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67">
        <f>SUMIFS([1]Up!$J:$J,[1]Up!$D:$D,D228)</f>
        <v>0</v>
      </c>
      <c r="AX228" s="82"/>
      <c r="AY228" s="82" t="str">
        <f t="shared" si="26"/>
        <v>PL10</v>
      </c>
      <c r="AZ228" s="53" t="str">
        <f t="shared" si="27"/>
        <v/>
      </c>
      <c r="BA228" s="53" t="s">
        <v>154</v>
      </c>
      <c r="BB228" s="53" t="s">
        <v>1005</v>
      </c>
      <c r="BC228" s="53" t="s">
        <v>1006</v>
      </c>
      <c r="BD228" s="53" t="s">
        <v>1064</v>
      </c>
      <c r="BE228" s="53">
        <v>1</v>
      </c>
      <c r="BF228" s="83">
        <v>46088</v>
      </c>
      <c r="BG228" s="53"/>
      <c r="BH228" s="53"/>
    </row>
    <row r="229" spans="3:61" ht="14.25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5"/>
        <v>4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67">
        <f>SUMIFS([1]Up!$J:$J,[1]Up!$D:$D,D229)</f>
        <v>4</v>
      </c>
      <c r="AX229" s="82"/>
      <c r="AY229" s="82" t="str">
        <f t="shared" si="26"/>
        <v/>
      </c>
      <c r="AZ229" s="53" t="str">
        <f t="shared" si="27"/>
        <v/>
      </c>
      <c r="BA229" s="53" t="s">
        <v>148</v>
      </c>
      <c r="BB229" s="53" t="s">
        <v>1079</v>
      </c>
      <c r="BC229" s="53" t="s">
        <v>1076</v>
      </c>
      <c r="BD229" s="84" t="s">
        <v>2162</v>
      </c>
      <c r="BE229" s="53">
        <v>16</v>
      </c>
      <c r="BF229" s="83" t="s">
        <v>2225</v>
      </c>
      <c r="BG229" s="53"/>
      <c r="BH229" s="53"/>
      <c r="BI229" s="238"/>
    </row>
    <row r="230" spans="3:61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5"/>
        <v>0</v>
      </c>
      <c r="M230" s="26">
        <f t="shared" si="16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67">
        <f>SUMIFS([1]Up!$J:$J,[1]Up!$D:$D,D230)</f>
        <v>0</v>
      </c>
      <c r="AX230" s="82"/>
      <c r="AY230" s="82" t="str">
        <f t="shared" si="26"/>
        <v/>
      </c>
      <c r="AZ230" s="53" t="str">
        <f t="shared" si="27"/>
        <v/>
      </c>
      <c r="BA230" s="53" t="s">
        <v>154</v>
      </c>
      <c r="BB230" s="53" t="s">
        <v>1082</v>
      </c>
      <c r="BC230" s="53" t="s">
        <v>1081</v>
      </c>
      <c r="BD230" s="84" t="s">
        <v>2163</v>
      </c>
      <c r="BE230" s="53">
        <v>8</v>
      </c>
      <c r="BF230" s="83" t="s">
        <v>2225</v>
      </c>
      <c r="BG230" s="53"/>
      <c r="BH230" s="53"/>
      <c r="BI230" s="238"/>
    </row>
    <row r="231" spans="3:61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67">
        <f>SUMIFS([1]Up!$J:$J,[1]Up!$D:$D,D231)</f>
        <v>0</v>
      </c>
      <c r="AX231" s="82"/>
      <c r="AY231" s="82" t="str">
        <f t="shared" si="26"/>
        <v>PL12</v>
      </c>
      <c r="AZ231" s="53" t="str">
        <f t="shared" si="27"/>
        <v/>
      </c>
      <c r="BA231" s="53" t="s">
        <v>154</v>
      </c>
      <c r="BB231" s="53" t="s">
        <v>1021</v>
      </c>
      <c r="BC231" s="53" t="s">
        <v>1022</v>
      </c>
      <c r="BD231" s="53" t="s">
        <v>57</v>
      </c>
      <c r="BE231" s="53">
        <v>4</v>
      </c>
      <c r="BF231" s="83"/>
      <c r="BG231" s="53"/>
      <c r="BH231" s="53"/>
    </row>
    <row r="232" spans="3:61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5"/>
        <v>2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67">
        <f>SUMIFS([1]Up!$J:$J,[1]Up!$D:$D,D232)</f>
        <v>0</v>
      </c>
      <c r="AX232" s="82"/>
      <c r="AY232" s="82" t="str">
        <f t="shared" si="26"/>
        <v>PL10</v>
      </c>
      <c r="AZ232" s="53" t="str">
        <f t="shared" si="27"/>
        <v/>
      </c>
      <c r="BA232" s="53" t="s">
        <v>148</v>
      </c>
      <c r="BB232" s="53" t="s">
        <v>1005</v>
      </c>
      <c r="BC232" s="53" t="s">
        <v>1006</v>
      </c>
      <c r="BD232" s="84" t="s">
        <v>2157</v>
      </c>
      <c r="BE232" s="53">
        <v>8</v>
      </c>
      <c r="BF232" s="83">
        <v>46302</v>
      </c>
      <c r="BG232" s="53"/>
      <c r="BH232" s="53"/>
      <c r="BI232" s="238"/>
    </row>
    <row r="233" spans="3:61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5"/>
        <v>4</v>
      </c>
      <c r="M233" s="26">
        <f t="shared" si="16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67">
        <f>SUMIFS([1]Up!$J:$J,[1]Up!$D:$D,D233)</f>
        <v>0</v>
      </c>
      <c r="AX233" s="82"/>
      <c r="AY233" s="82" t="str">
        <f t="shared" si="26"/>
        <v>PL12</v>
      </c>
      <c r="AZ233" s="53" t="str">
        <f t="shared" si="27"/>
        <v/>
      </c>
      <c r="BA233" s="53" t="s">
        <v>148</v>
      </c>
      <c r="BB233" s="53" t="s">
        <v>1021</v>
      </c>
      <c r="BC233" s="53" t="s">
        <v>1022</v>
      </c>
      <c r="BD233" s="84" t="s">
        <v>2160</v>
      </c>
      <c r="BE233" s="53">
        <v>16</v>
      </c>
      <c r="BF233" s="83">
        <v>46302</v>
      </c>
      <c r="BG233" s="53"/>
      <c r="BH233" s="53"/>
      <c r="BI233" s="238"/>
    </row>
    <row r="234" spans="3:61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5"/>
        <v>4</v>
      </c>
      <c r="M234" s="26">
        <f t="shared" si="16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67">
        <f>SUMIFS([1]Up!$J:$J,[1]Up!$D:$D,D234)</f>
        <v>0</v>
      </c>
      <c r="AX234" s="82"/>
      <c r="AY234" s="82" t="str">
        <f t="shared" si="26"/>
        <v>PL12</v>
      </c>
      <c r="AZ234" s="53" t="str">
        <f t="shared" si="27"/>
        <v/>
      </c>
      <c r="BA234" s="53" t="s">
        <v>148</v>
      </c>
      <c r="BB234" s="53" t="s">
        <v>1021</v>
      </c>
      <c r="BC234" s="53" t="s">
        <v>1022</v>
      </c>
      <c r="BD234" s="84" t="s">
        <v>2160</v>
      </c>
      <c r="BE234" s="53">
        <v>16</v>
      </c>
      <c r="BF234" s="83">
        <v>46302</v>
      </c>
      <c r="BG234" s="53"/>
      <c r="BH234" s="53"/>
      <c r="BI234" s="238"/>
    </row>
    <row r="235" spans="3:61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5"/>
        <v>0</v>
      </c>
      <c r="M235" s="26">
        <f t="shared" si="16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67">
        <f>SUMIFS([1]Up!$J:$J,[1]Up!$D:$D,D235)</f>
        <v>0</v>
      </c>
      <c r="AX235" s="82"/>
      <c r="AY235" s="82" t="str">
        <f t="shared" si="26"/>
        <v>PL16</v>
      </c>
      <c r="AZ235" s="53" t="str">
        <f t="shared" si="27"/>
        <v/>
      </c>
      <c r="BA235" s="53" t="s">
        <v>148</v>
      </c>
      <c r="BB235" s="53" t="s">
        <v>988</v>
      </c>
      <c r="BC235" s="53" t="s">
        <v>989</v>
      </c>
      <c r="BD235" s="84" t="s">
        <v>2161</v>
      </c>
      <c r="BE235" s="53">
        <v>32</v>
      </c>
      <c r="BF235" s="83" t="s">
        <v>2226</v>
      </c>
      <c r="BG235" s="53"/>
      <c r="BH235" s="53"/>
      <c r="BI235" s="238"/>
    </row>
    <row r="236" spans="3:61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5"/>
        <v>0</v>
      </c>
      <c r="M236" s="26">
        <f t="shared" si="16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67">
        <f>SUMIFS([1]Up!$J:$J,[1]Up!$D:$D,D236)</f>
        <v>0</v>
      </c>
      <c r="AX236" s="82"/>
      <c r="AY236" s="82" t="str">
        <f t="shared" si="26"/>
        <v>PL15</v>
      </c>
      <c r="AZ236" s="53" t="str">
        <f t="shared" si="27"/>
        <v/>
      </c>
      <c r="BA236" s="53" t="s">
        <v>148</v>
      </c>
      <c r="BB236" s="53" t="s">
        <v>1094</v>
      </c>
      <c r="BC236" s="53" t="s">
        <v>1095</v>
      </c>
      <c r="BD236" s="84" t="s">
        <v>2156</v>
      </c>
      <c r="BE236" s="53">
        <v>8</v>
      </c>
      <c r="BF236" s="83" t="s">
        <v>2225</v>
      </c>
      <c r="BG236" s="53"/>
      <c r="BH236" s="53"/>
      <c r="BI236" s="238"/>
    </row>
    <row r="237" spans="3:61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5"/>
        <v>0</v>
      </c>
      <c r="M237" s="26">
        <f t="shared" si="16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67">
        <f>SUMIFS([1]Up!$J:$J,[1]Up!$D:$D,D237)</f>
        <v>0</v>
      </c>
      <c r="AX237" s="82"/>
      <c r="AY237" s="82" t="str">
        <f t="shared" si="26"/>
        <v>PL10</v>
      </c>
      <c r="AZ237" s="53" t="str">
        <f t="shared" si="27"/>
        <v/>
      </c>
      <c r="BA237" s="53" t="s">
        <v>154</v>
      </c>
      <c r="BB237" s="53" t="s">
        <v>1005</v>
      </c>
      <c r="BC237" s="53" t="s">
        <v>1006</v>
      </c>
      <c r="BD237" s="84" t="s">
        <v>2157</v>
      </c>
      <c r="BE237" s="53">
        <v>4</v>
      </c>
      <c r="BF237" s="83">
        <v>46302</v>
      </c>
      <c r="BG237" s="53"/>
      <c r="BH237" s="53"/>
      <c r="BI237" s="238"/>
    </row>
    <row r="238" spans="3:61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5"/>
        <v>1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67">
        <f>SUMIFS([1]Up!$J:$J,[1]Up!$D:$D,D238)</f>
        <v>0</v>
      </c>
      <c r="AX238" s="82"/>
      <c r="AY238" s="82" t="str">
        <f t="shared" si="26"/>
        <v>PL20</v>
      </c>
      <c r="AZ238" s="53" t="str">
        <f t="shared" si="27"/>
        <v/>
      </c>
      <c r="BA238" s="53" t="s">
        <v>148</v>
      </c>
      <c r="BB238" s="53" t="s">
        <v>1100</v>
      </c>
      <c r="BC238" s="53" t="s">
        <v>1101</v>
      </c>
      <c r="BD238" s="84" t="s">
        <v>2158</v>
      </c>
      <c r="BE238" s="53">
        <v>4</v>
      </c>
      <c r="BF238" s="83">
        <v>46242</v>
      </c>
      <c r="BG238" s="53"/>
      <c r="BH238" s="53"/>
      <c r="BI238" s="238"/>
    </row>
    <row r="239" spans="3:61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5"/>
        <v>1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67">
        <f>SUMIFS([1]Up!$J:$J,[1]Up!$D:$D,D239)</f>
        <v>0</v>
      </c>
      <c r="AX239" s="82"/>
      <c r="AY239" s="82" t="str">
        <f t="shared" si="26"/>
        <v>PL20</v>
      </c>
      <c r="AZ239" s="53" t="str">
        <f t="shared" si="27"/>
        <v/>
      </c>
      <c r="BA239" s="53" t="s">
        <v>148</v>
      </c>
      <c r="BB239" s="53" t="s">
        <v>1100</v>
      </c>
      <c r="BC239" s="53" t="s">
        <v>1101</v>
      </c>
      <c r="BD239" s="84" t="s">
        <v>2158</v>
      </c>
      <c r="BE239" s="53">
        <v>4</v>
      </c>
      <c r="BF239" s="83">
        <v>46242</v>
      </c>
      <c r="BG239" s="53"/>
      <c r="BH239" s="53"/>
      <c r="BI239" s="238"/>
    </row>
    <row r="240" spans="3:61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5"/>
        <v>0</v>
      </c>
      <c r="M240" s="26">
        <f t="shared" si="1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67">
        <f>SUMIFS([1]Up!$J:$J,[1]Up!$D:$D,D240)</f>
        <v>0</v>
      </c>
      <c r="AX240" s="82"/>
      <c r="AY240" s="82" t="str">
        <f t="shared" si="26"/>
        <v>PL10</v>
      </c>
      <c r="AZ240" s="53" t="str">
        <f t="shared" si="27"/>
        <v/>
      </c>
      <c r="BA240" s="53" t="s">
        <v>148</v>
      </c>
      <c r="BB240" s="53" t="s">
        <v>1005</v>
      </c>
      <c r="BC240" s="53" t="s">
        <v>1006</v>
      </c>
      <c r="BD240" s="84" t="s">
        <v>2157</v>
      </c>
      <c r="BE240" s="53">
        <v>4</v>
      </c>
      <c r="BF240" s="83">
        <v>46302</v>
      </c>
      <c r="BG240" s="53"/>
      <c r="BH240" s="53"/>
      <c r="BI240" s="238"/>
    </row>
    <row r="241" spans="3:61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67">
        <f>SUMIFS([1]Up!$J:$J,[1]Up!$D:$D,D241)</f>
        <v>0</v>
      </c>
      <c r="AX241" s="82"/>
      <c r="AY241" s="82" t="str">
        <f t="shared" si="26"/>
        <v>PL5</v>
      </c>
      <c r="AZ241" s="53" t="str">
        <f t="shared" si="27"/>
        <v/>
      </c>
      <c r="BA241" s="53" t="s">
        <v>148</v>
      </c>
      <c r="BB241" s="53" t="s">
        <v>1108</v>
      </c>
      <c r="BC241" s="53" t="s">
        <v>957</v>
      </c>
      <c r="BD241" s="84" t="s">
        <v>2159</v>
      </c>
      <c r="BE241" s="53">
        <v>8</v>
      </c>
      <c r="BF241" s="83">
        <v>46302</v>
      </c>
      <c r="BG241" s="53"/>
      <c r="BH241" s="53"/>
      <c r="BI241" s="238"/>
    </row>
    <row r="242" spans="3:61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5"/>
        <v>4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67">
        <f>SUMIFS([1]Up!$J:$J,[1]Up!$D:$D,D242)</f>
        <v>0</v>
      </c>
      <c r="AX242" s="82"/>
      <c r="AY242" s="82" t="str">
        <f t="shared" si="26"/>
        <v>PL12</v>
      </c>
      <c r="AZ242" s="53" t="str">
        <f t="shared" si="27"/>
        <v/>
      </c>
      <c r="BA242" s="53" t="s">
        <v>148</v>
      </c>
      <c r="BB242" s="53" t="s">
        <v>1021</v>
      </c>
      <c r="BC242" s="53" t="s">
        <v>1022</v>
      </c>
      <c r="BD242" s="84" t="s">
        <v>2160</v>
      </c>
      <c r="BE242" s="53">
        <v>16</v>
      </c>
      <c r="BF242" s="83">
        <v>46302</v>
      </c>
      <c r="BG242" s="53"/>
      <c r="BH242" s="53"/>
      <c r="BI242" s="238"/>
    </row>
    <row r="243" spans="3:61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5"/>
        <v>2</v>
      </c>
      <c r="M243" s="26">
        <f t="shared" si="16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67">
        <f>SUMIFS([1]Up!$J:$J,[1]Up!$D:$D,D243)</f>
        <v>0</v>
      </c>
      <c r="AX243" s="82"/>
      <c r="AY243" s="82" t="str">
        <f t="shared" si="26"/>
        <v>PL12</v>
      </c>
      <c r="AZ243" s="53" t="str">
        <f t="shared" si="27"/>
        <v/>
      </c>
      <c r="BA243" s="53" t="s">
        <v>148</v>
      </c>
      <c r="BB243" s="53" t="s">
        <v>1021</v>
      </c>
      <c r="BC243" s="53" t="s">
        <v>1022</v>
      </c>
      <c r="BD243" s="84" t="s">
        <v>2160</v>
      </c>
      <c r="BE243" s="53">
        <v>8</v>
      </c>
      <c r="BF243" s="83">
        <v>46302</v>
      </c>
      <c r="BG243" s="53"/>
      <c r="BH243" s="53"/>
      <c r="BI243" s="238"/>
    </row>
    <row r="244" spans="3:61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5"/>
        <v>10</v>
      </c>
      <c r="M244" s="26">
        <f t="shared" si="1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67">
        <f>SUMIFS([1]Up!$J:$J,[1]Up!$D:$D,D244)</f>
        <v>0</v>
      </c>
      <c r="AX244" s="82"/>
      <c r="AY244" s="82" t="str">
        <f t="shared" si="26"/>
        <v>PL20</v>
      </c>
      <c r="AZ244" s="53" t="str">
        <f t="shared" si="27"/>
        <v/>
      </c>
      <c r="BA244" s="53" t="s">
        <v>148</v>
      </c>
      <c r="BB244" s="53" t="s">
        <v>1100</v>
      </c>
      <c r="BC244" s="53" t="s">
        <v>1101</v>
      </c>
      <c r="BD244" s="53" t="s">
        <v>2167</v>
      </c>
      <c r="BE244" s="53">
        <v>4</v>
      </c>
      <c r="BF244" s="83" t="s">
        <v>2227</v>
      </c>
      <c r="BG244" s="53"/>
      <c r="BH244" s="53"/>
    </row>
    <row r="245" spans="3:61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5"/>
        <v>2</v>
      </c>
      <c r="M245" s="26">
        <f t="shared" si="1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67">
        <f>SUMIFS([1]Up!$J:$J,[1]Up!$D:$D,D245)</f>
        <v>0</v>
      </c>
      <c r="AX245" s="82" t="s">
        <v>2085</v>
      </c>
      <c r="AY245" s="82" t="str">
        <f t="shared" si="26"/>
        <v>PL12</v>
      </c>
      <c r="AZ245" s="53" t="str">
        <f t="shared" si="27"/>
        <v>Thừa 3</v>
      </c>
      <c r="BA245" s="53" t="s">
        <v>154</v>
      </c>
      <c r="BB245" s="53" t="s">
        <v>1021</v>
      </c>
      <c r="BC245" s="53" t="s">
        <v>1022</v>
      </c>
      <c r="BD245" s="53" t="s">
        <v>57</v>
      </c>
      <c r="BE245" s="53">
        <v>4</v>
      </c>
      <c r="BF245" s="83"/>
      <c r="BG245" s="53"/>
      <c r="BH245" s="53"/>
    </row>
    <row r="246" spans="3:61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5"/>
        <v>2</v>
      </c>
      <c r="M246" s="26">
        <f t="shared" si="16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67">
        <f>SUMIFS([1]Up!$J:$J,[1]Up!$D:$D,D246)</f>
        <v>0</v>
      </c>
      <c r="AX246" s="82"/>
      <c r="AY246" s="82" t="str">
        <f t="shared" si="26"/>
        <v>PL15</v>
      </c>
      <c r="AZ246" s="53" t="str">
        <f t="shared" si="27"/>
        <v/>
      </c>
      <c r="BA246" s="53" t="s">
        <v>148</v>
      </c>
      <c r="BB246" s="53" t="s">
        <v>1094</v>
      </c>
      <c r="BC246" s="53" t="s">
        <v>1095</v>
      </c>
      <c r="BD246" s="84" t="s">
        <v>2156</v>
      </c>
      <c r="BE246" s="53">
        <v>8</v>
      </c>
      <c r="BF246" s="83" t="s">
        <v>2225</v>
      </c>
      <c r="BG246" s="53"/>
      <c r="BH246" s="53"/>
      <c r="BI246" s="238"/>
    </row>
    <row r="247" spans="3:61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5"/>
        <v>2</v>
      </c>
      <c r="M247" s="26">
        <f t="shared" si="16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67">
        <f>SUMIFS([1]Up!$J:$J,[1]Up!$D:$D,D247)</f>
        <v>0</v>
      </c>
      <c r="AX247" s="82"/>
      <c r="AY247" s="82" t="str">
        <f t="shared" si="26"/>
        <v>PL20</v>
      </c>
      <c r="AZ247" s="53" t="str">
        <f t="shared" si="27"/>
        <v/>
      </c>
      <c r="BA247" s="53" t="s">
        <v>148</v>
      </c>
      <c r="BB247" s="53" t="s">
        <v>1100</v>
      </c>
      <c r="BC247" s="53" t="s">
        <v>1101</v>
      </c>
      <c r="BD247" s="84" t="s">
        <v>2158</v>
      </c>
      <c r="BE247" s="53">
        <v>8</v>
      </c>
      <c r="BF247" s="83">
        <v>46242</v>
      </c>
      <c r="BG247" s="53"/>
      <c r="BH247" s="53"/>
      <c r="BI247" s="238"/>
    </row>
    <row r="248" spans="3:61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5"/>
        <v>0</v>
      </c>
      <c r="M248" s="26">
        <f t="shared" si="16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67">
        <f>SUMIFS([1]Up!$J:$J,[1]Up!$D:$D,D248)</f>
        <v>0</v>
      </c>
      <c r="AX248" s="82"/>
      <c r="AY248" s="82" t="str">
        <f t="shared" si="26"/>
        <v/>
      </c>
      <c r="AZ248" s="53" t="str">
        <f t="shared" si="27"/>
        <v/>
      </c>
      <c r="BA248" s="53" t="s">
        <v>154</v>
      </c>
      <c r="BB248" s="53" t="s">
        <v>1082</v>
      </c>
      <c r="BC248" s="53" t="s">
        <v>1081</v>
      </c>
      <c r="BD248" s="84" t="s">
        <v>2163</v>
      </c>
      <c r="BE248" s="53">
        <v>20</v>
      </c>
      <c r="BF248" s="83" t="s">
        <v>2225</v>
      </c>
      <c r="BG248" s="53"/>
      <c r="BH248" s="53"/>
      <c r="BI248" s="238"/>
    </row>
    <row r="249" spans="3:61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5"/>
        <v>0</v>
      </c>
      <c r="M249" s="26">
        <f t="shared" si="16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67">
        <f>SUMIFS([1]Up!$J:$J,[1]Up!$D:$D,D249)</f>
        <v>0</v>
      </c>
      <c r="AX249" s="82"/>
      <c r="AY249" s="82" t="str">
        <f t="shared" si="26"/>
        <v/>
      </c>
      <c r="AZ249" s="53" t="str">
        <f t="shared" si="27"/>
        <v/>
      </c>
      <c r="BA249" s="53" t="s">
        <v>154</v>
      </c>
      <c r="BB249" s="53"/>
      <c r="BC249" s="53" t="s">
        <v>1129</v>
      </c>
      <c r="BD249" s="84" t="s">
        <v>2169</v>
      </c>
      <c r="BE249" s="53">
        <v>4</v>
      </c>
      <c r="BF249" s="83" t="s">
        <v>2225</v>
      </c>
      <c r="BG249" s="53"/>
      <c r="BH249" s="53"/>
      <c r="BI249" s="238"/>
    </row>
    <row r="250" spans="3:61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5"/>
        <v>2</v>
      </c>
      <c r="M250" s="26">
        <f t="shared" si="1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67">
        <f>SUMIFS([1]Up!$J:$J,[1]Up!$D:$D,D250)</f>
        <v>0</v>
      </c>
      <c r="AX250" s="82" t="s">
        <v>2251</v>
      </c>
      <c r="AY250" s="82" t="str">
        <f t="shared" si="26"/>
        <v>PL12</v>
      </c>
      <c r="AZ250" s="53" t="str">
        <f t="shared" si="27"/>
        <v>Thừa 2</v>
      </c>
      <c r="BA250" s="53" t="s">
        <v>154</v>
      </c>
      <c r="BB250" s="53" t="s">
        <v>1021</v>
      </c>
      <c r="BC250" s="53" t="s">
        <v>1022</v>
      </c>
      <c r="BD250" s="53" t="s">
        <v>57</v>
      </c>
      <c r="BE250" s="53">
        <v>4</v>
      </c>
      <c r="BF250" s="83"/>
      <c r="BG250" s="53"/>
      <c r="BH250" s="53"/>
    </row>
    <row r="251" spans="3:61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5"/>
        <v>1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67">
        <f>SUMIFS([1]Up!$J:$J,[1]Up!$D:$D,D251)</f>
        <v>0</v>
      </c>
      <c r="AX251" s="82"/>
      <c r="AY251" s="82" t="str">
        <f t="shared" si="26"/>
        <v>PL20</v>
      </c>
      <c r="AZ251" s="53" t="str">
        <f t="shared" si="27"/>
        <v/>
      </c>
      <c r="BA251" s="53" t="s">
        <v>148</v>
      </c>
      <c r="BB251" s="53" t="s">
        <v>1100</v>
      </c>
      <c r="BC251" s="53" t="s">
        <v>1101</v>
      </c>
      <c r="BD251" s="84" t="s">
        <v>2165</v>
      </c>
      <c r="BE251" s="53">
        <v>4</v>
      </c>
      <c r="BF251" s="83">
        <v>46242</v>
      </c>
      <c r="BG251" s="53"/>
      <c r="BH251" s="53"/>
      <c r="BI251" s="238"/>
    </row>
    <row r="252" spans="3:61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5"/>
        <v>8</v>
      </c>
      <c r="M252" s="26">
        <f t="shared" si="1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67">
        <f>SUMIFS([1]Up!$J:$J,[1]Up!$D:$D,D252)</f>
        <v>0</v>
      </c>
      <c r="AX252" s="82"/>
      <c r="AY252" s="82" t="str">
        <f t="shared" si="26"/>
        <v>PL20</v>
      </c>
      <c r="AZ252" s="53" t="str">
        <f t="shared" si="27"/>
        <v/>
      </c>
      <c r="BA252" s="53" t="s">
        <v>148</v>
      </c>
      <c r="BB252" s="53" t="s">
        <v>1021</v>
      </c>
      <c r="BC252" s="53" t="s">
        <v>1022</v>
      </c>
      <c r="BD252" s="84" t="s">
        <v>2167</v>
      </c>
      <c r="BE252" s="53">
        <v>16</v>
      </c>
      <c r="BF252" s="83" t="s">
        <v>2227</v>
      </c>
      <c r="BG252" s="53"/>
      <c r="BH252" s="53"/>
    </row>
    <row r="253" spans="3:61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5"/>
        <v>0</v>
      </c>
      <c r="M253" s="26">
        <f t="shared" si="16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67">
        <f>SUMIFS([1]Up!$J:$J,[1]Up!$D:$D,D253)</f>
        <v>0</v>
      </c>
      <c r="AX253" s="82"/>
      <c r="AY253" s="82" t="str">
        <f t="shared" si="26"/>
        <v>PL10</v>
      </c>
      <c r="AZ253" s="53" t="str">
        <f t="shared" si="27"/>
        <v/>
      </c>
      <c r="BA253" s="53" t="s">
        <v>154</v>
      </c>
      <c r="BB253" s="53" t="s">
        <v>1005</v>
      </c>
      <c r="BC253" s="53" t="s">
        <v>1006</v>
      </c>
      <c r="BD253" s="84" t="s">
        <v>2168</v>
      </c>
      <c r="BE253" s="53">
        <v>4</v>
      </c>
      <c r="BF253" s="83">
        <v>46302</v>
      </c>
      <c r="BG253" s="53"/>
      <c r="BH253" s="53"/>
      <c r="BI253" s="238"/>
    </row>
    <row r="254" spans="3:61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5"/>
        <v>0</v>
      </c>
      <c r="M254" s="26">
        <f t="shared" si="16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67">
        <f>SUMIFS([1]Up!$J:$J,[1]Up!$D:$D,D254)</f>
        <v>0</v>
      </c>
      <c r="AX254" s="82"/>
      <c r="AY254" s="82" t="str">
        <f t="shared" si="26"/>
        <v>PL10</v>
      </c>
      <c r="AZ254" s="53" t="str">
        <f t="shared" si="27"/>
        <v/>
      </c>
      <c r="BA254" s="53" t="s">
        <v>154</v>
      </c>
      <c r="BB254" s="53" t="s">
        <v>1005</v>
      </c>
      <c r="BC254" s="53" t="s">
        <v>1006</v>
      </c>
      <c r="BD254" s="84" t="s">
        <v>2168</v>
      </c>
      <c r="BE254" s="53">
        <v>4</v>
      </c>
      <c r="BF254" s="83">
        <v>46302</v>
      </c>
      <c r="BG254" s="53"/>
      <c r="BH254" s="53"/>
      <c r="BI254" s="238"/>
    </row>
    <row r="255" spans="3:61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5"/>
        <v>0</v>
      </c>
      <c r="M255" s="26">
        <f t="shared" si="16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67">
        <f>SUMIFS([1]Up!$J:$J,[1]Up!$D:$D,D255)</f>
        <v>0</v>
      </c>
      <c r="AX255" s="82"/>
      <c r="AY255" s="82" t="str">
        <f t="shared" si="26"/>
        <v>PL10</v>
      </c>
      <c r="AZ255" s="53" t="str">
        <f t="shared" si="27"/>
        <v/>
      </c>
      <c r="BA255" s="53" t="s">
        <v>154</v>
      </c>
      <c r="BB255" s="53" t="s">
        <v>1005</v>
      </c>
      <c r="BC255" s="53" t="s">
        <v>1006</v>
      </c>
      <c r="BD255" s="84" t="s">
        <v>2157</v>
      </c>
      <c r="BE255" s="53">
        <v>4</v>
      </c>
      <c r="BF255" s="83">
        <v>46302</v>
      </c>
      <c r="BG255" s="53"/>
      <c r="BH255" s="53"/>
      <c r="BI255" s="238"/>
    </row>
    <row r="256" spans="3:61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5"/>
        <v>2</v>
      </c>
      <c r="M256" s="26">
        <f t="shared" si="16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67">
        <f>SUMIFS([1]Up!$J:$J,[1]Up!$D:$D,D256)</f>
        <v>0</v>
      </c>
      <c r="AX256" s="82"/>
      <c r="AY256" s="82" t="str">
        <f t="shared" si="26"/>
        <v>PL10</v>
      </c>
      <c r="AZ256" s="53" t="str">
        <f t="shared" si="27"/>
        <v/>
      </c>
      <c r="BA256" s="53" t="s">
        <v>148</v>
      </c>
      <c r="BB256" s="53" t="s">
        <v>1005</v>
      </c>
      <c r="BC256" s="53" t="s">
        <v>1006</v>
      </c>
      <c r="BD256" s="84" t="s">
        <v>2157</v>
      </c>
      <c r="BE256" s="53">
        <v>8</v>
      </c>
      <c r="BF256" s="83">
        <v>46302</v>
      </c>
      <c r="BG256" s="53"/>
      <c r="BH256" s="53"/>
      <c r="BI256" s="238"/>
    </row>
    <row r="257" spans="3:61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5"/>
        <v>1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67">
        <f>SUMIFS([1]Up!$J:$J,[1]Up!$D:$D,D257)</f>
        <v>0</v>
      </c>
      <c r="AX257" s="82"/>
      <c r="AY257" s="82" t="str">
        <f t="shared" si="26"/>
        <v>PL10</v>
      </c>
      <c r="AZ257" s="53" t="str">
        <f t="shared" si="27"/>
        <v/>
      </c>
      <c r="BA257" s="53" t="s">
        <v>148</v>
      </c>
      <c r="BB257" s="53" t="s">
        <v>1005</v>
      </c>
      <c r="BC257" s="53" t="s">
        <v>1006</v>
      </c>
      <c r="BD257" s="84" t="s">
        <v>2157</v>
      </c>
      <c r="BE257" s="53">
        <v>4</v>
      </c>
      <c r="BF257" s="83">
        <v>46302</v>
      </c>
      <c r="BG257" s="53"/>
      <c r="BH257" s="53"/>
      <c r="BI257" s="238"/>
    </row>
    <row r="258" spans="3:61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67">
        <f>SUMIFS([1]Up!$J:$J,[1]Up!$D:$D,D258)</f>
        <v>0</v>
      </c>
      <c r="AX258" s="82"/>
      <c r="AY258" s="82" t="str">
        <f t="shared" si="26"/>
        <v>PL15</v>
      </c>
      <c r="AZ258" s="53" t="str">
        <f t="shared" si="27"/>
        <v/>
      </c>
      <c r="BA258" s="53" t="s">
        <v>148</v>
      </c>
      <c r="BB258" s="53" t="s">
        <v>1094</v>
      </c>
      <c r="BC258" s="53" t="s">
        <v>1095</v>
      </c>
      <c r="BD258" s="84" t="s">
        <v>2156</v>
      </c>
      <c r="BE258" s="53">
        <v>4</v>
      </c>
      <c r="BF258" s="83" t="s">
        <v>2225</v>
      </c>
      <c r="BG258" s="53"/>
      <c r="BH258" s="53"/>
      <c r="BI258" s="238"/>
    </row>
    <row r="259" spans="3:61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67">
        <f>SUMIFS([1]Up!$J:$J,[1]Up!$D:$D,D259)</f>
        <v>0</v>
      </c>
      <c r="AX259" s="82"/>
      <c r="AY259" s="82" t="str">
        <f t="shared" si="26"/>
        <v>PL15</v>
      </c>
      <c r="AZ259" s="53" t="str">
        <f t="shared" si="27"/>
        <v/>
      </c>
      <c r="BA259" s="53" t="s">
        <v>148</v>
      </c>
      <c r="BB259" s="53" t="s">
        <v>1094</v>
      </c>
      <c r="BC259" s="53" t="s">
        <v>1095</v>
      </c>
      <c r="BD259" s="84" t="s">
        <v>2156</v>
      </c>
      <c r="BE259" s="53">
        <v>4</v>
      </c>
      <c r="BF259" s="83" t="s">
        <v>2225</v>
      </c>
      <c r="BG259" s="53"/>
      <c r="BH259" s="53"/>
      <c r="BI259" s="238"/>
    </row>
    <row r="260" spans="3:61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5"/>
        <v>0</v>
      </c>
      <c r="M260" s="26">
        <f t="shared" si="16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67">
        <f>SUMIFS([1]Up!$J:$J,[1]Up!$D:$D,D260)</f>
        <v>0</v>
      </c>
      <c r="AX260" s="82"/>
      <c r="AY260" s="82" t="str">
        <f t="shared" si="26"/>
        <v>PL10</v>
      </c>
      <c r="AZ260" s="53" t="str">
        <f t="shared" si="27"/>
        <v/>
      </c>
      <c r="BA260" s="53" t="s">
        <v>154</v>
      </c>
      <c r="BB260" s="53" t="s">
        <v>1005</v>
      </c>
      <c r="BC260" s="53" t="s">
        <v>1006</v>
      </c>
      <c r="BD260" s="84" t="s">
        <v>2157</v>
      </c>
      <c r="BE260" s="53">
        <v>4</v>
      </c>
      <c r="BF260" s="83">
        <v>46302</v>
      </c>
      <c r="BG260" s="53"/>
      <c r="BH260" s="53"/>
      <c r="BI260" s="238"/>
    </row>
    <row r="261" spans="3:61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5"/>
        <v>1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67">
        <f>SUMIFS([1]Up!$J:$J,[1]Up!$D:$D,D261)</f>
        <v>0</v>
      </c>
      <c r="AX261" s="82"/>
      <c r="AY261" s="82" t="str">
        <f t="shared" si="26"/>
        <v>PL20</v>
      </c>
      <c r="AZ261" s="53" t="str">
        <f t="shared" si="27"/>
        <v/>
      </c>
      <c r="BA261" s="53" t="s">
        <v>148</v>
      </c>
      <c r="BB261" s="53" t="s">
        <v>1100</v>
      </c>
      <c r="BC261" s="53" t="s">
        <v>1101</v>
      </c>
      <c r="BD261" s="84" t="s">
        <v>2165</v>
      </c>
      <c r="BE261" s="53">
        <v>4</v>
      </c>
      <c r="BF261" s="83">
        <v>46242</v>
      </c>
      <c r="BG261" s="53"/>
      <c r="BH261" s="53"/>
      <c r="BI261" s="238"/>
    </row>
    <row r="262" spans="3:61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5"/>
        <v>8</v>
      </c>
      <c r="M262" s="26">
        <f t="shared" si="1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67">
        <f>SUMIFS([1]Up!$J:$J,[1]Up!$D:$D,D262)</f>
        <v>0</v>
      </c>
      <c r="AX262" s="82"/>
      <c r="AY262" s="82" t="str">
        <f t="shared" si="26"/>
        <v>PL20</v>
      </c>
      <c r="AZ262" s="53" t="str">
        <f t="shared" si="27"/>
        <v/>
      </c>
      <c r="BA262" s="53" t="s">
        <v>148</v>
      </c>
      <c r="BB262" s="53" t="s">
        <v>1021</v>
      </c>
      <c r="BC262" s="53" t="s">
        <v>1022</v>
      </c>
      <c r="BD262" s="84" t="s">
        <v>2167</v>
      </c>
      <c r="BE262" s="53">
        <v>16</v>
      </c>
      <c r="BF262" s="83" t="s">
        <v>2227</v>
      </c>
      <c r="BG262" s="53"/>
      <c r="BH262" s="53"/>
    </row>
    <row r="263" spans="3:61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5"/>
        <v>0</v>
      </c>
      <c r="M263" s="26">
        <f t="shared" si="16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67">
        <f>SUMIFS([1]Up!$J:$J,[1]Up!$D:$D,D263)</f>
        <v>0</v>
      </c>
      <c r="AX263" s="82"/>
      <c r="AY263" s="82" t="str">
        <f t="shared" si="26"/>
        <v>PL10</v>
      </c>
      <c r="AZ263" s="53" t="str">
        <f t="shared" si="27"/>
        <v/>
      </c>
      <c r="BA263" s="53" t="s">
        <v>154</v>
      </c>
      <c r="BB263" s="53" t="s">
        <v>1005</v>
      </c>
      <c r="BC263" s="53" t="s">
        <v>1006</v>
      </c>
      <c r="BD263" s="84" t="s">
        <v>2157</v>
      </c>
      <c r="BE263" s="53">
        <v>4</v>
      </c>
      <c r="BF263" s="83">
        <v>46302</v>
      </c>
      <c r="BG263" s="53"/>
      <c r="BH263" s="53"/>
      <c r="BI263" s="238"/>
    </row>
    <row r="264" spans="3:61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67">
        <f>SUMIFS([1]Up!$J:$J,[1]Up!$D:$D,D264)</f>
        <v>0</v>
      </c>
      <c r="AX264" s="82" t="s">
        <v>2249</v>
      </c>
      <c r="AY264" s="82" t="str">
        <f t="shared" si="26"/>
        <v>PL12</v>
      </c>
      <c r="AZ264" s="53" t="str">
        <f t="shared" si="27"/>
        <v>Thừa 2</v>
      </c>
      <c r="BA264" s="53" t="s">
        <v>154</v>
      </c>
      <c r="BB264" s="53" t="s">
        <v>1021</v>
      </c>
      <c r="BC264" s="53" t="s">
        <v>1022</v>
      </c>
      <c r="BD264" s="53" t="s">
        <v>57</v>
      </c>
      <c r="BE264" s="53">
        <v>4</v>
      </c>
      <c r="BF264" s="83"/>
      <c r="BG264" s="53"/>
      <c r="BH264" s="53"/>
    </row>
    <row r="265" spans="3:61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5"/>
        <v>1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67">
        <f>SUMIFS([1]Up!$J:$J,[1]Up!$D:$D,D265)</f>
        <v>0</v>
      </c>
      <c r="AX265" s="82"/>
      <c r="AY265" s="82" t="str">
        <f t="shared" si="26"/>
        <v>PL15</v>
      </c>
      <c r="AZ265" s="53" t="str">
        <f t="shared" si="27"/>
        <v/>
      </c>
      <c r="BA265" s="53" t="s">
        <v>148</v>
      </c>
      <c r="BB265" s="53" t="s">
        <v>1094</v>
      </c>
      <c r="BC265" s="53" t="s">
        <v>1095</v>
      </c>
      <c r="BD265" s="84" t="s">
        <v>2156</v>
      </c>
      <c r="BE265" s="53">
        <v>4</v>
      </c>
      <c r="BF265" s="83" t="s">
        <v>2225</v>
      </c>
      <c r="BG265" s="53"/>
      <c r="BH265" s="53"/>
      <c r="BI265" s="238"/>
    </row>
    <row r="266" spans="3:61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5"/>
        <v>6</v>
      </c>
      <c r="M266" s="26">
        <f t="shared" si="16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67">
        <f>SUMIFS([1]Up!$J:$J,[1]Up!$D:$D,D266)</f>
        <v>0</v>
      </c>
      <c r="AX266" s="82"/>
      <c r="AY266" s="82" t="str">
        <f t="shared" si="26"/>
        <v/>
      </c>
      <c r="AZ266" s="53" t="str">
        <f t="shared" si="27"/>
        <v/>
      </c>
      <c r="BA266" s="53" t="s">
        <v>148</v>
      </c>
      <c r="BB266" s="53" t="s">
        <v>1079</v>
      </c>
      <c r="BC266" s="53" t="s">
        <v>1076</v>
      </c>
      <c r="BD266" s="53" t="s">
        <v>1290</v>
      </c>
      <c r="BE266" s="53">
        <v>6</v>
      </c>
      <c r="BF266" s="83">
        <v>46362</v>
      </c>
      <c r="BG266" s="53"/>
      <c r="BH266" s="53"/>
    </row>
    <row r="267" spans="3:61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5"/>
        <v>2</v>
      </c>
      <c r="M267" s="26">
        <f t="shared" si="16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67">
        <f>SUMIFS([1]Up!$J:$J,[1]Up!$D:$D,D267)</f>
        <v>0</v>
      </c>
      <c r="AX267" s="82" t="s">
        <v>2074</v>
      </c>
      <c r="AY267" s="82" t="str">
        <f t="shared" si="26"/>
        <v>PL12</v>
      </c>
      <c r="AZ267" s="53" t="str">
        <f t="shared" si="27"/>
        <v/>
      </c>
      <c r="BA267" s="53" t="s">
        <v>154</v>
      </c>
      <c r="BB267" s="53" t="s">
        <v>1021</v>
      </c>
      <c r="BC267" s="53" t="s">
        <v>1022</v>
      </c>
      <c r="BD267" s="53" t="s">
        <v>57</v>
      </c>
      <c r="BE267" s="53">
        <v>2</v>
      </c>
      <c r="BF267" s="83"/>
      <c r="BG267" s="53"/>
      <c r="BH267" s="53"/>
    </row>
    <row r="268" spans="3:61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5"/>
        <v>1</v>
      </c>
      <c r="M268" s="26">
        <f t="shared" si="1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67">
        <f>SUMIFS([1]Up!$J:$J,[1]Up!$D:$D,D268)</f>
        <v>0</v>
      </c>
      <c r="AX268" s="82"/>
      <c r="AY268" s="82" t="str">
        <f t="shared" si="26"/>
        <v>PL12</v>
      </c>
      <c r="AZ268" s="53" t="str">
        <f t="shared" si="27"/>
        <v/>
      </c>
      <c r="BA268" s="53" t="s">
        <v>154</v>
      </c>
      <c r="BB268" s="53" t="s">
        <v>1021</v>
      </c>
      <c r="BC268" s="53" t="s">
        <v>1022</v>
      </c>
      <c r="BD268" s="53" t="s">
        <v>1399</v>
      </c>
      <c r="BE268" s="53">
        <v>2</v>
      </c>
      <c r="BF268" s="83" t="s">
        <v>2223</v>
      </c>
      <c r="BG268" s="53"/>
      <c r="BH268" s="53"/>
    </row>
    <row r="269" spans="3:61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5"/>
        <v>1</v>
      </c>
      <c r="M269" s="26">
        <f t="shared" si="1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67">
        <f>SUMIFS([1]Up!$J:$J,[1]Up!$D:$D,D269)</f>
        <v>0</v>
      </c>
      <c r="AX269" s="82"/>
      <c r="AY269" s="82" t="str">
        <f t="shared" si="26"/>
        <v>PL12</v>
      </c>
      <c r="AZ269" s="53" t="str">
        <f t="shared" si="27"/>
        <v/>
      </c>
      <c r="BA269" s="53" t="s">
        <v>154</v>
      </c>
      <c r="BB269" s="53" t="s">
        <v>1021</v>
      </c>
      <c r="BC269" s="53" t="s">
        <v>1022</v>
      </c>
      <c r="BD269" s="53"/>
      <c r="BE269" s="53"/>
      <c r="BF269" s="83"/>
      <c r="BG269" s="53"/>
      <c r="BH269" s="53"/>
    </row>
    <row r="270" spans="3:61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5"/>
        <v>1</v>
      </c>
      <c r="M270" s="26">
        <f t="shared" si="1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67">
        <f>SUMIFS([1]Up!$J:$J,[1]Up!$D:$D,D270)</f>
        <v>0</v>
      </c>
      <c r="AX270" s="82" t="s">
        <v>2074</v>
      </c>
      <c r="AY270" s="82" t="str">
        <f t="shared" si="26"/>
        <v>PL12</v>
      </c>
      <c r="AZ270" s="53" t="str">
        <f t="shared" si="27"/>
        <v>Thừa 1</v>
      </c>
      <c r="BA270" s="53" t="s">
        <v>154</v>
      </c>
      <c r="BB270" s="53" t="s">
        <v>1021</v>
      </c>
      <c r="BC270" s="53" t="s">
        <v>1022</v>
      </c>
      <c r="BD270" s="53" t="s">
        <v>57</v>
      </c>
      <c r="BE270" s="53">
        <v>1</v>
      </c>
      <c r="BF270" s="83"/>
      <c r="BG270" s="53"/>
      <c r="BH270" s="53"/>
    </row>
    <row r="271" spans="3:61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67">
        <f>SUMIFS([1]Up!$J:$J,[1]Up!$D:$D,D271)</f>
        <v>0</v>
      </c>
      <c r="AX271" s="82" t="s">
        <v>2074</v>
      </c>
      <c r="AY271" s="82" t="str">
        <f t="shared" si="26"/>
        <v>PL12</v>
      </c>
      <c r="AZ271" s="53" t="str">
        <f t="shared" si="27"/>
        <v>Thừa 1</v>
      </c>
      <c r="BA271" s="53" t="s">
        <v>154</v>
      </c>
      <c r="BB271" s="53" t="s">
        <v>1021</v>
      </c>
      <c r="BC271" s="53" t="s">
        <v>1022</v>
      </c>
      <c r="BD271" s="53" t="s">
        <v>57</v>
      </c>
      <c r="BE271" s="53">
        <v>1</v>
      </c>
      <c r="BF271" s="83"/>
      <c r="BG271" s="53"/>
      <c r="BH271" s="53"/>
    </row>
    <row r="272" spans="3:61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5"/>
        <v>2</v>
      </c>
      <c r="M272" s="26">
        <f t="shared" si="16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67">
        <f>SUMIFS([1]Up!$J:$J,[1]Up!$D:$D,D272)</f>
        <v>0</v>
      </c>
      <c r="AX272" s="82"/>
      <c r="AY272" s="82" t="str">
        <f t="shared" si="26"/>
        <v>PL15</v>
      </c>
      <c r="AZ272" s="53" t="str">
        <f t="shared" si="27"/>
        <v/>
      </c>
      <c r="BA272" s="53" t="s">
        <v>148</v>
      </c>
      <c r="BB272" s="53" t="s">
        <v>1094</v>
      </c>
      <c r="BC272" s="53" t="s">
        <v>1095</v>
      </c>
      <c r="BD272" s="53" t="s">
        <v>1304</v>
      </c>
      <c r="BE272" s="53">
        <v>2</v>
      </c>
      <c r="BF272" s="83">
        <v>46088</v>
      </c>
      <c r="BG272" s="53"/>
      <c r="BH272" s="53"/>
    </row>
    <row r="273" spans="3:60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5"/>
        <v>6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67">
        <f>SUMIFS([1]Up!$J:$J,[1]Up!$D:$D,D273)</f>
        <v>0</v>
      </c>
      <c r="AX273" s="82"/>
      <c r="AY273" s="82" t="str">
        <f t="shared" si="26"/>
        <v>PL16</v>
      </c>
      <c r="AZ273" s="53" t="str">
        <f t="shared" si="27"/>
        <v/>
      </c>
      <c r="BA273" s="53" t="s">
        <v>148</v>
      </c>
      <c r="BB273" s="53" t="s">
        <v>988</v>
      </c>
      <c r="BC273" s="53" t="s">
        <v>989</v>
      </c>
      <c r="BD273" s="53" t="s">
        <v>990</v>
      </c>
      <c r="BE273" s="53">
        <v>6</v>
      </c>
      <c r="BF273" s="83" t="s">
        <v>2223</v>
      </c>
      <c r="BG273" s="53"/>
      <c r="BH273" s="53"/>
    </row>
    <row r="274" spans="3:60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5"/>
        <v>6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67">
        <f>SUMIFS([1]Up!$J:$J,[1]Up!$D:$D,D274)</f>
        <v>0</v>
      </c>
      <c r="AX274" s="82"/>
      <c r="AY274" s="82" t="str">
        <f t="shared" si="26"/>
        <v>PL16</v>
      </c>
      <c r="AZ274" s="53" t="str">
        <f t="shared" si="27"/>
        <v/>
      </c>
      <c r="BA274" s="53" t="s">
        <v>148</v>
      </c>
      <c r="BB274" s="53" t="s">
        <v>988</v>
      </c>
      <c r="BC274" s="53" t="s">
        <v>989</v>
      </c>
      <c r="BD274" s="53" t="s">
        <v>990</v>
      </c>
      <c r="BE274" s="53">
        <v>6</v>
      </c>
      <c r="BF274" s="83" t="s">
        <v>2223</v>
      </c>
      <c r="BG274" s="53"/>
      <c r="BH274" s="53"/>
    </row>
    <row r="275" spans="3:60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5"/>
        <v>6</v>
      </c>
      <c r="M275" s="26">
        <f t="shared" si="16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67">
        <f>SUMIFS([1]Up!$J:$J,[1]Up!$D:$D,D275)</f>
        <v>0</v>
      </c>
      <c r="AX275" s="82"/>
      <c r="AY275" s="82" t="str">
        <f t="shared" si="26"/>
        <v>PL12</v>
      </c>
      <c r="AZ275" s="53" t="str">
        <f t="shared" si="27"/>
        <v/>
      </c>
      <c r="BA275" s="53" t="s">
        <v>148</v>
      </c>
      <c r="BB275" s="53" t="s">
        <v>1021</v>
      </c>
      <c r="BC275" s="53" t="s">
        <v>1022</v>
      </c>
      <c r="BD275" s="53" t="s">
        <v>1023</v>
      </c>
      <c r="BE275" s="53">
        <v>6</v>
      </c>
      <c r="BF275" s="83">
        <v>46088</v>
      </c>
      <c r="BG275" s="53"/>
      <c r="BH275" s="53"/>
    </row>
    <row r="276" spans="3:60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5"/>
        <v>6</v>
      </c>
      <c r="M276" s="26">
        <f t="shared" si="16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67">
        <f>SUMIFS([1]Up!$J:$J,[1]Up!$D:$D,D276)</f>
        <v>0</v>
      </c>
      <c r="AX276" s="82"/>
      <c r="AY276" s="82" t="str">
        <f t="shared" si="26"/>
        <v>PL12</v>
      </c>
      <c r="AZ276" s="53" t="str">
        <f t="shared" si="27"/>
        <v/>
      </c>
      <c r="BA276" s="53" t="s">
        <v>148</v>
      </c>
      <c r="BB276" s="53" t="s">
        <v>1021</v>
      </c>
      <c r="BC276" s="53" t="s">
        <v>1022</v>
      </c>
      <c r="BD276" s="53" t="s">
        <v>1023</v>
      </c>
      <c r="BE276" s="53">
        <v>6</v>
      </c>
      <c r="BF276" s="83">
        <v>46088</v>
      </c>
      <c r="BG276" s="53"/>
      <c r="BH276" s="53"/>
    </row>
    <row r="277" spans="3:60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67">
        <f>SUMIFS([1]Up!$J:$J,[1]Up!$D:$D,D277)</f>
        <v>0</v>
      </c>
      <c r="AX277" s="82"/>
      <c r="AY277" s="82" t="str">
        <f t="shared" si="26"/>
        <v>PL12</v>
      </c>
      <c r="AZ277" s="53" t="str">
        <f t="shared" si="27"/>
        <v/>
      </c>
      <c r="BA277" s="53" t="s">
        <v>154</v>
      </c>
      <c r="BB277" s="53" t="s">
        <v>1021</v>
      </c>
      <c r="BC277" s="53" t="s">
        <v>1022</v>
      </c>
      <c r="BD277" s="53" t="s">
        <v>1399</v>
      </c>
      <c r="BE277" s="53">
        <v>1</v>
      </c>
      <c r="BF277" s="83" t="s">
        <v>2223</v>
      </c>
      <c r="BG277" s="53"/>
      <c r="BH277" s="53"/>
    </row>
    <row r="278" spans="3:60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5"/>
        <v>1</v>
      </c>
      <c r="M278" s="26">
        <f t="shared" si="16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67">
        <f>SUMIFS([1]Up!$J:$J,[1]Up!$D:$D,D278)</f>
        <v>0</v>
      </c>
      <c r="AX278" s="82" t="s">
        <v>2072</v>
      </c>
      <c r="AY278" s="82" t="str">
        <f t="shared" si="26"/>
        <v>PL12</v>
      </c>
      <c r="AZ278" s="53" t="str">
        <f t="shared" si="27"/>
        <v>Thừa 2</v>
      </c>
      <c r="BA278" s="53" t="s">
        <v>154</v>
      </c>
      <c r="BB278" s="53" t="s">
        <v>1021</v>
      </c>
      <c r="BC278" s="53" t="s">
        <v>1022</v>
      </c>
      <c r="BD278" s="53" t="s">
        <v>57</v>
      </c>
      <c r="BE278" s="53">
        <v>1</v>
      </c>
      <c r="BF278" s="83"/>
      <c r="BG278" s="53"/>
      <c r="BH278" s="53"/>
    </row>
    <row r="279" spans="3:60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5"/>
        <v>1</v>
      </c>
      <c r="M279" s="26">
        <f t="shared" si="16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67">
        <f>SUMIFS([1]Up!$J:$J,[1]Up!$D:$D,D279)</f>
        <v>0</v>
      </c>
      <c r="AX279" s="82"/>
      <c r="AY279" s="82" t="str">
        <f t="shared" si="26"/>
        <v>PL12</v>
      </c>
      <c r="AZ279" s="53" t="str">
        <f t="shared" si="27"/>
        <v/>
      </c>
      <c r="BA279" s="53" t="s">
        <v>148</v>
      </c>
      <c r="BB279" s="53" t="s">
        <v>1021</v>
      </c>
      <c r="BC279" s="53" t="s">
        <v>1022</v>
      </c>
      <c r="BD279" s="53" t="s">
        <v>1023</v>
      </c>
      <c r="BE279" s="53">
        <v>1</v>
      </c>
      <c r="BF279" s="83">
        <v>46088</v>
      </c>
      <c r="BG279" s="53"/>
      <c r="BH279" s="53"/>
    </row>
    <row r="280" spans="3:60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5"/>
        <v>2</v>
      </c>
      <c r="M280" s="26">
        <f t="shared" si="16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67">
        <f>SUMIFS([1]Up!$J:$J,[1]Up!$D:$D,D280)</f>
        <v>0</v>
      </c>
      <c r="AX280" s="82"/>
      <c r="AY280" s="82" t="str">
        <f t="shared" si="26"/>
        <v>PL12</v>
      </c>
      <c r="AZ280" s="53" t="str">
        <f t="shared" si="27"/>
        <v/>
      </c>
      <c r="BA280" s="53" t="s">
        <v>148</v>
      </c>
      <c r="BB280" s="53" t="s">
        <v>1021</v>
      </c>
      <c r="BC280" s="53" t="s">
        <v>1022</v>
      </c>
      <c r="BD280" s="53" t="s">
        <v>1023</v>
      </c>
      <c r="BE280" s="53">
        <v>2</v>
      </c>
      <c r="BF280" s="83">
        <v>46088</v>
      </c>
      <c r="BG280" s="53"/>
      <c r="BH280" s="53"/>
    </row>
    <row r="281" spans="3:60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5"/>
        <v>2</v>
      </c>
      <c r="M281" s="26">
        <f t="shared" si="16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67">
        <f>SUMIFS([1]Up!$J:$J,[1]Up!$D:$D,D281)</f>
        <v>0</v>
      </c>
      <c r="AX281" s="82"/>
      <c r="AY281" s="82" t="str">
        <f t="shared" si="26"/>
        <v>PL12</v>
      </c>
      <c r="AZ281" s="53" t="str">
        <f t="shared" si="27"/>
        <v/>
      </c>
      <c r="BA281" s="53" t="s">
        <v>148</v>
      </c>
      <c r="BB281" s="53" t="s">
        <v>1021</v>
      </c>
      <c r="BC281" s="53" t="s">
        <v>1022</v>
      </c>
      <c r="BD281" s="53" t="s">
        <v>1023</v>
      </c>
      <c r="BE281" s="53">
        <v>2</v>
      </c>
      <c r="BF281" s="83">
        <v>46088</v>
      </c>
      <c r="BG281" s="53"/>
      <c r="BH281" s="53"/>
    </row>
    <row r="282" spans="3:60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5"/>
        <v>2</v>
      </c>
      <c r="M282" s="26">
        <f t="shared" si="16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67">
        <f>SUMIFS([1]Up!$J:$J,[1]Up!$D:$D,D282)</f>
        <v>0</v>
      </c>
      <c r="AX282" s="82"/>
      <c r="AY282" s="82" t="str">
        <f t="shared" si="26"/>
        <v>PL12</v>
      </c>
      <c r="AZ282" s="53" t="str">
        <f t="shared" si="27"/>
        <v/>
      </c>
      <c r="BA282" s="53" t="s">
        <v>148</v>
      </c>
      <c r="BB282" s="53" t="s">
        <v>1021</v>
      </c>
      <c r="BC282" s="53" t="s">
        <v>1022</v>
      </c>
      <c r="BD282" s="53" t="s">
        <v>1023</v>
      </c>
      <c r="BE282" s="53">
        <v>2</v>
      </c>
      <c r="BF282" s="83">
        <v>46088</v>
      </c>
      <c r="BG282" s="53"/>
      <c r="BH282" s="53"/>
    </row>
    <row r="283" spans="3:60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5"/>
        <v>2</v>
      </c>
      <c r="M283" s="26">
        <f t="shared" si="16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67">
        <f>SUMIFS([1]Up!$J:$J,[1]Up!$D:$D,D283)</f>
        <v>0</v>
      </c>
      <c r="AX283" s="82"/>
      <c r="AY283" s="82" t="str">
        <f t="shared" si="26"/>
        <v>PL15</v>
      </c>
      <c r="AZ283" s="53" t="str">
        <f t="shared" si="27"/>
        <v/>
      </c>
      <c r="BA283" s="53" t="s">
        <v>148</v>
      </c>
      <c r="BB283" s="53" t="s">
        <v>1094</v>
      </c>
      <c r="BC283" s="53" t="s">
        <v>1095</v>
      </c>
      <c r="BD283" s="53" t="s">
        <v>1304</v>
      </c>
      <c r="BE283" s="53">
        <v>2</v>
      </c>
      <c r="BF283" s="83">
        <v>46088</v>
      </c>
      <c r="BG283" s="53"/>
      <c r="BH283" s="53"/>
    </row>
    <row r="284" spans="3:60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5"/>
        <v>1</v>
      </c>
      <c r="M284" s="26">
        <f t="shared" si="16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67">
        <f>SUMIFS([1]Up!$J:$J,[1]Up!$D:$D,D284)</f>
        <v>0</v>
      </c>
      <c r="AX284" s="82"/>
      <c r="AY284" s="82" t="str">
        <f t="shared" si="26"/>
        <v>PL12</v>
      </c>
      <c r="AZ284" s="53" t="str">
        <f t="shared" si="27"/>
        <v/>
      </c>
      <c r="BA284" s="53" t="s">
        <v>148</v>
      </c>
      <c r="BB284" s="53" t="s">
        <v>1021</v>
      </c>
      <c r="BC284" s="53" t="s">
        <v>1022</v>
      </c>
      <c r="BD284" s="53" t="s">
        <v>1023</v>
      </c>
      <c r="BE284" s="53">
        <v>1</v>
      </c>
      <c r="BF284" s="83">
        <v>46088</v>
      </c>
      <c r="BG284" s="53"/>
      <c r="BH284" s="53"/>
    </row>
    <row r="285" spans="3:60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5"/>
        <v>1</v>
      </c>
      <c r="M285" s="26">
        <f t="shared" ref="M285:M540" si="28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67">
        <f>SUMIFS([1]Up!$J:$J,[1]Up!$D:$D,D285)</f>
        <v>0</v>
      </c>
      <c r="AX285" s="82"/>
      <c r="AY285" s="82" t="str">
        <f t="shared" si="26"/>
        <v>PL12</v>
      </c>
      <c r="AZ285" s="53" t="str">
        <f t="shared" si="27"/>
        <v/>
      </c>
      <c r="BA285" s="53" t="s">
        <v>148</v>
      </c>
      <c r="BB285" s="53" t="s">
        <v>1021</v>
      </c>
      <c r="BC285" s="53" t="s">
        <v>1022</v>
      </c>
      <c r="BD285" s="53" t="s">
        <v>1023</v>
      </c>
      <c r="BE285" s="53">
        <v>1</v>
      </c>
      <c r="BF285" s="83">
        <v>46088</v>
      </c>
      <c r="BG285" s="53"/>
      <c r="BH285" s="53"/>
    </row>
    <row r="286" spans="3:60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9">MIN(SUM(N286:AV286),I286)</f>
        <v>1</v>
      </c>
      <c r="M286" s="26">
        <f t="shared" si="28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67">
        <f>SUMIFS([1]Up!$J:$J,[1]Up!$D:$D,D286)</f>
        <v>0</v>
      </c>
      <c r="AX286" s="82"/>
      <c r="AY286" s="82" t="str">
        <f t="shared" ref="AY286:AY349" si="30">IFERROR(IF(C286="Plate",LEFT(E286,FIND("*",E286,1)-1),""),IF(C286="Plate",LEFT(E286,FIND("x",E286,1)-1),""))</f>
        <v>PL15</v>
      </c>
      <c r="AZ286" s="53" t="str">
        <f t="shared" ref="AZ286:AZ349" si="31">IF(ROUND(SUM(N286:AV286)-I286,0)&gt;0,"Thừa "&amp;SUM(N286:AV286)-I286,"")</f>
        <v/>
      </c>
      <c r="BA286" s="53" t="s">
        <v>148</v>
      </c>
      <c r="BB286" s="53" t="s">
        <v>1094</v>
      </c>
      <c r="BC286" s="53" t="s">
        <v>1095</v>
      </c>
      <c r="BD286" s="53" t="s">
        <v>1304</v>
      </c>
      <c r="BE286" s="53">
        <v>1</v>
      </c>
      <c r="BF286" s="83">
        <v>46088</v>
      </c>
      <c r="BG286" s="53"/>
      <c r="BH286" s="53"/>
    </row>
    <row r="287" spans="3:60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9"/>
        <v>1</v>
      </c>
      <c r="M287" s="26">
        <f t="shared" si="28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67">
        <f>SUMIFS([1]Up!$J:$J,[1]Up!$D:$D,D287)</f>
        <v>0</v>
      </c>
      <c r="AX287" s="82" t="s">
        <v>2072</v>
      </c>
      <c r="AY287" s="82" t="str">
        <f t="shared" si="30"/>
        <v>PL12</v>
      </c>
      <c r="AZ287" s="53" t="str">
        <f t="shared" si="31"/>
        <v>Thừa 2</v>
      </c>
      <c r="BA287" s="53" t="s">
        <v>154</v>
      </c>
      <c r="BB287" s="53" t="s">
        <v>1021</v>
      </c>
      <c r="BC287" s="53" t="s">
        <v>1022</v>
      </c>
      <c r="BD287" s="53" t="s">
        <v>57</v>
      </c>
      <c r="BE287" s="53">
        <v>1</v>
      </c>
      <c r="BF287" s="83"/>
      <c r="BG287" s="53"/>
      <c r="BH287" s="53"/>
    </row>
    <row r="288" spans="3:60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9"/>
        <v>1</v>
      </c>
      <c r="M288" s="26">
        <f t="shared" si="28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67">
        <f>SUMIFS([1]Up!$J:$J,[1]Up!$D:$D,D288)</f>
        <v>0</v>
      </c>
      <c r="AX288" s="82" t="s">
        <v>2074</v>
      </c>
      <c r="AY288" s="82" t="str">
        <f t="shared" si="30"/>
        <v>PL12</v>
      </c>
      <c r="AZ288" s="53" t="str">
        <f t="shared" si="31"/>
        <v>Thừa 1</v>
      </c>
      <c r="BA288" s="53" t="s">
        <v>154</v>
      </c>
      <c r="BB288" s="53" t="s">
        <v>1021</v>
      </c>
      <c r="BC288" s="53" t="s">
        <v>1022</v>
      </c>
      <c r="BD288" s="53" t="s">
        <v>57</v>
      </c>
      <c r="BE288" s="53">
        <v>1</v>
      </c>
      <c r="BF288" s="83"/>
      <c r="BG288" s="53"/>
      <c r="BH288" s="53"/>
    </row>
    <row r="289" spans="3:61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9"/>
        <v>1</v>
      </c>
      <c r="M289" s="26">
        <f t="shared" si="2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67">
        <f>SUMIFS([1]Up!$J:$J,[1]Up!$D:$D,D289)</f>
        <v>0</v>
      </c>
      <c r="AX289" s="82"/>
      <c r="AY289" s="82" t="str">
        <f t="shared" si="30"/>
        <v>PL12</v>
      </c>
      <c r="AZ289" s="53" t="str">
        <f t="shared" si="31"/>
        <v/>
      </c>
      <c r="BA289" s="53" t="s">
        <v>154</v>
      </c>
      <c r="BB289" s="53" t="s">
        <v>1021</v>
      </c>
      <c r="BC289" s="53" t="s">
        <v>1022</v>
      </c>
      <c r="BD289" s="53" t="s">
        <v>1399</v>
      </c>
      <c r="BE289" s="53">
        <v>1</v>
      </c>
      <c r="BF289" s="83" t="s">
        <v>2223</v>
      </c>
      <c r="BG289" s="53"/>
      <c r="BH289" s="53"/>
    </row>
    <row r="290" spans="3:61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9"/>
        <v>1</v>
      </c>
      <c r="M290" s="26">
        <f t="shared" si="28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67">
        <f>SUMIFS([1]Up!$J:$J,[1]Up!$D:$D,D290)</f>
        <v>0</v>
      </c>
      <c r="AX290" s="82" t="s">
        <v>2073</v>
      </c>
      <c r="AY290" s="82" t="str">
        <f t="shared" si="30"/>
        <v>PL12</v>
      </c>
      <c r="AZ290" s="53" t="str">
        <f t="shared" si="31"/>
        <v>Thừa 3</v>
      </c>
      <c r="BA290" s="53" t="s">
        <v>154</v>
      </c>
      <c r="BB290" s="53" t="s">
        <v>1021</v>
      </c>
      <c r="BC290" s="53" t="s">
        <v>1022</v>
      </c>
      <c r="BD290" s="53" t="s">
        <v>57</v>
      </c>
      <c r="BE290" s="53">
        <v>1</v>
      </c>
      <c r="BF290" s="83"/>
      <c r="BG290" s="53"/>
      <c r="BH290" s="53"/>
    </row>
    <row r="291" spans="3:61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9"/>
        <v>3</v>
      </c>
      <c r="M291" s="26">
        <f t="shared" si="28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67">
        <f>SUMIFS([1]Up!$J:$J,[1]Up!$D:$D,D291)</f>
        <v>0</v>
      </c>
      <c r="AX291" s="82"/>
      <c r="AY291" s="82" t="str">
        <f t="shared" si="30"/>
        <v>PL12</v>
      </c>
      <c r="AZ291" s="53" t="str">
        <f t="shared" si="31"/>
        <v/>
      </c>
      <c r="BA291" s="53" t="s">
        <v>148</v>
      </c>
      <c r="BB291" s="53" t="s">
        <v>1021</v>
      </c>
      <c r="BC291" s="53" t="s">
        <v>1022</v>
      </c>
      <c r="BD291" s="53" t="s">
        <v>1023</v>
      </c>
      <c r="BE291" s="53">
        <v>3</v>
      </c>
      <c r="BF291" s="83">
        <v>46088</v>
      </c>
      <c r="BG291" s="53"/>
      <c r="BH291" s="53"/>
    </row>
    <row r="292" spans="3:61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9"/>
        <v>3</v>
      </c>
      <c r="M292" s="26">
        <f t="shared" si="28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67">
        <f>SUMIFS([1]Up!$J:$J,[1]Up!$D:$D,D292)</f>
        <v>0</v>
      </c>
      <c r="AX292" s="82"/>
      <c r="AY292" s="82" t="str">
        <f t="shared" si="30"/>
        <v>PL12</v>
      </c>
      <c r="AZ292" s="53" t="str">
        <f t="shared" si="31"/>
        <v/>
      </c>
      <c r="BA292" s="53" t="s">
        <v>148</v>
      </c>
      <c r="BB292" s="53" t="s">
        <v>1021</v>
      </c>
      <c r="BC292" s="53" t="s">
        <v>1022</v>
      </c>
      <c r="BD292" s="53" t="s">
        <v>1023</v>
      </c>
      <c r="BE292" s="53">
        <v>3</v>
      </c>
      <c r="BF292" s="83">
        <v>46088</v>
      </c>
      <c r="BG292" s="53"/>
      <c r="BH292" s="53"/>
    </row>
    <row r="293" spans="3:61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9"/>
        <v>2</v>
      </c>
      <c r="M293" s="26">
        <f t="shared" si="28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67">
        <f>SUMIFS([1]Up!$J:$J,[1]Up!$D:$D,D293)</f>
        <v>0</v>
      </c>
      <c r="AX293" s="82"/>
      <c r="AY293" s="82" t="str">
        <f t="shared" si="30"/>
        <v>PL15</v>
      </c>
      <c r="AZ293" s="53" t="str">
        <f t="shared" si="31"/>
        <v/>
      </c>
      <c r="BA293" s="53" t="s">
        <v>148</v>
      </c>
      <c r="BB293" s="53" t="s">
        <v>1094</v>
      </c>
      <c r="BC293" s="53" t="s">
        <v>1095</v>
      </c>
      <c r="BD293" s="53" t="s">
        <v>1304</v>
      </c>
      <c r="BE293" s="53">
        <v>2</v>
      </c>
      <c r="BF293" s="83">
        <v>46088</v>
      </c>
      <c r="BG293" s="53"/>
      <c r="BH293" s="53"/>
    </row>
    <row r="294" spans="3:61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9"/>
        <v>2</v>
      </c>
      <c r="M294" s="26">
        <f t="shared" si="28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67">
        <f>SUMIFS([1]Up!$J:$J,[1]Up!$D:$D,D294)</f>
        <v>0</v>
      </c>
      <c r="AX294" s="82"/>
      <c r="AY294" s="82" t="str">
        <f t="shared" si="30"/>
        <v>PL20</v>
      </c>
      <c r="AZ294" s="53" t="str">
        <f t="shared" si="31"/>
        <v/>
      </c>
      <c r="BA294" s="53" t="s">
        <v>148</v>
      </c>
      <c r="BB294" s="53" t="s">
        <v>1100</v>
      </c>
      <c r="BC294" s="53" t="s">
        <v>1101</v>
      </c>
      <c r="BD294" s="53" t="s">
        <v>1308</v>
      </c>
      <c r="BE294" s="53">
        <v>2</v>
      </c>
      <c r="BF294" s="83">
        <v>46242</v>
      </c>
      <c r="BG294" s="53"/>
      <c r="BH294" s="53"/>
    </row>
    <row r="295" spans="3:61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9"/>
        <v>1</v>
      </c>
      <c r="M295" s="26">
        <f t="shared" si="2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67">
        <f>SUMIFS([1]Up!$J:$J,[1]Up!$D:$D,D295)</f>
        <v>0</v>
      </c>
      <c r="AX295" s="82"/>
      <c r="AY295" s="82" t="str">
        <f t="shared" si="30"/>
        <v>PL12</v>
      </c>
      <c r="AZ295" s="53" t="str">
        <f t="shared" si="31"/>
        <v/>
      </c>
      <c r="BA295" s="53" t="s">
        <v>154</v>
      </c>
      <c r="BB295" s="53" t="s">
        <v>1021</v>
      </c>
      <c r="BC295" s="53" t="s">
        <v>1022</v>
      </c>
      <c r="BD295" s="53" t="s">
        <v>1399</v>
      </c>
      <c r="BE295" s="53">
        <v>1</v>
      </c>
      <c r="BF295" s="83" t="s">
        <v>2223</v>
      </c>
      <c r="BG295" s="53"/>
      <c r="BH295" s="53"/>
    </row>
    <row r="296" spans="3:61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9"/>
        <v>1</v>
      </c>
      <c r="M296" s="26">
        <f t="shared" si="28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67">
        <f>SUMIFS([1]Up!$J:$J,[1]Up!$D:$D,D296)</f>
        <v>0</v>
      </c>
      <c r="AX296" s="82" t="s">
        <v>2072</v>
      </c>
      <c r="AY296" s="82" t="str">
        <f t="shared" si="30"/>
        <v>PL12</v>
      </c>
      <c r="AZ296" s="53" t="str">
        <f t="shared" si="31"/>
        <v>Thừa 2</v>
      </c>
      <c r="BA296" s="53" t="s">
        <v>154</v>
      </c>
      <c r="BB296" s="53" t="s">
        <v>1021</v>
      </c>
      <c r="BC296" s="53" t="s">
        <v>1022</v>
      </c>
      <c r="BD296" s="53" t="s">
        <v>57</v>
      </c>
      <c r="BE296" s="53">
        <v>1</v>
      </c>
      <c r="BF296" s="83"/>
      <c r="BG296" s="53"/>
      <c r="BH296" s="53"/>
    </row>
    <row r="297" spans="3:61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9"/>
        <v>3</v>
      </c>
      <c r="M297" s="26">
        <f t="shared" si="2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67">
        <f>SUMIFS([1]Up!$J:$J,[1]Up!$D:$D,D297)</f>
        <v>0</v>
      </c>
      <c r="AX297" s="82"/>
      <c r="AY297" s="82" t="str">
        <f t="shared" si="30"/>
        <v>PL12</v>
      </c>
      <c r="AZ297" s="53" t="str">
        <f t="shared" si="31"/>
        <v/>
      </c>
      <c r="BA297" s="53" t="s">
        <v>154</v>
      </c>
      <c r="BB297" s="53" t="s">
        <v>1021</v>
      </c>
      <c r="BC297" s="53" t="s">
        <v>1022</v>
      </c>
      <c r="BD297" s="53" t="s">
        <v>1023</v>
      </c>
      <c r="BE297" s="53">
        <v>3</v>
      </c>
      <c r="BF297" s="83">
        <v>46088</v>
      </c>
      <c r="BG297" s="53"/>
      <c r="BH297" s="53"/>
    </row>
    <row r="298" spans="3:61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9"/>
        <v>3</v>
      </c>
      <c r="M298" s="26">
        <f t="shared" si="28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67">
        <f>SUMIFS([1]Up!$J:$J,[1]Up!$D:$D,D298)</f>
        <v>0</v>
      </c>
      <c r="AX298" s="82"/>
      <c r="AY298" s="82" t="str">
        <f t="shared" si="30"/>
        <v>PL12</v>
      </c>
      <c r="AZ298" s="53" t="str">
        <f t="shared" si="31"/>
        <v/>
      </c>
      <c r="BA298" s="53" t="s">
        <v>154</v>
      </c>
      <c r="BB298" s="53" t="s">
        <v>1021</v>
      </c>
      <c r="BC298" s="53" t="s">
        <v>1022</v>
      </c>
      <c r="BD298" s="53" t="s">
        <v>1023</v>
      </c>
      <c r="BE298" s="53">
        <v>3</v>
      </c>
      <c r="BF298" s="83">
        <v>46088</v>
      </c>
      <c r="BG298" s="53"/>
      <c r="BH298" s="53"/>
    </row>
    <row r="299" spans="3:61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9"/>
        <v>1</v>
      </c>
      <c r="M299" s="26">
        <f t="shared" si="28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67">
        <f>SUMIFS([1]Up!$J:$J,[1]Up!$D:$D,D299)</f>
        <v>0</v>
      </c>
      <c r="AX299" s="82" t="s">
        <v>2072</v>
      </c>
      <c r="AY299" s="82" t="str">
        <f t="shared" si="30"/>
        <v>PL12</v>
      </c>
      <c r="AZ299" s="53" t="str">
        <f t="shared" si="31"/>
        <v>Thừa 2</v>
      </c>
      <c r="BA299" s="53" t="s">
        <v>154</v>
      </c>
      <c r="BB299" s="53" t="s">
        <v>1021</v>
      </c>
      <c r="BC299" s="53" t="s">
        <v>1022</v>
      </c>
      <c r="BD299" s="53" t="s">
        <v>57</v>
      </c>
      <c r="BE299" s="53">
        <v>1</v>
      </c>
      <c r="BF299" s="83"/>
      <c r="BG299" s="53"/>
      <c r="BH299" s="53"/>
    </row>
    <row r="300" spans="3:61" ht="14.25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9"/>
        <v>6</v>
      </c>
      <c r="M300" s="26">
        <f t="shared" si="28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67">
        <f>SUMIFS([1]Up!$J:$J,[1]Up!$D:$D,D300)</f>
        <v>6</v>
      </c>
      <c r="AX300" s="82"/>
      <c r="AY300" s="82" t="str">
        <f t="shared" si="30"/>
        <v/>
      </c>
      <c r="AZ300" s="53" t="str">
        <f t="shared" si="31"/>
        <v/>
      </c>
      <c r="BA300" s="53" t="s">
        <v>148</v>
      </c>
      <c r="BB300" s="53" t="s">
        <v>1079</v>
      </c>
      <c r="BC300" s="53" t="s">
        <v>1076</v>
      </c>
      <c r="BD300" s="84" t="s">
        <v>2162</v>
      </c>
      <c r="BE300" s="53">
        <v>24</v>
      </c>
      <c r="BF300" s="83" t="s">
        <v>2225</v>
      </c>
      <c r="BG300" s="53"/>
      <c r="BH300" s="53"/>
      <c r="BI300" s="238"/>
    </row>
    <row r="301" spans="3:61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9"/>
        <v>0</v>
      </c>
      <c r="M301" s="26">
        <f t="shared" si="28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67">
        <f>SUMIFS([1]Up!$J:$J,[1]Up!$D:$D,D301)</f>
        <v>0</v>
      </c>
      <c r="AX301" s="82"/>
      <c r="AY301" s="82" t="str">
        <f t="shared" si="30"/>
        <v>PL12</v>
      </c>
      <c r="AZ301" s="53" t="str">
        <f t="shared" si="31"/>
        <v/>
      </c>
      <c r="BA301" s="53" t="s">
        <v>154</v>
      </c>
      <c r="BB301" s="53" t="s">
        <v>1021</v>
      </c>
      <c r="BC301" s="53" t="s">
        <v>1022</v>
      </c>
      <c r="BD301" s="53" t="s">
        <v>57</v>
      </c>
      <c r="BE301" s="53">
        <v>8</v>
      </c>
      <c r="BF301" s="83"/>
      <c r="BG301" s="53"/>
      <c r="BH301" s="53"/>
    </row>
    <row r="302" spans="3:61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9"/>
        <v>0</v>
      </c>
      <c r="M302" s="26">
        <f t="shared" si="28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67">
        <f>SUMIFS([1]Up!$J:$J,[1]Up!$D:$D,D302)</f>
        <v>0</v>
      </c>
      <c r="AX302" s="82"/>
      <c r="AY302" s="82" t="str">
        <f t="shared" si="30"/>
        <v>PL12</v>
      </c>
      <c r="AZ302" s="53" t="str">
        <f t="shared" si="31"/>
        <v/>
      </c>
      <c r="BA302" s="53" t="s">
        <v>154</v>
      </c>
      <c r="BB302" s="53" t="s">
        <v>1021</v>
      </c>
      <c r="BC302" s="53" t="s">
        <v>1022</v>
      </c>
      <c r="BD302" s="84" t="s">
        <v>1450</v>
      </c>
      <c r="BE302" s="53">
        <v>4</v>
      </c>
      <c r="BF302" s="83" t="s">
        <v>2228</v>
      </c>
      <c r="BG302" s="53"/>
      <c r="BH302" s="53"/>
      <c r="BI302" s="238"/>
    </row>
    <row r="303" spans="3:61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9"/>
        <v>0</v>
      </c>
      <c r="M303" s="26">
        <f t="shared" si="2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67">
        <f>SUMIFS([1]Up!$J:$J,[1]Up!$D:$D,D303)</f>
        <v>0</v>
      </c>
      <c r="AX303" s="82"/>
      <c r="AY303" s="82" t="str">
        <f t="shared" si="30"/>
        <v>PL12</v>
      </c>
      <c r="AZ303" s="53" t="str">
        <f t="shared" si="31"/>
        <v/>
      </c>
      <c r="BA303" s="53" t="s">
        <v>154</v>
      </c>
      <c r="BB303" s="53" t="s">
        <v>1021</v>
      </c>
      <c r="BC303" s="53" t="s">
        <v>1022</v>
      </c>
      <c r="BD303" s="84" t="s">
        <v>2174</v>
      </c>
      <c r="BE303" s="53">
        <v>4</v>
      </c>
      <c r="BF303" s="83" t="s">
        <v>2228</v>
      </c>
      <c r="BG303" s="53"/>
      <c r="BH303" s="53"/>
      <c r="BI303" s="238"/>
    </row>
    <row r="304" spans="3:61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9"/>
        <v>0</v>
      </c>
      <c r="M304" s="26">
        <f t="shared" si="2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67">
        <f>SUMIFS([1]Up!$J:$J,[1]Up!$D:$D,D304)</f>
        <v>0</v>
      </c>
      <c r="AX304" s="82"/>
      <c r="AY304" s="82" t="str">
        <f t="shared" si="30"/>
        <v>PL12</v>
      </c>
      <c r="AZ304" s="53" t="str">
        <f t="shared" si="31"/>
        <v/>
      </c>
      <c r="BA304" s="53" t="s">
        <v>154</v>
      </c>
      <c r="BB304" s="53" t="s">
        <v>1021</v>
      </c>
      <c r="BC304" s="53" t="s">
        <v>1022</v>
      </c>
      <c r="BD304" s="53" t="s">
        <v>57</v>
      </c>
      <c r="BE304" s="53">
        <v>4</v>
      </c>
      <c r="BF304" s="83"/>
      <c r="BG304" s="53"/>
      <c r="BH304" s="53"/>
    </row>
    <row r="305" spans="3:61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9"/>
        <v>0</v>
      </c>
      <c r="M305" s="26">
        <f t="shared" si="2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67">
        <f>SUMIFS([1]Up!$J:$J,[1]Up!$D:$D,D305)</f>
        <v>0</v>
      </c>
      <c r="AX305" s="82"/>
      <c r="AY305" s="82" t="str">
        <f t="shared" si="30"/>
        <v>PL12</v>
      </c>
      <c r="AZ305" s="53" t="str">
        <f t="shared" si="31"/>
        <v/>
      </c>
      <c r="BA305" s="53" t="s">
        <v>154</v>
      </c>
      <c r="BB305" s="53" t="s">
        <v>1021</v>
      </c>
      <c r="BC305" s="53" t="s">
        <v>1022</v>
      </c>
      <c r="BD305" s="53" t="s">
        <v>57</v>
      </c>
      <c r="BE305" s="53">
        <v>4</v>
      </c>
      <c r="BF305" s="83"/>
      <c r="BG305" s="53"/>
      <c r="BH305" s="53"/>
    </row>
    <row r="306" spans="3:61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9"/>
        <v>2</v>
      </c>
      <c r="M306" s="26">
        <f t="shared" si="28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67">
        <f>SUMIFS([1]Up!$J:$J,[1]Up!$D:$D,D306)</f>
        <v>0</v>
      </c>
      <c r="AX306" s="82"/>
      <c r="AY306" s="82" t="str">
        <f t="shared" si="30"/>
        <v>PL15</v>
      </c>
      <c r="AZ306" s="53" t="str">
        <f t="shared" si="31"/>
        <v/>
      </c>
      <c r="BA306" s="53" t="s">
        <v>148</v>
      </c>
      <c r="BB306" s="53" t="s">
        <v>1094</v>
      </c>
      <c r="BC306" s="53" t="s">
        <v>1095</v>
      </c>
      <c r="BD306" s="84" t="s">
        <v>2156</v>
      </c>
      <c r="BE306" s="53">
        <v>8</v>
      </c>
      <c r="BF306" s="83" t="s">
        <v>2225</v>
      </c>
      <c r="BG306" s="53"/>
      <c r="BH306" s="53"/>
      <c r="BI306" s="238"/>
    </row>
    <row r="307" spans="3:61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9"/>
        <v>0</v>
      </c>
      <c r="M307" s="26">
        <f t="shared" si="28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67">
        <f>SUMIFS([1]Up!$J:$J,[1]Up!$D:$D,D307)</f>
        <v>0</v>
      </c>
      <c r="AX307" s="82"/>
      <c r="AY307" s="82" t="str">
        <f t="shared" si="30"/>
        <v>PL16</v>
      </c>
      <c r="AZ307" s="53" t="str">
        <f t="shared" si="31"/>
        <v/>
      </c>
      <c r="BA307" s="53" t="s">
        <v>148</v>
      </c>
      <c r="BB307" s="53" t="s">
        <v>988</v>
      </c>
      <c r="BC307" s="53" t="s">
        <v>989</v>
      </c>
      <c r="BD307" s="84" t="s">
        <v>2161</v>
      </c>
      <c r="BE307" s="53">
        <v>24</v>
      </c>
      <c r="BF307" s="83" t="s">
        <v>2226</v>
      </c>
      <c r="BG307" s="53"/>
      <c r="BH307" s="53"/>
      <c r="BI307" s="238"/>
    </row>
    <row r="308" spans="3:61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9"/>
        <v>0</v>
      </c>
      <c r="M308" s="26">
        <f t="shared" si="28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67">
        <f>SUMIFS([1]Up!$J:$J,[1]Up!$D:$D,D308)</f>
        <v>0</v>
      </c>
      <c r="AX308" s="82"/>
      <c r="AY308" s="82" t="str">
        <f t="shared" si="30"/>
        <v>PL16</v>
      </c>
      <c r="AZ308" s="53" t="str">
        <f t="shared" si="31"/>
        <v/>
      </c>
      <c r="BA308" s="53" t="s">
        <v>148</v>
      </c>
      <c r="BB308" s="53" t="s">
        <v>988</v>
      </c>
      <c r="BC308" s="53" t="s">
        <v>989</v>
      </c>
      <c r="BD308" s="84" t="s">
        <v>2161</v>
      </c>
      <c r="BE308" s="53">
        <v>24</v>
      </c>
      <c r="BF308" s="83" t="s">
        <v>2226</v>
      </c>
      <c r="BG308" s="53"/>
      <c r="BH308" s="53"/>
      <c r="BI308" s="238"/>
    </row>
    <row r="309" spans="3:61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9"/>
        <v>2</v>
      </c>
      <c r="M309" s="26">
        <f t="shared" si="28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67">
        <f>SUMIFS([1]Up!$J:$J,[1]Up!$D:$D,D309)</f>
        <v>0</v>
      </c>
      <c r="AX309" s="82"/>
      <c r="AY309" s="82" t="str">
        <f t="shared" si="30"/>
        <v>PL12</v>
      </c>
      <c r="AZ309" s="53" t="str">
        <f t="shared" si="31"/>
        <v/>
      </c>
      <c r="BA309" s="53" t="s">
        <v>148</v>
      </c>
      <c r="BB309" s="53" t="s">
        <v>1021</v>
      </c>
      <c r="BC309" s="53" t="s">
        <v>1022</v>
      </c>
      <c r="BD309" s="84" t="s">
        <v>2160</v>
      </c>
      <c r="BE309" s="53">
        <v>24</v>
      </c>
      <c r="BF309" s="83">
        <v>46302</v>
      </c>
      <c r="BG309" s="53"/>
      <c r="BH309" s="53"/>
      <c r="BI309" s="238"/>
    </row>
    <row r="310" spans="3:61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9"/>
        <v>6</v>
      </c>
      <c r="M310" s="26">
        <f t="shared" si="28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67">
        <f>SUMIFS([1]Up!$J:$J,[1]Up!$D:$D,D310)</f>
        <v>0</v>
      </c>
      <c r="AX310" s="82"/>
      <c r="AY310" s="82" t="str">
        <f t="shared" si="30"/>
        <v>PL12</v>
      </c>
      <c r="AZ310" s="53" t="str">
        <f t="shared" si="31"/>
        <v/>
      </c>
      <c r="BA310" s="53" t="s">
        <v>148</v>
      </c>
      <c r="BB310" s="53" t="s">
        <v>1021</v>
      </c>
      <c r="BC310" s="53" t="s">
        <v>1022</v>
      </c>
      <c r="BD310" s="84" t="s">
        <v>2160</v>
      </c>
      <c r="BE310" s="53">
        <v>24</v>
      </c>
      <c r="BF310" s="83">
        <v>46302</v>
      </c>
      <c r="BG310" s="53"/>
      <c r="BH310" s="53"/>
      <c r="BI310" s="238"/>
    </row>
    <row r="311" spans="3:61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9"/>
        <v>2</v>
      </c>
      <c r="M311" s="26">
        <f t="shared" si="28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67">
        <f>SUMIFS([1]Up!$J:$J,[1]Up!$D:$D,D311)</f>
        <v>0</v>
      </c>
      <c r="AX311" s="82" t="s">
        <v>2229</v>
      </c>
      <c r="AY311" s="82" t="str">
        <f t="shared" si="30"/>
        <v>PL12</v>
      </c>
      <c r="AZ311" s="53" t="str">
        <f t="shared" si="31"/>
        <v/>
      </c>
      <c r="BA311" s="53" t="s">
        <v>154</v>
      </c>
      <c r="BB311" s="53" t="s">
        <v>1021</v>
      </c>
      <c r="BC311" s="53" t="s">
        <v>1022</v>
      </c>
      <c r="BD311" s="53" t="s">
        <v>57</v>
      </c>
      <c r="BE311" s="53">
        <v>4</v>
      </c>
      <c r="BF311" s="83"/>
      <c r="BG311" s="53"/>
      <c r="BH311" s="53"/>
    </row>
    <row r="312" spans="3:61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9"/>
        <v>0</v>
      </c>
      <c r="M312" s="26">
        <f t="shared" si="28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67">
        <f>SUMIFS([1]Up!$J:$J,[1]Up!$D:$D,D312)</f>
        <v>0</v>
      </c>
      <c r="AX312" s="82"/>
      <c r="AY312" s="82" t="str">
        <f t="shared" si="30"/>
        <v>PL12</v>
      </c>
      <c r="AZ312" s="53" t="str">
        <f t="shared" si="31"/>
        <v/>
      </c>
      <c r="BA312" s="53" t="s">
        <v>154</v>
      </c>
      <c r="BB312" s="53" t="s">
        <v>1021</v>
      </c>
      <c r="BC312" s="53" t="s">
        <v>1022</v>
      </c>
      <c r="BD312" s="84" t="s">
        <v>2155</v>
      </c>
      <c r="BE312" s="53">
        <v>4</v>
      </c>
      <c r="BF312" s="83" t="s">
        <v>2228</v>
      </c>
      <c r="BG312" s="53"/>
      <c r="BH312" s="53"/>
      <c r="BI312" s="238"/>
    </row>
    <row r="313" spans="3:61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9"/>
        <v>2</v>
      </c>
      <c r="M313" s="26">
        <f t="shared" si="2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67">
        <f>SUMIFS([1]Up!$J:$J,[1]Up!$D:$D,D313)</f>
        <v>0</v>
      </c>
      <c r="AX313" s="82" t="s">
        <v>2247</v>
      </c>
      <c r="AY313" s="82" t="str">
        <f t="shared" si="30"/>
        <v>PL12</v>
      </c>
      <c r="AZ313" s="53" t="str">
        <f t="shared" si="31"/>
        <v>Thừa 1</v>
      </c>
      <c r="BA313" s="53" t="s">
        <v>154</v>
      </c>
      <c r="BB313" s="53" t="s">
        <v>1021</v>
      </c>
      <c r="BC313" s="53" t="s">
        <v>1022</v>
      </c>
      <c r="BD313" s="53" t="s">
        <v>57</v>
      </c>
      <c r="BE313" s="53">
        <v>4</v>
      </c>
      <c r="BF313" s="83"/>
      <c r="BG313" s="53"/>
      <c r="BH313" s="53"/>
    </row>
    <row r="314" spans="3:61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9"/>
        <v>1</v>
      </c>
      <c r="M314" s="26">
        <f t="shared" si="28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67">
        <f>SUMIFS([1]Up!$J:$J,[1]Up!$D:$D,D314)</f>
        <v>0</v>
      </c>
      <c r="AX314" s="82"/>
      <c r="AY314" s="82" t="str">
        <f t="shared" si="30"/>
        <v>PL12</v>
      </c>
      <c r="AZ314" s="53" t="str">
        <f t="shared" si="31"/>
        <v/>
      </c>
      <c r="BA314" s="53" t="s">
        <v>148</v>
      </c>
      <c r="BB314" s="53" t="s">
        <v>1021</v>
      </c>
      <c r="BC314" s="53" t="s">
        <v>1022</v>
      </c>
      <c r="BD314" s="84" t="s">
        <v>2160</v>
      </c>
      <c r="BE314" s="53">
        <v>12</v>
      </c>
      <c r="BF314" s="83">
        <v>46302</v>
      </c>
      <c r="BG314" s="53"/>
      <c r="BH314" s="53"/>
      <c r="BI314" s="238"/>
    </row>
    <row r="315" spans="3:61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9"/>
        <v>3</v>
      </c>
      <c r="M315" s="26">
        <f t="shared" si="28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67">
        <f>SUMIFS([1]Up!$J:$J,[1]Up!$D:$D,D315)</f>
        <v>0</v>
      </c>
      <c r="AX315" s="82"/>
      <c r="AY315" s="82" t="str">
        <f t="shared" si="30"/>
        <v>PL12</v>
      </c>
      <c r="AZ315" s="53" t="str">
        <f t="shared" si="31"/>
        <v/>
      </c>
      <c r="BA315" s="53" t="s">
        <v>148</v>
      </c>
      <c r="BB315" s="53" t="s">
        <v>1021</v>
      </c>
      <c r="BC315" s="53" t="s">
        <v>1022</v>
      </c>
      <c r="BD315" s="84" t="s">
        <v>2160</v>
      </c>
      <c r="BE315" s="53">
        <v>12</v>
      </c>
      <c r="BF315" s="83">
        <v>46302</v>
      </c>
      <c r="BG315" s="53"/>
      <c r="BH315" s="53"/>
      <c r="BI315" s="238"/>
    </row>
    <row r="316" spans="3:61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9"/>
        <v>0</v>
      </c>
      <c r="M316" s="26">
        <f t="shared" si="28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67">
        <f>SUMIFS([1]Up!$J:$J,[1]Up!$D:$D,D316)</f>
        <v>0</v>
      </c>
      <c r="AX316" s="82"/>
      <c r="AY316" s="82" t="str">
        <f t="shared" si="30"/>
        <v>PL15</v>
      </c>
      <c r="AZ316" s="53" t="str">
        <f t="shared" si="31"/>
        <v/>
      </c>
      <c r="BA316" s="53" t="s">
        <v>148</v>
      </c>
      <c r="BB316" s="53" t="s">
        <v>1094</v>
      </c>
      <c r="BC316" s="53" t="s">
        <v>1095</v>
      </c>
      <c r="BD316" s="84" t="s">
        <v>2156</v>
      </c>
      <c r="BE316" s="53">
        <v>8</v>
      </c>
      <c r="BF316" s="83" t="s">
        <v>2225</v>
      </c>
      <c r="BG316" s="53"/>
      <c r="BH316" s="53"/>
      <c r="BI316" s="238"/>
    </row>
    <row r="317" spans="3:61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9"/>
        <v>2</v>
      </c>
      <c r="M317" s="26">
        <f t="shared" si="28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67">
        <f>SUMIFS([1]Up!$J:$J,[1]Up!$D:$D,D317)</f>
        <v>0</v>
      </c>
      <c r="AX317" s="82"/>
      <c r="AY317" s="82" t="str">
        <f t="shared" si="30"/>
        <v>PL20</v>
      </c>
      <c r="AZ317" s="53" t="str">
        <f t="shared" si="31"/>
        <v/>
      </c>
      <c r="BA317" s="53" t="s">
        <v>148</v>
      </c>
      <c r="BB317" s="53" t="s">
        <v>1100</v>
      </c>
      <c r="BC317" s="53" t="s">
        <v>1101</v>
      </c>
      <c r="BD317" s="84" t="s">
        <v>2158</v>
      </c>
      <c r="BE317" s="53">
        <v>8</v>
      </c>
      <c r="BF317" s="83">
        <v>46242</v>
      </c>
      <c r="BG317" s="53"/>
      <c r="BH317" s="53"/>
      <c r="BI317" s="238"/>
    </row>
    <row r="318" spans="3:61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9"/>
        <v>0</v>
      </c>
      <c r="M318" s="26">
        <f t="shared" si="28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67">
        <f>SUMIFS([1]Up!$J:$J,[1]Up!$D:$D,D318)</f>
        <v>0</v>
      </c>
      <c r="AX318" s="82"/>
      <c r="AY318" s="82" t="str">
        <f t="shared" si="30"/>
        <v>PL12</v>
      </c>
      <c r="AZ318" s="53" t="str">
        <f t="shared" si="31"/>
        <v/>
      </c>
      <c r="BA318" s="53" t="s">
        <v>154</v>
      </c>
      <c r="BB318" s="53" t="s">
        <v>1021</v>
      </c>
      <c r="BC318" s="53" t="s">
        <v>1022</v>
      </c>
      <c r="BD318" s="84" t="s">
        <v>2155</v>
      </c>
      <c r="BE318" s="53">
        <v>4</v>
      </c>
      <c r="BF318" s="83" t="s">
        <v>2228</v>
      </c>
      <c r="BG318" s="53"/>
      <c r="BH318" s="53"/>
      <c r="BI318" s="238"/>
    </row>
    <row r="319" spans="3:61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9"/>
        <v>2</v>
      </c>
      <c r="M319" s="26">
        <f t="shared" si="2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67">
        <f>SUMIFS([1]Up!$J:$J,[1]Up!$D:$D,D319)</f>
        <v>0</v>
      </c>
      <c r="AX319" s="82" t="s">
        <v>2078</v>
      </c>
      <c r="AY319" s="82" t="str">
        <f t="shared" si="30"/>
        <v>PL12</v>
      </c>
      <c r="AZ319" s="53" t="str">
        <f t="shared" si="31"/>
        <v>Thừa 1</v>
      </c>
      <c r="BA319" s="53" t="s">
        <v>154</v>
      </c>
      <c r="BB319" s="53" t="s">
        <v>1021</v>
      </c>
      <c r="BC319" s="53" t="s">
        <v>1022</v>
      </c>
      <c r="BD319" s="53" t="s">
        <v>57</v>
      </c>
      <c r="BE319" s="53">
        <v>4</v>
      </c>
      <c r="BF319" s="83"/>
      <c r="BG319" s="53"/>
      <c r="BH319" s="53"/>
    </row>
    <row r="320" spans="3:61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9"/>
        <v>0</v>
      </c>
      <c r="M320" s="26">
        <f t="shared" si="28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67">
        <f>SUMIFS([1]Up!$J:$J,[1]Up!$D:$D,D320)</f>
        <v>0</v>
      </c>
      <c r="AX320" s="82"/>
      <c r="AY320" s="82" t="str">
        <f t="shared" si="30"/>
        <v>PL12</v>
      </c>
      <c r="AZ320" s="53" t="str">
        <f t="shared" si="31"/>
        <v/>
      </c>
      <c r="BA320" s="53" t="s">
        <v>148</v>
      </c>
      <c r="BB320" s="53" t="s">
        <v>1021</v>
      </c>
      <c r="BC320" s="53" t="s">
        <v>1022</v>
      </c>
      <c r="BD320" s="84" t="s">
        <v>2160</v>
      </c>
      <c r="BE320" s="53">
        <v>12</v>
      </c>
      <c r="BF320" s="83">
        <v>46302</v>
      </c>
      <c r="BG320" s="53"/>
      <c r="BH320" s="53"/>
      <c r="BI320" s="238"/>
    </row>
    <row r="321" spans="3:61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9"/>
        <v>0</v>
      </c>
      <c r="M321" s="26">
        <f t="shared" si="28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67">
        <f>SUMIFS([1]Up!$J:$J,[1]Up!$D:$D,D321)</f>
        <v>0</v>
      </c>
      <c r="AX321" s="82"/>
      <c r="AY321" s="82" t="str">
        <f t="shared" si="30"/>
        <v>PL12</v>
      </c>
      <c r="AZ321" s="53" t="str">
        <f t="shared" si="31"/>
        <v/>
      </c>
      <c r="BA321" s="53" t="s">
        <v>148</v>
      </c>
      <c r="BB321" s="53" t="s">
        <v>1021</v>
      </c>
      <c r="BC321" s="53" t="s">
        <v>1022</v>
      </c>
      <c r="BD321" s="84" t="s">
        <v>2160</v>
      </c>
      <c r="BE321" s="53">
        <v>12</v>
      </c>
      <c r="BF321" s="83">
        <v>46302</v>
      </c>
      <c r="BG321" s="53"/>
      <c r="BH321" s="53"/>
      <c r="BI321" s="238"/>
    </row>
    <row r="322" spans="3:61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9"/>
        <v>2</v>
      </c>
      <c r="M322" s="26">
        <f t="shared" si="2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67">
        <f>SUMIFS([1]Up!$J:$J,[1]Up!$D:$D,D322)</f>
        <v>0</v>
      </c>
      <c r="AX322" s="82" t="s">
        <v>2245</v>
      </c>
      <c r="AY322" s="82" t="str">
        <f t="shared" si="30"/>
        <v>PL12</v>
      </c>
      <c r="AZ322" s="53" t="str">
        <f t="shared" si="31"/>
        <v/>
      </c>
      <c r="BA322" s="53" t="s">
        <v>154</v>
      </c>
      <c r="BB322" s="53" t="s">
        <v>1021</v>
      </c>
      <c r="BC322" s="53" t="s">
        <v>1022</v>
      </c>
      <c r="BD322" s="53" t="s">
        <v>57</v>
      </c>
      <c r="BE322" s="53">
        <v>4</v>
      </c>
      <c r="BF322" s="83"/>
      <c r="BG322" s="53"/>
      <c r="BH322" s="53"/>
    </row>
    <row r="323" spans="3:61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9"/>
        <v>0</v>
      </c>
      <c r="M323" s="26">
        <f t="shared" si="28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67">
        <f>SUMIFS([1]Up!$J:$J,[1]Up!$D:$D,D323)</f>
        <v>0</v>
      </c>
      <c r="AX323" s="82"/>
      <c r="AY323" s="82" t="str">
        <f t="shared" si="30"/>
        <v>PL12</v>
      </c>
      <c r="AZ323" s="53" t="str">
        <f t="shared" si="31"/>
        <v/>
      </c>
      <c r="BA323" s="53" t="s">
        <v>154</v>
      </c>
      <c r="BB323" s="53" t="s">
        <v>1021</v>
      </c>
      <c r="BC323" s="53" t="s">
        <v>1022</v>
      </c>
      <c r="BD323" s="84" t="s">
        <v>2155</v>
      </c>
      <c r="BE323" s="53">
        <v>4</v>
      </c>
      <c r="BF323" s="83" t="s">
        <v>2228</v>
      </c>
      <c r="BG323" s="53"/>
      <c r="BH323" s="53"/>
      <c r="BI323" s="238"/>
    </row>
    <row r="324" spans="3:61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9"/>
        <v>2</v>
      </c>
      <c r="M324" s="26">
        <f t="shared" si="2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67">
        <f>SUMIFS([1]Up!$J:$J,[1]Up!$D:$D,D324)</f>
        <v>0</v>
      </c>
      <c r="AX324" s="82" t="s">
        <v>2252</v>
      </c>
      <c r="AY324" s="82" t="str">
        <f t="shared" si="30"/>
        <v>PL12</v>
      </c>
      <c r="AZ324" s="53" t="str">
        <f t="shared" si="31"/>
        <v>Thừa 1</v>
      </c>
      <c r="BA324" s="53" t="s">
        <v>154</v>
      </c>
      <c r="BB324" s="53" t="s">
        <v>1021</v>
      </c>
      <c r="BC324" s="53" t="s">
        <v>1022</v>
      </c>
      <c r="BD324" s="53" t="s">
        <v>57</v>
      </c>
      <c r="BE324" s="53">
        <v>4</v>
      </c>
      <c r="BF324" s="83"/>
      <c r="BG324" s="53"/>
      <c r="BH324" s="53"/>
    </row>
    <row r="325" spans="3:61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9"/>
        <v>0</v>
      </c>
      <c r="M325" s="26">
        <f t="shared" si="28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67">
        <f>SUMIFS([1]Up!$J:$J,[1]Up!$D:$D,D325)</f>
        <v>0</v>
      </c>
      <c r="AX325" s="82"/>
      <c r="AY325" s="82" t="str">
        <f t="shared" si="30"/>
        <v>PL12</v>
      </c>
      <c r="AZ325" s="53" t="str">
        <f t="shared" si="31"/>
        <v/>
      </c>
      <c r="BA325" s="53" t="s">
        <v>148</v>
      </c>
      <c r="BB325" s="53" t="s">
        <v>1021</v>
      </c>
      <c r="BC325" s="53" t="s">
        <v>1022</v>
      </c>
      <c r="BD325" s="84" t="s">
        <v>2160</v>
      </c>
      <c r="BE325" s="53">
        <v>12</v>
      </c>
      <c r="BF325" s="83">
        <v>46302</v>
      </c>
      <c r="BG325" s="53"/>
      <c r="BH325" s="53"/>
      <c r="BI325" s="238"/>
    </row>
    <row r="326" spans="3:61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9"/>
        <v>0</v>
      </c>
      <c r="M326" s="26">
        <f t="shared" si="28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67">
        <f>SUMIFS([1]Up!$J:$J,[1]Up!$D:$D,D326)</f>
        <v>0</v>
      </c>
      <c r="AX326" s="82"/>
      <c r="AY326" s="82" t="str">
        <f t="shared" si="30"/>
        <v>PL12</v>
      </c>
      <c r="AZ326" s="53" t="str">
        <f t="shared" si="31"/>
        <v/>
      </c>
      <c r="BA326" s="53" t="s">
        <v>148</v>
      </c>
      <c r="BB326" s="53" t="s">
        <v>1021</v>
      </c>
      <c r="BC326" s="53" t="s">
        <v>1022</v>
      </c>
      <c r="BD326" s="84" t="s">
        <v>2160</v>
      </c>
      <c r="BE326" s="53">
        <v>12</v>
      </c>
      <c r="BF326" s="83">
        <v>46302</v>
      </c>
      <c r="BG326" s="53"/>
      <c r="BH326" s="53"/>
      <c r="BI326" s="238"/>
    </row>
    <row r="327" spans="3:61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9"/>
        <v>2</v>
      </c>
      <c r="M327" s="26">
        <f t="shared" si="28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67">
        <f>SUMIFS([1]Up!$J:$J,[1]Up!$D:$D,D327)</f>
        <v>0</v>
      </c>
      <c r="AX327" s="82" t="s">
        <v>2245</v>
      </c>
      <c r="AY327" s="82" t="str">
        <f t="shared" si="30"/>
        <v>PL12</v>
      </c>
      <c r="AZ327" s="53" t="str">
        <f t="shared" si="31"/>
        <v/>
      </c>
      <c r="BA327" s="53" t="s">
        <v>154</v>
      </c>
      <c r="BB327" s="53" t="s">
        <v>1021</v>
      </c>
      <c r="BC327" s="53" t="s">
        <v>1022</v>
      </c>
      <c r="BD327" s="53" t="s">
        <v>57</v>
      </c>
      <c r="BE327" s="53">
        <v>4</v>
      </c>
      <c r="BF327" s="83"/>
      <c r="BG327" s="53"/>
      <c r="BH327" s="53"/>
    </row>
    <row r="328" spans="3:61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9"/>
        <v>3</v>
      </c>
      <c r="M328" s="26">
        <f t="shared" si="28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67">
        <f>SUMIFS([1]Up!$J:$J,[1]Up!$D:$D,D328)</f>
        <v>0</v>
      </c>
      <c r="AX328" s="82"/>
      <c r="AY328" s="82" t="str">
        <f t="shared" si="30"/>
        <v/>
      </c>
      <c r="AZ328" s="53" t="str">
        <f t="shared" si="31"/>
        <v/>
      </c>
      <c r="BA328" s="53" t="s">
        <v>148</v>
      </c>
      <c r="BB328" s="53" t="s">
        <v>1079</v>
      </c>
      <c r="BC328" s="53" t="s">
        <v>1076</v>
      </c>
      <c r="BD328" s="53" t="s">
        <v>1290</v>
      </c>
      <c r="BE328" s="53">
        <v>3</v>
      </c>
      <c r="BF328" s="83">
        <v>46362</v>
      </c>
      <c r="BG328" s="53"/>
      <c r="BH328" s="53"/>
    </row>
    <row r="329" spans="3:61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9"/>
        <v>1</v>
      </c>
      <c r="M329" s="26">
        <f t="shared" si="28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67">
        <f>SUMIFS([1]Up!$J:$J,[1]Up!$D:$D,D329)</f>
        <v>0</v>
      </c>
      <c r="AX329" s="82" t="s">
        <v>2229</v>
      </c>
      <c r="AY329" s="82" t="str">
        <f t="shared" si="30"/>
        <v>PL10</v>
      </c>
      <c r="AZ329" s="53" t="str">
        <f t="shared" si="31"/>
        <v>Thừa 1</v>
      </c>
      <c r="BA329" s="53" t="s">
        <v>154</v>
      </c>
      <c r="BB329" s="53" t="s">
        <v>1005</v>
      </c>
      <c r="BC329" s="53" t="s">
        <v>1006</v>
      </c>
      <c r="BD329" s="53" t="s">
        <v>57</v>
      </c>
      <c r="BE329" s="53">
        <v>1</v>
      </c>
      <c r="BF329" s="83"/>
      <c r="BG329" s="53"/>
      <c r="BH329" s="53"/>
    </row>
    <row r="330" spans="3:61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9"/>
        <v>1</v>
      </c>
      <c r="M330" s="26">
        <f t="shared" si="2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67">
        <f>SUMIFS([1]Up!$J:$J,[1]Up!$D:$D,D330)</f>
        <v>0</v>
      </c>
      <c r="AX330" s="82" t="s">
        <v>2074</v>
      </c>
      <c r="AY330" s="82" t="str">
        <f t="shared" si="30"/>
        <v>PL12</v>
      </c>
      <c r="AZ330" s="53" t="str">
        <f t="shared" si="31"/>
        <v>Thừa 1</v>
      </c>
      <c r="BA330" s="53" t="s">
        <v>154</v>
      </c>
      <c r="BB330" s="53" t="s">
        <v>1021</v>
      </c>
      <c r="BC330" s="53" t="s">
        <v>1022</v>
      </c>
      <c r="BD330" s="53" t="s">
        <v>57</v>
      </c>
      <c r="BE330" s="53">
        <v>1</v>
      </c>
      <c r="BF330" s="83"/>
      <c r="BG330" s="53"/>
      <c r="BH330" s="53"/>
    </row>
    <row r="331" spans="3:61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9"/>
        <v>1</v>
      </c>
      <c r="M331" s="26">
        <f t="shared" si="2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67">
        <f>SUMIFS([1]Up!$J:$J,[1]Up!$D:$D,D331)</f>
        <v>0</v>
      </c>
      <c r="AX331" s="82" t="s">
        <v>2074</v>
      </c>
      <c r="AY331" s="82" t="str">
        <f t="shared" si="30"/>
        <v>PL12</v>
      </c>
      <c r="AZ331" s="53" t="str">
        <f t="shared" si="31"/>
        <v>Thừa 1</v>
      </c>
      <c r="BA331" s="53" t="s">
        <v>154</v>
      </c>
      <c r="BB331" s="53" t="s">
        <v>1021</v>
      </c>
      <c r="BC331" s="53" t="s">
        <v>1022</v>
      </c>
      <c r="BD331" s="53" t="s">
        <v>57</v>
      </c>
      <c r="BE331" s="53">
        <v>1</v>
      </c>
      <c r="BF331" s="83"/>
      <c r="BG331" s="53"/>
      <c r="BH331" s="53"/>
    </row>
    <row r="332" spans="3:61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9"/>
        <v>3</v>
      </c>
      <c r="M332" s="26">
        <f t="shared" si="28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67">
        <f>SUMIFS([1]Up!$J:$J,[1]Up!$D:$D,D332)</f>
        <v>0</v>
      </c>
      <c r="AX332" s="82"/>
      <c r="AY332" s="82" t="str">
        <f t="shared" si="30"/>
        <v>PL12</v>
      </c>
      <c r="AZ332" s="53" t="str">
        <f t="shared" si="31"/>
        <v/>
      </c>
      <c r="BA332" s="53" t="s">
        <v>148</v>
      </c>
      <c r="BB332" s="53" t="s">
        <v>1021</v>
      </c>
      <c r="BC332" s="53" t="s">
        <v>1022</v>
      </c>
      <c r="BD332" s="53" t="s">
        <v>1023</v>
      </c>
      <c r="BE332" s="53">
        <v>3</v>
      </c>
      <c r="BF332" s="83">
        <v>46088</v>
      </c>
      <c r="BG332" s="53"/>
      <c r="BH332" s="53"/>
    </row>
    <row r="333" spans="3:61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9"/>
        <v>3</v>
      </c>
      <c r="M333" s="26">
        <f t="shared" si="28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67">
        <f>SUMIFS([1]Up!$J:$J,[1]Up!$D:$D,D333)</f>
        <v>0</v>
      </c>
      <c r="AX333" s="82"/>
      <c r="AY333" s="82" t="str">
        <f t="shared" si="30"/>
        <v>PL12</v>
      </c>
      <c r="AZ333" s="53" t="str">
        <f t="shared" si="31"/>
        <v/>
      </c>
      <c r="BA333" s="53" t="s">
        <v>148</v>
      </c>
      <c r="BB333" s="53" t="s">
        <v>1021</v>
      </c>
      <c r="BC333" s="53" t="s">
        <v>1022</v>
      </c>
      <c r="BD333" s="53" t="s">
        <v>1023</v>
      </c>
      <c r="BE333" s="53">
        <v>3</v>
      </c>
      <c r="BF333" s="83">
        <v>46088</v>
      </c>
      <c r="BG333" s="53"/>
      <c r="BH333" s="53"/>
    </row>
    <row r="334" spans="3:61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9"/>
        <v>6</v>
      </c>
      <c r="M334" s="26">
        <f t="shared" si="28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67">
        <f>SUMIFS([1]Up!$J:$J,[1]Up!$D:$D,D334)</f>
        <v>0</v>
      </c>
      <c r="AX334" s="82"/>
      <c r="AY334" s="82" t="str">
        <f t="shared" si="30"/>
        <v>PL16</v>
      </c>
      <c r="AZ334" s="53" t="str">
        <f t="shared" si="31"/>
        <v/>
      </c>
      <c r="BA334" s="53" t="s">
        <v>148</v>
      </c>
      <c r="BB334" s="53" t="s">
        <v>988</v>
      </c>
      <c r="BC334" s="53" t="s">
        <v>989</v>
      </c>
      <c r="BD334" s="53" t="s">
        <v>990</v>
      </c>
      <c r="BE334" s="53">
        <v>6</v>
      </c>
      <c r="BF334" s="83" t="s">
        <v>2223</v>
      </c>
      <c r="BG334" s="53"/>
      <c r="BH334" s="53"/>
    </row>
    <row r="335" spans="3:61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9"/>
        <v>1</v>
      </c>
      <c r="M335" s="26">
        <f t="shared" si="28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>
        <v>1</v>
      </c>
      <c r="AW335" s="67">
        <f>SUMIFS([1]Up!$J:$J,[1]Up!$D:$D,D335)</f>
        <v>0</v>
      </c>
      <c r="AX335" s="82"/>
      <c r="AY335" s="82" t="str">
        <f t="shared" si="30"/>
        <v>PL10</v>
      </c>
      <c r="AZ335" s="53" t="str">
        <f t="shared" si="31"/>
        <v/>
      </c>
      <c r="BA335" s="53" t="s">
        <v>154</v>
      </c>
      <c r="BB335" s="53" t="s">
        <v>1005</v>
      </c>
      <c r="BC335" s="53" t="s">
        <v>1006</v>
      </c>
      <c r="BD335" s="53" t="s">
        <v>1064</v>
      </c>
      <c r="BE335" s="53">
        <v>1</v>
      </c>
      <c r="BF335" s="83">
        <v>46088</v>
      </c>
      <c r="BG335" s="53"/>
      <c r="BH335" s="53"/>
    </row>
    <row r="336" spans="3:61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9"/>
        <v>2</v>
      </c>
      <c r="M336" s="26">
        <f t="shared" si="28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67">
        <f>SUMIFS([1]Up!$J:$J,[1]Up!$D:$D,D336)</f>
        <v>0</v>
      </c>
      <c r="AX336" s="82"/>
      <c r="AY336" s="82" t="str">
        <f t="shared" si="30"/>
        <v>PL20</v>
      </c>
      <c r="AZ336" s="53" t="str">
        <f t="shared" si="31"/>
        <v/>
      </c>
      <c r="BA336" s="53" t="s">
        <v>148</v>
      </c>
      <c r="BB336" s="53" t="s">
        <v>1100</v>
      </c>
      <c r="BC336" s="53" t="s">
        <v>1101</v>
      </c>
      <c r="BD336" s="53" t="s">
        <v>1308</v>
      </c>
      <c r="BE336" s="53">
        <v>2</v>
      </c>
      <c r="BF336" s="83">
        <v>46242</v>
      </c>
      <c r="BG336" s="53"/>
      <c r="BH336" s="53"/>
    </row>
    <row r="337" spans="3:60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9"/>
        <v>3</v>
      </c>
      <c r="M337" s="26">
        <f t="shared" si="28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67">
        <f>SUMIFS([1]Up!$J:$J,[1]Up!$D:$D,D337)</f>
        <v>0</v>
      </c>
      <c r="AX337" s="82"/>
      <c r="AY337" s="82" t="str">
        <f t="shared" si="30"/>
        <v>PL20</v>
      </c>
      <c r="AZ337" s="53" t="str">
        <f t="shared" si="31"/>
        <v/>
      </c>
      <c r="BA337" s="53" t="s">
        <v>148</v>
      </c>
      <c r="BB337" s="53" t="s">
        <v>1100</v>
      </c>
      <c r="BC337" s="53" t="s">
        <v>1101</v>
      </c>
      <c r="BD337" s="53" t="s">
        <v>1308</v>
      </c>
      <c r="BE337" s="53">
        <v>3</v>
      </c>
      <c r="BF337" s="83">
        <v>46242</v>
      </c>
      <c r="BG337" s="53"/>
      <c r="BH337" s="53"/>
    </row>
    <row r="338" spans="3:60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9"/>
        <v>1</v>
      </c>
      <c r="M338" s="26">
        <f t="shared" si="28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67">
        <f>SUMIFS([1]Up!$J:$J,[1]Up!$D:$D,D338)</f>
        <v>0</v>
      </c>
      <c r="AX338" s="82"/>
      <c r="AY338" s="82" t="str">
        <f t="shared" si="30"/>
        <v>PL20</v>
      </c>
      <c r="AZ338" s="53" t="str">
        <f t="shared" si="31"/>
        <v/>
      </c>
      <c r="BA338" s="53" t="s">
        <v>148</v>
      </c>
      <c r="BB338" s="53" t="s">
        <v>1100</v>
      </c>
      <c r="BC338" s="53" t="s">
        <v>1101</v>
      </c>
      <c r="BD338" s="53" t="s">
        <v>1308</v>
      </c>
      <c r="BE338" s="53">
        <v>1</v>
      </c>
      <c r="BF338" s="83">
        <v>46242</v>
      </c>
      <c r="BG338" s="53"/>
      <c r="BH338" s="53"/>
    </row>
    <row r="339" spans="3:60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9"/>
        <v>1</v>
      </c>
      <c r="M339" s="26">
        <f t="shared" si="2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67">
        <f>SUMIFS([1]Up!$J:$J,[1]Up!$D:$D,D339)</f>
        <v>0</v>
      </c>
      <c r="AX339" s="82"/>
      <c r="AY339" s="82" t="str">
        <f t="shared" si="30"/>
        <v>PL30</v>
      </c>
      <c r="AZ339" s="53" t="str">
        <f t="shared" si="31"/>
        <v/>
      </c>
      <c r="BA339" s="53" t="s">
        <v>148</v>
      </c>
      <c r="BB339" s="53" t="s">
        <v>1059</v>
      </c>
      <c r="BC339" s="53" t="s">
        <v>1060</v>
      </c>
      <c r="BD339" s="53" t="s">
        <v>1061</v>
      </c>
      <c r="BE339" s="53">
        <v>1</v>
      </c>
      <c r="BF339" s="83" t="s">
        <v>2223</v>
      </c>
      <c r="BG339" s="53"/>
      <c r="BH339" s="53"/>
    </row>
    <row r="340" spans="3:60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9"/>
        <v>1</v>
      </c>
      <c r="M340" s="26">
        <f t="shared" si="28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67">
        <f>SUMIFS([1]Up!$J:$J,[1]Up!$D:$D,D340)</f>
        <v>0</v>
      </c>
      <c r="AX340" s="82"/>
      <c r="AY340" s="82" t="str">
        <f t="shared" si="30"/>
        <v>PL10</v>
      </c>
      <c r="AZ340" s="53" t="str">
        <f t="shared" si="31"/>
        <v/>
      </c>
      <c r="BA340" s="53" t="s">
        <v>148</v>
      </c>
      <c r="BB340" s="53" t="s">
        <v>1005</v>
      </c>
      <c r="BC340" s="53" t="s">
        <v>1006</v>
      </c>
      <c r="BD340" s="53" t="s">
        <v>1064</v>
      </c>
      <c r="BE340" s="53">
        <v>1</v>
      </c>
      <c r="BF340" s="83">
        <v>46088</v>
      </c>
      <c r="BG340" s="53"/>
      <c r="BH340" s="53"/>
    </row>
    <row r="341" spans="3:60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9"/>
        <v>1</v>
      </c>
      <c r="M341" s="26">
        <f t="shared" si="2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67">
        <f>SUMIFS([1]Up!$J:$J,[1]Up!$D:$D,D341)</f>
        <v>0</v>
      </c>
      <c r="AX341" s="82" t="s">
        <v>2072</v>
      </c>
      <c r="AY341" s="82" t="str">
        <f t="shared" si="30"/>
        <v>PL12</v>
      </c>
      <c r="AZ341" s="53" t="str">
        <f t="shared" si="31"/>
        <v>Thừa 2</v>
      </c>
      <c r="BA341" s="53" t="s">
        <v>154</v>
      </c>
      <c r="BB341" s="53" t="s">
        <v>1021</v>
      </c>
      <c r="BC341" s="53" t="s">
        <v>1022</v>
      </c>
      <c r="BD341" s="53" t="s">
        <v>57</v>
      </c>
      <c r="BE341" s="53">
        <v>1</v>
      </c>
      <c r="BF341" s="83"/>
      <c r="BG341" s="53"/>
      <c r="BH341" s="53"/>
    </row>
    <row r="342" spans="3:60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9"/>
        <v>1</v>
      </c>
      <c r="M342" s="26">
        <f t="shared" si="28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67">
        <f>SUMIFS([1]Up!$J:$J,[1]Up!$D:$D,D342)</f>
        <v>0</v>
      </c>
      <c r="AX342" s="82"/>
      <c r="AY342" s="82" t="str">
        <f t="shared" si="30"/>
        <v>PL10</v>
      </c>
      <c r="AZ342" s="53" t="str">
        <f t="shared" si="31"/>
        <v/>
      </c>
      <c r="BA342" s="53" t="s">
        <v>148</v>
      </c>
      <c r="BB342" s="53" t="s">
        <v>1005</v>
      </c>
      <c r="BC342" s="53" t="s">
        <v>1006</v>
      </c>
      <c r="BD342" s="53" t="s">
        <v>1064</v>
      </c>
      <c r="BE342" s="53">
        <v>1</v>
      </c>
      <c r="BF342" s="83">
        <v>46088</v>
      </c>
      <c r="BG342" s="53"/>
      <c r="BH342" s="53"/>
    </row>
    <row r="343" spans="3:60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9"/>
        <v>2</v>
      </c>
      <c r="M343" s="26">
        <f t="shared" si="28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67">
        <f>SUMIFS([1]Up!$J:$J,[1]Up!$D:$D,D343)</f>
        <v>0</v>
      </c>
      <c r="AX343" s="82"/>
      <c r="AY343" s="82" t="str">
        <f t="shared" si="30"/>
        <v>PL15</v>
      </c>
      <c r="AZ343" s="53" t="str">
        <f t="shared" si="31"/>
        <v/>
      </c>
      <c r="BA343" s="53" t="s">
        <v>148</v>
      </c>
      <c r="BB343" s="53" t="s">
        <v>1094</v>
      </c>
      <c r="BC343" s="53" t="s">
        <v>1095</v>
      </c>
      <c r="BD343" s="53" t="s">
        <v>1304</v>
      </c>
      <c r="BE343" s="53">
        <v>2</v>
      </c>
      <c r="BF343" s="83">
        <v>46088</v>
      </c>
      <c r="BG343" s="53"/>
      <c r="BH343" s="53"/>
    </row>
    <row r="344" spans="3:60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9"/>
        <v>1</v>
      </c>
      <c r="M344" s="26">
        <f t="shared" si="28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67">
        <f>SUMIFS([1]Up!$J:$J,[1]Up!$D:$D,D344)</f>
        <v>0</v>
      </c>
      <c r="AX344" s="82" t="s">
        <v>2074</v>
      </c>
      <c r="AY344" s="82" t="str">
        <f t="shared" si="30"/>
        <v>PL10</v>
      </c>
      <c r="AZ344" s="53" t="str">
        <f t="shared" si="31"/>
        <v>Thừa 1</v>
      </c>
      <c r="BA344" s="53" t="s">
        <v>154</v>
      </c>
      <c r="BB344" s="53" t="s">
        <v>1005</v>
      </c>
      <c r="BC344" s="53" t="s">
        <v>1006</v>
      </c>
      <c r="BD344" s="53" t="s">
        <v>57</v>
      </c>
      <c r="BE344" s="53">
        <v>1</v>
      </c>
      <c r="BF344" s="83"/>
      <c r="BG344" s="53"/>
      <c r="BH344" s="53"/>
    </row>
    <row r="345" spans="3:60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9"/>
        <v>1</v>
      </c>
      <c r="M345" s="26">
        <f t="shared" si="28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67">
        <f>SUMIFS([1]Up!$J:$J,[1]Up!$D:$D,D345)</f>
        <v>0</v>
      </c>
      <c r="AX345" s="82"/>
      <c r="AY345" s="82" t="str">
        <f t="shared" si="30"/>
        <v>PL10</v>
      </c>
      <c r="AZ345" s="53" t="str">
        <f t="shared" si="31"/>
        <v/>
      </c>
      <c r="BA345" s="53" t="s">
        <v>148</v>
      </c>
      <c r="BB345" s="53" t="s">
        <v>1005</v>
      </c>
      <c r="BC345" s="53" t="s">
        <v>1006</v>
      </c>
      <c r="BD345" s="53" t="s">
        <v>1064</v>
      </c>
      <c r="BE345" s="53">
        <v>1</v>
      </c>
      <c r="BF345" s="83">
        <v>46088</v>
      </c>
      <c r="BG345" s="53"/>
      <c r="BH345" s="53"/>
    </row>
    <row r="346" spans="3:60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9"/>
        <v>2</v>
      </c>
      <c r="M346" s="26">
        <f t="shared" si="28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67">
        <f>SUMIFS([1]Up!$J:$J,[1]Up!$D:$D,D346)</f>
        <v>0</v>
      </c>
      <c r="AX346" s="82"/>
      <c r="AY346" s="82" t="str">
        <f t="shared" si="30"/>
        <v>PL20</v>
      </c>
      <c r="AZ346" s="53" t="str">
        <f t="shared" si="31"/>
        <v/>
      </c>
      <c r="BA346" s="53" t="s">
        <v>148</v>
      </c>
      <c r="BB346" s="53" t="s">
        <v>1100</v>
      </c>
      <c r="BC346" s="53" t="s">
        <v>1101</v>
      </c>
      <c r="BD346" s="53" t="s">
        <v>1308</v>
      </c>
      <c r="BE346" s="53">
        <v>2</v>
      </c>
      <c r="BF346" s="83">
        <v>46242</v>
      </c>
      <c r="BG346" s="53"/>
      <c r="BH346" s="53"/>
    </row>
    <row r="347" spans="3:60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9"/>
        <v>1</v>
      </c>
      <c r="M347" s="26">
        <f t="shared" si="2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67">
        <f>SUMIFS([1]Up!$J:$J,[1]Up!$D:$D,D347)</f>
        <v>0</v>
      </c>
      <c r="AX347" s="82" t="s">
        <v>2074</v>
      </c>
      <c r="AY347" s="82" t="str">
        <f t="shared" si="30"/>
        <v>PL12</v>
      </c>
      <c r="AZ347" s="53" t="str">
        <f t="shared" si="31"/>
        <v>Thừa 1</v>
      </c>
      <c r="BA347" s="53" t="s">
        <v>154</v>
      </c>
      <c r="BB347" s="53" t="s">
        <v>1021</v>
      </c>
      <c r="BC347" s="53" t="s">
        <v>1022</v>
      </c>
      <c r="BD347" s="53" t="s">
        <v>57</v>
      </c>
      <c r="BE347" s="53">
        <v>1</v>
      </c>
      <c r="BF347" s="83"/>
      <c r="BG347" s="53"/>
      <c r="BH347" s="53"/>
    </row>
    <row r="348" spans="3:60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9"/>
        <v>1</v>
      </c>
      <c r="M348" s="26">
        <f t="shared" si="28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67">
        <f>SUMIFS([1]Up!$J:$J,[1]Up!$D:$D,D348)</f>
        <v>0</v>
      </c>
      <c r="AX348" s="82" t="s">
        <v>2072</v>
      </c>
      <c r="AY348" s="82" t="str">
        <f t="shared" si="30"/>
        <v>PL12</v>
      </c>
      <c r="AZ348" s="53" t="str">
        <f t="shared" si="31"/>
        <v>Thừa 2</v>
      </c>
      <c r="BA348" s="53" t="s">
        <v>154</v>
      </c>
      <c r="BB348" s="53" t="s">
        <v>1021</v>
      </c>
      <c r="BC348" s="53" t="s">
        <v>1022</v>
      </c>
      <c r="BD348" s="53" t="s">
        <v>57</v>
      </c>
      <c r="BE348" s="53">
        <v>1</v>
      </c>
      <c r="BF348" s="83"/>
      <c r="BG348" s="53"/>
      <c r="BH348" s="53"/>
    </row>
    <row r="349" spans="3:60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9"/>
        <v>2</v>
      </c>
      <c r="M349" s="26">
        <f t="shared" si="28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67">
        <f>SUMIFS([1]Up!$J:$J,[1]Up!$D:$D,D349)</f>
        <v>0</v>
      </c>
      <c r="AX349" s="82"/>
      <c r="AY349" s="82" t="str">
        <f t="shared" si="30"/>
        <v>PL12</v>
      </c>
      <c r="AZ349" s="53" t="str">
        <f t="shared" si="31"/>
        <v/>
      </c>
      <c r="BA349" s="53" t="s">
        <v>148</v>
      </c>
      <c r="BB349" s="53" t="s">
        <v>1021</v>
      </c>
      <c r="BC349" s="53" t="s">
        <v>1022</v>
      </c>
      <c r="BD349" s="53" t="s">
        <v>1023</v>
      </c>
      <c r="BE349" s="53">
        <v>2</v>
      </c>
      <c r="BF349" s="83">
        <v>46088</v>
      </c>
      <c r="BG349" s="53"/>
      <c r="BH349" s="53"/>
    </row>
    <row r="350" spans="3:60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2">MIN(SUM(N350:AV350),I350)</f>
        <v>1</v>
      </c>
      <c r="M350" s="26">
        <f t="shared" si="28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67">
        <f>SUMIFS([1]Up!$J:$J,[1]Up!$D:$D,D350)</f>
        <v>0</v>
      </c>
      <c r="AX350" s="82"/>
      <c r="AY350" s="82" t="str">
        <f t="shared" ref="AY350:AY413" si="33">IFERROR(IF(C350="Plate",LEFT(E350,FIND("*",E350,1)-1),""),IF(C350="Plate",LEFT(E350,FIND("x",E350,1)-1),""))</f>
        <v>PL10</v>
      </c>
      <c r="AZ350" s="53" t="str">
        <f t="shared" ref="AZ350:AZ413" si="34">IF(ROUND(SUM(N350:AV350)-I350,0)&gt;0,"Thừa "&amp;SUM(N350:AV350)-I350,"")</f>
        <v/>
      </c>
      <c r="BA350" s="53" t="s">
        <v>148</v>
      </c>
      <c r="BB350" s="53" t="s">
        <v>1005</v>
      </c>
      <c r="BC350" s="53" t="s">
        <v>1006</v>
      </c>
      <c r="BD350" s="53" t="s">
        <v>1064</v>
      </c>
      <c r="BE350" s="53">
        <v>1</v>
      </c>
      <c r="BF350" s="83">
        <v>46088</v>
      </c>
      <c r="BG350" s="53"/>
      <c r="BH350" s="53"/>
    </row>
    <row r="351" spans="3:60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2"/>
        <v>1</v>
      </c>
      <c r="M351" s="26">
        <f t="shared" si="28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67">
        <f>SUMIFS([1]Up!$J:$J,[1]Up!$D:$D,D351)</f>
        <v>0</v>
      </c>
      <c r="AX351" s="82"/>
      <c r="AY351" s="82" t="str">
        <f t="shared" si="33"/>
        <v>PL10</v>
      </c>
      <c r="AZ351" s="53" t="str">
        <f t="shared" si="34"/>
        <v/>
      </c>
      <c r="BA351" s="53" t="s">
        <v>148</v>
      </c>
      <c r="BB351" s="53" t="s">
        <v>1005</v>
      </c>
      <c r="BC351" s="53" t="s">
        <v>1006</v>
      </c>
      <c r="BD351" s="53" t="s">
        <v>1064</v>
      </c>
      <c r="BE351" s="53">
        <v>1</v>
      </c>
      <c r="BF351" s="83">
        <v>46088</v>
      </c>
      <c r="BG351" s="53"/>
      <c r="BH351" s="53"/>
    </row>
    <row r="352" spans="3:60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2"/>
        <v>1</v>
      </c>
      <c r="M352" s="26">
        <f t="shared" si="28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67">
        <f>SUMIFS([1]Up!$J:$J,[1]Up!$D:$D,D352)</f>
        <v>0</v>
      </c>
      <c r="AX352" s="82"/>
      <c r="AY352" s="82" t="str">
        <f t="shared" si="33"/>
        <v>PL15</v>
      </c>
      <c r="AZ352" s="53" t="str">
        <f t="shared" si="34"/>
        <v/>
      </c>
      <c r="BA352" s="53" t="s">
        <v>148</v>
      </c>
      <c r="BB352" s="53" t="s">
        <v>1094</v>
      </c>
      <c r="BC352" s="53" t="s">
        <v>1095</v>
      </c>
      <c r="BD352" s="53" t="s">
        <v>1304</v>
      </c>
      <c r="BE352" s="53">
        <v>1</v>
      </c>
      <c r="BF352" s="83">
        <v>46088</v>
      </c>
      <c r="BG352" s="53"/>
      <c r="BH352" s="53"/>
    </row>
    <row r="353" spans="3:60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2"/>
        <v>1</v>
      </c>
      <c r="M353" s="26">
        <f t="shared" si="28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67">
        <f>SUMIFS([1]Up!$J:$J,[1]Up!$D:$D,D353)</f>
        <v>0</v>
      </c>
      <c r="AX353" s="82"/>
      <c r="AY353" s="82" t="str">
        <f t="shared" si="33"/>
        <v>PL12</v>
      </c>
      <c r="AZ353" s="53" t="str">
        <f t="shared" si="34"/>
        <v/>
      </c>
      <c r="BA353" s="53" t="s">
        <v>148</v>
      </c>
      <c r="BB353" s="53" t="s">
        <v>1021</v>
      </c>
      <c r="BC353" s="53" t="s">
        <v>1022</v>
      </c>
      <c r="BD353" s="53" t="s">
        <v>1023</v>
      </c>
      <c r="BE353" s="53">
        <v>1</v>
      </c>
      <c r="BF353" s="83">
        <v>46088</v>
      </c>
      <c r="BG353" s="53"/>
      <c r="BH353" s="53"/>
    </row>
    <row r="354" spans="3:60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2"/>
        <v>1</v>
      </c>
      <c r="M354" s="26">
        <f t="shared" si="28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67">
        <f>SUMIFS([1]Up!$J:$J,[1]Up!$D:$D,D354)</f>
        <v>0</v>
      </c>
      <c r="AX354" s="82"/>
      <c r="AY354" s="82" t="str">
        <f t="shared" si="33"/>
        <v>PL12</v>
      </c>
      <c r="AZ354" s="53" t="str">
        <f t="shared" si="34"/>
        <v/>
      </c>
      <c r="BA354" s="53" t="s">
        <v>148</v>
      </c>
      <c r="BB354" s="53" t="s">
        <v>1021</v>
      </c>
      <c r="BC354" s="53" t="s">
        <v>1022</v>
      </c>
      <c r="BD354" s="53" t="s">
        <v>1023</v>
      </c>
      <c r="BE354" s="53">
        <v>1</v>
      </c>
      <c r="BF354" s="83">
        <v>46088</v>
      </c>
      <c r="BG354" s="53"/>
      <c r="BH354" s="53"/>
    </row>
    <row r="355" spans="3:60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2"/>
        <v>1</v>
      </c>
      <c r="M355" s="26">
        <f t="shared" si="28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67">
        <f>SUMIFS([1]Up!$J:$J,[1]Up!$D:$D,D355)</f>
        <v>0</v>
      </c>
      <c r="AX355" s="82"/>
      <c r="AY355" s="82" t="str">
        <f t="shared" si="33"/>
        <v>PL15</v>
      </c>
      <c r="AZ355" s="53" t="str">
        <f t="shared" si="34"/>
        <v/>
      </c>
      <c r="BA355" s="53" t="s">
        <v>148</v>
      </c>
      <c r="BB355" s="53" t="s">
        <v>1094</v>
      </c>
      <c r="BC355" s="53" t="s">
        <v>1095</v>
      </c>
      <c r="BD355" s="53" t="s">
        <v>1304</v>
      </c>
      <c r="BE355" s="53">
        <v>1</v>
      </c>
      <c r="BF355" s="83">
        <v>46088</v>
      </c>
      <c r="BG355" s="53"/>
      <c r="BH355" s="53"/>
    </row>
    <row r="356" spans="3:60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2"/>
        <v>1</v>
      </c>
      <c r="M356" s="26">
        <f t="shared" si="28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67">
        <f>SUMIFS([1]Up!$J:$J,[1]Up!$D:$D,D356)</f>
        <v>0</v>
      </c>
      <c r="AX356" s="82" t="s">
        <v>2229</v>
      </c>
      <c r="AY356" s="82" t="str">
        <f t="shared" si="33"/>
        <v>PL10</v>
      </c>
      <c r="AZ356" s="53" t="str">
        <f t="shared" si="34"/>
        <v>Thừa 1</v>
      </c>
      <c r="BA356" s="53" t="s">
        <v>154</v>
      </c>
      <c r="BB356" s="53" t="s">
        <v>1005</v>
      </c>
      <c r="BC356" s="53" t="s">
        <v>1006</v>
      </c>
      <c r="BD356" s="53" t="s">
        <v>57</v>
      </c>
      <c r="BE356" s="53">
        <v>1</v>
      </c>
      <c r="BF356" s="83"/>
      <c r="BG356" s="53"/>
      <c r="BH356" s="53"/>
    </row>
    <row r="357" spans="3:60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2"/>
        <v>1</v>
      </c>
      <c r="M357" s="26">
        <f t="shared" si="28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67">
        <f>SUMIFS([1]Up!$J:$J,[1]Up!$D:$D,D357)</f>
        <v>0</v>
      </c>
      <c r="AX357" s="82" t="s">
        <v>2072</v>
      </c>
      <c r="AY357" s="82" t="str">
        <f t="shared" si="33"/>
        <v>PL12</v>
      </c>
      <c r="AZ357" s="53" t="str">
        <f t="shared" si="34"/>
        <v>Thừa 2</v>
      </c>
      <c r="BA357" s="53" t="s">
        <v>154</v>
      </c>
      <c r="BB357" s="53" t="s">
        <v>1021</v>
      </c>
      <c r="BC357" s="53" t="s">
        <v>1022</v>
      </c>
      <c r="BD357" s="53" t="s">
        <v>57</v>
      </c>
      <c r="BE357" s="53">
        <v>1</v>
      </c>
      <c r="BF357" s="83"/>
      <c r="BG357" s="53"/>
      <c r="BH357" s="53"/>
    </row>
    <row r="358" spans="3:60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2"/>
        <v>3</v>
      </c>
      <c r="M358" s="26">
        <f t="shared" si="28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67">
        <f>SUMIFS([1]Up!$J:$J,[1]Up!$D:$D,D358)</f>
        <v>0</v>
      </c>
      <c r="AX358" s="82"/>
      <c r="AY358" s="82" t="str">
        <f t="shared" si="33"/>
        <v>PL12</v>
      </c>
      <c r="AZ358" s="53" t="str">
        <f t="shared" si="34"/>
        <v/>
      </c>
      <c r="BA358" s="53" t="s">
        <v>148</v>
      </c>
      <c r="BB358" s="53" t="s">
        <v>1021</v>
      </c>
      <c r="BC358" s="53" t="s">
        <v>1022</v>
      </c>
      <c r="BD358" s="53" t="s">
        <v>1023</v>
      </c>
      <c r="BE358" s="53">
        <v>3</v>
      </c>
      <c r="BF358" s="83">
        <v>46088</v>
      </c>
      <c r="BG358" s="53"/>
      <c r="BH358" s="53"/>
    </row>
    <row r="359" spans="3:60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2"/>
        <v>2</v>
      </c>
      <c r="M359" s="26">
        <f t="shared" si="28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67">
        <f>SUMIFS([1]Up!$J:$J,[1]Up!$D:$D,D359)</f>
        <v>0</v>
      </c>
      <c r="AX359" s="82"/>
      <c r="AY359" s="82" t="str">
        <f t="shared" si="33"/>
        <v>PL20</v>
      </c>
      <c r="AZ359" s="53" t="str">
        <f t="shared" si="34"/>
        <v/>
      </c>
      <c r="BA359" s="53" t="s">
        <v>148</v>
      </c>
      <c r="BB359" s="53" t="s">
        <v>1100</v>
      </c>
      <c r="BC359" s="53" t="s">
        <v>1101</v>
      </c>
      <c r="BD359" s="53" t="s">
        <v>1308</v>
      </c>
      <c r="BE359" s="53">
        <v>2</v>
      </c>
      <c r="BF359" s="83">
        <v>46242</v>
      </c>
      <c r="BG359" s="53"/>
      <c r="BH359" s="53"/>
    </row>
    <row r="360" spans="3:60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2"/>
        <v>1</v>
      </c>
      <c r="M360" s="26">
        <f t="shared" si="28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67">
        <f>SUMIFS([1]Up!$J:$J,[1]Up!$D:$D,D360)</f>
        <v>0</v>
      </c>
      <c r="AX360" s="82" t="s">
        <v>2229</v>
      </c>
      <c r="AY360" s="82" t="str">
        <f t="shared" si="33"/>
        <v>PL12</v>
      </c>
      <c r="AZ360" s="53" t="str">
        <f t="shared" si="34"/>
        <v>Thừa 1</v>
      </c>
      <c r="BA360" s="53" t="s">
        <v>154</v>
      </c>
      <c r="BB360" s="53" t="s">
        <v>1021</v>
      </c>
      <c r="BC360" s="53" t="s">
        <v>1022</v>
      </c>
      <c r="BD360" s="53" t="s">
        <v>57</v>
      </c>
      <c r="BE360" s="53">
        <v>1</v>
      </c>
      <c r="BF360" s="83"/>
      <c r="BG360" s="53"/>
      <c r="BH360" s="53"/>
    </row>
    <row r="361" spans="3:60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2"/>
        <v>2</v>
      </c>
      <c r="M361" s="26">
        <f t="shared" si="28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67">
        <f>SUMIFS([1]Up!$J:$J,[1]Up!$D:$D,D361)</f>
        <v>0</v>
      </c>
      <c r="AX361" s="82"/>
      <c r="AY361" s="82" t="str">
        <f t="shared" si="33"/>
        <v>PL15</v>
      </c>
      <c r="AZ361" s="53" t="str">
        <f t="shared" si="34"/>
        <v/>
      </c>
      <c r="BA361" s="53" t="s">
        <v>148</v>
      </c>
      <c r="BB361" s="53" t="s">
        <v>1094</v>
      </c>
      <c r="BC361" s="53" t="s">
        <v>1095</v>
      </c>
      <c r="BD361" s="53" t="s">
        <v>1304</v>
      </c>
      <c r="BE361" s="53">
        <v>2</v>
      </c>
      <c r="BF361" s="83">
        <v>46088</v>
      </c>
      <c r="BG361" s="53"/>
      <c r="BH361" s="53"/>
    </row>
    <row r="362" spans="3:60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2"/>
        <v>2</v>
      </c>
      <c r="M362" s="26">
        <f t="shared" si="28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67">
        <f>SUMIFS([1]Up!$J:$J,[1]Up!$D:$D,D362)</f>
        <v>0</v>
      </c>
      <c r="AX362" s="82"/>
      <c r="AY362" s="82" t="str">
        <f t="shared" si="33"/>
        <v>PL20</v>
      </c>
      <c r="AZ362" s="53" t="str">
        <f t="shared" si="34"/>
        <v/>
      </c>
      <c r="BA362" s="53" t="s">
        <v>148</v>
      </c>
      <c r="BB362" s="53" t="s">
        <v>1100</v>
      </c>
      <c r="BC362" s="53" t="s">
        <v>1101</v>
      </c>
      <c r="BD362" s="53" t="s">
        <v>1308</v>
      </c>
      <c r="BE362" s="53">
        <v>2</v>
      </c>
      <c r="BF362" s="83">
        <v>46242</v>
      </c>
      <c r="BG362" s="53"/>
      <c r="BH362" s="53"/>
    </row>
    <row r="363" spans="3:60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2"/>
        <v>1</v>
      </c>
      <c r="M363" s="26">
        <f t="shared" si="28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67">
        <f>SUMIFS([1]Up!$J:$J,[1]Up!$D:$D,D363)</f>
        <v>0</v>
      </c>
      <c r="AX363" s="82"/>
      <c r="AY363" s="82" t="str">
        <f t="shared" si="33"/>
        <v>PL10</v>
      </c>
      <c r="AZ363" s="53" t="str">
        <f t="shared" si="34"/>
        <v/>
      </c>
      <c r="BA363" s="53" t="s">
        <v>148</v>
      </c>
      <c r="BB363" s="53" t="s">
        <v>1005</v>
      </c>
      <c r="BC363" s="53" t="s">
        <v>1006</v>
      </c>
      <c r="BD363" s="53" t="s">
        <v>1064</v>
      </c>
      <c r="BE363" s="53">
        <v>1</v>
      </c>
      <c r="BF363" s="83">
        <v>46088</v>
      </c>
      <c r="BG363" s="53"/>
      <c r="BH363" s="53"/>
    </row>
    <row r="364" spans="3:60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2"/>
        <v>1</v>
      </c>
      <c r="M364" s="26">
        <f t="shared" si="28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67">
        <f>SUMIFS([1]Up!$J:$J,[1]Up!$D:$D,D364)</f>
        <v>0</v>
      </c>
      <c r="AX364" s="82" t="s">
        <v>2074</v>
      </c>
      <c r="AY364" s="82" t="str">
        <f t="shared" si="33"/>
        <v>PL10</v>
      </c>
      <c r="AZ364" s="53" t="str">
        <f t="shared" si="34"/>
        <v>Thừa 1</v>
      </c>
      <c r="BA364" s="53" t="s">
        <v>154</v>
      </c>
      <c r="BB364" s="53" t="s">
        <v>1005</v>
      </c>
      <c r="BC364" s="53" t="s">
        <v>1006</v>
      </c>
      <c r="BD364" s="53" t="s">
        <v>57</v>
      </c>
      <c r="BE364" s="53">
        <v>1</v>
      </c>
      <c r="BF364" s="83"/>
      <c r="BG364" s="53"/>
      <c r="BH364" s="53"/>
    </row>
    <row r="365" spans="3:60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2"/>
        <v>1</v>
      </c>
      <c r="M365" s="26">
        <f t="shared" si="28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67">
        <f>SUMIFS([1]Up!$J:$J,[1]Up!$D:$D,D365)</f>
        <v>0</v>
      </c>
      <c r="AX365" s="82"/>
      <c r="AY365" s="82" t="str">
        <f t="shared" si="33"/>
        <v>PL10</v>
      </c>
      <c r="AZ365" s="53" t="str">
        <f t="shared" si="34"/>
        <v/>
      </c>
      <c r="BA365" s="53" t="s">
        <v>148</v>
      </c>
      <c r="BB365" s="53" t="s">
        <v>1005</v>
      </c>
      <c r="BC365" s="53" t="s">
        <v>1006</v>
      </c>
      <c r="BD365" s="53" t="s">
        <v>1064</v>
      </c>
      <c r="BE365" s="53">
        <v>1</v>
      </c>
      <c r="BF365" s="83">
        <v>46088</v>
      </c>
      <c r="BG365" s="53"/>
      <c r="BH365" s="53"/>
    </row>
    <row r="366" spans="3:60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2"/>
        <v>2</v>
      </c>
      <c r="M366" s="26">
        <f t="shared" si="28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67">
        <f>SUMIFS([1]Up!$J:$J,[1]Up!$D:$D,D366)</f>
        <v>0</v>
      </c>
      <c r="AX366" s="82"/>
      <c r="AY366" s="82" t="str">
        <f t="shared" si="33"/>
        <v>PL20</v>
      </c>
      <c r="AZ366" s="53" t="str">
        <f t="shared" si="34"/>
        <v/>
      </c>
      <c r="BA366" s="53" t="s">
        <v>148</v>
      </c>
      <c r="BB366" s="53" t="s">
        <v>1100</v>
      </c>
      <c r="BC366" s="53" t="s">
        <v>1101</v>
      </c>
      <c r="BD366" s="53" t="s">
        <v>1308</v>
      </c>
      <c r="BE366" s="53">
        <v>2</v>
      </c>
      <c r="BF366" s="83">
        <v>46242</v>
      </c>
      <c r="BG366" s="53"/>
      <c r="BH366" s="53"/>
    </row>
    <row r="367" spans="3:60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2"/>
        <v>1</v>
      </c>
      <c r="M367" s="26">
        <f t="shared" si="28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67">
        <f>SUMIFS([1]Up!$J:$J,[1]Up!$D:$D,D367)</f>
        <v>0</v>
      </c>
      <c r="AX367" s="82" t="s">
        <v>2229</v>
      </c>
      <c r="AY367" s="82" t="str">
        <f t="shared" si="33"/>
        <v>PL12</v>
      </c>
      <c r="AZ367" s="53" t="str">
        <f t="shared" si="34"/>
        <v>Thừa 1</v>
      </c>
      <c r="BA367" s="53" t="s">
        <v>154</v>
      </c>
      <c r="BB367" s="53" t="s">
        <v>1021</v>
      </c>
      <c r="BC367" s="53" t="s">
        <v>1022</v>
      </c>
      <c r="BD367" s="53" t="s">
        <v>57</v>
      </c>
      <c r="BE367" s="53">
        <v>1</v>
      </c>
      <c r="BF367" s="83"/>
      <c r="BG367" s="53"/>
      <c r="BH367" s="53"/>
    </row>
    <row r="368" spans="3:60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2"/>
        <v>1</v>
      </c>
      <c r="M368" s="26">
        <f t="shared" si="28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67">
        <f>SUMIFS([1]Up!$J:$J,[1]Up!$D:$D,D368)</f>
        <v>0</v>
      </c>
      <c r="AX368" s="82" t="s">
        <v>2072</v>
      </c>
      <c r="AY368" s="82" t="str">
        <f t="shared" si="33"/>
        <v>PL12</v>
      </c>
      <c r="AZ368" s="53" t="str">
        <f t="shared" si="34"/>
        <v>Thừa 2</v>
      </c>
      <c r="BA368" s="53" t="s">
        <v>154</v>
      </c>
      <c r="BB368" s="53" t="s">
        <v>1021</v>
      </c>
      <c r="BC368" s="53" t="s">
        <v>1022</v>
      </c>
      <c r="BD368" s="53" t="s">
        <v>57</v>
      </c>
      <c r="BE368" s="53">
        <v>1</v>
      </c>
      <c r="BF368" s="83"/>
      <c r="BG368" s="53"/>
      <c r="BH368" s="53"/>
    </row>
    <row r="369" spans="3:61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2"/>
        <v>3</v>
      </c>
      <c r="M369" s="26">
        <f t="shared" si="28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67">
        <f>SUMIFS([1]Up!$J:$J,[1]Up!$D:$D,D369)</f>
        <v>0</v>
      </c>
      <c r="AX369" s="82"/>
      <c r="AY369" s="82" t="str">
        <f t="shared" si="33"/>
        <v>PL12</v>
      </c>
      <c r="AZ369" s="53" t="str">
        <f t="shared" si="34"/>
        <v/>
      </c>
      <c r="BA369" s="53" t="s">
        <v>148</v>
      </c>
      <c r="BB369" s="53" t="s">
        <v>1021</v>
      </c>
      <c r="BC369" s="53" t="s">
        <v>1022</v>
      </c>
      <c r="BD369" s="53" t="s">
        <v>1023</v>
      </c>
      <c r="BE369" s="53">
        <v>3</v>
      </c>
      <c r="BF369" s="83">
        <v>46088</v>
      </c>
      <c r="BG369" s="53"/>
      <c r="BH369" s="53"/>
    </row>
    <row r="370" spans="3:61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2"/>
        <v>1</v>
      </c>
      <c r="M370" s="26">
        <f t="shared" si="28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67">
        <f>SUMIFS([1]Up!$J:$J,[1]Up!$D:$D,D370)</f>
        <v>0</v>
      </c>
      <c r="AX370" s="82"/>
      <c r="AY370" s="82" t="str">
        <f t="shared" si="33"/>
        <v>PL10</v>
      </c>
      <c r="AZ370" s="53" t="str">
        <f t="shared" si="34"/>
        <v/>
      </c>
      <c r="BA370" s="53" t="s">
        <v>148</v>
      </c>
      <c r="BB370" s="53" t="s">
        <v>1005</v>
      </c>
      <c r="BC370" s="53" t="s">
        <v>1006</v>
      </c>
      <c r="BD370" s="53" t="s">
        <v>1064</v>
      </c>
      <c r="BE370" s="53">
        <v>1</v>
      </c>
      <c r="BF370" s="83">
        <v>46088</v>
      </c>
      <c r="BG370" s="53"/>
      <c r="BH370" s="53"/>
    </row>
    <row r="371" spans="3:61" ht="14.25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2"/>
        <v>3</v>
      </c>
      <c r="M371" s="26">
        <f t="shared" si="28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67">
        <f>SUMIFS([1]Up!$J:$J,[1]Up!$D:$D,D371)</f>
        <v>3</v>
      </c>
      <c r="AX371" s="82"/>
      <c r="AY371" s="82" t="str">
        <f t="shared" si="33"/>
        <v/>
      </c>
      <c r="AZ371" s="53" t="str">
        <f t="shared" si="34"/>
        <v/>
      </c>
      <c r="BA371" s="53" t="s">
        <v>148</v>
      </c>
      <c r="BB371" s="53" t="s">
        <v>1079</v>
      </c>
      <c r="BC371" s="53" t="s">
        <v>1076</v>
      </c>
      <c r="BD371" s="84" t="s">
        <v>2162</v>
      </c>
      <c r="BE371" s="53">
        <v>12</v>
      </c>
      <c r="BF371" s="83" t="s">
        <v>2225</v>
      </c>
      <c r="BG371" s="53"/>
      <c r="BH371" s="53"/>
      <c r="BI371" s="238"/>
    </row>
    <row r="372" spans="3:61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2"/>
        <v>2</v>
      </c>
      <c r="M372" s="26">
        <f t="shared" si="2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67">
        <f>SUMIFS([1]Up!$J:$J,[1]Up!$D:$D,D372)</f>
        <v>0</v>
      </c>
      <c r="AX372" s="82" t="s">
        <v>2240</v>
      </c>
      <c r="AY372" s="82" t="str">
        <f t="shared" si="33"/>
        <v>PL10</v>
      </c>
      <c r="AZ372" s="53" t="str">
        <f t="shared" si="34"/>
        <v/>
      </c>
      <c r="BA372" s="53" t="s">
        <v>154</v>
      </c>
      <c r="BB372" s="53" t="s">
        <v>1005</v>
      </c>
      <c r="BC372" s="53" t="s">
        <v>1006</v>
      </c>
      <c r="BD372" s="53" t="s">
        <v>57</v>
      </c>
      <c r="BE372" s="53">
        <v>4</v>
      </c>
      <c r="BF372" s="83"/>
      <c r="BG372" s="53"/>
      <c r="BH372" s="53"/>
    </row>
    <row r="373" spans="3:61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2"/>
        <v>0</v>
      </c>
      <c r="M373" s="26">
        <f t="shared" si="2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67">
        <f>SUMIFS([1]Up!$J:$J,[1]Up!$D:$D,D373)</f>
        <v>0</v>
      </c>
      <c r="AX373" s="82"/>
      <c r="AY373" s="82" t="str">
        <f t="shared" si="33"/>
        <v>PL12</v>
      </c>
      <c r="AZ373" s="53" t="str">
        <f t="shared" si="34"/>
        <v/>
      </c>
      <c r="BA373" s="53" t="s">
        <v>154</v>
      </c>
      <c r="BB373" s="53" t="s">
        <v>1021</v>
      </c>
      <c r="BC373" s="53" t="s">
        <v>1022</v>
      </c>
      <c r="BD373" s="53" t="s">
        <v>57</v>
      </c>
      <c r="BE373" s="53">
        <v>4</v>
      </c>
      <c r="BF373" s="83"/>
      <c r="BG373" s="53"/>
      <c r="BH373" s="53"/>
    </row>
    <row r="374" spans="3:61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2"/>
        <v>0</v>
      </c>
      <c r="M374" s="26">
        <f t="shared" si="2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67">
        <f>SUMIFS([1]Up!$J:$J,[1]Up!$D:$D,D374)</f>
        <v>0</v>
      </c>
      <c r="AX374" s="82"/>
      <c r="AY374" s="82" t="str">
        <f t="shared" si="33"/>
        <v>PL12</v>
      </c>
      <c r="AZ374" s="53" t="str">
        <f t="shared" si="34"/>
        <v/>
      </c>
      <c r="BA374" s="53" t="s">
        <v>154</v>
      </c>
      <c r="BB374" s="53" t="s">
        <v>1021</v>
      </c>
      <c r="BC374" s="53" t="s">
        <v>1022</v>
      </c>
      <c r="BD374" s="53" t="s">
        <v>57</v>
      </c>
      <c r="BE374" s="53">
        <v>4</v>
      </c>
      <c r="BF374" s="83"/>
      <c r="BG374" s="53"/>
      <c r="BH374" s="53"/>
    </row>
    <row r="375" spans="3:61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2"/>
        <v>3</v>
      </c>
      <c r="M375" s="26">
        <f t="shared" si="28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67">
        <f>SUMIFS([1]Up!$J:$J,[1]Up!$D:$D,D375)</f>
        <v>0</v>
      </c>
      <c r="AX375" s="82"/>
      <c r="AY375" s="82" t="str">
        <f t="shared" si="33"/>
        <v>PL12</v>
      </c>
      <c r="AZ375" s="53" t="str">
        <f t="shared" si="34"/>
        <v/>
      </c>
      <c r="BA375" s="53" t="s">
        <v>148</v>
      </c>
      <c r="BB375" s="53" t="s">
        <v>1021</v>
      </c>
      <c r="BC375" s="53" t="s">
        <v>1022</v>
      </c>
      <c r="BD375" s="84" t="s">
        <v>2160</v>
      </c>
      <c r="BE375" s="53">
        <v>12</v>
      </c>
      <c r="BF375" s="83">
        <v>46302</v>
      </c>
      <c r="BG375" s="53"/>
      <c r="BH375" s="53"/>
      <c r="BI375" s="238"/>
    </row>
    <row r="376" spans="3:61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2"/>
        <v>3</v>
      </c>
      <c r="M376" s="26">
        <f t="shared" si="28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67">
        <f>SUMIFS([1]Up!$J:$J,[1]Up!$D:$D,D376)</f>
        <v>0</v>
      </c>
      <c r="AX376" s="82"/>
      <c r="AY376" s="82" t="str">
        <f t="shared" si="33"/>
        <v>PL12</v>
      </c>
      <c r="AZ376" s="53" t="str">
        <f t="shared" si="34"/>
        <v/>
      </c>
      <c r="BA376" s="53" t="s">
        <v>148</v>
      </c>
      <c r="BB376" s="53" t="s">
        <v>1021</v>
      </c>
      <c r="BC376" s="53" t="s">
        <v>1022</v>
      </c>
      <c r="BD376" s="84" t="s">
        <v>2160</v>
      </c>
      <c r="BE376" s="53">
        <v>12</v>
      </c>
      <c r="BF376" s="83">
        <v>46302</v>
      </c>
      <c r="BG376" s="53"/>
      <c r="BH376" s="53"/>
      <c r="BI376" s="238"/>
    </row>
    <row r="377" spans="3:61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2"/>
        <v>0</v>
      </c>
      <c r="M377" s="26">
        <f t="shared" si="28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67">
        <f>SUMIFS([1]Up!$J:$J,[1]Up!$D:$D,D377)</f>
        <v>0</v>
      </c>
      <c r="AX377" s="82"/>
      <c r="AY377" s="82" t="str">
        <f t="shared" si="33"/>
        <v>PL16</v>
      </c>
      <c r="AZ377" s="53" t="str">
        <f t="shared" si="34"/>
        <v/>
      </c>
      <c r="BA377" s="53" t="s">
        <v>148</v>
      </c>
      <c r="BB377" s="53" t="s">
        <v>988</v>
      </c>
      <c r="BC377" s="53" t="s">
        <v>989</v>
      </c>
      <c r="BD377" s="84" t="s">
        <v>2161</v>
      </c>
      <c r="BE377" s="53">
        <v>24</v>
      </c>
      <c r="BF377" s="83" t="s">
        <v>2226</v>
      </c>
      <c r="BG377" s="53"/>
      <c r="BH377" s="53"/>
      <c r="BI377" s="238"/>
    </row>
    <row r="378" spans="3:61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2"/>
        <v>0</v>
      </c>
      <c r="M378" s="26">
        <f t="shared" si="28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67">
        <f>SUMIFS([1]Up!$J:$J,[1]Up!$D:$D,D378)</f>
        <v>0</v>
      </c>
      <c r="AX378" s="82"/>
      <c r="AY378" s="82" t="str">
        <f t="shared" si="33"/>
        <v>PL10</v>
      </c>
      <c r="AZ378" s="53" t="str">
        <f t="shared" si="34"/>
        <v/>
      </c>
      <c r="BA378" s="53" t="s">
        <v>154</v>
      </c>
      <c r="BB378" s="53" t="s">
        <v>1005</v>
      </c>
      <c r="BC378" s="53" t="s">
        <v>1006</v>
      </c>
      <c r="BD378" s="84" t="s">
        <v>2157</v>
      </c>
      <c r="BE378" s="53">
        <v>4</v>
      </c>
      <c r="BF378" s="83">
        <v>46302</v>
      </c>
      <c r="BG378" s="53"/>
      <c r="BH378" s="53"/>
      <c r="BI378" s="238"/>
    </row>
    <row r="379" spans="3:61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2"/>
        <v>2</v>
      </c>
      <c r="M379" s="26">
        <f t="shared" si="28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67">
        <f>SUMIFS([1]Up!$J:$J,[1]Up!$D:$D,D379)</f>
        <v>0</v>
      </c>
      <c r="AX379" s="82"/>
      <c r="AY379" s="82" t="str">
        <f t="shared" si="33"/>
        <v>PL20</v>
      </c>
      <c r="AZ379" s="53" t="str">
        <f t="shared" si="34"/>
        <v/>
      </c>
      <c r="BA379" s="53" t="s">
        <v>148</v>
      </c>
      <c r="BB379" s="53" t="s">
        <v>1100</v>
      </c>
      <c r="BC379" s="53" t="s">
        <v>1101</v>
      </c>
      <c r="BD379" s="84" t="s">
        <v>2158</v>
      </c>
      <c r="BE379" s="53">
        <v>8</v>
      </c>
      <c r="BF379" s="83">
        <v>46242</v>
      </c>
      <c r="BG379" s="53"/>
      <c r="BH379" s="53"/>
      <c r="BI379" s="238"/>
    </row>
    <row r="380" spans="3:61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2"/>
        <v>3</v>
      </c>
      <c r="M380" s="26">
        <f t="shared" si="28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67">
        <f>SUMIFS([1]Up!$J:$J,[1]Up!$D:$D,D380)</f>
        <v>0</v>
      </c>
      <c r="AX380" s="82"/>
      <c r="AY380" s="82" t="str">
        <f t="shared" si="33"/>
        <v>PL20</v>
      </c>
      <c r="AZ380" s="53" t="str">
        <f t="shared" si="34"/>
        <v/>
      </c>
      <c r="BA380" s="53" t="s">
        <v>148</v>
      </c>
      <c r="BB380" s="53" t="s">
        <v>1100</v>
      </c>
      <c r="BC380" s="53" t="s">
        <v>1101</v>
      </c>
      <c r="BD380" s="84" t="s">
        <v>2158</v>
      </c>
      <c r="BE380" s="53">
        <v>12</v>
      </c>
      <c r="BF380" s="83">
        <v>46242</v>
      </c>
      <c r="BG380" s="53"/>
      <c r="BH380" s="53"/>
      <c r="BI380" s="238"/>
    </row>
    <row r="381" spans="3:61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2"/>
        <v>1</v>
      </c>
      <c r="M381" s="26">
        <f t="shared" si="2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67">
        <f>SUMIFS([1]Up!$J:$J,[1]Up!$D:$D,D381)</f>
        <v>0</v>
      </c>
      <c r="AX381" s="82"/>
      <c r="AY381" s="82" t="str">
        <f t="shared" si="33"/>
        <v>PL20</v>
      </c>
      <c r="AZ381" s="53" t="str">
        <f t="shared" si="34"/>
        <v/>
      </c>
      <c r="BA381" s="53" t="s">
        <v>148</v>
      </c>
      <c r="BB381" s="53" t="s">
        <v>1100</v>
      </c>
      <c r="BC381" s="53" t="s">
        <v>1101</v>
      </c>
      <c r="BD381" s="84" t="s">
        <v>2158</v>
      </c>
      <c r="BE381" s="53">
        <v>4</v>
      </c>
      <c r="BF381" s="83">
        <v>46242</v>
      </c>
      <c r="BG381" s="53"/>
      <c r="BH381" s="53"/>
      <c r="BI381" s="238"/>
    </row>
    <row r="382" spans="3:61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2"/>
        <v>0</v>
      </c>
      <c r="M382" s="26">
        <f t="shared" si="28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67">
        <f>SUMIFS([1]Up!$J:$J,[1]Up!$D:$D,D382)</f>
        <v>0</v>
      </c>
      <c r="AX382" s="82"/>
      <c r="AY382" s="82" t="str">
        <f t="shared" si="33"/>
        <v>PL30</v>
      </c>
      <c r="AZ382" s="53" t="str">
        <f t="shared" si="34"/>
        <v/>
      </c>
      <c r="BA382" s="53" t="s">
        <v>148</v>
      </c>
      <c r="BB382" s="53" t="s">
        <v>1059</v>
      </c>
      <c r="BC382" s="53" t="s">
        <v>1060</v>
      </c>
      <c r="BD382" s="84" t="s">
        <v>2180</v>
      </c>
      <c r="BE382" s="53">
        <v>4</v>
      </c>
      <c r="BF382" s="83">
        <v>46302</v>
      </c>
      <c r="BG382" s="53"/>
      <c r="BH382" s="53"/>
      <c r="BI382" s="238"/>
    </row>
    <row r="383" spans="3:61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2"/>
        <v>1</v>
      </c>
      <c r="M383" s="26">
        <f t="shared" si="28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67">
        <f>SUMIFS([1]Up!$J:$J,[1]Up!$D:$D,D383)</f>
        <v>0</v>
      </c>
      <c r="AX383" s="82"/>
      <c r="AY383" s="82" t="str">
        <f t="shared" si="33"/>
        <v>PL10</v>
      </c>
      <c r="AZ383" s="53" t="str">
        <f t="shared" si="34"/>
        <v/>
      </c>
      <c r="BA383" s="53" t="s">
        <v>148</v>
      </c>
      <c r="BB383" s="53" t="s">
        <v>1005</v>
      </c>
      <c r="BC383" s="53" t="s">
        <v>1006</v>
      </c>
      <c r="BD383" s="84" t="s">
        <v>2157</v>
      </c>
      <c r="BE383" s="53">
        <v>4</v>
      </c>
      <c r="BF383" s="83">
        <v>46302</v>
      </c>
      <c r="BG383" s="53"/>
      <c r="BH383" s="53"/>
      <c r="BI383" s="238"/>
    </row>
    <row r="384" spans="3:61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2"/>
        <v>0</v>
      </c>
      <c r="M384" s="26">
        <f t="shared" si="28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67">
        <f>SUMIFS([1]Up!$J:$J,[1]Up!$D:$D,D384)</f>
        <v>0</v>
      </c>
      <c r="AX384" s="82"/>
      <c r="AY384" s="82" t="str">
        <f t="shared" si="33"/>
        <v>PL12</v>
      </c>
      <c r="AZ384" s="53" t="str">
        <f t="shared" si="34"/>
        <v/>
      </c>
      <c r="BA384" s="53" t="s">
        <v>154</v>
      </c>
      <c r="BB384" s="53" t="s">
        <v>1021</v>
      </c>
      <c r="BC384" s="53" t="s">
        <v>1022</v>
      </c>
      <c r="BD384" s="53" t="s">
        <v>57</v>
      </c>
      <c r="BE384" s="53">
        <v>4</v>
      </c>
      <c r="BF384" s="83"/>
      <c r="BG384" s="53"/>
      <c r="BH384" s="53"/>
    </row>
    <row r="385" spans="3:61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2"/>
        <v>1</v>
      </c>
      <c r="M385" s="26">
        <f t="shared" si="28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67">
        <f>SUMIFS([1]Up!$J:$J,[1]Up!$D:$D,D385)</f>
        <v>0</v>
      </c>
      <c r="AX385" s="82"/>
      <c r="AY385" s="82" t="str">
        <f t="shared" si="33"/>
        <v>PL10</v>
      </c>
      <c r="AZ385" s="53" t="str">
        <f t="shared" si="34"/>
        <v/>
      </c>
      <c r="BA385" s="53" t="s">
        <v>148</v>
      </c>
      <c r="BB385" s="53" t="s">
        <v>1005</v>
      </c>
      <c r="BC385" s="53" t="s">
        <v>1006</v>
      </c>
      <c r="BD385" s="84" t="s">
        <v>2157</v>
      </c>
      <c r="BE385" s="53">
        <v>4</v>
      </c>
      <c r="BF385" s="83">
        <v>46302</v>
      </c>
      <c r="BG385" s="53"/>
      <c r="BH385" s="53"/>
      <c r="BI385" s="238"/>
    </row>
    <row r="386" spans="3:61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2"/>
        <v>0</v>
      </c>
      <c r="M386" s="26">
        <f t="shared" si="28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67">
        <f>SUMIFS([1]Up!$J:$J,[1]Up!$D:$D,D386)</f>
        <v>0</v>
      </c>
      <c r="AX386" s="82"/>
      <c r="AY386" s="82" t="str">
        <f t="shared" si="33"/>
        <v>PL15</v>
      </c>
      <c r="AZ386" s="53" t="str">
        <f t="shared" si="34"/>
        <v/>
      </c>
      <c r="BA386" s="53" t="s">
        <v>148</v>
      </c>
      <c r="BB386" s="53" t="s">
        <v>1094</v>
      </c>
      <c r="BC386" s="53" t="s">
        <v>1095</v>
      </c>
      <c r="BD386" s="84" t="s">
        <v>2156</v>
      </c>
      <c r="BE386" s="53">
        <v>8</v>
      </c>
      <c r="BF386" s="83" t="s">
        <v>2225</v>
      </c>
      <c r="BG386" s="53"/>
      <c r="BH386" s="53"/>
      <c r="BI386" s="238"/>
    </row>
    <row r="387" spans="3:61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2"/>
        <v>2</v>
      </c>
      <c r="M387" s="26">
        <f t="shared" si="28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67">
        <f>SUMIFS([1]Up!$J:$J,[1]Up!$D:$D,D387)</f>
        <v>0</v>
      </c>
      <c r="AX387" s="82" t="s">
        <v>2229</v>
      </c>
      <c r="AY387" s="82" t="str">
        <f t="shared" si="33"/>
        <v>PL10</v>
      </c>
      <c r="AZ387" s="53" t="str">
        <f t="shared" si="34"/>
        <v/>
      </c>
      <c r="BA387" s="53" t="s">
        <v>154</v>
      </c>
      <c r="BB387" s="53" t="s">
        <v>1005</v>
      </c>
      <c r="BC387" s="53" t="s">
        <v>1006</v>
      </c>
      <c r="BD387" s="53" t="s">
        <v>57</v>
      </c>
      <c r="BE387" s="53">
        <v>4</v>
      </c>
      <c r="BF387" s="83"/>
      <c r="BG387" s="53"/>
      <c r="BH387" s="53"/>
    </row>
    <row r="388" spans="3:61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2"/>
        <v>2</v>
      </c>
      <c r="M388" s="26">
        <f t="shared" si="28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67">
        <f>SUMIFS([1]Up!$J:$J,[1]Up!$D:$D,D388)</f>
        <v>0</v>
      </c>
      <c r="AX388" s="82" t="s">
        <v>2252</v>
      </c>
      <c r="AY388" s="82" t="str">
        <f t="shared" si="33"/>
        <v>PL12</v>
      </c>
      <c r="AZ388" s="53" t="str">
        <f t="shared" si="34"/>
        <v>Thừa 1</v>
      </c>
      <c r="BA388" s="53" t="s">
        <v>154</v>
      </c>
      <c r="BB388" s="53" t="s">
        <v>1021</v>
      </c>
      <c r="BC388" s="53" t="s">
        <v>1022</v>
      </c>
      <c r="BD388" s="53" t="s">
        <v>57</v>
      </c>
      <c r="BE388" s="53">
        <v>4</v>
      </c>
      <c r="BF388" s="83"/>
      <c r="BG388" s="53"/>
      <c r="BH388" s="53"/>
    </row>
    <row r="389" spans="3:61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2"/>
        <v>0</v>
      </c>
      <c r="M389" s="26">
        <f t="shared" si="28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67">
        <f>SUMIFS([1]Up!$J:$J,[1]Up!$D:$D,D389)</f>
        <v>0</v>
      </c>
      <c r="AX389" s="82"/>
      <c r="AY389" s="82" t="str">
        <f t="shared" si="33"/>
        <v>PL12</v>
      </c>
      <c r="AZ389" s="53" t="str">
        <f t="shared" si="34"/>
        <v/>
      </c>
      <c r="BA389" s="53" t="s">
        <v>148</v>
      </c>
      <c r="BB389" s="53" t="s">
        <v>1021</v>
      </c>
      <c r="BC389" s="53" t="s">
        <v>1022</v>
      </c>
      <c r="BD389" s="84" t="s">
        <v>2160</v>
      </c>
      <c r="BE389" s="53">
        <v>12</v>
      </c>
      <c r="BF389" s="83">
        <v>46302</v>
      </c>
      <c r="BG389" s="53"/>
      <c r="BH389" s="53"/>
      <c r="BI389" s="238"/>
    </row>
    <row r="390" spans="3:61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2"/>
        <v>2</v>
      </c>
      <c r="M390" s="26">
        <f t="shared" si="28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67">
        <f>SUMIFS([1]Up!$J:$J,[1]Up!$D:$D,D390)</f>
        <v>0</v>
      </c>
      <c r="AX390" s="82"/>
      <c r="AY390" s="82" t="str">
        <f t="shared" si="33"/>
        <v>PL20</v>
      </c>
      <c r="AZ390" s="53" t="str">
        <f t="shared" si="34"/>
        <v/>
      </c>
      <c r="BA390" s="53" t="s">
        <v>148</v>
      </c>
      <c r="BB390" s="53" t="s">
        <v>1100</v>
      </c>
      <c r="BC390" s="53" t="s">
        <v>1101</v>
      </c>
      <c r="BD390" s="84" t="s">
        <v>2158</v>
      </c>
      <c r="BE390" s="53">
        <v>8</v>
      </c>
      <c r="BF390" s="83">
        <v>46242</v>
      </c>
      <c r="BG390" s="53"/>
      <c r="BH390" s="53"/>
      <c r="BI390" s="238"/>
    </row>
    <row r="391" spans="3:61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2"/>
        <v>0</v>
      </c>
      <c r="M391" s="26">
        <f t="shared" si="28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67">
        <f>SUMIFS([1]Up!$J:$J,[1]Up!$D:$D,D391)</f>
        <v>0</v>
      </c>
      <c r="AX391" s="82"/>
      <c r="AY391" s="82" t="str">
        <f t="shared" si="33"/>
        <v>PL12</v>
      </c>
      <c r="AZ391" s="53" t="str">
        <f t="shared" si="34"/>
        <v/>
      </c>
      <c r="BA391" s="53" t="s">
        <v>154</v>
      </c>
      <c r="BB391" s="53" t="s">
        <v>1021</v>
      </c>
      <c r="BC391" s="53" t="s">
        <v>1022</v>
      </c>
      <c r="BD391" s="53" t="s">
        <v>57</v>
      </c>
      <c r="BE391" s="53">
        <v>4</v>
      </c>
      <c r="BF391" s="83"/>
      <c r="BG391" s="53"/>
      <c r="BH391" s="53"/>
    </row>
    <row r="392" spans="3:61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2"/>
        <v>0</v>
      </c>
      <c r="M392" s="26">
        <f t="shared" si="28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67">
        <f>SUMIFS([1]Up!$J:$J,[1]Up!$D:$D,D392)</f>
        <v>0</v>
      </c>
      <c r="AX392" s="82"/>
      <c r="AY392" s="82" t="str">
        <f t="shared" si="33"/>
        <v>PL15</v>
      </c>
      <c r="AZ392" s="53" t="str">
        <f t="shared" si="34"/>
        <v/>
      </c>
      <c r="BA392" s="53" t="s">
        <v>148</v>
      </c>
      <c r="BB392" s="53" t="s">
        <v>1094</v>
      </c>
      <c r="BC392" s="53" t="s">
        <v>1095</v>
      </c>
      <c r="BD392" s="84" t="s">
        <v>2156</v>
      </c>
      <c r="BE392" s="53">
        <v>8</v>
      </c>
      <c r="BF392" s="83" t="s">
        <v>2225</v>
      </c>
      <c r="BG392" s="53"/>
      <c r="BH392" s="53"/>
      <c r="BI392" s="238"/>
    </row>
    <row r="393" spans="3:61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2"/>
        <v>2</v>
      </c>
      <c r="M393" s="26">
        <f t="shared" si="28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67">
        <f>SUMIFS([1]Up!$J:$J,[1]Up!$D:$D,D393)</f>
        <v>0</v>
      </c>
      <c r="AX393" s="82"/>
      <c r="AY393" s="82" t="str">
        <f t="shared" si="33"/>
        <v>PL20</v>
      </c>
      <c r="AZ393" s="53" t="str">
        <f t="shared" si="34"/>
        <v/>
      </c>
      <c r="BA393" s="53" t="s">
        <v>148</v>
      </c>
      <c r="BB393" s="53" t="s">
        <v>1100</v>
      </c>
      <c r="BC393" s="53" t="s">
        <v>1101</v>
      </c>
      <c r="BD393" s="84" t="s">
        <v>2158</v>
      </c>
      <c r="BE393" s="53">
        <v>8</v>
      </c>
      <c r="BF393" s="83">
        <v>46242</v>
      </c>
      <c r="BG393" s="53"/>
      <c r="BH393" s="53"/>
      <c r="BI393" s="238"/>
    </row>
    <row r="394" spans="3:61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2"/>
        <v>1</v>
      </c>
      <c r="M394" s="26">
        <f t="shared" si="28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67">
        <f>SUMIFS([1]Up!$J:$J,[1]Up!$D:$D,D394)</f>
        <v>0</v>
      </c>
      <c r="AX394" s="82"/>
      <c r="AY394" s="82" t="str">
        <f t="shared" si="33"/>
        <v>PL10</v>
      </c>
      <c r="AZ394" s="53" t="str">
        <f t="shared" si="34"/>
        <v/>
      </c>
      <c r="BA394" s="53" t="s">
        <v>148</v>
      </c>
      <c r="BB394" s="53" t="s">
        <v>1005</v>
      </c>
      <c r="BC394" s="53" t="s">
        <v>1006</v>
      </c>
      <c r="BD394" s="84" t="s">
        <v>2157</v>
      </c>
      <c r="BE394" s="53">
        <v>4</v>
      </c>
      <c r="BF394" s="83">
        <v>46302</v>
      </c>
      <c r="BG394" s="53"/>
      <c r="BH394" s="53"/>
      <c r="BI394" s="238"/>
    </row>
    <row r="395" spans="3:61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2"/>
        <v>2</v>
      </c>
      <c r="M395" s="26">
        <f t="shared" si="28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67">
        <f>SUMIFS([1]Up!$J:$J,[1]Up!$D:$D,D395)</f>
        <v>0</v>
      </c>
      <c r="AX395" s="82" t="s">
        <v>2240</v>
      </c>
      <c r="AY395" s="82" t="str">
        <f t="shared" si="33"/>
        <v>PL10</v>
      </c>
      <c r="AZ395" s="53" t="str">
        <f t="shared" si="34"/>
        <v/>
      </c>
      <c r="BA395" s="53" t="s">
        <v>154</v>
      </c>
      <c r="BB395" s="53" t="s">
        <v>1005</v>
      </c>
      <c r="BC395" s="53" t="s">
        <v>1006</v>
      </c>
      <c r="BD395" s="53" t="s">
        <v>57</v>
      </c>
      <c r="BE395" s="53">
        <v>4</v>
      </c>
      <c r="BF395" s="83"/>
      <c r="BG395" s="53"/>
      <c r="BH395" s="53"/>
    </row>
    <row r="396" spans="3:61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2"/>
        <v>0</v>
      </c>
      <c r="M396" s="26">
        <f t="shared" si="2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67">
        <f>SUMIFS([1]Up!$J:$J,[1]Up!$D:$D,D396)</f>
        <v>0</v>
      </c>
      <c r="AX396" s="82"/>
      <c r="AY396" s="82" t="str">
        <f t="shared" si="33"/>
        <v>PL10</v>
      </c>
      <c r="AZ396" s="53" t="str">
        <f t="shared" si="34"/>
        <v/>
      </c>
      <c r="BA396" s="53" t="s">
        <v>154</v>
      </c>
      <c r="BB396" s="53" t="s">
        <v>1005</v>
      </c>
      <c r="BC396" s="53" t="s">
        <v>1006</v>
      </c>
      <c r="BD396" s="84" t="s">
        <v>2157</v>
      </c>
      <c r="BE396" s="53">
        <v>4</v>
      </c>
      <c r="BF396" s="83">
        <v>46302</v>
      </c>
      <c r="BG396" s="53"/>
      <c r="BH396" s="53"/>
      <c r="BI396" s="238"/>
    </row>
    <row r="397" spans="3:61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2"/>
        <v>2</v>
      </c>
      <c r="M397" s="26">
        <f t="shared" si="28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67">
        <f>SUMIFS([1]Up!$J:$J,[1]Up!$D:$D,D397)</f>
        <v>0</v>
      </c>
      <c r="AX397" s="82"/>
      <c r="AY397" s="82" t="str">
        <f t="shared" si="33"/>
        <v>PL20</v>
      </c>
      <c r="AZ397" s="53" t="str">
        <f t="shared" si="34"/>
        <v/>
      </c>
      <c r="BA397" s="53" t="s">
        <v>148</v>
      </c>
      <c r="BB397" s="53" t="s">
        <v>1100</v>
      </c>
      <c r="BC397" s="53" t="s">
        <v>1101</v>
      </c>
      <c r="BD397" s="84" t="s">
        <v>2158</v>
      </c>
      <c r="BE397" s="53">
        <v>8</v>
      </c>
      <c r="BF397" s="83">
        <v>46242</v>
      </c>
      <c r="BG397" s="53"/>
      <c r="BH397" s="53"/>
      <c r="BI397" s="238"/>
    </row>
    <row r="398" spans="3:61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2"/>
        <v>0</v>
      </c>
      <c r="M398" s="26">
        <f t="shared" si="28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67">
        <f>SUMIFS([1]Up!$J:$J,[1]Up!$D:$D,D398)</f>
        <v>0</v>
      </c>
      <c r="AX398" s="82"/>
      <c r="AY398" s="82" t="str">
        <f t="shared" si="33"/>
        <v>PL12</v>
      </c>
      <c r="AZ398" s="53" t="str">
        <f t="shared" si="34"/>
        <v/>
      </c>
      <c r="BA398" s="53" t="s">
        <v>154</v>
      </c>
      <c r="BB398" s="53" t="s">
        <v>1021</v>
      </c>
      <c r="BC398" s="53" t="s">
        <v>1022</v>
      </c>
      <c r="BD398" s="53" t="s">
        <v>57</v>
      </c>
      <c r="BE398" s="53">
        <v>4</v>
      </c>
      <c r="BF398" s="83"/>
      <c r="BG398" s="53"/>
      <c r="BH398" s="53"/>
    </row>
    <row r="399" spans="3:61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2"/>
        <v>2</v>
      </c>
      <c r="M399" s="26">
        <f t="shared" si="28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67">
        <f>SUMIFS([1]Up!$J:$J,[1]Up!$D:$D,D399)</f>
        <v>0</v>
      </c>
      <c r="AX399" s="82" t="s">
        <v>2247</v>
      </c>
      <c r="AY399" s="82" t="str">
        <f t="shared" si="33"/>
        <v>PL12</v>
      </c>
      <c r="AZ399" s="53" t="str">
        <f t="shared" si="34"/>
        <v>Thừa 1</v>
      </c>
      <c r="BA399" s="53" t="s">
        <v>154</v>
      </c>
      <c r="BB399" s="53" t="s">
        <v>1021</v>
      </c>
      <c r="BC399" s="53" t="s">
        <v>1022</v>
      </c>
      <c r="BD399" s="53" t="s">
        <v>57</v>
      </c>
      <c r="BE399" s="53">
        <v>4</v>
      </c>
      <c r="BF399" s="83"/>
      <c r="BG399" s="53"/>
      <c r="BH399" s="53"/>
    </row>
    <row r="400" spans="3:61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2"/>
        <v>3</v>
      </c>
      <c r="M400" s="26">
        <f t="shared" si="28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67">
        <f>SUMIFS([1]Up!$J:$J,[1]Up!$D:$D,D400)</f>
        <v>0</v>
      </c>
      <c r="AX400" s="82"/>
      <c r="AY400" s="82" t="str">
        <f t="shared" si="33"/>
        <v>PL12</v>
      </c>
      <c r="AZ400" s="53" t="str">
        <f t="shared" si="34"/>
        <v/>
      </c>
      <c r="BA400" s="53" t="s">
        <v>148</v>
      </c>
      <c r="BB400" s="53" t="s">
        <v>1021</v>
      </c>
      <c r="BC400" s="53" t="s">
        <v>1022</v>
      </c>
      <c r="BD400" s="84" t="s">
        <v>2160</v>
      </c>
      <c r="BE400" s="53">
        <v>12</v>
      </c>
      <c r="BF400" s="83">
        <v>46302</v>
      </c>
      <c r="BG400" s="53"/>
      <c r="BH400" s="53"/>
      <c r="BI400" s="238"/>
    </row>
    <row r="401" spans="3:61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2"/>
        <v>1</v>
      </c>
      <c r="M401" s="26">
        <f t="shared" si="2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67">
        <f>SUMIFS([1]Up!$J:$J,[1]Up!$D:$D,D401)</f>
        <v>0</v>
      </c>
      <c r="AX401" s="82"/>
      <c r="AY401" s="82" t="str">
        <f t="shared" si="33"/>
        <v>PL10</v>
      </c>
      <c r="AZ401" s="53" t="str">
        <f t="shared" si="34"/>
        <v/>
      </c>
      <c r="BA401" s="53" t="s">
        <v>148</v>
      </c>
      <c r="BB401" s="53" t="s">
        <v>1005</v>
      </c>
      <c r="BC401" s="53" t="s">
        <v>1006</v>
      </c>
      <c r="BD401" s="84" t="s">
        <v>2157</v>
      </c>
      <c r="BE401" s="53">
        <v>4</v>
      </c>
      <c r="BF401" s="83">
        <v>46302</v>
      </c>
      <c r="BG401" s="53"/>
      <c r="BH401" s="53"/>
      <c r="BI401" s="238"/>
    </row>
    <row r="402" spans="3:61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2"/>
        <v>2</v>
      </c>
      <c r="M402" s="26">
        <f t="shared" si="28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67">
        <f>SUMIFS([1]Up!$J:$J,[1]Up!$D:$D,D402)</f>
        <v>0</v>
      </c>
      <c r="AX402" s="82" t="s">
        <v>2074</v>
      </c>
      <c r="AY402" s="82" t="str">
        <f t="shared" si="33"/>
        <v>PL10</v>
      </c>
      <c r="AZ402" s="53" t="str">
        <f t="shared" si="34"/>
        <v/>
      </c>
      <c r="BA402" s="53" t="s">
        <v>154</v>
      </c>
      <c r="BB402" s="53" t="s">
        <v>1005</v>
      </c>
      <c r="BC402" s="53" t="s">
        <v>1006</v>
      </c>
      <c r="BD402" s="53" t="s">
        <v>57</v>
      </c>
      <c r="BE402" s="53">
        <v>4</v>
      </c>
      <c r="BF402" s="83"/>
      <c r="BG402" s="53"/>
      <c r="BH402" s="53"/>
    </row>
    <row r="403" spans="3:61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2"/>
        <v>0</v>
      </c>
      <c r="M403" s="26">
        <f t="shared" si="28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67">
        <f>SUMIFS([1]Up!$J:$J,[1]Up!$D:$D,D403)</f>
        <v>0</v>
      </c>
      <c r="AX403" s="82"/>
      <c r="AY403" s="82" t="str">
        <f t="shared" si="33"/>
        <v>PL10</v>
      </c>
      <c r="AZ403" s="53" t="str">
        <f t="shared" si="34"/>
        <v/>
      </c>
      <c r="BA403" s="53" t="s">
        <v>154</v>
      </c>
      <c r="BB403" s="53" t="s">
        <v>1005</v>
      </c>
      <c r="BC403" s="53" t="s">
        <v>1006</v>
      </c>
      <c r="BD403" s="84" t="s">
        <v>2157</v>
      </c>
      <c r="BE403" s="53">
        <v>4</v>
      </c>
      <c r="BF403" s="83">
        <v>46302</v>
      </c>
      <c r="BG403" s="53"/>
      <c r="BH403" s="53"/>
      <c r="BI403" s="238"/>
    </row>
    <row r="404" spans="3:61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2"/>
        <v>2</v>
      </c>
      <c r="M404" s="26">
        <f t="shared" si="2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67">
        <f>SUMIFS([1]Up!$J:$J,[1]Up!$D:$D,D404)</f>
        <v>0</v>
      </c>
      <c r="AX404" s="82"/>
      <c r="AY404" s="82" t="str">
        <f t="shared" si="33"/>
        <v>PL20</v>
      </c>
      <c r="AZ404" s="53" t="str">
        <f t="shared" si="34"/>
        <v/>
      </c>
      <c r="BA404" s="53" t="s">
        <v>148</v>
      </c>
      <c r="BB404" s="53" t="s">
        <v>1100</v>
      </c>
      <c r="BC404" s="53" t="s">
        <v>1101</v>
      </c>
      <c r="BD404" s="84" t="s">
        <v>2158</v>
      </c>
      <c r="BE404" s="53">
        <v>8</v>
      </c>
      <c r="BF404" s="83">
        <v>46242</v>
      </c>
      <c r="BG404" s="53"/>
      <c r="BH404" s="53"/>
      <c r="BI404" s="238"/>
    </row>
    <row r="405" spans="3:61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2"/>
        <v>0</v>
      </c>
      <c r="M405" s="26">
        <f t="shared" si="28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67">
        <f>SUMIFS([1]Up!$J:$J,[1]Up!$D:$D,D405)</f>
        <v>0</v>
      </c>
      <c r="AX405" s="82"/>
      <c r="AY405" s="82" t="str">
        <f t="shared" si="33"/>
        <v>PL12</v>
      </c>
      <c r="AZ405" s="53" t="str">
        <f t="shared" si="34"/>
        <v/>
      </c>
      <c r="BA405" s="53" t="s">
        <v>154</v>
      </c>
      <c r="BB405" s="53" t="s">
        <v>1021</v>
      </c>
      <c r="BC405" s="53" t="s">
        <v>1022</v>
      </c>
      <c r="BD405" s="53" t="s">
        <v>57</v>
      </c>
      <c r="BE405" s="53">
        <v>4</v>
      </c>
      <c r="BF405" s="83"/>
      <c r="BG405" s="53"/>
      <c r="BH405" s="53"/>
    </row>
    <row r="406" spans="3:61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2"/>
        <v>2</v>
      </c>
      <c r="M406" s="26">
        <f t="shared" si="28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67">
        <f>SUMIFS([1]Up!$J:$J,[1]Up!$D:$D,D406)</f>
        <v>0</v>
      </c>
      <c r="AX406" s="82" t="s">
        <v>2250</v>
      </c>
      <c r="AY406" s="82" t="str">
        <f t="shared" si="33"/>
        <v>PL12</v>
      </c>
      <c r="AZ406" s="53" t="str">
        <f t="shared" si="34"/>
        <v>Thừa 1</v>
      </c>
      <c r="BA406" s="53" t="s">
        <v>154</v>
      </c>
      <c r="BB406" s="53" t="s">
        <v>1021</v>
      </c>
      <c r="BC406" s="53" t="s">
        <v>1022</v>
      </c>
      <c r="BD406" s="53" t="s">
        <v>57</v>
      </c>
      <c r="BE406" s="53">
        <v>4</v>
      </c>
      <c r="BF406" s="83"/>
      <c r="BG406" s="53"/>
      <c r="BH406" s="53"/>
    </row>
    <row r="407" spans="3:61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2"/>
        <v>0</v>
      </c>
      <c r="M407" s="26">
        <f t="shared" si="28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67">
        <f>SUMIFS([1]Up!$J:$J,[1]Up!$D:$D,D407)</f>
        <v>0</v>
      </c>
      <c r="AX407" s="82"/>
      <c r="AY407" s="82" t="str">
        <f t="shared" si="33"/>
        <v>PL12</v>
      </c>
      <c r="AZ407" s="53" t="str">
        <f t="shared" si="34"/>
        <v/>
      </c>
      <c r="BA407" s="53" t="s">
        <v>148</v>
      </c>
      <c r="BB407" s="53" t="s">
        <v>1021</v>
      </c>
      <c r="BC407" s="53" t="s">
        <v>1022</v>
      </c>
      <c r="BD407" s="84" t="s">
        <v>2160</v>
      </c>
      <c r="BE407" s="53">
        <v>12</v>
      </c>
      <c r="BF407" s="83">
        <v>46302</v>
      </c>
      <c r="BG407" s="53"/>
      <c r="BH407" s="53"/>
      <c r="BI407" s="238"/>
    </row>
    <row r="408" spans="3:61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2"/>
        <v>1</v>
      </c>
      <c r="M408" s="26">
        <f t="shared" si="28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67">
        <f>SUMIFS([1]Up!$J:$J,[1]Up!$D:$D,D408)</f>
        <v>0</v>
      </c>
      <c r="AX408" s="82"/>
      <c r="AY408" s="82" t="str">
        <f t="shared" si="33"/>
        <v>PL10</v>
      </c>
      <c r="AZ408" s="53" t="str">
        <f t="shared" si="34"/>
        <v/>
      </c>
      <c r="BA408" s="53" t="s">
        <v>148</v>
      </c>
      <c r="BB408" s="53" t="s">
        <v>1005</v>
      </c>
      <c r="BC408" s="53" t="s">
        <v>1006</v>
      </c>
      <c r="BD408" s="84" t="s">
        <v>2157</v>
      </c>
      <c r="BE408" s="53">
        <v>4</v>
      </c>
      <c r="BF408" s="83">
        <v>46302</v>
      </c>
      <c r="BG408" s="53"/>
      <c r="BH408" s="53"/>
      <c r="BI408" s="238"/>
    </row>
    <row r="409" spans="3:61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2"/>
        <v>6</v>
      </c>
      <c r="M409" s="26">
        <f t="shared" si="28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67">
        <f>SUMIFS([1]Up!$J:$J,[1]Up!$D:$D,D409)</f>
        <v>0</v>
      </c>
      <c r="AX409" s="82"/>
      <c r="AY409" s="82" t="str">
        <f t="shared" si="33"/>
        <v/>
      </c>
      <c r="AZ409" s="53" t="str">
        <f t="shared" si="34"/>
        <v/>
      </c>
      <c r="BA409" s="53" t="s">
        <v>148</v>
      </c>
      <c r="BB409" s="53" t="s">
        <v>1079</v>
      </c>
      <c r="BC409" s="53" t="s">
        <v>1076</v>
      </c>
      <c r="BD409" s="53" t="s">
        <v>1290</v>
      </c>
      <c r="BE409" s="53">
        <v>6</v>
      </c>
      <c r="BF409" s="83">
        <v>46362</v>
      </c>
      <c r="BG409" s="53"/>
      <c r="BH409" s="53"/>
    </row>
    <row r="410" spans="3:61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2"/>
        <v>1</v>
      </c>
      <c r="M410" s="26">
        <f t="shared" si="28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67">
        <f>SUMIFS([1]Up!$J:$J,[1]Up!$D:$D,D410)</f>
        <v>0</v>
      </c>
      <c r="AX410" s="82" t="s">
        <v>2084</v>
      </c>
      <c r="AY410" s="82" t="str">
        <f t="shared" si="33"/>
        <v>PL10</v>
      </c>
      <c r="AZ410" s="53" t="str">
        <f t="shared" si="34"/>
        <v>Thừa 8</v>
      </c>
      <c r="BA410" s="53" t="s">
        <v>154</v>
      </c>
      <c r="BB410" s="53" t="s">
        <v>1005</v>
      </c>
      <c r="BC410" s="53" t="s">
        <v>1006</v>
      </c>
      <c r="BD410" s="53" t="s">
        <v>57</v>
      </c>
      <c r="BE410" s="53">
        <v>1</v>
      </c>
      <c r="BF410" s="83"/>
      <c r="BG410" s="53"/>
      <c r="BH410" s="53"/>
    </row>
    <row r="411" spans="3:61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2"/>
        <v>2</v>
      </c>
      <c r="M411" s="26">
        <f t="shared" si="28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67">
        <f>SUMIFS([1]Up!$J:$J,[1]Up!$D:$D,D411)</f>
        <v>0</v>
      </c>
      <c r="AX411" s="82"/>
      <c r="AY411" s="82" t="str">
        <f t="shared" si="33"/>
        <v>PL15</v>
      </c>
      <c r="AZ411" s="53" t="str">
        <f t="shared" si="34"/>
        <v/>
      </c>
      <c r="BA411" s="53" t="s">
        <v>148</v>
      </c>
      <c r="BB411" s="53" t="s">
        <v>1094</v>
      </c>
      <c r="BC411" s="53" t="s">
        <v>1095</v>
      </c>
      <c r="BD411" s="53" t="s">
        <v>1304</v>
      </c>
      <c r="BE411" s="53">
        <v>2</v>
      </c>
      <c r="BF411" s="83">
        <v>46088</v>
      </c>
      <c r="BG411" s="53"/>
      <c r="BH411" s="53"/>
    </row>
    <row r="412" spans="3:61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2"/>
        <v>1</v>
      </c>
      <c r="M412" s="26">
        <f t="shared" si="28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67">
        <f>SUMIFS([1]Up!$J:$J,[1]Up!$D:$D,D412)</f>
        <v>0</v>
      </c>
      <c r="AX412" s="82"/>
      <c r="AY412" s="82" t="str">
        <f t="shared" si="33"/>
        <v>PL10</v>
      </c>
      <c r="AZ412" s="53" t="str">
        <f t="shared" si="34"/>
        <v/>
      </c>
      <c r="BA412" s="53" t="s">
        <v>148</v>
      </c>
      <c r="BB412" s="53" t="s">
        <v>1005</v>
      </c>
      <c r="BC412" s="53" t="s">
        <v>1006</v>
      </c>
      <c r="BD412" s="53" t="s">
        <v>1064</v>
      </c>
      <c r="BE412" s="53">
        <v>1</v>
      </c>
      <c r="BF412" s="83">
        <v>46088</v>
      </c>
      <c r="BG412" s="53"/>
      <c r="BH412" s="53"/>
    </row>
    <row r="413" spans="3:61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2"/>
        <v>7</v>
      </c>
      <c r="M413" s="26">
        <f t="shared" si="28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67">
        <f>SUMIFS([1]Up!$J:$J,[1]Up!$D:$D,D413)</f>
        <v>0</v>
      </c>
      <c r="AX413" s="82"/>
      <c r="AY413" s="82" t="str">
        <f t="shared" si="33"/>
        <v>PL10</v>
      </c>
      <c r="AZ413" s="53" t="str">
        <f t="shared" si="34"/>
        <v/>
      </c>
      <c r="BA413" s="53" t="s">
        <v>148</v>
      </c>
      <c r="BB413" s="53" t="s">
        <v>1005</v>
      </c>
      <c r="BC413" s="53" t="s">
        <v>1006</v>
      </c>
      <c r="BD413" s="53" t="s">
        <v>1064</v>
      </c>
      <c r="BE413" s="53">
        <v>7</v>
      </c>
      <c r="BF413" s="83">
        <v>46088</v>
      </c>
      <c r="BG413" s="53"/>
      <c r="BH413" s="53"/>
    </row>
    <row r="414" spans="3:61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5">MIN(SUM(N414:AV414),I414)</f>
        <v>7</v>
      </c>
      <c r="M414" s="26">
        <f t="shared" si="28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67">
        <f>SUMIFS([1]Up!$J:$J,[1]Up!$D:$D,D414)</f>
        <v>0</v>
      </c>
      <c r="AX414" s="82"/>
      <c r="AY414" s="82" t="str">
        <f t="shared" ref="AY414:AY477" si="36">IFERROR(IF(C414="Plate",LEFT(E414,FIND("*",E414,1)-1),""),IF(C414="Plate",LEFT(E414,FIND("x",E414,1)-1),""))</f>
        <v>PL10</v>
      </c>
      <c r="AZ414" s="53" t="str">
        <f t="shared" ref="AZ414:AZ477" si="37">IF(ROUND(SUM(N414:AV414)-I414,0)&gt;0,"Thừa "&amp;SUM(N414:AV414)-I414,"")</f>
        <v/>
      </c>
      <c r="BA414" s="53" t="s">
        <v>148</v>
      </c>
      <c r="BB414" s="53" t="s">
        <v>1005</v>
      </c>
      <c r="BC414" s="53" t="s">
        <v>1006</v>
      </c>
      <c r="BD414" s="53" t="s">
        <v>1064</v>
      </c>
      <c r="BE414" s="53">
        <v>7</v>
      </c>
      <c r="BF414" s="83">
        <v>46088</v>
      </c>
      <c r="BG414" s="53"/>
      <c r="BH414" s="53"/>
    </row>
    <row r="415" spans="3:61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5"/>
        <v>14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67">
        <f>SUMIFS([1]Up!$J:$J,[1]Up!$D:$D,D415)</f>
        <v>0</v>
      </c>
      <c r="AX415" s="82"/>
      <c r="AY415" s="82" t="str">
        <f t="shared" si="36"/>
        <v>PL16</v>
      </c>
      <c r="AZ415" s="53" t="str">
        <f t="shared" si="37"/>
        <v/>
      </c>
      <c r="BA415" s="53" t="s">
        <v>148</v>
      </c>
      <c r="BB415" s="53" t="s">
        <v>988</v>
      </c>
      <c r="BC415" s="53" t="s">
        <v>989</v>
      </c>
      <c r="BD415" s="53" t="s">
        <v>990</v>
      </c>
      <c r="BE415" s="53">
        <v>14</v>
      </c>
      <c r="BF415" s="83" t="s">
        <v>2223</v>
      </c>
      <c r="BG415" s="53"/>
      <c r="BH415" s="53"/>
    </row>
    <row r="416" spans="3:61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5"/>
        <v>4</v>
      </c>
      <c r="M416" s="26">
        <f t="shared" si="28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67">
        <f>SUMIFS([1]Up!$J:$J,[1]Up!$D:$D,D416)</f>
        <v>0</v>
      </c>
      <c r="AX416" s="82"/>
      <c r="AY416" s="82" t="str">
        <f t="shared" si="36"/>
        <v>PL10</v>
      </c>
      <c r="AZ416" s="53" t="str">
        <f t="shared" si="37"/>
        <v/>
      </c>
      <c r="BA416" s="53" t="s">
        <v>148</v>
      </c>
      <c r="BB416" s="53" t="s">
        <v>1005</v>
      </c>
      <c r="BC416" s="53" t="s">
        <v>1006</v>
      </c>
      <c r="BD416" s="53" t="s">
        <v>1064</v>
      </c>
      <c r="BE416" s="53">
        <v>4</v>
      </c>
      <c r="BF416" s="83">
        <v>46088</v>
      </c>
      <c r="BG416" s="53"/>
      <c r="BH416" s="53"/>
    </row>
    <row r="417" spans="3:61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5"/>
        <v>4</v>
      </c>
      <c r="M417" s="26">
        <f t="shared" si="28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67">
        <f>SUMIFS([1]Up!$J:$J,[1]Up!$D:$D,D417)</f>
        <v>0</v>
      </c>
      <c r="AX417" s="82"/>
      <c r="AY417" s="82" t="str">
        <f t="shared" si="36"/>
        <v>PL10</v>
      </c>
      <c r="AZ417" s="53" t="str">
        <f t="shared" si="37"/>
        <v/>
      </c>
      <c r="BA417" s="53" t="s">
        <v>148</v>
      </c>
      <c r="BB417" s="53" t="s">
        <v>1005</v>
      </c>
      <c r="BC417" s="53" t="s">
        <v>1006</v>
      </c>
      <c r="BD417" s="53" t="s">
        <v>1064</v>
      </c>
      <c r="BE417" s="53">
        <v>4</v>
      </c>
      <c r="BF417" s="83">
        <v>46088</v>
      </c>
      <c r="BG417" s="53"/>
      <c r="BH417" s="53"/>
    </row>
    <row r="418" spans="3:61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5"/>
        <v>4</v>
      </c>
      <c r="M418" s="26">
        <f t="shared" si="28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67">
        <f>SUMIFS([1]Up!$J:$J,[1]Up!$D:$D,D418)</f>
        <v>0</v>
      </c>
      <c r="AX418" s="82"/>
      <c r="AY418" s="82" t="str">
        <f t="shared" si="36"/>
        <v>PL15</v>
      </c>
      <c r="AZ418" s="53" t="str">
        <f t="shared" si="37"/>
        <v/>
      </c>
      <c r="BA418" s="53" t="s">
        <v>148</v>
      </c>
      <c r="BB418" s="53" t="s">
        <v>1094</v>
      </c>
      <c r="BC418" s="53" t="s">
        <v>1095</v>
      </c>
      <c r="BD418" s="53" t="s">
        <v>1304</v>
      </c>
      <c r="BE418" s="53">
        <v>4</v>
      </c>
      <c r="BF418" s="83">
        <v>46088</v>
      </c>
      <c r="BG418" s="53"/>
      <c r="BH418" s="53"/>
    </row>
    <row r="419" spans="3:61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5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67">
        <f>SUMIFS([1]Up!$J:$J,[1]Up!$D:$D,D419)</f>
        <v>0</v>
      </c>
      <c r="AX419" s="82" t="s">
        <v>2230</v>
      </c>
      <c r="AY419" s="82" t="str">
        <f t="shared" si="36"/>
        <v>PL10</v>
      </c>
      <c r="AZ419" s="53" t="str">
        <f t="shared" si="37"/>
        <v>Thừa 6</v>
      </c>
      <c r="BA419" s="53" t="s">
        <v>154</v>
      </c>
      <c r="BB419" s="53" t="s">
        <v>1005</v>
      </c>
      <c r="BC419" s="53" t="s">
        <v>1006</v>
      </c>
      <c r="BD419" s="53" t="s">
        <v>57</v>
      </c>
      <c r="BE419" s="53">
        <v>1</v>
      </c>
      <c r="BF419" s="83"/>
      <c r="BG419" s="53"/>
      <c r="BH419" s="53"/>
    </row>
    <row r="420" spans="3:61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5"/>
        <v>3</v>
      </c>
      <c r="M420" s="26">
        <f t="shared" si="28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67">
        <f>SUMIFS([1]Up!$J:$J,[1]Up!$D:$D,D420)</f>
        <v>0</v>
      </c>
      <c r="AX420" s="82"/>
      <c r="AY420" s="82" t="str">
        <f t="shared" si="36"/>
        <v>PL10</v>
      </c>
      <c r="AZ420" s="53" t="str">
        <f t="shared" si="37"/>
        <v/>
      </c>
      <c r="BA420" s="53" t="s">
        <v>148</v>
      </c>
      <c r="BB420" s="53" t="s">
        <v>1005</v>
      </c>
      <c r="BC420" s="53" t="s">
        <v>1006</v>
      </c>
      <c r="BD420" s="53" t="s">
        <v>1064</v>
      </c>
      <c r="BE420" s="53">
        <v>3</v>
      </c>
      <c r="BF420" s="83">
        <v>46088</v>
      </c>
      <c r="BG420" s="53"/>
      <c r="BH420" s="53"/>
    </row>
    <row r="421" spans="3:61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5"/>
        <v>1</v>
      </c>
      <c r="M421" s="26">
        <f t="shared" si="28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67">
        <f>SUMIFS([1]Up!$J:$J,[1]Up!$D:$D,D421)</f>
        <v>0</v>
      </c>
      <c r="AX421" s="82"/>
      <c r="AY421" s="82" t="str">
        <f t="shared" si="36"/>
        <v>PL15</v>
      </c>
      <c r="AZ421" s="53" t="str">
        <f t="shared" si="37"/>
        <v/>
      </c>
      <c r="BA421" s="53" t="s">
        <v>148</v>
      </c>
      <c r="BB421" s="53" t="s">
        <v>1094</v>
      </c>
      <c r="BC421" s="53" t="s">
        <v>1095</v>
      </c>
      <c r="BD421" s="53" t="s">
        <v>1304</v>
      </c>
      <c r="BE421" s="53">
        <v>1</v>
      </c>
      <c r="BF421" s="83">
        <v>46088</v>
      </c>
      <c r="BG421" s="53"/>
      <c r="BH421" s="53"/>
    </row>
    <row r="422" spans="3:61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5"/>
        <v>1</v>
      </c>
      <c r="M422" s="26">
        <f t="shared" si="28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67">
        <f>SUMIFS([1]Up!$J:$J,[1]Up!$D:$D,D422)</f>
        <v>0</v>
      </c>
      <c r="AX422" s="82"/>
      <c r="AY422" s="82" t="str">
        <f t="shared" si="36"/>
        <v>PL20</v>
      </c>
      <c r="AZ422" s="53" t="str">
        <f t="shared" si="37"/>
        <v/>
      </c>
      <c r="BA422" s="53" t="s">
        <v>148</v>
      </c>
      <c r="BB422" s="53" t="s">
        <v>1100</v>
      </c>
      <c r="BC422" s="53" t="s">
        <v>1101</v>
      </c>
      <c r="BD422" s="53" t="s">
        <v>1308</v>
      </c>
      <c r="BE422" s="53">
        <v>1</v>
      </c>
      <c r="BF422" s="83">
        <v>46242</v>
      </c>
      <c r="BG422" s="53"/>
      <c r="BH422" s="53"/>
    </row>
    <row r="423" spans="3:61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5"/>
        <v>1</v>
      </c>
      <c r="M423" s="26">
        <f t="shared" si="28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67">
        <f>SUMIFS([1]Up!$J:$J,[1]Up!$D:$D,D423)</f>
        <v>0</v>
      </c>
      <c r="AX423" s="82" t="s">
        <v>2231</v>
      </c>
      <c r="AY423" s="82" t="str">
        <f t="shared" si="36"/>
        <v>PL10</v>
      </c>
      <c r="AZ423" s="53" t="str">
        <f t="shared" si="37"/>
        <v>Thừa 6</v>
      </c>
      <c r="BA423" s="53" t="s">
        <v>154</v>
      </c>
      <c r="BB423" s="53" t="s">
        <v>1005</v>
      </c>
      <c r="BC423" s="53" t="s">
        <v>1006</v>
      </c>
      <c r="BD423" s="53" t="s">
        <v>57</v>
      </c>
      <c r="BE423" s="53">
        <v>1</v>
      </c>
      <c r="BF423" s="83"/>
      <c r="BG423" s="53"/>
      <c r="BH423" s="53"/>
    </row>
    <row r="424" spans="3:61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5"/>
        <v>7</v>
      </c>
      <c r="M424" s="26">
        <f t="shared" si="28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67">
        <f>SUMIFS([1]Up!$J:$J,[1]Up!$D:$D,D424)</f>
        <v>0</v>
      </c>
      <c r="AX424" s="82"/>
      <c r="AY424" s="82" t="str">
        <f t="shared" si="36"/>
        <v>PL10</v>
      </c>
      <c r="AZ424" s="53" t="str">
        <f t="shared" si="37"/>
        <v/>
      </c>
      <c r="BA424" s="53" t="s">
        <v>148</v>
      </c>
      <c r="BB424" s="53" t="s">
        <v>1005</v>
      </c>
      <c r="BC424" s="53" t="s">
        <v>1006</v>
      </c>
      <c r="BD424" s="53" t="s">
        <v>1064</v>
      </c>
      <c r="BE424" s="53">
        <v>7</v>
      </c>
      <c r="BF424" s="83">
        <v>46088</v>
      </c>
      <c r="BG424" s="53"/>
      <c r="BH424" s="53"/>
    </row>
    <row r="425" spans="3:61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5"/>
        <v>1</v>
      </c>
      <c r="M425" s="26">
        <f t="shared" si="28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67">
        <f>SUMIFS([1]Up!$J:$J,[1]Up!$D:$D,D425)</f>
        <v>0</v>
      </c>
      <c r="AX425" s="82"/>
      <c r="AY425" s="82" t="str">
        <f t="shared" si="36"/>
        <v>PL15</v>
      </c>
      <c r="AZ425" s="53" t="str">
        <f t="shared" si="37"/>
        <v/>
      </c>
      <c r="BA425" s="53" t="s">
        <v>148</v>
      </c>
      <c r="BB425" s="53" t="s">
        <v>1094</v>
      </c>
      <c r="BC425" s="53" t="s">
        <v>1095</v>
      </c>
      <c r="BD425" s="53" t="s">
        <v>1304</v>
      </c>
      <c r="BE425" s="53">
        <v>1</v>
      </c>
      <c r="BF425" s="83">
        <v>46088</v>
      </c>
      <c r="BG425" s="53"/>
      <c r="BH425" s="53"/>
    </row>
    <row r="426" spans="3:61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5"/>
        <v>1</v>
      </c>
      <c r="M426" s="26">
        <f t="shared" si="28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67">
        <f>SUMIFS([1]Up!$J:$J,[1]Up!$D:$D,D426)</f>
        <v>0</v>
      </c>
      <c r="AX426" s="82"/>
      <c r="AY426" s="82" t="str">
        <f t="shared" si="36"/>
        <v>PL20</v>
      </c>
      <c r="AZ426" s="53" t="str">
        <f t="shared" si="37"/>
        <v/>
      </c>
      <c r="BA426" s="53" t="s">
        <v>148</v>
      </c>
      <c r="BB426" s="53" t="s">
        <v>1100</v>
      </c>
      <c r="BC426" s="53" t="s">
        <v>1101</v>
      </c>
      <c r="BD426" s="53" t="s">
        <v>1308</v>
      </c>
      <c r="BE426" s="53">
        <v>1</v>
      </c>
      <c r="BF426" s="83">
        <v>46242</v>
      </c>
      <c r="BG426" s="53"/>
      <c r="BH426" s="53"/>
    </row>
    <row r="427" spans="3:61" ht="14.25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5"/>
        <v>6</v>
      </c>
      <c r="M427" s="26">
        <f t="shared" si="28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67">
        <f>SUMIFS([1]Up!$J:$J,[1]Up!$D:$D,D427)</f>
        <v>6</v>
      </c>
      <c r="AX427" s="82"/>
      <c r="AY427" s="82" t="str">
        <f t="shared" si="36"/>
        <v/>
      </c>
      <c r="AZ427" s="53" t="str">
        <f t="shared" si="37"/>
        <v/>
      </c>
      <c r="BA427" s="53" t="s">
        <v>148</v>
      </c>
      <c r="BB427" s="53" t="s">
        <v>1079</v>
      </c>
      <c r="BC427" s="53" t="s">
        <v>1076</v>
      </c>
      <c r="BD427" s="84" t="s">
        <v>2162</v>
      </c>
      <c r="BE427" s="53">
        <v>24</v>
      </c>
      <c r="BF427" s="83" t="s">
        <v>2225</v>
      </c>
      <c r="BG427" s="53"/>
      <c r="BH427" s="53"/>
      <c r="BI427" s="238"/>
    </row>
    <row r="428" spans="3:61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5"/>
        <v>1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67">
        <f>SUMIFS([1]Up!$J:$J,[1]Up!$D:$D,D428)</f>
        <v>0</v>
      </c>
      <c r="AX428" s="82" t="s">
        <v>1830</v>
      </c>
      <c r="AY428" s="82" t="str">
        <f t="shared" si="36"/>
        <v>PL10</v>
      </c>
      <c r="AZ428" s="53" t="str">
        <f t="shared" si="37"/>
        <v/>
      </c>
      <c r="BA428" s="53" t="s">
        <v>154</v>
      </c>
      <c r="BB428" s="53" t="s">
        <v>1005</v>
      </c>
      <c r="BC428" s="53" t="s">
        <v>1006</v>
      </c>
      <c r="BD428" s="53" t="s">
        <v>57</v>
      </c>
      <c r="BE428" s="53">
        <v>4</v>
      </c>
      <c r="BF428" s="83"/>
      <c r="BG428" s="53"/>
      <c r="BH428" s="53"/>
    </row>
    <row r="429" spans="3:61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5"/>
        <v>2</v>
      </c>
      <c r="M429" s="26">
        <f t="shared" si="28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67">
        <f>SUMIFS([1]Up!$J:$J,[1]Up!$D:$D,D429)</f>
        <v>0</v>
      </c>
      <c r="AX429" s="82"/>
      <c r="AY429" s="82" t="str">
        <f t="shared" si="36"/>
        <v>PL15</v>
      </c>
      <c r="AZ429" s="53" t="str">
        <f t="shared" si="37"/>
        <v/>
      </c>
      <c r="BA429" s="53" t="s">
        <v>148</v>
      </c>
      <c r="BB429" s="53" t="s">
        <v>1094</v>
      </c>
      <c r="BC429" s="53" t="s">
        <v>1095</v>
      </c>
      <c r="BD429" s="84" t="s">
        <v>2156</v>
      </c>
      <c r="BE429" s="53">
        <v>8</v>
      </c>
      <c r="BF429" s="83" t="s">
        <v>2225</v>
      </c>
      <c r="BG429" s="53"/>
      <c r="BH429" s="53"/>
      <c r="BI429" s="238"/>
    </row>
    <row r="430" spans="3:61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5"/>
        <v>1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67">
        <f>SUMIFS([1]Up!$J:$J,[1]Up!$D:$D,D430)</f>
        <v>0</v>
      </c>
      <c r="AX430" s="82"/>
      <c r="AY430" s="82" t="str">
        <f t="shared" si="36"/>
        <v>PL10</v>
      </c>
      <c r="AZ430" s="53" t="str">
        <f t="shared" si="37"/>
        <v/>
      </c>
      <c r="BA430" s="53" t="s">
        <v>148</v>
      </c>
      <c r="BB430" s="53" t="s">
        <v>1005</v>
      </c>
      <c r="BC430" s="53" t="s">
        <v>1006</v>
      </c>
      <c r="BD430" s="84" t="s">
        <v>2157</v>
      </c>
      <c r="BE430" s="53">
        <v>4</v>
      </c>
      <c r="BF430" s="83">
        <v>46302</v>
      </c>
      <c r="BG430" s="53"/>
      <c r="BH430" s="53"/>
      <c r="BI430" s="238"/>
    </row>
    <row r="431" spans="3:61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5"/>
        <v>7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67">
        <f>SUMIFS([1]Up!$J:$J,[1]Up!$D:$D,D431)</f>
        <v>0</v>
      </c>
      <c r="AX431" s="82"/>
      <c r="AY431" s="82" t="str">
        <f t="shared" si="36"/>
        <v>PL10</v>
      </c>
      <c r="AZ431" s="53" t="str">
        <f t="shared" si="37"/>
        <v/>
      </c>
      <c r="BA431" s="53" t="s">
        <v>148</v>
      </c>
      <c r="BB431" s="53" t="s">
        <v>1005</v>
      </c>
      <c r="BC431" s="53" t="s">
        <v>1006</v>
      </c>
      <c r="BD431" s="84" t="s">
        <v>2157</v>
      </c>
      <c r="BE431" s="53">
        <v>28</v>
      </c>
      <c r="BF431" s="83">
        <v>46302</v>
      </c>
      <c r="BG431" s="53"/>
      <c r="BH431" s="53"/>
      <c r="BI431" s="238"/>
    </row>
    <row r="432" spans="3:61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5"/>
        <v>6</v>
      </c>
      <c r="M432" s="26">
        <f t="shared" si="28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67">
        <f>SUMIFS([1]Up!$J:$J,[1]Up!$D:$D,D432)</f>
        <v>0</v>
      </c>
      <c r="AX432" s="82"/>
      <c r="AY432" s="82" t="str">
        <f t="shared" si="36"/>
        <v>PL10</v>
      </c>
      <c r="AZ432" s="53" t="str">
        <f t="shared" si="37"/>
        <v/>
      </c>
      <c r="BA432" s="53" t="s">
        <v>148</v>
      </c>
      <c r="BB432" s="53" t="s">
        <v>1005</v>
      </c>
      <c r="BC432" s="53" t="s">
        <v>1006</v>
      </c>
      <c r="BD432" s="84" t="s">
        <v>2157</v>
      </c>
      <c r="BE432" s="53">
        <v>28</v>
      </c>
      <c r="BF432" s="83">
        <v>46302</v>
      </c>
      <c r="BG432" s="53"/>
      <c r="BH432" s="53"/>
      <c r="BI432" s="238"/>
    </row>
    <row r="433" spans="3:61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5"/>
        <v>0</v>
      </c>
      <c r="M433" s="26">
        <f t="shared" si="28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67">
        <f>SUMIFS([1]Up!$J:$J,[1]Up!$D:$D,D433)</f>
        <v>0</v>
      </c>
      <c r="AX433" s="82"/>
      <c r="AY433" s="82" t="str">
        <f t="shared" si="36"/>
        <v>PL16</v>
      </c>
      <c r="AZ433" s="53" t="str">
        <f t="shared" si="37"/>
        <v/>
      </c>
      <c r="BA433" s="53" t="s">
        <v>148</v>
      </c>
      <c r="BB433" s="53" t="s">
        <v>988</v>
      </c>
      <c r="BC433" s="53" t="s">
        <v>989</v>
      </c>
      <c r="BD433" s="84" t="s">
        <v>2161</v>
      </c>
      <c r="BE433" s="53">
        <v>56</v>
      </c>
      <c r="BF433" s="83" t="s">
        <v>2226</v>
      </c>
      <c r="BG433" s="53"/>
      <c r="BH433" s="53"/>
      <c r="BI433" s="238"/>
    </row>
    <row r="434" spans="3:61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5"/>
        <v>2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67">
        <f>SUMIFS([1]Up!$J:$J,[1]Up!$D:$D,D434)</f>
        <v>0</v>
      </c>
      <c r="AX434" s="82" t="s">
        <v>2242</v>
      </c>
      <c r="AY434" s="82" t="str">
        <f>IFERROR(IF(C434="Plate",LEFT(E434,FIND("*",E434,1)-1),""),IF(C434="Plate",LEFT(E434,FIND("x",E434,1)-1),""))</f>
        <v>PL10</v>
      </c>
      <c r="AZ434" s="53" t="str">
        <f t="shared" si="37"/>
        <v>Thừa 5</v>
      </c>
      <c r="BA434" s="53" t="s">
        <v>154</v>
      </c>
      <c r="BB434" s="53" t="s">
        <v>1005</v>
      </c>
      <c r="BC434" s="53" t="s">
        <v>1006</v>
      </c>
      <c r="BD434" s="53" t="s">
        <v>57</v>
      </c>
      <c r="BE434" s="53">
        <v>4</v>
      </c>
      <c r="BF434" s="83"/>
      <c r="BG434" s="53"/>
      <c r="BH434" s="53"/>
    </row>
    <row r="435" spans="3:61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5"/>
        <v>6</v>
      </c>
      <c r="M435" s="26">
        <f t="shared" si="28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67">
        <f>SUMIFS([1]Up!$J:$J,[1]Up!$D:$D,D435)</f>
        <v>0</v>
      </c>
      <c r="AX435" s="82"/>
      <c r="AY435" s="82" t="str">
        <f t="shared" si="36"/>
        <v>PL10</v>
      </c>
      <c r="AZ435" s="53" t="str">
        <f t="shared" si="37"/>
        <v/>
      </c>
      <c r="BA435" s="53" t="s">
        <v>148</v>
      </c>
      <c r="BB435" s="53" t="s">
        <v>1005</v>
      </c>
      <c r="BC435" s="53" t="s">
        <v>1006</v>
      </c>
      <c r="BD435" s="84" t="s">
        <v>2157</v>
      </c>
      <c r="BE435" s="53">
        <v>28</v>
      </c>
      <c r="BF435" s="83">
        <v>46302</v>
      </c>
      <c r="BG435" s="53"/>
      <c r="BH435" s="53"/>
      <c r="BI435" s="238"/>
    </row>
    <row r="436" spans="3:61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5"/>
        <v>1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67">
        <f>SUMIFS([1]Up!$J:$J,[1]Up!$D:$D,D436)</f>
        <v>0</v>
      </c>
      <c r="AX436" s="82"/>
      <c r="AY436" s="82" t="str">
        <f t="shared" si="36"/>
        <v>PL15</v>
      </c>
      <c r="AZ436" s="53" t="str">
        <f t="shared" si="37"/>
        <v/>
      </c>
      <c r="BA436" s="53" t="s">
        <v>148</v>
      </c>
      <c r="BB436" s="53" t="s">
        <v>1094</v>
      </c>
      <c r="BC436" s="53" t="s">
        <v>1095</v>
      </c>
      <c r="BD436" s="84" t="s">
        <v>2156</v>
      </c>
      <c r="BE436" s="53">
        <v>4</v>
      </c>
      <c r="BF436" s="83" t="s">
        <v>2225</v>
      </c>
      <c r="BG436" s="53"/>
      <c r="BH436" s="53"/>
      <c r="BI436" s="238"/>
    </row>
    <row r="437" spans="3:61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5"/>
        <v>1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67">
        <f>SUMIFS([1]Up!$J:$J,[1]Up!$D:$D,D437)</f>
        <v>0</v>
      </c>
      <c r="AX437" s="82"/>
      <c r="AY437" s="82" t="str">
        <f t="shared" si="36"/>
        <v>PL20</v>
      </c>
      <c r="AZ437" s="53" t="str">
        <f t="shared" si="37"/>
        <v/>
      </c>
      <c r="BA437" s="53" t="s">
        <v>148</v>
      </c>
      <c r="BB437" s="53" t="s">
        <v>1100</v>
      </c>
      <c r="BC437" s="53" t="s">
        <v>1101</v>
      </c>
      <c r="BD437" s="84" t="s">
        <v>2158</v>
      </c>
      <c r="BE437" s="53">
        <v>4</v>
      </c>
      <c r="BF437" s="83">
        <v>46242</v>
      </c>
      <c r="BG437" s="53"/>
      <c r="BH437" s="53"/>
      <c r="BI437" s="238"/>
    </row>
    <row r="438" spans="3:61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5"/>
        <v>2</v>
      </c>
      <c r="M438" s="26">
        <f t="shared" si="2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67">
        <f>SUMIFS([1]Up!$J:$J,[1]Up!$D:$D,D438)</f>
        <v>0</v>
      </c>
      <c r="AX438" s="82" t="s">
        <v>2241</v>
      </c>
      <c r="AY438" s="82" t="str">
        <f t="shared" si="36"/>
        <v>PL10</v>
      </c>
      <c r="AZ438" s="53" t="str">
        <f t="shared" si="37"/>
        <v>Thừa 4</v>
      </c>
      <c r="BA438" s="53" t="s">
        <v>154</v>
      </c>
      <c r="BB438" s="53" t="s">
        <v>1005</v>
      </c>
      <c r="BC438" s="53" t="s">
        <v>1006</v>
      </c>
      <c r="BD438" s="53" t="s">
        <v>57</v>
      </c>
      <c r="BE438" s="53">
        <v>4</v>
      </c>
      <c r="BF438" s="83"/>
      <c r="BG438" s="53"/>
      <c r="BH438" s="53"/>
    </row>
    <row r="439" spans="3:61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5"/>
        <v>1</v>
      </c>
      <c r="M439" s="26">
        <f t="shared" si="28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67">
        <f>SUMIFS([1]Up!$J:$J,[1]Up!$D:$D,D439)</f>
        <v>0</v>
      </c>
      <c r="AX439" s="82"/>
      <c r="AY439" s="82" t="str">
        <f t="shared" si="36"/>
        <v>PL10</v>
      </c>
      <c r="AZ439" s="53" t="str">
        <f t="shared" si="37"/>
        <v/>
      </c>
      <c r="BA439" s="53" t="s">
        <v>148</v>
      </c>
      <c r="BB439" s="53" t="s">
        <v>1005</v>
      </c>
      <c r="BC439" s="53" t="s">
        <v>1006</v>
      </c>
      <c r="BD439" s="84" t="s">
        <v>2157</v>
      </c>
      <c r="BE439" s="53">
        <v>28</v>
      </c>
      <c r="BF439" s="83">
        <v>46302</v>
      </c>
      <c r="BG439" s="53"/>
      <c r="BH439" s="53"/>
      <c r="BI439" s="238"/>
    </row>
    <row r="440" spans="3:61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5"/>
        <v>1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67">
        <f>SUMIFS([1]Up!$J:$J,[1]Up!$D:$D,D440)</f>
        <v>0</v>
      </c>
      <c r="AX440" s="82"/>
      <c r="AY440" s="82" t="str">
        <f t="shared" si="36"/>
        <v>PL15</v>
      </c>
      <c r="AZ440" s="53" t="str">
        <f t="shared" si="37"/>
        <v/>
      </c>
      <c r="BA440" s="53" t="s">
        <v>148</v>
      </c>
      <c r="BB440" s="53" t="s">
        <v>1094</v>
      </c>
      <c r="BC440" s="53" t="s">
        <v>1095</v>
      </c>
      <c r="BD440" s="84" t="s">
        <v>2156</v>
      </c>
      <c r="BE440" s="53">
        <v>4</v>
      </c>
      <c r="BF440" s="83" t="s">
        <v>2225</v>
      </c>
      <c r="BG440" s="53"/>
      <c r="BH440" s="53"/>
      <c r="BI440" s="238"/>
    </row>
    <row r="441" spans="3:61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5"/>
        <v>1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67">
        <f>SUMIFS([1]Up!$J:$J,[1]Up!$D:$D,D441)</f>
        <v>0</v>
      </c>
      <c r="AX441" s="82"/>
      <c r="AY441" s="82" t="str">
        <f t="shared" si="36"/>
        <v>PL20</v>
      </c>
      <c r="AZ441" s="53" t="str">
        <f t="shared" si="37"/>
        <v/>
      </c>
      <c r="BA441" s="53" t="s">
        <v>148</v>
      </c>
      <c r="BB441" s="53" t="s">
        <v>1100</v>
      </c>
      <c r="BC441" s="53" t="s">
        <v>1101</v>
      </c>
      <c r="BD441" s="84" t="s">
        <v>2158</v>
      </c>
      <c r="BE441" s="53">
        <v>4</v>
      </c>
      <c r="BF441" s="83">
        <v>46242</v>
      </c>
      <c r="BG441" s="53"/>
      <c r="BH441" s="53"/>
      <c r="BI441" s="238"/>
    </row>
    <row r="442" spans="3:61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5"/>
        <v>2</v>
      </c>
      <c r="M442" s="26">
        <f t="shared" si="28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67">
        <f>SUMIFS([1]Up!$J:$J,[1]Up!$D:$D,D442)</f>
        <v>0</v>
      </c>
      <c r="AX442" s="82"/>
      <c r="AY442" s="82" t="str">
        <f t="shared" si="36"/>
        <v/>
      </c>
      <c r="AZ442" s="53" t="str">
        <f t="shared" si="37"/>
        <v/>
      </c>
      <c r="BA442" s="53" t="s">
        <v>148</v>
      </c>
      <c r="BB442" s="53" t="s">
        <v>1079</v>
      </c>
      <c r="BC442" s="53" t="s">
        <v>1076</v>
      </c>
      <c r="BD442" s="53" t="s">
        <v>1290</v>
      </c>
      <c r="BE442" s="53">
        <v>2</v>
      </c>
      <c r="BF442" s="83">
        <v>46362</v>
      </c>
      <c r="BG442" s="53"/>
      <c r="BH442" s="53"/>
    </row>
    <row r="443" spans="3:61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5"/>
        <v>1</v>
      </c>
      <c r="M443" s="26">
        <f t="shared" si="28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67">
        <f>SUMIFS([1]Up!$J:$J,[1]Up!$D:$D,D443)</f>
        <v>0</v>
      </c>
      <c r="AX443" s="82" t="s">
        <v>2071</v>
      </c>
      <c r="AY443" s="82" t="str">
        <f t="shared" si="36"/>
        <v>PL10</v>
      </c>
      <c r="AZ443" s="53" t="str">
        <f t="shared" si="37"/>
        <v>Thừa 4</v>
      </c>
      <c r="BA443" s="53" t="s">
        <v>154</v>
      </c>
      <c r="BB443" s="53" t="s">
        <v>1005</v>
      </c>
      <c r="BC443" s="53" t="s">
        <v>1006</v>
      </c>
      <c r="BD443" s="53" t="s">
        <v>57</v>
      </c>
      <c r="BE443" s="53">
        <v>1</v>
      </c>
      <c r="BF443" s="83"/>
      <c r="BG443" s="53"/>
      <c r="BH443" s="53"/>
    </row>
    <row r="444" spans="3:61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5"/>
        <v>2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67">
        <f>SUMIFS([1]Up!$J:$J,[1]Up!$D:$D,D444)</f>
        <v>0</v>
      </c>
      <c r="AX444" s="82"/>
      <c r="AY444" s="82" t="str">
        <f t="shared" si="36"/>
        <v>PL20</v>
      </c>
      <c r="AZ444" s="53" t="str">
        <f t="shared" si="37"/>
        <v/>
      </c>
      <c r="BA444" s="53" t="s">
        <v>148</v>
      </c>
      <c r="BB444" s="53" t="s">
        <v>1100</v>
      </c>
      <c r="BC444" s="53" t="s">
        <v>1101</v>
      </c>
      <c r="BD444" s="53" t="s">
        <v>1308</v>
      </c>
      <c r="BE444" s="53">
        <v>2</v>
      </c>
      <c r="BF444" s="83">
        <v>46242</v>
      </c>
      <c r="BG444" s="53"/>
      <c r="BH444" s="53"/>
    </row>
    <row r="445" spans="3:61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5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67">
        <f>SUMIFS([1]Up!$J:$J,[1]Up!$D:$D,D445)</f>
        <v>0</v>
      </c>
      <c r="AX445" s="82"/>
      <c r="AY445" s="82" t="str">
        <f t="shared" si="36"/>
        <v>PL15</v>
      </c>
      <c r="AZ445" s="53" t="str">
        <f t="shared" si="37"/>
        <v/>
      </c>
      <c r="BA445" s="53" t="s">
        <v>148</v>
      </c>
      <c r="BB445" s="53" t="s">
        <v>1094</v>
      </c>
      <c r="BC445" s="53" t="s">
        <v>1095</v>
      </c>
      <c r="BD445" s="53" t="s">
        <v>1304</v>
      </c>
      <c r="BE445" s="53">
        <v>2</v>
      </c>
      <c r="BF445" s="83">
        <v>46088</v>
      </c>
      <c r="BG445" s="53"/>
      <c r="BH445" s="53"/>
    </row>
    <row r="446" spans="3:61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5"/>
        <v>2</v>
      </c>
      <c r="M446" s="26">
        <f t="shared" si="28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67">
        <f>SUMIFS([1]Up!$J:$J,[1]Up!$D:$D,D446)</f>
        <v>0</v>
      </c>
      <c r="AX446" s="82"/>
      <c r="AY446" s="82" t="str">
        <f t="shared" si="36"/>
        <v>PL15</v>
      </c>
      <c r="AZ446" s="53" t="str">
        <f t="shared" si="37"/>
        <v/>
      </c>
      <c r="BA446" s="53" t="s">
        <v>148</v>
      </c>
      <c r="BB446" s="53" t="s">
        <v>1094</v>
      </c>
      <c r="BC446" s="53" t="s">
        <v>1095</v>
      </c>
      <c r="BD446" s="53" t="s">
        <v>1304</v>
      </c>
      <c r="BE446" s="53">
        <v>2</v>
      </c>
      <c r="BF446" s="83">
        <v>46088</v>
      </c>
      <c r="BG446" s="53"/>
      <c r="BH446" s="53"/>
    </row>
    <row r="447" spans="3:61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5"/>
        <v>1</v>
      </c>
      <c r="M447" s="26">
        <f t="shared" si="28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67">
        <f>SUMIFS([1]Up!$J:$J,[1]Up!$D:$D,D447)</f>
        <v>0</v>
      </c>
      <c r="AX447" s="82" t="s">
        <v>2072</v>
      </c>
      <c r="AY447" s="82" t="str">
        <f t="shared" si="36"/>
        <v>PL10</v>
      </c>
      <c r="AZ447" s="53" t="str">
        <f t="shared" si="37"/>
        <v>Thừa 2</v>
      </c>
      <c r="BA447" s="53" t="s">
        <v>148</v>
      </c>
      <c r="BB447" s="53" t="s">
        <v>1005</v>
      </c>
      <c r="BC447" s="53" t="s">
        <v>1006</v>
      </c>
      <c r="BD447" s="53" t="s">
        <v>57</v>
      </c>
      <c r="BE447" s="53">
        <v>1</v>
      </c>
      <c r="BF447" s="83"/>
      <c r="BG447" s="53"/>
      <c r="BH447" s="53"/>
    </row>
    <row r="448" spans="3:61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5"/>
        <v>1</v>
      </c>
      <c r="M448" s="26">
        <f t="shared" si="28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67">
        <f>SUMIFS([1]Up!$J:$J,[1]Up!$D:$D,D448)</f>
        <v>0</v>
      </c>
      <c r="AX448" s="82" t="s">
        <v>2077</v>
      </c>
      <c r="AY448" s="82" t="str">
        <f t="shared" si="36"/>
        <v>PL20</v>
      </c>
      <c r="AZ448" s="53" t="str">
        <f t="shared" si="37"/>
        <v>Thừa 7</v>
      </c>
      <c r="BA448" s="53" t="s">
        <v>148</v>
      </c>
      <c r="BB448" s="53" t="s">
        <v>1100</v>
      </c>
      <c r="BC448" s="53" t="s">
        <v>1101</v>
      </c>
      <c r="BD448" s="53" t="s">
        <v>57</v>
      </c>
      <c r="BE448" s="53">
        <v>1</v>
      </c>
      <c r="BF448" s="83"/>
      <c r="BG448" s="53"/>
      <c r="BH448" s="53"/>
    </row>
    <row r="449" spans="3:60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5"/>
        <v>1</v>
      </c>
      <c r="M449" s="26">
        <f t="shared" si="2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>
        <v>1</v>
      </c>
      <c r="AW449" s="67">
        <f>SUMIFS([1]Up!$J:$J,[1]Up!$D:$D,D449)</f>
        <v>0</v>
      </c>
      <c r="AX449" s="82"/>
      <c r="AY449" s="82" t="str">
        <f t="shared" si="36"/>
        <v>PL10</v>
      </c>
      <c r="AZ449" s="53" t="str">
        <f t="shared" si="37"/>
        <v/>
      </c>
      <c r="BA449" s="53" t="s">
        <v>154</v>
      </c>
      <c r="BB449" s="53" t="s">
        <v>1005</v>
      </c>
      <c r="BC449" s="53" t="s">
        <v>1006</v>
      </c>
      <c r="BD449" s="53" t="s">
        <v>1064</v>
      </c>
      <c r="BE449" s="53">
        <v>1</v>
      </c>
      <c r="BF449" s="83">
        <v>46088</v>
      </c>
      <c r="BG449" s="53"/>
      <c r="BH449" s="53"/>
    </row>
    <row r="450" spans="3:60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5"/>
        <v>2</v>
      </c>
      <c r="M450" s="26">
        <f t="shared" si="28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67">
        <f>SUMIFS([1]Up!$J:$J,[1]Up!$D:$D,D450)</f>
        <v>0</v>
      </c>
      <c r="AX450" s="82"/>
      <c r="AY450" s="82" t="str">
        <f t="shared" si="36"/>
        <v>PL20</v>
      </c>
      <c r="AZ450" s="53" t="str">
        <f t="shared" si="37"/>
        <v/>
      </c>
      <c r="BA450" s="53" t="s">
        <v>148</v>
      </c>
      <c r="BB450" s="53" t="s">
        <v>1100</v>
      </c>
      <c r="BC450" s="53" t="s">
        <v>1101</v>
      </c>
      <c r="BD450" s="53" t="s">
        <v>1308</v>
      </c>
      <c r="BE450" s="53">
        <v>2</v>
      </c>
      <c r="BF450" s="83">
        <v>46242</v>
      </c>
      <c r="BG450" s="53"/>
      <c r="BH450" s="53"/>
    </row>
    <row r="451" spans="3:60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5"/>
        <v>1</v>
      </c>
      <c r="M451" s="26">
        <f t="shared" si="28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67">
        <f>SUMIFS([1]Up!$J:$J,[1]Up!$D:$D,D451)</f>
        <v>0</v>
      </c>
      <c r="AX451" s="82"/>
      <c r="AY451" s="82" t="str">
        <f t="shared" si="36"/>
        <v>PL10</v>
      </c>
      <c r="AZ451" s="53" t="str">
        <f t="shared" si="37"/>
        <v/>
      </c>
      <c r="BA451" s="53" t="s">
        <v>148</v>
      </c>
      <c r="BB451" s="53" t="s">
        <v>1005</v>
      </c>
      <c r="BC451" s="53" t="s">
        <v>1006</v>
      </c>
      <c r="BD451" s="53" t="s">
        <v>1064</v>
      </c>
      <c r="BE451" s="53">
        <v>1</v>
      </c>
      <c r="BF451" s="83">
        <v>46088</v>
      </c>
      <c r="BG451" s="53"/>
      <c r="BH451" s="53"/>
    </row>
    <row r="452" spans="3:60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5"/>
        <v>1</v>
      </c>
      <c r="M452" s="26">
        <f t="shared" si="2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>
        <v>-1</v>
      </c>
      <c r="AW452" s="67">
        <f>SUMIFS([1]Up!$J:$J,[1]Up!$D:$D,D452)</f>
        <v>0</v>
      </c>
      <c r="AX452" s="82" t="s">
        <v>2238</v>
      </c>
      <c r="AY452" s="82" t="str">
        <f t="shared" si="36"/>
        <v>PL3</v>
      </c>
      <c r="AZ452" s="53" t="str">
        <f t="shared" si="37"/>
        <v/>
      </c>
      <c r="BA452" s="53" t="s">
        <v>148</v>
      </c>
      <c r="BB452" s="53" t="s">
        <v>1632</v>
      </c>
      <c r="BC452" s="53" t="s">
        <v>962</v>
      </c>
      <c r="BD452" s="53" t="s">
        <v>1633</v>
      </c>
      <c r="BE452" s="53">
        <v>1</v>
      </c>
      <c r="BF452" s="83" t="s">
        <v>2223</v>
      </c>
      <c r="BG452" s="53"/>
      <c r="BH452" s="53"/>
    </row>
    <row r="453" spans="3:60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5"/>
        <v>2</v>
      </c>
      <c r="M453" s="26">
        <f t="shared" si="28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67">
        <f>SUMIFS([1]Up!$J:$J,[1]Up!$D:$D,D453)</f>
        <v>0</v>
      </c>
      <c r="AX453" s="82"/>
      <c r="AY453" s="82" t="str">
        <f t="shared" si="36"/>
        <v>PL15</v>
      </c>
      <c r="AZ453" s="53" t="str">
        <f t="shared" si="37"/>
        <v/>
      </c>
      <c r="BA453" s="53" t="s">
        <v>148</v>
      </c>
      <c r="BB453" s="53" t="s">
        <v>1094</v>
      </c>
      <c r="BC453" s="53" t="s">
        <v>1095</v>
      </c>
      <c r="BD453" s="53" t="s">
        <v>1304</v>
      </c>
      <c r="BE453" s="53">
        <v>2</v>
      </c>
      <c r="BF453" s="83">
        <v>46088</v>
      </c>
      <c r="BG453" s="53"/>
      <c r="BH453" s="53"/>
    </row>
    <row r="454" spans="3:60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5"/>
        <v>1</v>
      </c>
      <c r="M454" s="26">
        <f t="shared" si="28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67">
        <f>SUMIFS([1]Up!$J:$J,[1]Up!$D:$D,D454)</f>
        <v>0</v>
      </c>
      <c r="AX454" s="82" t="s">
        <v>2074</v>
      </c>
      <c r="AY454" s="82" t="str">
        <f t="shared" si="36"/>
        <v>PL10</v>
      </c>
      <c r="AZ454" s="53" t="str">
        <f t="shared" si="37"/>
        <v>Thừa 1</v>
      </c>
      <c r="BA454" s="53" t="s">
        <v>154</v>
      </c>
      <c r="BB454" s="53" t="s">
        <v>1005</v>
      </c>
      <c r="BC454" s="53" t="s">
        <v>1006</v>
      </c>
      <c r="BD454" s="53" t="s">
        <v>57</v>
      </c>
      <c r="BE454" s="53">
        <v>1</v>
      </c>
      <c r="BF454" s="83"/>
      <c r="BG454" s="53"/>
      <c r="BH454" s="53"/>
    </row>
    <row r="455" spans="3:60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5"/>
        <v>1</v>
      </c>
      <c r="M455" s="26">
        <f t="shared" si="28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67">
        <f>SUMIFS([1]Up!$J:$J,[1]Up!$D:$D,D455)</f>
        <v>0</v>
      </c>
      <c r="AX455" s="82" t="s">
        <v>2074</v>
      </c>
      <c r="AY455" s="82" t="str">
        <f t="shared" si="36"/>
        <v>PL10</v>
      </c>
      <c r="AZ455" s="53" t="str">
        <f t="shared" si="37"/>
        <v>Thừa 1</v>
      </c>
      <c r="BA455" s="53" t="s">
        <v>148</v>
      </c>
      <c r="BB455" s="53" t="s">
        <v>1005</v>
      </c>
      <c r="BC455" s="53" t="s">
        <v>1006</v>
      </c>
      <c r="BD455" s="53" t="s">
        <v>57</v>
      </c>
      <c r="BE455" s="53">
        <v>1</v>
      </c>
      <c r="BF455" s="83"/>
      <c r="BG455" s="53"/>
      <c r="BH455" s="53"/>
    </row>
    <row r="456" spans="3:60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5"/>
        <v>1</v>
      </c>
      <c r="M456" s="26">
        <f t="shared" si="28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67">
        <f>SUMIFS([1]Up!$J:$J,[1]Up!$D:$D,D456)</f>
        <v>0</v>
      </c>
      <c r="AX456" s="82"/>
      <c r="AY456" s="82" t="str">
        <f t="shared" si="36"/>
        <v>PL10</v>
      </c>
      <c r="AZ456" s="53" t="str">
        <f t="shared" si="37"/>
        <v/>
      </c>
      <c r="BA456" s="53" t="s">
        <v>148</v>
      </c>
      <c r="BB456" s="53" t="s">
        <v>1005</v>
      </c>
      <c r="BC456" s="53" t="s">
        <v>1006</v>
      </c>
      <c r="BD456" s="53" t="s">
        <v>1064</v>
      </c>
      <c r="BE456" s="53">
        <v>1</v>
      </c>
      <c r="BF456" s="83">
        <v>46088</v>
      </c>
      <c r="BG456" s="53"/>
      <c r="BH456" s="53"/>
    </row>
    <row r="457" spans="3:60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5"/>
        <v>2</v>
      </c>
      <c r="M457" s="26">
        <f t="shared" si="2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67">
        <f>SUMIFS([1]Up!$J:$J,[1]Up!$D:$D,D457)</f>
        <v>0</v>
      </c>
      <c r="AX457" s="82"/>
      <c r="AY457" s="82" t="str">
        <f t="shared" si="36"/>
        <v>PL16</v>
      </c>
      <c r="AZ457" s="53" t="str">
        <f t="shared" si="37"/>
        <v/>
      </c>
      <c r="BA457" s="53" t="s">
        <v>148</v>
      </c>
      <c r="BB457" s="53" t="s">
        <v>988</v>
      </c>
      <c r="BC457" s="53" t="s">
        <v>989</v>
      </c>
      <c r="BD457" s="53" t="s">
        <v>990</v>
      </c>
      <c r="BE457" s="53">
        <v>2</v>
      </c>
      <c r="BF457" s="83" t="s">
        <v>2223</v>
      </c>
      <c r="BG457" s="53"/>
      <c r="BH457" s="53"/>
    </row>
    <row r="458" spans="3:60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5"/>
        <v>1</v>
      </c>
      <c r="M458" s="26">
        <f t="shared" ref="M458" si="38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>
        <v>1</v>
      </c>
      <c r="AW458" s="67">
        <f>SUMIFS([1]Up!$J:$J,[1]Up!$D:$D,D458)</f>
        <v>0</v>
      </c>
      <c r="AX458" s="82"/>
      <c r="AY458" s="82" t="str">
        <f t="shared" si="36"/>
        <v>PL10</v>
      </c>
      <c r="AZ458" s="53" t="str">
        <f t="shared" si="37"/>
        <v/>
      </c>
      <c r="BA458" s="53"/>
      <c r="BB458" s="53"/>
      <c r="BC458" s="53"/>
      <c r="BD458" s="53"/>
      <c r="BE458" s="53"/>
      <c r="BF458" s="83"/>
      <c r="BG458" s="53"/>
      <c r="BH458" s="53"/>
    </row>
    <row r="459" spans="3:60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5"/>
        <v>1</v>
      </c>
      <c r="M459" s="26">
        <f t="shared" si="28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67">
        <f>SUMIFS([1]Up!$J:$J,[1]Up!$D:$D,D459)</f>
        <v>0</v>
      </c>
      <c r="AX459" s="82" t="s">
        <v>2074</v>
      </c>
      <c r="AY459" s="82" t="str">
        <f t="shared" si="36"/>
        <v>PL10</v>
      </c>
      <c r="AZ459" s="53" t="str">
        <f t="shared" si="37"/>
        <v>Thừa 1</v>
      </c>
      <c r="BA459" s="53" t="s">
        <v>148</v>
      </c>
      <c r="BB459" s="53" t="s">
        <v>1005</v>
      </c>
      <c r="BC459" s="53" t="s">
        <v>1006</v>
      </c>
      <c r="BD459" s="53" t="s">
        <v>57</v>
      </c>
      <c r="BE459" s="53">
        <v>1</v>
      </c>
      <c r="BF459" s="83"/>
      <c r="BG459" s="53"/>
      <c r="BH459" s="53"/>
    </row>
    <row r="460" spans="3:60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5"/>
        <v>1</v>
      </c>
      <c r="M460" s="26">
        <f t="shared" si="28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67">
        <f>SUMIFS([1]Up!$J:$J,[1]Up!$D:$D,D460)</f>
        <v>0</v>
      </c>
      <c r="AX460" s="82"/>
      <c r="AY460" s="82" t="str">
        <f t="shared" si="36"/>
        <v>PL10</v>
      </c>
      <c r="AZ460" s="53" t="str">
        <f t="shared" si="37"/>
        <v/>
      </c>
      <c r="BA460" s="53" t="s">
        <v>148</v>
      </c>
      <c r="BB460" s="53" t="s">
        <v>1005</v>
      </c>
      <c r="BC460" s="53" t="s">
        <v>1006</v>
      </c>
      <c r="BD460" s="53" t="s">
        <v>1064</v>
      </c>
      <c r="BE460" s="53">
        <v>1</v>
      </c>
      <c r="BF460" s="83">
        <v>46088</v>
      </c>
      <c r="BG460" s="53"/>
      <c r="BH460" s="53"/>
    </row>
    <row r="461" spans="3:60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5"/>
        <v>1</v>
      </c>
      <c r="M461" s="26">
        <f t="shared" si="28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67">
        <f>SUMIFS([1]Up!$J:$J,[1]Up!$D:$D,D461)</f>
        <v>0</v>
      </c>
      <c r="AX461" s="82"/>
      <c r="AY461" s="82" t="str">
        <f t="shared" si="36"/>
        <v>PL15</v>
      </c>
      <c r="AZ461" s="53" t="str">
        <f t="shared" si="37"/>
        <v/>
      </c>
      <c r="BA461" s="53" t="s">
        <v>148</v>
      </c>
      <c r="BB461" s="53" t="s">
        <v>1094</v>
      </c>
      <c r="BC461" s="53" t="s">
        <v>1095</v>
      </c>
      <c r="BD461" s="53" t="s">
        <v>1304</v>
      </c>
      <c r="BE461" s="53">
        <v>1</v>
      </c>
      <c r="BF461" s="83">
        <v>46088</v>
      </c>
      <c r="BG461" s="53"/>
      <c r="BH461" s="53"/>
    </row>
    <row r="462" spans="3:60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5"/>
        <v>2</v>
      </c>
      <c r="M462" s="26">
        <f t="shared" si="28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67">
        <f>SUMIFS([1]Up!$J:$J,[1]Up!$D:$D,D462)</f>
        <v>0</v>
      </c>
      <c r="AX462" s="82"/>
      <c r="AY462" s="82" t="str">
        <f t="shared" si="36"/>
        <v>PL15</v>
      </c>
      <c r="AZ462" s="53" t="str">
        <f t="shared" si="37"/>
        <v/>
      </c>
      <c r="BA462" s="53" t="s">
        <v>148</v>
      </c>
      <c r="BB462" s="53" t="s">
        <v>1094</v>
      </c>
      <c r="BC462" s="53" t="s">
        <v>1095</v>
      </c>
      <c r="BD462" s="53" t="s">
        <v>1304</v>
      </c>
      <c r="BE462" s="53">
        <v>2</v>
      </c>
      <c r="BF462" s="83">
        <v>46088</v>
      </c>
      <c r="BG462" s="53"/>
      <c r="BH462" s="53"/>
    </row>
    <row r="463" spans="3:60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5"/>
        <v>1</v>
      </c>
      <c r="M463" s="26">
        <f t="shared" si="28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67">
        <f>SUMIFS([1]Up!$J:$J,[1]Up!$D:$D,D463)</f>
        <v>0</v>
      </c>
      <c r="AX463" s="82" t="s">
        <v>2072</v>
      </c>
      <c r="AY463" s="82" t="str">
        <f t="shared" si="36"/>
        <v>PL10</v>
      </c>
      <c r="AZ463" s="53" t="str">
        <f t="shared" si="37"/>
        <v>Thừa 2</v>
      </c>
      <c r="BA463" s="53" t="s">
        <v>148</v>
      </c>
      <c r="BB463" s="53" t="s">
        <v>1005</v>
      </c>
      <c r="BC463" s="53" t="s">
        <v>1006</v>
      </c>
      <c r="BD463" s="53" t="s">
        <v>57</v>
      </c>
      <c r="BE463" s="53">
        <v>1</v>
      </c>
      <c r="BF463" s="83"/>
      <c r="BG463" s="53"/>
      <c r="BH463" s="53"/>
    </row>
    <row r="464" spans="3:60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5"/>
        <v>2</v>
      </c>
      <c r="M464" s="26">
        <f t="shared" si="28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67">
        <f>SUMIFS([1]Up!$J:$J,[1]Up!$D:$D,D464)</f>
        <v>0</v>
      </c>
      <c r="AX464" s="82"/>
      <c r="AY464" s="82" t="str">
        <f t="shared" si="36"/>
        <v>PL10</v>
      </c>
      <c r="AZ464" s="53" t="str">
        <f t="shared" si="37"/>
        <v/>
      </c>
      <c r="BA464" s="53" t="s">
        <v>148</v>
      </c>
      <c r="BB464" s="53" t="s">
        <v>1005</v>
      </c>
      <c r="BC464" s="53" t="s">
        <v>1006</v>
      </c>
      <c r="BD464" s="53" t="s">
        <v>1064</v>
      </c>
      <c r="BE464" s="53">
        <v>2</v>
      </c>
      <c r="BF464" s="83">
        <v>46088</v>
      </c>
      <c r="BG464" s="53"/>
      <c r="BH464" s="53"/>
    </row>
    <row r="465" spans="3:61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5"/>
        <v>4</v>
      </c>
      <c r="M465" s="26">
        <f t="shared" si="28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67">
        <f>SUMIFS([1]Up!$J:$J,[1]Up!$D:$D,D465)</f>
        <v>0</v>
      </c>
      <c r="AX465" s="82"/>
      <c r="AY465" s="82" t="str">
        <f t="shared" si="36"/>
        <v>PL16</v>
      </c>
      <c r="AZ465" s="53" t="str">
        <f t="shared" si="37"/>
        <v/>
      </c>
      <c r="BA465" s="53" t="s">
        <v>148</v>
      </c>
      <c r="BB465" s="53" t="s">
        <v>988</v>
      </c>
      <c r="BC465" s="53" t="s">
        <v>989</v>
      </c>
      <c r="BD465" s="53" t="s">
        <v>990</v>
      </c>
      <c r="BE465" s="53">
        <v>4</v>
      </c>
      <c r="BF465" s="83" t="s">
        <v>2223</v>
      </c>
      <c r="BG465" s="53"/>
      <c r="BH465" s="53"/>
    </row>
    <row r="466" spans="3:61" ht="14.25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5"/>
        <v>2</v>
      </c>
      <c r="M466" s="26">
        <f t="shared" si="28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67">
        <f>SUMIFS([1]Up!$J:$J,[1]Up!$D:$D,D466)</f>
        <v>2</v>
      </c>
      <c r="AX466" s="82"/>
      <c r="AY466" s="82" t="str">
        <f t="shared" si="36"/>
        <v/>
      </c>
      <c r="AZ466" s="53" t="str">
        <f t="shared" si="37"/>
        <v/>
      </c>
      <c r="BA466" s="53" t="s">
        <v>148</v>
      </c>
      <c r="BB466" s="53" t="s">
        <v>1079</v>
      </c>
      <c r="BC466" s="53" t="s">
        <v>1076</v>
      </c>
      <c r="BD466" s="84" t="s">
        <v>2162</v>
      </c>
      <c r="BE466" s="53">
        <v>8</v>
      </c>
      <c r="BF466" s="83" t="s">
        <v>2225</v>
      </c>
      <c r="BG466" s="53"/>
      <c r="BH466" s="53"/>
      <c r="BI466" s="238"/>
    </row>
    <row r="467" spans="3:61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5"/>
        <v>2</v>
      </c>
      <c r="M467" s="26">
        <f t="shared" si="2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67">
        <f>SUMIFS([1]Up!$J:$J,[1]Up!$D:$D,D467)</f>
        <v>0</v>
      </c>
      <c r="AX467" s="82" t="s">
        <v>2248</v>
      </c>
      <c r="AY467" s="82" t="str">
        <f t="shared" si="36"/>
        <v>PL10</v>
      </c>
      <c r="AZ467" s="53" t="str">
        <f t="shared" si="37"/>
        <v>Thừa 3</v>
      </c>
      <c r="BA467" s="53" t="s">
        <v>154</v>
      </c>
      <c r="BB467" s="53" t="s">
        <v>1005</v>
      </c>
      <c r="BC467" s="53" t="s">
        <v>1006</v>
      </c>
      <c r="BD467" s="53" t="s">
        <v>57</v>
      </c>
      <c r="BE467" s="53">
        <v>4</v>
      </c>
      <c r="BF467" s="83"/>
      <c r="BG467" s="53"/>
      <c r="BH467" s="53"/>
    </row>
    <row r="468" spans="3:61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5"/>
        <v>1</v>
      </c>
      <c r="M468" s="26">
        <f t="shared" si="28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67">
        <f>SUMIFS([1]Up!$J:$J,[1]Up!$D:$D,D468)</f>
        <v>0</v>
      </c>
      <c r="AX468" s="82"/>
      <c r="AY468" s="82" t="str">
        <f t="shared" si="36"/>
        <v>PL10</v>
      </c>
      <c r="AZ468" s="53" t="str">
        <f t="shared" si="37"/>
        <v/>
      </c>
      <c r="BA468" s="53" t="s">
        <v>148</v>
      </c>
      <c r="BB468" s="53" t="s">
        <v>1005</v>
      </c>
      <c r="BC468" s="53" t="s">
        <v>1006</v>
      </c>
      <c r="BD468" s="84" t="s">
        <v>2157</v>
      </c>
      <c r="BE468" s="53">
        <v>4</v>
      </c>
      <c r="BF468" s="83">
        <v>46302</v>
      </c>
      <c r="BG468" s="53"/>
      <c r="BH468" s="53"/>
      <c r="BI468" s="238"/>
    </row>
    <row r="469" spans="3:61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5"/>
        <v>0</v>
      </c>
      <c r="M469" s="26">
        <f t="shared" si="28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67">
        <f>SUMIFS([1]Up!$J:$J,[1]Up!$D:$D,D469)</f>
        <v>0</v>
      </c>
      <c r="AX469" s="82"/>
      <c r="AY469" s="82" t="str">
        <f t="shared" si="36"/>
        <v>PL3</v>
      </c>
      <c r="AZ469" s="53" t="str">
        <f t="shared" si="37"/>
        <v/>
      </c>
      <c r="BA469" s="53" t="s">
        <v>148</v>
      </c>
      <c r="BB469" s="53" t="s">
        <v>1632</v>
      </c>
      <c r="BC469" s="53" t="s">
        <v>962</v>
      </c>
      <c r="BD469" s="84" t="s">
        <v>2190</v>
      </c>
      <c r="BE469" s="53">
        <v>4</v>
      </c>
      <c r="BF469" s="83" t="s">
        <v>2225</v>
      </c>
      <c r="BG469" s="53"/>
      <c r="BH469" s="53"/>
      <c r="BI469" s="238"/>
    </row>
    <row r="470" spans="3:61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5"/>
        <v>2</v>
      </c>
      <c r="M470" s="26">
        <f t="shared" si="28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67">
        <f>SUMIFS([1]Up!$J:$J,[1]Up!$D:$D,D470)</f>
        <v>0</v>
      </c>
      <c r="AX470" s="82"/>
      <c r="AY470" s="82" t="str">
        <f t="shared" si="36"/>
        <v>PL10</v>
      </c>
      <c r="AZ470" s="53" t="str">
        <f t="shared" si="37"/>
        <v/>
      </c>
      <c r="BA470" s="53" t="s">
        <v>148</v>
      </c>
      <c r="BB470" s="53" t="s">
        <v>1005</v>
      </c>
      <c r="BC470" s="53" t="s">
        <v>1006</v>
      </c>
      <c r="BD470" s="84" t="s">
        <v>2157</v>
      </c>
      <c r="BE470" s="53">
        <v>8</v>
      </c>
      <c r="BF470" s="83">
        <v>46302</v>
      </c>
      <c r="BG470" s="53"/>
      <c r="BH470" s="53"/>
      <c r="BI470" s="238"/>
    </row>
    <row r="471" spans="3:61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5"/>
        <v>0</v>
      </c>
      <c r="M471" s="26">
        <f t="shared" si="28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67">
        <f>SUMIFS([1]Up!$J:$J,[1]Up!$D:$D,D471)</f>
        <v>0</v>
      </c>
      <c r="AX471" s="82"/>
      <c r="AY471" s="82" t="str">
        <f t="shared" si="36"/>
        <v>PL16</v>
      </c>
      <c r="AZ471" s="53" t="str">
        <f t="shared" si="37"/>
        <v/>
      </c>
      <c r="BA471" s="53" t="s">
        <v>148</v>
      </c>
      <c r="BB471" s="53" t="s">
        <v>988</v>
      </c>
      <c r="BC471" s="53" t="s">
        <v>989</v>
      </c>
      <c r="BD471" s="84" t="s">
        <v>2161</v>
      </c>
      <c r="BE471" s="53">
        <v>8</v>
      </c>
      <c r="BF471" s="83" t="s">
        <v>2226</v>
      </c>
      <c r="BG471" s="53"/>
      <c r="BH471" s="53"/>
      <c r="BI471" s="238"/>
    </row>
    <row r="472" spans="3:61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5"/>
        <v>2</v>
      </c>
      <c r="M472" s="26">
        <f t="shared" si="28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67">
        <f>SUMIFS([1]Up!$J:$J,[1]Up!$D:$D,D472)</f>
        <v>0</v>
      </c>
      <c r="AX472" s="82"/>
      <c r="AY472" s="82" t="str">
        <f t="shared" si="36"/>
        <v>PL15</v>
      </c>
      <c r="AZ472" s="53" t="str">
        <f t="shared" si="37"/>
        <v/>
      </c>
      <c r="BA472" s="53" t="s">
        <v>148</v>
      </c>
      <c r="BB472" s="53" t="s">
        <v>1094</v>
      </c>
      <c r="BC472" s="53" t="s">
        <v>1095</v>
      </c>
      <c r="BD472" s="84" t="s">
        <v>2156</v>
      </c>
      <c r="BE472" s="53">
        <v>8</v>
      </c>
      <c r="BF472" s="83" t="s">
        <v>2225</v>
      </c>
      <c r="BG472" s="53"/>
      <c r="BH472" s="53"/>
      <c r="BI472" s="238"/>
    </row>
    <row r="473" spans="3:61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5"/>
        <v>0</v>
      </c>
      <c r="M473" s="26">
        <f t="shared" si="28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67">
        <f>SUMIFS([1]Up!$J:$J,[1]Up!$D:$D,D473)</f>
        <v>0</v>
      </c>
      <c r="AX473" s="82"/>
      <c r="AY473" s="82" t="str">
        <f t="shared" si="36"/>
        <v>PL16</v>
      </c>
      <c r="AZ473" s="53" t="str">
        <f t="shared" si="37"/>
        <v/>
      </c>
      <c r="BA473" s="53" t="s">
        <v>148</v>
      </c>
      <c r="BB473" s="53" t="s">
        <v>988</v>
      </c>
      <c r="BC473" s="53" t="s">
        <v>989</v>
      </c>
      <c r="BD473" s="84" t="s">
        <v>2161</v>
      </c>
      <c r="BE473" s="53">
        <v>8</v>
      </c>
      <c r="BF473" s="83" t="s">
        <v>2226</v>
      </c>
      <c r="BG473" s="53"/>
      <c r="BH473" s="53"/>
      <c r="BI473" s="238"/>
    </row>
    <row r="474" spans="3:61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5"/>
        <v>1</v>
      </c>
      <c r="M474" s="26">
        <f t="shared" si="2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67">
        <f>SUMIFS([1]Up!$J:$J,[1]Up!$D:$D,D474)</f>
        <v>0</v>
      </c>
      <c r="AX474" s="82"/>
      <c r="AY474" s="82" t="str">
        <f t="shared" si="36"/>
        <v>PL20</v>
      </c>
      <c r="AZ474" s="53" t="str">
        <f t="shared" si="37"/>
        <v/>
      </c>
      <c r="BA474" s="53" t="s">
        <v>148</v>
      </c>
      <c r="BB474" s="53" t="s">
        <v>1100</v>
      </c>
      <c r="BC474" s="53" t="s">
        <v>1101</v>
      </c>
      <c r="BD474" s="84" t="s">
        <v>2158</v>
      </c>
      <c r="BE474" s="53">
        <v>4</v>
      </c>
      <c r="BF474" s="83">
        <v>46242</v>
      </c>
      <c r="BG474" s="53"/>
      <c r="BH474" s="53"/>
      <c r="BI474" s="238"/>
    </row>
    <row r="475" spans="3:61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5"/>
        <v>1</v>
      </c>
      <c r="M475" s="26">
        <f t="shared" si="2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67">
        <f>SUMIFS([1]Up!$J:$J,[1]Up!$D:$D,D475)</f>
        <v>0</v>
      </c>
      <c r="AX475" s="82"/>
      <c r="AY475" s="82" t="str">
        <f t="shared" si="36"/>
        <v>PL15</v>
      </c>
      <c r="AZ475" s="53" t="str">
        <f t="shared" si="37"/>
        <v/>
      </c>
      <c r="BA475" s="53" t="s">
        <v>148</v>
      </c>
      <c r="BB475" s="53" t="s">
        <v>1094</v>
      </c>
      <c r="BC475" s="53" t="s">
        <v>1095</v>
      </c>
      <c r="BD475" s="84" t="s">
        <v>2156</v>
      </c>
      <c r="BE475" s="53">
        <v>4</v>
      </c>
      <c r="BF475" s="83" t="s">
        <v>2225</v>
      </c>
      <c r="BG475" s="53"/>
      <c r="BH475" s="53"/>
      <c r="BI475" s="238"/>
    </row>
    <row r="476" spans="3:61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5"/>
        <v>2</v>
      </c>
      <c r="M476" s="26">
        <f t="shared" si="2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67">
        <f>SUMIFS([1]Up!$J:$J,[1]Up!$D:$D,D476)</f>
        <v>0</v>
      </c>
      <c r="AX476" s="82" t="s">
        <v>2074</v>
      </c>
      <c r="AY476" s="82" t="str">
        <f t="shared" si="36"/>
        <v>PL10</v>
      </c>
      <c r="AZ476" s="53" t="str">
        <f t="shared" si="37"/>
        <v/>
      </c>
      <c r="BA476" s="53" t="s">
        <v>154</v>
      </c>
      <c r="BB476" s="53" t="s">
        <v>1005</v>
      </c>
      <c r="BC476" s="53" t="s">
        <v>1006</v>
      </c>
      <c r="BD476" s="53" t="s">
        <v>57</v>
      </c>
      <c r="BE476" s="53">
        <v>4</v>
      </c>
      <c r="BF476" s="83"/>
      <c r="BG476" s="53"/>
      <c r="BH476" s="53"/>
    </row>
    <row r="477" spans="3:61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5"/>
        <v>2</v>
      </c>
      <c r="M477" s="26">
        <f t="shared" si="28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67">
        <f>SUMIFS([1]Up!$J:$J,[1]Up!$D:$D,D477)</f>
        <v>0</v>
      </c>
      <c r="AX477" s="82" t="s">
        <v>2255</v>
      </c>
      <c r="AY477" s="82" t="str">
        <f t="shared" si="36"/>
        <v>PL10</v>
      </c>
      <c r="AZ477" s="53" t="str">
        <f t="shared" si="37"/>
        <v/>
      </c>
      <c r="BA477" s="53" t="s">
        <v>148</v>
      </c>
      <c r="BB477" s="53" t="s">
        <v>1005</v>
      </c>
      <c r="BC477" s="53" t="s">
        <v>1006</v>
      </c>
      <c r="BD477" s="53" t="s">
        <v>57</v>
      </c>
      <c r="BE477" s="53">
        <v>8</v>
      </c>
      <c r="BF477" s="83"/>
      <c r="BG477" s="53"/>
      <c r="BH477" s="53"/>
    </row>
    <row r="478" spans="3:61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9">MIN(SUM(N478:AV478),I478)</f>
        <v>1</v>
      </c>
      <c r="M478" s="26">
        <f t="shared" si="28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67">
        <f>SUMIFS([1]Up!$J:$J,[1]Up!$D:$D,D478)</f>
        <v>0</v>
      </c>
      <c r="AX478" s="82" t="s">
        <v>2253</v>
      </c>
      <c r="AY478" s="82" t="str">
        <f t="shared" ref="AY478:AY541" si="40">IFERROR(IF(C478="Plate",LEFT(E478,FIND("*",E478,1)-1),""),IF(C478="Plate",LEFT(E478,FIND("x",E478,1)-1),""))</f>
        <v>PL10</v>
      </c>
      <c r="AZ478" s="53" t="str">
        <f t="shared" ref="AZ478:AZ541" si="41">IF(ROUND(SUM(N478:AV478)-I478,0)&gt;0,"Thừa "&amp;SUM(N478:AV478)-I478,"")</f>
        <v/>
      </c>
      <c r="BA478" s="53" t="s">
        <v>148</v>
      </c>
      <c r="BB478" s="53" t="s">
        <v>1005</v>
      </c>
      <c r="BC478" s="53" t="s">
        <v>1006</v>
      </c>
      <c r="BD478" s="53" t="s">
        <v>57</v>
      </c>
      <c r="BE478" s="53">
        <v>8</v>
      </c>
      <c r="BF478" s="83"/>
      <c r="BG478" s="53"/>
      <c r="BH478" s="53"/>
    </row>
    <row r="479" spans="3:61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9"/>
        <v>2</v>
      </c>
      <c r="M479" s="26">
        <f t="shared" si="28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67">
        <f>SUMIFS([1]Up!$J:$J,[1]Up!$D:$D,D479)</f>
        <v>0</v>
      </c>
      <c r="AX479" s="82"/>
      <c r="AY479" s="82" t="str">
        <f t="shared" si="40"/>
        <v>PL15</v>
      </c>
      <c r="AZ479" s="53" t="str">
        <f t="shared" si="41"/>
        <v/>
      </c>
      <c r="BA479" s="53" t="s">
        <v>148</v>
      </c>
      <c r="BB479" s="53" t="s">
        <v>1094</v>
      </c>
      <c r="BC479" s="53" t="s">
        <v>1095</v>
      </c>
      <c r="BD479" s="84" t="s">
        <v>2156</v>
      </c>
      <c r="BE479" s="53">
        <v>8</v>
      </c>
      <c r="BF479" s="83" t="s">
        <v>2225</v>
      </c>
      <c r="BG479" s="53"/>
      <c r="BH479" s="53"/>
      <c r="BI479" s="238"/>
    </row>
    <row r="480" spans="3:61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9"/>
        <v>0</v>
      </c>
      <c r="M480" s="26">
        <f t="shared" si="28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67">
        <f>SUMIFS([1]Up!$J:$J,[1]Up!$D:$D,D480)</f>
        <v>0</v>
      </c>
      <c r="AX480" s="82"/>
      <c r="AY480" s="82" t="str">
        <f t="shared" si="40"/>
        <v>PL10</v>
      </c>
      <c r="AZ480" s="53" t="str">
        <f t="shared" si="41"/>
        <v/>
      </c>
      <c r="BA480" s="53" t="s">
        <v>148</v>
      </c>
      <c r="BB480" s="53" t="s">
        <v>1005</v>
      </c>
      <c r="BC480" s="53" t="s">
        <v>1006</v>
      </c>
      <c r="BD480" s="53" t="s">
        <v>57</v>
      </c>
      <c r="BE480" s="53">
        <v>4</v>
      </c>
      <c r="BF480" s="83"/>
      <c r="BG480" s="53"/>
      <c r="BH480" s="53"/>
    </row>
    <row r="481" spans="3:61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9"/>
        <v>2</v>
      </c>
      <c r="M481" s="26">
        <f t="shared" si="2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67">
        <f>SUMIFS([1]Up!$J:$J,[1]Up!$D:$D,D481)</f>
        <v>0</v>
      </c>
      <c r="AX481" s="82" t="s">
        <v>2073</v>
      </c>
      <c r="AY481" s="82" t="str">
        <f t="shared" si="40"/>
        <v>PL20</v>
      </c>
      <c r="AZ481" s="53" t="str">
        <f t="shared" si="41"/>
        <v>Thừa 2</v>
      </c>
      <c r="BA481" s="53" t="s">
        <v>148</v>
      </c>
      <c r="BB481" s="53" t="s">
        <v>1100</v>
      </c>
      <c r="BC481" s="53" t="s">
        <v>1101</v>
      </c>
      <c r="BD481" s="53" t="s">
        <v>57</v>
      </c>
      <c r="BE481" s="53">
        <v>4</v>
      </c>
      <c r="BF481" s="83"/>
      <c r="BG481" s="53"/>
      <c r="BH481" s="53"/>
    </row>
    <row r="482" spans="3:61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9"/>
        <v>0</v>
      </c>
      <c r="M482" s="26">
        <f t="shared" si="28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67">
        <f>SUMIFS([1]Up!$J:$J,[1]Up!$D:$D,D482)</f>
        <v>0</v>
      </c>
      <c r="AX482" s="82"/>
      <c r="AY482" s="82" t="str">
        <f t="shared" si="40"/>
        <v>PL10</v>
      </c>
      <c r="AZ482" s="53" t="str">
        <f t="shared" si="41"/>
        <v/>
      </c>
      <c r="BA482" s="53" t="s">
        <v>154</v>
      </c>
      <c r="BB482" s="53" t="s">
        <v>1005</v>
      </c>
      <c r="BC482" s="53" t="s">
        <v>1006</v>
      </c>
      <c r="BD482" s="84" t="s">
        <v>2157</v>
      </c>
      <c r="BE482" s="53">
        <v>4</v>
      </c>
      <c r="BF482" s="83">
        <v>46302</v>
      </c>
      <c r="BG482" s="53"/>
      <c r="BH482" s="53"/>
      <c r="BI482" s="238"/>
    </row>
    <row r="483" spans="3:61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9"/>
        <v>2</v>
      </c>
      <c r="M483" s="26">
        <f t="shared" si="28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67">
        <f>SUMIFS([1]Up!$J:$J,[1]Up!$D:$D,D483)</f>
        <v>0</v>
      </c>
      <c r="AX483" s="82"/>
      <c r="AY483" s="82" t="str">
        <f t="shared" si="40"/>
        <v>PL20</v>
      </c>
      <c r="AZ483" s="53" t="str">
        <f t="shared" si="41"/>
        <v/>
      </c>
      <c r="BA483" s="53" t="s">
        <v>148</v>
      </c>
      <c r="BB483" s="53" t="s">
        <v>1100</v>
      </c>
      <c r="BC483" s="53" t="s">
        <v>1101</v>
      </c>
      <c r="BD483" s="84" t="s">
        <v>2158</v>
      </c>
      <c r="BE483" s="53">
        <v>8</v>
      </c>
      <c r="BF483" s="83">
        <v>46242</v>
      </c>
      <c r="BG483" s="53"/>
      <c r="BH483" s="53"/>
      <c r="BI483" s="238"/>
    </row>
    <row r="484" spans="3:61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9"/>
        <v>5</v>
      </c>
      <c r="M484" s="26">
        <f t="shared" si="28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67">
        <f>SUMIFS([1]Up!$J:$J,[1]Up!$D:$D,D484)</f>
        <v>0</v>
      </c>
      <c r="AX484" s="82"/>
      <c r="AY484" s="82" t="str">
        <f t="shared" si="40"/>
        <v/>
      </c>
      <c r="AZ484" s="53" t="str">
        <f t="shared" si="41"/>
        <v/>
      </c>
      <c r="BA484" s="53" t="s">
        <v>148</v>
      </c>
      <c r="BB484" s="53" t="s">
        <v>1079</v>
      </c>
      <c r="BC484" s="53" t="s">
        <v>1076</v>
      </c>
      <c r="BD484" s="53" t="s">
        <v>1290</v>
      </c>
      <c r="BE484" s="53">
        <v>5</v>
      </c>
      <c r="BF484" s="83">
        <v>46362</v>
      </c>
      <c r="BG484" s="53"/>
      <c r="BH484" s="53"/>
    </row>
    <row r="485" spans="3:61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9"/>
        <v>1</v>
      </c>
      <c r="M485" s="26">
        <f t="shared" si="28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67">
        <f>SUMIFS([1]Up!$J:$J,[1]Up!$D:$D,D485)</f>
        <v>0</v>
      </c>
      <c r="AX485" s="82" t="s">
        <v>2074</v>
      </c>
      <c r="AY485" s="82" t="str">
        <f t="shared" si="40"/>
        <v>PL8</v>
      </c>
      <c r="AZ485" s="53" t="str">
        <f t="shared" si="41"/>
        <v>Thừa 1</v>
      </c>
      <c r="BA485" s="53" t="s">
        <v>154</v>
      </c>
      <c r="BB485" s="53" t="s">
        <v>1012</v>
      </c>
      <c r="BC485" s="53" t="s">
        <v>1013</v>
      </c>
      <c r="BD485" s="53" t="s">
        <v>57</v>
      </c>
      <c r="BE485" s="53">
        <v>1</v>
      </c>
      <c r="BF485" s="83"/>
      <c r="BG485" s="53"/>
      <c r="BH485" s="53"/>
    </row>
    <row r="486" spans="3:61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9"/>
        <v>2</v>
      </c>
      <c r="M486" s="26">
        <f t="shared" si="28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67">
        <f>SUMIFS([1]Up!$J:$J,[1]Up!$D:$D,D486)</f>
        <v>0</v>
      </c>
      <c r="AX486" s="82"/>
      <c r="AY486" s="82" t="str">
        <f t="shared" si="40"/>
        <v>PL15</v>
      </c>
      <c r="AZ486" s="53" t="str">
        <f t="shared" si="41"/>
        <v/>
      </c>
      <c r="BA486" s="53" t="s">
        <v>148</v>
      </c>
      <c r="BB486" s="53" t="s">
        <v>1094</v>
      </c>
      <c r="BC486" s="53" t="s">
        <v>1095</v>
      </c>
      <c r="BD486" s="53" t="s">
        <v>1304</v>
      </c>
      <c r="BE486" s="53">
        <v>2</v>
      </c>
      <c r="BF486" s="83">
        <v>46088</v>
      </c>
      <c r="BG486" s="53"/>
      <c r="BH486" s="53"/>
    </row>
    <row r="487" spans="3:61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9"/>
        <v>2</v>
      </c>
      <c r="M487" s="26">
        <f t="shared" si="28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67">
        <f>SUMIFS([1]Up!$J:$J,[1]Up!$D:$D,D487)</f>
        <v>0</v>
      </c>
      <c r="AX487" s="82"/>
      <c r="AY487" s="82" t="str">
        <f t="shared" si="40"/>
        <v>PL15</v>
      </c>
      <c r="AZ487" s="53" t="str">
        <f t="shared" si="41"/>
        <v/>
      </c>
      <c r="BA487" s="53" t="s">
        <v>148</v>
      </c>
      <c r="BB487" s="53" t="s">
        <v>1094</v>
      </c>
      <c r="BC487" s="53" t="s">
        <v>1095</v>
      </c>
      <c r="BD487" s="53" t="s">
        <v>1304</v>
      </c>
      <c r="BE487" s="53">
        <v>2</v>
      </c>
      <c r="BF487" s="83">
        <v>46088</v>
      </c>
      <c r="BG487" s="53"/>
      <c r="BH487" s="53"/>
    </row>
    <row r="488" spans="3:61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9"/>
        <v>4</v>
      </c>
      <c r="M488" s="26">
        <f t="shared" si="2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67">
        <f>SUMIFS([1]Up!$J:$J,[1]Up!$D:$D,D488)</f>
        <v>0</v>
      </c>
      <c r="AX488" s="82"/>
      <c r="AY488" s="82" t="str">
        <f t="shared" si="40"/>
        <v>PL16</v>
      </c>
      <c r="AZ488" s="53" t="str">
        <f t="shared" si="41"/>
        <v/>
      </c>
      <c r="BA488" s="53" t="s">
        <v>148</v>
      </c>
      <c r="BB488" s="53" t="s">
        <v>988</v>
      </c>
      <c r="BC488" s="53" t="s">
        <v>989</v>
      </c>
      <c r="BD488" s="53" t="s">
        <v>990</v>
      </c>
      <c r="BE488" s="53">
        <v>4</v>
      </c>
      <c r="BF488" s="83" t="s">
        <v>2223</v>
      </c>
      <c r="BG488" s="53"/>
      <c r="BH488" s="53"/>
    </row>
    <row r="489" spans="3:61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9"/>
        <v>2</v>
      </c>
      <c r="M489" s="26">
        <f t="shared" si="2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67">
        <f>SUMIFS([1]Up!$J:$J,[1]Up!$D:$D,D489)</f>
        <v>0</v>
      </c>
      <c r="AX489" s="82"/>
      <c r="AY489" s="82" t="str">
        <f t="shared" si="40"/>
        <v>PL16</v>
      </c>
      <c r="AZ489" s="53" t="str">
        <f t="shared" si="41"/>
        <v/>
      </c>
      <c r="BA489" s="53" t="s">
        <v>148</v>
      </c>
      <c r="BB489" s="53" t="s">
        <v>988</v>
      </c>
      <c r="BC489" s="53" t="s">
        <v>989</v>
      </c>
      <c r="BD489" s="53" t="s">
        <v>990</v>
      </c>
      <c r="BE489" s="53">
        <v>2</v>
      </c>
      <c r="BF489" s="83" t="s">
        <v>2223</v>
      </c>
      <c r="BG489" s="53"/>
      <c r="BH489" s="53"/>
    </row>
    <row r="490" spans="3:61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9"/>
        <v>4</v>
      </c>
      <c r="M490" s="26">
        <f t="shared" si="2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67">
        <f>SUMIFS([1]Up!$J:$J,[1]Up!$D:$D,D490)</f>
        <v>0</v>
      </c>
      <c r="AX490" s="82"/>
      <c r="AY490" s="82" t="str">
        <f t="shared" si="40"/>
        <v>PL16</v>
      </c>
      <c r="AZ490" s="53" t="str">
        <f t="shared" si="41"/>
        <v/>
      </c>
      <c r="BA490" s="53" t="s">
        <v>148</v>
      </c>
      <c r="BB490" s="53" t="s">
        <v>988</v>
      </c>
      <c r="BC490" s="53" t="s">
        <v>989</v>
      </c>
      <c r="BD490" s="53" t="s">
        <v>990</v>
      </c>
      <c r="BE490" s="53">
        <v>4</v>
      </c>
      <c r="BF490" s="83" t="s">
        <v>2223</v>
      </c>
      <c r="BG490" s="53"/>
      <c r="BH490" s="53"/>
    </row>
    <row r="491" spans="3:61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9"/>
        <v>1</v>
      </c>
      <c r="M491" s="26">
        <f t="shared" si="28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67">
        <f>SUMIFS([1]Up!$J:$J,[1]Up!$D:$D,D491)</f>
        <v>0</v>
      </c>
      <c r="AX491" s="82"/>
      <c r="AY491" s="82" t="str">
        <f t="shared" si="40"/>
        <v>PL15</v>
      </c>
      <c r="AZ491" s="53" t="str">
        <f t="shared" si="41"/>
        <v/>
      </c>
      <c r="BA491" s="53" t="s">
        <v>148</v>
      </c>
      <c r="BB491" s="53" t="s">
        <v>1094</v>
      </c>
      <c r="BC491" s="53" t="s">
        <v>1095</v>
      </c>
      <c r="BD491" s="53" t="s">
        <v>1304</v>
      </c>
      <c r="BE491" s="53">
        <v>1</v>
      </c>
      <c r="BF491" s="83">
        <v>46088</v>
      </c>
      <c r="BG491" s="53"/>
      <c r="BH491" s="53"/>
    </row>
    <row r="492" spans="3:61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9"/>
        <v>2</v>
      </c>
      <c r="M492" s="26">
        <f t="shared" si="28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67">
        <f>SUMIFS([1]Up!$J:$J,[1]Up!$D:$D,D492)</f>
        <v>0</v>
      </c>
      <c r="AX492" s="82"/>
      <c r="AY492" s="82" t="str">
        <f t="shared" si="40"/>
        <v>PL20</v>
      </c>
      <c r="AZ492" s="53" t="str">
        <f t="shared" si="41"/>
        <v/>
      </c>
      <c r="BA492" s="53" t="s">
        <v>148</v>
      </c>
      <c r="BB492" s="53" t="s">
        <v>1100</v>
      </c>
      <c r="BC492" s="53" t="s">
        <v>1101</v>
      </c>
      <c r="BD492" s="53" t="s">
        <v>1308</v>
      </c>
      <c r="BE492" s="53">
        <v>2</v>
      </c>
      <c r="BF492" s="83">
        <v>46242</v>
      </c>
      <c r="BG492" s="53"/>
      <c r="BH492" s="53"/>
    </row>
    <row r="493" spans="3:61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9"/>
        <v>2</v>
      </c>
      <c r="M493" s="26">
        <f t="shared" si="28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67">
        <f>SUMIFS([1]Up!$J:$J,[1]Up!$D:$D,D493)</f>
        <v>0</v>
      </c>
      <c r="AX493" s="82"/>
      <c r="AY493" s="82" t="str">
        <f t="shared" si="40"/>
        <v>PL15</v>
      </c>
      <c r="AZ493" s="53" t="str">
        <f t="shared" si="41"/>
        <v/>
      </c>
      <c r="BA493" s="53" t="s">
        <v>148</v>
      </c>
      <c r="BB493" s="53" t="s">
        <v>1094</v>
      </c>
      <c r="BC493" s="53" t="s">
        <v>1095</v>
      </c>
      <c r="BD493" s="53" t="s">
        <v>1304</v>
      </c>
      <c r="BE493" s="53">
        <v>2</v>
      </c>
      <c r="BF493" s="83">
        <v>46088</v>
      </c>
      <c r="BG493" s="53"/>
      <c r="BH493" s="53"/>
    </row>
    <row r="494" spans="3:61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9"/>
        <v>1</v>
      </c>
      <c r="M494" s="26">
        <f t="shared" si="28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67">
        <f>SUMIFS([1]Up!$J:$J,[1]Up!$D:$D,D494)</f>
        <v>0</v>
      </c>
      <c r="AX494" s="82" t="s">
        <v>2086</v>
      </c>
      <c r="AY494" s="82" t="str">
        <f t="shared" si="40"/>
        <v>PL10</v>
      </c>
      <c r="AZ494" s="53" t="str">
        <f t="shared" si="41"/>
        <v>Thừa 2</v>
      </c>
      <c r="BA494" s="53" t="s">
        <v>154</v>
      </c>
      <c r="BB494" s="53" t="s">
        <v>1005</v>
      </c>
      <c r="BC494" s="53" t="s">
        <v>1006</v>
      </c>
      <c r="BD494" s="53" t="s">
        <v>57</v>
      </c>
      <c r="BE494" s="53">
        <v>1</v>
      </c>
      <c r="BF494" s="83"/>
      <c r="BG494" s="53"/>
      <c r="BH494" s="53"/>
    </row>
    <row r="495" spans="3:61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9"/>
        <v>1</v>
      </c>
      <c r="M495" s="26">
        <f t="shared" si="28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67">
        <f>SUMIFS([1]Up!$J:$J,[1]Up!$D:$D,D495)</f>
        <v>0</v>
      </c>
      <c r="AX495" s="82" t="s">
        <v>2072</v>
      </c>
      <c r="AY495" s="82" t="str">
        <f t="shared" si="40"/>
        <v>PL10</v>
      </c>
      <c r="AZ495" s="53" t="str">
        <f t="shared" si="41"/>
        <v>Thừa 2</v>
      </c>
      <c r="BA495" s="53" t="s">
        <v>154</v>
      </c>
      <c r="BB495" s="53" t="s">
        <v>1005</v>
      </c>
      <c r="BC495" s="53" t="s">
        <v>1006</v>
      </c>
      <c r="BD495" s="53" t="s">
        <v>57</v>
      </c>
      <c r="BE495" s="53">
        <v>1</v>
      </c>
      <c r="BF495" s="83"/>
      <c r="BG495" s="53"/>
      <c r="BH495" s="53"/>
    </row>
    <row r="496" spans="3:61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9"/>
        <v>2</v>
      </c>
      <c r="M496" s="26">
        <f t="shared" si="2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67">
        <f>SUMIFS([1]Up!$J:$J,[1]Up!$D:$D,D496)</f>
        <v>0</v>
      </c>
      <c r="AX496" s="82" t="s">
        <v>2082</v>
      </c>
      <c r="AY496" s="82" t="str">
        <f t="shared" si="40"/>
        <v>PL8</v>
      </c>
      <c r="AZ496" s="53" t="str">
        <f t="shared" si="41"/>
        <v>Thừa 2</v>
      </c>
      <c r="BA496" s="53" t="s">
        <v>148</v>
      </c>
      <c r="BB496" s="53" t="s">
        <v>1012</v>
      </c>
      <c r="BC496" s="53" t="s">
        <v>1013</v>
      </c>
      <c r="BD496" s="53" t="s">
        <v>57</v>
      </c>
      <c r="BE496" s="53">
        <v>2</v>
      </c>
      <c r="BF496" s="83"/>
      <c r="BG496" s="53"/>
      <c r="BH496" s="53"/>
    </row>
    <row r="497" spans="3:61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9"/>
        <v>1</v>
      </c>
      <c r="M497" s="26">
        <f t="shared" si="28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67">
        <f>SUMIFS([1]Up!$J:$J,[1]Up!$D:$D,D497)</f>
        <v>0</v>
      </c>
      <c r="AX497" s="82" t="s">
        <v>2074</v>
      </c>
      <c r="AY497" s="82" t="str">
        <f t="shared" si="40"/>
        <v>PL8</v>
      </c>
      <c r="AZ497" s="53" t="str">
        <f t="shared" si="41"/>
        <v>Thừa 1</v>
      </c>
      <c r="BA497" s="53" t="s">
        <v>148</v>
      </c>
      <c r="BB497" s="53" t="s">
        <v>1012</v>
      </c>
      <c r="BC497" s="53" t="s">
        <v>1013</v>
      </c>
      <c r="BD497" s="53" t="s">
        <v>57</v>
      </c>
      <c r="BE497" s="53">
        <v>1</v>
      </c>
      <c r="BF497" s="83"/>
      <c r="BG497" s="53"/>
      <c r="BH497" s="53"/>
    </row>
    <row r="498" spans="3:61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9"/>
        <v>1</v>
      </c>
      <c r="M498" s="26">
        <f t="shared" si="28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67">
        <f>SUMIFS([1]Up!$J:$J,[1]Up!$D:$D,D498)</f>
        <v>0</v>
      </c>
      <c r="AX498" s="82" t="s">
        <v>2072</v>
      </c>
      <c r="AY498" s="82" t="str">
        <f t="shared" si="40"/>
        <v>PL10</v>
      </c>
      <c r="AZ498" s="53" t="str">
        <f t="shared" si="41"/>
        <v>Thừa 2</v>
      </c>
      <c r="BA498" s="53" t="s">
        <v>148</v>
      </c>
      <c r="BB498" s="53" t="s">
        <v>1005</v>
      </c>
      <c r="BC498" s="53" t="s">
        <v>1006</v>
      </c>
      <c r="BD498" s="53" t="s">
        <v>57</v>
      </c>
      <c r="BE498" s="53">
        <v>1</v>
      </c>
      <c r="BF498" s="83"/>
      <c r="BG498" s="53"/>
      <c r="BH498" s="53"/>
    </row>
    <row r="499" spans="3:61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9"/>
        <v>1</v>
      </c>
      <c r="M499" s="26">
        <f t="shared" si="28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67">
        <f>SUMIFS([1]Up!$J:$J,[1]Up!$D:$D,D499)</f>
        <v>0</v>
      </c>
      <c r="AX499" s="82" t="s">
        <v>2072</v>
      </c>
      <c r="AY499" s="82" t="str">
        <f t="shared" si="40"/>
        <v>PL10</v>
      </c>
      <c r="AZ499" s="53" t="str">
        <f t="shared" si="41"/>
        <v>Thừa 2</v>
      </c>
      <c r="BA499" s="53" t="s">
        <v>148</v>
      </c>
      <c r="BB499" s="53" t="s">
        <v>1005</v>
      </c>
      <c r="BC499" s="53" t="s">
        <v>1006</v>
      </c>
      <c r="BD499" s="53" t="s">
        <v>57</v>
      </c>
      <c r="BE499" s="53">
        <v>1</v>
      </c>
      <c r="BF499" s="83"/>
      <c r="BG499" s="53"/>
      <c r="BH499" s="53"/>
    </row>
    <row r="500" spans="3:61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9"/>
        <v>1</v>
      </c>
      <c r="M500" s="26">
        <f t="shared" si="28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67">
        <f>SUMIFS([1]Up!$J:$J,[1]Up!$D:$D,D500)</f>
        <v>0</v>
      </c>
      <c r="AX500" s="82" t="s">
        <v>2074</v>
      </c>
      <c r="AY500" s="82" t="str">
        <f t="shared" si="40"/>
        <v>PL10</v>
      </c>
      <c r="AZ500" s="53" t="str">
        <f t="shared" si="41"/>
        <v>Thừa 1</v>
      </c>
      <c r="BA500" s="53" t="s">
        <v>148</v>
      </c>
      <c r="BB500" s="53" t="s">
        <v>1005</v>
      </c>
      <c r="BC500" s="53" t="s">
        <v>1006</v>
      </c>
      <c r="BD500" s="53" t="s">
        <v>57</v>
      </c>
      <c r="BE500" s="53">
        <v>1</v>
      </c>
      <c r="BF500" s="83"/>
      <c r="BG500" s="53"/>
      <c r="BH500" s="53"/>
    </row>
    <row r="501" spans="3:61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9"/>
        <v>1</v>
      </c>
      <c r="M501" s="26">
        <f t="shared" si="28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67">
        <f>SUMIFS([1]Up!$J:$J,[1]Up!$D:$D,D501)</f>
        <v>0</v>
      </c>
      <c r="AX501" s="82"/>
      <c r="AY501" s="82" t="str">
        <f t="shared" si="40"/>
        <v>PL10</v>
      </c>
      <c r="AZ501" s="53" t="str">
        <f t="shared" si="41"/>
        <v/>
      </c>
      <c r="BA501" s="53" t="s">
        <v>148</v>
      </c>
      <c r="BB501" s="53" t="s">
        <v>1005</v>
      </c>
      <c r="BC501" s="53" t="s">
        <v>1006</v>
      </c>
      <c r="BD501" s="53" t="s">
        <v>1064</v>
      </c>
      <c r="BE501" s="53">
        <v>1</v>
      </c>
      <c r="BF501" s="83">
        <v>46088</v>
      </c>
      <c r="BG501" s="53"/>
      <c r="BH501" s="53"/>
    </row>
    <row r="502" spans="3:61" ht="14.25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9"/>
        <v>5</v>
      </c>
      <c r="M502" s="26">
        <f t="shared" si="28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67">
        <f>SUMIFS([1]Up!$J:$J,[1]Up!$D:$D,D502)</f>
        <v>5</v>
      </c>
      <c r="AX502" s="82"/>
      <c r="AY502" s="82" t="str">
        <f t="shared" si="40"/>
        <v/>
      </c>
      <c r="AZ502" s="53" t="str">
        <f t="shared" si="41"/>
        <v/>
      </c>
      <c r="BA502" s="53" t="s">
        <v>148</v>
      </c>
      <c r="BB502" s="53" t="s">
        <v>1079</v>
      </c>
      <c r="BC502" s="53" t="s">
        <v>1076</v>
      </c>
      <c r="BD502" s="84" t="s">
        <v>2162</v>
      </c>
      <c r="BE502" s="53">
        <v>20</v>
      </c>
      <c r="BF502" s="83" t="s">
        <v>2225</v>
      </c>
      <c r="BG502" s="53"/>
      <c r="BH502" s="53"/>
      <c r="BI502" s="238"/>
    </row>
    <row r="503" spans="3:61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9"/>
        <v>0</v>
      </c>
      <c r="M503" s="26">
        <f t="shared" si="28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67">
        <f>SUMIFS([1]Up!$J:$J,[1]Up!$D:$D,D503)</f>
        <v>0</v>
      </c>
      <c r="AX503" s="82"/>
      <c r="AY503" s="82" t="str">
        <f t="shared" si="40"/>
        <v>PL8</v>
      </c>
      <c r="AZ503" s="53" t="str">
        <f t="shared" si="41"/>
        <v/>
      </c>
      <c r="BA503" s="53" t="s">
        <v>154</v>
      </c>
      <c r="BB503" s="53" t="s">
        <v>1012</v>
      </c>
      <c r="BC503" s="53" t="s">
        <v>1013</v>
      </c>
      <c r="BD503" s="53" t="s">
        <v>57</v>
      </c>
      <c r="BE503" s="53">
        <v>4</v>
      </c>
      <c r="BF503" s="83"/>
      <c r="BG503" s="53"/>
      <c r="BH503" s="53"/>
    </row>
    <row r="504" spans="3:61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9"/>
        <v>0</v>
      </c>
      <c r="M504" s="26">
        <f t="shared" si="28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67">
        <f>SUMIFS([1]Up!$J:$J,[1]Up!$D:$D,D504)</f>
        <v>0</v>
      </c>
      <c r="AX504" s="82"/>
      <c r="AY504" s="82" t="str">
        <f t="shared" si="40"/>
        <v>PL16</v>
      </c>
      <c r="AZ504" s="53" t="str">
        <f t="shared" si="41"/>
        <v/>
      </c>
      <c r="BA504" s="53" t="s">
        <v>148</v>
      </c>
      <c r="BB504" s="53" t="s">
        <v>988</v>
      </c>
      <c r="BC504" s="53" t="s">
        <v>989</v>
      </c>
      <c r="BD504" s="84" t="s">
        <v>2161</v>
      </c>
      <c r="BE504" s="53">
        <v>24</v>
      </c>
      <c r="BF504" s="83" t="s">
        <v>2226</v>
      </c>
      <c r="BG504" s="53"/>
      <c r="BH504" s="53"/>
      <c r="BI504" s="238"/>
    </row>
    <row r="505" spans="3:61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9"/>
        <v>0</v>
      </c>
      <c r="M505" s="26">
        <f t="shared" si="28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67">
        <f>SUMIFS([1]Up!$J:$J,[1]Up!$D:$D,D505)</f>
        <v>0</v>
      </c>
      <c r="AX505" s="82"/>
      <c r="AY505" s="82" t="str">
        <f t="shared" si="40"/>
        <v>PL15</v>
      </c>
      <c r="AZ505" s="53" t="str">
        <f t="shared" si="41"/>
        <v/>
      </c>
      <c r="BA505" s="53" t="s">
        <v>148</v>
      </c>
      <c r="BB505" s="53" t="s">
        <v>1094</v>
      </c>
      <c r="BC505" s="53" t="s">
        <v>1095</v>
      </c>
      <c r="BD505" s="84" t="s">
        <v>2156</v>
      </c>
      <c r="BE505" s="53">
        <v>8</v>
      </c>
      <c r="BF505" s="83" t="s">
        <v>2225</v>
      </c>
      <c r="BG505" s="53"/>
      <c r="BH505" s="53"/>
      <c r="BI505" s="238"/>
    </row>
    <row r="506" spans="3:61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9"/>
        <v>2</v>
      </c>
      <c r="M506" s="26">
        <f t="shared" si="28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67">
        <f>SUMIFS([1]Up!$J:$J,[1]Up!$D:$D,D506)</f>
        <v>0</v>
      </c>
      <c r="AX506" s="82"/>
      <c r="AY506" s="82" t="str">
        <f t="shared" si="40"/>
        <v>PL20</v>
      </c>
      <c r="AZ506" s="53" t="str">
        <f t="shared" si="41"/>
        <v/>
      </c>
      <c r="BA506" s="53" t="s">
        <v>148</v>
      </c>
      <c r="BB506" s="53" t="s">
        <v>1100</v>
      </c>
      <c r="BC506" s="53" t="s">
        <v>1101</v>
      </c>
      <c r="BD506" s="84" t="s">
        <v>2158</v>
      </c>
      <c r="BE506" s="53">
        <v>8</v>
      </c>
      <c r="BF506" s="83">
        <v>46242</v>
      </c>
      <c r="BG506" s="53"/>
      <c r="BH506" s="53"/>
      <c r="BI506" s="238"/>
    </row>
    <row r="507" spans="3:61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9"/>
        <v>0</v>
      </c>
      <c r="M507" s="26">
        <f t="shared" si="28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67">
        <f>SUMIFS([1]Up!$J:$J,[1]Up!$D:$D,D507)</f>
        <v>0</v>
      </c>
      <c r="AX507" s="82"/>
      <c r="AY507" s="82" t="str">
        <f t="shared" si="40"/>
        <v>PL16</v>
      </c>
      <c r="AZ507" s="53" t="str">
        <f t="shared" si="41"/>
        <v/>
      </c>
      <c r="BA507" s="53" t="s">
        <v>148</v>
      </c>
      <c r="BB507" s="53" t="s">
        <v>988</v>
      </c>
      <c r="BC507" s="53" t="s">
        <v>989</v>
      </c>
      <c r="BD507" s="84" t="s">
        <v>2161</v>
      </c>
      <c r="BE507" s="53">
        <v>20</v>
      </c>
      <c r="BF507" s="83" t="s">
        <v>2226</v>
      </c>
      <c r="BG507" s="53"/>
      <c r="BH507" s="53"/>
      <c r="BI507" s="238"/>
    </row>
    <row r="508" spans="3:61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9"/>
        <v>1</v>
      </c>
      <c r="M508" s="26">
        <f t="shared" si="28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67">
        <f>SUMIFS([1]Up!$J:$J,[1]Up!$D:$D,D508)</f>
        <v>0</v>
      </c>
      <c r="AX508" s="82" t="s">
        <v>2253</v>
      </c>
      <c r="AY508" s="82" t="str">
        <f t="shared" si="40"/>
        <v>PL10</v>
      </c>
      <c r="AZ508" s="53" t="str">
        <f t="shared" si="41"/>
        <v/>
      </c>
      <c r="BA508" s="53" t="s">
        <v>154</v>
      </c>
      <c r="BB508" s="53" t="s">
        <v>1005</v>
      </c>
      <c r="BC508" s="53" t="s">
        <v>1006</v>
      </c>
      <c r="BD508" s="53" t="s">
        <v>57</v>
      </c>
      <c r="BE508" s="53">
        <v>4</v>
      </c>
      <c r="BF508" s="83"/>
      <c r="BG508" s="53"/>
      <c r="BH508" s="53"/>
    </row>
    <row r="509" spans="3:61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9"/>
        <v>2</v>
      </c>
      <c r="M509" s="26">
        <f t="shared" si="2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67">
        <f>SUMIFS([1]Up!$J:$J,[1]Up!$D:$D,D509)</f>
        <v>0</v>
      </c>
      <c r="AX509" s="82" t="s">
        <v>2072</v>
      </c>
      <c r="AY509" s="82" t="str">
        <f t="shared" si="40"/>
        <v>PL10</v>
      </c>
      <c r="AZ509" s="53" t="str">
        <f t="shared" si="41"/>
        <v>Thừa 1</v>
      </c>
      <c r="BA509" s="53" t="s">
        <v>154</v>
      </c>
      <c r="BB509" s="53" t="s">
        <v>1005</v>
      </c>
      <c r="BC509" s="53" t="s">
        <v>1006</v>
      </c>
      <c r="BD509" s="53" t="s">
        <v>57</v>
      </c>
      <c r="BE509" s="53">
        <v>4</v>
      </c>
      <c r="BF509" s="83"/>
      <c r="BG509" s="53"/>
      <c r="BH509" s="53"/>
    </row>
    <row r="510" spans="3:61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9"/>
        <v>2</v>
      </c>
      <c r="M510" s="26">
        <f t="shared" si="28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67">
        <f>SUMIFS([1]Up!$J:$J,[1]Up!$D:$D,D510)</f>
        <v>0</v>
      </c>
      <c r="AX510" s="82"/>
      <c r="AY510" s="82" t="str">
        <f t="shared" si="40"/>
        <v>PL15</v>
      </c>
      <c r="AZ510" s="53" t="str">
        <f t="shared" si="41"/>
        <v/>
      </c>
      <c r="BA510" s="53" t="s">
        <v>148</v>
      </c>
      <c r="BB510" s="53" t="s">
        <v>1094</v>
      </c>
      <c r="BC510" s="53" t="s">
        <v>1095</v>
      </c>
      <c r="BD510" s="84" t="s">
        <v>2156</v>
      </c>
      <c r="BE510" s="53">
        <v>8</v>
      </c>
      <c r="BF510" s="83" t="s">
        <v>2225</v>
      </c>
      <c r="BG510" s="53"/>
      <c r="BH510" s="53"/>
      <c r="BI510" s="238"/>
    </row>
    <row r="511" spans="3:61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9"/>
        <v>0</v>
      </c>
      <c r="M511" s="26">
        <f t="shared" si="28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67">
        <f>SUMIFS([1]Up!$J:$J,[1]Up!$D:$D,D511)</f>
        <v>0</v>
      </c>
      <c r="AX511" s="82"/>
      <c r="AY511" s="82" t="str">
        <f t="shared" si="40"/>
        <v>PL8</v>
      </c>
      <c r="AZ511" s="53" t="str">
        <f t="shared" si="41"/>
        <v/>
      </c>
      <c r="BA511" s="53" t="s">
        <v>148</v>
      </c>
      <c r="BB511" s="53" t="s">
        <v>1012</v>
      </c>
      <c r="BC511" s="53" t="s">
        <v>1013</v>
      </c>
      <c r="BD511" s="53" t="s">
        <v>57</v>
      </c>
      <c r="BE511" s="53">
        <v>8</v>
      </c>
      <c r="BF511" s="83"/>
      <c r="BG511" s="53"/>
      <c r="BH511" s="53"/>
    </row>
    <row r="512" spans="3:61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9"/>
        <v>0</v>
      </c>
      <c r="M512" s="26">
        <f t="shared" si="28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67">
        <f>SUMIFS([1]Up!$J:$J,[1]Up!$D:$D,D512)</f>
        <v>0</v>
      </c>
      <c r="AX512" s="82"/>
      <c r="AY512" s="82" t="str">
        <f t="shared" si="40"/>
        <v>PL8</v>
      </c>
      <c r="AZ512" s="53" t="str">
        <f t="shared" si="41"/>
        <v/>
      </c>
      <c r="BA512" s="53" t="s">
        <v>148</v>
      </c>
      <c r="BB512" s="53" t="s">
        <v>1012</v>
      </c>
      <c r="BC512" s="53" t="s">
        <v>1013</v>
      </c>
      <c r="BD512" s="53" t="s">
        <v>57</v>
      </c>
      <c r="BE512" s="53">
        <v>4</v>
      </c>
      <c r="BF512" s="83"/>
      <c r="BG512" s="53"/>
      <c r="BH512" s="53"/>
    </row>
    <row r="513" spans="3:61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9"/>
        <v>1</v>
      </c>
      <c r="M513" s="26">
        <f t="shared" si="28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67">
        <f>SUMIFS([1]Up!$J:$J,[1]Up!$D:$D,D513)</f>
        <v>0</v>
      </c>
      <c r="AX513" s="82" t="s">
        <v>2253</v>
      </c>
      <c r="AY513" s="82" t="str">
        <f t="shared" si="40"/>
        <v>PL10</v>
      </c>
      <c r="AZ513" s="53" t="str">
        <f t="shared" si="41"/>
        <v/>
      </c>
      <c r="BA513" s="53" t="s">
        <v>148</v>
      </c>
      <c r="BB513" s="53" t="s">
        <v>1005</v>
      </c>
      <c r="BC513" s="53" t="s">
        <v>1006</v>
      </c>
      <c r="BD513" s="53" t="s">
        <v>57</v>
      </c>
      <c r="BE513" s="53">
        <v>4</v>
      </c>
      <c r="BF513" s="83"/>
      <c r="BG513" s="53"/>
      <c r="BH513" s="53"/>
    </row>
    <row r="514" spans="3:61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9"/>
        <v>3</v>
      </c>
      <c r="M514" s="26">
        <f t="shared" si="2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67">
        <f>SUMIFS([1]Up!$J:$J,[1]Up!$D:$D,D514)</f>
        <v>0</v>
      </c>
      <c r="AX514" s="82" t="s">
        <v>2256</v>
      </c>
      <c r="AY514" s="82" t="str">
        <f t="shared" si="40"/>
        <v>PL10</v>
      </c>
      <c r="AZ514" s="53" t="str">
        <f t="shared" si="41"/>
        <v/>
      </c>
      <c r="BA514" s="53" t="s">
        <v>148</v>
      </c>
      <c r="BB514" s="53" t="s">
        <v>1005</v>
      </c>
      <c r="BC514" s="53" t="s">
        <v>1006</v>
      </c>
      <c r="BD514" s="53" t="s">
        <v>57</v>
      </c>
      <c r="BE514" s="53">
        <v>8</v>
      </c>
      <c r="BF514" s="83"/>
      <c r="BG514" s="53"/>
      <c r="BH514" s="53"/>
    </row>
    <row r="515" spans="3:61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9"/>
        <v>0</v>
      </c>
      <c r="M515" s="26">
        <f t="shared" si="28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67">
        <f>SUMIFS([1]Up!$J:$J,[1]Up!$D:$D,D515)</f>
        <v>0</v>
      </c>
      <c r="AX515" s="82"/>
      <c r="AY515" s="82" t="str">
        <f t="shared" si="40"/>
        <v>PL16</v>
      </c>
      <c r="AZ515" s="53" t="str">
        <f t="shared" si="41"/>
        <v/>
      </c>
      <c r="BA515" s="53" t="s">
        <v>148</v>
      </c>
      <c r="BB515" s="53" t="s">
        <v>988</v>
      </c>
      <c r="BC515" s="53" t="s">
        <v>989</v>
      </c>
      <c r="BD515" s="84" t="s">
        <v>2161</v>
      </c>
      <c r="BE515" s="53">
        <v>16</v>
      </c>
      <c r="BF515" s="83" t="s">
        <v>2226</v>
      </c>
      <c r="BG515" s="53"/>
      <c r="BH515" s="53"/>
      <c r="BI515" s="238"/>
    </row>
    <row r="516" spans="3:61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9"/>
        <v>5</v>
      </c>
      <c r="M516" s="26">
        <f t="shared" si="28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67">
        <f>SUMIFS([1]Up!$J:$J,[1]Up!$D:$D,D516)</f>
        <v>0</v>
      </c>
      <c r="AX516" s="82"/>
      <c r="AY516" s="82" t="str">
        <f t="shared" si="40"/>
        <v/>
      </c>
      <c r="AZ516" s="53" t="str">
        <f t="shared" si="41"/>
        <v/>
      </c>
      <c r="BA516" s="53" t="s">
        <v>148</v>
      </c>
      <c r="BB516" s="53" t="s">
        <v>1079</v>
      </c>
      <c r="BC516" s="53" t="s">
        <v>1076</v>
      </c>
      <c r="BD516" s="53" t="s">
        <v>1290</v>
      </c>
      <c r="BE516" s="53">
        <v>5</v>
      </c>
      <c r="BF516" s="83">
        <v>46362</v>
      </c>
      <c r="BG516" s="53"/>
      <c r="BH516" s="53"/>
    </row>
    <row r="517" spans="3:61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9"/>
        <v>1</v>
      </c>
      <c r="M517" s="26">
        <f t="shared" si="28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67">
        <f>SUMIFS([1]Up!$J:$J,[1]Up!$D:$D,D517)</f>
        <v>0</v>
      </c>
      <c r="AX517" s="82" t="s">
        <v>2075</v>
      </c>
      <c r="AY517" s="82" t="str">
        <f t="shared" si="40"/>
        <v>PL8</v>
      </c>
      <c r="AZ517" s="53" t="str">
        <f t="shared" si="41"/>
        <v>Thừa 6</v>
      </c>
      <c r="BA517" s="53" t="s">
        <v>154</v>
      </c>
      <c r="BB517" s="53" t="s">
        <v>1012</v>
      </c>
      <c r="BC517" s="53" t="s">
        <v>1013</v>
      </c>
      <c r="BD517" s="53" t="s">
        <v>57</v>
      </c>
      <c r="BE517" s="53">
        <v>1</v>
      </c>
      <c r="BF517" s="83"/>
      <c r="BG517" s="53"/>
      <c r="BH517" s="53"/>
    </row>
    <row r="518" spans="3:61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9"/>
        <v>2</v>
      </c>
      <c r="M518" s="26">
        <f t="shared" si="28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67">
        <f>SUMIFS([1]Up!$J:$J,[1]Up!$D:$D,D518)</f>
        <v>0</v>
      </c>
      <c r="AX518" s="82"/>
      <c r="AY518" s="82" t="str">
        <f t="shared" si="40"/>
        <v>PL15</v>
      </c>
      <c r="AZ518" s="53" t="str">
        <f t="shared" si="41"/>
        <v/>
      </c>
      <c r="BA518" s="53" t="s">
        <v>148</v>
      </c>
      <c r="BB518" s="53" t="s">
        <v>1094</v>
      </c>
      <c r="BC518" s="53" t="s">
        <v>1095</v>
      </c>
      <c r="BD518" s="53" t="s">
        <v>1304</v>
      </c>
      <c r="BE518" s="53">
        <v>2</v>
      </c>
      <c r="BF518" s="83">
        <v>46088</v>
      </c>
      <c r="BG518" s="53"/>
      <c r="BH518" s="53"/>
    </row>
    <row r="519" spans="3:61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9"/>
        <v>10</v>
      </c>
      <c r="M519" s="26">
        <f t="shared" si="2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67">
        <f>SUMIFS([1]Up!$J:$J,[1]Up!$D:$D,D519)</f>
        <v>0</v>
      </c>
      <c r="AX519" s="82"/>
      <c r="AY519" s="82" t="str">
        <f t="shared" si="40"/>
        <v>PL16</v>
      </c>
      <c r="AZ519" s="53" t="str">
        <f t="shared" si="41"/>
        <v/>
      </c>
      <c r="BA519" s="53" t="s">
        <v>148</v>
      </c>
      <c r="BB519" s="53" t="s">
        <v>988</v>
      </c>
      <c r="BC519" s="53" t="s">
        <v>989</v>
      </c>
      <c r="BD519" s="53" t="s">
        <v>990</v>
      </c>
      <c r="BE519" s="53">
        <v>10</v>
      </c>
      <c r="BF519" s="83" t="s">
        <v>2223</v>
      </c>
      <c r="BG519" s="53"/>
      <c r="BH519" s="53"/>
    </row>
    <row r="520" spans="3:61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9"/>
        <v>1</v>
      </c>
      <c r="M520" s="26">
        <f t="shared" si="28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67">
        <f>SUMIFS([1]Up!$J:$J,[1]Up!$D:$D,D520)</f>
        <v>0</v>
      </c>
      <c r="AX520" s="82"/>
      <c r="AY520" s="82" t="str">
        <f t="shared" si="40"/>
        <v>PL15</v>
      </c>
      <c r="AZ520" s="53" t="str">
        <f t="shared" si="41"/>
        <v/>
      </c>
      <c r="BA520" s="53" t="s">
        <v>148</v>
      </c>
      <c r="BB520" s="53" t="s">
        <v>1094</v>
      </c>
      <c r="BC520" s="53" t="s">
        <v>1095</v>
      </c>
      <c r="BD520" s="53" t="s">
        <v>1304</v>
      </c>
      <c r="BE520" s="53">
        <v>1</v>
      </c>
      <c r="BF520" s="83">
        <v>46088</v>
      </c>
      <c r="BG520" s="53"/>
      <c r="BH520" s="53"/>
    </row>
    <row r="521" spans="3:61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9"/>
        <v>1</v>
      </c>
      <c r="M521" s="26">
        <f t="shared" si="28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67">
        <f>SUMIFS([1]Up!$J:$J,[1]Up!$D:$D,D521)</f>
        <v>0</v>
      </c>
      <c r="AX521" s="82"/>
      <c r="AY521" s="82" t="str">
        <f t="shared" si="40"/>
        <v>PL15</v>
      </c>
      <c r="AZ521" s="53" t="str">
        <f t="shared" si="41"/>
        <v/>
      </c>
      <c r="BA521" s="53" t="s">
        <v>148</v>
      </c>
      <c r="BB521" s="53" t="s">
        <v>1094</v>
      </c>
      <c r="BC521" s="53" t="s">
        <v>1095</v>
      </c>
      <c r="BD521" s="53" t="s">
        <v>1304</v>
      </c>
      <c r="BE521" s="53">
        <v>1</v>
      </c>
      <c r="BF521" s="83">
        <v>46088</v>
      </c>
      <c r="BG521" s="53"/>
      <c r="BH521" s="53"/>
    </row>
    <row r="522" spans="3:61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9"/>
        <v>2</v>
      </c>
      <c r="M522" s="26">
        <f t="shared" si="2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67">
        <f>SUMIFS([1]Up!$J:$J,[1]Up!$D:$D,D522)</f>
        <v>0</v>
      </c>
      <c r="AX522" s="82" t="s">
        <v>2082</v>
      </c>
      <c r="AY522" s="82" t="str">
        <f t="shared" si="40"/>
        <v>PL8</v>
      </c>
      <c r="AZ522" s="53" t="str">
        <f t="shared" si="41"/>
        <v>Thừa 2</v>
      </c>
      <c r="BA522" s="53" t="s">
        <v>148</v>
      </c>
      <c r="BB522" s="53" t="s">
        <v>1012</v>
      </c>
      <c r="BC522" s="53" t="s">
        <v>1013</v>
      </c>
      <c r="BD522" s="53" t="s">
        <v>57</v>
      </c>
      <c r="BE522" s="53">
        <v>2</v>
      </c>
      <c r="BF522" s="83"/>
      <c r="BG522" s="53"/>
      <c r="BH522" s="53"/>
    </row>
    <row r="523" spans="3:61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9"/>
        <v>2</v>
      </c>
      <c r="M523" s="26">
        <f t="shared" si="2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67">
        <f>SUMIFS([1]Up!$J:$J,[1]Up!$D:$D,D523)</f>
        <v>0</v>
      </c>
      <c r="AX523" s="82"/>
      <c r="AY523" s="82" t="str">
        <f t="shared" si="40"/>
        <v>PL8</v>
      </c>
      <c r="AZ523" s="53" t="str">
        <f t="shared" si="41"/>
        <v/>
      </c>
      <c r="BA523" s="53" t="s">
        <v>148</v>
      </c>
      <c r="BB523" s="53" t="s">
        <v>1012</v>
      </c>
      <c r="BC523" s="53" t="s">
        <v>1013</v>
      </c>
      <c r="BD523" s="53" t="s">
        <v>1014</v>
      </c>
      <c r="BE523" s="53">
        <v>2</v>
      </c>
      <c r="BF523" s="83">
        <v>46088</v>
      </c>
      <c r="BG523" s="53"/>
      <c r="BH523" s="53"/>
    </row>
    <row r="524" spans="3:61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9"/>
        <v>2</v>
      </c>
      <c r="M524" s="26">
        <f t="shared" si="28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67">
        <f>SUMIFS([1]Up!$J:$J,[1]Up!$D:$D,D524)</f>
        <v>0</v>
      </c>
      <c r="AX524" s="82"/>
      <c r="AY524" s="82" t="str">
        <f t="shared" si="40"/>
        <v>PL20</v>
      </c>
      <c r="AZ524" s="53" t="str">
        <f t="shared" si="41"/>
        <v/>
      </c>
      <c r="BA524" s="53" t="s">
        <v>148</v>
      </c>
      <c r="BB524" s="53" t="s">
        <v>1100</v>
      </c>
      <c r="BC524" s="53" t="s">
        <v>1101</v>
      </c>
      <c r="BD524" s="53" t="s">
        <v>1308</v>
      </c>
      <c r="BE524" s="53">
        <v>2</v>
      </c>
      <c r="BF524" s="83">
        <v>46242</v>
      </c>
      <c r="BG524" s="53"/>
      <c r="BH524" s="53"/>
    </row>
    <row r="525" spans="3:61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9"/>
        <v>2</v>
      </c>
      <c r="M525" s="26">
        <f t="shared" si="28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67">
        <f>SUMIFS([1]Up!$J:$J,[1]Up!$D:$D,D525)</f>
        <v>0</v>
      </c>
      <c r="AX525" s="82"/>
      <c r="AY525" s="82" t="str">
        <f t="shared" si="40"/>
        <v>PL15</v>
      </c>
      <c r="AZ525" s="53" t="str">
        <f t="shared" si="41"/>
        <v/>
      </c>
      <c r="BA525" s="53" t="s">
        <v>148</v>
      </c>
      <c r="BB525" s="53" t="s">
        <v>1094</v>
      </c>
      <c r="BC525" s="53" t="s">
        <v>1095</v>
      </c>
      <c r="BD525" s="53" t="s">
        <v>1304</v>
      </c>
      <c r="BE525" s="53">
        <v>2</v>
      </c>
      <c r="BF525" s="83">
        <v>46088</v>
      </c>
      <c r="BG525" s="53"/>
      <c r="BH525" s="53"/>
    </row>
    <row r="526" spans="3:61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9"/>
        <v>2</v>
      </c>
      <c r="M526" s="26">
        <f t="shared" si="28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67">
        <f>SUMIFS([1]Up!$J:$J,[1]Up!$D:$D,D526)</f>
        <v>0</v>
      </c>
      <c r="AX526" s="82"/>
      <c r="AY526" s="82" t="str">
        <f t="shared" si="40"/>
        <v>PL15</v>
      </c>
      <c r="AZ526" s="53" t="str">
        <f t="shared" si="41"/>
        <v/>
      </c>
      <c r="BA526" s="53" t="s">
        <v>148</v>
      </c>
      <c r="BB526" s="53" t="s">
        <v>1094</v>
      </c>
      <c r="BC526" s="53" t="s">
        <v>1095</v>
      </c>
      <c r="BD526" s="53" t="s">
        <v>1304</v>
      </c>
      <c r="BE526" s="53">
        <v>2</v>
      </c>
      <c r="BF526" s="83">
        <v>46088</v>
      </c>
      <c r="BG526" s="53"/>
      <c r="BH526" s="53"/>
    </row>
    <row r="527" spans="3:61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9"/>
        <v>1</v>
      </c>
      <c r="M527" s="26">
        <f t="shared" si="28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67">
        <f>SUMIFS([1]Up!$J:$J,[1]Up!$D:$D,D527)</f>
        <v>0</v>
      </c>
      <c r="AX527" s="82"/>
      <c r="AY527" s="82" t="str">
        <f t="shared" si="40"/>
        <v>PL20</v>
      </c>
      <c r="AZ527" s="53" t="str">
        <f t="shared" si="41"/>
        <v/>
      </c>
      <c r="BA527" s="53" t="s">
        <v>148</v>
      </c>
      <c r="BB527" s="53" t="s">
        <v>1100</v>
      </c>
      <c r="BC527" s="53" t="s">
        <v>1101</v>
      </c>
      <c r="BD527" s="53" t="s">
        <v>1308</v>
      </c>
      <c r="BE527" s="53">
        <v>1</v>
      </c>
      <c r="BF527" s="83">
        <v>46242</v>
      </c>
      <c r="BG527" s="53"/>
      <c r="BH527" s="53"/>
    </row>
    <row r="528" spans="3:61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9"/>
        <v>3</v>
      </c>
      <c r="M528" s="26">
        <f t="shared" si="2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67">
        <f>SUMIFS([1]Up!$J:$J,[1]Up!$D:$D,D528)</f>
        <v>0</v>
      </c>
      <c r="AX528" s="82"/>
      <c r="AY528" s="82" t="str">
        <f t="shared" si="40"/>
        <v>PL16</v>
      </c>
      <c r="AZ528" s="53" t="str">
        <f t="shared" si="41"/>
        <v/>
      </c>
      <c r="BA528" s="53" t="s">
        <v>148</v>
      </c>
      <c r="BB528" s="53" t="s">
        <v>988</v>
      </c>
      <c r="BC528" s="53" t="s">
        <v>989</v>
      </c>
      <c r="BD528" s="53" t="s">
        <v>990</v>
      </c>
      <c r="BE528" s="53">
        <v>3</v>
      </c>
      <c r="BF528" s="83" t="s">
        <v>2223</v>
      </c>
      <c r="BG528" s="53"/>
      <c r="BH528" s="53"/>
    </row>
    <row r="529" spans="3:61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9"/>
        <v>1</v>
      </c>
      <c r="M529" s="26">
        <f t="shared" si="28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67">
        <f>SUMIFS([1]Up!$J:$J,[1]Up!$D:$D,D529)</f>
        <v>0</v>
      </c>
      <c r="AX529" s="82"/>
      <c r="AY529" s="82" t="str">
        <f t="shared" si="40"/>
        <v>PL20</v>
      </c>
      <c r="AZ529" s="53" t="str">
        <f t="shared" si="41"/>
        <v/>
      </c>
      <c r="BA529" s="53" t="s">
        <v>148</v>
      </c>
      <c r="BB529" s="53" t="s">
        <v>1100</v>
      </c>
      <c r="BC529" s="53" t="s">
        <v>1101</v>
      </c>
      <c r="BD529" s="53" t="s">
        <v>1308</v>
      </c>
      <c r="BE529" s="53">
        <v>1</v>
      </c>
      <c r="BF529" s="83">
        <v>46242</v>
      </c>
      <c r="BG529" s="53"/>
      <c r="BH529" s="53"/>
    </row>
    <row r="530" spans="3:61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9"/>
        <v>2</v>
      </c>
      <c r="M530" s="26">
        <f t="shared" si="2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67">
        <f>SUMIFS([1]Up!$J:$J,[1]Up!$D:$D,D530)</f>
        <v>0</v>
      </c>
      <c r="AX530" s="82"/>
      <c r="AY530" s="82" t="str">
        <f t="shared" si="40"/>
        <v>PL5</v>
      </c>
      <c r="AZ530" s="53" t="str">
        <f t="shared" si="41"/>
        <v/>
      </c>
      <c r="BA530" s="53" t="s">
        <v>148</v>
      </c>
      <c r="BB530" s="53" t="s">
        <v>1108</v>
      </c>
      <c r="BC530" s="53" t="s">
        <v>957</v>
      </c>
      <c r="BD530" s="53" t="s">
        <v>1313</v>
      </c>
      <c r="BE530" s="53">
        <v>2</v>
      </c>
      <c r="BF530" s="83" t="s">
        <v>2223</v>
      </c>
      <c r="BG530" s="53"/>
      <c r="BH530" s="53"/>
    </row>
    <row r="531" spans="3:61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9"/>
        <v>1</v>
      </c>
      <c r="M531" s="26">
        <f t="shared" si="2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67">
        <f>SUMIFS([1]Up!$J:$J,[1]Up!$D:$D,D531)</f>
        <v>0</v>
      </c>
      <c r="AX531" s="82"/>
      <c r="AY531" s="82" t="str">
        <f t="shared" si="40"/>
        <v>PL16</v>
      </c>
      <c r="AZ531" s="53" t="str">
        <f t="shared" si="41"/>
        <v/>
      </c>
      <c r="BA531" s="53" t="s">
        <v>148</v>
      </c>
      <c r="BB531" s="53" t="s">
        <v>988</v>
      </c>
      <c r="BC531" s="53" t="s">
        <v>989</v>
      </c>
      <c r="BD531" s="53" t="s">
        <v>990</v>
      </c>
      <c r="BE531" s="53">
        <v>1</v>
      </c>
      <c r="BF531" s="83" t="s">
        <v>2223</v>
      </c>
      <c r="BG531" s="53"/>
      <c r="BH531" s="53"/>
    </row>
    <row r="532" spans="3:61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9"/>
        <v>1</v>
      </c>
      <c r="M532" s="26">
        <f t="shared" si="2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67">
        <f>SUMIFS([1]Up!$J:$J,[1]Up!$D:$D,D532)</f>
        <v>0</v>
      </c>
      <c r="AX532" s="82"/>
      <c r="AY532" s="82" t="str">
        <f t="shared" si="40"/>
        <v>PL16</v>
      </c>
      <c r="AZ532" s="53" t="str">
        <f t="shared" si="41"/>
        <v/>
      </c>
      <c r="BA532" s="53" t="s">
        <v>148</v>
      </c>
      <c r="BB532" s="53" t="s">
        <v>988</v>
      </c>
      <c r="BC532" s="53" t="s">
        <v>989</v>
      </c>
      <c r="BD532" s="53" t="s">
        <v>990</v>
      </c>
      <c r="BE532" s="53">
        <v>1</v>
      </c>
      <c r="BF532" s="83" t="s">
        <v>2223</v>
      </c>
      <c r="BG532" s="53"/>
      <c r="BH532" s="53"/>
    </row>
    <row r="533" spans="3:61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9"/>
        <v>1</v>
      </c>
      <c r="M533" s="26">
        <f t="shared" si="2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67">
        <f>SUMIFS([1]Up!$J:$J,[1]Up!$D:$D,D533)</f>
        <v>0</v>
      </c>
      <c r="AX533" s="82"/>
      <c r="AY533" s="82" t="str">
        <f t="shared" si="40"/>
        <v>PL16</v>
      </c>
      <c r="AZ533" s="53" t="str">
        <f t="shared" si="41"/>
        <v/>
      </c>
      <c r="BA533" s="53" t="s">
        <v>148</v>
      </c>
      <c r="BB533" s="53" t="s">
        <v>988</v>
      </c>
      <c r="BC533" s="53" t="s">
        <v>989</v>
      </c>
      <c r="BD533" s="53" t="s">
        <v>990</v>
      </c>
      <c r="BE533" s="53">
        <v>1</v>
      </c>
      <c r="BF533" s="83" t="s">
        <v>2223</v>
      </c>
      <c r="BG533" s="53"/>
      <c r="BH533" s="53"/>
    </row>
    <row r="534" spans="3:61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9"/>
        <v>3</v>
      </c>
      <c r="M534" s="26">
        <f t="shared" si="2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67">
        <f>SUMIFS([1]Up!$J:$J,[1]Up!$D:$D,D534)</f>
        <v>0</v>
      </c>
      <c r="AX534" s="82" t="s">
        <v>2081</v>
      </c>
      <c r="AY534" s="82" t="str">
        <f t="shared" si="40"/>
        <v>PL8</v>
      </c>
      <c r="AZ534" s="53" t="str">
        <f t="shared" si="41"/>
        <v>Thừa 3</v>
      </c>
      <c r="BA534" s="53" t="s">
        <v>148</v>
      </c>
      <c r="BB534" s="53" t="s">
        <v>1012</v>
      </c>
      <c r="BC534" s="53" t="s">
        <v>1013</v>
      </c>
      <c r="BD534" s="53" t="s">
        <v>57</v>
      </c>
      <c r="BE534" s="53">
        <v>3</v>
      </c>
      <c r="BF534" s="83"/>
      <c r="BG534" s="53"/>
      <c r="BH534" s="53"/>
    </row>
    <row r="535" spans="3:61" ht="14.25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9"/>
        <v>5</v>
      </c>
      <c r="M535" s="26">
        <f t="shared" si="28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67">
        <f>SUMIFS([1]Up!$J:$J,[1]Up!$D:$D,D535)</f>
        <v>5</v>
      </c>
      <c r="AX535" s="82"/>
      <c r="AY535" s="82" t="str">
        <f t="shared" si="40"/>
        <v/>
      </c>
      <c r="AZ535" s="53" t="str">
        <f t="shared" si="41"/>
        <v/>
      </c>
      <c r="BA535" s="53" t="s">
        <v>148</v>
      </c>
      <c r="BB535" s="53" t="s">
        <v>1079</v>
      </c>
      <c r="BC535" s="53" t="s">
        <v>1076</v>
      </c>
      <c r="BD535" s="84" t="s">
        <v>2162</v>
      </c>
      <c r="BE535" s="53">
        <v>20</v>
      </c>
      <c r="BF535" s="83" t="s">
        <v>2225</v>
      </c>
      <c r="BG535" s="53"/>
      <c r="BH535" s="53"/>
      <c r="BI535" s="238"/>
    </row>
    <row r="536" spans="3:61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9"/>
        <v>0</v>
      </c>
      <c r="M536" s="26">
        <f t="shared" si="28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67">
        <f>SUMIFS([1]Up!$J:$J,[1]Up!$D:$D,D536)</f>
        <v>0</v>
      </c>
      <c r="AX536" s="82"/>
      <c r="AY536" s="82" t="str">
        <f t="shared" si="40"/>
        <v>PL8</v>
      </c>
      <c r="AZ536" s="53" t="str">
        <f t="shared" si="41"/>
        <v/>
      </c>
      <c r="BA536" s="53" t="s">
        <v>154</v>
      </c>
      <c r="BB536" s="53" t="s">
        <v>1012</v>
      </c>
      <c r="BC536" s="53" t="s">
        <v>1013</v>
      </c>
      <c r="BD536" s="53" t="s">
        <v>57</v>
      </c>
      <c r="BE536" s="53">
        <v>4</v>
      </c>
      <c r="BF536" s="83"/>
      <c r="BG536" s="53"/>
      <c r="BH536" s="53"/>
    </row>
    <row r="537" spans="3:61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9"/>
        <v>0</v>
      </c>
      <c r="M537" s="26">
        <f t="shared" si="28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67">
        <f>SUMIFS([1]Up!$J:$J,[1]Up!$D:$D,D537)</f>
        <v>0</v>
      </c>
      <c r="AX537" s="82"/>
      <c r="AY537" s="82" t="str">
        <f t="shared" si="40"/>
        <v>PL15</v>
      </c>
      <c r="AZ537" s="53" t="str">
        <f t="shared" si="41"/>
        <v/>
      </c>
      <c r="BA537" s="53" t="s">
        <v>148</v>
      </c>
      <c r="BB537" s="53" t="s">
        <v>1094</v>
      </c>
      <c r="BC537" s="53" t="s">
        <v>1095</v>
      </c>
      <c r="BD537" s="84" t="s">
        <v>2156</v>
      </c>
      <c r="BE537" s="53">
        <v>8</v>
      </c>
      <c r="BF537" s="83" t="s">
        <v>2225</v>
      </c>
      <c r="BG537" s="53"/>
      <c r="BH537" s="53"/>
      <c r="BI537" s="238"/>
    </row>
    <row r="538" spans="3:61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9"/>
        <v>0</v>
      </c>
      <c r="M538" s="26">
        <f t="shared" si="28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67">
        <f>SUMIFS([1]Up!$J:$J,[1]Up!$D:$D,D538)</f>
        <v>0</v>
      </c>
      <c r="AX538" s="82"/>
      <c r="AY538" s="82" t="str">
        <f t="shared" si="40"/>
        <v>PL16</v>
      </c>
      <c r="AZ538" s="53" t="str">
        <f t="shared" si="41"/>
        <v/>
      </c>
      <c r="BA538" s="53" t="s">
        <v>148</v>
      </c>
      <c r="BB538" s="53" t="s">
        <v>988</v>
      </c>
      <c r="BC538" s="53" t="s">
        <v>989</v>
      </c>
      <c r="BD538" s="84" t="s">
        <v>2161</v>
      </c>
      <c r="BE538" s="53">
        <v>40</v>
      </c>
      <c r="BF538" s="83" t="s">
        <v>2226</v>
      </c>
      <c r="BG538" s="53"/>
      <c r="BH538" s="53"/>
      <c r="BI538" s="238"/>
    </row>
    <row r="539" spans="3:61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9"/>
        <v>0</v>
      </c>
      <c r="M539" s="26">
        <f t="shared" si="28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67">
        <f>SUMIFS([1]Up!$J:$J,[1]Up!$D:$D,D539)</f>
        <v>0</v>
      </c>
      <c r="AX539" s="82"/>
      <c r="AY539" s="82" t="str">
        <f t="shared" si="40"/>
        <v>PL15</v>
      </c>
      <c r="AZ539" s="53" t="str">
        <f t="shared" si="41"/>
        <v/>
      </c>
      <c r="BA539" s="53" t="s">
        <v>148</v>
      </c>
      <c r="BB539" s="53" t="s">
        <v>1094</v>
      </c>
      <c r="BC539" s="53" t="s">
        <v>1095</v>
      </c>
      <c r="BD539" s="84" t="s">
        <v>2156</v>
      </c>
      <c r="BE539" s="53">
        <v>8</v>
      </c>
      <c r="BF539" s="83" t="s">
        <v>2225</v>
      </c>
      <c r="BG539" s="53"/>
      <c r="BH539" s="53"/>
      <c r="BI539" s="238"/>
    </row>
    <row r="540" spans="3:61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9"/>
        <v>2</v>
      </c>
      <c r="M540" s="26">
        <f t="shared" si="2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67">
        <f>SUMIFS([1]Up!$J:$J,[1]Up!$D:$D,D540)</f>
        <v>0</v>
      </c>
      <c r="AX540" s="82"/>
      <c r="AY540" s="82" t="str">
        <f t="shared" si="40"/>
        <v>PL20</v>
      </c>
      <c r="AZ540" s="53" t="str">
        <f t="shared" si="41"/>
        <v/>
      </c>
      <c r="BA540" s="53" t="s">
        <v>148</v>
      </c>
      <c r="BB540" s="53" t="s">
        <v>1100</v>
      </c>
      <c r="BC540" s="53" t="s">
        <v>1101</v>
      </c>
      <c r="BD540" s="84" t="s">
        <v>2158</v>
      </c>
      <c r="BE540" s="53">
        <v>8</v>
      </c>
      <c r="BF540" s="83">
        <v>46242</v>
      </c>
      <c r="BG540" s="53"/>
      <c r="BH540" s="53"/>
      <c r="BI540" s="238"/>
    </row>
    <row r="541" spans="3:61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9"/>
        <v>2</v>
      </c>
      <c r="M541" s="26">
        <f t="shared" ref="M541:M549" si="42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67">
        <f>SUMIFS([1]Up!$J:$J,[1]Up!$D:$D,D541)</f>
        <v>0</v>
      </c>
      <c r="AX541" s="82"/>
      <c r="AY541" s="82" t="str">
        <f t="shared" si="40"/>
        <v>PL15</v>
      </c>
      <c r="AZ541" s="53" t="str">
        <f t="shared" si="41"/>
        <v/>
      </c>
      <c r="BA541" s="53" t="s">
        <v>148</v>
      </c>
      <c r="BB541" s="53" t="s">
        <v>1094</v>
      </c>
      <c r="BC541" s="53" t="s">
        <v>1095</v>
      </c>
      <c r="BD541" s="84" t="s">
        <v>2156</v>
      </c>
      <c r="BE541" s="53">
        <v>8</v>
      </c>
      <c r="BF541" s="83" t="s">
        <v>2225</v>
      </c>
      <c r="BG541" s="53"/>
      <c r="BH541" s="53"/>
      <c r="BI541" s="238"/>
    </row>
    <row r="542" spans="3:61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3">MIN(SUM(N542:AV542),I542)</f>
        <v>1</v>
      </c>
      <c r="M542" s="26">
        <f t="shared" si="42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67">
        <f>SUMIFS([1]Up!$J:$J,[1]Up!$D:$D,D542)</f>
        <v>0</v>
      </c>
      <c r="AX542" s="82"/>
      <c r="AY542" s="82" t="str">
        <f t="shared" ref="AY542:AY549" si="44">IFERROR(IF(C542="Plate",LEFT(E542,FIND("*",E542,1)-1),""),IF(C542="Plate",LEFT(E542,FIND("x",E542,1)-1),""))</f>
        <v>PL20</v>
      </c>
      <c r="AZ542" s="53" t="str">
        <f t="shared" ref="AZ542:AZ549" si="45">IF(ROUND(SUM(N542:AV542)-I542,0)&gt;0,"Thừa "&amp;SUM(N542:AV542)-I542,"")</f>
        <v/>
      </c>
      <c r="BA542" s="53" t="s">
        <v>148</v>
      </c>
      <c r="BB542" s="53" t="s">
        <v>1100</v>
      </c>
      <c r="BC542" s="53" t="s">
        <v>1101</v>
      </c>
      <c r="BD542" s="84" t="s">
        <v>2158</v>
      </c>
      <c r="BE542" s="53">
        <v>4</v>
      </c>
      <c r="BF542" s="83">
        <v>46242</v>
      </c>
      <c r="BG542" s="53"/>
      <c r="BH542" s="53"/>
      <c r="BI542" s="238"/>
    </row>
    <row r="543" spans="3:61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3"/>
        <v>0</v>
      </c>
      <c r="M543" s="26">
        <f t="shared" si="42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67">
        <f>SUMIFS([1]Up!$J:$J,[1]Up!$D:$D,D543)</f>
        <v>0</v>
      </c>
      <c r="AX543" s="82"/>
      <c r="AY543" s="82" t="str">
        <f t="shared" si="44"/>
        <v>PL16</v>
      </c>
      <c r="AZ543" s="53" t="str">
        <f t="shared" si="45"/>
        <v/>
      </c>
      <c r="BA543" s="53" t="s">
        <v>148</v>
      </c>
      <c r="BB543" s="53" t="s">
        <v>988</v>
      </c>
      <c r="BC543" s="53" t="s">
        <v>989</v>
      </c>
      <c r="BD543" s="84" t="s">
        <v>2161</v>
      </c>
      <c r="BE543" s="53">
        <v>12</v>
      </c>
      <c r="BF543" s="83" t="s">
        <v>2226</v>
      </c>
      <c r="BG543" s="53"/>
      <c r="BH543" s="53"/>
      <c r="BI543" s="238"/>
    </row>
    <row r="544" spans="3:61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3"/>
        <v>1</v>
      </c>
      <c r="M544" s="26">
        <f t="shared" si="42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67">
        <f>SUMIFS([1]Up!$J:$J,[1]Up!$D:$D,D544)</f>
        <v>0</v>
      </c>
      <c r="AX544" s="82"/>
      <c r="AY544" s="82" t="str">
        <f t="shared" si="44"/>
        <v>PL20</v>
      </c>
      <c r="AZ544" s="53" t="str">
        <f t="shared" si="45"/>
        <v/>
      </c>
      <c r="BA544" s="53" t="s">
        <v>148</v>
      </c>
      <c r="BB544" s="53" t="s">
        <v>1100</v>
      </c>
      <c r="BC544" s="53" t="s">
        <v>1101</v>
      </c>
      <c r="BD544" s="84" t="s">
        <v>2158</v>
      </c>
      <c r="BE544" s="53">
        <v>4</v>
      </c>
      <c r="BF544" s="83">
        <v>46242</v>
      </c>
      <c r="BG544" s="53"/>
      <c r="BH544" s="53"/>
      <c r="BI544" s="238"/>
    </row>
    <row r="545" spans="3:61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3"/>
        <v>0</v>
      </c>
      <c r="M545" s="26">
        <f t="shared" si="42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67">
        <f>SUMIFS([1]Up!$J:$J,[1]Up!$D:$D,D545)</f>
        <v>0</v>
      </c>
      <c r="AX545" s="82"/>
      <c r="AY545" s="82" t="str">
        <f t="shared" si="44"/>
        <v>PL5</v>
      </c>
      <c r="AZ545" s="53" t="str">
        <f t="shared" si="45"/>
        <v/>
      </c>
      <c r="BA545" s="53" t="s">
        <v>148</v>
      </c>
      <c r="BB545" s="53" t="s">
        <v>1108</v>
      </c>
      <c r="BC545" s="53" t="s">
        <v>957</v>
      </c>
      <c r="BD545" s="84" t="s">
        <v>2159</v>
      </c>
      <c r="BE545" s="53">
        <v>8</v>
      </c>
      <c r="BF545" s="83">
        <v>46302</v>
      </c>
      <c r="BG545" s="53"/>
      <c r="BH545" s="53"/>
      <c r="BI545" s="238"/>
    </row>
    <row r="546" spans="3:61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3"/>
        <v>0</v>
      </c>
      <c r="M546" s="26">
        <f t="shared" si="42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67">
        <f>SUMIFS([1]Up!$J:$J,[1]Up!$D:$D,D546)</f>
        <v>0</v>
      </c>
      <c r="AX546" s="82"/>
      <c r="AY546" s="82" t="str">
        <f t="shared" si="44"/>
        <v>PL16</v>
      </c>
      <c r="AZ546" s="53" t="str">
        <f t="shared" si="45"/>
        <v/>
      </c>
      <c r="BA546" s="53" t="s">
        <v>148</v>
      </c>
      <c r="BB546" s="53" t="s">
        <v>988</v>
      </c>
      <c r="BC546" s="53" t="s">
        <v>989</v>
      </c>
      <c r="BD546" s="84" t="s">
        <v>2161</v>
      </c>
      <c r="BE546" s="53">
        <v>4</v>
      </c>
      <c r="BF546" s="83" t="s">
        <v>2226</v>
      </c>
      <c r="BG546" s="53"/>
      <c r="BH546" s="53"/>
      <c r="BI546" s="238"/>
    </row>
    <row r="547" spans="3:61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3"/>
        <v>0</v>
      </c>
      <c r="M547" s="26">
        <f t="shared" si="42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67">
        <f>SUMIFS([1]Up!$J:$J,[1]Up!$D:$D,D547)</f>
        <v>0</v>
      </c>
      <c r="AX547" s="82"/>
      <c r="AY547" s="82" t="str">
        <f t="shared" si="44"/>
        <v>PL16</v>
      </c>
      <c r="AZ547" s="53" t="str">
        <f t="shared" si="45"/>
        <v/>
      </c>
      <c r="BA547" s="53" t="s">
        <v>148</v>
      </c>
      <c r="BB547" s="53" t="s">
        <v>988</v>
      </c>
      <c r="BC547" s="53" t="s">
        <v>989</v>
      </c>
      <c r="BD547" s="84" t="s">
        <v>2161</v>
      </c>
      <c r="BE547" s="53">
        <v>4</v>
      </c>
      <c r="BF547" s="83" t="s">
        <v>2226</v>
      </c>
      <c r="BG547" s="53"/>
      <c r="BH547" s="53"/>
      <c r="BI547" s="238"/>
    </row>
    <row r="548" spans="3:61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3"/>
        <v>0</v>
      </c>
      <c r="M548" s="26">
        <f t="shared" si="42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67">
        <f>SUMIFS([1]Up!$J:$J,[1]Up!$D:$D,D548)</f>
        <v>0</v>
      </c>
      <c r="AX548" s="82"/>
      <c r="AY548" s="82" t="str">
        <f t="shared" si="44"/>
        <v>PL16</v>
      </c>
      <c r="AZ548" s="53" t="str">
        <f t="shared" si="45"/>
        <v/>
      </c>
      <c r="BA548" s="53" t="s">
        <v>148</v>
      </c>
      <c r="BB548" s="53" t="s">
        <v>988</v>
      </c>
      <c r="BC548" s="53" t="s">
        <v>989</v>
      </c>
      <c r="BD548" s="84" t="s">
        <v>2161</v>
      </c>
      <c r="BE548" s="53">
        <v>4</v>
      </c>
      <c r="BF548" s="83" t="s">
        <v>2226</v>
      </c>
      <c r="BG548" s="53"/>
      <c r="BH548" s="53"/>
      <c r="BI548" s="238"/>
    </row>
    <row r="549" spans="3:61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3"/>
        <v>0</v>
      </c>
      <c r="M549" s="26">
        <f t="shared" si="42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67">
        <f>SUMIFS([1]Up!$J:$J,[1]Up!$D:$D,D549)</f>
        <v>0</v>
      </c>
      <c r="AX549" s="82"/>
      <c r="AY549" s="82" t="str">
        <f t="shared" si="44"/>
        <v>PL8</v>
      </c>
      <c r="AZ549" s="53" t="str">
        <f t="shared" si="45"/>
        <v/>
      </c>
      <c r="BA549" s="53" t="s">
        <v>148</v>
      </c>
      <c r="BB549" s="53" t="s">
        <v>1012</v>
      </c>
      <c r="BC549" s="53" t="s">
        <v>1013</v>
      </c>
      <c r="BD549" s="53" t="s">
        <v>57</v>
      </c>
      <c r="BE549" s="53">
        <v>20</v>
      </c>
      <c r="BF549" s="83"/>
      <c r="BG549" s="53"/>
      <c r="BH549" s="53"/>
    </row>
    <row r="550" spans="3:61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67"/>
      <c r="AX550" s="82"/>
      <c r="AY550" s="82"/>
      <c r="AZ550" s="53"/>
      <c r="BA550" s="53"/>
      <c r="BB550" s="53"/>
      <c r="BC550" s="53"/>
      <c r="BD550" s="53"/>
      <c r="BE550" s="85"/>
      <c r="BF550" s="53"/>
      <c r="BG550" s="53"/>
      <c r="BH550" s="53"/>
    </row>
    <row r="551" spans="3:61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67"/>
      <c r="AX551" s="82"/>
      <c r="AY551" s="82"/>
      <c r="AZ551" s="53"/>
      <c r="BA551" s="53"/>
      <c r="BB551" s="53"/>
      <c r="BC551" s="53"/>
      <c r="BD551" s="53"/>
      <c r="BE551" s="85"/>
      <c r="BF551" s="53"/>
      <c r="BG551" s="53"/>
      <c r="BH551" s="53"/>
    </row>
    <row r="552" spans="3:61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67"/>
      <c r="AX552" s="82"/>
      <c r="AY552" s="82"/>
      <c r="AZ552" s="53"/>
      <c r="BA552" s="53"/>
      <c r="BB552" s="53"/>
      <c r="BC552" s="53"/>
      <c r="BD552" s="53"/>
      <c r="BE552" s="85"/>
      <c r="BF552" s="53"/>
      <c r="BG552" s="53"/>
      <c r="BH552" s="53"/>
    </row>
    <row r="553" spans="3:61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67"/>
      <c r="AX553" s="82"/>
      <c r="AY553" s="82"/>
      <c r="AZ553" s="53"/>
      <c r="BA553" s="53"/>
      <c r="BB553" s="53"/>
      <c r="BC553" s="53"/>
      <c r="BD553" s="53"/>
      <c r="BE553" s="85"/>
      <c r="BF553" s="53"/>
      <c r="BG553" s="53"/>
      <c r="BH553" s="53"/>
    </row>
    <row r="554" spans="3:61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67"/>
      <c r="AX554" s="82"/>
      <c r="AY554" s="82"/>
      <c r="AZ554" s="53"/>
      <c r="BA554" s="53"/>
      <c r="BB554" s="53"/>
      <c r="BC554" s="53"/>
      <c r="BD554" s="53"/>
      <c r="BE554" s="85"/>
      <c r="BF554" s="53"/>
      <c r="BG554" s="53"/>
      <c r="BH554" s="53"/>
    </row>
    <row r="555" spans="3:61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67"/>
      <c r="AX555" s="82"/>
      <c r="AY555" s="82"/>
      <c r="AZ555" s="53"/>
      <c r="BA555" s="53"/>
      <c r="BB555" s="53"/>
      <c r="BC555" s="53"/>
      <c r="BD555" s="53"/>
      <c r="BE555" s="85"/>
      <c r="BF555" s="53"/>
      <c r="BG555" s="53"/>
      <c r="BH555" s="53"/>
    </row>
    <row r="556" spans="3:61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67"/>
      <c r="AX556" s="82"/>
      <c r="AY556" s="82"/>
      <c r="AZ556" s="53"/>
      <c r="BA556" s="53"/>
      <c r="BB556" s="53"/>
      <c r="BC556" s="53"/>
      <c r="BD556" s="53"/>
      <c r="BE556" s="85"/>
      <c r="BF556" s="53"/>
      <c r="BG556" s="53"/>
      <c r="BH556" s="53"/>
    </row>
    <row r="559" spans="3:61">
      <c r="AX559" s="3" t="s">
        <v>1039</v>
      </c>
    </row>
  </sheetData>
  <autoFilter ref="C29:BH556" xr:uid="{B5DE6D30-F474-449D-82A7-1262A8A8C8BB}">
    <filterColumn colId="46">
      <filters>
        <filter val="2.00"/>
        <filter val="3.00"/>
        <filter val="4.00"/>
        <filter val="5.00"/>
        <filter val="6.00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0.5213675213675214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0.55555555555555558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0.8666666666666667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0.47368421052631576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0.58974358974358976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0.5376344086021505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0.5641025641025641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0.53508771929824561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0.66666666666666663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ref="U230:U233" ca="1" si="370">+L230-T230</f>
        <v>8</v>
      </c>
      <c r="V230" s="203">
        <f t="shared" ref="V230:V233" ca="1" si="371">ROUNDDOWN(T230/J230,0)</f>
        <v>0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0</v>
      </c>
      <c r="AJ230" s="203">
        <f t="shared" ref="AJ230:AJ233" ca="1" si="375">+AH230-AI230</f>
        <v>8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370"/>
        <v>8</v>
      </c>
      <c r="V231" s="203">
        <f t="shared" ca="1" si="371"/>
        <v>0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0</v>
      </c>
      <c r="AJ231" s="203">
        <f t="shared" ca="1" si="375"/>
        <v>8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370"/>
        <v>24</v>
      </c>
      <c r="V232" s="203">
        <f t="shared" ca="1" si="371"/>
        <v>0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0</v>
      </c>
      <c r="AJ232" s="203">
        <f t="shared" ca="1" si="375"/>
        <v>24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370"/>
        <v>48</v>
      </c>
      <c r="V233" s="203">
        <f t="shared" ca="1" si="371"/>
        <v>0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0</v>
      </c>
      <c r="AJ233" s="203">
        <f t="shared" ca="1" si="375"/>
        <v>48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ref="U245" ca="1" si="431">+L245-T245</f>
        <v>10</v>
      </c>
      <c r="V245" s="203">
        <f t="shared" ref="V245" ca="1" si="432">ROUNDDOWN(T245/J245,0)</f>
        <v>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0</v>
      </c>
      <c r="AJ245" s="203">
        <f ca="1">+AH245-AI245</f>
        <v>10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0.14285714285714285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0</v>
      </c>
      <c r="X277" s="181">
        <f ca="1">SUMIFS(T:T,C:C,C277,AE:AE,"")/SUMIFS(L:L,C:C,C277,AE:AE,"",AB:AB,"")</f>
        <v>0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ref="U278" ca="1" si="570">+L278-T278</f>
        <v>1</v>
      </c>
      <c r="V278" s="203">
        <f t="shared" ref="V278" ca="1" si="571">ROUNDDOWN(T278/J278,0)</f>
        <v>0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0</v>
      </c>
      <c r="AJ278" s="203">
        <f ca="1">+AH278-AI278</f>
        <v>1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0.5213675213675214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588"/>
        <v>4</v>
      </c>
      <c r="V298" s="203">
        <f t="shared" ca="1" si="589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0</v>
      </c>
      <c r="AO298" s="203">
        <f t="shared" ca="1" si="595"/>
        <v>2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0</v>
      </c>
      <c r="AT298" s="203">
        <f t="shared" ca="1" si="598"/>
        <v>2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03">
        <f t="shared" ca="1" si="588"/>
        <v>16</v>
      </c>
      <c r="V309" s="203">
        <f t="shared" ca="1" si="589"/>
        <v>0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0</v>
      </c>
      <c r="AO309" s="203">
        <f t="shared" ca="1" si="595"/>
        <v>8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0</v>
      </c>
      <c r="AT309" s="203">
        <f t="shared" ca="1" si="598"/>
        <v>8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0.55555555555555558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2</v>
      </c>
      <c r="U320" s="203">
        <f t="shared" ca="1" si="609"/>
        <v>2</v>
      </c>
      <c r="V320" s="203">
        <f t="shared" ca="1" si="610"/>
        <v>1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1</v>
      </c>
      <c r="AT320" s="203">
        <f t="shared" ca="1" si="619"/>
        <v>1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203">
        <f t="shared" ca="1" si="609"/>
        <v>1</v>
      </c>
      <c r="V321" s="203">
        <f t="shared" ca="1" si="610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0</v>
      </c>
      <c r="AT321" s="203">
        <f t="shared" ca="1" si="619"/>
        <v>1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09"/>
        <v>2</v>
      </c>
      <c r="V322" s="203">
        <f t="shared" ca="1" si="610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0</v>
      </c>
      <c r="AO322" s="203">
        <f t="shared" ca="1" si="616"/>
        <v>1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09"/>
        <v>2</v>
      </c>
      <c r="V323" s="203">
        <f t="shared" ca="1" si="610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0</v>
      </c>
      <c r="AO323" s="203">
        <f t="shared" ca="1" si="616"/>
        <v>1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0.8666666666666667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203">
        <f t="shared" ca="1" si="626"/>
        <v>2</v>
      </c>
      <c r="V329" s="203">
        <f t="shared" ca="1" si="627"/>
        <v>1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1</v>
      </c>
      <c r="AT329" s="203">
        <f t="shared" ca="1" si="636"/>
        <v>1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0.75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46"/>
        <v>1</v>
      </c>
      <c r="V337" s="203">
        <f t="shared" ca="1" si="647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0</v>
      </c>
      <c r="AT337" s="203">
        <f t="shared" ca="1" si="656"/>
        <v>1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0.47368421052631576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667"/>
        <v>12</v>
      </c>
      <c r="V346" s="203">
        <f t="shared" ca="1" si="668"/>
        <v>0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0</v>
      </c>
      <c r="AO346" s="203">
        <f t="shared" ca="1" si="674"/>
        <v>6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0</v>
      </c>
      <c r="AT346" s="203">
        <f t="shared" ca="1" si="677"/>
        <v>6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667"/>
        <v>12</v>
      </c>
      <c r="V347" s="203">
        <f t="shared" ca="1" si="668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0</v>
      </c>
      <c r="AO347" s="203">
        <f t="shared" ca="1" si="674"/>
        <v>6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0</v>
      </c>
      <c r="AT347" s="203">
        <f t="shared" ca="1" si="677"/>
        <v>6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0.58974358974358976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203">
        <f t="shared" ca="1" si="704"/>
        <v>4</v>
      </c>
      <c r="V363" s="203">
        <f t="shared" ca="1" si="705"/>
        <v>0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0</v>
      </c>
      <c r="AO363" s="203">
        <f t="shared" ca="1" si="711"/>
        <v>2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0</v>
      </c>
      <c r="AT363" s="203">
        <f t="shared" ca="1" si="714"/>
        <v>2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0.5376344086021505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42"/>
        <v>4</v>
      </c>
      <c r="V382" s="203">
        <f t="shared" ca="1" si="74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0</v>
      </c>
      <c r="AO382" s="203">
        <f t="shared" ca="1" si="749"/>
        <v>2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0</v>
      </c>
      <c r="AT382" s="203">
        <f t="shared" ca="1" si="752"/>
        <v>2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42"/>
        <v>12</v>
      </c>
      <c r="V387" s="203">
        <f t="shared" ca="1" si="74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0</v>
      </c>
      <c r="AO387" s="203">
        <f t="shared" ca="1" si="749"/>
        <v>6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0</v>
      </c>
      <c r="AT387" s="203">
        <f t="shared" ca="1" si="752"/>
        <v>6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0.5641025641025641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03">
        <f t="shared" ca="1" si="780"/>
        <v>4</v>
      </c>
      <c r="V404" s="203">
        <f t="shared" ca="1" si="781"/>
        <v>0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0</v>
      </c>
      <c r="AO404" s="203">
        <f t="shared" ca="1" si="787"/>
        <v>2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0</v>
      </c>
      <c r="AT404" s="203">
        <f t="shared" ca="1" si="790"/>
        <v>2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0.53508771929824561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203">
        <f t="shared" ca="1" si="823"/>
        <v>28</v>
      </c>
      <c r="V421" s="203">
        <f t="shared" ca="1" si="824"/>
        <v>0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0</v>
      </c>
      <c r="AO421" s="203">
        <f t="shared" ca="1" si="830"/>
        <v>14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0</v>
      </c>
      <c r="AT421" s="203">
        <f t="shared" ca="1" si="833"/>
        <v>14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0.66666666666666663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1</v>
      </c>
      <c r="U426" s="203">
        <f t="shared" ca="1" si="840"/>
        <v>1</v>
      </c>
      <c r="V426" s="203">
        <f t="shared" ca="1" si="841"/>
        <v>1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0</v>
      </c>
      <c r="AT426" s="203">
        <f t="shared" ca="1" si="850"/>
        <v>1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0.25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203">
        <f t="shared" ca="1" si="856"/>
        <v>1</v>
      </c>
      <c r="V431" s="203">
        <f t="shared" ca="1" si="857"/>
        <v>1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0</v>
      </c>
      <c r="AT431" s="203">
        <f t="shared" ca="1" si="866"/>
        <v>1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0.40740740740740738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03">
        <f t="shared" ca="1" si="877"/>
        <v>2</v>
      </c>
      <c r="V438" s="203">
        <f t="shared" ca="1" si="878"/>
        <v>1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1</v>
      </c>
      <c r="AT438" s="203">
        <f t="shared" ca="1" si="890"/>
        <v>1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03">
        <f t="shared" ca="1" si="877"/>
        <v>4</v>
      </c>
      <c r="V446" s="203">
        <f t="shared" ca="1" si="878"/>
        <v>0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0</v>
      </c>
      <c r="AO446" s="203">
        <f t="shared" ca="1" si="886"/>
        <v>2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0</v>
      </c>
      <c r="AT446" s="203">
        <f t="shared" ca="1" si="890"/>
        <v>2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03">
        <f t="shared" ca="1" si="877"/>
        <v>4</v>
      </c>
      <c r="V448" s="203">
        <f t="shared" ca="1" si="878"/>
        <v>0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0</v>
      </c>
      <c r="AO448" s="203">
        <f t="shared" ca="1" si="886"/>
        <v>2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0</v>
      </c>
      <c r="AT448" s="203">
        <f t="shared" ca="1" si="890"/>
        <v>2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1</v>
      </c>
      <c r="U449" s="203">
        <f t="shared" ca="1" si="877"/>
        <v>1</v>
      </c>
      <c r="V449" s="203">
        <f t="shared" ca="1" si="878"/>
        <v>1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0</v>
      </c>
      <c r="AT449" s="203">
        <f t="shared" ca="1" si="890"/>
        <v>1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0.22857142857142856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203">
        <f t="shared" ca="1" si="903"/>
        <v>8</v>
      </c>
      <c r="V461" s="203">
        <f t="shared" ca="1" si="904"/>
        <v>0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0</v>
      </c>
      <c r="AO461" s="203">
        <f t="shared" ca="1" si="912"/>
        <v>4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0</v>
      </c>
      <c r="AT461" s="203">
        <f t="shared" ca="1" si="916"/>
        <v>4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03">
        <f t="shared" ca="1" si="903"/>
        <v>12</v>
      </c>
      <c r="V462" s="203">
        <f t="shared" ca="1" si="904"/>
        <v>0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0</v>
      </c>
      <c r="AO462" s="203">
        <f t="shared" ca="1" si="912"/>
        <v>6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0</v>
      </c>
      <c r="AT462" s="203">
        <f t="shared" ca="1" si="916"/>
        <v>6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203">
        <f t="shared" ca="1" si="903"/>
        <v>4</v>
      </c>
      <c r="V463" s="203">
        <f t="shared" ca="1" si="904"/>
        <v>0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0</v>
      </c>
      <c r="AO463" s="203">
        <f t="shared" ca="1" si="912"/>
        <v>2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0</v>
      </c>
      <c r="AT463" s="203">
        <f t="shared" ca="1" si="916"/>
        <v>2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203">
        <f t="shared" ca="1" si="903"/>
        <v>10</v>
      </c>
      <c r="V465" s="203">
        <f t="shared" ca="1" si="904"/>
        <v>0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0</v>
      </c>
      <c r="AO465" s="203">
        <f t="shared" ca="1" si="912"/>
        <v>5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0</v>
      </c>
      <c r="AT465" s="203">
        <f t="shared" ca="1" si="916"/>
        <v>5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0.14102564102564102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203">
        <f t="shared" ca="1" si="925"/>
        <v>6</v>
      </c>
      <c r="V471" s="203">
        <f t="shared" ca="1" si="926"/>
        <v>0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0</v>
      </c>
      <c r="AO471" s="203">
        <f t="shared" ca="1" si="934"/>
        <v>3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0</v>
      </c>
      <c r="AT471" s="203">
        <f t="shared" ca="1" si="938"/>
        <v>3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03">
        <f t="shared" ca="1" si="925"/>
        <v>2</v>
      </c>
      <c r="V474" s="203">
        <f t="shared" ca="1" si="926"/>
        <v>0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0</v>
      </c>
      <c r="AO474" s="203">
        <f t="shared" ca="1" si="934"/>
        <v>1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0</v>
      </c>
      <c r="U475" s="203">
        <f t="shared" ca="1" si="925"/>
        <v>2</v>
      </c>
      <c r="V475" s="203">
        <f t="shared" ca="1" si="926"/>
        <v>0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0</v>
      </c>
      <c r="AO475" s="203">
        <f t="shared" ca="1" si="934"/>
        <v>1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925"/>
        <v>2</v>
      </c>
      <c r="V476" s="203">
        <f t="shared" ca="1" si="926"/>
        <v>0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0</v>
      </c>
      <c r="AO476" s="203">
        <f t="shared" ca="1" si="934"/>
        <v>1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03">
        <f t="shared" ca="1" si="925"/>
        <v>4</v>
      </c>
      <c r="V478" s="203">
        <f t="shared" ca="1" si="926"/>
        <v>0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0</v>
      </c>
      <c r="AO478" s="203">
        <f t="shared" ca="1" si="934"/>
        <v>2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0</v>
      </c>
      <c r="AT478" s="203">
        <f t="shared" ca="1" si="938"/>
        <v>2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203">
        <f t="shared" ca="1" si="925"/>
        <v>20</v>
      </c>
      <c r="V479" s="203">
        <f t="shared" ca="1" si="926"/>
        <v>0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0</v>
      </c>
      <c r="AO479" s="203">
        <f t="shared" ca="1" si="934"/>
        <v>10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0</v>
      </c>
      <c r="AT479" s="203">
        <f t="shared" ca="1" si="938"/>
        <v>10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925"/>
        <v>4</v>
      </c>
      <c r="V481" s="203">
        <f t="shared" ca="1" si="926"/>
        <v>0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0</v>
      </c>
      <c r="AO481" s="203">
        <f t="shared" ca="1" si="934"/>
        <v>2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0</v>
      </c>
      <c r="AT481" s="203">
        <f t="shared" ca="1" si="938"/>
        <v>2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0.14285714285714285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03">
        <f t="shared" ca="1" si="1168"/>
        <v>4</v>
      </c>
      <c r="V523" s="203">
        <f t="shared" ca="1" si="1169"/>
        <v>0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0</v>
      </c>
      <c r="AO523" s="203">
        <f t="shared" ca="1" si="1177"/>
        <v>2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0</v>
      </c>
      <c r="AT523" s="203">
        <f t="shared" ca="1" si="1181"/>
        <v>2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03">
        <f t="shared" ca="1" si="1168"/>
        <v>2</v>
      </c>
      <c r="V524" s="203">
        <f t="shared" ca="1" si="1169"/>
        <v>0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0</v>
      </c>
      <c r="AO524" s="203">
        <f t="shared" ca="1" si="1177"/>
        <v>1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0</v>
      </c>
      <c r="X531" s="181">
        <f ca="1">SUMIFS(T:T,C:C,C531,AE:AE,"")/SUMIFS(L:L,C:C,C531,AE:AE,"",AB:AB,"")</f>
        <v>0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03">
        <f t="shared" ref="U532" ca="1" si="1239">+L532-T532</f>
        <v>2</v>
      </c>
      <c r="V532" s="203">
        <f t="shared" ref="V532" ca="1" si="1240">ROUNDDOWN(T532/J532,0)</f>
        <v>0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0</v>
      </c>
      <c r="AO532" s="203">
        <f ca="1">+AM532-AN532</f>
        <v>1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0</v>
      </c>
      <c r="AT532" s="203">
        <f ca="1">+AR532-AS532</f>
        <v>1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0.14285714285714285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0</v>
      </c>
      <c r="X728" s="181">
        <f ca="1">SUMIFS(T:T,C:C,C728,AE:AE,"")/SUMIFS(L:L,C:C,C728,AE:AE,"",AB:AB,"")</f>
        <v>0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203">
        <f t="shared" ref="U729" ca="1" si="1761">+L729-T729</f>
        <v>1</v>
      </c>
      <c r="V729" s="203">
        <f t="shared" ref="V729" ca="1" si="1762">ROUNDDOWN(T729/J729,0)</f>
        <v>0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0</v>
      </c>
      <c r="AY729" s="203">
        <f ca="1">+AW729-AX729</f>
        <v>1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/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/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/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/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/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/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/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/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/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/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/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/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/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/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/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/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/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/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2026-10-03T06:43:19Z</dcterms:modified>
</cp:coreProperties>
</file>