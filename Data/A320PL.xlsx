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5D43F087-5019-4ACE-B04C-50FA153737A5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'BTP-A320M4120'!$C$29:$AU$332</definedName>
    <definedName name="_xlnm._FilterDatabase" localSheetId="3" hidden="1">'BTP-A320M4130'!$C$29:$AU$556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7" i="4" l="1" a="1"/>
  <c r="AH27" i="4" s="1"/>
  <c r="AH28" i="4"/>
  <c r="AH27" i="6" a="1"/>
  <c r="AH27" i="6" s="1"/>
  <c r="AH28" i="6"/>
  <c r="AG27" i="6" a="1"/>
  <c r="AG27" i="6" s="1"/>
  <c r="AG28" i="6"/>
  <c r="J5" i="2"/>
  <c r="AF27" i="6" l="1" a="1"/>
  <c r="AF27" i="6" s="1"/>
  <c r="AF28" i="6"/>
  <c r="AG27" i="4" a="1"/>
  <c r="AG27" i="4" s="1"/>
  <c r="AG28" i="4"/>
  <c r="AF27" i="4" a="1"/>
  <c r="AF27" i="4" s="1"/>
  <c r="AF28" i="4"/>
  <c r="AE367" i="6"/>
  <c r="AE27" i="6" s="1" a="1"/>
  <c r="AE27" i="6" s="1"/>
  <c r="AE360" i="6"/>
  <c r="AE27" i="4" a="1"/>
  <c r="AE27" i="4" s="1"/>
  <c r="AE28" i="4"/>
  <c r="AD330" i="6"/>
  <c r="AD27" i="4" a="1"/>
  <c r="AD27" i="4" s="1"/>
  <c r="AD28" i="4"/>
  <c r="AE28" i="6" l="1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Q185" i="9"/>
  <c r="AR185" i="9" s="1"/>
  <c r="AP186" i="9"/>
  <c r="AP187" i="9" s="1"/>
  <c r="AP188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Q724" i="9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L105" i="9"/>
  <c r="AK106" i="9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L148" i="9"/>
  <c r="AM148" i="9" s="1"/>
  <c r="AK149" i="9"/>
  <c r="AK150" i="9" s="1"/>
  <c r="AK151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G86" i="9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L717" i="9" l="1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40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397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M382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32" i="9"/>
  <c r="CF116" i="9"/>
  <c r="CF103" i="9"/>
  <c r="CF83" i="9"/>
  <c r="AH63" i="9" l="1"/>
  <c r="AH77" i="9"/>
  <c r="AQ618" i="9"/>
  <c r="AQ619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R618" i="9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Q181" i="9"/>
  <c r="AR180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Q441" i="9"/>
  <c r="AR441" i="9" s="1"/>
  <c r="AR440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Q398" i="9"/>
  <c r="AR398" i="9" s="1"/>
  <c r="AR397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Q620" i="9"/>
  <c r="AR619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M458" i="6"/>
  <c r="AL458" i="6"/>
  <c r="AJ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M397" i="9" l="1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M549" i="6"/>
  <c r="AL549" i="6"/>
  <c r="L549" i="6"/>
  <c r="AM548" i="6"/>
  <c r="AL548" i="6"/>
  <c r="L548" i="6"/>
  <c r="AM547" i="6"/>
  <c r="AL547" i="6"/>
  <c r="L547" i="6"/>
  <c r="AM546" i="6"/>
  <c r="AL546" i="6"/>
  <c r="L546" i="6"/>
  <c r="AM545" i="6"/>
  <c r="AL545" i="6"/>
  <c r="L545" i="6"/>
  <c r="AM544" i="6"/>
  <c r="AL544" i="6"/>
  <c r="L544" i="6"/>
  <c r="AM543" i="6"/>
  <c r="AL543" i="6"/>
  <c r="L543" i="6"/>
  <c r="AM542" i="6"/>
  <c r="AL542" i="6"/>
  <c r="L542" i="6"/>
  <c r="AM541" i="6"/>
  <c r="AL541" i="6"/>
  <c r="L541" i="6"/>
  <c r="AM540" i="6"/>
  <c r="AL540" i="6"/>
  <c r="L540" i="6"/>
  <c r="AM539" i="6"/>
  <c r="AL539" i="6"/>
  <c r="L539" i="6"/>
  <c r="AM538" i="6"/>
  <c r="AL538" i="6"/>
  <c r="L538" i="6"/>
  <c r="AM537" i="6"/>
  <c r="AL537" i="6"/>
  <c r="L537" i="6"/>
  <c r="AM536" i="6"/>
  <c r="AL536" i="6"/>
  <c r="L536" i="6"/>
  <c r="AM535" i="6"/>
  <c r="AL535" i="6"/>
  <c r="L535" i="6"/>
  <c r="AM534" i="6"/>
  <c r="AL534" i="6"/>
  <c r="L534" i="6"/>
  <c r="M534" i="6" s="1"/>
  <c r="AM533" i="6"/>
  <c r="AL533" i="6"/>
  <c r="L533" i="6"/>
  <c r="M533" i="6" s="1"/>
  <c r="AM532" i="6"/>
  <c r="AL532" i="6"/>
  <c r="L532" i="6"/>
  <c r="M532" i="6" s="1"/>
  <c r="AM531" i="6"/>
  <c r="AL531" i="6"/>
  <c r="L531" i="6"/>
  <c r="M531" i="6" s="1"/>
  <c r="AM530" i="6"/>
  <c r="AL530" i="6"/>
  <c r="L530" i="6"/>
  <c r="M530" i="6" s="1"/>
  <c r="AM529" i="6"/>
  <c r="AL529" i="6"/>
  <c r="L529" i="6"/>
  <c r="M529" i="6" s="1"/>
  <c r="AM528" i="6"/>
  <c r="AL528" i="6"/>
  <c r="L528" i="6"/>
  <c r="M528" i="6" s="1"/>
  <c r="AM527" i="6"/>
  <c r="AL527" i="6"/>
  <c r="L527" i="6"/>
  <c r="AM526" i="6"/>
  <c r="AL526" i="6"/>
  <c r="L526" i="6"/>
  <c r="AM525" i="6"/>
  <c r="AL525" i="6"/>
  <c r="L525" i="6"/>
  <c r="M525" i="6" s="1"/>
  <c r="AM524" i="6"/>
  <c r="AL524" i="6"/>
  <c r="L524" i="6"/>
  <c r="M524" i="6" s="1"/>
  <c r="AM523" i="6"/>
  <c r="AL523" i="6"/>
  <c r="L523" i="6"/>
  <c r="M523" i="6" s="1"/>
  <c r="AM522" i="6"/>
  <c r="AL522" i="6"/>
  <c r="L522" i="6"/>
  <c r="M522" i="6" s="1"/>
  <c r="AM521" i="6"/>
  <c r="AL521" i="6"/>
  <c r="L521" i="6"/>
  <c r="M521" i="6" s="1"/>
  <c r="AM520" i="6"/>
  <c r="AL520" i="6"/>
  <c r="L520" i="6"/>
  <c r="M520" i="6" s="1"/>
  <c r="AM519" i="6"/>
  <c r="AL519" i="6"/>
  <c r="L519" i="6"/>
  <c r="M519" i="6" s="1"/>
  <c r="AM518" i="6"/>
  <c r="AL518" i="6"/>
  <c r="L518" i="6"/>
  <c r="M518" i="6" s="1"/>
  <c r="AM517" i="6"/>
  <c r="AL517" i="6"/>
  <c r="L517" i="6"/>
  <c r="AM516" i="6"/>
  <c r="AL516" i="6"/>
  <c r="L516" i="6"/>
  <c r="M516" i="6" s="1"/>
  <c r="AM515" i="6"/>
  <c r="AL515" i="6"/>
  <c r="L515" i="6"/>
  <c r="AM514" i="6"/>
  <c r="AL514" i="6"/>
  <c r="L514" i="6"/>
  <c r="AM513" i="6"/>
  <c r="AL513" i="6"/>
  <c r="L513" i="6"/>
  <c r="AM512" i="6"/>
  <c r="AL512" i="6"/>
  <c r="L512" i="6"/>
  <c r="AM511" i="6"/>
  <c r="AL511" i="6"/>
  <c r="L511" i="6"/>
  <c r="AM510" i="6"/>
  <c r="AL510" i="6"/>
  <c r="L510" i="6"/>
  <c r="AM509" i="6"/>
  <c r="AL509" i="6"/>
  <c r="L509" i="6"/>
  <c r="AM508" i="6"/>
  <c r="AL508" i="6"/>
  <c r="L508" i="6"/>
  <c r="AM507" i="6"/>
  <c r="AL507" i="6"/>
  <c r="L507" i="6"/>
  <c r="AM506" i="6"/>
  <c r="AL506" i="6"/>
  <c r="L506" i="6"/>
  <c r="AM505" i="6"/>
  <c r="AL505" i="6"/>
  <c r="L505" i="6"/>
  <c r="AM504" i="6"/>
  <c r="AL504" i="6"/>
  <c r="L504" i="6"/>
  <c r="AM503" i="6"/>
  <c r="AL503" i="6"/>
  <c r="L503" i="6"/>
  <c r="AM502" i="6"/>
  <c r="AL502" i="6"/>
  <c r="L502" i="6"/>
  <c r="AM501" i="6"/>
  <c r="AL501" i="6"/>
  <c r="L501" i="6"/>
  <c r="M501" i="6" s="1"/>
  <c r="AM500" i="6"/>
  <c r="AL500" i="6"/>
  <c r="L500" i="6"/>
  <c r="M500" i="6" s="1"/>
  <c r="AM499" i="6"/>
  <c r="AL499" i="6"/>
  <c r="L499" i="6"/>
  <c r="M499" i="6" s="1"/>
  <c r="AM498" i="6"/>
  <c r="AL498" i="6"/>
  <c r="L498" i="6"/>
  <c r="M498" i="6" s="1"/>
  <c r="AM497" i="6"/>
  <c r="AL497" i="6"/>
  <c r="L497" i="6"/>
  <c r="M497" i="6" s="1"/>
  <c r="AM496" i="6"/>
  <c r="AL496" i="6"/>
  <c r="L496" i="6"/>
  <c r="AM495" i="6"/>
  <c r="AL495" i="6"/>
  <c r="L495" i="6"/>
  <c r="AM494" i="6"/>
  <c r="AL494" i="6"/>
  <c r="L494" i="6"/>
  <c r="AM493" i="6"/>
  <c r="AL493" i="6"/>
  <c r="L493" i="6"/>
  <c r="M493" i="6" s="1"/>
  <c r="AM492" i="6"/>
  <c r="AL492" i="6"/>
  <c r="L492" i="6"/>
  <c r="M492" i="6" s="1"/>
  <c r="AM491" i="6"/>
  <c r="AL491" i="6"/>
  <c r="L491" i="6"/>
  <c r="M491" i="6" s="1"/>
  <c r="AM490" i="6"/>
  <c r="AL490" i="6"/>
  <c r="L490" i="6"/>
  <c r="M490" i="6" s="1"/>
  <c r="AM489" i="6"/>
  <c r="AL489" i="6"/>
  <c r="L489" i="6"/>
  <c r="M489" i="6" s="1"/>
  <c r="AM488" i="6"/>
  <c r="AL488" i="6"/>
  <c r="L488" i="6"/>
  <c r="M488" i="6" s="1"/>
  <c r="AM487" i="6"/>
  <c r="AL487" i="6"/>
  <c r="L487" i="6"/>
  <c r="M487" i="6" s="1"/>
  <c r="AM486" i="6"/>
  <c r="AL486" i="6"/>
  <c r="L486" i="6"/>
  <c r="M486" i="6" s="1"/>
  <c r="AM485" i="6"/>
  <c r="AL485" i="6"/>
  <c r="L485" i="6"/>
  <c r="AM484" i="6"/>
  <c r="AL484" i="6"/>
  <c r="L484" i="6"/>
  <c r="M484" i="6" s="1"/>
  <c r="AM483" i="6"/>
  <c r="AL483" i="6"/>
  <c r="L483" i="6"/>
  <c r="AM482" i="6"/>
  <c r="AL482" i="6"/>
  <c r="L482" i="6"/>
  <c r="AM481" i="6"/>
  <c r="AL481" i="6"/>
  <c r="L481" i="6"/>
  <c r="AM480" i="6"/>
  <c r="AL480" i="6"/>
  <c r="L480" i="6"/>
  <c r="AM479" i="6"/>
  <c r="AL479" i="6"/>
  <c r="L479" i="6"/>
  <c r="AM478" i="6"/>
  <c r="AL478" i="6"/>
  <c r="L478" i="6"/>
  <c r="AM477" i="6"/>
  <c r="AL477" i="6"/>
  <c r="L477" i="6"/>
  <c r="AM476" i="6"/>
  <c r="AL476" i="6"/>
  <c r="L476" i="6"/>
  <c r="AM475" i="6"/>
  <c r="AL475" i="6"/>
  <c r="L475" i="6"/>
  <c r="AM474" i="6"/>
  <c r="AL474" i="6"/>
  <c r="L474" i="6"/>
  <c r="AM473" i="6"/>
  <c r="AL473" i="6"/>
  <c r="L473" i="6"/>
  <c r="AM472" i="6"/>
  <c r="AL472" i="6"/>
  <c r="L472" i="6"/>
  <c r="AM471" i="6"/>
  <c r="AL471" i="6"/>
  <c r="L471" i="6"/>
  <c r="AM470" i="6"/>
  <c r="AL470" i="6"/>
  <c r="L470" i="6"/>
  <c r="AM469" i="6"/>
  <c r="AL469" i="6"/>
  <c r="L469" i="6"/>
  <c r="AM468" i="6"/>
  <c r="AL468" i="6"/>
  <c r="L468" i="6"/>
  <c r="AM467" i="6"/>
  <c r="AL467" i="6"/>
  <c r="L467" i="6"/>
  <c r="AM466" i="6"/>
  <c r="AL466" i="6"/>
  <c r="L466" i="6"/>
  <c r="AM465" i="6"/>
  <c r="AL465" i="6"/>
  <c r="L465" i="6"/>
  <c r="M465" i="6" s="1"/>
  <c r="AM464" i="6"/>
  <c r="AL464" i="6"/>
  <c r="L464" i="6"/>
  <c r="M464" i="6" s="1"/>
  <c r="AM463" i="6"/>
  <c r="AL463" i="6"/>
  <c r="L463" i="6"/>
  <c r="M463" i="6" s="1"/>
  <c r="AM462" i="6"/>
  <c r="AL462" i="6"/>
  <c r="L462" i="6"/>
  <c r="M462" i="6" s="1"/>
  <c r="AM461" i="6"/>
  <c r="AL461" i="6"/>
  <c r="L461" i="6"/>
  <c r="M461" i="6" s="1"/>
  <c r="AM460" i="6"/>
  <c r="AL460" i="6"/>
  <c r="L460" i="6"/>
  <c r="AM459" i="6"/>
  <c r="AL459" i="6"/>
  <c r="L459" i="6"/>
  <c r="AM457" i="6"/>
  <c r="AL457" i="6"/>
  <c r="L457" i="6"/>
  <c r="M457" i="6" s="1"/>
  <c r="AM456" i="6"/>
  <c r="AL456" i="6"/>
  <c r="L456" i="6"/>
  <c r="M456" i="6" s="1"/>
  <c r="AM455" i="6"/>
  <c r="AL455" i="6"/>
  <c r="L455" i="6"/>
  <c r="M455" i="6" s="1"/>
  <c r="AM454" i="6"/>
  <c r="AL454" i="6"/>
  <c r="L454" i="6"/>
  <c r="AM453" i="6"/>
  <c r="AL453" i="6"/>
  <c r="L453" i="6"/>
  <c r="M453" i="6" s="1"/>
  <c r="AM452" i="6"/>
  <c r="AL452" i="6"/>
  <c r="L452" i="6"/>
  <c r="M452" i="6" s="1"/>
  <c r="AM451" i="6"/>
  <c r="AL451" i="6"/>
  <c r="L451" i="6"/>
  <c r="M451" i="6" s="1"/>
  <c r="AM450" i="6"/>
  <c r="AL450" i="6"/>
  <c r="L450" i="6"/>
  <c r="M450" i="6" s="1"/>
  <c r="AM449" i="6"/>
  <c r="AL449" i="6"/>
  <c r="L449" i="6"/>
  <c r="AM448" i="6"/>
  <c r="AL448" i="6"/>
  <c r="L448" i="6"/>
  <c r="M448" i="6" s="1"/>
  <c r="AM447" i="6"/>
  <c r="AL447" i="6"/>
  <c r="L447" i="6"/>
  <c r="M447" i="6" s="1"/>
  <c r="AM446" i="6"/>
  <c r="AL446" i="6"/>
  <c r="L446" i="6"/>
  <c r="M446" i="6" s="1"/>
  <c r="AM445" i="6"/>
  <c r="AL445" i="6"/>
  <c r="L445" i="6"/>
  <c r="M445" i="6" s="1"/>
  <c r="AM444" i="6"/>
  <c r="AL444" i="6"/>
  <c r="L444" i="6"/>
  <c r="M444" i="6" s="1"/>
  <c r="AM443" i="6"/>
  <c r="AL443" i="6"/>
  <c r="L443" i="6"/>
  <c r="AM442" i="6"/>
  <c r="AL442" i="6"/>
  <c r="L442" i="6"/>
  <c r="M442" i="6" s="1"/>
  <c r="AM441" i="6"/>
  <c r="AL441" i="6"/>
  <c r="L441" i="6"/>
  <c r="AM440" i="6"/>
  <c r="AL440" i="6"/>
  <c r="L440" i="6"/>
  <c r="AM439" i="6"/>
  <c r="AL439" i="6"/>
  <c r="L439" i="6"/>
  <c r="AM438" i="6"/>
  <c r="AL438" i="6"/>
  <c r="L438" i="6"/>
  <c r="AM437" i="6"/>
  <c r="AL437" i="6"/>
  <c r="L437" i="6"/>
  <c r="AM436" i="6"/>
  <c r="AL436" i="6"/>
  <c r="L436" i="6"/>
  <c r="AM435" i="6"/>
  <c r="AL435" i="6"/>
  <c r="L435" i="6"/>
  <c r="AM434" i="6"/>
  <c r="AL434" i="6"/>
  <c r="L434" i="6"/>
  <c r="AM433" i="6"/>
  <c r="AL433" i="6"/>
  <c r="L433" i="6"/>
  <c r="AM432" i="6"/>
  <c r="AL432" i="6"/>
  <c r="L432" i="6"/>
  <c r="AM431" i="6"/>
  <c r="AL431" i="6"/>
  <c r="L431" i="6"/>
  <c r="AM430" i="6"/>
  <c r="AL430" i="6"/>
  <c r="L430" i="6"/>
  <c r="AM429" i="6"/>
  <c r="AL429" i="6"/>
  <c r="L429" i="6"/>
  <c r="AM428" i="6"/>
  <c r="AL428" i="6"/>
  <c r="L428" i="6"/>
  <c r="AM427" i="6"/>
  <c r="AL427" i="6"/>
  <c r="L427" i="6"/>
  <c r="AM426" i="6"/>
  <c r="AL426" i="6"/>
  <c r="L426" i="6"/>
  <c r="M426" i="6" s="1"/>
  <c r="AM425" i="6"/>
  <c r="AL425" i="6"/>
  <c r="L425" i="6"/>
  <c r="M425" i="6" s="1"/>
  <c r="AM424" i="6"/>
  <c r="AL424" i="6"/>
  <c r="L424" i="6"/>
  <c r="M424" i="6" s="1"/>
  <c r="AM423" i="6"/>
  <c r="AL423" i="6"/>
  <c r="L423" i="6"/>
  <c r="M423" i="6" s="1"/>
  <c r="AM422" i="6"/>
  <c r="AL422" i="6"/>
  <c r="L422" i="6"/>
  <c r="M422" i="6" s="1"/>
  <c r="AM421" i="6"/>
  <c r="AL421" i="6"/>
  <c r="L421" i="6"/>
  <c r="M421" i="6" s="1"/>
  <c r="AM420" i="6"/>
  <c r="AL420" i="6"/>
  <c r="L420" i="6"/>
  <c r="M420" i="6" s="1"/>
  <c r="AM419" i="6"/>
  <c r="AL419" i="6"/>
  <c r="L419" i="6"/>
  <c r="M419" i="6" s="1"/>
  <c r="AM418" i="6"/>
  <c r="AL418" i="6"/>
  <c r="L418" i="6"/>
  <c r="M418" i="6" s="1"/>
  <c r="AM417" i="6"/>
  <c r="AL417" i="6"/>
  <c r="L417" i="6"/>
  <c r="M417" i="6" s="1"/>
  <c r="AM416" i="6"/>
  <c r="AL416" i="6"/>
  <c r="L416" i="6"/>
  <c r="M416" i="6" s="1"/>
  <c r="AM415" i="6"/>
  <c r="AL415" i="6"/>
  <c r="L415" i="6"/>
  <c r="M415" i="6" s="1"/>
  <c r="AM414" i="6"/>
  <c r="AL414" i="6"/>
  <c r="L414" i="6"/>
  <c r="M414" i="6" s="1"/>
  <c r="AM413" i="6"/>
  <c r="AL413" i="6"/>
  <c r="L413" i="6"/>
  <c r="M413" i="6" s="1"/>
  <c r="AM412" i="6"/>
  <c r="AL412" i="6"/>
  <c r="L412" i="6"/>
  <c r="AM411" i="6"/>
  <c r="AL411" i="6"/>
  <c r="L411" i="6"/>
  <c r="AM410" i="6"/>
  <c r="AL410" i="6"/>
  <c r="L410" i="6"/>
  <c r="AM409" i="6"/>
  <c r="AL409" i="6"/>
  <c r="L409" i="6"/>
  <c r="M409" i="6" s="1"/>
  <c r="AM408" i="6"/>
  <c r="AL408" i="6"/>
  <c r="L408" i="6"/>
  <c r="AM407" i="6"/>
  <c r="AL407" i="6"/>
  <c r="L407" i="6"/>
  <c r="AM406" i="6"/>
  <c r="AL406" i="6"/>
  <c r="L406" i="6"/>
  <c r="AM405" i="6"/>
  <c r="AL405" i="6"/>
  <c r="L405" i="6"/>
  <c r="AM404" i="6"/>
  <c r="AL404" i="6"/>
  <c r="L404" i="6"/>
  <c r="AM403" i="6"/>
  <c r="AL403" i="6"/>
  <c r="L403" i="6"/>
  <c r="AM402" i="6"/>
  <c r="AL402" i="6"/>
  <c r="L402" i="6"/>
  <c r="AM401" i="6"/>
  <c r="AL401" i="6"/>
  <c r="L401" i="6"/>
  <c r="AM400" i="6"/>
  <c r="AL400" i="6"/>
  <c r="L400" i="6"/>
  <c r="AM399" i="6"/>
  <c r="AL399" i="6"/>
  <c r="L399" i="6"/>
  <c r="AM398" i="6"/>
  <c r="AL398" i="6"/>
  <c r="L398" i="6"/>
  <c r="AM397" i="6"/>
  <c r="AL397" i="6"/>
  <c r="L397" i="6"/>
  <c r="AM396" i="6"/>
  <c r="AL396" i="6"/>
  <c r="L396" i="6"/>
  <c r="AM395" i="6"/>
  <c r="AL395" i="6"/>
  <c r="L395" i="6"/>
  <c r="AM394" i="6"/>
  <c r="AL394" i="6"/>
  <c r="L394" i="6"/>
  <c r="AM393" i="6"/>
  <c r="AL393" i="6"/>
  <c r="L393" i="6"/>
  <c r="AM392" i="6"/>
  <c r="AL392" i="6"/>
  <c r="L392" i="6"/>
  <c r="AM391" i="6"/>
  <c r="AL391" i="6"/>
  <c r="L391" i="6"/>
  <c r="AM390" i="6"/>
  <c r="AL390" i="6"/>
  <c r="L390" i="6"/>
  <c r="AM389" i="6"/>
  <c r="AL389" i="6"/>
  <c r="L389" i="6"/>
  <c r="AM388" i="6"/>
  <c r="AL388" i="6"/>
  <c r="L388" i="6"/>
  <c r="AM387" i="6"/>
  <c r="AL387" i="6"/>
  <c r="L387" i="6"/>
  <c r="AM386" i="6"/>
  <c r="AL386" i="6"/>
  <c r="L386" i="6"/>
  <c r="AM385" i="6"/>
  <c r="AL385" i="6"/>
  <c r="L385" i="6"/>
  <c r="AM384" i="6"/>
  <c r="AL384" i="6"/>
  <c r="L384" i="6"/>
  <c r="AM383" i="6"/>
  <c r="AL383" i="6"/>
  <c r="L383" i="6"/>
  <c r="AM382" i="6"/>
  <c r="AL382" i="6"/>
  <c r="L382" i="6"/>
  <c r="AM381" i="6"/>
  <c r="AL381" i="6"/>
  <c r="L381" i="6"/>
  <c r="AM380" i="6"/>
  <c r="AL380" i="6"/>
  <c r="L380" i="6"/>
  <c r="AM379" i="6"/>
  <c r="AL379" i="6"/>
  <c r="L379" i="6"/>
  <c r="AM378" i="6"/>
  <c r="AL378" i="6"/>
  <c r="L378" i="6"/>
  <c r="AM377" i="6"/>
  <c r="AL377" i="6"/>
  <c r="L377" i="6"/>
  <c r="AM376" i="6"/>
  <c r="AL376" i="6"/>
  <c r="L376" i="6"/>
  <c r="AM375" i="6"/>
  <c r="AL375" i="6"/>
  <c r="L375" i="6"/>
  <c r="AM374" i="6"/>
  <c r="AL374" i="6"/>
  <c r="L374" i="6"/>
  <c r="AM373" i="6"/>
  <c r="AL373" i="6"/>
  <c r="L373" i="6"/>
  <c r="AM372" i="6"/>
  <c r="AL372" i="6"/>
  <c r="L372" i="6"/>
  <c r="AM371" i="6"/>
  <c r="AL371" i="6"/>
  <c r="L371" i="6"/>
  <c r="AM370" i="6"/>
  <c r="AL370" i="6"/>
  <c r="L370" i="6"/>
  <c r="M370" i="6" s="1"/>
  <c r="AM369" i="6"/>
  <c r="AL369" i="6"/>
  <c r="L369" i="6"/>
  <c r="M369" i="6" s="1"/>
  <c r="AM368" i="6"/>
  <c r="AL368" i="6"/>
  <c r="L368" i="6"/>
  <c r="M368" i="6" s="1"/>
  <c r="AM367" i="6"/>
  <c r="AL367" i="6"/>
  <c r="L367" i="6"/>
  <c r="AM366" i="6"/>
  <c r="AL366" i="6"/>
  <c r="L366" i="6"/>
  <c r="M366" i="6" s="1"/>
  <c r="AM365" i="6"/>
  <c r="AL365" i="6"/>
  <c r="L365" i="6"/>
  <c r="M365" i="6" s="1"/>
  <c r="AM364" i="6"/>
  <c r="AL364" i="6"/>
  <c r="L364" i="6"/>
  <c r="M364" i="6" s="1"/>
  <c r="AM363" i="6"/>
  <c r="AL363" i="6"/>
  <c r="L363" i="6"/>
  <c r="M363" i="6" s="1"/>
  <c r="AM362" i="6"/>
  <c r="AL362" i="6"/>
  <c r="L362" i="6"/>
  <c r="M362" i="6" s="1"/>
  <c r="AM361" i="6"/>
  <c r="AL361" i="6"/>
  <c r="L361" i="6"/>
  <c r="M361" i="6" s="1"/>
  <c r="AM360" i="6"/>
  <c r="AL360" i="6"/>
  <c r="L360" i="6"/>
  <c r="AM359" i="6"/>
  <c r="AL359" i="6"/>
  <c r="L359" i="6"/>
  <c r="M359" i="6" s="1"/>
  <c r="AM358" i="6"/>
  <c r="AL358" i="6"/>
  <c r="L358" i="6"/>
  <c r="M358" i="6" s="1"/>
  <c r="AM357" i="6"/>
  <c r="AL357" i="6"/>
  <c r="L357" i="6"/>
  <c r="M357" i="6" s="1"/>
  <c r="AM356" i="6"/>
  <c r="AL356" i="6"/>
  <c r="L356" i="6"/>
  <c r="M356" i="6" s="1"/>
  <c r="AM355" i="6"/>
  <c r="AL355" i="6"/>
  <c r="L355" i="6"/>
  <c r="M355" i="6" s="1"/>
  <c r="AM354" i="6"/>
  <c r="AL354" i="6"/>
  <c r="L354" i="6"/>
  <c r="M354" i="6" s="1"/>
  <c r="AM353" i="6"/>
  <c r="AL353" i="6"/>
  <c r="L353" i="6"/>
  <c r="M353" i="6" s="1"/>
  <c r="AM352" i="6"/>
  <c r="AL352" i="6"/>
  <c r="L352" i="6"/>
  <c r="M352" i="6" s="1"/>
  <c r="AM351" i="6"/>
  <c r="AL351" i="6"/>
  <c r="L351" i="6"/>
  <c r="M351" i="6" s="1"/>
  <c r="AM350" i="6"/>
  <c r="AL350" i="6"/>
  <c r="L350" i="6"/>
  <c r="M350" i="6" s="1"/>
  <c r="AM349" i="6"/>
  <c r="AL349" i="6"/>
  <c r="L349" i="6"/>
  <c r="M349" i="6" s="1"/>
  <c r="AM348" i="6"/>
  <c r="AL348" i="6"/>
  <c r="L348" i="6"/>
  <c r="M348" i="6" s="1"/>
  <c r="AM347" i="6"/>
  <c r="AL347" i="6"/>
  <c r="L347" i="6"/>
  <c r="AM346" i="6"/>
  <c r="AL346" i="6"/>
  <c r="L346" i="6"/>
  <c r="M346" i="6" s="1"/>
  <c r="AM345" i="6"/>
  <c r="AL345" i="6"/>
  <c r="L345" i="6"/>
  <c r="M345" i="6" s="1"/>
  <c r="AM344" i="6"/>
  <c r="AL344" i="6"/>
  <c r="L344" i="6"/>
  <c r="M344" i="6" s="1"/>
  <c r="AM343" i="6"/>
  <c r="AL343" i="6"/>
  <c r="L343" i="6"/>
  <c r="M343" i="6" s="1"/>
  <c r="AM342" i="6"/>
  <c r="AL342" i="6"/>
  <c r="L342" i="6"/>
  <c r="M342" i="6" s="1"/>
  <c r="AM341" i="6"/>
  <c r="AL341" i="6"/>
  <c r="L341" i="6"/>
  <c r="AM340" i="6"/>
  <c r="AL340" i="6"/>
  <c r="L340" i="6"/>
  <c r="M340" i="6" s="1"/>
  <c r="AM339" i="6"/>
  <c r="AL339" i="6"/>
  <c r="L339" i="6"/>
  <c r="M339" i="6" s="1"/>
  <c r="AM338" i="6"/>
  <c r="AL338" i="6"/>
  <c r="L338" i="6"/>
  <c r="M338" i="6" s="1"/>
  <c r="AM337" i="6"/>
  <c r="AL337" i="6"/>
  <c r="L337" i="6"/>
  <c r="M337" i="6" s="1"/>
  <c r="AM336" i="6"/>
  <c r="AL336" i="6"/>
  <c r="L336" i="6"/>
  <c r="AM335" i="6"/>
  <c r="AL335" i="6"/>
  <c r="L335" i="6"/>
  <c r="AM334" i="6"/>
  <c r="AL334" i="6"/>
  <c r="L334" i="6"/>
  <c r="M334" i="6" s="1"/>
  <c r="AM333" i="6"/>
  <c r="AL333" i="6"/>
  <c r="L333" i="6"/>
  <c r="M333" i="6" s="1"/>
  <c r="AM332" i="6"/>
  <c r="AL332" i="6"/>
  <c r="L332" i="6"/>
  <c r="M332" i="6" s="1"/>
  <c r="AM331" i="6"/>
  <c r="AL331" i="6"/>
  <c r="L331" i="6"/>
  <c r="AM330" i="6"/>
  <c r="AL330" i="6"/>
  <c r="L330" i="6"/>
  <c r="AM329" i="6"/>
  <c r="AL329" i="6"/>
  <c r="L329" i="6"/>
  <c r="AM328" i="6"/>
  <c r="AL328" i="6"/>
  <c r="L328" i="6"/>
  <c r="M328" i="6" s="1"/>
  <c r="AM327" i="6"/>
  <c r="AL327" i="6"/>
  <c r="L327" i="6"/>
  <c r="AM326" i="6"/>
  <c r="AL326" i="6"/>
  <c r="L326" i="6"/>
  <c r="AM325" i="6"/>
  <c r="AL325" i="6"/>
  <c r="L325" i="6"/>
  <c r="AM324" i="6"/>
  <c r="AL324" i="6"/>
  <c r="L324" i="6"/>
  <c r="AM323" i="6"/>
  <c r="AL323" i="6"/>
  <c r="L323" i="6"/>
  <c r="AM322" i="6"/>
  <c r="AL322" i="6"/>
  <c r="L322" i="6"/>
  <c r="AM321" i="6"/>
  <c r="AL321" i="6"/>
  <c r="L321" i="6"/>
  <c r="AM320" i="6"/>
  <c r="AL320" i="6"/>
  <c r="L320" i="6"/>
  <c r="AM319" i="6"/>
  <c r="AL319" i="6"/>
  <c r="L319" i="6"/>
  <c r="AM318" i="6"/>
  <c r="AL318" i="6"/>
  <c r="L318" i="6"/>
  <c r="AM317" i="6"/>
  <c r="AL317" i="6"/>
  <c r="L317" i="6"/>
  <c r="AM316" i="6"/>
  <c r="AL316" i="6"/>
  <c r="L316" i="6"/>
  <c r="AM315" i="6"/>
  <c r="AL315" i="6"/>
  <c r="L315" i="6"/>
  <c r="AM314" i="6"/>
  <c r="AL314" i="6"/>
  <c r="L314" i="6"/>
  <c r="AM313" i="6"/>
  <c r="AL313" i="6"/>
  <c r="L313" i="6"/>
  <c r="AM312" i="6"/>
  <c r="AL312" i="6"/>
  <c r="L312" i="6"/>
  <c r="AM311" i="6"/>
  <c r="AL311" i="6"/>
  <c r="L311" i="6"/>
  <c r="AM310" i="6"/>
  <c r="AL310" i="6"/>
  <c r="L310" i="6"/>
  <c r="AM309" i="6"/>
  <c r="AL309" i="6"/>
  <c r="L309" i="6"/>
  <c r="AM308" i="6"/>
  <c r="AL308" i="6"/>
  <c r="L308" i="6"/>
  <c r="AM307" i="6"/>
  <c r="AL307" i="6"/>
  <c r="L307" i="6"/>
  <c r="AM306" i="6"/>
  <c r="AL306" i="6"/>
  <c r="L306" i="6"/>
  <c r="AM305" i="6"/>
  <c r="AL305" i="6"/>
  <c r="L305" i="6"/>
  <c r="AM304" i="6"/>
  <c r="AL304" i="6"/>
  <c r="L304" i="6"/>
  <c r="AM303" i="6"/>
  <c r="AL303" i="6"/>
  <c r="L303" i="6"/>
  <c r="AM302" i="6"/>
  <c r="AL302" i="6"/>
  <c r="L302" i="6"/>
  <c r="AM301" i="6"/>
  <c r="AL301" i="6"/>
  <c r="L301" i="6"/>
  <c r="AM300" i="6"/>
  <c r="AL300" i="6"/>
  <c r="L300" i="6"/>
  <c r="AM299" i="6"/>
  <c r="AL299" i="6"/>
  <c r="L299" i="6"/>
  <c r="M299" i="6" s="1"/>
  <c r="AM298" i="6"/>
  <c r="AL298" i="6"/>
  <c r="L298" i="6"/>
  <c r="AM297" i="6"/>
  <c r="AL297" i="6"/>
  <c r="L297" i="6"/>
  <c r="AM296" i="6"/>
  <c r="AL296" i="6"/>
  <c r="L296" i="6"/>
  <c r="M296" i="6" s="1"/>
  <c r="AM295" i="6"/>
  <c r="AL295" i="6"/>
  <c r="L295" i="6"/>
  <c r="AM294" i="6"/>
  <c r="AL294" i="6"/>
  <c r="L294" i="6"/>
  <c r="M294" i="6" s="1"/>
  <c r="AM293" i="6"/>
  <c r="AL293" i="6"/>
  <c r="L293" i="6"/>
  <c r="M293" i="6" s="1"/>
  <c r="AM292" i="6"/>
  <c r="AL292" i="6"/>
  <c r="L292" i="6"/>
  <c r="M292" i="6" s="1"/>
  <c r="AM291" i="6"/>
  <c r="AL291" i="6"/>
  <c r="L291" i="6"/>
  <c r="M291" i="6" s="1"/>
  <c r="AM290" i="6"/>
  <c r="AL290" i="6"/>
  <c r="L290" i="6"/>
  <c r="M290" i="6" s="1"/>
  <c r="AM289" i="6"/>
  <c r="AL289" i="6"/>
  <c r="L289" i="6"/>
  <c r="AM288" i="6"/>
  <c r="AL288" i="6"/>
  <c r="L288" i="6"/>
  <c r="M288" i="6" s="1"/>
  <c r="AM287" i="6"/>
  <c r="AL287" i="6"/>
  <c r="L287" i="6"/>
  <c r="M287" i="6" s="1"/>
  <c r="AM286" i="6"/>
  <c r="AL286" i="6"/>
  <c r="L286" i="6"/>
  <c r="M286" i="6" s="1"/>
  <c r="AM285" i="6"/>
  <c r="AL285" i="6"/>
  <c r="L285" i="6"/>
  <c r="M285" i="6" s="1"/>
  <c r="AM284" i="6"/>
  <c r="AL284" i="6"/>
  <c r="L284" i="6"/>
  <c r="M284" i="6" s="1"/>
  <c r="AM283" i="6"/>
  <c r="AL283" i="6"/>
  <c r="L283" i="6"/>
  <c r="M283" i="6" s="1"/>
  <c r="AM282" i="6"/>
  <c r="AL282" i="6"/>
  <c r="L282" i="6"/>
  <c r="M282" i="6" s="1"/>
  <c r="AM281" i="6"/>
  <c r="AL281" i="6"/>
  <c r="L281" i="6"/>
  <c r="M281" i="6" s="1"/>
  <c r="AM280" i="6"/>
  <c r="AL280" i="6"/>
  <c r="L280" i="6"/>
  <c r="M280" i="6" s="1"/>
  <c r="AM279" i="6"/>
  <c r="AL279" i="6"/>
  <c r="L279" i="6"/>
  <c r="M279" i="6" s="1"/>
  <c r="AM278" i="6"/>
  <c r="AL278" i="6"/>
  <c r="L278" i="6"/>
  <c r="M278" i="6" s="1"/>
  <c r="AM277" i="6"/>
  <c r="AL277" i="6"/>
  <c r="L277" i="6"/>
  <c r="AM276" i="6"/>
  <c r="AL276" i="6"/>
  <c r="L276" i="6"/>
  <c r="M276" i="6" s="1"/>
  <c r="AM275" i="6"/>
  <c r="AL275" i="6"/>
  <c r="L275" i="6"/>
  <c r="M275" i="6" s="1"/>
  <c r="AM274" i="6"/>
  <c r="AL274" i="6"/>
  <c r="L274" i="6"/>
  <c r="M274" i="6" s="1"/>
  <c r="AM273" i="6"/>
  <c r="AL273" i="6"/>
  <c r="L273" i="6"/>
  <c r="M273" i="6" s="1"/>
  <c r="AM272" i="6"/>
  <c r="AL272" i="6"/>
  <c r="L272" i="6"/>
  <c r="M272" i="6" s="1"/>
  <c r="AM271" i="6"/>
  <c r="AL271" i="6"/>
  <c r="L271" i="6"/>
  <c r="M271" i="6" s="1"/>
  <c r="AM270" i="6"/>
  <c r="AL270" i="6"/>
  <c r="L270" i="6"/>
  <c r="M270" i="6" s="1"/>
  <c r="AM269" i="6"/>
  <c r="AL269" i="6"/>
  <c r="L269" i="6"/>
  <c r="AM268" i="6"/>
  <c r="AL268" i="6"/>
  <c r="L268" i="6"/>
  <c r="AM267" i="6"/>
  <c r="AL267" i="6"/>
  <c r="L267" i="6"/>
  <c r="AM266" i="6"/>
  <c r="AL266" i="6"/>
  <c r="L266" i="6"/>
  <c r="M266" i="6" s="1"/>
  <c r="AM265" i="6"/>
  <c r="AL265" i="6"/>
  <c r="L265" i="6"/>
  <c r="AM264" i="6"/>
  <c r="AL264" i="6"/>
  <c r="L264" i="6"/>
  <c r="AM263" i="6"/>
  <c r="AL263" i="6"/>
  <c r="L263" i="6"/>
  <c r="AM262" i="6"/>
  <c r="AL262" i="6"/>
  <c r="L262" i="6"/>
  <c r="M262" i="6" s="1"/>
  <c r="AM261" i="6"/>
  <c r="AL261" i="6"/>
  <c r="L261" i="6"/>
  <c r="AM260" i="6"/>
  <c r="AL260" i="6"/>
  <c r="L260" i="6"/>
  <c r="AM259" i="6"/>
  <c r="AL259" i="6"/>
  <c r="L259" i="6"/>
  <c r="AM258" i="6"/>
  <c r="AL258" i="6"/>
  <c r="L258" i="6"/>
  <c r="AM257" i="6"/>
  <c r="AL257" i="6"/>
  <c r="L257" i="6"/>
  <c r="AM256" i="6"/>
  <c r="AL256" i="6"/>
  <c r="L256" i="6"/>
  <c r="AM255" i="6"/>
  <c r="AL255" i="6"/>
  <c r="L255" i="6"/>
  <c r="AM254" i="6"/>
  <c r="AL254" i="6"/>
  <c r="L254" i="6"/>
  <c r="AM253" i="6"/>
  <c r="AL253" i="6"/>
  <c r="L253" i="6"/>
  <c r="AM252" i="6"/>
  <c r="AL252" i="6"/>
  <c r="L252" i="6"/>
  <c r="M252" i="6" s="1"/>
  <c r="AM251" i="6"/>
  <c r="AL251" i="6"/>
  <c r="L251" i="6"/>
  <c r="AM250" i="6"/>
  <c r="AL250" i="6"/>
  <c r="L250" i="6"/>
  <c r="AM249" i="6"/>
  <c r="AL249" i="6"/>
  <c r="L249" i="6"/>
  <c r="AM248" i="6"/>
  <c r="AL248" i="6"/>
  <c r="L248" i="6"/>
  <c r="AM247" i="6"/>
  <c r="AL247" i="6"/>
  <c r="L247" i="6"/>
  <c r="AM246" i="6"/>
  <c r="AL246" i="6"/>
  <c r="L246" i="6"/>
  <c r="AM245" i="6"/>
  <c r="AL245" i="6"/>
  <c r="L245" i="6"/>
  <c r="AM244" i="6"/>
  <c r="AL244" i="6"/>
  <c r="L244" i="6"/>
  <c r="M244" i="6" s="1"/>
  <c r="AM243" i="6"/>
  <c r="AL243" i="6"/>
  <c r="L243" i="6"/>
  <c r="AM242" i="6"/>
  <c r="AL242" i="6"/>
  <c r="L242" i="6"/>
  <c r="AM241" i="6"/>
  <c r="AL241" i="6"/>
  <c r="L241" i="6"/>
  <c r="AM240" i="6"/>
  <c r="AL240" i="6"/>
  <c r="L240" i="6"/>
  <c r="AM239" i="6"/>
  <c r="AL239" i="6"/>
  <c r="L239" i="6"/>
  <c r="AM238" i="6"/>
  <c r="AL238" i="6"/>
  <c r="L238" i="6"/>
  <c r="AM237" i="6"/>
  <c r="AL237" i="6"/>
  <c r="L237" i="6"/>
  <c r="AM236" i="6"/>
  <c r="AL236" i="6"/>
  <c r="L236" i="6"/>
  <c r="AM235" i="6"/>
  <c r="AL235" i="6"/>
  <c r="L235" i="6"/>
  <c r="AM234" i="6"/>
  <c r="AL234" i="6"/>
  <c r="L234" i="6"/>
  <c r="AM233" i="6"/>
  <c r="AL233" i="6"/>
  <c r="L233" i="6"/>
  <c r="AM232" i="6"/>
  <c r="AL232" i="6"/>
  <c r="L232" i="6"/>
  <c r="AM231" i="6"/>
  <c r="AL231" i="6"/>
  <c r="L231" i="6"/>
  <c r="AM230" i="6"/>
  <c r="AL230" i="6"/>
  <c r="L230" i="6"/>
  <c r="AM229" i="6"/>
  <c r="AL229" i="6"/>
  <c r="L229" i="6"/>
  <c r="AM228" i="6"/>
  <c r="AL228" i="6"/>
  <c r="L228" i="6"/>
  <c r="AM227" i="6"/>
  <c r="AL227" i="6"/>
  <c r="L227" i="6"/>
  <c r="M227" i="6" s="1"/>
  <c r="AM226" i="6"/>
  <c r="AL226" i="6"/>
  <c r="L226" i="6"/>
  <c r="M226" i="6" s="1"/>
  <c r="AM225" i="6"/>
  <c r="AL225" i="6"/>
  <c r="L225" i="6"/>
  <c r="M225" i="6" s="1"/>
  <c r="AM224" i="6"/>
  <c r="AL224" i="6"/>
  <c r="L224" i="6"/>
  <c r="M224" i="6" s="1"/>
  <c r="AM223" i="6"/>
  <c r="AL223" i="6"/>
  <c r="L223" i="6"/>
  <c r="AM222" i="6"/>
  <c r="AL222" i="6"/>
  <c r="L222" i="6"/>
  <c r="AM221" i="6"/>
  <c r="AL221" i="6"/>
  <c r="L221" i="6"/>
  <c r="AM220" i="6"/>
  <c r="AL220" i="6"/>
  <c r="L220" i="6"/>
  <c r="M220" i="6" s="1"/>
  <c r="AM219" i="6"/>
  <c r="AL219" i="6"/>
  <c r="L219" i="6"/>
  <c r="AM218" i="6"/>
  <c r="AL218" i="6"/>
  <c r="L218" i="6"/>
  <c r="M218" i="6" s="1"/>
  <c r="AM217" i="6"/>
  <c r="AL217" i="6"/>
  <c r="L217" i="6"/>
  <c r="M217" i="6" s="1"/>
  <c r="AM216" i="6"/>
  <c r="AL216" i="6"/>
  <c r="L216" i="6"/>
  <c r="AM215" i="6"/>
  <c r="AL215" i="6"/>
  <c r="L215" i="6"/>
  <c r="AM214" i="6"/>
  <c r="AL214" i="6"/>
  <c r="L214" i="6"/>
  <c r="M214" i="6" s="1"/>
  <c r="AM213" i="6"/>
  <c r="AL213" i="6"/>
  <c r="L213" i="6"/>
  <c r="M213" i="6" s="1"/>
  <c r="AM212" i="6"/>
  <c r="AL212" i="6"/>
  <c r="L212" i="6"/>
  <c r="M212" i="6" s="1"/>
  <c r="AM211" i="6"/>
  <c r="AL211" i="6"/>
  <c r="L211" i="6"/>
  <c r="M211" i="6" s="1"/>
  <c r="AM210" i="6"/>
  <c r="AL210" i="6"/>
  <c r="L210" i="6"/>
  <c r="M210" i="6" s="1"/>
  <c r="AM209" i="6"/>
  <c r="AL209" i="6"/>
  <c r="L209" i="6"/>
  <c r="M209" i="6" s="1"/>
  <c r="AM208" i="6"/>
  <c r="AL208" i="6"/>
  <c r="L208" i="6"/>
  <c r="M208" i="6" s="1"/>
  <c r="AM207" i="6"/>
  <c r="AL207" i="6"/>
  <c r="L207" i="6"/>
  <c r="M207" i="6" s="1"/>
  <c r="AM206" i="6"/>
  <c r="AL206" i="6"/>
  <c r="L206" i="6"/>
  <c r="M206" i="6" s="1"/>
  <c r="AM205" i="6"/>
  <c r="AL205" i="6"/>
  <c r="L205" i="6"/>
  <c r="AM204" i="6"/>
  <c r="AL204" i="6"/>
  <c r="L204" i="6"/>
  <c r="M204" i="6" s="1"/>
  <c r="AM203" i="6"/>
  <c r="AL203" i="6"/>
  <c r="L203" i="6"/>
  <c r="AM202" i="6"/>
  <c r="AL202" i="6"/>
  <c r="L202" i="6"/>
  <c r="M202" i="6" s="1"/>
  <c r="AM201" i="6"/>
  <c r="AL201" i="6"/>
  <c r="L201" i="6"/>
  <c r="M201" i="6" s="1"/>
  <c r="AM200" i="6"/>
  <c r="AL200" i="6"/>
  <c r="L200" i="6"/>
  <c r="M200" i="6" s="1"/>
  <c r="AM199" i="6"/>
  <c r="AL199" i="6"/>
  <c r="L199" i="6"/>
  <c r="M199" i="6" s="1"/>
  <c r="AM198" i="6"/>
  <c r="AL198" i="6"/>
  <c r="L198" i="6"/>
  <c r="M198" i="6" s="1"/>
  <c r="AM197" i="6"/>
  <c r="AL197" i="6"/>
  <c r="L197" i="6"/>
  <c r="M197" i="6" s="1"/>
  <c r="AM196" i="6"/>
  <c r="AL196" i="6"/>
  <c r="L196" i="6"/>
  <c r="AM195" i="6"/>
  <c r="AL195" i="6"/>
  <c r="L195" i="6"/>
  <c r="AM194" i="6"/>
  <c r="AL194" i="6"/>
  <c r="L194" i="6"/>
  <c r="M194" i="6" s="1"/>
  <c r="AM193" i="6"/>
  <c r="AL193" i="6"/>
  <c r="L193" i="6"/>
  <c r="M193" i="6" s="1"/>
  <c r="AM192" i="6"/>
  <c r="AL192" i="6"/>
  <c r="L192" i="6"/>
  <c r="M192" i="6" s="1"/>
  <c r="AM191" i="6"/>
  <c r="AL191" i="6"/>
  <c r="L191" i="6"/>
  <c r="M191" i="6" s="1"/>
  <c r="AM190" i="6"/>
  <c r="AL190" i="6"/>
  <c r="L190" i="6"/>
  <c r="AM189" i="6"/>
  <c r="AL189" i="6"/>
  <c r="L189" i="6"/>
  <c r="AM188" i="6"/>
  <c r="AL188" i="6"/>
  <c r="L188" i="6"/>
  <c r="M188" i="6" s="1"/>
  <c r="AM187" i="6"/>
  <c r="AL187" i="6"/>
  <c r="L187" i="6"/>
  <c r="AM186" i="6"/>
  <c r="AL186" i="6"/>
  <c r="L186" i="6"/>
  <c r="AM185" i="6"/>
  <c r="AL185" i="6"/>
  <c r="L185" i="6"/>
  <c r="AM184" i="6"/>
  <c r="AL184" i="6"/>
  <c r="L184" i="6"/>
  <c r="AM183" i="6"/>
  <c r="AL183" i="6"/>
  <c r="L183" i="6"/>
  <c r="AM182" i="6"/>
  <c r="AL182" i="6"/>
  <c r="L182" i="6"/>
  <c r="AM181" i="6"/>
  <c r="AL181" i="6"/>
  <c r="L181" i="6"/>
  <c r="AM180" i="6"/>
  <c r="AL180" i="6"/>
  <c r="L180" i="6"/>
  <c r="AM179" i="6"/>
  <c r="AL179" i="6"/>
  <c r="L179" i="6"/>
  <c r="AM178" i="6"/>
  <c r="AL178" i="6"/>
  <c r="L178" i="6"/>
  <c r="AM177" i="6"/>
  <c r="AL177" i="6"/>
  <c r="L177" i="6"/>
  <c r="AM176" i="6"/>
  <c r="AL176" i="6"/>
  <c r="L176" i="6"/>
  <c r="AM175" i="6"/>
  <c r="AL175" i="6"/>
  <c r="L175" i="6"/>
  <c r="AM174" i="6"/>
  <c r="AL174" i="6"/>
  <c r="L174" i="6"/>
  <c r="AM173" i="6"/>
  <c r="AL173" i="6"/>
  <c r="L173" i="6"/>
  <c r="AM172" i="6"/>
  <c r="AL172" i="6"/>
  <c r="L172" i="6"/>
  <c r="AM171" i="6"/>
  <c r="AL171" i="6"/>
  <c r="L171" i="6"/>
  <c r="AM170" i="6"/>
  <c r="AL170" i="6"/>
  <c r="L170" i="6"/>
  <c r="AM169" i="6"/>
  <c r="AL169" i="6"/>
  <c r="L169" i="6"/>
  <c r="AM168" i="6"/>
  <c r="AL168" i="6"/>
  <c r="L168" i="6"/>
  <c r="AM167" i="6"/>
  <c r="AL167" i="6"/>
  <c r="L167" i="6"/>
  <c r="AM166" i="6"/>
  <c r="AL166" i="6"/>
  <c r="L166" i="6"/>
  <c r="AM165" i="6"/>
  <c r="AL165" i="6"/>
  <c r="L165" i="6"/>
  <c r="AM164" i="6"/>
  <c r="AL164" i="6"/>
  <c r="L164" i="6"/>
  <c r="AM163" i="6"/>
  <c r="AL163" i="6"/>
  <c r="L163" i="6"/>
  <c r="AM162" i="6"/>
  <c r="AL162" i="6"/>
  <c r="L162" i="6"/>
  <c r="AM161" i="6"/>
  <c r="AL161" i="6"/>
  <c r="L161" i="6"/>
  <c r="AM160" i="6"/>
  <c r="AL160" i="6"/>
  <c r="L160" i="6"/>
  <c r="AM159" i="6"/>
  <c r="AL159" i="6"/>
  <c r="L159" i="6"/>
  <c r="AM158" i="6"/>
  <c r="AL158" i="6"/>
  <c r="L158" i="6"/>
  <c r="AM157" i="6"/>
  <c r="AL157" i="6"/>
  <c r="L157" i="6"/>
  <c r="AM156" i="6"/>
  <c r="AL156" i="6"/>
  <c r="L156" i="6"/>
  <c r="AM155" i="6"/>
  <c r="AL155" i="6"/>
  <c r="L155" i="6"/>
  <c r="AM154" i="6"/>
  <c r="AL154" i="6"/>
  <c r="L154" i="6"/>
  <c r="AM153" i="6"/>
  <c r="AL153" i="6"/>
  <c r="L153" i="6"/>
  <c r="AM152" i="6"/>
  <c r="AL152" i="6"/>
  <c r="L152" i="6"/>
  <c r="AM151" i="6"/>
  <c r="AL151" i="6"/>
  <c r="L151" i="6"/>
  <c r="AM150" i="6"/>
  <c r="AL150" i="6"/>
  <c r="L150" i="6"/>
  <c r="AM149" i="6"/>
  <c r="AL149" i="6"/>
  <c r="L149" i="6"/>
  <c r="AM148" i="6"/>
  <c r="AL148" i="6"/>
  <c r="L148" i="6"/>
  <c r="AM147" i="6"/>
  <c r="AL147" i="6"/>
  <c r="L147" i="6"/>
  <c r="AM146" i="6"/>
  <c r="AL146" i="6"/>
  <c r="L146" i="6"/>
  <c r="AM145" i="6"/>
  <c r="AL145" i="6"/>
  <c r="L145" i="6"/>
  <c r="AM144" i="6"/>
  <c r="AL144" i="6"/>
  <c r="L144" i="6"/>
  <c r="AM143" i="6"/>
  <c r="AL143" i="6"/>
  <c r="L143" i="6"/>
  <c r="AM142" i="6"/>
  <c r="AL142" i="6"/>
  <c r="L142" i="6"/>
  <c r="AM141" i="6"/>
  <c r="AL141" i="6"/>
  <c r="L141" i="6"/>
  <c r="AM140" i="6"/>
  <c r="AL140" i="6"/>
  <c r="L140" i="6"/>
  <c r="AM139" i="6"/>
  <c r="AL139" i="6"/>
  <c r="L139" i="6"/>
  <c r="AM138" i="6"/>
  <c r="AL138" i="6"/>
  <c r="L138" i="6"/>
  <c r="AM137" i="6"/>
  <c r="AL137" i="6"/>
  <c r="L137" i="6"/>
  <c r="AM136" i="6"/>
  <c r="AL136" i="6"/>
  <c r="L136" i="6"/>
  <c r="AM135" i="6"/>
  <c r="AL135" i="6"/>
  <c r="L135" i="6"/>
  <c r="AM134" i="6"/>
  <c r="AL134" i="6"/>
  <c r="L134" i="6"/>
  <c r="AM133" i="6"/>
  <c r="AL133" i="6"/>
  <c r="L133" i="6"/>
  <c r="AM132" i="6"/>
  <c r="AL132" i="6"/>
  <c r="L132" i="6"/>
  <c r="AM131" i="6"/>
  <c r="AL131" i="6"/>
  <c r="L131" i="6"/>
  <c r="M131" i="6" s="1"/>
  <c r="AM130" i="6"/>
  <c r="AL130" i="6"/>
  <c r="L130" i="6"/>
  <c r="AM129" i="6"/>
  <c r="AL129" i="6"/>
  <c r="L129" i="6"/>
  <c r="AM128" i="6"/>
  <c r="AL128" i="6"/>
  <c r="L128" i="6"/>
  <c r="AM127" i="6"/>
  <c r="AL127" i="6"/>
  <c r="L127" i="6"/>
  <c r="AM126" i="6"/>
  <c r="AL126" i="6"/>
  <c r="L126" i="6"/>
  <c r="AM125" i="6"/>
  <c r="AL125" i="6"/>
  <c r="L125" i="6"/>
  <c r="AM124" i="6"/>
  <c r="AL124" i="6"/>
  <c r="L124" i="6"/>
  <c r="AM123" i="6"/>
  <c r="AL123" i="6"/>
  <c r="L123" i="6"/>
  <c r="AM122" i="6"/>
  <c r="AL122" i="6"/>
  <c r="L122" i="6"/>
  <c r="AM121" i="6"/>
  <c r="AL121" i="6"/>
  <c r="L121" i="6"/>
  <c r="AM120" i="6"/>
  <c r="AL120" i="6"/>
  <c r="L120" i="6"/>
  <c r="AM119" i="6"/>
  <c r="AL119" i="6"/>
  <c r="L119" i="6"/>
  <c r="AM118" i="6"/>
  <c r="AL118" i="6"/>
  <c r="L118" i="6"/>
  <c r="AM117" i="6"/>
  <c r="AL117" i="6"/>
  <c r="L117" i="6"/>
  <c r="AM116" i="6"/>
  <c r="AL116" i="6"/>
  <c r="L116" i="6"/>
  <c r="AM115" i="6"/>
  <c r="AL115" i="6"/>
  <c r="L115" i="6"/>
  <c r="AM114" i="6"/>
  <c r="AL114" i="6"/>
  <c r="L114" i="6"/>
  <c r="AM113" i="6"/>
  <c r="AL113" i="6"/>
  <c r="L113" i="6"/>
  <c r="AM112" i="6"/>
  <c r="AL112" i="6"/>
  <c r="L112" i="6"/>
  <c r="AM111" i="6"/>
  <c r="AL111" i="6"/>
  <c r="L111" i="6"/>
  <c r="AM110" i="6"/>
  <c r="AL110" i="6"/>
  <c r="L110" i="6"/>
  <c r="AM109" i="6"/>
  <c r="AL109" i="6"/>
  <c r="L109" i="6"/>
  <c r="AM108" i="6"/>
  <c r="AL108" i="6"/>
  <c r="L108" i="6"/>
  <c r="AM107" i="6"/>
  <c r="AL107" i="6"/>
  <c r="L107" i="6"/>
  <c r="AM106" i="6"/>
  <c r="AL106" i="6"/>
  <c r="L106" i="6"/>
  <c r="AM105" i="6"/>
  <c r="AL105" i="6"/>
  <c r="L105" i="6"/>
  <c r="AM104" i="6"/>
  <c r="AL104" i="6"/>
  <c r="L104" i="6"/>
  <c r="AM103" i="6"/>
  <c r="AL103" i="6"/>
  <c r="L103" i="6"/>
  <c r="AM102" i="6"/>
  <c r="AL102" i="6"/>
  <c r="L102" i="6"/>
  <c r="AM101" i="6"/>
  <c r="AL101" i="6"/>
  <c r="L101" i="6"/>
  <c r="AM100" i="6"/>
  <c r="AL100" i="6"/>
  <c r="L100" i="6"/>
  <c r="AM99" i="6"/>
  <c r="AL99" i="6"/>
  <c r="L99" i="6"/>
  <c r="AM98" i="6"/>
  <c r="AL98" i="6"/>
  <c r="L98" i="6"/>
  <c r="AM97" i="6"/>
  <c r="AL97" i="6"/>
  <c r="L97" i="6"/>
  <c r="AM96" i="6"/>
  <c r="AL96" i="6"/>
  <c r="L96" i="6"/>
  <c r="AM95" i="6"/>
  <c r="AL95" i="6"/>
  <c r="L95" i="6"/>
  <c r="AM94" i="6"/>
  <c r="AL94" i="6"/>
  <c r="L94" i="6"/>
  <c r="AM93" i="6"/>
  <c r="AL93" i="6"/>
  <c r="L93" i="6"/>
  <c r="AM92" i="6"/>
  <c r="AL92" i="6"/>
  <c r="L92" i="6"/>
  <c r="AM91" i="6"/>
  <c r="AL91" i="6"/>
  <c r="L91" i="6"/>
  <c r="AM90" i="6"/>
  <c r="AL90" i="6"/>
  <c r="L90" i="6"/>
  <c r="AM89" i="6"/>
  <c r="AL89" i="6"/>
  <c r="L89" i="6"/>
  <c r="AM88" i="6"/>
  <c r="AL88" i="6"/>
  <c r="L88" i="6"/>
  <c r="AM87" i="6"/>
  <c r="AL87" i="6"/>
  <c r="L87" i="6"/>
  <c r="AM86" i="6"/>
  <c r="AL86" i="6"/>
  <c r="L86" i="6"/>
  <c r="AM85" i="6"/>
  <c r="AL85" i="6"/>
  <c r="L85" i="6"/>
  <c r="AM84" i="6"/>
  <c r="AL84" i="6"/>
  <c r="L84" i="6"/>
  <c r="AM83" i="6"/>
  <c r="AL83" i="6"/>
  <c r="L83" i="6"/>
  <c r="AM82" i="6"/>
  <c r="AL82" i="6"/>
  <c r="L82" i="6"/>
  <c r="AM81" i="6"/>
  <c r="AL81" i="6"/>
  <c r="L81" i="6"/>
  <c r="AM80" i="6"/>
  <c r="AL80" i="6"/>
  <c r="L80" i="6"/>
  <c r="AM79" i="6"/>
  <c r="AL79" i="6"/>
  <c r="L79" i="6"/>
  <c r="AM78" i="6"/>
  <c r="AL78" i="6"/>
  <c r="L78" i="6"/>
  <c r="AM77" i="6"/>
  <c r="AL77" i="6"/>
  <c r="L77" i="6"/>
  <c r="AM76" i="6"/>
  <c r="AL76" i="6"/>
  <c r="L76" i="6"/>
  <c r="AM75" i="6"/>
  <c r="AL75" i="6"/>
  <c r="L75" i="6"/>
  <c r="AM74" i="6"/>
  <c r="AL74" i="6"/>
  <c r="L74" i="6"/>
  <c r="AM73" i="6"/>
  <c r="AL73" i="6"/>
  <c r="L73" i="6"/>
  <c r="AM72" i="6"/>
  <c r="AL72" i="6"/>
  <c r="L72" i="6"/>
  <c r="AM71" i="6"/>
  <c r="AL71" i="6"/>
  <c r="L71" i="6"/>
  <c r="AM70" i="6"/>
  <c r="AL70" i="6"/>
  <c r="L70" i="6"/>
  <c r="AM69" i="6"/>
  <c r="AL69" i="6"/>
  <c r="L69" i="6"/>
  <c r="AM68" i="6"/>
  <c r="AL68" i="6"/>
  <c r="L68" i="6"/>
  <c r="AM67" i="6"/>
  <c r="AL67" i="6"/>
  <c r="L67" i="6"/>
  <c r="AM66" i="6"/>
  <c r="AL66" i="6"/>
  <c r="L66" i="6"/>
  <c r="AM65" i="6"/>
  <c r="AL65" i="6"/>
  <c r="L65" i="6"/>
  <c r="AM64" i="6"/>
  <c r="AL64" i="6"/>
  <c r="L64" i="6"/>
  <c r="AM63" i="6"/>
  <c r="AL63" i="6"/>
  <c r="L63" i="6"/>
  <c r="AM62" i="6"/>
  <c r="AL62" i="6"/>
  <c r="L62" i="6"/>
  <c r="AM61" i="6"/>
  <c r="AL61" i="6"/>
  <c r="L61" i="6"/>
  <c r="AM60" i="6"/>
  <c r="AL60" i="6"/>
  <c r="L60" i="6"/>
  <c r="AM59" i="6"/>
  <c r="AL59" i="6"/>
  <c r="L59" i="6"/>
  <c r="AM58" i="6"/>
  <c r="AL58" i="6"/>
  <c r="L58" i="6"/>
  <c r="AM57" i="6"/>
  <c r="AL57" i="6"/>
  <c r="L57" i="6"/>
  <c r="AM56" i="6"/>
  <c r="AL56" i="6"/>
  <c r="L56" i="6"/>
  <c r="AM55" i="6"/>
  <c r="AL55" i="6"/>
  <c r="L55" i="6"/>
  <c r="AM54" i="6"/>
  <c r="AL54" i="6"/>
  <c r="L54" i="6"/>
  <c r="AM53" i="6"/>
  <c r="AL53" i="6"/>
  <c r="L53" i="6"/>
  <c r="AM52" i="6"/>
  <c r="AL52" i="6"/>
  <c r="L52" i="6"/>
  <c r="AM51" i="6"/>
  <c r="AL51" i="6"/>
  <c r="L51" i="6"/>
  <c r="AM50" i="6"/>
  <c r="AL50" i="6"/>
  <c r="L50" i="6"/>
  <c r="AM49" i="6"/>
  <c r="AL49" i="6"/>
  <c r="L49" i="6"/>
  <c r="AM48" i="6"/>
  <c r="AL48" i="6"/>
  <c r="L48" i="6"/>
  <c r="AM47" i="6"/>
  <c r="AL47" i="6"/>
  <c r="L47" i="6"/>
  <c r="AM46" i="6"/>
  <c r="AL46" i="6"/>
  <c r="L46" i="6"/>
  <c r="AM45" i="6"/>
  <c r="AL45" i="6"/>
  <c r="L45" i="6"/>
  <c r="AM44" i="6"/>
  <c r="AL44" i="6"/>
  <c r="L44" i="6"/>
  <c r="AM43" i="6"/>
  <c r="AL43" i="6"/>
  <c r="L43" i="6"/>
  <c r="AM42" i="6"/>
  <c r="AL42" i="6"/>
  <c r="L42" i="6"/>
  <c r="AM41" i="6"/>
  <c r="AL41" i="6"/>
  <c r="L41" i="6"/>
  <c r="AM40" i="6"/>
  <c r="AL40" i="6"/>
  <c r="L40" i="6"/>
  <c r="AM39" i="6"/>
  <c r="AL39" i="6"/>
  <c r="L39" i="6"/>
  <c r="AM38" i="6"/>
  <c r="AL38" i="6"/>
  <c r="L38" i="6"/>
  <c r="AM37" i="6"/>
  <c r="AL37" i="6"/>
  <c r="L37" i="6"/>
  <c r="AM36" i="6"/>
  <c r="AL36" i="6"/>
  <c r="L36" i="6"/>
  <c r="AM35" i="6"/>
  <c r="AL35" i="6"/>
  <c r="L35" i="6"/>
  <c r="AM34" i="6"/>
  <c r="AL34" i="6"/>
  <c r="L34" i="6"/>
  <c r="AM33" i="6"/>
  <c r="AL33" i="6"/>
  <c r="L33" i="6"/>
  <c r="AM32" i="6"/>
  <c r="AL32" i="6"/>
  <c r="L32" i="6"/>
  <c r="AM31" i="6"/>
  <c r="AL31" i="6"/>
  <c r="L31" i="6"/>
  <c r="AM30" i="6"/>
  <c r="AL30" i="6"/>
  <c r="L30" i="6"/>
  <c r="AI28" i="6"/>
  <c r="X28" i="6"/>
  <c r="W28" i="6"/>
  <c r="V28" i="6"/>
  <c r="U28" i="6"/>
  <c r="T28" i="6"/>
  <c r="S28" i="6"/>
  <c r="R28" i="6"/>
  <c r="Q28" i="6"/>
  <c r="P28" i="6"/>
  <c r="O28" i="6"/>
  <c r="N28" i="6"/>
  <c r="AI27" i="6" a="1"/>
  <c r="AI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T213" i="9"/>
  <c r="T97" i="9"/>
  <c r="T348" i="9"/>
  <c r="T27" i="9"/>
  <c r="T127" i="9"/>
  <c r="T260" i="9"/>
  <c r="T151" i="9"/>
  <c r="T535" i="9"/>
  <c r="T346" i="9"/>
  <c r="T136" i="9"/>
  <c r="T549" i="9"/>
  <c r="T273" i="9"/>
  <c r="T229" i="9"/>
  <c r="T50" i="9"/>
  <c r="T660" i="9"/>
  <c r="T390" i="9"/>
  <c r="T65" i="9"/>
  <c r="T120" i="9"/>
  <c r="T45" i="9"/>
  <c r="T154" i="9"/>
  <c r="T74" i="9"/>
  <c r="T133" i="9"/>
  <c r="T144" i="9"/>
  <c r="T186" i="9"/>
  <c r="T319" i="9"/>
  <c r="T413" i="9"/>
  <c r="T383" i="9"/>
  <c r="T375" i="9"/>
  <c r="T137" i="9"/>
  <c r="T357" i="9"/>
  <c r="T42" i="9"/>
  <c r="T128" i="9"/>
  <c r="T122" i="9"/>
  <c r="T393" i="9"/>
  <c r="T329" i="9"/>
  <c r="T292" i="9"/>
  <c r="T353" i="9"/>
  <c r="T171" i="9"/>
  <c r="T547" i="9"/>
  <c r="T142" i="9"/>
  <c r="T233" i="9"/>
  <c r="T310" i="9"/>
  <c r="T83" i="9"/>
  <c r="T255" i="9"/>
  <c r="T293" i="9"/>
  <c r="T80" i="9"/>
  <c r="T464" i="9"/>
  <c r="T236" i="9"/>
  <c r="T59" i="9"/>
  <c r="T134" i="9"/>
  <c r="T301" i="9"/>
  <c r="T597" i="9"/>
  <c r="T31" i="9"/>
  <c r="T620" i="9"/>
  <c r="T180" i="9"/>
  <c r="T380" i="9"/>
  <c r="T46" i="9"/>
  <c r="T619" i="9"/>
  <c r="T258" i="9"/>
  <c r="T146" i="9"/>
  <c r="T265" i="9"/>
  <c r="T72" i="9"/>
  <c r="T179" i="9"/>
  <c r="T356" i="9"/>
  <c r="T24" i="9"/>
  <c r="T221" i="9"/>
  <c r="T284" i="9"/>
  <c r="T641" i="9"/>
  <c r="T33" i="9"/>
  <c r="T216" i="9"/>
  <c r="T509" i="9"/>
  <c r="T19" i="9"/>
  <c r="T115" i="9"/>
  <c r="T598" i="9"/>
  <c r="T63" i="9"/>
  <c r="T138" i="9"/>
  <c r="T384" i="9"/>
  <c r="T305" i="9"/>
  <c r="T88" i="9"/>
  <c r="T219" i="9"/>
  <c r="T182" i="9"/>
  <c r="T230" i="9"/>
  <c r="T111" i="9"/>
  <c r="T40" i="9"/>
  <c r="T30" i="9"/>
  <c r="T263" i="9"/>
  <c r="T366" i="9"/>
  <c r="T482" i="9"/>
  <c r="T126" i="9"/>
  <c r="T416" i="9"/>
  <c r="T224" i="9"/>
  <c r="T77" i="9"/>
  <c r="T618" i="9"/>
  <c r="T105" i="9"/>
  <c r="T354" i="9"/>
  <c r="T527" i="9"/>
  <c r="T320" i="9"/>
  <c r="T330" i="9"/>
  <c r="T296" i="9"/>
  <c r="T20" i="9"/>
  <c r="T170" i="9"/>
  <c r="T208" i="9"/>
  <c r="T28" i="9"/>
  <c r="T17" i="9"/>
  <c r="T81" i="9"/>
  <c r="T121" i="9"/>
  <c r="T481" i="9"/>
  <c r="T465" i="9"/>
  <c r="T645" i="9"/>
  <c r="T362" i="9"/>
  <c r="T48" i="9"/>
  <c r="T269" i="9"/>
  <c r="T241" i="9"/>
  <c r="T307" i="9"/>
  <c r="T303" i="9"/>
  <c r="T281" i="9"/>
  <c r="T183" i="9"/>
  <c r="T222" i="9"/>
  <c r="T309" i="9"/>
  <c r="T148" i="9"/>
  <c r="T340" i="9"/>
  <c r="T511" i="9"/>
  <c r="T159" i="9"/>
  <c r="T210" i="9"/>
  <c r="T209" i="9"/>
  <c r="T238" i="9"/>
  <c r="T332" i="9"/>
  <c r="T231" i="9"/>
  <c r="T16" i="9"/>
  <c r="T267" i="9"/>
  <c r="T266" i="9"/>
  <c r="T322" i="9"/>
  <c r="T35" i="9"/>
  <c r="T596" i="9"/>
  <c r="T389" i="9"/>
  <c r="T100" i="9"/>
  <c r="T642" i="9"/>
  <c r="T338" i="9"/>
  <c r="T350" i="9"/>
  <c r="T102" i="9"/>
  <c r="T118" i="9"/>
  <c r="T87" i="9"/>
  <c r="T280" i="9"/>
  <c r="T103" i="9"/>
  <c r="T169" i="9"/>
  <c r="T304" i="9"/>
  <c r="T360" i="9"/>
  <c r="T23" i="9"/>
  <c r="T71" i="9"/>
  <c r="T107" i="9"/>
  <c r="T76" i="9"/>
  <c r="T315" i="9"/>
  <c r="T644" i="9"/>
  <c r="T264" i="9"/>
  <c r="T119" i="9"/>
  <c r="T135" i="9"/>
  <c r="T288" i="9"/>
  <c r="T132" i="9"/>
  <c r="T331" i="9"/>
  <c r="T175" i="9"/>
  <c r="T130" i="9"/>
  <c r="T381" i="9"/>
  <c r="T302" i="9"/>
  <c r="T124" i="9"/>
  <c r="T43" i="9"/>
  <c r="T227" i="9"/>
  <c r="T69" i="9"/>
  <c r="T294" i="9"/>
  <c r="T352" i="9"/>
  <c r="T476" i="9"/>
  <c r="T13" i="9"/>
  <c r="T361" i="9"/>
  <c r="T178" i="9"/>
  <c r="T165" i="9"/>
  <c r="T463" i="9"/>
  <c r="T57" i="9"/>
  <c r="T98" i="9"/>
  <c r="T364" i="9"/>
  <c r="T501" i="9"/>
  <c r="T259" i="9"/>
  <c r="T376" i="9"/>
  <c r="T253" i="9"/>
  <c r="T568" i="9"/>
  <c r="T373" i="9"/>
  <c r="T382" i="9"/>
  <c r="T15" i="9"/>
  <c r="T335" i="9"/>
  <c r="T55" i="9"/>
  <c r="T39" i="9"/>
  <c r="T372" i="9"/>
  <c r="T584" i="9"/>
  <c r="T41" i="9"/>
  <c r="T235" i="9"/>
  <c r="T347" i="9"/>
  <c r="T163" i="9"/>
  <c r="T369" i="9"/>
  <c r="T343" i="9"/>
  <c r="T89" i="9"/>
  <c r="T247" i="9"/>
  <c r="T661" i="9"/>
  <c r="T90" i="9"/>
  <c r="T116" i="9"/>
  <c r="T252" i="9"/>
  <c r="T342" i="9"/>
  <c r="T110" i="9"/>
  <c r="T275" i="9"/>
  <c r="T279" i="9"/>
  <c r="T577" i="9"/>
  <c r="T44" i="9"/>
  <c r="T508" i="9"/>
  <c r="T489" i="9"/>
  <c r="T158" i="9"/>
  <c r="T295" i="9"/>
  <c r="T333" i="9"/>
  <c r="T181" i="9"/>
  <c r="T61" i="9"/>
  <c r="T311" i="9"/>
  <c r="T316" i="9"/>
  <c r="T140" i="9"/>
  <c r="T79" i="9"/>
  <c r="T149" i="9"/>
  <c r="T232" i="9"/>
  <c r="T291" i="9"/>
  <c r="T67" i="9"/>
  <c r="T336" i="9"/>
  <c r="T272" i="9"/>
  <c r="T643" i="9"/>
  <c r="T368" i="9"/>
  <c r="T25" i="9"/>
  <c r="T66" i="9"/>
  <c r="T211" i="9"/>
  <c r="T289" i="9"/>
  <c r="T244" i="9"/>
  <c r="T190" i="9"/>
  <c r="T355" i="9"/>
  <c r="T313" i="9"/>
  <c r="T286" i="9"/>
  <c r="T388" i="9"/>
  <c r="T220" i="9"/>
  <c r="T245" i="9"/>
  <c r="T345" i="9"/>
  <c r="T328" i="9"/>
  <c r="T215" i="9"/>
  <c r="T386" i="9"/>
  <c r="T297" i="9"/>
  <c r="T662" i="9"/>
  <c r="T254" i="9"/>
  <c r="T371" i="9"/>
  <c r="T75" i="9"/>
  <c r="T112" i="9"/>
  <c r="T96" i="9"/>
  <c r="T156" i="9"/>
  <c r="T123" i="9"/>
  <c r="T248" i="9"/>
  <c r="T257" i="9"/>
  <c r="T153" i="9"/>
  <c r="T22" i="9"/>
  <c r="T270" i="9"/>
  <c r="T314" i="9"/>
  <c r="T359" i="9"/>
  <c r="T337" i="9"/>
  <c r="T56" i="9"/>
  <c r="T365" i="9"/>
  <c r="T617" i="9"/>
  <c r="T274" i="9"/>
  <c r="T167" i="9"/>
  <c r="T595" i="9"/>
  <c r="T548" i="9"/>
  <c r="T228" i="9"/>
  <c r="T109" i="9"/>
  <c r="T278" i="9"/>
  <c r="T323" i="9"/>
  <c r="T271" i="9"/>
  <c r="T318" i="9"/>
  <c r="T85" i="9"/>
  <c r="T108" i="9"/>
  <c r="T185" i="9"/>
  <c r="T387" i="9"/>
  <c r="T218" i="9"/>
  <c r="T150" i="9"/>
  <c r="T187" i="9"/>
  <c r="T327" i="9"/>
  <c r="T58" i="9"/>
  <c r="T143" i="9"/>
  <c r="T240" i="9"/>
  <c r="T349" i="9"/>
  <c r="T462" i="9"/>
  <c r="T377" i="9"/>
  <c r="T14" i="9"/>
  <c r="T173" i="9"/>
  <c r="T68" i="9"/>
  <c r="T324" i="9"/>
  <c r="T298" i="9"/>
  <c r="T34" i="9"/>
  <c r="T92" i="9"/>
  <c r="T225" i="9"/>
  <c r="T131" i="9"/>
  <c r="T82" i="9"/>
  <c r="T510" i="9"/>
  <c r="T341" i="9"/>
  <c r="T234" i="9"/>
  <c r="T261" i="9"/>
  <c r="T73" i="9"/>
  <c r="T51" i="9"/>
  <c r="T188" i="9"/>
  <c r="T91" i="9"/>
  <c r="T214" i="9"/>
  <c r="T106" i="9"/>
  <c r="T47" i="9"/>
  <c r="T36" i="9"/>
  <c r="T251" i="9"/>
  <c r="T287" i="9"/>
  <c r="T29" i="9"/>
  <c r="T484" i="9"/>
  <c r="T277" i="9"/>
  <c r="T370" i="9"/>
  <c r="T174" i="9"/>
  <c r="T358" i="9"/>
  <c r="T212" i="9"/>
  <c r="T60" i="9"/>
  <c r="T113" i="9"/>
  <c r="T93" i="9"/>
  <c r="T86" i="9"/>
  <c r="T306" i="9"/>
  <c r="T414" i="9"/>
  <c r="T550" i="9"/>
  <c r="T616" i="9"/>
  <c r="T145" i="9"/>
  <c r="T630" i="9"/>
  <c r="T54" i="9"/>
  <c r="T299" i="9"/>
  <c r="T95" i="9"/>
  <c r="T256" i="9"/>
  <c r="T114" i="9"/>
  <c r="T125" i="9"/>
  <c r="T99" i="9"/>
  <c r="T49" i="9"/>
  <c r="T321" i="9"/>
  <c r="T18" i="9"/>
  <c r="T379" i="9"/>
  <c r="T155" i="9"/>
  <c r="T367" i="9"/>
  <c r="T217" i="9"/>
  <c r="T663" i="9"/>
  <c r="T351" i="9"/>
  <c r="T290" i="9"/>
  <c r="T285" i="9"/>
  <c r="T312" i="9"/>
  <c r="T21" i="9"/>
  <c r="T391" i="9"/>
  <c r="T141" i="9"/>
  <c r="T94" i="9"/>
  <c r="T139" i="9"/>
  <c r="T392" i="9"/>
  <c r="T37" i="9"/>
  <c r="T62" i="9"/>
  <c r="T385" i="9"/>
  <c r="T521" i="9"/>
  <c r="T12" i="9"/>
  <c r="T166" i="9"/>
  <c r="T101" i="9"/>
  <c r="T374" i="9"/>
  <c r="Y28" i="4" l="1"/>
  <c r="AI149" i="9"/>
  <c r="V149" i="9"/>
  <c r="U149" i="9"/>
  <c r="AI153" i="9"/>
  <c r="V153" i="9"/>
  <c r="U153" i="9"/>
  <c r="AI159" i="9"/>
  <c r="AJ159" i="9" s="1"/>
  <c r="U159" i="9"/>
  <c r="V159" i="9"/>
  <c r="AI416" i="9"/>
  <c r="V416" i="9"/>
  <c r="U416" i="9"/>
  <c r="V170" i="9"/>
  <c r="AI170" i="9"/>
  <c r="AJ170" i="9" s="1"/>
  <c r="U170" i="9"/>
  <c r="V174" i="9"/>
  <c r="AI174" i="9"/>
  <c r="U174" i="9"/>
  <c r="V183" i="9"/>
  <c r="U183" i="9"/>
  <c r="AI183" i="9"/>
  <c r="AN183" i="9" s="1"/>
  <c r="AO183" i="9" s="1"/>
  <c r="U186" i="9"/>
  <c r="V186" i="9"/>
  <c r="AI186" i="9"/>
  <c r="AJ186" i="9" s="1"/>
  <c r="AI190" i="9"/>
  <c r="V190" i="9"/>
  <c r="U190" i="9"/>
  <c r="V21" i="9"/>
  <c r="AI21" i="9"/>
  <c r="AJ21" i="9" s="1"/>
  <c r="U21" i="9"/>
  <c r="V14" i="9"/>
  <c r="U14" i="9"/>
  <c r="AI14" i="9"/>
  <c r="AJ14" i="9" s="1"/>
  <c r="V18" i="9"/>
  <c r="U18" i="9"/>
  <c r="AI18" i="9"/>
  <c r="AJ18" i="9" s="1"/>
  <c r="V28" i="9"/>
  <c r="AI28" i="9"/>
  <c r="AJ28" i="9" s="1"/>
  <c r="U28" i="9"/>
  <c r="V33" i="9"/>
  <c r="AI33" i="9"/>
  <c r="AJ33" i="9" s="1"/>
  <c r="U33" i="9"/>
  <c r="X32" i="9"/>
  <c r="V37" i="9"/>
  <c r="AI37" i="9"/>
  <c r="AJ37" i="9" s="1"/>
  <c r="U37" i="9"/>
  <c r="V40" i="9"/>
  <c r="U40" i="9"/>
  <c r="AI40" i="9"/>
  <c r="AJ40" i="9" s="1"/>
  <c r="V44" i="9"/>
  <c r="U44" i="9"/>
  <c r="AI44" i="9"/>
  <c r="AJ44" i="9" s="1"/>
  <c r="V48" i="9"/>
  <c r="AI48" i="9"/>
  <c r="AJ48" i="9" s="1"/>
  <c r="U48" i="9"/>
  <c r="AI55" i="9"/>
  <c r="AJ55" i="9" s="1"/>
  <c r="V55" i="9"/>
  <c r="U55" i="9"/>
  <c r="V59" i="9"/>
  <c r="U59" i="9"/>
  <c r="AI59" i="9"/>
  <c r="AJ59" i="9" s="1"/>
  <c r="AI65" i="9"/>
  <c r="AJ65" i="9" s="1"/>
  <c r="V65" i="9"/>
  <c r="U65" i="9"/>
  <c r="X64" i="9"/>
  <c r="V69" i="9"/>
  <c r="AI69" i="9"/>
  <c r="AJ69" i="9" s="1"/>
  <c r="U69" i="9"/>
  <c r="AI74" i="9"/>
  <c r="AJ74" i="9" s="1"/>
  <c r="V74" i="9"/>
  <c r="U74" i="9"/>
  <c r="AI79" i="9"/>
  <c r="AJ79" i="9" s="1"/>
  <c r="V79" i="9"/>
  <c r="U79" i="9"/>
  <c r="X78" i="9"/>
  <c r="AI83" i="9"/>
  <c r="AJ83" i="9" s="1"/>
  <c r="V83" i="9"/>
  <c r="U83" i="9"/>
  <c r="AI98" i="9"/>
  <c r="AJ98" i="9" s="1"/>
  <c r="V98" i="9"/>
  <c r="U98" i="9"/>
  <c r="V102" i="9"/>
  <c r="AI102" i="9"/>
  <c r="AJ102" i="9" s="1"/>
  <c r="U102" i="9"/>
  <c r="V89" i="9"/>
  <c r="AI89" i="9"/>
  <c r="AJ89" i="9" s="1"/>
  <c r="U89" i="9"/>
  <c r="AI93" i="9"/>
  <c r="AJ93" i="9" s="1"/>
  <c r="V93" i="9"/>
  <c r="U93" i="9"/>
  <c r="V115" i="9"/>
  <c r="AI115" i="9"/>
  <c r="AJ115" i="9" s="1"/>
  <c r="U115" i="9"/>
  <c r="V109" i="9"/>
  <c r="AI109" i="9"/>
  <c r="AJ109" i="9" s="1"/>
  <c r="U109" i="9"/>
  <c r="AI113" i="9"/>
  <c r="AJ113" i="9" s="1"/>
  <c r="V113" i="9"/>
  <c r="U113" i="9"/>
  <c r="AI119" i="9"/>
  <c r="AJ119" i="9" s="1"/>
  <c r="V119" i="9"/>
  <c r="U119" i="9"/>
  <c r="AI123" i="9"/>
  <c r="AJ123" i="9" s="1"/>
  <c r="V123" i="9"/>
  <c r="V146" i="9"/>
  <c r="U146" i="9"/>
  <c r="V141" i="9"/>
  <c r="U141" i="9"/>
  <c r="V145" i="9"/>
  <c r="U145" i="9"/>
  <c r="V134" i="9"/>
  <c r="U134" i="9"/>
  <c r="V138" i="9"/>
  <c r="U138" i="9"/>
  <c r="U463" i="9"/>
  <c r="AI463" i="9"/>
  <c r="AJ463" i="9" s="1"/>
  <c r="V463" i="9"/>
  <c r="AI484" i="9"/>
  <c r="AJ484" i="9" s="1"/>
  <c r="V484" i="9"/>
  <c r="V208" i="9"/>
  <c r="AI208" i="9"/>
  <c r="U208" i="9"/>
  <c r="AI220" i="9"/>
  <c r="AJ220" i="9" s="1"/>
  <c r="V220" i="9"/>
  <c r="AI212" i="9"/>
  <c r="AJ212" i="9" s="1"/>
  <c r="V212" i="9"/>
  <c r="U212" i="9"/>
  <c r="V216" i="9"/>
  <c r="AI216" i="9"/>
  <c r="AJ216" i="9" s="1"/>
  <c r="AI241" i="9"/>
  <c r="AJ241" i="9" s="1"/>
  <c r="V241" i="9"/>
  <c r="V225" i="9"/>
  <c r="AI225" i="9"/>
  <c r="AJ225" i="9" s="1"/>
  <c r="AI230" i="9"/>
  <c r="AJ230" i="9" s="1"/>
  <c r="V230" i="9"/>
  <c r="V234" i="9"/>
  <c r="AI234" i="9"/>
  <c r="AJ234" i="9" s="1"/>
  <c r="V247" i="9"/>
  <c r="AI247" i="9"/>
  <c r="AJ247" i="9" s="1"/>
  <c r="AI508" i="9"/>
  <c r="V508" i="9"/>
  <c r="U508" i="9"/>
  <c r="V521" i="9"/>
  <c r="V253" i="9"/>
  <c r="AI253" i="9"/>
  <c r="AJ253" i="9" s="1"/>
  <c r="U253" i="9"/>
  <c r="V257" i="9"/>
  <c r="V269" i="9"/>
  <c r="V273" i="9"/>
  <c r="V265" i="9"/>
  <c r="V278" i="9"/>
  <c r="V277" i="9"/>
  <c r="V548" i="9"/>
  <c r="AI548" i="9"/>
  <c r="AJ548" i="9" s="1"/>
  <c r="U548" i="9"/>
  <c r="V584" i="9"/>
  <c r="V568" i="9"/>
  <c r="AI299" i="9"/>
  <c r="AJ299" i="9" s="1"/>
  <c r="V299" i="9"/>
  <c r="V296" i="9"/>
  <c r="AI296" i="9"/>
  <c r="AJ296" i="9" s="1"/>
  <c r="AI286" i="9"/>
  <c r="AJ286" i="9" s="1"/>
  <c r="V286" i="9"/>
  <c r="U286" i="9"/>
  <c r="AI290" i="9"/>
  <c r="AJ290" i="9" s="1"/>
  <c r="V290" i="9"/>
  <c r="V309" i="9"/>
  <c r="AI309" i="9"/>
  <c r="AJ309" i="9" s="1"/>
  <c r="V314" i="9"/>
  <c r="AI314" i="9"/>
  <c r="AJ314" i="9" s="1"/>
  <c r="V301" i="9"/>
  <c r="AI301" i="9"/>
  <c r="AJ301" i="9" s="1"/>
  <c r="AI306" i="9"/>
  <c r="AJ306" i="9" s="1"/>
  <c r="V306" i="9"/>
  <c r="AI320" i="9"/>
  <c r="AJ320" i="9" s="1"/>
  <c r="V320" i="9"/>
  <c r="AI324" i="9"/>
  <c r="AJ324" i="9" s="1"/>
  <c r="V324" i="9"/>
  <c r="U596" i="9"/>
  <c r="V596" i="9"/>
  <c r="AI596" i="9"/>
  <c r="AJ596" i="9" s="1"/>
  <c r="V333" i="9"/>
  <c r="AI333" i="9"/>
  <c r="AJ333" i="9" s="1"/>
  <c r="AI330" i="9"/>
  <c r="V330" i="9"/>
  <c r="V336" i="9"/>
  <c r="AI336" i="9"/>
  <c r="AJ336" i="9" s="1"/>
  <c r="V341" i="9"/>
  <c r="AI341" i="9"/>
  <c r="AJ341" i="9" s="1"/>
  <c r="U616" i="9"/>
  <c r="V616" i="9"/>
  <c r="AI616" i="9"/>
  <c r="AJ616" i="9" s="1"/>
  <c r="V619" i="9"/>
  <c r="U619" i="9"/>
  <c r="V354" i="9"/>
  <c r="AI354" i="9"/>
  <c r="AJ354" i="9" s="1"/>
  <c r="V358" i="9"/>
  <c r="AI358" i="9"/>
  <c r="AJ358" i="9" s="1"/>
  <c r="AI346" i="9"/>
  <c r="V346" i="9"/>
  <c r="U346" i="9"/>
  <c r="AI350" i="9"/>
  <c r="AJ350" i="9" s="1"/>
  <c r="V350" i="9"/>
  <c r="V644" i="9"/>
  <c r="U644" i="9"/>
  <c r="AI373" i="9"/>
  <c r="AJ373" i="9" s="1"/>
  <c r="V373" i="9"/>
  <c r="V365" i="9"/>
  <c r="AI365" i="9"/>
  <c r="U365" i="9"/>
  <c r="AI369" i="9"/>
  <c r="AJ369" i="9" s="1"/>
  <c r="V369" i="9"/>
  <c r="AI379" i="9"/>
  <c r="V379" i="9"/>
  <c r="U379" i="9"/>
  <c r="AI393" i="9"/>
  <c r="AJ393" i="9" s="1"/>
  <c r="V393" i="9"/>
  <c r="V383" i="9"/>
  <c r="AI383" i="9"/>
  <c r="AJ383" i="9" s="1"/>
  <c r="V387" i="9"/>
  <c r="AI387" i="9"/>
  <c r="AJ387" i="9" s="1"/>
  <c r="V150" i="9"/>
  <c r="U150" i="9"/>
  <c r="AI150" i="9"/>
  <c r="AJ150" i="9" s="1"/>
  <c r="U156" i="9"/>
  <c r="V156" i="9"/>
  <c r="AI156" i="9"/>
  <c r="AJ156" i="9" s="1"/>
  <c r="AI163" i="9"/>
  <c r="V163" i="9"/>
  <c r="U163" i="9"/>
  <c r="V166" i="9"/>
  <c r="AI166" i="9"/>
  <c r="U166" i="9"/>
  <c r="AI171" i="9"/>
  <c r="AJ171" i="9" s="1"/>
  <c r="V171" i="9"/>
  <c r="U171" i="9"/>
  <c r="V175" i="9"/>
  <c r="U175" i="9"/>
  <c r="AI175" i="9"/>
  <c r="AJ175" i="9" s="1"/>
  <c r="V180" i="9"/>
  <c r="U180" i="9"/>
  <c r="AI180" i="9"/>
  <c r="AI185" i="9"/>
  <c r="V185" i="9"/>
  <c r="U185" i="9"/>
  <c r="V24" i="9"/>
  <c r="U24" i="9"/>
  <c r="AI24" i="9"/>
  <c r="AJ24" i="9" s="1"/>
  <c r="V22" i="9"/>
  <c r="U22" i="9"/>
  <c r="AI22" i="9"/>
  <c r="AJ22" i="9" s="1"/>
  <c r="V15" i="9"/>
  <c r="U15" i="9"/>
  <c r="AI15" i="9"/>
  <c r="AJ15" i="9" s="1"/>
  <c r="V19" i="9"/>
  <c r="U19" i="9"/>
  <c r="AI19" i="9"/>
  <c r="AJ19" i="9" s="1"/>
  <c r="V29" i="9"/>
  <c r="AI29" i="9"/>
  <c r="AJ29" i="9" s="1"/>
  <c r="U29" i="9"/>
  <c r="V34" i="9"/>
  <c r="AI34" i="9"/>
  <c r="AJ34" i="9" s="1"/>
  <c r="U34" i="9"/>
  <c r="V50" i="9"/>
  <c r="AI50" i="9"/>
  <c r="AJ50" i="9" s="1"/>
  <c r="U50" i="9"/>
  <c r="V41" i="9"/>
  <c r="U41" i="9"/>
  <c r="AI41" i="9"/>
  <c r="AJ41" i="9" s="1"/>
  <c r="V45" i="9"/>
  <c r="U45" i="9"/>
  <c r="AI45" i="9"/>
  <c r="AJ45" i="9" s="1"/>
  <c r="V49" i="9"/>
  <c r="AI49" i="9"/>
  <c r="AJ49" i="9" s="1"/>
  <c r="U49" i="9"/>
  <c r="V56" i="9"/>
  <c r="U56" i="9"/>
  <c r="AI56" i="9"/>
  <c r="AJ56" i="9" s="1"/>
  <c r="V60" i="9"/>
  <c r="AI60" i="9"/>
  <c r="AJ60" i="9" s="1"/>
  <c r="U60" i="9"/>
  <c r="AI66" i="9"/>
  <c r="AJ66" i="9" s="1"/>
  <c r="V66" i="9"/>
  <c r="U66" i="9"/>
  <c r="AI71" i="9"/>
  <c r="AJ71" i="9" s="1"/>
  <c r="V71" i="9"/>
  <c r="X70" i="9"/>
  <c r="U71" i="9"/>
  <c r="AI75" i="9"/>
  <c r="AJ75" i="9" s="1"/>
  <c r="V75" i="9"/>
  <c r="U75" i="9"/>
  <c r="V80" i="9"/>
  <c r="AI80" i="9"/>
  <c r="AJ80" i="9" s="1"/>
  <c r="U80" i="9"/>
  <c r="V103" i="9"/>
  <c r="AI103" i="9"/>
  <c r="AJ103" i="9" s="1"/>
  <c r="U103" i="9"/>
  <c r="AI95" i="9"/>
  <c r="AJ95" i="9" s="1"/>
  <c r="V95" i="9"/>
  <c r="U95" i="9"/>
  <c r="V99" i="9"/>
  <c r="AI99" i="9"/>
  <c r="AJ99" i="9" s="1"/>
  <c r="U99" i="9"/>
  <c r="V86" i="9"/>
  <c r="AI86" i="9"/>
  <c r="AJ86" i="9" s="1"/>
  <c r="U86" i="9"/>
  <c r="AI90" i="9"/>
  <c r="AJ90" i="9" s="1"/>
  <c r="V90" i="9"/>
  <c r="U90" i="9"/>
  <c r="U116" i="9"/>
  <c r="AI116" i="9"/>
  <c r="AJ116" i="9" s="1"/>
  <c r="V116" i="9"/>
  <c r="AI106" i="9"/>
  <c r="AJ106" i="9" s="1"/>
  <c r="V106" i="9"/>
  <c r="U106" i="9"/>
  <c r="V110" i="9"/>
  <c r="AI110" i="9"/>
  <c r="AJ110" i="9" s="1"/>
  <c r="U110" i="9"/>
  <c r="AI128" i="9"/>
  <c r="AJ128" i="9" s="1"/>
  <c r="V128" i="9"/>
  <c r="AI120" i="9"/>
  <c r="AJ120" i="9" s="1"/>
  <c r="V120" i="9"/>
  <c r="U120" i="9"/>
  <c r="AI124" i="9"/>
  <c r="AJ124" i="9" s="1"/>
  <c r="V124" i="9"/>
  <c r="AI130" i="9"/>
  <c r="V130" i="9"/>
  <c r="U130" i="9"/>
  <c r="X129" i="9"/>
  <c r="V142" i="9"/>
  <c r="U142" i="9"/>
  <c r="V131" i="9"/>
  <c r="AI131" i="9"/>
  <c r="AJ131" i="9" s="1"/>
  <c r="U131" i="9"/>
  <c r="V135" i="9"/>
  <c r="U135" i="9"/>
  <c r="AI464" i="9"/>
  <c r="AJ464" i="9" s="1"/>
  <c r="V464" i="9"/>
  <c r="U464" i="9"/>
  <c r="AI489" i="9"/>
  <c r="AJ489" i="9" s="1"/>
  <c r="V489" i="9"/>
  <c r="V217" i="9"/>
  <c r="AI217" i="9"/>
  <c r="AJ217" i="9" s="1"/>
  <c r="V209" i="9"/>
  <c r="U209" i="9"/>
  <c r="AI209" i="9"/>
  <c r="AJ209" i="9" s="1"/>
  <c r="V213" i="9"/>
  <c r="AI213" i="9"/>
  <c r="AJ213" i="9" s="1"/>
  <c r="U213" i="9"/>
  <c r="V235" i="9"/>
  <c r="AI235" i="9"/>
  <c r="AJ235" i="9" s="1"/>
  <c r="V231" i="9"/>
  <c r="AI231" i="9"/>
  <c r="AJ231" i="9" s="1"/>
  <c r="AI229" i="9"/>
  <c r="AJ229" i="9" s="1"/>
  <c r="V229" i="9"/>
  <c r="AI244" i="9"/>
  <c r="AJ244" i="9" s="1"/>
  <c r="V244" i="9"/>
  <c r="V509" i="9"/>
  <c r="U509" i="9"/>
  <c r="AI509" i="9"/>
  <c r="AJ509" i="9" s="1"/>
  <c r="V261" i="9"/>
  <c r="V254" i="9"/>
  <c r="AI254" i="9"/>
  <c r="AJ254" i="9" s="1"/>
  <c r="U254" i="9"/>
  <c r="V258" i="9"/>
  <c r="V270" i="9"/>
  <c r="V274" i="9"/>
  <c r="V266" i="9"/>
  <c r="V279" i="9"/>
  <c r="V549" i="9"/>
  <c r="AI549" i="9"/>
  <c r="AJ549" i="9" s="1"/>
  <c r="U549" i="9"/>
  <c r="V577" i="9"/>
  <c r="AI284" i="9"/>
  <c r="V284" i="9"/>
  <c r="U284" i="9"/>
  <c r="V297" i="9"/>
  <c r="AI297" i="9"/>
  <c r="AJ297" i="9" s="1"/>
  <c r="V287" i="9"/>
  <c r="AI287" i="9"/>
  <c r="AJ287" i="9" s="1"/>
  <c r="AI291" i="9"/>
  <c r="AJ291" i="9" s="1"/>
  <c r="V291" i="9"/>
  <c r="V311" i="9"/>
  <c r="AI311" i="9"/>
  <c r="AJ311" i="9" s="1"/>
  <c r="AI315" i="9"/>
  <c r="AJ315" i="9" s="1"/>
  <c r="V315" i="9"/>
  <c r="V303" i="9"/>
  <c r="AI303" i="9"/>
  <c r="AJ303" i="9" s="1"/>
  <c r="AI307" i="9"/>
  <c r="AJ307" i="9" s="1"/>
  <c r="V307" i="9"/>
  <c r="AI321" i="9"/>
  <c r="AJ321" i="9" s="1"/>
  <c r="V321" i="9"/>
  <c r="V319" i="9"/>
  <c r="AI319" i="9"/>
  <c r="AJ319" i="9" s="1"/>
  <c r="AI597" i="9"/>
  <c r="AJ597" i="9" s="1"/>
  <c r="V597" i="9"/>
  <c r="U597" i="9"/>
  <c r="V327" i="9"/>
  <c r="AI327" i="9"/>
  <c r="U327" i="9"/>
  <c r="V331" i="9"/>
  <c r="AI331" i="9"/>
  <c r="AJ331" i="9" s="1"/>
  <c r="AI337" i="9"/>
  <c r="AJ337" i="9" s="1"/>
  <c r="V337" i="9"/>
  <c r="V342" i="9"/>
  <c r="AI342" i="9"/>
  <c r="AJ342" i="9" s="1"/>
  <c r="V355" i="9"/>
  <c r="AI355" i="9"/>
  <c r="AJ355" i="9" s="1"/>
  <c r="V359" i="9"/>
  <c r="AI359" i="9"/>
  <c r="AJ359" i="9" s="1"/>
  <c r="V347" i="9"/>
  <c r="AI347" i="9"/>
  <c r="AJ347" i="9" s="1"/>
  <c r="U347" i="9"/>
  <c r="AI351" i="9"/>
  <c r="AJ351" i="9" s="1"/>
  <c r="V351" i="9"/>
  <c r="V641" i="9"/>
  <c r="AI641" i="9"/>
  <c r="AJ641" i="9" s="1"/>
  <c r="U641" i="9"/>
  <c r="AI374" i="9"/>
  <c r="AJ374" i="9" s="1"/>
  <c r="V374" i="9"/>
  <c r="V366" i="9"/>
  <c r="AI366" i="9"/>
  <c r="AJ366" i="9" s="1"/>
  <c r="U366" i="9"/>
  <c r="AI370" i="9"/>
  <c r="AJ370" i="9" s="1"/>
  <c r="V370" i="9"/>
  <c r="V660" i="9"/>
  <c r="AI660" i="9"/>
  <c r="AJ660" i="9" s="1"/>
  <c r="U660" i="9"/>
  <c r="V389" i="9"/>
  <c r="AI389" i="9"/>
  <c r="AJ389" i="9" s="1"/>
  <c r="AI380" i="9"/>
  <c r="V380" i="9"/>
  <c r="U380" i="9"/>
  <c r="V384" i="9"/>
  <c r="AI384" i="9"/>
  <c r="AJ384" i="9" s="1"/>
  <c r="V388" i="9"/>
  <c r="AI388" i="9"/>
  <c r="AJ388" i="9" s="1"/>
  <c r="V151" i="9"/>
  <c r="U151" i="9"/>
  <c r="AI151" i="9"/>
  <c r="AJ151" i="9" s="1"/>
  <c r="V155" i="9"/>
  <c r="U155" i="9"/>
  <c r="AI155" i="9"/>
  <c r="AJ155" i="9" s="1"/>
  <c r="AI414" i="9"/>
  <c r="V414" i="9"/>
  <c r="U414" i="9"/>
  <c r="V165" i="9"/>
  <c r="AI165" i="9"/>
  <c r="U165" i="9"/>
  <c r="V169" i="9"/>
  <c r="AI169" i="9"/>
  <c r="U169" i="9"/>
  <c r="V179" i="9"/>
  <c r="U179" i="9"/>
  <c r="AI179" i="9"/>
  <c r="AJ179" i="9" s="1"/>
  <c r="V181" i="9"/>
  <c r="U181" i="9"/>
  <c r="AI181" i="9"/>
  <c r="AJ181" i="9" s="1"/>
  <c r="V188" i="9"/>
  <c r="U188" i="9"/>
  <c r="AI188" i="9"/>
  <c r="AJ188" i="9" s="1"/>
  <c r="V25" i="9"/>
  <c r="AI25" i="9"/>
  <c r="AJ25" i="9" s="1"/>
  <c r="U25" i="9"/>
  <c r="V23" i="9"/>
  <c r="U23" i="9"/>
  <c r="AI23" i="9"/>
  <c r="AJ23" i="9" s="1"/>
  <c r="V16" i="9"/>
  <c r="U16" i="9"/>
  <c r="AI16" i="9"/>
  <c r="AJ16" i="9" s="1"/>
  <c r="V20" i="9"/>
  <c r="U20" i="9"/>
  <c r="AI20" i="9"/>
  <c r="AJ20" i="9" s="1"/>
  <c r="V30" i="9"/>
  <c r="AI30" i="9"/>
  <c r="AJ30" i="9" s="1"/>
  <c r="U30" i="9"/>
  <c r="V35" i="9"/>
  <c r="AI35" i="9"/>
  <c r="AJ35" i="9" s="1"/>
  <c r="U35" i="9"/>
  <c r="AI51" i="9"/>
  <c r="AJ51" i="9" s="1"/>
  <c r="V51" i="9"/>
  <c r="U51" i="9"/>
  <c r="V42" i="9"/>
  <c r="AI42" i="9"/>
  <c r="AJ42" i="9" s="1"/>
  <c r="U42" i="9"/>
  <c r="V46" i="9"/>
  <c r="U46" i="9"/>
  <c r="AI46" i="9"/>
  <c r="AJ46" i="9" s="1"/>
  <c r="V63" i="9"/>
  <c r="AI63" i="9"/>
  <c r="AJ63" i="9" s="1"/>
  <c r="U63" i="9"/>
  <c r="AI57" i="9"/>
  <c r="AJ57" i="9" s="1"/>
  <c r="V57" i="9"/>
  <c r="U57" i="9"/>
  <c r="V61" i="9"/>
  <c r="AI61" i="9"/>
  <c r="AJ61" i="9" s="1"/>
  <c r="U61" i="9"/>
  <c r="AI67" i="9"/>
  <c r="AJ67" i="9" s="1"/>
  <c r="V67" i="9"/>
  <c r="U67" i="9"/>
  <c r="AI72" i="9"/>
  <c r="AJ72" i="9" s="1"/>
  <c r="V72" i="9"/>
  <c r="U72" i="9"/>
  <c r="V76" i="9"/>
  <c r="AI76" i="9"/>
  <c r="AJ76" i="9" s="1"/>
  <c r="U76" i="9"/>
  <c r="AI81" i="9"/>
  <c r="AJ81" i="9" s="1"/>
  <c r="V81" i="9"/>
  <c r="U81" i="9"/>
  <c r="AI85" i="9"/>
  <c r="AJ85" i="9" s="1"/>
  <c r="V85" i="9"/>
  <c r="X84" i="9"/>
  <c r="U85" i="9"/>
  <c r="V96" i="9"/>
  <c r="AI96" i="9"/>
  <c r="AJ96" i="9" s="1"/>
  <c r="U96" i="9"/>
  <c r="V100" i="9"/>
  <c r="AI100" i="9"/>
  <c r="AJ100" i="9" s="1"/>
  <c r="U100" i="9"/>
  <c r="AI87" i="9"/>
  <c r="AJ87" i="9" s="1"/>
  <c r="V87" i="9"/>
  <c r="U87" i="9"/>
  <c r="AI91" i="9"/>
  <c r="AJ91" i="9" s="1"/>
  <c r="V91" i="9"/>
  <c r="U91" i="9"/>
  <c r="V105" i="9"/>
  <c r="AI105" i="9"/>
  <c r="U105" i="9"/>
  <c r="X104" i="9"/>
  <c r="V107" i="9"/>
  <c r="AI107" i="9"/>
  <c r="AJ107" i="9" s="1"/>
  <c r="U107" i="9"/>
  <c r="AI111" i="9"/>
  <c r="AJ111" i="9" s="1"/>
  <c r="V111" i="9"/>
  <c r="U111" i="9"/>
  <c r="V118" i="9"/>
  <c r="U118" i="9"/>
  <c r="AI118" i="9"/>
  <c r="AI121" i="9"/>
  <c r="AJ121" i="9" s="1"/>
  <c r="V121" i="9"/>
  <c r="AI125" i="9"/>
  <c r="AJ125" i="9" s="1"/>
  <c r="V125" i="9"/>
  <c r="V139" i="9"/>
  <c r="U139" i="9"/>
  <c r="V143" i="9"/>
  <c r="U143" i="9"/>
  <c r="V132" i="9"/>
  <c r="U132" i="9"/>
  <c r="AI132" i="9"/>
  <c r="AJ132" i="9" s="1"/>
  <c r="V136" i="9"/>
  <c r="U136" i="9"/>
  <c r="V476" i="9"/>
  <c r="AI476" i="9"/>
  <c r="AJ476" i="9" s="1"/>
  <c r="V501" i="9"/>
  <c r="V481" i="9"/>
  <c r="AI481" i="9"/>
  <c r="AJ481" i="9" s="1"/>
  <c r="AI221" i="9"/>
  <c r="AJ221" i="9" s="1"/>
  <c r="V221" i="9"/>
  <c r="V218" i="9"/>
  <c r="AI218" i="9"/>
  <c r="AJ218" i="9" s="1"/>
  <c r="V210" i="9"/>
  <c r="AI210" i="9"/>
  <c r="AJ210" i="9" s="1"/>
  <c r="U210" i="9"/>
  <c r="AI214" i="9"/>
  <c r="AJ214" i="9" s="1"/>
  <c r="V214" i="9"/>
  <c r="AI238" i="9"/>
  <c r="AJ238" i="9" s="1"/>
  <c r="V238" i="9"/>
  <c r="V236" i="9"/>
  <c r="AI236" i="9"/>
  <c r="AJ236" i="9" s="1"/>
  <c r="AI227" i="9"/>
  <c r="AJ227" i="9" s="1"/>
  <c r="V227" i="9"/>
  <c r="AI232" i="9"/>
  <c r="AJ232" i="9" s="1"/>
  <c r="V232" i="9"/>
  <c r="V245" i="9"/>
  <c r="AI245" i="9"/>
  <c r="AJ245" i="9" s="1"/>
  <c r="V248" i="9"/>
  <c r="AI248" i="9"/>
  <c r="AJ248" i="9" s="1"/>
  <c r="V510" i="9"/>
  <c r="U510" i="9"/>
  <c r="AI510" i="9"/>
  <c r="AJ510" i="9" s="1"/>
  <c r="V535" i="9"/>
  <c r="V527" i="9"/>
  <c r="V251" i="9"/>
  <c r="AI251" i="9"/>
  <c r="U251" i="9"/>
  <c r="V255" i="9"/>
  <c r="V259" i="9"/>
  <c r="V271" i="9"/>
  <c r="V275" i="9"/>
  <c r="V267" i="9"/>
  <c r="V280" i="9"/>
  <c r="U547" i="9"/>
  <c r="V547" i="9"/>
  <c r="AI547" i="9"/>
  <c r="AJ547" i="9" s="1"/>
  <c r="AI294" i="9"/>
  <c r="AJ294" i="9" s="1"/>
  <c r="V294" i="9"/>
  <c r="AI298" i="9"/>
  <c r="AJ298" i="9" s="1"/>
  <c r="V298" i="9"/>
  <c r="V288" i="9"/>
  <c r="AI288" i="9"/>
  <c r="AJ288" i="9" s="1"/>
  <c r="AI292" i="9"/>
  <c r="AJ292" i="9" s="1"/>
  <c r="V292" i="9"/>
  <c r="AI312" i="9"/>
  <c r="AJ312" i="9" s="1"/>
  <c r="V312" i="9"/>
  <c r="V316" i="9"/>
  <c r="AI316" i="9"/>
  <c r="AJ316" i="9" s="1"/>
  <c r="V304" i="9"/>
  <c r="AI304" i="9"/>
  <c r="AJ304" i="9" s="1"/>
  <c r="V302" i="9"/>
  <c r="AI302" i="9"/>
  <c r="AJ302" i="9" s="1"/>
  <c r="AI322" i="9"/>
  <c r="AJ322" i="9" s="1"/>
  <c r="V322" i="9"/>
  <c r="AI328" i="9"/>
  <c r="V328" i="9"/>
  <c r="U328" i="9"/>
  <c r="V332" i="9"/>
  <c r="AI332" i="9"/>
  <c r="AJ332" i="9" s="1"/>
  <c r="V338" i="9"/>
  <c r="AI338" i="9"/>
  <c r="AJ338" i="9" s="1"/>
  <c r="AI343" i="9"/>
  <c r="AJ343" i="9" s="1"/>
  <c r="V343" i="9"/>
  <c r="V630" i="9"/>
  <c r="V362" i="9"/>
  <c r="AI362" i="9"/>
  <c r="AJ362" i="9" s="1"/>
  <c r="V356" i="9"/>
  <c r="AI356" i="9"/>
  <c r="AJ356" i="9" s="1"/>
  <c r="AI361" i="9"/>
  <c r="AJ361" i="9" s="1"/>
  <c r="V361" i="9"/>
  <c r="AI348" i="9"/>
  <c r="AJ348" i="9" s="1"/>
  <c r="V348" i="9"/>
  <c r="AI352" i="9"/>
  <c r="AJ352" i="9" s="1"/>
  <c r="V352" i="9"/>
  <c r="U642" i="9"/>
  <c r="V642" i="9"/>
  <c r="AI642" i="9"/>
  <c r="AJ642" i="9" s="1"/>
  <c r="AI377" i="9"/>
  <c r="AJ377" i="9" s="1"/>
  <c r="V377" i="9"/>
  <c r="V375" i="9"/>
  <c r="AI375" i="9"/>
  <c r="AJ375" i="9" s="1"/>
  <c r="AI367" i="9"/>
  <c r="AJ367" i="9" s="1"/>
  <c r="V367" i="9"/>
  <c r="V371" i="9"/>
  <c r="AI371" i="9"/>
  <c r="AJ371" i="9" s="1"/>
  <c r="U661" i="9"/>
  <c r="AI661" i="9"/>
  <c r="AJ661" i="9" s="1"/>
  <c r="V661" i="9"/>
  <c r="AI390" i="9"/>
  <c r="AJ390" i="9" s="1"/>
  <c r="V390" i="9"/>
  <c r="V381" i="9"/>
  <c r="AI381" i="9"/>
  <c r="AJ381" i="9" s="1"/>
  <c r="U381" i="9"/>
  <c r="AI385" i="9"/>
  <c r="AJ385" i="9" s="1"/>
  <c r="V385" i="9"/>
  <c r="AI148" i="9"/>
  <c r="V148" i="9"/>
  <c r="U148" i="9"/>
  <c r="V154" i="9"/>
  <c r="AI154" i="9"/>
  <c r="AJ154" i="9" s="1"/>
  <c r="U154" i="9"/>
  <c r="AI158" i="9"/>
  <c r="V158" i="9"/>
  <c r="U158" i="9"/>
  <c r="V413" i="9"/>
  <c r="AI413" i="9"/>
  <c r="AJ413" i="9" s="1"/>
  <c r="U413" i="9"/>
  <c r="AI167" i="9"/>
  <c r="AJ167" i="9" s="1"/>
  <c r="U167" i="9"/>
  <c r="V167" i="9"/>
  <c r="AI173" i="9"/>
  <c r="AJ173" i="9" s="1"/>
  <c r="V173" i="9"/>
  <c r="U173" i="9"/>
  <c r="V178" i="9"/>
  <c r="U178" i="9"/>
  <c r="AI178" i="9"/>
  <c r="AJ178" i="9" s="1"/>
  <c r="V182" i="9"/>
  <c r="U182" i="9"/>
  <c r="AI182" i="9"/>
  <c r="AJ182" i="9" s="1"/>
  <c r="V187" i="9"/>
  <c r="U187" i="9"/>
  <c r="AI187" i="9"/>
  <c r="AJ187" i="9" s="1"/>
  <c r="V12" i="9"/>
  <c r="X11" i="9"/>
  <c r="AI12" i="9"/>
  <c r="AJ12" i="9" s="1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V13" i="9"/>
  <c r="AI13" i="9"/>
  <c r="AJ13" i="9" s="1"/>
  <c r="U13" i="9"/>
  <c r="V17" i="9"/>
  <c r="AI17" i="9"/>
  <c r="AJ17" i="9" s="1"/>
  <c r="U17" i="9"/>
  <c r="V27" i="9"/>
  <c r="X26" i="9"/>
  <c r="U27" i="9"/>
  <c r="AI27" i="9"/>
  <c r="AJ27" i="9" s="1"/>
  <c r="V31" i="9"/>
  <c r="AI31" i="9"/>
  <c r="AJ31" i="9" s="1"/>
  <c r="U31" i="9"/>
  <c r="V36" i="9"/>
  <c r="U36" i="9"/>
  <c r="AI36" i="9"/>
  <c r="AJ36" i="9" s="1"/>
  <c r="V39" i="9"/>
  <c r="AI39" i="9"/>
  <c r="AJ39" i="9" s="1"/>
  <c r="X38" i="9"/>
  <c r="U39" i="9"/>
  <c r="V43" i="9"/>
  <c r="U43" i="9"/>
  <c r="AI43" i="9"/>
  <c r="AJ43" i="9" s="1"/>
  <c r="V47" i="9"/>
  <c r="AI47" i="9"/>
  <c r="AJ47" i="9" s="1"/>
  <c r="U47" i="9"/>
  <c r="AI54" i="9"/>
  <c r="AJ54" i="9" s="1"/>
  <c r="V54" i="9"/>
  <c r="X53" i="9"/>
  <c r="U54" i="9"/>
  <c r="AI58" i="9"/>
  <c r="AJ58" i="9" s="1"/>
  <c r="V58" i="9"/>
  <c r="U58" i="9"/>
  <c r="V62" i="9"/>
  <c r="AI62" i="9"/>
  <c r="AJ62" i="9" s="1"/>
  <c r="U62" i="9"/>
  <c r="V68" i="9"/>
  <c r="AI68" i="9"/>
  <c r="AJ68" i="9" s="1"/>
  <c r="U68" i="9"/>
  <c r="V73" i="9"/>
  <c r="AI73" i="9"/>
  <c r="AJ73" i="9" s="1"/>
  <c r="U73" i="9"/>
  <c r="V77" i="9"/>
  <c r="AI77" i="9"/>
  <c r="AJ77" i="9" s="1"/>
  <c r="U77" i="9"/>
  <c r="V82" i="9"/>
  <c r="U82" i="9"/>
  <c r="AI82" i="9"/>
  <c r="AJ82" i="9" s="1"/>
  <c r="AI94" i="9"/>
  <c r="AJ94" i="9" s="1"/>
  <c r="V94" i="9"/>
  <c r="U94" i="9"/>
  <c r="AI97" i="9"/>
  <c r="AJ97" i="9" s="1"/>
  <c r="V97" i="9"/>
  <c r="U97" i="9"/>
  <c r="AI101" i="9"/>
  <c r="AJ101" i="9" s="1"/>
  <c r="V101" i="9"/>
  <c r="U101" i="9"/>
  <c r="V88" i="9"/>
  <c r="AI88" i="9"/>
  <c r="AJ88" i="9" s="1"/>
  <c r="U88" i="9"/>
  <c r="V92" i="9"/>
  <c r="AI92" i="9"/>
  <c r="AJ92" i="9" s="1"/>
  <c r="U92" i="9"/>
  <c r="AI114" i="9"/>
  <c r="AJ114" i="9" s="1"/>
  <c r="V114" i="9"/>
  <c r="U114" i="9"/>
  <c r="AI108" i="9"/>
  <c r="AJ108" i="9" s="1"/>
  <c r="V108" i="9"/>
  <c r="U108" i="9"/>
  <c r="AI112" i="9"/>
  <c r="AJ112" i="9" s="1"/>
  <c r="V112" i="9"/>
  <c r="U112" i="9"/>
  <c r="AI127" i="9"/>
  <c r="AJ127" i="9" s="1"/>
  <c r="V127" i="9"/>
  <c r="AI122" i="9"/>
  <c r="AJ122" i="9" s="1"/>
  <c r="V122" i="9"/>
  <c r="AI126" i="9"/>
  <c r="AJ126" i="9" s="1"/>
  <c r="V126" i="9"/>
  <c r="V140" i="9"/>
  <c r="U140" i="9"/>
  <c r="V144" i="9"/>
  <c r="U144" i="9"/>
  <c r="V133" i="9"/>
  <c r="U133" i="9"/>
  <c r="AI133" i="9"/>
  <c r="AJ133" i="9" s="1"/>
  <c r="V137" i="9"/>
  <c r="U137" i="9"/>
  <c r="AI462" i="9"/>
  <c r="AJ462" i="9" s="1"/>
  <c r="V462" i="9"/>
  <c r="U462" i="9"/>
  <c r="V482" i="9"/>
  <c r="AI482" i="9"/>
  <c r="AJ482" i="9" s="1"/>
  <c r="V222" i="9"/>
  <c r="AI222" i="9"/>
  <c r="AJ222" i="9" s="1"/>
  <c r="AI219" i="9"/>
  <c r="AJ219" i="9" s="1"/>
  <c r="V219" i="9"/>
  <c r="V211" i="9"/>
  <c r="U211" i="9"/>
  <c r="AI211" i="9"/>
  <c r="AJ211" i="9" s="1"/>
  <c r="V215" i="9"/>
  <c r="AI215" i="9"/>
  <c r="AJ215" i="9" s="1"/>
  <c r="AI240" i="9"/>
  <c r="AJ240" i="9" s="1"/>
  <c r="V240" i="9"/>
  <c r="V224" i="9"/>
  <c r="AI224" i="9"/>
  <c r="AJ224" i="9" s="1"/>
  <c r="AI228" i="9"/>
  <c r="AJ228" i="9" s="1"/>
  <c r="V228" i="9"/>
  <c r="AI233" i="9"/>
  <c r="AJ233" i="9" s="1"/>
  <c r="V233" i="9"/>
  <c r="V252" i="9"/>
  <c r="AI252" i="9"/>
  <c r="AJ252" i="9" s="1"/>
  <c r="U252" i="9"/>
  <c r="V256" i="9"/>
  <c r="V260" i="9"/>
  <c r="V272" i="9"/>
  <c r="V264" i="9"/>
  <c r="V263" i="9"/>
  <c r="V281" i="9"/>
  <c r="V295" i="9"/>
  <c r="AI295" i="9"/>
  <c r="AJ295" i="9" s="1"/>
  <c r="V285" i="9"/>
  <c r="AI285" i="9"/>
  <c r="AJ285" i="9" s="1"/>
  <c r="U285" i="9"/>
  <c r="V289" i="9"/>
  <c r="AI289" i="9"/>
  <c r="AJ289" i="9" s="1"/>
  <c r="V293" i="9"/>
  <c r="AI293" i="9"/>
  <c r="AJ293" i="9" s="1"/>
  <c r="AI313" i="9"/>
  <c r="AJ313" i="9" s="1"/>
  <c r="V313" i="9"/>
  <c r="AI310" i="9"/>
  <c r="AJ310" i="9" s="1"/>
  <c r="V310" i="9"/>
  <c r="V305" i="9"/>
  <c r="AI305" i="9"/>
  <c r="AJ305" i="9" s="1"/>
  <c r="AI318" i="9"/>
  <c r="AJ318" i="9" s="1"/>
  <c r="V318" i="9"/>
  <c r="V323" i="9"/>
  <c r="AI323" i="9"/>
  <c r="AJ323" i="9" s="1"/>
  <c r="V595" i="9"/>
  <c r="AI595" i="9"/>
  <c r="AJ595" i="9" s="1"/>
  <c r="U595" i="9"/>
  <c r="V329" i="9"/>
  <c r="AI329" i="9"/>
  <c r="U329" i="9"/>
  <c r="V335" i="9"/>
  <c r="AI335" i="9"/>
  <c r="AJ335" i="9" s="1"/>
  <c r="AI340" i="9"/>
  <c r="AJ340" i="9" s="1"/>
  <c r="V340" i="9"/>
  <c r="AI617" i="9"/>
  <c r="AJ617" i="9" s="1"/>
  <c r="U617" i="9"/>
  <c r="V617" i="9"/>
  <c r="U618" i="9"/>
  <c r="V618" i="9"/>
  <c r="AI618" i="9"/>
  <c r="AJ618" i="9" s="1"/>
  <c r="AI345" i="9"/>
  <c r="AJ345" i="9" s="1"/>
  <c r="V345" i="9"/>
  <c r="U345" i="9"/>
  <c r="V357" i="9"/>
  <c r="AI357" i="9"/>
  <c r="AJ357" i="9" s="1"/>
  <c r="V360" i="9"/>
  <c r="AI360" i="9"/>
  <c r="AJ360" i="9" s="1"/>
  <c r="AI349" i="9"/>
  <c r="AJ349" i="9" s="1"/>
  <c r="V349" i="9"/>
  <c r="AI353" i="9"/>
  <c r="AJ353" i="9" s="1"/>
  <c r="V353" i="9"/>
  <c r="U643" i="9"/>
  <c r="V643" i="9"/>
  <c r="AI643" i="9"/>
  <c r="AJ643" i="9" s="1"/>
  <c r="V364" i="9"/>
  <c r="AI364" i="9"/>
  <c r="AJ364" i="9" s="1"/>
  <c r="U364" i="9"/>
  <c r="AI376" i="9"/>
  <c r="AJ376" i="9" s="1"/>
  <c r="V376" i="9"/>
  <c r="V368" i="9"/>
  <c r="AI368" i="9"/>
  <c r="AJ368" i="9" s="1"/>
  <c r="V372" i="9"/>
  <c r="AI372" i="9"/>
  <c r="AJ372" i="9" s="1"/>
  <c r="AI662" i="9"/>
  <c r="AJ662" i="9" s="1"/>
  <c r="V662" i="9"/>
  <c r="U662" i="9"/>
  <c r="V391" i="9"/>
  <c r="AI391" i="9"/>
  <c r="AJ391" i="9" s="1"/>
  <c r="V392" i="9"/>
  <c r="AI392" i="9"/>
  <c r="AJ392" i="9" s="1"/>
  <c r="V382" i="9"/>
  <c r="AI382" i="9"/>
  <c r="AJ382" i="9" s="1"/>
  <c r="V386" i="9"/>
  <c r="AI386" i="9"/>
  <c r="AJ386" i="9" s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U330" i="9"/>
  <c r="U382" i="9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U287" i="9"/>
  <c r="U255" i="9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U214" i="9"/>
  <c r="U348" i="9"/>
  <c r="AI619" i="9"/>
  <c r="AJ619" i="9" s="1"/>
  <c r="U367" i="9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I620" i="9" s="1"/>
  <c r="AJ620" i="9" s="1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I511" i="9"/>
  <c r="AJ511" i="9" s="1"/>
  <c r="AI663" i="9"/>
  <c r="AJ663" i="9" s="1"/>
  <c r="AI465" i="9"/>
  <c r="AJ465" i="9" s="1"/>
  <c r="AI598" i="9"/>
  <c r="AJ598" i="9" s="1"/>
  <c r="AI550" i="9"/>
  <c r="AJ550" i="9" s="1"/>
  <c r="AG646" i="9"/>
  <c r="AH645" i="9"/>
  <c r="AG668" i="9"/>
  <c r="AH667" i="9"/>
  <c r="AG553" i="9"/>
  <c r="AH552" i="9"/>
  <c r="AI255" i="9"/>
  <c r="AI134" i="9"/>
  <c r="AI644" i="9"/>
  <c r="AG257" i="9"/>
  <c r="AH256" i="9"/>
  <c r="AG136" i="9"/>
  <c r="AH135" i="9"/>
  <c r="U121" i="9"/>
  <c r="V511" i="9"/>
  <c r="V645" i="9"/>
  <c r="V620" i="9"/>
  <c r="V663" i="9"/>
  <c r="V465" i="9"/>
  <c r="V598" i="9"/>
  <c r="V550" i="9"/>
  <c r="U511" i="9"/>
  <c r="U645" i="9"/>
  <c r="U620" i="9"/>
  <c r="U663" i="9"/>
  <c r="U465" i="9"/>
  <c r="U598" i="9"/>
  <c r="U550" i="9"/>
  <c r="N367" i="9"/>
  <c r="CF367" i="9"/>
  <c r="K721" i="9"/>
  <c r="L721" i="9" s="1"/>
  <c r="L720" i="9"/>
  <c r="K384" i="9"/>
  <c r="L383" i="9"/>
  <c r="U383" i="9" s="1"/>
  <c r="K600" i="9"/>
  <c r="L599" i="9"/>
  <c r="N348" i="9"/>
  <c r="CF348" i="9"/>
  <c r="K369" i="9"/>
  <c r="L368" i="9"/>
  <c r="U368" i="9" s="1"/>
  <c r="N663" i="9"/>
  <c r="CF663" i="9"/>
  <c r="K350" i="9"/>
  <c r="L349" i="9"/>
  <c r="U349" i="9" s="1"/>
  <c r="N330" i="9"/>
  <c r="CF330" i="9"/>
  <c r="K665" i="9"/>
  <c r="L664" i="9"/>
  <c r="K332" i="9"/>
  <c r="L331" i="9"/>
  <c r="U331" i="9" s="1"/>
  <c r="N465" i="9"/>
  <c r="CF465" i="9"/>
  <c r="N214" i="9"/>
  <c r="CF214" i="9"/>
  <c r="N287" i="9"/>
  <c r="CF287" i="9"/>
  <c r="K467" i="9"/>
  <c r="L466" i="9"/>
  <c r="K216" i="9"/>
  <c r="L215" i="9"/>
  <c r="U215" i="9" s="1"/>
  <c r="K289" i="9"/>
  <c r="L288" i="9"/>
  <c r="U288" i="9" s="1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U256" i="9" s="1"/>
  <c r="K123" i="9"/>
  <c r="L122" i="9"/>
  <c r="U122" i="9" s="1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M68" i="4"/>
  <c r="AL68" i="4"/>
  <c r="L68" i="4"/>
  <c r="M68" i="4" s="1"/>
  <c r="AM67" i="4"/>
  <c r="AL67" i="4"/>
  <c r="L67" i="4"/>
  <c r="M67" i="4" s="1"/>
  <c r="AM66" i="4"/>
  <c r="AL66" i="4"/>
  <c r="L66" i="4"/>
  <c r="M66" i="4" s="1"/>
  <c r="AM65" i="4"/>
  <c r="AL65" i="4"/>
  <c r="L65" i="4"/>
  <c r="M65" i="4" s="1"/>
  <c r="AM64" i="4"/>
  <c r="AL64" i="4"/>
  <c r="L64" i="4"/>
  <c r="M64" i="4" s="1"/>
  <c r="AM63" i="4"/>
  <c r="AL63" i="4"/>
  <c r="L63" i="4"/>
  <c r="M63" i="4" s="1"/>
  <c r="AM62" i="4"/>
  <c r="AL62" i="4"/>
  <c r="L62" i="4"/>
  <c r="M62" i="4" s="1"/>
  <c r="AM61" i="4"/>
  <c r="AL61" i="4"/>
  <c r="L61" i="4"/>
  <c r="M61" i="4" s="1"/>
  <c r="AM60" i="4"/>
  <c r="AL60" i="4"/>
  <c r="L60" i="4"/>
  <c r="M60" i="4" s="1"/>
  <c r="AM59" i="4"/>
  <c r="AL59" i="4"/>
  <c r="L59" i="4"/>
  <c r="M59" i="4" s="1"/>
  <c r="AM58" i="4"/>
  <c r="AL58" i="4"/>
  <c r="L58" i="4"/>
  <c r="M58" i="4" s="1"/>
  <c r="AM55" i="4"/>
  <c r="AL55" i="4"/>
  <c r="L55" i="4"/>
  <c r="M55" i="4" s="1"/>
  <c r="AM54" i="4"/>
  <c r="AL54" i="4"/>
  <c r="L54" i="4"/>
  <c r="M54" i="4" s="1"/>
  <c r="T402" i="9"/>
  <c r="T646" i="9"/>
  <c r="T406" i="9"/>
  <c r="T364" i="5"/>
  <c r="T400" i="9"/>
  <c r="T432" i="9"/>
  <c r="T401" i="9"/>
  <c r="T698" i="9"/>
  <c r="T599" i="9"/>
  <c r="T422" i="9"/>
  <c r="T433" i="9"/>
  <c r="T352" i="5"/>
  <c r="T348" i="5"/>
  <c r="T420" i="9"/>
  <c r="T436" i="9"/>
  <c r="T405" i="9"/>
  <c r="T358" i="5"/>
  <c r="T340" i="5"/>
  <c r="T426" i="9"/>
  <c r="T551" i="9"/>
  <c r="T438" i="9"/>
  <c r="T360" i="5"/>
  <c r="T431" i="9"/>
  <c r="R5" i="6" a="1"/>
  <c r="T466" i="9"/>
  <c r="T362" i="5"/>
  <c r="T664" i="9"/>
  <c r="T424" i="9"/>
  <c r="T439" i="9"/>
  <c r="T428" i="9"/>
  <c r="T621" i="9"/>
  <c r="T441" i="9"/>
  <c r="T435" i="9"/>
  <c r="T443" i="9"/>
  <c r="T350" i="5"/>
  <c r="T397" i="9"/>
  <c r="T366" i="5"/>
  <c r="T395" i="9"/>
  <c r="T512" i="9"/>
  <c r="T410" i="9"/>
  <c r="T434" i="9"/>
  <c r="T396" i="9"/>
  <c r="T354" i="5"/>
  <c r="T701" i="9"/>
  <c r="T356" i="5"/>
  <c r="T440" i="9"/>
  <c r="T419" i="9"/>
  <c r="T346" i="5"/>
  <c r="T418" i="9"/>
  <c r="T341" i="5"/>
  <c r="T699" i="9"/>
  <c r="T427" i="9"/>
  <c r="T398" i="9"/>
  <c r="T403" i="9"/>
  <c r="T423" i="9"/>
  <c r="U438" i="9" l="1"/>
  <c r="V438" i="9"/>
  <c r="AI438" i="9"/>
  <c r="AJ438" i="9" s="1"/>
  <c r="V435" i="9"/>
  <c r="AI435" i="9"/>
  <c r="AJ435" i="9" s="1"/>
  <c r="V418" i="9"/>
  <c r="AI418" i="9"/>
  <c r="AJ418" i="9" s="1"/>
  <c r="U418" i="9"/>
  <c r="U435" i="9"/>
  <c r="V402" i="9"/>
  <c r="AI402" i="9"/>
  <c r="AJ402" i="9" s="1"/>
  <c r="U402" i="9"/>
  <c r="V419" i="9"/>
  <c r="U419" i="9"/>
  <c r="AI419" i="9"/>
  <c r="AN419" i="9" s="1"/>
  <c r="AO419" i="9" s="1"/>
  <c r="V398" i="9"/>
  <c r="AI398" i="9"/>
  <c r="AJ398" i="9" s="1"/>
  <c r="U398" i="9"/>
  <c r="V431" i="9"/>
  <c r="AI431" i="9"/>
  <c r="AJ431" i="9" s="1"/>
  <c r="U431" i="9"/>
  <c r="V426" i="9"/>
  <c r="AI426" i="9"/>
  <c r="AJ426" i="9" s="1"/>
  <c r="U426" i="9"/>
  <c r="V410" i="9"/>
  <c r="U410" i="9"/>
  <c r="AI410" i="9"/>
  <c r="AN410" i="9" s="1"/>
  <c r="AO410" i="9" s="1"/>
  <c r="AI401" i="9"/>
  <c r="AJ401" i="9" s="1"/>
  <c r="V401" i="9"/>
  <c r="U401" i="9"/>
  <c r="AI405" i="9"/>
  <c r="AJ405" i="9" s="1"/>
  <c r="V405" i="9"/>
  <c r="U405" i="9"/>
  <c r="AI422" i="9"/>
  <c r="AN422" i="9" s="1"/>
  <c r="V422" i="9"/>
  <c r="U422" i="9"/>
  <c r="AI397" i="9"/>
  <c r="AJ397" i="9" s="1"/>
  <c r="V397" i="9"/>
  <c r="U397" i="9"/>
  <c r="V424" i="9"/>
  <c r="AI424" i="9"/>
  <c r="AJ424" i="9" s="1"/>
  <c r="U424" i="9"/>
  <c r="V436" i="9"/>
  <c r="AI436" i="9"/>
  <c r="AJ436" i="9" s="1"/>
  <c r="AI432" i="9"/>
  <c r="AJ432" i="9" s="1"/>
  <c r="U432" i="9"/>
  <c r="V432" i="9"/>
  <c r="AI439" i="9"/>
  <c r="AJ439" i="9" s="1"/>
  <c r="V439" i="9"/>
  <c r="U439" i="9"/>
  <c r="V423" i="9"/>
  <c r="U423" i="9"/>
  <c r="AI423" i="9"/>
  <c r="AJ423" i="9" s="1"/>
  <c r="V403" i="9"/>
  <c r="AI403" i="9"/>
  <c r="AJ403" i="9" s="1"/>
  <c r="U403" i="9"/>
  <c r="V427" i="9"/>
  <c r="AI427" i="9"/>
  <c r="AN427" i="9" s="1"/>
  <c r="U427" i="9"/>
  <c r="V428" i="9"/>
  <c r="U428" i="9"/>
  <c r="AI428" i="9"/>
  <c r="AJ428" i="9" s="1"/>
  <c r="U441" i="9"/>
  <c r="V441" i="9"/>
  <c r="AI441" i="9"/>
  <c r="AJ441" i="9" s="1"/>
  <c r="V395" i="9"/>
  <c r="AI395" i="9"/>
  <c r="AJ395" i="9" s="1"/>
  <c r="U395" i="9"/>
  <c r="U433" i="9"/>
  <c r="AI433" i="9"/>
  <c r="AJ433" i="9" s="1"/>
  <c r="V433" i="9"/>
  <c r="AI434" i="9"/>
  <c r="AJ434" i="9" s="1"/>
  <c r="V434" i="9"/>
  <c r="U434" i="9"/>
  <c r="AI440" i="9"/>
  <c r="AJ440" i="9" s="1"/>
  <c r="V440" i="9"/>
  <c r="U440" i="9"/>
  <c r="U443" i="9"/>
  <c r="AI443" i="9"/>
  <c r="AN443" i="9" s="1"/>
  <c r="AO443" i="9" s="1"/>
  <c r="V443" i="9"/>
  <c r="V396" i="9"/>
  <c r="AI396" i="9"/>
  <c r="AN396" i="9" s="1"/>
  <c r="AO396" i="9" s="1"/>
  <c r="U396" i="9"/>
  <c r="AN89" i="9"/>
  <c r="AO89" i="9" s="1"/>
  <c r="AN597" i="9"/>
  <c r="AO597" i="9" s="1"/>
  <c r="AJ183" i="9"/>
  <c r="AN55" i="9"/>
  <c r="AO55" i="9" s="1"/>
  <c r="AN253" i="9"/>
  <c r="AO253" i="9" s="1"/>
  <c r="AN463" i="9"/>
  <c r="AO463" i="9" s="1"/>
  <c r="X415" i="9"/>
  <c r="AI701" i="9"/>
  <c r="AJ701" i="9" s="1"/>
  <c r="V701" i="9"/>
  <c r="W700" i="9" s="1"/>
  <c r="X700" i="9"/>
  <c r="U701" i="9"/>
  <c r="V406" i="9"/>
  <c r="AI406" i="9"/>
  <c r="AJ406" i="9" s="1"/>
  <c r="U406" i="9"/>
  <c r="V420" i="9"/>
  <c r="U420" i="9"/>
  <c r="AI420" i="9"/>
  <c r="AJ420" i="9" s="1"/>
  <c r="AI698" i="9"/>
  <c r="AN698" i="9" s="1"/>
  <c r="AO698" i="9" s="1"/>
  <c r="V698" i="9"/>
  <c r="U698" i="9"/>
  <c r="X697" i="9"/>
  <c r="X412" i="9"/>
  <c r="U699" i="9"/>
  <c r="AI699" i="9"/>
  <c r="AJ699" i="9" s="1"/>
  <c r="V699" i="9"/>
  <c r="U400" i="9"/>
  <c r="AI400" i="9"/>
  <c r="AJ400" i="9" s="1"/>
  <c r="V400" i="9"/>
  <c r="AN549" i="9"/>
  <c r="AO549" i="9" s="1"/>
  <c r="AN109" i="9"/>
  <c r="AS109" i="9" s="1"/>
  <c r="AT109" i="9" s="1"/>
  <c r="AN333" i="9"/>
  <c r="AO333" i="9" s="1"/>
  <c r="AN212" i="9"/>
  <c r="AO212" i="9" s="1"/>
  <c r="AN156" i="9"/>
  <c r="AN211" i="9"/>
  <c r="AO211" i="9" s="1"/>
  <c r="AN150" i="9"/>
  <c r="AN210" i="9"/>
  <c r="AO210" i="9" s="1"/>
  <c r="AN254" i="9"/>
  <c r="AO254" i="9" s="1"/>
  <c r="AN662" i="9"/>
  <c r="AO662" i="9" s="1"/>
  <c r="AN643" i="9"/>
  <c r="AO643" i="9" s="1"/>
  <c r="AN179" i="9"/>
  <c r="AO179" i="9" s="1"/>
  <c r="W339" i="9"/>
  <c r="AN385" i="9"/>
  <c r="AO385" i="9" s="1"/>
  <c r="AN106" i="9"/>
  <c r="AO106" i="9" s="1"/>
  <c r="AN58" i="9"/>
  <c r="AO58" i="9" s="1"/>
  <c r="AN122" i="9"/>
  <c r="AO122" i="9" s="1"/>
  <c r="AN151" i="9"/>
  <c r="AO151" i="9" s="1"/>
  <c r="AN209" i="9"/>
  <c r="AO209" i="9" s="1"/>
  <c r="AN133" i="9"/>
  <c r="AO133" i="9" s="1"/>
  <c r="AN54" i="9"/>
  <c r="AN510" i="9"/>
  <c r="AO510" i="9" s="1"/>
  <c r="AN547" i="9"/>
  <c r="AO547" i="9" s="1"/>
  <c r="AN131" i="9"/>
  <c r="AN595" i="9"/>
  <c r="AO595" i="9" s="1"/>
  <c r="AN619" i="9"/>
  <c r="AO619" i="9" s="1"/>
  <c r="AN509" i="9"/>
  <c r="AN175" i="9"/>
  <c r="AO175" i="9" s="1"/>
  <c r="AN661" i="9"/>
  <c r="AO661" i="9" s="1"/>
  <c r="AN85" i="9"/>
  <c r="AN331" i="9"/>
  <c r="AO331" i="9" s="1"/>
  <c r="AN286" i="9"/>
  <c r="AO286" i="9" s="1"/>
  <c r="AN173" i="9"/>
  <c r="AO173" i="9" s="1"/>
  <c r="AN642" i="9"/>
  <c r="AO642" i="9" s="1"/>
  <c r="AN171" i="9"/>
  <c r="W38" i="9"/>
  <c r="AN13" i="9"/>
  <c r="AO13" i="9" s="1"/>
  <c r="AN187" i="9"/>
  <c r="AN120" i="9"/>
  <c r="AO120" i="9" s="1"/>
  <c r="AN349" i="9"/>
  <c r="AO349" i="9" s="1"/>
  <c r="AN288" i="9"/>
  <c r="AS288" i="9" s="1"/>
  <c r="AT288" i="9" s="1"/>
  <c r="AN364" i="9"/>
  <c r="AO364" i="9" s="1"/>
  <c r="AN56" i="9"/>
  <c r="AO56" i="9" s="1"/>
  <c r="AN616" i="9"/>
  <c r="AO616" i="9" s="1"/>
  <c r="AN596" i="9"/>
  <c r="AN548" i="9"/>
  <c r="AO548" i="9" s="1"/>
  <c r="AN345" i="9"/>
  <c r="AO345" i="9" s="1"/>
  <c r="AN252" i="9"/>
  <c r="AO252" i="9" s="1"/>
  <c r="AN464" i="9"/>
  <c r="AO464" i="9" s="1"/>
  <c r="AN382" i="9"/>
  <c r="AO382" i="9" s="1"/>
  <c r="AN285" i="9"/>
  <c r="AO285" i="9" s="1"/>
  <c r="AN12" i="9"/>
  <c r="AO12" i="9" s="1"/>
  <c r="AN381" i="9"/>
  <c r="AO381" i="9" s="1"/>
  <c r="AN332" i="9"/>
  <c r="AO332" i="9" s="1"/>
  <c r="AN86" i="9"/>
  <c r="AO86" i="9" s="1"/>
  <c r="W344" i="9"/>
  <c r="W117" i="9"/>
  <c r="W84" i="9"/>
  <c r="AN414" i="9"/>
  <c r="AO414" i="9" s="1"/>
  <c r="AJ414" i="9"/>
  <c r="W64" i="9"/>
  <c r="AN158" i="9"/>
  <c r="AJ158" i="9"/>
  <c r="AN155" i="9"/>
  <c r="AN641" i="9"/>
  <c r="AN186" i="9"/>
  <c r="AN17" i="9"/>
  <c r="AO17" i="9" s="1"/>
  <c r="W26" i="9"/>
  <c r="AN413" i="9"/>
  <c r="AO413" i="9" s="1"/>
  <c r="AN105" i="9"/>
  <c r="AO105" i="9" s="1"/>
  <c r="AJ105" i="9"/>
  <c r="AN185" i="9"/>
  <c r="AJ185" i="9"/>
  <c r="W378" i="9"/>
  <c r="AN330" i="9"/>
  <c r="AJ330" i="9"/>
  <c r="W78" i="9"/>
  <c r="W32" i="9"/>
  <c r="AN153" i="9"/>
  <c r="AO153" i="9" s="1"/>
  <c r="AJ153" i="9"/>
  <c r="AN386" i="9"/>
  <c r="AO386" i="9" s="1"/>
  <c r="AN618" i="9"/>
  <c r="AO618" i="9" s="1"/>
  <c r="W317" i="9"/>
  <c r="AN178" i="9"/>
  <c r="AO178" i="9" s="1"/>
  <c r="AN148" i="9"/>
  <c r="AJ148" i="9"/>
  <c r="W104" i="9"/>
  <c r="AN327" i="9"/>
  <c r="AJ327" i="9"/>
  <c r="AN180" i="9"/>
  <c r="AJ180" i="9"/>
  <c r="AN379" i="9"/>
  <c r="AJ379" i="9"/>
  <c r="AN170" i="9"/>
  <c r="AN159" i="9"/>
  <c r="AN182" i="9"/>
  <c r="AO182" i="9" s="1"/>
  <c r="AN88" i="9"/>
  <c r="AO88" i="9" s="1"/>
  <c r="W53" i="9"/>
  <c r="W11" i="9"/>
  <c r="AN251" i="9"/>
  <c r="AJ251" i="9"/>
  <c r="AN121" i="9"/>
  <c r="AN57" i="9"/>
  <c r="W276" i="9"/>
  <c r="AN208" i="9"/>
  <c r="AJ208" i="9"/>
  <c r="AN438" i="9"/>
  <c r="AO438" i="9" s="1"/>
  <c r="AN368" i="9"/>
  <c r="AS368" i="9" s="1"/>
  <c r="AT368" i="9" s="1"/>
  <c r="AN329" i="9"/>
  <c r="AJ329" i="9"/>
  <c r="AN167" i="9"/>
  <c r="AN154" i="9"/>
  <c r="AN107" i="9"/>
  <c r="AN16" i="9"/>
  <c r="AO16" i="9" s="1"/>
  <c r="AN165" i="9"/>
  <c r="AJ165" i="9"/>
  <c r="AN380" i="9"/>
  <c r="AJ380" i="9"/>
  <c r="AN383" i="9"/>
  <c r="AO383" i="9" s="1"/>
  <c r="W363" i="9"/>
  <c r="AN617" i="9"/>
  <c r="AS617" i="9" s="1"/>
  <c r="AT617" i="9" s="1"/>
  <c r="AN108" i="9"/>
  <c r="AO108" i="9" s="1"/>
  <c r="AN328" i="9"/>
  <c r="AS328" i="9" s="1"/>
  <c r="AT328" i="9" s="1"/>
  <c r="AJ328" i="9"/>
  <c r="AN132" i="9"/>
  <c r="AN181" i="9"/>
  <c r="AN366" i="9"/>
  <c r="AN284" i="9"/>
  <c r="AJ284" i="9"/>
  <c r="W129" i="9"/>
  <c r="AN163" i="9"/>
  <c r="AS163" i="9" s="1"/>
  <c r="AT163" i="9" s="1"/>
  <c r="AJ163" i="9"/>
  <c r="AN149" i="9"/>
  <c r="AO149" i="9" s="1"/>
  <c r="AJ149" i="9"/>
  <c r="AN188" i="9"/>
  <c r="AO188" i="9" s="1"/>
  <c r="AN130" i="9"/>
  <c r="AO130" i="9" s="1"/>
  <c r="AJ130" i="9"/>
  <c r="AN508" i="9"/>
  <c r="AO508" i="9" s="1"/>
  <c r="AJ508" i="9"/>
  <c r="AN462" i="9"/>
  <c r="AN367" i="9"/>
  <c r="AN118" i="9"/>
  <c r="AJ118" i="9"/>
  <c r="AN87" i="9"/>
  <c r="AO87" i="9" s="1"/>
  <c r="AN169" i="9"/>
  <c r="AO169" i="9" s="1"/>
  <c r="AJ169" i="9"/>
  <c r="W70" i="9"/>
  <c r="AN15" i="9"/>
  <c r="AN365" i="9"/>
  <c r="AO365" i="9" s="1"/>
  <c r="AJ365" i="9"/>
  <c r="AN346" i="9"/>
  <c r="AO346" i="9" s="1"/>
  <c r="AJ346" i="9"/>
  <c r="AN119" i="9"/>
  <c r="AO119" i="9" s="1"/>
  <c r="AN348" i="9"/>
  <c r="AO348" i="9" s="1"/>
  <c r="AN660" i="9"/>
  <c r="AS660" i="9" s="1"/>
  <c r="AT660" i="9" s="1"/>
  <c r="AN347" i="9"/>
  <c r="AN287" i="9"/>
  <c r="AN166" i="9"/>
  <c r="AO166" i="9" s="1"/>
  <c r="AJ166" i="9"/>
  <c r="AN14" i="9"/>
  <c r="AN190" i="9"/>
  <c r="AO190" i="9" s="1"/>
  <c r="AJ190" i="9"/>
  <c r="AN384" i="9"/>
  <c r="AO384" i="9" s="1"/>
  <c r="AN174" i="9"/>
  <c r="AJ174" i="9"/>
  <c r="AN416" i="9"/>
  <c r="AJ416" i="9"/>
  <c r="AV385" i="9"/>
  <c r="AW384" i="9"/>
  <c r="AQ469" i="9"/>
  <c r="AR468" i="9"/>
  <c r="AL290" i="9"/>
  <c r="AM289" i="9"/>
  <c r="AN289" i="9"/>
  <c r="AL214" i="9"/>
  <c r="AM213" i="9"/>
  <c r="AN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N18" i="9"/>
  <c r="AV214" i="9"/>
  <c r="AW213" i="9"/>
  <c r="AV18" i="9"/>
  <c r="AW17" i="9"/>
  <c r="AL351" i="9"/>
  <c r="AM350" i="9"/>
  <c r="AN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N335" i="9"/>
  <c r="AL60" i="9"/>
  <c r="AM59" i="9"/>
  <c r="AN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N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N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N110" i="9"/>
  <c r="AL91" i="9"/>
  <c r="AM90" i="9"/>
  <c r="AN90" i="9"/>
  <c r="AQ136" i="9"/>
  <c r="AR135" i="9"/>
  <c r="AV553" i="9"/>
  <c r="AW552" i="9"/>
  <c r="AL124" i="9"/>
  <c r="AM123" i="9"/>
  <c r="AN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N134" i="9"/>
  <c r="AO134" i="9" s="1"/>
  <c r="AN550" i="9"/>
  <c r="AO550" i="9" s="1"/>
  <c r="AS183" i="9"/>
  <c r="AJ644" i="9"/>
  <c r="AN644" i="9"/>
  <c r="AO644" i="9" s="1"/>
  <c r="AJ134" i="9"/>
  <c r="AN598" i="9"/>
  <c r="AO598" i="9" s="1"/>
  <c r="AJ255" i="9"/>
  <c r="AN255" i="9"/>
  <c r="AO255" i="9" s="1"/>
  <c r="AN465" i="9"/>
  <c r="AN663" i="9"/>
  <c r="AN620" i="9"/>
  <c r="AO620" i="9" s="1"/>
  <c r="AN511" i="9"/>
  <c r="AO511" i="9" s="1"/>
  <c r="AI621" i="9"/>
  <c r="AJ621" i="9" s="1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U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0" i="5"/>
  <c r="V346" i="5"/>
  <c r="W345" i="5" s="1"/>
  <c r="U346" i="5"/>
  <c r="V354" i="5"/>
  <c r="W353" i="5" s="1"/>
  <c r="U354" i="5"/>
  <c r="V362" i="5"/>
  <c r="W361" i="5" s="1"/>
  <c r="U362" i="5"/>
  <c r="V341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N341" i="5" s="1"/>
  <c r="L340" i="5"/>
  <c r="N340" i="5" s="1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M325" i="4"/>
  <c r="AL325" i="4"/>
  <c r="L325" i="4"/>
  <c r="AM324" i="4"/>
  <c r="AL324" i="4"/>
  <c r="L324" i="4"/>
  <c r="AM323" i="4"/>
  <c r="AL323" i="4"/>
  <c r="L323" i="4"/>
  <c r="AM322" i="4"/>
  <c r="AL322" i="4"/>
  <c r="L322" i="4"/>
  <c r="AM321" i="4"/>
  <c r="AL321" i="4"/>
  <c r="L321" i="4"/>
  <c r="AM320" i="4"/>
  <c r="AL320" i="4"/>
  <c r="L320" i="4"/>
  <c r="AM319" i="4"/>
  <c r="AL319" i="4"/>
  <c r="L319" i="4"/>
  <c r="AM318" i="4"/>
  <c r="AL318" i="4"/>
  <c r="L318" i="4"/>
  <c r="AM317" i="4"/>
  <c r="AL317" i="4"/>
  <c r="L317" i="4"/>
  <c r="AM316" i="4"/>
  <c r="AL316" i="4"/>
  <c r="L316" i="4"/>
  <c r="AM315" i="4"/>
  <c r="AL315" i="4"/>
  <c r="L315" i="4"/>
  <c r="AM314" i="4"/>
  <c r="AL314" i="4"/>
  <c r="L314" i="4"/>
  <c r="AM313" i="4"/>
  <c r="AL313" i="4"/>
  <c r="L313" i="4"/>
  <c r="AM312" i="4"/>
  <c r="AL312" i="4"/>
  <c r="L312" i="4"/>
  <c r="AM311" i="4"/>
  <c r="AL311" i="4"/>
  <c r="L311" i="4"/>
  <c r="AM310" i="4"/>
  <c r="AL310" i="4"/>
  <c r="L310" i="4"/>
  <c r="AM309" i="4"/>
  <c r="AL309" i="4"/>
  <c r="L309" i="4"/>
  <c r="AM308" i="4"/>
  <c r="AL308" i="4"/>
  <c r="L308" i="4"/>
  <c r="AM307" i="4"/>
  <c r="AL307" i="4"/>
  <c r="L307" i="4"/>
  <c r="AM306" i="4"/>
  <c r="AL306" i="4"/>
  <c r="L306" i="4"/>
  <c r="AM305" i="4"/>
  <c r="AL305" i="4"/>
  <c r="L305" i="4"/>
  <c r="AM304" i="4"/>
  <c r="AL304" i="4"/>
  <c r="L304" i="4"/>
  <c r="AM303" i="4"/>
  <c r="AL303" i="4"/>
  <c r="L303" i="4"/>
  <c r="AM302" i="4"/>
  <c r="AL302" i="4"/>
  <c r="L302" i="4"/>
  <c r="AM301" i="4"/>
  <c r="AL301" i="4"/>
  <c r="L301" i="4"/>
  <c r="AM300" i="4"/>
  <c r="AL300" i="4"/>
  <c r="L300" i="4"/>
  <c r="AM299" i="4"/>
  <c r="AL299" i="4"/>
  <c r="L299" i="4"/>
  <c r="AM298" i="4"/>
  <c r="AL298" i="4"/>
  <c r="L298" i="4"/>
  <c r="AM297" i="4"/>
  <c r="AL297" i="4"/>
  <c r="L297" i="4"/>
  <c r="AM296" i="4"/>
  <c r="AL296" i="4"/>
  <c r="L296" i="4"/>
  <c r="AM295" i="4"/>
  <c r="AL295" i="4"/>
  <c r="L295" i="4"/>
  <c r="AM294" i="4"/>
  <c r="AL294" i="4"/>
  <c r="L294" i="4"/>
  <c r="AM293" i="4"/>
  <c r="AL293" i="4"/>
  <c r="L293" i="4"/>
  <c r="AM292" i="4"/>
  <c r="AL292" i="4"/>
  <c r="L292" i="4"/>
  <c r="AM291" i="4"/>
  <c r="AL291" i="4"/>
  <c r="L291" i="4"/>
  <c r="AM290" i="4"/>
  <c r="AL290" i="4"/>
  <c r="L290" i="4"/>
  <c r="AM289" i="4"/>
  <c r="AL289" i="4"/>
  <c r="L289" i="4"/>
  <c r="AM288" i="4"/>
  <c r="AL288" i="4"/>
  <c r="L288" i="4"/>
  <c r="M288" i="4" s="1"/>
  <c r="AM287" i="4"/>
  <c r="AL287" i="4"/>
  <c r="L287" i="4"/>
  <c r="AM286" i="4"/>
  <c r="AL286" i="4"/>
  <c r="L286" i="4"/>
  <c r="M286" i="4" s="1"/>
  <c r="AM285" i="4"/>
  <c r="AL285" i="4"/>
  <c r="L285" i="4"/>
  <c r="M285" i="4" s="1"/>
  <c r="AM284" i="4"/>
  <c r="AL284" i="4"/>
  <c r="L284" i="4"/>
  <c r="AM283" i="4"/>
  <c r="AL283" i="4"/>
  <c r="L283" i="4"/>
  <c r="AM282" i="4"/>
  <c r="AL282" i="4"/>
  <c r="L282" i="4"/>
  <c r="AM281" i="4"/>
  <c r="AL281" i="4"/>
  <c r="L281" i="4"/>
  <c r="AM280" i="4"/>
  <c r="AL280" i="4"/>
  <c r="L280" i="4"/>
  <c r="AM279" i="4"/>
  <c r="AL279" i="4"/>
  <c r="L279" i="4"/>
  <c r="AM278" i="4"/>
  <c r="AL278" i="4"/>
  <c r="L278" i="4"/>
  <c r="AM277" i="4"/>
  <c r="AL277" i="4"/>
  <c r="L277" i="4"/>
  <c r="AM276" i="4"/>
  <c r="AL276" i="4"/>
  <c r="L276" i="4"/>
  <c r="AM275" i="4"/>
  <c r="AL275" i="4"/>
  <c r="L275" i="4"/>
  <c r="AM274" i="4"/>
  <c r="AL274" i="4"/>
  <c r="L274" i="4"/>
  <c r="AM273" i="4"/>
  <c r="AL273" i="4"/>
  <c r="L273" i="4"/>
  <c r="AM272" i="4"/>
  <c r="AL272" i="4"/>
  <c r="L272" i="4"/>
  <c r="AM271" i="4"/>
  <c r="AL271" i="4"/>
  <c r="L271" i="4"/>
  <c r="AM270" i="4"/>
  <c r="AL270" i="4"/>
  <c r="L270" i="4"/>
  <c r="AM269" i="4"/>
  <c r="AL269" i="4"/>
  <c r="L269" i="4"/>
  <c r="AM268" i="4"/>
  <c r="AL268" i="4"/>
  <c r="L268" i="4"/>
  <c r="AM267" i="4"/>
  <c r="AL267" i="4"/>
  <c r="L267" i="4"/>
  <c r="AM266" i="4"/>
  <c r="AL266" i="4"/>
  <c r="L266" i="4"/>
  <c r="AM265" i="4"/>
  <c r="AL265" i="4"/>
  <c r="L265" i="4"/>
  <c r="AM264" i="4"/>
  <c r="AL264" i="4"/>
  <c r="L264" i="4"/>
  <c r="AM263" i="4"/>
  <c r="AL263" i="4"/>
  <c r="L263" i="4"/>
  <c r="AM262" i="4"/>
  <c r="AL262" i="4"/>
  <c r="L262" i="4"/>
  <c r="AM261" i="4"/>
  <c r="AL261" i="4"/>
  <c r="L261" i="4"/>
  <c r="AM260" i="4"/>
  <c r="AL260" i="4"/>
  <c r="L260" i="4"/>
  <c r="AM259" i="4"/>
  <c r="AL259" i="4"/>
  <c r="L259" i="4"/>
  <c r="AM258" i="4"/>
  <c r="AL258" i="4"/>
  <c r="L258" i="4"/>
  <c r="AM257" i="4"/>
  <c r="AL257" i="4"/>
  <c r="L257" i="4"/>
  <c r="AM256" i="4"/>
  <c r="AL256" i="4"/>
  <c r="L256" i="4"/>
  <c r="AM255" i="4"/>
  <c r="AL255" i="4"/>
  <c r="L255" i="4"/>
  <c r="AM254" i="4"/>
  <c r="AL254" i="4"/>
  <c r="L254" i="4"/>
  <c r="AM253" i="4"/>
  <c r="AL253" i="4"/>
  <c r="L253" i="4"/>
  <c r="AM252" i="4"/>
  <c r="AL252" i="4"/>
  <c r="L252" i="4"/>
  <c r="AM251" i="4"/>
  <c r="AL251" i="4"/>
  <c r="L251" i="4"/>
  <c r="AM250" i="4"/>
  <c r="AL250" i="4"/>
  <c r="L250" i="4"/>
  <c r="AM249" i="4"/>
  <c r="AL249" i="4"/>
  <c r="L249" i="4"/>
  <c r="AM248" i="4"/>
  <c r="AL248" i="4"/>
  <c r="L248" i="4"/>
  <c r="AM247" i="4"/>
  <c r="AL247" i="4"/>
  <c r="L247" i="4"/>
  <c r="AM246" i="4"/>
  <c r="AL246" i="4"/>
  <c r="L246" i="4"/>
  <c r="AM245" i="4"/>
  <c r="AL245" i="4"/>
  <c r="L245" i="4"/>
  <c r="AM244" i="4"/>
  <c r="AL244" i="4"/>
  <c r="L244" i="4"/>
  <c r="AM243" i="4"/>
  <c r="AL243" i="4"/>
  <c r="L243" i="4"/>
  <c r="AM242" i="4"/>
  <c r="AL242" i="4"/>
  <c r="L242" i="4"/>
  <c r="AM241" i="4"/>
  <c r="AL241" i="4"/>
  <c r="L241" i="4"/>
  <c r="AM240" i="4"/>
  <c r="AL240" i="4"/>
  <c r="L240" i="4"/>
  <c r="AM239" i="4"/>
  <c r="AL239" i="4"/>
  <c r="L239" i="4"/>
  <c r="AM238" i="4"/>
  <c r="AL238" i="4"/>
  <c r="L238" i="4"/>
  <c r="AM237" i="4"/>
  <c r="AL237" i="4"/>
  <c r="L237" i="4"/>
  <c r="AM236" i="4"/>
  <c r="AL236" i="4"/>
  <c r="L236" i="4"/>
  <c r="AM235" i="4"/>
  <c r="AL235" i="4"/>
  <c r="L235" i="4"/>
  <c r="AM234" i="4"/>
  <c r="AL234" i="4"/>
  <c r="L234" i="4"/>
  <c r="AM233" i="4"/>
  <c r="AL233" i="4"/>
  <c r="L233" i="4"/>
  <c r="AM232" i="4"/>
  <c r="AL232" i="4"/>
  <c r="L232" i="4"/>
  <c r="AM231" i="4"/>
  <c r="AL231" i="4"/>
  <c r="L231" i="4"/>
  <c r="AM230" i="4"/>
  <c r="AL230" i="4"/>
  <c r="L230" i="4"/>
  <c r="AM229" i="4"/>
  <c r="AL229" i="4"/>
  <c r="L229" i="4"/>
  <c r="AM228" i="4"/>
  <c r="AL228" i="4"/>
  <c r="L228" i="4"/>
  <c r="AM227" i="4"/>
  <c r="AL227" i="4"/>
  <c r="L227" i="4"/>
  <c r="AM226" i="4"/>
  <c r="AL226" i="4"/>
  <c r="L226" i="4"/>
  <c r="AM225" i="4"/>
  <c r="AL225" i="4"/>
  <c r="L225" i="4"/>
  <c r="AM224" i="4"/>
  <c r="AL224" i="4"/>
  <c r="L224" i="4"/>
  <c r="AM223" i="4"/>
  <c r="AL223" i="4"/>
  <c r="L223" i="4"/>
  <c r="AM222" i="4"/>
  <c r="AL222" i="4"/>
  <c r="L222" i="4"/>
  <c r="AM221" i="4"/>
  <c r="AL221" i="4"/>
  <c r="L221" i="4"/>
  <c r="AM220" i="4"/>
  <c r="AL220" i="4"/>
  <c r="L220" i="4"/>
  <c r="AM219" i="4"/>
  <c r="AL219" i="4"/>
  <c r="L219" i="4"/>
  <c r="AM218" i="4"/>
  <c r="AL218" i="4"/>
  <c r="L218" i="4"/>
  <c r="AM217" i="4"/>
  <c r="AL217" i="4"/>
  <c r="L217" i="4"/>
  <c r="AM216" i="4"/>
  <c r="AL216" i="4"/>
  <c r="L216" i="4"/>
  <c r="AM215" i="4"/>
  <c r="AL215" i="4"/>
  <c r="L215" i="4"/>
  <c r="AM214" i="4"/>
  <c r="AL214" i="4"/>
  <c r="L214" i="4"/>
  <c r="AM213" i="4"/>
  <c r="AL213" i="4"/>
  <c r="L213" i="4"/>
  <c r="AM212" i="4"/>
  <c r="AL212" i="4"/>
  <c r="L212" i="4"/>
  <c r="AM211" i="4"/>
  <c r="AL211" i="4"/>
  <c r="L211" i="4"/>
  <c r="AM210" i="4"/>
  <c r="AL210" i="4"/>
  <c r="L210" i="4"/>
  <c r="AM209" i="4"/>
  <c r="AL209" i="4"/>
  <c r="L209" i="4"/>
  <c r="AM208" i="4"/>
  <c r="AL208" i="4"/>
  <c r="L208" i="4"/>
  <c r="AM207" i="4"/>
  <c r="AL207" i="4"/>
  <c r="L207" i="4"/>
  <c r="AM206" i="4"/>
  <c r="AL206" i="4"/>
  <c r="L206" i="4"/>
  <c r="AM205" i="4"/>
  <c r="AL205" i="4"/>
  <c r="L205" i="4"/>
  <c r="AM204" i="4"/>
  <c r="AL204" i="4"/>
  <c r="L204" i="4"/>
  <c r="AM203" i="4"/>
  <c r="AL203" i="4"/>
  <c r="L203" i="4"/>
  <c r="AM202" i="4"/>
  <c r="AL202" i="4"/>
  <c r="L202" i="4"/>
  <c r="AM201" i="4"/>
  <c r="AL201" i="4"/>
  <c r="L201" i="4"/>
  <c r="AM200" i="4"/>
  <c r="AL200" i="4"/>
  <c r="L200" i="4"/>
  <c r="AM199" i="4"/>
  <c r="AL199" i="4"/>
  <c r="L199" i="4"/>
  <c r="AM198" i="4"/>
  <c r="AL198" i="4"/>
  <c r="L198" i="4"/>
  <c r="AM197" i="4"/>
  <c r="AL197" i="4"/>
  <c r="L197" i="4"/>
  <c r="AM196" i="4"/>
  <c r="AL196" i="4"/>
  <c r="L196" i="4"/>
  <c r="AM195" i="4"/>
  <c r="AL195" i="4"/>
  <c r="L195" i="4"/>
  <c r="AM194" i="4"/>
  <c r="AL194" i="4"/>
  <c r="L194" i="4"/>
  <c r="AM193" i="4"/>
  <c r="AL193" i="4"/>
  <c r="L193" i="4"/>
  <c r="AM192" i="4"/>
  <c r="AL192" i="4"/>
  <c r="L192" i="4"/>
  <c r="AM191" i="4"/>
  <c r="AL191" i="4"/>
  <c r="L191" i="4"/>
  <c r="AM190" i="4"/>
  <c r="AL190" i="4"/>
  <c r="L190" i="4"/>
  <c r="AM189" i="4"/>
  <c r="AL189" i="4"/>
  <c r="L189" i="4"/>
  <c r="M189" i="4" s="1"/>
  <c r="AM188" i="4"/>
  <c r="AL188" i="4"/>
  <c r="L188" i="4"/>
  <c r="AM187" i="4"/>
  <c r="AL187" i="4"/>
  <c r="L187" i="4"/>
  <c r="AM186" i="4"/>
  <c r="AL186" i="4"/>
  <c r="L186" i="4"/>
  <c r="AM185" i="4"/>
  <c r="AL185" i="4"/>
  <c r="L185" i="4"/>
  <c r="AM184" i="4"/>
  <c r="AL184" i="4"/>
  <c r="L184" i="4"/>
  <c r="AM183" i="4"/>
  <c r="AL183" i="4"/>
  <c r="L183" i="4"/>
  <c r="AM182" i="4"/>
  <c r="AL182" i="4"/>
  <c r="L182" i="4"/>
  <c r="AM181" i="4"/>
  <c r="AL181" i="4"/>
  <c r="L181" i="4"/>
  <c r="AM180" i="4"/>
  <c r="AL180" i="4"/>
  <c r="L180" i="4"/>
  <c r="AM179" i="4"/>
  <c r="AL179" i="4"/>
  <c r="L179" i="4"/>
  <c r="AM178" i="4"/>
  <c r="AL178" i="4"/>
  <c r="L178" i="4"/>
  <c r="AM177" i="4"/>
  <c r="AL177" i="4"/>
  <c r="L177" i="4"/>
  <c r="M177" i="4" s="1"/>
  <c r="AM176" i="4"/>
  <c r="AL176" i="4"/>
  <c r="L176" i="4"/>
  <c r="AM175" i="4"/>
  <c r="AL175" i="4"/>
  <c r="L175" i="4"/>
  <c r="AM174" i="4"/>
  <c r="AL174" i="4"/>
  <c r="L174" i="4"/>
  <c r="AM173" i="4"/>
  <c r="AL173" i="4"/>
  <c r="L173" i="4"/>
  <c r="AM172" i="4"/>
  <c r="AL172" i="4"/>
  <c r="L172" i="4"/>
  <c r="AM171" i="4"/>
  <c r="AL171" i="4"/>
  <c r="L171" i="4"/>
  <c r="AM170" i="4"/>
  <c r="AL170" i="4"/>
  <c r="L170" i="4"/>
  <c r="AM169" i="4"/>
  <c r="AL169" i="4"/>
  <c r="L169" i="4"/>
  <c r="AM168" i="4"/>
  <c r="AL168" i="4"/>
  <c r="L168" i="4"/>
  <c r="AM167" i="4"/>
  <c r="AL167" i="4"/>
  <c r="L167" i="4"/>
  <c r="AM166" i="4"/>
  <c r="AL166" i="4"/>
  <c r="L166" i="4"/>
  <c r="AM165" i="4"/>
  <c r="AL165" i="4"/>
  <c r="L165" i="4"/>
  <c r="AM164" i="4"/>
  <c r="AL164" i="4"/>
  <c r="L164" i="4"/>
  <c r="AM163" i="4"/>
  <c r="AL163" i="4"/>
  <c r="L163" i="4"/>
  <c r="M163" i="4" s="1"/>
  <c r="AM162" i="4"/>
  <c r="AL162" i="4"/>
  <c r="L162" i="4"/>
  <c r="AM161" i="4"/>
  <c r="AL161" i="4"/>
  <c r="L161" i="4"/>
  <c r="AM160" i="4"/>
  <c r="AL160" i="4"/>
  <c r="L160" i="4"/>
  <c r="AM159" i="4"/>
  <c r="AL159" i="4"/>
  <c r="L159" i="4"/>
  <c r="M159" i="4" s="1"/>
  <c r="AM158" i="4"/>
  <c r="AL158" i="4"/>
  <c r="L158" i="4"/>
  <c r="AM157" i="4"/>
  <c r="AL157" i="4"/>
  <c r="L157" i="4"/>
  <c r="AM156" i="4"/>
  <c r="AL156" i="4"/>
  <c r="L156" i="4"/>
  <c r="AM155" i="4"/>
  <c r="AL155" i="4"/>
  <c r="L155" i="4"/>
  <c r="AM154" i="4"/>
  <c r="AL154" i="4"/>
  <c r="L154" i="4"/>
  <c r="AM153" i="4"/>
  <c r="AL153" i="4"/>
  <c r="L153" i="4"/>
  <c r="AM152" i="4"/>
  <c r="AL152" i="4"/>
  <c r="L152" i="4"/>
  <c r="AM151" i="4"/>
  <c r="AL151" i="4"/>
  <c r="L151" i="4"/>
  <c r="AM150" i="4"/>
  <c r="AL150" i="4"/>
  <c r="L150" i="4"/>
  <c r="AM149" i="4"/>
  <c r="AL149" i="4"/>
  <c r="L149" i="4"/>
  <c r="AM148" i="4"/>
  <c r="AL148" i="4"/>
  <c r="L148" i="4"/>
  <c r="M148" i="4" s="1"/>
  <c r="AM147" i="4"/>
  <c r="AL147" i="4"/>
  <c r="L147" i="4"/>
  <c r="AM146" i="4"/>
  <c r="AL146" i="4"/>
  <c r="L146" i="4"/>
  <c r="AM145" i="4"/>
  <c r="AL145" i="4"/>
  <c r="L145" i="4"/>
  <c r="AM144" i="4"/>
  <c r="AL144" i="4"/>
  <c r="L144" i="4"/>
  <c r="M144" i="4" s="1"/>
  <c r="AM143" i="4"/>
  <c r="AL143" i="4"/>
  <c r="L143" i="4"/>
  <c r="AM142" i="4"/>
  <c r="AL142" i="4"/>
  <c r="L142" i="4"/>
  <c r="AM141" i="4"/>
  <c r="AL141" i="4"/>
  <c r="L141" i="4"/>
  <c r="AM140" i="4"/>
  <c r="AL140" i="4"/>
  <c r="L140" i="4"/>
  <c r="AM139" i="4"/>
  <c r="AL139" i="4"/>
  <c r="L139" i="4"/>
  <c r="AM138" i="4"/>
  <c r="AL138" i="4"/>
  <c r="L138" i="4"/>
  <c r="M138" i="4" s="1"/>
  <c r="AM137" i="4"/>
  <c r="AL137" i="4"/>
  <c r="L137" i="4"/>
  <c r="AM136" i="4"/>
  <c r="AL136" i="4"/>
  <c r="L136" i="4"/>
  <c r="AM135" i="4"/>
  <c r="AL135" i="4"/>
  <c r="L135" i="4"/>
  <c r="AM134" i="4"/>
  <c r="AL134" i="4"/>
  <c r="L134" i="4"/>
  <c r="AM133" i="4"/>
  <c r="AL133" i="4"/>
  <c r="L133" i="4"/>
  <c r="AM132" i="4"/>
  <c r="AL132" i="4"/>
  <c r="L132" i="4"/>
  <c r="M132" i="4" s="1"/>
  <c r="AM131" i="4"/>
  <c r="AL131" i="4"/>
  <c r="L131" i="4"/>
  <c r="AM130" i="4"/>
  <c r="AL130" i="4"/>
  <c r="L130" i="4"/>
  <c r="AM129" i="4"/>
  <c r="AL129" i="4"/>
  <c r="L129" i="4"/>
  <c r="AM128" i="4"/>
  <c r="AL128" i="4"/>
  <c r="L128" i="4"/>
  <c r="AM127" i="4"/>
  <c r="AL127" i="4"/>
  <c r="L127" i="4"/>
  <c r="AM126" i="4"/>
  <c r="AL126" i="4"/>
  <c r="L126" i="4"/>
  <c r="AM125" i="4"/>
  <c r="AL125" i="4"/>
  <c r="L125" i="4"/>
  <c r="AM124" i="4"/>
  <c r="AL124" i="4"/>
  <c r="L124" i="4"/>
  <c r="AM123" i="4"/>
  <c r="AL123" i="4"/>
  <c r="L123" i="4"/>
  <c r="AM122" i="4"/>
  <c r="AL122" i="4"/>
  <c r="L122" i="4"/>
  <c r="AM121" i="4"/>
  <c r="AL121" i="4"/>
  <c r="L121" i="4"/>
  <c r="AM120" i="4"/>
  <c r="AL120" i="4"/>
  <c r="L120" i="4"/>
  <c r="M120" i="4" s="1"/>
  <c r="AM119" i="4"/>
  <c r="AL119" i="4"/>
  <c r="L119" i="4"/>
  <c r="AM118" i="4"/>
  <c r="AL118" i="4"/>
  <c r="L118" i="4"/>
  <c r="M118" i="4" s="1"/>
  <c r="AM117" i="4"/>
  <c r="AL117" i="4"/>
  <c r="L117" i="4"/>
  <c r="AM116" i="4"/>
  <c r="AL116" i="4"/>
  <c r="L116" i="4"/>
  <c r="AM115" i="4"/>
  <c r="AL115" i="4"/>
  <c r="L115" i="4"/>
  <c r="AM114" i="4"/>
  <c r="AL114" i="4"/>
  <c r="L114" i="4"/>
  <c r="AM113" i="4"/>
  <c r="AL113" i="4"/>
  <c r="L113" i="4"/>
  <c r="AM112" i="4"/>
  <c r="AL112" i="4"/>
  <c r="L112" i="4"/>
  <c r="M112" i="4" s="1"/>
  <c r="AM111" i="4"/>
  <c r="AL111" i="4"/>
  <c r="L111" i="4"/>
  <c r="AM110" i="4"/>
  <c r="AL110" i="4"/>
  <c r="L110" i="4"/>
  <c r="AM109" i="4"/>
  <c r="AL109" i="4"/>
  <c r="L109" i="4"/>
  <c r="AM108" i="4"/>
  <c r="AL108" i="4"/>
  <c r="L108" i="4"/>
  <c r="AM107" i="4"/>
  <c r="AL107" i="4"/>
  <c r="L107" i="4"/>
  <c r="AM106" i="4"/>
  <c r="AL106" i="4"/>
  <c r="L106" i="4"/>
  <c r="AM105" i="4"/>
  <c r="AL105" i="4"/>
  <c r="L105" i="4"/>
  <c r="AM104" i="4"/>
  <c r="AL104" i="4"/>
  <c r="L104" i="4"/>
  <c r="AM103" i="4"/>
  <c r="AL103" i="4"/>
  <c r="L103" i="4"/>
  <c r="M103" i="4" s="1"/>
  <c r="AM102" i="4"/>
  <c r="AL102" i="4"/>
  <c r="L102" i="4"/>
  <c r="AM101" i="4"/>
  <c r="AL101" i="4"/>
  <c r="L101" i="4"/>
  <c r="AM100" i="4"/>
  <c r="AL100" i="4"/>
  <c r="L100" i="4"/>
  <c r="AM99" i="4"/>
  <c r="AL99" i="4"/>
  <c r="L99" i="4"/>
  <c r="M99" i="4" s="1"/>
  <c r="AM98" i="4"/>
  <c r="AL98" i="4"/>
  <c r="L98" i="4"/>
  <c r="AM97" i="4"/>
  <c r="AL97" i="4"/>
  <c r="L97" i="4"/>
  <c r="AM96" i="4"/>
  <c r="AL96" i="4"/>
  <c r="L96" i="4"/>
  <c r="M96" i="4" s="1"/>
  <c r="AM95" i="4"/>
  <c r="AL95" i="4"/>
  <c r="L95" i="4"/>
  <c r="AM94" i="4"/>
  <c r="AL94" i="4"/>
  <c r="L94" i="4"/>
  <c r="AM93" i="4"/>
  <c r="AL93" i="4"/>
  <c r="L93" i="4"/>
  <c r="M93" i="4" s="1"/>
  <c r="AM92" i="4"/>
  <c r="AL92" i="4"/>
  <c r="L92" i="4"/>
  <c r="AM91" i="4"/>
  <c r="AL91" i="4"/>
  <c r="L91" i="4"/>
  <c r="AM90" i="4"/>
  <c r="AL90" i="4"/>
  <c r="L90" i="4"/>
  <c r="M90" i="4" s="1"/>
  <c r="AM89" i="4"/>
  <c r="AL89" i="4"/>
  <c r="L89" i="4"/>
  <c r="AM88" i="4"/>
  <c r="AL88" i="4"/>
  <c r="L88" i="4"/>
  <c r="AM87" i="4"/>
  <c r="AL87" i="4"/>
  <c r="L87" i="4"/>
  <c r="M87" i="4" s="1"/>
  <c r="AM86" i="4"/>
  <c r="AL86" i="4"/>
  <c r="L86" i="4"/>
  <c r="AM85" i="4"/>
  <c r="AL85" i="4"/>
  <c r="L85" i="4"/>
  <c r="AM84" i="4"/>
  <c r="AL84" i="4"/>
  <c r="L84" i="4"/>
  <c r="AM83" i="4"/>
  <c r="AL83" i="4"/>
  <c r="L83" i="4"/>
  <c r="AM82" i="4"/>
  <c r="AL82" i="4"/>
  <c r="L82" i="4"/>
  <c r="M82" i="4" s="1"/>
  <c r="AM81" i="4"/>
  <c r="AL81" i="4"/>
  <c r="L81" i="4"/>
  <c r="AM80" i="4"/>
  <c r="AL80" i="4"/>
  <c r="L80" i="4"/>
  <c r="AM79" i="4"/>
  <c r="AL79" i="4"/>
  <c r="L79" i="4"/>
  <c r="AM78" i="4"/>
  <c r="AL78" i="4"/>
  <c r="L78" i="4"/>
  <c r="AM77" i="4"/>
  <c r="AL77" i="4"/>
  <c r="L77" i="4"/>
  <c r="AM76" i="4"/>
  <c r="AL76" i="4"/>
  <c r="L76" i="4"/>
  <c r="AM75" i="4"/>
  <c r="AL75" i="4"/>
  <c r="L75" i="4"/>
  <c r="AM74" i="4"/>
  <c r="AL74" i="4"/>
  <c r="L74" i="4"/>
  <c r="AM73" i="4"/>
  <c r="AL73" i="4"/>
  <c r="L73" i="4"/>
  <c r="AM72" i="4"/>
  <c r="AL72" i="4"/>
  <c r="L72" i="4"/>
  <c r="AM71" i="4"/>
  <c r="AL71" i="4"/>
  <c r="L71" i="4"/>
  <c r="AM70" i="4"/>
  <c r="AL70" i="4"/>
  <c r="L70" i="4"/>
  <c r="AM69" i="4"/>
  <c r="AL69" i="4"/>
  <c r="L69" i="4"/>
  <c r="AM57" i="4"/>
  <c r="AL57" i="4"/>
  <c r="L57" i="4"/>
  <c r="AM56" i="4"/>
  <c r="AL56" i="4"/>
  <c r="L56" i="4"/>
  <c r="AM53" i="4"/>
  <c r="AL53" i="4"/>
  <c r="L53" i="4"/>
  <c r="AM52" i="4"/>
  <c r="AL52" i="4"/>
  <c r="L52" i="4"/>
  <c r="AM51" i="4"/>
  <c r="AL51" i="4"/>
  <c r="L51" i="4"/>
  <c r="AM50" i="4"/>
  <c r="AL50" i="4"/>
  <c r="L50" i="4"/>
  <c r="AM49" i="4"/>
  <c r="AL49" i="4"/>
  <c r="L49" i="4"/>
  <c r="AM48" i="4"/>
  <c r="AL48" i="4"/>
  <c r="L48" i="4"/>
  <c r="AM47" i="4"/>
  <c r="AL47" i="4"/>
  <c r="L47" i="4"/>
  <c r="M47" i="4" s="1"/>
  <c r="AM46" i="4"/>
  <c r="AL46" i="4"/>
  <c r="L46" i="4"/>
  <c r="AM45" i="4"/>
  <c r="AL45" i="4"/>
  <c r="L45" i="4"/>
  <c r="AM44" i="4"/>
  <c r="AL44" i="4"/>
  <c r="L44" i="4"/>
  <c r="AM43" i="4"/>
  <c r="AL43" i="4"/>
  <c r="L43" i="4"/>
  <c r="AM42" i="4"/>
  <c r="AL42" i="4"/>
  <c r="L42" i="4"/>
  <c r="AM41" i="4"/>
  <c r="AL41" i="4"/>
  <c r="L41" i="4"/>
  <c r="AM40" i="4"/>
  <c r="AL40" i="4"/>
  <c r="L40" i="4"/>
  <c r="AM39" i="4"/>
  <c r="AL39" i="4"/>
  <c r="L39" i="4"/>
  <c r="AM38" i="4"/>
  <c r="AL38" i="4"/>
  <c r="L38" i="4"/>
  <c r="AM37" i="4"/>
  <c r="AL37" i="4"/>
  <c r="L37" i="4"/>
  <c r="AM36" i="4"/>
  <c r="AL36" i="4"/>
  <c r="L36" i="4"/>
  <c r="AM35" i="4"/>
  <c r="AL35" i="4"/>
  <c r="L35" i="4"/>
  <c r="AM34" i="4"/>
  <c r="AL34" i="4"/>
  <c r="L34" i="4"/>
  <c r="AM33" i="4"/>
  <c r="AL33" i="4"/>
  <c r="L33" i="4"/>
  <c r="AM32" i="4"/>
  <c r="AL32" i="4"/>
  <c r="L32" i="4"/>
  <c r="AM31" i="4"/>
  <c r="AL31" i="4"/>
  <c r="L31" i="4"/>
  <c r="AM30" i="4"/>
  <c r="AL30" i="4"/>
  <c r="L30" i="4"/>
  <c r="AI28" i="4"/>
  <c r="X28" i="4"/>
  <c r="W28" i="4"/>
  <c r="V28" i="4"/>
  <c r="U28" i="4"/>
  <c r="T28" i="4"/>
  <c r="S28" i="4"/>
  <c r="R28" i="4"/>
  <c r="Q28" i="4"/>
  <c r="P28" i="4"/>
  <c r="O28" i="4"/>
  <c r="N28" i="4"/>
  <c r="AI27" i="4" a="1"/>
  <c r="AI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665" i="9"/>
  <c r="T725" i="9"/>
  <c r="T688" i="9"/>
  <c r="T695" i="9"/>
  <c r="T728" i="9"/>
  <c r="T683" i="9"/>
  <c r="T686" i="9"/>
  <c r="T716" i="9"/>
  <c r="T600" i="9"/>
  <c r="T704" i="9"/>
  <c r="T719" i="9"/>
  <c r="T708" i="9"/>
  <c r="T680" i="9"/>
  <c r="T429" i="9"/>
  <c r="T705" i="9"/>
  <c r="T703" i="9"/>
  <c r="T724" i="9"/>
  <c r="T721" i="9"/>
  <c r="T690" i="9"/>
  <c r="T681" i="9"/>
  <c r="T712" i="9"/>
  <c r="T713" i="9"/>
  <c r="T707" i="9"/>
  <c r="T682" i="9"/>
  <c r="T513" i="9"/>
  <c r="T709" i="9"/>
  <c r="T723" i="9"/>
  <c r="T685" i="9"/>
  <c r="T687" i="9"/>
  <c r="T717" i="9"/>
  <c r="T718" i="9"/>
  <c r="T622" i="9"/>
  <c r="T691" i="9"/>
  <c r="T647" i="9"/>
  <c r="T552" i="9"/>
  <c r="T720" i="9"/>
  <c r="T726" i="9"/>
  <c r="T467" i="9"/>
  <c r="V723" i="9" l="1"/>
  <c r="AI723" i="9"/>
  <c r="AN723" i="9" s="1"/>
  <c r="AO723" i="9" s="1"/>
  <c r="U723" i="9"/>
  <c r="AI705" i="9"/>
  <c r="AJ705" i="9" s="1"/>
  <c r="V705" i="9"/>
  <c r="U705" i="9"/>
  <c r="AI683" i="9"/>
  <c r="AN683" i="9" s="1"/>
  <c r="AO683" i="9" s="1"/>
  <c r="V683" i="9"/>
  <c r="U683" i="9"/>
  <c r="U720" i="9"/>
  <c r="V720" i="9"/>
  <c r="AI720" i="9"/>
  <c r="AN720" i="9" s="1"/>
  <c r="AO720" i="9" s="1"/>
  <c r="U708" i="9"/>
  <c r="V708" i="9"/>
  <c r="AI708" i="9"/>
  <c r="AJ708" i="9" s="1"/>
  <c r="V703" i="9"/>
  <c r="U703" i="9"/>
  <c r="AI703" i="9"/>
  <c r="AJ703" i="9" s="1"/>
  <c r="AN418" i="9"/>
  <c r="AO418" i="9" s="1"/>
  <c r="V687" i="9"/>
  <c r="U687" i="9"/>
  <c r="AI687" i="9"/>
  <c r="AJ687" i="9" s="1"/>
  <c r="AI704" i="9"/>
  <c r="AJ704" i="9" s="1"/>
  <c r="U704" i="9"/>
  <c r="V704" i="9"/>
  <c r="X702" i="9"/>
  <c r="X417" i="9"/>
  <c r="X164" i="9"/>
  <c r="AN398" i="9"/>
  <c r="AO398" i="9" s="1"/>
  <c r="X162" i="9"/>
  <c r="U695" i="9"/>
  <c r="X409" i="9"/>
  <c r="V695" i="9"/>
  <c r="W694" i="9" s="1"/>
  <c r="X694" i="9"/>
  <c r="AI695" i="9"/>
  <c r="AN695" i="9" s="1"/>
  <c r="AO695" i="9" s="1"/>
  <c r="V718" i="9"/>
  <c r="AI718" i="9"/>
  <c r="AJ718" i="9" s="1"/>
  <c r="U718" i="9"/>
  <c r="AN435" i="9"/>
  <c r="AO435" i="9" s="1"/>
  <c r="AN402" i="9"/>
  <c r="AO402" i="9" s="1"/>
  <c r="AN431" i="9"/>
  <c r="AO431" i="9" s="1"/>
  <c r="AI707" i="9"/>
  <c r="AJ707" i="9" s="1"/>
  <c r="V707" i="9"/>
  <c r="U707" i="9"/>
  <c r="V716" i="9"/>
  <c r="AI716" i="9"/>
  <c r="AJ716" i="9" s="1"/>
  <c r="U716" i="9"/>
  <c r="AJ410" i="9"/>
  <c r="AJ419" i="9"/>
  <c r="U726" i="9"/>
  <c r="AI726" i="9"/>
  <c r="AJ726" i="9" s="1"/>
  <c r="V726" i="9"/>
  <c r="AI709" i="9"/>
  <c r="AJ709" i="9" s="1"/>
  <c r="X706" i="9"/>
  <c r="X421" i="9"/>
  <c r="X168" i="9"/>
  <c r="V709" i="9"/>
  <c r="U709" i="9"/>
  <c r="V686" i="9"/>
  <c r="U686" i="9"/>
  <c r="AI686" i="9"/>
  <c r="AJ686" i="9" s="1"/>
  <c r="V713" i="9"/>
  <c r="U713" i="9"/>
  <c r="AI713" i="9"/>
  <c r="AJ713" i="9" s="1"/>
  <c r="U690" i="9"/>
  <c r="V690" i="9"/>
  <c r="AI690" i="9"/>
  <c r="AN690" i="9" s="1"/>
  <c r="AO690" i="9" s="1"/>
  <c r="U721" i="9"/>
  <c r="V721" i="9"/>
  <c r="AI721" i="9"/>
  <c r="AN721" i="9" s="1"/>
  <c r="AO721" i="9" s="1"/>
  <c r="U712" i="9"/>
  <c r="V712" i="9"/>
  <c r="AI712" i="9"/>
  <c r="AJ712" i="9" s="1"/>
  <c r="AI429" i="9"/>
  <c r="AJ429" i="9" s="1"/>
  <c r="U429" i="9"/>
  <c r="V429" i="9"/>
  <c r="U682" i="9"/>
  <c r="AI682" i="9"/>
  <c r="AJ682" i="9" s="1"/>
  <c r="V682" i="9"/>
  <c r="AI680" i="9"/>
  <c r="AJ680" i="9" s="1"/>
  <c r="U680" i="9"/>
  <c r="V680" i="9"/>
  <c r="U717" i="9"/>
  <c r="V717" i="9"/>
  <c r="AI717" i="9"/>
  <c r="AJ717" i="9" s="1"/>
  <c r="V724" i="9"/>
  <c r="AI724" i="9"/>
  <c r="AJ724" i="9" s="1"/>
  <c r="U724" i="9"/>
  <c r="X177" i="9"/>
  <c r="X430" i="9"/>
  <c r="X715" i="9"/>
  <c r="U719" i="9"/>
  <c r="AI719" i="9"/>
  <c r="AN719" i="9" s="1"/>
  <c r="AO719" i="9" s="1"/>
  <c r="V719" i="9"/>
  <c r="U688" i="9"/>
  <c r="V688" i="9"/>
  <c r="AI688" i="9"/>
  <c r="AJ688" i="9" s="1"/>
  <c r="X147" i="9"/>
  <c r="X679" i="9"/>
  <c r="V681" i="9"/>
  <c r="U681" i="9"/>
  <c r="AI681" i="9"/>
  <c r="AJ681" i="9" s="1"/>
  <c r="X394" i="9"/>
  <c r="X722" i="9"/>
  <c r="X184" i="9"/>
  <c r="V725" i="9"/>
  <c r="U725" i="9"/>
  <c r="AI725" i="9"/>
  <c r="AJ725" i="9" s="1"/>
  <c r="X437" i="9"/>
  <c r="X404" i="9"/>
  <c r="X689" i="9"/>
  <c r="U691" i="9"/>
  <c r="X157" i="9"/>
  <c r="V691" i="9"/>
  <c r="AI691" i="9"/>
  <c r="AJ691" i="9" s="1"/>
  <c r="X189" i="9"/>
  <c r="X727" i="9"/>
  <c r="V728" i="9"/>
  <c r="W727" i="9" s="1"/>
  <c r="AI728" i="9"/>
  <c r="AJ728" i="9" s="1"/>
  <c r="U728" i="9"/>
  <c r="X442" i="9"/>
  <c r="AN426" i="9"/>
  <c r="AS426" i="9" s="1"/>
  <c r="AT426" i="9" s="1"/>
  <c r="AN401" i="9"/>
  <c r="AO401" i="9" s="1"/>
  <c r="AN405" i="9"/>
  <c r="AO405" i="9" s="1"/>
  <c r="AN397" i="9"/>
  <c r="AO397" i="9" s="1"/>
  <c r="AI685" i="9"/>
  <c r="AN685" i="9" s="1"/>
  <c r="AO685" i="9" s="1"/>
  <c r="X152" i="9"/>
  <c r="V685" i="9"/>
  <c r="U685" i="9"/>
  <c r="X399" i="9"/>
  <c r="X684" i="9"/>
  <c r="AN436" i="9"/>
  <c r="AO436" i="9" s="1"/>
  <c r="AJ422" i="9"/>
  <c r="AN439" i="9"/>
  <c r="AO439" i="9" s="1"/>
  <c r="AN424" i="9"/>
  <c r="AO424" i="9" s="1"/>
  <c r="AN432" i="9"/>
  <c r="AO432" i="9" s="1"/>
  <c r="W415" i="9"/>
  <c r="AS597" i="9"/>
  <c r="AX597" i="9" s="1"/>
  <c r="AY597" i="9" s="1"/>
  <c r="AN701" i="9"/>
  <c r="AO701" i="9" s="1"/>
  <c r="AN428" i="9"/>
  <c r="AO428" i="9" s="1"/>
  <c r="AO288" i="9"/>
  <c r="W412" i="9"/>
  <c r="AN440" i="9"/>
  <c r="AO440" i="9" s="1"/>
  <c r="AS179" i="9"/>
  <c r="AT179" i="9" s="1"/>
  <c r="AN441" i="9"/>
  <c r="AS441" i="9" s="1"/>
  <c r="AS349" i="9"/>
  <c r="AT349" i="9" s="1"/>
  <c r="AS662" i="9"/>
  <c r="AT662" i="9" s="1"/>
  <c r="AN395" i="9"/>
  <c r="AO395" i="9" s="1"/>
  <c r="AS209" i="9"/>
  <c r="AT209" i="9" s="1"/>
  <c r="AS285" i="9"/>
  <c r="AT285" i="9" s="1"/>
  <c r="AS331" i="9"/>
  <c r="AT331" i="9" s="1"/>
  <c r="W697" i="9"/>
  <c r="AN423" i="9"/>
  <c r="AO423" i="9" s="1"/>
  <c r="AS173" i="9"/>
  <c r="AT173" i="9" s="1"/>
  <c r="AS510" i="9"/>
  <c r="AT510" i="9" s="1"/>
  <c r="AN434" i="9"/>
  <c r="AO434" i="9" s="1"/>
  <c r="AN400" i="9"/>
  <c r="AS400" i="9" s="1"/>
  <c r="AT400" i="9" s="1"/>
  <c r="AN699" i="9"/>
  <c r="AO699" i="9" s="1"/>
  <c r="AJ396" i="9"/>
  <c r="AJ427" i="9"/>
  <c r="AS106" i="9"/>
  <c r="AT106" i="9" s="1"/>
  <c r="AS332" i="9"/>
  <c r="AT332" i="9" s="1"/>
  <c r="AN433" i="9"/>
  <c r="AO433" i="9" s="1"/>
  <c r="AN406" i="9"/>
  <c r="AS406" i="9" s="1"/>
  <c r="AT406" i="9" s="1"/>
  <c r="AS549" i="9"/>
  <c r="AX549" i="9" s="1"/>
  <c r="AY549" i="9" s="1"/>
  <c r="AJ698" i="9"/>
  <c r="AS253" i="9"/>
  <c r="AT253" i="9" s="1"/>
  <c r="AS381" i="9"/>
  <c r="AT381" i="9" s="1"/>
  <c r="AS133" i="9"/>
  <c r="AT133" i="9" s="1"/>
  <c r="AN420" i="9"/>
  <c r="AO420" i="9" s="1"/>
  <c r="AJ443" i="9"/>
  <c r="AS212" i="9"/>
  <c r="AT212" i="9" s="1"/>
  <c r="AN403" i="9"/>
  <c r="AO403" i="9" s="1"/>
  <c r="AS89" i="9"/>
  <c r="AT89" i="9" s="1"/>
  <c r="AS414" i="9"/>
  <c r="AT414" i="9" s="1"/>
  <c r="AS55" i="9"/>
  <c r="AT55" i="9" s="1"/>
  <c r="AS382" i="9"/>
  <c r="AT382" i="9" s="1"/>
  <c r="AS464" i="9"/>
  <c r="AX464" i="9" s="1"/>
  <c r="AY464" i="9" s="1"/>
  <c r="AO109" i="9"/>
  <c r="AS463" i="9"/>
  <c r="AT463" i="9" s="1"/>
  <c r="AS211" i="9"/>
  <c r="AT211" i="9" s="1"/>
  <c r="AS56" i="9"/>
  <c r="AT56" i="9" s="1"/>
  <c r="AS252" i="9"/>
  <c r="AT252" i="9" s="1"/>
  <c r="AS254" i="9"/>
  <c r="AT254" i="9" s="1"/>
  <c r="AS616" i="9"/>
  <c r="AT616" i="9" s="1"/>
  <c r="AS547" i="9"/>
  <c r="AT547" i="9" s="1"/>
  <c r="AS175" i="9"/>
  <c r="AT175" i="9" s="1"/>
  <c r="AS210" i="9"/>
  <c r="AX210" i="9" s="1"/>
  <c r="AY210" i="9" s="1"/>
  <c r="AS86" i="9"/>
  <c r="AT86" i="9" s="1"/>
  <c r="AS642" i="9"/>
  <c r="AT642" i="9" s="1"/>
  <c r="AS58" i="9"/>
  <c r="AT58" i="9" s="1"/>
  <c r="AO368" i="9"/>
  <c r="AS345" i="9"/>
  <c r="AT345" i="9" s="1"/>
  <c r="AS156" i="9"/>
  <c r="AT156" i="9" s="1"/>
  <c r="AO156" i="9"/>
  <c r="AS443" i="9"/>
  <c r="AT443" i="9" s="1"/>
  <c r="AS13" i="9"/>
  <c r="AT13" i="9" s="1"/>
  <c r="AS120" i="9"/>
  <c r="AS17" i="9"/>
  <c r="AT17" i="9" s="1"/>
  <c r="AO150" i="9"/>
  <c r="AS150" i="9"/>
  <c r="AS286" i="9"/>
  <c r="AT286" i="9" s="1"/>
  <c r="AS153" i="9"/>
  <c r="AT153" i="9" s="1"/>
  <c r="AS643" i="9"/>
  <c r="AS122" i="9"/>
  <c r="AT122" i="9" s="1"/>
  <c r="AS413" i="9"/>
  <c r="AS619" i="9"/>
  <c r="AT619" i="9" s="1"/>
  <c r="AS548" i="9"/>
  <c r="AT548" i="9" s="1"/>
  <c r="AS169" i="9"/>
  <c r="AT169" i="9" s="1"/>
  <c r="AS661" i="9"/>
  <c r="AS364" i="9"/>
  <c r="AT364" i="9" s="1"/>
  <c r="AS151" i="9"/>
  <c r="AS419" i="9"/>
  <c r="AT419" i="9" s="1"/>
  <c r="AO131" i="9"/>
  <c r="AS182" i="9"/>
  <c r="AT182" i="9" s="1"/>
  <c r="AS131" i="9"/>
  <c r="AT131" i="9" s="1"/>
  <c r="AS12" i="9"/>
  <c r="AS509" i="9"/>
  <c r="AT509" i="9" s="1"/>
  <c r="AO509" i="9"/>
  <c r="AO54" i="9"/>
  <c r="AS54" i="9"/>
  <c r="AS595" i="9"/>
  <c r="AS384" i="9"/>
  <c r="AT384" i="9" s="1"/>
  <c r="AS438" i="9"/>
  <c r="AT438" i="9" s="1"/>
  <c r="AO171" i="9"/>
  <c r="AS171" i="9"/>
  <c r="AT171" i="9" s="1"/>
  <c r="AO596" i="9"/>
  <c r="AS596" i="9"/>
  <c r="AS618" i="9"/>
  <c r="AS188" i="9"/>
  <c r="AT188" i="9" s="1"/>
  <c r="AS105" i="9"/>
  <c r="AT105" i="9" s="1"/>
  <c r="AS108" i="9"/>
  <c r="AO187" i="9"/>
  <c r="AS187" i="9"/>
  <c r="AO85" i="9"/>
  <c r="AS85" i="9"/>
  <c r="AO367" i="9"/>
  <c r="AS367" i="9"/>
  <c r="AO366" i="9"/>
  <c r="AO158" i="9"/>
  <c r="AS158" i="9"/>
  <c r="AS698" i="9"/>
  <c r="AT698" i="9" s="1"/>
  <c r="AO107" i="9"/>
  <c r="AS107" i="9"/>
  <c r="AS366" i="9"/>
  <c r="AT366" i="9" s="1"/>
  <c r="AS166" i="9"/>
  <c r="AT166" i="9" s="1"/>
  <c r="AO14" i="9"/>
  <c r="AS14" i="9"/>
  <c r="AT14" i="9" s="1"/>
  <c r="AO462" i="9"/>
  <c r="AS383" i="9"/>
  <c r="AO154" i="9"/>
  <c r="AS154" i="9"/>
  <c r="AT154" i="9" s="1"/>
  <c r="AS348" i="9"/>
  <c r="AO57" i="9"/>
  <c r="AS57" i="9"/>
  <c r="AO327" i="9"/>
  <c r="AO330" i="9"/>
  <c r="AS330" i="9"/>
  <c r="AT330" i="9" s="1"/>
  <c r="AO186" i="9"/>
  <c r="AS186" i="9"/>
  <c r="AS88" i="9"/>
  <c r="AS327" i="9"/>
  <c r="AT327" i="9" s="1"/>
  <c r="AS16" i="9"/>
  <c r="AS178" i="9"/>
  <c r="AT178" i="9" s="1"/>
  <c r="AS410" i="9"/>
  <c r="AO15" i="9"/>
  <c r="AS15" i="9"/>
  <c r="AT15" i="9" s="1"/>
  <c r="AO181" i="9"/>
  <c r="AS181" i="9"/>
  <c r="AT181" i="9" s="1"/>
  <c r="AO167" i="9"/>
  <c r="AO121" i="9"/>
  <c r="AS121" i="9"/>
  <c r="AS508" i="9"/>
  <c r="AT508" i="9" s="1"/>
  <c r="AO159" i="9"/>
  <c r="AS159" i="9"/>
  <c r="AT159" i="9" s="1"/>
  <c r="AO185" i="9"/>
  <c r="AS185" i="9"/>
  <c r="AO416" i="9"/>
  <c r="AS416" i="9"/>
  <c r="AT416" i="9" s="1"/>
  <c r="AS87" i="9"/>
  <c r="AT87" i="9" s="1"/>
  <c r="AO251" i="9"/>
  <c r="AS251" i="9"/>
  <c r="AT251" i="9" s="1"/>
  <c r="AS170" i="9"/>
  <c r="AT170" i="9" s="1"/>
  <c r="AO170" i="9"/>
  <c r="AO163" i="9"/>
  <c r="AX163" i="9"/>
  <c r="AY163" i="9" s="1"/>
  <c r="AO132" i="9"/>
  <c r="AS132" i="9"/>
  <c r="AO148" i="9"/>
  <c r="AS148" i="9"/>
  <c r="AT148" i="9" s="1"/>
  <c r="AS190" i="9"/>
  <c r="AT190" i="9" s="1"/>
  <c r="AS149" i="9"/>
  <c r="AT149" i="9" s="1"/>
  <c r="AO174" i="9"/>
  <c r="AS174" i="9"/>
  <c r="AT174" i="9" s="1"/>
  <c r="AO422" i="9"/>
  <c r="AS422" i="9"/>
  <c r="AT422" i="9" s="1"/>
  <c r="AS287" i="9"/>
  <c r="AO287" i="9"/>
  <c r="AO208" i="9"/>
  <c r="AO379" i="9"/>
  <c r="AS379" i="9"/>
  <c r="AT379" i="9" s="1"/>
  <c r="AS208" i="9"/>
  <c r="AT208" i="9" s="1"/>
  <c r="AO347" i="9"/>
  <c r="AS347" i="9"/>
  <c r="AT347" i="9" s="1"/>
  <c r="AS462" i="9"/>
  <c r="AT462" i="9" s="1"/>
  <c r="AO328" i="9"/>
  <c r="AX328" i="9"/>
  <c r="AY328" i="9" s="1"/>
  <c r="AO380" i="9"/>
  <c r="AS380" i="9"/>
  <c r="AT380" i="9" s="1"/>
  <c r="AS167" i="9"/>
  <c r="AT167" i="9" s="1"/>
  <c r="AO427" i="9"/>
  <c r="AS427" i="9"/>
  <c r="AT427" i="9" s="1"/>
  <c r="AO641" i="9"/>
  <c r="AS641" i="9"/>
  <c r="AT641" i="9" s="1"/>
  <c r="AS346" i="9"/>
  <c r="AT346" i="9" s="1"/>
  <c r="AO660" i="9"/>
  <c r="AX660" i="9"/>
  <c r="AY660" i="9" s="1"/>
  <c r="AO180" i="9"/>
  <c r="AS180" i="9"/>
  <c r="AS155" i="9"/>
  <c r="AT155" i="9" s="1"/>
  <c r="AO155" i="9"/>
  <c r="AS365" i="9"/>
  <c r="AT365" i="9" s="1"/>
  <c r="AO118" i="9"/>
  <c r="AS118" i="9"/>
  <c r="AT118" i="9" s="1"/>
  <c r="AS119" i="9"/>
  <c r="AT119" i="9" s="1"/>
  <c r="AO284" i="9"/>
  <c r="AS284" i="9"/>
  <c r="AT284" i="9" s="1"/>
  <c r="AO617" i="9"/>
  <c r="AX617" i="9"/>
  <c r="AY617" i="9" s="1"/>
  <c r="AO165" i="9"/>
  <c r="AS165" i="9"/>
  <c r="AT165" i="9" s="1"/>
  <c r="AO329" i="9"/>
  <c r="AS329" i="9"/>
  <c r="AT329" i="9" s="1"/>
  <c r="AS396" i="9"/>
  <c r="AT396" i="9" s="1"/>
  <c r="AS130" i="9"/>
  <c r="AT130" i="9" s="1"/>
  <c r="AX368" i="9"/>
  <c r="AY368" i="9" s="1"/>
  <c r="AX288" i="9"/>
  <c r="AY288" i="9" s="1"/>
  <c r="AO213" i="9"/>
  <c r="AS134" i="9"/>
  <c r="AT134" i="9" s="1"/>
  <c r="AX714" i="9"/>
  <c r="AY714" i="9" s="1"/>
  <c r="AQ667" i="9"/>
  <c r="AR666" i="9"/>
  <c r="AO90" i="9"/>
  <c r="AS90" i="9"/>
  <c r="AT90" i="9" s="1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S213" i="9"/>
  <c r="AT213" i="9" s="1"/>
  <c r="AL554" i="9"/>
  <c r="AM553" i="9"/>
  <c r="AO335" i="9"/>
  <c r="AV125" i="9"/>
  <c r="AW124" i="9"/>
  <c r="AL623" i="9"/>
  <c r="AM622" i="9"/>
  <c r="AV215" i="9"/>
  <c r="AW214" i="9"/>
  <c r="AS598" i="9"/>
  <c r="AT598" i="9" s="1"/>
  <c r="AG515" i="9"/>
  <c r="AH514" i="9"/>
  <c r="AL92" i="9"/>
  <c r="AM91" i="9"/>
  <c r="AN91" i="9"/>
  <c r="AV667" i="9"/>
  <c r="AW666" i="9"/>
  <c r="AO387" i="9"/>
  <c r="AV371" i="9"/>
  <c r="AW370" i="9"/>
  <c r="AQ92" i="9"/>
  <c r="AR91" i="9"/>
  <c r="AM214" i="9"/>
  <c r="AL215" i="9"/>
  <c r="AN214" i="9"/>
  <c r="AO123" i="9"/>
  <c r="AS123" i="9"/>
  <c r="AT123" i="9" s="1"/>
  <c r="AO110" i="9"/>
  <c r="AS110" i="9"/>
  <c r="AT110" i="9" s="1"/>
  <c r="AL337" i="9"/>
  <c r="AM336" i="9"/>
  <c r="AN336" i="9"/>
  <c r="AL515" i="9"/>
  <c r="AM514" i="9"/>
  <c r="AO289" i="9"/>
  <c r="AS289" i="9"/>
  <c r="AT289" i="9" s="1"/>
  <c r="AQ648" i="9"/>
  <c r="AR647" i="9"/>
  <c r="AQ125" i="9"/>
  <c r="AR124" i="9"/>
  <c r="AL389" i="9"/>
  <c r="AM388" i="9"/>
  <c r="AN388" i="9"/>
  <c r="AQ386" i="9"/>
  <c r="AR385" i="9"/>
  <c r="AS385" i="9" s="1"/>
  <c r="AV258" i="9"/>
  <c r="AW257" i="9"/>
  <c r="AL258" i="9"/>
  <c r="AM257" i="9"/>
  <c r="AO18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X109" i="9"/>
  <c r="AY109" i="9" s="1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O350" i="9"/>
  <c r="AS350" i="9"/>
  <c r="AT350" i="9" s="1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O59" i="9"/>
  <c r="AS59" i="9"/>
  <c r="AT59" i="9" s="1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O369" i="9"/>
  <c r="AS369" i="9"/>
  <c r="AT369" i="9" s="1"/>
  <c r="AQ516" i="9"/>
  <c r="AR515" i="9"/>
  <c r="AG623" i="9"/>
  <c r="AH622" i="9"/>
  <c r="AI622" i="9" s="1"/>
  <c r="AJ622" i="9" s="1"/>
  <c r="AS620" i="9"/>
  <c r="AT620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S333" i="9" s="1"/>
  <c r="AQ352" i="9"/>
  <c r="AR351" i="9"/>
  <c r="AV19" i="9"/>
  <c r="AW18" i="9"/>
  <c r="AL667" i="9"/>
  <c r="AM666" i="9"/>
  <c r="AV386" i="9"/>
  <c r="AW385" i="9"/>
  <c r="AJ645" i="9"/>
  <c r="AT183" i="9"/>
  <c r="AX183" i="9"/>
  <c r="AY183" i="9" s="1"/>
  <c r="AN646" i="9"/>
  <c r="AO646" i="9" s="1"/>
  <c r="AS550" i="9"/>
  <c r="AT550" i="9" s="1"/>
  <c r="AO663" i="9"/>
  <c r="AS663" i="9"/>
  <c r="AO465" i="9"/>
  <c r="AS465" i="9"/>
  <c r="AT465" i="9" s="1"/>
  <c r="AN551" i="9"/>
  <c r="AO551" i="9" s="1"/>
  <c r="AS644" i="9"/>
  <c r="AN621" i="9"/>
  <c r="AO621" i="9" s="1"/>
  <c r="AJ646" i="9"/>
  <c r="AS511" i="9"/>
  <c r="AN135" i="9"/>
  <c r="AO135" i="9" s="1"/>
  <c r="AJ135" i="9"/>
  <c r="AN256" i="9"/>
  <c r="AO256" i="9" s="1"/>
  <c r="AJ256" i="9"/>
  <c r="AS255" i="9"/>
  <c r="AT255" i="9" s="1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W339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343" i="5"/>
  <c r="T304" i="5"/>
  <c r="T192" i="5"/>
  <c r="T222" i="5"/>
  <c r="T306" i="5"/>
  <c r="T207" i="5"/>
  <c r="T218" i="5"/>
  <c r="T240" i="5"/>
  <c r="T110" i="5"/>
  <c r="T120" i="5"/>
  <c r="T106" i="5"/>
  <c r="T211" i="5"/>
  <c r="T252" i="5"/>
  <c r="T89" i="5"/>
  <c r="T78" i="5"/>
  <c r="T25" i="5"/>
  <c r="T30" i="5"/>
  <c r="T16" i="5"/>
  <c r="T468" i="9"/>
  <c r="T308" i="5"/>
  <c r="T137" i="5"/>
  <c r="T105" i="5"/>
  <c r="T48" i="5"/>
  <c r="T245" i="5"/>
  <c r="T113" i="5"/>
  <c r="T223" i="5"/>
  <c r="T201" i="5"/>
  <c r="T623" i="9"/>
  <c r="T112" i="5"/>
  <c r="T70" i="5"/>
  <c r="T205" i="5"/>
  <c r="T54" i="5"/>
  <c r="T50" i="5"/>
  <c r="T82" i="5"/>
  <c r="T128" i="5"/>
  <c r="T20" i="5"/>
  <c r="T262" i="5"/>
  <c r="T121" i="5"/>
  <c r="T179" i="5"/>
  <c r="T180" i="5"/>
  <c r="T109" i="5"/>
  <c r="T246" i="5"/>
  <c r="T21" i="5"/>
  <c r="T169" i="5"/>
  <c r="T101" i="5"/>
  <c r="T191" i="5"/>
  <c r="T235" i="5"/>
  <c r="T125" i="5"/>
  <c r="T87" i="5"/>
  <c r="T228" i="5"/>
  <c r="T32" i="5"/>
  <c r="T150" i="5"/>
  <c r="T17" i="5"/>
  <c r="T183" i="5"/>
  <c r="T553" i="9"/>
  <c r="T144" i="5"/>
  <c r="T194" i="5"/>
  <c r="T38" i="5"/>
  <c r="T311" i="5"/>
  <c r="T285" i="5"/>
  <c r="T231" i="5"/>
  <c r="T237" i="5"/>
  <c r="T80" i="5"/>
  <c r="T219" i="5"/>
  <c r="T132" i="5"/>
  <c r="T91" i="5"/>
  <c r="T95" i="5"/>
  <c r="T302" i="5"/>
  <c r="T292" i="5"/>
  <c r="T323" i="5"/>
  <c r="T119" i="5"/>
  <c r="T270" i="5"/>
  <c r="T40" i="5"/>
  <c r="T242" i="5"/>
  <c r="T36" i="5"/>
  <c r="T107" i="5"/>
  <c r="T174" i="5"/>
  <c r="T148" i="5"/>
  <c r="T86" i="5"/>
  <c r="T159" i="5"/>
  <c r="T142" i="5"/>
  <c r="T57" i="5"/>
  <c r="T263" i="5"/>
  <c r="T46" i="5"/>
  <c r="T260" i="5"/>
  <c r="T215" i="5"/>
  <c r="T61" i="5"/>
  <c r="T224" i="5"/>
  <c r="T156" i="5"/>
  <c r="T287" i="5"/>
  <c r="T206" i="5"/>
  <c r="T51" i="5"/>
  <c r="T135" i="5"/>
  <c r="T11" i="5"/>
  <c r="T141" i="5"/>
  <c r="T37" i="5"/>
  <c r="T58" i="5"/>
  <c r="T93" i="5"/>
  <c r="T296" i="5"/>
  <c r="T267" i="5"/>
  <c r="T99" i="5"/>
  <c r="T73" i="5"/>
  <c r="T298" i="5"/>
  <c r="T236" i="5"/>
  <c r="T648" i="9"/>
  <c r="T161" i="5"/>
  <c r="T19" i="5"/>
  <c r="T186" i="5"/>
  <c r="T210" i="5"/>
  <c r="T139" i="5"/>
  <c r="T254" i="5"/>
  <c r="T140" i="5"/>
  <c r="T259" i="5"/>
  <c r="T272" i="5"/>
  <c r="T44" i="5"/>
  <c r="T13" i="5"/>
  <c r="T47" i="5"/>
  <c r="T257" i="5"/>
  <c r="T88" i="5"/>
  <c r="T182" i="5"/>
  <c r="T301" i="5"/>
  <c r="T243" i="5"/>
  <c r="T149" i="5"/>
  <c r="T76" i="5"/>
  <c r="T23" i="5"/>
  <c r="T273" i="5"/>
  <c r="T123" i="5"/>
  <c r="T147" i="5"/>
  <c r="T344" i="5"/>
  <c r="T171" i="5"/>
  <c r="T158" i="5"/>
  <c r="T55" i="5"/>
  <c r="T84" i="5"/>
  <c r="T265" i="5"/>
  <c r="T514" i="9"/>
  <c r="T14" i="5"/>
  <c r="T327" i="5"/>
  <c r="T291" i="5"/>
  <c r="T72" i="5"/>
  <c r="T126" i="5"/>
  <c r="T268" i="5"/>
  <c r="T338" i="5"/>
  <c r="T52" i="5"/>
  <c r="T290" i="5"/>
  <c r="T337" i="5"/>
  <c r="T234" i="5"/>
  <c r="T221" i="5"/>
  <c r="T247" i="5"/>
  <c r="T65" i="5"/>
  <c r="T116" i="5"/>
  <c r="T131" i="5"/>
  <c r="T157" i="5"/>
  <c r="T241" i="5"/>
  <c r="T204" i="5"/>
  <c r="T283" i="5"/>
  <c r="T173" i="5"/>
  <c r="T255" i="5"/>
  <c r="T136" i="5"/>
  <c r="T162" i="5"/>
  <c r="T313" i="5"/>
  <c r="T293" i="5"/>
  <c r="R5" i="4" a="1"/>
  <c r="T269" i="5"/>
  <c r="T172" i="5"/>
  <c r="T229" i="5"/>
  <c r="T329" i="5"/>
  <c r="T225" i="5"/>
  <c r="T189" i="5"/>
  <c r="T310" i="5"/>
  <c r="T233" i="5"/>
  <c r="T29" i="5"/>
  <c r="T130" i="5"/>
  <c r="T22" i="5"/>
  <c r="T154" i="5"/>
  <c r="T67" i="5"/>
  <c r="T227" i="5"/>
  <c r="T164" i="5"/>
  <c r="T289" i="5"/>
  <c r="T143" i="5"/>
  <c r="T261" i="5"/>
  <c r="T175" i="5"/>
  <c r="T601" i="9"/>
  <c r="T330" i="5"/>
  <c r="T212" i="5"/>
  <c r="T117" i="5"/>
  <c r="T18" i="5"/>
  <c r="T181" i="5"/>
  <c r="T294" i="5"/>
  <c r="T325" i="5"/>
  <c r="T127" i="5"/>
  <c r="T83" i="5"/>
  <c r="T163" i="5"/>
  <c r="T168" i="5"/>
  <c r="T115" i="5"/>
  <c r="T152" i="5"/>
  <c r="T264" i="5"/>
  <c r="T315" i="5"/>
  <c r="T81" i="5"/>
  <c r="T26" i="5"/>
  <c r="T249" i="5"/>
  <c r="T165" i="5"/>
  <c r="T155" i="5"/>
  <c r="T295" i="5"/>
  <c r="T66" i="5"/>
  <c r="T251" i="5"/>
  <c r="T209" i="5"/>
  <c r="T197" i="5"/>
  <c r="T77" i="5"/>
  <c r="T133" i="5"/>
  <c r="T124" i="5"/>
  <c r="T71" i="5"/>
  <c r="T335" i="5"/>
  <c r="T98" i="5"/>
  <c r="T63" i="5"/>
  <c r="T35" i="5"/>
  <c r="T108" i="5"/>
  <c r="T286" i="5"/>
  <c r="T316" i="5"/>
  <c r="T134" i="5"/>
  <c r="T160" i="5"/>
  <c r="T146" i="5"/>
  <c r="T317" i="5"/>
  <c r="T151" i="5"/>
  <c r="T213" i="5"/>
  <c r="T200" i="5"/>
  <c r="T145" i="5"/>
  <c r="T28" i="5"/>
  <c r="T153" i="5"/>
  <c r="T166" i="5"/>
  <c r="T288" i="5"/>
  <c r="T43" i="5"/>
  <c r="T297" i="5"/>
  <c r="T85" i="5"/>
  <c r="T68" i="5"/>
  <c r="T122" i="5"/>
  <c r="T198" i="5"/>
  <c r="T203" i="5"/>
  <c r="T258" i="5"/>
  <c r="T188" i="5"/>
  <c r="T177" i="5"/>
  <c r="T45" i="5"/>
  <c r="T27" i="5"/>
  <c r="T319" i="5"/>
  <c r="T321" i="5"/>
  <c r="T239" i="5"/>
  <c r="T185" i="5"/>
  <c r="T170" i="5"/>
  <c r="T300" i="5"/>
  <c r="T266" i="5"/>
  <c r="T666" i="9"/>
  <c r="T53" i="5"/>
  <c r="T187" i="5"/>
  <c r="T94" i="5"/>
  <c r="T75" i="5"/>
  <c r="T333" i="5"/>
  <c r="T176" i="5"/>
  <c r="T97" i="5"/>
  <c r="T230" i="5"/>
  <c r="T217" i="5"/>
  <c r="T96" i="5"/>
  <c r="T178" i="5"/>
  <c r="T104" i="5"/>
  <c r="T60" i="5"/>
  <c r="T100" i="5"/>
  <c r="T193" i="5"/>
  <c r="T56" i="5"/>
  <c r="T42" i="5"/>
  <c r="T12" i="5"/>
  <c r="T331" i="5"/>
  <c r="T31" i="5"/>
  <c r="T253" i="5"/>
  <c r="T711" i="9"/>
  <c r="T102" i="5"/>
  <c r="T248" i="5"/>
  <c r="T216" i="5"/>
  <c r="T41" i="5"/>
  <c r="T111" i="5"/>
  <c r="T90" i="5"/>
  <c r="T195" i="5"/>
  <c r="T33" i="5"/>
  <c r="T129" i="5"/>
  <c r="T62" i="5"/>
  <c r="AJ723" i="9" l="1"/>
  <c r="AS723" i="9"/>
  <c r="AT723" i="9" s="1"/>
  <c r="AN705" i="9"/>
  <c r="AO705" i="9" s="1"/>
  <c r="AN708" i="9"/>
  <c r="AO708" i="9" s="1"/>
  <c r="AJ683" i="9"/>
  <c r="AJ720" i="9"/>
  <c r="W702" i="9"/>
  <c r="AS720" i="9"/>
  <c r="AT720" i="9" s="1"/>
  <c r="AS683" i="9"/>
  <c r="AT683" i="9" s="1"/>
  <c r="AN703" i="9"/>
  <c r="AS703" i="9" s="1"/>
  <c r="AT703" i="9" s="1"/>
  <c r="W164" i="9"/>
  <c r="W417" i="9"/>
  <c r="AS418" i="9"/>
  <c r="AT418" i="9" s="1"/>
  <c r="AN704" i="9"/>
  <c r="AO704" i="9" s="1"/>
  <c r="AN687" i="9"/>
  <c r="AO687" i="9" s="1"/>
  <c r="W409" i="9"/>
  <c r="W162" i="9"/>
  <c r="AS695" i="9"/>
  <c r="AT695" i="9" s="1"/>
  <c r="X172" i="9"/>
  <c r="U711" i="9"/>
  <c r="V711" i="9"/>
  <c r="W172" i="9" s="1"/>
  <c r="AI711" i="9"/>
  <c r="AJ711" i="9" s="1"/>
  <c r="X710" i="9"/>
  <c r="X425" i="9"/>
  <c r="AN707" i="9"/>
  <c r="AO707" i="9" s="1"/>
  <c r="AN718" i="9"/>
  <c r="AO718" i="9" s="1"/>
  <c r="AS398" i="9"/>
  <c r="AT398" i="9" s="1"/>
  <c r="AN725" i="9"/>
  <c r="AO725" i="9" s="1"/>
  <c r="AS435" i="9"/>
  <c r="AT435" i="9" s="1"/>
  <c r="W184" i="9"/>
  <c r="AN429" i="9"/>
  <c r="AO429" i="9" s="1"/>
  <c r="AJ695" i="9"/>
  <c r="W157" i="9"/>
  <c r="AS402" i="9"/>
  <c r="AT402" i="9" s="1"/>
  <c r="AN716" i="9"/>
  <c r="AO716" i="9" s="1"/>
  <c r="AS431" i="9"/>
  <c r="AT431" i="9" s="1"/>
  <c r="AN682" i="9"/>
  <c r="AS682" i="9" s="1"/>
  <c r="W168" i="9"/>
  <c r="W437" i="9"/>
  <c r="AN680" i="9"/>
  <c r="AS680" i="9" s="1"/>
  <c r="AT680" i="9" s="1"/>
  <c r="AS690" i="9"/>
  <c r="AT690" i="9" s="1"/>
  <c r="AN688" i="9"/>
  <c r="AS688" i="9" s="1"/>
  <c r="W177" i="9"/>
  <c r="W442" i="9"/>
  <c r="AN728" i="9"/>
  <c r="AO728" i="9" s="1"/>
  <c r="W152" i="9"/>
  <c r="W404" i="9"/>
  <c r="W722" i="9"/>
  <c r="W430" i="9"/>
  <c r="AJ721" i="9"/>
  <c r="AS721" i="9"/>
  <c r="AT721" i="9" s="1"/>
  <c r="W706" i="9"/>
  <c r="AS397" i="9"/>
  <c r="AT397" i="9" s="1"/>
  <c r="W684" i="9"/>
  <c r="AJ719" i="9"/>
  <c r="W689" i="9"/>
  <c r="AN709" i="9"/>
  <c r="AO709" i="9" s="1"/>
  <c r="W715" i="9"/>
  <c r="W421" i="9"/>
  <c r="AN686" i="9"/>
  <c r="AS686" i="9" s="1"/>
  <c r="AT686" i="9" s="1"/>
  <c r="AN726" i="9"/>
  <c r="AS726" i="9" s="1"/>
  <c r="AN713" i="9"/>
  <c r="AO713" i="9" s="1"/>
  <c r="AN712" i="9"/>
  <c r="AS712" i="9" s="1"/>
  <c r="AT712" i="9" s="1"/>
  <c r="AN724" i="9"/>
  <c r="AO724" i="9" s="1"/>
  <c r="W189" i="9"/>
  <c r="AS719" i="9"/>
  <c r="AT719" i="9" s="1"/>
  <c r="AJ690" i="9"/>
  <c r="AN717" i="9"/>
  <c r="AS717" i="9" s="1"/>
  <c r="AT717" i="9" s="1"/>
  <c r="AS685" i="9"/>
  <c r="AT685" i="9" s="1"/>
  <c r="W679" i="9"/>
  <c r="AJ685" i="9"/>
  <c r="W147" i="9"/>
  <c r="W394" i="9"/>
  <c r="AN681" i="9"/>
  <c r="AS681" i="9" s="1"/>
  <c r="AT681" i="9" s="1"/>
  <c r="AN691" i="9"/>
  <c r="AS691" i="9" s="1"/>
  <c r="AT691" i="9" s="1"/>
  <c r="AS405" i="9"/>
  <c r="AT405" i="9" s="1"/>
  <c r="AS401" i="9"/>
  <c r="AT401" i="9" s="1"/>
  <c r="AO426" i="9"/>
  <c r="AX426" i="9"/>
  <c r="AY426" i="9" s="1"/>
  <c r="AS424" i="9"/>
  <c r="AT424" i="9" s="1"/>
  <c r="W399" i="9"/>
  <c r="AS432" i="9"/>
  <c r="AX432" i="9" s="1"/>
  <c r="AY432" i="9" s="1"/>
  <c r="AS439" i="9"/>
  <c r="AX439" i="9" s="1"/>
  <c r="AY439" i="9" s="1"/>
  <c r="AS436" i="9"/>
  <c r="AT436" i="9" s="1"/>
  <c r="AS428" i="9"/>
  <c r="AT428" i="9" s="1"/>
  <c r="AT597" i="9"/>
  <c r="AS701" i="9"/>
  <c r="AT701" i="9" s="1"/>
  <c r="AS440" i="9"/>
  <c r="AT440" i="9" s="1"/>
  <c r="AO441" i="9"/>
  <c r="AX662" i="9"/>
  <c r="AY662" i="9" s="1"/>
  <c r="AX179" i="9"/>
  <c r="AY179" i="9" s="1"/>
  <c r="AX349" i="9"/>
  <c r="AY349" i="9" s="1"/>
  <c r="AS395" i="9"/>
  <c r="AT395" i="9" s="1"/>
  <c r="AX211" i="9"/>
  <c r="AY211" i="9" s="1"/>
  <c r="AX406" i="9"/>
  <c r="AY406" i="9" s="1"/>
  <c r="AS403" i="9"/>
  <c r="AT403" i="9" s="1"/>
  <c r="AX89" i="9"/>
  <c r="AY89" i="9" s="1"/>
  <c r="AX209" i="9"/>
  <c r="AY209" i="9" s="1"/>
  <c r="AX332" i="9"/>
  <c r="AY332" i="9" s="1"/>
  <c r="AO400" i="9"/>
  <c r="AO406" i="9"/>
  <c r="AX285" i="9"/>
  <c r="AY285" i="9" s="1"/>
  <c r="AT549" i="9"/>
  <c r="AX331" i="9"/>
  <c r="AY331" i="9" s="1"/>
  <c r="AX400" i="9"/>
  <c r="AY400" i="9" s="1"/>
  <c r="AX381" i="9"/>
  <c r="AY381" i="9" s="1"/>
  <c r="AX548" i="9"/>
  <c r="AY548" i="9" s="1"/>
  <c r="AX510" i="9"/>
  <c r="AY510" i="9" s="1"/>
  <c r="AT464" i="9"/>
  <c r="AX382" i="9"/>
  <c r="AY382" i="9" s="1"/>
  <c r="AX106" i="9"/>
  <c r="AY106" i="9" s="1"/>
  <c r="AS699" i="9"/>
  <c r="AT699" i="9" s="1"/>
  <c r="AX212" i="9"/>
  <c r="AY212" i="9" s="1"/>
  <c r="AX173" i="9"/>
  <c r="AY173" i="9" s="1"/>
  <c r="AX254" i="9"/>
  <c r="AY254" i="9" s="1"/>
  <c r="AS423" i="9"/>
  <c r="AT423" i="9" s="1"/>
  <c r="AS434" i="9"/>
  <c r="AT434" i="9" s="1"/>
  <c r="AX188" i="9"/>
  <c r="AY188" i="9" s="1"/>
  <c r="AX55" i="9"/>
  <c r="AY55" i="9" s="1"/>
  <c r="AX414" i="9"/>
  <c r="AY414" i="9" s="1"/>
  <c r="AX182" i="9"/>
  <c r="AY182" i="9" s="1"/>
  <c r="AX133" i="9"/>
  <c r="AY133" i="9" s="1"/>
  <c r="AX345" i="9"/>
  <c r="AY345" i="9" s="1"/>
  <c r="AX384" i="9"/>
  <c r="AY384" i="9" s="1"/>
  <c r="AX416" i="9"/>
  <c r="AY416" i="9" s="1"/>
  <c r="AX252" i="9"/>
  <c r="AY252" i="9" s="1"/>
  <c r="AS420" i="9"/>
  <c r="AT420" i="9" s="1"/>
  <c r="AS433" i="9"/>
  <c r="AX616" i="9"/>
  <c r="AY616" i="9" s="1"/>
  <c r="AX175" i="9"/>
  <c r="AY175" i="9" s="1"/>
  <c r="AX253" i="9"/>
  <c r="AY253" i="9" s="1"/>
  <c r="AX463" i="9"/>
  <c r="AY463" i="9" s="1"/>
  <c r="AX619" i="9"/>
  <c r="AY619" i="9" s="1"/>
  <c r="AX547" i="9"/>
  <c r="AY547" i="9" s="1"/>
  <c r="AX17" i="9"/>
  <c r="AY17" i="9" s="1"/>
  <c r="AX58" i="9"/>
  <c r="AY58" i="9" s="1"/>
  <c r="AX286" i="9"/>
  <c r="AY286" i="9" s="1"/>
  <c r="AX56" i="9"/>
  <c r="AY56" i="9" s="1"/>
  <c r="AX156" i="9"/>
  <c r="AY156" i="9" s="1"/>
  <c r="AX153" i="9"/>
  <c r="AY153" i="9" s="1"/>
  <c r="AT210" i="9"/>
  <c r="AX642" i="9"/>
  <c r="AY642" i="9" s="1"/>
  <c r="AX86" i="9"/>
  <c r="AY86" i="9" s="1"/>
  <c r="AX122" i="9"/>
  <c r="AY122" i="9" s="1"/>
  <c r="AX13" i="9"/>
  <c r="AY13" i="9" s="1"/>
  <c r="AX443" i="9"/>
  <c r="AY443" i="9" s="1"/>
  <c r="AT120" i="9"/>
  <c r="AX120" i="9"/>
  <c r="AY120" i="9" s="1"/>
  <c r="AX419" i="9"/>
  <c r="AY419" i="9" s="1"/>
  <c r="AT150" i="9"/>
  <c r="AX150" i="9"/>
  <c r="AY150" i="9" s="1"/>
  <c r="AX169" i="9"/>
  <c r="AY169" i="9" s="1"/>
  <c r="AT413" i="9"/>
  <c r="AX413" i="9"/>
  <c r="AY413" i="9" s="1"/>
  <c r="AT643" i="9"/>
  <c r="AX643" i="9"/>
  <c r="AY643" i="9" s="1"/>
  <c r="AX364" i="9"/>
  <c r="AY364" i="9" s="1"/>
  <c r="AX703" i="9"/>
  <c r="AY703" i="9" s="1"/>
  <c r="AX508" i="9"/>
  <c r="AY508" i="9" s="1"/>
  <c r="AX438" i="9"/>
  <c r="AY438" i="9" s="1"/>
  <c r="AT151" i="9"/>
  <c r="AX151" i="9"/>
  <c r="AY151" i="9" s="1"/>
  <c r="AX130" i="9"/>
  <c r="AY130" i="9" s="1"/>
  <c r="AX366" i="9"/>
  <c r="AY366" i="9" s="1"/>
  <c r="AT661" i="9"/>
  <c r="AX661" i="9"/>
  <c r="AY661" i="9" s="1"/>
  <c r="AX171" i="9"/>
  <c r="AY171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12" i="9"/>
  <c r="AX12" i="9"/>
  <c r="AY12" i="9" s="1"/>
  <c r="AT595" i="9"/>
  <c r="AX595" i="9"/>
  <c r="AY595" i="9" s="1"/>
  <c r="AX131" i="9"/>
  <c r="AY131" i="9" s="1"/>
  <c r="AT54" i="9"/>
  <c r="AX54" i="9"/>
  <c r="AY54" i="9" s="1"/>
  <c r="AT618" i="9"/>
  <c r="AX618" i="9"/>
  <c r="AY618" i="9" s="1"/>
  <c r="AT108" i="9"/>
  <c r="AX108" i="9"/>
  <c r="AY108" i="9" s="1"/>
  <c r="AT187" i="9"/>
  <c r="AX187" i="9"/>
  <c r="AY187" i="9" s="1"/>
  <c r="AT596" i="9"/>
  <c r="AX596" i="9"/>
  <c r="AY596" i="9" s="1"/>
  <c r="AX346" i="9"/>
  <c r="AY346" i="9" s="1"/>
  <c r="AX380" i="9"/>
  <c r="AY380" i="9" s="1"/>
  <c r="AX427" i="9"/>
  <c r="AY427" i="9" s="1"/>
  <c r="AX167" i="9"/>
  <c r="AY167" i="9" s="1"/>
  <c r="AX251" i="9"/>
  <c r="AY251" i="9" s="1"/>
  <c r="AX14" i="9"/>
  <c r="AY14" i="9" s="1"/>
  <c r="AX119" i="9"/>
  <c r="AY119" i="9" s="1"/>
  <c r="AT441" i="9"/>
  <c r="AX441" i="9"/>
  <c r="AY441" i="9" s="1"/>
  <c r="AX208" i="9"/>
  <c r="AY208" i="9" s="1"/>
  <c r="AT85" i="9"/>
  <c r="AX85" i="9"/>
  <c r="AY85" i="9" s="1"/>
  <c r="AX347" i="9"/>
  <c r="AY347" i="9" s="1"/>
  <c r="AX178" i="9"/>
  <c r="AY178" i="9" s="1"/>
  <c r="AX329" i="9"/>
  <c r="AY329" i="9" s="1"/>
  <c r="AT180" i="9"/>
  <c r="AX180" i="9"/>
  <c r="AY180" i="9" s="1"/>
  <c r="AX170" i="9"/>
  <c r="AY170" i="9" s="1"/>
  <c r="AX159" i="9"/>
  <c r="AY159" i="9" s="1"/>
  <c r="AX327" i="9"/>
  <c r="AY327" i="9" s="1"/>
  <c r="AX462" i="9"/>
  <c r="AY462" i="9" s="1"/>
  <c r="AX118" i="9"/>
  <c r="AY118" i="9" s="1"/>
  <c r="AX174" i="9"/>
  <c r="AY174" i="9" s="1"/>
  <c r="AT132" i="9"/>
  <c r="AX132" i="9"/>
  <c r="AY132" i="9" s="1"/>
  <c r="AX15" i="9"/>
  <c r="AY15" i="9" s="1"/>
  <c r="AX698" i="9"/>
  <c r="AY698" i="9" s="1"/>
  <c r="AT16" i="9"/>
  <c r="AX16" i="9"/>
  <c r="AY16" i="9" s="1"/>
  <c r="AT107" i="9"/>
  <c r="AX107" i="9"/>
  <c r="AY107" i="9" s="1"/>
  <c r="AX165" i="9"/>
  <c r="AY165" i="9" s="1"/>
  <c r="AT57" i="9"/>
  <c r="AX57" i="9"/>
  <c r="AY57" i="9" s="1"/>
  <c r="AX149" i="9"/>
  <c r="AY149" i="9" s="1"/>
  <c r="AX148" i="9"/>
  <c r="AY148" i="9" s="1"/>
  <c r="AT348" i="9"/>
  <c r="AX348" i="9"/>
  <c r="AY348" i="9" s="1"/>
  <c r="AT121" i="9"/>
  <c r="AX121" i="9"/>
  <c r="AY121" i="9" s="1"/>
  <c r="AX88" i="9"/>
  <c r="AY88" i="9" s="1"/>
  <c r="AT88" i="9"/>
  <c r="AX154" i="9"/>
  <c r="AY154" i="9" s="1"/>
  <c r="AT367" i="9"/>
  <c r="AX367" i="9"/>
  <c r="AY367" i="9" s="1"/>
  <c r="AX190" i="9"/>
  <c r="AY190" i="9" s="1"/>
  <c r="AT186" i="9"/>
  <c r="AX186" i="9"/>
  <c r="AY186" i="9" s="1"/>
  <c r="AX87" i="9"/>
  <c r="AY87" i="9" s="1"/>
  <c r="AT410" i="9"/>
  <c r="AX410" i="9"/>
  <c r="AY410" i="9" s="1"/>
  <c r="AX365" i="9"/>
  <c r="AY365" i="9" s="1"/>
  <c r="AX284" i="9"/>
  <c r="AY284" i="9" s="1"/>
  <c r="AT287" i="9"/>
  <c r="AX287" i="9"/>
  <c r="AY287" i="9" s="1"/>
  <c r="AT185" i="9"/>
  <c r="AX185" i="9"/>
  <c r="AY185" i="9" s="1"/>
  <c r="AT383" i="9"/>
  <c r="AX383" i="9"/>
  <c r="AY383" i="9" s="1"/>
  <c r="AT158" i="9"/>
  <c r="AX158" i="9"/>
  <c r="AY158" i="9" s="1"/>
  <c r="AX641" i="9"/>
  <c r="AY641" i="9" s="1"/>
  <c r="AX379" i="9"/>
  <c r="AY379" i="9" s="1"/>
  <c r="AX396" i="9"/>
  <c r="AY396" i="9" s="1"/>
  <c r="AX181" i="9"/>
  <c r="AY181" i="9" s="1"/>
  <c r="AX422" i="9"/>
  <c r="AY422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X369" i="9"/>
  <c r="AY369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X350" i="9"/>
  <c r="AY350" i="9" s="1"/>
  <c r="AX289" i="9"/>
  <c r="AY289" i="9" s="1"/>
  <c r="AG516" i="9"/>
  <c r="AH515" i="9"/>
  <c r="AS370" i="9"/>
  <c r="AT370" i="9" s="1"/>
  <c r="AN467" i="9"/>
  <c r="AO467" i="9" s="1"/>
  <c r="AT333" i="9"/>
  <c r="AX333" i="9"/>
  <c r="AY333" i="9" s="1"/>
  <c r="AV113" i="9"/>
  <c r="AW112" i="9"/>
  <c r="AL126" i="9"/>
  <c r="AM125" i="9"/>
  <c r="AN125" i="9"/>
  <c r="AV259" i="9"/>
  <c r="AW258" i="9"/>
  <c r="AV372" i="9"/>
  <c r="AW371" i="9"/>
  <c r="AX598" i="9"/>
  <c r="AY598" i="9" s="1"/>
  <c r="AL555" i="9"/>
  <c r="AM554" i="9"/>
  <c r="AO370" i="9"/>
  <c r="AX465" i="9"/>
  <c r="AY465" i="9" s="1"/>
  <c r="AQ336" i="9"/>
  <c r="AR335" i="9"/>
  <c r="AS335" i="9" s="1"/>
  <c r="AL138" i="9"/>
  <c r="AM137" i="9"/>
  <c r="AV94" i="9"/>
  <c r="AW93" i="9"/>
  <c r="AV516" i="9"/>
  <c r="AW515" i="9"/>
  <c r="AT385" i="9"/>
  <c r="AX385" i="9"/>
  <c r="AY385" i="9" s="1"/>
  <c r="AX123" i="9"/>
  <c r="AY123" i="9" s="1"/>
  <c r="AX213" i="9"/>
  <c r="AY213" i="9" s="1"/>
  <c r="AL372" i="9"/>
  <c r="AM371" i="9"/>
  <c r="AN371" i="9"/>
  <c r="AT663" i="9"/>
  <c r="AX663" i="9"/>
  <c r="AY663" i="9" s="1"/>
  <c r="AQ555" i="9"/>
  <c r="AR554" i="9"/>
  <c r="AO19" i="9"/>
  <c r="AV139" i="9"/>
  <c r="AW138" i="9"/>
  <c r="AV336" i="9"/>
  <c r="AW335" i="9"/>
  <c r="AQ387" i="9"/>
  <c r="AR386" i="9"/>
  <c r="AS386" i="9" s="1"/>
  <c r="AX59" i="9"/>
  <c r="AY59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X550" i="9"/>
  <c r="AY550" i="9" s="1"/>
  <c r="AV292" i="9"/>
  <c r="AW291" i="9"/>
  <c r="AX90" i="9"/>
  <c r="AY90" i="9" s="1"/>
  <c r="AV387" i="9"/>
  <c r="AW386" i="9"/>
  <c r="AL470" i="9"/>
  <c r="AM469" i="9"/>
  <c r="AL649" i="9"/>
  <c r="AM648" i="9"/>
  <c r="AX620" i="9"/>
  <c r="AY620" i="9" s="1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X19" i="9" s="1"/>
  <c r="AY19" i="9" s="1"/>
  <c r="AQ113" i="9"/>
  <c r="AR112" i="9"/>
  <c r="AX255" i="9"/>
  <c r="AY255" i="9" s="1"/>
  <c r="AQ62" i="9"/>
  <c r="AR61" i="9"/>
  <c r="AL338" i="9"/>
  <c r="AM337" i="9"/>
  <c r="AN337" i="9"/>
  <c r="AL216" i="9"/>
  <c r="AM215" i="9"/>
  <c r="AN215" i="9"/>
  <c r="AG504" i="9"/>
  <c r="AH503" i="9"/>
  <c r="AT511" i="9"/>
  <c r="AX511" i="9"/>
  <c r="AY511" i="9" s="1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U335" i="9" s="1"/>
  <c r="K372" i="9"/>
  <c r="L371" i="9"/>
  <c r="U371" i="9" s="1"/>
  <c r="N601" i="9"/>
  <c r="CF601" i="9"/>
  <c r="K387" i="9"/>
  <c r="L386" i="9"/>
  <c r="U386" i="9" s="1"/>
  <c r="V298" i="5"/>
  <c r="U298" i="5"/>
  <c r="V230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28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V20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AI198" i="5"/>
  <c r="AJ198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69" i="9"/>
  <c r="T274" i="5"/>
  <c r="T649" i="9"/>
  <c r="T554" i="9"/>
  <c r="T667" i="9"/>
  <c r="T624" i="9"/>
  <c r="T515" i="9"/>
  <c r="T199" i="5"/>
  <c r="T603" i="9"/>
  <c r="AS705" i="9" l="1"/>
  <c r="AX705" i="9" s="1"/>
  <c r="AY705" i="9" s="1"/>
  <c r="AX723" i="9"/>
  <c r="AY723" i="9" s="1"/>
  <c r="AS708" i="9"/>
  <c r="AT708" i="9" s="1"/>
  <c r="AX720" i="9"/>
  <c r="AY720" i="9" s="1"/>
  <c r="AS704" i="9"/>
  <c r="AT704" i="9" s="1"/>
  <c r="AO703" i="9"/>
  <c r="AX683" i="9"/>
  <c r="AY683" i="9" s="1"/>
  <c r="W425" i="9"/>
  <c r="W710" i="9"/>
  <c r="AX695" i="9"/>
  <c r="AY695" i="9" s="1"/>
  <c r="AS725" i="9"/>
  <c r="AT725" i="9" s="1"/>
  <c r="AN711" i="9"/>
  <c r="AO711" i="9" s="1"/>
  <c r="AX418" i="9"/>
  <c r="AY418" i="9" s="1"/>
  <c r="AS718" i="9"/>
  <c r="AX718" i="9" s="1"/>
  <c r="AY718" i="9" s="1"/>
  <c r="AS707" i="9"/>
  <c r="AT707" i="9" s="1"/>
  <c r="AS687" i="9"/>
  <c r="AX687" i="9" s="1"/>
  <c r="AY687" i="9" s="1"/>
  <c r="AS429" i="9"/>
  <c r="AT429" i="9" s="1"/>
  <c r="AX435" i="9"/>
  <c r="AY435" i="9" s="1"/>
  <c r="AX398" i="9"/>
  <c r="AY398" i="9" s="1"/>
  <c r="AO680" i="9"/>
  <c r="AX721" i="9"/>
  <c r="AY721" i="9" s="1"/>
  <c r="AS716" i="9"/>
  <c r="AT716" i="9" s="1"/>
  <c r="AO682" i="9"/>
  <c r="AX402" i="9"/>
  <c r="AY402" i="9" s="1"/>
  <c r="AX680" i="9"/>
  <c r="AY680" i="9" s="1"/>
  <c r="AS728" i="9"/>
  <c r="AT728" i="9" s="1"/>
  <c r="AX431" i="9"/>
  <c r="AY431" i="9" s="1"/>
  <c r="AO726" i="9"/>
  <c r="AX397" i="9"/>
  <c r="AY397" i="9" s="1"/>
  <c r="AS709" i="9"/>
  <c r="AT709" i="9" s="1"/>
  <c r="AS713" i="9"/>
  <c r="AX713" i="9" s="1"/>
  <c r="AY713" i="9" s="1"/>
  <c r="AO688" i="9"/>
  <c r="V554" i="9"/>
  <c r="AI554" i="9"/>
  <c r="AN554" i="9" s="1"/>
  <c r="AO554" i="9" s="1"/>
  <c r="U554" i="9"/>
  <c r="AO712" i="9"/>
  <c r="AX690" i="9"/>
  <c r="AY690" i="9" s="1"/>
  <c r="AX686" i="9"/>
  <c r="AY686" i="9" s="1"/>
  <c r="AX719" i="9"/>
  <c r="AY719" i="9" s="1"/>
  <c r="AX717" i="9"/>
  <c r="AY717" i="9" s="1"/>
  <c r="AX712" i="9"/>
  <c r="AY712" i="9" s="1"/>
  <c r="AS724" i="9"/>
  <c r="AT724" i="9" s="1"/>
  <c r="AX401" i="9"/>
  <c r="AY401" i="9" s="1"/>
  <c r="AX681" i="9"/>
  <c r="AY681" i="9" s="1"/>
  <c r="AX685" i="9"/>
  <c r="AY685" i="9" s="1"/>
  <c r="AO686" i="9"/>
  <c r="AO717" i="9"/>
  <c r="AX405" i="9"/>
  <c r="AY405" i="9" s="1"/>
  <c r="AO691" i="9"/>
  <c r="AO681" i="9"/>
  <c r="AX691" i="9"/>
  <c r="AY691" i="9" s="1"/>
  <c r="AT439" i="9"/>
  <c r="AX424" i="9"/>
  <c r="AY424" i="9" s="1"/>
  <c r="AT432" i="9"/>
  <c r="AX436" i="9"/>
  <c r="AY436" i="9" s="1"/>
  <c r="AX428" i="9"/>
  <c r="AY428" i="9" s="1"/>
  <c r="AX701" i="9"/>
  <c r="AY701" i="9" s="1"/>
  <c r="AX440" i="9"/>
  <c r="AY440" i="9" s="1"/>
  <c r="AX395" i="9"/>
  <c r="AY395" i="9" s="1"/>
  <c r="AX403" i="9"/>
  <c r="AY403" i="9" s="1"/>
  <c r="AX434" i="9"/>
  <c r="AY434" i="9" s="1"/>
  <c r="AX699" i="9"/>
  <c r="AY699" i="9" s="1"/>
  <c r="AX423" i="9"/>
  <c r="AY423" i="9" s="1"/>
  <c r="AX420" i="9"/>
  <c r="AY420" i="9" s="1"/>
  <c r="AT682" i="9"/>
  <c r="AX682" i="9"/>
  <c r="AY682" i="9" s="1"/>
  <c r="AX433" i="9"/>
  <c r="AY433" i="9" s="1"/>
  <c r="AT433" i="9"/>
  <c r="AT726" i="9"/>
  <c r="AX726" i="9"/>
  <c r="AY726" i="9" s="1"/>
  <c r="AT688" i="9"/>
  <c r="AX688" i="9"/>
  <c r="AY688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O337" i="9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T335" i="9"/>
  <c r="AX335" i="9"/>
  <c r="AY335" i="9" s="1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26" i="5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W196" i="5" s="1"/>
  <c r="X10" i="5"/>
  <c r="U13" i="5"/>
  <c r="U274" i="5"/>
  <c r="U199" i="5"/>
  <c r="N229" i="5"/>
  <c r="CB229" i="5"/>
  <c r="K231" i="5"/>
  <c r="L231" i="5" s="1"/>
  <c r="U231" i="5" s="1"/>
  <c r="L230" i="5"/>
  <c r="U230" i="5" s="1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U200" i="5" s="1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275" i="5"/>
  <c r="T604" i="9"/>
  <c r="T668" i="9"/>
  <c r="T470" i="9"/>
  <c r="T650" i="9"/>
  <c r="T555" i="9"/>
  <c r="T625" i="9"/>
  <c r="T516" i="9"/>
  <c r="AT705" i="9" l="1"/>
  <c r="AX708" i="9"/>
  <c r="AY708" i="9" s="1"/>
  <c r="AX704" i="9"/>
  <c r="AY704" i="9" s="1"/>
  <c r="AX725" i="9"/>
  <c r="AY725" i="9" s="1"/>
  <c r="AS711" i="9"/>
  <c r="AT711" i="9" s="1"/>
  <c r="AT718" i="9"/>
  <c r="AT687" i="9"/>
  <c r="AX429" i="9"/>
  <c r="AY429" i="9" s="1"/>
  <c r="AX707" i="9"/>
  <c r="AY707" i="9" s="1"/>
  <c r="AX716" i="9"/>
  <c r="AY716" i="9" s="1"/>
  <c r="AX728" i="9"/>
  <c r="AY728" i="9" s="1"/>
  <c r="AT713" i="9"/>
  <c r="AX709" i="9"/>
  <c r="AY709" i="9" s="1"/>
  <c r="AJ554" i="9"/>
  <c r="AX724" i="9"/>
  <c r="AY724" i="9" s="1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N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S337" i="9" s="1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O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U337" i="9" s="1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626" i="9"/>
  <c r="T517" i="9"/>
  <c r="T276" i="5"/>
  <c r="T471" i="9"/>
  <c r="T556" i="9"/>
  <c r="T651" i="9"/>
  <c r="T669" i="9"/>
  <c r="T605" i="9"/>
  <c r="AX711" i="9" l="1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T337" i="9"/>
  <c r="AX337" i="9"/>
  <c r="AY33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O340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52" i="9"/>
  <c r="T606" i="9"/>
  <c r="T557" i="9"/>
  <c r="T472" i="9"/>
  <c r="T627" i="9"/>
  <c r="T670" i="9"/>
  <c r="T518" i="9"/>
  <c r="T277" i="5"/>
  <c r="V557" i="9" l="1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S340" i="9" s="1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N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558" i="9"/>
  <c r="T278" i="5"/>
  <c r="T473" i="9"/>
  <c r="T653" i="9"/>
  <c r="T520" i="9"/>
  <c r="T608" i="9"/>
  <c r="T671" i="9"/>
  <c r="T628" i="9"/>
  <c r="AN557" i="9" l="1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O342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T340" i="9"/>
  <c r="AX340" i="9"/>
  <c r="AY34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U521" i="9" s="1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672" i="9"/>
  <c r="T609" i="9"/>
  <c r="T279" i="5"/>
  <c r="T629" i="9"/>
  <c r="T559" i="9"/>
  <c r="T654" i="9"/>
  <c r="T474" i="9"/>
  <c r="AN558" i="9" l="1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N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S342" i="9" s="1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U358" i="9" s="1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280" i="5"/>
  <c r="T522" i="9"/>
  <c r="T560" i="9"/>
  <c r="T655" i="9"/>
  <c r="T673" i="9"/>
  <c r="T610" i="9"/>
  <c r="T475" i="9"/>
  <c r="AS558" i="9" l="1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T342" i="9"/>
  <c r="AX342" i="9"/>
  <c r="AY342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N476" i="9"/>
  <c r="AO358" i="9"/>
  <c r="AS358" i="9"/>
  <c r="AT358" i="9" s="1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U476" i="9" s="1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631" i="9"/>
  <c r="T561" i="9"/>
  <c r="T656" i="9"/>
  <c r="T523" i="9"/>
  <c r="T611" i="9"/>
  <c r="T226" i="9"/>
  <c r="T674" i="9"/>
  <c r="T281" i="5"/>
  <c r="AX558" i="9" l="1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58" i="9"/>
  <c r="AY358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N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476" i="9"/>
  <c r="AS476" i="9"/>
  <c r="AT476" i="9" s="1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U360" i="9" s="1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U283" i="5" s="1"/>
  <c r="L282" i="5"/>
  <c r="T524" i="9"/>
  <c r="T478" i="9"/>
  <c r="T282" i="5"/>
  <c r="T657" i="9"/>
  <c r="T632" i="9"/>
  <c r="T658" i="9"/>
  <c r="T562" i="9"/>
  <c r="T612" i="9"/>
  <c r="T675" i="9"/>
  <c r="V524" i="9" l="1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N301" i="9"/>
  <c r="AX476" i="9"/>
  <c r="AY476" i="9" s="1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O360" i="9"/>
  <c r="AS360" i="9"/>
  <c r="AT360" i="9" s="1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N658" i="9" s="1"/>
  <c r="AO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U301" i="9" s="1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W271" i="5" s="1"/>
  <c r="U282" i="5"/>
  <c r="N282" i="5"/>
  <c r="CB282" i="5"/>
  <c r="N283" i="5"/>
  <c r="CB283" i="5"/>
  <c r="T479" i="9"/>
  <c r="T564" i="9"/>
  <c r="T614" i="9"/>
  <c r="T676" i="9"/>
  <c r="T613" i="9"/>
  <c r="T633" i="9"/>
  <c r="T526" i="9"/>
  <c r="AI479" i="9" l="1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S658" i="9"/>
  <c r="AT658" i="9" s="1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X360" i="9"/>
  <c r="AY360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O301" i="9"/>
  <c r="AS301" i="9"/>
  <c r="AT301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U527" i="9" s="1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480" i="9"/>
  <c r="T634" i="9"/>
  <c r="T677" i="9"/>
  <c r="T565" i="9"/>
  <c r="T678" i="9"/>
  <c r="AN479" i="9" l="1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X301" i="9"/>
  <c r="AY301" i="9" s="1"/>
  <c r="AX658" i="9"/>
  <c r="AY658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528" i="9"/>
  <c r="T635" i="9"/>
  <c r="T566" i="9"/>
  <c r="AO479" i="9" l="1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636" i="9"/>
  <c r="T567" i="9"/>
  <c r="T529" i="9"/>
  <c r="AT479" i="9" l="1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I568" i="9"/>
  <c r="AJ568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U568" i="9" s="1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637" i="9"/>
  <c r="T530" i="9"/>
  <c r="T483" i="9"/>
  <c r="AI483" i="9" l="1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N568" i="9"/>
  <c r="AO568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69" i="9"/>
  <c r="T638" i="9"/>
  <c r="T531" i="9"/>
  <c r="AN483" i="9" l="1"/>
  <c r="AO483" i="9" s="1"/>
  <c r="AS529" i="9"/>
  <c r="AT529" i="9" s="1"/>
  <c r="AS568" i="9"/>
  <c r="AT568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32" i="9"/>
  <c r="T485" i="9"/>
  <c r="T570" i="9"/>
  <c r="AS483" i="9" l="1"/>
  <c r="AX529" i="9"/>
  <c r="AY529" i="9" s="1"/>
  <c r="AX568" i="9"/>
  <c r="AY568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N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U309" i="9" s="1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572" i="9"/>
  <c r="T486" i="9"/>
  <c r="T534" i="9"/>
  <c r="AT483" i="9" l="1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O309" i="9"/>
  <c r="AS309" i="9"/>
  <c r="AT309" i="9" s="1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U535" i="9" s="1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487" i="9"/>
  <c r="T573" i="9"/>
  <c r="AS570" i="9" l="1"/>
  <c r="AX570" i="9" s="1"/>
  <c r="AY570" i="9" s="1"/>
  <c r="AX39" i="9"/>
  <c r="AY39" i="9" s="1"/>
  <c r="AS532" i="9"/>
  <c r="AT532" i="9" s="1"/>
  <c r="AN572" i="9"/>
  <c r="AO572" i="9" s="1"/>
  <c r="AX309" i="9"/>
  <c r="AY309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488" i="9"/>
  <c r="T536" i="9"/>
  <c r="T574" i="9"/>
  <c r="AT570" i="9" l="1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N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U489" i="9" s="1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575" i="9"/>
  <c r="T537" i="9"/>
  <c r="T239" i="9"/>
  <c r="AX278" i="9" l="1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O489" i="9"/>
  <c r="AS489" i="9"/>
  <c r="AT489" i="9" s="1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U240" i="9" s="1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538" i="9"/>
  <c r="T576" i="9"/>
  <c r="T490" i="9"/>
  <c r="AX487" i="9" l="1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489" i="9"/>
  <c r="AY489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I577" i="9"/>
  <c r="AJ577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U577" i="9" s="1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92" i="9"/>
  <c r="T539" i="9"/>
  <c r="AX280" i="9" l="1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N577" i="9"/>
  <c r="AO577" i="9" s="1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540" i="9"/>
  <c r="T242" i="9"/>
  <c r="T493" i="9"/>
  <c r="T578" i="9"/>
  <c r="AN492" i="9" l="1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S577" i="9"/>
  <c r="AT577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94" i="9"/>
  <c r="T541" i="9"/>
  <c r="T579" i="9"/>
  <c r="AX539" i="9" l="1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X577" i="9"/>
  <c r="AY577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N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581" i="9"/>
  <c r="T495" i="9"/>
  <c r="T542" i="9"/>
  <c r="W308" i="9" l="1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O318" i="9"/>
  <c r="AS318" i="9"/>
  <c r="AT318" i="9" s="1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582" i="9"/>
  <c r="T246" i="9"/>
  <c r="T543" i="9"/>
  <c r="T544" i="9"/>
  <c r="T496" i="9"/>
  <c r="AI496" i="9" l="1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318" i="9"/>
  <c r="AY318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W243" i="9" s="1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U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583" i="9"/>
  <c r="T498" i="9"/>
  <c r="W237" i="9" l="1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I584" i="9"/>
  <c r="AJ584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U584" i="9" s="1"/>
  <c r="AS166" i="5"/>
  <c r="AT166" i="5" s="1"/>
  <c r="AX164" i="5"/>
  <c r="AY164" i="5" s="1"/>
  <c r="AT164" i="5"/>
  <c r="AS165" i="5"/>
  <c r="T499" i="9"/>
  <c r="AS496" i="9" l="1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N584" i="9"/>
  <c r="AO584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85" i="9"/>
  <c r="T500" i="9"/>
  <c r="AN499" i="9" l="1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S584" i="9"/>
  <c r="AT584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499" i="9" l="1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X584" i="9"/>
  <c r="AY584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02" i="9"/>
  <c r="T587" i="9"/>
  <c r="AX499" i="9" l="1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88" i="9"/>
  <c r="T503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89" i="9"/>
  <c r="T505" i="9"/>
  <c r="T504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J123" i="6"/>
  <c r="AJ40" i="4"/>
  <c r="AJ214" i="6"/>
  <c r="AJ193" i="6"/>
  <c r="AJ367" i="6"/>
  <c r="AJ150" i="6"/>
  <c r="AJ73" i="4"/>
  <c r="AJ408" i="6"/>
  <c r="AJ393" i="6"/>
  <c r="AJ35" i="4"/>
  <c r="AJ301" i="6"/>
  <c r="AJ226" i="4"/>
  <c r="AJ437" i="6"/>
  <c r="AJ472" i="6"/>
  <c r="AJ37" i="4"/>
  <c r="AJ92" i="6"/>
  <c r="AJ30" i="6"/>
  <c r="AJ337" i="6"/>
  <c r="AJ496" i="6"/>
  <c r="AJ170" i="6"/>
  <c r="AJ41" i="4"/>
  <c r="AJ153" i="6"/>
  <c r="AJ233" i="4"/>
  <c r="AJ221" i="6"/>
  <c r="AJ302" i="6"/>
  <c r="AJ133" i="6"/>
  <c r="AJ82" i="4"/>
  <c r="AJ475" i="6"/>
  <c r="AJ307" i="6"/>
  <c r="AJ165" i="4"/>
  <c r="AJ331" i="6"/>
  <c r="AJ455" i="6"/>
  <c r="AJ227" i="6"/>
  <c r="AJ207" i="4"/>
  <c r="AJ287" i="6"/>
  <c r="AJ196" i="6"/>
  <c r="AJ509" i="6"/>
  <c r="AJ182" i="6"/>
  <c r="AJ279" i="4"/>
  <c r="AJ72" i="4"/>
  <c r="AJ519" i="6"/>
  <c r="AJ414" i="6"/>
  <c r="AJ115" i="6"/>
  <c r="AJ398" i="6"/>
  <c r="AJ123" i="4"/>
  <c r="AJ195" i="4"/>
  <c r="AJ109" i="6"/>
  <c r="AJ112" i="4"/>
  <c r="AJ186" i="4"/>
  <c r="AJ159" i="6"/>
  <c r="AJ308" i="4"/>
  <c r="AJ111" i="4"/>
  <c r="AJ55" i="6"/>
  <c r="AJ182" i="4"/>
  <c r="AJ197" i="4"/>
  <c r="AJ304" i="4"/>
  <c r="AJ305" i="6"/>
  <c r="AJ514" i="6"/>
  <c r="AJ325" i="4"/>
  <c r="AJ497" i="6"/>
  <c r="AJ450" i="6"/>
  <c r="AJ295" i="6"/>
  <c r="AJ432" i="6"/>
  <c r="AJ198" i="4"/>
  <c r="AJ478" i="6"/>
  <c r="AJ289" i="4"/>
  <c r="AJ86" i="6"/>
  <c r="AJ157" i="6"/>
  <c r="AJ242" i="4"/>
  <c r="AJ231" i="6"/>
  <c r="AJ204" i="6"/>
  <c r="AJ180" i="6"/>
  <c r="AJ101" i="6"/>
  <c r="AJ446" i="6"/>
  <c r="AJ139" i="4"/>
  <c r="AJ538" i="6"/>
  <c r="AJ264" i="4"/>
  <c r="AJ136" i="4"/>
  <c r="AJ249" i="6"/>
  <c r="AJ89" i="6"/>
  <c r="AJ250" i="6"/>
  <c r="AJ181" i="6"/>
  <c r="AJ168" i="6"/>
  <c r="AJ67" i="4"/>
  <c r="AJ282" i="4"/>
  <c r="AJ164" i="6"/>
  <c r="AJ114" i="4"/>
  <c r="AJ302" i="4"/>
  <c r="AJ32" i="6"/>
  <c r="AJ477" i="6"/>
  <c r="AJ51" i="6"/>
  <c r="AJ76" i="6"/>
  <c r="AJ172" i="4"/>
  <c r="AJ500" i="6"/>
  <c r="AJ192" i="4"/>
  <c r="AJ242" i="6"/>
  <c r="AJ251" i="4"/>
  <c r="AJ389" i="6"/>
  <c r="AJ68" i="4"/>
  <c r="AJ114" i="6"/>
  <c r="AJ127" i="4"/>
  <c r="AJ183" i="4"/>
  <c r="AJ148" i="4"/>
  <c r="AJ335" i="6"/>
  <c r="AJ467" i="6"/>
  <c r="AJ418" i="6"/>
  <c r="AJ351" i="6"/>
  <c r="AJ281" i="6"/>
  <c r="AJ51" i="4"/>
  <c r="AJ363" i="6"/>
  <c r="AJ465" i="6"/>
  <c r="AJ120" i="6"/>
  <c r="AJ380" i="6"/>
  <c r="AJ307" i="4"/>
  <c r="AJ222" i="6"/>
  <c r="AJ136" i="6"/>
  <c r="AJ243" i="6"/>
  <c r="AJ300" i="6"/>
  <c r="AJ387" i="6"/>
  <c r="AJ143" i="4"/>
  <c r="AJ31" i="6"/>
  <c r="AJ283" i="4"/>
  <c r="AJ30" i="4"/>
  <c r="AJ364" i="6"/>
  <c r="AJ548" i="6"/>
  <c r="AJ275" i="6"/>
  <c r="AJ328" i="6"/>
  <c r="AJ185" i="6"/>
  <c r="AJ229" i="6"/>
  <c r="AJ93" i="4"/>
  <c r="AJ392" i="6"/>
  <c r="AJ206" i="4"/>
  <c r="AJ118" i="4"/>
  <c r="AJ118" i="6"/>
  <c r="AJ33" i="6"/>
  <c r="AJ290" i="4"/>
  <c r="AJ169" i="6"/>
  <c r="AJ160" i="6"/>
  <c r="AJ187" i="6"/>
  <c r="AJ371" i="6"/>
  <c r="AJ47" i="6"/>
  <c r="AJ40" i="6"/>
  <c r="AJ381" i="6"/>
  <c r="AJ520" i="6"/>
  <c r="AJ34" i="4"/>
  <c r="AJ322" i="6"/>
  <c r="AJ173" i="4"/>
  <c r="AJ135" i="4"/>
  <c r="AJ90" i="6"/>
  <c r="AJ99" i="4"/>
  <c r="AJ75" i="6"/>
  <c r="AJ460" i="6"/>
  <c r="AJ254" i="4"/>
  <c r="AJ179" i="6"/>
  <c r="AJ297" i="4"/>
  <c r="AJ156" i="6"/>
  <c r="AJ449" i="6"/>
  <c r="AJ121" i="6"/>
  <c r="AJ503" i="6"/>
  <c r="AJ304" i="6"/>
  <c r="AJ154" i="4"/>
  <c r="AJ60" i="6"/>
  <c r="AJ508" i="6"/>
  <c r="AJ361" i="6"/>
  <c r="AJ163" i="4"/>
  <c r="AJ117" i="6"/>
  <c r="AJ248" i="6"/>
  <c r="AJ306" i="6"/>
  <c r="AJ180" i="4"/>
  <c r="AJ45" i="6"/>
  <c r="AJ543" i="6"/>
  <c r="AJ313" i="6"/>
  <c r="AJ223" i="4"/>
  <c r="AJ77" i="4"/>
  <c r="AJ411" i="6"/>
  <c r="AJ374" i="6"/>
  <c r="AJ511" i="6"/>
  <c r="AJ69" i="6"/>
  <c r="AJ68" i="6"/>
  <c r="AJ334" i="6"/>
  <c r="AJ310" i="4"/>
  <c r="AJ140" i="6"/>
  <c r="AJ50" i="4"/>
  <c r="AJ268" i="4"/>
  <c r="AJ99" i="6"/>
  <c r="AJ345" i="6"/>
  <c r="AJ53" i="6"/>
  <c r="AJ468" i="6"/>
  <c r="AJ72" i="6"/>
  <c r="AJ229" i="4"/>
  <c r="AJ260" i="6"/>
  <c r="AJ463" i="6"/>
  <c r="AJ299" i="6"/>
  <c r="AJ401" i="6"/>
  <c r="AJ57" i="4"/>
  <c r="AJ248" i="4"/>
  <c r="AJ178" i="4"/>
  <c r="AJ431" i="6"/>
  <c r="AJ101" i="4"/>
  <c r="AJ358" i="6"/>
  <c r="AJ549" i="6"/>
  <c r="AJ246" i="6"/>
  <c r="AJ69" i="4"/>
  <c r="AJ191" i="6"/>
  <c r="AJ230" i="6"/>
  <c r="AJ317" i="4"/>
  <c r="AJ125" i="6"/>
  <c r="AJ184" i="6"/>
  <c r="AJ54" i="6"/>
  <c r="AJ259" i="4"/>
  <c r="AJ199" i="4"/>
  <c r="AJ147" i="6"/>
  <c r="AJ262" i="6"/>
  <c r="AJ43" i="4"/>
  <c r="AJ79" i="6"/>
  <c r="AJ94" i="6"/>
  <c r="AJ154" i="6"/>
  <c r="AJ100" i="6"/>
  <c r="AJ184" i="4"/>
  <c r="AJ230" i="4"/>
  <c r="AJ207" i="6"/>
  <c r="AJ249" i="4"/>
  <c r="AJ110" i="4"/>
  <c r="AJ61" i="6"/>
  <c r="AJ279" i="6"/>
  <c r="AJ348" i="6"/>
  <c r="AJ54" i="4"/>
  <c r="AJ254" i="6"/>
  <c r="AJ375" i="6"/>
  <c r="AJ171" i="4"/>
  <c r="AJ90" i="4"/>
  <c r="AJ269" i="4"/>
  <c r="AJ129" i="4"/>
  <c r="AJ141" i="6"/>
  <c r="AJ483" i="6"/>
  <c r="AJ253" i="4"/>
  <c r="AJ211" i="4"/>
  <c r="AJ171" i="6"/>
  <c r="AJ341" i="6"/>
  <c r="AJ336" i="6"/>
  <c r="AJ453" i="6"/>
  <c r="AJ108" i="6"/>
  <c r="AJ466" i="6"/>
  <c r="AJ81" i="6"/>
  <c r="AJ93" i="6"/>
  <c r="AJ319" i="4"/>
  <c r="AJ146" i="4"/>
  <c r="AJ58" i="4"/>
  <c r="AJ388" i="6"/>
  <c r="AJ73" i="6"/>
  <c r="AJ134" i="4"/>
  <c r="AJ31" i="4"/>
  <c r="AJ294" i="4"/>
  <c r="AJ166" i="6"/>
  <c r="AJ312" i="4"/>
  <c r="AJ46" i="6"/>
  <c r="AJ218" i="4"/>
  <c r="AJ34" i="6"/>
  <c r="AJ191" i="4"/>
  <c r="AJ62" i="6"/>
  <c r="AJ144" i="6"/>
  <c r="AJ71" i="6"/>
  <c r="AJ263" i="6"/>
  <c r="AJ430" i="6"/>
  <c r="AJ74" i="6"/>
  <c r="AJ285" i="6"/>
  <c r="AJ83" i="4"/>
  <c r="AJ517" i="6"/>
  <c r="AJ133" i="4"/>
  <c r="AJ270" i="4"/>
  <c r="AJ452" i="6"/>
  <c r="AJ236" i="6"/>
  <c r="AJ487" i="6"/>
  <c r="AJ91" i="4"/>
  <c r="AJ235" i="6"/>
  <c r="AJ155" i="6"/>
  <c r="AJ234" i="6"/>
  <c r="AJ119" i="4"/>
  <c r="AJ216" i="6"/>
  <c r="AJ138" i="6"/>
  <c r="AJ480" i="6"/>
  <c r="AJ349" i="6"/>
  <c r="AJ278" i="4"/>
  <c r="AJ370" i="6"/>
  <c r="AJ108" i="4"/>
  <c r="AJ122" i="6"/>
  <c r="AJ266" i="4"/>
  <c r="AJ128" i="6"/>
  <c r="AJ201" i="4"/>
  <c r="AJ303" i="6"/>
  <c r="AJ320" i="4"/>
  <c r="AJ240" i="6"/>
  <c r="AJ294" i="6"/>
  <c r="AJ415" i="6"/>
  <c r="AJ486" i="6"/>
  <c r="AJ400" i="6"/>
  <c r="AJ461" i="6"/>
  <c r="AJ194" i="6"/>
  <c r="AJ79" i="4"/>
  <c r="AJ39" i="6"/>
  <c r="AJ85" i="6"/>
  <c r="AJ120" i="4"/>
  <c r="AJ342" i="6"/>
  <c r="AJ407" i="6"/>
  <c r="AJ143" i="6"/>
  <c r="AJ243" i="4"/>
  <c r="AJ323" i="6"/>
  <c r="AJ231" i="4"/>
  <c r="AJ434" i="6"/>
  <c r="AJ142" i="6"/>
  <c r="AJ160" i="4"/>
  <c r="AJ403" i="6"/>
  <c r="AJ502" i="6"/>
  <c r="AJ395" i="6"/>
  <c r="AJ271" i="6"/>
  <c r="AJ167" i="6"/>
  <c r="AJ104" i="6"/>
  <c r="AJ177" i="6"/>
  <c r="AJ144" i="4"/>
  <c r="AJ397" i="6"/>
  <c r="AJ510" i="6"/>
  <c r="AJ176" i="6"/>
  <c r="AJ107" i="6"/>
  <c r="AJ212" i="6"/>
  <c r="AJ70" i="4"/>
  <c r="AJ275" i="4"/>
  <c r="AJ321" i="4"/>
  <c r="AJ219" i="4"/>
  <c r="AJ316" i="6"/>
  <c r="AJ131" i="4"/>
  <c r="AJ187" i="4"/>
  <c r="AJ257" i="4"/>
  <c r="AJ333" i="6"/>
  <c r="AJ264" i="6"/>
  <c r="AJ124" i="4"/>
  <c r="AJ309" i="4"/>
  <c r="AJ78" i="4"/>
  <c r="AJ222" i="4"/>
  <c r="AJ126" i="4"/>
  <c r="AJ224" i="4"/>
  <c r="AJ528" i="6"/>
  <c r="AJ457" i="6"/>
  <c r="AJ65" i="6"/>
  <c r="AJ448" i="6"/>
  <c r="AJ438" i="6"/>
  <c r="AJ53" i="4"/>
  <c r="AJ174" i="6"/>
  <c r="AJ258" i="6"/>
  <c r="AJ262" i="4"/>
  <c r="AJ285" i="4"/>
  <c r="AJ74" i="4"/>
  <c r="AJ311" i="4"/>
  <c r="AJ545" i="6"/>
  <c r="AJ311" i="6"/>
  <c r="AJ139" i="6"/>
  <c r="AJ179" i="4"/>
  <c r="AJ368" i="6"/>
  <c r="AJ473" i="6"/>
  <c r="AJ521" i="6"/>
  <c r="AJ64" i="6"/>
  <c r="AJ147" i="4"/>
  <c r="AJ280" i="6"/>
  <c r="AJ65" i="4"/>
  <c r="AJ200" i="4"/>
  <c r="AJ63" i="6"/>
  <c r="AJ298" i="6"/>
  <c r="AJ125" i="4"/>
  <c r="AJ150" i="4"/>
  <c r="AJ305" i="4"/>
  <c r="AJ505" i="6"/>
  <c r="AJ524" i="6"/>
  <c r="AJ52" i="6"/>
  <c r="AJ489" i="6"/>
  <c r="AJ206" i="6"/>
  <c r="AJ314" i="6"/>
  <c r="AJ62" i="4"/>
  <c r="AJ315" i="4"/>
  <c r="AJ106" i="4"/>
  <c r="AJ277" i="4"/>
  <c r="AJ394" i="6"/>
  <c r="AJ484" i="6"/>
  <c r="AJ49" i="6"/>
  <c r="AJ365" i="6"/>
  <c r="AJ416" i="6"/>
  <c r="AJ291" i="6"/>
  <c r="AJ61" i="4"/>
  <c r="AJ48" i="4"/>
  <c r="AJ299" i="4"/>
  <c r="AJ98" i="6"/>
  <c r="AJ422" i="6"/>
  <c r="AJ313" i="4"/>
  <c r="AJ158" i="6"/>
  <c r="AJ202" i="6"/>
  <c r="AJ385" i="6"/>
  <c r="AJ258" i="4"/>
  <c r="AJ37" i="6"/>
  <c r="AJ208" i="4"/>
  <c r="AJ237" i="4"/>
  <c r="AJ240" i="4"/>
  <c r="AJ330" i="6"/>
  <c r="AJ193" i="4"/>
  <c r="AJ533" i="6"/>
  <c r="AJ163" i="6"/>
  <c r="AJ236" i="4"/>
  <c r="AJ164" i="4"/>
  <c r="AJ256" i="6"/>
  <c r="AJ211" i="6"/>
  <c r="AJ162" i="6"/>
  <c r="AJ536" i="6"/>
  <c r="AJ137" i="4"/>
  <c r="AJ265" i="6"/>
  <c r="AJ119" i="6"/>
  <c r="AJ232" i="4"/>
  <c r="AJ451" i="6"/>
  <c r="AJ210" i="4"/>
  <c r="AJ292" i="4"/>
  <c r="AJ405" i="6"/>
  <c r="AJ115" i="4"/>
  <c r="AJ205" i="4"/>
  <c r="AJ464" i="6"/>
  <c r="AJ537" i="6"/>
  <c r="AJ44" i="4"/>
  <c r="AJ177" i="4"/>
  <c r="AJ326" i="6"/>
  <c r="AJ256" i="4"/>
  <c r="AJ132" i="6"/>
  <c r="AJ36" i="4"/>
  <c r="AJ255" i="4"/>
  <c r="AJ212" i="4"/>
  <c r="AJ526" i="6"/>
  <c r="AJ244" i="6"/>
  <c r="AJ261" i="6"/>
  <c r="AJ32" i="4"/>
  <c r="AJ529" i="6"/>
  <c r="AJ145" i="4"/>
  <c r="AJ286" i="6"/>
  <c r="AJ55" i="4"/>
  <c r="AJ433" i="6"/>
  <c r="AJ325" i="6"/>
  <c r="AJ491" i="6"/>
  <c r="AJ239" i="4"/>
  <c r="AJ469" i="6"/>
  <c r="AJ318" i="4"/>
  <c r="AJ145" i="6"/>
  <c r="AJ269" i="6"/>
  <c r="AJ111" i="6"/>
  <c r="AJ539" i="6"/>
  <c r="AJ213" i="4"/>
  <c r="AJ59" i="6"/>
  <c r="AJ107" i="4"/>
  <c r="AJ427" i="6"/>
  <c r="AJ95" i="4"/>
  <c r="AJ128" i="4"/>
  <c r="AJ225" i="4"/>
  <c r="AJ308" i="6"/>
  <c r="AJ96" i="6"/>
  <c r="AJ241" i="6"/>
  <c r="AJ220" i="6"/>
  <c r="AJ172" i="6"/>
  <c r="AJ319" i="6"/>
  <c r="AJ445" i="6"/>
  <c r="AJ38" i="4"/>
  <c r="AJ270" i="6"/>
  <c r="AJ189" i="4"/>
  <c r="AJ141" i="4"/>
  <c r="AJ113" i="4"/>
  <c r="AJ208" i="6"/>
  <c r="AJ390" i="6"/>
  <c r="AJ293" i="4"/>
  <c r="AJ246" i="4"/>
  <c r="AJ227" i="4"/>
  <c r="AJ498" i="6"/>
  <c r="AJ225" i="6"/>
  <c r="AJ413" i="6"/>
  <c r="AJ306" i="4"/>
  <c r="AJ315" i="6"/>
  <c r="AJ45" i="4"/>
  <c r="AJ67" i="6"/>
  <c r="AJ287" i="4"/>
  <c r="AJ59" i="4"/>
  <c r="AJ327" i="6"/>
  <c r="AJ440" i="6"/>
  <c r="AJ66" i="6"/>
  <c r="AJ199" i="6"/>
  <c r="AJ377" i="6"/>
  <c r="AJ194" i="4"/>
  <c r="AJ46" i="4"/>
  <c r="AJ126" i="6"/>
  <c r="AJ443" i="6"/>
  <c r="AJ152" i="4"/>
  <c r="AJ49" i="4"/>
  <c r="AJ129" i="6"/>
  <c r="AJ190" i="4"/>
  <c r="AJ316" i="4"/>
  <c r="AJ226" i="6"/>
  <c r="AJ481" i="6"/>
  <c r="AJ60" i="4"/>
  <c r="AJ215" i="4"/>
  <c r="AJ235" i="4"/>
  <c r="AJ322" i="4"/>
  <c r="AJ442" i="6"/>
  <c r="AJ277" i="6"/>
  <c r="AJ185" i="4"/>
  <c r="AJ127" i="6"/>
  <c r="AJ35" i="6"/>
  <c r="AJ320" i="6"/>
  <c r="AJ357" i="6"/>
  <c r="AJ205" i="6"/>
  <c r="AJ138" i="4"/>
  <c r="AJ518" i="6"/>
  <c r="AJ296" i="6"/>
  <c r="AJ441" i="6"/>
  <c r="AJ175" i="4"/>
  <c r="AJ162" i="4"/>
  <c r="AJ200" i="6"/>
  <c r="AJ224" i="6"/>
  <c r="AJ286" i="4"/>
  <c r="AJ252" i="6"/>
  <c r="AJ41" i="6"/>
  <c r="AJ347" i="6"/>
  <c r="AJ297" i="6"/>
  <c r="AJ428" i="6"/>
  <c r="AJ276" i="4"/>
  <c r="AJ471" i="6"/>
  <c r="AJ376" i="6"/>
  <c r="AJ479" i="6"/>
  <c r="AJ268" i="6"/>
  <c r="AJ257" i="6"/>
  <c r="AJ83" i="6"/>
  <c r="AJ507" i="6"/>
  <c r="AJ223" i="6"/>
  <c r="AJ338" i="6"/>
  <c r="AJ267" i="4"/>
  <c r="AJ217" i="4"/>
  <c r="AJ251" i="6"/>
  <c r="AJ318" i="6"/>
  <c r="AJ170" i="4"/>
  <c r="AJ280" i="4"/>
  <c r="AJ329" i="6"/>
  <c r="AJ485" i="6"/>
  <c r="AJ535" i="6"/>
  <c r="AJ157" i="4"/>
  <c r="AJ103" i="6"/>
  <c r="AJ314" i="4"/>
  <c r="AJ419" i="6"/>
  <c r="AJ490" i="6"/>
  <c r="AJ293" i="6"/>
  <c r="AJ245" i="6"/>
  <c r="AJ174" i="4"/>
  <c r="AJ88" i="6"/>
  <c r="AJ57" i="6"/>
  <c r="AJ159" i="4"/>
  <c r="AJ66" i="4"/>
  <c r="AJ291" i="4"/>
  <c r="AJ155" i="4"/>
  <c r="AJ410" i="6"/>
  <c r="AJ383" i="6"/>
  <c r="AJ406" i="6"/>
  <c r="AJ439" i="6"/>
  <c r="AJ110" i="6"/>
  <c r="AJ221" i="4"/>
  <c r="AJ247" i="6"/>
  <c r="AJ42" i="6"/>
  <c r="AJ56" i="4"/>
  <c r="AJ359" i="6"/>
  <c r="AJ310" i="6"/>
  <c r="AJ39" i="4"/>
  <c r="AJ420" i="6"/>
  <c r="AJ386" i="6"/>
  <c r="AJ515" i="6"/>
  <c r="AJ181" i="4"/>
  <c r="AJ494" i="6"/>
  <c r="AJ354" i="6"/>
  <c r="AJ541" i="6"/>
  <c r="AJ531" i="6"/>
  <c r="AJ493" i="6"/>
  <c r="AJ260" i="4"/>
  <c r="AJ130" i="6"/>
  <c r="AJ228" i="6"/>
  <c r="AJ97" i="6"/>
  <c r="AJ80" i="6"/>
  <c r="AJ272" i="4"/>
  <c r="AJ417" i="6"/>
  <c r="AJ540" i="6"/>
  <c r="AJ339" i="6"/>
  <c r="AJ288" i="6"/>
  <c r="AJ495" i="6"/>
  <c r="AJ426" i="6"/>
  <c r="AJ135" i="6"/>
  <c r="AJ276" i="6"/>
  <c r="AJ52" i="4"/>
  <c r="AJ228" i="4"/>
  <c r="AJ233" i="6"/>
  <c r="AJ124" i="6"/>
  <c r="AJ215" i="6"/>
  <c r="AJ71" i="4"/>
  <c r="AJ190" i="6"/>
  <c r="AJ168" i="4"/>
  <c r="AJ321" i="6"/>
  <c r="AJ100" i="4"/>
  <c r="AJ156" i="4"/>
  <c r="AJ527" i="6"/>
  <c r="AJ324" i="6"/>
  <c r="AJ530" i="6"/>
  <c r="AJ88" i="4"/>
  <c r="AJ360" i="6"/>
  <c r="AJ362" i="6"/>
  <c r="AJ217" i="6"/>
  <c r="AJ476" i="6"/>
  <c r="AJ56" i="6"/>
  <c r="AJ137" i="6"/>
  <c r="AJ288" i="4"/>
  <c r="AJ219" i="6"/>
  <c r="AJ116" i="6"/>
  <c r="AJ284" i="6"/>
  <c r="AJ201" i="6"/>
  <c r="AJ112" i="6"/>
  <c r="AJ38" i="6"/>
  <c r="AJ384" i="6"/>
  <c r="AJ148" i="6"/>
  <c r="AJ209" i="6"/>
  <c r="AJ91" i="6"/>
  <c r="AJ166" i="4"/>
  <c r="AJ346" i="6"/>
  <c r="AJ396" i="6"/>
  <c r="AJ98" i="4"/>
  <c r="AJ142" i="4"/>
  <c r="AJ261" i="4"/>
  <c r="AJ506" i="6"/>
  <c r="AJ317" i="6"/>
  <c r="AJ84" i="6"/>
  <c r="AJ149" i="4"/>
  <c r="AJ151" i="6"/>
  <c r="AJ323" i="4"/>
  <c r="AJ324" i="4"/>
  <c r="AJ301" i="4"/>
  <c r="AJ499" i="6"/>
  <c r="AJ36" i="6"/>
  <c r="AJ456" i="6"/>
  <c r="AJ542" i="6"/>
  <c r="AJ85" i="4"/>
  <c r="AJ273" i="6"/>
  <c r="AJ454" i="6"/>
  <c r="AJ492" i="6"/>
  <c r="AJ92" i="4"/>
  <c r="AJ332" i="6"/>
  <c r="AJ296" i="4"/>
  <c r="AJ196" i="4"/>
  <c r="AJ140" i="4"/>
  <c r="AJ272" i="6"/>
  <c r="AJ151" i="4"/>
  <c r="AJ178" i="6"/>
  <c r="AJ372" i="6"/>
  <c r="AJ373" i="6"/>
  <c r="AJ532" i="6"/>
  <c r="AJ421" i="6"/>
  <c r="AJ77" i="6"/>
  <c r="AJ96" i="4"/>
  <c r="AJ146" i="6"/>
  <c r="AJ82" i="6"/>
  <c r="AJ103" i="4"/>
  <c r="AJ282" i="6"/>
  <c r="AJ102" i="6"/>
  <c r="AJ81" i="4"/>
  <c r="AJ303" i="4"/>
  <c r="AJ33" i="4"/>
  <c r="AJ220" i="4"/>
  <c r="AJ165" i="6"/>
  <c r="AJ462" i="6"/>
  <c r="AJ474" i="6"/>
  <c r="AJ274" i="6"/>
  <c r="AJ266" i="6"/>
  <c r="AJ84" i="4"/>
  <c r="AJ283" i="6"/>
  <c r="AJ544" i="6"/>
  <c r="AJ75" i="4"/>
  <c r="AJ43" i="6"/>
  <c r="AJ64" i="4"/>
  <c r="AJ292" i="6"/>
  <c r="AJ265" i="4"/>
  <c r="AJ234" i="4"/>
  <c r="AJ87" i="4"/>
  <c r="AJ436" i="6"/>
  <c r="AJ513" i="6"/>
  <c r="AJ152" i="6"/>
  <c r="AJ78" i="6"/>
  <c r="AJ97" i="4"/>
  <c r="AJ504" i="6"/>
  <c r="AJ425" i="6"/>
  <c r="AJ482" i="6"/>
  <c r="AJ176" i="4"/>
  <c r="AJ80" i="4"/>
  <c r="AJ353" i="6"/>
  <c r="AJ195" i="6"/>
  <c r="AJ113" i="6"/>
  <c r="AJ289" i="6"/>
  <c r="AJ245" i="4"/>
  <c r="AJ250" i="4"/>
  <c r="AJ423" i="6"/>
  <c r="AJ309" i="6"/>
  <c r="AJ278" i="6"/>
  <c r="AJ173" i="6"/>
  <c r="AJ149" i="6"/>
  <c r="AJ202" i="4"/>
  <c r="AJ218" i="6"/>
  <c r="AJ117" i="4"/>
  <c r="AJ399" i="6"/>
  <c r="AJ131" i="6"/>
  <c r="AJ161" i="4"/>
  <c r="AJ355" i="6"/>
  <c r="AJ366" i="6"/>
  <c r="AJ459" i="6"/>
  <c r="AJ216" i="4"/>
  <c r="AJ89" i="4"/>
  <c r="AJ546" i="6"/>
  <c r="AJ239" i="6"/>
  <c r="AJ186" i="6"/>
  <c r="AJ244" i="4"/>
  <c r="AJ132" i="4"/>
  <c r="AJ76" i="4"/>
  <c r="AJ534" i="6"/>
  <c r="AJ378" i="6"/>
  <c r="AJ525" i="6"/>
  <c r="AJ210" i="6"/>
  <c r="AJ340" i="6"/>
  <c r="AJ237" i="6"/>
  <c r="AJ238" i="6"/>
  <c r="AJ352" i="6"/>
  <c r="AJ50" i="6"/>
  <c r="AJ259" i="6"/>
  <c r="AJ169" i="4"/>
  <c r="AJ444" i="6"/>
  <c r="AJ271" i="4"/>
  <c r="AJ192" i="6"/>
  <c r="AJ382" i="6"/>
  <c r="AJ188" i="4"/>
  <c r="AJ161" i="6"/>
  <c r="AJ409" i="6"/>
  <c r="AJ109" i="4"/>
  <c r="AJ412" i="6"/>
  <c r="AJ70" i="6"/>
  <c r="AJ255" i="6"/>
  <c r="AJ105" i="6"/>
  <c r="AJ121" i="4"/>
  <c r="AJ94" i="4"/>
  <c r="AJ203" i="4"/>
  <c r="AJ153" i="4"/>
  <c r="AJ214" i="4"/>
  <c r="AJ203" i="6"/>
  <c r="AJ63" i="4"/>
  <c r="AJ424" i="6"/>
  <c r="AJ188" i="6"/>
  <c r="AJ95" i="6"/>
  <c r="AJ516" i="6"/>
  <c r="AJ369" i="6"/>
  <c r="AJ522" i="6"/>
  <c r="AJ273" i="4"/>
  <c r="AJ204" i="4"/>
  <c r="AJ86" i="4"/>
  <c r="AJ512" i="6"/>
  <c r="AJ213" i="6"/>
  <c r="AJ130" i="4"/>
  <c r="AJ300" i="4"/>
  <c r="AJ379" i="6"/>
  <c r="AJ501" i="6"/>
  <c r="AJ106" i="6"/>
  <c r="AJ116" i="4"/>
  <c r="AJ47" i="4"/>
  <c r="AJ134" i="6"/>
  <c r="AJ350" i="6"/>
  <c r="AJ356" i="6"/>
  <c r="AJ238" i="4"/>
  <c r="AJ241" i="4"/>
  <c r="AJ402" i="6"/>
  <c r="AJ295" i="4"/>
  <c r="AJ312" i="6"/>
  <c r="AJ470" i="6"/>
  <c r="AJ87" i="6"/>
  <c r="AJ58" i="6"/>
  <c r="AJ158" i="4"/>
  <c r="AJ263" i="4"/>
  <c r="AJ175" i="6"/>
  <c r="AJ281" i="4"/>
  <c r="AJ105" i="4"/>
  <c r="AJ48" i="6"/>
  <c r="AJ209" i="4"/>
  <c r="AJ122" i="4"/>
  <c r="AJ183" i="6"/>
  <c r="AJ298" i="4"/>
  <c r="AJ404" i="6"/>
  <c r="AJ198" i="6"/>
  <c r="AJ267" i="6"/>
  <c r="AJ344" i="6"/>
  <c r="AJ547" i="6"/>
  <c r="AJ189" i="6"/>
  <c r="AJ447" i="6"/>
  <c r="AJ429" i="6"/>
  <c r="AJ284" i="4"/>
  <c r="AJ44" i="6"/>
  <c r="AJ488" i="6"/>
  <c r="AJ42" i="4"/>
  <c r="AJ391" i="6"/>
  <c r="AJ232" i="6"/>
  <c r="AJ197" i="6"/>
  <c r="AJ247" i="4"/>
  <c r="AJ523" i="6"/>
  <c r="AJ274" i="4"/>
  <c r="AJ343" i="6"/>
  <c r="AJ290" i="6"/>
  <c r="AJ104" i="4"/>
  <c r="AJ435" i="6"/>
  <c r="AJ167" i="4"/>
  <c r="AJ102" i="4"/>
  <c r="AJ253" i="6"/>
  <c r="AJ252" i="4"/>
  <c r="T592" i="9"/>
  <c r="T591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J27" i="4" a="1"/>
  <c r="AJ27" i="4" s="1"/>
  <c r="AJ28" i="4"/>
  <c r="AJ28" i="6"/>
  <c r="AJ27" i="6" a="1"/>
  <c r="AJ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X6" i="5"/>
  <c r="X6" i="5" a="1"/>
  <c r="K3" i="2"/>
  <c r="K5" i="2"/>
  <c r="P5" i="6"/>
  <c r="W6" i="9"/>
  <c r="W6" i="9" a="1"/>
  <c r="P5" i="6" a="1"/>
  <c r="H5" i="2"/>
  <c r="H3" i="2"/>
  <c r="X6" i="9"/>
  <c r="X6" i="9" a="1"/>
  <c r="W6" i="5"/>
  <c r="P5" i="4"/>
  <c r="W6" i="5" a="1"/>
  <c r="P5" i="4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<sst xmlns="http://schemas.openxmlformats.org/spreadsheetml/2006/main" count="27546" uniqueCount="2239">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</sst>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</sheetData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90870.040939999992</v>
      </c>
      <c r="G3" s="94">
        <f>SUM(G4:G23)</f>
        <v>243167.22250611481</v>
      </c>
      <c r="H3" s="94">
        <f ca="1">SUM(H4:H23)</f>
        <v>9242</v>
      </c>
      <c r="I3" s="95">
        <f>IFERROR(F3/E3," ")</f>
        <v>0.27203564058253249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38195.599999999984</v>
      </c>
      <c r="G4" s="100">
        <f>+E4-F4</f>
        <v>101892.00000000012</v>
      </c>
      <c r="H4" s="100"/>
      <c r="I4" s="101">
        <f t="shared" ref="I4:I23" si="0">IFERROR(F4/E4," ")</f>
        <v>0.27265511008825877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52674.440940000008</v>
      </c>
      <c r="G5" s="100">
        <f t="shared" ref="G5:G7" si="1">+E5-F5</f>
        <v>141275.22250611469</v>
      </c>
      <c r="H5" s="100">
        <f ca="1">'BTP-A320M4130'!P5</f>
        <v>9242</v>
      </c>
      <c r="I5" s="101">
        <f t="shared" si="0"/>
        <v>0.2715882049191316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AU332"/>
  <sheetViews>
    <sheetView tabSelected="1" zoomScale="85" zoomScaleNormal="85" workbookViewId="0">
      <pane xSplit="13" ySplit="29" topLeftCell="W30" activePane="bottomRight" state="frozen"/>
      <selection activeCell="O42" sqref="O42"/>
      <selection pane="topRight" activeCell="O42" sqref="O42"/>
      <selection pane="bottomLeft" activeCell="O42" sqref="O42"/>
      <selection pane="bottomRight" activeCell="AJ347" sqref="AJ34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4" width="6.875" style="3" customWidth="1"/>
    <col min="35" max="35" width="7.25" style="3" customWidth="1"/>
    <col min="36" max="36" width="8.625" style="3" customWidth="1"/>
    <col min="37" max="37" width="9.875" style="3" customWidth="1"/>
    <col min="38" max="38" width="8.625" style="3" customWidth="1"/>
    <col min="39" max="39" width="8.75" style="3" customWidth="1"/>
    <col min="40" max="40" width="7.5" style="3" customWidth="1"/>
    <col min="41" max="43" width="9" style="3" customWidth="1"/>
    <col min="44" max="44" width="8.75" style="3" customWidth="1"/>
    <col min="45" max="45" width="8.625" style="3" customWidth="1"/>
    <col min="46" max="47" width="9" style="3" customWidth="1"/>
    <col min="48" max="16384" width="8.75" style="3"/>
  </cols>
  <sheetData>
    <row r="1" spans="4:35" ht="19.5">
      <c r="D1" s="1" t="s">
        <v>818</v>
      </c>
      <c r="E1" s="2"/>
      <c r="F1" s="2"/>
      <c r="G1" s="2"/>
      <c r="H1" s="2"/>
    </row>
    <row r="2" spans="4:35" ht="13.5" thickBot="1"/>
    <row r="3" spans="4:3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spans="4:3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5"/>
    </row>
    <row r="5" spans="4:35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302</v>
      </c>
      <c r="N5" s="30">
        <f>H8</f>
        <v>38195.599999999984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</row>
    <row r="6" spans="4:35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302</v>
      </c>
      <c r="H6" s="26" cm="1">
        <f t="array" ref="H6">SUMPRODUCT(--($C$30:$C$332=$D6),$L$30:$L$332,$J$30:$J$332)</f>
        <v>38195.599999999984</v>
      </c>
      <c r="I6" s="26" cm="1">
        <f t="array" ref="I6">SUMPRODUCT(--($C$30:$C$332=$D6),$M$30:$M$332)</f>
        <v>463</v>
      </c>
      <c r="J6" s="27" cm="1">
        <f t="array" ref="J6">SUMPRODUCT(--($C$30:$C$332=$D6),$M$30:$M$332,$J$30:$J$332)</f>
        <v>101892.00000000003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</row>
    <row r="7" spans="4:3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5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302</v>
      </c>
      <c r="H8" s="41">
        <f t="shared" si="0"/>
        <v>38195.599999999984</v>
      </c>
      <c r="I8" s="41">
        <f t="shared" si="0"/>
        <v>463</v>
      </c>
      <c r="J8" s="42">
        <f t="shared" si="0"/>
        <v>101892.00000000003</v>
      </c>
    </row>
    <row r="9" spans="4:35" ht="13.5" hidden="1" outlineLevel="1" thickTop="1"/>
    <row r="10" spans="4:3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5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</row>
    <row r="12" spans="4:35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</row>
    <row r="13" spans="4:35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</row>
    <row r="14" spans="4:35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</row>
    <row r="15" spans="4:35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</row>
    <row r="16" spans="4:35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</row>
    <row r="17" spans="3:47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</row>
    <row r="18" spans="3:47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</row>
    <row r="19" spans="3:47" ht="13.5" hidden="1" outlineLevel="1" thickTop="1"/>
    <row r="20" spans="3:4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47" ht="13.5" hidden="1" outlineLevel="1" thickTop="1">
      <c r="D21" s="63" t="s">
        <v>13</v>
      </c>
      <c r="E21" s="64" t="str" cm="1">
        <f t="array" ref="E21:M21">_xlfn._xlws.SORT(MID(TRANSPOSE(_xlfn.UNIQUE(_xlfn._xlws.FILTER(AL30:AL332,(C30:C332=$D$21)*(M30:M332&lt;&gt;0)))),3,3),,1)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</row>
    <row r="22" spans="3:47" ht="30.75" hidden="1" customHeight="1" outlineLevel="2">
      <c r="D22" s="66" t="s">
        <v>24</v>
      </c>
      <c r="E22" s="67" t="e" cm="1">
        <f t="array" ref="E22">SUMPRODUCT(--($C$30:$C$332=$D$21),--($AL$30:$AL$332="PL"&amp;E$21),$J$30:$J$332,$I$30:$I$332)/(7.85*E$21)</f>
        <v>#VALUE!</v>
      </c>
      <c r="F22" s="67" t="e" cm="1">
        <f t="array" ref="F22">SUMPRODUCT(--($C$30:$C$332=$D$21),--($AL$30:$AL$332="PL"&amp;F$21),$J$30:$J$332,$I$30:$I$332)/(7.85*F$21)</f>
        <v>#VALUE!</v>
      </c>
      <c r="G22" s="67" t="e" cm="1">
        <f t="array" ref="G22">SUMPRODUCT(--($C$30:$C$332=$D$21),--($AL$30:$AL$332="PL"&amp;G$21),$J$30:$J$332,$I$30:$I$332)/(7.85*G$21)</f>
        <v>#VALUE!</v>
      </c>
      <c r="H22" s="67" t="e" cm="1">
        <f t="array" ref="H22">SUMPRODUCT(--($C$30:$C$332=$D$21),--($AL$30:$AL$332="PL"&amp;H$21),$J$30:$J$332,$I$30:$I$332)/(7.85*H$21)</f>
        <v>#VALUE!</v>
      </c>
      <c r="I22" s="67" t="e" cm="1">
        <f t="array" ref="I22">SUMPRODUCT(--($C$30:$C$332=$D$21),--($AL$30:$AL$332="PL"&amp;I$21),$J$30:$J$332,$I$30:$I$332)/(7.85*I$21)</f>
        <v>#VALUE!</v>
      </c>
      <c r="J22" s="67" t="e" cm="1">
        <f t="array" ref="J22">SUMPRODUCT(--($C$30:$C$332=$D$21),--($AL$30:$AL$332="PL"&amp;J$21),$J$30:$J$332,$I$30:$I$332)/(7.85*J$21)</f>
        <v>#VALUE!</v>
      </c>
      <c r="K22" s="67" t="e" cm="1">
        <f t="array" ref="K22">SUMPRODUCT(--($C$30:$C$332=$D$21),--($AL$30:$AL$332="PL"&amp;K$21),$J$30:$J$332,$I$30:$I$332)/(7.85*K$21)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</row>
    <row r="23" spans="3:47" ht="21" hidden="1" customHeight="1" outlineLevel="2">
      <c r="D23" s="66" t="s">
        <v>17</v>
      </c>
      <c r="E23" s="69" t="e" cm="1">
        <f t="array" ref="E23">SUMPRODUCT(--($C$30:$C$332=$D$21),--($AL$30:$AL$332="PL"&amp;E$21),$I$30:$I$332)</f>
        <v>#VALUE!</v>
      </c>
      <c r="F23" s="69" t="e" cm="1">
        <f t="array" ref="F23">SUMPRODUCT(--($C$30:$C$332=$D$21),--($AL$30:$AL$332="PL"&amp;F$21),$I$30:$I$332)</f>
        <v>#VALUE!</v>
      </c>
      <c r="G23" s="69" t="e" cm="1">
        <f t="array" ref="G23">SUMPRODUCT(--($C$30:$C$332=$D$21),--($AL$30:$AL$332="PL"&amp;G$21),$I$30:$I$332)</f>
        <v>#VALUE!</v>
      </c>
      <c r="H23" s="69" t="e" cm="1">
        <f t="array" ref="H23">SUMPRODUCT(--($C$30:$C$332=$D$21),--($AL$30:$AL$332="PL"&amp;H$21),$I$30:$I$332)</f>
        <v>#VALUE!</v>
      </c>
      <c r="I23" s="69" t="e" cm="1">
        <f t="array" ref="I23">SUMPRODUCT(--($C$30:$C$332=$D$21),--($AL$30:$AL$332="PL"&amp;I$21),$I$30:$I$332)</f>
        <v>#VALUE!</v>
      </c>
      <c r="J23" s="69" t="e" cm="1">
        <f t="array" ref="J23">SUMPRODUCT(--($C$30:$C$332=$D$21),--($AL$30:$AL$332="PL"&amp;J$21),$I$30:$I$332)</f>
        <v>#VALUE!</v>
      </c>
      <c r="K23" s="69" t="e" cm="1">
        <f t="array" ref="K23">SUMPRODUCT(--($C$30:$C$332=$D$21),--($AL$30:$AL$332="PL"&amp;K$21),$I$30:$I$332)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</row>
    <row r="24" spans="3:47" ht="25.9" hidden="1" customHeight="1" outlineLevel="2">
      <c r="D24" s="66" t="s">
        <v>25</v>
      </c>
      <c r="E24" s="67" t="e" cm="1">
        <f t="array" ref="E24">SUMPRODUCT(--($C$30:$C$332=$D$21),--($AL$30:$AL$332="PL"&amp;E$21),$J$30:$J$332,$M$30:$M$332)/(7.85*E$21)</f>
        <v>#VALUE!</v>
      </c>
      <c r="F24" s="67" t="e" cm="1">
        <f t="array" ref="F24">SUMPRODUCT(--($C$30:$C$332=$D$21),--($AL$30:$AL$332="PL"&amp;F$21),$J$30:$J$332,$M$30:$M$332)/(7.85*F$21)</f>
        <v>#VALUE!</v>
      </c>
      <c r="G24" s="67" t="e" cm="1">
        <f t="array" ref="G24">SUMPRODUCT(--($C$30:$C$332=$D$21),--($AL$30:$AL$332="PL"&amp;G$21),$J$30:$J$332,$M$30:$M$332)/(7.85*G$21)</f>
        <v>#VALUE!</v>
      </c>
      <c r="H24" s="67" t="e" cm="1">
        <f t="array" ref="H24">SUMPRODUCT(--($C$30:$C$332=$D$21),--($AL$30:$AL$332="PL"&amp;H$21),$J$30:$J$332,$M$30:$M$332)/(7.85*H$21)</f>
        <v>#VALUE!</v>
      </c>
      <c r="I24" s="67" t="e" cm="1">
        <f t="array" ref="I24">SUMPRODUCT(--($C$30:$C$332=$D$21),--($AL$30:$AL$332="PL"&amp;I$21),$J$30:$J$332,$M$30:$M$332)/(7.85*I$21)</f>
        <v>#VALUE!</v>
      </c>
      <c r="J24" s="67" t="e" cm="1">
        <f t="array" ref="J24">SUMPRODUCT(--($C$30:$C$332=$D$21),--($AL$30:$AL$332="PL"&amp;J$21),$J$30:$J$332,$M$30:$M$332)/(7.85*J$21)</f>
        <v>#VALUE!</v>
      </c>
      <c r="K24" s="67" t="e" cm="1">
        <f t="array" ref="K24">SUMPRODUCT(--($C$30:$C$332=$D$21),--($AL$30:$AL$332="PL"&amp;K$21),$J$30:$J$332,$M$30:$M$332)/(7.85*K$21)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</row>
    <row r="25" spans="3:47" ht="19.5" hidden="1" customHeight="1" outlineLevel="2">
      <c r="D25" s="71" t="s">
        <v>26</v>
      </c>
      <c r="E25" s="69" t="e" cm="1">
        <f t="array" ref="E25">SUMPRODUCT(--($C$30:$C$332=$D$21),--($AL$30:$AL$332="PL"&amp;E$21),$M$30:$M$332)</f>
        <v>#VALUE!</v>
      </c>
      <c r="F25" s="69" t="e" cm="1">
        <f t="array" ref="F25">SUMPRODUCT(--($C$30:$C$332=$D$21),--($AL$30:$AL$332="PL"&amp;F$21),$M$30:$M$332)</f>
        <v>#VALUE!</v>
      </c>
      <c r="G25" s="69" t="e" cm="1">
        <f t="array" ref="G25">SUMPRODUCT(--($C$30:$C$332=$D$21),--($AL$30:$AL$332="PL"&amp;G$21),$M$30:$M$332)</f>
        <v>#VALUE!</v>
      </c>
      <c r="H25" s="69" t="e" cm="1">
        <f t="array" ref="H25">SUMPRODUCT(--($C$30:$C$332=$D$21),--($AL$30:$AL$332="PL"&amp;H$21),$M$30:$M$332)</f>
        <v>#VALUE!</v>
      </c>
      <c r="I25" s="69" t="e" cm="1">
        <f t="array" ref="I25">SUMPRODUCT(--($C$30:$C$332=$D$21),--($AL$30:$AL$332="PL"&amp;I$21),$M$30:$M$332)</f>
        <v>#VALUE!</v>
      </c>
      <c r="J25" s="69" t="e" cm="1">
        <f t="array" ref="J25">SUMPRODUCT(--($C$30:$C$332=$D$21),--($AL$30:$AL$332="PL"&amp;J$21),$M$30:$M$332)</f>
        <v>#VALUE!</v>
      </c>
      <c r="K25" s="69" t="e" cm="1">
        <f t="array" ref="K25">SUMPRODUCT(--($C$30:$C$332=$D$21),--($AL$30:$AL$332="PL"&amp;K$21),$M$30:$M$332)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</row>
    <row r="26" spans="3:47" ht="25.9" hidden="1" customHeight="1" outlineLevel="1" collapsed="1" thickBot="1">
      <c r="D26" s="72" t="s">
        <v>27</v>
      </c>
      <c r="E26" s="67" t="e" cm="1">
        <f t="array" ref="E26">SUMPRODUCT(--($C$30:$C$332=$D$21),--($AL$30:$AL$332="PL"&amp;E$21),$J$30:$J$332,$M$30:$M$332)</f>
        <v>#VALUE!</v>
      </c>
      <c r="F26" s="67" t="e" cm="1">
        <f t="array" ref="F26">SUMPRODUCT(--($C$30:$C$332=$D$21),--($AL$30:$AL$332="PL"&amp;F$21),$J$30:$J$332,$M$30:$M$332)</f>
        <v>#VALUE!</v>
      </c>
      <c r="G26" s="67" t="e" cm="1">
        <f t="array" ref="G26">SUMPRODUCT(--($C$30:$C$332=$D$21),--($AL$30:$AL$332="PL"&amp;G$21),$J$30:$J$332,$M$30:$M$332)</f>
        <v>#VALUE!</v>
      </c>
      <c r="H26" s="67" t="e" cm="1">
        <f t="array" ref="H26">SUMPRODUCT(--($C$30:$C$332=$D$21),--($AL$30:$AL$332="PL"&amp;H$21),$J$30:$J$332,$M$30:$M$332)</f>
        <v>#VALUE!</v>
      </c>
      <c r="I26" s="67" t="e" cm="1">
        <f t="array" ref="I26">SUMPRODUCT(--($C$30:$C$332=$D$21),--($AL$30:$AL$332="PL"&amp;I$21),$J$30:$J$332,$M$30:$M$332)</f>
        <v>#VALUE!</v>
      </c>
      <c r="J26" s="67" t="e" cm="1">
        <f t="array" ref="J26">SUMPRODUCT(--($C$30:$C$332=$D$21),--($AL$30:$AL$332="PL"&amp;J$21),$J$30:$J$332,$M$30:$M$332)</f>
        <v>#VALUE!</v>
      </c>
      <c r="K26" s="67" t="e" cm="1">
        <f t="array" ref="K26">SUMPRODUCT(--($C$30:$C$332=$D$21),--($AL$30:$AL$332="PL"&amp;K$21),$J$30:$J$332,$M$30:$M$332)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</row>
    <row r="27" spans="3:47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0</v>
      </c>
      <c r="AJ27" s="73" t="e" cm="1">
        <f t="array" ref="AJ27">SUMPRODUCT($J$30:$J$332,AJ30:AJ332,--(AJ30:AJ332&lt;&gt;""))</f>
        <v>#VALUE!</v>
      </c>
    </row>
    <row r="28" spans="3:4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I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si="1"/>
        <v>0</v>
      </c>
      <c r="AJ28" s="75" t="e">
        <f t="shared" ref="AJ28" si="7">SUM(AJ30:AJ332)</f>
        <v>#VALUE!</v>
      </c>
      <c r="AK28" s="74"/>
      <c r="AL28" s="74"/>
    </row>
    <row r="29" spans="3:4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8" t="s">
        <v>34</v>
      </c>
      <c r="AJ29" s="77" t="s">
        <v>35</v>
      </c>
      <c r="AK29" s="77" t="s">
        <v>36</v>
      </c>
      <c r="AL29" s="77" t="s">
        <v>37</v>
      </c>
      <c r="AM29" s="80" t="s">
        <v>38</v>
      </c>
      <c r="AN29" s="80" t="s">
        <v>39</v>
      </c>
      <c r="AO29" s="80" t="s">
        <v>40</v>
      </c>
      <c r="AP29" s="80" t="s">
        <v>41</v>
      </c>
      <c r="AQ29" s="80" t="s">
        <v>42</v>
      </c>
      <c r="AR29" s="80" t="s">
        <v>43</v>
      </c>
      <c r="AS29" s="81" t="s">
        <v>44</v>
      </c>
      <c r="AT29" s="80"/>
      <c r="AU29" s="80"/>
    </row>
    <row r="30" spans="3:47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8">MIN(SUM(N30:AI30),I30)</f>
        <v>0</v>
      </c>
      <c r="M30" s="26">
        <f t="shared" ref="M30:M269" si="9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67" t="e">
        <f>SUMIFS([1]Up!$J:$J,[1]Up!$D:$D,D30)</f>
        <v>#VALUE!</v>
      </c>
      <c r="AK30" s="82"/>
      <c r="AL30" s="82" t="str">
        <f t="shared" ref="AL30:AL269" si="10">IFERROR(IF(C30="Plate",LEFT(E30,FIND("*",E30,1)-1),""),IF(C30="Plate",LEFT(E30,FIND("x",E30,1)-1),""))</f>
        <v>PL10</v>
      </c>
      <c r="AM30" s="53" t="str">
        <f t="shared" ref="AM30:AM269" si="11">IF(ROUND(SUM(N30:AI30)-I30,0)&gt;0,"Thừa "&amp;SUM(N30:AI30)-I30,"")</f>
        <v/>
      </c>
      <c r="AN30" s="53" t="s">
        <v>148</v>
      </c>
      <c r="AO30" s="53"/>
      <c r="AP30" s="53"/>
      <c r="AQ30" s="53" t="s">
        <v>57</v>
      </c>
      <c r="AR30" s="53">
        <v>12</v>
      </c>
      <c r="AS30" s="83"/>
      <c r="AT30" s="53"/>
      <c r="AU30" s="53"/>
    </row>
    <row r="31" spans="3:47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8"/>
        <v>0</v>
      </c>
      <c r="M31" s="26">
        <f t="shared" si="9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67" t="e">
        <f>SUMIFS([1]Up!$J:$J,[1]Up!$D:$D,D31)</f>
        <v>#VALUE!</v>
      </c>
      <c r="AK31" s="82"/>
      <c r="AL31" s="82" t="e">
        <f t="shared" si="10"/>
        <v>#VALUE!</v>
      </c>
      <c r="AM31" s="53" t="str">
        <f t="shared" si="11"/>
        <v/>
      </c>
      <c r="AN31" s="53" t="s">
        <v>154</v>
      </c>
      <c r="AO31" s="53"/>
      <c r="AP31" s="53"/>
      <c r="AQ31" s="53" t="s">
        <v>57</v>
      </c>
      <c r="AR31" s="53">
        <v>6</v>
      </c>
      <c r="AS31" s="83"/>
      <c r="AT31" s="53"/>
      <c r="AU31" s="53"/>
    </row>
    <row r="32" spans="3:47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8"/>
        <v>0</v>
      </c>
      <c r="M32" s="26">
        <f t="shared" si="9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67" t="e">
        <f>SUMIFS([1]Up!$J:$J,[1]Up!$D:$D,D32)</f>
        <v>#VALUE!</v>
      </c>
      <c r="AK32" s="82"/>
      <c r="AL32" s="82" t="str">
        <f t="shared" si="10"/>
        <v>PL10</v>
      </c>
      <c r="AM32" s="53" t="str">
        <f t="shared" si="11"/>
        <v/>
      </c>
      <c r="AN32" s="53" t="s">
        <v>154</v>
      </c>
      <c r="AO32" s="84" t="s">
        <v>210</v>
      </c>
      <c r="AP32" s="53"/>
      <c r="AQ32" s="53" t="s">
        <v>211</v>
      </c>
      <c r="AR32" s="53">
        <v>2</v>
      </c>
      <c r="AS32" s="83">
        <v>46201</v>
      </c>
      <c r="AT32" s="53"/>
      <c r="AU32" s="53"/>
    </row>
    <row r="33" spans="3:47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8"/>
        <v>0</v>
      </c>
      <c r="M33" s="26">
        <f t="shared" si="9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67" t="e">
        <f>SUMIFS([1]Up!$J:$J,[1]Up!$D:$D,D33)</f>
        <v>#VALUE!</v>
      </c>
      <c r="AK33" s="82"/>
      <c r="AL33" s="82" t="str">
        <f t="shared" si="10"/>
        <v>PL10</v>
      </c>
      <c r="AM33" s="53" t="str">
        <f t="shared" si="11"/>
        <v/>
      </c>
      <c r="AN33" s="53" t="s">
        <v>154</v>
      </c>
      <c r="AO33" s="84" t="s">
        <v>210</v>
      </c>
      <c r="AP33" s="53"/>
      <c r="AQ33" s="53" t="s">
        <v>211</v>
      </c>
      <c r="AR33" s="53">
        <v>4</v>
      </c>
      <c r="AS33" s="83">
        <v>46201</v>
      </c>
      <c r="AT33" s="53"/>
      <c r="AU33" s="53"/>
    </row>
    <row r="34" spans="3:47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8"/>
        <v>0</v>
      </c>
      <c r="M34" s="26">
        <f t="shared" si="9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67" t="e">
        <f>SUMIFS([1]Up!$J:$J,[1]Up!$D:$D,D34)</f>
        <v>#VALUE!</v>
      </c>
      <c r="AK34" s="82"/>
      <c r="AL34" s="82" t="e">
        <f t="shared" si="10"/>
        <v>#VALUE!</v>
      </c>
      <c r="AM34" s="53" t="str">
        <f t="shared" si="11"/>
        <v/>
      </c>
      <c r="AN34" s="53" t="s">
        <v>154</v>
      </c>
      <c r="AO34" s="53"/>
      <c r="AP34" s="53"/>
      <c r="AQ34" s="53" t="s">
        <v>57</v>
      </c>
      <c r="AR34" s="53">
        <v>6</v>
      </c>
      <c r="AS34" s="83"/>
      <c r="AT34" s="53"/>
      <c r="AU34" s="53"/>
    </row>
    <row r="35" spans="3:47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8"/>
        <v>0</v>
      </c>
      <c r="M35" s="26">
        <f t="shared" si="9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67" t="e">
        <f>SUMIFS([1]Up!$J:$J,[1]Up!$D:$D,D35)</f>
        <v>#VALUE!</v>
      </c>
      <c r="AK35" s="82"/>
      <c r="AL35" s="82" t="str">
        <f t="shared" si="10"/>
        <v>PL10</v>
      </c>
      <c r="AM35" s="53" t="str">
        <f t="shared" si="11"/>
        <v/>
      </c>
      <c r="AN35" s="53" t="s">
        <v>148</v>
      </c>
      <c r="AO35" s="84" t="s">
        <v>210</v>
      </c>
      <c r="AP35" s="53"/>
      <c r="AQ35" s="53" t="s">
        <v>211</v>
      </c>
      <c r="AR35" s="53">
        <v>2</v>
      </c>
      <c r="AS35" s="83">
        <v>46201</v>
      </c>
      <c r="AT35" s="53"/>
      <c r="AU35" s="53"/>
    </row>
    <row r="36" spans="3:47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8"/>
        <v>0</v>
      </c>
      <c r="M36" s="26">
        <f t="shared" si="9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67" t="e">
        <f>SUMIFS([1]Up!$J:$J,[1]Up!$D:$D,D36)</f>
        <v>#VALUE!</v>
      </c>
      <c r="AK36" s="82"/>
      <c r="AL36" s="82" t="str">
        <f t="shared" si="10"/>
        <v>PL10</v>
      </c>
      <c r="AM36" s="53" t="str">
        <f t="shared" si="11"/>
        <v/>
      </c>
      <c r="AN36" s="53" t="s">
        <v>154</v>
      </c>
      <c r="AO36" s="84" t="s">
        <v>210</v>
      </c>
      <c r="AP36" s="53"/>
      <c r="AQ36" s="53" t="s">
        <v>211</v>
      </c>
      <c r="AR36" s="53">
        <v>4</v>
      </c>
      <c r="AS36" s="83">
        <v>46201</v>
      </c>
      <c r="AT36" s="53"/>
      <c r="AU36" s="53"/>
    </row>
    <row r="37" spans="3:47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8"/>
        <v>0</v>
      </c>
      <c r="M37" s="26">
        <f t="shared" si="9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67" t="e">
        <f>SUMIFS([1]Up!$J:$J,[1]Up!$D:$D,D37)</f>
        <v>#VALUE!</v>
      </c>
      <c r="AK37" s="82"/>
      <c r="AL37" s="82" t="str">
        <f t="shared" si="10"/>
        <v>PL10</v>
      </c>
      <c r="AM37" s="53" t="str">
        <f t="shared" si="11"/>
        <v/>
      </c>
      <c r="AN37" s="53" t="s">
        <v>154</v>
      </c>
      <c r="AO37" s="84" t="s">
        <v>210</v>
      </c>
      <c r="AP37" s="53"/>
      <c r="AQ37" s="53" t="s">
        <v>211</v>
      </c>
      <c r="AR37" s="53">
        <v>4</v>
      </c>
      <c r="AS37" s="83">
        <v>46201</v>
      </c>
      <c r="AT37" s="53"/>
      <c r="AU37" s="53"/>
    </row>
    <row r="38" spans="3:47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8"/>
        <v>0</v>
      </c>
      <c r="M38" s="26">
        <f t="shared" si="9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67" t="e">
        <f>SUMIFS([1]Up!$J:$J,[1]Up!$D:$D,D38)</f>
        <v>#VALUE!</v>
      </c>
      <c r="AK38" s="82"/>
      <c r="AL38" s="82" t="str">
        <f t="shared" si="10"/>
        <v>PL10</v>
      </c>
      <c r="AM38" s="53" t="str">
        <f t="shared" si="11"/>
        <v/>
      </c>
      <c r="AN38" s="53" t="s">
        <v>154</v>
      </c>
      <c r="AO38" s="84" t="s">
        <v>210</v>
      </c>
      <c r="AP38" s="53"/>
      <c r="AQ38" s="53" t="s">
        <v>211</v>
      </c>
      <c r="AR38" s="53">
        <v>4</v>
      </c>
      <c r="AS38" s="83">
        <v>46201</v>
      </c>
      <c r="AT38" s="53"/>
      <c r="AU38" s="53"/>
    </row>
    <row r="39" spans="3:47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8"/>
        <v>0</v>
      </c>
      <c r="M39" s="26">
        <f t="shared" si="9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67" t="e">
        <f>SUMIFS([1]Up!$J:$J,[1]Up!$D:$D,D39)</f>
        <v>#VALUE!</v>
      </c>
      <c r="AK39" s="82"/>
      <c r="AL39" s="82" t="str">
        <f t="shared" si="10"/>
        <v>PL10</v>
      </c>
      <c r="AM39" s="53" t="str">
        <f t="shared" si="11"/>
        <v/>
      </c>
      <c r="AN39" s="53" t="s">
        <v>154</v>
      </c>
      <c r="AO39" s="84" t="s">
        <v>210</v>
      </c>
      <c r="AP39" s="53"/>
      <c r="AQ39" s="53" t="s">
        <v>211</v>
      </c>
      <c r="AR39" s="53">
        <v>4</v>
      </c>
      <c r="AS39" s="83">
        <v>46201</v>
      </c>
      <c r="AT39" s="53"/>
      <c r="AU39" s="53"/>
    </row>
    <row r="40" spans="3:47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8"/>
        <v>0</v>
      </c>
      <c r="M40" s="26">
        <f t="shared" si="9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67" t="e">
        <f>SUMIFS([1]Up!$J:$J,[1]Up!$D:$D,D40)</f>
        <v>#VALUE!</v>
      </c>
      <c r="AK40" s="82"/>
      <c r="AL40" s="82" t="str">
        <f t="shared" si="10"/>
        <v>PL10</v>
      </c>
      <c r="AM40" s="53" t="str">
        <f t="shared" si="11"/>
        <v/>
      </c>
      <c r="AN40" s="53" t="s">
        <v>154</v>
      </c>
      <c r="AO40" s="84" t="s">
        <v>210</v>
      </c>
      <c r="AP40" s="53"/>
      <c r="AQ40" s="53" t="s">
        <v>211</v>
      </c>
      <c r="AR40" s="53">
        <v>4</v>
      </c>
      <c r="AS40" s="83">
        <v>46201</v>
      </c>
      <c r="AT40" s="53"/>
      <c r="AU40" s="53"/>
    </row>
    <row r="41" spans="3:47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8"/>
        <v>0</v>
      </c>
      <c r="M41" s="26">
        <f t="shared" si="9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67" t="e">
        <f>SUMIFS([1]Up!$J:$J,[1]Up!$D:$D,D41)</f>
        <v>#VALUE!</v>
      </c>
      <c r="AK41" s="82"/>
      <c r="AL41" s="82" t="str">
        <f t="shared" si="10"/>
        <v>PL10</v>
      </c>
      <c r="AM41" s="53" t="str">
        <f t="shared" si="11"/>
        <v/>
      </c>
      <c r="AN41" s="53" t="s">
        <v>154</v>
      </c>
      <c r="AO41" s="84" t="s">
        <v>210</v>
      </c>
      <c r="AP41" s="53"/>
      <c r="AQ41" s="53" t="s">
        <v>211</v>
      </c>
      <c r="AR41" s="53">
        <v>4</v>
      </c>
      <c r="AS41" s="83">
        <v>46201</v>
      </c>
      <c r="AT41" s="53"/>
      <c r="AU41" s="53"/>
    </row>
    <row r="42" spans="3:47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8"/>
        <v>0</v>
      </c>
      <c r="M42" s="26">
        <f t="shared" si="9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67" t="e">
        <f>SUMIFS([1]Up!$J:$J,[1]Up!$D:$D,D42)</f>
        <v>#VALUE!</v>
      </c>
      <c r="AK42" s="82"/>
      <c r="AL42" s="82" t="str">
        <f t="shared" si="10"/>
        <v>PL10</v>
      </c>
      <c r="AM42" s="53" t="str">
        <f t="shared" si="11"/>
        <v/>
      </c>
      <c r="AN42" s="53" t="s">
        <v>154</v>
      </c>
      <c r="AO42" s="84" t="s">
        <v>210</v>
      </c>
      <c r="AP42" s="53"/>
      <c r="AQ42" s="53" t="s">
        <v>211</v>
      </c>
      <c r="AR42" s="53">
        <v>4</v>
      </c>
      <c r="AS42" s="83">
        <v>46201</v>
      </c>
      <c r="AT42" s="53"/>
      <c r="AU42" s="53"/>
    </row>
    <row r="43" spans="3:47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8"/>
        <v>0</v>
      </c>
      <c r="M43" s="26">
        <f t="shared" si="9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67" t="e">
        <f>SUMIFS([1]Up!$J:$J,[1]Up!$D:$D,D43)</f>
        <v>#VALUE!</v>
      </c>
      <c r="AK43" s="82"/>
      <c r="AL43" s="82" t="str">
        <f t="shared" si="10"/>
        <v>PL10</v>
      </c>
      <c r="AM43" s="53" t="str">
        <f t="shared" si="11"/>
        <v/>
      </c>
      <c r="AN43" s="53" t="s">
        <v>154</v>
      </c>
      <c r="AO43" s="84" t="s">
        <v>210</v>
      </c>
      <c r="AP43" s="53"/>
      <c r="AQ43" s="53" t="s">
        <v>211</v>
      </c>
      <c r="AR43" s="53">
        <v>4</v>
      </c>
      <c r="AS43" s="83">
        <v>46201</v>
      </c>
      <c r="AT43" s="53"/>
      <c r="AU43" s="53"/>
    </row>
    <row r="44" spans="3:47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8"/>
        <v>0</v>
      </c>
      <c r="M44" s="26">
        <f t="shared" si="9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67" t="e">
        <f>SUMIFS([1]Up!$J:$J,[1]Up!$D:$D,D44)</f>
        <v>#VALUE!</v>
      </c>
      <c r="AK44" s="82"/>
      <c r="AL44" s="82" t="str">
        <f t="shared" si="10"/>
        <v>PL10</v>
      </c>
      <c r="AM44" s="53" t="str">
        <f t="shared" si="11"/>
        <v/>
      </c>
      <c r="AN44" s="53" t="s">
        <v>154</v>
      </c>
      <c r="AO44" s="84" t="s">
        <v>210</v>
      </c>
      <c r="AP44" s="53"/>
      <c r="AQ44" s="53" t="s">
        <v>211</v>
      </c>
      <c r="AR44" s="53">
        <v>4</v>
      </c>
      <c r="AS44" s="83">
        <v>46201</v>
      </c>
      <c r="AT44" s="53"/>
      <c r="AU44" s="53"/>
    </row>
    <row r="45" spans="3:47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8"/>
        <v>0</v>
      </c>
      <c r="M45" s="26">
        <f t="shared" si="9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67" t="e">
        <f>SUMIFS([1]Up!$J:$J,[1]Up!$D:$D,D45)</f>
        <v>#VALUE!</v>
      </c>
      <c r="AK45" s="82"/>
      <c r="AL45" s="82" t="str">
        <f t="shared" si="10"/>
        <v>PL10</v>
      </c>
      <c r="AM45" s="53" t="str">
        <f t="shared" si="11"/>
        <v/>
      </c>
      <c r="AN45" s="53" t="s">
        <v>154</v>
      </c>
      <c r="AO45" s="84" t="s">
        <v>210</v>
      </c>
      <c r="AP45" s="53"/>
      <c r="AQ45" s="53" t="s">
        <v>211</v>
      </c>
      <c r="AR45" s="53">
        <v>4</v>
      </c>
      <c r="AS45" s="83">
        <v>46201</v>
      </c>
      <c r="AT45" s="53"/>
      <c r="AU45" s="53"/>
    </row>
    <row r="46" spans="3:47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8"/>
        <v>1</v>
      </c>
      <c r="M46" s="26">
        <f t="shared" si="9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67" t="e">
        <f>SUMIFS([1]Up!$J:$J,[1]Up!$D:$D,D46)</f>
        <v>#VALUE!</v>
      </c>
      <c r="AK46" s="82"/>
      <c r="AL46" s="82" t="str">
        <f t="shared" si="10"/>
        <v>PL20</v>
      </c>
      <c r="AM46" s="53" t="str">
        <f t="shared" si="11"/>
        <v/>
      </c>
      <c r="AN46" s="53" t="s">
        <v>148</v>
      </c>
      <c r="AO46" s="84" t="s">
        <v>319</v>
      </c>
      <c r="AP46" s="53"/>
      <c r="AQ46" s="53" t="s">
        <v>320</v>
      </c>
      <c r="AR46" s="53">
        <v>1</v>
      </c>
      <c r="AS46" s="83">
        <v>46202</v>
      </c>
      <c r="AT46" s="53"/>
      <c r="AU46" s="53"/>
    </row>
    <row r="47" spans="3:47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8"/>
        <v>2</v>
      </c>
      <c r="M47" s="26">
        <f t="shared" si="9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67" t="e">
        <f>SUMIFS([1]Up!$J:$J,[1]Up!$D:$D,D47)</f>
        <v>#VALUE!</v>
      </c>
      <c r="AK47" s="82"/>
      <c r="AL47" s="82" t="str">
        <f t="shared" si="10"/>
        <v>PL20</v>
      </c>
      <c r="AM47" s="53" t="str">
        <f t="shared" si="11"/>
        <v/>
      </c>
      <c r="AN47" s="53" t="s">
        <v>148</v>
      </c>
      <c r="AO47" s="84" t="s">
        <v>319</v>
      </c>
      <c r="AP47" s="53"/>
      <c r="AQ47" s="53" t="s">
        <v>320</v>
      </c>
      <c r="AR47" s="53">
        <v>2</v>
      </c>
      <c r="AS47" s="83">
        <v>46202</v>
      </c>
      <c r="AT47" s="53"/>
      <c r="AU47" s="53"/>
    </row>
    <row r="48" spans="3:47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8"/>
        <v>1</v>
      </c>
      <c r="M48" s="26">
        <f t="shared" si="9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67" t="e">
        <f>SUMIFS([1]Up!$J:$J,[1]Up!$D:$D,D48)</f>
        <v>#VALUE!</v>
      </c>
      <c r="AK48" s="82"/>
      <c r="AL48" s="82" t="str">
        <f t="shared" si="10"/>
        <v>PL20</v>
      </c>
      <c r="AM48" s="53" t="str">
        <f t="shared" si="11"/>
        <v/>
      </c>
      <c r="AN48" s="53" t="s">
        <v>148</v>
      </c>
      <c r="AO48" s="84" t="s">
        <v>319</v>
      </c>
      <c r="AP48" s="53"/>
      <c r="AQ48" s="53" t="s">
        <v>320</v>
      </c>
      <c r="AR48" s="53">
        <v>1</v>
      </c>
      <c r="AS48" s="83">
        <v>46202</v>
      </c>
      <c r="AT48" s="53"/>
      <c r="AU48" s="53"/>
    </row>
    <row r="49" spans="3:47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8"/>
        <v>1</v>
      </c>
      <c r="M49" s="26">
        <f t="shared" si="9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67" t="e">
        <f>SUMIFS([1]Up!$J:$J,[1]Up!$D:$D,D49)</f>
        <v>#VALUE!</v>
      </c>
      <c r="AK49" s="82"/>
      <c r="AL49" s="82" t="str">
        <f t="shared" si="10"/>
        <v>PL20</v>
      </c>
      <c r="AM49" s="53" t="str">
        <f t="shared" si="11"/>
        <v/>
      </c>
      <c r="AN49" s="53" t="s">
        <v>148</v>
      </c>
      <c r="AO49" s="84" t="s">
        <v>319</v>
      </c>
      <c r="AP49" s="53"/>
      <c r="AQ49" s="53" t="s">
        <v>320</v>
      </c>
      <c r="AR49" s="53">
        <v>1</v>
      </c>
      <c r="AS49" s="83">
        <v>46202</v>
      </c>
      <c r="AT49" s="53"/>
      <c r="AU49" s="53"/>
    </row>
    <row r="50" spans="3:47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8"/>
        <v>2</v>
      </c>
      <c r="M50" s="26">
        <f t="shared" si="9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67" t="e">
        <f>SUMIFS([1]Up!$J:$J,[1]Up!$D:$D,D50)</f>
        <v>#VALUE!</v>
      </c>
      <c r="AK50" s="82"/>
      <c r="AL50" s="82" t="str">
        <f t="shared" si="10"/>
        <v>PL20</v>
      </c>
      <c r="AM50" s="53" t="str">
        <f t="shared" si="11"/>
        <v/>
      </c>
      <c r="AN50" s="53" t="s">
        <v>148</v>
      </c>
      <c r="AO50" s="84" t="s">
        <v>319</v>
      </c>
      <c r="AP50" s="53"/>
      <c r="AQ50" s="53" t="s">
        <v>320</v>
      </c>
      <c r="AR50" s="53">
        <v>2</v>
      </c>
      <c r="AS50" s="83">
        <v>46202</v>
      </c>
      <c r="AT50" s="53"/>
      <c r="AU50" s="53"/>
    </row>
    <row r="51" spans="3:47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8"/>
        <v>2</v>
      </c>
      <c r="M51" s="26">
        <f t="shared" si="9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67" t="e">
        <f>SUMIFS([1]Up!$J:$J,[1]Up!$D:$D,D51)</f>
        <v>#VALUE!</v>
      </c>
      <c r="AK51" s="82"/>
      <c r="AL51" s="82" t="str">
        <f t="shared" si="10"/>
        <v>PL25</v>
      </c>
      <c r="AM51" s="53" t="str">
        <f t="shared" si="11"/>
        <v/>
      </c>
      <c r="AN51" s="53" t="s">
        <v>148</v>
      </c>
      <c r="AO51" s="53" t="s">
        <v>803</v>
      </c>
      <c r="AP51" s="53"/>
      <c r="AQ51" s="53" t="s">
        <v>804</v>
      </c>
      <c r="AR51" s="53">
        <v>2</v>
      </c>
      <c r="AS51" s="83">
        <v>46196</v>
      </c>
      <c r="AT51" s="53"/>
      <c r="AU51" s="53"/>
    </row>
    <row r="52" spans="3:47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8"/>
        <v>16</v>
      </c>
      <c r="M52" s="26">
        <f t="shared" si="9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67" t="e">
        <f>SUMIFS([1]Up!$J:$J,[1]Up!$D:$D,D52)</f>
        <v>#VALUE!</v>
      </c>
      <c r="AK52" s="82"/>
      <c r="AL52" s="82" t="str">
        <f t="shared" si="10"/>
        <v>PL15</v>
      </c>
      <c r="AM52" s="53" t="str">
        <f t="shared" si="11"/>
        <v/>
      </c>
      <c r="AN52" s="53" t="s">
        <v>148</v>
      </c>
      <c r="AO52" s="84" t="s">
        <v>200</v>
      </c>
      <c r="AP52" s="53"/>
      <c r="AQ52" s="53" t="s">
        <v>201</v>
      </c>
      <c r="AR52" s="53">
        <v>16</v>
      </c>
      <c r="AS52" s="83">
        <v>46201</v>
      </c>
      <c r="AT52" s="53"/>
      <c r="AU52" s="53"/>
    </row>
    <row r="53" spans="3:47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8"/>
        <v>16</v>
      </c>
      <c r="M53" s="26">
        <f t="shared" si="9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67" t="e">
        <f>SUMIFS([1]Up!$J:$J,[1]Up!$D:$D,D53)</f>
        <v>#VALUE!</v>
      </c>
      <c r="AK53" s="82"/>
      <c r="AL53" s="82" t="str">
        <f t="shared" si="10"/>
        <v>PL15</v>
      </c>
      <c r="AM53" s="53" t="str">
        <f t="shared" si="11"/>
        <v/>
      </c>
      <c r="AN53" s="53" t="s">
        <v>148</v>
      </c>
      <c r="AO53" s="84" t="s">
        <v>200</v>
      </c>
      <c r="AP53" s="53"/>
      <c r="AQ53" s="53" t="s">
        <v>201</v>
      </c>
      <c r="AR53" s="53">
        <v>16</v>
      </c>
      <c r="AS53" s="83">
        <v>46201</v>
      </c>
      <c r="AT53" s="53"/>
      <c r="AU53" s="53"/>
    </row>
    <row r="54" spans="3:47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8"/>
        <v>16</v>
      </c>
      <c r="M54" s="26">
        <f t="shared" si="9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67" t="e">
        <f>SUMIFS([1]Up!$J:$J,[1]Up!$D:$D,D54)</f>
        <v>#VALUE!</v>
      </c>
      <c r="AK54" s="82"/>
      <c r="AL54" s="82" t="str">
        <f t="shared" si="10"/>
        <v>PL15</v>
      </c>
      <c r="AM54" s="53" t="str">
        <f t="shared" si="11"/>
        <v/>
      </c>
      <c r="AN54" s="53" t="s">
        <v>148</v>
      </c>
      <c r="AO54" s="84" t="s">
        <v>200</v>
      </c>
      <c r="AP54" s="53"/>
      <c r="AQ54" s="53" t="s">
        <v>201</v>
      </c>
      <c r="AR54" s="53">
        <v>16</v>
      </c>
      <c r="AS54" s="83">
        <v>46201</v>
      </c>
      <c r="AT54" s="53"/>
      <c r="AU54" s="53"/>
    </row>
    <row r="55" spans="3:47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8"/>
        <v>15</v>
      </c>
      <c r="M55" s="26">
        <f t="shared" si="9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67" t="e">
        <f>SUMIFS([1]Up!$J:$J,[1]Up!$D:$D,D55)</f>
        <v>#VALUE!</v>
      </c>
      <c r="AK55" s="82"/>
      <c r="AL55" s="82" t="str">
        <f t="shared" si="10"/>
        <v>PL15</v>
      </c>
      <c r="AM55" s="53" t="str">
        <f t="shared" si="11"/>
        <v/>
      </c>
      <c r="AN55" s="53" t="s">
        <v>148</v>
      </c>
      <c r="AO55" s="84" t="s">
        <v>200</v>
      </c>
      <c r="AP55" s="53"/>
      <c r="AQ55" s="53" t="s">
        <v>201</v>
      </c>
      <c r="AR55" s="53">
        <v>16</v>
      </c>
      <c r="AS55" s="83">
        <v>46201</v>
      </c>
      <c r="AT55" s="53"/>
      <c r="AU55" s="53"/>
    </row>
    <row r="56" spans="3:47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8"/>
        <v>0</v>
      </c>
      <c r="M56" s="26">
        <f t="shared" si="9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67" t="e">
        <f>SUMIFS([1]Up!$J:$J,[1]Up!$D:$D,D56)</f>
        <v>#VALUE!</v>
      </c>
      <c r="AK56" s="82"/>
      <c r="AL56" s="82" t="str">
        <f t="shared" si="10"/>
        <v>PL15</v>
      </c>
      <c r="AM56" s="53" t="str">
        <f t="shared" si="11"/>
        <v/>
      </c>
      <c r="AN56" s="53" t="s">
        <v>148</v>
      </c>
      <c r="AO56" s="53"/>
      <c r="AP56" s="53"/>
      <c r="AQ56" s="53"/>
      <c r="AR56" s="53"/>
      <c r="AS56" s="83"/>
      <c r="AT56" s="53"/>
      <c r="AU56" s="53"/>
    </row>
    <row r="57" spans="3:47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8"/>
        <v>0</v>
      </c>
      <c r="M57" s="26">
        <f t="shared" si="9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67" t="e">
        <f>SUMIFS([1]Up!$J:$J,[1]Up!$D:$D,D57)</f>
        <v>#VALUE!</v>
      </c>
      <c r="AK57" s="82"/>
      <c r="AL57" s="82" t="str">
        <f t="shared" si="10"/>
        <v>PL15</v>
      </c>
      <c r="AM57" s="53" t="str">
        <f t="shared" si="11"/>
        <v/>
      </c>
      <c r="AN57" s="53" t="s">
        <v>148</v>
      </c>
      <c r="AO57" s="53"/>
      <c r="AP57" s="53"/>
      <c r="AQ57" s="53"/>
      <c r="AR57" s="53"/>
      <c r="AS57" s="83"/>
      <c r="AT57" s="53"/>
      <c r="AU57" s="53"/>
    </row>
    <row r="58" spans="3:47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8"/>
        <v>0</v>
      </c>
      <c r="M58" s="26">
        <f t="shared" si="9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67" t="e">
        <f>SUMIFS([1]Up!$J:$J,[1]Up!$D:$D,D58)</f>
        <v>#VALUE!</v>
      </c>
      <c r="AK58" s="82"/>
      <c r="AL58" s="82" t="str">
        <f t="shared" si="10"/>
        <v>PL25</v>
      </c>
      <c r="AM58" s="53" t="str">
        <f t="shared" si="11"/>
        <v/>
      </c>
      <c r="AN58" s="53" t="s">
        <v>148</v>
      </c>
      <c r="AO58" s="53" t="s">
        <v>803</v>
      </c>
      <c r="AP58" s="53"/>
      <c r="AQ58" s="53" t="s">
        <v>804</v>
      </c>
      <c r="AR58" s="53">
        <v>1</v>
      </c>
      <c r="AS58" s="83">
        <v>46196</v>
      </c>
      <c r="AT58" s="53"/>
      <c r="AU58" s="53"/>
    </row>
    <row r="59" spans="3:47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8"/>
        <v>0</v>
      </c>
      <c r="M59" s="26">
        <f t="shared" si="9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67" t="e">
        <f>SUMIFS([1]Up!$J:$J,[1]Up!$D:$D,D59)</f>
        <v>#VALUE!</v>
      </c>
      <c r="AK59" s="82"/>
      <c r="AL59" s="82" t="str">
        <f t="shared" si="10"/>
        <v>PL25</v>
      </c>
      <c r="AM59" s="53" t="str">
        <f t="shared" si="11"/>
        <v/>
      </c>
      <c r="AN59" s="53" t="s">
        <v>148</v>
      </c>
      <c r="AO59" s="53" t="s">
        <v>803</v>
      </c>
      <c r="AP59" s="53"/>
      <c r="AQ59" s="53" t="s">
        <v>804</v>
      </c>
      <c r="AR59" s="53">
        <v>2</v>
      </c>
      <c r="AS59" s="83">
        <v>46196</v>
      </c>
      <c r="AT59" s="53"/>
      <c r="AU59" s="53"/>
    </row>
    <row r="60" spans="3:47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8"/>
        <v>0</v>
      </c>
      <c r="M60" s="26">
        <f t="shared" si="9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67" t="e">
        <f>SUMIFS([1]Up!$J:$J,[1]Up!$D:$D,D60)</f>
        <v>#VALUE!</v>
      </c>
      <c r="AK60" s="82"/>
      <c r="AL60" s="82" t="str">
        <f t="shared" si="10"/>
        <v>PL20</v>
      </c>
      <c r="AM60" s="53" t="str">
        <f t="shared" si="11"/>
        <v/>
      </c>
      <c r="AN60" s="53" t="s">
        <v>148</v>
      </c>
      <c r="AO60" s="84" t="s">
        <v>319</v>
      </c>
      <c r="AP60" s="53"/>
      <c r="AQ60" s="53" t="s">
        <v>320</v>
      </c>
      <c r="AR60" s="53">
        <v>1</v>
      </c>
      <c r="AS60" s="83">
        <v>46202</v>
      </c>
      <c r="AT60" s="53"/>
      <c r="AU60" s="53"/>
    </row>
    <row r="61" spans="3:47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8"/>
        <v>0</v>
      </c>
      <c r="M61" s="26">
        <f t="shared" si="9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67" t="e">
        <f>SUMIFS([1]Up!$J:$J,[1]Up!$D:$D,D61)</f>
        <v>#VALUE!</v>
      </c>
      <c r="AK61" s="82"/>
      <c r="AL61" s="82" t="str">
        <f t="shared" si="10"/>
        <v>PL20</v>
      </c>
      <c r="AM61" s="53" t="str">
        <f t="shared" si="11"/>
        <v/>
      </c>
      <c r="AN61" s="53" t="s">
        <v>148</v>
      </c>
      <c r="AO61" s="84" t="s">
        <v>319</v>
      </c>
      <c r="AP61" s="53"/>
      <c r="AQ61" s="53" t="s">
        <v>320</v>
      </c>
      <c r="AR61" s="53">
        <v>2</v>
      </c>
      <c r="AS61" s="83">
        <v>46202</v>
      </c>
      <c r="AT61" s="53"/>
      <c r="AU61" s="53"/>
    </row>
    <row r="62" spans="3:47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8"/>
        <v>0</v>
      </c>
      <c r="M62" s="26">
        <f t="shared" si="9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67" t="e">
        <f>SUMIFS([1]Up!$J:$J,[1]Up!$D:$D,D62)</f>
        <v>#VALUE!</v>
      </c>
      <c r="AK62" s="82"/>
      <c r="AL62" s="82" t="str">
        <f t="shared" si="10"/>
        <v>PL20</v>
      </c>
      <c r="AM62" s="53" t="str">
        <f t="shared" si="11"/>
        <v/>
      </c>
      <c r="AN62" s="53" t="s">
        <v>148</v>
      </c>
      <c r="AO62" s="53"/>
      <c r="AP62" s="53"/>
      <c r="AQ62" s="53" t="s">
        <v>57</v>
      </c>
      <c r="AR62" s="53">
        <v>2</v>
      </c>
      <c r="AS62" s="83"/>
      <c r="AT62" s="53"/>
      <c r="AU62" s="53"/>
    </row>
    <row r="63" spans="3:47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8"/>
        <v>0</v>
      </c>
      <c r="M63" s="26">
        <f t="shared" si="9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67" t="e">
        <f>SUMIFS([1]Up!$J:$J,[1]Up!$D:$D,D63)</f>
        <v>#VALUE!</v>
      </c>
      <c r="AK63" s="82"/>
      <c r="AL63" s="82" t="str">
        <f t="shared" si="10"/>
        <v>PL20</v>
      </c>
      <c r="AM63" s="53" t="str">
        <f t="shared" si="11"/>
        <v/>
      </c>
      <c r="AN63" s="53" t="s">
        <v>148</v>
      </c>
      <c r="AO63" s="84" t="s">
        <v>319</v>
      </c>
      <c r="AP63" s="53"/>
      <c r="AQ63" s="53" t="s">
        <v>320</v>
      </c>
      <c r="AR63" s="53">
        <v>2</v>
      </c>
      <c r="AS63" s="83">
        <v>46202</v>
      </c>
      <c r="AT63" s="53"/>
      <c r="AU63" s="53"/>
    </row>
    <row r="64" spans="3:47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8"/>
        <v>2</v>
      </c>
      <c r="M64" s="26">
        <f t="shared" si="9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67" t="e">
        <f>SUMIFS([1]Up!$J:$J,[1]Up!$D:$D,D64)</f>
        <v>#VALUE!</v>
      </c>
      <c r="AK64" s="82" t="s">
        <v>2233</v>
      </c>
      <c r="AL64" s="82" t="str">
        <f t="shared" si="10"/>
        <v>PL20</v>
      </c>
      <c r="AM64" s="53" t="str">
        <f t="shared" si="11"/>
        <v/>
      </c>
      <c r="AN64" s="53" t="s">
        <v>148</v>
      </c>
      <c r="AO64" s="53"/>
      <c r="AP64" s="53"/>
      <c r="AQ64" s="53" t="s">
        <v>57</v>
      </c>
      <c r="AR64" s="53">
        <v>2</v>
      </c>
      <c r="AS64" s="83"/>
      <c r="AT64" s="53"/>
      <c r="AU64" s="53"/>
    </row>
    <row r="65" spans="3:47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8"/>
        <v>0</v>
      </c>
      <c r="M65" s="26">
        <f t="shared" si="9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67" t="e">
        <f>SUMIFS([1]Up!$J:$J,[1]Up!$D:$D,D65)</f>
        <v>#VALUE!</v>
      </c>
      <c r="AK65" s="82"/>
      <c r="AL65" s="82" t="str">
        <f t="shared" si="10"/>
        <v>PL20</v>
      </c>
      <c r="AM65" s="53" t="str">
        <f t="shared" si="11"/>
        <v/>
      </c>
      <c r="AN65" s="53" t="s">
        <v>148</v>
      </c>
      <c r="AO65" s="84" t="s">
        <v>319</v>
      </c>
      <c r="AP65" s="53"/>
      <c r="AQ65" s="53" t="s">
        <v>320</v>
      </c>
      <c r="AR65" s="53">
        <v>2</v>
      </c>
      <c r="AS65" s="83">
        <v>46202</v>
      </c>
      <c r="AT65" s="53"/>
      <c r="AU65" s="53"/>
    </row>
    <row r="66" spans="3:47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8"/>
        <v>2</v>
      </c>
      <c r="M66" s="26">
        <f t="shared" si="9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67" t="e">
        <f>SUMIFS([1]Up!$J:$J,[1]Up!$D:$D,D66)</f>
        <v>#VALUE!</v>
      </c>
      <c r="AK66" s="82" t="s">
        <v>2234</v>
      </c>
      <c r="AL66" s="82" t="str">
        <f t="shared" si="10"/>
        <v>PL20</v>
      </c>
      <c r="AM66" s="53" t="str">
        <f t="shared" si="11"/>
        <v>Thừa 2</v>
      </c>
      <c r="AN66" s="53" t="s">
        <v>148</v>
      </c>
      <c r="AO66" s="53"/>
      <c r="AP66" s="53"/>
      <c r="AQ66" s="53" t="s">
        <v>57</v>
      </c>
      <c r="AR66" s="53">
        <v>2</v>
      </c>
      <c r="AS66" s="83"/>
      <c r="AT66" s="53"/>
      <c r="AU66" s="53"/>
    </row>
    <row r="67" spans="3:47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8"/>
        <v>0</v>
      </c>
      <c r="M67" s="26">
        <f t="shared" si="9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67" t="e">
        <f>SUMIFS([1]Up!$J:$J,[1]Up!$D:$D,D67)</f>
        <v>#VALUE!</v>
      </c>
      <c r="AK67" s="82"/>
      <c r="AL67" s="82" t="str">
        <f t="shared" si="10"/>
        <v>PL20</v>
      </c>
      <c r="AM67" s="53" t="str">
        <f t="shared" si="11"/>
        <v/>
      </c>
      <c r="AN67" s="53" t="s">
        <v>148</v>
      </c>
      <c r="AO67" s="84" t="s">
        <v>319</v>
      </c>
      <c r="AP67" s="53"/>
      <c r="AQ67" s="53" t="s">
        <v>320</v>
      </c>
      <c r="AR67" s="53">
        <v>2</v>
      </c>
      <c r="AS67" s="83">
        <v>46202</v>
      </c>
      <c r="AT67" s="53"/>
      <c r="AU67" s="53"/>
    </row>
    <row r="68" spans="3:47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8"/>
        <v>2</v>
      </c>
      <c r="M68" s="26">
        <f t="shared" si="9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67" t="e">
        <f>SUMIFS([1]Up!$J:$J,[1]Up!$D:$D,D68)</f>
        <v>#VALUE!</v>
      </c>
      <c r="AK68" s="82" t="s">
        <v>2076</v>
      </c>
      <c r="AL68" s="82" t="str">
        <f t="shared" si="10"/>
        <v>PL15</v>
      </c>
      <c r="AM68" s="53" t="str">
        <f t="shared" si="11"/>
        <v>Thừa 2</v>
      </c>
      <c r="AN68" s="53" t="s">
        <v>148</v>
      </c>
      <c r="AO68" s="84" t="s">
        <v>200</v>
      </c>
      <c r="AP68" s="53"/>
      <c r="AQ68" s="53" t="s">
        <v>201</v>
      </c>
      <c r="AR68" s="53">
        <v>2</v>
      </c>
      <c r="AS68" s="83">
        <v>46201</v>
      </c>
      <c r="AT68" s="53"/>
      <c r="AU68" s="53"/>
    </row>
    <row r="69" spans="3:47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8"/>
        <v>12</v>
      </c>
      <c r="M69" s="26">
        <f t="shared" si="9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67" t="e">
        <f>SUMIFS([1]Up!$J:$J,[1]Up!$D:$D,D69)</f>
        <v>#VALUE!</v>
      </c>
      <c r="AK69" s="82" t="s">
        <v>2080</v>
      </c>
      <c r="AL69" s="82" t="str">
        <f t="shared" si="10"/>
        <v>PL15</v>
      </c>
      <c r="AM69" s="53" t="str">
        <f t="shared" si="11"/>
        <v>Thừa 12</v>
      </c>
      <c r="AN69" s="53" t="s">
        <v>148</v>
      </c>
      <c r="AO69" s="84" t="s">
        <v>200</v>
      </c>
      <c r="AP69" s="53"/>
      <c r="AQ69" s="53" t="s">
        <v>201</v>
      </c>
      <c r="AR69" s="53">
        <v>12</v>
      </c>
      <c r="AS69" s="83">
        <v>46201</v>
      </c>
      <c r="AT69" s="53"/>
      <c r="AU69" s="53"/>
    </row>
    <row r="70" spans="3:47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8"/>
        <v>4</v>
      </c>
      <c r="M70" s="26">
        <f t="shared" si="9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67" t="e">
        <f>SUMIFS([1]Up!$J:$J,[1]Up!$D:$D,D70)</f>
        <v>#VALUE!</v>
      </c>
      <c r="AK70" s="82" t="s">
        <v>2079</v>
      </c>
      <c r="AL70" s="82" t="str">
        <f t="shared" si="10"/>
        <v>PL15</v>
      </c>
      <c r="AM70" s="53" t="str">
        <f t="shared" si="11"/>
        <v>Thừa 4</v>
      </c>
      <c r="AN70" s="53" t="s">
        <v>148</v>
      </c>
      <c r="AO70" s="84" t="s">
        <v>200</v>
      </c>
      <c r="AP70" s="53"/>
      <c r="AQ70" s="53" t="s">
        <v>201</v>
      </c>
      <c r="AR70" s="53">
        <v>4</v>
      </c>
      <c r="AS70" s="83">
        <v>46201</v>
      </c>
      <c r="AT70" s="53"/>
      <c r="AU70" s="53"/>
    </row>
    <row r="71" spans="3:47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8"/>
        <v>4</v>
      </c>
      <c r="M71" s="26">
        <f t="shared" si="9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67" t="e">
        <f>SUMIFS([1]Up!$J:$J,[1]Up!$D:$D,D71)</f>
        <v>#VALUE!</v>
      </c>
      <c r="AK71" s="82" t="s">
        <v>951</v>
      </c>
      <c r="AL71" s="82" t="e">
        <f t="shared" si="10"/>
        <v>#VALUE!</v>
      </c>
      <c r="AM71" s="53" t="str">
        <f t="shared" si="11"/>
        <v>Thừa 14</v>
      </c>
      <c r="AN71" s="53" t="s">
        <v>154</v>
      </c>
      <c r="AO71" s="53"/>
      <c r="AP71" s="53"/>
      <c r="AQ71" s="53" t="s">
        <v>57</v>
      </c>
      <c r="AR71" s="53">
        <v>4</v>
      </c>
      <c r="AS71" s="83"/>
      <c r="AT71" s="53"/>
      <c r="AU71" s="53"/>
    </row>
    <row r="72" spans="3:47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8"/>
        <v>4</v>
      </c>
      <c r="M72" s="26">
        <f t="shared" si="9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67" t="e">
        <f>SUMIFS([1]Up!$J:$J,[1]Up!$D:$D,D72)</f>
        <v>#VALUE!</v>
      </c>
      <c r="AK72" s="82"/>
      <c r="AL72" s="82" t="str">
        <f t="shared" si="10"/>
        <v>PL10</v>
      </c>
      <c r="AM72" s="53" t="str">
        <f t="shared" si="11"/>
        <v/>
      </c>
      <c r="AN72" s="53" t="s">
        <v>148</v>
      </c>
      <c r="AO72" s="84" t="s">
        <v>210</v>
      </c>
      <c r="AP72" s="53"/>
      <c r="AQ72" s="53" t="s">
        <v>211</v>
      </c>
      <c r="AR72" s="53">
        <v>4</v>
      </c>
      <c r="AS72" s="83">
        <v>46201</v>
      </c>
      <c r="AT72" s="53"/>
      <c r="AU72" s="53"/>
    </row>
    <row r="73" spans="3:47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8"/>
        <v>1</v>
      </c>
      <c r="M73" s="26">
        <f t="shared" si="9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67" t="e">
        <f>SUMIFS([1]Up!$J:$J,[1]Up!$D:$D,D73)</f>
        <v>#VALUE!</v>
      </c>
      <c r="AK73" s="82" t="s">
        <v>2078</v>
      </c>
      <c r="AL73" s="82" t="str">
        <f t="shared" si="10"/>
        <v>PL15</v>
      </c>
      <c r="AM73" s="53" t="str">
        <f t="shared" si="11"/>
        <v>Thừa 2</v>
      </c>
      <c r="AN73" s="53" t="s">
        <v>148</v>
      </c>
      <c r="AO73" s="53"/>
      <c r="AP73" s="53"/>
      <c r="AQ73" s="53" t="s">
        <v>57</v>
      </c>
      <c r="AR73" s="53">
        <v>1</v>
      </c>
      <c r="AS73" s="83"/>
      <c r="AT73" s="53"/>
      <c r="AU73" s="53"/>
    </row>
    <row r="74" spans="3:47" ht="14.25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8"/>
        <v>1</v>
      </c>
      <c r="M74" s="26">
        <f t="shared" si="9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67" t="e">
        <f>SUMIFS([1]Up!$J:$J,[1]Up!$D:$D,D74)</f>
        <v>#VALUE!</v>
      </c>
      <c r="AK74" s="82" t="s">
        <v>2237</v>
      </c>
      <c r="AL74" s="82" t="e">
        <f t="shared" si="10"/>
        <v>#VALUE!</v>
      </c>
      <c r="AM74" s="53" t="str">
        <f t="shared" si="11"/>
        <v>Thừa 3</v>
      </c>
      <c r="AN74" s="53" t="s">
        <v>154</v>
      </c>
      <c r="AO74" s="53"/>
      <c r="AP74" s="53"/>
      <c r="AQ74" s="53" t="s">
        <v>57</v>
      </c>
      <c r="AR74" s="53">
        <v>1</v>
      </c>
      <c r="AS74" s="83"/>
      <c r="AT74" s="53"/>
      <c r="AU74" s="53"/>
    </row>
    <row r="75" spans="3:47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8"/>
        <v>0</v>
      </c>
      <c r="M75" s="26">
        <f t="shared" si="9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67" t="e">
        <f>SUMIFS([1]Up!$J:$J,[1]Up!$D:$D,D75)</f>
        <v>#VALUE!</v>
      </c>
      <c r="AK75" s="82"/>
      <c r="AL75" s="82" t="e">
        <f t="shared" si="10"/>
        <v>#VALUE!</v>
      </c>
      <c r="AM75" s="53" t="str">
        <f t="shared" si="11"/>
        <v/>
      </c>
      <c r="AN75" s="53" t="s">
        <v>154</v>
      </c>
      <c r="AO75" s="53"/>
      <c r="AP75" s="53"/>
      <c r="AQ75" s="53" t="s">
        <v>57</v>
      </c>
      <c r="AR75" s="53">
        <v>1</v>
      </c>
      <c r="AS75" s="83"/>
      <c r="AT75" s="53"/>
      <c r="AU75" s="53"/>
    </row>
    <row r="76" spans="3:47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8"/>
        <v>0</v>
      </c>
      <c r="M76" s="26">
        <f t="shared" si="9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67" t="e">
        <f>SUMIFS([1]Up!$J:$J,[1]Up!$D:$D,D76)</f>
        <v>#VALUE!</v>
      </c>
      <c r="AK76" s="82"/>
      <c r="AL76" s="82" t="e">
        <f t="shared" si="10"/>
        <v>#VALUE!</v>
      </c>
      <c r="AM76" s="53" t="str">
        <f t="shared" si="11"/>
        <v/>
      </c>
      <c r="AN76" s="53" t="s">
        <v>154</v>
      </c>
      <c r="AO76" s="53"/>
      <c r="AP76" s="53"/>
      <c r="AQ76" s="53" t="s">
        <v>57</v>
      </c>
      <c r="AR76" s="53">
        <v>1</v>
      </c>
      <c r="AS76" s="83"/>
      <c r="AT76" s="53"/>
      <c r="AU76" s="53"/>
    </row>
    <row r="77" spans="3:47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8"/>
        <v>2</v>
      </c>
      <c r="M77" s="26">
        <f t="shared" si="9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67" t="e">
        <f>SUMIFS([1]Up!$J:$J,[1]Up!$D:$D,D77)</f>
        <v>#VALUE!</v>
      </c>
      <c r="AK77" s="82"/>
      <c r="AL77" s="82" t="str">
        <f t="shared" si="10"/>
        <v>PL12</v>
      </c>
      <c r="AM77" s="53" t="str">
        <f t="shared" si="11"/>
        <v/>
      </c>
      <c r="AN77" s="53" t="s">
        <v>148</v>
      </c>
      <c r="AO77" s="84" t="s">
        <v>304</v>
      </c>
      <c r="AP77" s="53"/>
      <c r="AQ77" s="53" t="s">
        <v>305</v>
      </c>
      <c r="AR77" s="53">
        <v>2</v>
      </c>
      <c r="AS77" s="83">
        <v>46196</v>
      </c>
      <c r="AT77" s="53"/>
      <c r="AU77" s="53"/>
    </row>
    <row r="78" spans="3:47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8"/>
        <v>2</v>
      </c>
      <c r="M78" s="26">
        <f t="shared" si="9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67" t="e">
        <f>SUMIFS([1]Up!$J:$J,[1]Up!$D:$D,D78)</f>
        <v>#VALUE!</v>
      </c>
      <c r="AK78" s="82"/>
      <c r="AL78" s="82" t="str">
        <f t="shared" si="10"/>
        <v>PL15</v>
      </c>
      <c r="AM78" s="53" t="str">
        <f t="shared" si="11"/>
        <v/>
      </c>
      <c r="AN78" s="53" t="s">
        <v>148</v>
      </c>
      <c r="AO78" s="84" t="s">
        <v>200</v>
      </c>
      <c r="AP78" s="53"/>
      <c r="AQ78" s="53" t="s">
        <v>201</v>
      </c>
      <c r="AR78" s="53">
        <v>2</v>
      </c>
      <c r="AS78" s="83">
        <v>46201</v>
      </c>
      <c r="AT78" s="53"/>
      <c r="AU78" s="53"/>
    </row>
    <row r="79" spans="3:47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8"/>
        <v>1</v>
      </c>
      <c r="M79" s="26">
        <f t="shared" si="9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67" t="e">
        <f>SUMIFS([1]Up!$J:$J,[1]Up!$D:$D,D79)</f>
        <v>#VALUE!</v>
      </c>
      <c r="AK79" s="82" t="s">
        <v>2071</v>
      </c>
      <c r="AL79" s="82" t="str">
        <f t="shared" si="10"/>
        <v>PL15</v>
      </c>
      <c r="AM79" s="53" t="str">
        <f t="shared" si="11"/>
        <v>Thừa 4</v>
      </c>
      <c r="AN79" s="53" t="s">
        <v>148</v>
      </c>
      <c r="AO79" s="53"/>
      <c r="AP79" s="53"/>
      <c r="AQ79" s="53" t="s">
        <v>57</v>
      </c>
      <c r="AR79" s="53">
        <v>1</v>
      </c>
      <c r="AS79" s="83"/>
      <c r="AT79" s="53"/>
      <c r="AU79" s="53"/>
    </row>
    <row r="80" spans="3:47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8"/>
        <v>2</v>
      </c>
      <c r="M80" s="26">
        <f t="shared" si="9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67" t="e">
        <f>SUMIFS([1]Up!$J:$J,[1]Up!$D:$D,D80)</f>
        <v>#VALUE!</v>
      </c>
      <c r="AK80" s="82"/>
      <c r="AL80" s="82" t="str">
        <f t="shared" si="10"/>
        <v>PL15</v>
      </c>
      <c r="AM80" s="53" t="str">
        <f t="shared" si="11"/>
        <v/>
      </c>
      <c r="AN80" s="53" t="s">
        <v>148</v>
      </c>
      <c r="AO80" s="84" t="s">
        <v>200</v>
      </c>
      <c r="AP80" s="53"/>
      <c r="AQ80" s="53" t="s">
        <v>201</v>
      </c>
      <c r="AR80" s="53">
        <v>2</v>
      </c>
      <c r="AS80" s="83">
        <v>46201</v>
      </c>
      <c r="AT80" s="53"/>
      <c r="AU80" s="53"/>
    </row>
    <row r="81" spans="3:47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8"/>
        <v>1</v>
      </c>
      <c r="M81" s="26">
        <f t="shared" si="9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67" t="e">
        <f>SUMIFS([1]Up!$J:$J,[1]Up!$D:$D,D81)</f>
        <v>#VALUE!</v>
      </c>
      <c r="AK81" s="82" t="s">
        <v>847</v>
      </c>
      <c r="AL81" s="82" t="str">
        <f t="shared" si="10"/>
        <v>PL20</v>
      </c>
      <c r="AM81" s="53" t="str">
        <f t="shared" si="11"/>
        <v>Thừa 1</v>
      </c>
      <c r="AN81" s="53" t="s">
        <v>148</v>
      </c>
      <c r="AO81" s="53"/>
      <c r="AP81" s="53"/>
      <c r="AQ81" s="53" t="s">
        <v>57</v>
      </c>
      <c r="AR81" s="53">
        <v>1</v>
      </c>
      <c r="AS81" s="83"/>
      <c r="AT81" s="53"/>
      <c r="AU81" s="53"/>
    </row>
    <row r="82" spans="3:47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8"/>
        <v>1</v>
      </c>
      <c r="M82" s="26">
        <f t="shared" si="9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67" t="e">
        <f>SUMIFS([1]Up!$J:$J,[1]Up!$D:$D,D82)</f>
        <v>#VALUE!</v>
      </c>
      <c r="AK82" s="82"/>
      <c r="AL82" s="82" t="str">
        <f t="shared" si="10"/>
        <v>PL20</v>
      </c>
      <c r="AM82" s="53" t="str">
        <f t="shared" si="11"/>
        <v/>
      </c>
      <c r="AN82" s="53" t="s">
        <v>148</v>
      </c>
      <c r="AO82" s="84" t="s">
        <v>319</v>
      </c>
      <c r="AP82" s="53"/>
      <c r="AQ82" s="53" t="s">
        <v>320</v>
      </c>
      <c r="AR82" s="53">
        <v>2</v>
      </c>
      <c r="AS82" s="83">
        <v>46202</v>
      </c>
      <c r="AT82" s="53"/>
      <c r="AU82" s="53"/>
    </row>
    <row r="83" spans="3:47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8"/>
        <v>0</v>
      </c>
      <c r="M83" s="26">
        <f t="shared" si="9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67" t="e">
        <f>SUMIFS([1]Up!$J:$J,[1]Up!$D:$D,D83)</f>
        <v>#VALUE!</v>
      </c>
      <c r="AK83" s="82"/>
      <c r="AL83" s="82" t="str">
        <f t="shared" si="10"/>
        <v>PL12</v>
      </c>
      <c r="AM83" s="53" t="str">
        <f t="shared" si="11"/>
        <v/>
      </c>
      <c r="AN83" s="53" t="s">
        <v>154</v>
      </c>
      <c r="AO83" s="84" t="s">
        <v>304</v>
      </c>
      <c r="AP83" s="53"/>
      <c r="AQ83" s="53" t="s">
        <v>305</v>
      </c>
      <c r="AR83" s="53">
        <v>1</v>
      </c>
      <c r="AS83" s="83">
        <v>46196</v>
      </c>
      <c r="AT83" s="53"/>
      <c r="AU83" s="53"/>
    </row>
    <row r="84" spans="3:47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8"/>
        <v>0</v>
      </c>
      <c r="M84" s="26">
        <f t="shared" si="9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67" t="e">
        <f>SUMIFS([1]Up!$J:$J,[1]Up!$D:$D,D84)</f>
        <v>#VALUE!</v>
      </c>
      <c r="AK84" s="82"/>
      <c r="AL84" s="82" t="str">
        <f t="shared" si="10"/>
        <v>PL12</v>
      </c>
      <c r="AM84" s="53" t="str">
        <f t="shared" si="11"/>
        <v/>
      </c>
      <c r="AN84" s="53" t="s">
        <v>154</v>
      </c>
      <c r="AO84" s="84" t="s">
        <v>304</v>
      </c>
      <c r="AP84" s="53"/>
      <c r="AQ84" s="53" t="s">
        <v>305</v>
      </c>
      <c r="AR84" s="53">
        <v>1</v>
      </c>
      <c r="AS84" s="83">
        <v>46196</v>
      </c>
      <c r="AT84" s="53"/>
      <c r="AU84" s="53"/>
    </row>
    <row r="85" spans="3:47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8"/>
        <v>1</v>
      </c>
      <c r="M85" s="26">
        <f t="shared" si="9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67" t="e">
        <f>SUMIFS([1]Up!$J:$J,[1]Up!$D:$D,D85)</f>
        <v>#VALUE!</v>
      </c>
      <c r="AK85" s="82"/>
      <c r="AL85" s="82" t="str">
        <f t="shared" si="10"/>
        <v>PL15</v>
      </c>
      <c r="AM85" s="53" t="str">
        <f t="shared" si="11"/>
        <v/>
      </c>
      <c r="AN85" s="53" t="s">
        <v>148</v>
      </c>
      <c r="AO85" s="84" t="s">
        <v>200</v>
      </c>
      <c r="AP85" s="53"/>
      <c r="AQ85" s="53" t="s">
        <v>201</v>
      </c>
      <c r="AR85" s="53">
        <v>1</v>
      </c>
      <c r="AS85" s="83">
        <v>46201</v>
      </c>
      <c r="AT85" s="53"/>
      <c r="AU85" s="53"/>
    </row>
    <row r="86" spans="3:47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8"/>
        <v>0</v>
      </c>
      <c r="M86" s="26">
        <f t="shared" si="9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67" t="e">
        <f>SUMIFS([1]Up!$J:$J,[1]Up!$D:$D,D86)</f>
        <v>#VALUE!</v>
      </c>
      <c r="AK86" s="82"/>
      <c r="AL86" s="82" t="e">
        <f t="shared" si="10"/>
        <v>#VALUE!</v>
      </c>
      <c r="AM86" s="53" t="str">
        <f t="shared" si="11"/>
        <v/>
      </c>
      <c r="AN86" s="53" t="s">
        <v>154</v>
      </c>
      <c r="AO86" s="53"/>
      <c r="AP86" s="53"/>
      <c r="AQ86" s="53" t="s">
        <v>57</v>
      </c>
      <c r="AR86" s="53">
        <v>1</v>
      </c>
      <c r="AS86" s="83"/>
      <c r="AT86" s="53"/>
      <c r="AU86" s="53"/>
    </row>
    <row r="87" spans="3:47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8"/>
        <v>1</v>
      </c>
      <c r="M87" s="26">
        <f t="shared" si="9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67" t="e">
        <f>SUMIFS([1]Up!$J:$J,[1]Up!$D:$D,D87)</f>
        <v>#VALUE!</v>
      </c>
      <c r="AK87" s="82"/>
      <c r="AL87" s="82" t="str">
        <f t="shared" si="10"/>
        <v>PL10</v>
      </c>
      <c r="AM87" s="53" t="str">
        <f t="shared" si="11"/>
        <v/>
      </c>
      <c r="AN87" s="53" t="s">
        <v>148</v>
      </c>
      <c r="AO87" s="84" t="s">
        <v>210</v>
      </c>
      <c r="AP87" s="53"/>
      <c r="AQ87" s="53" t="s">
        <v>211</v>
      </c>
      <c r="AR87" s="53">
        <v>1</v>
      </c>
      <c r="AS87" s="83">
        <v>46201</v>
      </c>
      <c r="AT87" s="53"/>
      <c r="AU87" s="53"/>
    </row>
    <row r="88" spans="3:47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8"/>
        <v>1</v>
      </c>
      <c r="M88" s="26">
        <f t="shared" si="9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67" t="e">
        <f>SUMIFS([1]Up!$J:$J,[1]Up!$D:$D,D88)</f>
        <v>#VALUE!</v>
      </c>
      <c r="AK88" s="82"/>
      <c r="AL88" s="82" t="str">
        <f t="shared" si="10"/>
        <v>PL10</v>
      </c>
      <c r="AM88" s="53" t="str">
        <f t="shared" si="11"/>
        <v/>
      </c>
      <c r="AN88" s="53" t="s">
        <v>148</v>
      </c>
      <c r="AO88" s="84" t="s">
        <v>210</v>
      </c>
      <c r="AP88" s="53"/>
      <c r="AQ88" s="53" t="s">
        <v>211</v>
      </c>
      <c r="AR88" s="53">
        <v>1</v>
      </c>
      <c r="AS88" s="83">
        <v>46201</v>
      </c>
      <c r="AT88" s="53"/>
      <c r="AU88" s="53"/>
    </row>
    <row r="89" spans="3:47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8"/>
        <v>1</v>
      </c>
      <c r="M89" s="26">
        <f t="shared" si="9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67" t="e">
        <f>SUMIFS([1]Up!$J:$J,[1]Up!$D:$D,D89)</f>
        <v>#VALUE!</v>
      </c>
      <c r="AK89" s="82"/>
      <c r="AL89" s="82" t="str">
        <f t="shared" si="10"/>
        <v>PL10</v>
      </c>
      <c r="AM89" s="53" t="str">
        <f t="shared" si="11"/>
        <v/>
      </c>
      <c r="AN89" s="53" t="s">
        <v>148</v>
      </c>
      <c r="AO89" s="84" t="s">
        <v>210</v>
      </c>
      <c r="AP89" s="53"/>
      <c r="AQ89" s="53" t="s">
        <v>211</v>
      </c>
      <c r="AR89" s="53">
        <v>1</v>
      </c>
      <c r="AS89" s="83">
        <v>46201</v>
      </c>
      <c r="AT89" s="53"/>
      <c r="AU89" s="53"/>
    </row>
    <row r="90" spans="3:47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8"/>
        <v>1</v>
      </c>
      <c r="M90" s="26">
        <f t="shared" si="9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67" t="e">
        <f>SUMIFS([1]Up!$J:$J,[1]Up!$D:$D,D90)</f>
        <v>#VALUE!</v>
      </c>
      <c r="AK90" s="82"/>
      <c r="AL90" s="82" t="str">
        <f t="shared" si="10"/>
        <v>PL10</v>
      </c>
      <c r="AM90" s="53" t="str">
        <f t="shared" si="11"/>
        <v/>
      </c>
      <c r="AN90" s="53" t="s">
        <v>148</v>
      </c>
      <c r="AO90" s="84" t="s">
        <v>210</v>
      </c>
      <c r="AP90" s="53"/>
      <c r="AQ90" s="53" t="s">
        <v>211</v>
      </c>
      <c r="AR90" s="53">
        <v>1</v>
      </c>
      <c r="AS90" s="83">
        <v>46201</v>
      </c>
      <c r="AT90" s="53"/>
      <c r="AU90" s="53"/>
    </row>
    <row r="91" spans="3:47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8"/>
        <v>1</v>
      </c>
      <c r="M91" s="26">
        <f t="shared" si="9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67" t="e">
        <f>SUMIFS([1]Up!$J:$J,[1]Up!$D:$D,D91)</f>
        <v>#VALUE!</v>
      </c>
      <c r="AK91" s="82"/>
      <c r="AL91" s="82" t="str">
        <f t="shared" si="10"/>
        <v>PL10</v>
      </c>
      <c r="AM91" s="53" t="str">
        <f t="shared" si="11"/>
        <v/>
      </c>
      <c r="AN91" s="53" t="s">
        <v>148</v>
      </c>
      <c r="AO91" s="84" t="s">
        <v>210</v>
      </c>
      <c r="AP91" s="53"/>
      <c r="AQ91" s="53" t="s">
        <v>211</v>
      </c>
      <c r="AR91" s="53">
        <v>1</v>
      </c>
      <c r="AS91" s="83">
        <v>46201</v>
      </c>
      <c r="AT91" s="53"/>
      <c r="AU91" s="53"/>
    </row>
    <row r="92" spans="3:47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8"/>
        <v>1</v>
      </c>
      <c r="M92" s="26">
        <f t="shared" si="9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67" t="e">
        <f>SUMIFS([1]Up!$J:$J,[1]Up!$D:$D,D92)</f>
        <v>#VALUE!</v>
      </c>
      <c r="AK92" s="82"/>
      <c r="AL92" s="82" t="str">
        <f t="shared" si="10"/>
        <v>PL15</v>
      </c>
      <c r="AM92" s="53" t="str">
        <f t="shared" si="11"/>
        <v/>
      </c>
      <c r="AN92" s="53" t="s">
        <v>148</v>
      </c>
      <c r="AO92" s="84" t="s">
        <v>200</v>
      </c>
      <c r="AP92" s="53"/>
      <c r="AQ92" s="53" t="s">
        <v>201</v>
      </c>
      <c r="AR92" s="53">
        <v>1</v>
      </c>
      <c r="AS92" s="83">
        <v>46201</v>
      </c>
      <c r="AT92" s="53"/>
      <c r="AU92" s="53"/>
    </row>
    <row r="93" spans="3:47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8"/>
        <v>1</v>
      </c>
      <c r="M93" s="26">
        <f t="shared" si="9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67" t="e">
        <f>SUMIFS([1]Up!$J:$J,[1]Up!$D:$D,D93)</f>
        <v>#VALUE!</v>
      </c>
      <c r="AK93" s="82"/>
      <c r="AL93" s="82" t="str">
        <f t="shared" si="10"/>
        <v>PL20</v>
      </c>
      <c r="AM93" s="53" t="str">
        <f t="shared" si="11"/>
        <v/>
      </c>
      <c r="AN93" s="53" t="s">
        <v>148</v>
      </c>
      <c r="AO93" s="84" t="s">
        <v>319</v>
      </c>
      <c r="AP93" s="53"/>
      <c r="AQ93" s="53" t="s">
        <v>320</v>
      </c>
      <c r="AR93" s="53">
        <v>1</v>
      </c>
      <c r="AS93" s="83">
        <v>46202</v>
      </c>
      <c r="AT93" s="53"/>
      <c r="AU93" s="53"/>
    </row>
    <row r="94" spans="3:47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8"/>
        <v>1</v>
      </c>
      <c r="M94" s="26">
        <f t="shared" si="9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67" t="e">
        <f>SUMIFS([1]Up!$J:$J,[1]Up!$D:$D,D94)</f>
        <v>#VALUE!</v>
      </c>
      <c r="AK94" s="82"/>
      <c r="AL94" s="82" t="str">
        <f t="shared" si="10"/>
        <v>PL20</v>
      </c>
      <c r="AM94" s="53" t="str">
        <f t="shared" si="11"/>
        <v/>
      </c>
      <c r="AN94" s="53" t="s">
        <v>148</v>
      </c>
      <c r="AO94" s="84" t="s">
        <v>319</v>
      </c>
      <c r="AP94" s="53"/>
      <c r="AQ94" s="53" t="s">
        <v>320</v>
      </c>
      <c r="AR94" s="53">
        <v>1</v>
      </c>
      <c r="AS94" s="83">
        <v>46202</v>
      </c>
      <c r="AT94" s="53"/>
      <c r="AU94" s="53"/>
    </row>
    <row r="95" spans="3:47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8"/>
        <v>1</v>
      </c>
      <c r="M95" s="26">
        <f t="shared" si="9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67" t="e">
        <f>SUMIFS([1]Up!$J:$J,[1]Up!$D:$D,D95)</f>
        <v>#VALUE!</v>
      </c>
      <c r="AK95" s="82"/>
      <c r="AL95" s="82" t="str">
        <f t="shared" si="10"/>
        <v>PL15</v>
      </c>
      <c r="AM95" s="53" t="str">
        <f t="shared" si="11"/>
        <v/>
      </c>
      <c r="AN95" s="53" t="s">
        <v>148</v>
      </c>
      <c r="AO95" s="84" t="s">
        <v>200</v>
      </c>
      <c r="AP95" s="53"/>
      <c r="AQ95" s="53" t="s">
        <v>201</v>
      </c>
      <c r="AR95" s="53">
        <v>1</v>
      </c>
      <c r="AS95" s="83">
        <v>46201</v>
      </c>
      <c r="AT95" s="53"/>
      <c r="AU95" s="53"/>
    </row>
    <row r="96" spans="3:47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8"/>
        <v>1</v>
      </c>
      <c r="M96" s="26">
        <f t="shared" si="9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67" t="e">
        <f>SUMIFS([1]Up!$J:$J,[1]Up!$D:$D,D96)</f>
        <v>#VALUE!</v>
      </c>
      <c r="AK96" s="82"/>
      <c r="AL96" s="82" t="str">
        <f t="shared" si="10"/>
        <v>PL10</v>
      </c>
      <c r="AM96" s="53" t="str">
        <f t="shared" si="11"/>
        <v/>
      </c>
      <c r="AN96" s="53" t="s">
        <v>148</v>
      </c>
      <c r="AO96" s="84" t="s">
        <v>210</v>
      </c>
      <c r="AP96" s="53"/>
      <c r="AQ96" s="53" t="s">
        <v>211</v>
      </c>
      <c r="AR96" s="53">
        <v>1</v>
      </c>
      <c r="AS96" s="83">
        <v>46201</v>
      </c>
      <c r="AT96" s="53"/>
      <c r="AU96" s="53"/>
    </row>
    <row r="97" spans="3:47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8"/>
        <v>1</v>
      </c>
      <c r="M97" s="26">
        <f t="shared" si="9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67" t="e">
        <f>SUMIFS([1]Up!$J:$J,[1]Up!$D:$D,D97)</f>
        <v>#VALUE!</v>
      </c>
      <c r="AK97" s="82"/>
      <c r="AL97" s="82" t="str">
        <f t="shared" si="10"/>
        <v>PL10</v>
      </c>
      <c r="AM97" s="53" t="str">
        <f t="shared" si="11"/>
        <v/>
      </c>
      <c r="AN97" s="53" t="s">
        <v>148</v>
      </c>
      <c r="AO97" s="84" t="s">
        <v>210</v>
      </c>
      <c r="AP97" s="53"/>
      <c r="AQ97" s="53" t="s">
        <v>211</v>
      </c>
      <c r="AR97" s="53">
        <v>1</v>
      </c>
      <c r="AS97" s="83">
        <v>46201</v>
      </c>
      <c r="AT97" s="53"/>
      <c r="AU97" s="53"/>
    </row>
    <row r="98" spans="3:47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8"/>
        <v>1</v>
      </c>
      <c r="M98" s="26">
        <f t="shared" si="9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67" t="e">
        <f>SUMIFS([1]Up!$J:$J,[1]Up!$D:$D,D98)</f>
        <v>#VALUE!</v>
      </c>
      <c r="AK98" s="82"/>
      <c r="AL98" s="82" t="str">
        <f t="shared" si="10"/>
        <v>PL10</v>
      </c>
      <c r="AM98" s="53" t="str">
        <f t="shared" si="11"/>
        <v/>
      </c>
      <c r="AN98" s="53" t="s">
        <v>148</v>
      </c>
      <c r="AO98" s="84" t="s">
        <v>210</v>
      </c>
      <c r="AP98" s="53"/>
      <c r="AQ98" s="53" t="s">
        <v>211</v>
      </c>
      <c r="AR98" s="53">
        <v>1</v>
      </c>
      <c r="AS98" s="83">
        <v>46201</v>
      </c>
      <c r="AT98" s="53"/>
      <c r="AU98" s="53"/>
    </row>
    <row r="99" spans="3:47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8"/>
        <v>1</v>
      </c>
      <c r="M99" s="26">
        <f t="shared" si="9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67" t="e">
        <f>SUMIFS([1]Up!$J:$J,[1]Up!$D:$D,D99)</f>
        <v>#VALUE!</v>
      </c>
      <c r="AK99" s="82"/>
      <c r="AL99" s="82" t="str">
        <f t="shared" si="10"/>
        <v>PL10</v>
      </c>
      <c r="AM99" s="53" t="str">
        <f t="shared" si="11"/>
        <v/>
      </c>
      <c r="AN99" s="53" t="s">
        <v>148</v>
      </c>
      <c r="AO99" s="84" t="s">
        <v>210</v>
      </c>
      <c r="AP99" s="53"/>
      <c r="AQ99" s="53" t="s">
        <v>211</v>
      </c>
      <c r="AR99" s="53">
        <v>1</v>
      </c>
      <c r="AS99" s="83">
        <v>46201</v>
      </c>
      <c r="AT99" s="53"/>
      <c r="AU99" s="53"/>
    </row>
    <row r="100" spans="3:47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8"/>
        <v>1</v>
      </c>
      <c r="M100" s="26">
        <f t="shared" si="9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67" t="e">
        <f>SUMIFS([1]Up!$J:$J,[1]Up!$D:$D,D100)</f>
        <v>#VALUE!</v>
      </c>
      <c r="AK100" s="82"/>
      <c r="AL100" s="82" t="str">
        <f t="shared" si="10"/>
        <v>PL10</v>
      </c>
      <c r="AM100" s="53" t="str">
        <f t="shared" si="11"/>
        <v/>
      </c>
      <c r="AN100" s="53" t="s">
        <v>148</v>
      </c>
      <c r="AO100" s="84" t="s">
        <v>210</v>
      </c>
      <c r="AP100" s="53"/>
      <c r="AQ100" s="53" t="s">
        <v>211</v>
      </c>
      <c r="AR100" s="53">
        <v>1</v>
      </c>
      <c r="AS100" s="83">
        <v>46201</v>
      </c>
      <c r="AT100" s="53"/>
      <c r="AU100" s="53"/>
    </row>
    <row r="101" spans="3:47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8"/>
        <v>0</v>
      </c>
      <c r="M101" s="26">
        <f t="shared" si="9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67" t="e">
        <f>SUMIFS([1]Up!$J:$J,[1]Up!$D:$D,D101)</f>
        <v>#VALUE!</v>
      </c>
      <c r="AK101" s="82"/>
      <c r="AL101" s="82" t="e">
        <f t="shared" si="10"/>
        <v>#VALUE!</v>
      </c>
      <c r="AM101" s="53" t="str">
        <f t="shared" si="11"/>
        <v/>
      </c>
      <c r="AN101" s="53" t="s">
        <v>154</v>
      </c>
      <c r="AO101" s="53"/>
      <c r="AP101" s="53"/>
      <c r="AQ101" s="53" t="s">
        <v>57</v>
      </c>
      <c r="AR101" s="53">
        <v>1</v>
      </c>
      <c r="AS101" s="83"/>
      <c r="AT101" s="53"/>
      <c r="AU101" s="53"/>
    </row>
    <row r="102" spans="3:47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8"/>
        <v>1</v>
      </c>
      <c r="M102" s="26">
        <f t="shared" si="9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67" t="e">
        <f>SUMIFS([1]Up!$J:$J,[1]Up!$D:$D,D102)</f>
        <v>#VALUE!</v>
      </c>
      <c r="AK102" s="82"/>
      <c r="AL102" s="82" t="str">
        <f t="shared" si="10"/>
        <v>PL15</v>
      </c>
      <c r="AM102" s="53" t="str">
        <f t="shared" si="11"/>
        <v/>
      </c>
      <c r="AN102" s="53" t="s">
        <v>148</v>
      </c>
      <c r="AO102" s="84" t="s">
        <v>200</v>
      </c>
      <c r="AP102" s="53"/>
      <c r="AQ102" s="53" t="s">
        <v>201</v>
      </c>
      <c r="AR102" s="53">
        <v>1</v>
      </c>
      <c r="AS102" s="83">
        <v>46201</v>
      </c>
      <c r="AT102" s="53"/>
      <c r="AU102" s="53"/>
    </row>
    <row r="103" spans="3:47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8"/>
        <v>1</v>
      </c>
      <c r="M103" s="26">
        <f t="shared" si="9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67" t="e">
        <f>SUMIFS([1]Up!$J:$J,[1]Up!$D:$D,D103)</f>
        <v>#VALUE!</v>
      </c>
      <c r="AK103" s="82"/>
      <c r="AL103" s="82" t="str">
        <f t="shared" si="10"/>
        <v>PL20</v>
      </c>
      <c r="AM103" s="53" t="str">
        <f t="shared" si="11"/>
        <v/>
      </c>
      <c r="AN103" s="53" t="s">
        <v>148</v>
      </c>
      <c r="AO103" s="84" t="s">
        <v>319</v>
      </c>
      <c r="AP103" s="53"/>
      <c r="AQ103" s="53" t="s">
        <v>320</v>
      </c>
      <c r="AR103" s="53">
        <v>1</v>
      </c>
      <c r="AS103" s="83">
        <v>46202</v>
      </c>
      <c r="AT103" s="53"/>
      <c r="AU103" s="53"/>
    </row>
    <row r="104" spans="3:47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8"/>
        <v>1</v>
      </c>
      <c r="M104" s="26">
        <f t="shared" si="9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67" t="e">
        <f>SUMIFS([1]Up!$J:$J,[1]Up!$D:$D,D104)</f>
        <v>#VALUE!</v>
      </c>
      <c r="AK104" s="82"/>
      <c r="AL104" s="82" t="str">
        <f t="shared" si="10"/>
        <v>PL20</v>
      </c>
      <c r="AM104" s="53" t="str">
        <f t="shared" si="11"/>
        <v/>
      </c>
      <c r="AN104" s="53" t="s">
        <v>148</v>
      </c>
      <c r="AO104" s="84" t="s">
        <v>319</v>
      </c>
      <c r="AP104" s="53"/>
      <c r="AQ104" s="53" t="s">
        <v>320</v>
      </c>
      <c r="AR104" s="53">
        <v>1</v>
      </c>
      <c r="AS104" s="83">
        <v>46202</v>
      </c>
      <c r="AT104" s="53"/>
      <c r="AU104" s="53"/>
    </row>
    <row r="105" spans="3:47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8"/>
        <v>1</v>
      </c>
      <c r="M105" s="26">
        <f t="shared" si="9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67" t="e">
        <f>SUMIFS([1]Up!$J:$J,[1]Up!$D:$D,D105)</f>
        <v>#VALUE!</v>
      </c>
      <c r="AK105" s="82" t="s">
        <v>2072</v>
      </c>
      <c r="AL105" s="82" t="str">
        <f t="shared" si="10"/>
        <v>PL15</v>
      </c>
      <c r="AM105" s="53" t="str">
        <f t="shared" si="11"/>
        <v>Thừa 2</v>
      </c>
      <c r="AN105" s="53" t="s">
        <v>148</v>
      </c>
      <c r="AO105" s="53"/>
      <c r="AP105" s="53"/>
      <c r="AQ105" s="53" t="s">
        <v>57</v>
      </c>
      <c r="AR105" s="53">
        <v>1</v>
      </c>
      <c r="AS105" s="83"/>
      <c r="AT105" s="53"/>
      <c r="AU105" s="53"/>
    </row>
    <row r="106" spans="3:47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8"/>
        <v>0</v>
      </c>
      <c r="M106" s="26">
        <f t="shared" si="9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67" t="e">
        <f>SUMIFS([1]Up!$J:$J,[1]Up!$D:$D,D106)</f>
        <v>#VALUE!</v>
      </c>
      <c r="AK106" s="82"/>
      <c r="AL106" s="82" t="e">
        <f t="shared" si="10"/>
        <v>#VALUE!</v>
      </c>
      <c r="AM106" s="53" t="str">
        <f t="shared" si="11"/>
        <v/>
      </c>
      <c r="AN106" s="53" t="s">
        <v>154</v>
      </c>
      <c r="AO106" s="53"/>
      <c r="AP106" s="53"/>
      <c r="AQ106" s="53" t="s">
        <v>57</v>
      </c>
      <c r="AR106" s="53">
        <v>1</v>
      </c>
      <c r="AS106" s="83"/>
      <c r="AT106" s="53"/>
      <c r="AU106" s="53"/>
    </row>
    <row r="107" spans="3:47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8"/>
        <v>1</v>
      </c>
      <c r="M107" s="26">
        <f t="shared" si="9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67" t="e">
        <f>SUMIFS([1]Up!$J:$J,[1]Up!$D:$D,D107)</f>
        <v>#VALUE!</v>
      </c>
      <c r="AK107" s="82" t="s">
        <v>2078</v>
      </c>
      <c r="AL107" s="82" t="str">
        <f t="shared" si="10"/>
        <v>PL15</v>
      </c>
      <c r="AM107" s="53" t="str">
        <f t="shared" si="11"/>
        <v>Thừa 2</v>
      </c>
      <c r="AN107" s="53" t="s">
        <v>148</v>
      </c>
      <c r="AO107" s="53"/>
      <c r="AP107" s="53"/>
      <c r="AQ107" s="53" t="s">
        <v>57</v>
      </c>
      <c r="AR107" s="53">
        <v>1</v>
      </c>
      <c r="AS107" s="83"/>
      <c r="AT107" s="53"/>
      <c r="AU107" s="53"/>
    </row>
    <row r="108" spans="3:47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8"/>
        <v>2</v>
      </c>
      <c r="M108" s="26">
        <f t="shared" si="9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67" t="e">
        <f>SUMIFS([1]Up!$J:$J,[1]Up!$D:$D,D108)</f>
        <v>#VALUE!</v>
      </c>
      <c r="AK108" s="82"/>
      <c r="AL108" s="82" t="str">
        <f t="shared" si="10"/>
        <v>PL20</v>
      </c>
      <c r="AM108" s="53" t="str">
        <f t="shared" si="11"/>
        <v/>
      </c>
      <c r="AN108" s="53" t="s">
        <v>148</v>
      </c>
      <c r="AO108" s="84" t="s">
        <v>319</v>
      </c>
      <c r="AP108" s="53"/>
      <c r="AQ108" s="53" t="s">
        <v>320</v>
      </c>
      <c r="AR108" s="53">
        <v>2</v>
      </c>
      <c r="AS108" s="83">
        <v>46202</v>
      </c>
      <c r="AT108" s="53"/>
      <c r="AU108" s="53"/>
    </row>
    <row r="109" spans="3:47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8"/>
        <v>4</v>
      </c>
      <c r="M109" s="26">
        <f t="shared" si="9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67" t="e">
        <f>SUMIFS([1]Up!$J:$J,[1]Up!$D:$D,D109)</f>
        <v>#VALUE!</v>
      </c>
      <c r="AK109" s="82"/>
      <c r="AL109" s="82" t="str">
        <f t="shared" si="10"/>
        <v>PL3</v>
      </c>
      <c r="AM109" s="53" t="str">
        <f t="shared" si="11"/>
        <v/>
      </c>
      <c r="AN109" s="53" t="s">
        <v>148</v>
      </c>
      <c r="AO109" s="84" t="s">
        <v>682</v>
      </c>
      <c r="AP109" s="53"/>
      <c r="AQ109" s="53" t="s">
        <v>683</v>
      </c>
      <c r="AR109" s="53">
        <v>4</v>
      </c>
      <c r="AS109" s="83">
        <v>46196</v>
      </c>
      <c r="AT109" s="53"/>
      <c r="AU109" s="53"/>
    </row>
    <row r="110" spans="3:47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8"/>
        <v>2</v>
      </c>
      <c r="M110" s="26">
        <f t="shared" si="9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67" t="e">
        <f>SUMIFS([1]Up!$J:$J,[1]Up!$D:$D,D110)</f>
        <v>#VALUE!</v>
      </c>
      <c r="AK110" s="82"/>
      <c r="AL110" s="82" t="str">
        <f t="shared" si="10"/>
        <v>PL20</v>
      </c>
      <c r="AM110" s="53" t="str">
        <f t="shared" si="11"/>
        <v/>
      </c>
      <c r="AN110" s="53" t="s">
        <v>148</v>
      </c>
      <c r="AO110" s="84" t="s">
        <v>319</v>
      </c>
      <c r="AP110" s="53"/>
      <c r="AQ110" s="53" t="s">
        <v>320</v>
      </c>
      <c r="AR110" s="53">
        <v>2</v>
      </c>
      <c r="AS110" s="83">
        <v>46202</v>
      </c>
      <c r="AT110" s="53"/>
      <c r="AU110" s="53"/>
    </row>
    <row r="111" spans="3:47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8"/>
        <v>4</v>
      </c>
      <c r="M111" s="26">
        <f t="shared" si="9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67" t="e">
        <f>SUMIFS([1]Up!$J:$J,[1]Up!$D:$D,D111)</f>
        <v>#VALUE!</v>
      </c>
      <c r="AK111" s="82"/>
      <c r="AL111" s="82" t="str">
        <f t="shared" si="10"/>
        <v>PL20</v>
      </c>
      <c r="AM111" s="53" t="str">
        <f t="shared" si="11"/>
        <v/>
      </c>
      <c r="AN111" s="53" t="s">
        <v>148</v>
      </c>
      <c r="AO111" s="84" t="s">
        <v>319</v>
      </c>
      <c r="AP111" s="53"/>
      <c r="AQ111" s="53" t="s">
        <v>320</v>
      </c>
      <c r="AR111" s="53">
        <v>4</v>
      </c>
      <c r="AS111" s="83">
        <v>46202</v>
      </c>
      <c r="AT111" s="53"/>
      <c r="AU111" s="53"/>
    </row>
    <row r="112" spans="3:47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8"/>
        <v>1</v>
      </c>
      <c r="M112" s="26">
        <f t="shared" si="9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67" t="e">
        <f>SUMIFS([1]Up!$J:$J,[1]Up!$D:$D,D112)</f>
        <v>#VALUE!</v>
      </c>
      <c r="AK112" s="82"/>
      <c r="AL112" s="82" t="str">
        <f t="shared" si="10"/>
        <v>PL30</v>
      </c>
      <c r="AM112" s="53" t="str">
        <f t="shared" si="11"/>
        <v/>
      </c>
      <c r="AN112" s="53" t="s">
        <v>148</v>
      </c>
      <c r="AO112" s="84" t="s">
        <v>688</v>
      </c>
      <c r="AP112" s="53"/>
      <c r="AQ112" s="53" t="s">
        <v>689</v>
      </c>
      <c r="AR112" s="53">
        <v>1</v>
      </c>
      <c r="AS112" s="83">
        <v>46196</v>
      </c>
      <c r="AT112" s="53"/>
      <c r="AU112" s="53"/>
    </row>
    <row r="113" spans="3:47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8"/>
        <v>2</v>
      </c>
      <c r="M113" s="26">
        <f t="shared" si="9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67" t="e">
        <f>SUMIFS([1]Up!$J:$J,[1]Up!$D:$D,D113)</f>
        <v>#VALUE!</v>
      </c>
      <c r="AK113" s="82"/>
      <c r="AL113" s="82" t="str">
        <f t="shared" si="10"/>
        <v>PL20</v>
      </c>
      <c r="AM113" s="53" t="str">
        <f t="shared" si="11"/>
        <v/>
      </c>
      <c r="AN113" s="53" t="s">
        <v>148</v>
      </c>
      <c r="AO113" s="84" t="s">
        <v>319</v>
      </c>
      <c r="AP113" s="53"/>
      <c r="AQ113" s="53" t="s">
        <v>320</v>
      </c>
      <c r="AR113" s="53">
        <v>2</v>
      </c>
      <c r="AS113" s="83">
        <v>46202</v>
      </c>
      <c r="AT113" s="53"/>
      <c r="AU113" s="53"/>
    </row>
    <row r="114" spans="3:47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8"/>
        <v>2</v>
      </c>
      <c r="M114" s="26">
        <f t="shared" si="9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67" t="e">
        <f>SUMIFS([1]Up!$J:$J,[1]Up!$D:$D,D114)</f>
        <v>#VALUE!</v>
      </c>
      <c r="AK114" s="82"/>
      <c r="AL114" s="82" t="str">
        <f t="shared" si="10"/>
        <v>PL20</v>
      </c>
      <c r="AM114" s="53" t="str">
        <f t="shared" si="11"/>
        <v/>
      </c>
      <c r="AN114" s="53" t="s">
        <v>148</v>
      </c>
      <c r="AO114" s="84" t="s">
        <v>319</v>
      </c>
      <c r="AP114" s="53"/>
      <c r="AQ114" s="53" t="s">
        <v>320</v>
      </c>
      <c r="AR114" s="53">
        <v>2</v>
      </c>
      <c r="AS114" s="83">
        <v>46202</v>
      </c>
      <c r="AT114" s="53"/>
      <c r="AU114" s="53"/>
    </row>
    <row r="115" spans="3:47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8"/>
        <v>2</v>
      </c>
      <c r="M115" s="26">
        <f t="shared" si="9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67" t="e">
        <f>SUMIFS([1]Up!$J:$J,[1]Up!$D:$D,D115)</f>
        <v>#VALUE!</v>
      </c>
      <c r="AK115" s="82"/>
      <c r="AL115" s="82" t="str">
        <f t="shared" si="10"/>
        <v>PL20</v>
      </c>
      <c r="AM115" s="53" t="str">
        <f t="shared" si="11"/>
        <v/>
      </c>
      <c r="AN115" s="53" t="s">
        <v>148</v>
      </c>
      <c r="AO115" s="84" t="s">
        <v>319</v>
      </c>
      <c r="AP115" s="53"/>
      <c r="AQ115" s="53" t="s">
        <v>320</v>
      </c>
      <c r="AR115" s="53">
        <v>2</v>
      </c>
      <c r="AS115" s="83">
        <v>46202</v>
      </c>
      <c r="AT115" s="53"/>
      <c r="AU115" s="53"/>
    </row>
    <row r="116" spans="3:47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8"/>
        <v>2</v>
      </c>
      <c r="M116" s="26">
        <f t="shared" si="9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67" t="e">
        <f>SUMIFS([1]Up!$J:$J,[1]Up!$D:$D,D116)</f>
        <v>#VALUE!</v>
      </c>
      <c r="AK116" s="82"/>
      <c r="AL116" s="82" t="str">
        <f t="shared" si="10"/>
        <v>PL20</v>
      </c>
      <c r="AM116" s="53" t="str">
        <f t="shared" si="11"/>
        <v/>
      </c>
      <c r="AN116" s="53" t="s">
        <v>148</v>
      </c>
      <c r="AO116" s="84" t="s">
        <v>319</v>
      </c>
      <c r="AP116" s="53"/>
      <c r="AQ116" s="53" t="s">
        <v>320</v>
      </c>
      <c r="AR116" s="53">
        <v>2</v>
      </c>
      <c r="AS116" s="83">
        <v>46202</v>
      </c>
      <c r="AT116" s="53"/>
      <c r="AU116" s="53"/>
    </row>
    <row r="117" spans="3:47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8"/>
        <v>2</v>
      </c>
      <c r="M117" s="26">
        <f t="shared" si="9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67" t="e">
        <f>SUMIFS([1]Up!$J:$J,[1]Up!$D:$D,D117)</f>
        <v>#VALUE!</v>
      </c>
      <c r="AK117" s="82"/>
      <c r="AL117" s="82" t="str">
        <f t="shared" si="10"/>
        <v>PL20</v>
      </c>
      <c r="AM117" s="53" t="str">
        <f t="shared" si="11"/>
        <v/>
      </c>
      <c r="AN117" s="53" t="s">
        <v>148</v>
      </c>
      <c r="AO117" s="84" t="s">
        <v>319</v>
      </c>
      <c r="AP117" s="53"/>
      <c r="AQ117" s="53" t="s">
        <v>320</v>
      </c>
      <c r="AR117" s="53">
        <v>2</v>
      </c>
      <c r="AS117" s="83">
        <v>46202</v>
      </c>
      <c r="AT117" s="53"/>
      <c r="AU117" s="53"/>
    </row>
    <row r="118" spans="3:47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8"/>
        <v>2</v>
      </c>
      <c r="M118" s="26">
        <f t="shared" si="9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67" t="e">
        <f>SUMIFS([1]Up!$J:$J,[1]Up!$D:$D,D118)</f>
        <v>#VALUE!</v>
      </c>
      <c r="AK118" s="82"/>
      <c r="AL118" s="82" t="str">
        <f t="shared" si="10"/>
        <v>PL20</v>
      </c>
      <c r="AM118" s="53" t="str">
        <f t="shared" si="11"/>
        <v/>
      </c>
      <c r="AN118" s="53" t="s">
        <v>148</v>
      </c>
      <c r="AO118" s="84" t="s">
        <v>319</v>
      </c>
      <c r="AP118" s="53"/>
      <c r="AQ118" s="53" t="s">
        <v>320</v>
      </c>
      <c r="AR118" s="53">
        <v>2</v>
      </c>
      <c r="AS118" s="83">
        <v>46202</v>
      </c>
      <c r="AT118" s="53"/>
      <c r="AU118" s="53"/>
    </row>
    <row r="119" spans="3:47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8"/>
        <v>2</v>
      </c>
      <c r="M119" s="26">
        <f t="shared" si="9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67" t="e">
        <f>SUMIFS([1]Up!$J:$J,[1]Up!$D:$D,D119)</f>
        <v>#VALUE!</v>
      </c>
      <c r="AK119" s="82"/>
      <c r="AL119" s="82" t="str">
        <f t="shared" si="10"/>
        <v>PL20</v>
      </c>
      <c r="AM119" s="53" t="str">
        <f t="shared" si="11"/>
        <v/>
      </c>
      <c r="AN119" s="53" t="s">
        <v>148</v>
      </c>
      <c r="AO119" s="84" t="s">
        <v>319</v>
      </c>
      <c r="AP119" s="53"/>
      <c r="AQ119" s="53" t="s">
        <v>320</v>
      </c>
      <c r="AR119" s="53">
        <v>2</v>
      </c>
      <c r="AS119" s="83">
        <v>46202</v>
      </c>
      <c r="AT119" s="53"/>
      <c r="AU119" s="53"/>
    </row>
    <row r="120" spans="3:47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8"/>
        <v>2</v>
      </c>
      <c r="M120" s="26">
        <f t="shared" si="9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67" t="e">
        <f>SUMIFS([1]Up!$J:$J,[1]Up!$D:$D,D120)</f>
        <v>#VALUE!</v>
      </c>
      <c r="AK120" s="82"/>
      <c r="AL120" s="82" t="str">
        <f t="shared" si="10"/>
        <v>PL20</v>
      </c>
      <c r="AM120" s="53" t="str">
        <f t="shared" si="11"/>
        <v/>
      </c>
      <c r="AN120" s="53" t="s">
        <v>148</v>
      </c>
      <c r="AO120" s="84" t="s">
        <v>319</v>
      </c>
      <c r="AP120" s="53"/>
      <c r="AQ120" s="53" t="s">
        <v>320</v>
      </c>
      <c r="AR120" s="53">
        <v>2</v>
      </c>
      <c r="AS120" s="83">
        <v>46202</v>
      </c>
      <c r="AT120" s="53"/>
      <c r="AU120" s="53"/>
    </row>
    <row r="121" spans="3:47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8"/>
        <v>1</v>
      </c>
      <c r="M121" s="26">
        <f t="shared" si="9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67" t="e">
        <f>SUMIFS([1]Up!$J:$J,[1]Up!$D:$D,D121)</f>
        <v>#VALUE!</v>
      </c>
      <c r="AK121" s="82"/>
      <c r="AL121" s="82" t="str">
        <f t="shared" si="10"/>
        <v>PL5</v>
      </c>
      <c r="AM121" s="53" t="str">
        <f t="shared" si="11"/>
        <v/>
      </c>
      <c r="AN121" s="53" t="s">
        <v>148</v>
      </c>
      <c r="AO121" s="53" t="s">
        <v>704</v>
      </c>
      <c r="AP121" s="53"/>
      <c r="AQ121" s="53" t="s">
        <v>705</v>
      </c>
      <c r="AR121" s="53">
        <v>1</v>
      </c>
      <c r="AS121" s="83">
        <v>46196</v>
      </c>
      <c r="AT121" s="53"/>
      <c r="AU121" s="53"/>
    </row>
    <row r="122" spans="3:47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8"/>
        <v>1</v>
      </c>
      <c r="M122" s="26">
        <f t="shared" si="9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67" t="e">
        <f>SUMIFS([1]Up!$J:$J,[1]Up!$D:$D,D122)</f>
        <v>#VALUE!</v>
      </c>
      <c r="AK122" s="82"/>
      <c r="AL122" s="82" t="str">
        <f t="shared" si="10"/>
        <v>PL20</v>
      </c>
      <c r="AM122" s="53" t="str">
        <f t="shared" si="11"/>
        <v/>
      </c>
      <c r="AN122" s="53" t="s">
        <v>148</v>
      </c>
      <c r="AO122" s="84" t="s">
        <v>319</v>
      </c>
      <c r="AP122" s="53"/>
      <c r="AQ122" s="53" t="s">
        <v>320</v>
      </c>
      <c r="AR122" s="53">
        <v>1</v>
      </c>
      <c r="AS122" s="83">
        <v>46202</v>
      </c>
      <c r="AT122" s="53"/>
      <c r="AU122" s="53"/>
    </row>
    <row r="123" spans="3:47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8"/>
        <v>1</v>
      </c>
      <c r="M123" s="26">
        <f t="shared" si="9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67" t="e">
        <f>SUMIFS([1]Up!$J:$J,[1]Up!$D:$D,D123)</f>
        <v>#VALUE!</v>
      </c>
      <c r="AK123" s="82"/>
      <c r="AL123" s="82" t="str">
        <f t="shared" si="10"/>
        <v>PL20</v>
      </c>
      <c r="AM123" s="53" t="str">
        <f t="shared" si="11"/>
        <v/>
      </c>
      <c r="AN123" s="53" t="s">
        <v>148</v>
      </c>
      <c r="AO123" s="84" t="s">
        <v>319</v>
      </c>
      <c r="AP123" s="53"/>
      <c r="AQ123" s="53" t="s">
        <v>320</v>
      </c>
      <c r="AR123" s="53">
        <v>1</v>
      </c>
      <c r="AS123" s="83">
        <v>46202</v>
      </c>
      <c r="AT123" s="53"/>
      <c r="AU123" s="53"/>
    </row>
    <row r="124" spans="3:47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8"/>
        <v>2</v>
      </c>
      <c r="M124" s="26">
        <f t="shared" si="9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67" t="e">
        <f>SUMIFS([1]Up!$J:$J,[1]Up!$D:$D,D124)</f>
        <v>#VALUE!</v>
      </c>
      <c r="AK124" s="82"/>
      <c r="AL124" s="82" t="str">
        <f t="shared" si="10"/>
        <v>PL20</v>
      </c>
      <c r="AM124" s="53" t="str">
        <f t="shared" si="11"/>
        <v/>
      </c>
      <c r="AN124" s="53" t="s">
        <v>148</v>
      </c>
      <c r="AO124" s="84" t="s">
        <v>319</v>
      </c>
      <c r="AP124" s="53"/>
      <c r="AQ124" s="53" t="s">
        <v>320</v>
      </c>
      <c r="AR124" s="53">
        <v>2</v>
      </c>
      <c r="AS124" s="83">
        <v>46202</v>
      </c>
      <c r="AT124" s="53"/>
      <c r="AU124" s="53"/>
    </row>
    <row r="125" spans="3:47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8"/>
        <v>2</v>
      </c>
      <c r="M125" s="26">
        <f t="shared" si="9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67" t="e">
        <f>SUMIFS([1]Up!$J:$J,[1]Up!$D:$D,D125)</f>
        <v>#VALUE!</v>
      </c>
      <c r="AK125" s="82"/>
      <c r="AL125" s="82" t="str">
        <f t="shared" si="10"/>
        <v>PL20</v>
      </c>
      <c r="AM125" s="53" t="str">
        <f t="shared" si="11"/>
        <v/>
      </c>
      <c r="AN125" s="53" t="s">
        <v>148</v>
      </c>
      <c r="AO125" s="84" t="s">
        <v>319</v>
      </c>
      <c r="AP125" s="53"/>
      <c r="AQ125" s="53" t="s">
        <v>320</v>
      </c>
      <c r="AR125" s="53">
        <v>2</v>
      </c>
      <c r="AS125" s="83">
        <v>46202</v>
      </c>
      <c r="AT125" s="53"/>
      <c r="AU125" s="53"/>
    </row>
    <row r="126" spans="3:47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8"/>
        <v>2</v>
      </c>
      <c r="M126" s="26">
        <f t="shared" si="9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67" t="e">
        <f>SUMIFS([1]Up!$J:$J,[1]Up!$D:$D,D126)</f>
        <v>#VALUE!</v>
      </c>
      <c r="AK126" s="82"/>
      <c r="AL126" s="82" t="str">
        <f t="shared" si="10"/>
        <v>PL20</v>
      </c>
      <c r="AM126" s="53" t="str">
        <f t="shared" si="11"/>
        <v/>
      </c>
      <c r="AN126" s="53" t="s">
        <v>148</v>
      </c>
      <c r="AO126" s="84" t="s">
        <v>319</v>
      </c>
      <c r="AP126" s="53"/>
      <c r="AQ126" s="53" t="s">
        <v>320</v>
      </c>
      <c r="AR126" s="53">
        <v>2</v>
      </c>
      <c r="AS126" s="83">
        <v>46202</v>
      </c>
      <c r="AT126" s="53"/>
      <c r="AU126" s="53"/>
    </row>
    <row r="127" spans="3:47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8"/>
        <v>2</v>
      </c>
      <c r="M127" s="26">
        <f t="shared" si="9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67" t="e">
        <f>SUMIFS([1]Up!$J:$J,[1]Up!$D:$D,D127)</f>
        <v>#VALUE!</v>
      </c>
      <c r="AK127" s="82"/>
      <c r="AL127" s="82" t="str">
        <f t="shared" si="10"/>
        <v>PL20</v>
      </c>
      <c r="AM127" s="53" t="str">
        <f t="shared" si="11"/>
        <v/>
      </c>
      <c r="AN127" s="53" t="s">
        <v>148</v>
      </c>
      <c r="AO127" s="84" t="s">
        <v>319</v>
      </c>
      <c r="AP127" s="53"/>
      <c r="AQ127" s="53" t="s">
        <v>320</v>
      </c>
      <c r="AR127" s="53">
        <v>2</v>
      </c>
      <c r="AS127" s="83">
        <v>46202</v>
      </c>
      <c r="AT127" s="53"/>
      <c r="AU127" s="53"/>
    </row>
    <row r="128" spans="3:47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8"/>
        <v>6</v>
      </c>
      <c r="M128" s="26">
        <f t="shared" si="9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67" t="e">
        <f>SUMIFS([1]Up!$J:$J,[1]Up!$D:$D,D128)</f>
        <v>#VALUE!</v>
      </c>
      <c r="AK128" s="82"/>
      <c r="AL128" s="82" t="str">
        <f t="shared" si="10"/>
        <v>PL15</v>
      </c>
      <c r="AM128" s="53" t="str">
        <f t="shared" si="11"/>
        <v/>
      </c>
      <c r="AN128" s="53" t="s">
        <v>148</v>
      </c>
      <c r="AO128" s="84" t="s">
        <v>200</v>
      </c>
      <c r="AP128" s="53"/>
      <c r="AQ128" s="53" t="s">
        <v>201</v>
      </c>
      <c r="AR128" s="53">
        <v>6</v>
      </c>
      <c r="AS128" s="83">
        <v>46201</v>
      </c>
      <c r="AT128" s="53"/>
      <c r="AU128" s="53"/>
    </row>
    <row r="129" spans="3:47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8"/>
        <v>12</v>
      </c>
      <c r="M129" s="26">
        <f t="shared" si="9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67" t="e">
        <f>SUMIFS([1]Up!$J:$J,[1]Up!$D:$D,D129)</f>
        <v>#VALUE!</v>
      </c>
      <c r="AK129" s="82"/>
      <c r="AL129" s="82" t="str">
        <f t="shared" si="10"/>
        <v>PL15</v>
      </c>
      <c r="AM129" s="53" t="str">
        <f t="shared" si="11"/>
        <v/>
      </c>
      <c r="AN129" s="53" t="s">
        <v>148</v>
      </c>
      <c r="AO129" s="84" t="s">
        <v>200</v>
      </c>
      <c r="AP129" s="53"/>
      <c r="AQ129" s="53" t="s">
        <v>201</v>
      </c>
      <c r="AR129" s="53">
        <v>12</v>
      </c>
      <c r="AS129" s="83">
        <v>46201</v>
      </c>
      <c r="AT129" s="53"/>
      <c r="AU129" s="53"/>
    </row>
    <row r="130" spans="3:47" ht="14.25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8"/>
        <v>6</v>
      </c>
      <c r="M130" s="26">
        <f t="shared" si="9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67" t="e">
        <f>SUMIFS([1]Up!$J:$J,[1]Up!$D:$D,D130)</f>
        <v>#VALUE!</v>
      </c>
      <c r="AK130" s="82" t="s">
        <v>2235</v>
      </c>
      <c r="AL130" s="82" t="e">
        <f t="shared" si="10"/>
        <v>#VALUE!</v>
      </c>
      <c r="AM130" s="53" t="str">
        <f t="shared" si="11"/>
        <v>Thừa 18</v>
      </c>
      <c r="AN130" s="53" t="s">
        <v>154</v>
      </c>
      <c r="AO130" s="53"/>
      <c r="AP130" s="53"/>
      <c r="AQ130" s="53" t="s">
        <v>57</v>
      </c>
      <c r="AR130" s="53">
        <v>6</v>
      </c>
      <c r="AS130" s="83"/>
      <c r="AT130" s="53"/>
      <c r="AU130" s="53"/>
    </row>
    <row r="131" spans="3:47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8"/>
        <v>0</v>
      </c>
      <c r="M131" s="26">
        <f t="shared" si="9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67" t="e">
        <f>SUMIFS([1]Up!$J:$J,[1]Up!$D:$D,D131)</f>
        <v>#VALUE!</v>
      </c>
      <c r="AK131" s="82"/>
      <c r="AL131" s="82" t="str">
        <f t="shared" si="10"/>
        <v>PL10</v>
      </c>
      <c r="AM131" s="53" t="str">
        <f t="shared" si="11"/>
        <v/>
      </c>
      <c r="AN131" s="53" t="s">
        <v>148</v>
      </c>
      <c r="AO131" s="84" t="s">
        <v>210</v>
      </c>
      <c r="AP131" s="53"/>
      <c r="AQ131" s="53" t="s">
        <v>211</v>
      </c>
      <c r="AR131" s="53">
        <v>6</v>
      </c>
      <c r="AS131" s="83">
        <v>46201</v>
      </c>
      <c r="AT131" s="53"/>
      <c r="AU131" s="53"/>
    </row>
    <row r="132" spans="3:47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8"/>
        <v>1</v>
      </c>
      <c r="M132" s="26">
        <f t="shared" si="9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67" t="e">
        <f>SUMIFS([1]Up!$J:$J,[1]Up!$D:$D,D132)</f>
        <v>#VALUE!</v>
      </c>
      <c r="AK132" s="82"/>
      <c r="AL132" s="82" t="str">
        <f t="shared" si="10"/>
        <v>PL10</v>
      </c>
      <c r="AM132" s="53" t="str">
        <f t="shared" si="11"/>
        <v/>
      </c>
      <c r="AN132" s="53" t="s">
        <v>148</v>
      </c>
      <c r="AO132" s="84" t="s">
        <v>210</v>
      </c>
      <c r="AP132" s="53"/>
      <c r="AQ132" s="53" t="s">
        <v>211</v>
      </c>
      <c r="AR132" s="53">
        <v>1</v>
      </c>
      <c r="AS132" s="83">
        <v>46201</v>
      </c>
      <c r="AT132" s="53"/>
      <c r="AU132" s="53"/>
    </row>
    <row r="133" spans="3:47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8"/>
        <v>1</v>
      </c>
      <c r="M133" s="26">
        <f t="shared" si="9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67" t="e">
        <f>SUMIFS([1]Up!$J:$J,[1]Up!$D:$D,D133)</f>
        <v>#VALUE!</v>
      </c>
      <c r="AK133" s="82"/>
      <c r="AL133" s="82" t="str">
        <f t="shared" si="10"/>
        <v>PL15</v>
      </c>
      <c r="AM133" s="53" t="str">
        <f t="shared" si="11"/>
        <v/>
      </c>
      <c r="AN133" s="53" t="s">
        <v>148</v>
      </c>
      <c r="AO133" s="84" t="s">
        <v>200</v>
      </c>
      <c r="AP133" s="53"/>
      <c r="AQ133" s="53" t="s">
        <v>201</v>
      </c>
      <c r="AR133" s="53">
        <v>1</v>
      </c>
      <c r="AS133" s="83">
        <v>46201</v>
      </c>
      <c r="AT133" s="53"/>
      <c r="AU133" s="53"/>
    </row>
    <row r="134" spans="3:47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8"/>
        <v>1</v>
      </c>
      <c r="M134" s="26">
        <f t="shared" si="9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67" t="e">
        <f>SUMIFS([1]Up!$J:$J,[1]Up!$D:$D,D134)</f>
        <v>#VALUE!</v>
      </c>
      <c r="AK134" s="82"/>
      <c r="AL134" s="82" t="str">
        <f t="shared" si="10"/>
        <v>PL20</v>
      </c>
      <c r="AM134" s="53" t="str">
        <f t="shared" si="11"/>
        <v/>
      </c>
      <c r="AN134" s="53" t="s">
        <v>148</v>
      </c>
      <c r="AO134" s="84" t="s">
        <v>319</v>
      </c>
      <c r="AP134" s="53"/>
      <c r="AQ134" s="53" t="s">
        <v>320</v>
      </c>
      <c r="AR134" s="53">
        <v>1</v>
      </c>
      <c r="AS134" s="83">
        <v>46202</v>
      </c>
      <c r="AT134" s="53"/>
      <c r="AU134" s="53"/>
    </row>
    <row r="135" spans="3:47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8"/>
        <v>1</v>
      </c>
      <c r="M135" s="26">
        <f t="shared" si="9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67" t="e">
        <f>SUMIFS([1]Up!$J:$J,[1]Up!$D:$D,D135)</f>
        <v>#VALUE!</v>
      </c>
      <c r="AK135" s="82"/>
      <c r="AL135" s="82" t="str">
        <f t="shared" si="10"/>
        <v>PL15</v>
      </c>
      <c r="AM135" s="53" t="str">
        <f t="shared" si="11"/>
        <v/>
      </c>
      <c r="AN135" s="53" t="s">
        <v>148</v>
      </c>
      <c r="AO135" s="84" t="s">
        <v>200</v>
      </c>
      <c r="AP135" s="53"/>
      <c r="AQ135" s="53" t="s">
        <v>201</v>
      </c>
      <c r="AR135" s="53">
        <v>1</v>
      </c>
      <c r="AS135" s="83">
        <v>46201</v>
      </c>
      <c r="AT135" s="53"/>
      <c r="AU135" s="53"/>
    </row>
    <row r="136" spans="3:47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8"/>
        <v>0</v>
      </c>
      <c r="M136" s="26">
        <f t="shared" si="9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67" t="e">
        <f>SUMIFS([1]Up!$J:$J,[1]Up!$D:$D,D136)</f>
        <v>#VALUE!</v>
      </c>
      <c r="AK136" s="82"/>
      <c r="AL136" s="82" t="e">
        <f t="shared" si="10"/>
        <v>#VALUE!</v>
      </c>
      <c r="AM136" s="53" t="str">
        <f t="shared" si="11"/>
        <v/>
      </c>
      <c r="AN136" s="53" t="s">
        <v>154</v>
      </c>
      <c r="AO136" s="53"/>
      <c r="AP136" s="53"/>
      <c r="AQ136" s="53" t="s">
        <v>57</v>
      </c>
      <c r="AR136" s="53">
        <v>1</v>
      </c>
      <c r="AS136" s="83"/>
      <c r="AT136" s="53"/>
      <c r="AU136" s="53"/>
    </row>
    <row r="137" spans="3:47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8"/>
        <v>1</v>
      </c>
      <c r="M137" s="26">
        <f t="shared" si="9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67" t="e">
        <f>SUMIFS([1]Up!$J:$J,[1]Up!$D:$D,D137)</f>
        <v>#VALUE!</v>
      </c>
      <c r="AK137" s="82"/>
      <c r="AL137" s="82" t="str">
        <f t="shared" si="10"/>
        <v>PL15</v>
      </c>
      <c r="AM137" s="53" t="str">
        <f t="shared" si="11"/>
        <v/>
      </c>
      <c r="AN137" s="53" t="s">
        <v>148</v>
      </c>
      <c r="AO137" s="84" t="s">
        <v>200</v>
      </c>
      <c r="AP137" s="53"/>
      <c r="AQ137" s="53" t="s">
        <v>201</v>
      </c>
      <c r="AR137" s="53">
        <v>1</v>
      </c>
      <c r="AS137" s="83">
        <v>46201</v>
      </c>
      <c r="AT137" s="53"/>
      <c r="AU137" s="53"/>
    </row>
    <row r="138" spans="3:47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8"/>
        <v>1</v>
      </c>
      <c r="M138" s="26">
        <f t="shared" si="9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67" t="e">
        <f>SUMIFS([1]Up!$J:$J,[1]Up!$D:$D,D138)</f>
        <v>#VALUE!</v>
      </c>
      <c r="AK138" s="82"/>
      <c r="AL138" s="82" t="str">
        <f t="shared" si="10"/>
        <v>PL20</v>
      </c>
      <c r="AM138" s="53" t="str">
        <f t="shared" si="11"/>
        <v/>
      </c>
      <c r="AN138" s="53" t="s">
        <v>148</v>
      </c>
      <c r="AO138" s="84" t="s">
        <v>319</v>
      </c>
      <c r="AP138" s="53"/>
      <c r="AQ138" s="53" t="s">
        <v>320</v>
      </c>
      <c r="AR138" s="53">
        <v>1</v>
      </c>
      <c r="AS138" s="83">
        <v>46202</v>
      </c>
      <c r="AT138" s="53"/>
      <c r="AU138" s="53"/>
    </row>
    <row r="139" spans="3:47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8"/>
        <v>0</v>
      </c>
      <c r="M139" s="26">
        <f t="shared" si="9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67" t="e">
        <f>SUMIFS([1]Up!$J:$J,[1]Up!$D:$D,D139)</f>
        <v>#VALUE!</v>
      </c>
      <c r="AK139" s="82"/>
      <c r="AL139" s="82" t="str">
        <f t="shared" si="10"/>
        <v>PL10</v>
      </c>
      <c r="AM139" s="53" t="str">
        <f t="shared" si="11"/>
        <v/>
      </c>
      <c r="AN139" s="53" t="s">
        <v>148</v>
      </c>
      <c r="AO139" s="84" t="s">
        <v>210</v>
      </c>
      <c r="AP139" s="53"/>
      <c r="AQ139" s="53" t="s">
        <v>211</v>
      </c>
      <c r="AR139" s="53">
        <v>1</v>
      </c>
      <c r="AS139" s="83">
        <v>46201</v>
      </c>
      <c r="AT139" s="53"/>
      <c r="AU139" s="53"/>
    </row>
    <row r="140" spans="3:47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8"/>
        <v>1</v>
      </c>
      <c r="M140" s="26">
        <f t="shared" si="9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67" t="e">
        <f>SUMIFS([1]Up!$J:$J,[1]Up!$D:$D,D140)</f>
        <v>#VALUE!</v>
      </c>
      <c r="AK140" s="82"/>
      <c r="AL140" s="82" t="str">
        <f t="shared" si="10"/>
        <v>PL15</v>
      </c>
      <c r="AM140" s="53" t="str">
        <f t="shared" si="11"/>
        <v/>
      </c>
      <c r="AN140" s="53" t="s">
        <v>148</v>
      </c>
      <c r="AO140" s="84" t="s">
        <v>200</v>
      </c>
      <c r="AP140" s="53"/>
      <c r="AQ140" s="53" t="s">
        <v>201</v>
      </c>
      <c r="AR140" s="53">
        <v>1</v>
      </c>
      <c r="AS140" s="83">
        <v>46201</v>
      </c>
      <c r="AT140" s="53"/>
      <c r="AU140" s="53"/>
    </row>
    <row r="141" spans="3:47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8"/>
        <v>0</v>
      </c>
      <c r="M141" s="26">
        <f t="shared" si="9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67" t="e">
        <f>SUMIFS([1]Up!$J:$J,[1]Up!$D:$D,D141)</f>
        <v>#VALUE!</v>
      </c>
      <c r="AK141" s="82"/>
      <c r="AL141" s="82" t="e">
        <f t="shared" si="10"/>
        <v>#VALUE!</v>
      </c>
      <c r="AM141" s="53" t="str">
        <f t="shared" si="11"/>
        <v/>
      </c>
      <c r="AN141" s="53" t="s">
        <v>154</v>
      </c>
      <c r="AO141" s="53"/>
      <c r="AP141" s="53"/>
      <c r="AQ141" s="53" t="s">
        <v>57</v>
      </c>
      <c r="AR141" s="53">
        <v>1</v>
      </c>
      <c r="AS141" s="83"/>
      <c r="AT141" s="53"/>
      <c r="AU141" s="53"/>
    </row>
    <row r="142" spans="3:47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8"/>
        <v>1</v>
      </c>
      <c r="M142" s="26">
        <f t="shared" si="9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67" t="e">
        <f>SUMIFS([1]Up!$J:$J,[1]Up!$D:$D,D142)</f>
        <v>#VALUE!</v>
      </c>
      <c r="AK142" s="82"/>
      <c r="AL142" s="82" t="str">
        <f t="shared" si="10"/>
        <v>PL15</v>
      </c>
      <c r="AM142" s="53" t="str">
        <f t="shared" si="11"/>
        <v/>
      </c>
      <c r="AN142" s="53" t="s">
        <v>148</v>
      </c>
      <c r="AO142" s="84" t="s">
        <v>200</v>
      </c>
      <c r="AP142" s="53"/>
      <c r="AQ142" s="53" t="s">
        <v>201</v>
      </c>
      <c r="AR142" s="53">
        <v>1</v>
      </c>
      <c r="AS142" s="83">
        <v>46201</v>
      </c>
      <c r="AT142" s="53"/>
      <c r="AU142" s="53"/>
    </row>
    <row r="143" spans="3:47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8"/>
        <v>1</v>
      </c>
      <c r="M143" s="26">
        <f t="shared" si="9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67" t="e">
        <f>SUMIFS([1]Up!$J:$J,[1]Up!$D:$D,D143)</f>
        <v>#VALUE!</v>
      </c>
      <c r="AK143" s="82"/>
      <c r="AL143" s="82" t="str">
        <f t="shared" si="10"/>
        <v>PL20</v>
      </c>
      <c r="AM143" s="53" t="str">
        <f t="shared" si="11"/>
        <v/>
      </c>
      <c r="AN143" s="53" t="s">
        <v>148</v>
      </c>
      <c r="AO143" s="84" t="s">
        <v>319</v>
      </c>
      <c r="AP143" s="53"/>
      <c r="AQ143" s="53" t="s">
        <v>320</v>
      </c>
      <c r="AR143" s="53">
        <v>1</v>
      </c>
      <c r="AS143" s="83">
        <v>46202</v>
      </c>
      <c r="AT143" s="53"/>
      <c r="AU143" s="53"/>
    </row>
    <row r="144" spans="3:47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8"/>
        <v>1</v>
      </c>
      <c r="M144" s="26">
        <f t="shared" si="9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67" t="e">
        <f>SUMIFS([1]Up!$J:$J,[1]Up!$D:$D,D144)</f>
        <v>#VALUE!</v>
      </c>
      <c r="AK144" s="82"/>
      <c r="AL144" s="82" t="str">
        <f t="shared" si="10"/>
        <v>PL10</v>
      </c>
      <c r="AM144" s="53" t="str">
        <f t="shared" si="11"/>
        <v/>
      </c>
      <c r="AN144" s="53" t="s">
        <v>148</v>
      </c>
      <c r="AO144" s="84" t="s">
        <v>210</v>
      </c>
      <c r="AP144" s="53"/>
      <c r="AQ144" s="53" t="s">
        <v>211</v>
      </c>
      <c r="AR144" s="53">
        <v>1</v>
      </c>
      <c r="AS144" s="83">
        <v>46201</v>
      </c>
      <c r="AT144" s="53"/>
      <c r="AU144" s="53"/>
    </row>
    <row r="145" spans="3:47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8"/>
        <v>1</v>
      </c>
      <c r="M145" s="26">
        <f t="shared" si="9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67" t="e">
        <f>SUMIFS([1]Up!$J:$J,[1]Up!$D:$D,D145)</f>
        <v>#VALUE!</v>
      </c>
      <c r="AK145" s="82"/>
      <c r="AL145" s="82" t="str">
        <f t="shared" si="10"/>
        <v>PL15</v>
      </c>
      <c r="AM145" s="53" t="str">
        <f t="shared" si="11"/>
        <v/>
      </c>
      <c r="AN145" s="53" t="s">
        <v>148</v>
      </c>
      <c r="AO145" s="84" t="s">
        <v>200</v>
      </c>
      <c r="AP145" s="53"/>
      <c r="AQ145" s="53" t="s">
        <v>201</v>
      </c>
      <c r="AR145" s="53">
        <v>1</v>
      </c>
      <c r="AS145" s="83">
        <v>46201</v>
      </c>
      <c r="AT145" s="53"/>
      <c r="AU145" s="53"/>
    </row>
    <row r="146" spans="3:47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8"/>
        <v>0</v>
      </c>
      <c r="M146" s="26">
        <f t="shared" si="9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67" t="e">
        <f>SUMIFS([1]Up!$J:$J,[1]Up!$D:$D,D146)</f>
        <v>#VALUE!</v>
      </c>
      <c r="AK146" s="82"/>
      <c r="AL146" s="82" t="e">
        <f t="shared" si="10"/>
        <v>#VALUE!</v>
      </c>
      <c r="AM146" s="53" t="str">
        <f t="shared" si="11"/>
        <v/>
      </c>
      <c r="AN146" s="53" t="s">
        <v>154</v>
      </c>
      <c r="AO146" s="53"/>
      <c r="AP146" s="53"/>
      <c r="AQ146" s="53" t="s">
        <v>57</v>
      </c>
      <c r="AR146" s="53">
        <v>1</v>
      </c>
      <c r="AS146" s="83"/>
      <c r="AT146" s="53"/>
      <c r="AU146" s="53"/>
    </row>
    <row r="147" spans="3:47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8"/>
        <v>1</v>
      </c>
      <c r="M147" s="26">
        <f t="shared" si="9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67" t="e">
        <f>SUMIFS([1]Up!$J:$J,[1]Up!$D:$D,D147)</f>
        <v>#VALUE!</v>
      </c>
      <c r="AK147" s="82"/>
      <c r="AL147" s="82" t="str">
        <f t="shared" si="10"/>
        <v>PL15</v>
      </c>
      <c r="AM147" s="53" t="str">
        <f t="shared" si="11"/>
        <v/>
      </c>
      <c r="AN147" s="53" t="s">
        <v>148</v>
      </c>
      <c r="AO147" s="84" t="s">
        <v>200</v>
      </c>
      <c r="AP147" s="53"/>
      <c r="AQ147" s="53" t="s">
        <v>201</v>
      </c>
      <c r="AR147" s="53">
        <v>1</v>
      </c>
      <c r="AS147" s="83">
        <v>46201</v>
      </c>
      <c r="AT147" s="53"/>
      <c r="AU147" s="53"/>
    </row>
    <row r="148" spans="3:47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8"/>
        <v>1</v>
      </c>
      <c r="M148" s="26">
        <f t="shared" si="9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67" t="e">
        <f>SUMIFS([1]Up!$J:$J,[1]Up!$D:$D,D148)</f>
        <v>#VALUE!</v>
      </c>
      <c r="AK148" s="82"/>
      <c r="AL148" s="82" t="str">
        <f t="shared" si="10"/>
        <v>PL20</v>
      </c>
      <c r="AM148" s="53" t="str">
        <f t="shared" si="11"/>
        <v/>
      </c>
      <c r="AN148" s="53" t="s">
        <v>148</v>
      </c>
      <c r="AO148" s="84" t="s">
        <v>319</v>
      </c>
      <c r="AP148" s="53"/>
      <c r="AQ148" s="53" t="s">
        <v>320</v>
      </c>
      <c r="AR148" s="53">
        <v>1</v>
      </c>
      <c r="AS148" s="83">
        <v>46202</v>
      </c>
      <c r="AT148" s="53"/>
      <c r="AU148" s="53"/>
    </row>
    <row r="149" spans="3:47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8"/>
        <v>0</v>
      </c>
      <c r="M149" s="26">
        <f t="shared" si="9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67" t="e">
        <f>SUMIFS([1]Up!$J:$J,[1]Up!$D:$D,D149)</f>
        <v>#VALUE!</v>
      </c>
      <c r="AK149" s="82"/>
      <c r="AL149" s="82" t="str">
        <f t="shared" si="10"/>
        <v>PL10</v>
      </c>
      <c r="AM149" s="53" t="str">
        <f t="shared" si="11"/>
        <v/>
      </c>
      <c r="AN149" s="53" t="s">
        <v>148</v>
      </c>
      <c r="AO149" s="53"/>
      <c r="AP149" s="53"/>
      <c r="AQ149" s="53"/>
      <c r="AR149" s="53"/>
      <c r="AS149" s="83"/>
      <c r="AT149" s="53"/>
      <c r="AU149" s="53"/>
    </row>
    <row r="150" spans="3:47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8"/>
        <v>1</v>
      </c>
      <c r="M150" s="26">
        <f t="shared" si="9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67" t="e">
        <f>SUMIFS([1]Up!$J:$J,[1]Up!$D:$D,D150)</f>
        <v>#VALUE!</v>
      </c>
      <c r="AK150" s="82"/>
      <c r="AL150" s="82" t="str">
        <f t="shared" si="10"/>
        <v>PL15</v>
      </c>
      <c r="AM150" s="53" t="str">
        <f t="shared" si="11"/>
        <v/>
      </c>
      <c r="AN150" s="53" t="s">
        <v>148</v>
      </c>
      <c r="AO150" s="84" t="s">
        <v>200</v>
      </c>
      <c r="AP150" s="53"/>
      <c r="AQ150" s="53" t="s">
        <v>201</v>
      </c>
      <c r="AR150" s="53">
        <v>1</v>
      </c>
      <c r="AS150" s="83">
        <v>46201</v>
      </c>
      <c r="AT150" s="53"/>
      <c r="AU150" s="53"/>
    </row>
    <row r="151" spans="3:47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8"/>
        <v>0</v>
      </c>
      <c r="M151" s="26">
        <f t="shared" si="9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67" t="e">
        <f>SUMIFS([1]Up!$J:$J,[1]Up!$D:$D,D151)</f>
        <v>#VALUE!</v>
      </c>
      <c r="AK151" s="82"/>
      <c r="AL151" s="82" t="e">
        <f t="shared" si="10"/>
        <v>#VALUE!</v>
      </c>
      <c r="AM151" s="53" t="str">
        <f t="shared" si="11"/>
        <v/>
      </c>
      <c r="AN151" s="53" t="s">
        <v>154</v>
      </c>
      <c r="AO151" s="53"/>
      <c r="AP151" s="53"/>
      <c r="AQ151" s="53" t="s">
        <v>57</v>
      </c>
      <c r="AR151" s="53">
        <v>1</v>
      </c>
      <c r="AS151" s="83"/>
      <c r="AT151" s="53"/>
      <c r="AU151" s="53"/>
    </row>
    <row r="152" spans="3:47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8"/>
        <v>1</v>
      </c>
      <c r="M152" s="26">
        <f t="shared" si="9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67" t="e">
        <f>SUMIFS([1]Up!$J:$J,[1]Up!$D:$D,D152)</f>
        <v>#VALUE!</v>
      </c>
      <c r="AK152" s="82"/>
      <c r="AL152" s="82" t="str">
        <f t="shared" si="10"/>
        <v>PL15</v>
      </c>
      <c r="AM152" s="53" t="str">
        <f t="shared" si="11"/>
        <v/>
      </c>
      <c r="AN152" s="53" t="s">
        <v>148</v>
      </c>
      <c r="AO152" s="84" t="s">
        <v>200</v>
      </c>
      <c r="AP152" s="53"/>
      <c r="AQ152" s="53" t="s">
        <v>201</v>
      </c>
      <c r="AR152" s="53">
        <v>1</v>
      </c>
      <c r="AS152" s="83">
        <v>46201</v>
      </c>
      <c r="AT152" s="53"/>
      <c r="AU152" s="53"/>
    </row>
    <row r="153" spans="3:47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8"/>
        <v>1</v>
      </c>
      <c r="M153" s="26">
        <f t="shared" si="9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67" t="e">
        <f>SUMIFS([1]Up!$J:$J,[1]Up!$D:$D,D153)</f>
        <v>#VALUE!</v>
      </c>
      <c r="AK153" s="82"/>
      <c r="AL153" s="82" t="str">
        <f t="shared" si="10"/>
        <v>PL20</v>
      </c>
      <c r="AM153" s="53" t="str">
        <f t="shared" si="11"/>
        <v/>
      </c>
      <c r="AN153" s="53" t="s">
        <v>148</v>
      </c>
      <c r="AO153" s="84" t="s">
        <v>319</v>
      </c>
      <c r="AP153" s="53"/>
      <c r="AQ153" s="53" t="s">
        <v>320</v>
      </c>
      <c r="AR153" s="53">
        <v>1</v>
      </c>
      <c r="AS153" s="83">
        <v>46202</v>
      </c>
      <c r="AT153" s="53"/>
      <c r="AU153" s="53"/>
    </row>
    <row r="154" spans="3:47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8"/>
        <v>1</v>
      </c>
      <c r="M154" s="26">
        <f t="shared" si="9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67" t="e">
        <f>SUMIFS([1]Up!$J:$J,[1]Up!$D:$D,D154)</f>
        <v>#VALUE!</v>
      </c>
      <c r="AK154" s="82"/>
      <c r="AL154" s="82" t="str">
        <f t="shared" si="10"/>
        <v>PL10</v>
      </c>
      <c r="AM154" s="53" t="str">
        <f t="shared" si="11"/>
        <v/>
      </c>
      <c r="AN154" s="53" t="s">
        <v>148</v>
      </c>
      <c r="AO154" s="84" t="s">
        <v>210</v>
      </c>
      <c r="AP154" s="53"/>
      <c r="AQ154" s="53" t="s">
        <v>211</v>
      </c>
      <c r="AR154" s="53">
        <v>1</v>
      </c>
      <c r="AS154" s="83">
        <v>46201</v>
      </c>
      <c r="AT154" s="53"/>
      <c r="AU154" s="53"/>
    </row>
    <row r="155" spans="3:47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8"/>
        <v>1</v>
      </c>
      <c r="M155" s="26">
        <f t="shared" si="9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67" t="e">
        <f>SUMIFS([1]Up!$J:$J,[1]Up!$D:$D,D155)</f>
        <v>#VALUE!</v>
      </c>
      <c r="AK155" s="82"/>
      <c r="AL155" s="82" t="str">
        <f t="shared" si="10"/>
        <v>PL15</v>
      </c>
      <c r="AM155" s="53" t="str">
        <f t="shared" si="11"/>
        <v/>
      </c>
      <c r="AN155" s="53" t="s">
        <v>148</v>
      </c>
      <c r="AO155" s="84" t="s">
        <v>200</v>
      </c>
      <c r="AP155" s="53"/>
      <c r="AQ155" s="53" t="s">
        <v>201</v>
      </c>
      <c r="AR155" s="53">
        <v>1</v>
      </c>
      <c r="AS155" s="83">
        <v>46201</v>
      </c>
      <c r="AT155" s="53"/>
      <c r="AU155" s="53"/>
    </row>
    <row r="156" spans="3:47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8"/>
        <v>0</v>
      </c>
      <c r="M156" s="26">
        <f t="shared" si="9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67" t="e">
        <f>SUMIFS([1]Up!$J:$J,[1]Up!$D:$D,D156)</f>
        <v>#VALUE!</v>
      </c>
      <c r="AK156" s="82"/>
      <c r="AL156" s="82" t="e">
        <f t="shared" si="10"/>
        <v>#VALUE!</v>
      </c>
      <c r="AM156" s="53" t="str">
        <f t="shared" si="11"/>
        <v/>
      </c>
      <c r="AN156" s="53" t="s">
        <v>154</v>
      </c>
      <c r="AO156" s="53"/>
      <c r="AP156" s="53"/>
      <c r="AQ156" s="53" t="s">
        <v>57</v>
      </c>
      <c r="AR156" s="53">
        <v>1</v>
      </c>
      <c r="AS156" s="83"/>
      <c r="AT156" s="53"/>
      <c r="AU156" s="53"/>
    </row>
    <row r="157" spans="3:47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8"/>
        <v>1</v>
      </c>
      <c r="M157" s="26">
        <f t="shared" si="9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67" t="e">
        <f>SUMIFS([1]Up!$J:$J,[1]Up!$D:$D,D157)</f>
        <v>#VALUE!</v>
      </c>
      <c r="AK157" s="82"/>
      <c r="AL157" s="82" t="str">
        <f t="shared" si="10"/>
        <v>PL15</v>
      </c>
      <c r="AM157" s="53" t="str">
        <f t="shared" si="11"/>
        <v/>
      </c>
      <c r="AN157" s="53" t="s">
        <v>148</v>
      </c>
      <c r="AO157" s="84" t="s">
        <v>200</v>
      </c>
      <c r="AP157" s="53"/>
      <c r="AQ157" s="53" t="s">
        <v>201</v>
      </c>
      <c r="AR157" s="53">
        <v>1</v>
      </c>
      <c r="AS157" s="83">
        <v>46201</v>
      </c>
      <c r="AT157" s="53"/>
      <c r="AU157" s="53"/>
    </row>
    <row r="158" spans="3:47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8"/>
        <v>1</v>
      </c>
      <c r="M158" s="26">
        <f t="shared" si="9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67" t="e">
        <f>SUMIFS([1]Up!$J:$J,[1]Up!$D:$D,D158)</f>
        <v>#VALUE!</v>
      </c>
      <c r="AK158" s="82"/>
      <c r="AL158" s="82" t="str">
        <f t="shared" si="10"/>
        <v>PL20</v>
      </c>
      <c r="AM158" s="53" t="str">
        <f t="shared" si="11"/>
        <v/>
      </c>
      <c r="AN158" s="53" t="s">
        <v>148</v>
      </c>
      <c r="AO158" s="84" t="s">
        <v>319</v>
      </c>
      <c r="AP158" s="53"/>
      <c r="AQ158" s="53" t="s">
        <v>320</v>
      </c>
      <c r="AR158" s="53">
        <v>1</v>
      </c>
      <c r="AS158" s="83">
        <v>46202</v>
      </c>
      <c r="AT158" s="53"/>
      <c r="AU158" s="53"/>
    </row>
    <row r="159" spans="3:47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8"/>
        <v>1</v>
      </c>
      <c r="M159" s="26">
        <f t="shared" si="9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67" t="e">
        <f>SUMIFS([1]Up!$J:$J,[1]Up!$D:$D,D159)</f>
        <v>#VALUE!</v>
      </c>
      <c r="AK159" s="82"/>
      <c r="AL159" s="82" t="str">
        <f t="shared" si="10"/>
        <v>PL10</v>
      </c>
      <c r="AM159" s="53" t="str">
        <f t="shared" si="11"/>
        <v/>
      </c>
      <c r="AN159" s="53" t="s">
        <v>148</v>
      </c>
      <c r="AO159" s="84" t="s">
        <v>210</v>
      </c>
      <c r="AP159" s="53"/>
      <c r="AQ159" s="53" t="s">
        <v>211</v>
      </c>
      <c r="AR159" s="53">
        <v>1</v>
      </c>
      <c r="AS159" s="83">
        <v>46201</v>
      </c>
      <c r="AT159" s="53"/>
      <c r="AU159" s="53"/>
    </row>
    <row r="160" spans="3:47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8"/>
        <v>1</v>
      </c>
      <c r="M160" s="26">
        <f t="shared" si="9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67" t="e">
        <f>SUMIFS([1]Up!$J:$J,[1]Up!$D:$D,D160)</f>
        <v>#VALUE!</v>
      </c>
      <c r="AK160" s="82"/>
      <c r="AL160" s="82" t="str">
        <f t="shared" si="10"/>
        <v>PL15</v>
      </c>
      <c r="AM160" s="53" t="str">
        <f t="shared" si="11"/>
        <v/>
      </c>
      <c r="AN160" s="53" t="s">
        <v>148</v>
      </c>
      <c r="AO160" s="84" t="s">
        <v>200</v>
      </c>
      <c r="AP160" s="53"/>
      <c r="AQ160" s="53" t="s">
        <v>201</v>
      </c>
      <c r="AR160" s="53">
        <v>1</v>
      </c>
      <c r="AS160" s="83">
        <v>46201</v>
      </c>
      <c r="AT160" s="53"/>
      <c r="AU160" s="53"/>
    </row>
    <row r="161" spans="3:47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8"/>
        <v>0</v>
      </c>
      <c r="M161" s="26">
        <f t="shared" si="9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67" t="e">
        <f>SUMIFS([1]Up!$J:$J,[1]Up!$D:$D,D161)</f>
        <v>#VALUE!</v>
      </c>
      <c r="AK161" s="82"/>
      <c r="AL161" s="82" t="e">
        <f t="shared" si="10"/>
        <v>#VALUE!</v>
      </c>
      <c r="AM161" s="53" t="str">
        <f t="shared" si="11"/>
        <v/>
      </c>
      <c r="AN161" s="53" t="s">
        <v>154</v>
      </c>
      <c r="AO161" s="53"/>
      <c r="AP161" s="53"/>
      <c r="AQ161" s="53" t="s">
        <v>57</v>
      </c>
      <c r="AR161" s="53">
        <v>1</v>
      </c>
      <c r="AS161" s="83"/>
      <c r="AT161" s="53"/>
      <c r="AU161" s="53"/>
    </row>
    <row r="162" spans="3:47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8"/>
        <v>1</v>
      </c>
      <c r="M162" s="26">
        <f t="shared" si="9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67" t="e">
        <f>SUMIFS([1]Up!$J:$J,[1]Up!$D:$D,D162)</f>
        <v>#VALUE!</v>
      </c>
      <c r="AK162" s="82"/>
      <c r="AL162" s="82" t="str">
        <f t="shared" si="10"/>
        <v>PL15</v>
      </c>
      <c r="AM162" s="53" t="str">
        <f t="shared" si="11"/>
        <v/>
      </c>
      <c r="AN162" s="53" t="s">
        <v>148</v>
      </c>
      <c r="AO162" s="84" t="s">
        <v>200</v>
      </c>
      <c r="AP162" s="53"/>
      <c r="AQ162" s="53" t="s">
        <v>201</v>
      </c>
      <c r="AR162" s="53">
        <v>1</v>
      </c>
      <c r="AS162" s="83">
        <v>46201</v>
      </c>
      <c r="AT162" s="53"/>
      <c r="AU162" s="53"/>
    </row>
    <row r="163" spans="3:47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8"/>
        <v>1</v>
      </c>
      <c r="M163" s="26">
        <f t="shared" si="9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67" t="e">
        <f>SUMIFS([1]Up!$J:$J,[1]Up!$D:$D,D163)</f>
        <v>#VALUE!</v>
      </c>
      <c r="AK163" s="82"/>
      <c r="AL163" s="82" t="str">
        <f t="shared" si="10"/>
        <v>PL20</v>
      </c>
      <c r="AM163" s="53" t="str">
        <f t="shared" si="11"/>
        <v/>
      </c>
      <c r="AN163" s="53" t="s">
        <v>148</v>
      </c>
      <c r="AO163" s="84" t="s">
        <v>319</v>
      </c>
      <c r="AP163" s="53"/>
      <c r="AQ163" s="53" t="s">
        <v>320</v>
      </c>
      <c r="AR163" s="53">
        <v>1</v>
      </c>
      <c r="AS163" s="83">
        <v>46202</v>
      </c>
      <c r="AT163" s="53"/>
      <c r="AU163" s="53"/>
    </row>
    <row r="164" spans="3:47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8"/>
        <v>0</v>
      </c>
      <c r="M164" s="26">
        <f t="shared" si="9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67" t="e">
        <f>SUMIFS([1]Up!$J:$J,[1]Up!$D:$D,D164)</f>
        <v>#VALUE!</v>
      </c>
      <c r="AK164" s="82"/>
      <c r="AL164" s="82" t="str">
        <f t="shared" si="10"/>
        <v>PL10</v>
      </c>
      <c r="AM164" s="53" t="str">
        <f t="shared" si="11"/>
        <v/>
      </c>
      <c r="AN164" s="53" t="s">
        <v>148</v>
      </c>
      <c r="AO164" s="53"/>
      <c r="AP164" s="53"/>
      <c r="AQ164" s="53"/>
      <c r="AR164" s="53"/>
      <c r="AS164" s="83"/>
      <c r="AT164" s="53"/>
      <c r="AU164" s="53"/>
    </row>
    <row r="165" spans="3:47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8"/>
        <v>1</v>
      </c>
      <c r="M165" s="26">
        <f t="shared" si="9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67" t="e">
        <f>SUMIFS([1]Up!$J:$J,[1]Up!$D:$D,D165)</f>
        <v>#VALUE!</v>
      </c>
      <c r="AK165" s="82"/>
      <c r="AL165" s="82" t="str">
        <f t="shared" si="10"/>
        <v>PL15</v>
      </c>
      <c r="AM165" s="53" t="str">
        <f t="shared" si="11"/>
        <v/>
      </c>
      <c r="AN165" s="53" t="s">
        <v>148</v>
      </c>
      <c r="AO165" s="84" t="s">
        <v>200</v>
      </c>
      <c r="AP165" s="53"/>
      <c r="AQ165" s="53" t="s">
        <v>201</v>
      </c>
      <c r="AR165" s="53">
        <v>1</v>
      </c>
      <c r="AS165" s="83">
        <v>46201</v>
      </c>
      <c r="AT165" s="53"/>
      <c r="AU165" s="53"/>
    </row>
    <row r="166" spans="3:47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8"/>
        <v>0</v>
      </c>
      <c r="M166" s="26">
        <f t="shared" si="9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67" t="e">
        <f>SUMIFS([1]Up!$J:$J,[1]Up!$D:$D,D166)</f>
        <v>#VALUE!</v>
      </c>
      <c r="AK166" s="82"/>
      <c r="AL166" s="82" t="e">
        <f t="shared" si="10"/>
        <v>#VALUE!</v>
      </c>
      <c r="AM166" s="53" t="str">
        <f t="shared" si="11"/>
        <v/>
      </c>
      <c r="AN166" s="53" t="s">
        <v>154</v>
      </c>
      <c r="AO166" s="53"/>
      <c r="AP166" s="53"/>
      <c r="AQ166" s="53" t="s">
        <v>57</v>
      </c>
      <c r="AR166" s="53">
        <v>1</v>
      </c>
      <c r="AS166" s="83"/>
      <c r="AT166" s="53"/>
      <c r="AU166" s="53"/>
    </row>
    <row r="167" spans="3:47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8"/>
        <v>1</v>
      </c>
      <c r="M167" s="26">
        <f t="shared" si="9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67" t="e">
        <f>SUMIFS([1]Up!$J:$J,[1]Up!$D:$D,D167)</f>
        <v>#VALUE!</v>
      </c>
      <c r="AK167" s="82"/>
      <c r="AL167" s="82" t="str">
        <f t="shared" si="10"/>
        <v>PL15</v>
      </c>
      <c r="AM167" s="53" t="str">
        <f t="shared" si="11"/>
        <v/>
      </c>
      <c r="AN167" s="53" t="s">
        <v>148</v>
      </c>
      <c r="AO167" s="84" t="s">
        <v>200</v>
      </c>
      <c r="AP167" s="53"/>
      <c r="AQ167" s="53" t="s">
        <v>201</v>
      </c>
      <c r="AR167" s="53">
        <v>1</v>
      </c>
      <c r="AS167" s="83">
        <v>46201</v>
      </c>
      <c r="AT167" s="53"/>
      <c r="AU167" s="53"/>
    </row>
    <row r="168" spans="3:47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8"/>
        <v>1</v>
      </c>
      <c r="M168" s="26">
        <f t="shared" si="9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67" t="e">
        <f>SUMIFS([1]Up!$J:$J,[1]Up!$D:$D,D168)</f>
        <v>#VALUE!</v>
      </c>
      <c r="AK168" s="82"/>
      <c r="AL168" s="82" t="str">
        <f t="shared" si="10"/>
        <v>PL20</v>
      </c>
      <c r="AM168" s="53" t="str">
        <f t="shared" si="11"/>
        <v/>
      </c>
      <c r="AN168" s="53" t="s">
        <v>148</v>
      </c>
      <c r="AO168" s="84" t="s">
        <v>319</v>
      </c>
      <c r="AP168" s="53"/>
      <c r="AQ168" s="53" t="s">
        <v>320</v>
      </c>
      <c r="AR168" s="53">
        <v>1</v>
      </c>
      <c r="AS168" s="83">
        <v>46202</v>
      </c>
      <c r="AT168" s="53"/>
      <c r="AU168" s="53"/>
    </row>
    <row r="169" spans="3:47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8"/>
        <v>0</v>
      </c>
      <c r="M169" s="26">
        <f t="shared" si="9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67" t="e">
        <f>SUMIFS([1]Up!$J:$J,[1]Up!$D:$D,D169)</f>
        <v>#VALUE!</v>
      </c>
      <c r="AK169" s="82"/>
      <c r="AL169" s="82" t="str">
        <f t="shared" si="10"/>
        <v>PL10</v>
      </c>
      <c r="AM169" s="53" t="str">
        <f t="shared" si="11"/>
        <v/>
      </c>
      <c r="AN169" s="53" t="s">
        <v>148</v>
      </c>
      <c r="AO169" s="84" t="s">
        <v>210</v>
      </c>
      <c r="AP169" s="53"/>
      <c r="AQ169" s="53" t="s">
        <v>211</v>
      </c>
      <c r="AR169" s="53">
        <v>1</v>
      </c>
      <c r="AS169" s="83">
        <v>46201</v>
      </c>
      <c r="AT169" s="53"/>
      <c r="AU169" s="53"/>
    </row>
    <row r="170" spans="3:47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8"/>
        <v>1</v>
      </c>
      <c r="M170" s="26">
        <f t="shared" si="9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67" t="e">
        <f>SUMIFS([1]Up!$J:$J,[1]Up!$D:$D,D170)</f>
        <v>#VALUE!</v>
      </c>
      <c r="AK170" s="82"/>
      <c r="AL170" s="82" t="str">
        <f t="shared" si="10"/>
        <v>PL15</v>
      </c>
      <c r="AM170" s="53" t="str">
        <f t="shared" si="11"/>
        <v/>
      </c>
      <c r="AN170" s="53" t="s">
        <v>148</v>
      </c>
      <c r="AO170" s="84" t="s">
        <v>200</v>
      </c>
      <c r="AP170" s="53"/>
      <c r="AQ170" s="53" t="s">
        <v>201</v>
      </c>
      <c r="AR170" s="53">
        <v>1</v>
      </c>
      <c r="AS170" s="83">
        <v>46201</v>
      </c>
      <c r="AT170" s="53"/>
      <c r="AU170" s="53"/>
    </row>
    <row r="171" spans="3:47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8"/>
        <v>0</v>
      </c>
      <c r="M171" s="26">
        <f t="shared" si="9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67" t="e">
        <f>SUMIFS([1]Up!$J:$J,[1]Up!$D:$D,D171)</f>
        <v>#VALUE!</v>
      </c>
      <c r="AK171" s="82"/>
      <c r="AL171" s="82" t="e">
        <f t="shared" si="10"/>
        <v>#VALUE!</v>
      </c>
      <c r="AM171" s="53" t="str">
        <f t="shared" si="11"/>
        <v/>
      </c>
      <c r="AN171" s="53" t="s">
        <v>154</v>
      </c>
      <c r="AO171" s="53"/>
      <c r="AP171" s="53"/>
      <c r="AQ171" s="53" t="s">
        <v>57</v>
      </c>
      <c r="AR171" s="53">
        <v>1</v>
      </c>
      <c r="AS171" s="83"/>
      <c r="AT171" s="53"/>
      <c r="AU171" s="53"/>
    </row>
    <row r="172" spans="3:47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8"/>
        <v>1</v>
      </c>
      <c r="M172" s="26">
        <f t="shared" si="9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67" t="e">
        <f>SUMIFS([1]Up!$J:$J,[1]Up!$D:$D,D172)</f>
        <v>#VALUE!</v>
      </c>
      <c r="AK172" s="82"/>
      <c r="AL172" s="82" t="str">
        <f t="shared" si="10"/>
        <v>PL20</v>
      </c>
      <c r="AM172" s="53" t="str">
        <f t="shared" si="11"/>
        <v/>
      </c>
      <c r="AN172" s="53" t="s">
        <v>148</v>
      </c>
      <c r="AO172" s="84" t="s">
        <v>319</v>
      </c>
      <c r="AP172" s="53"/>
      <c r="AQ172" s="53" t="s">
        <v>320</v>
      </c>
      <c r="AR172" s="53">
        <v>1</v>
      </c>
      <c r="AS172" s="83">
        <v>46202</v>
      </c>
      <c r="AT172" s="53"/>
      <c r="AU172" s="53"/>
    </row>
    <row r="173" spans="3:47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8"/>
        <v>1</v>
      </c>
      <c r="M173" s="26">
        <f t="shared" si="9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67" t="e">
        <f>SUMIFS([1]Up!$J:$J,[1]Up!$D:$D,D173)</f>
        <v>#VALUE!</v>
      </c>
      <c r="AK173" s="82"/>
      <c r="AL173" s="82" t="str">
        <f t="shared" si="10"/>
        <v>PL10</v>
      </c>
      <c r="AM173" s="53" t="str">
        <f t="shared" si="11"/>
        <v/>
      </c>
      <c r="AN173" s="53" t="s">
        <v>148</v>
      </c>
      <c r="AO173" s="84" t="s">
        <v>210</v>
      </c>
      <c r="AP173" s="53"/>
      <c r="AQ173" s="53" t="s">
        <v>211</v>
      </c>
      <c r="AR173" s="53">
        <v>1</v>
      </c>
      <c r="AS173" s="83">
        <v>46201</v>
      </c>
      <c r="AT173" s="53"/>
      <c r="AU173" s="53"/>
    </row>
    <row r="174" spans="3:47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8"/>
        <v>1</v>
      </c>
      <c r="M174" s="26">
        <f t="shared" si="9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67" t="e">
        <f>SUMIFS([1]Up!$J:$J,[1]Up!$D:$D,D174)</f>
        <v>#VALUE!</v>
      </c>
      <c r="AK174" s="82"/>
      <c r="AL174" s="82" t="str">
        <f t="shared" si="10"/>
        <v>PL15</v>
      </c>
      <c r="AM174" s="53" t="str">
        <f t="shared" si="11"/>
        <v/>
      </c>
      <c r="AN174" s="53" t="s">
        <v>148</v>
      </c>
      <c r="AO174" s="84" t="s">
        <v>200</v>
      </c>
      <c r="AP174" s="53"/>
      <c r="AQ174" s="53" t="s">
        <v>201</v>
      </c>
      <c r="AR174" s="53">
        <v>1</v>
      </c>
      <c r="AS174" s="83">
        <v>46201</v>
      </c>
      <c r="AT174" s="53"/>
      <c r="AU174" s="53"/>
    </row>
    <row r="175" spans="3:47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8"/>
        <v>1</v>
      </c>
      <c r="M175" s="26">
        <f t="shared" si="9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67" t="e">
        <f>SUMIFS([1]Up!$J:$J,[1]Up!$D:$D,D175)</f>
        <v>#VALUE!</v>
      </c>
      <c r="AK175" s="82"/>
      <c r="AL175" s="82" t="str">
        <f t="shared" si="10"/>
        <v>PL15</v>
      </c>
      <c r="AM175" s="53" t="str">
        <f t="shared" si="11"/>
        <v/>
      </c>
      <c r="AN175" s="53" t="s">
        <v>148</v>
      </c>
      <c r="AO175" s="84" t="s">
        <v>200</v>
      </c>
      <c r="AP175" s="53"/>
      <c r="AQ175" s="53" t="s">
        <v>201</v>
      </c>
      <c r="AR175" s="53">
        <v>1</v>
      </c>
      <c r="AS175" s="83">
        <v>46201</v>
      </c>
      <c r="AT175" s="53"/>
      <c r="AU175" s="53"/>
    </row>
    <row r="176" spans="3:47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8"/>
        <v>0</v>
      </c>
      <c r="M176" s="26">
        <f t="shared" si="9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67" t="e">
        <f>SUMIFS([1]Up!$J:$J,[1]Up!$D:$D,D176)</f>
        <v>#VALUE!</v>
      </c>
      <c r="AK176" s="82"/>
      <c r="AL176" s="82" t="e">
        <f t="shared" si="10"/>
        <v>#VALUE!</v>
      </c>
      <c r="AM176" s="53" t="str">
        <f t="shared" si="11"/>
        <v/>
      </c>
      <c r="AN176" s="53" t="s">
        <v>154</v>
      </c>
      <c r="AO176" s="53"/>
      <c r="AP176" s="53"/>
      <c r="AQ176" s="53" t="s">
        <v>57</v>
      </c>
      <c r="AR176" s="53">
        <v>1</v>
      </c>
      <c r="AS176" s="83"/>
      <c r="AT176" s="53"/>
      <c r="AU176" s="53"/>
    </row>
    <row r="177" spans="3:47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8"/>
        <v>1</v>
      </c>
      <c r="M177" s="26">
        <f t="shared" si="9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67" t="e">
        <f>SUMIFS([1]Up!$J:$J,[1]Up!$D:$D,D177)</f>
        <v>#VALUE!</v>
      </c>
      <c r="AK177" s="82"/>
      <c r="AL177" s="82" t="str">
        <f t="shared" si="10"/>
        <v>PL20</v>
      </c>
      <c r="AM177" s="53" t="str">
        <f t="shared" si="11"/>
        <v/>
      </c>
      <c r="AN177" s="53" t="s">
        <v>148</v>
      </c>
      <c r="AO177" s="84" t="s">
        <v>319</v>
      </c>
      <c r="AP177" s="53"/>
      <c r="AQ177" s="53" t="s">
        <v>320</v>
      </c>
      <c r="AR177" s="53">
        <v>1</v>
      </c>
      <c r="AS177" s="83">
        <v>46202</v>
      </c>
      <c r="AT177" s="53"/>
      <c r="AU177" s="53"/>
    </row>
    <row r="178" spans="3:47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8"/>
        <v>1</v>
      </c>
      <c r="M178" s="26">
        <f t="shared" si="9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67" t="e">
        <f>SUMIFS([1]Up!$J:$J,[1]Up!$D:$D,D178)</f>
        <v>#VALUE!</v>
      </c>
      <c r="AK178" s="82"/>
      <c r="AL178" s="82" t="str">
        <f t="shared" si="10"/>
        <v>PL15</v>
      </c>
      <c r="AM178" s="53" t="str">
        <f t="shared" si="11"/>
        <v/>
      </c>
      <c r="AN178" s="53" t="s">
        <v>148</v>
      </c>
      <c r="AO178" s="84" t="s">
        <v>200</v>
      </c>
      <c r="AP178" s="53"/>
      <c r="AQ178" s="53" t="s">
        <v>201</v>
      </c>
      <c r="AR178" s="53">
        <v>1</v>
      </c>
      <c r="AS178" s="83">
        <v>46201</v>
      </c>
      <c r="AT178" s="53"/>
      <c r="AU178" s="53"/>
    </row>
    <row r="179" spans="3:47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8"/>
        <v>1</v>
      </c>
      <c r="M179" s="26">
        <f t="shared" si="9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67" t="e">
        <f>SUMIFS([1]Up!$J:$J,[1]Up!$D:$D,D179)</f>
        <v>#VALUE!</v>
      </c>
      <c r="AK179" s="82"/>
      <c r="AL179" s="82" t="str">
        <f t="shared" si="10"/>
        <v>PL10</v>
      </c>
      <c r="AM179" s="53" t="str">
        <f t="shared" si="11"/>
        <v/>
      </c>
      <c r="AN179" s="53" t="s">
        <v>148</v>
      </c>
      <c r="AO179" s="84" t="s">
        <v>210</v>
      </c>
      <c r="AP179" s="53"/>
      <c r="AQ179" s="53" t="s">
        <v>211</v>
      </c>
      <c r="AR179" s="53">
        <v>1</v>
      </c>
      <c r="AS179" s="83">
        <v>46201</v>
      </c>
      <c r="AT179" s="53"/>
      <c r="AU179" s="53"/>
    </row>
    <row r="180" spans="3:47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8"/>
        <v>1</v>
      </c>
      <c r="M180" s="26">
        <f t="shared" si="9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67" t="e">
        <f>SUMIFS([1]Up!$J:$J,[1]Up!$D:$D,D180)</f>
        <v>#VALUE!</v>
      </c>
      <c r="AK180" s="82"/>
      <c r="AL180" s="82" t="str">
        <f t="shared" si="10"/>
        <v>PL15</v>
      </c>
      <c r="AM180" s="53" t="str">
        <f t="shared" si="11"/>
        <v/>
      </c>
      <c r="AN180" s="53" t="s">
        <v>148</v>
      </c>
      <c r="AO180" s="84" t="s">
        <v>200</v>
      </c>
      <c r="AP180" s="53"/>
      <c r="AQ180" s="53" t="s">
        <v>201</v>
      </c>
      <c r="AR180" s="53">
        <v>1</v>
      </c>
      <c r="AS180" s="83">
        <v>46201</v>
      </c>
      <c r="AT180" s="53"/>
      <c r="AU180" s="53"/>
    </row>
    <row r="181" spans="3:47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8"/>
        <v>0</v>
      </c>
      <c r="M181" s="26">
        <f t="shared" si="9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67" t="e">
        <f>SUMIFS([1]Up!$J:$J,[1]Up!$D:$D,D181)</f>
        <v>#VALUE!</v>
      </c>
      <c r="AK181" s="82"/>
      <c r="AL181" s="82" t="e">
        <f t="shared" si="10"/>
        <v>#VALUE!</v>
      </c>
      <c r="AM181" s="53" t="str">
        <f t="shared" si="11"/>
        <v/>
      </c>
      <c r="AN181" s="53" t="s">
        <v>154</v>
      </c>
      <c r="AO181" s="53"/>
      <c r="AP181" s="53"/>
      <c r="AQ181" s="53" t="s">
        <v>57</v>
      </c>
      <c r="AR181" s="53">
        <v>1</v>
      </c>
      <c r="AS181" s="83"/>
      <c r="AT181" s="53"/>
      <c r="AU181" s="53"/>
    </row>
    <row r="182" spans="3:47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8"/>
        <v>1</v>
      </c>
      <c r="M182" s="26">
        <f t="shared" si="9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67" t="e">
        <f>SUMIFS([1]Up!$J:$J,[1]Up!$D:$D,D182)</f>
        <v>#VALUE!</v>
      </c>
      <c r="AK182" s="82"/>
      <c r="AL182" s="82" t="str">
        <f t="shared" si="10"/>
        <v>PL20</v>
      </c>
      <c r="AM182" s="53" t="str">
        <f t="shared" si="11"/>
        <v/>
      </c>
      <c r="AN182" s="53" t="s">
        <v>148</v>
      </c>
      <c r="AO182" s="84" t="s">
        <v>319</v>
      </c>
      <c r="AP182" s="53"/>
      <c r="AQ182" s="53" t="s">
        <v>320</v>
      </c>
      <c r="AR182" s="53">
        <v>1</v>
      </c>
      <c r="AS182" s="83">
        <v>46202</v>
      </c>
      <c r="AT182" s="53"/>
      <c r="AU182" s="53"/>
    </row>
    <row r="183" spans="3:47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8"/>
        <v>1</v>
      </c>
      <c r="M183" s="26">
        <f t="shared" si="9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67" t="e">
        <f>SUMIFS([1]Up!$J:$J,[1]Up!$D:$D,D183)</f>
        <v>#VALUE!</v>
      </c>
      <c r="AK183" s="82"/>
      <c r="AL183" s="82" t="str">
        <f t="shared" si="10"/>
        <v>PL10</v>
      </c>
      <c r="AM183" s="53" t="str">
        <f t="shared" si="11"/>
        <v/>
      </c>
      <c r="AN183" s="53" t="s">
        <v>148</v>
      </c>
      <c r="AO183" s="84" t="s">
        <v>210</v>
      </c>
      <c r="AP183" s="53"/>
      <c r="AQ183" s="53" t="s">
        <v>211</v>
      </c>
      <c r="AR183" s="53">
        <v>1</v>
      </c>
      <c r="AS183" s="83">
        <v>46201</v>
      </c>
      <c r="AT183" s="53"/>
      <c r="AU183" s="53"/>
    </row>
    <row r="184" spans="3:47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8"/>
        <v>1</v>
      </c>
      <c r="M184" s="26">
        <f t="shared" si="9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67" t="e">
        <f>SUMIFS([1]Up!$J:$J,[1]Up!$D:$D,D184)</f>
        <v>#VALUE!</v>
      </c>
      <c r="AK184" s="82"/>
      <c r="AL184" s="82" t="str">
        <f t="shared" si="10"/>
        <v>PL15</v>
      </c>
      <c r="AM184" s="53" t="str">
        <f t="shared" si="11"/>
        <v/>
      </c>
      <c r="AN184" s="53" t="s">
        <v>148</v>
      </c>
      <c r="AO184" s="84" t="s">
        <v>200</v>
      </c>
      <c r="AP184" s="53"/>
      <c r="AQ184" s="53" t="s">
        <v>201</v>
      </c>
      <c r="AR184" s="53">
        <v>1</v>
      </c>
      <c r="AS184" s="83">
        <v>46201</v>
      </c>
      <c r="AT184" s="53"/>
      <c r="AU184" s="53"/>
    </row>
    <row r="185" spans="3:47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8"/>
        <v>1</v>
      </c>
      <c r="M185" s="26">
        <f t="shared" si="9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67" t="e">
        <f>SUMIFS([1]Up!$J:$J,[1]Up!$D:$D,D185)</f>
        <v>#VALUE!</v>
      </c>
      <c r="AK185" s="82"/>
      <c r="AL185" s="82" t="str">
        <f t="shared" si="10"/>
        <v>PL15</v>
      </c>
      <c r="AM185" s="53" t="str">
        <f t="shared" si="11"/>
        <v/>
      </c>
      <c r="AN185" s="53" t="s">
        <v>148</v>
      </c>
      <c r="AO185" s="84" t="s">
        <v>200</v>
      </c>
      <c r="AP185" s="53"/>
      <c r="AQ185" s="53" t="s">
        <v>201</v>
      </c>
      <c r="AR185" s="53">
        <v>1</v>
      </c>
      <c r="AS185" s="83">
        <v>46201</v>
      </c>
      <c r="AT185" s="53"/>
      <c r="AU185" s="53"/>
    </row>
    <row r="186" spans="3:47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8"/>
        <v>0</v>
      </c>
      <c r="M186" s="26">
        <f t="shared" si="9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67" t="e">
        <f>SUMIFS([1]Up!$J:$J,[1]Up!$D:$D,D186)</f>
        <v>#VALUE!</v>
      </c>
      <c r="AK186" s="82"/>
      <c r="AL186" s="82" t="e">
        <f t="shared" si="10"/>
        <v>#VALUE!</v>
      </c>
      <c r="AM186" s="53" t="str">
        <f t="shared" si="11"/>
        <v/>
      </c>
      <c r="AN186" s="53" t="s">
        <v>154</v>
      </c>
      <c r="AO186" s="53"/>
      <c r="AP186" s="53"/>
      <c r="AQ186" s="53" t="s">
        <v>57</v>
      </c>
      <c r="AR186" s="53">
        <v>1</v>
      </c>
      <c r="AS186" s="83"/>
      <c r="AT186" s="53"/>
      <c r="AU186" s="53"/>
    </row>
    <row r="187" spans="3:47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8"/>
        <v>1</v>
      </c>
      <c r="M187" s="26">
        <f t="shared" si="9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67" t="e">
        <f>SUMIFS([1]Up!$J:$J,[1]Up!$D:$D,D187)</f>
        <v>#VALUE!</v>
      </c>
      <c r="AK187" s="82"/>
      <c r="AL187" s="82" t="str">
        <f t="shared" si="10"/>
        <v>PL20</v>
      </c>
      <c r="AM187" s="53" t="str">
        <f t="shared" si="11"/>
        <v/>
      </c>
      <c r="AN187" s="53" t="s">
        <v>148</v>
      </c>
      <c r="AO187" s="84" t="s">
        <v>319</v>
      </c>
      <c r="AP187" s="53"/>
      <c r="AQ187" s="53" t="s">
        <v>320</v>
      </c>
      <c r="AR187" s="53">
        <v>1</v>
      </c>
      <c r="AS187" s="83">
        <v>46202</v>
      </c>
      <c r="AT187" s="53"/>
      <c r="AU187" s="53"/>
    </row>
    <row r="188" spans="3:47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8"/>
        <v>1</v>
      </c>
      <c r="M188" s="26">
        <f t="shared" si="9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67" t="e">
        <f>SUMIFS([1]Up!$J:$J,[1]Up!$D:$D,D188)</f>
        <v>#VALUE!</v>
      </c>
      <c r="AK188" s="82"/>
      <c r="AL188" s="82" t="str">
        <f t="shared" si="10"/>
        <v>PL15</v>
      </c>
      <c r="AM188" s="53" t="str">
        <f t="shared" si="11"/>
        <v/>
      </c>
      <c r="AN188" s="53" t="s">
        <v>148</v>
      </c>
      <c r="AO188" s="84" t="s">
        <v>200</v>
      </c>
      <c r="AP188" s="53"/>
      <c r="AQ188" s="53" t="s">
        <v>201</v>
      </c>
      <c r="AR188" s="53">
        <v>1</v>
      </c>
      <c r="AS188" s="83">
        <v>46201</v>
      </c>
      <c r="AT188" s="53"/>
      <c r="AU188" s="53"/>
    </row>
    <row r="189" spans="3:47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8"/>
        <v>1</v>
      </c>
      <c r="M189" s="26">
        <f t="shared" si="9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67" t="e">
        <f>SUMIFS([1]Up!$J:$J,[1]Up!$D:$D,D189)</f>
        <v>#VALUE!</v>
      </c>
      <c r="AK189" s="82"/>
      <c r="AL189" s="82" t="str">
        <f t="shared" si="10"/>
        <v>PL10</v>
      </c>
      <c r="AM189" s="53" t="str">
        <f t="shared" si="11"/>
        <v/>
      </c>
      <c r="AN189" s="53" t="s">
        <v>148</v>
      </c>
      <c r="AO189" s="84" t="s">
        <v>210</v>
      </c>
      <c r="AP189" s="53"/>
      <c r="AQ189" s="53" t="s">
        <v>211</v>
      </c>
      <c r="AR189" s="53">
        <v>1</v>
      </c>
      <c r="AS189" s="83">
        <v>46201</v>
      </c>
      <c r="AT189" s="53"/>
      <c r="AU189" s="53"/>
    </row>
    <row r="190" spans="3:47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8"/>
        <v>1</v>
      </c>
      <c r="M190" s="26">
        <f t="shared" si="9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67" t="e">
        <f>SUMIFS([1]Up!$J:$J,[1]Up!$D:$D,D190)</f>
        <v>#VALUE!</v>
      </c>
      <c r="AK190" s="82"/>
      <c r="AL190" s="82" t="str">
        <f t="shared" si="10"/>
        <v>PL15</v>
      </c>
      <c r="AM190" s="53" t="str">
        <f t="shared" si="11"/>
        <v/>
      </c>
      <c r="AN190" s="53" t="s">
        <v>148</v>
      </c>
      <c r="AO190" s="84" t="s">
        <v>200</v>
      </c>
      <c r="AP190" s="53"/>
      <c r="AQ190" s="53" t="s">
        <v>201</v>
      </c>
      <c r="AR190" s="53">
        <v>1</v>
      </c>
      <c r="AS190" s="83">
        <v>46201</v>
      </c>
      <c r="AT190" s="53"/>
      <c r="AU190" s="53"/>
    </row>
    <row r="191" spans="3:47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8"/>
        <v>0</v>
      </c>
      <c r="M191" s="26">
        <f t="shared" si="9"/>
        <v>1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67" t="e">
        <f>SUMIFS([1]Up!$J:$J,[1]Up!$D:$D,D191)</f>
        <v>#VALUE!</v>
      </c>
      <c r="AK191" s="82"/>
      <c r="AL191" s="82" t="e">
        <f t="shared" si="10"/>
        <v>#VALUE!</v>
      </c>
      <c r="AM191" s="53" t="str">
        <f t="shared" si="11"/>
        <v/>
      </c>
      <c r="AN191" s="53" t="s">
        <v>154</v>
      </c>
      <c r="AO191" s="53"/>
      <c r="AP191" s="53"/>
      <c r="AQ191" s="53" t="s">
        <v>57</v>
      </c>
      <c r="AR191" s="53">
        <v>1</v>
      </c>
      <c r="AS191" s="83"/>
      <c r="AT191" s="53"/>
      <c r="AU191" s="53"/>
    </row>
    <row r="192" spans="3:47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8"/>
        <v>0</v>
      </c>
      <c r="M192" s="26">
        <f t="shared" si="9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67" t="e">
        <f>SUMIFS([1]Up!$J:$J,[1]Up!$D:$D,D192)</f>
        <v>#VALUE!</v>
      </c>
      <c r="AK192" s="82"/>
      <c r="AL192" s="82" t="str">
        <f t="shared" si="10"/>
        <v>PL10</v>
      </c>
      <c r="AM192" s="53" t="str">
        <f t="shared" si="11"/>
        <v/>
      </c>
      <c r="AN192" s="53" t="s">
        <v>148</v>
      </c>
      <c r="AO192" s="53"/>
      <c r="AP192" s="53"/>
      <c r="AQ192" s="53"/>
      <c r="AR192" s="53"/>
      <c r="AS192" s="83"/>
      <c r="AT192" s="53"/>
      <c r="AU192" s="53"/>
    </row>
    <row r="193" spans="3:47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8"/>
        <v>0</v>
      </c>
      <c r="M193" s="26">
        <f t="shared" si="9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67" t="e">
        <f>SUMIFS([1]Up!$J:$J,[1]Up!$D:$D,D193)</f>
        <v>#VALUE!</v>
      </c>
      <c r="AK193" s="82"/>
      <c r="AL193" s="82" t="e">
        <f t="shared" si="10"/>
        <v>#VALUE!</v>
      </c>
      <c r="AM193" s="53" t="str">
        <f t="shared" si="11"/>
        <v/>
      </c>
      <c r="AN193" s="53" t="s">
        <v>154</v>
      </c>
      <c r="AO193" s="53"/>
      <c r="AP193" s="53"/>
      <c r="AQ193" s="53"/>
      <c r="AR193" s="53"/>
      <c r="AS193" s="83"/>
      <c r="AT193" s="53"/>
      <c r="AU193" s="53"/>
    </row>
    <row r="194" spans="3:47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8"/>
        <v>0</v>
      </c>
      <c r="M194" s="26">
        <f t="shared" si="9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67" t="e">
        <f>SUMIFS([1]Up!$J:$J,[1]Up!$D:$D,D194)</f>
        <v>#VALUE!</v>
      </c>
      <c r="AK194" s="82"/>
      <c r="AL194" s="82" t="str">
        <f t="shared" si="10"/>
        <v>PL15</v>
      </c>
      <c r="AM194" s="53" t="str">
        <f t="shared" si="11"/>
        <v/>
      </c>
      <c r="AN194" s="53" t="s">
        <v>148</v>
      </c>
      <c r="AO194" s="53"/>
      <c r="AP194" s="53"/>
      <c r="AQ194" s="53"/>
      <c r="AR194" s="53"/>
      <c r="AS194" s="83"/>
      <c r="AT194" s="53"/>
      <c r="AU194" s="53"/>
    </row>
    <row r="195" spans="3:47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8"/>
        <v>0</v>
      </c>
      <c r="M195" s="26">
        <f t="shared" si="9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67" t="e">
        <f>SUMIFS([1]Up!$J:$J,[1]Up!$D:$D,D195)</f>
        <v>#VALUE!</v>
      </c>
      <c r="AK195" s="82"/>
      <c r="AL195" s="82" t="str">
        <f t="shared" si="10"/>
        <v>PL15</v>
      </c>
      <c r="AM195" s="53" t="str">
        <f t="shared" si="11"/>
        <v/>
      </c>
      <c r="AN195" s="53" t="s">
        <v>148</v>
      </c>
      <c r="AO195" s="53"/>
      <c r="AP195" s="53"/>
      <c r="AQ195" s="53"/>
      <c r="AR195" s="53"/>
      <c r="AS195" s="83"/>
      <c r="AT195" s="53"/>
      <c r="AU195" s="53"/>
    </row>
    <row r="196" spans="3:47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8"/>
        <v>0</v>
      </c>
      <c r="M196" s="26">
        <f t="shared" si="9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67" t="e">
        <f>SUMIFS([1]Up!$J:$J,[1]Up!$D:$D,D196)</f>
        <v>#VALUE!</v>
      </c>
      <c r="AK196" s="82"/>
      <c r="AL196" s="82" t="str">
        <f t="shared" si="10"/>
        <v>PL15</v>
      </c>
      <c r="AM196" s="53" t="str">
        <f t="shared" si="11"/>
        <v/>
      </c>
      <c r="AN196" s="53" t="s">
        <v>148</v>
      </c>
      <c r="AO196" s="53"/>
      <c r="AP196" s="53"/>
      <c r="AQ196" s="53"/>
      <c r="AR196" s="53"/>
      <c r="AS196" s="83"/>
      <c r="AT196" s="53"/>
      <c r="AU196" s="53"/>
    </row>
    <row r="197" spans="3:47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8"/>
        <v>0</v>
      </c>
      <c r="M197" s="26">
        <f t="shared" si="9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67" t="e">
        <f>SUMIFS([1]Up!$J:$J,[1]Up!$D:$D,D197)</f>
        <v>#VALUE!</v>
      </c>
      <c r="AK197" s="82"/>
      <c r="AL197" s="82" t="e">
        <f t="shared" si="10"/>
        <v>#VALUE!</v>
      </c>
      <c r="AM197" s="53" t="str">
        <f t="shared" si="11"/>
        <v/>
      </c>
      <c r="AN197" s="53" t="s">
        <v>148</v>
      </c>
      <c r="AO197" s="53"/>
      <c r="AP197" s="53"/>
      <c r="AQ197" s="53"/>
      <c r="AR197" s="53"/>
      <c r="AS197" s="83"/>
      <c r="AT197" s="53"/>
      <c r="AU197" s="53"/>
    </row>
    <row r="198" spans="3:47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8"/>
        <v>0</v>
      </c>
      <c r="M198" s="26">
        <f t="shared" si="9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67" t="e">
        <f>SUMIFS([1]Up!$J:$J,[1]Up!$D:$D,D198)</f>
        <v>#VALUE!</v>
      </c>
      <c r="AK198" s="82"/>
      <c r="AL198" s="82" t="str">
        <f t="shared" si="10"/>
        <v>PL10</v>
      </c>
      <c r="AM198" s="53" t="str">
        <f t="shared" si="11"/>
        <v/>
      </c>
      <c r="AN198" s="53" t="s">
        <v>148</v>
      </c>
      <c r="AO198" s="53"/>
      <c r="AP198" s="53"/>
      <c r="AQ198" s="53"/>
      <c r="AR198" s="53"/>
      <c r="AS198" s="83"/>
      <c r="AT198" s="53"/>
      <c r="AU198" s="53"/>
    </row>
    <row r="199" spans="3:47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8"/>
        <v>0</v>
      </c>
      <c r="M199" s="26">
        <f t="shared" si="9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67" t="e">
        <f>SUMIFS([1]Up!$J:$J,[1]Up!$D:$D,D199)</f>
        <v>#VALUE!</v>
      </c>
      <c r="AK199" s="82"/>
      <c r="AL199" s="82" t="str">
        <f t="shared" si="10"/>
        <v>PL10</v>
      </c>
      <c r="AM199" s="53" t="str">
        <f t="shared" si="11"/>
        <v/>
      </c>
      <c r="AN199" s="53" t="s">
        <v>148</v>
      </c>
      <c r="AO199" s="53"/>
      <c r="AP199" s="53"/>
      <c r="AQ199" s="53"/>
      <c r="AR199" s="53"/>
      <c r="AS199" s="83"/>
      <c r="AT199" s="53"/>
      <c r="AU199" s="53"/>
    </row>
    <row r="200" spans="3:47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8"/>
        <v>0</v>
      </c>
      <c r="M200" s="26">
        <f t="shared" si="9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67" t="e">
        <f>SUMIFS([1]Up!$J:$J,[1]Up!$D:$D,D200)</f>
        <v>#VALUE!</v>
      </c>
      <c r="AK200" s="82"/>
      <c r="AL200" s="82" t="str">
        <f t="shared" si="10"/>
        <v>PL12</v>
      </c>
      <c r="AM200" s="53" t="str">
        <f t="shared" si="11"/>
        <v/>
      </c>
      <c r="AN200" s="53" t="s">
        <v>148</v>
      </c>
      <c r="AO200" s="53"/>
      <c r="AP200" s="53"/>
      <c r="AQ200" s="53"/>
      <c r="AR200" s="53"/>
      <c r="AS200" s="83"/>
      <c r="AT200" s="53"/>
      <c r="AU200" s="53"/>
    </row>
    <row r="201" spans="3:47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8"/>
        <v>0</v>
      </c>
      <c r="M201" s="26">
        <f t="shared" si="9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67" t="e">
        <f>SUMIFS([1]Up!$J:$J,[1]Up!$D:$D,D201)</f>
        <v>#VALUE!</v>
      </c>
      <c r="AK201" s="82"/>
      <c r="AL201" s="82" t="str">
        <f t="shared" si="10"/>
        <v>PL12</v>
      </c>
      <c r="AM201" s="53" t="str">
        <f t="shared" si="11"/>
        <v/>
      </c>
      <c r="AN201" s="53" t="s">
        <v>148</v>
      </c>
      <c r="AO201" s="53"/>
      <c r="AP201" s="53"/>
      <c r="AQ201" s="53"/>
      <c r="AR201" s="53"/>
      <c r="AS201" s="83"/>
      <c r="AT201" s="53"/>
      <c r="AU201" s="53"/>
    </row>
    <row r="202" spans="3:47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8"/>
        <v>0</v>
      </c>
      <c r="M202" s="26">
        <f t="shared" si="9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67" t="e">
        <f>SUMIFS([1]Up!$J:$J,[1]Up!$D:$D,D202)</f>
        <v>#VALUE!</v>
      </c>
      <c r="AK202" s="82"/>
      <c r="AL202" s="82" t="str">
        <f t="shared" si="10"/>
        <v>PL20</v>
      </c>
      <c r="AM202" s="53" t="str">
        <f t="shared" si="11"/>
        <v/>
      </c>
      <c r="AN202" s="53" t="s">
        <v>148</v>
      </c>
      <c r="AO202" s="53"/>
      <c r="AP202" s="53"/>
      <c r="AQ202" s="53"/>
      <c r="AR202" s="53"/>
      <c r="AS202" s="83"/>
      <c r="AT202" s="53"/>
      <c r="AU202" s="53"/>
    </row>
    <row r="203" spans="3:47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8"/>
        <v>0</v>
      </c>
      <c r="M203" s="26">
        <f t="shared" si="9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67" t="e">
        <f>SUMIFS([1]Up!$J:$J,[1]Up!$D:$D,D203)</f>
        <v>#VALUE!</v>
      </c>
      <c r="AK203" s="82"/>
      <c r="AL203" s="82" t="str">
        <f t="shared" si="10"/>
        <v>PL20</v>
      </c>
      <c r="AM203" s="53" t="str">
        <f t="shared" si="11"/>
        <v/>
      </c>
      <c r="AN203" s="53" t="s">
        <v>148</v>
      </c>
      <c r="AO203" s="53"/>
      <c r="AP203" s="53"/>
      <c r="AQ203" s="53"/>
      <c r="AR203" s="53"/>
      <c r="AS203" s="83"/>
      <c r="AT203" s="53"/>
      <c r="AU203" s="53"/>
    </row>
    <row r="204" spans="3:47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8"/>
        <v>0</v>
      </c>
      <c r="M204" s="26">
        <f t="shared" si="9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67" t="e">
        <f>SUMIFS([1]Up!$J:$J,[1]Up!$D:$D,D204)</f>
        <v>#VALUE!</v>
      </c>
      <c r="AK204" s="82"/>
      <c r="AL204" s="82" t="str">
        <f t="shared" si="10"/>
        <v>PL15</v>
      </c>
      <c r="AM204" s="53" t="str">
        <f t="shared" si="11"/>
        <v/>
      </c>
      <c r="AN204" s="53" t="s">
        <v>148</v>
      </c>
      <c r="AO204" s="53"/>
      <c r="AP204" s="53"/>
      <c r="AQ204" s="53"/>
      <c r="AR204" s="53"/>
      <c r="AS204" s="83"/>
      <c r="AT204" s="53"/>
      <c r="AU204" s="53"/>
    </row>
    <row r="205" spans="3:47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8"/>
        <v>0</v>
      </c>
      <c r="M205" s="26">
        <f t="shared" si="9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67" t="e">
        <f>SUMIFS([1]Up!$J:$J,[1]Up!$D:$D,D205)</f>
        <v>#VALUE!</v>
      </c>
      <c r="AK205" s="82"/>
      <c r="AL205" s="82" t="str">
        <f t="shared" si="10"/>
        <v>PL10</v>
      </c>
      <c r="AM205" s="53" t="str">
        <f t="shared" si="11"/>
        <v/>
      </c>
      <c r="AN205" s="53" t="s">
        <v>148</v>
      </c>
      <c r="AO205" s="53"/>
      <c r="AP205" s="53"/>
      <c r="AQ205" s="53"/>
      <c r="AR205" s="53"/>
      <c r="AS205" s="83"/>
      <c r="AT205" s="53"/>
      <c r="AU205" s="53"/>
    </row>
    <row r="206" spans="3:47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8"/>
        <v>0</v>
      </c>
      <c r="M206" s="26">
        <f t="shared" si="9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67" t="e">
        <f>SUMIFS([1]Up!$J:$J,[1]Up!$D:$D,D206)</f>
        <v>#VALUE!</v>
      </c>
      <c r="AK206" s="82"/>
      <c r="AL206" s="82" t="str">
        <f t="shared" si="10"/>
        <v>PL10</v>
      </c>
      <c r="AM206" s="53" t="str">
        <f t="shared" si="11"/>
        <v/>
      </c>
      <c r="AN206" s="53" t="s">
        <v>148</v>
      </c>
      <c r="AO206" s="53"/>
      <c r="AP206" s="53"/>
      <c r="AQ206" s="53"/>
      <c r="AR206" s="53"/>
      <c r="AS206" s="83"/>
      <c r="AT206" s="53"/>
      <c r="AU206" s="53"/>
    </row>
    <row r="207" spans="3:47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8"/>
        <v>0</v>
      </c>
      <c r="M207" s="26">
        <f t="shared" si="9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67" t="e">
        <f>SUMIFS([1]Up!$J:$J,[1]Up!$D:$D,D207)</f>
        <v>#VALUE!</v>
      </c>
      <c r="AK207" s="82"/>
      <c r="AL207" s="82" t="str">
        <f t="shared" si="10"/>
        <v>PL10</v>
      </c>
      <c r="AM207" s="53" t="str">
        <f t="shared" si="11"/>
        <v/>
      </c>
      <c r="AN207" s="53" t="s">
        <v>148</v>
      </c>
      <c r="AO207" s="53"/>
      <c r="AP207" s="53"/>
      <c r="AQ207" s="53"/>
      <c r="AR207" s="53"/>
      <c r="AS207" s="83"/>
      <c r="AT207" s="53"/>
      <c r="AU207" s="53"/>
    </row>
    <row r="208" spans="3:47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8"/>
        <v>0</v>
      </c>
      <c r="M208" s="26">
        <f t="shared" si="9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67" t="e">
        <f>SUMIFS([1]Up!$J:$J,[1]Up!$D:$D,D208)</f>
        <v>#VALUE!</v>
      </c>
      <c r="AK208" s="82"/>
      <c r="AL208" s="82" t="e">
        <f t="shared" si="10"/>
        <v>#VALUE!</v>
      </c>
      <c r="AM208" s="53" t="str">
        <f t="shared" si="11"/>
        <v/>
      </c>
      <c r="AN208" s="53" t="s">
        <v>148</v>
      </c>
      <c r="AO208" s="53"/>
      <c r="AP208" s="53"/>
      <c r="AQ208" s="53"/>
      <c r="AR208" s="53"/>
      <c r="AS208" s="83"/>
      <c r="AT208" s="53"/>
      <c r="AU208" s="53"/>
    </row>
    <row r="209" spans="3:47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8"/>
        <v>0</v>
      </c>
      <c r="M209" s="26">
        <f t="shared" si="9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67" t="e">
        <f>SUMIFS([1]Up!$J:$J,[1]Up!$D:$D,D209)</f>
        <v>#VALUE!</v>
      </c>
      <c r="AK209" s="82"/>
      <c r="AL209" s="82" t="str">
        <f t="shared" si="10"/>
        <v>PL12</v>
      </c>
      <c r="AM209" s="53" t="str">
        <f t="shared" si="11"/>
        <v/>
      </c>
      <c r="AN209" s="53" t="s">
        <v>148</v>
      </c>
      <c r="AO209" s="53"/>
      <c r="AP209" s="53"/>
      <c r="AQ209" s="53"/>
      <c r="AR209" s="53"/>
      <c r="AS209" s="83"/>
      <c r="AT209" s="53"/>
      <c r="AU209" s="53"/>
    </row>
    <row r="210" spans="3:47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8"/>
        <v>0</v>
      </c>
      <c r="M210" s="26">
        <f t="shared" si="9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67" t="e">
        <f>SUMIFS([1]Up!$J:$J,[1]Up!$D:$D,D210)</f>
        <v>#VALUE!</v>
      </c>
      <c r="AK210" s="82"/>
      <c r="AL210" s="82" t="str">
        <f t="shared" si="10"/>
        <v>PL20</v>
      </c>
      <c r="AM210" s="53" t="str">
        <f t="shared" si="11"/>
        <v/>
      </c>
      <c r="AN210" s="53" t="s">
        <v>148</v>
      </c>
      <c r="AO210" s="53"/>
      <c r="AP210" s="53"/>
      <c r="AQ210" s="53"/>
      <c r="AR210" s="53"/>
      <c r="AS210" s="83"/>
      <c r="AT210" s="53"/>
      <c r="AU210" s="53"/>
    </row>
    <row r="211" spans="3:47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8"/>
        <v>0</v>
      </c>
      <c r="M211" s="26">
        <f t="shared" si="9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67" t="e">
        <f>SUMIFS([1]Up!$J:$J,[1]Up!$D:$D,D211)</f>
        <v>#VALUE!</v>
      </c>
      <c r="AK211" s="82"/>
      <c r="AL211" s="82" t="str">
        <f t="shared" si="10"/>
        <v>PL20</v>
      </c>
      <c r="AM211" s="53" t="str">
        <f t="shared" si="11"/>
        <v/>
      </c>
      <c r="AN211" s="53" t="s">
        <v>148</v>
      </c>
      <c r="AO211" s="53"/>
      <c r="AP211" s="53"/>
      <c r="AQ211" s="53"/>
      <c r="AR211" s="53"/>
      <c r="AS211" s="83"/>
      <c r="AT211" s="53"/>
      <c r="AU211" s="53"/>
    </row>
    <row r="212" spans="3:47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8"/>
        <v>0</v>
      </c>
      <c r="M212" s="26">
        <f t="shared" si="9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67" t="e">
        <f>SUMIFS([1]Up!$J:$J,[1]Up!$D:$D,D212)</f>
        <v>#VALUE!</v>
      </c>
      <c r="AK212" s="82"/>
      <c r="AL212" s="82" t="str">
        <f t="shared" si="10"/>
        <v>PL12</v>
      </c>
      <c r="AM212" s="53" t="str">
        <f t="shared" si="11"/>
        <v/>
      </c>
      <c r="AN212" s="53" t="s">
        <v>148</v>
      </c>
      <c r="AO212" s="53"/>
      <c r="AP212" s="53"/>
      <c r="AQ212" s="53"/>
      <c r="AR212" s="53"/>
      <c r="AS212" s="83"/>
      <c r="AT212" s="53"/>
      <c r="AU212" s="53"/>
    </row>
    <row r="213" spans="3:47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8"/>
        <v>0</v>
      </c>
      <c r="M213" s="26">
        <f t="shared" si="9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67" t="e">
        <f>SUMIFS([1]Up!$J:$J,[1]Up!$D:$D,D213)</f>
        <v>#VALUE!</v>
      </c>
      <c r="AK213" s="82"/>
      <c r="AL213" s="82" t="str">
        <f t="shared" si="10"/>
        <v>PL15</v>
      </c>
      <c r="AM213" s="53" t="str">
        <f t="shared" si="11"/>
        <v/>
      </c>
      <c r="AN213" s="53" t="s">
        <v>148</v>
      </c>
      <c r="AO213" s="53"/>
      <c r="AP213" s="53"/>
      <c r="AQ213" s="53"/>
      <c r="AR213" s="53"/>
      <c r="AS213" s="83"/>
      <c r="AT213" s="53"/>
      <c r="AU213" s="53"/>
    </row>
    <row r="214" spans="3:47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8"/>
        <v>0</v>
      </c>
      <c r="M214" s="26">
        <f t="shared" si="9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67" t="e">
        <f>SUMIFS([1]Up!$J:$J,[1]Up!$D:$D,D214)</f>
        <v>#VALUE!</v>
      </c>
      <c r="AK214" s="82"/>
      <c r="AL214" s="82" t="e">
        <f t="shared" si="10"/>
        <v>#VALUE!</v>
      </c>
      <c r="AM214" s="53" t="str">
        <f t="shared" si="11"/>
        <v/>
      </c>
      <c r="AN214" s="53" t="s">
        <v>148</v>
      </c>
      <c r="AO214" s="53"/>
      <c r="AP214" s="53"/>
      <c r="AQ214" s="53"/>
      <c r="AR214" s="53"/>
      <c r="AS214" s="83"/>
      <c r="AT214" s="53"/>
      <c r="AU214" s="53"/>
    </row>
    <row r="215" spans="3:47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8"/>
        <v>0</v>
      </c>
      <c r="M215" s="26">
        <f t="shared" si="9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67" t="e">
        <f>SUMIFS([1]Up!$J:$J,[1]Up!$D:$D,D215)</f>
        <v>#VALUE!</v>
      </c>
      <c r="AK215" s="82"/>
      <c r="AL215" s="82" t="e">
        <f t="shared" si="10"/>
        <v>#VALUE!</v>
      </c>
      <c r="AM215" s="53" t="str">
        <f t="shared" si="11"/>
        <v/>
      </c>
      <c r="AN215" s="53" t="s">
        <v>148</v>
      </c>
      <c r="AO215" s="53"/>
      <c r="AP215" s="53"/>
      <c r="AQ215" s="53"/>
      <c r="AR215" s="53"/>
      <c r="AS215" s="83"/>
      <c r="AT215" s="53"/>
      <c r="AU215" s="53"/>
    </row>
    <row r="216" spans="3:47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8"/>
        <v>0</v>
      </c>
      <c r="M216" s="26">
        <f t="shared" si="9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67" t="e">
        <f>SUMIFS([1]Up!$J:$J,[1]Up!$D:$D,D216)</f>
        <v>#VALUE!</v>
      </c>
      <c r="AK216" s="82"/>
      <c r="AL216" s="82" t="str">
        <f t="shared" si="10"/>
        <v>PL12</v>
      </c>
      <c r="AM216" s="53" t="str">
        <f t="shared" si="11"/>
        <v/>
      </c>
      <c r="AN216" s="53" t="s">
        <v>148</v>
      </c>
      <c r="AO216" s="53"/>
      <c r="AP216" s="53"/>
      <c r="AQ216" s="53"/>
      <c r="AR216" s="53"/>
      <c r="AS216" s="83"/>
      <c r="AT216" s="53"/>
      <c r="AU216" s="53"/>
    </row>
    <row r="217" spans="3:47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8"/>
        <v>0</v>
      </c>
      <c r="M217" s="26">
        <f t="shared" si="9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67" t="e">
        <f>SUMIFS([1]Up!$J:$J,[1]Up!$D:$D,D217)</f>
        <v>#VALUE!</v>
      </c>
      <c r="AK217" s="82"/>
      <c r="AL217" s="82" t="e">
        <f t="shared" si="10"/>
        <v>#VALUE!</v>
      </c>
      <c r="AM217" s="53" t="str">
        <f t="shared" si="11"/>
        <v/>
      </c>
      <c r="AN217" s="53" t="s">
        <v>148</v>
      </c>
      <c r="AO217" s="53"/>
      <c r="AP217" s="53"/>
      <c r="AQ217" s="53"/>
      <c r="AR217" s="53"/>
      <c r="AS217" s="83"/>
      <c r="AT217" s="53"/>
      <c r="AU217" s="53"/>
    </row>
    <row r="218" spans="3:47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8"/>
        <v>0</v>
      </c>
      <c r="M218" s="26">
        <f t="shared" si="9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67" t="e">
        <f>SUMIFS([1]Up!$J:$J,[1]Up!$D:$D,D218)</f>
        <v>#VALUE!</v>
      </c>
      <c r="AK218" s="82"/>
      <c r="AL218" s="82" t="str">
        <f t="shared" si="10"/>
        <v>PL12</v>
      </c>
      <c r="AM218" s="53" t="str">
        <f t="shared" si="11"/>
        <v/>
      </c>
      <c r="AN218" s="53" t="s">
        <v>148</v>
      </c>
      <c r="AO218" s="53"/>
      <c r="AP218" s="53"/>
      <c r="AQ218" s="53"/>
      <c r="AR218" s="53"/>
      <c r="AS218" s="83"/>
      <c r="AT218" s="53"/>
      <c r="AU218" s="53"/>
    </row>
    <row r="219" spans="3:47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8"/>
        <v>0</v>
      </c>
      <c r="M219" s="26">
        <f t="shared" si="9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67" t="e">
        <f>SUMIFS([1]Up!$J:$J,[1]Up!$D:$D,D219)</f>
        <v>#VALUE!</v>
      </c>
      <c r="AK219" s="82"/>
      <c r="AL219" s="82" t="str">
        <f t="shared" si="10"/>
        <v>PL12</v>
      </c>
      <c r="AM219" s="53" t="str">
        <f t="shared" si="11"/>
        <v/>
      </c>
      <c r="AN219" s="53" t="s">
        <v>148</v>
      </c>
      <c r="AO219" s="53"/>
      <c r="AP219" s="53"/>
      <c r="AQ219" s="53"/>
      <c r="AR219" s="53"/>
      <c r="AS219" s="83"/>
      <c r="AT219" s="53"/>
      <c r="AU219" s="53"/>
    </row>
    <row r="220" spans="3:47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8"/>
        <v>0</v>
      </c>
      <c r="M220" s="26">
        <f t="shared" si="9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67" t="e">
        <f>SUMIFS([1]Up!$J:$J,[1]Up!$D:$D,D220)</f>
        <v>#VALUE!</v>
      </c>
      <c r="AK220" s="82"/>
      <c r="AL220" s="82" t="str">
        <f t="shared" si="10"/>
        <v>PL12</v>
      </c>
      <c r="AM220" s="53" t="str">
        <f t="shared" si="11"/>
        <v/>
      </c>
      <c r="AN220" s="53" t="s">
        <v>148</v>
      </c>
      <c r="AO220" s="53"/>
      <c r="AP220" s="53"/>
      <c r="AQ220" s="53"/>
      <c r="AR220" s="53"/>
      <c r="AS220" s="83"/>
      <c r="AT220" s="53"/>
      <c r="AU220" s="53"/>
    </row>
    <row r="221" spans="3:47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8"/>
        <v>0</v>
      </c>
      <c r="M221" s="26">
        <f t="shared" si="9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67" t="e">
        <f>SUMIFS([1]Up!$J:$J,[1]Up!$D:$D,D221)</f>
        <v>#VALUE!</v>
      </c>
      <c r="AK221" s="82"/>
      <c r="AL221" s="82" t="str">
        <f t="shared" si="10"/>
        <v>PL12</v>
      </c>
      <c r="AM221" s="53" t="str">
        <f t="shared" si="11"/>
        <v/>
      </c>
      <c r="AN221" s="53" t="s">
        <v>148</v>
      </c>
      <c r="AO221" s="53"/>
      <c r="AP221" s="53"/>
      <c r="AQ221" s="53"/>
      <c r="AR221" s="53"/>
      <c r="AS221" s="83"/>
      <c r="AT221" s="53"/>
      <c r="AU221" s="53"/>
    </row>
    <row r="222" spans="3:47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8"/>
        <v>0</v>
      </c>
      <c r="M222" s="26">
        <f t="shared" si="9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67" t="e">
        <f>SUMIFS([1]Up!$J:$J,[1]Up!$D:$D,D222)</f>
        <v>#VALUE!</v>
      </c>
      <c r="AK222" s="82"/>
      <c r="AL222" s="82" t="str">
        <f t="shared" si="10"/>
        <v>PL20</v>
      </c>
      <c r="AM222" s="53" t="str">
        <f t="shared" si="11"/>
        <v/>
      </c>
      <c r="AN222" s="53" t="s">
        <v>148</v>
      </c>
      <c r="AO222" s="53"/>
      <c r="AP222" s="53"/>
      <c r="AQ222" s="53"/>
      <c r="AR222" s="53"/>
      <c r="AS222" s="83"/>
      <c r="AT222" s="53"/>
      <c r="AU222" s="53"/>
    </row>
    <row r="223" spans="3:47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8"/>
        <v>0</v>
      </c>
      <c r="M223" s="26">
        <f t="shared" si="9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67" t="e">
        <f>SUMIFS([1]Up!$J:$J,[1]Up!$D:$D,D223)</f>
        <v>#VALUE!</v>
      </c>
      <c r="AK223" s="82"/>
      <c r="AL223" s="82" t="str">
        <f t="shared" si="10"/>
        <v>PL20</v>
      </c>
      <c r="AM223" s="53" t="str">
        <f t="shared" si="11"/>
        <v/>
      </c>
      <c r="AN223" s="53" t="s">
        <v>148</v>
      </c>
      <c r="AO223" s="53"/>
      <c r="AP223" s="53"/>
      <c r="AQ223" s="53"/>
      <c r="AR223" s="53"/>
      <c r="AS223" s="83"/>
      <c r="AT223" s="53"/>
      <c r="AU223" s="53"/>
    </row>
    <row r="224" spans="3:47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8"/>
        <v>0</v>
      </c>
      <c r="M224" s="26">
        <f t="shared" si="9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67" t="e">
        <f>SUMIFS([1]Up!$J:$J,[1]Up!$D:$D,D224)</f>
        <v>#VALUE!</v>
      </c>
      <c r="AK224" s="82"/>
      <c r="AL224" s="82" t="str">
        <f t="shared" si="10"/>
        <v>PL12</v>
      </c>
      <c r="AM224" s="53" t="str">
        <f t="shared" si="11"/>
        <v/>
      </c>
      <c r="AN224" s="53" t="s">
        <v>148</v>
      </c>
      <c r="AO224" s="53"/>
      <c r="AP224" s="53"/>
      <c r="AQ224" s="53"/>
      <c r="AR224" s="53"/>
      <c r="AS224" s="83"/>
      <c r="AT224" s="53"/>
      <c r="AU224" s="53"/>
    </row>
    <row r="225" spans="3:47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8"/>
        <v>0</v>
      </c>
      <c r="M225" s="26">
        <f t="shared" si="9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67" t="e">
        <f>SUMIFS([1]Up!$J:$J,[1]Up!$D:$D,D225)</f>
        <v>#VALUE!</v>
      </c>
      <c r="AK225" s="82"/>
      <c r="AL225" s="82" t="str">
        <f t="shared" si="10"/>
        <v>PL12</v>
      </c>
      <c r="AM225" s="53" t="str">
        <f t="shared" si="11"/>
        <v/>
      </c>
      <c r="AN225" s="53" t="s">
        <v>148</v>
      </c>
      <c r="AO225" s="53"/>
      <c r="AP225" s="53"/>
      <c r="AQ225" s="53"/>
      <c r="AR225" s="53"/>
      <c r="AS225" s="83"/>
      <c r="AT225" s="53"/>
      <c r="AU225" s="53"/>
    </row>
    <row r="226" spans="3:47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8"/>
        <v>0</v>
      </c>
      <c r="M226" s="26">
        <f t="shared" si="9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67" t="e">
        <f>SUMIFS([1]Up!$J:$J,[1]Up!$D:$D,D226)</f>
        <v>#VALUE!</v>
      </c>
      <c r="AK226" s="82"/>
      <c r="AL226" s="82" t="str">
        <f t="shared" si="10"/>
        <v>PL12</v>
      </c>
      <c r="AM226" s="53" t="str">
        <f t="shared" si="11"/>
        <v/>
      </c>
      <c r="AN226" s="53" t="s">
        <v>148</v>
      </c>
      <c r="AO226" s="53"/>
      <c r="AP226" s="53"/>
      <c r="AQ226" s="53"/>
      <c r="AR226" s="53"/>
      <c r="AS226" s="83"/>
      <c r="AT226" s="53"/>
      <c r="AU226" s="53"/>
    </row>
    <row r="227" spans="3:47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8"/>
        <v>0</v>
      </c>
      <c r="M227" s="26">
        <f t="shared" si="9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67" t="e">
        <f>SUMIFS([1]Up!$J:$J,[1]Up!$D:$D,D227)</f>
        <v>#VALUE!</v>
      </c>
      <c r="AK227" s="82"/>
      <c r="AL227" s="82" t="str">
        <f t="shared" si="10"/>
        <v>PL12</v>
      </c>
      <c r="AM227" s="53" t="str">
        <f t="shared" si="11"/>
        <v/>
      </c>
      <c r="AN227" s="53" t="s">
        <v>148</v>
      </c>
      <c r="AO227" s="53"/>
      <c r="AP227" s="53"/>
      <c r="AQ227" s="53"/>
      <c r="AR227" s="53"/>
      <c r="AS227" s="83"/>
      <c r="AT227" s="53"/>
      <c r="AU227" s="53"/>
    </row>
    <row r="228" spans="3:47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8"/>
        <v>0</v>
      </c>
      <c r="M228" s="26">
        <f t="shared" si="9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67" t="e">
        <f>SUMIFS([1]Up!$J:$J,[1]Up!$D:$D,D228)</f>
        <v>#VALUE!</v>
      </c>
      <c r="AK228" s="82"/>
      <c r="AL228" s="82" t="str">
        <f t="shared" si="10"/>
        <v>PL12</v>
      </c>
      <c r="AM228" s="53" t="str">
        <f t="shared" si="11"/>
        <v/>
      </c>
      <c r="AN228" s="53" t="s">
        <v>148</v>
      </c>
      <c r="AO228" s="53"/>
      <c r="AP228" s="53"/>
      <c r="AQ228" s="53"/>
      <c r="AR228" s="53"/>
      <c r="AS228" s="83"/>
      <c r="AT228" s="53"/>
      <c r="AU228" s="53"/>
    </row>
    <row r="229" spans="3:47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8"/>
        <v>0</v>
      </c>
      <c r="M229" s="26">
        <f t="shared" si="9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67" t="e">
        <f>SUMIFS([1]Up!$J:$J,[1]Up!$D:$D,D229)</f>
        <v>#VALUE!</v>
      </c>
      <c r="AK229" s="82"/>
      <c r="AL229" s="82" t="str">
        <f t="shared" si="10"/>
        <v>PL12</v>
      </c>
      <c r="AM229" s="53" t="str">
        <f t="shared" si="11"/>
        <v/>
      </c>
      <c r="AN229" s="53" t="s">
        <v>148</v>
      </c>
      <c r="AO229" s="53"/>
      <c r="AP229" s="53"/>
      <c r="AQ229" s="53"/>
      <c r="AR229" s="53"/>
      <c r="AS229" s="83"/>
      <c r="AT229" s="53"/>
      <c r="AU229" s="53"/>
    </row>
    <row r="230" spans="3:47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8"/>
        <v>0</v>
      </c>
      <c r="M230" s="26">
        <f t="shared" si="9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67" t="e">
        <f>SUMIFS([1]Up!$J:$J,[1]Up!$D:$D,D230)</f>
        <v>#VALUE!</v>
      </c>
      <c r="AK230" s="82"/>
      <c r="AL230" s="82" t="str">
        <f t="shared" si="10"/>
        <v>PL12</v>
      </c>
      <c r="AM230" s="53" t="str">
        <f t="shared" si="11"/>
        <v/>
      </c>
      <c r="AN230" s="53" t="s">
        <v>154</v>
      </c>
      <c r="AO230" s="53"/>
      <c r="AP230" s="53"/>
      <c r="AQ230" s="53"/>
      <c r="AR230" s="53"/>
      <c r="AS230" s="83"/>
      <c r="AT230" s="53"/>
      <c r="AU230" s="53"/>
    </row>
    <row r="231" spans="3:47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8"/>
        <v>0</v>
      </c>
      <c r="M231" s="26">
        <f t="shared" si="9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67" t="e">
        <f>SUMIFS([1]Up!$J:$J,[1]Up!$D:$D,D231)</f>
        <v>#VALUE!</v>
      </c>
      <c r="AK231" s="82"/>
      <c r="AL231" s="82" t="str">
        <f t="shared" si="10"/>
        <v>PL12</v>
      </c>
      <c r="AM231" s="53" t="str">
        <f t="shared" si="11"/>
        <v/>
      </c>
      <c r="AN231" s="53" t="s">
        <v>154</v>
      </c>
      <c r="AO231" s="53"/>
      <c r="AP231" s="53"/>
      <c r="AQ231" s="53"/>
      <c r="AR231" s="53"/>
      <c r="AS231" s="83"/>
      <c r="AT231" s="53"/>
      <c r="AU231" s="53"/>
    </row>
    <row r="232" spans="3:47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8"/>
        <v>0</v>
      </c>
      <c r="M232" s="26">
        <f t="shared" si="9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67" t="e">
        <f>SUMIFS([1]Up!$J:$J,[1]Up!$D:$D,D232)</f>
        <v>#VALUE!</v>
      </c>
      <c r="AK232" s="82"/>
      <c r="AL232" s="82" t="str">
        <f t="shared" si="10"/>
        <v>PL30</v>
      </c>
      <c r="AM232" s="53" t="str">
        <f t="shared" si="11"/>
        <v/>
      </c>
      <c r="AN232" s="53" t="s">
        <v>148</v>
      </c>
      <c r="AO232" s="53"/>
      <c r="AP232" s="53"/>
      <c r="AQ232" s="53"/>
      <c r="AR232" s="53"/>
      <c r="AS232" s="83"/>
      <c r="AT232" s="53"/>
      <c r="AU232" s="53"/>
    </row>
    <row r="233" spans="3:47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8"/>
        <v>0</v>
      </c>
      <c r="M233" s="26">
        <f t="shared" si="9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67" t="e">
        <f>SUMIFS([1]Up!$J:$J,[1]Up!$D:$D,D233)</f>
        <v>#VALUE!</v>
      </c>
      <c r="AK233" s="82"/>
      <c r="AL233" s="82" t="str">
        <f t="shared" si="10"/>
        <v>PL20</v>
      </c>
      <c r="AM233" s="53" t="str">
        <f t="shared" si="11"/>
        <v/>
      </c>
      <c r="AN233" s="53" t="s">
        <v>148</v>
      </c>
      <c r="AO233" s="53"/>
      <c r="AP233" s="53"/>
      <c r="AQ233" s="53"/>
      <c r="AR233" s="53"/>
      <c r="AS233" s="83"/>
      <c r="AT233" s="53"/>
      <c r="AU233" s="53"/>
    </row>
    <row r="234" spans="3:47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8"/>
        <v>0</v>
      </c>
      <c r="M234" s="26">
        <f t="shared" si="9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67" t="e">
        <f>SUMIFS([1]Up!$J:$J,[1]Up!$D:$D,D234)</f>
        <v>#VALUE!</v>
      </c>
      <c r="AK234" s="82"/>
      <c r="AL234" s="82" t="str">
        <f t="shared" si="10"/>
        <v>PL3</v>
      </c>
      <c r="AM234" s="53" t="str">
        <f t="shared" si="11"/>
        <v/>
      </c>
      <c r="AN234" s="53" t="s">
        <v>148</v>
      </c>
      <c r="AO234" s="53"/>
      <c r="AP234" s="53"/>
      <c r="AQ234" s="53"/>
      <c r="AR234" s="53"/>
      <c r="AS234" s="83"/>
      <c r="AT234" s="53"/>
      <c r="AU234" s="53"/>
    </row>
    <row r="235" spans="3:47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8"/>
        <v>0</v>
      </c>
      <c r="M235" s="26">
        <f t="shared" si="9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67" t="e">
        <f>SUMIFS([1]Up!$J:$J,[1]Up!$D:$D,D235)</f>
        <v>#VALUE!</v>
      </c>
      <c r="AK235" s="82"/>
      <c r="AL235" s="82" t="str">
        <f t="shared" si="10"/>
        <v>PL20</v>
      </c>
      <c r="AM235" s="53" t="str">
        <f t="shared" si="11"/>
        <v/>
      </c>
      <c r="AN235" s="53" t="s">
        <v>148</v>
      </c>
      <c r="AO235" s="53"/>
      <c r="AP235" s="53"/>
      <c r="AQ235" s="53"/>
      <c r="AR235" s="53"/>
      <c r="AS235" s="83"/>
      <c r="AT235" s="53"/>
      <c r="AU235" s="53"/>
    </row>
    <row r="236" spans="3:47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8"/>
        <v>0</v>
      </c>
      <c r="M236" s="26">
        <f t="shared" si="9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67" t="e">
        <f>SUMIFS([1]Up!$J:$J,[1]Up!$D:$D,D236)</f>
        <v>#VALUE!</v>
      </c>
      <c r="AK236" s="82"/>
      <c r="AL236" s="82" t="str">
        <f t="shared" si="10"/>
        <v>PL20</v>
      </c>
      <c r="AM236" s="53" t="str">
        <f t="shared" si="11"/>
        <v/>
      </c>
      <c r="AN236" s="53" t="s">
        <v>148</v>
      </c>
      <c r="AO236" s="53"/>
      <c r="AP236" s="53"/>
      <c r="AQ236" s="53"/>
      <c r="AR236" s="53"/>
      <c r="AS236" s="83"/>
      <c r="AT236" s="53"/>
      <c r="AU236" s="53"/>
    </row>
    <row r="237" spans="3:47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8"/>
        <v>0</v>
      </c>
      <c r="M237" s="26">
        <f t="shared" si="9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67" t="e">
        <f>SUMIFS([1]Up!$J:$J,[1]Up!$D:$D,D237)</f>
        <v>#VALUE!</v>
      </c>
      <c r="AK237" s="82"/>
      <c r="AL237" s="82" t="str">
        <f t="shared" si="10"/>
        <v>PL20</v>
      </c>
      <c r="AM237" s="53" t="str">
        <f t="shared" si="11"/>
        <v/>
      </c>
      <c r="AN237" s="53" t="s">
        <v>148</v>
      </c>
      <c r="AO237" s="53"/>
      <c r="AP237" s="53"/>
      <c r="AQ237" s="53"/>
      <c r="AR237" s="53"/>
      <c r="AS237" s="83"/>
      <c r="AT237" s="53"/>
      <c r="AU237" s="53"/>
    </row>
    <row r="238" spans="3:47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8"/>
        <v>0</v>
      </c>
      <c r="M238" s="26">
        <f t="shared" si="9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67" t="e">
        <f>SUMIFS([1]Up!$J:$J,[1]Up!$D:$D,D238)</f>
        <v>#VALUE!</v>
      </c>
      <c r="AK238" s="82"/>
      <c r="AL238" s="82" t="str">
        <f t="shared" si="10"/>
        <v>PL20</v>
      </c>
      <c r="AM238" s="53" t="str">
        <f t="shared" si="11"/>
        <v/>
      </c>
      <c r="AN238" s="53" t="s">
        <v>148</v>
      </c>
      <c r="AO238" s="53"/>
      <c r="AP238" s="53"/>
      <c r="AQ238" s="53"/>
      <c r="AR238" s="53"/>
      <c r="AS238" s="83"/>
      <c r="AT238" s="53"/>
      <c r="AU238" s="53"/>
    </row>
    <row r="239" spans="3:47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8"/>
        <v>0</v>
      </c>
      <c r="M239" s="26">
        <f t="shared" si="9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67" t="e">
        <f>SUMIFS([1]Up!$J:$J,[1]Up!$D:$D,D239)</f>
        <v>#VALUE!</v>
      </c>
      <c r="AK239" s="82"/>
      <c r="AL239" s="82" t="str">
        <f t="shared" si="10"/>
        <v>PL20</v>
      </c>
      <c r="AM239" s="53" t="str">
        <f t="shared" si="11"/>
        <v/>
      </c>
      <c r="AN239" s="53" t="s">
        <v>148</v>
      </c>
      <c r="AO239" s="53"/>
      <c r="AP239" s="53"/>
      <c r="AQ239" s="53"/>
      <c r="AR239" s="53"/>
      <c r="AS239" s="83"/>
      <c r="AT239" s="53"/>
      <c r="AU239" s="53"/>
    </row>
    <row r="240" spans="3:47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8"/>
        <v>0</v>
      </c>
      <c r="M240" s="26">
        <f t="shared" si="9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67" t="e">
        <f>SUMIFS([1]Up!$J:$J,[1]Up!$D:$D,D240)</f>
        <v>#VALUE!</v>
      </c>
      <c r="AK240" s="82"/>
      <c r="AL240" s="82" t="str">
        <f t="shared" si="10"/>
        <v>PL20</v>
      </c>
      <c r="AM240" s="53" t="str">
        <f t="shared" si="11"/>
        <v/>
      </c>
      <c r="AN240" s="53" t="s">
        <v>148</v>
      </c>
      <c r="AO240" s="53"/>
      <c r="AP240" s="53"/>
      <c r="AQ240" s="53"/>
      <c r="AR240" s="53"/>
      <c r="AS240" s="83"/>
      <c r="AT240" s="53"/>
      <c r="AU240" s="53"/>
    </row>
    <row r="241" spans="3:47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8"/>
        <v>0</v>
      </c>
      <c r="M241" s="26">
        <f t="shared" si="9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67" t="e">
        <f>SUMIFS([1]Up!$J:$J,[1]Up!$D:$D,D241)</f>
        <v>#VALUE!</v>
      </c>
      <c r="AK241" s="82"/>
      <c r="AL241" s="82" t="str">
        <f t="shared" si="10"/>
        <v>PL20</v>
      </c>
      <c r="AM241" s="53" t="str">
        <f t="shared" si="11"/>
        <v/>
      </c>
      <c r="AN241" s="53" t="s">
        <v>148</v>
      </c>
      <c r="AO241" s="53"/>
      <c r="AP241" s="53"/>
      <c r="AQ241" s="53"/>
      <c r="AR241" s="53"/>
      <c r="AS241" s="83"/>
      <c r="AT241" s="53"/>
      <c r="AU241" s="53"/>
    </row>
    <row r="242" spans="3:47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8"/>
        <v>0</v>
      </c>
      <c r="M242" s="26">
        <f t="shared" si="9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67" t="e">
        <f>SUMIFS([1]Up!$J:$J,[1]Up!$D:$D,D242)</f>
        <v>#VALUE!</v>
      </c>
      <c r="AK242" s="82"/>
      <c r="AL242" s="82" t="str">
        <f t="shared" si="10"/>
        <v>PL20</v>
      </c>
      <c r="AM242" s="53" t="str">
        <f t="shared" si="11"/>
        <v/>
      </c>
      <c r="AN242" s="53" t="s">
        <v>148</v>
      </c>
      <c r="AO242" s="53"/>
      <c r="AP242" s="53"/>
      <c r="AQ242" s="53"/>
      <c r="AR242" s="53"/>
      <c r="AS242" s="83"/>
      <c r="AT242" s="53"/>
      <c r="AU242" s="53"/>
    </row>
    <row r="243" spans="3:47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8"/>
        <v>0</v>
      </c>
      <c r="M243" s="26">
        <f t="shared" si="9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67" t="e">
        <f>SUMIFS([1]Up!$J:$J,[1]Up!$D:$D,D243)</f>
        <v>#VALUE!</v>
      </c>
      <c r="AK243" s="82"/>
      <c r="AL243" s="82" t="str">
        <f t="shared" si="10"/>
        <v>PL20</v>
      </c>
      <c r="AM243" s="53" t="str">
        <f t="shared" si="11"/>
        <v/>
      </c>
      <c r="AN243" s="53" t="s">
        <v>148</v>
      </c>
      <c r="AO243" s="53"/>
      <c r="AP243" s="53"/>
      <c r="AQ243" s="53"/>
      <c r="AR243" s="53"/>
      <c r="AS243" s="83"/>
      <c r="AT243" s="53"/>
      <c r="AU243" s="53"/>
    </row>
    <row r="244" spans="3:47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8"/>
        <v>0</v>
      </c>
      <c r="M244" s="26">
        <f t="shared" si="9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67" t="e">
        <f>SUMIFS([1]Up!$J:$J,[1]Up!$D:$D,D244)</f>
        <v>#VALUE!</v>
      </c>
      <c r="AK244" s="82"/>
      <c r="AL244" s="82" t="str">
        <f t="shared" si="10"/>
        <v>PL20</v>
      </c>
      <c r="AM244" s="53" t="str">
        <f t="shared" si="11"/>
        <v/>
      </c>
      <c r="AN244" s="53" t="s">
        <v>148</v>
      </c>
      <c r="AO244" s="53"/>
      <c r="AP244" s="53"/>
      <c r="AQ244" s="53"/>
      <c r="AR244" s="53"/>
      <c r="AS244" s="83"/>
      <c r="AT244" s="53"/>
      <c r="AU244" s="53"/>
    </row>
    <row r="245" spans="3:47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8"/>
        <v>0</v>
      </c>
      <c r="M245" s="26">
        <f t="shared" si="9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67" t="e">
        <f>SUMIFS([1]Up!$J:$J,[1]Up!$D:$D,D245)</f>
        <v>#VALUE!</v>
      </c>
      <c r="AK245" s="82"/>
      <c r="AL245" s="82" t="str">
        <f t="shared" si="10"/>
        <v>PL5</v>
      </c>
      <c r="AM245" s="53" t="str">
        <f t="shared" si="11"/>
        <v/>
      </c>
      <c r="AN245" s="53" t="s">
        <v>148</v>
      </c>
      <c r="AO245" s="53"/>
      <c r="AP245" s="53"/>
      <c r="AQ245" s="53"/>
      <c r="AR245" s="53"/>
      <c r="AS245" s="83"/>
      <c r="AT245" s="53"/>
      <c r="AU245" s="53"/>
    </row>
    <row r="246" spans="3:47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8"/>
        <v>0</v>
      </c>
      <c r="M246" s="26">
        <f t="shared" si="9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67" t="e">
        <f>SUMIFS([1]Up!$J:$J,[1]Up!$D:$D,D246)</f>
        <v>#VALUE!</v>
      </c>
      <c r="AK246" s="82"/>
      <c r="AL246" s="82" t="str">
        <f t="shared" si="10"/>
        <v>PL20</v>
      </c>
      <c r="AM246" s="53" t="str">
        <f t="shared" si="11"/>
        <v/>
      </c>
      <c r="AN246" s="53" t="s">
        <v>148</v>
      </c>
      <c r="AO246" s="53"/>
      <c r="AP246" s="53"/>
      <c r="AQ246" s="53"/>
      <c r="AR246" s="53"/>
      <c r="AS246" s="83"/>
      <c r="AT246" s="53"/>
      <c r="AU246" s="53"/>
    </row>
    <row r="247" spans="3:47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8"/>
        <v>0</v>
      </c>
      <c r="M247" s="26">
        <f t="shared" si="9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67" t="e">
        <f>SUMIFS([1]Up!$J:$J,[1]Up!$D:$D,D247)</f>
        <v>#VALUE!</v>
      </c>
      <c r="AK247" s="82"/>
      <c r="AL247" s="82" t="str">
        <f t="shared" si="10"/>
        <v>PL20</v>
      </c>
      <c r="AM247" s="53" t="str">
        <f t="shared" si="11"/>
        <v/>
      </c>
      <c r="AN247" s="53" t="s">
        <v>148</v>
      </c>
      <c r="AO247" s="53"/>
      <c r="AP247" s="53"/>
      <c r="AQ247" s="53"/>
      <c r="AR247" s="53"/>
      <c r="AS247" s="83"/>
      <c r="AT247" s="53"/>
      <c r="AU247" s="53"/>
    </row>
    <row r="248" spans="3:47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8"/>
        <v>0</v>
      </c>
      <c r="M248" s="26">
        <f t="shared" si="9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67" t="e">
        <f>SUMIFS([1]Up!$J:$J,[1]Up!$D:$D,D248)</f>
        <v>#VALUE!</v>
      </c>
      <c r="AK248" s="82"/>
      <c r="AL248" s="82" t="str">
        <f t="shared" si="10"/>
        <v>PL20</v>
      </c>
      <c r="AM248" s="53" t="str">
        <f t="shared" si="11"/>
        <v/>
      </c>
      <c r="AN248" s="53" t="s">
        <v>148</v>
      </c>
      <c r="AO248" s="53"/>
      <c r="AP248" s="53"/>
      <c r="AQ248" s="53"/>
      <c r="AR248" s="53"/>
      <c r="AS248" s="83"/>
      <c r="AT248" s="53"/>
      <c r="AU248" s="53"/>
    </row>
    <row r="249" spans="3:47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8"/>
        <v>0</v>
      </c>
      <c r="M249" s="26">
        <f t="shared" si="9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67" t="e">
        <f>SUMIFS([1]Up!$J:$J,[1]Up!$D:$D,D249)</f>
        <v>#VALUE!</v>
      </c>
      <c r="AK249" s="82"/>
      <c r="AL249" s="82" t="str">
        <f t="shared" si="10"/>
        <v>PL20</v>
      </c>
      <c r="AM249" s="53" t="str">
        <f t="shared" si="11"/>
        <v/>
      </c>
      <c r="AN249" s="53" t="s">
        <v>148</v>
      </c>
      <c r="AO249" s="53"/>
      <c r="AP249" s="53"/>
      <c r="AQ249" s="53"/>
      <c r="AR249" s="53"/>
      <c r="AS249" s="83"/>
      <c r="AT249" s="53"/>
      <c r="AU249" s="53"/>
    </row>
    <row r="250" spans="3:47" ht="14.25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8"/>
        <v>1</v>
      </c>
      <c r="M250" s="26">
        <f t="shared" si="9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67" t="e">
        <f>SUMIFS([1]Up!$J:$J,[1]Up!$D:$D,D250)</f>
        <v>#VALUE!</v>
      </c>
      <c r="AK250" s="82" t="s">
        <v>2236</v>
      </c>
      <c r="AL250" s="82" t="e">
        <f t="shared" si="10"/>
        <v>#VALUE!</v>
      </c>
      <c r="AM250" s="53" t="str">
        <f t="shared" si="11"/>
        <v>Thừa 3</v>
      </c>
      <c r="AN250" s="53" t="s">
        <v>154</v>
      </c>
      <c r="AO250" s="53"/>
      <c r="AP250" s="53"/>
      <c r="AQ250" s="53" t="s">
        <v>57</v>
      </c>
      <c r="AR250" s="53">
        <v>1</v>
      </c>
      <c r="AS250" s="83"/>
      <c r="AT250" s="53"/>
      <c r="AU250" s="53"/>
    </row>
    <row r="251" spans="3:47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8"/>
        <v>0</v>
      </c>
      <c r="M251" s="26">
        <f t="shared" si="9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67" t="e">
        <f>SUMIFS([1]Up!$J:$J,[1]Up!$D:$D,D251)</f>
        <v>#VALUE!</v>
      </c>
      <c r="AK251" s="82"/>
      <c r="AL251" s="82" t="str">
        <f t="shared" si="10"/>
        <v>PL10</v>
      </c>
      <c r="AM251" s="53" t="str">
        <f t="shared" si="11"/>
        <v/>
      </c>
      <c r="AN251" s="53" t="s">
        <v>154</v>
      </c>
      <c r="AO251" s="84" t="s">
        <v>210</v>
      </c>
      <c r="AP251" s="53"/>
      <c r="AQ251" s="53" t="s">
        <v>211</v>
      </c>
      <c r="AR251" s="53">
        <v>1</v>
      </c>
      <c r="AS251" s="83">
        <v>46201</v>
      </c>
      <c r="AT251" s="53"/>
      <c r="AU251" s="53"/>
    </row>
    <row r="252" spans="3:47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8"/>
        <v>2</v>
      </c>
      <c r="M252" s="26">
        <f t="shared" si="9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67" t="e">
        <f>SUMIFS([1]Up!$J:$J,[1]Up!$D:$D,D252)</f>
        <v>#VALUE!</v>
      </c>
      <c r="AK252" s="82" t="s">
        <v>2073</v>
      </c>
      <c r="AL252" s="82" t="str">
        <f t="shared" si="10"/>
        <v>PL10</v>
      </c>
      <c r="AM252" s="53" t="str">
        <f t="shared" si="11"/>
        <v>Thừa 6</v>
      </c>
      <c r="AN252" s="53" t="s">
        <v>148</v>
      </c>
      <c r="AO252" s="53"/>
      <c r="AP252" s="53"/>
      <c r="AQ252" s="53" t="s">
        <v>57</v>
      </c>
      <c r="AR252" s="53">
        <v>2</v>
      </c>
      <c r="AS252" s="83"/>
      <c r="AT252" s="53"/>
      <c r="AU252" s="53"/>
    </row>
    <row r="253" spans="3:47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8"/>
        <v>0</v>
      </c>
      <c r="M253" s="26">
        <f t="shared" si="9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67" t="e">
        <f>SUMIFS([1]Up!$J:$J,[1]Up!$D:$D,D253)</f>
        <v>#VALUE!</v>
      </c>
      <c r="AK253" s="82"/>
      <c r="AL253" s="82" t="str">
        <f t="shared" si="10"/>
        <v>PL10</v>
      </c>
      <c r="AM253" s="53" t="str">
        <f t="shared" si="11"/>
        <v/>
      </c>
      <c r="AN253" s="53" t="s">
        <v>154</v>
      </c>
      <c r="AO253" s="84" t="s">
        <v>210</v>
      </c>
      <c r="AP253" s="53"/>
      <c r="AQ253" s="53" t="s">
        <v>211</v>
      </c>
      <c r="AR253" s="53">
        <v>2</v>
      </c>
      <c r="AS253" s="83">
        <v>46201</v>
      </c>
      <c r="AT253" s="53"/>
      <c r="AU253" s="53"/>
    </row>
    <row r="254" spans="3:47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8"/>
        <v>0</v>
      </c>
      <c r="M254" s="26">
        <f t="shared" si="9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67" t="e">
        <f>SUMIFS([1]Up!$J:$J,[1]Up!$D:$D,D254)</f>
        <v>#VALUE!</v>
      </c>
      <c r="AK254" s="82"/>
      <c r="AL254" s="82" t="str">
        <f t="shared" si="10"/>
        <v>PL10</v>
      </c>
      <c r="AM254" s="53" t="str">
        <f t="shared" si="11"/>
        <v/>
      </c>
      <c r="AN254" s="53" t="s">
        <v>154</v>
      </c>
      <c r="AO254" s="84" t="s">
        <v>210</v>
      </c>
      <c r="AP254" s="53"/>
      <c r="AQ254" s="53" t="s">
        <v>211</v>
      </c>
      <c r="AR254" s="53">
        <v>2</v>
      </c>
      <c r="AS254" s="83">
        <v>46201</v>
      </c>
      <c r="AT254" s="53"/>
      <c r="AU254" s="53"/>
    </row>
    <row r="255" spans="3:47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8"/>
        <v>0</v>
      </c>
      <c r="M255" s="26">
        <f t="shared" si="9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67" t="e">
        <f>SUMIFS([1]Up!$J:$J,[1]Up!$D:$D,D255)</f>
        <v>#VALUE!</v>
      </c>
      <c r="AK255" s="82"/>
      <c r="AL255" s="82" t="str">
        <f t="shared" si="10"/>
        <v>PL10</v>
      </c>
      <c r="AM255" s="53" t="str">
        <f t="shared" si="11"/>
        <v/>
      </c>
      <c r="AN255" s="53" t="s">
        <v>154</v>
      </c>
      <c r="AO255" s="84" t="s">
        <v>210</v>
      </c>
      <c r="AP255" s="53"/>
      <c r="AQ255" s="53" t="s">
        <v>211</v>
      </c>
      <c r="AR255" s="53">
        <v>2</v>
      </c>
      <c r="AS255" s="83">
        <v>46201</v>
      </c>
      <c r="AT255" s="53"/>
      <c r="AU255" s="53"/>
    </row>
    <row r="256" spans="3:47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8"/>
        <v>0</v>
      </c>
      <c r="M256" s="26">
        <f t="shared" si="9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67" t="e">
        <f>SUMIFS([1]Up!$J:$J,[1]Up!$D:$D,D256)</f>
        <v>#VALUE!</v>
      </c>
      <c r="AK256" s="82"/>
      <c r="AL256" s="82" t="str">
        <f t="shared" si="10"/>
        <v>PL10</v>
      </c>
      <c r="AM256" s="53" t="str">
        <f t="shared" si="11"/>
        <v/>
      </c>
      <c r="AN256" s="53" t="s">
        <v>154</v>
      </c>
      <c r="AO256" s="84" t="s">
        <v>210</v>
      </c>
      <c r="AP256" s="53"/>
      <c r="AQ256" s="53" t="s">
        <v>211</v>
      </c>
      <c r="AR256" s="53">
        <v>2</v>
      </c>
      <c r="AS256" s="83">
        <v>46201</v>
      </c>
      <c r="AT256" s="53"/>
      <c r="AU256" s="53"/>
    </row>
    <row r="257" spans="3:47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8"/>
        <v>0</v>
      </c>
      <c r="M257" s="26">
        <f t="shared" si="9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67" t="e">
        <f>SUMIFS([1]Up!$J:$J,[1]Up!$D:$D,D257)</f>
        <v>#VALUE!</v>
      </c>
      <c r="AK257" s="82"/>
      <c r="AL257" s="82" t="str">
        <f t="shared" si="10"/>
        <v>PL10</v>
      </c>
      <c r="AM257" s="53" t="str">
        <f t="shared" si="11"/>
        <v/>
      </c>
      <c r="AN257" s="53" t="s">
        <v>154</v>
      </c>
      <c r="AO257" s="84" t="s">
        <v>210</v>
      </c>
      <c r="AP257" s="53"/>
      <c r="AQ257" s="53" t="s">
        <v>211</v>
      </c>
      <c r="AR257" s="53">
        <v>2</v>
      </c>
      <c r="AS257" s="83">
        <v>46201</v>
      </c>
      <c r="AT257" s="53"/>
      <c r="AU257" s="53"/>
    </row>
    <row r="258" spans="3:47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8"/>
        <v>0</v>
      </c>
      <c r="M258" s="26">
        <f t="shared" si="9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67" t="e">
        <f>SUMIFS([1]Up!$J:$J,[1]Up!$D:$D,D258)</f>
        <v>#VALUE!</v>
      </c>
      <c r="AK258" s="82"/>
      <c r="AL258" s="82" t="str">
        <f t="shared" si="10"/>
        <v>PL10</v>
      </c>
      <c r="AM258" s="53" t="str">
        <f t="shared" si="11"/>
        <v/>
      </c>
      <c r="AN258" s="53" t="s">
        <v>154</v>
      </c>
      <c r="AO258" s="84" t="s">
        <v>210</v>
      </c>
      <c r="AP258" s="53"/>
      <c r="AQ258" s="53" t="s">
        <v>211</v>
      </c>
      <c r="AR258" s="53">
        <v>2</v>
      </c>
      <c r="AS258" s="83">
        <v>46201</v>
      </c>
      <c r="AT258" s="53"/>
      <c r="AU258" s="53"/>
    </row>
    <row r="259" spans="3:47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8"/>
        <v>0</v>
      </c>
      <c r="M259" s="26">
        <f t="shared" si="9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67" t="e">
        <f>SUMIFS([1]Up!$J:$J,[1]Up!$D:$D,D259)</f>
        <v>#VALUE!</v>
      </c>
      <c r="AK259" s="82"/>
      <c r="AL259" s="82" t="str">
        <f t="shared" si="10"/>
        <v>PL10</v>
      </c>
      <c r="AM259" s="53" t="str">
        <f t="shared" si="11"/>
        <v/>
      </c>
      <c r="AN259" s="53" t="s">
        <v>154</v>
      </c>
      <c r="AO259" s="84" t="s">
        <v>210</v>
      </c>
      <c r="AP259" s="53"/>
      <c r="AQ259" s="53" t="s">
        <v>211</v>
      </c>
      <c r="AR259" s="53">
        <v>2</v>
      </c>
      <c r="AS259" s="83">
        <v>46201</v>
      </c>
      <c r="AT259" s="53"/>
      <c r="AU259" s="53"/>
    </row>
    <row r="260" spans="3:47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8"/>
        <v>0</v>
      </c>
      <c r="M260" s="26">
        <f t="shared" si="9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67" t="e">
        <f>SUMIFS([1]Up!$J:$J,[1]Up!$D:$D,D260)</f>
        <v>#VALUE!</v>
      </c>
      <c r="AK260" s="82"/>
      <c r="AL260" s="82" t="str">
        <f t="shared" si="10"/>
        <v>PL10</v>
      </c>
      <c r="AM260" s="53" t="str">
        <f t="shared" si="11"/>
        <v/>
      </c>
      <c r="AN260" s="53" t="s">
        <v>154</v>
      </c>
      <c r="AO260" s="84" t="s">
        <v>210</v>
      </c>
      <c r="AP260" s="53"/>
      <c r="AQ260" s="53" t="s">
        <v>211</v>
      </c>
      <c r="AR260" s="53">
        <v>2</v>
      </c>
      <c r="AS260" s="83">
        <v>46201</v>
      </c>
      <c r="AT260" s="53"/>
      <c r="AU260" s="53"/>
    </row>
    <row r="261" spans="3:47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8"/>
        <v>0</v>
      </c>
      <c r="M261" s="26">
        <f t="shared" si="9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67" t="e">
        <f>SUMIFS([1]Up!$J:$J,[1]Up!$D:$D,D261)</f>
        <v>#VALUE!</v>
      </c>
      <c r="AK261" s="82"/>
      <c r="AL261" s="82" t="str">
        <f t="shared" si="10"/>
        <v>PL10</v>
      </c>
      <c r="AM261" s="53" t="str">
        <f t="shared" si="11"/>
        <v/>
      </c>
      <c r="AN261" s="53" t="s">
        <v>154</v>
      </c>
      <c r="AO261" s="84" t="s">
        <v>210</v>
      </c>
      <c r="AP261" s="53"/>
      <c r="AQ261" s="53" t="s">
        <v>211</v>
      </c>
      <c r="AR261" s="53">
        <v>2</v>
      </c>
      <c r="AS261" s="83">
        <v>46201</v>
      </c>
      <c r="AT261" s="53"/>
      <c r="AU261" s="53"/>
    </row>
    <row r="262" spans="3:47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8"/>
        <v>0</v>
      </c>
      <c r="M262" s="26">
        <f t="shared" si="9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67" t="e">
        <f>SUMIFS([1]Up!$J:$J,[1]Up!$D:$D,D262)</f>
        <v>#VALUE!</v>
      </c>
      <c r="AK262" s="82"/>
      <c r="AL262" s="82" t="str">
        <f t="shared" si="10"/>
        <v>PL10</v>
      </c>
      <c r="AM262" s="53" t="str">
        <f t="shared" si="11"/>
        <v/>
      </c>
      <c r="AN262" s="53" t="s">
        <v>154</v>
      </c>
      <c r="AO262" s="84" t="s">
        <v>210</v>
      </c>
      <c r="AP262" s="53"/>
      <c r="AQ262" s="53" t="s">
        <v>211</v>
      </c>
      <c r="AR262" s="53">
        <v>2</v>
      </c>
      <c r="AS262" s="83">
        <v>46201</v>
      </c>
      <c r="AT262" s="53"/>
      <c r="AU262" s="53"/>
    </row>
    <row r="263" spans="3:47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8"/>
        <v>0</v>
      </c>
      <c r="M263" s="26">
        <f t="shared" si="9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67" t="e">
        <f>SUMIFS([1]Up!$J:$J,[1]Up!$D:$D,D263)</f>
        <v>#VALUE!</v>
      </c>
      <c r="AK263" s="82"/>
      <c r="AL263" s="82" t="str">
        <f t="shared" si="10"/>
        <v>PL10</v>
      </c>
      <c r="AM263" s="53" t="str">
        <f t="shared" si="11"/>
        <v/>
      </c>
      <c r="AN263" s="53" t="s">
        <v>154</v>
      </c>
      <c r="AO263" s="84" t="s">
        <v>210</v>
      </c>
      <c r="AP263" s="53"/>
      <c r="AQ263" s="53" t="s">
        <v>211</v>
      </c>
      <c r="AR263" s="53">
        <v>2</v>
      </c>
      <c r="AS263" s="83">
        <v>46201</v>
      </c>
      <c r="AT263" s="53"/>
      <c r="AU263" s="53"/>
    </row>
    <row r="264" spans="3:47" ht="14.25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8"/>
        <v>1</v>
      </c>
      <c r="M264" s="26">
        <f t="shared" si="9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67" t="e">
        <f>SUMIFS([1]Up!$J:$J,[1]Up!$D:$D,D264)</f>
        <v>#VALUE!</v>
      </c>
      <c r="AK264" s="82" t="s">
        <v>2238</v>
      </c>
      <c r="AL264" s="82" t="e">
        <f t="shared" si="10"/>
        <v>#VALUE!</v>
      </c>
      <c r="AM264" s="53" t="str">
        <f t="shared" si="11"/>
        <v>Thừa 1</v>
      </c>
      <c r="AN264" s="53" t="s">
        <v>154</v>
      </c>
      <c r="AO264" s="53"/>
      <c r="AP264" s="53"/>
      <c r="AQ264" s="53" t="s">
        <v>57</v>
      </c>
      <c r="AR264" s="53">
        <v>1</v>
      </c>
      <c r="AS264" s="83"/>
      <c r="AT264" s="53"/>
      <c r="AU264" s="53"/>
    </row>
    <row r="265" spans="3:47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8"/>
        <v>1</v>
      </c>
      <c r="M265" s="26">
        <f t="shared" si="9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67" t="e">
        <f>SUMIFS([1]Up!$J:$J,[1]Up!$D:$D,D265)</f>
        <v>#VALUE!</v>
      </c>
      <c r="AK265" s="82"/>
      <c r="AL265" s="82" t="str">
        <f t="shared" si="10"/>
        <v>PL10</v>
      </c>
      <c r="AM265" s="53" t="str">
        <f t="shared" si="11"/>
        <v/>
      </c>
      <c r="AN265" s="53" t="s">
        <v>148</v>
      </c>
      <c r="AO265" s="84" t="s">
        <v>210</v>
      </c>
      <c r="AP265" s="53"/>
      <c r="AQ265" s="53" t="s">
        <v>211</v>
      </c>
      <c r="AR265" s="53">
        <v>1</v>
      </c>
      <c r="AS265" s="83">
        <v>46201</v>
      </c>
      <c r="AT265" s="53"/>
      <c r="AU265" s="53"/>
    </row>
    <row r="266" spans="3:47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8"/>
        <v>1</v>
      </c>
      <c r="M266" s="26">
        <f t="shared" si="9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67" t="e">
        <f>SUMIFS([1]Up!$J:$J,[1]Up!$D:$D,D266)</f>
        <v>#VALUE!</v>
      </c>
      <c r="AK266" s="82" t="s">
        <v>2078</v>
      </c>
      <c r="AL266" s="82" t="str">
        <f t="shared" si="10"/>
        <v>PL15</v>
      </c>
      <c r="AM266" s="53" t="str">
        <f t="shared" si="11"/>
        <v>Thừa 2</v>
      </c>
      <c r="AN266" s="53" t="s">
        <v>148</v>
      </c>
      <c r="AO266" s="53"/>
      <c r="AP266" s="53"/>
      <c r="AQ266" s="53" t="s">
        <v>57</v>
      </c>
      <c r="AR266" s="53">
        <v>1</v>
      </c>
      <c r="AS266" s="83"/>
      <c r="AT266" s="53"/>
      <c r="AU266" s="53"/>
    </row>
    <row r="267" spans="3:47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8"/>
        <v>1</v>
      </c>
      <c r="M267" s="26">
        <f t="shared" si="9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67" t="e">
        <f>SUMIFS([1]Up!$J:$J,[1]Up!$D:$D,D267)</f>
        <v>#VALUE!</v>
      </c>
      <c r="AK267" s="82" t="s">
        <v>2072</v>
      </c>
      <c r="AL267" s="82" t="str">
        <f t="shared" si="10"/>
        <v>PL15</v>
      </c>
      <c r="AM267" s="53" t="str">
        <f t="shared" si="11"/>
        <v>Thừa 2</v>
      </c>
      <c r="AN267" s="53" t="s">
        <v>148</v>
      </c>
      <c r="AO267" s="53"/>
      <c r="AP267" s="53"/>
      <c r="AQ267" s="53" t="s">
        <v>57</v>
      </c>
      <c r="AR267" s="53">
        <v>1</v>
      </c>
      <c r="AS267" s="83"/>
      <c r="AT267" s="53"/>
      <c r="AU267" s="53"/>
    </row>
    <row r="268" spans="3:47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8"/>
        <v>2</v>
      </c>
      <c r="M268" s="26">
        <f t="shared" si="9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67" t="e">
        <f>SUMIFS([1]Up!$J:$J,[1]Up!$D:$D,D268)</f>
        <v>#VALUE!</v>
      </c>
      <c r="AK268" s="82"/>
      <c r="AL268" s="82" t="str">
        <f t="shared" si="10"/>
        <v>PL15</v>
      </c>
      <c r="AM268" s="53" t="str">
        <f t="shared" si="11"/>
        <v/>
      </c>
      <c r="AN268" s="53" t="s">
        <v>148</v>
      </c>
      <c r="AO268" s="84" t="s">
        <v>200</v>
      </c>
      <c r="AP268" s="53"/>
      <c r="AQ268" s="53" t="s">
        <v>201</v>
      </c>
      <c r="AR268" s="53">
        <v>2</v>
      </c>
      <c r="AS268" s="83">
        <v>46201</v>
      </c>
      <c r="AT268" s="53"/>
      <c r="AU268" s="53"/>
    </row>
    <row r="269" spans="3:47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8"/>
        <v>2</v>
      </c>
      <c r="M269" s="26">
        <f t="shared" si="9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67" t="e">
        <f>SUMIFS([1]Up!$J:$J,[1]Up!$D:$D,D269)</f>
        <v>#VALUE!</v>
      </c>
      <c r="AK269" s="82"/>
      <c r="AL269" s="82" t="str">
        <f t="shared" si="10"/>
        <v>PL15</v>
      </c>
      <c r="AM269" s="53" t="str">
        <f t="shared" si="11"/>
        <v/>
      </c>
      <c r="AN269" s="53" t="s">
        <v>148</v>
      </c>
      <c r="AO269" s="84" t="s">
        <v>200</v>
      </c>
      <c r="AP269" s="53"/>
      <c r="AQ269" s="53" t="s">
        <v>201</v>
      </c>
      <c r="AR269" s="53">
        <v>2</v>
      </c>
      <c r="AS269" s="83">
        <v>46201</v>
      </c>
      <c r="AT269" s="53"/>
      <c r="AU269" s="53"/>
    </row>
    <row r="270" spans="3:47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2">MIN(SUM(N270:AI270),I270)</f>
        <v>1</v>
      </c>
      <c r="M270" s="26">
        <f t="shared" ref="M270:M325" si="13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67" t="e">
        <f>SUMIFS([1]Up!$J:$J,[1]Up!$D:$D,D270)</f>
        <v>#VALUE!</v>
      </c>
      <c r="AK270" s="82"/>
      <c r="AL270" s="82" t="str">
        <f t="shared" ref="AL270:AL325" si="14">IFERROR(IF(C270="Plate",LEFT(E270,FIND("*",E270,1)-1),""),IF(C270="Plate",LEFT(E270,FIND("x",E270,1)-1),""))</f>
        <v>PL15</v>
      </c>
      <c r="AM270" s="53" t="str">
        <f t="shared" ref="AM270:AM325" si="15">IF(ROUND(SUM(N270:AI270)-I270,0)&gt;0,"Thừa "&amp;SUM(N270:AI270)-I270,"")</f>
        <v/>
      </c>
      <c r="AN270" s="53" t="s">
        <v>148</v>
      </c>
      <c r="AO270" s="84" t="s">
        <v>200</v>
      </c>
      <c r="AP270" s="53"/>
      <c r="AQ270" s="53" t="s">
        <v>201</v>
      </c>
      <c r="AR270" s="53">
        <v>1</v>
      </c>
      <c r="AS270" s="83">
        <v>46201</v>
      </c>
      <c r="AT270" s="53"/>
      <c r="AU270" s="53"/>
    </row>
    <row r="271" spans="3:47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2"/>
        <v>1</v>
      </c>
      <c r="M271" s="26">
        <f t="shared" si="13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67" t="e">
        <f>SUMIFS([1]Up!$J:$J,[1]Up!$D:$D,D271)</f>
        <v>#VALUE!</v>
      </c>
      <c r="AK271" s="82"/>
      <c r="AL271" s="82" t="str">
        <f t="shared" si="14"/>
        <v>PL15</v>
      </c>
      <c r="AM271" s="53" t="str">
        <f t="shared" si="15"/>
        <v/>
      </c>
      <c r="AN271" s="53" t="s">
        <v>148</v>
      </c>
      <c r="AO271" s="84" t="s">
        <v>200</v>
      </c>
      <c r="AP271" s="53"/>
      <c r="AQ271" s="53" t="s">
        <v>201</v>
      </c>
      <c r="AR271" s="53">
        <v>1</v>
      </c>
      <c r="AS271" s="83">
        <v>46201</v>
      </c>
      <c r="AT271" s="53"/>
      <c r="AU271" s="53"/>
    </row>
    <row r="272" spans="3:47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2"/>
        <v>1</v>
      </c>
      <c r="M272" s="26">
        <f t="shared" si="13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67" t="e">
        <f>SUMIFS([1]Up!$J:$J,[1]Up!$D:$D,D272)</f>
        <v>#VALUE!</v>
      </c>
      <c r="AK272" s="82"/>
      <c r="AL272" s="82" t="str">
        <f t="shared" si="14"/>
        <v>PL15</v>
      </c>
      <c r="AM272" s="53" t="str">
        <f t="shared" si="15"/>
        <v/>
      </c>
      <c r="AN272" s="53" t="s">
        <v>148</v>
      </c>
      <c r="AO272" s="84" t="s">
        <v>200</v>
      </c>
      <c r="AP272" s="53"/>
      <c r="AQ272" s="53" t="s">
        <v>201</v>
      </c>
      <c r="AR272" s="53">
        <v>1</v>
      </c>
      <c r="AS272" s="83">
        <v>46201</v>
      </c>
      <c r="AT272" s="53"/>
      <c r="AU272" s="53"/>
    </row>
    <row r="273" spans="3:47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2"/>
        <v>1</v>
      </c>
      <c r="M273" s="26">
        <f t="shared" si="13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67" t="e">
        <f>SUMIFS([1]Up!$J:$J,[1]Up!$D:$D,D273)</f>
        <v>#VALUE!</v>
      </c>
      <c r="AK273" s="82"/>
      <c r="AL273" s="82" t="str">
        <f t="shared" si="14"/>
        <v>PL15</v>
      </c>
      <c r="AM273" s="53" t="str">
        <f t="shared" si="15"/>
        <v/>
      </c>
      <c r="AN273" s="53" t="s">
        <v>148</v>
      </c>
      <c r="AO273" s="84" t="s">
        <v>200</v>
      </c>
      <c r="AP273" s="53"/>
      <c r="AQ273" s="53" t="s">
        <v>201</v>
      </c>
      <c r="AR273" s="53">
        <v>1</v>
      </c>
      <c r="AS273" s="83">
        <v>46201</v>
      </c>
      <c r="AT273" s="53"/>
      <c r="AU273" s="53"/>
    </row>
    <row r="274" spans="3:47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2"/>
        <v>1</v>
      </c>
      <c r="M274" s="26">
        <f t="shared" si="13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67" t="e">
        <f>SUMIFS([1]Up!$J:$J,[1]Up!$D:$D,D274)</f>
        <v>#VALUE!</v>
      </c>
      <c r="AK274" s="82"/>
      <c r="AL274" s="82" t="str">
        <f t="shared" si="14"/>
        <v>PL15</v>
      </c>
      <c r="AM274" s="53" t="str">
        <f t="shared" si="15"/>
        <v/>
      </c>
      <c r="AN274" s="53" t="s">
        <v>148</v>
      </c>
      <c r="AO274" s="84" t="s">
        <v>200</v>
      </c>
      <c r="AP274" s="53"/>
      <c r="AQ274" s="53" t="s">
        <v>201</v>
      </c>
      <c r="AR274" s="53">
        <v>1</v>
      </c>
      <c r="AS274" s="83">
        <v>46201</v>
      </c>
      <c r="AT274" s="53"/>
      <c r="AU274" s="53"/>
    </row>
    <row r="275" spans="3:47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2"/>
        <v>2</v>
      </c>
      <c r="M275" s="26">
        <f t="shared" si="13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67" t="e">
        <f>SUMIFS([1]Up!$J:$J,[1]Up!$D:$D,D275)</f>
        <v>#VALUE!</v>
      </c>
      <c r="AK275" s="82"/>
      <c r="AL275" s="82" t="str">
        <f t="shared" si="14"/>
        <v>PL20</v>
      </c>
      <c r="AM275" s="53" t="str">
        <f t="shared" si="15"/>
        <v/>
      </c>
      <c r="AN275" s="53" t="s">
        <v>148</v>
      </c>
      <c r="AO275" s="84" t="s">
        <v>319</v>
      </c>
      <c r="AP275" s="53"/>
      <c r="AQ275" s="53" t="s">
        <v>320</v>
      </c>
      <c r="AR275" s="53">
        <v>2</v>
      </c>
      <c r="AS275" s="83">
        <v>46202</v>
      </c>
      <c r="AT275" s="53"/>
      <c r="AU275" s="53"/>
    </row>
    <row r="276" spans="3:47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2"/>
        <v>2</v>
      </c>
      <c r="M276" s="26">
        <f t="shared" si="13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67" t="e">
        <f>SUMIFS([1]Up!$J:$J,[1]Up!$D:$D,D276)</f>
        <v>#VALUE!</v>
      </c>
      <c r="AK276" s="82"/>
      <c r="AL276" s="82" t="str">
        <f t="shared" si="14"/>
        <v>PL20</v>
      </c>
      <c r="AM276" s="53" t="str">
        <f t="shared" si="15"/>
        <v/>
      </c>
      <c r="AN276" s="53" t="s">
        <v>148</v>
      </c>
      <c r="AO276" s="84" t="s">
        <v>319</v>
      </c>
      <c r="AP276" s="53"/>
      <c r="AQ276" s="53" t="s">
        <v>320</v>
      </c>
      <c r="AR276" s="53">
        <v>2</v>
      </c>
      <c r="AS276" s="83">
        <v>46202</v>
      </c>
      <c r="AT276" s="53"/>
      <c r="AU276" s="53"/>
    </row>
    <row r="277" spans="3:47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2"/>
        <v>1</v>
      </c>
      <c r="M277" s="26">
        <f t="shared" si="13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67" t="e">
        <f>SUMIFS([1]Up!$J:$J,[1]Up!$D:$D,D277)</f>
        <v>#VALUE!</v>
      </c>
      <c r="AK277" s="82" t="s">
        <v>2083</v>
      </c>
      <c r="AL277" s="82" t="str">
        <f t="shared" si="14"/>
        <v>PL15</v>
      </c>
      <c r="AM277" s="53" t="str">
        <f t="shared" si="15"/>
        <v>Thừa 4</v>
      </c>
      <c r="AN277" s="53" t="s">
        <v>148</v>
      </c>
      <c r="AO277" s="53"/>
      <c r="AP277" s="53"/>
      <c r="AQ277" s="53" t="s">
        <v>57</v>
      </c>
      <c r="AR277" s="53">
        <v>1</v>
      </c>
      <c r="AS277" s="83"/>
      <c r="AT277" s="53"/>
      <c r="AU277" s="53"/>
    </row>
    <row r="278" spans="3:47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2"/>
        <v>2</v>
      </c>
      <c r="M278" s="26">
        <f t="shared" si="13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67" t="e">
        <f>SUMIFS([1]Up!$J:$J,[1]Up!$D:$D,D278)</f>
        <v>#VALUE!</v>
      </c>
      <c r="AK278" s="82"/>
      <c r="AL278" s="82" t="str">
        <f t="shared" si="14"/>
        <v>PL20</v>
      </c>
      <c r="AM278" s="53" t="str">
        <f t="shared" si="15"/>
        <v/>
      </c>
      <c r="AN278" s="53" t="s">
        <v>148</v>
      </c>
      <c r="AO278" s="84" t="s">
        <v>319</v>
      </c>
      <c r="AP278" s="53"/>
      <c r="AQ278" s="53" t="s">
        <v>320</v>
      </c>
      <c r="AR278" s="53">
        <v>2</v>
      </c>
      <c r="AS278" s="83">
        <v>46202</v>
      </c>
      <c r="AT278" s="53"/>
      <c r="AU278" s="53"/>
    </row>
    <row r="279" spans="3:47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2"/>
        <v>4</v>
      </c>
      <c r="M279" s="26">
        <f t="shared" si="1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67" t="e">
        <f>SUMIFS([1]Up!$J:$J,[1]Up!$D:$D,D279)</f>
        <v>#VALUE!</v>
      </c>
      <c r="AK279" s="82"/>
      <c r="AL279" s="82" t="str">
        <f t="shared" si="14"/>
        <v>PL3</v>
      </c>
      <c r="AM279" s="53" t="str">
        <f t="shared" si="15"/>
        <v/>
      </c>
      <c r="AN279" s="53" t="s">
        <v>148</v>
      </c>
      <c r="AO279" s="84" t="s">
        <v>682</v>
      </c>
      <c r="AP279" s="53"/>
      <c r="AQ279" s="53" t="s">
        <v>683</v>
      </c>
      <c r="AR279" s="53">
        <v>4</v>
      </c>
      <c r="AS279" s="83">
        <v>46196</v>
      </c>
      <c r="AT279" s="53"/>
      <c r="AU279" s="53"/>
    </row>
    <row r="280" spans="3:47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2"/>
        <v>2</v>
      </c>
      <c r="M280" s="26">
        <f t="shared" si="13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67" t="e">
        <f>SUMIFS([1]Up!$J:$J,[1]Up!$D:$D,D280)</f>
        <v>#VALUE!</v>
      </c>
      <c r="AK280" s="82"/>
      <c r="AL280" s="82" t="str">
        <f t="shared" si="14"/>
        <v>PL20</v>
      </c>
      <c r="AM280" s="53" t="str">
        <f t="shared" si="15"/>
        <v/>
      </c>
      <c r="AN280" s="53" t="s">
        <v>148</v>
      </c>
      <c r="AO280" s="84" t="s">
        <v>319</v>
      </c>
      <c r="AP280" s="53"/>
      <c r="AQ280" s="53" t="s">
        <v>320</v>
      </c>
      <c r="AR280" s="53">
        <v>2</v>
      </c>
      <c r="AS280" s="83">
        <v>46202</v>
      </c>
      <c r="AT280" s="53"/>
      <c r="AU280" s="53"/>
    </row>
    <row r="281" spans="3:47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2"/>
        <v>4</v>
      </c>
      <c r="M281" s="26">
        <f t="shared" si="13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67" t="e">
        <f>SUMIFS([1]Up!$J:$J,[1]Up!$D:$D,D281)</f>
        <v>#VALUE!</v>
      </c>
      <c r="AK281" s="82"/>
      <c r="AL281" s="82" t="str">
        <f t="shared" si="14"/>
        <v>PL20</v>
      </c>
      <c r="AM281" s="53" t="str">
        <f t="shared" si="15"/>
        <v/>
      </c>
      <c r="AN281" s="53" t="s">
        <v>148</v>
      </c>
      <c r="AO281" s="84" t="s">
        <v>319</v>
      </c>
      <c r="AP281" s="53"/>
      <c r="AQ281" s="53" t="s">
        <v>320</v>
      </c>
      <c r="AR281" s="53">
        <v>4</v>
      </c>
      <c r="AS281" s="83">
        <v>46202</v>
      </c>
      <c r="AT281" s="53"/>
      <c r="AU281" s="53"/>
    </row>
    <row r="282" spans="3:47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2"/>
        <v>1</v>
      </c>
      <c r="M282" s="26">
        <f t="shared" si="13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67" t="e">
        <f>SUMIFS([1]Up!$J:$J,[1]Up!$D:$D,D282)</f>
        <v>#VALUE!</v>
      </c>
      <c r="AK282" s="82"/>
      <c r="AL282" s="82" t="str">
        <f t="shared" si="14"/>
        <v>PL30</v>
      </c>
      <c r="AM282" s="53" t="str">
        <f t="shared" si="15"/>
        <v/>
      </c>
      <c r="AN282" s="53" t="s">
        <v>148</v>
      </c>
      <c r="AO282" s="84" t="s">
        <v>688</v>
      </c>
      <c r="AP282" s="53"/>
      <c r="AQ282" s="53" t="s">
        <v>689</v>
      </c>
      <c r="AR282" s="53">
        <v>1</v>
      </c>
      <c r="AS282" s="83">
        <v>46196</v>
      </c>
      <c r="AT282" s="53"/>
      <c r="AU282" s="53"/>
    </row>
    <row r="283" spans="3:47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2"/>
        <v>2</v>
      </c>
      <c r="M283" s="26">
        <f t="shared" si="13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67" t="e">
        <f>SUMIFS([1]Up!$J:$J,[1]Up!$D:$D,D283)</f>
        <v>#VALUE!</v>
      </c>
      <c r="AK283" s="82"/>
      <c r="AL283" s="82" t="str">
        <f t="shared" si="14"/>
        <v>PL20</v>
      </c>
      <c r="AM283" s="53" t="str">
        <f t="shared" si="15"/>
        <v/>
      </c>
      <c r="AN283" s="53" t="s">
        <v>148</v>
      </c>
      <c r="AO283" s="84" t="s">
        <v>319</v>
      </c>
      <c r="AP283" s="53"/>
      <c r="AQ283" s="53" t="s">
        <v>320</v>
      </c>
      <c r="AR283" s="53">
        <v>2</v>
      </c>
      <c r="AS283" s="83">
        <v>46202</v>
      </c>
      <c r="AT283" s="53"/>
      <c r="AU283" s="53"/>
    </row>
    <row r="284" spans="3:47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2"/>
        <v>2</v>
      </c>
      <c r="M284" s="26">
        <f t="shared" si="13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67" t="e">
        <f>SUMIFS([1]Up!$J:$J,[1]Up!$D:$D,D284)</f>
        <v>#VALUE!</v>
      </c>
      <c r="AK284" s="82"/>
      <c r="AL284" s="82" t="str">
        <f t="shared" si="14"/>
        <v>PL20</v>
      </c>
      <c r="AM284" s="53" t="str">
        <f t="shared" si="15"/>
        <v/>
      </c>
      <c r="AN284" s="53" t="s">
        <v>148</v>
      </c>
      <c r="AO284" s="84" t="s">
        <v>319</v>
      </c>
      <c r="AP284" s="53"/>
      <c r="AQ284" s="53" t="s">
        <v>320</v>
      </c>
      <c r="AR284" s="53">
        <v>2</v>
      </c>
      <c r="AS284" s="83">
        <v>46202</v>
      </c>
      <c r="AT284" s="53"/>
      <c r="AU284" s="53"/>
    </row>
    <row r="285" spans="3:47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2"/>
        <v>4</v>
      </c>
      <c r="M285" s="26">
        <f t="shared" si="13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67" t="e">
        <f>SUMIFS([1]Up!$J:$J,[1]Up!$D:$D,D285)</f>
        <v>#VALUE!</v>
      </c>
      <c r="AK285" s="82"/>
      <c r="AL285" s="82" t="str">
        <f t="shared" si="14"/>
        <v>PL20</v>
      </c>
      <c r="AM285" s="53" t="str">
        <f t="shared" si="15"/>
        <v/>
      </c>
      <c r="AN285" s="53" t="s">
        <v>148</v>
      </c>
      <c r="AO285" s="84" t="s">
        <v>319</v>
      </c>
      <c r="AP285" s="53"/>
      <c r="AQ285" s="53" t="s">
        <v>320</v>
      </c>
      <c r="AR285" s="53">
        <v>4</v>
      </c>
      <c r="AS285" s="83">
        <v>46202</v>
      </c>
      <c r="AT285" s="53"/>
      <c r="AU285" s="53"/>
    </row>
    <row r="286" spans="3:47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2"/>
        <v>2</v>
      </c>
      <c r="M286" s="26">
        <f t="shared" si="13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67" t="e">
        <f>SUMIFS([1]Up!$J:$J,[1]Up!$D:$D,D286)</f>
        <v>#VALUE!</v>
      </c>
      <c r="AK286" s="82"/>
      <c r="AL286" s="82" t="str">
        <f t="shared" si="14"/>
        <v>PL20</v>
      </c>
      <c r="AM286" s="53" t="str">
        <f t="shared" si="15"/>
        <v/>
      </c>
      <c r="AN286" s="53" t="s">
        <v>148</v>
      </c>
      <c r="AO286" s="84" t="s">
        <v>319</v>
      </c>
      <c r="AP286" s="53"/>
      <c r="AQ286" s="53" t="s">
        <v>320</v>
      </c>
      <c r="AR286" s="53">
        <v>2</v>
      </c>
      <c r="AS286" s="83">
        <v>46202</v>
      </c>
      <c r="AT286" s="53"/>
      <c r="AU286" s="53"/>
    </row>
    <row r="287" spans="3:47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2"/>
        <v>2</v>
      </c>
      <c r="M287" s="26">
        <f t="shared" si="13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67" t="e">
        <f>SUMIFS([1]Up!$J:$J,[1]Up!$D:$D,D287)</f>
        <v>#VALUE!</v>
      </c>
      <c r="AK287" s="82"/>
      <c r="AL287" s="82" t="str">
        <f t="shared" si="14"/>
        <v>PL20</v>
      </c>
      <c r="AM287" s="53" t="str">
        <f t="shared" si="15"/>
        <v/>
      </c>
      <c r="AN287" s="53" t="s">
        <v>148</v>
      </c>
      <c r="AO287" s="84" t="s">
        <v>319</v>
      </c>
      <c r="AP287" s="53"/>
      <c r="AQ287" s="53" t="s">
        <v>320</v>
      </c>
      <c r="AR287" s="53">
        <v>2</v>
      </c>
      <c r="AS287" s="83">
        <v>46202</v>
      </c>
      <c r="AT287" s="53"/>
      <c r="AU287" s="53"/>
    </row>
    <row r="288" spans="3:47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2"/>
        <v>4</v>
      </c>
      <c r="M288" s="26">
        <f t="shared" si="13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67" t="e">
        <f>SUMIFS([1]Up!$J:$J,[1]Up!$D:$D,D288)</f>
        <v>#VALUE!</v>
      </c>
      <c r="AK288" s="82"/>
      <c r="AL288" s="82" t="str">
        <f t="shared" si="14"/>
        <v>PL20</v>
      </c>
      <c r="AM288" s="53" t="str">
        <f t="shared" si="15"/>
        <v/>
      </c>
      <c r="AN288" s="53" t="s">
        <v>148</v>
      </c>
      <c r="AO288" s="84" t="s">
        <v>319</v>
      </c>
      <c r="AP288" s="53"/>
      <c r="AQ288" s="53" t="s">
        <v>320</v>
      </c>
      <c r="AR288" s="53">
        <v>4</v>
      </c>
      <c r="AS288" s="83">
        <v>46202</v>
      </c>
      <c r="AT288" s="53"/>
      <c r="AU288" s="53"/>
    </row>
    <row r="289" spans="3:47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2"/>
        <v>1</v>
      </c>
      <c r="M289" s="26">
        <f t="shared" si="1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67" t="e">
        <f>SUMIFS([1]Up!$J:$J,[1]Up!$D:$D,D289)</f>
        <v>#VALUE!</v>
      </c>
      <c r="AK289" s="82"/>
      <c r="AL289" s="82" t="str">
        <f t="shared" si="14"/>
        <v>PL5</v>
      </c>
      <c r="AM289" s="53" t="str">
        <f t="shared" si="15"/>
        <v/>
      </c>
      <c r="AN289" s="53" t="s">
        <v>148</v>
      </c>
      <c r="AO289" s="53" t="s">
        <v>704</v>
      </c>
      <c r="AP289" s="53"/>
      <c r="AQ289" s="53" t="s">
        <v>705</v>
      </c>
      <c r="AR289" s="53">
        <v>1</v>
      </c>
      <c r="AS289" s="83">
        <v>46196</v>
      </c>
      <c r="AT289" s="53"/>
      <c r="AU289" s="53"/>
    </row>
    <row r="290" spans="3:47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2"/>
        <v>1</v>
      </c>
      <c r="M290" s="26">
        <f t="shared" si="13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67" t="e">
        <f>SUMIFS([1]Up!$J:$J,[1]Up!$D:$D,D290)</f>
        <v>#VALUE!</v>
      </c>
      <c r="AK290" s="82"/>
      <c r="AL290" s="82" t="str">
        <f t="shared" si="14"/>
        <v>PL20</v>
      </c>
      <c r="AM290" s="53" t="str">
        <f t="shared" si="15"/>
        <v/>
      </c>
      <c r="AN290" s="53" t="s">
        <v>148</v>
      </c>
      <c r="AO290" s="84" t="s">
        <v>319</v>
      </c>
      <c r="AP290" s="53"/>
      <c r="AQ290" s="53" t="s">
        <v>320</v>
      </c>
      <c r="AR290" s="53">
        <v>1</v>
      </c>
      <c r="AS290" s="83">
        <v>46202</v>
      </c>
      <c r="AT290" s="53"/>
      <c r="AU290" s="53"/>
    </row>
    <row r="291" spans="3:47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2"/>
        <v>1</v>
      </c>
      <c r="M291" s="26">
        <f t="shared" si="13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67" t="e">
        <f>SUMIFS([1]Up!$J:$J,[1]Up!$D:$D,D291)</f>
        <v>#VALUE!</v>
      </c>
      <c r="AK291" s="82"/>
      <c r="AL291" s="82" t="str">
        <f t="shared" si="14"/>
        <v>PL20</v>
      </c>
      <c r="AM291" s="53" t="str">
        <f t="shared" si="15"/>
        <v/>
      </c>
      <c r="AN291" s="53" t="s">
        <v>148</v>
      </c>
      <c r="AO291" s="84" t="s">
        <v>319</v>
      </c>
      <c r="AP291" s="53"/>
      <c r="AQ291" s="53" t="s">
        <v>320</v>
      </c>
      <c r="AR291" s="53">
        <v>1</v>
      </c>
      <c r="AS291" s="83">
        <v>46202</v>
      </c>
      <c r="AT291" s="53"/>
      <c r="AU291" s="53"/>
    </row>
    <row r="292" spans="3:47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2"/>
        <v>2</v>
      </c>
      <c r="M292" s="26">
        <f t="shared" si="13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67" t="e">
        <f>SUMIFS([1]Up!$J:$J,[1]Up!$D:$D,D292)</f>
        <v>#VALUE!</v>
      </c>
      <c r="AK292" s="82"/>
      <c r="AL292" s="82" t="str">
        <f t="shared" si="14"/>
        <v>PL20</v>
      </c>
      <c r="AM292" s="53" t="str">
        <f t="shared" si="15"/>
        <v/>
      </c>
      <c r="AN292" s="53" t="s">
        <v>148</v>
      </c>
      <c r="AO292" s="84" t="s">
        <v>319</v>
      </c>
      <c r="AP292" s="53"/>
      <c r="AQ292" s="53" t="s">
        <v>320</v>
      </c>
      <c r="AR292" s="53">
        <v>2</v>
      </c>
      <c r="AS292" s="83">
        <v>46202</v>
      </c>
      <c r="AT292" s="53"/>
      <c r="AU292" s="53"/>
    </row>
    <row r="293" spans="3:47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2"/>
        <v>2</v>
      </c>
      <c r="M293" s="26">
        <f t="shared" si="13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67" t="e">
        <f>SUMIFS([1]Up!$J:$J,[1]Up!$D:$D,D293)</f>
        <v>#VALUE!</v>
      </c>
      <c r="AK293" s="82"/>
      <c r="AL293" s="82" t="str">
        <f t="shared" si="14"/>
        <v>PL20</v>
      </c>
      <c r="AM293" s="53" t="str">
        <f t="shared" si="15"/>
        <v/>
      </c>
      <c r="AN293" s="53" t="s">
        <v>148</v>
      </c>
      <c r="AO293" s="84" t="s">
        <v>319</v>
      </c>
      <c r="AP293" s="53"/>
      <c r="AQ293" s="53" t="s">
        <v>320</v>
      </c>
      <c r="AR293" s="53">
        <v>2</v>
      </c>
      <c r="AS293" s="83">
        <v>46202</v>
      </c>
      <c r="AT293" s="53"/>
      <c r="AU293" s="53"/>
    </row>
    <row r="294" spans="3:47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2"/>
        <v>2</v>
      </c>
      <c r="M294" s="26">
        <f t="shared" si="13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67" t="e">
        <f>SUMIFS([1]Up!$J:$J,[1]Up!$D:$D,D294)</f>
        <v>#VALUE!</v>
      </c>
      <c r="AK294" s="82"/>
      <c r="AL294" s="82" t="str">
        <f t="shared" si="14"/>
        <v>PL20</v>
      </c>
      <c r="AM294" s="53" t="str">
        <f t="shared" si="15"/>
        <v/>
      </c>
      <c r="AN294" s="53" t="s">
        <v>148</v>
      </c>
      <c r="AO294" s="84" t="s">
        <v>319</v>
      </c>
      <c r="AP294" s="53"/>
      <c r="AQ294" s="53" t="s">
        <v>320</v>
      </c>
      <c r="AR294" s="53">
        <v>2</v>
      </c>
      <c r="AS294" s="83">
        <v>46202</v>
      </c>
      <c r="AT294" s="53"/>
      <c r="AU294" s="53"/>
    </row>
    <row r="295" spans="3:47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2"/>
        <v>2</v>
      </c>
      <c r="M295" s="26">
        <f t="shared" si="1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67" t="e">
        <f>SUMIFS([1]Up!$J:$J,[1]Up!$D:$D,D295)</f>
        <v>#VALUE!</v>
      </c>
      <c r="AK295" s="82"/>
      <c r="AL295" s="82" t="str">
        <f t="shared" si="14"/>
        <v>PL20</v>
      </c>
      <c r="AM295" s="53" t="str">
        <f t="shared" si="15"/>
        <v/>
      </c>
      <c r="AN295" s="53" t="s">
        <v>148</v>
      </c>
      <c r="AO295" s="84" t="s">
        <v>319</v>
      </c>
      <c r="AP295" s="53"/>
      <c r="AQ295" s="53" t="s">
        <v>320</v>
      </c>
      <c r="AR295" s="53">
        <v>2</v>
      </c>
      <c r="AS295" s="83">
        <v>46202</v>
      </c>
      <c r="AT295" s="53"/>
      <c r="AU295" s="53"/>
    </row>
    <row r="296" spans="3:47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2"/>
        <v>0</v>
      </c>
      <c r="M296" s="26">
        <f t="shared" si="13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67" t="e">
        <f>SUMIFS([1]Up!$J:$J,[1]Up!$D:$D,D296)</f>
        <v>#VALUE!</v>
      </c>
      <c r="AK296" s="82"/>
      <c r="AL296" s="82" t="e">
        <f t="shared" si="14"/>
        <v>#VALUE!</v>
      </c>
      <c r="AM296" s="53" t="str">
        <f t="shared" si="15"/>
        <v/>
      </c>
      <c r="AN296" s="53" t="s">
        <v>148</v>
      </c>
      <c r="AO296" s="53"/>
      <c r="AP296" s="53"/>
      <c r="AQ296" s="53"/>
      <c r="AR296" s="53"/>
      <c r="AS296" s="83"/>
      <c r="AT296" s="53"/>
      <c r="AU296" s="53"/>
    </row>
    <row r="297" spans="3:47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2"/>
        <v>0</v>
      </c>
      <c r="M297" s="26">
        <f t="shared" si="13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67" t="e">
        <f>SUMIFS([1]Up!$J:$J,[1]Up!$D:$D,D297)</f>
        <v>#VALUE!</v>
      </c>
      <c r="AK297" s="82"/>
      <c r="AL297" s="82" t="str">
        <f t="shared" si="14"/>
        <v>PL10</v>
      </c>
      <c r="AM297" s="53" t="str">
        <f t="shared" si="15"/>
        <v/>
      </c>
      <c r="AN297" s="53" t="s">
        <v>148</v>
      </c>
      <c r="AO297" s="53"/>
      <c r="AP297" s="53"/>
      <c r="AQ297" s="53"/>
      <c r="AR297" s="53"/>
      <c r="AS297" s="83"/>
      <c r="AT297" s="53"/>
      <c r="AU297" s="53"/>
    </row>
    <row r="298" spans="3:47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2"/>
        <v>0</v>
      </c>
      <c r="M298" s="26">
        <f t="shared" si="13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67" t="e">
        <f>SUMIFS([1]Up!$J:$J,[1]Up!$D:$D,D298)</f>
        <v>#VALUE!</v>
      </c>
      <c r="AK298" s="82"/>
      <c r="AL298" s="82" t="str">
        <f t="shared" si="14"/>
        <v>PL12</v>
      </c>
      <c r="AM298" s="53" t="str">
        <f t="shared" si="15"/>
        <v/>
      </c>
      <c r="AN298" s="53" t="s">
        <v>148</v>
      </c>
      <c r="AO298" s="53"/>
      <c r="AP298" s="53"/>
      <c r="AQ298" s="53"/>
      <c r="AR298" s="53"/>
      <c r="AS298" s="83"/>
      <c r="AT298" s="53"/>
      <c r="AU298" s="53"/>
    </row>
    <row r="299" spans="3:47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2"/>
        <v>0</v>
      </c>
      <c r="M299" s="26">
        <f t="shared" si="13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67" t="e">
        <f>SUMIFS([1]Up!$J:$J,[1]Up!$D:$D,D299)</f>
        <v>#VALUE!</v>
      </c>
      <c r="AK299" s="82"/>
      <c r="AL299" s="82" t="e">
        <f t="shared" si="14"/>
        <v>#VALUE!</v>
      </c>
      <c r="AM299" s="53" t="str">
        <f t="shared" si="15"/>
        <v/>
      </c>
      <c r="AN299" s="53" t="s">
        <v>148</v>
      </c>
      <c r="AO299" s="53"/>
      <c r="AP299" s="53"/>
      <c r="AQ299" s="53"/>
      <c r="AR299" s="53"/>
      <c r="AS299" s="83"/>
      <c r="AT299" s="53"/>
      <c r="AU299" s="53"/>
    </row>
    <row r="300" spans="3:47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2"/>
        <v>0</v>
      </c>
      <c r="M300" s="26">
        <f t="shared" si="13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67" t="e">
        <f>SUMIFS([1]Up!$J:$J,[1]Up!$D:$D,D300)</f>
        <v>#VALUE!</v>
      </c>
      <c r="AK300" s="82"/>
      <c r="AL300" s="82" t="str">
        <f t="shared" si="14"/>
        <v>PL10</v>
      </c>
      <c r="AM300" s="53" t="str">
        <f t="shared" si="15"/>
        <v/>
      </c>
      <c r="AN300" s="53" t="s">
        <v>148</v>
      </c>
      <c r="AO300" s="53"/>
      <c r="AP300" s="53"/>
      <c r="AQ300" s="53"/>
      <c r="AR300" s="53"/>
      <c r="AS300" s="83"/>
      <c r="AT300" s="53"/>
      <c r="AU300" s="53"/>
    </row>
    <row r="301" spans="3:47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2"/>
        <v>0</v>
      </c>
      <c r="M301" s="26">
        <f t="shared" si="13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67" t="e">
        <f>SUMIFS([1]Up!$J:$J,[1]Up!$D:$D,D301)</f>
        <v>#VALUE!</v>
      </c>
      <c r="AK301" s="82"/>
      <c r="AL301" s="82" t="str">
        <f t="shared" si="14"/>
        <v>PL12</v>
      </c>
      <c r="AM301" s="53" t="str">
        <f t="shared" si="15"/>
        <v/>
      </c>
      <c r="AN301" s="53" t="s">
        <v>148</v>
      </c>
      <c r="AO301" s="53"/>
      <c r="AP301" s="53"/>
      <c r="AQ301" s="53"/>
      <c r="AR301" s="53"/>
      <c r="AS301" s="83"/>
      <c r="AT301" s="53"/>
      <c r="AU301" s="53"/>
    </row>
    <row r="302" spans="3:47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2"/>
        <v>0</v>
      </c>
      <c r="M302" s="26">
        <f t="shared" si="13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67" t="e">
        <f>SUMIFS([1]Up!$J:$J,[1]Up!$D:$D,D302)</f>
        <v>#VALUE!</v>
      </c>
      <c r="AK302" s="82"/>
      <c r="AL302" s="82" t="e">
        <f t="shared" si="14"/>
        <v>#VALUE!</v>
      </c>
      <c r="AM302" s="53" t="str">
        <f t="shared" si="15"/>
        <v/>
      </c>
      <c r="AN302" s="53" t="s">
        <v>148</v>
      </c>
      <c r="AO302" s="53"/>
      <c r="AP302" s="53"/>
      <c r="AQ302" s="53"/>
      <c r="AR302" s="53"/>
      <c r="AS302" s="83"/>
      <c r="AT302" s="53"/>
      <c r="AU302" s="53"/>
    </row>
    <row r="303" spans="3:47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2"/>
        <v>0</v>
      </c>
      <c r="M303" s="26">
        <f t="shared" si="13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67" t="e">
        <f>SUMIFS([1]Up!$J:$J,[1]Up!$D:$D,D303)</f>
        <v>#VALUE!</v>
      </c>
      <c r="AK303" s="82"/>
      <c r="AL303" s="82" t="str">
        <f t="shared" si="14"/>
        <v>PL10</v>
      </c>
      <c r="AM303" s="53" t="str">
        <f t="shared" si="15"/>
        <v/>
      </c>
      <c r="AN303" s="53" t="s">
        <v>148</v>
      </c>
      <c r="AO303" s="53"/>
      <c r="AP303" s="53"/>
      <c r="AQ303" s="53"/>
      <c r="AR303" s="53"/>
      <c r="AS303" s="83"/>
      <c r="AT303" s="53"/>
      <c r="AU303" s="53"/>
    </row>
    <row r="304" spans="3:47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2"/>
        <v>0</v>
      </c>
      <c r="M304" s="26">
        <f t="shared" si="13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67" t="e">
        <f>SUMIFS([1]Up!$J:$J,[1]Up!$D:$D,D304)</f>
        <v>#VALUE!</v>
      </c>
      <c r="AK304" s="82"/>
      <c r="AL304" s="82" t="str">
        <f t="shared" si="14"/>
        <v>PL10</v>
      </c>
      <c r="AM304" s="53" t="str">
        <f t="shared" si="15"/>
        <v/>
      </c>
      <c r="AN304" s="53" t="s">
        <v>148</v>
      </c>
      <c r="AO304" s="53"/>
      <c r="AP304" s="53"/>
      <c r="AQ304" s="53"/>
      <c r="AR304" s="53"/>
      <c r="AS304" s="83"/>
      <c r="AT304" s="53"/>
      <c r="AU304" s="53"/>
    </row>
    <row r="305" spans="3:47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2"/>
        <v>0</v>
      </c>
      <c r="M305" s="26">
        <f t="shared" si="13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67" t="e">
        <f>SUMIFS([1]Up!$J:$J,[1]Up!$D:$D,D305)</f>
        <v>#VALUE!</v>
      </c>
      <c r="AK305" s="82"/>
      <c r="AL305" s="82" t="e">
        <f t="shared" si="14"/>
        <v>#VALUE!</v>
      </c>
      <c r="AM305" s="53" t="str">
        <f t="shared" si="15"/>
        <v/>
      </c>
      <c r="AN305" s="53" t="s">
        <v>148</v>
      </c>
      <c r="AO305" s="53"/>
      <c r="AP305" s="53"/>
      <c r="AQ305" s="53"/>
      <c r="AR305" s="53"/>
      <c r="AS305" s="83"/>
      <c r="AT305" s="53"/>
      <c r="AU305" s="53"/>
    </row>
    <row r="306" spans="3:47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2"/>
        <v>0</v>
      </c>
      <c r="M306" s="26">
        <f t="shared" si="13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67" t="e">
        <f>SUMIFS([1]Up!$J:$J,[1]Up!$D:$D,D306)</f>
        <v>#VALUE!</v>
      </c>
      <c r="AK306" s="82"/>
      <c r="AL306" s="82" t="str">
        <f t="shared" si="14"/>
        <v>PL10</v>
      </c>
      <c r="AM306" s="53" t="str">
        <f t="shared" si="15"/>
        <v/>
      </c>
      <c r="AN306" s="53" t="s">
        <v>148</v>
      </c>
      <c r="AO306" s="53"/>
      <c r="AP306" s="53"/>
      <c r="AQ306" s="53"/>
      <c r="AR306" s="53"/>
      <c r="AS306" s="83"/>
      <c r="AT306" s="53"/>
      <c r="AU306" s="53"/>
    </row>
    <row r="307" spans="3:47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2"/>
        <v>0</v>
      </c>
      <c r="M307" s="26">
        <f t="shared" si="13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67" t="e">
        <f>SUMIFS([1]Up!$J:$J,[1]Up!$D:$D,D307)</f>
        <v>#VALUE!</v>
      </c>
      <c r="AK307" s="82"/>
      <c r="AL307" s="82" t="str">
        <f t="shared" si="14"/>
        <v>PL12</v>
      </c>
      <c r="AM307" s="53" t="str">
        <f t="shared" si="15"/>
        <v/>
      </c>
      <c r="AN307" s="53" t="s">
        <v>148</v>
      </c>
      <c r="AO307" s="53"/>
      <c r="AP307" s="53"/>
      <c r="AQ307" s="53"/>
      <c r="AR307" s="53"/>
      <c r="AS307" s="83"/>
      <c r="AT307" s="53"/>
      <c r="AU307" s="53"/>
    </row>
    <row r="308" spans="3:47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2"/>
        <v>0</v>
      </c>
      <c r="M308" s="26">
        <f t="shared" si="13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67" t="e">
        <f>SUMIFS([1]Up!$J:$J,[1]Up!$D:$D,D308)</f>
        <v>#VALUE!</v>
      </c>
      <c r="AK308" s="82"/>
      <c r="AL308" s="82" t="e">
        <f t="shared" si="14"/>
        <v>#VALUE!</v>
      </c>
      <c r="AM308" s="53" t="str">
        <f t="shared" si="15"/>
        <v/>
      </c>
      <c r="AN308" s="53" t="s">
        <v>148</v>
      </c>
      <c r="AO308" s="53"/>
      <c r="AP308" s="53"/>
      <c r="AQ308" s="53"/>
      <c r="AR308" s="53"/>
      <c r="AS308" s="83"/>
      <c r="AT308" s="53"/>
      <c r="AU308" s="53"/>
    </row>
    <row r="309" spans="3:47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2"/>
        <v>0</v>
      </c>
      <c r="M309" s="26">
        <f t="shared" si="13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67" t="e">
        <f>SUMIFS([1]Up!$J:$J,[1]Up!$D:$D,D309)</f>
        <v>#VALUE!</v>
      </c>
      <c r="AK309" s="82"/>
      <c r="AL309" s="82" t="str">
        <f t="shared" si="14"/>
        <v>PL12</v>
      </c>
      <c r="AM309" s="53" t="str">
        <f t="shared" si="15"/>
        <v/>
      </c>
      <c r="AN309" s="53" t="s">
        <v>148</v>
      </c>
      <c r="AO309" s="53"/>
      <c r="AP309" s="53"/>
      <c r="AQ309" s="53"/>
      <c r="AR309" s="53"/>
      <c r="AS309" s="83"/>
      <c r="AT309" s="53"/>
      <c r="AU309" s="53"/>
    </row>
    <row r="310" spans="3:47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2"/>
        <v>0</v>
      </c>
      <c r="M310" s="26">
        <f t="shared" si="13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67" t="e">
        <f>SUMIFS([1]Up!$J:$J,[1]Up!$D:$D,D310)</f>
        <v>#VALUE!</v>
      </c>
      <c r="AK310" s="82"/>
      <c r="AL310" s="82" t="str">
        <f t="shared" si="14"/>
        <v>PL10</v>
      </c>
      <c r="AM310" s="53" t="str">
        <f t="shared" si="15"/>
        <v/>
      </c>
      <c r="AN310" s="53" t="s">
        <v>148</v>
      </c>
      <c r="AO310" s="53"/>
      <c r="AP310" s="53"/>
      <c r="AQ310" s="53"/>
      <c r="AR310" s="53"/>
      <c r="AS310" s="83"/>
      <c r="AT310" s="53"/>
      <c r="AU310" s="53"/>
    </row>
    <row r="311" spans="3:47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2"/>
        <v>0</v>
      </c>
      <c r="M311" s="26">
        <f t="shared" si="13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67" t="e">
        <f>SUMIFS([1]Up!$J:$J,[1]Up!$D:$D,D311)</f>
        <v>#VALUE!</v>
      </c>
      <c r="AK311" s="82"/>
      <c r="AL311" s="82" t="e">
        <f t="shared" si="14"/>
        <v>#VALUE!</v>
      </c>
      <c r="AM311" s="53" t="str">
        <f t="shared" si="15"/>
        <v/>
      </c>
      <c r="AN311" s="53" t="s">
        <v>148</v>
      </c>
      <c r="AO311" s="53"/>
      <c r="AP311" s="53"/>
      <c r="AQ311" s="53"/>
      <c r="AR311" s="53"/>
      <c r="AS311" s="83"/>
      <c r="AT311" s="53"/>
      <c r="AU311" s="53"/>
    </row>
    <row r="312" spans="3:47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2"/>
        <v>0</v>
      </c>
      <c r="M312" s="26">
        <f t="shared" si="13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67" t="e">
        <f>SUMIFS([1]Up!$J:$J,[1]Up!$D:$D,D312)</f>
        <v>#VALUE!</v>
      </c>
      <c r="AK312" s="82"/>
      <c r="AL312" s="82" t="str">
        <f t="shared" si="14"/>
        <v>PL10</v>
      </c>
      <c r="AM312" s="53" t="str">
        <f t="shared" si="15"/>
        <v/>
      </c>
      <c r="AN312" s="53" t="s">
        <v>148</v>
      </c>
      <c r="AO312" s="53"/>
      <c r="AP312" s="53"/>
      <c r="AQ312" s="53"/>
      <c r="AR312" s="53"/>
      <c r="AS312" s="83"/>
      <c r="AT312" s="53"/>
      <c r="AU312" s="53"/>
    </row>
    <row r="313" spans="3:47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2"/>
        <v>0</v>
      </c>
      <c r="M313" s="26">
        <f t="shared" si="13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67" t="e">
        <f>SUMIFS([1]Up!$J:$J,[1]Up!$D:$D,D313)</f>
        <v>#VALUE!</v>
      </c>
      <c r="AK313" s="82"/>
      <c r="AL313" s="82" t="str">
        <f t="shared" si="14"/>
        <v>PL10</v>
      </c>
      <c r="AM313" s="53" t="str">
        <f t="shared" si="15"/>
        <v/>
      </c>
      <c r="AN313" s="53" t="s">
        <v>148</v>
      </c>
      <c r="AO313" s="53"/>
      <c r="AP313" s="53"/>
      <c r="AQ313" s="53"/>
      <c r="AR313" s="53"/>
      <c r="AS313" s="83"/>
      <c r="AT313" s="53"/>
      <c r="AU313" s="53"/>
    </row>
    <row r="314" spans="3:47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2"/>
        <v>0</v>
      </c>
      <c r="M314" s="26">
        <f t="shared" si="13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67" t="e">
        <f>SUMIFS([1]Up!$J:$J,[1]Up!$D:$D,D314)</f>
        <v>#VALUE!</v>
      </c>
      <c r="AK314" s="82"/>
      <c r="AL314" s="82" t="e">
        <f t="shared" si="14"/>
        <v>#VALUE!</v>
      </c>
      <c r="AM314" s="53" t="str">
        <f t="shared" si="15"/>
        <v/>
      </c>
      <c r="AN314" s="53" t="s">
        <v>154</v>
      </c>
      <c r="AO314" s="53"/>
      <c r="AP314" s="53"/>
      <c r="AQ314" s="53"/>
      <c r="AR314" s="53"/>
      <c r="AS314" s="83"/>
      <c r="AT314" s="53"/>
      <c r="AU314" s="53"/>
    </row>
    <row r="315" spans="3:47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2"/>
        <v>0</v>
      </c>
      <c r="M315" s="26">
        <f t="shared" si="13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67" t="e">
        <f>SUMIFS([1]Up!$J:$J,[1]Up!$D:$D,D315)</f>
        <v>#VALUE!</v>
      </c>
      <c r="AK315" s="82"/>
      <c r="AL315" s="82" t="str">
        <f t="shared" si="14"/>
        <v>PL10</v>
      </c>
      <c r="AM315" s="53" t="str">
        <f t="shared" si="15"/>
        <v/>
      </c>
      <c r="AN315" s="53" t="s">
        <v>148</v>
      </c>
      <c r="AO315" s="53"/>
      <c r="AP315" s="53"/>
      <c r="AQ315" s="53"/>
      <c r="AR315" s="53"/>
      <c r="AS315" s="83"/>
      <c r="AT315" s="53"/>
      <c r="AU315" s="53"/>
    </row>
    <row r="316" spans="3:47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2"/>
        <v>0</v>
      </c>
      <c r="M316" s="26">
        <f t="shared" si="13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67" t="e">
        <f>SUMIFS([1]Up!$J:$J,[1]Up!$D:$D,D316)</f>
        <v>#VALUE!</v>
      </c>
      <c r="AK316" s="82"/>
      <c r="AL316" s="82" t="str">
        <f t="shared" si="14"/>
        <v>PL15</v>
      </c>
      <c r="AM316" s="53" t="str">
        <f t="shared" si="15"/>
        <v/>
      </c>
      <c r="AN316" s="53" t="s">
        <v>148</v>
      </c>
      <c r="AO316" s="53"/>
      <c r="AP316" s="53"/>
      <c r="AQ316" s="53"/>
      <c r="AR316" s="53"/>
      <c r="AS316" s="83"/>
      <c r="AT316" s="53"/>
      <c r="AU316" s="53"/>
    </row>
    <row r="317" spans="3:47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2"/>
        <v>0</v>
      </c>
      <c r="M317" s="26">
        <f t="shared" si="13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67" t="e">
        <f>SUMIFS([1]Up!$J:$J,[1]Up!$D:$D,D317)</f>
        <v>#VALUE!</v>
      </c>
      <c r="AK317" s="82"/>
      <c r="AL317" s="82" t="str">
        <f t="shared" si="14"/>
        <v>PL15</v>
      </c>
      <c r="AM317" s="53" t="str">
        <f t="shared" si="15"/>
        <v/>
      </c>
      <c r="AN317" s="53" t="s">
        <v>148</v>
      </c>
      <c r="AO317" s="53"/>
      <c r="AP317" s="53"/>
      <c r="AQ317" s="53"/>
      <c r="AR317" s="53"/>
      <c r="AS317" s="83"/>
      <c r="AT317" s="53"/>
      <c r="AU317" s="53"/>
    </row>
    <row r="318" spans="3:47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2"/>
        <v>0</v>
      </c>
      <c r="M318" s="26">
        <f t="shared" si="13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67" t="e">
        <f>SUMIFS([1]Up!$J:$J,[1]Up!$D:$D,D318)</f>
        <v>#VALUE!</v>
      </c>
      <c r="AK318" s="82"/>
      <c r="AL318" s="82" t="e">
        <f t="shared" si="14"/>
        <v>#VALUE!</v>
      </c>
      <c r="AM318" s="53" t="str">
        <f t="shared" si="15"/>
        <v/>
      </c>
      <c r="AN318" s="53" t="s">
        <v>154</v>
      </c>
      <c r="AO318" s="53"/>
      <c r="AP318" s="53"/>
      <c r="AQ318" s="53" t="s">
        <v>57</v>
      </c>
      <c r="AR318" s="53">
        <v>16</v>
      </c>
      <c r="AS318" s="83"/>
      <c r="AT318" s="53"/>
      <c r="AU318" s="53"/>
    </row>
    <row r="319" spans="3:47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2"/>
        <v>0</v>
      </c>
      <c r="M319" s="26">
        <f t="shared" si="13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67" t="e">
        <f>SUMIFS([1]Up!$J:$J,[1]Up!$D:$D,D319)</f>
        <v>#VALUE!</v>
      </c>
      <c r="AK319" s="82"/>
      <c r="AL319" s="82" t="str">
        <f t="shared" si="14"/>
        <v>PL10</v>
      </c>
      <c r="AM319" s="53" t="str">
        <f t="shared" si="15"/>
        <v/>
      </c>
      <c r="AN319" s="53" t="s">
        <v>148</v>
      </c>
      <c r="AO319" s="84" t="s">
        <v>210</v>
      </c>
      <c r="AP319" s="53"/>
      <c r="AQ319" s="53" t="s">
        <v>211</v>
      </c>
      <c r="AR319" s="53">
        <v>8</v>
      </c>
      <c r="AS319" s="83">
        <v>46201</v>
      </c>
      <c r="AT319" s="53"/>
      <c r="AU319" s="53"/>
    </row>
    <row r="320" spans="3:47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2"/>
        <v>0</v>
      </c>
      <c r="M320" s="26">
        <f t="shared" si="13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67" t="e">
        <f>SUMIFS([1]Up!$J:$J,[1]Up!$D:$D,D320)</f>
        <v>#VALUE!</v>
      </c>
      <c r="AK320" s="82"/>
      <c r="AL320" s="82" t="str">
        <f t="shared" si="14"/>
        <v>PL15</v>
      </c>
      <c r="AM320" s="53" t="str">
        <f t="shared" si="15"/>
        <v/>
      </c>
      <c r="AN320" s="53" t="s">
        <v>148</v>
      </c>
      <c r="AO320" s="84" t="s">
        <v>200</v>
      </c>
      <c r="AP320" s="53"/>
      <c r="AQ320" s="53" t="s">
        <v>201</v>
      </c>
      <c r="AR320" s="53">
        <v>24</v>
      </c>
      <c r="AS320" s="83">
        <v>46201</v>
      </c>
      <c r="AT320" s="53"/>
      <c r="AU320" s="53"/>
    </row>
    <row r="321" spans="3:47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2"/>
        <v>0</v>
      </c>
      <c r="M321" s="26">
        <f t="shared" si="13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67" t="e">
        <f>SUMIFS([1]Up!$J:$J,[1]Up!$D:$D,D321)</f>
        <v>#VALUE!</v>
      </c>
      <c r="AK321" s="82"/>
      <c r="AL321" s="82" t="str">
        <f t="shared" si="14"/>
        <v>PL15</v>
      </c>
      <c r="AM321" s="53" t="str">
        <f t="shared" si="15"/>
        <v/>
      </c>
      <c r="AN321" s="53" t="s">
        <v>148</v>
      </c>
      <c r="AO321" s="84" t="s">
        <v>200</v>
      </c>
      <c r="AP321" s="53"/>
      <c r="AQ321" s="53" t="s">
        <v>201</v>
      </c>
      <c r="AR321" s="53">
        <v>8</v>
      </c>
      <c r="AS321" s="83">
        <v>46201</v>
      </c>
      <c r="AT321" s="53"/>
      <c r="AU321" s="53"/>
    </row>
    <row r="322" spans="3:47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2"/>
        <v>0</v>
      </c>
      <c r="M322" s="26">
        <f t="shared" si="13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67" t="e">
        <f>SUMIFS([1]Up!$J:$J,[1]Up!$D:$D,D322)</f>
        <v>#VALUE!</v>
      </c>
      <c r="AK322" s="82"/>
      <c r="AL322" s="82" t="str">
        <f t="shared" si="14"/>
        <v>PL15</v>
      </c>
      <c r="AM322" s="53" t="str">
        <f t="shared" si="15"/>
        <v/>
      </c>
      <c r="AN322" s="53" t="s">
        <v>148</v>
      </c>
      <c r="AO322" s="53"/>
      <c r="AP322" s="53"/>
      <c r="AQ322" s="53"/>
      <c r="AR322" s="53"/>
      <c r="AS322" s="83"/>
      <c r="AT322" s="53"/>
      <c r="AU322" s="53"/>
    </row>
    <row r="323" spans="3:47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2"/>
        <v>0</v>
      </c>
      <c r="M323" s="26">
        <f t="shared" si="13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67" t="e">
        <f>SUMIFS([1]Up!$J:$J,[1]Up!$D:$D,D323)</f>
        <v>#VALUE!</v>
      </c>
      <c r="AK323" s="82"/>
      <c r="AL323" s="82" t="str">
        <f t="shared" si="14"/>
        <v>PL15</v>
      </c>
      <c r="AM323" s="53" t="str">
        <f t="shared" si="15"/>
        <v/>
      </c>
      <c r="AN323" s="53" t="s">
        <v>148</v>
      </c>
      <c r="AO323" s="53"/>
      <c r="AP323" s="53"/>
      <c r="AQ323" s="53"/>
      <c r="AR323" s="53"/>
      <c r="AS323" s="83"/>
      <c r="AT323" s="53"/>
      <c r="AU323" s="53"/>
    </row>
    <row r="324" spans="3:47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2"/>
        <v>0</v>
      </c>
      <c r="M324" s="26">
        <f t="shared" si="13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67" t="e">
        <f>SUMIFS([1]Up!$J:$J,[1]Up!$D:$D,D324)</f>
        <v>#VALUE!</v>
      </c>
      <c r="AK324" s="82"/>
      <c r="AL324" s="82" t="e">
        <f t="shared" si="14"/>
        <v>#VALUE!</v>
      </c>
      <c r="AM324" s="53" t="str">
        <f t="shared" si="15"/>
        <v/>
      </c>
      <c r="AN324" s="53" t="s">
        <v>154</v>
      </c>
      <c r="AO324" s="53"/>
      <c r="AP324" s="53"/>
      <c r="AQ324" s="53"/>
      <c r="AR324" s="53"/>
      <c r="AS324" s="83"/>
      <c r="AT324" s="53"/>
      <c r="AU324" s="53"/>
    </row>
    <row r="325" spans="3:47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2"/>
        <v>0</v>
      </c>
      <c r="M325" s="26">
        <f t="shared" si="13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67" t="e">
        <f>SUMIFS([1]Up!$J:$J,[1]Up!$D:$D,D325)</f>
        <v>#VALUE!</v>
      </c>
      <c r="AK325" s="82"/>
      <c r="AL325" s="82" t="str">
        <f t="shared" si="14"/>
        <v>PL10</v>
      </c>
      <c r="AM325" s="53" t="str">
        <f t="shared" si="15"/>
        <v/>
      </c>
      <c r="AN325" s="53" t="s">
        <v>148</v>
      </c>
      <c r="AO325" s="53"/>
      <c r="AP325" s="53"/>
      <c r="AQ325" s="53"/>
      <c r="AR325" s="53"/>
      <c r="AS325" s="83"/>
      <c r="AT325" s="53"/>
      <c r="AU325" s="53"/>
    </row>
    <row r="326" spans="3:47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67"/>
      <c r="AK326" s="82"/>
      <c r="AL326" s="82"/>
      <c r="AM326" s="53"/>
      <c r="AN326" s="53"/>
      <c r="AO326" s="53"/>
      <c r="AP326" s="53"/>
      <c r="AQ326" s="53"/>
      <c r="AR326" s="85"/>
      <c r="AS326" s="53"/>
      <c r="AT326" s="53"/>
      <c r="AU326" s="53"/>
    </row>
    <row r="327" spans="3:47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67"/>
      <c r="AK327" s="82"/>
      <c r="AL327" s="82"/>
      <c r="AM327" s="53"/>
      <c r="AN327" s="53"/>
      <c r="AO327" s="53"/>
      <c r="AP327" s="53"/>
      <c r="AQ327" s="53"/>
      <c r="AR327" s="85"/>
      <c r="AS327" s="53"/>
      <c r="AT327" s="53"/>
      <c r="AU327" s="53"/>
    </row>
    <row r="328" spans="3:47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67"/>
      <c r="AK328" s="82"/>
      <c r="AL328" s="82"/>
      <c r="AM328" s="53"/>
      <c r="AN328" s="53"/>
      <c r="AO328" s="53"/>
      <c r="AP328" s="53"/>
      <c r="AQ328" s="53"/>
      <c r="AR328" s="85"/>
      <c r="AS328" s="53"/>
      <c r="AT328" s="53"/>
      <c r="AU328" s="53"/>
    </row>
    <row r="329" spans="3:47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67"/>
      <c r="AK329" s="82"/>
      <c r="AL329" s="82"/>
      <c r="AM329" s="53"/>
      <c r="AN329" s="53"/>
      <c r="AO329" s="53"/>
      <c r="AP329" s="53"/>
      <c r="AQ329" s="53"/>
      <c r="AR329" s="85"/>
      <c r="AS329" s="53"/>
      <c r="AT329" s="53"/>
      <c r="AU329" s="53"/>
    </row>
    <row r="330" spans="3:47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67"/>
      <c r="AK330" s="82"/>
      <c r="AL330" s="82"/>
      <c r="AM330" s="53"/>
      <c r="AN330" s="53"/>
      <c r="AO330" s="53"/>
      <c r="AP330" s="53"/>
      <c r="AQ330" s="53"/>
      <c r="AR330" s="85"/>
      <c r="AS330" s="53"/>
      <c r="AT330" s="53"/>
      <c r="AU330" s="53"/>
    </row>
    <row r="331" spans="3:47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67"/>
      <c r="AK331" s="82"/>
      <c r="AL331" s="82"/>
      <c r="AM331" s="53"/>
      <c r="AN331" s="53"/>
      <c r="AO331" s="53"/>
      <c r="AP331" s="53"/>
      <c r="AQ331" s="53"/>
      <c r="AR331" s="85"/>
      <c r="AS331" s="53"/>
      <c r="AT331" s="53"/>
      <c r="AU331" s="53"/>
    </row>
    <row r="332" spans="3:47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67"/>
      <c r="AK332" s="82"/>
      <c r="AL332" s="82"/>
      <c r="AM332" s="53"/>
      <c r="AN332" s="53"/>
      <c r="AO332" s="53"/>
      <c r="AP332" s="53"/>
      <c r="AQ332" s="53"/>
      <c r="AR332" s="85"/>
      <c r="AS332" s="53"/>
      <c r="AT332" s="53"/>
      <c r="AU332" s="53"/>
    </row>
  </sheetData>
  <autoFilter ref="C29:AU332" xr:uid="{B5DE6D30-F474-449D-82A7-1262A8A8C8BB}">
    <filterColumn colId="31">
      <customFilters>
        <customFilter operator="notEqual" val=" "/>
      </custom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/>
  <dimension ref="A1:CB366"/>
  <sheetViews>
    <sheetView zoomScale="70" zoomScaleNormal="70" workbookViewId="0">
      <pane xSplit="14" ySplit="9" topLeftCell="AL10" activePane="bottomRight" state="frozen"/>
      <selection pane="topRight" activeCell="Q1" sqref="Q1"/>
      <selection pane="bottomLeft" activeCell="A10" sqref="A10"/>
      <selection pane="bottomRight" activeCell="AW11" sqref="AW11:AY1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0.47727272727272729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282"/>
        <v>1</v>
      </c>
      <c r="V140" s="146">
        <f t="shared" ca="1" si="283"/>
        <v>0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0</v>
      </c>
      <c r="AJ140" s="146">
        <f t="shared" ca="1" si="287"/>
        <v>1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301"/>
        <v>2</v>
      </c>
      <c r="V170" s="146">
        <f t="shared" ca="1" si="302"/>
        <v>0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0</v>
      </c>
      <c r="AO170" s="146">
        <f t="shared" ca="1" si="309"/>
        <v>2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301"/>
        <v>2</v>
      </c>
      <c r="V172" s="146">
        <f t="shared" ca="1" si="302"/>
        <v>0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0</v>
      </c>
      <c r="AO172" s="146">
        <f t="shared" ca="1" si="309"/>
        <v>2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0</v>
      </c>
      <c r="X184" s="135">
        <f ca="1">SUMIFS(T:T,C:C,C184,AE:AE,"")/SUMIFS(L:L,C:C,C184,AE:AE,"",AB:AB,"")</f>
        <v>0.8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320"/>
        <v>1</v>
      </c>
      <c r="V189" s="146">
        <f t="shared" ca="1" si="321"/>
        <v>0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0</v>
      </c>
      <c r="AJ189" s="146">
        <f t="shared" ca="1" si="325"/>
        <v>1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0.6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338"/>
        <v>1</v>
      </c>
      <c r="V195" s="146">
        <f t="shared" ca="1" si="339"/>
        <v>0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0</v>
      </c>
      <c r="AJ195" s="146">
        <f t="shared" ca="1" si="343"/>
        <v>1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0</v>
      </c>
      <c r="X196" s="135">
        <f ca="1">SUMIFS(T:T,C:C,C196,AE:AE,"")/SUMIFS(L:L,C:C,C196,AE:AE,"",AB:AB,"")</f>
        <v>0.8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356"/>
        <v>1</v>
      </c>
      <c r="V201" s="146">
        <f t="shared" ca="1" si="357"/>
        <v>0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0</v>
      </c>
      <c r="AJ201" s="146">
        <f t="shared" ca="1" si="361"/>
        <v>1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0.6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146">
        <f t="shared" ca="1" si="374"/>
        <v>1</v>
      </c>
      <c r="V207" s="146">
        <f t="shared" ca="1" si="375"/>
        <v>0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0</v>
      </c>
      <c r="AJ207" s="146">
        <f t="shared" ca="1" si="379"/>
        <v>1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0</v>
      </c>
      <c r="X208" s="135">
        <f ca="1">SUMIFS(T:T,C:C,C208,AE:AE,"")/SUMIFS(L:L,C:C,C208,AE:AE,"",AB:AB,"")</f>
        <v>0.8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46">
        <f t="shared" ca="1" si="392"/>
        <v>1</v>
      </c>
      <c r="V213" s="146">
        <f t="shared" ca="1" si="393"/>
        <v>0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0</v>
      </c>
      <c r="AJ213" s="146">
        <f t="shared" ca="1" si="397"/>
        <v>1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0</v>
      </c>
      <c r="X214" s="135">
        <f ca="1">SUMIFS(T:T,C:C,C214,AE:AE,"")/SUMIFS(L:L,C:C,C214,AE:AE,"",AB:AB,"")</f>
        <v>0.8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410"/>
        <v>1</v>
      </c>
      <c r="V219" s="146">
        <f t="shared" ca="1" si="411"/>
        <v>0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0</v>
      </c>
      <c r="AJ219" s="146">
        <f t="shared" ca="1" si="415"/>
        <v>1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0.6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428"/>
        <v>1</v>
      </c>
      <c r="V225" s="146">
        <f t="shared" ca="1" si="429"/>
        <v>0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0</v>
      </c>
      <c r="AJ225" s="146">
        <f t="shared" ca="1" si="433"/>
        <v>1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0.6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446"/>
        <v>1</v>
      </c>
      <c r="V231" s="146">
        <f t="shared" ca="1" si="447"/>
        <v>0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0</v>
      </c>
      <c r="AJ231" s="146">
        <f t="shared" ca="1" si="451"/>
        <v>1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0</v>
      </c>
      <c r="X232" s="135">
        <f ca="1">SUMIFS(T:T,C:C,C232,AE:AE,"")/SUMIFS(L:L,C:C,C232,AE:AE,"",AB:AB,"")</f>
        <v>0.8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464"/>
        <v>1</v>
      </c>
      <c r="V237" s="146">
        <f t="shared" ca="1" si="465"/>
        <v>0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0</v>
      </c>
      <c r="AJ237" s="146">
        <f t="shared" ca="1" si="469"/>
        <v>1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0</v>
      </c>
      <c r="X238" s="135">
        <f ca="1">SUMIFS(T:T,C:C,C238,AE:AE,"")/SUMIFS(L:L,C:C,C238,AE:AE,"",AB:AB,"")</f>
        <v>0.8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46">
        <f t="shared" ca="1" si="482"/>
        <v>1</v>
      </c>
      <c r="V243" s="146">
        <f t="shared" ca="1" si="483"/>
        <v>0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0</v>
      </c>
      <c r="AJ243" s="146">
        <f t="shared" ca="1" si="487"/>
        <v>1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0</v>
      </c>
      <c r="X244" s="135">
        <f ca="1">SUMIFS(T:T,C:C,C244,AE:AE,"")/SUMIFS(L:L,C:C,C244,AE:AE,"",AB:AB,"")</f>
        <v>0.8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46">
        <f t="shared" ca="1" si="500"/>
        <v>1</v>
      </c>
      <c r="V249" s="146">
        <f t="shared" ca="1" si="501"/>
        <v>0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0</v>
      </c>
      <c r="AJ249" s="146">
        <f t="shared" ca="1" si="505"/>
        <v>1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0</v>
      </c>
      <c r="X250" s="135">
        <f ca="1">SUMIFS(T:T,C:C,C250,AE:AE,"")/SUMIFS(L:L,C:C,C250,AE:AE,"",AB:AB,"")</f>
        <v>0.8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46">
        <f t="shared" ca="1" si="518"/>
        <v>1</v>
      </c>
      <c r="V255" s="146">
        <f t="shared" ca="1" si="519"/>
        <v>0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0</v>
      </c>
      <c r="AJ255" s="146">
        <f t="shared" ca="1" si="523"/>
        <v>1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/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AV556"/>
  <sheetViews>
    <sheetView zoomScale="85" zoomScaleNormal="85" workbookViewId="0">
      <pane xSplit="13" ySplit="29" topLeftCell="V30" activePane="bottomRight" state="frozen"/>
      <selection activeCell="AJ30" sqref="AJ30"/>
      <selection pane="topRight" activeCell="AJ30" sqref="AJ30"/>
      <selection pane="bottomLeft" activeCell="AJ30" sqref="AJ30"/>
      <selection pane="bottomRight" activeCell="AG563" sqref="AG56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4" width="6.875" style="3" customWidth="1"/>
    <col min="35" max="35" width="7.25" style="3" customWidth="1"/>
    <col min="36" max="36" width="8.625" style="3" customWidth="1"/>
    <col min="37" max="37" width="9.875" style="3" customWidth="1"/>
    <col min="38" max="38" width="8.625" style="3" customWidth="1"/>
    <col min="39" max="39" width="8.75" style="3" customWidth="1"/>
    <col min="40" max="40" width="7.5" style="3" customWidth="1"/>
    <col min="41" max="41" width="11.125" style="3" customWidth="1"/>
    <col min="42" max="43" width="9" style="3" customWidth="1"/>
    <col min="44" max="44" width="8.75" style="3" customWidth="1"/>
    <col min="45" max="45" width="8.625" style="3" customWidth="1"/>
    <col min="46" max="47" width="9" style="3" customWidth="1"/>
    <col min="48" max="16384" width="8.75" style="3"/>
  </cols>
  <sheetData>
    <row r="1" spans="4:35" ht="19.5">
      <c r="D1" s="1" t="s">
        <v>952</v>
      </c>
      <c r="E1" s="2"/>
      <c r="F1" s="2"/>
      <c r="G1" s="2"/>
      <c r="H1" s="2"/>
    </row>
    <row r="2" spans="4:35" ht="13.5" thickBot="1"/>
    <row r="3" spans="4:3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spans="4:3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5"/>
    </row>
    <row r="5" spans="4:35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36</v>
      </c>
      <c r="H5" s="26" cm="1">
        <f t="array" ref="H5">SUMPRODUCT(--($C$30:$C$556=$D5),$L$30:$L$556,$J$30:$J$556)</f>
        <v>655.82094000000006</v>
      </c>
      <c r="I5" s="26" cm="1">
        <f t="array" ref="I5">SUMPRODUCT(--($C$30:$C$556=$D5),$M$30:$M$556)</f>
        <v>206</v>
      </c>
      <c r="J5" s="27" cm="1">
        <f t="array" ref="J5">SUMPRODUCT(--($C$30:$C$556=$D5),$M$30:$M$556,$J$30:$J$556)</f>
        <v>1984.7741800000003</v>
      </c>
      <c r="L5" s="28" t="s">
        <v>12</v>
      </c>
      <c r="M5" s="29">
        <f>G8</f>
        <v>423</v>
      </c>
      <c r="N5" s="30">
        <f>H8</f>
        <v>52674.440940000008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</row>
    <row r="6" spans="4:35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387</v>
      </c>
      <c r="H6" s="26" cm="1">
        <f t="array" ref="H6">SUMPRODUCT(--($C$30:$C$556=$D6),$L$30:$L$556,$J$30:$J$556)</f>
        <v>52018.62000000001</v>
      </c>
      <c r="I6" s="26" cm="1">
        <f t="array" ref="I6">SUMPRODUCT(--($C$30:$C$556=$D6),$M$30:$M$556)</f>
        <v>1355</v>
      </c>
      <c r="J6" s="27" cm="1">
        <f t="array" ref="J6">SUMPRODUCT(--($C$30:$C$556=$D6),$M$30:$M$556,$J$30:$J$556)</f>
        <v>137042.53872611473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</row>
    <row r="7" spans="4:35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35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423</v>
      </c>
      <c r="H8" s="41">
        <f t="shared" si="0"/>
        <v>52674.440940000008</v>
      </c>
      <c r="I8" s="41">
        <f t="shared" si="0"/>
        <v>1670</v>
      </c>
      <c r="J8" s="42">
        <f t="shared" si="0"/>
        <v>141275.22250611475</v>
      </c>
    </row>
    <row r="9" spans="4:35" ht="13.5" hidden="1" outlineLevel="1" thickTop="1"/>
    <row r="10" spans="4:3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5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</row>
    <row r="12" spans="4:35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</row>
    <row r="13" spans="4:35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</row>
    <row r="14" spans="4:35" ht="13.5" hidden="1" outlineLevel="2" thickTop="1">
      <c r="D14" s="56" t="s">
        <v>18</v>
      </c>
      <c r="E14" s="50" cm="1">
        <f t="array" ref="E14">SUMPRODUCT(--($C$30:$C$556=$D$11),--($E$30:$E$556=E$11),$L$30:$L$556,$G$30:$G$556)</f>
        <v>0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0</v>
      </c>
      <c r="K14" s="50" cm="1">
        <f t="array" ref="K14">SUMPRODUCT(--($C$30:$C$556=$D$11),--($E$30:$E$556=K$11),$L$30:$L$556,$G$30:$G$556)</f>
        <v>0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</row>
    <row r="15" spans="4:35" ht="13.5" hidden="1" outlineLevel="2" thickTop="1">
      <c r="D15" s="56" t="s">
        <v>19</v>
      </c>
      <c r="E15" s="53" cm="1">
        <f t="array" ref="E15">SUMPRODUCT(--($C$30:$C$556=$D$11),--($E$30:$E$556=E$11),$L$30:$L$556)</f>
        <v>0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0</v>
      </c>
      <c r="K15" s="53" cm="1">
        <f t="array" ref="K15">SUMPRODUCT(--($C$30:$C$556=$D$11),--($E$30:$E$556=K$11),$L$30:$L$556)</f>
        <v>0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</row>
    <row r="16" spans="4:35" ht="13.5" hidden="1" outlineLevel="2" thickTop="1">
      <c r="D16" s="56" t="s">
        <v>20</v>
      </c>
      <c r="E16" s="50" cm="1">
        <f t="array" ref="E16">SUMPRODUCT(--($C$30:$C$556=$D$11),--($E$30:$E$556=E$11),$M$30:$M$556,$G$30:$G$556)</f>
        <v>19899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752</v>
      </c>
      <c r="K16" s="50" cm="1">
        <f t="array" ref="K16">SUMPRODUCT(--($C$30:$C$556=$D$11),--($E$30:$E$556=K$11),$M$30:$M$556,$G$30:$G$556)</f>
        <v>2608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</row>
    <row r="17" spans="3:47" ht="13.5" hidden="1" outlineLevel="2" thickTop="1">
      <c r="D17" s="57" t="s">
        <v>21</v>
      </c>
      <c r="E17" s="58" cm="1">
        <f t="array" ref="E17">SUMPRODUCT(--($C$30:$C$556=$D$11),--($E$30:$E$556=E$11),$M$30:$M$556)</f>
        <v>27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4</v>
      </c>
      <c r="K17" s="58" cm="1">
        <f t="array" ref="K17">SUMPRODUCT(--($C$30:$C$556=$D$11),--($E$30:$E$556=K$11),$M$30:$M$556)</f>
        <v>8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</row>
    <row r="18" spans="3:47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56.7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1.2</v>
      </c>
      <c r="K18" s="61" cm="1">
        <f t="array" ref="K18">SUMPRODUCT(--($C$30:$C$556=$D$11),--($E$30:$E$556=K$11),$M$30:$M$556,$J$30:$J$556)</f>
        <v>6.4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</row>
    <row r="19" spans="3:47" ht="13.5" hidden="1" outlineLevel="1" thickTop="1"/>
    <row r="20" spans="3:4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47" ht="13.5" hidden="1" outlineLevel="1" thickTop="1">
      <c r="D21" s="63" t="s">
        <v>13</v>
      </c>
      <c r="E21" s="64" t="str" cm="1">
        <f t="array" ref="E21:P21">_xlfn._xlws.SORT(MID(TRANSPOSE(_xlfn.UNIQUE(_xlfn._xlws.FILTER(AL30:AL556,(C30:C556=$D$21)*(M30:M556&lt;&gt;0)))),3,3),,1)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</row>
    <row r="22" spans="3:47" ht="30.75" hidden="1" customHeight="1" outlineLevel="2">
      <c r="D22" s="66" t="s">
        <v>24</v>
      </c>
      <c r="E22" s="67" cm="1">
        <f t="array" ref="E22">SUMPRODUCT(--($C$30:$C$556=$D$21),--($AL$30:$AL$556="PL"&amp;E$21),$J$30:$J$556,$I$30:$I$556)/(7.85*E$21)</f>
        <v>1.1627700920929855</v>
      </c>
      <c r="F22" s="67" cm="1">
        <f t="array" ref="F22">SUMPRODUCT(--($C$30:$C$556=$D$21),--($AL$30:$AL$556="PL"&amp;F$21),$J$30:$J$556,$I$30:$I$556)/(7.85*F$21)</f>
        <v>0.81188959660297255</v>
      </c>
      <c r="G22" s="67" cm="1">
        <f t="array" ref="G22">SUMPRODUCT(--($C$30:$C$556=$D$21),--($AL$30:$AL$556="PL"&amp;G$21),$J$30:$J$556,$I$30:$I$556)/(7.85*G$21)</f>
        <v>2.6751592356687901</v>
      </c>
      <c r="H22" s="67" cm="1">
        <f t="array" ref="H22">SUMPRODUCT(--($C$30:$C$556=$D$21),--($AL$30:$AL$556="PL"&amp;H$21),$J$30:$J$556,$I$30:$I$556)/(7.85*H$21)</f>
        <v>3.8471337579617839</v>
      </c>
      <c r="I22" s="67" cm="1">
        <f t="array" ref="I22">SUMPRODUCT(--($C$30:$C$556=$D$21),--($AL$30:$AL$556="PL"&amp;I$21),$J$30:$J$556,$I$30:$I$556)/(7.85*I$21)</f>
        <v>8.4920382165605055</v>
      </c>
      <c r="J22" s="67" cm="1">
        <f t="array" ref="J22">SUMPRODUCT(--($C$30:$C$556=$D$21),--($AL$30:$AL$556="PL"&amp;J$21),$J$30:$J$556,$I$30:$I$556)/(7.85*J$21)</f>
        <v>0.89171974522292996</v>
      </c>
      <c r="K22" s="67" cm="1">
        <f t="array" ref="K22">SUMPRODUCT(--($C$30:$C$556=$D$21),--($AL$30:$AL$556="PL"&amp;K$21),$J$30:$J$556,$I$30:$I$556)/(7.85*K$21)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</row>
    <row r="23" spans="3:47" ht="21" hidden="1" customHeight="1" outlineLevel="2">
      <c r="D23" s="66" t="s">
        <v>17</v>
      </c>
      <c r="E23" s="69" cm="1">
        <f t="array" ref="E23">SUMPRODUCT(--($C$30:$C$556=$D$21),--($AL$30:$AL$556="PL"&amp;E$21),$I$30:$I$556)</f>
        <v>52</v>
      </c>
      <c r="F23" s="69" cm="1">
        <f t="array" ref="F23">SUMPRODUCT(--($C$30:$C$556=$D$21),--($AL$30:$AL$556="PL"&amp;F$21),$I$30:$I$556)</f>
        <v>35</v>
      </c>
      <c r="G23" s="69" cm="1">
        <f t="array" ref="G23">SUMPRODUCT(--($C$30:$C$556=$D$21),--($AL$30:$AL$556="PL"&amp;G$21),$I$30:$I$556)</f>
        <v>111</v>
      </c>
      <c r="H23" s="69" cm="1">
        <f t="array" ref="H23">SUMPRODUCT(--($C$30:$C$556=$D$21),--($AL$30:$AL$556="PL"&amp;H$21),$I$30:$I$556)</f>
        <v>214</v>
      </c>
      <c r="I23" s="69" cm="1">
        <f t="array" ref="I23">SUMPRODUCT(--($C$30:$C$556=$D$21),--($AL$30:$AL$556="PL"&amp;I$21),$I$30:$I$556)</f>
        <v>296</v>
      </c>
      <c r="J23" s="69" cm="1">
        <f t="array" ref="J23">SUMPRODUCT(--($C$30:$C$556=$D$21),--($AL$30:$AL$556="PL"&amp;J$21),$I$30:$I$556)</f>
        <v>32</v>
      </c>
      <c r="K23" s="69" cm="1">
        <f t="array" ref="K23">SUMPRODUCT(--($C$30:$C$556=$D$21),--($AL$30:$AL$556="PL"&amp;K$21),$I$30:$I$556)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</row>
    <row r="24" spans="3:47" ht="25.9" hidden="1" customHeight="1" outlineLevel="2">
      <c r="D24" s="66" t="s">
        <v>25</v>
      </c>
      <c r="E24" s="67" cm="1">
        <f t="array" ref="E24">SUMPRODUCT(--($C$30:$C$556=$D$21),--($AL$30:$AL$556="PL"&amp;E$21),$J$30:$J$556,$M$30:$M$556)/(7.85*E$21)</f>
        <v>0.99971276725222114</v>
      </c>
      <c r="F24" s="67" cm="1">
        <f t="array" ref="F24">SUMPRODUCT(--($C$30:$C$556=$D$21),--($AL$30:$AL$556="PL"&amp;F$21),$J$30:$J$556,$M$30:$M$556)/(7.85*F$21)</f>
        <v>0.72186836518046715</v>
      </c>
      <c r="G24" s="67" cm="1">
        <f t="array" ref="G24">SUMPRODUCT(--($C$30:$C$556=$D$21),--($AL$30:$AL$556="PL"&amp;G$21),$J$30:$J$556,$M$30:$M$556)/(7.85*G$21)</f>
        <v>2.6751592356687901</v>
      </c>
      <c r="H24" s="67" cm="1">
        <f t="array" ref="H24">SUMPRODUCT(--($C$30:$C$556=$D$21),--($AL$30:$AL$556="PL"&amp;H$21),$J$30:$J$556,$M$30:$M$556)/(7.85*H$21)</f>
        <v>3.8471337579617839</v>
      </c>
      <c r="I24" s="67" cm="1">
        <f t="array" ref="I24">SUMPRODUCT(--($C$30:$C$556=$D$21),--($AL$30:$AL$556="PL"&amp;I$21),$J$30:$J$556,$M$30:$M$556)/(7.85*I$21)</f>
        <v>6.3288216560509554</v>
      </c>
      <c r="J24" s="67" cm="1">
        <f t="array" ref="J24">SUMPRODUCT(--($C$30:$C$556=$D$21),--($AL$30:$AL$556="PL"&amp;J$21),$J$30:$J$556,$M$30:$M$556)/(7.85*J$21)</f>
        <v>0.89171974522292996</v>
      </c>
      <c r="K24" s="67" cm="1">
        <f t="array" ref="K24">SUMPRODUCT(--($C$30:$C$556=$D$21),--($AL$30:$AL$556="PL"&amp;K$21),$J$30:$J$556,$M$30:$M$556)/(7.85*K$21)</f>
        <v>177.36464968152868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</row>
    <row r="25" spans="3:47" ht="19.5" hidden="1" customHeight="1" outlineLevel="2">
      <c r="D25" s="71" t="s">
        <v>26</v>
      </c>
      <c r="E25" s="69" cm="1">
        <f t="array" ref="E25">SUMPRODUCT(--($C$30:$C$556=$D$21),--($AL$30:$AL$556="PL"&amp;E$21),$M$30:$M$556)</f>
        <v>48</v>
      </c>
      <c r="F25" s="69" cm="1">
        <f t="array" ref="F25">SUMPRODUCT(--($C$30:$C$556=$D$21),--($AL$30:$AL$556="PL"&amp;F$21),$M$30:$M$556)</f>
        <v>34</v>
      </c>
      <c r="G25" s="69" cm="1">
        <f t="array" ref="G25">SUMPRODUCT(--($C$30:$C$556=$D$21),--($AL$30:$AL$556="PL"&amp;G$21),$M$30:$M$556)</f>
        <v>111</v>
      </c>
      <c r="H25" s="69" cm="1">
        <f t="array" ref="H25">SUMPRODUCT(--($C$30:$C$556=$D$21),--($AL$30:$AL$556="PL"&amp;H$21),$M$30:$M$556)</f>
        <v>214</v>
      </c>
      <c r="I25" s="69" cm="1">
        <f t="array" ref="I25">SUMPRODUCT(--($C$30:$C$556=$D$21),--($AL$30:$AL$556="PL"&amp;I$21),$M$30:$M$556)</f>
        <v>223</v>
      </c>
      <c r="J25" s="69" cm="1">
        <f t="array" ref="J25">SUMPRODUCT(--($C$30:$C$556=$D$21),--($AL$30:$AL$556="PL"&amp;J$21),$M$30:$M$556)</f>
        <v>32</v>
      </c>
      <c r="K25" s="69" cm="1">
        <f t="array" ref="K25">SUMPRODUCT(--($C$30:$C$556=$D$21),--($AL$30:$AL$556="PL"&amp;K$21),$M$30:$M$556)</f>
        <v>39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</row>
    <row r="26" spans="3:47" ht="25.9" hidden="1" customHeight="1" outlineLevel="1" collapsed="1" thickBot="1">
      <c r="D26" s="72" t="s">
        <v>27</v>
      </c>
      <c r="E26" s="67" cm="1">
        <f t="array" ref="E26">SUMPRODUCT(--($C$30:$C$556=$D$21),--($AL$30:$AL$556="PL"&amp;E$21),$J$30:$J$556,$M$30:$M$556)</f>
        <v>39.23872611464968</v>
      </c>
      <c r="F26" s="67" cm="1">
        <f t="array" ref="F26">SUMPRODUCT(--($C$30:$C$556=$D$21),--($AL$30:$AL$556="PL"&amp;F$21),$J$30:$J$556,$M$30:$M$556)</f>
        <v>17</v>
      </c>
      <c r="G26" s="67" cm="1">
        <f t="array" ref="G26">SUMPRODUCT(--($C$30:$C$556=$D$21),--($AL$30:$AL$556="PL"&amp;G$21),$J$30:$J$556,$M$30:$M$556)</f>
        <v>42</v>
      </c>
      <c r="H26" s="67" cm="1">
        <f t="array" ref="H26">SUMPRODUCT(--($C$30:$C$556=$D$21),--($AL$30:$AL$556="PL"&amp;H$21),$J$30:$J$556,$M$30:$M$556)</f>
        <v>30.200000000000003</v>
      </c>
      <c r="I26" s="67" cm="1">
        <f t="array" ref="I26">SUMPRODUCT(--($C$30:$C$556=$D$21),--($AL$30:$AL$556="PL"&amp;I$21),$J$30:$J$556,$M$30:$M$556)</f>
        <v>794.9</v>
      </c>
      <c r="J26" s="67" cm="1">
        <f t="array" ref="J26">SUMPRODUCT(--($C$30:$C$556=$D$21),--($AL$30:$AL$556="PL"&amp;J$21),$J$30:$J$556,$M$30:$M$556)</f>
        <v>280</v>
      </c>
      <c r="K26" s="67" cm="1">
        <f t="array" ref="K26">SUMPRODUCT(--($C$30:$C$556=$D$21),--($AL$30:$AL$556="PL"&amp;K$21),$J$30:$J$556,$M$30:$M$556)</f>
        <v>11138.5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</row>
    <row r="27" spans="3:47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0</v>
      </c>
      <c r="AJ27" s="73" t="e" cm="1">
        <f t="array" ref="AJ27">SUMPRODUCT($J$30:$J$556,AJ30:AJ556,--(AJ30:AJ556&lt;&gt;""))</f>
        <v>#VALUE!</v>
      </c>
    </row>
    <row r="28" spans="3:4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I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" si="7">SUM(AH30:AH556)</f>
        <v>1</v>
      </c>
      <c r="AI28" s="75">
        <f t="shared" si="1"/>
        <v>0</v>
      </c>
      <c r="AJ28" s="75" t="e">
        <f t="shared" ref="AJ28" si="8">SUM(AJ30:AJ556)</f>
        <v>#VALUE!</v>
      </c>
      <c r="AK28" s="74"/>
      <c r="AL28" s="74"/>
    </row>
    <row r="29" spans="3:4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8" t="s">
        <v>34</v>
      </c>
      <c r="AJ29" s="77" t="s">
        <v>35</v>
      </c>
      <c r="AK29" s="77" t="s">
        <v>36</v>
      </c>
      <c r="AL29" s="77" t="s">
        <v>37</v>
      </c>
      <c r="AM29" s="80" t="s">
        <v>38</v>
      </c>
      <c r="AN29" s="80" t="s">
        <v>39</v>
      </c>
      <c r="AO29" s="80" t="s">
        <v>40</v>
      </c>
      <c r="AP29" s="80" t="s">
        <v>41</v>
      </c>
      <c r="AQ29" s="80" t="s">
        <v>42</v>
      </c>
      <c r="AR29" s="80" t="s">
        <v>43</v>
      </c>
      <c r="AS29" s="81" t="s">
        <v>44</v>
      </c>
      <c r="AT29" s="80"/>
      <c r="AU29" s="80"/>
    </row>
    <row r="30" spans="3:47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9">MIN(SUM(N30:AI30),I30)</f>
        <v>0</v>
      </c>
      <c r="M30" s="26">
        <f t="shared" ref="M30:M284" si="10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67" t="e">
        <f>SUMIFS([1]Up!$J:$J,[1]Up!$D:$D,D30)</f>
        <v>#VALUE!</v>
      </c>
      <c r="AK30" s="82"/>
      <c r="AL30" s="82" t="str">
        <f t="shared" ref="AL30:AL93" si="11">IFERROR(IF(C30="Plate",LEFT(E30,FIND("*",E30,1)-1),""),IF(C30="Plate",LEFT(E30,FIND("x",E30,1)-1),""))</f>
        <v>PL5</v>
      </c>
      <c r="AM30" s="53" t="str">
        <f t="shared" ref="AM30:AM93" si="12">IF(ROUND(SUM(N30:AI30)-I30,0)&gt;0,"Thừa "&amp;SUM(N30:AI30)-I30,"")</f>
        <v/>
      </c>
      <c r="AN30" s="53" t="s">
        <v>148</v>
      </c>
      <c r="AO30" s="53" t="s">
        <v>956</v>
      </c>
      <c r="AP30" s="53" t="s">
        <v>957</v>
      </c>
      <c r="AQ30" s="53" t="s">
        <v>958</v>
      </c>
      <c r="AR30" s="53">
        <v>8</v>
      </c>
      <c r="AS30" s="83" t="s">
        <v>2223</v>
      </c>
      <c r="AT30" s="53"/>
      <c r="AU30" s="53"/>
    </row>
    <row r="31" spans="3:47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9"/>
        <v>0</v>
      </c>
      <c r="M31" s="26">
        <f t="shared" si="10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67" t="e">
        <f>SUMIFS([1]Up!$J:$J,[1]Up!$D:$D,D31)</f>
        <v>#VALUE!</v>
      </c>
      <c r="AK31" s="82"/>
      <c r="AL31" s="82" t="str">
        <f t="shared" si="11"/>
        <v>PL3</v>
      </c>
      <c r="AM31" s="53" t="str">
        <f t="shared" si="12"/>
        <v/>
      </c>
      <c r="AN31" s="53" t="s">
        <v>148</v>
      </c>
      <c r="AO31" s="53" t="s">
        <v>961</v>
      </c>
      <c r="AP31" s="53" t="s">
        <v>962</v>
      </c>
      <c r="AQ31" s="53" t="s">
        <v>963</v>
      </c>
      <c r="AR31" s="53">
        <v>8</v>
      </c>
      <c r="AS31" s="83" t="s">
        <v>2223</v>
      </c>
      <c r="AT31" s="53"/>
      <c r="AU31" s="53"/>
    </row>
    <row r="32" spans="3:47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9"/>
        <v>0</v>
      </c>
      <c r="M32" s="26">
        <f t="shared" si="10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67" t="e">
        <f>SUMIFS([1]Up!$J:$J,[1]Up!$D:$D,D32)</f>
        <v>#VALUE!</v>
      </c>
      <c r="AK32" s="82"/>
      <c r="AL32" s="82" t="str">
        <f t="shared" si="11"/>
        <v>PL2</v>
      </c>
      <c r="AM32" s="53" t="str">
        <f t="shared" si="12"/>
        <v/>
      </c>
      <c r="AN32" s="53" t="s">
        <v>148</v>
      </c>
      <c r="AO32" s="53" t="s">
        <v>966</v>
      </c>
      <c r="AP32" s="53" t="s">
        <v>967</v>
      </c>
      <c r="AQ32" s="53" t="s">
        <v>968</v>
      </c>
      <c r="AR32" s="53">
        <v>24</v>
      </c>
      <c r="AS32" s="83" t="s">
        <v>2223</v>
      </c>
      <c r="AT32" s="53"/>
      <c r="AU32" s="53"/>
    </row>
    <row r="33" spans="3:48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9"/>
        <v>0</v>
      </c>
      <c r="M33" s="26">
        <f t="shared" si="10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67" t="e">
        <f>SUMIFS([1]Up!$J:$J,[1]Up!$D:$D,D33)</f>
        <v>#VALUE!</v>
      </c>
      <c r="AK33" s="82"/>
      <c r="AL33" s="82" t="str">
        <f t="shared" si="11"/>
        <v>PL1</v>
      </c>
      <c r="AM33" s="53" t="str">
        <f t="shared" si="12"/>
        <v/>
      </c>
      <c r="AN33" s="53" t="s">
        <v>148</v>
      </c>
      <c r="AO33" s="53" t="s">
        <v>971</v>
      </c>
      <c r="AP33" s="53" t="s">
        <v>972</v>
      </c>
      <c r="AQ33" s="53" t="s">
        <v>973</v>
      </c>
      <c r="AR33" s="53">
        <v>48</v>
      </c>
      <c r="AS33" s="83" t="s">
        <v>2223</v>
      </c>
      <c r="AT33" s="53"/>
      <c r="AU33" s="53"/>
    </row>
    <row r="34" spans="3:48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9"/>
        <v>0</v>
      </c>
      <c r="M34" s="26">
        <f t="shared" si="10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67" t="e">
        <f>SUMIFS([1]Up!$J:$J,[1]Up!$D:$D,D34)</f>
        <v>#VALUE!</v>
      </c>
      <c r="AK34" s="82"/>
      <c r="AL34" s="82" t="str">
        <f t="shared" si="11"/>
        <v/>
      </c>
      <c r="AM34" s="53" t="str">
        <f t="shared" si="12"/>
        <v/>
      </c>
      <c r="AN34" s="53" t="s">
        <v>977</v>
      </c>
      <c r="AO34" s="53"/>
      <c r="AP34" s="53"/>
      <c r="AQ34" s="53"/>
      <c r="AR34" s="53"/>
      <c r="AS34" s="83"/>
      <c r="AT34" s="53"/>
      <c r="AU34" s="53"/>
    </row>
    <row r="35" spans="3:48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9"/>
        <v>0</v>
      </c>
      <c r="M35" s="26">
        <f t="shared" si="10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67" t="e">
        <f>SUMIFS([1]Up!$J:$J,[1]Up!$D:$D,D35)</f>
        <v>#VALUE!</v>
      </c>
      <c r="AK35" s="82"/>
      <c r="AL35" s="82" t="str">
        <f t="shared" si="11"/>
        <v/>
      </c>
      <c r="AM35" s="53" t="str">
        <f t="shared" si="12"/>
        <v/>
      </c>
      <c r="AN35" s="53" t="s">
        <v>154</v>
      </c>
      <c r="AO35" s="53"/>
      <c r="AP35" s="53" t="s">
        <v>981</v>
      </c>
      <c r="AQ35" s="53"/>
      <c r="AR35" s="53"/>
      <c r="AS35" s="83"/>
      <c r="AT35" s="53"/>
      <c r="AU35" s="53"/>
    </row>
    <row r="36" spans="3:48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9"/>
        <v>0</v>
      </c>
      <c r="M36" s="26">
        <f t="shared" si="10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67" t="e">
        <f>SUMIFS([1]Up!$J:$J,[1]Up!$D:$D,D36)</f>
        <v>#VALUE!</v>
      </c>
      <c r="AK36" s="82"/>
      <c r="AL36" s="82" t="str">
        <f t="shared" si="11"/>
        <v/>
      </c>
      <c r="AM36" s="53" t="str">
        <f t="shared" si="12"/>
        <v/>
      </c>
      <c r="AN36" s="53" t="s">
        <v>977</v>
      </c>
      <c r="AO36" s="53"/>
      <c r="AP36" s="53"/>
      <c r="AQ36" s="53"/>
      <c r="AR36" s="53"/>
      <c r="AS36" s="83"/>
      <c r="AT36" s="53"/>
      <c r="AU36" s="53"/>
    </row>
    <row r="37" spans="3:48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9"/>
        <v>1</v>
      </c>
      <c r="M37" s="26">
        <f t="shared" si="10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67" t="e">
        <f>SUMIFS([1]Up!$J:$J,[1]Up!$D:$D,D37)</f>
        <v>#VALUE!</v>
      </c>
      <c r="AK37" s="82"/>
      <c r="AL37" s="82" t="str">
        <f t="shared" si="11"/>
        <v>PL16</v>
      </c>
      <c r="AM37" s="53" t="str">
        <f t="shared" si="12"/>
        <v/>
      </c>
      <c r="AN37" s="53" t="s">
        <v>154</v>
      </c>
      <c r="AO37" s="53" t="s">
        <v>988</v>
      </c>
      <c r="AP37" s="53" t="s">
        <v>989</v>
      </c>
      <c r="AQ37" s="53" t="s">
        <v>990</v>
      </c>
      <c r="AR37" s="53">
        <v>4</v>
      </c>
      <c r="AS37" s="83" t="s">
        <v>2223</v>
      </c>
      <c r="AT37" s="53"/>
      <c r="AU37" s="53"/>
    </row>
    <row r="38" spans="3:48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9"/>
        <v>0</v>
      </c>
      <c r="M38" s="26">
        <f t="shared" si="10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67" t="e">
        <f>SUMIFS([1]Up!$J:$J,[1]Up!$D:$D,D38)</f>
        <v>#VALUE!</v>
      </c>
      <c r="AK38" s="82"/>
      <c r="AL38" s="82" t="str">
        <f t="shared" si="11"/>
        <v>PL40</v>
      </c>
      <c r="AM38" s="53" t="str">
        <f t="shared" si="12"/>
        <v/>
      </c>
      <c r="AN38" s="53" t="s">
        <v>148</v>
      </c>
      <c r="AO38" s="53" t="s">
        <v>993</v>
      </c>
      <c r="AP38" s="53" t="s">
        <v>994</v>
      </c>
      <c r="AQ38" s="53" t="s">
        <v>995</v>
      </c>
      <c r="AR38" s="53">
        <v>4</v>
      </c>
      <c r="AS38" s="83" t="s">
        <v>2223</v>
      </c>
      <c r="AT38" s="53"/>
      <c r="AU38" s="53"/>
    </row>
    <row r="39" spans="3:48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9"/>
        <v>0</v>
      </c>
      <c r="M39" s="26">
        <f t="shared" si="10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67" t="e">
        <f>SUMIFS([1]Up!$J:$J,[1]Up!$D:$D,D39)</f>
        <v>#VALUE!</v>
      </c>
      <c r="AK39" s="82"/>
      <c r="AL39" s="82" t="str">
        <f t="shared" si="11"/>
        <v>PL40</v>
      </c>
      <c r="AM39" s="53" t="str">
        <f t="shared" si="12"/>
        <v/>
      </c>
      <c r="AN39" s="53" t="s">
        <v>148</v>
      </c>
      <c r="AO39" s="53" t="s">
        <v>993</v>
      </c>
      <c r="AP39" s="53" t="s">
        <v>994</v>
      </c>
      <c r="AQ39" s="53" t="s">
        <v>995</v>
      </c>
      <c r="AR39" s="53">
        <v>4</v>
      </c>
      <c r="AS39" s="83" t="s">
        <v>2223</v>
      </c>
      <c r="AT39" s="53"/>
      <c r="AU39" s="53"/>
    </row>
    <row r="40" spans="3:48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9"/>
        <v>0</v>
      </c>
      <c r="M40" s="26">
        <f t="shared" si="10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67" t="e">
        <f>SUMIFS([1]Up!$J:$J,[1]Up!$D:$D,D40)</f>
        <v>#VALUE!</v>
      </c>
      <c r="AK40" s="82"/>
      <c r="AL40" s="82" t="str">
        <f t="shared" si="11"/>
        <v>PL1</v>
      </c>
      <c r="AM40" s="53" t="str">
        <f t="shared" si="12"/>
        <v/>
      </c>
      <c r="AN40" s="53" t="s">
        <v>148</v>
      </c>
      <c r="AO40" s="53" t="s">
        <v>971</v>
      </c>
      <c r="AP40" s="53" t="s">
        <v>972</v>
      </c>
      <c r="AQ40" s="84" t="s">
        <v>1000</v>
      </c>
      <c r="AR40" s="53">
        <v>10</v>
      </c>
      <c r="AS40" s="83" t="s">
        <v>2224</v>
      </c>
      <c r="AT40" s="53"/>
      <c r="AU40" s="53"/>
      <c r="AV40" s="238"/>
    </row>
    <row r="41" spans="3:48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9"/>
        <v>0</v>
      </c>
      <c r="M41" s="26">
        <f t="shared" si="10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67" t="e">
        <f>SUMIFS([1]Up!$J:$J,[1]Up!$D:$D,D41)</f>
        <v>#VALUE!</v>
      </c>
      <c r="AK41" s="82"/>
      <c r="AL41" s="82" t="str">
        <f t="shared" si="11"/>
        <v/>
      </c>
      <c r="AM41" s="53" t="str">
        <f t="shared" si="12"/>
        <v/>
      </c>
      <c r="AN41" s="53" t="s">
        <v>977</v>
      </c>
      <c r="AO41" s="53"/>
      <c r="AP41" s="53"/>
      <c r="AQ41" s="53"/>
      <c r="AR41" s="53"/>
      <c r="AS41" s="83"/>
      <c r="AT41" s="53"/>
      <c r="AU41" s="53"/>
    </row>
    <row r="42" spans="3:48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9"/>
        <v>0</v>
      </c>
      <c r="M42" s="26">
        <f t="shared" si="10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67" t="e">
        <f>SUMIFS([1]Up!$J:$J,[1]Up!$D:$D,D42)</f>
        <v>#VALUE!</v>
      </c>
      <c r="AK42" s="82"/>
      <c r="AL42" s="82" t="str">
        <f t="shared" si="11"/>
        <v>PL2</v>
      </c>
      <c r="AM42" s="53" t="str">
        <f t="shared" si="12"/>
        <v/>
      </c>
      <c r="AN42" s="53" t="s">
        <v>154</v>
      </c>
      <c r="AO42" s="53" t="s">
        <v>1005</v>
      </c>
      <c r="AP42" s="53" t="s">
        <v>1006</v>
      </c>
      <c r="AQ42" s="53"/>
      <c r="AR42" s="53"/>
      <c r="AS42" s="83"/>
      <c r="AT42" s="53"/>
      <c r="AU42" s="53"/>
    </row>
    <row r="43" spans="3:48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9"/>
        <v>0</v>
      </c>
      <c r="M43" s="26">
        <f t="shared" si="10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67" t="e">
        <f>SUMIFS([1]Up!$J:$J,[1]Up!$D:$D,D43)</f>
        <v>#VALUE!</v>
      </c>
      <c r="AK43" s="82"/>
      <c r="AL43" s="82" t="str">
        <f t="shared" si="11"/>
        <v>PL2</v>
      </c>
      <c r="AM43" s="53" t="str">
        <f t="shared" si="12"/>
        <v/>
      </c>
      <c r="AN43" s="53" t="s">
        <v>154</v>
      </c>
      <c r="AO43" s="53" t="s">
        <v>966</v>
      </c>
      <c r="AP43" s="53" t="s">
        <v>967</v>
      </c>
      <c r="AQ43" s="53" t="s">
        <v>968</v>
      </c>
      <c r="AR43" s="53">
        <v>4</v>
      </c>
      <c r="AS43" s="83" t="s">
        <v>2223</v>
      </c>
      <c r="AT43" s="53"/>
      <c r="AU43" s="53"/>
    </row>
    <row r="44" spans="3:48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9"/>
        <v>0</v>
      </c>
      <c r="M44" s="26">
        <f t="shared" si="10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67" t="e">
        <f>SUMIFS([1]Up!$J:$J,[1]Up!$D:$D,D44)</f>
        <v>#VALUE!</v>
      </c>
      <c r="AK44" s="82"/>
      <c r="AL44" s="82" t="str">
        <f t="shared" si="11"/>
        <v>PL8</v>
      </c>
      <c r="AM44" s="53" t="str">
        <f t="shared" si="12"/>
        <v/>
      </c>
      <c r="AN44" s="53" t="s">
        <v>154</v>
      </c>
      <c r="AO44" s="53" t="s">
        <v>1012</v>
      </c>
      <c r="AP44" s="53" t="s">
        <v>1013</v>
      </c>
      <c r="AQ44" s="53" t="s">
        <v>1014</v>
      </c>
      <c r="AR44" s="53">
        <v>1</v>
      </c>
      <c r="AS44" s="83">
        <v>46088</v>
      </c>
      <c r="AT44" s="53"/>
      <c r="AU44" s="53"/>
    </row>
    <row r="45" spans="3:48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9"/>
        <v>0</v>
      </c>
      <c r="M45" s="26">
        <f t="shared" si="10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67" t="e">
        <f>SUMIFS([1]Up!$J:$J,[1]Up!$D:$D,D45)</f>
        <v>#VALUE!</v>
      </c>
      <c r="AK45" s="82"/>
      <c r="AL45" s="82" t="str">
        <f t="shared" si="11"/>
        <v/>
      </c>
      <c r="AM45" s="53" t="str">
        <f t="shared" si="12"/>
        <v/>
      </c>
      <c r="AN45" s="53" t="s">
        <v>977</v>
      </c>
      <c r="AO45" s="53"/>
      <c r="AP45" s="53"/>
      <c r="AQ45" s="53"/>
      <c r="AR45" s="53"/>
      <c r="AS45" s="83"/>
      <c r="AT45" s="53"/>
      <c r="AU45" s="53"/>
    </row>
    <row r="46" spans="3:48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9"/>
        <v>0</v>
      </c>
      <c r="M46" s="26">
        <f t="shared" si="10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67" t="e">
        <f>SUMIFS([1]Up!$J:$J,[1]Up!$D:$D,D46)</f>
        <v>#VALUE!</v>
      </c>
      <c r="AK46" s="82"/>
      <c r="AL46" s="82" t="str">
        <f t="shared" si="11"/>
        <v>PL12</v>
      </c>
      <c r="AM46" s="53" t="str">
        <f t="shared" si="12"/>
        <v/>
      </c>
      <c r="AN46" s="53" t="s">
        <v>154</v>
      </c>
      <c r="AO46" s="53" t="s">
        <v>1021</v>
      </c>
      <c r="AP46" s="53" t="s">
        <v>1022</v>
      </c>
      <c r="AQ46" s="53" t="s">
        <v>1023</v>
      </c>
      <c r="AR46" s="53">
        <v>1</v>
      </c>
      <c r="AS46" s="83">
        <v>46088</v>
      </c>
      <c r="AT46" s="53"/>
      <c r="AU46" s="53"/>
    </row>
    <row r="47" spans="3:48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9"/>
        <v>1</v>
      </c>
      <c r="M47" s="26">
        <f t="shared" si="10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67" t="e">
        <f>SUMIFS([1]Up!$J:$J,[1]Up!$D:$D,D47)</f>
        <v>#VALUE!</v>
      </c>
      <c r="AK47" s="82"/>
      <c r="AL47" s="82" t="str">
        <f t="shared" si="11"/>
        <v/>
      </c>
      <c r="AM47" s="53" t="str">
        <f t="shared" si="12"/>
        <v/>
      </c>
      <c r="AN47" s="53" t="s">
        <v>148</v>
      </c>
      <c r="AO47" s="53" t="s">
        <v>1027</v>
      </c>
      <c r="AP47" s="53" t="s">
        <v>1028</v>
      </c>
      <c r="AQ47" s="53" t="s">
        <v>1029</v>
      </c>
      <c r="AR47" s="53">
        <v>1</v>
      </c>
      <c r="AS47" s="83">
        <v>46362</v>
      </c>
      <c r="AT47" s="53"/>
      <c r="AU47" s="53"/>
    </row>
    <row r="48" spans="3:48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9"/>
        <v>0</v>
      </c>
      <c r="M48" s="26">
        <f t="shared" si="10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67" t="e">
        <f>SUMIFS([1]Up!$J:$J,[1]Up!$D:$D,D48)</f>
        <v>#VALUE!</v>
      </c>
      <c r="AK48" s="82"/>
      <c r="AL48" s="82" t="str">
        <f t="shared" si="11"/>
        <v>PL12</v>
      </c>
      <c r="AM48" s="53" t="str">
        <f t="shared" si="12"/>
        <v/>
      </c>
      <c r="AN48" s="53" t="s">
        <v>148</v>
      </c>
      <c r="AO48" s="53" t="s">
        <v>1021</v>
      </c>
      <c r="AP48" s="53" t="s">
        <v>1022</v>
      </c>
      <c r="AQ48" s="53" t="s">
        <v>1023</v>
      </c>
      <c r="AR48" s="53">
        <v>1</v>
      </c>
      <c r="AS48" s="83">
        <v>46088</v>
      </c>
      <c r="AT48" s="53"/>
      <c r="AU48" s="53"/>
    </row>
    <row r="49" spans="3:47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9"/>
        <v>1</v>
      </c>
      <c r="M49" s="26">
        <f t="shared" si="10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67" t="e">
        <f>SUMIFS([1]Up!$J:$J,[1]Up!$D:$D,D49)</f>
        <v>#VALUE!</v>
      </c>
      <c r="AK49" s="82"/>
      <c r="AL49" s="82" t="str">
        <f t="shared" si="11"/>
        <v/>
      </c>
      <c r="AM49" s="53" t="str">
        <f t="shared" si="12"/>
        <v/>
      </c>
      <c r="AN49" s="53" t="s">
        <v>154</v>
      </c>
      <c r="AO49" s="53" t="s">
        <v>1034</v>
      </c>
      <c r="AP49" s="53" t="s">
        <v>1033</v>
      </c>
      <c r="AQ49" s="53" t="s">
        <v>1035</v>
      </c>
      <c r="AR49" s="53">
        <v>1</v>
      </c>
      <c r="AS49" s="83">
        <v>46362</v>
      </c>
      <c r="AT49" s="53"/>
      <c r="AU49" s="53"/>
    </row>
    <row r="50" spans="3:47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9"/>
        <v>0</v>
      </c>
      <c r="M50" s="26">
        <f t="shared" si="10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67" t="e">
        <f>SUMIFS([1]Up!$J:$J,[1]Up!$D:$D,D50)</f>
        <v>#VALUE!</v>
      </c>
      <c r="AK50" s="82"/>
      <c r="AL50" s="82" t="str">
        <f t="shared" si="11"/>
        <v/>
      </c>
      <c r="AM50" s="53" t="str">
        <f t="shared" si="12"/>
        <v/>
      </c>
      <c r="AN50" s="53" t="s">
        <v>977</v>
      </c>
      <c r="AO50" s="53"/>
      <c r="AP50" s="53"/>
      <c r="AQ50" s="53"/>
      <c r="AR50" s="53"/>
      <c r="AS50" s="83"/>
      <c r="AT50" s="53"/>
      <c r="AU50" s="53"/>
    </row>
    <row r="51" spans="3:47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9"/>
        <v>0</v>
      </c>
      <c r="M51" s="26">
        <f t="shared" si="10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67" t="e">
        <f>SUMIFS([1]Up!$J:$J,[1]Up!$D:$D,D51)</f>
        <v>#VALUE!</v>
      </c>
      <c r="AK51" s="82"/>
      <c r="AL51" s="82" t="str">
        <f t="shared" si="11"/>
        <v/>
      </c>
      <c r="AM51" s="53" t="str">
        <f t="shared" si="12"/>
        <v/>
      </c>
      <c r="AN51" s="53" t="s">
        <v>154</v>
      </c>
      <c r="AO51" s="53" t="s">
        <v>1042</v>
      </c>
      <c r="AP51" s="53" t="s">
        <v>1041</v>
      </c>
      <c r="AQ51" s="53" t="s">
        <v>1043</v>
      </c>
      <c r="AR51" s="53">
        <v>2</v>
      </c>
      <c r="AS51" s="83">
        <v>46362</v>
      </c>
      <c r="AT51" s="53"/>
      <c r="AU51" s="53"/>
    </row>
    <row r="52" spans="3:47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9"/>
        <v>0</v>
      </c>
      <c r="M52" s="26">
        <f t="shared" si="10"/>
        <v>4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67" t="e">
        <f>SUMIFS([1]Up!$J:$J,[1]Up!$D:$D,D52)</f>
        <v>#VALUE!</v>
      </c>
      <c r="AK52" s="82"/>
      <c r="AL52" s="82" t="str">
        <f t="shared" si="11"/>
        <v/>
      </c>
      <c r="AM52" s="53" t="str">
        <f t="shared" si="12"/>
        <v/>
      </c>
      <c r="AN52" s="53" t="s">
        <v>154</v>
      </c>
      <c r="AO52" s="53" t="s">
        <v>1046</v>
      </c>
      <c r="AP52" s="53" t="s">
        <v>1045</v>
      </c>
      <c r="AQ52" s="53" t="s">
        <v>1047</v>
      </c>
      <c r="AR52" s="53">
        <v>1</v>
      </c>
      <c r="AS52" s="83">
        <v>46362</v>
      </c>
      <c r="AT52" s="53"/>
      <c r="AU52" s="53"/>
    </row>
    <row r="53" spans="3:47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9"/>
        <v>1</v>
      </c>
      <c r="M53" s="26">
        <f t="shared" si="10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67" t="e">
        <f>SUMIFS([1]Up!$J:$J,[1]Up!$D:$D,D53)</f>
        <v>#VALUE!</v>
      </c>
      <c r="AK53" s="82"/>
      <c r="AL53" s="82" t="str">
        <f t="shared" si="11"/>
        <v/>
      </c>
      <c r="AM53" s="53" t="str">
        <f t="shared" si="12"/>
        <v/>
      </c>
      <c r="AN53" s="53" t="s">
        <v>148</v>
      </c>
      <c r="AO53" s="53" t="s">
        <v>1051</v>
      </c>
      <c r="AP53" s="53" t="s">
        <v>1049</v>
      </c>
      <c r="AQ53" s="53" t="s">
        <v>1052</v>
      </c>
      <c r="AR53" s="53">
        <v>1</v>
      </c>
      <c r="AS53" s="83">
        <v>46362</v>
      </c>
      <c r="AT53" s="53"/>
      <c r="AU53" s="53"/>
    </row>
    <row r="54" spans="3:47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9"/>
        <v>0</v>
      </c>
      <c r="M54" s="26">
        <f t="shared" si="10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67" t="e">
        <f>SUMIFS([1]Up!$J:$J,[1]Up!$D:$D,D54)</f>
        <v>#VALUE!</v>
      </c>
      <c r="AK54" s="82"/>
      <c r="AL54" s="82" t="str">
        <f t="shared" si="11"/>
        <v/>
      </c>
      <c r="AM54" s="53" t="str">
        <f t="shared" si="12"/>
        <v/>
      </c>
      <c r="AN54" s="53" t="s">
        <v>977</v>
      </c>
      <c r="AO54" s="53"/>
      <c r="AP54" s="53"/>
      <c r="AQ54" s="53"/>
      <c r="AR54" s="53"/>
      <c r="AS54" s="83"/>
      <c r="AT54" s="53"/>
      <c r="AU54" s="53"/>
    </row>
    <row r="55" spans="3:47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9"/>
        <v>0</v>
      </c>
      <c r="M55" s="26">
        <f t="shared" si="10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67" t="e">
        <f>SUMIFS([1]Up!$J:$J,[1]Up!$D:$D,D55)</f>
        <v>#VALUE!</v>
      </c>
      <c r="AK55" s="82"/>
      <c r="AL55" s="82" t="str">
        <f t="shared" si="11"/>
        <v/>
      </c>
      <c r="AM55" s="53" t="str">
        <f t="shared" si="12"/>
        <v/>
      </c>
      <c r="AN55" s="53" t="s">
        <v>977</v>
      </c>
      <c r="AO55" s="53"/>
      <c r="AP55" s="53"/>
      <c r="AQ55" s="53"/>
      <c r="AR55" s="53"/>
      <c r="AS55" s="83"/>
      <c r="AT55" s="53"/>
      <c r="AU55" s="53"/>
    </row>
    <row r="56" spans="3:47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9"/>
        <v>0</v>
      </c>
      <c r="M56" s="26">
        <f t="shared" si="10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67" t="e">
        <f>SUMIFS([1]Up!$J:$J,[1]Up!$D:$D,D56)</f>
        <v>#VALUE!</v>
      </c>
      <c r="AK56" s="82"/>
      <c r="AL56" s="82" t="str">
        <f t="shared" si="11"/>
        <v>PL30</v>
      </c>
      <c r="AM56" s="53" t="str">
        <f t="shared" si="12"/>
        <v/>
      </c>
      <c r="AN56" s="53" t="s">
        <v>148</v>
      </c>
      <c r="AO56" s="53" t="s">
        <v>1059</v>
      </c>
      <c r="AP56" s="53" t="s">
        <v>1060</v>
      </c>
      <c r="AQ56" s="53" t="s">
        <v>1061</v>
      </c>
      <c r="AR56" s="53">
        <v>1</v>
      </c>
      <c r="AS56" s="83" t="s">
        <v>2223</v>
      </c>
      <c r="AT56" s="53"/>
      <c r="AU56" s="53"/>
    </row>
    <row r="57" spans="3:47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9"/>
        <v>0</v>
      </c>
      <c r="M57" s="26">
        <f t="shared" si="10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67" t="e">
        <f>SUMIFS([1]Up!$J:$J,[1]Up!$D:$D,D57)</f>
        <v>#VALUE!</v>
      </c>
      <c r="AK57" s="82"/>
      <c r="AL57" s="82" t="str">
        <f t="shared" si="11"/>
        <v>PL10</v>
      </c>
      <c r="AM57" s="53" t="str">
        <f t="shared" si="12"/>
        <v/>
      </c>
      <c r="AN57" s="53" t="s">
        <v>148</v>
      </c>
      <c r="AO57" s="53" t="s">
        <v>1005</v>
      </c>
      <c r="AP57" s="53" t="s">
        <v>1006</v>
      </c>
      <c r="AQ57" s="53" t="s">
        <v>1064</v>
      </c>
      <c r="AR57" s="53">
        <v>2</v>
      </c>
      <c r="AS57" s="83">
        <v>46088</v>
      </c>
      <c r="AT57" s="53"/>
      <c r="AU57" s="53"/>
    </row>
    <row r="58" spans="3:47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9"/>
        <v>0</v>
      </c>
      <c r="M58" s="26">
        <f t="shared" si="10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67" t="e">
        <f>SUMIFS([1]Up!$J:$J,[1]Up!$D:$D,D58)</f>
        <v>#VALUE!</v>
      </c>
      <c r="AK58" s="82"/>
      <c r="AL58" s="82" t="str">
        <f t="shared" si="11"/>
        <v>PL10</v>
      </c>
      <c r="AM58" s="53" t="str">
        <f t="shared" si="12"/>
        <v/>
      </c>
      <c r="AN58" s="53" t="s">
        <v>148</v>
      </c>
      <c r="AO58" s="53" t="s">
        <v>1005</v>
      </c>
      <c r="AP58" s="53" t="s">
        <v>1006</v>
      </c>
      <c r="AQ58" s="53" t="s">
        <v>1064</v>
      </c>
      <c r="AR58" s="53">
        <v>1</v>
      </c>
      <c r="AS58" s="83">
        <v>46088</v>
      </c>
      <c r="AT58" s="53"/>
      <c r="AU58" s="53"/>
    </row>
    <row r="59" spans="3:47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9"/>
        <v>1</v>
      </c>
      <c r="M59" s="26">
        <f t="shared" si="10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67" t="e">
        <f>SUMIFS([1]Up!$J:$J,[1]Up!$D:$D,D59)</f>
        <v>#VALUE!</v>
      </c>
      <c r="AK59" s="82"/>
      <c r="AL59" s="82" t="str">
        <f t="shared" si="11"/>
        <v/>
      </c>
      <c r="AM59" s="53" t="str">
        <f t="shared" si="12"/>
        <v/>
      </c>
      <c r="AN59" s="53" t="s">
        <v>148</v>
      </c>
      <c r="AO59" s="53" t="s">
        <v>1051</v>
      </c>
      <c r="AP59" s="53" t="s">
        <v>1049</v>
      </c>
      <c r="AQ59" s="53" t="s">
        <v>1052</v>
      </c>
      <c r="AR59" s="53">
        <v>1</v>
      </c>
      <c r="AS59" s="83">
        <v>46362</v>
      </c>
      <c r="AT59" s="53"/>
      <c r="AU59" s="53"/>
    </row>
    <row r="60" spans="3:47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9"/>
        <v>0</v>
      </c>
      <c r="M60" s="26">
        <f t="shared" si="10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67" t="e">
        <f>SUMIFS([1]Up!$J:$J,[1]Up!$D:$D,D60)</f>
        <v>#VALUE!</v>
      </c>
      <c r="AK60" s="82"/>
      <c r="AL60" s="82" t="str">
        <f t="shared" si="11"/>
        <v/>
      </c>
      <c r="AM60" s="53" t="str">
        <f t="shared" si="12"/>
        <v/>
      </c>
      <c r="AN60" s="53" t="s">
        <v>977</v>
      </c>
      <c r="AO60" s="53"/>
      <c r="AP60" s="53"/>
      <c r="AQ60" s="53"/>
      <c r="AR60" s="53"/>
      <c r="AS60" s="83"/>
      <c r="AT60" s="53"/>
      <c r="AU60" s="53"/>
    </row>
    <row r="61" spans="3:47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9"/>
        <v>0</v>
      </c>
      <c r="M61" s="26">
        <f t="shared" si="10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67" t="e">
        <f>SUMIFS([1]Up!$J:$J,[1]Up!$D:$D,D61)</f>
        <v>#VALUE!</v>
      </c>
      <c r="AK61" s="82"/>
      <c r="AL61" s="82" t="str">
        <f t="shared" si="11"/>
        <v/>
      </c>
      <c r="AM61" s="53" t="str">
        <f t="shared" si="12"/>
        <v/>
      </c>
      <c r="AN61" s="53" t="s">
        <v>977</v>
      </c>
      <c r="AO61" s="53"/>
      <c r="AP61" s="53"/>
      <c r="AQ61" s="53"/>
      <c r="AR61" s="53"/>
      <c r="AS61" s="83"/>
      <c r="AT61" s="53"/>
      <c r="AU61" s="53"/>
    </row>
    <row r="62" spans="3:47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9"/>
        <v>1</v>
      </c>
      <c r="M62" s="26">
        <f t="shared" si="10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67" t="e">
        <f>SUMIFS([1]Up!$J:$J,[1]Up!$D:$D,D62)</f>
        <v>#VALUE!</v>
      </c>
      <c r="AK62" s="82"/>
      <c r="AL62" s="82" t="str">
        <f t="shared" si="11"/>
        <v>PL8</v>
      </c>
      <c r="AM62" s="53" t="str">
        <f t="shared" si="12"/>
        <v/>
      </c>
      <c r="AN62" s="53" t="s">
        <v>154</v>
      </c>
      <c r="AO62" s="53" t="s">
        <v>1012</v>
      </c>
      <c r="AP62" s="53" t="s">
        <v>1013</v>
      </c>
      <c r="AQ62" s="53" t="s">
        <v>1014</v>
      </c>
      <c r="AR62" s="53">
        <v>1</v>
      </c>
      <c r="AS62" s="83">
        <v>46088</v>
      </c>
      <c r="AT62" s="53"/>
      <c r="AU62" s="53"/>
    </row>
    <row r="63" spans="3:47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9"/>
        <v>0</v>
      </c>
      <c r="M63" s="26">
        <f t="shared" si="10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67" t="e">
        <f>SUMIFS([1]Up!$J:$J,[1]Up!$D:$D,D63)</f>
        <v>#VALUE!</v>
      </c>
      <c r="AK63" s="82"/>
      <c r="AL63" s="82" t="str">
        <f t="shared" si="11"/>
        <v>PL5</v>
      </c>
      <c r="AM63" s="53" t="str">
        <f t="shared" si="12"/>
        <v/>
      </c>
      <c r="AN63" s="53" t="s">
        <v>148</v>
      </c>
      <c r="AO63" s="53" t="s">
        <v>956</v>
      </c>
      <c r="AP63" s="53" t="s">
        <v>957</v>
      </c>
      <c r="AQ63" s="53" t="s">
        <v>958</v>
      </c>
      <c r="AR63" s="53">
        <v>1</v>
      </c>
      <c r="AS63" s="83" t="s">
        <v>2223</v>
      </c>
      <c r="AT63" s="53"/>
      <c r="AU63" s="53"/>
    </row>
    <row r="64" spans="3:47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9"/>
        <v>0</v>
      </c>
      <c r="M64" s="26">
        <f t="shared" si="10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67" t="e">
        <f>SUMIFS([1]Up!$J:$J,[1]Up!$D:$D,D64)</f>
        <v>#VALUE!</v>
      </c>
      <c r="AK64" s="82"/>
      <c r="AL64" s="82" t="str">
        <f t="shared" si="11"/>
        <v/>
      </c>
      <c r="AM64" s="53" t="str">
        <f t="shared" si="12"/>
        <v/>
      </c>
      <c r="AN64" s="53" t="s">
        <v>148</v>
      </c>
      <c r="AO64" s="53" t="s">
        <v>1079</v>
      </c>
      <c r="AP64" s="53" t="s">
        <v>1076</v>
      </c>
      <c r="AQ64" s="53" t="s">
        <v>2105</v>
      </c>
      <c r="AR64" s="53">
        <v>5</v>
      </c>
      <c r="AS64" s="83">
        <v>46120</v>
      </c>
      <c r="AT64" s="53"/>
      <c r="AU64" s="53"/>
    </row>
    <row r="65" spans="3:47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9"/>
        <v>0</v>
      </c>
      <c r="M65" s="26">
        <f t="shared" si="10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67" t="e">
        <f>SUMIFS([1]Up!$J:$J,[1]Up!$D:$D,D65)</f>
        <v>#VALUE!</v>
      </c>
      <c r="AK65" s="82"/>
      <c r="AL65" s="82" t="str">
        <f t="shared" si="11"/>
        <v/>
      </c>
      <c r="AM65" s="53" t="str">
        <f t="shared" si="12"/>
        <v/>
      </c>
      <c r="AN65" s="53" t="s">
        <v>154</v>
      </c>
      <c r="AO65" s="53" t="s">
        <v>1082</v>
      </c>
      <c r="AP65" s="53" t="s">
        <v>1081</v>
      </c>
      <c r="AQ65" s="53" t="s">
        <v>2106</v>
      </c>
      <c r="AR65" s="53">
        <v>1</v>
      </c>
      <c r="AS65" s="83">
        <v>46120</v>
      </c>
      <c r="AT65" s="53"/>
      <c r="AU65" s="53"/>
    </row>
    <row r="66" spans="3:47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9"/>
        <v>0</v>
      </c>
      <c r="M66" s="26">
        <f t="shared" si="10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67" t="e">
        <f>SUMIFS([1]Up!$J:$J,[1]Up!$D:$D,D66)</f>
        <v>#VALUE!</v>
      </c>
      <c r="AK66" s="82"/>
      <c r="AL66" s="82" t="str">
        <f t="shared" si="11"/>
        <v>PL12</v>
      </c>
      <c r="AM66" s="53" t="str">
        <f t="shared" si="12"/>
        <v/>
      </c>
      <c r="AN66" s="53" t="s">
        <v>154</v>
      </c>
      <c r="AO66" s="53" t="s">
        <v>1021</v>
      </c>
      <c r="AP66" s="53" t="s">
        <v>1022</v>
      </c>
      <c r="AQ66" s="53" t="s">
        <v>57</v>
      </c>
      <c r="AR66" s="53">
        <v>1</v>
      </c>
      <c r="AS66" s="83"/>
      <c r="AT66" s="53"/>
      <c r="AU66" s="53"/>
    </row>
    <row r="67" spans="3:47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9"/>
        <v>0</v>
      </c>
      <c r="M67" s="26">
        <f t="shared" si="10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67" t="e">
        <f>SUMIFS([1]Up!$J:$J,[1]Up!$D:$D,D67)</f>
        <v>#VALUE!</v>
      </c>
      <c r="AK67" s="82"/>
      <c r="AL67" s="82" t="str">
        <f t="shared" si="11"/>
        <v>PL10</v>
      </c>
      <c r="AM67" s="53" t="str">
        <f t="shared" si="12"/>
        <v/>
      </c>
      <c r="AN67" s="53" t="s">
        <v>148</v>
      </c>
      <c r="AO67" s="53" t="s">
        <v>1005</v>
      </c>
      <c r="AP67" s="53" t="s">
        <v>1006</v>
      </c>
      <c r="AQ67" s="53"/>
      <c r="AR67" s="53"/>
      <c r="AS67" s="83"/>
      <c r="AT67" s="53"/>
      <c r="AU67" s="53"/>
    </row>
    <row r="68" spans="3:47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9"/>
        <v>0</v>
      </c>
      <c r="M68" s="26">
        <f t="shared" si="10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67" t="e">
        <f>SUMIFS([1]Up!$J:$J,[1]Up!$D:$D,D68)</f>
        <v>#VALUE!</v>
      </c>
      <c r="AK68" s="82"/>
      <c r="AL68" s="82" t="str">
        <f t="shared" si="11"/>
        <v>PL12</v>
      </c>
      <c r="AM68" s="53" t="str">
        <f t="shared" si="12"/>
        <v/>
      </c>
      <c r="AN68" s="53" t="s">
        <v>148</v>
      </c>
      <c r="AO68" s="53" t="s">
        <v>1021</v>
      </c>
      <c r="AP68" s="53" t="s">
        <v>1022</v>
      </c>
      <c r="AQ68" s="53" t="s">
        <v>2100</v>
      </c>
      <c r="AR68" s="53">
        <v>10</v>
      </c>
      <c r="AS68" s="83">
        <v>46303</v>
      </c>
      <c r="AT68" s="53"/>
      <c r="AU68" s="53"/>
    </row>
    <row r="69" spans="3:47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9"/>
        <v>0</v>
      </c>
      <c r="M69" s="26">
        <f t="shared" si="10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67" t="e">
        <f>SUMIFS([1]Up!$J:$J,[1]Up!$D:$D,D69)</f>
        <v>#VALUE!</v>
      </c>
      <c r="AK69" s="82"/>
      <c r="AL69" s="82" t="str">
        <f t="shared" si="11"/>
        <v>PL16</v>
      </c>
      <c r="AM69" s="53" t="str">
        <f t="shared" si="12"/>
        <v/>
      </c>
      <c r="AN69" s="53" t="s">
        <v>148</v>
      </c>
      <c r="AO69" s="53" t="s">
        <v>988</v>
      </c>
      <c r="AP69" s="53" t="s">
        <v>989</v>
      </c>
      <c r="AQ69" s="53" t="s">
        <v>2104</v>
      </c>
      <c r="AR69" s="53">
        <v>10</v>
      </c>
      <c r="AS69" s="83">
        <v>46120</v>
      </c>
      <c r="AT69" s="53"/>
      <c r="AU69" s="53"/>
    </row>
    <row r="70" spans="3:47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9"/>
        <v>0</v>
      </c>
      <c r="M70" s="26">
        <f t="shared" si="10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67" t="e">
        <f>SUMIFS([1]Up!$J:$J,[1]Up!$D:$D,D70)</f>
        <v>#VALUE!</v>
      </c>
      <c r="AK70" s="82"/>
      <c r="AL70" s="82" t="str">
        <f t="shared" si="11"/>
        <v>PL15</v>
      </c>
      <c r="AM70" s="53" t="str">
        <f t="shared" si="12"/>
        <v/>
      </c>
      <c r="AN70" s="53" t="s">
        <v>148</v>
      </c>
      <c r="AO70" s="53" t="s">
        <v>1094</v>
      </c>
      <c r="AP70" s="53" t="s">
        <v>1095</v>
      </c>
      <c r="AQ70" s="53" t="s">
        <v>2101</v>
      </c>
      <c r="AR70" s="53">
        <v>2</v>
      </c>
      <c r="AS70" s="83">
        <v>46120</v>
      </c>
      <c r="AT70" s="53"/>
      <c r="AU70" s="53"/>
    </row>
    <row r="71" spans="3:47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9"/>
        <v>0</v>
      </c>
      <c r="M71" s="26">
        <f t="shared" si="10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67" t="e">
        <f>SUMIFS([1]Up!$J:$J,[1]Up!$D:$D,D71)</f>
        <v>#VALUE!</v>
      </c>
      <c r="AK71" s="82"/>
      <c r="AL71" s="82" t="str">
        <f t="shared" si="11"/>
        <v>PL10</v>
      </c>
      <c r="AM71" s="53" t="str">
        <f t="shared" si="12"/>
        <v/>
      </c>
      <c r="AN71" s="53" t="s">
        <v>154</v>
      </c>
      <c r="AO71" s="53" t="s">
        <v>1005</v>
      </c>
      <c r="AP71" s="53" t="s">
        <v>1006</v>
      </c>
      <c r="AQ71" s="53"/>
      <c r="AR71" s="53"/>
      <c r="AS71" s="83"/>
      <c r="AT71" s="53"/>
      <c r="AU71" s="53"/>
    </row>
    <row r="72" spans="3:47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9"/>
        <v>0</v>
      </c>
      <c r="M72" s="26">
        <f t="shared" si="10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67" t="e">
        <f>SUMIFS([1]Up!$J:$J,[1]Up!$D:$D,D72)</f>
        <v>#VALUE!</v>
      </c>
      <c r="AK72" s="82"/>
      <c r="AL72" s="82" t="str">
        <f t="shared" si="11"/>
        <v>PL20</v>
      </c>
      <c r="AM72" s="53" t="str">
        <f t="shared" si="12"/>
        <v/>
      </c>
      <c r="AN72" s="53" t="s">
        <v>148</v>
      </c>
      <c r="AO72" s="53" t="s">
        <v>1100</v>
      </c>
      <c r="AP72" s="53" t="s">
        <v>1101</v>
      </c>
      <c r="AQ72" s="53" t="s">
        <v>2102</v>
      </c>
      <c r="AR72" s="53">
        <v>1</v>
      </c>
      <c r="AS72" s="83">
        <v>46303</v>
      </c>
      <c r="AT72" s="53"/>
      <c r="AU72" s="53"/>
    </row>
    <row r="73" spans="3:47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9"/>
        <v>0</v>
      </c>
      <c r="M73" s="26">
        <f t="shared" si="10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67" t="e">
        <f>SUMIFS([1]Up!$J:$J,[1]Up!$D:$D,D73)</f>
        <v>#VALUE!</v>
      </c>
      <c r="AK73" s="82"/>
      <c r="AL73" s="82" t="str">
        <f t="shared" si="11"/>
        <v>PL12</v>
      </c>
      <c r="AM73" s="53" t="str">
        <f t="shared" si="12"/>
        <v/>
      </c>
      <c r="AN73" s="53" t="s">
        <v>148</v>
      </c>
      <c r="AO73" s="53" t="s">
        <v>1021</v>
      </c>
      <c r="AP73" s="53" t="s">
        <v>1022</v>
      </c>
      <c r="AQ73" s="53" t="s">
        <v>2100</v>
      </c>
      <c r="AR73" s="53">
        <v>4</v>
      </c>
      <c r="AS73" s="83">
        <v>46303</v>
      </c>
      <c r="AT73" s="53"/>
      <c r="AU73" s="53"/>
    </row>
    <row r="74" spans="3:47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9"/>
        <v>0</v>
      </c>
      <c r="M74" s="26">
        <f t="shared" si="10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67" t="e">
        <f>SUMIFS([1]Up!$J:$J,[1]Up!$D:$D,D74)</f>
        <v>#VALUE!</v>
      </c>
      <c r="AK74" s="82"/>
      <c r="AL74" s="82" t="str">
        <f t="shared" si="11"/>
        <v>PL12</v>
      </c>
      <c r="AM74" s="53" t="str">
        <f t="shared" si="12"/>
        <v/>
      </c>
      <c r="AN74" s="53" t="s">
        <v>148</v>
      </c>
      <c r="AO74" s="53" t="s">
        <v>1021</v>
      </c>
      <c r="AP74" s="53" t="s">
        <v>1022</v>
      </c>
      <c r="AQ74" s="53" t="s">
        <v>2100</v>
      </c>
      <c r="AR74" s="53">
        <v>2</v>
      </c>
      <c r="AS74" s="83">
        <v>46303</v>
      </c>
      <c r="AT74" s="53"/>
      <c r="AU74" s="53"/>
    </row>
    <row r="75" spans="3:47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9"/>
        <v>0</v>
      </c>
      <c r="M75" s="26">
        <f t="shared" si="10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67" t="e">
        <f>SUMIFS([1]Up!$J:$J,[1]Up!$D:$D,D75)</f>
        <v>#VALUE!</v>
      </c>
      <c r="AK75" s="82"/>
      <c r="AL75" s="82" t="str">
        <f t="shared" si="11"/>
        <v>PL20</v>
      </c>
      <c r="AM75" s="53" t="str">
        <f t="shared" si="12"/>
        <v/>
      </c>
      <c r="AN75" s="53" t="s">
        <v>148</v>
      </c>
      <c r="AO75" s="53" t="s">
        <v>1100</v>
      </c>
      <c r="AP75" s="53" t="s">
        <v>1101</v>
      </c>
      <c r="AQ75" s="53" t="s">
        <v>2102</v>
      </c>
      <c r="AR75" s="53">
        <v>1</v>
      </c>
      <c r="AS75" s="83">
        <v>46303</v>
      </c>
      <c r="AT75" s="53"/>
      <c r="AU75" s="53"/>
    </row>
    <row r="76" spans="3:47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9"/>
        <v>0</v>
      </c>
      <c r="M76" s="26">
        <f t="shared" si="10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67" t="e">
        <f>SUMIFS([1]Up!$J:$J,[1]Up!$D:$D,D76)</f>
        <v>#VALUE!</v>
      </c>
      <c r="AK76" s="82"/>
      <c r="AL76" s="82" t="str">
        <f t="shared" si="11"/>
        <v>PL5</v>
      </c>
      <c r="AM76" s="53" t="str">
        <f t="shared" si="12"/>
        <v/>
      </c>
      <c r="AN76" s="53" t="s">
        <v>148</v>
      </c>
      <c r="AO76" s="53" t="s">
        <v>1108</v>
      </c>
      <c r="AP76" s="53" t="s">
        <v>957</v>
      </c>
      <c r="AQ76" s="53" t="s">
        <v>2103</v>
      </c>
      <c r="AR76" s="53">
        <v>2</v>
      </c>
      <c r="AS76" s="83">
        <v>46120</v>
      </c>
      <c r="AT76" s="53"/>
      <c r="AU76" s="53"/>
    </row>
    <row r="77" spans="3:47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9"/>
        <v>0</v>
      </c>
      <c r="M77" s="26">
        <f t="shared" si="10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67" t="e">
        <f>SUMIFS([1]Up!$J:$J,[1]Up!$D:$D,D77)</f>
        <v>#VALUE!</v>
      </c>
      <c r="AK77" s="82"/>
      <c r="AL77" s="82" t="str">
        <f t="shared" si="11"/>
        <v>PL10</v>
      </c>
      <c r="AM77" s="53" t="str">
        <f t="shared" si="12"/>
        <v/>
      </c>
      <c r="AN77" s="53" t="s">
        <v>148</v>
      </c>
      <c r="AO77" s="53" t="s">
        <v>1005</v>
      </c>
      <c r="AP77" s="53" t="s">
        <v>1006</v>
      </c>
      <c r="AQ77" s="53"/>
      <c r="AR77" s="53"/>
      <c r="AS77" s="83"/>
      <c r="AT77" s="53"/>
      <c r="AU77" s="53"/>
    </row>
    <row r="78" spans="3:47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9"/>
        <v>0</v>
      </c>
      <c r="M78" s="26">
        <f t="shared" si="10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67" t="e">
        <f>SUMIFS([1]Up!$J:$J,[1]Up!$D:$D,D78)</f>
        <v>#VALUE!</v>
      </c>
      <c r="AK78" s="82"/>
      <c r="AL78" s="82" t="str">
        <f t="shared" si="11"/>
        <v>PL12</v>
      </c>
      <c r="AM78" s="53" t="str">
        <f t="shared" si="12"/>
        <v/>
      </c>
      <c r="AN78" s="53" t="s">
        <v>154</v>
      </c>
      <c r="AO78" s="53" t="s">
        <v>1021</v>
      </c>
      <c r="AP78" s="53" t="s">
        <v>1022</v>
      </c>
      <c r="AQ78" s="53" t="s">
        <v>57</v>
      </c>
      <c r="AR78" s="53">
        <v>1</v>
      </c>
      <c r="AS78" s="83"/>
      <c r="AT78" s="53"/>
      <c r="AU78" s="53"/>
    </row>
    <row r="79" spans="3:47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9"/>
        <v>0</v>
      </c>
      <c r="M79" s="26">
        <f t="shared" si="10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67" t="e">
        <f>SUMIFS([1]Up!$J:$J,[1]Up!$D:$D,D79)</f>
        <v>#VALUE!</v>
      </c>
      <c r="AK79" s="82"/>
      <c r="AL79" s="82" t="str">
        <f t="shared" si="11"/>
        <v>PL10</v>
      </c>
      <c r="AM79" s="53" t="str">
        <f t="shared" si="12"/>
        <v/>
      </c>
      <c r="AN79" s="53" t="s">
        <v>154</v>
      </c>
      <c r="AO79" s="53" t="s">
        <v>1005</v>
      </c>
      <c r="AP79" s="53" t="s">
        <v>1006</v>
      </c>
      <c r="AQ79" s="53"/>
      <c r="AR79" s="53"/>
      <c r="AS79" s="83"/>
      <c r="AT79" s="53"/>
      <c r="AU79" s="53"/>
    </row>
    <row r="80" spans="3:47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9"/>
        <v>1</v>
      </c>
      <c r="M80" s="26">
        <f t="shared" si="10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67" t="e">
        <f>SUMIFS([1]Up!$J:$J,[1]Up!$D:$D,D80)</f>
        <v>#VALUE!</v>
      </c>
      <c r="AK80" s="82"/>
      <c r="AL80" s="82" t="str">
        <f t="shared" si="11"/>
        <v>PL20</v>
      </c>
      <c r="AM80" s="53" t="str">
        <f t="shared" si="12"/>
        <v/>
      </c>
      <c r="AN80" s="53" t="s">
        <v>148</v>
      </c>
      <c r="AO80" s="53" t="s">
        <v>1100</v>
      </c>
      <c r="AP80" s="53" t="s">
        <v>1101</v>
      </c>
      <c r="AQ80" s="53" t="s">
        <v>2102</v>
      </c>
      <c r="AR80" s="53">
        <v>1</v>
      </c>
      <c r="AS80" s="83">
        <v>46303</v>
      </c>
      <c r="AT80" s="53"/>
      <c r="AU80" s="53"/>
    </row>
    <row r="81" spans="3:47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9"/>
        <v>0</v>
      </c>
      <c r="M81" s="26">
        <f t="shared" si="10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67" t="e">
        <f>SUMIFS([1]Up!$J:$J,[1]Up!$D:$D,D81)</f>
        <v>#VALUE!</v>
      </c>
      <c r="AK81" s="82"/>
      <c r="AL81" s="82" t="str">
        <f t="shared" si="11"/>
        <v>PL12</v>
      </c>
      <c r="AM81" s="53" t="str">
        <f t="shared" si="12"/>
        <v/>
      </c>
      <c r="AN81" s="53" t="s">
        <v>148</v>
      </c>
      <c r="AO81" s="53" t="s">
        <v>1021</v>
      </c>
      <c r="AP81" s="53" t="s">
        <v>1022</v>
      </c>
      <c r="AQ81" s="53" t="s">
        <v>2100</v>
      </c>
      <c r="AR81" s="53">
        <v>5</v>
      </c>
      <c r="AS81" s="83">
        <v>46303</v>
      </c>
      <c r="AT81" s="53"/>
      <c r="AU81" s="53"/>
    </row>
    <row r="82" spans="3:47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9"/>
        <v>0</v>
      </c>
      <c r="M82" s="26">
        <f t="shared" si="10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67" t="e">
        <f>SUMIFS([1]Up!$J:$J,[1]Up!$D:$D,D82)</f>
        <v>#VALUE!</v>
      </c>
      <c r="AK82" s="82"/>
      <c r="AL82" s="82" t="str">
        <f t="shared" si="11"/>
        <v>PL15</v>
      </c>
      <c r="AM82" s="53" t="str">
        <f t="shared" si="12"/>
        <v/>
      </c>
      <c r="AN82" s="53" t="s">
        <v>148</v>
      </c>
      <c r="AO82" s="53" t="s">
        <v>1094</v>
      </c>
      <c r="AP82" s="53" t="s">
        <v>1095</v>
      </c>
      <c r="AQ82" s="53" t="s">
        <v>2101</v>
      </c>
      <c r="AR82" s="53">
        <v>1</v>
      </c>
      <c r="AS82" s="83">
        <v>46120</v>
      </c>
      <c r="AT82" s="53"/>
      <c r="AU82" s="53"/>
    </row>
    <row r="83" spans="3:47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9"/>
        <v>0</v>
      </c>
      <c r="M83" s="26">
        <f t="shared" si="10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67" t="e">
        <f>SUMIFS([1]Up!$J:$J,[1]Up!$D:$D,D83)</f>
        <v>#VALUE!</v>
      </c>
      <c r="AK83" s="82"/>
      <c r="AL83" s="82" t="str">
        <f t="shared" si="11"/>
        <v>PL12</v>
      </c>
      <c r="AM83" s="53" t="str">
        <f t="shared" si="12"/>
        <v/>
      </c>
      <c r="AN83" s="53" t="s">
        <v>154</v>
      </c>
      <c r="AO83" s="53" t="s">
        <v>1021</v>
      </c>
      <c r="AP83" s="53" t="s">
        <v>1022</v>
      </c>
      <c r="AQ83" s="53" t="s">
        <v>57</v>
      </c>
      <c r="AR83" s="53">
        <v>1</v>
      </c>
      <c r="AS83" s="83"/>
      <c r="AT83" s="53"/>
      <c r="AU83" s="53"/>
    </row>
    <row r="84" spans="3:47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9"/>
        <v>0</v>
      </c>
      <c r="M84" s="26">
        <f t="shared" si="10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67" t="e">
        <f>SUMIFS([1]Up!$J:$J,[1]Up!$D:$D,D84)</f>
        <v>#VALUE!</v>
      </c>
      <c r="AK84" s="82"/>
      <c r="AL84" s="82" t="str">
        <f t="shared" si="11"/>
        <v>PL12</v>
      </c>
      <c r="AM84" s="53" t="str">
        <f t="shared" si="12"/>
        <v/>
      </c>
      <c r="AN84" s="53" t="s">
        <v>148</v>
      </c>
      <c r="AO84" s="53" t="s">
        <v>1021</v>
      </c>
      <c r="AP84" s="53" t="s">
        <v>1022</v>
      </c>
      <c r="AQ84" s="53" t="s">
        <v>2100</v>
      </c>
      <c r="AR84" s="53">
        <v>5</v>
      </c>
      <c r="AS84" s="83">
        <v>46303</v>
      </c>
      <c r="AT84" s="53"/>
      <c r="AU84" s="53"/>
    </row>
    <row r="85" spans="3:47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9"/>
        <v>0</v>
      </c>
      <c r="M85" s="26">
        <f t="shared" si="10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67" t="e">
        <f>SUMIFS([1]Up!$J:$J,[1]Up!$D:$D,D85)</f>
        <v>#VALUE!</v>
      </c>
      <c r="AK85" s="82"/>
      <c r="AL85" s="82" t="str">
        <f t="shared" si="11"/>
        <v>PL20</v>
      </c>
      <c r="AM85" s="53" t="str">
        <f t="shared" si="12"/>
        <v/>
      </c>
      <c r="AN85" s="53" t="s">
        <v>148</v>
      </c>
      <c r="AO85" s="53" t="s">
        <v>1100</v>
      </c>
      <c r="AP85" s="53" t="s">
        <v>1101</v>
      </c>
      <c r="AQ85" s="53" t="s">
        <v>2102</v>
      </c>
      <c r="AR85" s="53">
        <v>1</v>
      </c>
      <c r="AS85" s="83">
        <v>46303</v>
      </c>
      <c r="AT85" s="53"/>
      <c r="AU85" s="53"/>
    </row>
    <row r="86" spans="3:47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9"/>
        <v>0</v>
      </c>
      <c r="M86" s="26">
        <f t="shared" si="10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67" t="e">
        <f>SUMIFS([1]Up!$J:$J,[1]Up!$D:$D,D86)</f>
        <v>#VALUE!</v>
      </c>
      <c r="AK86" s="82"/>
      <c r="AL86" s="82" t="str">
        <f t="shared" si="11"/>
        <v>PL20</v>
      </c>
      <c r="AM86" s="53" t="str">
        <f t="shared" si="12"/>
        <v/>
      </c>
      <c r="AN86" s="53" t="s">
        <v>148</v>
      </c>
      <c r="AO86" s="53" t="s">
        <v>1100</v>
      </c>
      <c r="AP86" s="53" t="s">
        <v>1101</v>
      </c>
      <c r="AQ86" s="53"/>
      <c r="AR86" s="53"/>
      <c r="AS86" s="83"/>
      <c r="AT86" s="53"/>
      <c r="AU86" s="53"/>
    </row>
    <row r="87" spans="3:47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9"/>
        <v>0</v>
      </c>
      <c r="M87" s="26">
        <f t="shared" si="10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67" t="e">
        <f>SUMIFS([1]Up!$J:$J,[1]Up!$D:$D,D87)</f>
        <v>#VALUE!</v>
      </c>
      <c r="AK87" s="82"/>
      <c r="AL87" s="82" t="str">
        <f t="shared" si="11"/>
        <v>PL20</v>
      </c>
      <c r="AM87" s="53" t="str">
        <f t="shared" si="12"/>
        <v/>
      </c>
      <c r="AN87" s="53" t="s">
        <v>148</v>
      </c>
      <c r="AO87" s="53" t="s">
        <v>1094</v>
      </c>
      <c r="AP87" s="53" t="s">
        <v>1095</v>
      </c>
      <c r="AQ87" s="53" t="s">
        <v>2102</v>
      </c>
      <c r="AR87" s="53">
        <v>2</v>
      </c>
      <c r="AS87" s="83">
        <v>46303</v>
      </c>
      <c r="AT87" s="53"/>
      <c r="AU87" s="53"/>
    </row>
    <row r="88" spans="3:47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9"/>
        <v>0</v>
      </c>
      <c r="M88" s="26">
        <f t="shared" si="10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67" t="e">
        <f>SUMIFS([1]Up!$J:$J,[1]Up!$D:$D,D88)</f>
        <v>#VALUE!</v>
      </c>
      <c r="AK88" s="82"/>
      <c r="AL88" s="82" t="str">
        <f t="shared" si="11"/>
        <v/>
      </c>
      <c r="AM88" s="53" t="str">
        <f t="shared" si="12"/>
        <v/>
      </c>
      <c r="AN88" s="53" t="s">
        <v>154</v>
      </c>
      <c r="AO88" s="53" t="s">
        <v>1082</v>
      </c>
      <c r="AP88" s="53" t="s">
        <v>1081</v>
      </c>
      <c r="AQ88" s="53" t="s">
        <v>2106</v>
      </c>
      <c r="AR88" s="53">
        <v>5</v>
      </c>
      <c r="AS88" s="83">
        <v>46120</v>
      </c>
      <c r="AT88" s="53"/>
      <c r="AU88" s="53"/>
    </row>
    <row r="89" spans="3:47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9"/>
        <v>0</v>
      </c>
      <c r="M89" s="26">
        <f t="shared" si="10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67" t="e">
        <f>SUMIFS([1]Up!$J:$J,[1]Up!$D:$D,D89)</f>
        <v>#VALUE!</v>
      </c>
      <c r="AK89" s="82"/>
      <c r="AL89" s="82" t="str">
        <f t="shared" si="11"/>
        <v/>
      </c>
      <c r="AM89" s="53" t="str">
        <f t="shared" si="12"/>
        <v/>
      </c>
      <c r="AN89" s="53" t="s">
        <v>154</v>
      </c>
      <c r="AO89" s="53"/>
      <c r="AP89" s="53" t="s">
        <v>1129</v>
      </c>
      <c r="AQ89" s="53" t="s">
        <v>2113</v>
      </c>
      <c r="AR89" s="53">
        <v>1</v>
      </c>
      <c r="AS89" s="83">
        <v>46120</v>
      </c>
      <c r="AT89" s="53"/>
      <c r="AU89" s="53"/>
    </row>
    <row r="90" spans="3:47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9"/>
        <v>0</v>
      </c>
      <c r="M90" s="26">
        <f t="shared" si="10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67" t="e">
        <f>SUMIFS([1]Up!$J:$J,[1]Up!$D:$D,D90)</f>
        <v>#VALUE!</v>
      </c>
      <c r="AK90" s="82"/>
      <c r="AL90" s="82" t="str">
        <f t="shared" si="11"/>
        <v>PL12</v>
      </c>
      <c r="AM90" s="53" t="str">
        <f t="shared" si="12"/>
        <v/>
      </c>
      <c r="AN90" s="53" t="s">
        <v>154</v>
      </c>
      <c r="AO90" s="53" t="s">
        <v>1021</v>
      </c>
      <c r="AP90" s="53" t="s">
        <v>1022</v>
      </c>
      <c r="AQ90" s="53" t="s">
        <v>57</v>
      </c>
      <c r="AR90" s="53">
        <v>1</v>
      </c>
      <c r="AS90" s="83"/>
      <c r="AT90" s="53"/>
      <c r="AU90" s="53"/>
    </row>
    <row r="91" spans="3:47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9"/>
        <v>0</v>
      </c>
      <c r="M91" s="26">
        <f t="shared" si="10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67" t="e">
        <f>SUMIFS([1]Up!$J:$J,[1]Up!$D:$D,D91)</f>
        <v>#VALUE!</v>
      </c>
      <c r="AK91" s="82"/>
      <c r="AL91" s="82" t="str">
        <f t="shared" si="11"/>
        <v>PL10</v>
      </c>
      <c r="AM91" s="53" t="str">
        <f t="shared" si="12"/>
        <v/>
      </c>
      <c r="AN91" s="53" t="s">
        <v>148</v>
      </c>
      <c r="AO91" s="53" t="s">
        <v>1005</v>
      </c>
      <c r="AP91" s="53" t="s">
        <v>1006</v>
      </c>
      <c r="AQ91" s="53"/>
      <c r="AR91" s="53"/>
      <c r="AS91" s="83"/>
      <c r="AT91" s="53"/>
      <c r="AU91" s="53"/>
    </row>
    <row r="92" spans="3:47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9"/>
        <v>0</v>
      </c>
      <c r="M92" s="26">
        <f t="shared" si="10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67" t="e">
        <f>SUMIFS([1]Up!$J:$J,[1]Up!$D:$D,D92)</f>
        <v>#VALUE!</v>
      </c>
      <c r="AK92" s="82"/>
      <c r="AL92" s="82" t="str">
        <f t="shared" si="11"/>
        <v>PL10</v>
      </c>
      <c r="AM92" s="53" t="str">
        <f t="shared" si="12"/>
        <v/>
      </c>
      <c r="AN92" s="53" t="s">
        <v>148</v>
      </c>
      <c r="AO92" s="53" t="s">
        <v>1005</v>
      </c>
      <c r="AP92" s="53" t="s">
        <v>1006</v>
      </c>
      <c r="AQ92" s="53"/>
      <c r="AR92" s="53"/>
      <c r="AS92" s="83"/>
      <c r="AT92" s="53"/>
      <c r="AU92" s="53"/>
    </row>
    <row r="93" spans="3:47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9"/>
        <v>0</v>
      </c>
      <c r="M93" s="26">
        <f t="shared" si="10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67" t="e">
        <f>SUMIFS([1]Up!$J:$J,[1]Up!$D:$D,D93)</f>
        <v>#VALUE!</v>
      </c>
      <c r="AK93" s="82"/>
      <c r="AL93" s="82" t="str">
        <f t="shared" si="11"/>
        <v>PL10</v>
      </c>
      <c r="AM93" s="53" t="str">
        <f t="shared" si="12"/>
        <v/>
      </c>
      <c r="AN93" s="53" t="s">
        <v>154</v>
      </c>
      <c r="AO93" s="53" t="s">
        <v>1005</v>
      </c>
      <c r="AP93" s="53" t="s">
        <v>1006</v>
      </c>
      <c r="AQ93" s="53"/>
      <c r="AR93" s="53"/>
      <c r="AS93" s="83"/>
      <c r="AT93" s="53"/>
      <c r="AU93" s="53"/>
    </row>
    <row r="94" spans="3:47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3">MIN(SUM(N94:AI94),I94)</f>
        <v>1</v>
      </c>
      <c r="M94" s="26">
        <f t="shared" si="10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67" t="e">
        <f>SUMIFS([1]Up!$J:$J,[1]Up!$D:$D,D94)</f>
        <v>#VALUE!</v>
      </c>
      <c r="AK94" s="82"/>
      <c r="AL94" s="82" t="str">
        <f t="shared" ref="AL94:AL157" si="14">IFERROR(IF(C94="Plate",LEFT(E94,FIND("*",E94,1)-1),""),IF(C94="Plate",LEFT(E94,FIND("x",E94,1)-1),""))</f>
        <v>PL20</v>
      </c>
      <c r="AM94" s="53" t="str">
        <f t="shared" ref="AM94:AM157" si="15">IF(ROUND(SUM(N94:AI94)-I94,0)&gt;0,"Thừa "&amp;SUM(N94:AI94)-I94,"")</f>
        <v/>
      </c>
      <c r="AN94" s="53" t="s">
        <v>148</v>
      </c>
      <c r="AO94" s="53" t="s">
        <v>1100</v>
      </c>
      <c r="AP94" s="53" t="s">
        <v>1101</v>
      </c>
      <c r="AQ94" s="53" t="s">
        <v>2102</v>
      </c>
      <c r="AR94" s="53">
        <v>1</v>
      </c>
      <c r="AS94" s="83">
        <v>46303</v>
      </c>
      <c r="AT94" s="53"/>
      <c r="AU94" s="53"/>
    </row>
    <row r="95" spans="3:47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3"/>
        <v>0</v>
      </c>
      <c r="M95" s="26">
        <f t="shared" si="10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67" t="e">
        <f>SUMIFS([1]Up!$J:$J,[1]Up!$D:$D,D95)</f>
        <v>#VALUE!</v>
      </c>
      <c r="AK95" s="82"/>
      <c r="AL95" s="82" t="str">
        <f t="shared" si="14"/>
        <v>PL10</v>
      </c>
      <c r="AM95" s="53" t="str">
        <f t="shared" si="15"/>
        <v/>
      </c>
      <c r="AN95" s="53" t="s">
        <v>154</v>
      </c>
      <c r="AO95" s="53" t="s">
        <v>1005</v>
      </c>
      <c r="AP95" s="53" t="s">
        <v>1006</v>
      </c>
      <c r="AQ95" s="53"/>
      <c r="AR95" s="53"/>
      <c r="AS95" s="83"/>
      <c r="AT95" s="53"/>
      <c r="AU95" s="53"/>
    </row>
    <row r="96" spans="3:47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3"/>
        <v>0</v>
      </c>
      <c r="M96" s="26">
        <f t="shared" si="10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67" t="e">
        <f>SUMIFS([1]Up!$J:$J,[1]Up!$D:$D,D96)</f>
        <v>#VALUE!</v>
      </c>
      <c r="AK96" s="82"/>
      <c r="AL96" s="82" t="str">
        <f t="shared" si="14"/>
        <v>PL10</v>
      </c>
      <c r="AM96" s="53" t="str">
        <f t="shared" si="15"/>
        <v/>
      </c>
      <c r="AN96" s="53" t="s">
        <v>154</v>
      </c>
      <c r="AO96" s="53" t="s">
        <v>1005</v>
      </c>
      <c r="AP96" s="53" t="s">
        <v>1006</v>
      </c>
      <c r="AQ96" s="53"/>
      <c r="AR96" s="53"/>
      <c r="AS96" s="83"/>
      <c r="AT96" s="53"/>
      <c r="AU96" s="53"/>
    </row>
    <row r="97" spans="3:47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3"/>
        <v>0</v>
      </c>
      <c r="M97" s="26">
        <f t="shared" si="10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67" t="e">
        <f>SUMIFS([1]Up!$J:$J,[1]Up!$D:$D,D97)</f>
        <v>#VALUE!</v>
      </c>
      <c r="AK97" s="82"/>
      <c r="AL97" s="82" t="str">
        <f t="shared" si="14"/>
        <v>PL10</v>
      </c>
      <c r="AM97" s="53" t="str">
        <f t="shared" si="15"/>
        <v/>
      </c>
      <c r="AN97" s="53" t="s">
        <v>154</v>
      </c>
      <c r="AO97" s="53" t="s">
        <v>1005</v>
      </c>
      <c r="AP97" s="53" t="s">
        <v>1006</v>
      </c>
      <c r="AQ97" s="53"/>
      <c r="AR97" s="53"/>
      <c r="AS97" s="83"/>
      <c r="AT97" s="53"/>
      <c r="AU97" s="53"/>
    </row>
    <row r="98" spans="3:47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3"/>
        <v>0</v>
      </c>
      <c r="M98" s="26">
        <f t="shared" si="10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67" t="e">
        <f>SUMIFS([1]Up!$J:$J,[1]Up!$D:$D,D98)</f>
        <v>#VALUE!</v>
      </c>
      <c r="AK98" s="82"/>
      <c r="AL98" s="82" t="str">
        <f t="shared" si="14"/>
        <v>PL12</v>
      </c>
      <c r="AM98" s="53" t="str">
        <f t="shared" si="15"/>
        <v/>
      </c>
      <c r="AN98" s="53" t="s">
        <v>148</v>
      </c>
      <c r="AO98" s="53" t="s">
        <v>1021</v>
      </c>
      <c r="AP98" s="53" t="s">
        <v>1022</v>
      </c>
      <c r="AQ98" s="53" t="s">
        <v>2100</v>
      </c>
      <c r="AR98" s="53">
        <v>5</v>
      </c>
      <c r="AS98" s="83">
        <v>46303</v>
      </c>
      <c r="AT98" s="53"/>
      <c r="AU98" s="53"/>
    </row>
    <row r="99" spans="3:47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3"/>
        <v>0</v>
      </c>
      <c r="M99" s="26">
        <f t="shared" si="10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67" t="e">
        <f>SUMIFS([1]Up!$J:$J,[1]Up!$D:$D,D99)</f>
        <v>#VALUE!</v>
      </c>
      <c r="AK99" s="82"/>
      <c r="AL99" s="82" t="str">
        <f t="shared" si="14"/>
        <v>PL15</v>
      </c>
      <c r="AM99" s="53" t="str">
        <f t="shared" si="15"/>
        <v/>
      </c>
      <c r="AN99" s="53" t="s">
        <v>148</v>
      </c>
      <c r="AO99" s="53" t="s">
        <v>1094</v>
      </c>
      <c r="AP99" s="53" t="s">
        <v>1095</v>
      </c>
      <c r="AQ99" s="53" t="s">
        <v>2101</v>
      </c>
      <c r="AR99" s="53">
        <v>1</v>
      </c>
      <c r="AS99" s="83">
        <v>46120</v>
      </c>
      <c r="AT99" s="53"/>
      <c r="AU99" s="53"/>
    </row>
    <row r="100" spans="3:47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3"/>
        <v>0</v>
      </c>
      <c r="M100" s="26">
        <f t="shared" si="10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67" t="e">
        <f>SUMIFS([1]Up!$J:$J,[1]Up!$D:$D,D100)</f>
        <v>#VALUE!</v>
      </c>
      <c r="AK100" s="82"/>
      <c r="AL100" s="82" t="str">
        <f t="shared" si="14"/>
        <v>PL15</v>
      </c>
      <c r="AM100" s="53" t="str">
        <f t="shared" si="15"/>
        <v/>
      </c>
      <c r="AN100" s="53" t="s">
        <v>148</v>
      </c>
      <c r="AO100" s="53" t="s">
        <v>1094</v>
      </c>
      <c r="AP100" s="53" t="s">
        <v>1095</v>
      </c>
      <c r="AQ100" s="53" t="s">
        <v>2101</v>
      </c>
      <c r="AR100" s="53">
        <v>1</v>
      </c>
      <c r="AS100" s="83">
        <v>46120</v>
      </c>
      <c r="AT100" s="53"/>
      <c r="AU100" s="53"/>
    </row>
    <row r="101" spans="3:47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3"/>
        <v>0</v>
      </c>
      <c r="M101" s="26">
        <f t="shared" si="10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67" t="e">
        <f>SUMIFS([1]Up!$J:$J,[1]Up!$D:$D,D101)</f>
        <v>#VALUE!</v>
      </c>
      <c r="AK101" s="82"/>
      <c r="AL101" s="82" t="str">
        <f t="shared" si="14"/>
        <v/>
      </c>
      <c r="AM101" s="53" t="str">
        <f t="shared" si="15"/>
        <v/>
      </c>
      <c r="AN101" s="53" t="s">
        <v>148</v>
      </c>
      <c r="AO101" s="53" t="s">
        <v>1079</v>
      </c>
      <c r="AP101" s="53" t="s">
        <v>1076</v>
      </c>
      <c r="AQ101" s="53" t="s">
        <v>2105</v>
      </c>
      <c r="AR101" s="53">
        <v>5</v>
      </c>
      <c r="AS101" s="83">
        <v>46120</v>
      </c>
      <c r="AT101" s="53"/>
      <c r="AU101" s="53"/>
    </row>
    <row r="102" spans="3:47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3"/>
        <v>0</v>
      </c>
      <c r="M102" s="26">
        <f t="shared" si="10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67" t="e">
        <f>SUMIFS([1]Up!$J:$J,[1]Up!$D:$D,D102)</f>
        <v>#VALUE!</v>
      </c>
      <c r="AK102" s="82"/>
      <c r="AL102" s="82" t="str">
        <f t="shared" si="14"/>
        <v>PL10</v>
      </c>
      <c r="AM102" s="53" t="str">
        <f t="shared" si="15"/>
        <v/>
      </c>
      <c r="AN102" s="53" t="s">
        <v>154</v>
      </c>
      <c r="AO102" s="53" t="s">
        <v>1005</v>
      </c>
      <c r="AP102" s="53" t="s">
        <v>1006</v>
      </c>
      <c r="AQ102" s="53"/>
      <c r="AR102" s="53"/>
      <c r="AS102" s="83"/>
      <c r="AT102" s="53"/>
      <c r="AU102" s="53"/>
    </row>
    <row r="103" spans="3:47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3"/>
        <v>0</v>
      </c>
      <c r="M103" s="26">
        <f t="shared" si="10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67" t="e">
        <f>SUMIFS([1]Up!$J:$J,[1]Up!$D:$D,D103)</f>
        <v>#VALUE!</v>
      </c>
      <c r="AK103" s="82"/>
      <c r="AL103" s="82" t="str">
        <f t="shared" si="14"/>
        <v>PL10</v>
      </c>
      <c r="AM103" s="53" t="str">
        <f t="shared" si="15"/>
        <v/>
      </c>
      <c r="AN103" s="53" t="s">
        <v>154</v>
      </c>
      <c r="AO103" s="53" t="s">
        <v>1005</v>
      </c>
      <c r="AP103" s="53" t="s">
        <v>1006</v>
      </c>
      <c r="AQ103" s="53"/>
      <c r="AR103" s="53"/>
      <c r="AS103" s="83"/>
      <c r="AT103" s="53"/>
      <c r="AU103" s="53"/>
    </row>
    <row r="104" spans="3:47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3"/>
        <v>0</v>
      </c>
      <c r="M104" s="26">
        <f t="shared" si="10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67" t="e">
        <f>SUMIFS([1]Up!$J:$J,[1]Up!$D:$D,D104)</f>
        <v>#VALUE!</v>
      </c>
      <c r="AK104" s="82"/>
      <c r="AL104" s="82" t="str">
        <f t="shared" si="14"/>
        <v>PL10</v>
      </c>
      <c r="AM104" s="53" t="str">
        <f t="shared" si="15"/>
        <v/>
      </c>
      <c r="AN104" s="53" t="s">
        <v>154</v>
      </c>
      <c r="AO104" s="53" t="s">
        <v>1005</v>
      </c>
      <c r="AP104" s="53" t="s">
        <v>1006</v>
      </c>
      <c r="AQ104" s="53"/>
      <c r="AR104" s="53"/>
      <c r="AS104" s="83"/>
      <c r="AT104" s="53"/>
      <c r="AU104" s="53"/>
    </row>
    <row r="105" spans="3:47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3"/>
        <v>0</v>
      </c>
      <c r="M105" s="26">
        <f t="shared" si="10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67" t="e">
        <f>SUMIFS([1]Up!$J:$J,[1]Up!$D:$D,D105)</f>
        <v>#VALUE!</v>
      </c>
      <c r="AK105" s="82"/>
      <c r="AL105" s="82" t="str">
        <f t="shared" si="14"/>
        <v>PL12</v>
      </c>
      <c r="AM105" s="53" t="str">
        <f t="shared" si="15"/>
        <v/>
      </c>
      <c r="AN105" s="53" t="s">
        <v>154</v>
      </c>
      <c r="AO105" s="53" t="s">
        <v>1021</v>
      </c>
      <c r="AP105" s="53" t="s">
        <v>1022</v>
      </c>
      <c r="AQ105" s="53" t="s">
        <v>2100</v>
      </c>
      <c r="AR105" s="53">
        <v>2</v>
      </c>
      <c r="AS105" s="83">
        <v>46303</v>
      </c>
      <c r="AT105" s="53"/>
      <c r="AU105" s="53"/>
    </row>
    <row r="106" spans="3:47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3"/>
        <v>0</v>
      </c>
      <c r="M106" s="26">
        <f t="shared" si="10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67" t="e">
        <f>SUMIFS([1]Up!$J:$J,[1]Up!$D:$D,D106)</f>
        <v>#VALUE!</v>
      </c>
      <c r="AK106" s="82"/>
      <c r="AL106" s="82" t="str">
        <f t="shared" si="14"/>
        <v>PL15</v>
      </c>
      <c r="AM106" s="53" t="str">
        <f t="shared" si="15"/>
        <v/>
      </c>
      <c r="AN106" s="53" t="s">
        <v>148</v>
      </c>
      <c r="AO106" s="53" t="s">
        <v>1094</v>
      </c>
      <c r="AP106" s="53" t="s">
        <v>1095</v>
      </c>
      <c r="AQ106" s="53" t="s">
        <v>2101</v>
      </c>
      <c r="AR106" s="53">
        <v>2</v>
      </c>
      <c r="AS106" s="83">
        <v>46120</v>
      </c>
      <c r="AT106" s="53"/>
      <c r="AU106" s="53"/>
    </row>
    <row r="107" spans="3:47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3"/>
        <v>0</v>
      </c>
      <c r="M107" s="26">
        <f t="shared" si="10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67" t="e">
        <f>SUMIFS([1]Up!$J:$J,[1]Up!$D:$D,D107)</f>
        <v>#VALUE!</v>
      </c>
      <c r="AK107" s="82"/>
      <c r="AL107" s="82" t="str">
        <f t="shared" si="14"/>
        <v>PL10</v>
      </c>
      <c r="AM107" s="53" t="str">
        <f t="shared" si="15"/>
        <v/>
      </c>
      <c r="AN107" s="53" t="s">
        <v>148</v>
      </c>
      <c r="AO107" s="53" t="s">
        <v>1005</v>
      </c>
      <c r="AP107" s="53" t="s">
        <v>1006</v>
      </c>
      <c r="AQ107" s="53"/>
      <c r="AR107" s="53"/>
      <c r="AS107" s="83"/>
      <c r="AT107" s="53"/>
      <c r="AU107" s="53"/>
    </row>
    <row r="108" spans="3:47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3"/>
        <v>0</v>
      </c>
      <c r="M108" s="26">
        <f t="shared" si="10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67" t="e">
        <f>SUMIFS([1]Up!$J:$J,[1]Up!$D:$D,D108)</f>
        <v>#VALUE!</v>
      </c>
      <c r="AK108" s="82"/>
      <c r="AL108" s="82" t="str">
        <f t="shared" si="14"/>
        <v>PL12</v>
      </c>
      <c r="AM108" s="53" t="str">
        <f t="shared" si="15"/>
        <v/>
      </c>
      <c r="AN108" s="53" t="s">
        <v>148</v>
      </c>
      <c r="AO108" s="53" t="s">
        <v>1021</v>
      </c>
      <c r="AP108" s="53" t="s">
        <v>1022</v>
      </c>
      <c r="AQ108" s="53" t="s">
        <v>2100</v>
      </c>
      <c r="AR108" s="53">
        <v>2</v>
      </c>
      <c r="AS108" s="83">
        <v>46303</v>
      </c>
      <c r="AT108" s="53"/>
      <c r="AU108" s="53"/>
    </row>
    <row r="109" spans="3:47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3"/>
        <v>0</v>
      </c>
      <c r="M109" s="26">
        <f t="shared" si="10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67" t="e">
        <f>SUMIFS([1]Up!$J:$J,[1]Up!$D:$D,D109)</f>
        <v>#VALUE!</v>
      </c>
      <c r="AK109" s="82"/>
      <c r="AL109" s="82" t="str">
        <f t="shared" si="14"/>
        <v>PL16</v>
      </c>
      <c r="AM109" s="53" t="str">
        <f t="shared" si="15"/>
        <v/>
      </c>
      <c r="AN109" s="53" t="s">
        <v>148</v>
      </c>
      <c r="AO109" s="53" t="s">
        <v>988</v>
      </c>
      <c r="AP109" s="53" t="s">
        <v>989</v>
      </c>
      <c r="AQ109" s="53" t="s">
        <v>2104</v>
      </c>
      <c r="AR109" s="53">
        <v>6</v>
      </c>
      <c r="AS109" s="83">
        <v>46120</v>
      </c>
      <c r="AT109" s="53"/>
      <c r="AU109" s="53"/>
    </row>
    <row r="110" spans="3:47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3"/>
        <v>0</v>
      </c>
      <c r="M110" s="26">
        <f t="shared" si="10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67" t="e">
        <f>SUMIFS([1]Up!$J:$J,[1]Up!$D:$D,D110)</f>
        <v>#VALUE!</v>
      </c>
      <c r="AK110" s="82"/>
      <c r="AL110" s="82" t="str">
        <f t="shared" si="14"/>
        <v>PL16</v>
      </c>
      <c r="AM110" s="53" t="str">
        <f t="shared" si="15"/>
        <v/>
      </c>
      <c r="AN110" s="53" t="s">
        <v>148</v>
      </c>
      <c r="AO110" s="53" t="s">
        <v>988</v>
      </c>
      <c r="AP110" s="53" t="s">
        <v>989</v>
      </c>
      <c r="AQ110" s="53" t="s">
        <v>2104</v>
      </c>
      <c r="AR110" s="53">
        <v>2</v>
      </c>
      <c r="AS110" s="83">
        <v>46120</v>
      </c>
      <c r="AT110" s="53"/>
      <c r="AU110" s="53"/>
    </row>
    <row r="111" spans="3:47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3"/>
        <v>0</v>
      </c>
      <c r="M111" s="26">
        <f t="shared" si="10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67" t="e">
        <f>SUMIFS([1]Up!$J:$J,[1]Up!$D:$D,D111)</f>
        <v>#VALUE!</v>
      </c>
      <c r="AK111" s="82"/>
      <c r="AL111" s="82" t="str">
        <f t="shared" si="14"/>
        <v>PL10</v>
      </c>
      <c r="AM111" s="53" t="str">
        <f t="shared" si="15"/>
        <v/>
      </c>
      <c r="AN111" s="53" t="s">
        <v>154</v>
      </c>
      <c r="AO111" s="53" t="s">
        <v>1005</v>
      </c>
      <c r="AP111" s="53" t="s">
        <v>1006</v>
      </c>
      <c r="AQ111" s="53"/>
      <c r="AR111" s="53"/>
      <c r="AS111" s="83"/>
      <c r="AT111" s="53"/>
      <c r="AU111" s="53"/>
    </row>
    <row r="112" spans="3:47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3"/>
        <v>0</v>
      </c>
      <c r="M112" s="26">
        <f t="shared" si="10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67" t="e">
        <f>SUMIFS([1]Up!$J:$J,[1]Up!$D:$D,D112)</f>
        <v>#VALUE!</v>
      </c>
      <c r="AK112" s="82"/>
      <c r="AL112" s="82" t="str">
        <f t="shared" si="14"/>
        <v>PL12</v>
      </c>
      <c r="AM112" s="53" t="str">
        <f t="shared" si="15"/>
        <v/>
      </c>
      <c r="AN112" s="53" t="s">
        <v>154</v>
      </c>
      <c r="AO112" s="53" t="s">
        <v>1021</v>
      </c>
      <c r="AP112" s="53" t="s">
        <v>1022</v>
      </c>
      <c r="AQ112" s="53" t="s">
        <v>57</v>
      </c>
      <c r="AR112" s="53">
        <v>1</v>
      </c>
      <c r="AS112" s="83"/>
      <c r="AT112" s="53"/>
      <c r="AU112" s="53"/>
    </row>
    <row r="113" spans="3:47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3"/>
        <v>0</v>
      </c>
      <c r="M113" s="26">
        <f t="shared" si="10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67" t="e">
        <f>SUMIFS([1]Up!$J:$J,[1]Up!$D:$D,D113)</f>
        <v>#VALUE!</v>
      </c>
      <c r="AK113" s="82"/>
      <c r="AL113" s="82" t="str">
        <f t="shared" si="14"/>
        <v>PL10</v>
      </c>
      <c r="AM113" s="53" t="str">
        <f t="shared" si="15"/>
        <v/>
      </c>
      <c r="AN113" s="53" t="s">
        <v>154</v>
      </c>
      <c r="AO113" s="53" t="s">
        <v>1005</v>
      </c>
      <c r="AP113" s="53" t="s">
        <v>1006</v>
      </c>
      <c r="AQ113" s="53"/>
      <c r="AR113" s="53"/>
      <c r="AS113" s="83"/>
      <c r="AT113" s="53"/>
      <c r="AU113" s="53"/>
    </row>
    <row r="114" spans="3:47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3"/>
        <v>0</v>
      </c>
      <c r="M114" s="26">
        <f t="shared" si="10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67" t="e">
        <f>SUMIFS([1]Up!$J:$J,[1]Up!$D:$D,D114)</f>
        <v>#VALUE!</v>
      </c>
      <c r="AK114" s="82"/>
      <c r="AL114" s="82" t="str">
        <f t="shared" si="14"/>
        <v>PL10</v>
      </c>
      <c r="AM114" s="53" t="str">
        <f t="shared" si="15"/>
        <v/>
      </c>
      <c r="AN114" s="53" t="s">
        <v>148</v>
      </c>
      <c r="AO114" s="53" t="s">
        <v>1005</v>
      </c>
      <c r="AP114" s="53" t="s">
        <v>1006</v>
      </c>
      <c r="AQ114" s="53"/>
      <c r="AR114" s="53"/>
      <c r="AS114" s="83"/>
      <c r="AT114" s="53"/>
      <c r="AU114" s="53"/>
    </row>
    <row r="115" spans="3:47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3"/>
        <v>0</v>
      </c>
      <c r="M115" s="26">
        <f t="shared" si="10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67" t="e">
        <f>SUMIFS([1]Up!$J:$J,[1]Up!$D:$D,D115)</f>
        <v>#VALUE!</v>
      </c>
      <c r="AK115" s="82"/>
      <c r="AL115" s="82" t="str">
        <f t="shared" si="14"/>
        <v>PL12</v>
      </c>
      <c r="AM115" s="53" t="str">
        <f t="shared" si="15"/>
        <v/>
      </c>
      <c r="AN115" s="53" t="s">
        <v>148</v>
      </c>
      <c r="AO115" s="53" t="s">
        <v>1021</v>
      </c>
      <c r="AP115" s="53" t="s">
        <v>1022</v>
      </c>
      <c r="AQ115" s="53" t="s">
        <v>2100</v>
      </c>
      <c r="AR115" s="53">
        <v>1</v>
      </c>
      <c r="AS115" s="83">
        <v>46303</v>
      </c>
      <c r="AT115" s="53"/>
      <c r="AU115" s="53"/>
    </row>
    <row r="116" spans="3:47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3"/>
        <v>0</v>
      </c>
      <c r="M116" s="26">
        <f t="shared" si="10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67" t="e">
        <f>SUMIFS([1]Up!$J:$J,[1]Up!$D:$D,D116)</f>
        <v>#VALUE!</v>
      </c>
      <c r="AK116" s="82"/>
      <c r="AL116" s="82" t="str">
        <f t="shared" si="14"/>
        <v>PL10</v>
      </c>
      <c r="AM116" s="53" t="str">
        <f t="shared" si="15"/>
        <v/>
      </c>
      <c r="AN116" s="53" t="s">
        <v>154</v>
      </c>
      <c r="AO116" s="53" t="s">
        <v>1005</v>
      </c>
      <c r="AP116" s="53" t="s">
        <v>1006</v>
      </c>
      <c r="AQ116" s="53"/>
      <c r="AR116" s="53"/>
      <c r="AS116" s="83"/>
      <c r="AT116" s="53"/>
      <c r="AU116" s="53"/>
    </row>
    <row r="117" spans="3:47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3"/>
        <v>0</v>
      </c>
      <c r="M117" s="26">
        <f t="shared" si="10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67" t="e">
        <f>SUMIFS([1]Up!$J:$J,[1]Up!$D:$D,D117)</f>
        <v>#VALUE!</v>
      </c>
      <c r="AK117" s="82"/>
      <c r="AL117" s="82" t="str">
        <f t="shared" si="14"/>
        <v>PL10</v>
      </c>
      <c r="AM117" s="53" t="str">
        <f t="shared" si="15"/>
        <v/>
      </c>
      <c r="AN117" s="53" t="s">
        <v>154</v>
      </c>
      <c r="AO117" s="53" t="s">
        <v>1005</v>
      </c>
      <c r="AP117" s="53" t="s">
        <v>1006</v>
      </c>
      <c r="AQ117" s="53"/>
      <c r="AR117" s="53"/>
      <c r="AS117" s="83"/>
      <c r="AT117" s="53"/>
      <c r="AU117" s="53"/>
    </row>
    <row r="118" spans="3:47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3"/>
        <v>0</v>
      </c>
      <c r="M118" s="26">
        <f t="shared" si="10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67" t="e">
        <f>SUMIFS([1]Up!$J:$J,[1]Up!$D:$D,D118)</f>
        <v>#VALUE!</v>
      </c>
      <c r="AK118" s="82"/>
      <c r="AL118" s="82" t="str">
        <f t="shared" si="14"/>
        <v>PL12</v>
      </c>
      <c r="AM118" s="53" t="str">
        <f t="shared" si="15"/>
        <v/>
      </c>
      <c r="AN118" s="53" t="s">
        <v>154</v>
      </c>
      <c r="AO118" s="53" t="s">
        <v>1021</v>
      </c>
      <c r="AP118" s="53" t="s">
        <v>1022</v>
      </c>
      <c r="AQ118" s="53" t="s">
        <v>2100</v>
      </c>
      <c r="AR118" s="53">
        <v>1</v>
      </c>
      <c r="AS118" s="83">
        <v>46303</v>
      </c>
      <c r="AT118" s="53"/>
      <c r="AU118" s="53"/>
    </row>
    <row r="119" spans="3:47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3"/>
        <v>0</v>
      </c>
      <c r="M119" s="26">
        <f t="shared" si="10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67" t="e">
        <f>SUMIFS([1]Up!$J:$J,[1]Up!$D:$D,D119)</f>
        <v>#VALUE!</v>
      </c>
      <c r="AK119" s="82"/>
      <c r="AL119" s="82" t="str">
        <f t="shared" si="14"/>
        <v>PL10</v>
      </c>
      <c r="AM119" s="53" t="str">
        <f t="shared" si="15"/>
        <v/>
      </c>
      <c r="AN119" s="53" t="s">
        <v>148</v>
      </c>
      <c r="AO119" s="53" t="s">
        <v>1005</v>
      </c>
      <c r="AP119" s="53" t="s">
        <v>1006</v>
      </c>
      <c r="AQ119" s="53"/>
      <c r="AR119" s="53"/>
      <c r="AS119" s="83"/>
      <c r="AT119" s="53"/>
      <c r="AU119" s="53"/>
    </row>
    <row r="120" spans="3:47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3"/>
        <v>0</v>
      </c>
      <c r="M120" s="26">
        <f t="shared" si="10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67" t="e">
        <f>SUMIFS([1]Up!$J:$J,[1]Up!$D:$D,D120)</f>
        <v>#VALUE!</v>
      </c>
      <c r="AK120" s="82"/>
      <c r="AL120" s="82" t="str">
        <f t="shared" si="14"/>
        <v>PL12</v>
      </c>
      <c r="AM120" s="53" t="str">
        <f t="shared" si="15"/>
        <v/>
      </c>
      <c r="AN120" s="53" t="s">
        <v>148</v>
      </c>
      <c r="AO120" s="53" t="s">
        <v>1021</v>
      </c>
      <c r="AP120" s="53" t="s">
        <v>1022</v>
      </c>
      <c r="AQ120" s="53" t="s">
        <v>2100</v>
      </c>
      <c r="AR120" s="53">
        <v>1</v>
      </c>
      <c r="AS120" s="83">
        <v>46303</v>
      </c>
      <c r="AT120" s="53"/>
      <c r="AU120" s="53"/>
    </row>
    <row r="121" spans="3:47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3"/>
        <v>0</v>
      </c>
      <c r="M121" s="26">
        <f t="shared" si="10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67" t="e">
        <f>SUMIFS([1]Up!$J:$J,[1]Up!$D:$D,D121)</f>
        <v>#VALUE!</v>
      </c>
      <c r="AK121" s="82"/>
      <c r="AL121" s="82" t="str">
        <f t="shared" si="14"/>
        <v>PL20</v>
      </c>
      <c r="AM121" s="53" t="str">
        <f t="shared" si="15"/>
        <v/>
      </c>
      <c r="AN121" s="53" t="s">
        <v>148</v>
      </c>
      <c r="AO121" s="53" t="s">
        <v>1100</v>
      </c>
      <c r="AP121" s="53" t="s">
        <v>1101</v>
      </c>
      <c r="AQ121" s="53" t="s">
        <v>2102</v>
      </c>
      <c r="AR121" s="53">
        <v>2</v>
      </c>
      <c r="AS121" s="83">
        <v>46303</v>
      </c>
      <c r="AT121" s="53"/>
      <c r="AU121" s="53"/>
    </row>
    <row r="122" spans="3:47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3"/>
        <v>0</v>
      </c>
      <c r="M122" s="26">
        <f t="shared" si="10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67" t="e">
        <f>SUMIFS([1]Up!$J:$J,[1]Up!$D:$D,D122)</f>
        <v>#VALUE!</v>
      </c>
      <c r="AK122" s="82"/>
      <c r="AL122" s="82" t="str">
        <f t="shared" si="14"/>
        <v>PL15</v>
      </c>
      <c r="AM122" s="53" t="str">
        <f t="shared" si="15"/>
        <v/>
      </c>
      <c r="AN122" s="53" t="s">
        <v>148</v>
      </c>
      <c r="AO122" s="53" t="s">
        <v>1094</v>
      </c>
      <c r="AP122" s="53" t="s">
        <v>1095</v>
      </c>
      <c r="AQ122" s="53" t="s">
        <v>2101</v>
      </c>
      <c r="AR122" s="53">
        <v>2</v>
      </c>
      <c r="AS122" s="83">
        <v>46120</v>
      </c>
      <c r="AT122" s="53"/>
      <c r="AU122" s="53"/>
    </row>
    <row r="123" spans="3:47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3"/>
        <v>0</v>
      </c>
      <c r="M123" s="26">
        <f t="shared" si="10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67" t="e">
        <f>SUMIFS([1]Up!$J:$J,[1]Up!$D:$D,D123)</f>
        <v>#VALUE!</v>
      </c>
      <c r="AK123" s="82"/>
      <c r="AL123" s="82" t="str">
        <f t="shared" si="14"/>
        <v>PL10</v>
      </c>
      <c r="AM123" s="53" t="str">
        <f t="shared" si="15"/>
        <v/>
      </c>
      <c r="AN123" s="53" t="s">
        <v>154</v>
      </c>
      <c r="AO123" s="53" t="s">
        <v>1005</v>
      </c>
      <c r="AP123" s="53" t="s">
        <v>1006</v>
      </c>
      <c r="AQ123" s="53"/>
      <c r="AR123" s="53"/>
      <c r="AS123" s="83"/>
      <c r="AT123" s="53"/>
      <c r="AU123" s="53"/>
    </row>
    <row r="124" spans="3:47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3"/>
        <v>0</v>
      </c>
      <c r="M124" s="26">
        <f t="shared" si="10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67" t="e">
        <f>SUMIFS([1]Up!$J:$J,[1]Up!$D:$D,D124)</f>
        <v>#VALUE!</v>
      </c>
      <c r="AK124" s="82"/>
      <c r="AL124" s="82" t="str">
        <f t="shared" si="14"/>
        <v>PL10</v>
      </c>
      <c r="AM124" s="53" t="str">
        <f t="shared" si="15"/>
        <v/>
      </c>
      <c r="AN124" s="53" t="s">
        <v>154</v>
      </c>
      <c r="AO124" s="53" t="s">
        <v>1005</v>
      </c>
      <c r="AP124" s="53" t="s">
        <v>1006</v>
      </c>
      <c r="AQ124" s="53"/>
      <c r="AR124" s="53"/>
      <c r="AS124" s="83"/>
      <c r="AT124" s="53"/>
      <c r="AU124" s="53"/>
    </row>
    <row r="125" spans="3:47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3"/>
        <v>0</v>
      </c>
      <c r="M125" s="26">
        <f t="shared" si="10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67" t="e">
        <f>SUMIFS([1]Up!$J:$J,[1]Up!$D:$D,D125)</f>
        <v>#VALUE!</v>
      </c>
      <c r="AK125" s="82"/>
      <c r="AL125" s="82" t="str">
        <f t="shared" si="14"/>
        <v>PL12</v>
      </c>
      <c r="AM125" s="53" t="str">
        <f t="shared" si="15"/>
        <v/>
      </c>
      <c r="AN125" s="53" t="s">
        <v>154</v>
      </c>
      <c r="AO125" s="53" t="s">
        <v>1021</v>
      </c>
      <c r="AP125" s="53" t="s">
        <v>1022</v>
      </c>
      <c r="AQ125" s="53" t="s">
        <v>57</v>
      </c>
      <c r="AR125" s="53">
        <v>1</v>
      </c>
      <c r="AS125" s="83"/>
      <c r="AT125" s="53"/>
      <c r="AU125" s="53"/>
    </row>
    <row r="126" spans="3:47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3"/>
        <v>0</v>
      </c>
      <c r="M126" s="26">
        <f t="shared" si="10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67" t="e">
        <f>SUMIFS([1]Up!$J:$J,[1]Up!$D:$D,D126)</f>
        <v>#VALUE!</v>
      </c>
      <c r="AK126" s="82"/>
      <c r="AL126" s="82" t="str">
        <f t="shared" si="14"/>
        <v>PL10</v>
      </c>
      <c r="AM126" s="53" t="str">
        <f t="shared" si="15"/>
        <v/>
      </c>
      <c r="AN126" s="53" t="s">
        <v>148</v>
      </c>
      <c r="AO126" s="53" t="s">
        <v>1005</v>
      </c>
      <c r="AP126" s="53" t="s">
        <v>1006</v>
      </c>
      <c r="AQ126" s="53"/>
      <c r="AR126" s="53"/>
      <c r="AS126" s="83"/>
      <c r="AT126" s="53"/>
      <c r="AU126" s="53"/>
    </row>
    <row r="127" spans="3:47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3"/>
        <v>0</v>
      </c>
      <c r="M127" s="26">
        <f t="shared" si="10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67" t="e">
        <f>SUMIFS([1]Up!$J:$J,[1]Up!$D:$D,D127)</f>
        <v>#VALUE!</v>
      </c>
      <c r="AK127" s="82"/>
      <c r="AL127" s="82" t="str">
        <f t="shared" si="14"/>
        <v>PL12</v>
      </c>
      <c r="AM127" s="53" t="str">
        <f t="shared" si="15"/>
        <v/>
      </c>
      <c r="AN127" s="53" t="s">
        <v>148</v>
      </c>
      <c r="AO127" s="53" t="s">
        <v>1021</v>
      </c>
      <c r="AP127" s="53" t="s">
        <v>1022</v>
      </c>
      <c r="AQ127" s="53" t="s">
        <v>2100</v>
      </c>
      <c r="AR127" s="53">
        <v>1</v>
      </c>
      <c r="AS127" s="83">
        <v>46303</v>
      </c>
      <c r="AT127" s="53"/>
      <c r="AU127" s="53"/>
    </row>
    <row r="128" spans="3:47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3"/>
        <v>0</v>
      </c>
      <c r="M128" s="26">
        <f t="shared" si="10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67" t="e">
        <f>SUMIFS([1]Up!$J:$J,[1]Up!$D:$D,D128)</f>
        <v>#VALUE!</v>
      </c>
      <c r="AK128" s="82"/>
      <c r="AL128" s="82" t="str">
        <f t="shared" si="14"/>
        <v/>
      </c>
      <c r="AM128" s="53" t="str">
        <f t="shared" si="15"/>
        <v/>
      </c>
      <c r="AN128" s="53" t="s">
        <v>148</v>
      </c>
      <c r="AO128" s="53" t="s">
        <v>1079</v>
      </c>
      <c r="AP128" s="53" t="s">
        <v>1076</v>
      </c>
      <c r="AQ128" s="53" t="s">
        <v>2105</v>
      </c>
      <c r="AR128" s="53">
        <v>2</v>
      </c>
      <c r="AS128" s="83">
        <v>46120</v>
      </c>
      <c r="AT128" s="53"/>
      <c r="AU128" s="53"/>
    </row>
    <row r="129" spans="3:47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3"/>
        <v>0</v>
      </c>
      <c r="M129" s="26">
        <f t="shared" si="10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67" t="e">
        <f>SUMIFS([1]Up!$J:$J,[1]Up!$D:$D,D129)</f>
        <v>#VALUE!</v>
      </c>
      <c r="AK129" s="82"/>
      <c r="AL129" s="82" t="str">
        <f t="shared" si="14"/>
        <v>PL10</v>
      </c>
      <c r="AM129" s="53" t="str">
        <f t="shared" si="15"/>
        <v/>
      </c>
      <c r="AN129" s="53" t="s">
        <v>154</v>
      </c>
      <c r="AO129" s="53" t="s">
        <v>1005</v>
      </c>
      <c r="AP129" s="53" t="s">
        <v>1006</v>
      </c>
      <c r="AQ129" s="53"/>
      <c r="AR129" s="53"/>
      <c r="AS129" s="83"/>
      <c r="AT129" s="53"/>
      <c r="AU129" s="53"/>
    </row>
    <row r="130" spans="3:47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3"/>
        <v>0</v>
      </c>
      <c r="M130" s="26">
        <f t="shared" si="10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67" t="e">
        <f>SUMIFS([1]Up!$J:$J,[1]Up!$D:$D,D130)</f>
        <v>#VALUE!</v>
      </c>
      <c r="AK130" s="82"/>
      <c r="AL130" s="82" t="str">
        <f t="shared" si="14"/>
        <v>PL20</v>
      </c>
      <c r="AM130" s="53" t="str">
        <f t="shared" si="15"/>
        <v/>
      </c>
      <c r="AN130" s="53" t="s">
        <v>148</v>
      </c>
      <c r="AO130" s="53" t="s">
        <v>1100</v>
      </c>
      <c r="AP130" s="53" t="s">
        <v>1101</v>
      </c>
      <c r="AQ130" s="53" t="s">
        <v>2102</v>
      </c>
      <c r="AR130" s="53">
        <v>2</v>
      </c>
      <c r="AS130" s="83">
        <v>46303</v>
      </c>
      <c r="AT130" s="53"/>
      <c r="AU130" s="53"/>
    </row>
    <row r="131" spans="3:47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3"/>
        <v>0</v>
      </c>
      <c r="M131" s="26">
        <f t="shared" si="10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67" t="e">
        <f>SUMIFS([1]Up!$J:$J,[1]Up!$D:$D,D131)</f>
        <v>#VALUE!</v>
      </c>
      <c r="AK131" s="82"/>
      <c r="AL131" s="82" t="str">
        <f t="shared" si="14"/>
        <v/>
      </c>
      <c r="AM131" s="53" t="str">
        <f t="shared" si="15"/>
        <v/>
      </c>
      <c r="AN131" s="53" t="s">
        <v>148</v>
      </c>
      <c r="AO131" s="53" t="s">
        <v>1100</v>
      </c>
      <c r="AP131" s="53" t="s">
        <v>1101</v>
      </c>
      <c r="AQ131" s="53"/>
      <c r="AR131" s="53"/>
      <c r="AS131" s="83"/>
      <c r="AT131" s="53"/>
      <c r="AU131" s="53"/>
    </row>
    <row r="132" spans="3:47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3"/>
        <v>0</v>
      </c>
      <c r="M132" s="26">
        <f t="shared" si="10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67" t="e">
        <f>SUMIFS([1]Up!$J:$J,[1]Up!$D:$D,D132)</f>
        <v>#VALUE!</v>
      </c>
      <c r="AK132" s="82"/>
      <c r="AL132" s="82" t="str">
        <f t="shared" si="14"/>
        <v>PL30</v>
      </c>
      <c r="AM132" s="53" t="str">
        <f t="shared" si="15"/>
        <v/>
      </c>
      <c r="AN132" s="53" t="s">
        <v>148</v>
      </c>
      <c r="AO132" s="53" t="s">
        <v>1059</v>
      </c>
      <c r="AP132" s="53" t="s">
        <v>1060</v>
      </c>
      <c r="AQ132" s="53" t="s">
        <v>2120</v>
      </c>
      <c r="AR132" s="53">
        <v>1</v>
      </c>
      <c r="AS132" s="83">
        <v>46120</v>
      </c>
      <c r="AT132" s="53"/>
      <c r="AU132" s="53"/>
    </row>
    <row r="133" spans="3:47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3"/>
        <v>0</v>
      </c>
      <c r="M133" s="26">
        <f t="shared" si="10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67" t="e">
        <f>SUMIFS([1]Up!$J:$J,[1]Up!$D:$D,D133)</f>
        <v>#VALUE!</v>
      </c>
      <c r="AK133" s="82"/>
      <c r="AL133" s="82" t="str">
        <f t="shared" si="14"/>
        <v>PL15</v>
      </c>
      <c r="AM133" s="53" t="str">
        <f t="shared" si="15"/>
        <v/>
      </c>
      <c r="AN133" s="53" t="s">
        <v>148</v>
      </c>
      <c r="AO133" s="53" t="s">
        <v>1094</v>
      </c>
      <c r="AP133" s="53" t="s">
        <v>1095</v>
      </c>
      <c r="AQ133" s="53" t="s">
        <v>2101</v>
      </c>
      <c r="AR133" s="53">
        <v>2</v>
      </c>
      <c r="AS133" s="83">
        <v>46120</v>
      </c>
      <c r="AT133" s="53"/>
      <c r="AU133" s="53"/>
    </row>
    <row r="134" spans="3:47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3"/>
        <v>0</v>
      </c>
      <c r="M134" s="26">
        <f t="shared" si="10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67" t="e">
        <f>SUMIFS([1]Up!$J:$J,[1]Up!$D:$D,D134)</f>
        <v>#VALUE!</v>
      </c>
      <c r="AK134" s="82"/>
      <c r="AL134" s="82" t="str">
        <f t="shared" si="14"/>
        <v>PL10</v>
      </c>
      <c r="AM134" s="53" t="str">
        <f t="shared" si="15"/>
        <v/>
      </c>
      <c r="AN134" s="53" t="s">
        <v>148</v>
      </c>
      <c r="AO134" s="53" t="s">
        <v>1005</v>
      </c>
      <c r="AP134" s="53" t="s">
        <v>1006</v>
      </c>
      <c r="AQ134" s="53"/>
      <c r="AR134" s="53"/>
      <c r="AS134" s="83"/>
      <c r="AT134" s="53"/>
      <c r="AU134" s="53"/>
    </row>
    <row r="135" spans="3:47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3"/>
        <v>0</v>
      </c>
      <c r="M135" s="26">
        <f t="shared" si="10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67" t="e">
        <f>SUMIFS([1]Up!$J:$J,[1]Up!$D:$D,D135)</f>
        <v>#VALUE!</v>
      </c>
      <c r="AK135" s="82"/>
      <c r="AL135" s="82" t="str">
        <f t="shared" si="14"/>
        <v>PL16</v>
      </c>
      <c r="AM135" s="53" t="str">
        <f t="shared" si="15"/>
        <v/>
      </c>
      <c r="AN135" s="53" t="s">
        <v>148</v>
      </c>
      <c r="AO135" s="53" t="s">
        <v>988</v>
      </c>
      <c r="AP135" s="53" t="s">
        <v>989</v>
      </c>
      <c r="AQ135" s="53" t="s">
        <v>2104</v>
      </c>
      <c r="AR135" s="53">
        <v>4</v>
      </c>
      <c r="AS135" s="83">
        <v>46120</v>
      </c>
      <c r="AT135" s="53"/>
      <c r="AU135" s="53"/>
    </row>
    <row r="136" spans="3:47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3"/>
        <v>0</v>
      </c>
      <c r="M136" s="26">
        <f t="shared" si="10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67" t="e">
        <f>SUMIFS([1]Up!$J:$J,[1]Up!$D:$D,D136)</f>
        <v>#VALUE!</v>
      </c>
      <c r="AK136" s="82"/>
      <c r="AL136" s="82" t="str">
        <f t="shared" si="14"/>
        <v>PL15</v>
      </c>
      <c r="AM136" s="53" t="str">
        <f t="shared" si="15"/>
        <v/>
      </c>
      <c r="AN136" s="53" t="s">
        <v>148</v>
      </c>
      <c r="AO136" s="53" t="s">
        <v>1094</v>
      </c>
      <c r="AP136" s="53" t="s">
        <v>1095</v>
      </c>
      <c r="AQ136" s="53" t="s">
        <v>2101</v>
      </c>
      <c r="AR136" s="53">
        <v>2</v>
      </c>
      <c r="AS136" s="83">
        <v>46120</v>
      </c>
      <c r="AT136" s="53"/>
      <c r="AU136" s="53"/>
    </row>
    <row r="137" spans="3:47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3"/>
        <v>0</v>
      </c>
      <c r="M137" s="26">
        <f t="shared" si="10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67" t="e">
        <f>SUMIFS([1]Up!$J:$J,[1]Up!$D:$D,D137)</f>
        <v>#VALUE!</v>
      </c>
      <c r="AK137" s="82"/>
      <c r="AL137" s="82" t="str">
        <f t="shared" si="14"/>
        <v>PL16</v>
      </c>
      <c r="AM137" s="53" t="str">
        <f t="shared" si="15"/>
        <v/>
      </c>
      <c r="AN137" s="53" t="s">
        <v>148</v>
      </c>
      <c r="AO137" s="53" t="s">
        <v>988</v>
      </c>
      <c r="AP137" s="53" t="s">
        <v>989</v>
      </c>
      <c r="AQ137" s="53" t="s">
        <v>2104</v>
      </c>
      <c r="AR137" s="53">
        <v>2</v>
      </c>
      <c r="AS137" s="83">
        <v>46120</v>
      </c>
      <c r="AT137" s="53"/>
      <c r="AU137" s="53"/>
    </row>
    <row r="138" spans="3:47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3"/>
        <v>0</v>
      </c>
      <c r="M138" s="26">
        <f t="shared" si="10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67" t="e">
        <f>SUMIFS([1]Up!$J:$J,[1]Up!$D:$D,D138)</f>
        <v>#VALUE!</v>
      </c>
      <c r="AK138" s="82"/>
      <c r="AL138" s="82" t="str">
        <f t="shared" si="14"/>
        <v>PL20</v>
      </c>
      <c r="AM138" s="53" t="str">
        <f t="shared" si="15"/>
        <v/>
      </c>
      <c r="AN138" s="53" t="s">
        <v>148</v>
      </c>
      <c r="AO138" s="53" t="s">
        <v>1100</v>
      </c>
      <c r="AP138" s="53" t="s">
        <v>1101</v>
      </c>
      <c r="AQ138" s="53" t="s">
        <v>2102</v>
      </c>
      <c r="AR138" s="53">
        <v>2</v>
      </c>
      <c r="AS138" s="83">
        <v>46303</v>
      </c>
      <c r="AT138" s="53"/>
      <c r="AU138" s="53"/>
    </row>
    <row r="139" spans="3:47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3"/>
        <v>0</v>
      </c>
      <c r="M139" s="26">
        <f t="shared" si="10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67" t="e">
        <f>SUMIFS([1]Up!$J:$J,[1]Up!$D:$D,D139)</f>
        <v>#VALUE!</v>
      </c>
      <c r="AK139" s="82"/>
      <c r="AL139" s="82" t="str">
        <f t="shared" si="14"/>
        <v>PL15</v>
      </c>
      <c r="AM139" s="53" t="str">
        <f t="shared" si="15"/>
        <v/>
      </c>
      <c r="AN139" s="53" t="s">
        <v>148</v>
      </c>
      <c r="AO139" s="53" t="s">
        <v>1094</v>
      </c>
      <c r="AP139" s="53" t="s">
        <v>1095</v>
      </c>
      <c r="AQ139" s="53" t="s">
        <v>2101</v>
      </c>
      <c r="AR139" s="53">
        <v>2</v>
      </c>
      <c r="AS139" s="83">
        <v>46120</v>
      </c>
      <c r="AT139" s="53"/>
      <c r="AU139" s="53"/>
    </row>
    <row r="140" spans="3:47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3"/>
        <v>0</v>
      </c>
      <c r="M140" s="26">
        <f t="shared" si="10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67" t="e">
        <f>SUMIFS([1]Up!$J:$J,[1]Up!$D:$D,D140)</f>
        <v>#VALUE!</v>
      </c>
      <c r="AK140" s="82"/>
      <c r="AL140" s="82" t="str">
        <f t="shared" si="14"/>
        <v>PL10</v>
      </c>
      <c r="AM140" s="53" t="str">
        <f t="shared" si="15"/>
        <v/>
      </c>
      <c r="AN140" s="53" t="s">
        <v>154</v>
      </c>
      <c r="AO140" s="53" t="s">
        <v>1005</v>
      </c>
      <c r="AP140" s="53" t="s">
        <v>1006</v>
      </c>
      <c r="AQ140" s="53"/>
      <c r="AR140" s="53"/>
      <c r="AS140" s="83"/>
      <c r="AT140" s="53"/>
      <c r="AU140" s="53"/>
    </row>
    <row r="141" spans="3:47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3"/>
        <v>0</v>
      </c>
      <c r="M141" s="26">
        <f t="shared" si="10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67" t="e">
        <f>SUMIFS([1]Up!$J:$J,[1]Up!$D:$D,D141)</f>
        <v>#VALUE!</v>
      </c>
      <c r="AK141" s="82"/>
      <c r="AL141" s="82" t="str">
        <f t="shared" si="14"/>
        <v>PL10</v>
      </c>
      <c r="AM141" s="53" t="str">
        <f t="shared" si="15"/>
        <v/>
      </c>
      <c r="AN141" s="53" t="s">
        <v>148</v>
      </c>
      <c r="AO141" s="53" t="s">
        <v>1005</v>
      </c>
      <c r="AP141" s="53" t="s">
        <v>1006</v>
      </c>
      <c r="AQ141" s="53"/>
      <c r="AR141" s="53"/>
      <c r="AS141" s="83"/>
      <c r="AT141" s="53"/>
      <c r="AU141" s="53"/>
    </row>
    <row r="142" spans="3:47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3"/>
        <v>0</v>
      </c>
      <c r="M142" s="26">
        <f t="shared" si="10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67" t="e">
        <f>SUMIFS([1]Up!$J:$J,[1]Up!$D:$D,D142)</f>
        <v>#VALUE!</v>
      </c>
      <c r="AK142" s="82"/>
      <c r="AL142" s="82" t="str">
        <f t="shared" si="14"/>
        <v>PL10</v>
      </c>
      <c r="AM142" s="53" t="str">
        <f t="shared" si="15"/>
        <v/>
      </c>
      <c r="AN142" s="53" t="s">
        <v>148</v>
      </c>
      <c r="AO142" s="53" t="s">
        <v>1005</v>
      </c>
      <c r="AP142" s="53" t="s">
        <v>1006</v>
      </c>
      <c r="AQ142" s="53"/>
      <c r="AR142" s="53"/>
      <c r="AS142" s="83"/>
      <c r="AT142" s="53"/>
      <c r="AU142" s="53"/>
    </row>
    <row r="143" spans="3:47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3"/>
        <v>0</v>
      </c>
      <c r="M143" s="26">
        <f t="shared" si="10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67" t="e">
        <f>SUMIFS([1]Up!$J:$J,[1]Up!$D:$D,D143)</f>
        <v>#VALUE!</v>
      </c>
      <c r="AK143" s="82"/>
      <c r="AL143" s="82" t="str">
        <f t="shared" si="14"/>
        <v>PL10</v>
      </c>
      <c r="AM143" s="53" t="str">
        <f t="shared" si="15"/>
        <v/>
      </c>
      <c r="AN143" s="53" t="s">
        <v>148</v>
      </c>
      <c r="AO143" s="53" t="s">
        <v>1005</v>
      </c>
      <c r="AP143" s="53" t="s">
        <v>1006</v>
      </c>
      <c r="AQ143" s="53"/>
      <c r="AR143" s="53"/>
      <c r="AS143" s="83"/>
      <c r="AT143" s="53"/>
      <c r="AU143" s="53"/>
    </row>
    <row r="144" spans="3:47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3"/>
        <v>0</v>
      </c>
      <c r="M144" s="26">
        <f t="shared" si="10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67" t="e">
        <f>SUMIFS([1]Up!$J:$J,[1]Up!$D:$D,D144)</f>
        <v>#VALUE!</v>
      </c>
      <c r="AK144" s="82"/>
      <c r="AL144" s="82" t="str">
        <f t="shared" si="14"/>
        <v>PL15</v>
      </c>
      <c r="AM144" s="53" t="str">
        <f t="shared" si="15"/>
        <v/>
      </c>
      <c r="AN144" s="53" t="s">
        <v>148</v>
      </c>
      <c r="AO144" s="53" t="s">
        <v>1094</v>
      </c>
      <c r="AP144" s="53" t="s">
        <v>1095</v>
      </c>
      <c r="AQ144" s="53" t="s">
        <v>2101</v>
      </c>
      <c r="AR144" s="53">
        <v>1</v>
      </c>
      <c r="AS144" s="83">
        <v>46120</v>
      </c>
      <c r="AT144" s="53"/>
      <c r="AU144" s="53"/>
    </row>
    <row r="145" spans="3:47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3"/>
        <v>0</v>
      </c>
      <c r="M145" s="26">
        <f t="shared" si="10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67" t="e">
        <f>SUMIFS([1]Up!$J:$J,[1]Up!$D:$D,D145)</f>
        <v>#VALUE!</v>
      </c>
      <c r="AK145" s="82"/>
      <c r="AL145" s="82" t="str">
        <f t="shared" si="14"/>
        <v>PL10</v>
      </c>
      <c r="AM145" s="53" t="str">
        <f t="shared" si="15"/>
        <v/>
      </c>
      <c r="AN145" s="53" t="s">
        <v>148</v>
      </c>
      <c r="AO145" s="53" t="s">
        <v>1005</v>
      </c>
      <c r="AP145" s="53" t="s">
        <v>1006</v>
      </c>
      <c r="AQ145" s="53"/>
      <c r="AR145" s="53"/>
      <c r="AS145" s="83"/>
      <c r="AT145" s="53"/>
      <c r="AU145" s="53"/>
    </row>
    <row r="146" spans="3:47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3"/>
        <v>0</v>
      </c>
      <c r="M146" s="26">
        <f t="shared" si="10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67" t="e">
        <f>SUMIFS([1]Up!$J:$J,[1]Up!$D:$D,D146)</f>
        <v>#VALUE!</v>
      </c>
      <c r="AK146" s="82"/>
      <c r="AL146" s="82" t="str">
        <f t="shared" si="14"/>
        <v>PL20</v>
      </c>
      <c r="AM146" s="53" t="str">
        <f t="shared" si="15"/>
        <v/>
      </c>
      <c r="AN146" s="53" t="s">
        <v>148</v>
      </c>
      <c r="AO146" s="53" t="s">
        <v>1100</v>
      </c>
      <c r="AP146" s="53" t="s">
        <v>1101</v>
      </c>
      <c r="AQ146" s="53" t="s">
        <v>57</v>
      </c>
      <c r="AR146" s="53">
        <v>2</v>
      </c>
      <c r="AS146" s="83"/>
      <c r="AT146" s="53"/>
      <c r="AU146" s="53"/>
    </row>
    <row r="147" spans="3:47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3"/>
        <v>0</v>
      </c>
      <c r="M147" s="26">
        <f t="shared" si="10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67" t="e">
        <f>SUMIFS([1]Up!$J:$J,[1]Up!$D:$D,D147)</f>
        <v>#VALUE!</v>
      </c>
      <c r="AK147" s="82"/>
      <c r="AL147" s="82" t="str">
        <f t="shared" si="14"/>
        <v>PL10</v>
      </c>
      <c r="AM147" s="53" t="str">
        <f t="shared" si="15"/>
        <v/>
      </c>
      <c r="AN147" s="53" t="s">
        <v>154</v>
      </c>
      <c r="AO147" s="53" t="s">
        <v>1005</v>
      </c>
      <c r="AP147" s="53" t="s">
        <v>1006</v>
      </c>
      <c r="AQ147" s="53"/>
      <c r="AR147" s="53"/>
      <c r="AS147" s="83"/>
      <c r="AT147" s="53"/>
      <c r="AU147" s="53"/>
    </row>
    <row r="148" spans="3:47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3"/>
        <v>0</v>
      </c>
      <c r="M148" s="26">
        <f t="shared" si="10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67" t="e">
        <f>SUMIFS([1]Up!$J:$J,[1]Up!$D:$D,D148)</f>
        <v>#VALUE!</v>
      </c>
      <c r="AK148" s="82"/>
      <c r="AL148" s="82" t="str">
        <f t="shared" si="14"/>
        <v/>
      </c>
      <c r="AM148" s="53" t="str">
        <f t="shared" si="15"/>
        <v/>
      </c>
      <c r="AN148" s="53" t="s">
        <v>148</v>
      </c>
      <c r="AO148" s="53" t="s">
        <v>1079</v>
      </c>
      <c r="AP148" s="53" t="s">
        <v>1076</v>
      </c>
      <c r="AQ148" s="53" t="s">
        <v>2105</v>
      </c>
      <c r="AR148" s="53">
        <v>6</v>
      </c>
      <c r="AS148" s="83">
        <v>46120</v>
      </c>
      <c r="AT148" s="53"/>
      <c r="AU148" s="53"/>
    </row>
    <row r="149" spans="3:47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3"/>
        <v>0</v>
      </c>
      <c r="M149" s="26">
        <f t="shared" si="10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67" t="e">
        <f>SUMIFS([1]Up!$J:$J,[1]Up!$D:$D,D149)</f>
        <v>#VALUE!</v>
      </c>
      <c r="AK149" s="82"/>
      <c r="AL149" s="82" t="str">
        <f t="shared" si="14"/>
        <v>PL10</v>
      </c>
      <c r="AM149" s="53" t="str">
        <f t="shared" si="15"/>
        <v/>
      </c>
      <c r="AN149" s="53" t="s">
        <v>154</v>
      </c>
      <c r="AO149" s="53" t="s">
        <v>1005</v>
      </c>
      <c r="AP149" s="53" t="s">
        <v>1006</v>
      </c>
      <c r="AQ149" s="53"/>
      <c r="AR149" s="53"/>
      <c r="AS149" s="83"/>
      <c r="AT149" s="53"/>
      <c r="AU149" s="53"/>
    </row>
    <row r="150" spans="3:47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3"/>
        <v>0</v>
      </c>
      <c r="M150" s="26">
        <f t="shared" si="10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67" t="e">
        <f>SUMIFS([1]Up!$J:$J,[1]Up!$D:$D,D150)</f>
        <v>#VALUE!</v>
      </c>
      <c r="AK150" s="82"/>
      <c r="AL150" s="82" t="str">
        <f t="shared" si="14"/>
        <v>PL20</v>
      </c>
      <c r="AM150" s="53" t="str">
        <f t="shared" si="15"/>
        <v/>
      </c>
      <c r="AN150" s="53" t="s">
        <v>148</v>
      </c>
      <c r="AO150" s="53" t="s">
        <v>1100</v>
      </c>
      <c r="AP150" s="53" t="s">
        <v>1101</v>
      </c>
      <c r="AQ150" s="53" t="s">
        <v>2102</v>
      </c>
      <c r="AR150" s="53">
        <v>2</v>
      </c>
      <c r="AS150" s="83">
        <v>46303</v>
      </c>
      <c r="AT150" s="53"/>
      <c r="AU150" s="53"/>
    </row>
    <row r="151" spans="3:47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3"/>
        <v>0</v>
      </c>
      <c r="M151" s="26">
        <f t="shared" si="10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67" t="e">
        <f>SUMIFS([1]Up!$J:$J,[1]Up!$D:$D,D151)</f>
        <v>#VALUE!</v>
      </c>
      <c r="AK151" s="82"/>
      <c r="AL151" s="82" t="str">
        <f t="shared" si="14"/>
        <v>PL15</v>
      </c>
      <c r="AM151" s="53" t="str">
        <f t="shared" si="15"/>
        <v/>
      </c>
      <c r="AN151" s="53" t="s">
        <v>148</v>
      </c>
      <c r="AO151" s="53" t="s">
        <v>1094</v>
      </c>
      <c r="AP151" s="53" t="s">
        <v>1095</v>
      </c>
      <c r="AQ151" s="53" t="s">
        <v>2101</v>
      </c>
      <c r="AR151" s="53">
        <v>2</v>
      </c>
      <c r="AS151" s="83">
        <v>46120</v>
      </c>
      <c r="AT151" s="53"/>
      <c r="AU151" s="53"/>
    </row>
    <row r="152" spans="3:47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3"/>
        <v>0</v>
      </c>
      <c r="M152" s="26">
        <f t="shared" si="10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67" t="e">
        <f>SUMIFS([1]Up!$J:$J,[1]Up!$D:$D,D152)</f>
        <v>#VALUE!</v>
      </c>
      <c r="AK152" s="82"/>
      <c r="AL152" s="82" t="str">
        <f t="shared" si="14"/>
        <v>PL15</v>
      </c>
      <c r="AM152" s="53" t="str">
        <f t="shared" si="15"/>
        <v/>
      </c>
      <c r="AN152" s="53" t="s">
        <v>148</v>
      </c>
      <c r="AO152" s="53" t="s">
        <v>1094</v>
      </c>
      <c r="AP152" s="53" t="s">
        <v>1095</v>
      </c>
      <c r="AQ152" s="53" t="s">
        <v>2101</v>
      </c>
      <c r="AR152" s="53">
        <v>2</v>
      </c>
      <c r="AS152" s="83">
        <v>46120</v>
      </c>
      <c r="AT152" s="53"/>
      <c r="AU152" s="53"/>
    </row>
    <row r="153" spans="3:47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3"/>
        <v>0</v>
      </c>
      <c r="M153" s="26">
        <f t="shared" si="10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67" t="e">
        <f>SUMIFS([1]Up!$J:$J,[1]Up!$D:$D,D153)</f>
        <v>#VALUE!</v>
      </c>
      <c r="AK153" s="82"/>
      <c r="AL153" s="82" t="str">
        <f t="shared" si="14"/>
        <v>PL10</v>
      </c>
      <c r="AM153" s="53" t="str">
        <f t="shared" si="15"/>
        <v/>
      </c>
      <c r="AN153" s="53" t="s">
        <v>148</v>
      </c>
      <c r="AO153" s="53" t="s">
        <v>1005</v>
      </c>
      <c r="AP153" s="53" t="s">
        <v>1006</v>
      </c>
      <c r="AQ153" s="53"/>
      <c r="AR153" s="53"/>
      <c r="AS153" s="83"/>
      <c r="AT153" s="53"/>
      <c r="AU153" s="53"/>
    </row>
    <row r="154" spans="3:47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3"/>
        <v>0</v>
      </c>
      <c r="M154" s="26">
        <f t="shared" si="10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67" t="e">
        <f>SUMIFS([1]Up!$J:$J,[1]Up!$D:$D,D154)</f>
        <v>#VALUE!</v>
      </c>
      <c r="AK154" s="82"/>
      <c r="AL154" s="82" t="str">
        <f t="shared" si="14"/>
        <v>PL10</v>
      </c>
      <c r="AM154" s="53" t="str">
        <f t="shared" si="15"/>
        <v/>
      </c>
      <c r="AN154" s="53" t="s">
        <v>148</v>
      </c>
      <c r="AO154" s="53" t="s">
        <v>1005</v>
      </c>
      <c r="AP154" s="53" t="s">
        <v>1006</v>
      </c>
      <c r="AQ154" s="53"/>
      <c r="AR154" s="53"/>
      <c r="AS154" s="83"/>
      <c r="AT154" s="53"/>
      <c r="AU154" s="53"/>
    </row>
    <row r="155" spans="3:47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3"/>
        <v>0</v>
      </c>
      <c r="M155" s="26">
        <f t="shared" si="10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67" t="e">
        <f>SUMIFS([1]Up!$J:$J,[1]Up!$D:$D,D155)</f>
        <v>#VALUE!</v>
      </c>
      <c r="AK155" s="82"/>
      <c r="AL155" s="82" t="str">
        <f t="shared" si="14"/>
        <v>PL15</v>
      </c>
      <c r="AM155" s="53" t="str">
        <f t="shared" si="15"/>
        <v/>
      </c>
      <c r="AN155" s="53" t="s">
        <v>148</v>
      </c>
      <c r="AO155" s="53" t="s">
        <v>1094</v>
      </c>
      <c r="AP155" s="53" t="s">
        <v>1095</v>
      </c>
      <c r="AQ155" s="53" t="s">
        <v>2101</v>
      </c>
      <c r="AR155" s="53">
        <v>3</v>
      </c>
      <c r="AS155" s="83">
        <v>46120</v>
      </c>
      <c r="AT155" s="53"/>
      <c r="AU155" s="53"/>
    </row>
    <row r="156" spans="3:47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3"/>
        <v>0</v>
      </c>
      <c r="M156" s="26">
        <f t="shared" si="10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67" t="e">
        <f>SUMIFS([1]Up!$J:$J,[1]Up!$D:$D,D156)</f>
        <v>#VALUE!</v>
      </c>
      <c r="AK156" s="82"/>
      <c r="AL156" s="82" t="str">
        <f t="shared" si="14"/>
        <v>PL10</v>
      </c>
      <c r="AM156" s="53" t="str">
        <f t="shared" si="15"/>
        <v/>
      </c>
      <c r="AN156" s="53" t="s">
        <v>148</v>
      </c>
      <c r="AO156" s="53" t="s">
        <v>1094</v>
      </c>
      <c r="AP156" s="53" t="s">
        <v>1095</v>
      </c>
      <c r="AQ156" s="53"/>
      <c r="AR156" s="53"/>
      <c r="AS156" s="83"/>
      <c r="AT156" s="53"/>
      <c r="AU156" s="53"/>
    </row>
    <row r="157" spans="3:47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3"/>
        <v>0</v>
      </c>
      <c r="M157" s="26">
        <f t="shared" si="10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67" t="e">
        <f>SUMIFS([1]Up!$J:$J,[1]Up!$D:$D,D157)</f>
        <v>#VALUE!</v>
      </c>
      <c r="AK157" s="82"/>
      <c r="AL157" s="82" t="str">
        <f t="shared" si="14"/>
        <v>PL10</v>
      </c>
      <c r="AM157" s="53" t="str">
        <f t="shared" si="15"/>
        <v/>
      </c>
      <c r="AN157" s="53" t="s">
        <v>148</v>
      </c>
      <c r="AO157" s="53" t="s">
        <v>1005</v>
      </c>
      <c r="AP157" s="53" t="s">
        <v>1006</v>
      </c>
      <c r="AQ157" s="53"/>
      <c r="AR157" s="53"/>
      <c r="AS157" s="83"/>
      <c r="AT157" s="53"/>
      <c r="AU157" s="53"/>
    </row>
    <row r="158" spans="3:47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16">MIN(SUM(N158:AI158),I158)</f>
        <v>0</v>
      </c>
      <c r="M158" s="26">
        <f t="shared" si="10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67" t="e">
        <f>SUMIFS([1]Up!$J:$J,[1]Up!$D:$D,D158)</f>
        <v>#VALUE!</v>
      </c>
      <c r="AK158" s="82"/>
      <c r="AL158" s="82" t="str">
        <f t="shared" ref="AL158:AL221" si="17">IFERROR(IF(C158="Plate",LEFT(E158,FIND("*",E158,1)-1),""),IF(C158="Plate",LEFT(E158,FIND("x",E158,1)-1),""))</f>
        <v>PL16</v>
      </c>
      <c r="AM158" s="53" t="str">
        <f t="shared" ref="AM158:AM221" si="18">IF(ROUND(SUM(N158:AI158)-I158,0)&gt;0,"Thừa "&amp;SUM(N158:AI158)-I158,"")</f>
        <v/>
      </c>
      <c r="AN158" s="53" t="s">
        <v>148</v>
      </c>
      <c r="AO158" s="53" t="s">
        <v>988</v>
      </c>
      <c r="AP158" s="53" t="s">
        <v>989</v>
      </c>
      <c r="AQ158" s="53" t="s">
        <v>2104</v>
      </c>
      <c r="AR158" s="53">
        <v>2</v>
      </c>
      <c r="AS158" s="83">
        <v>46120</v>
      </c>
      <c r="AT158" s="53"/>
      <c r="AU158" s="53"/>
    </row>
    <row r="159" spans="3:47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16"/>
        <v>0</v>
      </c>
      <c r="M159" s="26">
        <f t="shared" si="10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67" t="e">
        <f>SUMIFS([1]Up!$J:$J,[1]Up!$D:$D,D159)</f>
        <v>#VALUE!</v>
      </c>
      <c r="AK159" s="82"/>
      <c r="AL159" s="82" t="str">
        <f t="shared" si="17"/>
        <v>PL16</v>
      </c>
      <c r="AM159" s="53" t="str">
        <f t="shared" si="18"/>
        <v/>
      </c>
      <c r="AN159" s="53" t="s">
        <v>148</v>
      </c>
      <c r="AO159" s="53" t="s">
        <v>988</v>
      </c>
      <c r="AP159" s="53" t="s">
        <v>989</v>
      </c>
      <c r="AQ159" s="53" t="s">
        <v>2104</v>
      </c>
      <c r="AR159" s="53">
        <v>10</v>
      </c>
      <c r="AS159" s="83">
        <v>46120</v>
      </c>
      <c r="AT159" s="53"/>
      <c r="AU159" s="53"/>
    </row>
    <row r="160" spans="3:47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16"/>
        <v>0</v>
      </c>
      <c r="M160" s="26">
        <f t="shared" si="10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67" t="e">
        <f>SUMIFS([1]Up!$J:$J,[1]Up!$D:$D,D160)</f>
        <v>#VALUE!</v>
      </c>
      <c r="AK160" s="82"/>
      <c r="AL160" s="82" t="str">
        <f t="shared" si="17"/>
        <v/>
      </c>
      <c r="AM160" s="53" t="str">
        <f t="shared" si="18"/>
        <v/>
      </c>
      <c r="AN160" s="53" t="s">
        <v>148</v>
      </c>
      <c r="AO160" s="53" t="s">
        <v>1079</v>
      </c>
      <c r="AP160" s="53" t="s">
        <v>1076</v>
      </c>
      <c r="AQ160" s="53" t="s">
        <v>2105</v>
      </c>
      <c r="AR160" s="53">
        <v>3</v>
      </c>
      <c r="AS160" s="83">
        <v>46120</v>
      </c>
      <c r="AT160" s="53"/>
      <c r="AU160" s="53"/>
    </row>
    <row r="161" spans="3:47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16"/>
        <v>0</v>
      </c>
      <c r="M161" s="26">
        <f t="shared" si="10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67" t="e">
        <f>SUMIFS([1]Up!$J:$J,[1]Up!$D:$D,D161)</f>
        <v>#VALUE!</v>
      </c>
      <c r="AK161" s="82"/>
      <c r="AL161" s="82" t="str">
        <f t="shared" si="17"/>
        <v>PL8</v>
      </c>
      <c r="AM161" s="53" t="str">
        <f t="shared" si="18"/>
        <v/>
      </c>
      <c r="AN161" s="53" t="s">
        <v>154</v>
      </c>
      <c r="AO161" s="53" t="s">
        <v>1012</v>
      </c>
      <c r="AP161" s="53" t="s">
        <v>1013</v>
      </c>
      <c r="AQ161" s="53" t="s">
        <v>57</v>
      </c>
      <c r="AR161" s="53">
        <v>1</v>
      </c>
      <c r="AS161" s="83"/>
      <c r="AT161" s="53"/>
      <c r="AU161" s="53"/>
    </row>
    <row r="162" spans="3:47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16"/>
        <v>0</v>
      </c>
      <c r="M162" s="26">
        <f t="shared" si="10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67" t="e">
        <f>SUMIFS([1]Up!$J:$J,[1]Up!$D:$D,D162)</f>
        <v>#VALUE!</v>
      </c>
      <c r="AK162" s="82"/>
      <c r="AL162" s="82" t="str">
        <f t="shared" si="17"/>
        <v>PL15</v>
      </c>
      <c r="AM162" s="53" t="str">
        <f t="shared" si="18"/>
        <v/>
      </c>
      <c r="AN162" s="53" t="s">
        <v>148</v>
      </c>
      <c r="AO162" s="53" t="s">
        <v>1094</v>
      </c>
      <c r="AP162" s="53" t="s">
        <v>1095</v>
      </c>
      <c r="AQ162" s="53" t="s">
        <v>2101</v>
      </c>
      <c r="AR162" s="53">
        <v>2</v>
      </c>
      <c r="AS162" s="83">
        <v>46120</v>
      </c>
      <c r="AT162" s="53"/>
      <c r="AU162" s="53"/>
    </row>
    <row r="163" spans="3:47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16"/>
        <v>0</v>
      </c>
      <c r="M163" s="26">
        <f t="shared" si="10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67" t="e">
        <f>SUMIFS([1]Up!$J:$J,[1]Up!$D:$D,D163)</f>
        <v>#VALUE!</v>
      </c>
      <c r="AK163" s="82"/>
      <c r="AL163" s="82" t="str">
        <f t="shared" si="17"/>
        <v>PL10</v>
      </c>
      <c r="AM163" s="53" t="str">
        <f t="shared" si="18"/>
        <v/>
      </c>
      <c r="AN163" s="53" t="s">
        <v>154</v>
      </c>
      <c r="AO163" s="53" t="s">
        <v>1005</v>
      </c>
      <c r="AP163" s="53" t="s">
        <v>1006</v>
      </c>
      <c r="AQ163" s="53"/>
      <c r="AR163" s="53"/>
      <c r="AS163" s="83"/>
      <c r="AT163" s="53"/>
      <c r="AU163" s="53"/>
    </row>
    <row r="164" spans="3:47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16"/>
        <v>0</v>
      </c>
      <c r="M164" s="26">
        <f t="shared" si="10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67" t="e">
        <f>SUMIFS([1]Up!$J:$J,[1]Up!$D:$D,D164)</f>
        <v>#VALUE!</v>
      </c>
      <c r="AK164" s="82"/>
      <c r="AL164" s="82" t="str">
        <f t="shared" si="17"/>
        <v>PL8</v>
      </c>
      <c r="AM164" s="53" t="str">
        <f t="shared" si="18"/>
        <v/>
      </c>
      <c r="AN164" s="53" t="s">
        <v>148</v>
      </c>
      <c r="AO164" s="53" t="s">
        <v>1012</v>
      </c>
      <c r="AP164" s="53" t="s">
        <v>1013</v>
      </c>
      <c r="AQ164" s="53" t="s">
        <v>57</v>
      </c>
      <c r="AR164" s="53">
        <v>2</v>
      </c>
      <c r="AS164" s="83"/>
      <c r="AT164" s="53"/>
      <c r="AU164" s="53"/>
    </row>
    <row r="165" spans="3:47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16"/>
        <v>0</v>
      </c>
      <c r="M165" s="26">
        <f t="shared" si="10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67" t="e">
        <f>SUMIFS([1]Up!$J:$J,[1]Up!$D:$D,D165)</f>
        <v>#VALUE!</v>
      </c>
      <c r="AK165" s="82"/>
      <c r="AL165" s="82" t="str">
        <f t="shared" si="17"/>
        <v>PL8</v>
      </c>
      <c r="AM165" s="53" t="str">
        <f t="shared" si="18"/>
        <v/>
      </c>
      <c r="AN165" s="53" t="s">
        <v>148</v>
      </c>
      <c r="AO165" s="53" t="s">
        <v>1012</v>
      </c>
      <c r="AP165" s="53" t="s">
        <v>1013</v>
      </c>
      <c r="AQ165" s="53" t="s">
        <v>57</v>
      </c>
      <c r="AR165" s="53">
        <v>1</v>
      </c>
      <c r="AS165" s="83"/>
      <c r="AT165" s="53"/>
      <c r="AU165" s="53"/>
    </row>
    <row r="166" spans="3:47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16"/>
        <v>0</v>
      </c>
      <c r="M166" s="26">
        <f t="shared" si="10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67" t="e">
        <f>SUMIFS([1]Up!$J:$J,[1]Up!$D:$D,D166)</f>
        <v>#VALUE!</v>
      </c>
      <c r="AK166" s="82"/>
      <c r="AL166" s="82" t="str">
        <f t="shared" si="17"/>
        <v>PL15</v>
      </c>
      <c r="AM166" s="53" t="str">
        <f t="shared" si="18"/>
        <v/>
      </c>
      <c r="AN166" s="53" t="s">
        <v>148</v>
      </c>
      <c r="AO166" s="53" t="s">
        <v>1094</v>
      </c>
      <c r="AP166" s="53" t="s">
        <v>1095</v>
      </c>
      <c r="AQ166" s="53" t="s">
        <v>2101</v>
      </c>
      <c r="AR166" s="53">
        <v>2</v>
      </c>
      <c r="AS166" s="83">
        <v>46120</v>
      </c>
      <c r="AT166" s="53"/>
      <c r="AU166" s="53"/>
    </row>
    <row r="167" spans="3:47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16"/>
        <v>0</v>
      </c>
      <c r="M167" s="26">
        <f t="shared" si="10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67" t="e">
        <f>SUMIFS([1]Up!$J:$J,[1]Up!$D:$D,D167)</f>
        <v>#VALUE!</v>
      </c>
      <c r="AK167" s="82"/>
      <c r="AL167" s="82" t="str">
        <f t="shared" si="17"/>
        <v>PL15</v>
      </c>
      <c r="AM167" s="53" t="str">
        <f t="shared" si="18"/>
        <v/>
      </c>
      <c r="AN167" s="53" t="s">
        <v>148</v>
      </c>
      <c r="AO167" s="53" t="s">
        <v>1094</v>
      </c>
      <c r="AP167" s="53" t="s">
        <v>1095</v>
      </c>
      <c r="AQ167" s="53" t="s">
        <v>2101</v>
      </c>
      <c r="AR167" s="53">
        <v>2</v>
      </c>
      <c r="AS167" s="83">
        <v>46120</v>
      </c>
      <c r="AT167" s="53"/>
      <c r="AU167" s="53"/>
    </row>
    <row r="168" spans="3:47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16"/>
        <v>0</v>
      </c>
      <c r="M168" s="26">
        <f t="shared" si="10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67" t="e">
        <f>SUMIFS([1]Up!$J:$J,[1]Up!$D:$D,D168)</f>
        <v>#VALUE!</v>
      </c>
      <c r="AK168" s="82"/>
      <c r="AL168" s="82" t="str">
        <f t="shared" si="17"/>
        <v>PL16</v>
      </c>
      <c r="AM168" s="53" t="str">
        <f t="shared" si="18"/>
        <v/>
      </c>
      <c r="AN168" s="53" t="s">
        <v>148</v>
      </c>
      <c r="AO168" s="53" t="s">
        <v>988</v>
      </c>
      <c r="AP168" s="53" t="s">
        <v>989</v>
      </c>
      <c r="AQ168" s="53" t="s">
        <v>2104</v>
      </c>
      <c r="AR168" s="53">
        <v>4</v>
      </c>
      <c r="AS168" s="83">
        <v>46120</v>
      </c>
      <c r="AT168" s="53"/>
      <c r="AU168" s="53"/>
    </row>
    <row r="169" spans="3:47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16"/>
        <v>0</v>
      </c>
      <c r="M169" s="26">
        <f t="shared" si="10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67" t="e">
        <f>SUMIFS([1]Up!$J:$J,[1]Up!$D:$D,D169)</f>
        <v>#VALUE!</v>
      </c>
      <c r="AK169" s="82"/>
      <c r="AL169" s="82" t="str">
        <f t="shared" si="17"/>
        <v>PL16</v>
      </c>
      <c r="AM169" s="53" t="str">
        <f t="shared" si="18"/>
        <v/>
      </c>
      <c r="AN169" s="53" t="s">
        <v>148</v>
      </c>
      <c r="AO169" s="53" t="s">
        <v>988</v>
      </c>
      <c r="AP169" s="53" t="s">
        <v>989</v>
      </c>
      <c r="AQ169" s="53" t="s">
        <v>2104</v>
      </c>
      <c r="AR169" s="53">
        <v>2</v>
      </c>
      <c r="AS169" s="83">
        <v>46120</v>
      </c>
      <c r="AT169" s="53"/>
      <c r="AU169" s="53"/>
    </row>
    <row r="170" spans="3:47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16"/>
        <v>0</v>
      </c>
      <c r="M170" s="26">
        <f t="shared" si="10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67" t="e">
        <f>SUMIFS([1]Up!$J:$J,[1]Up!$D:$D,D170)</f>
        <v>#VALUE!</v>
      </c>
      <c r="AK170" s="82"/>
      <c r="AL170" s="82" t="str">
        <f t="shared" si="17"/>
        <v>PL20</v>
      </c>
      <c r="AM170" s="53" t="str">
        <f t="shared" si="18"/>
        <v/>
      </c>
      <c r="AN170" s="53" t="s">
        <v>148</v>
      </c>
      <c r="AO170" s="53" t="s">
        <v>1100</v>
      </c>
      <c r="AP170" s="53" t="s">
        <v>1101</v>
      </c>
      <c r="AQ170" s="53" t="s">
        <v>2102</v>
      </c>
      <c r="AR170" s="53">
        <v>2</v>
      </c>
      <c r="AS170" s="83">
        <v>46303</v>
      </c>
      <c r="AT170" s="53"/>
      <c r="AU170" s="53"/>
    </row>
    <row r="171" spans="3:47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16"/>
        <v>0</v>
      </c>
      <c r="M171" s="26">
        <f t="shared" si="10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67" t="e">
        <f>SUMIFS([1]Up!$J:$J,[1]Up!$D:$D,D171)</f>
        <v>#VALUE!</v>
      </c>
      <c r="AK171" s="82"/>
      <c r="AL171" s="82" t="str">
        <f t="shared" si="17"/>
        <v/>
      </c>
      <c r="AM171" s="53" t="str">
        <f t="shared" si="18"/>
        <v/>
      </c>
      <c r="AN171" s="53" t="s">
        <v>148</v>
      </c>
      <c r="AO171" s="53" t="s">
        <v>1079</v>
      </c>
      <c r="AP171" s="53" t="s">
        <v>1076</v>
      </c>
      <c r="AQ171" s="53" t="s">
        <v>2105</v>
      </c>
      <c r="AR171" s="53">
        <v>5</v>
      </c>
      <c r="AS171" s="83">
        <v>46120</v>
      </c>
      <c r="AT171" s="53"/>
      <c r="AU171" s="53"/>
    </row>
    <row r="172" spans="3:47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16"/>
        <v>0</v>
      </c>
      <c r="M172" s="26">
        <f t="shared" si="10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67" t="e">
        <f>SUMIFS([1]Up!$J:$J,[1]Up!$D:$D,D172)</f>
        <v>#VALUE!</v>
      </c>
      <c r="AK172" s="82"/>
      <c r="AL172" s="82" t="str">
        <f t="shared" si="17"/>
        <v>PL8</v>
      </c>
      <c r="AM172" s="53" t="str">
        <f t="shared" si="18"/>
        <v/>
      </c>
      <c r="AN172" s="53" t="s">
        <v>154</v>
      </c>
      <c r="AO172" s="53" t="s">
        <v>1012</v>
      </c>
      <c r="AP172" s="53" t="s">
        <v>1013</v>
      </c>
      <c r="AQ172" s="53" t="s">
        <v>57</v>
      </c>
      <c r="AR172" s="53">
        <v>1</v>
      </c>
      <c r="AS172" s="83"/>
      <c r="AT172" s="53"/>
      <c r="AU172" s="53"/>
    </row>
    <row r="173" spans="3:47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16"/>
        <v>0</v>
      </c>
      <c r="M173" s="26">
        <f t="shared" si="10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67" t="e">
        <f>SUMIFS([1]Up!$J:$J,[1]Up!$D:$D,D173)</f>
        <v>#VALUE!</v>
      </c>
      <c r="AK173" s="82"/>
      <c r="AL173" s="82" t="str">
        <f t="shared" si="17"/>
        <v>PL8</v>
      </c>
      <c r="AM173" s="53" t="str">
        <f t="shared" si="18"/>
        <v/>
      </c>
      <c r="AN173" s="53" t="s">
        <v>148</v>
      </c>
      <c r="AO173" s="53" t="s">
        <v>1012</v>
      </c>
      <c r="AP173" s="53" t="s">
        <v>1013</v>
      </c>
      <c r="AQ173" s="53" t="s">
        <v>57</v>
      </c>
      <c r="AR173" s="53">
        <v>2</v>
      </c>
      <c r="AS173" s="83"/>
      <c r="AT173" s="53"/>
      <c r="AU173" s="53"/>
    </row>
    <row r="174" spans="3:47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16"/>
        <v>0</v>
      </c>
      <c r="M174" s="26">
        <f t="shared" si="10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67" t="e">
        <f>SUMIFS([1]Up!$J:$J,[1]Up!$D:$D,D174)</f>
        <v>#VALUE!</v>
      </c>
      <c r="AK174" s="82"/>
      <c r="AL174" s="82" t="str">
        <f t="shared" si="17"/>
        <v>PL8</v>
      </c>
      <c r="AM174" s="53" t="str">
        <f t="shared" si="18"/>
        <v/>
      </c>
      <c r="AN174" s="53" t="s">
        <v>148</v>
      </c>
      <c r="AO174" s="53" t="s">
        <v>1012</v>
      </c>
      <c r="AP174" s="53" t="s">
        <v>1013</v>
      </c>
      <c r="AQ174" s="53" t="s">
        <v>2124</v>
      </c>
      <c r="AR174" s="53">
        <v>2</v>
      </c>
      <c r="AS174" s="83">
        <v>46334</v>
      </c>
      <c r="AT174" s="53"/>
      <c r="AU174" s="53"/>
    </row>
    <row r="175" spans="3:47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16"/>
        <v>0</v>
      </c>
      <c r="M175" s="26">
        <f t="shared" si="10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67" t="e">
        <f>SUMIFS([1]Up!$J:$J,[1]Up!$D:$D,D175)</f>
        <v>#VALUE!</v>
      </c>
      <c r="AK175" s="82"/>
      <c r="AL175" s="82" t="str">
        <f t="shared" si="17"/>
        <v>PL15</v>
      </c>
      <c r="AM175" s="53" t="str">
        <f t="shared" si="18"/>
        <v/>
      </c>
      <c r="AN175" s="53" t="s">
        <v>148</v>
      </c>
      <c r="AO175" s="53" t="s">
        <v>1094</v>
      </c>
      <c r="AP175" s="53" t="s">
        <v>1095</v>
      </c>
      <c r="AQ175" s="53" t="s">
        <v>2101</v>
      </c>
      <c r="AR175" s="53">
        <v>2</v>
      </c>
      <c r="AS175" s="83">
        <v>46120</v>
      </c>
      <c r="AT175" s="53"/>
      <c r="AU175" s="53"/>
    </row>
    <row r="176" spans="3:47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16"/>
        <v>0</v>
      </c>
      <c r="M176" s="26">
        <f t="shared" si="10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67" t="e">
        <f>SUMIFS([1]Up!$J:$J,[1]Up!$D:$D,D176)</f>
        <v>#VALUE!</v>
      </c>
      <c r="AK176" s="82"/>
      <c r="AL176" s="82" t="str">
        <f t="shared" si="17"/>
        <v>PL15</v>
      </c>
      <c r="AM176" s="53" t="str">
        <f t="shared" si="18"/>
        <v/>
      </c>
      <c r="AN176" s="53" t="s">
        <v>148</v>
      </c>
      <c r="AO176" s="53" t="s">
        <v>1094</v>
      </c>
      <c r="AP176" s="53" t="s">
        <v>1095</v>
      </c>
      <c r="AQ176" s="53" t="s">
        <v>2101</v>
      </c>
      <c r="AR176" s="53">
        <v>2</v>
      </c>
      <c r="AS176" s="83">
        <v>46120</v>
      </c>
      <c r="AT176" s="53"/>
      <c r="AU176" s="53"/>
    </row>
    <row r="177" spans="3:47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16"/>
        <v>0</v>
      </c>
      <c r="M177" s="26">
        <f t="shared" si="10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67" t="e">
        <f>SUMIFS([1]Up!$J:$J,[1]Up!$D:$D,D177)</f>
        <v>#VALUE!</v>
      </c>
      <c r="AK177" s="82"/>
      <c r="AL177" s="82" t="str">
        <f t="shared" si="17"/>
        <v>PL20</v>
      </c>
      <c r="AM177" s="53" t="str">
        <f t="shared" si="18"/>
        <v/>
      </c>
      <c r="AN177" s="53" t="s">
        <v>148</v>
      </c>
      <c r="AO177" s="53" t="s">
        <v>1100</v>
      </c>
      <c r="AP177" s="53" t="s">
        <v>1101</v>
      </c>
      <c r="AQ177" s="53" t="s">
        <v>2102</v>
      </c>
      <c r="AR177" s="53">
        <v>2</v>
      </c>
      <c r="AS177" s="83">
        <v>46303</v>
      </c>
      <c r="AT177" s="53"/>
      <c r="AU177" s="53"/>
    </row>
    <row r="178" spans="3:47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16"/>
        <v>0</v>
      </c>
      <c r="M178" s="26">
        <f t="shared" si="10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67" t="e">
        <f>SUMIFS([1]Up!$J:$J,[1]Up!$D:$D,D178)</f>
        <v>#VALUE!</v>
      </c>
      <c r="AK178" s="82"/>
      <c r="AL178" s="82" t="str">
        <f t="shared" si="17"/>
        <v>PL15</v>
      </c>
      <c r="AM178" s="53" t="str">
        <f t="shared" si="18"/>
        <v/>
      </c>
      <c r="AN178" s="53" t="s">
        <v>148</v>
      </c>
      <c r="AO178" s="53" t="s">
        <v>1094</v>
      </c>
      <c r="AP178" s="53" t="s">
        <v>1095</v>
      </c>
      <c r="AQ178" s="53" t="s">
        <v>2101</v>
      </c>
      <c r="AR178" s="53">
        <v>2</v>
      </c>
      <c r="AS178" s="83">
        <v>46120</v>
      </c>
      <c r="AT178" s="53"/>
      <c r="AU178" s="53"/>
    </row>
    <row r="179" spans="3:47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16"/>
        <v>0</v>
      </c>
      <c r="M179" s="26">
        <f t="shared" si="10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67" t="e">
        <f>SUMIFS([1]Up!$J:$J,[1]Up!$D:$D,D179)</f>
        <v>#VALUE!</v>
      </c>
      <c r="AK179" s="82"/>
      <c r="AL179" s="82" t="str">
        <f t="shared" si="17"/>
        <v>PL5</v>
      </c>
      <c r="AM179" s="53" t="str">
        <f t="shared" si="18"/>
        <v/>
      </c>
      <c r="AN179" s="53" t="s">
        <v>148</v>
      </c>
      <c r="AO179" s="53" t="s">
        <v>1108</v>
      </c>
      <c r="AP179" s="53" t="s">
        <v>957</v>
      </c>
      <c r="AQ179" s="53" t="s">
        <v>2103</v>
      </c>
      <c r="AR179" s="53">
        <v>2</v>
      </c>
      <c r="AS179" s="83">
        <v>46120</v>
      </c>
      <c r="AT179" s="53"/>
      <c r="AU179" s="53"/>
    </row>
    <row r="180" spans="3:47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16"/>
        <v>0</v>
      </c>
      <c r="M180" s="26">
        <f t="shared" si="10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67" t="e">
        <f>SUMIFS([1]Up!$J:$J,[1]Up!$D:$D,D180)</f>
        <v>#VALUE!</v>
      </c>
      <c r="AK180" s="82"/>
      <c r="AL180" s="82" t="str">
        <f t="shared" si="17"/>
        <v>PL8</v>
      </c>
      <c r="AM180" s="53" t="str">
        <f t="shared" si="18"/>
        <v/>
      </c>
      <c r="AN180" s="53" t="s">
        <v>148</v>
      </c>
      <c r="AO180" s="53" t="s">
        <v>1012</v>
      </c>
      <c r="AP180" s="53" t="s">
        <v>1013</v>
      </c>
      <c r="AQ180" s="53" t="s">
        <v>57</v>
      </c>
      <c r="AR180" s="53">
        <v>3</v>
      </c>
      <c r="AS180" s="83"/>
      <c r="AT180" s="53"/>
      <c r="AU180" s="53"/>
    </row>
    <row r="181" spans="3:47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16"/>
        <v>0</v>
      </c>
      <c r="M181" s="26">
        <f t="shared" si="10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67" t="e">
        <f>SUMIFS([1]Up!$J:$J,[1]Up!$D:$D,D181)</f>
        <v>#VALUE!</v>
      </c>
      <c r="AK181" s="82"/>
      <c r="AL181" s="82" t="str">
        <f t="shared" si="17"/>
        <v>PL20</v>
      </c>
      <c r="AM181" s="53" t="str">
        <f t="shared" si="18"/>
        <v/>
      </c>
      <c r="AN181" s="53" t="s">
        <v>148</v>
      </c>
      <c r="AO181" s="53" t="s">
        <v>1100</v>
      </c>
      <c r="AP181" s="53" t="s">
        <v>1101</v>
      </c>
      <c r="AQ181" s="53" t="s">
        <v>2102</v>
      </c>
      <c r="AR181" s="53">
        <v>1</v>
      </c>
      <c r="AS181" s="83">
        <v>46303</v>
      </c>
      <c r="AT181" s="53"/>
      <c r="AU181" s="53"/>
    </row>
    <row r="182" spans="3:47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16"/>
        <v>0</v>
      </c>
      <c r="M182" s="26">
        <f t="shared" si="10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67" t="e">
        <f>SUMIFS([1]Up!$J:$J,[1]Up!$D:$D,D182)</f>
        <v>#VALUE!</v>
      </c>
      <c r="AK182" s="82"/>
      <c r="AL182" s="82" t="str">
        <f t="shared" si="17"/>
        <v>PL20</v>
      </c>
      <c r="AM182" s="53" t="str">
        <f t="shared" si="18"/>
        <v/>
      </c>
      <c r="AN182" s="53" t="s">
        <v>148</v>
      </c>
      <c r="AO182" s="53" t="s">
        <v>1100</v>
      </c>
      <c r="AP182" s="53" t="s">
        <v>1101</v>
      </c>
      <c r="AQ182" s="53" t="s">
        <v>2102</v>
      </c>
      <c r="AR182" s="53">
        <v>1</v>
      </c>
      <c r="AS182" s="83">
        <v>46303</v>
      </c>
      <c r="AT182" s="53"/>
      <c r="AU182" s="53"/>
    </row>
    <row r="183" spans="3:47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16"/>
        <v>0</v>
      </c>
      <c r="M183" s="26">
        <f t="shared" si="10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67" t="e">
        <f>SUMIFS([1]Up!$J:$J,[1]Up!$D:$D,D183)</f>
        <v>#VALUE!</v>
      </c>
      <c r="AK183" s="82"/>
      <c r="AL183" s="82" t="str">
        <f t="shared" si="17"/>
        <v>PL16</v>
      </c>
      <c r="AM183" s="53" t="str">
        <f t="shared" si="18"/>
        <v/>
      </c>
      <c r="AN183" s="53" t="s">
        <v>148</v>
      </c>
      <c r="AO183" s="53" t="s">
        <v>988</v>
      </c>
      <c r="AP183" s="53" t="s">
        <v>989</v>
      </c>
      <c r="AQ183" s="53" t="s">
        <v>2104</v>
      </c>
      <c r="AR183" s="53">
        <v>3</v>
      </c>
      <c r="AS183" s="83">
        <v>46120</v>
      </c>
      <c r="AT183" s="53"/>
      <c r="AU183" s="53"/>
    </row>
    <row r="184" spans="3:47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16"/>
        <v>0</v>
      </c>
      <c r="M184" s="26">
        <f t="shared" si="10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67" t="e">
        <f>SUMIFS([1]Up!$J:$J,[1]Up!$D:$D,D184)</f>
        <v>#VALUE!</v>
      </c>
      <c r="AK184" s="82"/>
      <c r="AL184" s="82" t="str">
        <f t="shared" si="17"/>
        <v>PL16</v>
      </c>
      <c r="AM184" s="53" t="str">
        <f t="shared" si="18"/>
        <v/>
      </c>
      <c r="AN184" s="53" t="s">
        <v>148</v>
      </c>
      <c r="AO184" s="53" t="s">
        <v>988</v>
      </c>
      <c r="AP184" s="53" t="s">
        <v>989</v>
      </c>
      <c r="AQ184" s="53" t="s">
        <v>2104</v>
      </c>
      <c r="AR184" s="53">
        <v>1</v>
      </c>
      <c r="AS184" s="83">
        <v>46120</v>
      </c>
      <c r="AT184" s="53"/>
      <c r="AU184" s="53"/>
    </row>
    <row r="185" spans="3:47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16"/>
        <v>0</v>
      </c>
      <c r="M185" s="26">
        <f t="shared" si="10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67" t="e">
        <f>SUMIFS([1]Up!$J:$J,[1]Up!$D:$D,D185)</f>
        <v>#VALUE!</v>
      </c>
      <c r="AK185" s="82"/>
      <c r="AL185" s="82" t="str">
        <f t="shared" si="17"/>
        <v>PL15</v>
      </c>
      <c r="AM185" s="53" t="str">
        <f t="shared" si="18"/>
        <v/>
      </c>
      <c r="AN185" s="53" t="s">
        <v>148</v>
      </c>
      <c r="AO185" s="53" t="s">
        <v>1094</v>
      </c>
      <c r="AP185" s="53" t="s">
        <v>1095</v>
      </c>
      <c r="AQ185" s="53" t="s">
        <v>2101</v>
      </c>
      <c r="AR185" s="53">
        <v>2</v>
      </c>
      <c r="AS185" s="83">
        <v>46120</v>
      </c>
      <c r="AT185" s="53"/>
      <c r="AU185" s="53"/>
    </row>
    <row r="186" spans="3:47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16"/>
        <v>0</v>
      </c>
      <c r="M186" s="26">
        <f t="shared" si="10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67" t="e">
        <f>SUMIFS([1]Up!$J:$J,[1]Up!$D:$D,D186)</f>
        <v>#VALUE!</v>
      </c>
      <c r="AK186" s="82"/>
      <c r="AL186" s="82" t="str">
        <f t="shared" si="17"/>
        <v>PL16</v>
      </c>
      <c r="AM186" s="53" t="str">
        <f t="shared" si="18"/>
        <v/>
      </c>
      <c r="AN186" s="53" t="s">
        <v>148</v>
      </c>
      <c r="AO186" s="53" t="s">
        <v>988</v>
      </c>
      <c r="AP186" s="53" t="s">
        <v>989</v>
      </c>
      <c r="AQ186" s="53" t="s">
        <v>2104</v>
      </c>
      <c r="AR186" s="53">
        <v>2</v>
      </c>
      <c r="AS186" s="83">
        <v>46120</v>
      </c>
      <c r="AT186" s="53"/>
      <c r="AU186" s="53"/>
    </row>
    <row r="187" spans="3:47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16"/>
        <v>0</v>
      </c>
      <c r="M187" s="26">
        <f t="shared" si="10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67" t="e">
        <f>SUMIFS([1]Up!$J:$J,[1]Up!$D:$D,D187)</f>
        <v>#VALUE!</v>
      </c>
      <c r="AK187" s="82"/>
      <c r="AL187" s="82" t="str">
        <f t="shared" si="17"/>
        <v>PL16</v>
      </c>
      <c r="AM187" s="53" t="str">
        <f t="shared" si="18"/>
        <v/>
      </c>
      <c r="AN187" s="53" t="s">
        <v>148</v>
      </c>
      <c r="AO187" s="53" t="s">
        <v>988</v>
      </c>
      <c r="AP187" s="53" t="s">
        <v>989</v>
      </c>
      <c r="AQ187" s="53" t="s">
        <v>2104</v>
      </c>
      <c r="AR187" s="53">
        <v>10</v>
      </c>
      <c r="AS187" s="83">
        <v>46120</v>
      </c>
      <c r="AT187" s="53"/>
      <c r="AU187" s="53"/>
    </row>
    <row r="188" spans="3:47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16"/>
        <v>4</v>
      </c>
      <c r="M188" s="26">
        <f t="shared" si="10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67" t="e">
        <f>SUMIFS([1]Up!$J:$J,[1]Up!$D:$D,D188)</f>
        <v>#VALUE!</v>
      </c>
      <c r="AK188" s="82"/>
      <c r="AL188" s="82" t="str">
        <f t="shared" si="17"/>
        <v/>
      </c>
      <c r="AM188" s="53" t="str">
        <f t="shared" si="18"/>
        <v/>
      </c>
      <c r="AN188" s="53" t="s">
        <v>148</v>
      </c>
      <c r="AO188" s="53" t="s">
        <v>1079</v>
      </c>
      <c r="AP188" s="53" t="s">
        <v>1076</v>
      </c>
      <c r="AQ188" s="53" t="s">
        <v>1290</v>
      </c>
      <c r="AR188" s="53">
        <v>4</v>
      </c>
      <c r="AS188" s="83">
        <v>46362</v>
      </c>
      <c r="AT188" s="53"/>
      <c r="AU188" s="53"/>
    </row>
    <row r="189" spans="3:47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16"/>
        <v>0</v>
      </c>
      <c r="M189" s="26">
        <f t="shared" si="10"/>
        <v>2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67" t="e">
        <f>SUMIFS([1]Up!$J:$J,[1]Up!$D:$D,D189)</f>
        <v>#VALUE!</v>
      </c>
      <c r="AK189" s="82"/>
      <c r="AL189" s="82" t="str">
        <f t="shared" si="17"/>
        <v/>
      </c>
      <c r="AM189" s="53" t="str">
        <f t="shared" si="18"/>
        <v/>
      </c>
      <c r="AN189" s="53" t="s">
        <v>154</v>
      </c>
      <c r="AO189" s="53" t="s">
        <v>1082</v>
      </c>
      <c r="AP189" s="53" t="s">
        <v>1081</v>
      </c>
      <c r="AQ189" s="53" t="s">
        <v>1292</v>
      </c>
      <c r="AR189" s="53">
        <v>2</v>
      </c>
      <c r="AS189" s="83">
        <v>46362</v>
      </c>
      <c r="AT189" s="53"/>
      <c r="AU189" s="53"/>
    </row>
    <row r="190" spans="3:47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16"/>
        <v>1</v>
      </c>
      <c r="M190" s="26">
        <f t="shared" si="10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67" t="e">
        <f>SUMIFS([1]Up!$J:$J,[1]Up!$D:$D,D190)</f>
        <v>#VALUE!</v>
      </c>
      <c r="AK190" s="82" t="s">
        <v>2232</v>
      </c>
      <c r="AL190" s="82" t="str">
        <f t="shared" si="17"/>
        <v>PL12</v>
      </c>
      <c r="AM190" s="53" t="str">
        <f t="shared" si="18"/>
        <v>Thừa 5</v>
      </c>
      <c r="AN190" s="53" t="s">
        <v>154</v>
      </c>
      <c r="AO190" s="53" t="s">
        <v>1021</v>
      </c>
      <c r="AP190" s="53" t="s">
        <v>1022</v>
      </c>
      <c r="AQ190" s="53" t="s">
        <v>57</v>
      </c>
      <c r="AR190" s="53">
        <v>1</v>
      </c>
      <c r="AS190" s="83"/>
      <c r="AT190" s="53"/>
      <c r="AU190" s="53"/>
    </row>
    <row r="191" spans="3:47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16"/>
        <v>2</v>
      </c>
      <c r="M191" s="26">
        <f t="shared" si="10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67" t="e">
        <f>SUMIFS([1]Up!$J:$J,[1]Up!$D:$D,D191)</f>
        <v>#VALUE!</v>
      </c>
      <c r="AK191" s="82"/>
      <c r="AL191" s="82" t="str">
        <f t="shared" si="17"/>
        <v>PL10</v>
      </c>
      <c r="AM191" s="53" t="str">
        <f t="shared" si="18"/>
        <v/>
      </c>
      <c r="AN191" s="53" t="s">
        <v>148</v>
      </c>
      <c r="AO191" s="53" t="s">
        <v>1005</v>
      </c>
      <c r="AP191" s="53" t="s">
        <v>1006</v>
      </c>
      <c r="AQ191" s="53" t="s">
        <v>1064</v>
      </c>
      <c r="AR191" s="53">
        <v>2</v>
      </c>
      <c r="AS191" s="83">
        <v>46088</v>
      </c>
      <c r="AT191" s="53"/>
      <c r="AU191" s="53"/>
    </row>
    <row r="192" spans="3:47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16"/>
        <v>4</v>
      </c>
      <c r="M192" s="26">
        <f t="shared" si="10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67" t="e">
        <f>SUMIFS([1]Up!$J:$J,[1]Up!$D:$D,D192)</f>
        <v>#VALUE!</v>
      </c>
      <c r="AK192" s="82"/>
      <c r="AL192" s="82" t="str">
        <f t="shared" si="17"/>
        <v>PL12</v>
      </c>
      <c r="AM192" s="53" t="str">
        <f t="shared" si="18"/>
        <v/>
      </c>
      <c r="AN192" s="53" t="s">
        <v>148</v>
      </c>
      <c r="AO192" s="53" t="s">
        <v>1021</v>
      </c>
      <c r="AP192" s="53" t="s">
        <v>1022</v>
      </c>
      <c r="AQ192" s="53" t="s">
        <v>1023</v>
      </c>
      <c r="AR192" s="53">
        <v>4</v>
      </c>
      <c r="AS192" s="83">
        <v>46088</v>
      </c>
      <c r="AT192" s="53"/>
      <c r="AU192" s="53"/>
    </row>
    <row r="193" spans="3:47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16"/>
        <v>4</v>
      </c>
      <c r="M193" s="26">
        <f t="shared" si="10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67" t="e">
        <f>SUMIFS([1]Up!$J:$J,[1]Up!$D:$D,D193)</f>
        <v>#VALUE!</v>
      </c>
      <c r="AK193" s="82"/>
      <c r="AL193" s="82" t="str">
        <f t="shared" si="17"/>
        <v>PL12</v>
      </c>
      <c r="AM193" s="53" t="str">
        <f t="shared" si="18"/>
        <v/>
      </c>
      <c r="AN193" s="53" t="s">
        <v>148</v>
      </c>
      <c r="AO193" s="53" t="s">
        <v>1021</v>
      </c>
      <c r="AP193" s="53" t="s">
        <v>1022</v>
      </c>
      <c r="AQ193" s="53" t="s">
        <v>1023</v>
      </c>
      <c r="AR193" s="53">
        <v>4</v>
      </c>
      <c r="AS193" s="83">
        <v>46088</v>
      </c>
      <c r="AT193" s="53"/>
      <c r="AU193" s="53"/>
    </row>
    <row r="194" spans="3:47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16"/>
        <v>8</v>
      </c>
      <c r="M194" s="26">
        <f t="shared" si="10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67" t="e">
        <f>SUMIFS([1]Up!$J:$J,[1]Up!$D:$D,D194)</f>
        <v>#VALUE!</v>
      </c>
      <c r="AK194" s="82"/>
      <c r="AL194" s="82" t="str">
        <f t="shared" si="17"/>
        <v>PL16</v>
      </c>
      <c r="AM194" s="53" t="str">
        <f t="shared" si="18"/>
        <v/>
      </c>
      <c r="AN194" s="53" t="s">
        <v>148</v>
      </c>
      <c r="AO194" s="53" t="s">
        <v>988</v>
      </c>
      <c r="AP194" s="53" t="s">
        <v>989</v>
      </c>
      <c r="AQ194" s="53" t="s">
        <v>990</v>
      </c>
      <c r="AR194" s="53">
        <v>8</v>
      </c>
      <c r="AS194" s="83" t="s">
        <v>2223</v>
      </c>
      <c r="AT194" s="53"/>
      <c r="AU194" s="53"/>
    </row>
    <row r="195" spans="3:47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16"/>
        <v>2</v>
      </c>
      <c r="M195" s="26">
        <f t="shared" si="10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67" t="e">
        <f>SUMIFS([1]Up!$J:$J,[1]Up!$D:$D,D195)</f>
        <v>#VALUE!</v>
      </c>
      <c r="AK195" s="82"/>
      <c r="AL195" s="82" t="str">
        <f t="shared" si="17"/>
        <v>PL15</v>
      </c>
      <c r="AM195" s="53" t="str">
        <f t="shared" si="18"/>
        <v/>
      </c>
      <c r="AN195" s="53" t="s">
        <v>148</v>
      </c>
      <c r="AO195" s="53" t="s">
        <v>1094</v>
      </c>
      <c r="AP195" s="53" t="s">
        <v>1095</v>
      </c>
      <c r="AQ195" s="53" t="s">
        <v>1304</v>
      </c>
      <c r="AR195" s="53">
        <v>2</v>
      </c>
      <c r="AS195" s="83">
        <v>46088</v>
      </c>
      <c r="AT195" s="53"/>
      <c r="AU195" s="53"/>
    </row>
    <row r="196" spans="3:47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16"/>
        <v>0</v>
      </c>
      <c r="M196" s="26">
        <f t="shared" si="10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67" t="e">
        <f>SUMIFS([1]Up!$J:$J,[1]Up!$D:$D,D196)</f>
        <v>#VALUE!</v>
      </c>
      <c r="AK196" s="82"/>
      <c r="AL196" s="82" t="str">
        <f t="shared" si="17"/>
        <v>PL10</v>
      </c>
      <c r="AM196" s="53" t="str">
        <f t="shared" si="18"/>
        <v/>
      </c>
      <c r="AN196" s="53" t="s">
        <v>154</v>
      </c>
      <c r="AO196" s="53" t="s">
        <v>1005</v>
      </c>
      <c r="AP196" s="53" t="s">
        <v>1006</v>
      </c>
      <c r="AQ196" s="53" t="s">
        <v>1064</v>
      </c>
      <c r="AR196" s="53">
        <v>1</v>
      </c>
      <c r="AS196" s="83">
        <v>46088</v>
      </c>
      <c r="AT196" s="53"/>
      <c r="AU196" s="53"/>
    </row>
    <row r="197" spans="3:47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16"/>
        <v>1</v>
      </c>
      <c r="M197" s="26">
        <f t="shared" si="10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67" t="e">
        <f>SUMIFS([1]Up!$J:$J,[1]Up!$D:$D,D197)</f>
        <v>#VALUE!</v>
      </c>
      <c r="AK197" s="82"/>
      <c r="AL197" s="82" t="str">
        <f t="shared" si="17"/>
        <v>PL20</v>
      </c>
      <c r="AM197" s="53" t="str">
        <f t="shared" si="18"/>
        <v/>
      </c>
      <c r="AN197" s="53" t="s">
        <v>148</v>
      </c>
      <c r="AO197" s="53" t="s">
        <v>1100</v>
      </c>
      <c r="AP197" s="53" t="s">
        <v>1101</v>
      </c>
      <c r="AQ197" s="53" t="s">
        <v>1308</v>
      </c>
      <c r="AR197" s="53">
        <v>1</v>
      </c>
      <c r="AS197" s="83">
        <v>46242</v>
      </c>
      <c r="AT197" s="53"/>
      <c r="AU197" s="53"/>
    </row>
    <row r="198" spans="3:47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16"/>
        <v>1</v>
      </c>
      <c r="M198" s="26">
        <f t="shared" si="10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67" t="e">
        <f>SUMIFS([1]Up!$J:$J,[1]Up!$D:$D,D198)</f>
        <v>#VALUE!</v>
      </c>
      <c r="AK198" s="82"/>
      <c r="AL198" s="82" t="str">
        <f t="shared" si="17"/>
        <v>PL20</v>
      </c>
      <c r="AM198" s="53" t="str">
        <f t="shared" si="18"/>
        <v/>
      </c>
      <c r="AN198" s="53" t="s">
        <v>148</v>
      </c>
      <c r="AO198" s="53" t="s">
        <v>1100</v>
      </c>
      <c r="AP198" s="53" t="s">
        <v>1101</v>
      </c>
      <c r="AQ198" s="53" t="s">
        <v>1308</v>
      </c>
      <c r="AR198" s="53">
        <v>1</v>
      </c>
      <c r="AS198" s="83">
        <v>46242</v>
      </c>
      <c r="AT198" s="53"/>
      <c r="AU198" s="53"/>
    </row>
    <row r="199" spans="3:47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16"/>
        <v>1</v>
      </c>
      <c r="M199" s="26">
        <f t="shared" si="10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67" t="e">
        <f>SUMIFS([1]Up!$J:$J,[1]Up!$D:$D,D199)</f>
        <v>#VALUE!</v>
      </c>
      <c r="AK199" s="82"/>
      <c r="AL199" s="82" t="str">
        <f t="shared" si="17"/>
        <v>PL10</v>
      </c>
      <c r="AM199" s="53" t="str">
        <f t="shared" si="18"/>
        <v/>
      </c>
      <c r="AN199" s="53" t="s">
        <v>148</v>
      </c>
      <c r="AO199" s="53" t="s">
        <v>1005</v>
      </c>
      <c r="AP199" s="53" t="s">
        <v>1006</v>
      </c>
      <c r="AQ199" s="53" t="s">
        <v>1064</v>
      </c>
      <c r="AR199" s="53">
        <v>1</v>
      </c>
      <c r="AS199" s="83">
        <v>46088</v>
      </c>
      <c r="AT199" s="53"/>
      <c r="AU199" s="53"/>
    </row>
    <row r="200" spans="3:47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16"/>
        <v>2</v>
      </c>
      <c r="M200" s="26">
        <f t="shared" si="10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67" t="e">
        <f>SUMIFS([1]Up!$J:$J,[1]Up!$D:$D,D200)</f>
        <v>#VALUE!</v>
      </c>
      <c r="AK200" s="82"/>
      <c r="AL200" s="82" t="str">
        <f t="shared" si="17"/>
        <v>PL5</v>
      </c>
      <c r="AM200" s="53" t="str">
        <f t="shared" si="18"/>
        <v/>
      </c>
      <c r="AN200" s="53" t="s">
        <v>148</v>
      </c>
      <c r="AO200" s="53" t="s">
        <v>1108</v>
      </c>
      <c r="AP200" s="53" t="s">
        <v>957</v>
      </c>
      <c r="AQ200" s="53" t="s">
        <v>1313</v>
      </c>
      <c r="AR200" s="53">
        <v>2</v>
      </c>
      <c r="AS200" s="83" t="s">
        <v>2223</v>
      </c>
      <c r="AT200" s="53"/>
      <c r="AU200" s="53"/>
    </row>
    <row r="201" spans="3:47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16"/>
        <v>4</v>
      </c>
      <c r="M201" s="26">
        <f t="shared" si="10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67" t="e">
        <f>SUMIFS([1]Up!$J:$J,[1]Up!$D:$D,D201)</f>
        <v>#VALUE!</v>
      </c>
      <c r="AK201" s="82"/>
      <c r="AL201" s="82" t="str">
        <f t="shared" si="17"/>
        <v>PL12</v>
      </c>
      <c r="AM201" s="53" t="str">
        <f t="shared" si="18"/>
        <v/>
      </c>
      <c r="AN201" s="53" t="s">
        <v>148</v>
      </c>
      <c r="AO201" s="53" t="s">
        <v>1021</v>
      </c>
      <c r="AP201" s="53" t="s">
        <v>1022</v>
      </c>
      <c r="AQ201" s="53" t="s">
        <v>1023</v>
      </c>
      <c r="AR201" s="53">
        <v>4</v>
      </c>
      <c r="AS201" s="83">
        <v>46088</v>
      </c>
      <c r="AT201" s="53"/>
      <c r="AU201" s="53"/>
    </row>
    <row r="202" spans="3:47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16"/>
        <v>2</v>
      </c>
      <c r="M202" s="26">
        <f t="shared" si="10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67" t="e">
        <f>SUMIFS([1]Up!$J:$J,[1]Up!$D:$D,D202)</f>
        <v>#VALUE!</v>
      </c>
      <c r="AK202" s="82"/>
      <c r="AL202" s="82" t="str">
        <f t="shared" si="17"/>
        <v>PL12</v>
      </c>
      <c r="AM202" s="53" t="str">
        <f t="shared" si="18"/>
        <v/>
      </c>
      <c r="AN202" s="53" t="s">
        <v>148</v>
      </c>
      <c r="AO202" s="53" t="s">
        <v>1021</v>
      </c>
      <c r="AP202" s="53" t="s">
        <v>1022</v>
      </c>
      <c r="AQ202" s="53" t="s">
        <v>1023</v>
      </c>
      <c r="AR202" s="53">
        <v>2</v>
      </c>
      <c r="AS202" s="83">
        <v>46088</v>
      </c>
      <c r="AT202" s="53"/>
      <c r="AU202" s="53"/>
    </row>
    <row r="203" spans="3:47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16"/>
        <v>1</v>
      </c>
      <c r="M203" s="26">
        <f t="shared" si="10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67" t="e">
        <f>SUMIFS([1]Up!$J:$J,[1]Up!$D:$D,D203)</f>
        <v>#VALUE!</v>
      </c>
      <c r="AK203" s="82"/>
      <c r="AL203" s="82" t="str">
        <f t="shared" si="17"/>
        <v>PL20</v>
      </c>
      <c r="AM203" s="53" t="str">
        <f t="shared" si="18"/>
        <v/>
      </c>
      <c r="AN203" s="53" t="s">
        <v>148</v>
      </c>
      <c r="AO203" s="53" t="s">
        <v>1100</v>
      </c>
      <c r="AP203" s="53" t="s">
        <v>1101</v>
      </c>
      <c r="AQ203" s="53" t="s">
        <v>1318</v>
      </c>
      <c r="AR203" s="53">
        <v>1</v>
      </c>
      <c r="AS203" s="83">
        <v>46242</v>
      </c>
      <c r="AT203" s="53"/>
      <c r="AU203" s="53"/>
    </row>
    <row r="204" spans="3:47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16"/>
        <v>2</v>
      </c>
      <c r="M204" s="26">
        <f t="shared" si="10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67" t="e">
        <f>SUMIFS([1]Up!$J:$J,[1]Up!$D:$D,D204)</f>
        <v>#VALUE!</v>
      </c>
      <c r="AK204" s="82"/>
      <c r="AL204" s="82" t="str">
        <f t="shared" si="17"/>
        <v>PL12</v>
      </c>
      <c r="AM204" s="53" t="str">
        <f t="shared" si="18"/>
        <v/>
      </c>
      <c r="AN204" s="53" t="s">
        <v>148</v>
      </c>
      <c r="AO204" s="53" t="s">
        <v>1021</v>
      </c>
      <c r="AP204" s="53" t="s">
        <v>1022</v>
      </c>
      <c r="AQ204" s="53" t="s">
        <v>1023</v>
      </c>
      <c r="AR204" s="53">
        <v>2</v>
      </c>
      <c r="AS204" s="83">
        <v>46088</v>
      </c>
      <c r="AT204" s="53"/>
      <c r="AU204" s="53"/>
    </row>
    <row r="205" spans="3:47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16"/>
        <v>0</v>
      </c>
      <c r="M205" s="26">
        <f t="shared" si="10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67" t="e">
        <f>SUMIFS([1]Up!$J:$J,[1]Up!$D:$D,D205)</f>
        <v>#VALUE!</v>
      </c>
      <c r="AK205" s="82"/>
      <c r="AL205" s="82" t="str">
        <f t="shared" si="17"/>
        <v>PL10</v>
      </c>
      <c r="AM205" s="53" t="str">
        <f t="shared" si="18"/>
        <v/>
      </c>
      <c r="AN205" s="53" t="s">
        <v>154</v>
      </c>
      <c r="AO205" s="53" t="s">
        <v>1005</v>
      </c>
      <c r="AP205" s="53" t="s">
        <v>1006</v>
      </c>
      <c r="AQ205" s="53" t="s">
        <v>1064</v>
      </c>
      <c r="AR205" s="53">
        <v>2</v>
      </c>
      <c r="AS205" s="83">
        <v>46088</v>
      </c>
      <c r="AT205" s="53"/>
      <c r="AU205" s="53"/>
    </row>
    <row r="206" spans="3:47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16"/>
        <v>1</v>
      </c>
      <c r="M206" s="26">
        <f t="shared" si="10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67" t="e">
        <f>SUMIFS([1]Up!$J:$J,[1]Up!$D:$D,D206)</f>
        <v>#VALUE!</v>
      </c>
      <c r="AK206" s="82" t="s">
        <v>2071</v>
      </c>
      <c r="AL206" s="82" t="str">
        <f t="shared" si="17"/>
        <v>PL12</v>
      </c>
      <c r="AM206" s="53" t="str">
        <f t="shared" si="18"/>
        <v>Thừa 4</v>
      </c>
      <c r="AN206" s="53" t="s">
        <v>154</v>
      </c>
      <c r="AO206" s="53" t="s">
        <v>1021</v>
      </c>
      <c r="AP206" s="53" t="s">
        <v>1022</v>
      </c>
      <c r="AQ206" s="53" t="s">
        <v>57</v>
      </c>
      <c r="AR206" s="53">
        <v>1</v>
      </c>
      <c r="AS206" s="83"/>
      <c r="AT206" s="53"/>
      <c r="AU206" s="53"/>
    </row>
    <row r="207" spans="3:47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16"/>
        <v>2</v>
      </c>
      <c r="M207" s="26">
        <f t="shared" si="10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67" t="e">
        <f>SUMIFS([1]Up!$J:$J,[1]Up!$D:$D,D207)</f>
        <v>#VALUE!</v>
      </c>
      <c r="AK207" s="82"/>
      <c r="AL207" s="82" t="str">
        <f t="shared" si="17"/>
        <v>PL12</v>
      </c>
      <c r="AM207" s="53" t="str">
        <f t="shared" si="18"/>
        <v/>
      </c>
      <c r="AN207" s="53" t="s">
        <v>148</v>
      </c>
      <c r="AO207" s="53" t="s">
        <v>1021</v>
      </c>
      <c r="AP207" s="53" t="s">
        <v>1022</v>
      </c>
      <c r="AQ207" s="53" t="s">
        <v>1023</v>
      </c>
      <c r="AR207" s="53">
        <v>2</v>
      </c>
      <c r="AS207" s="83">
        <v>46088</v>
      </c>
      <c r="AT207" s="53"/>
      <c r="AU207" s="53"/>
    </row>
    <row r="208" spans="3:47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16"/>
        <v>2</v>
      </c>
      <c r="M208" s="26">
        <f t="shared" si="10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67" t="e">
        <f>SUMIFS([1]Up!$J:$J,[1]Up!$D:$D,D208)</f>
        <v>#VALUE!</v>
      </c>
      <c r="AK208" s="82"/>
      <c r="AL208" s="82" t="str">
        <f t="shared" si="17"/>
        <v>PL12</v>
      </c>
      <c r="AM208" s="53" t="str">
        <f t="shared" si="18"/>
        <v/>
      </c>
      <c r="AN208" s="53" t="s">
        <v>148</v>
      </c>
      <c r="AO208" s="53" t="s">
        <v>1021</v>
      </c>
      <c r="AP208" s="53" t="s">
        <v>1022</v>
      </c>
      <c r="AQ208" s="53" t="s">
        <v>1023</v>
      </c>
      <c r="AR208" s="53">
        <v>2</v>
      </c>
      <c r="AS208" s="83">
        <v>46088</v>
      </c>
      <c r="AT208" s="53"/>
      <c r="AU208" s="53"/>
    </row>
    <row r="209" spans="3:47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16"/>
        <v>2</v>
      </c>
      <c r="M209" s="26">
        <f t="shared" si="10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67" t="e">
        <f>SUMIFS([1]Up!$J:$J,[1]Up!$D:$D,D209)</f>
        <v>#VALUE!</v>
      </c>
      <c r="AK209" s="82"/>
      <c r="AL209" s="82" t="str">
        <f t="shared" si="17"/>
        <v>PL15</v>
      </c>
      <c r="AM209" s="53" t="str">
        <f t="shared" si="18"/>
        <v/>
      </c>
      <c r="AN209" s="53" t="s">
        <v>148</v>
      </c>
      <c r="AO209" s="53" t="s">
        <v>1094</v>
      </c>
      <c r="AP209" s="53" t="s">
        <v>1095</v>
      </c>
      <c r="AQ209" s="53" t="s">
        <v>1304</v>
      </c>
      <c r="AR209" s="53">
        <v>2</v>
      </c>
      <c r="AS209" s="83">
        <v>46088</v>
      </c>
      <c r="AT209" s="53"/>
      <c r="AU209" s="53"/>
    </row>
    <row r="210" spans="3:47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16"/>
        <v>1</v>
      </c>
      <c r="M210" s="26">
        <f t="shared" si="10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67" t="e">
        <f>SUMIFS([1]Up!$J:$J,[1]Up!$D:$D,D210)</f>
        <v>#VALUE!</v>
      </c>
      <c r="AK210" s="82"/>
      <c r="AL210" s="82" t="str">
        <f t="shared" si="17"/>
        <v>PL15</v>
      </c>
      <c r="AM210" s="53" t="str">
        <f t="shared" si="18"/>
        <v/>
      </c>
      <c r="AN210" s="53" t="s">
        <v>148</v>
      </c>
      <c r="AO210" s="53" t="s">
        <v>1094</v>
      </c>
      <c r="AP210" s="53" t="s">
        <v>1095</v>
      </c>
      <c r="AQ210" s="53" t="s">
        <v>1304</v>
      </c>
      <c r="AR210" s="53">
        <v>1</v>
      </c>
      <c r="AS210" s="83">
        <v>46088</v>
      </c>
      <c r="AT210" s="53"/>
      <c r="AU210" s="53"/>
    </row>
    <row r="211" spans="3:47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16"/>
        <v>4</v>
      </c>
      <c r="M211" s="26">
        <f t="shared" si="10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67" t="e">
        <f>SUMIFS([1]Up!$J:$J,[1]Up!$D:$D,D211)</f>
        <v>#VALUE!</v>
      </c>
      <c r="AK211" s="82"/>
      <c r="AL211" s="82" t="str">
        <f t="shared" si="17"/>
        <v>PL12</v>
      </c>
      <c r="AM211" s="53" t="str">
        <f t="shared" si="18"/>
        <v/>
      </c>
      <c r="AN211" s="53" t="s">
        <v>148</v>
      </c>
      <c r="AO211" s="53" t="s">
        <v>1021</v>
      </c>
      <c r="AP211" s="53" t="s">
        <v>1022</v>
      </c>
      <c r="AQ211" s="53" t="s">
        <v>1023</v>
      </c>
      <c r="AR211" s="53">
        <v>4</v>
      </c>
      <c r="AS211" s="83">
        <v>46088</v>
      </c>
      <c r="AT211" s="53"/>
      <c r="AU211" s="53"/>
    </row>
    <row r="212" spans="3:47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16"/>
        <v>1</v>
      </c>
      <c r="M212" s="26">
        <f t="shared" si="10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67" t="e">
        <f>SUMIFS([1]Up!$J:$J,[1]Up!$D:$D,D212)</f>
        <v>#VALUE!</v>
      </c>
      <c r="AK212" s="82" t="s">
        <v>2071</v>
      </c>
      <c r="AL212" s="82" t="str">
        <f t="shared" si="17"/>
        <v>PL12</v>
      </c>
      <c r="AM212" s="53" t="str">
        <f t="shared" si="18"/>
        <v>Thừa 4</v>
      </c>
      <c r="AN212" s="53" t="s">
        <v>154</v>
      </c>
      <c r="AO212" s="53" t="s">
        <v>1021</v>
      </c>
      <c r="AP212" s="53" t="s">
        <v>1022</v>
      </c>
      <c r="AQ212" s="53" t="s">
        <v>57</v>
      </c>
      <c r="AR212" s="53">
        <v>1</v>
      </c>
      <c r="AS212" s="83"/>
      <c r="AT212" s="53"/>
      <c r="AU212" s="53"/>
    </row>
    <row r="213" spans="3:47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16"/>
        <v>2</v>
      </c>
      <c r="M213" s="26">
        <f t="shared" si="10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67" t="e">
        <f>SUMIFS([1]Up!$J:$J,[1]Up!$D:$D,D213)</f>
        <v>#VALUE!</v>
      </c>
      <c r="AK213" s="82"/>
      <c r="AL213" s="82" t="str">
        <f t="shared" si="17"/>
        <v>PL15</v>
      </c>
      <c r="AM213" s="53" t="str">
        <f t="shared" si="18"/>
        <v/>
      </c>
      <c r="AN213" s="53" t="s">
        <v>148</v>
      </c>
      <c r="AO213" s="53" t="s">
        <v>1094</v>
      </c>
      <c r="AP213" s="53" t="s">
        <v>1095</v>
      </c>
      <c r="AQ213" s="53" t="s">
        <v>1304</v>
      </c>
      <c r="AR213" s="53">
        <v>2</v>
      </c>
      <c r="AS213" s="83">
        <v>46088</v>
      </c>
      <c r="AT213" s="53"/>
      <c r="AU213" s="53"/>
    </row>
    <row r="214" spans="3:47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16"/>
        <v>2</v>
      </c>
      <c r="M214" s="26">
        <f t="shared" si="10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67" t="e">
        <f>SUMIFS([1]Up!$J:$J,[1]Up!$D:$D,D214)</f>
        <v>#VALUE!</v>
      </c>
      <c r="AK214" s="82"/>
      <c r="AL214" s="82" t="str">
        <f t="shared" si="17"/>
        <v>PL20</v>
      </c>
      <c r="AM214" s="53" t="str">
        <f t="shared" si="18"/>
        <v/>
      </c>
      <c r="AN214" s="53" t="s">
        <v>148</v>
      </c>
      <c r="AO214" s="53" t="s">
        <v>1100</v>
      </c>
      <c r="AP214" s="53" t="s">
        <v>1101</v>
      </c>
      <c r="AQ214" s="53" t="s">
        <v>1308</v>
      </c>
      <c r="AR214" s="53">
        <v>2</v>
      </c>
      <c r="AS214" s="83">
        <v>46242</v>
      </c>
      <c r="AT214" s="53"/>
      <c r="AU214" s="53"/>
    </row>
    <row r="215" spans="3:47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16"/>
        <v>1</v>
      </c>
      <c r="M215" s="26">
        <f t="shared" si="10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67" t="e">
        <f>SUMIFS([1]Up!$J:$J,[1]Up!$D:$D,D215)</f>
        <v>#VALUE!</v>
      </c>
      <c r="AK215" s="82"/>
      <c r="AL215" s="82" t="str">
        <f t="shared" si="17"/>
        <v>PL20</v>
      </c>
      <c r="AM215" s="53" t="str">
        <f t="shared" si="18"/>
        <v/>
      </c>
      <c r="AN215" s="53" t="s">
        <v>148</v>
      </c>
      <c r="AO215" s="53" t="s">
        <v>1100</v>
      </c>
      <c r="AP215" s="53" t="s">
        <v>1101</v>
      </c>
      <c r="AQ215" s="53" t="s">
        <v>1318</v>
      </c>
      <c r="AR215" s="53">
        <v>1</v>
      </c>
      <c r="AS215" s="83">
        <v>46242</v>
      </c>
      <c r="AT215" s="53"/>
      <c r="AU215" s="53"/>
    </row>
    <row r="216" spans="3:47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16"/>
        <v>0</v>
      </c>
      <c r="M216" s="26">
        <f t="shared" si="10"/>
        <v>5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67" t="e">
        <f>SUMIFS([1]Up!$J:$J,[1]Up!$D:$D,D216)</f>
        <v>#VALUE!</v>
      </c>
      <c r="AK216" s="82"/>
      <c r="AL216" s="82" t="str">
        <f t="shared" si="17"/>
        <v/>
      </c>
      <c r="AM216" s="53" t="str">
        <f t="shared" si="18"/>
        <v/>
      </c>
      <c r="AN216" s="53" t="s">
        <v>154</v>
      </c>
      <c r="AO216" s="53" t="s">
        <v>1082</v>
      </c>
      <c r="AP216" s="53" t="s">
        <v>1081</v>
      </c>
      <c r="AQ216" s="53" t="s">
        <v>1292</v>
      </c>
      <c r="AR216" s="53">
        <v>5</v>
      </c>
      <c r="AS216" s="83">
        <v>46362</v>
      </c>
      <c r="AT216" s="53"/>
      <c r="AU216" s="53"/>
    </row>
    <row r="217" spans="3:47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16"/>
        <v>1</v>
      </c>
      <c r="M217" s="26">
        <f t="shared" si="10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67" t="e">
        <f>SUMIFS([1]Up!$J:$J,[1]Up!$D:$D,D217)</f>
        <v>#VALUE!</v>
      </c>
      <c r="AK217" s="82"/>
      <c r="AL217" s="82" t="str">
        <f t="shared" si="17"/>
        <v/>
      </c>
      <c r="AM217" s="53" t="str">
        <f t="shared" si="18"/>
        <v/>
      </c>
      <c r="AN217" s="53" t="s">
        <v>154</v>
      </c>
      <c r="AO217" s="53"/>
      <c r="AP217" s="53" t="s">
        <v>1129</v>
      </c>
      <c r="AQ217" s="53" t="s">
        <v>1339</v>
      </c>
      <c r="AR217" s="53">
        <v>1</v>
      </c>
      <c r="AS217" s="83" t="s">
        <v>2224</v>
      </c>
      <c r="AT217" s="53"/>
      <c r="AU217" s="53"/>
    </row>
    <row r="218" spans="3:47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16"/>
        <v>1</v>
      </c>
      <c r="M218" s="26">
        <f t="shared" si="10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67" t="e">
        <f>SUMIFS([1]Up!$J:$J,[1]Up!$D:$D,D218)</f>
        <v>#VALUE!</v>
      </c>
      <c r="AK218" s="82" t="s">
        <v>2085</v>
      </c>
      <c r="AL218" s="82" t="str">
        <f t="shared" si="17"/>
        <v>PL12</v>
      </c>
      <c r="AM218" s="53" t="str">
        <f t="shared" si="18"/>
        <v>Thừa 4</v>
      </c>
      <c r="AN218" s="53" t="s">
        <v>154</v>
      </c>
      <c r="AO218" s="53" t="s">
        <v>1021</v>
      </c>
      <c r="AP218" s="53" t="s">
        <v>1022</v>
      </c>
      <c r="AQ218" s="53" t="s">
        <v>57</v>
      </c>
      <c r="AR218" s="53">
        <v>1</v>
      </c>
      <c r="AS218" s="83"/>
      <c r="AT218" s="53"/>
      <c r="AU218" s="53"/>
    </row>
    <row r="219" spans="3:47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16"/>
        <v>1</v>
      </c>
      <c r="M219" s="26">
        <f t="shared" si="1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67" t="e">
        <f>SUMIFS([1]Up!$J:$J,[1]Up!$D:$D,D219)</f>
        <v>#VALUE!</v>
      </c>
      <c r="AK219" s="82"/>
      <c r="AL219" s="82" t="str">
        <f t="shared" si="17"/>
        <v>PL20</v>
      </c>
      <c r="AM219" s="53" t="str">
        <f t="shared" si="18"/>
        <v/>
      </c>
      <c r="AN219" s="53" t="s">
        <v>148</v>
      </c>
      <c r="AO219" s="53" t="s">
        <v>1100</v>
      </c>
      <c r="AP219" s="53" t="s">
        <v>1101</v>
      </c>
      <c r="AQ219" s="53" t="s">
        <v>1318</v>
      </c>
      <c r="AR219" s="53">
        <v>1</v>
      </c>
      <c r="AS219" s="83">
        <v>46242</v>
      </c>
      <c r="AT219" s="53"/>
      <c r="AU219" s="53"/>
    </row>
    <row r="220" spans="3:47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16"/>
        <v>4</v>
      </c>
      <c r="M220" s="26">
        <f t="shared" si="10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67" t="e">
        <f>SUMIFS([1]Up!$J:$J,[1]Up!$D:$D,D220)</f>
        <v>#VALUE!</v>
      </c>
      <c r="AK220" s="82"/>
      <c r="AL220" s="82" t="str">
        <f t="shared" si="17"/>
        <v>PL12</v>
      </c>
      <c r="AM220" s="53" t="str">
        <f t="shared" si="18"/>
        <v/>
      </c>
      <c r="AN220" s="53" t="s">
        <v>148</v>
      </c>
      <c r="AO220" s="53" t="s">
        <v>1021</v>
      </c>
      <c r="AP220" s="53" t="s">
        <v>1022</v>
      </c>
      <c r="AQ220" s="53" t="s">
        <v>1023</v>
      </c>
      <c r="AR220" s="53">
        <v>4</v>
      </c>
      <c r="AS220" s="83">
        <v>46088</v>
      </c>
      <c r="AT220" s="53"/>
      <c r="AU220" s="53"/>
    </row>
    <row r="221" spans="3:47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16"/>
        <v>0</v>
      </c>
      <c r="M221" s="26">
        <f t="shared" si="10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67" t="e">
        <f>SUMIFS([1]Up!$J:$J,[1]Up!$D:$D,D221)</f>
        <v>#VALUE!</v>
      </c>
      <c r="AK221" s="82"/>
      <c r="AL221" s="82" t="str">
        <f t="shared" si="17"/>
        <v>PL10</v>
      </c>
      <c r="AM221" s="53" t="str">
        <f t="shared" si="18"/>
        <v/>
      </c>
      <c r="AN221" s="53" t="s">
        <v>154</v>
      </c>
      <c r="AO221" s="53" t="s">
        <v>1005</v>
      </c>
      <c r="AP221" s="53" t="s">
        <v>1006</v>
      </c>
      <c r="AQ221" s="53" t="s">
        <v>1345</v>
      </c>
      <c r="AR221" s="53">
        <v>1</v>
      </c>
      <c r="AS221" s="83" t="s">
        <v>2224</v>
      </c>
      <c r="AT221" s="53"/>
      <c r="AU221" s="53"/>
    </row>
    <row r="222" spans="3:47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19">MIN(SUM(N222:AI222),I222)</f>
        <v>0</v>
      </c>
      <c r="M222" s="26">
        <f t="shared" si="10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67" t="e">
        <f>SUMIFS([1]Up!$J:$J,[1]Up!$D:$D,D222)</f>
        <v>#VALUE!</v>
      </c>
      <c r="AK222" s="82"/>
      <c r="AL222" s="82" t="str">
        <f t="shared" ref="AL222:AL285" si="20">IFERROR(IF(C222="Plate",LEFT(E222,FIND("*",E222,1)-1),""),IF(C222="Plate",LEFT(E222,FIND("x",E222,1)-1),""))</f>
        <v>PL10</v>
      </c>
      <c r="AM222" s="53" t="str">
        <f t="shared" ref="AM222:AM285" si="21">IF(ROUND(SUM(N222:AI222)-I222,0)&gt;0,"Thừa "&amp;SUM(N222:AI222)-I222,"")</f>
        <v/>
      </c>
      <c r="AN222" s="53" t="s">
        <v>154</v>
      </c>
      <c r="AO222" s="53" t="s">
        <v>1005</v>
      </c>
      <c r="AP222" s="53" t="s">
        <v>1006</v>
      </c>
      <c r="AQ222" s="53" t="s">
        <v>1345</v>
      </c>
      <c r="AR222" s="53">
        <v>1</v>
      </c>
      <c r="AS222" s="83" t="s">
        <v>2224</v>
      </c>
      <c r="AT222" s="53"/>
      <c r="AU222" s="53"/>
    </row>
    <row r="223" spans="3:47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19"/>
        <v>0</v>
      </c>
      <c r="M223" s="26">
        <f t="shared" si="10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67" t="e">
        <f>SUMIFS([1]Up!$J:$J,[1]Up!$D:$D,D223)</f>
        <v>#VALUE!</v>
      </c>
      <c r="AK223" s="82"/>
      <c r="AL223" s="82" t="str">
        <f t="shared" si="20"/>
        <v>PL10</v>
      </c>
      <c r="AM223" s="53" t="str">
        <f t="shared" si="21"/>
        <v/>
      </c>
      <c r="AN223" s="53" t="s">
        <v>154</v>
      </c>
      <c r="AO223" s="53" t="s">
        <v>1005</v>
      </c>
      <c r="AP223" s="53" t="s">
        <v>1006</v>
      </c>
      <c r="AQ223" s="53" t="s">
        <v>1064</v>
      </c>
      <c r="AR223" s="53">
        <v>1</v>
      </c>
      <c r="AS223" s="83">
        <v>46088</v>
      </c>
      <c r="AT223" s="53"/>
      <c r="AU223" s="53"/>
    </row>
    <row r="224" spans="3:47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19"/>
        <v>2</v>
      </c>
      <c r="M224" s="26">
        <f t="shared" si="10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67" t="e">
        <f>SUMIFS([1]Up!$J:$J,[1]Up!$D:$D,D224)</f>
        <v>#VALUE!</v>
      </c>
      <c r="AK224" s="82"/>
      <c r="AL224" s="82" t="str">
        <f t="shared" si="20"/>
        <v>PL10</v>
      </c>
      <c r="AM224" s="53" t="str">
        <f t="shared" si="21"/>
        <v/>
      </c>
      <c r="AN224" s="53" t="s">
        <v>148</v>
      </c>
      <c r="AO224" s="53" t="s">
        <v>1005</v>
      </c>
      <c r="AP224" s="53" t="s">
        <v>1006</v>
      </c>
      <c r="AQ224" s="53" t="s">
        <v>1064</v>
      </c>
      <c r="AR224" s="53">
        <v>2</v>
      </c>
      <c r="AS224" s="83">
        <v>46088</v>
      </c>
      <c r="AT224" s="53"/>
      <c r="AU224" s="53"/>
    </row>
    <row r="225" spans="3:48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19"/>
        <v>1</v>
      </c>
      <c r="M225" s="26">
        <f t="shared" si="10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67" t="e">
        <f>SUMIFS([1]Up!$J:$J,[1]Up!$D:$D,D225)</f>
        <v>#VALUE!</v>
      </c>
      <c r="AK225" s="82"/>
      <c r="AL225" s="82" t="str">
        <f t="shared" si="20"/>
        <v>PL10</v>
      </c>
      <c r="AM225" s="53" t="str">
        <f t="shared" si="21"/>
        <v/>
      </c>
      <c r="AN225" s="53" t="s">
        <v>148</v>
      </c>
      <c r="AO225" s="53" t="s">
        <v>1005</v>
      </c>
      <c r="AP225" s="53" t="s">
        <v>1006</v>
      </c>
      <c r="AQ225" s="53" t="s">
        <v>1064</v>
      </c>
      <c r="AR225" s="53">
        <v>1</v>
      </c>
      <c r="AS225" s="83">
        <v>46088</v>
      </c>
      <c r="AT225" s="53"/>
      <c r="AU225" s="53"/>
    </row>
    <row r="226" spans="3:48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19"/>
        <v>1</v>
      </c>
      <c r="M226" s="26">
        <f t="shared" si="10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67" t="e">
        <f>SUMIFS([1]Up!$J:$J,[1]Up!$D:$D,D226)</f>
        <v>#VALUE!</v>
      </c>
      <c r="AK226" s="82"/>
      <c r="AL226" s="82" t="str">
        <f t="shared" si="20"/>
        <v>PL15</v>
      </c>
      <c r="AM226" s="53" t="str">
        <f t="shared" si="21"/>
        <v/>
      </c>
      <c r="AN226" s="53" t="s">
        <v>148</v>
      </c>
      <c r="AO226" s="53" t="s">
        <v>1094</v>
      </c>
      <c r="AP226" s="53" t="s">
        <v>1095</v>
      </c>
      <c r="AQ226" s="53" t="s">
        <v>1304</v>
      </c>
      <c r="AR226" s="53">
        <v>1</v>
      </c>
      <c r="AS226" s="83">
        <v>46088</v>
      </c>
      <c r="AT226" s="53"/>
      <c r="AU226" s="53"/>
    </row>
    <row r="227" spans="3:48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19"/>
        <v>1</v>
      </c>
      <c r="M227" s="26">
        <f t="shared" si="10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67" t="e">
        <f>SUMIFS([1]Up!$J:$J,[1]Up!$D:$D,D227)</f>
        <v>#VALUE!</v>
      </c>
      <c r="AK227" s="82"/>
      <c r="AL227" s="82" t="str">
        <f t="shared" si="20"/>
        <v>PL15</v>
      </c>
      <c r="AM227" s="53" t="str">
        <f t="shared" si="21"/>
        <v/>
      </c>
      <c r="AN227" s="53" t="s">
        <v>148</v>
      </c>
      <c r="AO227" s="53" t="s">
        <v>1094</v>
      </c>
      <c r="AP227" s="53" t="s">
        <v>1095</v>
      </c>
      <c r="AQ227" s="53" t="s">
        <v>1304</v>
      </c>
      <c r="AR227" s="53">
        <v>1</v>
      </c>
      <c r="AS227" s="83">
        <v>46088</v>
      </c>
      <c r="AT227" s="53"/>
      <c r="AU227" s="53"/>
    </row>
    <row r="228" spans="3:48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19"/>
        <v>1</v>
      </c>
      <c r="M228" s="26">
        <f t="shared" si="10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67" t="e">
        <f>SUMIFS([1]Up!$J:$J,[1]Up!$D:$D,D228)</f>
        <v>#VALUE!</v>
      </c>
      <c r="AK228" s="82"/>
      <c r="AL228" s="82" t="str">
        <f t="shared" si="20"/>
        <v>PL10</v>
      </c>
      <c r="AM228" s="53" t="str">
        <f t="shared" si="21"/>
        <v/>
      </c>
      <c r="AN228" s="53" t="s">
        <v>154</v>
      </c>
      <c r="AO228" s="53" t="s">
        <v>1005</v>
      </c>
      <c r="AP228" s="53" t="s">
        <v>1006</v>
      </c>
      <c r="AQ228" s="53" t="s">
        <v>1064</v>
      </c>
      <c r="AR228" s="53">
        <v>1</v>
      </c>
      <c r="AS228" s="83">
        <v>46088</v>
      </c>
      <c r="AT228" s="53"/>
      <c r="AU228" s="53"/>
    </row>
    <row r="229" spans="3:48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19"/>
        <v>0</v>
      </c>
      <c r="M229" s="26">
        <f t="shared" si="10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67" t="e">
        <f>SUMIFS([1]Up!$J:$J,[1]Up!$D:$D,D229)</f>
        <v>#VALUE!</v>
      </c>
      <c r="AK229" s="82"/>
      <c r="AL229" s="82" t="str">
        <f t="shared" si="20"/>
        <v/>
      </c>
      <c r="AM229" s="53" t="str">
        <f t="shared" si="21"/>
        <v/>
      </c>
      <c r="AN229" s="53" t="s">
        <v>148</v>
      </c>
      <c r="AO229" s="53" t="s">
        <v>1079</v>
      </c>
      <c r="AP229" s="53" t="s">
        <v>1076</v>
      </c>
      <c r="AQ229" s="84" t="s">
        <v>2162</v>
      </c>
      <c r="AR229" s="53">
        <v>16</v>
      </c>
      <c r="AS229" s="83" t="s">
        <v>2225</v>
      </c>
      <c r="AT229" s="53"/>
      <c r="AU229" s="53"/>
      <c r="AV229" s="238"/>
    </row>
    <row r="230" spans="3:48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19"/>
        <v>0</v>
      </c>
      <c r="M230" s="26">
        <f t="shared" si="10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67" t="e">
        <f>SUMIFS([1]Up!$J:$J,[1]Up!$D:$D,D230)</f>
        <v>#VALUE!</v>
      </c>
      <c r="AK230" s="82"/>
      <c r="AL230" s="82" t="str">
        <f t="shared" si="20"/>
        <v/>
      </c>
      <c r="AM230" s="53" t="str">
        <f t="shared" si="21"/>
        <v/>
      </c>
      <c r="AN230" s="53" t="s">
        <v>154</v>
      </c>
      <c r="AO230" s="53" t="s">
        <v>1082</v>
      </c>
      <c r="AP230" s="53" t="s">
        <v>1081</v>
      </c>
      <c r="AQ230" s="84" t="s">
        <v>2163</v>
      </c>
      <c r="AR230" s="53">
        <v>8</v>
      </c>
      <c r="AS230" s="83" t="s">
        <v>2225</v>
      </c>
      <c r="AT230" s="53"/>
      <c r="AU230" s="53"/>
      <c r="AV230" s="238"/>
    </row>
    <row r="231" spans="3:48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19"/>
        <v>0</v>
      </c>
      <c r="M231" s="26">
        <f t="shared" si="10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67" t="e">
        <f>SUMIFS([1]Up!$J:$J,[1]Up!$D:$D,D231)</f>
        <v>#VALUE!</v>
      </c>
      <c r="AK231" s="82"/>
      <c r="AL231" s="82" t="str">
        <f t="shared" si="20"/>
        <v>PL12</v>
      </c>
      <c r="AM231" s="53" t="str">
        <f t="shared" si="21"/>
        <v/>
      </c>
      <c r="AN231" s="53" t="s">
        <v>154</v>
      </c>
      <c r="AO231" s="53" t="s">
        <v>1021</v>
      </c>
      <c r="AP231" s="53" t="s">
        <v>1022</v>
      </c>
      <c r="AQ231" s="53" t="s">
        <v>57</v>
      </c>
      <c r="AR231" s="53">
        <v>4</v>
      </c>
      <c r="AS231" s="83"/>
      <c r="AT231" s="53"/>
      <c r="AU231" s="53"/>
    </row>
    <row r="232" spans="3:48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19"/>
        <v>0</v>
      </c>
      <c r="M232" s="26">
        <f t="shared" si="10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67" t="e">
        <f>SUMIFS([1]Up!$J:$J,[1]Up!$D:$D,D232)</f>
        <v>#VALUE!</v>
      </c>
      <c r="AK232" s="82"/>
      <c r="AL232" s="82" t="str">
        <f t="shared" si="20"/>
        <v>PL10</v>
      </c>
      <c r="AM232" s="53" t="str">
        <f t="shared" si="21"/>
        <v/>
      </c>
      <c r="AN232" s="53" t="s">
        <v>148</v>
      </c>
      <c r="AO232" s="53" t="s">
        <v>1005</v>
      </c>
      <c r="AP232" s="53" t="s">
        <v>1006</v>
      </c>
      <c r="AQ232" s="84" t="s">
        <v>2157</v>
      </c>
      <c r="AR232" s="53">
        <v>8</v>
      </c>
      <c r="AS232" s="83">
        <v>46302</v>
      </c>
      <c r="AT232" s="53"/>
      <c r="AU232" s="53"/>
      <c r="AV232" s="238"/>
    </row>
    <row r="233" spans="3:48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19"/>
        <v>0</v>
      </c>
      <c r="M233" s="26">
        <f t="shared" si="10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67" t="e">
        <f>SUMIFS([1]Up!$J:$J,[1]Up!$D:$D,D233)</f>
        <v>#VALUE!</v>
      </c>
      <c r="AK233" s="82"/>
      <c r="AL233" s="82" t="str">
        <f t="shared" si="20"/>
        <v>PL12</v>
      </c>
      <c r="AM233" s="53" t="str">
        <f t="shared" si="21"/>
        <v/>
      </c>
      <c r="AN233" s="53" t="s">
        <v>148</v>
      </c>
      <c r="AO233" s="53" t="s">
        <v>1021</v>
      </c>
      <c r="AP233" s="53" t="s">
        <v>1022</v>
      </c>
      <c r="AQ233" s="84" t="s">
        <v>2160</v>
      </c>
      <c r="AR233" s="53">
        <v>16</v>
      </c>
      <c r="AS233" s="83">
        <v>46302</v>
      </c>
      <c r="AT233" s="53"/>
      <c r="AU233" s="53"/>
      <c r="AV233" s="238"/>
    </row>
    <row r="234" spans="3:48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19"/>
        <v>0</v>
      </c>
      <c r="M234" s="26">
        <f t="shared" si="10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67" t="e">
        <f>SUMIFS([1]Up!$J:$J,[1]Up!$D:$D,D234)</f>
        <v>#VALUE!</v>
      </c>
      <c r="AK234" s="82"/>
      <c r="AL234" s="82" t="str">
        <f t="shared" si="20"/>
        <v>PL12</v>
      </c>
      <c r="AM234" s="53" t="str">
        <f t="shared" si="21"/>
        <v/>
      </c>
      <c r="AN234" s="53" t="s">
        <v>148</v>
      </c>
      <c r="AO234" s="53" t="s">
        <v>1021</v>
      </c>
      <c r="AP234" s="53" t="s">
        <v>1022</v>
      </c>
      <c r="AQ234" s="84" t="s">
        <v>2160</v>
      </c>
      <c r="AR234" s="53">
        <v>16</v>
      </c>
      <c r="AS234" s="83">
        <v>46302</v>
      </c>
      <c r="AT234" s="53"/>
      <c r="AU234" s="53"/>
      <c r="AV234" s="238"/>
    </row>
    <row r="235" spans="3:48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19"/>
        <v>0</v>
      </c>
      <c r="M235" s="26">
        <f t="shared" si="10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67" t="e">
        <f>SUMIFS([1]Up!$J:$J,[1]Up!$D:$D,D235)</f>
        <v>#VALUE!</v>
      </c>
      <c r="AK235" s="82"/>
      <c r="AL235" s="82" t="str">
        <f t="shared" si="20"/>
        <v>PL16</v>
      </c>
      <c r="AM235" s="53" t="str">
        <f t="shared" si="21"/>
        <v/>
      </c>
      <c r="AN235" s="53" t="s">
        <v>148</v>
      </c>
      <c r="AO235" s="53" t="s">
        <v>988</v>
      </c>
      <c r="AP235" s="53" t="s">
        <v>989</v>
      </c>
      <c r="AQ235" s="84" t="s">
        <v>2161</v>
      </c>
      <c r="AR235" s="53">
        <v>32</v>
      </c>
      <c r="AS235" s="83" t="s">
        <v>2226</v>
      </c>
      <c r="AT235" s="53"/>
      <c r="AU235" s="53"/>
      <c r="AV235" s="238"/>
    </row>
    <row r="236" spans="3:48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19"/>
        <v>0</v>
      </c>
      <c r="M236" s="26">
        <f t="shared" si="10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67" t="e">
        <f>SUMIFS([1]Up!$J:$J,[1]Up!$D:$D,D236)</f>
        <v>#VALUE!</v>
      </c>
      <c r="AK236" s="82"/>
      <c r="AL236" s="82" t="str">
        <f t="shared" si="20"/>
        <v>PL15</v>
      </c>
      <c r="AM236" s="53" t="str">
        <f t="shared" si="21"/>
        <v/>
      </c>
      <c r="AN236" s="53" t="s">
        <v>148</v>
      </c>
      <c r="AO236" s="53" t="s">
        <v>1094</v>
      </c>
      <c r="AP236" s="53" t="s">
        <v>1095</v>
      </c>
      <c r="AQ236" s="84" t="s">
        <v>2156</v>
      </c>
      <c r="AR236" s="53">
        <v>8</v>
      </c>
      <c r="AS236" s="83" t="s">
        <v>2225</v>
      </c>
      <c r="AT236" s="53"/>
      <c r="AU236" s="53"/>
      <c r="AV236" s="238"/>
    </row>
    <row r="237" spans="3:48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19"/>
        <v>0</v>
      </c>
      <c r="M237" s="26">
        <f t="shared" si="10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67" t="e">
        <f>SUMIFS([1]Up!$J:$J,[1]Up!$D:$D,D237)</f>
        <v>#VALUE!</v>
      </c>
      <c r="AK237" s="82"/>
      <c r="AL237" s="82" t="str">
        <f t="shared" si="20"/>
        <v>PL10</v>
      </c>
      <c r="AM237" s="53" t="str">
        <f t="shared" si="21"/>
        <v/>
      </c>
      <c r="AN237" s="53" t="s">
        <v>154</v>
      </c>
      <c r="AO237" s="53" t="s">
        <v>1005</v>
      </c>
      <c r="AP237" s="53" t="s">
        <v>1006</v>
      </c>
      <c r="AQ237" s="84" t="s">
        <v>2157</v>
      </c>
      <c r="AR237" s="53">
        <v>4</v>
      </c>
      <c r="AS237" s="83">
        <v>46302</v>
      </c>
      <c r="AT237" s="53"/>
      <c r="AU237" s="53"/>
      <c r="AV237" s="238"/>
    </row>
    <row r="238" spans="3:48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19"/>
        <v>0</v>
      </c>
      <c r="M238" s="26">
        <f t="shared" si="10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67" t="e">
        <f>SUMIFS([1]Up!$J:$J,[1]Up!$D:$D,D238)</f>
        <v>#VALUE!</v>
      </c>
      <c r="AK238" s="82"/>
      <c r="AL238" s="82" t="str">
        <f t="shared" si="20"/>
        <v>PL20</v>
      </c>
      <c r="AM238" s="53" t="str">
        <f t="shared" si="21"/>
        <v/>
      </c>
      <c r="AN238" s="53" t="s">
        <v>148</v>
      </c>
      <c r="AO238" s="53" t="s">
        <v>1100</v>
      </c>
      <c r="AP238" s="53" t="s">
        <v>1101</v>
      </c>
      <c r="AQ238" s="84" t="s">
        <v>2158</v>
      </c>
      <c r="AR238" s="53">
        <v>4</v>
      </c>
      <c r="AS238" s="83">
        <v>46242</v>
      </c>
      <c r="AT238" s="53"/>
      <c r="AU238" s="53"/>
      <c r="AV238" s="238"/>
    </row>
    <row r="239" spans="3:48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19"/>
        <v>0</v>
      </c>
      <c r="M239" s="26">
        <f t="shared" si="10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67" t="e">
        <f>SUMIFS([1]Up!$J:$J,[1]Up!$D:$D,D239)</f>
        <v>#VALUE!</v>
      </c>
      <c r="AK239" s="82"/>
      <c r="AL239" s="82" t="str">
        <f t="shared" si="20"/>
        <v>PL20</v>
      </c>
      <c r="AM239" s="53" t="str">
        <f t="shared" si="21"/>
        <v/>
      </c>
      <c r="AN239" s="53" t="s">
        <v>148</v>
      </c>
      <c r="AO239" s="53" t="s">
        <v>1100</v>
      </c>
      <c r="AP239" s="53" t="s">
        <v>1101</v>
      </c>
      <c r="AQ239" s="84" t="s">
        <v>2158</v>
      </c>
      <c r="AR239" s="53">
        <v>4</v>
      </c>
      <c r="AS239" s="83">
        <v>46242</v>
      </c>
      <c r="AT239" s="53"/>
      <c r="AU239" s="53"/>
      <c r="AV239" s="238"/>
    </row>
    <row r="240" spans="3:48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19"/>
        <v>0</v>
      </c>
      <c r="M240" s="26">
        <f t="shared" si="10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67" t="e">
        <f>SUMIFS([1]Up!$J:$J,[1]Up!$D:$D,D240)</f>
        <v>#VALUE!</v>
      </c>
      <c r="AK240" s="82"/>
      <c r="AL240" s="82" t="str">
        <f t="shared" si="20"/>
        <v>PL10</v>
      </c>
      <c r="AM240" s="53" t="str">
        <f t="shared" si="21"/>
        <v/>
      </c>
      <c r="AN240" s="53" t="s">
        <v>148</v>
      </c>
      <c r="AO240" s="53" t="s">
        <v>1005</v>
      </c>
      <c r="AP240" s="53" t="s">
        <v>1006</v>
      </c>
      <c r="AQ240" s="84" t="s">
        <v>2157</v>
      </c>
      <c r="AR240" s="53">
        <v>4</v>
      </c>
      <c r="AS240" s="83">
        <v>46302</v>
      </c>
      <c r="AT240" s="53"/>
      <c r="AU240" s="53"/>
      <c r="AV240" s="238"/>
    </row>
    <row r="241" spans="3:48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19"/>
        <v>0</v>
      </c>
      <c r="M241" s="26">
        <f t="shared" si="10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67" t="e">
        <f>SUMIFS([1]Up!$J:$J,[1]Up!$D:$D,D241)</f>
        <v>#VALUE!</v>
      </c>
      <c r="AK241" s="82"/>
      <c r="AL241" s="82" t="str">
        <f t="shared" si="20"/>
        <v>PL5</v>
      </c>
      <c r="AM241" s="53" t="str">
        <f t="shared" si="21"/>
        <v/>
      </c>
      <c r="AN241" s="53" t="s">
        <v>148</v>
      </c>
      <c r="AO241" s="53" t="s">
        <v>1108</v>
      </c>
      <c r="AP241" s="53" t="s">
        <v>957</v>
      </c>
      <c r="AQ241" s="84" t="s">
        <v>2159</v>
      </c>
      <c r="AR241" s="53">
        <v>8</v>
      </c>
      <c r="AS241" s="83">
        <v>46302</v>
      </c>
      <c r="AT241" s="53"/>
      <c r="AU241" s="53"/>
      <c r="AV241" s="238"/>
    </row>
    <row r="242" spans="3:48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19"/>
        <v>0</v>
      </c>
      <c r="M242" s="26">
        <f t="shared" si="10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67" t="e">
        <f>SUMIFS([1]Up!$J:$J,[1]Up!$D:$D,D242)</f>
        <v>#VALUE!</v>
      </c>
      <c r="AK242" s="82"/>
      <c r="AL242" s="82" t="str">
        <f t="shared" si="20"/>
        <v>PL12</v>
      </c>
      <c r="AM242" s="53" t="str">
        <f t="shared" si="21"/>
        <v/>
      </c>
      <c r="AN242" s="53" t="s">
        <v>148</v>
      </c>
      <c r="AO242" s="53" t="s">
        <v>1021</v>
      </c>
      <c r="AP242" s="53" t="s">
        <v>1022</v>
      </c>
      <c r="AQ242" s="84" t="s">
        <v>2160</v>
      </c>
      <c r="AR242" s="53">
        <v>16</v>
      </c>
      <c r="AS242" s="83">
        <v>46302</v>
      </c>
      <c r="AT242" s="53"/>
      <c r="AU242" s="53"/>
      <c r="AV242" s="238"/>
    </row>
    <row r="243" spans="3:48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19"/>
        <v>0</v>
      </c>
      <c r="M243" s="26">
        <f t="shared" si="10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67" t="e">
        <f>SUMIFS([1]Up!$J:$J,[1]Up!$D:$D,D243)</f>
        <v>#VALUE!</v>
      </c>
      <c r="AK243" s="82"/>
      <c r="AL243" s="82" t="str">
        <f t="shared" si="20"/>
        <v>PL12</v>
      </c>
      <c r="AM243" s="53" t="str">
        <f t="shared" si="21"/>
        <v/>
      </c>
      <c r="AN243" s="53" t="s">
        <v>148</v>
      </c>
      <c r="AO243" s="53" t="s">
        <v>1021</v>
      </c>
      <c r="AP243" s="53" t="s">
        <v>1022</v>
      </c>
      <c r="AQ243" s="84" t="s">
        <v>2160</v>
      </c>
      <c r="AR243" s="53">
        <v>8</v>
      </c>
      <c r="AS243" s="83">
        <v>46302</v>
      </c>
      <c r="AT243" s="53"/>
      <c r="AU243" s="53"/>
      <c r="AV243" s="238"/>
    </row>
    <row r="244" spans="3:48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19"/>
        <v>10</v>
      </c>
      <c r="M244" s="26">
        <f t="shared" si="10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67" t="e">
        <f>SUMIFS([1]Up!$J:$J,[1]Up!$D:$D,D244)</f>
        <v>#VALUE!</v>
      </c>
      <c r="AK244" s="82"/>
      <c r="AL244" s="82" t="str">
        <f t="shared" si="20"/>
        <v>PL20</v>
      </c>
      <c r="AM244" s="53" t="str">
        <f t="shared" si="21"/>
        <v/>
      </c>
      <c r="AN244" s="53" t="s">
        <v>148</v>
      </c>
      <c r="AO244" s="53" t="s">
        <v>1100</v>
      </c>
      <c r="AP244" s="53" t="s">
        <v>1101</v>
      </c>
      <c r="AQ244" s="53" t="s">
        <v>2167</v>
      </c>
      <c r="AR244" s="53">
        <v>4</v>
      </c>
      <c r="AS244" s="83" t="s">
        <v>2227</v>
      </c>
      <c r="AT244" s="53"/>
      <c r="AU244" s="53"/>
    </row>
    <row r="245" spans="3:48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19"/>
        <v>0</v>
      </c>
      <c r="M245" s="26">
        <f t="shared" si="10"/>
        <v>2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67" t="e">
        <f>SUMIFS([1]Up!$J:$J,[1]Up!$D:$D,D245)</f>
        <v>#VALUE!</v>
      </c>
      <c r="AK245" s="82"/>
      <c r="AL245" s="82" t="str">
        <f t="shared" si="20"/>
        <v>PL12</v>
      </c>
      <c r="AM245" s="53" t="str">
        <f t="shared" si="21"/>
        <v/>
      </c>
      <c r="AN245" s="53" t="s">
        <v>154</v>
      </c>
      <c r="AO245" s="53" t="s">
        <v>1021</v>
      </c>
      <c r="AP245" s="53" t="s">
        <v>1022</v>
      </c>
      <c r="AQ245" s="53" t="s">
        <v>57</v>
      </c>
      <c r="AR245" s="53">
        <v>4</v>
      </c>
      <c r="AS245" s="83"/>
      <c r="AT245" s="53"/>
      <c r="AU245" s="53"/>
    </row>
    <row r="246" spans="3:48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19"/>
        <v>0</v>
      </c>
      <c r="M246" s="26">
        <f t="shared" si="10"/>
        <v>4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67" t="e">
        <f>SUMIFS([1]Up!$J:$J,[1]Up!$D:$D,D246)</f>
        <v>#VALUE!</v>
      </c>
      <c r="AK246" s="82"/>
      <c r="AL246" s="82" t="str">
        <f t="shared" si="20"/>
        <v>PL15</v>
      </c>
      <c r="AM246" s="53" t="str">
        <f t="shared" si="21"/>
        <v/>
      </c>
      <c r="AN246" s="53" t="s">
        <v>148</v>
      </c>
      <c r="AO246" s="53" t="s">
        <v>1094</v>
      </c>
      <c r="AP246" s="53" t="s">
        <v>1095</v>
      </c>
      <c r="AQ246" s="84" t="s">
        <v>2156</v>
      </c>
      <c r="AR246" s="53">
        <v>8</v>
      </c>
      <c r="AS246" s="83" t="s">
        <v>2225</v>
      </c>
      <c r="AT246" s="53"/>
      <c r="AU246" s="53"/>
      <c r="AV246" s="238"/>
    </row>
    <row r="247" spans="3:48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19"/>
        <v>0</v>
      </c>
      <c r="M247" s="26">
        <f t="shared" si="10"/>
        <v>4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67" t="e">
        <f>SUMIFS([1]Up!$J:$J,[1]Up!$D:$D,D247)</f>
        <v>#VALUE!</v>
      </c>
      <c r="AK247" s="82"/>
      <c r="AL247" s="82" t="str">
        <f t="shared" si="20"/>
        <v>PL20</v>
      </c>
      <c r="AM247" s="53" t="str">
        <f t="shared" si="21"/>
        <v/>
      </c>
      <c r="AN247" s="53" t="s">
        <v>148</v>
      </c>
      <c r="AO247" s="53" t="s">
        <v>1100</v>
      </c>
      <c r="AP247" s="53" t="s">
        <v>1101</v>
      </c>
      <c r="AQ247" s="84" t="s">
        <v>2158</v>
      </c>
      <c r="AR247" s="53">
        <v>8</v>
      </c>
      <c r="AS247" s="83">
        <v>46242</v>
      </c>
      <c r="AT247" s="53"/>
      <c r="AU247" s="53"/>
      <c r="AV247" s="238"/>
    </row>
    <row r="248" spans="3:48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19"/>
        <v>0</v>
      </c>
      <c r="M248" s="26">
        <f t="shared" si="10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67" t="e">
        <f>SUMIFS([1]Up!$J:$J,[1]Up!$D:$D,D248)</f>
        <v>#VALUE!</v>
      </c>
      <c r="AK248" s="82"/>
      <c r="AL248" s="82" t="str">
        <f t="shared" si="20"/>
        <v/>
      </c>
      <c r="AM248" s="53" t="str">
        <f t="shared" si="21"/>
        <v/>
      </c>
      <c r="AN248" s="53" t="s">
        <v>154</v>
      </c>
      <c r="AO248" s="53" t="s">
        <v>1082</v>
      </c>
      <c r="AP248" s="53" t="s">
        <v>1081</v>
      </c>
      <c r="AQ248" s="84" t="s">
        <v>2163</v>
      </c>
      <c r="AR248" s="53">
        <v>20</v>
      </c>
      <c r="AS248" s="83" t="s">
        <v>2225</v>
      </c>
      <c r="AT248" s="53"/>
      <c r="AU248" s="53"/>
      <c r="AV248" s="238"/>
    </row>
    <row r="249" spans="3:48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19"/>
        <v>0</v>
      </c>
      <c r="M249" s="26">
        <f t="shared" si="10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67" t="e">
        <f>SUMIFS([1]Up!$J:$J,[1]Up!$D:$D,D249)</f>
        <v>#VALUE!</v>
      </c>
      <c r="AK249" s="82"/>
      <c r="AL249" s="82" t="str">
        <f t="shared" si="20"/>
        <v/>
      </c>
      <c r="AM249" s="53" t="str">
        <f t="shared" si="21"/>
        <v/>
      </c>
      <c r="AN249" s="53" t="s">
        <v>154</v>
      </c>
      <c r="AO249" s="53"/>
      <c r="AP249" s="53" t="s">
        <v>1129</v>
      </c>
      <c r="AQ249" s="84" t="s">
        <v>2169</v>
      </c>
      <c r="AR249" s="53">
        <v>4</v>
      </c>
      <c r="AS249" s="83" t="s">
        <v>2225</v>
      </c>
      <c r="AT249" s="53"/>
      <c r="AU249" s="53"/>
      <c r="AV249" s="238"/>
    </row>
    <row r="250" spans="3:48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19"/>
        <v>0</v>
      </c>
      <c r="M250" s="26">
        <f t="shared" si="10"/>
        <v>2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67" t="e">
        <f>SUMIFS([1]Up!$J:$J,[1]Up!$D:$D,D250)</f>
        <v>#VALUE!</v>
      </c>
      <c r="AK250" s="82"/>
      <c r="AL250" s="82" t="str">
        <f t="shared" si="20"/>
        <v>PL12</v>
      </c>
      <c r="AM250" s="53" t="str">
        <f t="shared" si="21"/>
        <v/>
      </c>
      <c r="AN250" s="53" t="s">
        <v>154</v>
      </c>
      <c r="AO250" s="53" t="s">
        <v>1021</v>
      </c>
      <c r="AP250" s="53" t="s">
        <v>1022</v>
      </c>
      <c r="AQ250" s="53" t="s">
        <v>57</v>
      </c>
      <c r="AR250" s="53">
        <v>4</v>
      </c>
      <c r="AS250" s="83"/>
      <c r="AT250" s="53"/>
      <c r="AU250" s="53"/>
    </row>
    <row r="251" spans="3:48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19"/>
        <v>0</v>
      </c>
      <c r="M251" s="26">
        <f t="shared" si="10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67" t="e">
        <f>SUMIFS([1]Up!$J:$J,[1]Up!$D:$D,D251)</f>
        <v>#VALUE!</v>
      </c>
      <c r="AK251" s="82"/>
      <c r="AL251" s="82" t="str">
        <f t="shared" si="20"/>
        <v>PL20</v>
      </c>
      <c r="AM251" s="53" t="str">
        <f t="shared" si="21"/>
        <v/>
      </c>
      <c r="AN251" s="53" t="s">
        <v>148</v>
      </c>
      <c r="AO251" s="53" t="s">
        <v>1100</v>
      </c>
      <c r="AP251" s="53" t="s">
        <v>1101</v>
      </c>
      <c r="AQ251" s="84" t="s">
        <v>2165</v>
      </c>
      <c r="AR251" s="53">
        <v>4</v>
      </c>
      <c r="AS251" s="83">
        <v>46242</v>
      </c>
      <c r="AT251" s="53"/>
      <c r="AU251" s="53"/>
      <c r="AV251" s="238"/>
    </row>
    <row r="252" spans="3:48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19"/>
        <v>8</v>
      </c>
      <c r="M252" s="26">
        <f t="shared" si="10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67" t="e">
        <f>SUMIFS([1]Up!$J:$J,[1]Up!$D:$D,D252)</f>
        <v>#VALUE!</v>
      </c>
      <c r="AK252" s="82"/>
      <c r="AL252" s="82" t="str">
        <f t="shared" si="20"/>
        <v>PL20</v>
      </c>
      <c r="AM252" s="53" t="str">
        <f t="shared" si="21"/>
        <v/>
      </c>
      <c r="AN252" s="53" t="s">
        <v>148</v>
      </c>
      <c r="AO252" s="53" t="s">
        <v>1021</v>
      </c>
      <c r="AP252" s="53" t="s">
        <v>1022</v>
      </c>
      <c r="AQ252" s="84" t="s">
        <v>2167</v>
      </c>
      <c r="AR252" s="53">
        <v>16</v>
      </c>
      <c r="AS252" s="83" t="s">
        <v>2227</v>
      </c>
      <c r="AT252" s="53"/>
      <c r="AU252" s="53"/>
    </row>
    <row r="253" spans="3:48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19"/>
        <v>0</v>
      </c>
      <c r="M253" s="26">
        <f t="shared" si="10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67" t="e">
        <f>SUMIFS([1]Up!$J:$J,[1]Up!$D:$D,D253)</f>
        <v>#VALUE!</v>
      </c>
      <c r="AK253" s="82"/>
      <c r="AL253" s="82" t="str">
        <f t="shared" si="20"/>
        <v>PL10</v>
      </c>
      <c r="AM253" s="53" t="str">
        <f t="shared" si="21"/>
        <v/>
      </c>
      <c r="AN253" s="53" t="s">
        <v>154</v>
      </c>
      <c r="AO253" s="53" t="s">
        <v>1005</v>
      </c>
      <c r="AP253" s="53" t="s">
        <v>1006</v>
      </c>
      <c r="AQ253" s="84" t="s">
        <v>2168</v>
      </c>
      <c r="AR253" s="53">
        <v>4</v>
      </c>
      <c r="AS253" s="83">
        <v>46302</v>
      </c>
      <c r="AT253" s="53"/>
      <c r="AU253" s="53"/>
      <c r="AV253" s="238"/>
    </row>
    <row r="254" spans="3:48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19"/>
        <v>0</v>
      </c>
      <c r="M254" s="26">
        <f t="shared" si="10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67" t="e">
        <f>SUMIFS([1]Up!$J:$J,[1]Up!$D:$D,D254)</f>
        <v>#VALUE!</v>
      </c>
      <c r="AK254" s="82"/>
      <c r="AL254" s="82" t="str">
        <f t="shared" si="20"/>
        <v>PL10</v>
      </c>
      <c r="AM254" s="53" t="str">
        <f t="shared" si="21"/>
        <v/>
      </c>
      <c r="AN254" s="53" t="s">
        <v>154</v>
      </c>
      <c r="AO254" s="53" t="s">
        <v>1005</v>
      </c>
      <c r="AP254" s="53" t="s">
        <v>1006</v>
      </c>
      <c r="AQ254" s="84" t="s">
        <v>2168</v>
      </c>
      <c r="AR254" s="53">
        <v>4</v>
      </c>
      <c r="AS254" s="83">
        <v>46302</v>
      </c>
      <c r="AT254" s="53"/>
      <c r="AU254" s="53"/>
      <c r="AV254" s="238"/>
    </row>
    <row r="255" spans="3:48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19"/>
        <v>0</v>
      </c>
      <c r="M255" s="26">
        <f t="shared" si="10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67" t="e">
        <f>SUMIFS([1]Up!$J:$J,[1]Up!$D:$D,D255)</f>
        <v>#VALUE!</v>
      </c>
      <c r="AK255" s="82"/>
      <c r="AL255" s="82" t="str">
        <f t="shared" si="20"/>
        <v>PL10</v>
      </c>
      <c r="AM255" s="53" t="str">
        <f t="shared" si="21"/>
        <v/>
      </c>
      <c r="AN255" s="53" t="s">
        <v>154</v>
      </c>
      <c r="AO255" s="53" t="s">
        <v>1005</v>
      </c>
      <c r="AP255" s="53" t="s">
        <v>1006</v>
      </c>
      <c r="AQ255" s="84" t="s">
        <v>2157</v>
      </c>
      <c r="AR255" s="53">
        <v>4</v>
      </c>
      <c r="AS255" s="83">
        <v>46302</v>
      </c>
      <c r="AT255" s="53"/>
      <c r="AU255" s="53"/>
      <c r="AV255" s="238"/>
    </row>
    <row r="256" spans="3:48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19"/>
        <v>0</v>
      </c>
      <c r="M256" s="26">
        <f t="shared" si="10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67" t="e">
        <f>SUMIFS([1]Up!$J:$J,[1]Up!$D:$D,D256)</f>
        <v>#VALUE!</v>
      </c>
      <c r="AK256" s="82"/>
      <c r="AL256" s="82" t="str">
        <f t="shared" si="20"/>
        <v>PL10</v>
      </c>
      <c r="AM256" s="53" t="str">
        <f t="shared" si="21"/>
        <v/>
      </c>
      <c r="AN256" s="53" t="s">
        <v>148</v>
      </c>
      <c r="AO256" s="53" t="s">
        <v>1005</v>
      </c>
      <c r="AP256" s="53" t="s">
        <v>1006</v>
      </c>
      <c r="AQ256" s="84" t="s">
        <v>2157</v>
      </c>
      <c r="AR256" s="53">
        <v>8</v>
      </c>
      <c r="AS256" s="83">
        <v>46302</v>
      </c>
      <c r="AT256" s="53"/>
      <c r="AU256" s="53"/>
      <c r="AV256" s="238"/>
    </row>
    <row r="257" spans="3:48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19"/>
        <v>0</v>
      </c>
      <c r="M257" s="26">
        <f t="shared" si="10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67" t="e">
        <f>SUMIFS([1]Up!$J:$J,[1]Up!$D:$D,D257)</f>
        <v>#VALUE!</v>
      </c>
      <c r="AK257" s="82"/>
      <c r="AL257" s="82" t="str">
        <f t="shared" si="20"/>
        <v>PL10</v>
      </c>
      <c r="AM257" s="53" t="str">
        <f t="shared" si="21"/>
        <v/>
      </c>
      <c r="AN257" s="53" t="s">
        <v>148</v>
      </c>
      <c r="AO257" s="53" t="s">
        <v>1005</v>
      </c>
      <c r="AP257" s="53" t="s">
        <v>1006</v>
      </c>
      <c r="AQ257" s="84" t="s">
        <v>2157</v>
      </c>
      <c r="AR257" s="53">
        <v>4</v>
      </c>
      <c r="AS257" s="83">
        <v>46302</v>
      </c>
      <c r="AT257" s="53"/>
      <c r="AU257" s="53"/>
      <c r="AV257" s="238"/>
    </row>
    <row r="258" spans="3:48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19"/>
        <v>0</v>
      </c>
      <c r="M258" s="26">
        <f t="shared" si="10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67" t="e">
        <f>SUMIFS([1]Up!$J:$J,[1]Up!$D:$D,D258)</f>
        <v>#VALUE!</v>
      </c>
      <c r="AK258" s="82"/>
      <c r="AL258" s="82" t="str">
        <f t="shared" si="20"/>
        <v>PL15</v>
      </c>
      <c r="AM258" s="53" t="str">
        <f t="shared" si="21"/>
        <v/>
      </c>
      <c r="AN258" s="53" t="s">
        <v>148</v>
      </c>
      <c r="AO258" s="53" t="s">
        <v>1094</v>
      </c>
      <c r="AP258" s="53" t="s">
        <v>1095</v>
      </c>
      <c r="AQ258" s="84" t="s">
        <v>2156</v>
      </c>
      <c r="AR258" s="53">
        <v>4</v>
      </c>
      <c r="AS258" s="83" t="s">
        <v>2225</v>
      </c>
      <c r="AT258" s="53"/>
      <c r="AU258" s="53"/>
      <c r="AV258" s="238"/>
    </row>
    <row r="259" spans="3:48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19"/>
        <v>0</v>
      </c>
      <c r="M259" s="26">
        <f t="shared" si="10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67" t="e">
        <f>SUMIFS([1]Up!$J:$J,[1]Up!$D:$D,D259)</f>
        <v>#VALUE!</v>
      </c>
      <c r="AK259" s="82"/>
      <c r="AL259" s="82" t="str">
        <f t="shared" si="20"/>
        <v>PL15</v>
      </c>
      <c r="AM259" s="53" t="str">
        <f t="shared" si="21"/>
        <v/>
      </c>
      <c r="AN259" s="53" t="s">
        <v>148</v>
      </c>
      <c r="AO259" s="53" t="s">
        <v>1094</v>
      </c>
      <c r="AP259" s="53" t="s">
        <v>1095</v>
      </c>
      <c r="AQ259" s="84" t="s">
        <v>2156</v>
      </c>
      <c r="AR259" s="53">
        <v>4</v>
      </c>
      <c r="AS259" s="83" t="s">
        <v>2225</v>
      </c>
      <c r="AT259" s="53"/>
      <c r="AU259" s="53"/>
      <c r="AV259" s="238"/>
    </row>
    <row r="260" spans="3:48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19"/>
        <v>0</v>
      </c>
      <c r="M260" s="26">
        <f t="shared" si="10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67" t="e">
        <f>SUMIFS([1]Up!$J:$J,[1]Up!$D:$D,D260)</f>
        <v>#VALUE!</v>
      </c>
      <c r="AK260" s="82"/>
      <c r="AL260" s="82" t="str">
        <f t="shared" si="20"/>
        <v>PL10</v>
      </c>
      <c r="AM260" s="53" t="str">
        <f t="shared" si="21"/>
        <v/>
      </c>
      <c r="AN260" s="53" t="s">
        <v>154</v>
      </c>
      <c r="AO260" s="53" t="s">
        <v>1005</v>
      </c>
      <c r="AP260" s="53" t="s">
        <v>1006</v>
      </c>
      <c r="AQ260" s="84" t="s">
        <v>2157</v>
      </c>
      <c r="AR260" s="53">
        <v>4</v>
      </c>
      <c r="AS260" s="83">
        <v>46302</v>
      </c>
      <c r="AT260" s="53"/>
      <c r="AU260" s="53"/>
      <c r="AV260" s="238"/>
    </row>
    <row r="261" spans="3:48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19"/>
        <v>0</v>
      </c>
      <c r="M261" s="26">
        <f t="shared" si="10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67" t="e">
        <f>SUMIFS([1]Up!$J:$J,[1]Up!$D:$D,D261)</f>
        <v>#VALUE!</v>
      </c>
      <c r="AK261" s="82"/>
      <c r="AL261" s="82" t="str">
        <f t="shared" si="20"/>
        <v>PL20</v>
      </c>
      <c r="AM261" s="53" t="str">
        <f t="shared" si="21"/>
        <v/>
      </c>
      <c r="AN261" s="53" t="s">
        <v>148</v>
      </c>
      <c r="AO261" s="53" t="s">
        <v>1100</v>
      </c>
      <c r="AP261" s="53" t="s">
        <v>1101</v>
      </c>
      <c r="AQ261" s="84" t="s">
        <v>2165</v>
      </c>
      <c r="AR261" s="53">
        <v>4</v>
      </c>
      <c r="AS261" s="83">
        <v>46242</v>
      </c>
      <c r="AT261" s="53"/>
      <c r="AU261" s="53"/>
      <c r="AV261" s="238"/>
    </row>
    <row r="262" spans="3:48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19"/>
        <v>8</v>
      </c>
      <c r="M262" s="26">
        <f t="shared" si="10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67" t="e">
        <f>SUMIFS([1]Up!$J:$J,[1]Up!$D:$D,D262)</f>
        <v>#VALUE!</v>
      </c>
      <c r="AK262" s="82"/>
      <c r="AL262" s="82" t="str">
        <f t="shared" si="20"/>
        <v>PL20</v>
      </c>
      <c r="AM262" s="53" t="str">
        <f t="shared" si="21"/>
        <v/>
      </c>
      <c r="AN262" s="53" t="s">
        <v>148</v>
      </c>
      <c r="AO262" s="53" t="s">
        <v>1021</v>
      </c>
      <c r="AP262" s="53" t="s">
        <v>1022</v>
      </c>
      <c r="AQ262" s="84" t="s">
        <v>2167</v>
      </c>
      <c r="AR262" s="53">
        <v>16</v>
      </c>
      <c r="AS262" s="83" t="s">
        <v>2227</v>
      </c>
      <c r="AT262" s="53"/>
      <c r="AU262" s="53"/>
    </row>
    <row r="263" spans="3:48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19"/>
        <v>0</v>
      </c>
      <c r="M263" s="26">
        <f t="shared" si="10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67" t="e">
        <f>SUMIFS([1]Up!$J:$J,[1]Up!$D:$D,D263)</f>
        <v>#VALUE!</v>
      </c>
      <c r="AK263" s="82"/>
      <c r="AL263" s="82" t="str">
        <f t="shared" si="20"/>
        <v>PL10</v>
      </c>
      <c r="AM263" s="53" t="str">
        <f t="shared" si="21"/>
        <v/>
      </c>
      <c r="AN263" s="53" t="s">
        <v>154</v>
      </c>
      <c r="AO263" s="53" t="s">
        <v>1005</v>
      </c>
      <c r="AP263" s="53" t="s">
        <v>1006</v>
      </c>
      <c r="AQ263" s="84" t="s">
        <v>2157</v>
      </c>
      <c r="AR263" s="53">
        <v>4</v>
      </c>
      <c r="AS263" s="83">
        <v>46302</v>
      </c>
      <c r="AT263" s="53"/>
      <c r="AU263" s="53"/>
      <c r="AV263" s="238"/>
    </row>
    <row r="264" spans="3:48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19"/>
        <v>0</v>
      </c>
      <c r="M264" s="26">
        <f t="shared" si="10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67" t="e">
        <f>SUMIFS([1]Up!$J:$J,[1]Up!$D:$D,D264)</f>
        <v>#VALUE!</v>
      </c>
      <c r="AK264" s="82"/>
      <c r="AL264" s="82" t="str">
        <f t="shared" si="20"/>
        <v>PL12</v>
      </c>
      <c r="AM264" s="53" t="str">
        <f t="shared" si="21"/>
        <v/>
      </c>
      <c r="AN264" s="53" t="s">
        <v>154</v>
      </c>
      <c r="AO264" s="53" t="s">
        <v>1021</v>
      </c>
      <c r="AP264" s="53" t="s">
        <v>1022</v>
      </c>
      <c r="AQ264" s="53" t="s">
        <v>57</v>
      </c>
      <c r="AR264" s="53">
        <v>4</v>
      </c>
      <c r="AS264" s="83"/>
      <c r="AT264" s="53"/>
      <c r="AU264" s="53"/>
    </row>
    <row r="265" spans="3:48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19"/>
        <v>0</v>
      </c>
      <c r="M265" s="26">
        <f t="shared" si="10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67" t="e">
        <f>SUMIFS([1]Up!$J:$J,[1]Up!$D:$D,D265)</f>
        <v>#VALUE!</v>
      </c>
      <c r="AK265" s="82"/>
      <c r="AL265" s="82" t="str">
        <f t="shared" si="20"/>
        <v>PL15</v>
      </c>
      <c r="AM265" s="53" t="str">
        <f t="shared" si="21"/>
        <v/>
      </c>
      <c r="AN265" s="53" t="s">
        <v>148</v>
      </c>
      <c r="AO265" s="53" t="s">
        <v>1094</v>
      </c>
      <c r="AP265" s="53" t="s">
        <v>1095</v>
      </c>
      <c r="AQ265" s="84" t="s">
        <v>2156</v>
      </c>
      <c r="AR265" s="53">
        <v>4</v>
      </c>
      <c r="AS265" s="83" t="s">
        <v>2225</v>
      </c>
      <c r="AT265" s="53"/>
      <c r="AU265" s="53"/>
      <c r="AV265" s="238"/>
    </row>
    <row r="266" spans="3:48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19"/>
        <v>6</v>
      </c>
      <c r="M266" s="26">
        <f t="shared" si="10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67" t="e">
        <f>SUMIFS([1]Up!$J:$J,[1]Up!$D:$D,D266)</f>
        <v>#VALUE!</v>
      </c>
      <c r="AK266" s="82"/>
      <c r="AL266" s="82" t="str">
        <f t="shared" si="20"/>
        <v/>
      </c>
      <c r="AM266" s="53" t="str">
        <f t="shared" si="21"/>
        <v/>
      </c>
      <c r="AN266" s="53" t="s">
        <v>148</v>
      </c>
      <c r="AO266" s="53" t="s">
        <v>1079</v>
      </c>
      <c r="AP266" s="53" t="s">
        <v>1076</v>
      </c>
      <c r="AQ266" s="53" t="s">
        <v>1290</v>
      </c>
      <c r="AR266" s="53">
        <v>6</v>
      </c>
      <c r="AS266" s="83">
        <v>46362</v>
      </c>
      <c r="AT266" s="53"/>
      <c r="AU266" s="53"/>
    </row>
    <row r="267" spans="3:48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19"/>
        <v>2</v>
      </c>
      <c r="M267" s="26">
        <f t="shared" si="10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67" t="e">
        <f>SUMIFS([1]Up!$J:$J,[1]Up!$D:$D,D267)</f>
        <v>#VALUE!</v>
      </c>
      <c r="AK267" s="82" t="s">
        <v>2074</v>
      </c>
      <c r="AL267" s="82" t="str">
        <f t="shared" si="20"/>
        <v>PL12</v>
      </c>
      <c r="AM267" s="53" t="str">
        <f t="shared" si="21"/>
        <v/>
      </c>
      <c r="AN267" s="53" t="s">
        <v>154</v>
      </c>
      <c r="AO267" s="53" t="s">
        <v>1021</v>
      </c>
      <c r="AP267" s="53" t="s">
        <v>1022</v>
      </c>
      <c r="AQ267" s="53" t="s">
        <v>57</v>
      </c>
      <c r="AR267" s="53">
        <v>2</v>
      </c>
      <c r="AS267" s="83"/>
      <c r="AT267" s="53"/>
      <c r="AU267" s="53"/>
    </row>
    <row r="268" spans="3:48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19"/>
        <v>1</v>
      </c>
      <c r="M268" s="26">
        <f t="shared" si="10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67" t="e">
        <f>SUMIFS([1]Up!$J:$J,[1]Up!$D:$D,D268)</f>
        <v>#VALUE!</v>
      </c>
      <c r="AK268" s="82"/>
      <c r="AL268" s="82" t="str">
        <f t="shared" si="20"/>
        <v>PL12</v>
      </c>
      <c r="AM268" s="53" t="str">
        <f t="shared" si="21"/>
        <v/>
      </c>
      <c r="AN268" s="53" t="s">
        <v>154</v>
      </c>
      <c r="AO268" s="53" t="s">
        <v>1021</v>
      </c>
      <c r="AP268" s="53" t="s">
        <v>1022</v>
      </c>
      <c r="AQ268" s="53" t="s">
        <v>1399</v>
      </c>
      <c r="AR268" s="53">
        <v>2</v>
      </c>
      <c r="AS268" s="83" t="s">
        <v>2223</v>
      </c>
      <c r="AT268" s="53"/>
      <c r="AU268" s="53"/>
    </row>
    <row r="269" spans="3:48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19"/>
        <v>1</v>
      </c>
      <c r="M269" s="26">
        <f t="shared" si="10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67" t="e">
        <f>SUMIFS([1]Up!$J:$J,[1]Up!$D:$D,D269)</f>
        <v>#VALUE!</v>
      </c>
      <c r="AK269" s="82"/>
      <c r="AL269" s="82" t="str">
        <f t="shared" si="20"/>
        <v>PL12</v>
      </c>
      <c r="AM269" s="53" t="str">
        <f t="shared" si="21"/>
        <v/>
      </c>
      <c r="AN269" s="53" t="s">
        <v>154</v>
      </c>
      <c r="AO269" s="53" t="s">
        <v>1021</v>
      </c>
      <c r="AP269" s="53" t="s">
        <v>1022</v>
      </c>
      <c r="AQ269" s="53"/>
      <c r="AR269" s="53"/>
      <c r="AS269" s="83"/>
      <c r="AT269" s="53"/>
      <c r="AU269" s="53"/>
    </row>
    <row r="270" spans="3:48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19"/>
        <v>1</v>
      </c>
      <c r="M270" s="26">
        <f t="shared" si="10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67" t="e">
        <f>SUMIFS([1]Up!$J:$J,[1]Up!$D:$D,D270)</f>
        <v>#VALUE!</v>
      </c>
      <c r="AK270" s="82" t="s">
        <v>2074</v>
      </c>
      <c r="AL270" s="82" t="str">
        <f t="shared" si="20"/>
        <v>PL12</v>
      </c>
      <c r="AM270" s="53" t="str">
        <f t="shared" si="21"/>
        <v>Thừa 1</v>
      </c>
      <c r="AN270" s="53" t="s">
        <v>154</v>
      </c>
      <c r="AO270" s="53" t="s">
        <v>1021</v>
      </c>
      <c r="AP270" s="53" t="s">
        <v>1022</v>
      </c>
      <c r="AQ270" s="53" t="s">
        <v>57</v>
      </c>
      <c r="AR270" s="53">
        <v>1</v>
      </c>
      <c r="AS270" s="83"/>
      <c r="AT270" s="53"/>
      <c r="AU270" s="53"/>
    </row>
    <row r="271" spans="3:48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19"/>
        <v>1</v>
      </c>
      <c r="M271" s="26">
        <f t="shared" si="10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67" t="e">
        <f>SUMIFS([1]Up!$J:$J,[1]Up!$D:$D,D271)</f>
        <v>#VALUE!</v>
      </c>
      <c r="AK271" s="82" t="s">
        <v>2074</v>
      </c>
      <c r="AL271" s="82" t="str">
        <f t="shared" si="20"/>
        <v>PL12</v>
      </c>
      <c r="AM271" s="53" t="str">
        <f t="shared" si="21"/>
        <v>Thừa 1</v>
      </c>
      <c r="AN271" s="53" t="s">
        <v>154</v>
      </c>
      <c r="AO271" s="53" t="s">
        <v>1021</v>
      </c>
      <c r="AP271" s="53" t="s">
        <v>1022</v>
      </c>
      <c r="AQ271" s="53" t="s">
        <v>57</v>
      </c>
      <c r="AR271" s="53">
        <v>1</v>
      </c>
      <c r="AS271" s="83"/>
      <c r="AT271" s="53"/>
      <c r="AU271" s="53"/>
    </row>
    <row r="272" spans="3:48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19"/>
        <v>2</v>
      </c>
      <c r="M272" s="26">
        <f t="shared" si="10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67" t="e">
        <f>SUMIFS([1]Up!$J:$J,[1]Up!$D:$D,D272)</f>
        <v>#VALUE!</v>
      </c>
      <c r="AK272" s="82"/>
      <c r="AL272" s="82" t="str">
        <f t="shared" si="20"/>
        <v>PL15</v>
      </c>
      <c r="AM272" s="53" t="str">
        <f t="shared" si="21"/>
        <v/>
      </c>
      <c r="AN272" s="53" t="s">
        <v>148</v>
      </c>
      <c r="AO272" s="53" t="s">
        <v>1094</v>
      </c>
      <c r="AP272" s="53" t="s">
        <v>1095</v>
      </c>
      <c r="AQ272" s="53" t="s">
        <v>1304</v>
      </c>
      <c r="AR272" s="53">
        <v>2</v>
      </c>
      <c r="AS272" s="83">
        <v>46088</v>
      </c>
      <c r="AT272" s="53"/>
      <c r="AU272" s="53"/>
    </row>
    <row r="273" spans="3:47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19"/>
        <v>6</v>
      </c>
      <c r="M273" s="26">
        <f t="shared" si="10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67" t="e">
        <f>SUMIFS([1]Up!$J:$J,[1]Up!$D:$D,D273)</f>
        <v>#VALUE!</v>
      </c>
      <c r="AK273" s="82"/>
      <c r="AL273" s="82" t="str">
        <f t="shared" si="20"/>
        <v>PL16</v>
      </c>
      <c r="AM273" s="53" t="str">
        <f t="shared" si="21"/>
        <v/>
      </c>
      <c r="AN273" s="53" t="s">
        <v>148</v>
      </c>
      <c r="AO273" s="53" t="s">
        <v>988</v>
      </c>
      <c r="AP273" s="53" t="s">
        <v>989</v>
      </c>
      <c r="AQ273" s="53" t="s">
        <v>990</v>
      </c>
      <c r="AR273" s="53">
        <v>6</v>
      </c>
      <c r="AS273" s="83" t="s">
        <v>2223</v>
      </c>
      <c r="AT273" s="53"/>
      <c r="AU273" s="53"/>
    </row>
    <row r="274" spans="3:47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19"/>
        <v>6</v>
      </c>
      <c r="M274" s="26">
        <f t="shared" si="10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67" t="e">
        <f>SUMIFS([1]Up!$J:$J,[1]Up!$D:$D,D274)</f>
        <v>#VALUE!</v>
      </c>
      <c r="AK274" s="82"/>
      <c r="AL274" s="82" t="str">
        <f t="shared" si="20"/>
        <v>PL16</v>
      </c>
      <c r="AM274" s="53" t="str">
        <f t="shared" si="21"/>
        <v/>
      </c>
      <c r="AN274" s="53" t="s">
        <v>148</v>
      </c>
      <c r="AO274" s="53" t="s">
        <v>988</v>
      </c>
      <c r="AP274" s="53" t="s">
        <v>989</v>
      </c>
      <c r="AQ274" s="53" t="s">
        <v>990</v>
      </c>
      <c r="AR274" s="53">
        <v>6</v>
      </c>
      <c r="AS274" s="83" t="s">
        <v>2223</v>
      </c>
      <c r="AT274" s="53"/>
      <c r="AU274" s="53"/>
    </row>
    <row r="275" spans="3:47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19"/>
        <v>6</v>
      </c>
      <c r="M275" s="26">
        <f t="shared" si="10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67" t="e">
        <f>SUMIFS([1]Up!$J:$J,[1]Up!$D:$D,D275)</f>
        <v>#VALUE!</v>
      </c>
      <c r="AK275" s="82"/>
      <c r="AL275" s="82" t="str">
        <f t="shared" si="20"/>
        <v>PL12</v>
      </c>
      <c r="AM275" s="53" t="str">
        <f t="shared" si="21"/>
        <v/>
      </c>
      <c r="AN275" s="53" t="s">
        <v>148</v>
      </c>
      <c r="AO275" s="53" t="s">
        <v>1021</v>
      </c>
      <c r="AP275" s="53" t="s">
        <v>1022</v>
      </c>
      <c r="AQ275" s="53" t="s">
        <v>1023</v>
      </c>
      <c r="AR275" s="53">
        <v>6</v>
      </c>
      <c r="AS275" s="83">
        <v>46088</v>
      </c>
      <c r="AT275" s="53"/>
      <c r="AU275" s="53"/>
    </row>
    <row r="276" spans="3:47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19"/>
        <v>6</v>
      </c>
      <c r="M276" s="26">
        <f t="shared" si="10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67" t="e">
        <f>SUMIFS([1]Up!$J:$J,[1]Up!$D:$D,D276)</f>
        <v>#VALUE!</v>
      </c>
      <c r="AK276" s="82"/>
      <c r="AL276" s="82" t="str">
        <f t="shared" si="20"/>
        <v>PL12</v>
      </c>
      <c r="AM276" s="53" t="str">
        <f t="shared" si="21"/>
        <v/>
      </c>
      <c r="AN276" s="53" t="s">
        <v>148</v>
      </c>
      <c r="AO276" s="53" t="s">
        <v>1021</v>
      </c>
      <c r="AP276" s="53" t="s">
        <v>1022</v>
      </c>
      <c r="AQ276" s="53" t="s">
        <v>1023</v>
      </c>
      <c r="AR276" s="53">
        <v>6</v>
      </c>
      <c r="AS276" s="83">
        <v>46088</v>
      </c>
      <c r="AT276" s="53"/>
      <c r="AU276" s="53"/>
    </row>
    <row r="277" spans="3:47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19"/>
        <v>1</v>
      </c>
      <c r="M277" s="26">
        <f t="shared" si="10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67" t="e">
        <f>SUMIFS([1]Up!$J:$J,[1]Up!$D:$D,D277)</f>
        <v>#VALUE!</v>
      </c>
      <c r="AK277" s="82"/>
      <c r="AL277" s="82" t="str">
        <f t="shared" si="20"/>
        <v>PL12</v>
      </c>
      <c r="AM277" s="53" t="str">
        <f t="shared" si="21"/>
        <v/>
      </c>
      <c r="AN277" s="53" t="s">
        <v>154</v>
      </c>
      <c r="AO277" s="53" t="s">
        <v>1021</v>
      </c>
      <c r="AP277" s="53" t="s">
        <v>1022</v>
      </c>
      <c r="AQ277" s="53" t="s">
        <v>1399</v>
      </c>
      <c r="AR277" s="53">
        <v>1</v>
      </c>
      <c r="AS277" s="83" t="s">
        <v>2223</v>
      </c>
      <c r="AT277" s="53"/>
      <c r="AU277" s="53"/>
    </row>
    <row r="278" spans="3:47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19"/>
        <v>1</v>
      </c>
      <c r="M278" s="26">
        <f t="shared" si="10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67" t="e">
        <f>SUMIFS([1]Up!$J:$J,[1]Up!$D:$D,D278)</f>
        <v>#VALUE!</v>
      </c>
      <c r="AK278" s="82" t="s">
        <v>2072</v>
      </c>
      <c r="AL278" s="82" t="str">
        <f t="shared" si="20"/>
        <v>PL12</v>
      </c>
      <c r="AM278" s="53" t="str">
        <f t="shared" si="21"/>
        <v>Thừa 2</v>
      </c>
      <c r="AN278" s="53" t="s">
        <v>154</v>
      </c>
      <c r="AO278" s="53" t="s">
        <v>1021</v>
      </c>
      <c r="AP278" s="53" t="s">
        <v>1022</v>
      </c>
      <c r="AQ278" s="53" t="s">
        <v>57</v>
      </c>
      <c r="AR278" s="53">
        <v>1</v>
      </c>
      <c r="AS278" s="83"/>
      <c r="AT278" s="53"/>
      <c r="AU278" s="53"/>
    </row>
    <row r="279" spans="3:47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19"/>
        <v>1</v>
      </c>
      <c r="M279" s="26">
        <f t="shared" si="10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67" t="e">
        <f>SUMIFS([1]Up!$J:$J,[1]Up!$D:$D,D279)</f>
        <v>#VALUE!</v>
      </c>
      <c r="AK279" s="82"/>
      <c r="AL279" s="82" t="str">
        <f t="shared" si="20"/>
        <v>PL12</v>
      </c>
      <c r="AM279" s="53" t="str">
        <f t="shared" si="21"/>
        <v/>
      </c>
      <c r="AN279" s="53" t="s">
        <v>148</v>
      </c>
      <c r="AO279" s="53" t="s">
        <v>1021</v>
      </c>
      <c r="AP279" s="53" t="s">
        <v>1022</v>
      </c>
      <c r="AQ279" s="53" t="s">
        <v>1023</v>
      </c>
      <c r="AR279" s="53">
        <v>1</v>
      </c>
      <c r="AS279" s="83">
        <v>46088</v>
      </c>
      <c r="AT279" s="53"/>
      <c r="AU279" s="53"/>
    </row>
    <row r="280" spans="3:47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19"/>
        <v>2</v>
      </c>
      <c r="M280" s="26">
        <f t="shared" si="10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67" t="e">
        <f>SUMIFS([1]Up!$J:$J,[1]Up!$D:$D,D280)</f>
        <v>#VALUE!</v>
      </c>
      <c r="AK280" s="82"/>
      <c r="AL280" s="82" t="str">
        <f t="shared" si="20"/>
        <v>PL12</v>
      </c>
      <c r="AM280" s="53" t="str">
        <f t="shared" si="21"/>
        <v/>
      </c>
      <c r="AN280" s="53" t="s">
        <v>148</v>
      </c>
      <c r="AO280" s="53" t="s">
        <v>1021</v>
      </c>
      <c r="AP280" s="53" t="s">
        <v>1022</v>
      </c>
      <c r="AQ280" s="53" t="s">
        <v>1023</v>
      </c>
      <c r="AR280" s="53">
        <v>2</v>
      </c>
      <c r="AS280" s="83">
        <v>46088</v>
      </c>
      <c r="AT280" s="53"/>
      <c r="AU280" s="53"/>
    </row>
    <row r="281" spans="3:47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19"/>
        <v>2</v>
      </c>
      <c r="M281" s="26">
        <f t="shared" si="10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67" t="e">
        <f>SUMIFS([1]Up!$J:$J,[1]Up!$D:$D,D281)</f>
        <v>#VALUE!</v>
      </c>
      <c r="AK281" s="82"/>
      <c r="AL281" s="82" t="str">
        <f t="shared" si="20"/>
        <v>PL12</v>
      </c>
      <c r="AM281" s="53" t="str">
        <f t="shared" si="21"/>
        <v/>
      </c>
      <c r="AN281" s="53" t="s">
        <v>148</v>
      </c>
      <c r="AO281" s="53" t="s">
        <v>1021</v>
      </c>
      <c r="AP281" s="53" t="s">
        <v>1022</v>
      </c>
      <c r="AQ281" s="53" t="s">
        <v>1023</v>
      </c>
      <c r="AR281" s="53">
        <v>2</v>
      </c>
      <c r="AS281" s="83">
        <v>46088</v>
      </c>
      <c r="AT281" s="53"/>
      <c r="AU281" s="53"/>
    </row>
    <row r="282" spans="3:47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19"/>
        <v>2</v>
      </c>
      <c r="M282" s="26">
        <f t="shared" si="10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67" t="e">
        <f>SUMIFS([1]Up!$J:$J,[1]Up!$D:$D,D282)</f>
        <v>#VALUE!</v>
      </c>
      <c r="AK282" s="82"/>
      <c r="AL282" s="82" t="str">
        <f t="shared" si="20"/>
        <v>PL12</v>
      </c>
      <c r="AM282" s="53" t="str">
        <f t="shared" si="21"/>
        <v/>
      </c>
      <c r="AN282" s="53" t="s">
        <v>148</v>
      </c>
      <c r="AO282" s="53" t="s">
        <v>1021</v>
      </c>
      <c r="AP282" s="53" t="s">
        <v>1022</v>
      </c>
      <c r="AQ282" s="53" t="s">
        <v>1023</v>
      </c>
      <c r="AR282" s="53">
        <v>2</v>
      </c>
      <c r="AS282" s="83">
        <v>46088</v>
      </c>
      <c r="AT282" s="53"/>
      <c r="AU282" s="53"/>
    </row>
    <row r="283" spans="3:47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19"/>
        <v>2</v>
      </c>
      <c r="M283" s="26">
        <f t="shared" si="10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67" t="e">
        <f>SUMIFS([1]Up!$J:$J,[1]Up!$D:$D,D283)</f>
        <v>#VALUE!</v>
      </c>
      <c r="AK283" s="82"/>
      <c r="AL283" s="82" t="str">
        <f t="shared" si="20"/>
        <v>PL15</v>
      </c>
      <c r="AM283" s="53" t="str">
        <f t="shared" si="21"/>
        <v/>
      </c>
      <c r="AN283" s="53" t="s">
        <v>148</v>
      </c>
      <c r="AO283" s="53" t="s">
        <v>1094</v>
      </c>
      <c r="AP283" s="53" t="s">
        <v>1095</v>
      </c>
      <c r="AQ283" s="53" t="s">
        <v>1304</v>
      </c>
      <c r="AR283" s="53">
        <v>2</v>
      </c>
      <c r="AS283" s="83">
        <v>46088</v>
      </c>
      <c r="AT283" s="53"/>
      <c r="AU283" s="53"/>
    </row>
    <row r="284" spans="3:47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19"/>
        <v>1</v>
      </c>
      <c r="M284" s="26">
        <f t="shared" si="10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67" t="e">
        <f>SUMIFS([1]Up!$J:$J,[1]Up!$D:$D,D284)</f>
        <v>#VALUE!</v>
      </c>
      <c r="AK284" s="82"/>
      <c r="AL284" s="82" t="str">
        <f t="shared" si="20"/>
        <v>PL12</v>
      </c>
      <c r="AM284" s="53" t="str">
        <f t="shared" si="21"/>
        <v/>
      </c>
      <c r="AN284" s="53" t="s">
        <v>148</v>
      </c>
      <c r="AO284" s="53" t="s">
        <v>1021</v>
      </c>
      <c r="AP284" s="53" t="s">
        <v>1022</v>
      </c>
      <c r="AQ284" s="53" t="s">
        <v>1023</v>
      </c>
      <c r="AR284" s="53">
        <v>1</v>
      </c>
      <c r="AS284" s="83">
        <v>46088</v>
      </c>
      <c r="AT284" s="53"/>
      <c r="AU284" s="53"/>
    </row>
    <row r="285" spans="3:47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19"/>
        <v>1</v>
      </c>
      <c r="M285" s="26">
        <f t="shared" ref="M285:M540" si="22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67" t="e">
        <f>SUMIFS([1]Up!$J:$J,[1]Up!$D:$D,D285)</f>
        <v>#VALUE!</v>
      </c>
      <c r="AK285" s="82"/>
      <c r="AL285" s="82" t="str">
        <f t="shared" si="20"/>
        <v>PL12</v>
      </c>
      <c r="AM285" s="53" t="str">
        <f t="shared" si="21"/>
        <v/>
      </c>
      <c r="AN285" s="53" t="s">
        <v>148</v>
      </c>
      <c r="AO285" s="53" t="s">
        <v>1021</v>
      </c>
      <c r="AP285" s="53" t="s">
        <v>1022</v>
      </c>
      <c r="AQ285" s="53" t="s">
        <v>1023</v>
      </c>
      <c r="AR285" s="53">
        <v>1</v>
      </c>
      <c r="AS285" s="83">
        <v>46088</v>
      </c>
      <c r="AT285" s="53"/>
      <c r="AU285" s="53"/>
    </row>
    <row r="286" spans="3:47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3">MIN(SUM(N286:AI286),I286)</f>
        <v>1</v>
      </c>
      <c r="M286" s="26">
        <f t="shared" si="22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67" t="e">
        <f>SUMIFS([1]Up!$J:$J,[1]Up!$D:$D,D286)</f>
        <v>#VALUE!</v>
      </c>
      <c r="AK286" s="82"/>
      <c r="AL286" s="82" t="str">
        <f t="shared" ref="AL286:AL349" si="24">IFERROR(IF(C286="Plate",LEFT(E286,FIND("*",E286,1)-1),""),IF(C286="Plate",LEFT(E286,FIND("x",E286,1)-1),""))</f>
        <v>PL15</v>
      </c>
      <c r="AM286" s="53" t="str">
        <f t="shared" ref="AM286:AM349" si="25">IF(ROUND(SUM(N286:AI286)-I286,0)&gt;0,"Thừa "&amp;SUM(N286:AI286)-I286,"")</f>
        <v/>
      </c>
      <c r="AN286" s="53" t="s">
        <v>148</v>
      </c>
      <c r="AO286" s="53" t="s">
        <v>1094</v>
      </c>
      <c r="AP286" s="53" t="s">
        <v>1095</v>
      </c>
      <c r="AQ286" s="53" t="s">
        <v>1304</v>
      </c>
      <c r="AR286" s="53">
        <v>1</v>
      </c>
      <c r="AS286" s="83">
        <v>46088</v>
      </c>
      <c r="AT286" s="53"/>
      <c r="AU286" s="53"/>
    </row>
    <row r="287" spans="3:47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3"/>
        <v>1</v>
      </c>
      <c r="M287" s="26">
        <f t="shared" si="22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67" t="e">
        <f>SUMIFS([1]Up!$J:$J,[1]Up!$D:$D,D287)</f>
        <v>#VALUE!</v>
      </c>
      <c r="AK287" s="82" t="s">
        <v>2072</v>
      </c>
      <c r="AL287" s="82" t="str">
        <f t="shared" si="24"/>
        <v>PL12</v>
      </c>
      <c r="AM287" s="53" t="str">
        <f t="shared" si="25"/>
        <v>Thừa 2</v>
      </c>
      <c r="AN287" s="53" t="s">
        <v>154</v>
      </c>
      <c r="AO287" s="53" t="s">
        <v>1021</v>
      </c>
      <c r="AP287" s="53" t="s">
        <v>1022</v>
      </c>
      <c r="AQ287" s="53" t="s">
        <v>57</v>
      </c>
      <c r="AR287" s="53">
        <v>1</v>
      </c>
      <c r="AS287" s="83"/>
      <c r="AT287" s="53"/>
      <c r="AU287" s="53"/>
    </row>
    <row r="288" spans="3:47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3"/>
        <v>1</v>
      </c>
      <c r="M288" s="26">
        <f t="shared" si="22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67" t="e">
        <f>SUMIFS([1]Up!$J:$J,[1]Up!$D:$D,D288)</f>
        <v>#VALUE!</v>
      </c>
      <c r="AK288" s="82" t="s">
        <v>2074</v>
      </c>
      <c r="AL288" s="82" t="str">
        <f t="shared" si="24"/>
        <v>PL12</v>
      </c>
      <c r="AM288" s="53" t="str">
        <f t="shared" si="25"/>
        <v>Thừa 1</v>
      </c>
      <c r="AN288" s="53" t="s">
        <v>154</v>
      </c>
      <c r="AO288" s="53" t="s">
        <v>1021</v>
      </c>
      <c r="AP288" s="53" t="s">
        <v>1022</v>
      </c>
      <c r="AQ288" s="53" t="s">
        <v>57</v>
      </c>
      <c r="AR288" s="53">
        <v>1</v>
      </c>
      <c r="AS288" s="83"/>
      <c r="AT288" s="53"/>
      <c r="AU288" s="53"/>
    </row>
    <row r="289" spans="3:48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3"/>
        <v>1</v>
      </c>
      <c r="M289" s="26">
        <f t="shared" si="2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67" t="e">
        <f>SUMIFS([1]Up!$J:$J,[1]Up!$D:$D,D289)</f>
        <v>#VALUE!</v>
      </c>
      <c r="AK289" s="82"/>
      <c r="AL289" s="82" t="str">
        <f t="shared" si="24"/>
        <v>PL12</v>
      </c>
      <c r="AM289" s="53" t="str">
        <f t="shared" si="25"/>
        <v/>
      </c>
      <c r="AN289" s="53" t="s">
        <v>154</v>
      </c>
      <c r="AO289" s="53" t="s">
        <v>1021</v>
      </c>
      <c r="AP289" s="53" t="s">
        <v>1022</v>
      </c>
      <c r="AQ289" s="53" t="s">
        <v>1399</v>
      </c>
      <c r="AR289" s="53">
        <v>1</v>
      </c>
      <c r="AS289" s="83" t="s">
        <v>2223</v>
      </c>
      <c r="AT289" s="53"/>
      <c r="AU289" s="53"/>
    </row>
    <row r="290" spans="3:48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3"/>
        <v>1</v>
      </c>
      <c r="M290" s="26">
        <f t="shared" si="22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67" t="e">
        <f>SUMIFS([1]Up!$J:$J,[1]Up!$D:$D,D290)</f>
        <v>#VALUE!</v>
      </c>
      <c r="AK290" s="82" t="s">
        <v>2073</v>
      </c>
      <c r="AL290" s="82" t="str">
        <f t="shared" si="24"/>
        <v>PL12</v>
      </c>
      <c r="AM290" s="53" t="str">
        <f t="shared" si="25"/>
        <v>Thừa 3</v>
      </c>
      <c r="AN290" s="53" t="s">
        <v>154</v>
      </c>
      <c r="AO290" s="53" t="s">
        <v>1021</v>
      </c>
      <c r="AP290" s="53" t="s">
        <v>1022</v>
      </c>
      <c r="AQ290" s="53" t="s">
        <v>57</v>
      </c>
      <c r="AR290" s="53">
        <v>1</v>
      </c>
      <c r="AS290" s="83"/>
      <c r="AT290" s="53"/>
      <c r="AU290" s="53"/>
    </row>
    <row r="291" spans="3:48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3"/>
        <v>3</v>
      </c>
      <c r="M291" s="26">
        <f t="shared" si="22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67" t="e">
        <f>SUMIFS([1]Up!$J:$J,[1]Up!$D:$D,D291)</f>
        <v>#VALUE!</v>
      </c>
      <c r="AK291" s="82"/>
      <c r="AL291" s="82" t="str">
        <f t="shared" si="24"/>
        <v>PL12</v>
      </c>
      <c r="AM291" s="53" t="str">
        <f t="shared" si="25"/>
        <v/>
      </c>
      <c r="AN291" s="53" t="s">
        <v>148</v>
      </c>
      <c r="AO291" s="53" t="s">
        <v>1021</v>
      </c>
      <c r="AP291" s="53" t="s">
        <v>1022</v>
      </c>
      <c r="AQ291" s="53" t="s">
        <v>1023</v>
      </c>
      <c r="AR291" s="53">
        <v>3</v>
      </c>
      <c r="AS291" s="83">
        <v>46088</v>
      </c>
      <c r="AT291" s="53"/>
      <c r="AU291" s="53"/>
    </row>
    <row r="292" spans="3:48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3"/>
        <v>3</v>
      </c>
      <c r="M292" s="26">
        <f t="shared" si="22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67" t="e">
        <f>SUMIFS([1]Up!$J:$J,[1]Up!$D:$D,D292)</f>
        <v>#VALUE!</v>
      </c>
      <c r="AK292" s="82"/>
      <c r="AL292" s="82" t="str">
        <f t="shared" si="24"/>
        <v>PL12</v>
      </c>
      <c r="AM292" s="53" t="str">
        <f t="shared" si="25"/>
        <v/>
      </c>
      <c r="AN292" s="53" t="s">
        <v>148</v>
      </c>
      <c r="AO292" s="53" t="s">
        <v>1021</v>
      </c>
      <c r="AP292" s="53" t="s">
        <v>1022</v>
      </c>
      <c r="AQ292" s="53" t="s">
        <v>1023</v>
      </c>
      <c r="AR292" s="53">
        <v>3</v>
      </c>
      <c r="AS292" s="83">
        <v>46088</v>
      </c>
      <c r="AT292" s="53"/>
      <c r="AU292" s="53"/>
    </row>
    <row r="293" spans="3:48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3"/>
        <v>2</v>
      </c>
      <c r="M293" s="26">
        <f t="shared" si="22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67" t="e">
        <f>SUMIFS([1]Up!$J:$J,[1]Up!$D:$D,D293)</f>
        <v>#VALUE!</v>
      </c>
      <c r="AK293" s="82"/>
      <c r="AL293" s="82" t="str">
        <f t="shared" si="24"/>
        <v>PL15</v>
      </c>
      <c r="AM293" s="53" t="str">
        <f t="shared" si="25"/>
        <v/>
      </c>
      <c r="AN293" s="53" t="s">
        <v>148</v>
      </c>
      <c r="AO293" s="53" t="s">
        <v>1094</v>
      </c>
      <c r="AP293" s="53" t="s">
        <v>1095</v>
      </c>
      <c r="AQ293" s="53" t="s">
        <v>1304</v>
      </c>
      <c r="AR293" s="53">
        <v>2</v>
      </c>
      <c r="AS293" s="83">
        <v>46088</v>
      </c>
      <c r="AT293" s="53"/>
      <c r="AU293" s="53"/>
    </row>
    <row r="294" spans="3:48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3"/>
        <v>2</v>
      </c>
      <c r="M294" s="26">
        <f t="shared" si="22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67" t="e">
        <f>SUMIFS([1]Up!$J:$J,[1]Up!$D:$D,D294)</f>
        <v>#VALUE!</v>
      </c>
      <c r="AK294" s="82"/>
      <c r="AL294" s="82" t="str">
        <f t="shared" si="24"/>
        <v>PL20</v>
      </c>
      <c r="AM294" s="53" t="str">
        <f t="shared" si="25"/>
        <v/>
      </c>
      <c r="AN294" s="53" t="s">
        <v>148</v>
      </c>
      <c r="AO294" s="53" t="s">
        <v>1100</v>
      </c>
      <c r="AP294" s="53" t="s">
        <v>1101</v>
      </c>
      <c r="AQ294" s="53" t="s">
        <v>1308</v>
      </c>
      <c r="AR294" s="53">
        <v>2</v>
      </c>
      <c r="AS294" s="83">
        <v>46242</v>
      </c>
      <c r="AT294" s="53"/>
      <c r="AU294" s="53"/>
    </row>
    <row r="295" spans="3:48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3"/>
        <v>1</v>
      </c>
      <c r="M295" s="26">
        <f t="shared" si="2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67" t="e">
        <f>SUMIFS([1]Up!$J:$J,[1]Up!$D:$D,D295)</f>
        <v>#VALUE!</v>
      </c>
      <c r="AK295" s="82"/>
      <c r="AL295" s="82" t="str">
        <f t="shared" si="24"/>
        <v>PL12</v>
      </c>
      <c r="AM295" s="53" t="str">
        <f t="shared" si="25"/>
        <v/>
      </c>
      <c r="AN295" s="53" t="s">
        <v>154</v>
      </c>
      <c r="AO295" s="53" t="s">
        <v>1021</v>
      </c>
      <c r="AP295" s="53" t="s">
        <v>1022</v>
      </c>
      <c r="AQ295" s="53" t="s">
        <v>1399</v>
      </c>
      <c r="AR295" s="53">
        <v>1</v>
      </c>
      <c r="AS295" s="83" t="s">
        <v>2223</v>
      </c>
      <c r="AT295" s="53"/>
      <c r="AU295" s="53"/>
    </row>
    <row r="296" spans="3:48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3"/>
        <v>1</v>
      </c>
      <c r="M296" s="26">
        <f t="shared" si="22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67" t="e">
        <f>SUMIFS([1]Up!$J:$J,[1]Up!$D:$D,D296)</f>
        <v>#VALUE!</v>
      </c>
      <c r="AK296" s="82" t="s">
        <v>2072</v>
      </c>
      <c r="AL296" s="82" t="str">
        <f t="shared" si="24"/>
        <v>PL12</v>
      </c>
      <c r="AM296" s="53" t="str">
        <f t="shared" si="25"/>
        <v>Thừa 2</v>
      </c>
      <c r="AN296" s="53" t="s">
        <v>154</v>
      </c>
      <c r="AO296" s="53" t="s">
        <v>1021</v>
      </c>
      <c r="AP296" s="53" t="s">
        <v>1022</v>
      </c>
      <c r="AQ296" s="53" t="s">
        <v>57</v>
      </c>
      <c r="AR296" s="53">
        <v>1</v>
      </c>
      <c r="AS296" s="83"/>
      <c r="AT296" s="53"/>
      <c r="AU296" s="53"/>
    </row>
    <row r="297" spans="3:48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3"/>
        <v>3</v>
      </c>
      <c r="M297" s="26">
        <f t="shared" si="22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67" t="e">
        <f>SUMIFS([1]Up!$J:$J,[1]Up!$D:$D,D297)</f>
        <v>#VALUE!</v>
      </c>
      <c r="AK297" s="82"/>
      <c r="AL297" s="82" t="str">
        <f t="shared" si="24"/>
        <v>PL12</v>
      </c>
      <c r="AM297" s="53" t="str">
        <f t="shared" si="25"/>
        <v/>
      </c>
      <c r="AN297" s="53" t="s">
        <v>154</v>
      </c>
      <c r="AO297" s="53" t="s">
        <v>1021</v>
      </c>
      <c r="AP297" s="53" t="s">
        <v>1022</v>
      </c>
      <c r="AQ297" s="53" t="s">
        <v>1023</v>
      </c>
      <c r="AR297" s="53">
        <v>3</v>
      </c>
      <c r="AS297" s="83">
        <v>46088</v>
      </c>
      <c r="AT297" s="53"/>
      <c r="AU297" s="53"/>
    </row>
    <row r="298" spans="3:48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3"/>
        <v>3</v>
      </c>
      <c r="M298" s="26">
        <f t="shared" si="22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67" t="e">
        <f>SUMIFS([1]Up!$J:$J,[1]Up!$D:$D,D298)</f>
        <v>#VALUE!</v>
      </c>
      <c r="AK298" s="82"/>
      <c r="AL298" s="82" t="str">
        <f t="shared" si="24"/>
        <v>PL12</v>
      </c>
      <c r="AM298" s="53" t="str">
        <f t="shared" si="25"/>
        <v/>
      </c>
      <c r="AN298" s="53" t="s">
        <v>154</v>
      </c>
      <c r="AO298" s="53" t="s">
        <v>1021</v>
      </c>
      <c r="AP298" s="53" t="s">
        <v>1022</v>
      </c>
      <c r="AQ298" s="53" t="s">
        <v>1023</v>
      </c>
      <c r="AR298" s="53">
        <v>3</v>
      </c>
      <c r="AS298" s="83">
        <v>46088</v>
      </c>
      <c r="AT298" s="53"/>
      <c r="AU298" s="53"/>
    </row>
    <row r="299" spans="3:48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3"/>
        <v>1</v>
      </c>
      <c r="M299" s="26">
        <f t="shared" si="22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67" t="e">
        <f>SUMIFS([1]Up!$J:$J,[1]Up!$D:$D,D299)</f>
        <v>#VALUE!</v>
      </c>
      <c r="AK299" s="82" t="s">
        <v>2072</v>
      </c>
      <c r="AL299" s="82" t="str">
        <f t="shared" si="24"/>
        <v>PL12</v>
      </c>
      <c r="AM299" s="53" t="str">
        <f t="shared" si="25"/>
        <v>Thừa 2</v>
      </c>
      <c r="AN299" s="53" t="s">
        <v>154</v>
      </c>
      <c r="AO299" s="53" t="s">
        <v>1021</v>
      </c>
      <c r="AP299" s="53" t="s">
        <v>1022</v>
      </c>
      <c r="AQ299" s="53" t="s">
        <v>57</v>
      </c>
      <c r="AR299" s="53">
        <v>1</v>
      </c>
      <c r="AS299" s="83"/>
      <c r="AT299" s="53"/>
      <c r="AU299" s="53"/>
    </row>
    <row r="300" spans="3:48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3"/>
        <v>0</v>
      </c>
      <c r="M300" s="26">
        <f t="shared" si="22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67" t="e">
        <f>SUMIFS([1]Up!$J:$J,[1]Up!$D:$D,D300)</f>
        <v>#VALUE!</v>
      </c>
      <c r="AK300" s="82"/>
      <c r="AL300" s="82" t="str">
        <f t="shared" si="24"/>
        <v/>
      </c>
      <c r="AM300" s="53" t="str">
        <f t="shared" si="25"/>
        <v/>
      </c>
      <c r="AN300" s="53" t="s">
        <v>148</v>
      </c>
      <c r="AO300" s="53" t="s">
        <v>1079</v>
      </c>
      <c r="AP300" s="53" t="s">
        <v>1076</v>
      </c>
      <c r="AQ300" s="84" t="s">
        <v>2162</v>
      </c>
      <c r="AR300" s="53">
        <v>24</v>
      </c>
      <c r="AS300" s="83" t="s">
        <v>2225</v>
      </c>
      <c r="AT300" s="53"/>
      <c r="AU300" s="53"/>
      <c r="AV300" s="238"/>
    </row>
    <row r="301" spans="3:48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3"/>
        <v>0</v>
      </c>
      <c r="M301" s="26">
        <f t="shared" si="22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67" t="e">
        <f>SUMIFS([1]Up!$J:$J,[1]Up!$D:$D,D301)</f>
        <v>#VALUE!</v>
      </c>
      <c r="AK301" s="82"/>
      <c r="AL301" s="82" t="str">
        <f t="shared" si="24"/>
        <v>PL12</v>
      </c>
      <c r="AM301" s="53" t="str">
        <f t="shared" si="25"/>
        <v/>
      </c>
      <c r="AN301" s="53" t="s">
        <v>154</v>
      </c>
      <c r="AO301" s="53" t="s">
        <v>1021</v>
      </c>
      <c r="AP301" s="53" t="s">
        <v>1022</v>
      </c>
      <c r="AQ301" s="53" t="s">
        <v>57</v>
      </c>
      <c r="AR301" s="53">
        <v>8</v>
      </c>
      <c r="AS301" s="83"/>
      <c r="AT301" s="53"/>
      <c r="AU301" s="53"/>
    </row>
    <row r="302" spans="3:48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3"/>
        <v>0</v>
      </c>
      <c r="M302" s="26">
        <f t="shared" si="22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67" t="e">
        <f>SUMIFS([1]Up!$J:$J,[1]Up!$D:$D,D302)</f>
        <v>#VALUE!</v>
      </c>
      <c r="AK302" s="82"/>
      <c r="AL302" s="82" t="str">
        <f t="shared" si="24"/>
        <v>PL12</v>
      </c>
      <c r="AM302" s="53" t="str">
        <f t="shared" si="25"/>
        <v/>
      </c>
      <c r="AN302" s="53" t="s">
        <v>154</v>
      </c>
      <c r="AO302" s="53" t="s">
        <v>1021</v>
      </c>
      <c r="AP302" s="53" t="s">
        <v>1022</v>
      </c>
      <c r="AQ302" s="84" t="s">
        <v>1450</v>
      </c>
      <c r="AR302" s="53">
        <v>4</v>
      </c>
      <c r="AS302" s="83" t="s">
        <v>2228</v>
      </c>
      <c r="AT302" s="53"/>
      <c r="AU302" s="53"/>
      <c r="AV302" s="238"/>
    </row>
    <row r="303" spans="3:48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3"/>
        <v>0</v>
      </c>
      <c r="M303" s="26">
        <f t="shared" si="22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67" t="e">
        <f>SUMIFS([1]Up!$J:$J,[1]Up!$D:$D,D303)</f>
        <v>#VALUE!</v>
      </c>
      <c r="AK303" s="82"/>
      <c r="AL303" s="82" t="str">
        <f t="shared" si="24"/>
        <v>PL12</v>
      </c>
      <c r="AM303" s="53" t="str">
        <f t="shared" si="25"/>
        <v/>
      </c>
      <c r="AN303" s="53" t="s">
        <v>154</v>
      </c>
      <c r="AO303" s="53" t="s">
        <v>1021</v>
      </c>
      <c r="AP303" s="53" t="s">
        <v>1022</v>
      </c>
      <c r="AQ303" s="84" t="s">
        <v>2174</v>
      </c>
      <c r="AR303" s="53">
        <v>4</v>
      </c>
      <c r="AS303" s="83" t="s">
        <v>2228</v>
      </c>
      <c r="AT303" s="53"/>
      <c r="AU303" s="53"/>
      <c r="AV303" s="238"/>
    </row>
    <row r="304" spans="3:48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3"/>
        <v>0</v>
      </c>
      <c r="M304" s="26">
        <f t="shared" si="22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67" t="e">
        <f>SUMIFS([1]Up!$J:$J,[1]Up!$D:$D,D304)</f>
        <v>#VALUE!</v>
      </c>
      <c r="AK304" s="82"/>
      <c r="AL304" s="82" t="str">
        <f t="shared" si="24"/>
        <v>PL12</v>
      </c>
      <c r="AM304" s="53" t="str">
        <f t="shared" si="25"/>
        <v/>
      </c>
      <c r="AN304" s="53" t="s">
        <v>154</v>
      </c>
      <c r="AO304" s="53" t="s">
        <v>1021</v>
      </c>
      <c r="AP304" s="53" t="s">
        <v>1022</v>
      </c>
      <c r="AQ304" s="53" t="s">
        <v>57</v>
      </c>
      <c r="AR304" s="53">
        <v>4</v>
      </c>
      <c r="AS304" s="83"/>
      <c r="AT304" s="53"/>
      <c r="AU304" s="53"/>
    </row>
    <row r="305" spans="3:48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3"/>
        <v>0</v>
      </c>
      <c r="M305" s="26">
        <f t="shared" si="22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67" t="e">
        <f>SUMIFS([1]Up!$J:$J,[1]Up!$D:$D,D305)</f>
        <v>#VALUE!</v>
      </c>
      <c r="AK305" s="82"/>
      <c r="AL305" s="82" t="str">
        <f t="shared" si="24"/>
        <v>PL12</v>
      </c>
      <c r="AM305" s="53" t="str">
        <f t="shared" si="25"/>
        <v/>
      </c>
      <c r="AN305" s="53" t="s">
        <v>154</v>
      </c>
      <c r="AO305" s="53" t="s">
        <v>1021</v>
      </c>
      <c r="AP305" s="53" t="s">
        <v>1022</v>
      </c>
      <c r="AQ305" s="53" t="s">
        <v>57</v>
      </c>
      <c r="AR305" s="53">
        <v>4</v>
      </c>
      <c r="AS305" s="83"/>
      <c r="AT305" s="53"/>
      <c r="AU305" s="53"/>
    </row>
    <row r="306" spans="3:48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3"/>
        <v>0</v>
      </c>
      <c r="M306" s="26">
        <f t="shared" si="22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67" t="e">
        <f>SUMIFS([1]Up!$J:$J,[1]Up!$D:$D,D306)</f>
        <v>#VALUE!</v>
      </c>
      <c r="AK306" s="82"/>
      <c r="AL306" s="82" t="str">
        <f t="shared" si="24"/>
        <v>PL15</v>
      </c>
      <c r="AM306" s="53" t="str">
        <f t="shared" si="25"/>
        <v/>
      </c>
      <c r="AN306" s="53" t="s">
        <v>148</v>
      </c>
      <c r="AO306" s="53" t="s">
        <v>1094</v>
      </c>
      <c r="AP306" s="53" t="s">
        <v>1095</v>
      </c>
      <c r="AQ306" s="84" t="s">
        <v>2156</v>
      </c>
      <c r="AR306" s="53">
        <v>8</v>
      </c>
      <c r="AS306" s="83" t="s">
        <v>2225</v>
      </c>
      <c r="AT306" s="53"/>
      <c r="AU306" s="53"/>
      <c r="AV306" s="238"/>
    </row>
    <row r="307" spans="3:48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3"/>
        <v>0</v>
      </c>
      <c r="M307" s="26">
        <f t="shared" si="22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67" t="e">
        <f>SUMIFS([1]Up!$J:$J,[1]Up!$D:$D,D307)</f>
        <v>#VALUE!</v>
      </c>
      <c r="AK307" s="82"/>
      <c r="AL307" s="82" t="str">
        <f t="shared" si="24"/>
        <v>PL16</v>
      </c>
      <c r="AM307" s="53" t="str">
        <f t="shared" si="25"/>
        <v/>
      </c>
      <c r="AN307" s="53" t="s">
        <v>148</v>
      </c>
      <c r="AO307" s="53" t="s">
        <v>988</v>
      </c>
      <c r="AP307" s="53" t="s">
        <v>989</v>
      </c>
      <c r="AQ307" s="84" t="s">
        <v>2161</v>
      </c>
      <c r="AR307" s="53">
        <v>24</v>
      </c>
      <c r="AS307" s="83" t="s">
        <v>2226</v>
      </c>
      <c r="AT307" s="53"/>
      <c r="AU307" s="53"/>
      <c r="AV307" s="238"/>
    </row>
    <row r="308" spans="3:48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3"/>
        <v>0</v>
      </c>
      <c r="M308" s="26">
        <f t="shared" si="22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67" t="e">
        <f>SUMIFS([1]Up!$J:$J,[1]Up!$D:$D,D308)</f>
        <v>#VALUE!</v>
      </c>
      <c r="AK308" s="82"/>
      <c r="AL308" s="82" t="str">
        <f t="shared" si="24"/>
        <v>PL16</v>
      </c>
      <c r="AM308" s="53" t="str">
        <f t="shared" si="25"/>
        <v/>
      </c>
      <c r="AN308" s="53" t="s">
        <v>148</v>
      </c>
      <c r="AO308" s="53" t="s">
        <v>988</v>
      </c>
      <c r="AP308" s="53" t="s">
        <v>989</v>
      </c>
      <c r="AQ308" s="84" t="s">
        <v>2161</v>
      </c>
      <c r="AR308" s="53">
        <v>24</v>
      </c>
      <c r="AS308" s="83" t="s">
        <v>2226</v>
      </c>
      <c r="AT308" s="53"/>
      <c r="AU308" s="53"/>
      <c r="AV308" s="238"/>
    </row>
    <row r="309" spans="3:48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3"/>
        <v>0</v>
      </c>
      <c r="M309" s="26">
        <f t="shared" si="22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67" t="e">
        <f>SUMIFS([1]Up!$J:$J,[1]Up!$D:$D,D309)</f>
        <v>#VALUE!</v>
      </c>
      <c r="AK309" s="82"/>
      <c r="AL309" s="82" t="str">
        <f t="shared" si="24"/>
        <v>PL12</v>
      </c>
      <c r="AM309" s="53" t="str">
        <f t="shared" si="25"/>
        <v/>
      </c>
      <c r="AN309" s="53" t="s">
        <v>148</v>
      </c>
      <c r="AO309" s="53" t="s">
        <v>1021</v>
      </c>
      <c r="AP309" s="53" t="s">
        <v>1022</v>
      </c>
      <c r="AQ309" s="84" t="s">
        <v>2160</v>
      </c>
      <c r="AR309" s="53">
        <v>24</v>
      </c>
      <c r="AS309" s="83">
        <v>46302</v>
      </c>
      <c r="AT309" s="53"/>
      <c r="AU309" s="53"/>
      <c r="AV309" s="238"/>
    </row>
    <row r="310" spans="3:48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3"/>
        <v>0</v>
      </c>
      <c r="M310" s="26">
        <f t="shared" si="22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67" t="e">
        <f>SUMIFS([1]Up!$J:$J,[1]Up!$D:$D,D310)</f>
        <v>#VALUE!</v>
      </c>
      <c r="AK310" s="82"/>
      <c r="AL310" s="82" t="str">
        <f t="shared" si="24"/>
        <v>PL12</v>
      </c>
      <c r="AM310" s="53" t="str">
        <f t="shared" si="25"/>
        <v/>
      </c>
      <c r="AN310" s="53" t="s">
        <v>148</v>
      </c>
      <c r="AO310" s="53" t="s">
        <v>1021</v>
      </c>
      <c r="AP310" s="53" t="s">
        <v>1022</v>
      </c>
      <c r="AQ310" s="84" t="s">
        <v>2160</v>
      </c>
      <c r="AR310" s="53">
        <v>24</v>
      </c>
      <c r="AS310" s="83">
        <v>46302</v>
      </c>
      <c r="AT310" s="53"/>
      <c r="AU310" s="53"/>
      <c r="AV310" s="238"/>
    </row>
    <row r="311" spans="3:48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3"/>
        <v>0</v>
      </c>
      <c r="M311" s="26">
        <f t="shared" si="22"/>
        <v>2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67" t="e">
        <f>SUMIFS([1]Up!$J:$J,[1]Up!$D:$D,D311)</f>
        <v>#VALUE!</v>
      </c>
      <c r="AK311" s="82"/>
      <c r="AL311" s="82" t="str">
        <f t="shared" si="24"/>
        <v>PL12</v>
      </c>
      <c r="AM311" s="53" t="str">
        <f t="shared" si="25"/>
        <v/>
      </c>
      <c r="AN311" s="53" t="s">
        <v>154</v>
      </c>
      <c r="AO311" s="53" t="s">
        <v>1021</v>
      </c>
      <c r="AP311" s="53" t="s">
        <v>1022</v>
      </c>
      <c r="AQ311" s="53" t="s">
        <v>57</v>
      </c>
      <c r="AR311" s="53">
        <v>4</v>
      </c>
      <c r="AS311" s="83"/>
      <c r="AT311" s="53"/>
      <c r="AU311" s="53"/>
    </row>
    <row r="312" spans="3:48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3"/>
        <v>0</v>
      </c>
      <c r="M312" s="26">
        <f t="shared" si="22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67" t="e">
        <f>SUMIFS([1]Up!$J:$J,[1]Up!$D:$D,D312)</f>
        <v>#VALUE!</v>
      </c>
      <c r="AK312" s="82"/>
      <c r="AL312" s="82" t="str">
        <f t="shared" si="24"/>
        <v>PL12</v>
      </c>
      <c r="AM312" s="53" t="str">
        <f t="shared" si="25"/>
        <v/>
      </c>
      <c r="AN312" s="53" t="s">
        <v>154</v>
      </c>
      <c r="AO312" s="53" t="s">
        <v>1021</v>
      </c>
      <c r="AP312" s="53" t="s">
        <v>1022</v>
      </c>
      <c r="AQ312" s="84" t="s">
        <v>2155</v>
      </c>
      <c r="AR312" s="53">
        <v>4</v>
      </c>
      <c r="AS312" s="83" t="s">
        <v>2228</v>
      </c>
      <c r="AT312" s="53"/>
      <c r="AU312" s="53"/>
      <c r="AV312" s="238"/>
    </row>
    <row r="313" spans="3:48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3"/>
        <v>0</v>
      </c>
      <c r="M313" s="26">
        <f t="shared" si="22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67" t="e">
        <f>SUMIFS([1]Up!$J:$J,[1]Up!$D:$D,D313)</f>
        <v>#VALUE!</v>
      </c>
      <c r="AK313" s="82"/>
      <c r="AL313" s="82" t="str">
        <f t="shared" si="24"/>
        <v>PL12</v>
      </c>
      <c r="AM313" s="53" t="str">
        <f t="shared" si="25"/>
        <v/>
      </c>
      <c r="AN313" s="53" t="s">
        <v>154</v>
      </c>
      <c r="AO313" s="53" t="s">
        <v>1021</v>
      </c>
      <c r="AP313" s="53" t="s">
        <v>1022</v>
      </c>
      <c r="AQ313" s="53" t="s">
        <v>57</v>
      </c>
      <c r="AR313" s="53">
        <v>4</v>
      </c>
      <c r="AS313" s="83"/>
      <c r="AT313" s="53"/>
      <c r="AU313" s="53"/>
    </row>
    <row r="314" spans="3:48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3"/>
        <v>0</v>
      </c>
      <c r="M314" s="26">
        <f t="shared" si="22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67" t="e">
        <f>SUMIFS([1]Up!$J:$J,[1]Up!$D:$D,D314)</f>
        <v>#VALUE!</v>
      </c>
      <c r="AK314" s="82"/>
      <c r="AL314" s="82" t="str">
        <f t="shared" si="24"/>
        <v>PL12</v>
      </c>
      <c r="AM314" s="53" t="str">
        <f t="shared" si="25"/>
        <v/>
      </c>
      <c r="AN314" s="53" t="s">
        <v>148</v>
      </c>
      <c r="AO314" s="53" t="s">
        <v>1021</v>
      </c>
      <c r="AP314" s="53" t="s">
        <v>1022</v>
      </c>
      <c r="AQ314" s="84" t="s">
        <v>2160</v>
      </c>
      <c r="AR314" s="53">
        <v>12</v>
      </c>
      <c r="AS314" s="83">
        <v>46302</v>
      </c>
      <c r="AT314" s="53"/>
      <c r="AU314" s="53"/>
      <c r="AV314" s="238"/>
    </row>
    <row r="315" spans="3:48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3"/>
        <v>0</v>
      </c>
      <c r="M315" s="26">
        <f t="shared" si="22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67" t="e">
        <f>SUMIFS([1]Up!$J:$J,[1]Up!$D:$D,D315)</f>
        <v>#VALUE!</v>
      </c>
      <c r="AK315" s="82"/>
      <c r="AL315" s="82" t="str">
        <f t="shared" si="24"/>
        <v>PL12</v>
      </c>
      <c r="AM315" s="53" t="str">
        <f t="shared" si="25"/>
        <v/>
      </c>
      <c r="AN315" s="53" t="s">
        <v>148</v>
      </c>
      <c r="AO315" s="53" t="s">
        <v>1021</v>
      </c>
      <c r="AP315" s="53" t="s">
        <v>1022</v>
      </c>
      <c r="AQ315" s="84" t="s">
        <v>2160</v>
      </c>
      <c r="AR315" s="53">
        <v>12</v>
      </c>
      <c r="AS315" s="83">
        <v>46302</v>
      </c>
      <c r="AT315" s="53"/>
      <c r="AU315" s="53"/>
      <c r="AV315" s="238"/>
    </row>
    <row r="316" spans="3:48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3"/>
        <v>0</v>
      </c>
      <c r="M316" s="26">
        <f t="shared" si="22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67" t="e">
        <f>SUMIFS([1]Up!$J:$J,[1]Up!$D:$D,D316)</f>
        <v>#VALUE!</v>
      </c>
      <c r="AK316" s="82"/>
      <c r="AL316" s="82" t="str">
        <f t="shared" si="24"/>
        <v>PL15</v>
      </c>
      <c r="AM316" s="53" t="str">
        <f t="shared" si="25"/>
        <v/>
      </c>
      <c r="AN316" s="53" t="s">
        <v>148</v>
      </c>
      <c r="AO316" s="53" t="s">
        <v>1094</v>
      </c>
      <c r="AP316" s="53" t="s">
        <v>1095</v>
      </c>
      <c r="AQ316" s="84" t="s">
        <v>2156</v>
      </c>
      <c r="AR316" s="53">
        <v>8</v>
      </c>
      <c r="AS316" s="83" t="s">
        <v>2225</v>
      </c>
      <c r="AT316" s="53"/>
      <c r="AU316" s="53"/>
      <c r="AV316" s="238"/>
    </row>
    <row r="317" spans="3:48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3"/>
        <v>0</v>
      </c>
      <c r="M317" s="26">
        <f t="shared" si="22"/>
        <v>4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67" t="e">
        <f>SUMIFS([1]Up!$J:$J,[1]Up!$D:$D,D317)</f>
        <v>#VALUE!</v>
      </c>
      <c r="AK317" s="82"/>
      <c r="AL317" s="82" t="str">
        <f t="shared" si="24"/>
        <v>PL20</v>
      </c>
      <c r="AM317" s="53" t="str">
        <f t="shared" si="25"/>
        <v/>
      </c>
      <c r="AN317" s="53" t="s">
        <v>148</v>
      </c>
      <c r="AO317" s="53" t="s">
        <v>1100</v>
      </c>
      <c r="AP317" s="53" t="s">
        <v>1101</v>
      </c>
      <c r="AQ317" s="84" t="s">
        <v>2158</v>
      </c>
      <c r="AR317" s="53">
        <v>8</v>
      </c>
      <c r="AS317" s="83">
        <v>46242</v>
      </c>
      <c r="AT317" s="53"/>
      <c r="AU317" s="53"/>
      <c r="AV317" s="238"/>
    </row>
    <row r="318" spans="3:48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3"/>
        <v>0</v>
      </c>
      <c r="M318" s="26">
        <f t="shared" si="22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67" t="e">
        <f>SUMIFS([1]Up!$J:$J,[1]Up!$D:$D,D318)</f>
        <v>#VALUE!</v>
      </c>
      <c r="AK318" s="82"/>
      <c r="AL318" s="82" t="str">
        <f t="shared" si="24"/>
        <v>PL12</v>
      </c>
      <c r="AM318" s="53" t="str">
        <f t="shared" si="25"/>
        <v/>
      </c>
      <c r="AN318" s="53" t="s">
        <v>154</v>
      </c>
      <c r="AO318" s="53" t="s">
        <v>1021</v>
      </c>
      <c r="AP318" s="53" t="s">
        <v>1022</v>
      </c>
      <c r="AQ318" s="84" t="s">
        <v>2155</v>
      </c>
      <c r="AR318" s="53">
        <v>4</v>
      </c>
      <c r="AS318" s="83" t="s">
        <v>2228</v>
      </c>
      <c r="AT318" s="53"/>
      <c r="AU318" s="53"/>
      <c r="AV318" s="238"/>
    </row>
    <row r="319" spans="3:48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3"/>
        <v>0</v>
      </c>
      <c r="M319" s="26">
        <f t="shared" si="22"/>
        <v>2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67" t="e">
        <f>SUMIFS([1]Up!$J:$J,[1]Up!$D:$D,D319)</f>
        <v>#VALUE!</v>
      </c>
      <c r="AK319" s="82"/>
      <c r="AL319" s="82" t="str">
        <f t="shared" si="24"/>
        <v>PL12</v>
      </c>
      <c r="AM319" s="53" t="str">
        <f t="shared" si="25"/>
        <v/>
      </c>
      <c r="AN319" s="53" t="s">
        <v>154</v>
      </c>
      <c r="AO319" s="53" t="s">
        <v>1021</v>
      </c>
      <c r="AP319" s="53" t="s">
        <v>1022</v>
      </c>
      <c r="AQ319" s="53" t="s">
        <v>57</v>
      </c>
      <c r="AR319" s="53">
        <v>4</v>
      </c>
      <c r="AS319" s="83"/>
      <c r="AT319" s="53"/>
      <c r="AU319" s="53"/>
    </row>
    <row r="320" spans="3:48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3"/>
        <v>0</v>
      </c>
      <c r="M320" s="26">
        <f t="shared" si="22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67" t="e">
        <f>SUMIFS([1]Up!$J:$J,[1]Up!$D:$D,D320)</f>
        <v>#VALUE!</v>
      </c>
      <c r="AK320" s="82"/>
      <c r="AL320" s="82" t="str">
        <f t="shared" si="24"/>
        <v>PL12</v>
      </c>
      <c r="AM320" s="53" t="str">
        <f t="shared" si="25"/>
        <v/>
      </c>
      <c r="AN320" s="53" t="s">
        <v>148</v>
      </c>
      <c r="AO320" s="53" t="s">
        <v>1021</v>
      </c>
      <c r="AP320" s="53" t="s">
        <v>1022</v>
      </c>
      <c r="AQ320" s="84" t="s">
        <v>2160</v>
      </c>
      <c r="AR320" s="53">
        <v>12</v>
      </c>
      <c r="AS320" s="83">
        <v>46302</v>
      </c>
      <c r="AT320" s="53"/>
      <c r="AU320" s="53"/>
      <c r="AV320" s="238"/>
    </row>
    <row r="321" spans="3:48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3"/>
        <v>0</v>
      </c>
      <c r="M321" s="26">
        <f t="shared" si="22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67" t="e">
        <f>SUMIFS([1]Up!$J:$J,[1]Up!$D:$D,D321)</f>
        <v>#VALUE!</v>
      </c>
      <c r="AK321" s="82"/>
      <c r="AL321" s="82" t="str">
        <f t="shared" si="24"/>
        <v>PL12</v>
      </c>
      <c r="AM321" s="53" t="str">
        <f t="shared" si="25"/>
        <v/>
      </c>
      <c r="AN321" s="53" t="s">
        <v>148</v>
      </c>
      <c r="AO321" s="53" t="s">
        <v>1021</v>
      </c>
      <c r="AP321" s="53" t="s">
        <v>1022</v>
      </c>
      <c r="AQ321" s="84" t="s">
        <v>2160</v>
      </c>
      <c r="AR321" s="53">
        <v>12</v>
      </c>
      <c r="AS321" s="83">
        <v>46302</v>
      </c>
      <c r="AT321" s="53"/>
      <c r="AU321" s="53"/>
      <c r="AV321" s="238"/>
    </row>
    <row r="322" spans="3:48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3"/>
        <v>0</v>
      </c>
      <c r="M322" s="26">
        <f t="shared" si="22"/>
        <v>2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67" t="e">
        <f>SUMIFS([1]Up!$J:$J,[1]Up!$D:$D,D322)</f>
        <v>#VALUE!</v>
      </c>
      <c r="AK322" s="82"/>
      <c r="AL322" s="82" t="str">
        <f t="shared" si="24"/>
        <v>PL12</v>
      </c>
      <c r="AM322" s="53" t="str">
        <f t="shared" si="25"/>
        <v/>
      </c>
      <c r="AN322" s="53" t="s">
        <v>154</v>
      </c>
      <c r="AO322" s="53" t="s">
        <v>1021</v>
      </c>
      <c r="AP322" s="53" t="s">
        <v>1022</v>
      </c>
      <c r="AQ322" s="53" t="s">
        <v>57</v>
      </c>
      <c r="AR322" s="53">
        <v>4</v>
      </c>
      <c r="AS322" s="83"/>
      <c r="AT322" s="53"/>
      <c r="AU322" s="53"/>
    </row>
    <row r="323" spans="3:48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3"/>
        <v>0</v>
      </c>
      <c r="M323" s="26">
        <f t="shared" si="22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67" t="e">
        <f>SUMIFS([1]Up!$J:$J,[1]Up!$D:$D,D323)</f>
        <v>#VALUE!</v>
      </c>
      <c r="AK323" s="82"/>
      <c r="AL323" s="82" t="str">
        <f t="shared" si="24"/>
        <v>PL12</v>
      </c>
      <c r="AM323" s="53" t="str">
        <f t="shared" si="25"/>
        <v/>
      </c>
      <c r="AN323" s="53" t="s">
        <v>154</v>
      </c>
      <c r="AO323" s="53" t="s">
        <v>1021</v>
      </c>
      <c r="AP323" s="53" t="s">
        <v>1022</v>
      </c>
      <c r="AQ323" s="84" t="s">
        <v>2155</v>
      </c>
      <c r="AR323" s="53">
        <v>4</v>
      </c>
      <c r="AS323" s="83" t="s">
        <v>2228</v>
      </c>
      <c r="AT323" s="53"/>
      <c r="AU323" s="53"/>
      <c r="AV323" s="238"/>
    </row>
    <row r="324" spans="3:48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3"/>
        <v>0</v>
      </c>
      <c r="M324" s="26">
        <f t="shared" si="22"/>
        <v>2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67" t="e">
        <f>SUMIFS([1]Up!$J:$J,[1]Up!$D:$D,D324)</f>
        <v>#VALUE!</v>
      </c>
      <c r="AK324" s="82"/>
      <c r="AL324" s="82" t="str">
        <f t="shared" si="24"/>
        <v>PL12</v>
      </c>
      <c r="AM324" s="53" t="str">
        <f t="shared" si="25"/>
        <v/>
      </c>
      <c r="AN324" s="53" t="s">
        <v>154</v>
      </c>
      <c r="AO324" s="53" t="s">
        <v>1021</v>
      </c>
      <c r="AP324" s="53" t="s">
        <v>1022</v>
      </c>
      <c r="AQ324" s="53" t="s">
        <v>57</v>
      </c>
      <c r="AR324" s="53">
        <v>4</v>
      </c>
      <c r="AS324" s="83"/>
      <c r="AT324" s="53"/>
      <c r="AU324" s="53"/>
    </row>
    <row r="325" spans="3:48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3"/>
        <v>0</v>
      </c>
      <c r="M325" s="26">
        <f t="shared" si="22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67" t="e">
        <f>SUMIFS([1]Up!$J:$J,[1]Up!$D:$D,D325)</f>
        <v>#VALUE!</v>
      </c>
      <c r="AK325" s="82"/>
      <c r="AL325" s="82" t="str">
        <f t="shared" si="24"/>
        <v>PL12</v>
      </c>
      <c r="AM325" s="53" t="str">
        <f t="shared" si="25"/>
        <v/>
      </c>
      <c r="AN325" s="53" t="s">
        <v>148</v>
      </c>
      <c r="AO325" s="53" t="s">
        <v>1021</v>
      </c>
      <c r="AP325" s="53" t="s">
        <v>1022</v>
      </c>
      <c r="AQ325" s="84" t="s">
        <v>2160</v>
      </c>
      <c r="AR325" s="53">
        <v>12</v>
      </c>
      <c r="AS325" s="83">
        <v>46302</v>
      </c>
      <c r="AT325" s="53"/>
      <c r="AU325" s="53"/>
      <c r="AV325" s="238"/>
    </row>
    <row r="326" spans="3:48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3"/>
        <v>0</v>
      </c>
      <c r="M326" s="26">
        <f t="shared" si="22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67" t="e">
        <f>SUMIFS([1]Up!$J:$J,[1]Up!$D:$D,D326)</f>
        <v>#VALUE!</v>
      </c>
      <c r="AK326" s="82"/>
      <c r="AL326" s="82" t="str">
        <f t="shared" si="24"/>
        <v>PL12</v>
      </c>
      <c r="AM326" s="53" t="str">
        <f t="shared" si="25"/>
        <v/>
      </c>
      <c r="AN326" s="53" t="s">
        <v>148</v>
      </c>
      <c r="AO326" s="53" t="s">
        <v>1021</v>
      </c>
      <c r="AP326" s="53" t="s">
        <v>1022</v>
      </c>
      <c r="AQ326" s="84" t="s">
        <v>2160</v>
      </c>
      <c r="AR326" s="53">
        <v>12</v>
      </c>
      <c r="AS326" s="83">
        <v>46302</v>
      </c>
      <c r="AT326" s="53"/>
      <c r="AU326" s="53"/>
      <c r="AV326" s="238"/>
    </row>
    <row r="327" spans="3:48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3"/>
        <v>0</v>
      </c>
      <c r="M327" s="26">
        <f t="shared" si="22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67" t="e">
        <f>SUMIFS([1]Up!$J:$J,[1]Up!$D:$D,D327)</f>
        <v>#VALUE!</v>
      </c>
      <c r="AK327" s="82"/>
      <c r="AL327" s="82" t="str">
        <f t="shared" si="24"/>
        <v>PL12</v>
      </c>
      <c r="AM327" s="53" t="str">
        <f t="shared" si="25"/>
        <v/>
      </c>
      <c r="AN327" s="53" t="s">
        <v>154</v>
      </c>
      <c r="AO327" s="53" t="s">
        <v>1021</v>
      </c>
      <c r="AP327" s="53" t="s">
        <v>1022</v>
      </c>
      <c r="AQ327" s="53" t="s">
        <v>57</v>
      </c>
      <c r="AR327" s="53">
        <v>4</v>
      </c>
      <c r="AS327" s="83"/>
      <c r="AT327" s="53"/>
      <c r="AU327" s="53"/>
    </row>
    <row r="328" spans="3:48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3"/>
        <v>3</v>
      </c>
      <c r="M328" s="26">
        <f t="shared" si="22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67" t="e">
        <f>SUMIFS([1]Up!$J:$J,[1]Up!$D:$D,D328)</f>
        <v>#VALUE!</v>
      </c>
      <c r="AK328" s="82"/>
      <c r="AL328" s="82" t="str">
        <f t="shared" si="24"/>
        <v/>
      </c>
      <c r="AM328" s="53" t="str">
        <f t="shared" si="25"/>
        <v/>
      </c>
      <c r="AN328" s="53" t="s">
        <v>148</v>
      </c>
      <c r="AO328" s="53" t="s">
        <v>1079</v>
      </c>
      <c r="AP328" s="53" t="s">
        <v>1076</v>
      </c>
      <c r="AQ328" s="53" t="s">
        <v>1290</v>
      </c>
      <c r="AR328" s="53">
        <v>3</v>
      </c>
      <c r="AS328" s="83">
        <v>46362</v>
      </c>
      <c r="AT328" s="53"/>
      <c r="AU328" s="53"/>
    </row>
    <row r="329" spans="3:48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3"/>
        <v>1</v>
      </c>
      <c r="M329" s="26">
        <f t="shared" si="22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67" t="e">
        <f>SUMIFS([1]Up!$J:$J,[1]Up!$D:$D,D329)</f>
        <v>#VALUE!</v>
      </c>
      <c r="AK329" s="82" t="s">
        <v>2229</v>
      </c>
      <c r="AL329" s="82" t="str">
        <f t="shared" si="24"/>
        <v>PL10</v>
      </c>
      <c r="AM329" s="53" t="str">
        <f t="shared" si="25"/>
        <v>Thừa 1</v>
      </c>
      <c r="AN329" s="53" t="s">
        <v>154</v>
      </c>
      <c r="AO329" s="53" t="s">
        <v>1005</v>
      </c>
      <c r="AP329" s="53" t="s">
        <v>1006</v>
      </c>
      <c r="AQ329" s="53" t="s">
        <v>57</v>
      </c>
      <c r="AR329" s="53">
        <v>1</v>
      </c>
      <c r="AS329" s="83"/>
      <c r="AT329" s="53"/>
      <c r="AU329" s="53"/>
    </row>
    <row r="330" spans="3:48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3"/>
        <v>1</v>
      </c>
      <c r="M330" s="26">
        <f t="shared" si="22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67" t="e">
        <f>SUMIFS([1]Up!$J:$J,[1]Up!$D:$D,D330)</f>
        <v>#VALUE!</v>
      </c>
      <c r="AK330" s="82" t="s">
        <v>2074</v>
      </c>
      <c r="AL330" s="82" t="str">
        <f t="shared" si="24"/>
        <v>PL12</v>
      </c>
      <c r="AM330" s="53" t="str">
        <f t="shared" si="25"/>
        <v>Thừa 1</v>
      </c>
      <c r="AN330" s="53" t="s">
        <v>154</v>
      </c>
      <c r="AO330" s="53" t="s">
        <v>1021</v>
      </c>
      <c r="AP330" s="53" t="s">
        <v>1022</v>
      </c>
      <c r="AQ330" s="53" t="s">
        <v>57</v>
      </c>
      <c r="AR330" s="53">
        <v>1</v>
      </c>
      <c r="AS330" s="83"/>
      <c r="AT330" s="53"/>
      <c r="AU330" s="53"/>
    </row>
    <row r="331" spans="3:48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3"/>
        <v>1</v>
      </c>
      <c r="M331" s="26">
        <f t="shared" si="22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67" t="e">
        <f>SUMIFS([1]Up!$J:$J,[1]Up!$D:$D,D331)</f>
        <v>#VALUE!</v>
      </c>
      <c r="AK331" s="82" t="s">
        <v>2074</v>
      </c>
      <c r="AL331" s="82" t="str">
        <f t="shared" si="24"/>
        <v>PL12</v>
      </c>
      <c r="AM331" s="53" t="str">
        <f t="shared" si="25"/>
        <v>Thừa 1</v>
      </c>
      <c r="AN331" s="53" t="s">
        <v>154</v>
      </c>
      <c r="AO331" s="53" t="s">
        <v>1021</v>
      </c>
      <c r="AP331" s="53" t="s">
        <v>1022</v>
      </c>
      <c r="AQ331" s="53" t="s">
        <v>57</v>
      </c>
      <c r="AR331" s="53">
        <v>1</v>
      </c>
      <c r="AS331" s="83"/>
      <c r="AT331" s="53"/>
      <c r="AU331" s="53"/>
    </row>
    <row r="332" spans="3:48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3"/>
        <v>3</v>
      </c>
      <c r="M332" s="26">
        <f t="shared" si="22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67" t="e">
        <f>SUMIFS([1]Up!$J:$J,[1]Up!$D:$D,D332)</f>
        <v>#VALUE!</v>
      </c>
      <c r="AK332" s="82"/>
      <c r="AL332" s="82" t="str">
        <f t="shared" si="24"/>
        <v>PL12</v>
      </c>
      <c r="AM332" s="53" t="str">
        <f t="shared" si="25"/>
        <v/>
      </c>
      <c r="AN332" s="53" t="s">
        <v>148</v>
      </c>
      <c r="AO332" s="53" t="s">
        <v>1021</v>
      </c>
      <c r="AP332" s="53" t="s">
        <v>1022</v>
      </c>
      <c r="AQ332" s="53" t="s">
        <v>1023</v>
      </c>
      <c r="AR332" s="53">
        <v>3</v>
      </c>
      <c r="AS332" s="83">
        <v>46088</v>
      </c>
      <c r="AT332" s="53"/>
      <c r="AU332" s="53"/>
    </row>
    <row r="333" spans="3:48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3"/>
        <v>3</v>
      </c>
      <c r="M333" s="26">
        <f t="shared" si="22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67" t="e">
        <f>SUMIFS([1]Up!$J:$J,[1]Up!$D:$D,D333)</f>
        <v>#VALUE!</v>
      </c>
      <c r="AK333" s="82"/>
      <c r="AL333" s="82" t="str">
        <f t="shared" si="24"/>
        <v>PL12</v>
      </c>
      <c r="AM333" s="53" t="str">
        <f t="shared" si="25"/>
        <v/>
      </c>
      <c r="AN333" s="53" t="s">
        <v>148</v>
      </c>
      <c r="AO333" s="53" t="s">
        <v>1021</v>
      </c>
      <c r="AP333" s="53" t="s">
        <v>1022</v>
      </c>
      <c r="AQ333" s="53" t="s">
        <v>1023</v>
      </c>
      <c r="AR333" s="53">
        <v>3</v>
      </c>
      <c r="AS333" s="83">
        <v>46088</v>
      </c>
      <c r="AT333" s="53"/>
      <c r="AU333" s="53"/>
    </row>
    <row r="334" spans="3:48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3"/>
        <v>6</v>
      </c>
      <c r="M334" s="26">
        <f t="shared" si="22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67" t="e">
        <f>SUMIFS([1]Up!$J:$J,[1]Up!$D:$D,D334)</f>
        <v>#VALUE!</v>
      </c>
      <c r="AK334" s="82"/>
      <c r="AL334" s="82" t="str">
        <f t="shared" si="24"/>
        <v>PL16</v>
      </c>
      <c r="AM334" s="53" t="str">
        <f t="shared" si="25"/>
        <v/>
      </c>
      <c r="AN334" s="53" t="s">
        <v>148</v>
      </c>
      <c r="AO334" s="53" t="s">
        <v>988</v>
      </c>
      <c r="AP334" s="53" t="s">
        <v>989</v>
      </c>
      <c r="AQ334" s="53" t="s">
        <v>990</v>
      </c>
      <c r="AR334" s="53">
        <v>6</v>
      </c>
      <c r="AS334" s="83" t="s">
        <v>2223</v>
      </c>
      <c r="AT334" s="53"/>
      <c r="AU334" s="53"/>
    </row>
    <row r="335" spans="3:48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3"/>
        <v>0</v>
      </c>
      <c r="M335" s="26">
        <f t="shared" si="22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67" t="e">
        <f>SUMIFS([1]Up!$J:$J,[1]Up!$D:$D,D335)</f>
        <v>#VALUE!</v>
      </c>
      <c r="AK335" s="82"/>
      <c r="AL335" s="82" t="str">
        <f t="shared" si="24"/>
        <v>PL10</v>
      </c>
      <c r="AM335" s="53" t="str">
        <f t="shared" si="25"/>
        <v/>
      </c>
      <c r="AN335" s="53" t="s">
        <v>154</v>
      </c>
      <c r="AO335" s="53" t="s">
        <v>1005</v>
      </c>
      <c r="AP335" s="53" t="s">
        <v>1006</v>
      </c>
      <c r="AQ335" s="53" t="s">
        <v>1064</v>
      </c>
      <c r="AR335" s="53">
        <v>1</v>
      </c>
      <c r="AS335" s="83">
        <v>46088</v>
      </c>
      <c r="AT335" s="53"/>
      <c r="AU335" s="53"/>
    </row>
    <row r="336" spans="3:48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3"/>
        <v>2</v>
      </c>
      <c r="M336" s="26">
        <f t="shared" si="22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67" t="e">
        <f>SUMIFS([1]Up!$J:$J,[1]Up!$D:$D,D336)</f>
        <v>#VALUE!</v>
      </c>
      <c r="AK336" s="82"/>
      <c r="AL336" s="82" t="str">
        <f t="shared" si="24"/>
        <v>PL20</v>
      </c>
      <c r="AM336" s="53" t="str">
        <f t="shared" si="25"/>
        <v/>
      </c>
      <c r="AN336" s="53" t="s">
        <v>148</v>
      </c>
      <c r="AO336" s="53" t="s">
        <v>1100</v>
      </c>
      <c r="AP336" s="53" t="s">
        <v>1101</v>
      </c>
      <c r="AQ336" s="53" t="s">
        <v>1308</v>
      </c>
      <c r="AR336" s="53">
        <v>2</v>
      </c>
      <c r="AS336" s="83">
        <v>46242</v>
      </c>
      <c r="AT336" s="53"/>
      <c r="AU336" s="53"/>
    </row>
    <row r="337" spans="3:47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3"/>
        <v>3</v>
      </c>
      <c r="M337" s="26">
        <f t="shared" si="22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67" t="e">
        <f>SUMIFS([1]Up!$J:$J,[1]Up!$D:$D,D337)</f>
        <v>#VALUE!</v>
      </c>
      <c r="AK337" s="82"/>
      <c r="AL337" s="82" t="str">
        <f t="shared" si="24"/>
        <v>PL20</v>
      </c>
      <c r="AM337" s="53" t="str">
        <f t="shared" si="25"/>
        <v/>
      </c>
      <c r="AN337" s="53" t="s">
        <v>148</v>
      </c>
      <c r="AO337" s="53" t="s">
        <v>1100</v>
      </c>
      <c r="AP337" s="53" t="s">
        <v>1101</v>
      </c>
      <c r="AQ337" s="53" t="s">
        <v>1308</v>
      </c>
      <c r="AR337" s="53">
        <v>3</v>
      </c>
      <c r="AS337" s="83">
        <v>46242</v>
      </c>
      <c r="AT337" s="53"/>
      <c r="AU337" s="53"/>
    </row>
    <row r="338" spans="3:47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3"/>
        <v>1</v>
      </c>
      <c r="M338" s="26">
        <f t="shared" si="22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67" t="e">
        <f>SUMIFS([1]Up!$J:$J,[1]Up!$D:$D,D338)</f>
        <v>#VALUE!</v>
      </c>
      <c r="AK338" s="82"/>
      <c r="AL338" s="82" t="str">
        <f t="shared" si="24"/>
        <v>PL20</v>
      </c>
      <c r="AM338" s="53" t="str">
        <f t="shared" si="25"/>
        <v/>
      </c>
      <c r="AN338" s="53" t="s">
        <v>148</v>
      </c>
      <c r="AO338" s="53" t="s">
        <v>1100</v>
      </c>
      <c r="AP338" s="53" t="s">
        <v>1101</v>
      </c>
      <c r="AQ338" s="53" t="s">
        <v>1308</v>
      </c>
      <c r="AR338" s="53">
        <v>1</v>
      </c>
      <c r="AS338" s="83">
        <v>46242</v>
      </c>
      <c r="AT338" s="53"/>
      <c r="AU338" s="53"/>
    </row>
    <row r="339" spans="3:47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3"/>
        <v>1</v>
      </c>
      <c r="M339" s="26">
        <f t="shared" si="22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67" t="e">
        <f>SUMIFS([1]Up!$J:$J,[1]Up!$D:$D,D339)</f>
        <v>#VALUE!</v>
      </c>
      <c r="AK339" s="82"/>
      <c r="AL339" s="82" t="str">
        <f t="shared" si="24"/>
        <v>PL30</v>
      </c>
      <c r="AM339" s="53" t="str">
        <f t="shared" si="25"/>
        <v/>
      </c>
      <c r="AN339" s="53" t="s">
        <v>148</v>
      </c>
      <c r="AO339" s="53" t="s">
        <v>1059</v>
      </c>
      <c r="AP339" s="53" t="s">
        <v>1060</v>
      </c>
      <c r="AQ339" s="53" t="s">
        <v>1061</v>
      </c>
      <c r="AR339" s="53">
        <v>1</v>
      </c>
      <c r="AS339" s="83" t="s">
        <v>2223</v>
      </c>
      <c r="AT339" s="53"/>
      <c r="AU339" s="53"/>
    </row>
    <row r="340" spans="3:47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3"/>
        <v>1</v>
      </c>
      <c r="M340" s="26">
        <f t="shared" si="22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67" t="e">
        <f>SUMIFS([1]Up!$J:$J,[1]Up!$D:$D,D340)</f>
        <v>#VALUE!</v>
      </c>
      <c r="AK340" s="82"/>
      <c r="AL340" s="82" t="str">
        <f t="shared" si="24"/>
        <v>PL10</v>
      </c>
      <c r="AM340" s="53" t="str">
        <f t="shared" si="25"/>
        <v/>
      </c>
      <c r="AN340" s="53" t="s">
        <v>148</v>
      </c>
      <c r="AO340" s="53" t="s">
        <v>1005</v>
      </c>
      <c r="AP340" s="53" t="s">
        <v>1006</v>
      </c>
      <c r="AQ340" s="53" t="s">
        <v>1064</v>
      </c>
      <c r="AR340" s="53">
        <v>1</v>
      </c>
      <c r="AS340" s="83">
        <v>46088</v>
      </c>
      <c r="AT340" s="53"/>
      <c r="AU340" s="53"/>
    </row>
    <row r="341" spans="3:47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3"/>
        <v>1</v>
      </c>
      <c r="M341" s="26">
        <f t="shared" si="22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67" t="e">
        <f>SUMIFS([1]Up!$J:$J,[1]Up!$D:$D,D341)</f>
        <v>#VALUE!</v>
      </c>
      <c r="AK341" s="82" t="s">
        <v>2072</v>
      </c>
      <c r="AL341" s="82" t="str">
        <f t="shared" si="24"/>
        <v>PL12</v>
      </c>
      <c r="AM341" s="53" t="str">
        <f t="shared" si="25"/>
        <v>Thừa 2</v>
      </c>
      <c r="AN341" s="53" t="s">
        <v>154</v>
      </c>
      <c r="AO341" s="53" t="s">
        <v>1021</v>
      </c>
      <c r="AP341" s="53" t="s">
        <v>1022</v>
      </c>
      <c r="AQ341" s="53" t="s">
        <v>57</v>
      </c>
      <c r="AR341" s="53">
        <v>1</v>
      </c>
      <c r="AS341" s="83"/>
      <c r="AT341" s="53"/>
      <c r="AU341" s="53"/>
    </row>
    <row r="342" spans="3:47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3"/>
        <v>1</v>
      </c>
      <c r="M342" s="26">
        <f t="shared" si="22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67" t="e">
        <f>SUMIFS([1]Up!$J:$J,[1]Up!$D:$D,D342)</f>
        <v>#VALUE!</v>
      </c>
      <c r="AK342" s="82"/>
      <c r="AL342" s="82" t="str">
        <f t="shared" si="24"/>
        <v>PL10</v>
      </c>
      <c r="AM342" s="53" t="str">
        <f t="shared" si="25"/>
        <v/>
      </c>
      <c r="AN342" s="53" t="s">
        <v>148</v>
      </c>
      <c r="AO342" s="53" t="s">
        <v>1005</v>
      </c>
      <c r="AP342" s="53" t="s">
        <v>1006</v>
      </c>
      <c r="AQ342" s="53" t="s">
        <v>1064</v>
      </c>
      <c r="AR342" s="53">
        <v>1</v>
      </c>
      <c r="AS342" s="83">
        <v>46088</v>
      </c>
      <c r="AT342" s="53"/>
      <c r="AU342" s="53"/>
    </row>
    <row r="343" spans="3:47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3"/>
        <v>2</v>
      </c>
      <c r="M343" s="26">
        <f t="shared" si="22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67" t="e">
        <f>SUMIFS([1]Up!$J:$J,[1]Up!$D:$D,D343)</f>
        <v>#VALUE!</v>
      </c>
      <c r="AK343" s="82"/>
      <c r="AL343" s="82" t="str">
        <f t="shared" si="24"/>
        <v>PL15</v>
      </c>
      <c r="AM343" s="53" t="str">
        <f t="shared" si="25"/>
        <v/>
      </c>
      <c r="AN343" s="53" t="s">
        <v>148</v>
      </c>
      <c r="AO343" s="53" t="s">
        <v>1094</v>
      </c>
      <c r="AP343" s="53" t="s">
        <v>1095</v>
      </c>
      <c r="AQ343" s="53" t="s">
        <v>1304</v>
      </c>
      <c r="AR343" s="53">
        <v>2</v>
      </c>
      <c r="AS343" s="83">
        <v>46088</v>
      </c>
      <c r="AT343" s="53"/>
      <c r="AU343" s="53"/>
    </row>
    <row r="344" spans="3:47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3"/>
        <v>1</v>
      </c>
      <c r="M344" s="26">
        <f t="shared" si="22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67" t="e">
        <f>SUMIFS([1]Up!$J:$J,[1]Up!$D:$D,D344)</f>
        <v>#VALUE!</v>
      </c>
      <c r="AK344" s="82" t="s">
        <v>2074</v>
      </c>
      <c r="AL344" s="82" t="str">
        <f t="shared" si="24"/>
        <v>PL10</v>
      </c>
      <c r="AM344" s="53" t="str">
        <f t="shared" si="25"/>
        <v>Thừa 1</v>
      </c>
      <c r="AN344" s="53" t="s">
        <v>154</v>
      </c>
      <c r="AO344" s="53" t="s">
        <v>1005</v>
      </c>
      <c r="AP344" s="53" t="s">
        <v>1006</v>
      </c>
      <c r="AQ344" s="53" t="s">
        <v>57</v>
      </c>
      <c r="AR344" s="53">
        <v>1</v>
      </c>
      <c r="AS344" s="83"/>
      <c r="AT344" s="53"/>
      <c r="AU344" s="53"/>
    </row>
    <row r="345" spans="3:47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3"/>
        <v>1</v>
      </c>
      <c r="M345" s="26">
        <f t="shared" si="22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67" t="e">
        <f>SUMIFS([1]Up!$J:$J,[1]Up!$D:$D,D345)</f>
        <v>#VALUE!</v>
      </c>
      <c r="AK345" s="82"/>
      <c r="AL345" s="82" t="str">
        <f t="shared" si="24"/>
        <v>PL10</v>
      </c>
      <c r="AM345" s="53" t="str">
        <f t="shared" si="25"/>
        <v/>
      </c>
      <c r="AN345" s="53" t="s">
        <v>148</v>
      </c>
      <c r="AO345" s="53" t="s">
        <v>1005</v>
      </c>
      <c r="AP345" s="53" t="s">
        <v>1006</v>
      </c>
      <c r="AQ345" s="53" t="s">
        <v>1064</v>
      </c>
      <c r="AR345" s="53">
        <v>1</v>
      </c>
      <c r="AS345" s="83">
        <v>46088</v>
      </c>
      <c r="AT345" s="53"/>
      <c r="AU345" s="53"/>
    </row>
    <row r="346" spans="3:47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3"/>
        <v>2</v>
      </c>
      <c r="M346" s="26">
        <f t="shared" si="22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67" t="e">
        <f>SUMIFS([1]Up!$J:$J,[1]Up!$D:$D,D346)</f>
        <v>#VALUE!</v>
      </c>
      <c r="AK346" s="82"/>
      <c r="AL346" s="82" t="str">
        <f t="shared" si="24"/>
        <v>PL20</v>
      </c>
      <c r="AM346" s="53" t="str">
        <f t="shared" si="25"/>
        <v/>
      </c>
      <c r="AN346" s="53" t="s">
        <v>148</v>
      </c>
      <c r="AO346" s="53" t="s">
        <v>1100</v>
      </c>
      <c r="AP346" s="53" t="s">
        <v>1101</v>
      </c>
      <c r="AQ346" s="53" t="s">
        <v>1308</v>
      </c>
      <c r="AR346" s="53">
        <v>2</v>
      </c>
      <c r="AS346" s="83">
        <v>46242</v>
      </c>
      <c r="AT346" s="53"/>
      <c r="AU346" s="53"/>
    </row>
    <row r="347" spans="3:47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3"/>
        <v>1</v>
      </c>
      <c r="M347" s="26">
        <f t="shared" si="22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67" t="e">
        <f>SUMIFS([1]Up!$J:$J,[1]Up!$D:$D,D347)</f>
        <v>#VALUE!</v>
      </c>
      <c r="AK347" s="82" t="s">
        <v>2074</v>
      </c>
      <c r="AL347" s="82" t="str">
        <f t="shared" si="24"/>
        <v>PL12</v>
      </c>
      <c r="AM347" s="53" t="str">
        <f t="shared" si="25"/>
        <v>Thừa 1</v>
      </c>
      <c r="AN347" s="53" t="s">
        <v>154</v>
      </c>
      <c r="AO347" s="53" t="s">
        <v>1021</v>
      </c>
      <c r="AP347" s="53" t="s">
        <v>1022</v>
      </c>
      <c r="AQ347" s="53" t="s">
        <v>57</v>
      </c>
      <c r="AR347" s="53">
        <v>1</v>
      </c>
      <c r="AS347" s="83"/>
      <c r="AT347" s="53"/>
      <c r="AU347" s="53"/>
    </row>
    <row r="348" spans="3:47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3"/>
        <v>1</v>
      </c>
      <c r="M348" s="26">
        <f t="shared" si="22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67" t="e">
        <f>SUMIFS([1]Up!$J:$J,[1]Up!$D:$D,D348)</f>
        <v>#VALUE!</v>
      </c>
      <c r="AK348" s="82" t="s">
        <v>2072</v>
      </c>
      <c r="AL348" s="82" t="str">
        <f t="shared" si="24"/>
        <v>PL12</v>
      </c>
      <c r="AM348" s="53" t="str">
        <f t="shared" si="25"/>
        <v>Thừa 2</v>
      </c>
      <c r="AN348" s="53" t="s">
        <v>154</v>
      </c>
      <c r="AO348" s="53" t="s">
        <v>1021</v>
      </c>
      <c r="AP348" s="53" t="s">
        <v>1022</v>
      </c>
      <c r="AQ348" s="53" t="s">
        <v>57</v>
      </c>
      <c r="AR348" s="53">
        <v>1</v>
      </c>
      <c r="AS348" s="83"/>
      <c r="AT348" s="53"/>
      <c r="AU348" s="53"/>
    </row>
    <row r="349" spans="3:47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3"/>
        <v>2</v>
      </c>
      <c r="M349" s="26">
        <f t="shared" si="22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67" t="e">
        <f>SUMIFS([1]Up!$J:$J,[1]Up!$D:$D,D349)</f>
        <v>#VALUE!</v>
      </c>
      <c r="AK349" s="82"/>
      <c r="AL349" s="82" t="str">
        <f t="shared" si="24"/>
        <v>PL12</v>
      </c>
      <c r="AM349" s="53" t="str">
        <f t="shared" si="25"/>
        <v/>
      </c>
      <c r="AN349" s="53" t="s">
        <v>148</v>
      </c>
      <c r="AO349" s="53" t="s">
        <v>1021</v>
      </c>
      <c r="AP349" s="53" t="s">
        <v>1022</v>
      </c>
      <c r="AQ349" s="53" t="s">
        <v>1023</v>
      </c>
      <c r="AR349" s="53">
        <v>2</v>
      </c>
      <c r="AS349" s="83">
        <v>46088</v>
      </c>
      <c r="AT349" s="53"/>
      <c r="AU349" s="53"/>
    </row>
    <row r="350" spans="3:47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26">MIN(SUM(N350:AI350),I350)</f>
        <v>1</v>
      </c>
      <c r="M350" s="26">
        <f t="shared" si="22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67" t="e">
        <f>SUMIFS([1]Up!$J:$J,[1]Up!$D:$D,D350)</f>
        <v>#VALUE!</v>
      </c>
      <c r="AK350" s="82"/>
      <c r="AL350" s="82" t="str">
        <f t="shared" ref="AL350:AL413" si="27">IFERROR(IF(C350="Plate",LEFT(E350,FIND("*",E350,1)-1),""),IF(C350="Plate",LEFT(E350,FIND("x",E350,1)-1),""))</f>
        <v>PL10</v>
      </c>
      <c r="AM350" s="53" t="str">
        <f t="shared" ref="AM350:AM413" si="28">IF(ROUND(SUM(N350:AI350)-I350,0)&gt;0,"Thừa "&amp;SUM(N350:AI350)-I350,"")</f>
        <v/>
      </c>
      <c r="AN350" s="53" t="s">
        <v>148</v>
      </c>
      <c r="AO350" s="53" t="s">
        <v>1005</v>
      </c>
      <c r="AP350" s="53" t="s">
        <v>1006</v>
      </c>
      <c r="AQ350" s="53" t="s">
        <v>1064</v>
      </c>
      <c r="AR350" s="53">
        <v>1</v>
      </c>
      <c r="AS350" s="83">
        <v>46088</v>
      </c>
      <c r="AT350" s="53"/>
      <c r="AU350" s="53"/>
    </row>
    <row r="351" spans="3:47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26"/>
        <v>1</v>
      </c>
      <c r="M351" s="26">
        <f t="shared" si="22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67" t="e">
        <f>SUMIFS([1]Up!$J:$J,[1]Up!$D:$D,D351)</f>
        <v>#VALUE!</v>
      </c>
      <c r="AK351" s="82"/>
      <c r="AL351" s="82" t="str">
        <f t="shared" si="27"/>
        <v>PL10</v>
      </c>
      <c r="AM351" s="53" t="str">
        <f t="shared" si="28"/>
        <v/>
      </c>
      <c r="AN351" s="53" t="s">
        <v>148</v>
      </c>
      <c r="AO351" s="53" t="s">
        <v>1005</v>
      </c>
      <c r="AP351" s="53" t="s">
        <v>1006</v>
      </c>
      <c r="AQ351" s="53" t="s">
        <v>1064</v>
      </c>
      <c r="AR351" s="53">
        <v>1</v>
      </c>
      <c r="AS351" s="83">
        <v>46088</v>
      </c>
      <c r="AT351" s="53"/>
      <c r="AU351" s="53"/>
    </row>
    <row r="352" spans="3:47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26"/>
        <v>1</v>
      </c>
      <c r="M352" s="26">
        <f t="shared" si="22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67" t="e">
        <f>SUMIFS([1]Up!$J:$J,[1]Up!$D:$D,D352)</f>
        <v>#VALUE!</v>
      </c>
      <c r="AK352" s="82"/>
      <c r="AL352" s="82" t="str">
        <f t="shared" si="27"/>
        <v>PL15</v>
      </c>
      <c r="AM352" s="53" t="str">
        <f t="shared" si="28"/>
        <v/>
      </c>
      <c r="AN352" s="53" t="s">
        <v>148</v>
      </c>
      <c r="AO352" s="53" t="s">
        <v>1094</v>
      </c>
      <c r="AP352" s="53" t="s">
        <v>1095</v>
      </c>
      <c r="AQ352" s="53" t="s">
        <v>1304</v>
      </c>
      <c r="AR352" s="53">
        <v>1</v>
      </c>
      <c r="AS352" s="83">
        <v>46088</v>
      </c>
      <c r="AT352" s="53"/>
      <c r="AU352" s="53"/>
    </row>
    <row r="353" spans="3:47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26"/>
        <v>1</v>
      </c>
      <c r="M353" s="26">
        <f t="shared" si="22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67" t="e">
        <f>SUMIFS([1]Up!$J:$J,[1]Up!$D:$D,D353)</f>
        <v>#VALUE!</v>
      </c>
      <c r="AK353" s="82"/>
      <c r="AL353" s="82" t="str">
        <f t="shared" si="27"/>
        <v>PL12</v>
      </c>
      <c r="AM353" s="53" t="str">
        <f t="shared" si="28"/>
        <v/>
      </c>
      <c r="AN353" s="53" t="s">
        <v>148</v>
      </c>
      <c r="AO353" s="53" t="s">
        <v>1021</v>
      </c>
      <c r="AP353" s="53" t="s">
        <v>1022</v>
      </c>
      <c r="AQ353" s="53" t="s">
        <v>1023</v>
      </c>
      <c r="AR353" s="53">
        <v>1</v>
      </c>
      <c r="AS353" s="83">
        <v>46088</v>
      </c>
      <c r="AT353" s="53"/>
      <c r="AU353" s="53"/>
    </row>
    <row r="354" spans="3:47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26"/>
        <v>1</v>
      </c>
      <c r="M354" s="26">
        <f t="shared" si="22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67" t="e">
        <f>SUMIFS([1]Up!$J:$J,[1]Up!$D:$D,D354)</f>
        <v>#VALUE!</v>
      </c>
      <c r="AK354" s="82"/>
      <c r="AL354" s="82" t="str">
        <f t="shared" si="27"/>
        <v>PL12</v>
      </c>
      <c r="AM354" s="53" t="str">
        <f t="shared" si="28"/>
        <v/>
      </c>
      <c r="AN354" s="53" t="s">
        <v>148</v>
      </c>
      <c r="AO354" s="53" t="s">
        <v>1021</v>
      </c>
      <c r="AP354" s="53" t="s">
        <v>1022</v>
      </c>
      <c r="AQ354" s="53" t="s">
        <v>1023</v>
      </c>
      <c r="AR354" s="53">
        <v>1</v>
      </c>
      <c r="AS354" s="83">
        <v>46088</v>
      </c>
      <c r="AT354" s="53"/>
      <c r="AU354" s="53"/>
    </row>
    <row r="355" spans="3:47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26"/>
        <v>1</v>
      </c>
      <c r="M355" s="26">
        <f t="shared" si="22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67" t="e">
        <f>SUMIFS([1]Up!$J:$J,[1]Up!$D:$D,D355)</f>
        <v>#VALUE!</v>
      </c>
      <c r="AK355" s="82"/>
      <c r="AL355" s="82" t="str">
        <f t="shared" si="27"/>
        <v>PL15</v>
      </c>
      <c r="AM355" s="53" t="str">
        <f t="shared" si="28"/>
        <v/>
      </c>
      <c r="AN355" s="53" t="s">
        <v>148</v>
      </c>
      <c r="AO355" s="53" t="s">
        <v>1094</v>
      </c>
      <c r="AP355" s="53" t="s">
        <v>1095</v>
      </c>
      <c r="AQ355" s="53" t="s">
        <v>1304</v>
      </c>
      <c r="AR355" s="53">
        <v>1</v>
      </c>
      <c r="AS355" s="83">
        <v>46088</v>
      </c>
      <c r="AT355" s="53"/>
      <c r="AU355" s="53"/>
    </row>
    <row r="356" spans="3:47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26"/>
        <v>1</v>
      </c>
      <c r="M356" s="26">
        <f t="shared" si="22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67" t="e">
        <f>SUMIFS([1]Up!$J:$J,[1]Up!$D:$D,D356)</f>
        <v>#VALUE!</v>
      </c>
      <c r="AK356" s="82" t="s">
        <v>2229</v>
      </c>
      <c r="AL356" s="82" t="str">
        <f t="shared" si="27"/>
        <v>PL10</v>
      </c>
      <c r="AM356" s="53" t="str">
        <f t="shared" si="28"/>
        <v>Thừa 1</v>
      </c>
      <c r="AN356" s="53" t="s">
        <v>154</v>
      </c>
      <c r="AO356" s="53" t="s">
        <v>1005</v>
      </c>
      <c r="AP356" s="53" t="s">
        <v>1006</v>
      </c>
      <c r="AQ356" s="53" t="s">
        <v>57</v>
      </c>
      <c r="AR356" s="53">
        <v>1</v>
      </c>
      <c r="AS356" s="83"/>
      <c r="AT356" s="53"/>
      <c r="AU356" s="53"/>
    </row>
    <row r="357" spans="3:47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26"/>
        <v>1</v>
      </c>
      <c r="M357" s="26">
        <f t="shared" si="22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67" t="e">
        <f>SUMIFS([1]Up!$J:$J,[1]Up!$D:$D,D357)</f>
        <v>#VALUE!</v>
      </c>
      <c r="AK357" s="82" t="s">
        <v>2072</v>
      </c>
      <c r="AL357" s="82" t="str">
        <f t="shared" si="27"/>
        <v>PL12</v>
      </c>
      <c r="AM357" s="53" t="str">
        <f t="shared" si="28"/>
        <v>Thừa 2</v>
      </c>
      <c r="AN357" s="53" t="s">
        <v>154</v>
      </c>
      <c r="AO357" s="53" t="s">
        <v>1021</v>
      </c>
      <c r="AP357" s="53" t="s">
        <v>1022</v>
      </c>
      <c r="AQ357" s="53" t="s">
        <v>57</v>
      </c>
      <c r="AR357" s="53">
        <v>1</v>
      </c>
      <c r="AS357" s="83"/>
      <c r="AT357" s="53"/>
      <c r="AU357" s="53"/>
    </row>
    <row r="358" spans="3:47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26"/>
        <v>3</v>
      </c>
      <c r="M358" s="26">
        <f t="shared" si="22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67" t="e">
        <f>SUMIFS([1]Up!$J:$J,[1]Up!$D:$D,D358)</f>
        <v>#VALUE!</v>
      </c>
      <c r="AK358" s="82"/>
      <c r="AL358" s="82" t="str">
        <f t="shared" si="27"/>
        <v>PL12</v>
      </c>
      <c r="AM358" s="53" t="str">
        <f t="shared" si="28"/>
        <v/>
      </c>
      <c r="AN358" s="53" t="s">
        <v>148</v>
      </c>
      <c r="AO358" s="53" t="s">
        <v>1021</v>
      </c>
      <c r="AP358" s="53" t="s">
        <v>1022</v>
      </c>
      <c r="AQ358" s="53" t="s">
        <v>1023</v>
      </c>
      <c r="AR358" s="53">
        <v>3</v>
      </c>
      <c r="AS358" s="83">
        <v>46088</v>
      </c>
      <c r="AT358" s="53"/>
      <c r="AU358" s="53"/>
    </row>
    <row r="359" spans="3:47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26"/>
        <v>2</v>
      </c>
      <c r="M359" s="26">
        <f t="shared" si="22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67" t="e">
        <f>SUMIFS([1]Up!$J:$J,[1]Up!$D:$D,D359)</f>
        <v>#VALUE!</v>
      </c>
      <c r="AK359" s="82"/>
      <c r="AL359" s="82" t="str">
        <f t="shared" si="27"/>
        <v>PL20</v>
      </c>
      <c r="AM359" s="53" t="str">
        <f t="shared" si="28"/>
        <v/>
      </c>
      <c r="AN359" s="53" t="s">
        <v>148</v>
      </c>
      <c r="AO359" s="53" t="s">
        <v>1100</v>
      </c>
      <c r="AP359" s="53" t="s">
        <v>1101</v>
      </c>
      <c r="AQ359" s="53" t="s">
        <v>1308</v>
      </c>
      <c r="AR359" s="53">
        <v>2</v>
      </c>
      <c r="AS359" s="83">
        <v>46242</v>
      </c>
      <c r="AT359" s="53"/>
      <c r="AU359" s="53"/>
    </row>
    <row r="360" spans="3:47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26"/>
        <v>1</v>
      </c>
      <c r="M360" s="26">
        <f t="shared" si="22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67" t="e">
        <f>SUMIFS([1]Up!$J:$J,[1]Up!$D:$D,D360)</f>
        <v>#VALUE!</v>
      </c>
      <c r="AK360" s="82" t="s">
        <v>2229</v>
      </c>
      <c r="AL360" s="82" t="str">
        <f t="shared" si="27"/>
        <v>PL12</v>
      </c>
      <c r="AM360" s="53" t="str">
        <f t="shared" si="28"/>
        <v>Thừa 1</v>
      </c>
      <c r="AN360" s="53" t="s">
        <v>154</v>
      </c>
      <c r="AO360" s="53" t="s">
        <v>1021</v>
      </c>
      <c r="AP360" s="53" t="s">
        <v>1022</v>
      </c>
      <c r="AQ360" s="53" t="s">
        <v>57</v>
      </c>
      <c r="AR360" s="53">
        <v>1</v>
      </c>
      <c r="AS360" s="83"/>
      <c r="AT360" s="53"/>
      <c r="AU360" s="53"/>
    </row>
    <row r="361" spans="3:47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26"/>
        <v>2</v>
      </c>
      <c r="M361" s="26">
        <f t="shared" si="22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67" t="e">
        <f>SUMIFS([1]Up!$J:$J,[1]Up!$D:$D,D361)</f>
        <v>#VALUE!</v>
      </c>
      <c r="AK361" s="82"/>
      <c r="AL361" s="82" t="str">
        <f t="shared" si="27"/>
        <v>PL15</v>
      </c>
      <c r="AM361" s="53" t="str">
        <f t="shared" si="28"/>
        <v/>
      </c>
      <c r="AN361" s="53" t="s">
        <v>148</v>
      </c>
      <c r="AO361" s="53" t="s">
        <v>1094</v>
      </c>
      <c r="AP361" s="53" t="s">
        <v>1095</v>
      </c>
      <c r="AQ361" s="53" t="s">
        <v>1304</v>
      </c>
      <c r="AR361" s="53">
        <v>2</v>
      </c>
      <c r="AS361" s="83">
        <v>46088</v>
      </c>
      <c r="AT361" s="53"/>
      <c r="AU361" s="53"/>
    </row>
    <row r="362" spans="3:47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26"/>
        <v>2</v>
      </c>
      <c r="M362" s="26">
        <f t="shared" si="22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67" t="e">
        <f>SUMIFS([1]Up!$J:$J,[1]Up!$D:$D,D362)</f>
        <v>#VALUE!</v>
      </c>
      <c r="AK362" s="82"/>
      <c r="AL362" s="82" t="str">
        <f t="shared" si="27"/>
        <v>PL20</v>
      </c>
      <c r="AM362" s="53" t="str">
        <f t="shared" si="28"/>
        <v/>
      </c>
      <c r="AN362" s="53" t="s">
        <v>148</v>
      </c>
      <c r="AO362" s="53" t="s">
        <v>1100</v>
      </c>
      <c r="AP362" s="53" t="s">
        <v>1101</v>
      </c>
      <c r="AQ362" s="53" t="s">
        <v>1308</v>
      </c>
      <c r="AR362" s="53">
        <v>2</v>
      </c>
      <c r="AS362" s="83">
        <v>46242</v>
      </c>
      <c r="AT362" s="53"/>
      <c r="AU362" s="53"/>
    </row>
    <row r="363" spans="3:47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26"/>
        <v>1</v>
      </c>
      <c r="M363" s="26">
        <f t="shared" si="22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67" t="e">
        <f>SUMIFS([1]Up!$J:$J,[1]Up!$D:$D,D363)</f>
        <v>#VALUE!</v>
      </c>
      <c r="AK363" s="82"/>
      <c r="AL363" s="82" t="str">
        <f t="shared" si="27"/>
        <v>PL10</v>
      </c>
      <c r="AM363" s="53" t="str">
        <f t="shared" si="28"/>
        <v/>
      </c>
      <c r="AN363" s="53" t="s">
        <v>148</v>
      </c>
      <c r="AO363" s="53" t="s">
        <v>1005</v>
      </c>
      <c r="AP363" s="53" t="s">
        <v>1006</v>
      </c>
      <c r="AQ363" s="53" t="s">
        <v>1064</v>
      </c>
      <c r="AR363" s="53">
        <v>1</v>
      </c>
      <c r="AS363" s="83">
        <v>46088</v>
      </c>
      <c r="AT363" s="53"/>
      <c r="AU363" s="53"/>
    </row>
    <row r="364" spans="3:47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26"/>
        <v>1</v>
      </c>
      <c r="M364" s="26">
        <f t="shared" si="22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67" t="e">
        <f>SUMIFS([1]Up!$J:$J,[1]Up!$D:$D,D364)</f>
        <v>#VALUE!</v>
      </c>
      <c r="AK364" s="82" t="s">
        <v>2074</v>
      </c>
      <c r="AL364" s="82" t="str">
        <f t="shared" si="27"/>
        <v>PL10</v>
      </c>
      <c r="AM364" s="53" t="str">
        <f t="shared" si="28"/>
        <v>Thừa 1</v>
      </c>
      <c r="AN364" s="53" t="s">
        <v>154</v>
      </c>
      <c r="AO364" s="53" t="s">
        <v>1005</v>
      </c>
      <c r="AP364" s="53" t="s">
        <v>1006</v>
      </c>
      <c r="AQ364" s="53" t="s">
        <v>57</v>
      </c>
      <c r="AR364" s="53">
        <v>1</v>
      </c>
      <c r="AS364" s="83"/>
      <c r="AT364" s="53"/>
      <c r="AU364" s="53"/>
    </row>
    <row r="365" spans="3:47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26"/>
        <v>1</v>
      </c>
      <c r="M365" s="26">
        <f t="shared" si="22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67" t="e">
        <f>SUMIFS([1]Up!$J:$J,[1]Up!$D:$D,D365)</f>
        <v>#VALUE!</v>
      </c>
      <c r="AK365" s="82"/>
      <c r="AL365" s="82" t="str">
        <f t="shared" si="27"/>
        <v>PL10</v>
      </c>
      <c r="AM365" s="53" t="str">
        <f t="shared" si="28"/>
        <v/>
      </c>
      <c r="AN365" s="53" t="s">
        <v>148</v>
      </c>
      <c r="AO365" s="53" t="s">
        <v>1005</v>
      </c>
      <c r="AP365" s="53" t="s">
        <v>1006</v>
      </c>
      <c r="AQ365" s="53" t="s">
        <v>1064</v>
      </c>
      <c r="AR365" s="53">
        <v>1</v>
      </c>
      <c r="AS365" s="83">
        <v>46088</v>
      </c>
      <c r="AT365" s="53"/>
      <c r="AU365" s="53"/>
    </row>
    <row r="366" spans="3:47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26"/>
        <v>2</v>
      </c>
      <c r="M366" s="26">
        <f t="shared" si="22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67" t="e">
        <f>SUMIFS([1]Up!$J:$J,[1]Up!$D:$D,D366)</f>
        <v>#VALUE!</v>
      </c>
      <c r="AK366" s="82"/>
      <c r="AL366" s="82" t="str">
        <f t="shared" si="27"/>
        <v>PL20</v>
      </c>
      <c r="AM366" s="53" t="str">
        <f t="shared" si="28"/>
        <v/>
      </c>
      <c r="AN366" s="53" t="s">
        <v>148</v>
      </c>
      <c r="AO366" s="53" t="s">
        <v>1100</v>
      </c>
      <c r="AP366" s="53" t="s">
        <v>1101</v>
      </c>
      <c r="AQ366" s="53" t="s">
        <v>1308</v>
      </c>
      <c r="AR366" s="53">
        <v>2</v>
      </c>
      <c r="AS366" s="83">
        <v>46242</v>
      </c>
      <c r="AT366" s="53"/>
      <c r="AU366" s="53"/>
    </row>
    <row r="367" spans="3:47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26"/>
        <v>1</v>
      </c>
      <c r="M367" s="26">
        <f t="shared" si="22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67" t="e">
        <f>SUMIFS([1]Up!$J:$J,[1]Up!$D:$D,D367)</f>
        <v>#VALUE!</v>
      </c>
      <c r="AK367" s="82" t="s">
        <v>2229</v>
      </c>
      <c r="AL367" s="82" t="str">
        <f t="shared" si="27"/>
        <v>PL12</v>
      </c>
      <c r="AM367" s="53" t="str">
        <f t="shared" si="28"/>
        <v>Thừa 1</v>
      </c>
      <c r="AN367" s="53" t="s">
        <v>154</v>
      </c>
      <c r="AO367" s="53" t="s">
        <v>1021</v>
      </c>
      <c r="AP367" s="53" t="s">
        <v>1022</v>
      </c>
      <c r="AQ367" s="53" t="s">
        <v>57</v>
      </c>
      <c r="AR367" s="53">
        <v>1</v>
      </c>
      <c r="AS367" s="83"/>
      <c r="AT367" s="53"/>
      <c r="AU367" s="53"/>
    </row>
    <row r="368" spans="3:47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26"/>
        <v>1</v>
      </c>
      <c r="M368" s="26">
        <f t="shared" si="22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67" t="e">
        <f>SUMIFS([1]Up!$J:$J,[1]Up!$D:$D,D368)</f>
        <v>#VALUE!</v>
      </c>
      <c r="AK368" s="82" t="s">
        <v>2072</v>
      </c>
      <c r="AL368" s="82" t="str">
        <f t="shared" si="27"/>
        <v>PL12</v>
      </c>
      <c r="AM368" s="53" t="str">
        <f t="shared" si="28"/>
        <v>Thừa 2</v>
      </c>
      <c r="AN368" s="53" t="s">
        <v>154</v>
      </c>
      <c r="AO368" s="53" t="s">
        <v>1021</v>
      </c>
      <c r="AP368" s="53" t="s">
        <v>1022</v>
      </c>
      <c r="AQ368" s="53" t="s">
        <v>57</v>
      </c>
      <c r="AR368" s="53">
        <v>1</v>
      </c>
      <c r="AS368" s="83"/>
      <c r="AT368" s="53"/>
      <c r="AU368" s="53"/>
    </row>
    <row r="369" spans="3:48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26"/>
        <v>3</v>
      </c>
      <c r="M369" s="26">
        <f t="shared" si="22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67" t="e">
        <f>SUMIFS([1]Up!$J:$J,[1]Up!$D:$D,D369)</f>
        <v>#VALUE!</v>
      </c>
      <c r="AK369" s="82"/>
      <c r="AL369" s="82" t="str">
        <f t="shared" si="27"/>
        <v>PL12</v>
      </c>
      <c r="AM369" s="53" t="str">
        <f t="shared" si="28"/>
        <v/>
      </c>
      <c r="AN369" s="53" t="s">
        <v>148</v>
      </c>
      <c r="AO369" s="53" t="s">
        <v>1021</v>
      </c>
      <c r="AP369" s="53" t="s">
        <v>1022</v>
      </c>
      <c r="AQ369" s="53" t="s">
        <v>1023</v>
      </c>
      <c r="AR369" s="53">
        <v>3</v>
      </c>
      <c r="AS369" s="83">
        <v>46088</v>
      </c>
      <c r="AT369" s="53"/>
      <c r="AU369" s="53"/>
    </row>
    <row r="370" spans="3:48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26"/>
        <v>1</v>
      </c>
      <c r="M370" s="26">
        <f t="shared" si="22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67" t="e">
        <f>SUMIFS([1]Up!$J:$J,[1]Up!$D:$D,D370)</f>
        <v>#VALUE!</v>
      </c>
      <c r="AK370" s="82"/>
      <c r="AL370" s="82" t="str">
        <f t="shared" si="27"/>
        <v>PL10</v>
      </c>
      <c r="AM370" s="53" t="str">
        <f t="shared" si="28"/>
        <v/>
      </c>
      <c r="AN370" s="53" t="s">
        <v>148</v>
      </c>
      <c r="AO370" s="53" t="s">
        <v>1005</v>
      </c>
      <c r="AP370" s="53" t="s">
        <v>1006</v>
      </c>
      <c r="AQ370" s="53" t="s">
        <v>1064</v>
      </c>
      <c r="AR370" s="53">
        <v>1</v>
      </c>
      <c r="AS370" s="83">
        <v>46088</v>
      </c>
      <c r="AT370" s="53"/>
      <c r="AU370" s="53"/>
    </row>
    <row r="371" spans="3:48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26"/>
        <v>0</v>
      </c>
      <c r="M371" s="26">
        <f t="shared" si="22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67" t="e">
        <f>SUMIFS([1]Up!$J:$J,[1]Up!$D:$D,D371)</f>
        <v>#VALUE!</v>
      </c>
      <c r="AK371" s="82"/>
      <c r="AL371" s="82" t="str">
        <f t="shared" si="27"/>
        <v/>
      </c>
      <c r="AM371" s="53" t="str">
        <f t="shared" si="28"/>
        <v/>
      </c>
      <c r="AN371" s="53" t="s">
        <v>148</v>
      </c>
      <c r="AO371" s="53" t="s">
        <v>1079</v>
      </c>
      <c r="AP371" s="53" t="s">
        <v>1076</v>
      </c>
      <c r="AQ371" s="84" t="s">
        <v>2162</v>
      </c>
      <c r="AR371" s="53">
        <v>12</v>
      </c>
      <c r="AS371" s="83" t="s">
        <v>2225</v>
      </c>
      <c r="AT371" s="53"/>
      <c r="AU371" s="53"/>
      <c r="AV371" s="238"/>
    </row>
    <row r="372" spans="3:48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26"/>
        <v>0</v>
      </c>
      <c r="M372" s="26">
        <f t="shared" si="22"/>
        <v>2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67" t="e">
        <f>SUMIFS([1]Up!$J:$J,[1]Up!$D:$D,D372)</f>
        <v>#VALUE!</v>
      </c>
      <c r="AK372" s="82"/>
      <c r="AL372" s="82" t="str">
        <f t="shared" si="27"/>
        <v>PL10</v>
      </c>
      <c r="AM372" s="53" t="str">
        <f t="shared" si="28"/>
        <v/>
      </c>
      <c r="AN372" s="53" t="s">
        <v>154</v>
      </c>
      <c r="AO372" s="53" t="s">
        <v>1005</v>
      </c>
      <c r="AP372" s="53" t="s">
        <v>1006</v>
      </c>
      <c r="AQ372" s="53" t="s">
        <v>57</v>
      </c>
      <c r="AR372" s="53">
        <v>4</v>
      </c>
      <c r="AS372" s="83"/>
      <c r="AT372" s="53"/>
      <c r="AU372" s="53"/>
    </row>
    <row r="373" spans="3:48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26"/>
        <v>0</v>
      </c>
      <c r="M373" s="26">
        <f t="shared" si="22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67" t="e">
        <f>SUMIFS([1]Up!$J:$J,[1]Up!$D:$D,D373)</f>
        <v>#VALUE!</v>
      </c>
      <c r="AK373" s="82"/>
      <c r="AL373" s="82" t="str">
        <f t="shared" si="27"/>
        <v>PL12</v>
      </c>
      <c r="AM373" s="53" t="str">
        <f t="shared" si="28"/>
        <v/>
      </c>
      <c r="AN373" s="53" t="s">
        <v>154</v>
      </c>
      <c r="AO373" s="53" t="s">
        <v>1021</v>
      </c>
      <c r="AP373" s="53" t="s">
        <v>1022</v>
      </c>
      <c r="AQ373" s="53" t="s">
        <v>57</v>
      </c>
      <c r="AR373" s="53">
        <v>4</v>
      </c>
      <c r="AS373" s="83"/>
      <c r="AT373" s="53"/>
      <c r="AU373" s="53"/>
    </row>
    <row r="374" spans="3:48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26"/>
        <v>0</v>
      </c>
      <c r="M374" s="26">
        <f t="shared" si="22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67" t="e">
        <f>SUMIFS([1]Up!$J:$J,[1]Up!$D:$D,D374)</f>
        <v>#VALUE!</v>
      </c>
      <c r="AK374" s="82"/>
      <c r="AL374" s="82" t="str">
        <f t="shared" si="27"/>
        <v>PL12</v>
      </c>
      <c r="AM374" s="53" t="str">
        <f t="shared" si="28"/>
        <v/>
      </c>
      <c r="AN374" s="53" t="s">
        <v>154</v>
      </c>
      <c r="AO374" s="53" t="s">
        <v>1021</v>
      </c>
      <c r="AP374" s="53" t="s">
        <v>1022</v>
      </c>
      <c r="AQ374" s="53" t="s">
        <v>57</v>
      </c>
      <c r="AR374" s="53">
        <v>4</v>
      </c>
      <c r="AS374" s="83"/>
      <c r="AT374" s="53"/>
      <c r="AU374" s="53"/>
    </row>
    <row r="375" spans="3:48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26"/>
        <v>0</v>
      </c>
      <c r="M375" s="26">
        <f t="shared" si="22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67" t="e">
        <f>SUMIFS([1]Up!$J:$J,[1]Up!$D:$D,D375)</f>
        <v>#VALUE!</v>
      </c>
      <c r="AK375" s="82"/>
      <c r="AL375" s="82" t="str">
        <f t="shared" si="27"/>
        <v>PL12</v>
      </c>
      <c r="AM375" s="53" t="str">
        <f t="shared" si="28"/>
        <v/>
      </c>
      <c r="AN375" s="53" t="s">
        <v>148</v>
      </c>
      <c r="AO375" s="53" t="s">
        <v>1021</v>
      </c>
      <c r="AP375" s="53" t="s">
        <v>1022</v>
      </c>
      <c r="AQ375" s="84" t="s">
        <v>2160</v>
      </c>
      <c r="AR375" s="53">
        <v>12</v>
      </c>
      <c r="AS375" s="83">
        <v>46302</v>
      </c>
      <c r="AT375" s="53"/>
      <c r="AU375" s="53"/>
      <c r="AV375" s="238"/>
    </row>
    <row r="376" spans="3:48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26"/>
        <v>0</v>
      </c>
      <c r="M376" s="26">
        <f t="shared" si="22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67" t="e">
        <f>SUMIFS([1]Up!$J:$J,[1]Up!$D:$D,D376)</f>
        <v>#VALUE!</v>
      </c>
      <c r="AK376" s="82"/>
      <c r="AL376" s="82" t="str">
        <f t="shared" si="27"/>
        <v>PL12</v>
      </c>
      <c r="AM376" s="53" t="str">
        <f t="shared" si="28"/>
        <v/>
      </c>
      <c r="AN376" s="53" t="s">
        <v>148</v>
      </c>
      <c r="AO376" s="53" t="s">
        <v>1021</v>
      </c>
      <c r="AP376" s="53" t="s">
        <v>1022</v>
      </c>
      <c r="AQ376" s="84" t="s">
        <v>2160</v>
      </c>
      <c r="AR376" s="53">
        <v>12</v>
      </c>
      <c r="AS376" s="83">
        <v>46302</v>
      </c>
      <c r="AT376" s="53"/>
      <c r="AU376" s="53"/>
      <c r="AV376" s="238"/>
    </row>
    <row r="377" spans="3:48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26"/>
        <v>0</v>
      </c>
      <c r="M377" s="26">
        <f t="shared" si="22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67" t="e">
        <f>SUMIFS([1]Up!$J:$J,[1]Up!$D:$D,D377)</f>
        <v>#VALUE!</v>
      </c>
      <c r="AK377" s="82"/>
      <c r="AL377" s="82" t="str">
        <f t="shared" si="27"/>
        <v>PL16</v>
      </c>
      <c r="AM377" s="53" t="str">
        <f t="shared" si="28"/>
        <v/>
      </c>
      <c r="AN377" s="53" t="s">
        <v>148</v>
      </c>
      <c r="AO377" s="53" t="s">
        <v>988</v>
      </c>
      <c r="AP377" s="53" t="s">
        <v>989</v>
      </c>
      <c r="AQ377" s="84" t="s">
        <v>2161</v>
      </c>
      <c r="AR377" s="53">
        <v>24</v>
      </c>
      <c r="AS377" s="83" t="s">
        <v>2226</v>
      </c>
      <c r="AT377" s="53"/>
      <c r="AU377" s="53"/>
      <c r="AV377" s="238"/>
    </row>
    <row r="378" spans="3:48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26"/>
        <v>0</v>
      </c>
      <c r="M378" s="26">
        <f t="shared" si="22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67" t="e">
        <f>SUMIFS([1]Up!$J:$J,[1]Up!$D:$D,D378)</f>
        <v>#VALUE!</v>
      </c>
      <c r="AK378" s="82"/>
      <c r="AL378" s="82" t="str">
        <f t="shared" si="27"/>
        <v>PL10</v>
      </c>
      <c r="AM378" s="53" t="str">
        <f t="shared" si="28"/>
        <v/>
      </c>
      <c r="AN378" s="53" t="s">
        <v>154</v>
      </c>
      <c r="AO378" s="53" t="s">
        <v>1005</v>
      </c>
      <c r="AP378" s="53" t="s">
        <v>1006</v>
      </c>
      <c r="AQ378" s="84" t="s">
        <v>2157</v>
      </c>
      <c r="AR378" s="53">
        <v>4</v>
      </c>
      <c r="AS378" s="83">
        <v>46302</v>
      </c>
      <c r="AT378" s="53"/>
      <c r="AU378" s="53"/>
      <c r="AV378" s="238"/>
    </row>
    <row r="379" spans="3:48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26"/>
        <v>0</v>
      </c>
      <c r="M379" s="26">
        <f t="shared" si="22"/>
        <v>4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67" t="e">
        <f>SUMIFS([1]Up!$J:$J,[1]Up!$D:$D,D379)</f>
        <v>#VALUE!</v>
      </c>
      <c r="AK379" s="82"/>
      <c r="AL379" s="82" t="str">
        <f t="shared" si="27"/>
        <v>PL20</v>
      </c>
      <c r="AM379" s="53" t="str">
        <f t="shared" si="28"/>
        <v/>
      </c>
      <c r="AN379" s="53" t="s">
        <v>148</v>
      </c>
      <c r="AO379" s="53" t="s">
        <v>1100</v>
      </c>
      <c r="AP379" s="53" t="s">
        <v>1101</v>
      </c>
      <c r="AQ379" s="84" t="s">
        <v>2158</v>
      </c>
      <c r="AR379" s="53">
        <v>8</v>
      </c>
      <c r="AS379" s="83">
        <v>46242</v>
      </c>
      <c r="AT379" s="53"/>
      <c r="AU379" s="53"/>
      <c r="AV379" s="238"/>
    </row>
    <row r="380" spans="3:48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26"/>
        <v>0</v>
      </c>
      <c r="M380" s="26">
        <f t="shared" si="22"/>
        <v>6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67" t="e">
        <f>SUMIFS([1]Up!$J:$J,[1]Up!$D:$D,D380)</f>
        <v>#VALUE!</v>
      </c>
      <c r="AK380" s="82"/>
      <c r="AL380" s="82" t="str">
        <f t="shared" si="27"/>
        <v>PL20</v>
      </c>
      <c r="AM380" s="53" t="str">
        <f t="shared" si="28"/>
        <v/>
      </c>
      <c r="AN380" s="53" t="s">
        <v>148</v>
      </c>
      <c r="AO380" s="53" t="s">
        <v>1100</v>
      </c>
      <c r="AP380" s="53" t="s">
        <v>1101</v>
      </c>
      <c r="AQ380" s="84" t="s">
        <v>2158</v>
      </c>
      <c r="AR380" s="53">
        <v>12</v>
      </c>
      <c r="AS380" s="83">
        <v>46242</v>
      </c>
      <c r="AT380" s="53"/>
      <c r="AU380" s="53"/>
      <c r="AV380" s="238"/>
    </row>
    <row r="381" spans="3:48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26"/>
        <v>0</v>
      </c>
      <c r="M381" s="26">
        <f t="shared" si="22"/>
        <v>2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67" t="e">
        <f>SUMIFS([1]Up!$J:$J,[1]Up!$D:$D,D381)</f>
        <v>#VALUE!</v>
      </c>
      <c r="AK381" s="82"/>
      <c r="AL381" s="82" t="str">
        <f t="shared" si="27"/>
        <v>PL20</v>
      </c>
      <c r="AM381" s="53" t="str">
        <f t="shared" si="28"/>
        <v/>
      </c>
      <c r="AN381" s="53" t="s">
        <v>148</v>
      </c>
      <c r="AO381" s="53" t="s">
        <v>1100</v>
      </c>
      <c r="AP381" s="53" t="s">
        <v>1101</v>
      </c>
      <c r="AQ381" s="84" t="s">
        <v>2158</v>
      </c>
      <c r="AR381" s="53">
        <v>4</v>
      </c>
      <c r="AS381" s="83">
        <v>46242</v>
      </c>
      <c r="AT381" s="53"/>
      <c r="AU381" s="53"/>
      <c r="AV381" s="238"/>
    </row>
    <row r="382" spans="3:48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26"/>
        <v>0</v>
      </c>
      <c r="M382" s="26">
        <f t="shared" si="22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67" t="e">
        <f>SUMIFS([1]Up!$J:$J,[1]Up!$D:$D,D382)</f>
        <v>#VALUE!</v>
      </c>
      <c r="AK382" s="82"/>
      <c r="AL382" s="82" t="str">
        <f t="shared" si="27"/>
        <v>PL30</v>
      </c>
      <c r="AM382" s="53" t="str">
        <f t="shared" si="28"/>
        <v/>
      </c>
      <c r="AN382" s="53" t="s">
        <v>148</v>
      </c>
      <c r="AO382" s="53" t="s">
        <v>1059</v>
      </c>
      <c r="AP382" s="53" t="s">
        <v>1060</v>
      </c>
      <c r="AQ382" s="84" t="s">
        <v>2180</v>
      </c>
      <c r="AR382" s="53">
        <v>4</v>
      </c>
      <c r="AS382" s="83">
        <v>46302</v>
      </c>
      <c r="AT382" s="53"/>
      <c r="AU382" s="53"/>
      <c r="AV382" s="238"/>
    </row>
    <row r="383" spans="3:48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26"/>
        <v>0</v>
      </c>
      <c r="M383" s="26">
        <f t="shared" si="22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67" t="e">
        <f>SUMIFS([1]Up!$J:$J,[1]Up!$D:$D,D383)</f>
        <v>#VALUE!</v>
      </c>
      <c r="AK383" s="82"/>
      <c r="AL383" s="82" t="str">
        <f t="shared" si="27"/>
        <v>PL10</v>
      </c>
      <c r="AM383" s="53" t="str">
        <f t="shared" si="28"/>
        <v/>
      </c>
      <c r="AN383" s="53" t="s">
        <v>148</v>
      </c>
      <c r="AO383" s="53" t="s">
        <v>1005</v>
      </c>
      <c r="AP383" s="53" t="s">
        <v>1006</v>
      </c>
      <c r="AQ383" s="84" t="s">
        <v>2157</v>
      </c>
      <c r="AR383" s="53">
        <v>4</v>
      </c>
      <c r="AS383" s="83">
        <v>46302</v>
      </c>
      <c r="AT383" s="53"/>
      <c r="AU383" s="53"/>
      <c r="AV383" s="238"/>
    </row>
    <row r="384" spans="3:48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26"/>
        <v>0</v>
      </c>
      <c r="M384" s="26">
        <f t="shared" si="22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67" t="e">
        <f>SUMIFS([1]Up!$J:$J,[1]Up!$D:$D,D384)</f>
        <v>#VALUE!</v>
      </c>
      <c r="AK384" s="82"/>
      <c r="AL384" s="82" t="str">
        <f t="shared" si="27"/>
        <v>PL12</v>
      </c>
      <c r="AM384" s="53" t="str">
        <f t="shared" si="28"/>
        <v/>
      </c>
      <c r="AN384" s="53" t="s">
        <v>154</v>
      </c>
      <c r="AO384" s="53" t="s">
        <v>1021</v>
      </c>
      <c r="AP384" s="53" t="s">
        <v>1022</v>
      </c>
      <c r="AQ384" s="53" t="s">
        <v>57</v>
      </c>
      <c r="AR384" s="53">
        <v>4</v>
      </c>
      <c r="AS384" s="83"/>
      <c r="AT384" s="53"/>
      <c r="AU384" s="53"/>
    </row>
    <row r="385" spans="3:48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26"/>
        <v>0</v>
      </c>
      <c r="M385" s="26">
        <f t="shared" si="22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67" t="e">
        <f>SUMIFS([1]Up!$J:$J,[1]Up!$D:$D,D385)</f>
        <v>#VALUE!</v>
      </c>
      <c r="AK385" s="82"/>
      <c r="AL385" s="82" t="str">
        <f t="shared" si="27"/>
        <v>PL10</v>
      </c>
      <c r="AM385" s="53" t="str">
        <f t="shared" si="28"/>
        <v/>
      </c>
      <c r="AN385" s="53" t="s">
        <v>148</v>
      </c>
      <c r="AO385" s="53" t="s">
        <v>1005</v>
      </c>
      <c r="AP385" s="53" t="s">
        <v>1006</v>
      </c>
      <c r="AQ385" s="84" t="s">
        <v>2157</v>
      </c>
      <c r="AR385" s="53">
        <v>4</v>
      </c>
      <c r="AS385" s="83">
        <v>46302</v>
      </c>
      <c r="AT385" s="53"/>
      <c r="AU385" s="53"/>
      <c r="AV385" s="238"/>
    </row>
    <row r="386" spans="3:48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26"/>
        <v>0</v>
      </c>
      <c r="M386" s="26">
        <f t="shared" si="22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67" t="e">
        <f>SUMIFS([1]Up!$J:$J,[1]Up!$D:$D,D386)</f>
        <v>#VALUE!</v>
      </c>
      <c r="AK386" s="82"/>
      <c r="AL386" s="82" t="str">
        <f t="shared" si="27"/>
        <v>PL15</v>
      </c>
      <c r="AM386" s="53" t="str">
        <f t="shared" si="28"/>
        <v/>
      </c>
      <c r="AN386" s="53" t="s">
        <v>148</v>
      </c>
      <c r="AO386" s="53" t="s">
        <v>1094</v>
      </c>
      <c r="AP386" s="53" t="s">
        <v>1095</v>
      </c>
      <c r="AQ386" s="84" t="s">
        <v>2156</v>
      </c>
      <c r="AR386" s="53">
        <v>8</v>
      </c>
      <c r="AS386" s="83" t="s">
        <v>2225</v>
      </c>
      <c r="AT386" s="53"/>
      <c r="AU386" s="53"/>
      <c r="AV386" s="238"/>
    </row>
    <row r="387" spans="3:48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26"/>
        <v>0</v>
      </c>
      <c r="M387" s="26">
        <f t="shared" si="22"/>
        <v>2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67" t="e">
        <f>SUMIFS([1]Up!$J:$J,[1]Up!$D:$D,D387)</f>
        <v>#VALUE!</v>
      </c>
      <c r="AK387" s="82"/>
      <c r="AL387" s="82" t="str">
        <f t="shared" si="27"/>
        <v>PL10</v>
      </c>
      <c r="AM387" s="53" t="str">
        <f t="shared" si="28"/>
        <v/>
      </c>
      <c r="AN387" s="53" t="s">
        <v>154</v>
      </c>
      <c r="AO387" s="53" t="s">
        <v>1005</v>
      </c>
      <c r="AP387" s="53" t="s">
        <v>1006</v>
      </c>
      <c r="AQ387" s="53" t="s">
        <v>57</v>
      </c>
      <c r="AR387" s="53">
        <v>4</v>
      </c>
      <c r="AS387" s="83"/>
      <c r="AT387" s="53"/>
      <c r="AU387" s="53"/>
    </row>
    <row r="388" spans="3:48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26"/>
        <v>0</v>
      </c>
      <c r="M388" s="26">
        <f t="shared" si="22"/>
        <v>2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67" t="e">
        <f>SUMIFS([1]Up!$J:$J,[1]Up!$D:$D,D388)</f>
        <v>#VALUE!</v>
      </c>
      <c r="AK388" s="82"/>
      <c r="AL388" s="82" t="str">
        <f t="shared" si="27"/>
        <v>PL12</v>
      </c>
      <c r="AM388" s="53" t="str">
        <f t="shared" si="28"/>
        <v/>
      </c>
      <c r="AN388" s="53" t="s">
        <v>154</v>
      </c>
      <c r="AO388" s="53" t="s">
        <v>1021</v>
      </c>
      <c r="AP388" s="53" t="s">
        <v>1022</v>
      </c>
      <c r="AQ388" s="53" t="s">
        <v>57</v>
      </c>
      <c r="AR388" s="53">
        <v>4</v>
      </c>
      <c r="AS388" s="83"/>
      <c r="AT388" s="53"/>
      <c r="AU388" s="53"/>
    </row>
    <row r="389" spans="3:48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26"/>
        <v>0</v>
      </c>
      <c r="M389" s="26">
        <f t="shared" si="22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67" t="e">
        <f>SUMIFS([1]Up!$J:$J,[1]Up!$D:$D,D389)</f>
        <v>#VALUE!</v>
      </c>
      <c r="AK389" s="82"/>
      <c r="AL389" s="82" t="str">
        <f t="shared" si="27"/>
        <v>PL12</v>
      </c>
      <c r="AM389" s="53" t="str">
        <f t="shared" si="28"/>
        <v/>
      </c>
      <c r="AN389" s="53" t="s">
        <v>148</v>
      </c>
      <c r="AO389" s="53" t="s">
        <v>1021</v>
      </c>
      <c r="AP389" s="53" t="s">
        <v>1022</v>
      </c>
      <c r="AQ389" s="84" t="s">
        <v>2160</v>
      </c>
      <c r="AR389" s="53">
        <v>12</v>
      </c>
      <c r="AS389" s="83">
        <v>46302</v>
      </c>
      <c r="AT389" s="53"/>
      <c r="AU389" s="53"/>
      <c r="AV389" s="238"/>
    </row>
    <row r="390" spans="3:48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26"/>
        <v>0</v>
      </c>
      <c r="M390" s="26">
        <f t="shared" si="22"/>
        <v>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67" t="e">
        <f>SUMIFS([1]Up!$J:$J,[1]Up!$D:$D,D390)</f>
        <v>#VALUE!</v>
      </c>
      <c r="AK390" s="82"/>
      <c r="AL390" s="82" t="str">
        <f t="shared" si="27"/>
        <v>PL20</v>
      </c>
      <c r="AM390" s="53" t="str">
        <f t="shared" si="28"/>
        <v/>
      </c>
      <c r="AN390" s="53" t="s">
        <v>148</v>
      </c>
      <c r="AO390" s="53" t="s">
        <v>1100</v>
      </c>
      <c r="AP390" s="53" t="s">
        <v>1101</v>
      </c>
      <c r="AQ390" s="84" t="s">
        <v>2158</v>
      </c>
      <c r="AR390" s="53">
        <v>8</v>
      </c>
      <c r="AS390" s="83">
        <v>46242</v>
      </c>
      <c r="AT390" s="53"/>
      <c r="AU390" s="53"/>
      <c r="AV390" s="238"/>
    </row>
    <row r="391" spans="3:48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26"/>
        <v>0</v>
      </c>
      <c r="M391" s="26">
        <f t="shared" si="22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67" t="e">
        <f>SUMIFS([1]Up!$J:$J,[1]Up!$D:$D,D391)</f>
        <v>#VALUE!</v>
      </c>
      <c r="AK391" s="82"/>
      <c r="AL391" s="82" t="str">
        <f t="shared" si="27"/>
        <v>PL12</v>
      </c>
      <c r="AM391" s="53" t="str">
        <f t="shared" si="28"/>
        <v/>
      </c>
      <c r="AN391" s="53" t="s">
        <v>154</v>
      </c>
      <c r="AO391" s="53" t="s">
        <v>1021</v>
      </c>
      <c r="AP391" s="53" t="s">
        <v>1022</v>
      </c>
      <c r="AQ391" s="53" t="s">
        <v>57</v>
      </c>
      <c r="AR391" s="53">
        <v>4</v>
      </c>
      <c r="AS391" s="83"/>
      <c r="AT391" s="53"/>
      <c r="AU391" s="53"/>
    </row>
    <row r="392" spans="3:48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26"/>
        <v>0</v>
      </c>
      <c r="M392" s="26">
        <f t="shared" si="22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67" t="e">
        <f>SUMIFS([1]Up!$J:$J,[1]Up!$D:$D,D392)</f>
        <v>#VALUE!</v>
      </c>
      <c r="AK392" s="82"/>
      <c r="AL392" s="82" t="str">
        <f t="shared" si="27"/>
        <v>PL15</v>
      </c>
      <c r="AM392" s="53" t="str">
        <f t="shared" si="28"/>
        <v/>
      </c>
      <c r="AN392" s="53" t="s">
        <v>148</v>
      </c>
      <c r="AO392" s="53" t="s">
        <v>1094</v>
      </c>
      <c r="AP392" s="53" t="s">
        <v>1095</v>
      </c>
      <c r="AQ392" s="84" t="s">
        <v>2156</v>
      </c>
      <c r="AR392" s="53">
        <v>8</v>
      </c>
      <c r="AS392" s="83" t="s">
        <v>2225</v>
      </c>
      <c r="AT392" s="53"/>
      <c r="AU392" s="53"/>
      <c r="AV392" s="238"/>
    </row>
    <row r="393" spans="3:48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26"/>
        <v>0</v>
      </c>
      <c r="M393" s="26">
        <f t="shared" si="22"/>
        <v>4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67" t="e">
        <f>SUMIFS([1]Up!$J:$J,[1]Up!$D:$D,D393)</f>
        <v>#VALUE!</v>
      </c>
      <c r="AK393" s="82"/>
      <c r="AL393" s="82" t="str">
        <f t="shared" si="27"/>
        <v>PL20</v>
      </c>
      <c r="AM393" s="53" t="str">
        <f t="shared" si="28"/>
        <v/>
      </c>
      <c r="AN393" s="53" t="s">
        <v>148</v>
      </c>
      <c r="AO393" s="53" t="s">
        <v>1100</v>
      </c>
      <c r="AP393" s="53" t="s">
        <v>1101</v>
      </c>
      <c r="AQ393" s="84" t="s">
        <v>2158</v>
      </c>
      <c r="AR393" s="53">
        <v>8</v>
      </c>
      <c r="AS393" s="83">
        <v>46242</v>
      </c>
      <c r="AT393" s="53"/>
      <c r="AU393" s="53"/>
      <c r="AV393" s="238"/>
    </row>
    <row r="394" spans="3:48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26"/>
        <v>0</v>
      </c>
      <c r="M394" s="26">
        <f t="shared" si="22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67" t="e">
        <f>SUMIFS([1]Up!$J:$J,[1]Up!$D:$D,D394)</f>
        <v>#VALUE!</v>
      </c>
      <c r="AK394" s="82"/>
      <c r="AL394" s="82" t="str">
        <f t="shared" si="27"/>
        <v>PL10</v>
      </c>
      <c r="AM394" s="53" t="str">
        <f t="shared" si="28"/>
        <v/>
      </c>
      <c r="AN394" s="53" t="s">
        <v>148</v>
      </c>
      <c r="AO394" s="53" t="s">
        <v>1005</v>
      </c>
      <c r="AP394" s="53" t="s">
        <v>1006</v>
      </c>
      <c r="AQ394" s="84" t="s">
        <v>2157</v>
      </c>
      <c r="AR394" s="53">
        <v>4</v>
      </c>
      <c r="AS394" s="83">
        <v>46302</v>
      </c>
      <c r="AT394" s="53"/>
      <c r="AU394" s="53"/>
      <c r="AV394" s="238"/>
    </row>
    <row r="395" spans="3:48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26"/>
        <v>0</v>
      </c>
      <c r="M395" s="26">
        <f t="shared" si="22"/>
        <v>2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67" t="e">
        <f>SUMIFS([1]Up!$J:$J,[1]Up!$D:$D,D395)</f>
        <v>#VALUE!</v>
      </c>
      <c r="AK395" s="82"/>
      <c r="AL395" s="82" t="str">
        <f t="shared" si="27"/>
        <v>PL10</v>
      </c>
      <c r="AM395" s="53" t="str">
        <f t="shared" si="28"/>
        <v/>
      </c>
      <c r="AN395" s="53" t="s">
        <v>154</v>
      </c>
      <c r="AO395" s="53" t="s">
        <v>1005</v>
      </c>
      <c r="AP395" s="53" t="s">
        <v>1006</v>
      </c>
      <c r="AQ395" s="53" t="s">
        <v>57</v>
      </c>
      <c r="AR395" s="53">
        <v>4</v>
      </c>
      <c r="AS395" s="83"/>
      <c r="AT395" s="53"/>
      <c r="AU395" s="53"/>
    </row>
    <row r="396" spans="3:48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26"/>
        <v>0</v>
      </c>
      <c r="M396" s="26">
        <f t="shared" si="22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67" t="e">
        <f>SUMIFS([1]Up!$J:$J,[1]Up!$D:$D,D396)</f>
        <v>#VALUE!</v>
      </c>
      <c r="AK396" s="82"/>
      <c r="AL396" s="82" t="str">
        <f t="shared" si="27"/>
        <v>PL10</v>
      </c>
      <c r="AM396" s="53" t="str">
        <f t="shared" si="28"/>
        <v/>
      </c>
      <c r="AN396" s="53" t="s">
        <v>154</v>
      </c>
      <c r="AO396" s="53" t="s">
        <v>1005</v>
      </c>
      <c r="AP396" s="53" t="s">
        <v>1006</v>
      </c>
      <c r="AQ396" s="84" t="s">
        <v>2157</v>
      </c>
      <c r="AR396" s="53">
        <v>4</v>
      </c>
      <c r="AS396" s="83">
        <v>46302</v>
      </c>
      <c r="AT396" s="53"/>
      <c r="AU396" s="53"/>
      <c r="AV396" s="238"/>
    </row>
    <row r="397" spans="3:48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26"/>
        <v>0</v>
      </c>
      <c r="M397" s="26">
        <f t="shared" si="22"/>
        <v>4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67" t="e">
        <f>SUMIFS([1]Up!$J:$J,[1]Up!$D:$D,D397)</f>
        <v>#VALUE!</v>
      </c>
      <c r="AK397" s="82"/>
      <c r="AL397" s="82" t="str">
        <f t="shared" si="27"/>
        <v>PL20</v>
      </c>
      <c r="AM397" s="53" t="str">
        <f t="shared" si="28"/>
        <v/>
      </c>
      <c r="AN397" s="53" t="s">
        <v>148</v>
      </c>
      <c r="AO397" s="53" t="s">
        <v>1100</v>
      </c>
      <c r="AP397" s="53" t="s">
        <v>1101</v>
      </c>
      <c r="AQ397" s="84" t="s">
        <v>2158</v>
      </c>
      <c r="AR397" s="53">
        <v>8</v>
      </c>
      <c r="AS397" s="83">
        <v>46242</v>
      </c>
      <c r="AT397" s="53"/>
      <c r="AU397" s="53"/>
      <c r="AV397" s="238"/>
    </row>
    <row r="398" spans="3:48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26"/>
        <v>0</v>
      </c>
      <c r="M398" s="26">
        <f t="shared" si="22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67" t="e">
        <f>SUMIFS([1]Up!$J:$J,[1]Up!$D:$D,D398)</f>
        <v>#VALUE!</v>
      </c>
      <c r="AK398" s="82"/>
      <c r="AL398" s="82" t="str">
        <f t="shared" si="27"/>
        <v>PL12</v>
      </c>
      <c r="AM398" s="53" t="str">
        <f t="shared" si="28"/>
        <v/>
      </c>
      <c r="AN398" s="53" t="s">
        <v>154</v>
      </c>
      <c r="AO398" s="53" t="s">
        <v>1021</v>
      </c>
      <c r="AP398" s="53" t="s">
        <v>1022</v>
      </c>
      <c r="AQ398" s="53" t="s">
        <v>57</v>
      </c>
      <c r="AR398" s="53">
        <v>4</v>
      </c>
      <c r="AS398" s="83"/>
      <c r="AT398" s="53"/>
      <c r="AU398" s="53"/>
    </row>
    <row r="399" spans="3:48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26"/>
        <v>0</v>
      </c>
      <c r="M399" s="26">
        <f t="shared" si="22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67" t="e">
        <f>SUMIFS([1]Up!$J:$J,[1]Up!$D:$D,D399)</f>
        <v>#VALUE!</v>
      </c>
      <c r="AK399" s="82"/>
      <c r="AL399" s="82" t="str">
        <f t="shared" si="27"/>
        <v>PL12</v>
      </c>
      <c r="AM399" s="53" t="str">
        <f t="shared" si="28"/>
        <v/>
      </c>
      <c r="AN399" s="53" t="s">
        <v>154</v>
      </c>
      <c r="AO399" s="53" t="s">
        <v>1021</v>
      </c>
      <c r="AP399" s="53" t="s">
        <v>1022</v>
      </c>
      <c r="AQ399" s="53" t="s">
        <v>57</v>
      </c>
      <c r="AR399" s="53">
        <v>4</v>
      </c>
      <c r="AS399" s="83"/>
      <c r="AT399" s="53"/>
      <c r="AU399" s="53"/>
    </row>
    <row r="400" spans="3:48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26"/>
        <v>0</v>
      </c>
      <c r="M400" s="26">
        <f t="shared" si="22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67" t="e">
        <f>SUMIFS([1]Up!$J:$J,[1]Up!$D:$D,D400)</f>
        <v>#VALUE!</v>
      </c>
      <c r="AK400" s="82"/>
      <c r="AL400" s="82" t="str">
        <f t="shared" si="27"/>
        <v>PL12</v>
      </c>
      <c r="AM400" s="53" t="str">
        <f t="shared" si="28"/>
        <v/>
      </c>
      <c r="AN400" s="53" t="s">
        <v>148</v>
      </c>
      <c r="AO400" s="53" t="s">
        <v>1021</v>
      </c>
      <c r="AP400" s="53" t="s">
        <v>1022</v>
      </c>
      <c r="AQ400" s="84" t="s">
        <v>2160</v>
      </c>
      <c r="AR400" s="53">
        <v>12</v>
      </c>
      <c r="AS400" s="83">
        <v>46302</v>
      </c>
      <c r="AT400" s="53"/>
      <c r="AU400" s="53"/>
      <c r="AV400" s="238"/>
    </row>
    <row r="401" spans="3:48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26"/>
        <v>0</v>
      </c>
      <c r="M401" s="26">
        <f t="shared" si="22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67" t="e">
        <f>SUMIFS([1]Up!$J:$J,[1]Up!$D:$D,D401)</f>
        <v>#VALUE!</v>
      </c>
      <c r="AK401" s="82"/>
      <c r="AL401" s="82" t="str">
        <f t="shared" si="27"/>
        <v>PL10</v>
      </c>
      <c r="AM401" s="53" t="str">
        <f t="shared" si="28"/>
        <v/>
      </c>
      <c r="AN401" s="53" t="s">
        <v>148</v>
      </c>
      <c r="AO401" s="53" t="s">
        <v>1005</v>
      </c>
      <c r="AP401" s="53" t="s">
        <v>1006</v>
      </c>
      <c r="AQ401" s="84" t="s">
        <v>2157</v>
      </c>
      <c r="AR401" s="53">
        <v>4</v>
      </c>
      <c r="AS401" s="83">
        <v>46302</v>
      </c>
      <c r="AT401" s="53"/>
      <c r="AU401" s="53"/>
      <c r="AV401" s="238"/>
    </row>
    <row r="402" spans="3:48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26"/>
        <v>0</v>
      </c>
      <c r="M402" s="26">
        <f t="shared" si="22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67" t="e">
        <f>SUMIFS([1]Up!$J:$J,[1]Up!$D:$D,D402)</f>
        <v>#VALUE!</v>
      </c>
      <c r="AK402" s="82"/>
      <c r="AL402" s="82" t="str">
        <f t="shared" si="27"/>
        <v>PL10</v>
      </c>
      <c r="AM402" s="53" t="str">
        <f t="shared" si="28"/>
        <v/>
      </c>
      <c r="AN402" s="53" t="s">
        <v>154</v>
      </c>
      <c r="AO402" s="53" t="s">
        <v>1005</v>
      </c>
      <c r="AP402" s="53" t="s">
        <v>1006</v>
      </c>
      <c r="AQ402" s="53" t="s">
        <v>57</v>
      </c>
      <c r="AR402" s="53">
        <v>4</v>
      </c>
      <c r="AS402" s="83"/>
      <c r="AT402" s="53"/>
      <c r="AU402" s="53"/>
    </row>
    <row r="403" spans="3:48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26"/>
        <v>0</v>
      </c>
      <c r="M403" s="26">
        <f t="shared" si="22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67" t="e">
        <f>SUMIFS([1]Up!$J:$J,[1]Up!$D:$D,D403)</f>
        <v>#VALUE!</v>
      </c>
      <c r="AK403" s="82"/>
      <c r="AL403" s="82" t="str">
        <f t="shared" si="27"/>
        <v>PL10</v>
      </c>
      <c r="AM403" s="53" t="str">
        <f t="shared" si="28"/>
        <v/>
      </c>
      <c r="AN403" s="53" t="s">
        <v>154</v>
      </c>
      <c r="AO403" s="53" t="s">
        <v>1005</v>
      </c>
      <c r="AP403" s="53" t="s">
        <v>1006</v>
      </c>
      <c r="AQ403" s="84" t="s">
        <v>2157</v>
      </c>
      <c r="AR403" s="53">
        <v>4</v>
      </c>
      <c r="AS403" s="83">
        <v>46302</v>
      </c>
      <c r="AT403" s="53"/>
      <c r="AU403" s="53"/>
      <c r="AV403" s="238"/>
    </row>
    <row r="404" spans="3:48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26"/>
        <v>0</v>
      </c>
      <c r="M404" s="26">
        <f t="shared" si="22"/>
        <v>4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67" t="e">
        <f>SUMIFS([1]Up!$J:$J,[1]Up!$D:$D,D404)</f>
        <v>#VALUE!</v>
      </c>
      <c r="AK404" s="82"/>
      <c r="AL404" s="82" t="str">
        <f t="shared" si="27"/>
        <v>PL20</v>
      </c>
      <c r="AM404" s="53" t="str">
        <f t="shared" si="28"/>
        <v/>
      </c>
      <c r="AN404" s="53" t="s">
        <v>148</v>
      </c>
      <c r="AO404" s="53" t="s">
        <v>1100</v>
      </c>
      <c r="AP404" s="53" t="s">
        <v>1101</v>
      </c>
      <c r="AQ404" s="84" t="s">
        <v>2158</v>
      </c>
      <c r="AR404" s="53">
        <v>8</v>
      </c>
      <c r="AS404" s="83">
        <v>46242</v>
      </c>
      <c r="AT404" s="53"/>
      <c r="AU404" s="53"/>
      <c r="AV404" s="238"/>
    </row>
    <row r="405" spans="3:48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26"/>
        <v>0</v>
      </c>
      <c r="M405" s="26">
        <f t="shared" si="22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67" t="e">
        <f>SUMIFS([1]Up!$J:$J,[1]Up!$D:$D,D405)</f>
        <v>#VALUE!</v>
      </c>
      <c r="AK405" s="82"/>
      <c r="AL405" s="82" t="str">
        <f t="shared" si="27"/>
        <v>PL12</v>
      </c>
      <c r="AM405" s="53" t="str">
        <f t="shared" si="28"/>
        <v/>
      </c>
      <c r="AN405" s="53" t="s">
        <v>154</v>
      </c>
      <c r="AO405" s="53" t="s">
        <v>1021</v>
      </c>
      <c r="AP405" s="53" t="s">
        <v>1022</v>
      </c>
      <c r="AQ405" s="53" t="s">
        <v>57</v>
      </c>
      <c r="AR405" s="53">
        <v>4</v>
      </c>
      <c r="AS405" s="83"/>
      <c r="AT405" s="53"/>
      <c r="AU405" s="53"/>
    </row>
    <row r="406" spans="3:48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26"/>
        <v>0</v>
      </c>
      <c r="M406" s="26">
        <f t="shared" si="22"/>
        <v>2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67" t="e">
        <f>SUMIFS([1]Up!$J:$J,[1]Up!$D:$D,D406)</f>
        <v>#VALUE!</v>
      </c>
      <c r="AK406" s="82"/>
      <c r="AL406" s="82" t="str">
        <f t="shared" si="27"/>
        <v>PL12</v>
      </c>
      <c r="AM406" s="53" t="str">
        <f t="shared" si="28"/>
        <v/>
      </c>
      <c r="AN406" s="53" t="s">
        <v>154</v>
      </c>
      <c r="AO406" s="53" t="s">
        <v>1021</v>
      </c>
      <c r="AP406" s="53" t="s">
        <v>1022</v>
      </c>
      <c r="AQ406" s="53" t="s">
        <v>57</v>
      </c>
      <c r="AR406" s="53">
        <v>4</v>
      </c>
      <c r="AS406" s="83"/>
      <c r="AT406" s="53"/>
      <c r="AU406" s="53"/>
    </row>
    <row r="407" spans="3:48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26"/>
        <v>0</v>
      </c>
      <c r="M407" s="26">
        <f t="shared" si="22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67" t="e">
        <f>SUMIFS([1]Up!$J:$J,[1]Up!$D:$D,D407)</f>
        <v>#VALUE!</v>
      </c>
      <c r="AK407" s="82"/>
      <c r="AL407" s="82" t="str">
        <f t="shared" si="27"/>
        <v>PL12</v>
      </c>
      <c r="AM407" s="53" t="str">
        <f t="shared" si="28"/>
        <v/>
      </c>
      <c r="AN407" s="53" t="s">
        <v>148</v>
      </c>
      <c r="AO407" s="53" t="s">
        <v>1021</v>
      </c>
      <c r="AP407" s="53" t="s">
        <v>1022</v>
      </c>
      <c r="AQ407" s="84" t="s">
        <v>2160</v>
      </c>
      <c r="AR407" s="53">
        <v>12</v>
      </c>
      <c r="AS407" s="83">
        <v>46302</v>
      </c>
      <c r="AT407" s="53"/>
      <c r="AU407" s="53"/>
      <c r="AV407" s="238"/>
    </row>
    <row r="408" spans="3:48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26"/>
        <v>0</v>
      </c>
      <c r="M408" s="26">
        <f t="shared" si="22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67" t="e">
        <f>SUMIFS([1]Up!$J:$J,[1]Up!$D:$D,D408)</f>
        <v>#VALUE!</v>
      </c>
      <c r="AK408" s="82"/>
      <c r="AL408" s="82" t="str">
        <f t="shared" si="27"/>
        <v>PL10</v>
      </c>
      <c r="AM408" s="53" t="str">
        <f t="shared" si="28"/>
        <v/>
      </c>
      <c r="AN408" s="53" t="s">
        <v>148</v>
      </c>
      <c r="AO408" s="53" t="s">
        <v>1005</v>
      </c>
      <c r="AP408" s="53" t="s">
        <v>1006</v>
      </c>
      <c r="AQ408" s="84" t="s">
        <v>2157</v>
      </c>
      <c r="AR408" s="53">
        <v>4</v>
      </c>
      <c r="AS408" s="83">
        <v>46302</v>
      </c>
      <c r="AT408" s="53"/>
      <c r="AU408" s="53"/>
      <c r="AV408" s="238"/>
    </row>
    <row r="409" spans="3:48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26"/>
        <v>6</v>
      </c>
      <c r="M409" s="26">
        <f t="shared" si="22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67" t="e">
        <f>SUMIFS([1]Up!$J:$J,[1]Up!$D:$D,D409)</f>
        <v>#VALUE!</v>
      </c>
      <c r="AK409" s="82"/>
      <c r="AL409" s="82" t="str">
        <f t="shared" si="27"/>
        <v/>
      </c>
      <c r="AM409" s="53" t="str">
        <f t="shared" si="28"/>
        <v/>
      </c>
      <c r="AN409" s="53" t="s">
        <v>148</v>
      </c>
      <c r="AO409" s="53" t="s">
        <v>1079</v>
      </c>
      <c r="AP409" s="53" t="s">
        <v>1076</v>
      </c>
      <c r="AQ409" s="53" t="s">
        <v>1290</v>
      </c>
      <c r="AR409" s="53">
        <v>6</v>
      </c>
      <c r="AS409" s="83">
        <v>46362</v>
      </c>
      <c r="AT409" s="53"/>
      <c r="AU409" s="53"/>
    </row>
    <row r="410" spans="3:48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26"/>
        <v>1</v>
      </c>
      <c r="M410" s="26">
        <f t="shared" si="22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67" t="e">
        <f>SUMIFS([1]Up!$J:$J,[1]Up!$D:$D,D410)</f>
        <v>#VALUE!</v>
      </c>
      <c r="AK410" s="82" t="s">
        <v>2084</v>
      </c>
      <c r="AL410" s="82" t="str">
        <f t="shared" si="27"/>
        <v>PL10</v>
      </c>
      <c r="AM410" s="53" t="str">
        <f t="shared" si="28"/>
        <v>Thừa 8</v>
      </c>
      <c r="AN410" s="53" t="s">
        <v>154</v>
      </c>
      <c r="AO410" s="53" t="s">
        <v>1005</v>
      </c>
      <c r="AP410" s="53" t="s">
        <v>1006</v>
      </c>
      <c r="AQ410" s="53" t="s">
        <v>57</v>
      </c>
      <c r="AR410" s="53">
        <v>1</v>
      </c>
      <c r="AS410" s="83"/>
      <c r="AT410" s="53"/>
      <c r="AU410" s="53"/>
    </row>
    <row r="411" spans="3:48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26"/>
        <v>2</v>
      </c>
      <c r="M411" s="26">
        <f t="shared" si="22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67" t="e">
        <f>SUMIFS([1]Up!$J:$J,[1]Up!$D:$D,D411)</f>
        <v>#VALUE!</v>
      </c>
      <c r="AK411" s="82"/>
      <c r="AL411" s="82" t="str">
        <f t="shared" si="27"/>
        <v>PL15</v>
      </c>
      <c r="AM411" s="53" t="str">
        <f t="shared" si="28"/>
        <v/>
      </c>
      <c r="AN411" s="53" t="s">
        <v>148</v>
      </c>
      <c r="AO411" s="53" t="s">
        <v>1094</v>
      </c>
      <c r="AP411" s="53" t="s">
        <v>1095</v>
      </c>
      <c r="AQ411" s="53" t="s">
        <v>1304</v>
      </c>
      <c r="AR411" s="53">
        <v>2</v>
      </c>
      <c r="AS411" s="83">
        <v>46088</v>
      </c>
      <c r="AT411" s="53"/>
      <c r="AU411" s="53"/>
    </row>
    <row r="412" spans="3:48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26"/>
        <v>1</v>
      </c>
      <c r="M412" s="26">
        <f t="shared" si="22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67" t="e">
        <f>SUMIFS([1]Up!$J:$J,[1]Up!$D:$D,D412)</f>
        <v>#VALUE!</v>
      </c>
      <c r="AK412" s="82"/>
      <c r="AL412" s="82" t="str">
        <f t="shared" si="27"/>
        <v>PL10</v>
      </c>
      <c r="AM412" s="53" t="str">
        <f t="shared" si="28"/>
        <v/>
      </c>
      <c r="AN412" s="53" t="s">
        <v>148</v>
      </c>
      <c r="AO412" s="53" t="s">
        <v>1005</v>
      </c>
      <c r="AP412" s="53" t="s">
        <v>1006</v>
      </c>
      <c r="AQ412" s="53" t="s">
        <v>1064</v>
      </c>
      <c r="AR412" s="53">
        <v>1</v>
      </c>
      <c r="AS412" s="83">
        <v>46088</v>
      </c>
      <c r="AT412" s="53"/>
      <c r="AU412" s="53"/>
    </row>
    <row r="413" spans="3:48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26"/>
        <v>7</v>
      </c>
      <c r="M413" s="26">
        <f t="shared" si="22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67" t="e">
        <f>SUMIFS([1]Up!$J:$J,[1]Up!$D:$D,D413)</f>
        <v>#VALUE!</v>
      </c>
      <c r="AK413" s="82"/>
      <c r="AL413" s="82" t="str">
        <f t="shared" si="27"/>
        <v>PL10</v>
      </c>
      <c r="AM413" s="53" t="str">
        <f t="shared" si="28"/>
        <v/>
      </c>
      <c r="AN413" s="53" t="s">
        <v>148</v>
      </c>
      <c r="AO413" s="53" t="s">
        <v>1005</v>
      </c>
      <c r="AP413" s="53" t="s">
        <v>1006</v>
      </c>
      <c r="AQ413" s="53" t="s">
        <v>1064</v>
      </c>
      <c r="AR413" s="53">
        <v>7</v>
      </c>
      <c r="AS413" s="83">
        <v>46088</v>
      </c>
      <c r="AT413" s="53"/>
      <c r="AU413" s="53"/>
    </row>
    <row r="414" spans="3:48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29">MIN(SUM(N414:AI414),I414)</f>
        <v>7</v>
      </c>
      <c r="M414" s="26">
        <f t="shared" si="22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67" t="e">
        <f>SUMIFS([1]Up!$J:$J,[1]Up!$D:$D,D414)</f>
        <v>#VALUE!</v>
      </c>
      <c r="AK414" s="82"/>
      <c r="AL414" s="82" t="str">
        <f t="shared" ref="AL414:AL477" si="30">IFERROR(IF(C414="Plate",LEFT(E414,FIND("*",E414,1)-1),""),IF(C414="Plate",LEFT(E414,FIND("x",E414,1)-1),""))</f>
        <v>PL10</v>
      </c>
      <c r="AM414" s="53" t="str">
        <f t="shared" ref="AM414:AM477" si="31">IF(ROUND(SUM(N414:AI414)-I414,0)&gt;0,"Thừa "&amp;SUM(N414:AI414)-I414,"")</f>
        <v/>
      </c>
      <c r="AN414" s="53" t="s">
        <v>148</v>
      </c>
      <c r="AO414" s="53" t="s">
        <v>1005</v>
      </c>
      <c r="AP414" s="53" t="s">
        <v>1006</v>
      </c>
      <c r="AQ414" s="53" t="s">
        <v>1064</v>
      </c>
      <c r="AR414" s="53">
        <v>7</v>
      </c>
      <c r="AS414" s="83">
        <v>46088</v>
      </c>
      <c r="AT414" s="53"/>
      <c r="AU414" s="53"/>
    </row>
    <row r="415" spans="3:48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29"/>
        <v>14</v>
      </c>
      <c r="M415" s="26">
        <f t="shared" si="22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67" t="e">
        <f>SUMIFS([1]Up!$J:$J,[1]Up!$D:$D,D415)</f>
        <v>#VALUE!</v>
      </c>
      <c r="AK415" s="82"/>
      <c r="AL415" s="82" t="str">
        <f t="shared" si="30"/>
        <v>PL16</v>
      </c>
      <c r="AM415" s="53" t="str">
        <f t="shared" si="31"/>
        <v/>
      </c>
      <c r="AN415" s="53" t="s">
        <v>148</v>
      </c>
      <c r="AO415" s="53" t="s">
        <v>988</v>
      </c>
      <c r="AP415" s="53" t="s">
        <v>989</v>
      </c>
      <c r="AQ415" s="53" t="s">
        <v>990</v>
      </c>
      <c r="AR415" s="53">
        <v>14</v>
      </c>
      <c r="AS415" s="83" t="s">
        <v>2223</v>
      </c>
      <c r="AT415" s="53"/>
      <c r="AU415" s="53"/>
    </row>
    <row r="416" spans="3:48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29"/>
        <v>4</v>
      </c>
      <c r="M416" s="26">
        <f t="shared" si="22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67" t="e">
        <f>SUMIFS([1]Up!$J:$J,[1]Up!$D:$D,D416)</f>
        <v>#VALUE!</v>
      </c>
      <c r="AK416" s="82"/>
      <c r="AL416" s="82" t="str">
        <f t="shared" si="30"/>
        <v>PL10</v>
      </c>
      <c r="AM416" s="53" t="str">
        <f t="shared" si="31"/>
        <v/>
      </c>
      <c r="AN416" s="53" t="s">
        <v>148</v>
      </c>
      <c r="AO416" s="53" t="s">
        <v>1005</v>
      </c>
      <c r="AP416" s="53" t="s">
        <v>1006</v>
      </c>
      <c r="AQ416" s="53" t="s">
        <v>1064</v>
      </c>
      <c r="AR416" s="53">
        <v>4</v>
      </c>
      <c r="AS416" s="83">
        <v>46088</v>
      </c>
      <c r="AT416" s="53"/>
      <c r="AU416" s="53"/>
    </row>
    <row r="417" spans="3:48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29"/>
        <v>4</v>
      </c>
      <c r="M417" s="26">
        <f t="shared" si="22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67" t="e">
        <f>SUMIFS([1]Up!$J:$J,[1]Up!$D:$D,D417)</f>
        <v>#VALUE!</v>
      </c>
      <c r="AK417" s="82"/>
      <c r="AL417" s="82" t="str">
        <f t="shared" si="30"/>
        <v>PL10</v>
      </c>
      <c r="AM417" s="53" t="str">
        <f t="shared" si="31"/>
        <v/>
      </c>
      <c r="AN417" s="53" t="s">
        <v>148</v>
      </c>
      <c r="AO417" s="53" t="s">
        <v>1005</v>
      </c>
      <c r="AP417" s="53" t="s">
        <v>1006</v>
      </c>
      <c r="AQ417" s="53" t="s">
        <v>1064</v>
      </c>
      <c r="AR417" s="53">
        <v>4</v>
      </c>
      <c r="AS417" s="83">
        <v>46088</v>
      </c>
      <c r="AT417" s="53"/>
      <c r="AU417" s="53"/>
    </row>
    <row r="418" spans="3:48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29"/>
        <v>4</v>
      </c>
      <c r="M418" s="26">
        <f t="shared" si="22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67" t="e">
        <f>SUMIFS([1]Up!$J:$J,[1]Up!$D:$D,D418)</f>
        <v>#VALUE!</v>
      </c>
      <c r="AK418" s="82"/>
      <c r="AL418" s="82" t="str">
        <f t="shared" si="30"/>
        <v>PL15</v>
      </c>
      <c r="AM418" s="53" t="str">
        <f t="shared" si="31"/>
        <v/>
      </c>
      <c r="AN418" s="53" t="s">
        <v>148</v>
      </c>
      <c r="AO418" s="53" t="s">
        <v>1094</v>
      </c>
      <c r="AP418" s="53" t="s">
        <v>1095</v>
      </c>
      <c r="AQ418" s="53" t="s">
        <v>1304</v>
      </c>
      <c r="AR418" s="53">
        <v>4</v>
      </c>
      <c r="AS418" s="83">
        <v>46088</v>
      </c>
      <c r="AT418" s="53"/>
      <c r="AU418" s="53"/>
    </row>
    <row r="419" spans="3:48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29"/>
        <v>1</v>
      </c>
      <c r="M419" s="26">
        <f t="shared" si="22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67" t="e">
        <f>SUMIFS([1]Up!$J:$J,[1]Up!$D:$D,D419)</f>
        <v>#VALUE!</v>
      </c>
      <c r="AK419" s="82" t="s">
        <v>2230</v>
      </c>
      <c r="AL419" s="82" t="str">
        <f t="shared" si="30"/>
        <v>PL10</v>
      </c>
      <c r="AM419" s="53" t="str">
        <f t="shared" si="31"/>
        <v>Thừa 6</v>
      </c>
      <c r="AN419" s="53" t="s">
        <v>154</v>
      </c>
      <c r="AO419" s="53" t="s">
        <v>1005</v>
      </c>
      <c r="AP419" s="53" t="s">
        <v>1006</v>
      </c>
      <c r="AQ419" s="53" t="s">
        <v>57</v>
      </c>
      <c r="AR419" s="53">
        <v>1</v>
      </c>
      <c r="AS419" s="83"/>
      <c r="AT419" s="53"/>
      <c r="AU419" s="53"/>
    </row>
    <row r="420" spans="3:48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29"/>
        <v>3</v>
      </c>
      <c r="M420" s="26">
        <f t="shared" si="22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67" t="e">
        <f>SUMIFS([1]Up!$J:$J,[1]Up!$D:$D,D420)</f>
        <v>#VALUE!</v>
      </c>
      <c r="AK420" s="82"/>
      <c r="AL420" s="82" t="str">
        <f t="shared" si="30"/>
        <v>PL10</v>
      </c>
      <c r="AM420" s="53" t="str">
        <f t="shared" si="31"/>
        <v/>
      </c>
      <c r="AN420" s="53" t="s">
        <v>148</v>
      </c>
      <c r="AO420" s="53" t="s">
        <v>1005</v>
      </c>
      <c r="AP420" s="53" t="s">
        <v>1006</v>
      </c>
      <c r="AQ420" s="53" t="s">
        <v>1064</v>
      </c>
      <c r="AR420" s="53">
        <v>3</v>
      </c>
      <c r="AS420" s="83">
        <v>46088</v>
      </c>
      <c r="AT420" s="53"/>
      <c r="AU420" s="53"/>
    </row>
    <row r="421" spans="3:48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29"/>
        <v>1</v>
      </c>
      <c r="M421" s="26">
        <f t="shared" si="22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67" t="e">
        <f>SUMIFS([1]Up!$J:$J,[1]Up!$D:$D,D421)</f>
        <v>#VALUE!</v>
      </c>
      <c r="AK421" s="82"/>
      <c r="AL421" s="82" t="str">
        <f t="shared" si="30"/>
        <v>PL15</v>
      </c>
      <c r="AM421" s="53" t="str">
        <f t="shared" si="31"/>
        <v/>
      </c>
      <c r="AN421" s="53" t="s">
        <v>148</v>
      </c>
      <c r="AO421" s="53" t="s">
        <v>1094</v>
      </c>
      <c r="AP421" s="53" t="s">
        <v>1095</v>
      </c>
      <c r="AQ421" s="53" t="s">
        <v>1304</v>
      </c>
      <c r="AR421" s="53">
        <v>1</v>
      </c>
      <c r="AS421" s="83">
        <v>46088</v>
      </c>
      <c r="AT421" s="53"/>
      <c r="AU421" s="53"/>
    </row>
    <row r="422" spans="3:48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29"/>
        <v>1</v>
      </c>
      <c r="M422" s="26">
        <f t="shared" si="22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67" t="e">
        <f>SUMIFS([1]Up!$J:$J,[1]Up!$D:$D,D422)</f>
        <v>#VALUE!</v>
      </c>
      <c r="AK422" s="82"/>
      <c r="AL422" s="82" t="str">
        <f t="shared" si="30"/>
        <v>PL20</v>
      </c>
      <c r="AM422" s="53" t="str">
        <f t="shared" si="31"/>
        <v/>
      </c>
      <c r="AN422" s="53" t="s">
        <v>148</v>
      </c>
      <c r="AO422" s="53" t="s">
        <v>1100</v>
      </c>
      <c r="AP422" s="53" t="s">
        <v>1101</v>
      </c>
      <c r="AQ422" s="53" t="s">
        <v>1308</v>
      </c>
      <c r="AR422" s="53">
        <v>1</v>
      </c>
      <c r="AS422" s="83">
        <v>46242</v>
      </c>
      <c r="AT422" s="53"/>
      <c r="AU422" s="53"/>
    </row>
    <row r="423" spans="3:48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29"/>
        <v>1</v>
      </c>
      <c r="M423" s="26">
        <f t="shared" si="22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67" t="e">
        <f>SUMIFS([1]Up!$J:$J,[1]Up!$D:$D,D423)</f>
        <v>#VALUE!</v>
      </c>
      <c r="AK423" s="82" t="s">
        <v>2231</v>
      </c>
      <c r="AL423" s="82" t="str">
        <f t="shared" si="30"/>
        <v>PL10</v>
      </c>
      <c r="AM423" s="53" t="str">
        <f t="shared" si="31"/>
        <v>Thừa 6</v>
      </c>
      <c r="AN423" s="53" t="s">
        <v>154</v>
      </c>
      <c r="AO423" s="53" t="s">
        <v>1005</v>
      </c>
      <c r="AP423" s="53" t="s">
        <v>1006</v>
      </c>
      <c r="AQ423" s="53" t="s">
        <v>57</v>
      </c>
      <c r="AR423" s="53">
        <v>1</v>
      </c>
      <c r="AS423" s="83"/>
      <c r="AT423" s="53"/>
      <c r="AU423" s="53"/>
    </row>
    <row r="424" spans="3:48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29"/>
        <v>7</v>
      </c>
      <c r="M424" s="26">
        <f t="shared" si="22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67" t="e">
        <f>SUMIFS([1]Up!$J:$J,[1]Up!$D:$D,D424)</f>
        <v>#VALUE!</v>
      </c>
      <c r="AK424" s="82"/>
      <c r="AL424" s="82" t="str">
        <f t="shared" si="30"/>
        <v>PL10</v>
      </c>
      <c r="AM424" s="53" t="str">
        <f t="shared" si="31"/>
        <v/>
      </c>
      <c r="AN424" s="53" t="s">
        <v>148</v>
      </c>
      <c r="AO424" s="53" t="s">
        <v>1005</v>
      </c>
      <c r="AP424" s="53" t="s">
        <v>1006</v>
      </c>
      <c r="AQ424" s="53" t="s">
        <v>1064</v>
      </c>
      <c r="AR424" s="53">
        <v>7</v>
      </c>
      <c r="AS424" s="83">
        <v>46088</v>
      </c>
      <c r="AT424" s="53"/>
      <c r="AU424" s="53"/>
    </row>
    <row r="425" spans="3:48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29"/>
        <v>1</v>
      </c>
      <c r="M425" s="26">
        <f t="shared" si="22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67" t="e">
        <f>SUMIFS([1]Up!$J:$J,[1]Up!$D:$D,D425)</f>
        <v>#VALUE!</v>
      </c>
      <c r="AK425" s="82"/>
      <c r="AL425" s="82" t="str">
        <f t="shared" si="30"/>
        <v>PL15</v>
      </c>
      <c r="AM425" s="53" t="str">
        <f t="shared" si="31"/>
        <v/>
      </c>
      <c r="AN425" s="53" t="s">
        <v>148</v>
      </c>
      <c r="AO425" s="53" t="s">
        <v>1094</v>
      </c>
      <c r="AP425" s="53" t="s">
        <v>1095</v>
      </c>
      <c r="AQ425" s="53" t="s">
        <v>1304</v>
      </c>
      <c r="AR425" s="53">
        <v>1</v>
      </c>
      <c r="AS425" s="83">
        <v>46088</v>
      </c>
      <c r="AT425" s="53"/>
      <c r="AU425" s="53"/>
    </row>
    <row r="426" spans="3:48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29"/>
        <v>1</v>
      </c>
      <c r="M426" s="26">
        <f t="shared" si="22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67" t="e">
        <f>SUMIFS([1]Up!$J:$J,[1]Up!$D:$D,D426)</f>
        <v>#VALUE!</v>
      </c>
      <c r="AK426" s="82"/>
      <c r="AL426" s="82" t="str">
        <f t="shared" si="30"/>
        <v>PL20</v>
      </c>
      <c r="AM426" s="53" t="str">
        <f t="shared" si="31"/>
        <v/>
      </c>
      <c r="AN426" s="53" t="s">
        <v>148</v>
      </c>
      <c r="AO426" s="53" t="s">
        <v>1100</v>
      </c>
      <c r="AP426" s="53" t="s">
        <v>1101</v>
      </c>
      <c r="AQ426" s="53" t="s">
        <v>1308</v>
      </c>
      <c r="AR426" s="53">
        <v>1</v>
      </c>
      <c r="AS426" s="83">
        <v>46242</v>
      </c>
      <c r="AT426" s="53"/>
      <c r="AU426" s="53"/>
    </row>
    <row r="427" spans="3:48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29"/>
        <v>0</v>
      </c>
      <c r="M427" s="26">
        <f t="shared" si="22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67" t="e">
        <f>SUMIFS([1]Up!$J:$J,[1]Up!$D:$D,D427)</f>
        <v>#VALUE!</v>
      </c>
      <c r="AK427" s="82"/>
      <c r="AL427" s="82" t="str">
        <f t="shared" si="30"/>
        <v/>
      </c>
      <c r="AM427" s="53" t="str">
        <f t="shared" si="31"/>
        <v/>
      </c>
      <c r="AN427" s="53" t="s">
        <v>148</v>
      </c>
      <c r="AO427" s="53" t="s">
        <v>1079</v>
      </c>
      <c r="AP427" s="53" t="s">
        <v>1076</v>
      </c>
      <c r="AQ427" s="84" t="s">
        <v>2162</v>
      </c>
      <c r="AR427" s="53">
        <v>24</v>
      </c>
      <c r="AS427" s="83" t="s">
        <v>2225</v>
      </c>
      <c r="AT427" s="53"/>
      <c r="AU427" s="53"/>
      <c r="AV427" s="238"/>
    </row>
    <row r="428" spans="3:48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29"/>
        <v>0</v>
      </c>
      <c r="M428" s="26">
        <f t="shared" si="22"/>
        <v>2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67" t="e">
        <f>SUMIFS([1]Up!$J:$J,[1]Up!$D:$D,D428)</f>
        <v>#VALUE!</v>
      </c>
      <c r="AK428" s="82"/>
      <c r="AL428" s="82" t="str">
        <f t="shared" si="30"/>
        <v>PL10</v>
      </c>
      <c r="AM428" s="53" t="str">
        <f t="shared" si="31"/>
        <v/>
      </c>
      <c r="AN428" s="53" t="s">
        <v>154</v>
      </c>
      <c r="AO428" s="53" t="s">
        <v>1005</v>
      </c>
      <c r="AP428" s="53" t="s">
        <v>1006</v>
      </c>
      <c r="AQ428" s="53" t="s">
        <v>57</v>
      </c>
      <c r="AR428" s="53">
        <v>4</v>
      </c>
      <c r="AS428" s="83"/>
      <c r="AT428" s="53"/>
      <c r="AU428" s="53"/>
    </row>
    <row r="429" spans="3:48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29"/>
        <v>0</v>
      </c>
      <c r="M429" s="26">
        <f t="shared" si="22"/>
        <v>4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67" t="e">
        <f>SUMIFS([1]Up!$J:$J,[1]Up!$D:$D,D429)</f>
        <v>#VALUE!</v>
      </c>
      <c r="AK429" s="82"/>
      <c r="AL429" s="82" t="str">
        <f t="shared" si="30"/>
        <v>PL15</v>
      </c>
      <c r="AM429" s="53" t="str">
        <f t="shared" si="31"/>
        <v/>
      </c>
      <c r="AN429" s="53" t="s">
        <v>148</v>
      </c>
      <c r="AO429" s="53" t="s">
        <v>1094</v>
      </c>
      <c r="AP429" s="53" t="s">
        <v>1095</v>
      </c>
      <c r="AQ429" s="84" t="s">
        <v>2156</v>
      </c>
      <c r="AR429" s="53">
        <v>8</v>
      </c>
      <c r="AS429" s="83" t="s">
        <v>2225</v>
      </c>
      <c r="AT429" s="53"/>
      <c r="AU429" s="53"/>
      <c r="AV429" s="238"/>
    </row>
    <row r="430" spans="3:48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29"/>
        <v>0</v>
      </c>
      <c r="M430" s="26">
        <f t="shared" si="22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67" t="e">
        <f>SUMIFS([1]Up!$J:$J,[1]Up!$D:$D,D430)</f>
        <v>#VALUE!</v>
      </c>
      <c r="AK430" s="82"/>
      <c r="AL430" s="82" t="str">
        <f t="shared" si="30"/>
        <v>PL10</v>
      </c>
      <c r="AM430" s="53" t="str">
        <f t="shared" si="31"/>
        <v/>
      </c>
      <c r="AN430" s="53" t="s">
        <v>148</v>
      </c>
      <c r="AO430" s="53" t="s">
        <v>1005</v>
      </c>
      <c r="AP430" s="53" t="s">
        <v>1006</v>
      </c>
      <c r="AQ430" s="84" t="s">
        <v>2157</v>
      </c>
      <c r="AR430" s="53">
        <v>4</v>
      </c>
      <c r="AS430" s="83">
        <v>46302</v>
      </c>
      <c r="AT430" s="53"/>
      <c r="AU430" s="53"/>
      <c r="AV430" s="238"/>
    </row>
    <row r="431" spans="3:48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29"/>
        <v>0</v>
      </c>
      <c r="M431" s="26">
        <f t="shared" si="22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67" t="e">
        <f>SUMIFS([1]Up!$J:$J,[1]Up!$D:$D,D431)</f>
        <v>#VALUE!</v>
      </c>
      <c r="AK431" s="82"/>
      <c r="AL431" s="82" t="str">
        <f t="shared" si="30"/>
        <v>PL10</v>
      </c>
      <c r="AM431" s="53" t="str">
        <f t="shared" si="31"/>
        <v/>
      </c>
      <c r="AN431" s="53" t="s">
        <v>148</v>
      </c>
      <c r="AO431" s="53" t="s">
        <v>1005</v>
      </c>
      <c r="AP431" s="53" t="s">
        <v>1006</v>
      </c>
      <c r="AQ431" s="84" t="s">
        <v>2157</v>
      </c>
      <c r="AR431" s="53">
        <v>28</v>
      </c>
      <c r="AS431" s="83">
        <v>46302</v>
      </c>
      <c r="AT431" s="53"/>
      <c r="AU431" s="53"/>
      <c r="AV431" s="238"/>
    </row>
    <row r="432" spans="3:48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29"/>
        <v>0</v>
      </c>
      <c r="M432" s="26">
        <f t="shared" si="22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67" t="e">
        <f>SUMIFS([1]Up!$J:$J,[1]Up!$D:$D,D432)</f>
        <v>#VALUE!</v>
      </c>
      <c r="AK432" s="82"/>
      <c r="AL432" s="82" t="str">
        <f t="shared" si="30"/>
        <v>PL10</v>
      </c>
      <c r="AM432" s="53" t="str">
        <f t="shared" si="31"/>
        <v/>
      </c>
      <c r="AN432" s="53" t="s">
        <v>148</v>
      </c>
      <c r="AO432" s="53" t="s">
        <v>1005</v>
      </c>
      <c r="AP432" s="53" t="s">
        <v>1006</v>
      </c>
      <c r="AQ432" s="84" t="s">
        <v>2157</v>
      </c>
      <c r="AR432" s="53">
        <v>28</v>
      </c>
      <c r="AS432" s="83">
        <v>46302</v>
      </c>
      <c r="AT432" s="53"/>
      <c r="AU432" s="53"/>
      <c r="AV432" s="238"/>
    </row>
    <row r="433" spans="3:48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29"/>
        <v>0</v>
      </c>
      <c r="M433" s="26">
        <f t="shared" si="22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67" t="e">
        <f>SUMIFS([1]Up!$J:$J,[1]Up!$D:$D,D433)</f>
        <v>#VALUE!</v>
      </c>
      <c r="AK433" s="82"/>
      <c r="AL433" s="82" t="str">
        <f t="shared" si="30"/>
        <v>PL16</v>
      </c>
      <c r="AM433" s="53" t="str">
        <f t="shared" si="31"/>
        <v/>
      </c>
      <c r="AN433" s="53" t="s">
        <v>148</v>
      </c>
      <c r="AO433" s="53" t="s">
        <v>988</v>
      </c>
      <c r="AP433" s="53" t="s">
        <v>989</v>
      </c>
      <c r="AQ433" s="84" t="s">
        <v>2161</v>
      </c>
      <c r="AR433" s="53">
        <v>56</v>
      </c>
      <c r="AS433" s="83" t="s">
        <v>2226</v>
      </c>
      <c r="AT433" s="53"/>
      <c r="AU433" s="53"/>
      <c r="AV433" s="238"/>
    </row>
    <row r="434" spans="3:48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29"/>
        <v>0</v>
      </c>
      <c r="M434" s="26">
        <f t="shared" si="22"/>
        <v>2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67" t="e">
        <f>SUMIFS([1]Up!$J:$J,[1]Up!$D:$D,D434)</f>
        <v>#VALUE!</v>
      </c>
      <c r="AK434" s="82"/>
      <c r="AL434" s="82" t="str">
        <f t="shared" si="30"/>
        <v>PL10</v>
      </c>
      <c r="AM434" s="53" t="str">
        <f t="shared" si="31"/>
        <v/>
      </c>
      <c r="AN434" s="53" t="s">
        <v>154</v>
      </c>
      <c r="AO434" s="53" t="s">
        <v>1005</v>
      </c>
      <c r="AP434" s="53" t="s">
        <v>1006</v>
      </c>
      <c r="AQ434" s="53" t="s">
        <v>57</v>
      </c>
      <c r="AR434" s="53">
        <v>4</v>
      </c>
      <c r="AS434" s="83"/>
      <c r="AT434" s="53"/>
      <c r="AU434" s="53"/>
    </row>
    <row r="435" spans="3:48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29"/>
        <v>0</v>
      </c>
      <c r="M435" s="26">
        <f t="shared" si="22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67" t="e">
        <f>SUMIFS([1]Up!$J:$J,[1]Up!$D:$D,D435)</f>
        <v>#VALUE!</v>
      </c>
      <c r="AK435" s="82"/>
      <c r="AL435" s="82" t="str">
        <f t="shared" si="30"/>
        <v>PL10</v>
      </c>
      <c r="AM435" s="53" t="str">
        <f t="shared" si="31"/>
        <v/>
      </c>
      <c r="AN435" s="53" t="s">
        <v>148</v>
      </c>
      <c r="AO435" s="53" t="s">
        <v>1005</v>
      </c>
      <c r="AP435" s="53" t="s">
        <v>1006</v>
      </c>
      <c r="AQ435" s="84" t="s">
        <v>2157</v>
      </c>
      <c r="AR435" s="53">
        <v>28</v>
      </c>
      <c r="AS435" s="83">
        <v>46302</v>
      </c>
      <c r="AT435" s="53"/>
      <c r="AU435" s="53"/>
      <c r="AV435" s="238"/>
    </row>
    <row r="436" spans="3:48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29"/>
        <v>0</v>
      </c>
      <c r="M436" s="26">
        <f t="shared" si="22"/>
        <v>2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67" t="e">
        <f>SUMIFS([1]Up!$J:$J,[1]Up!$D:$D,D436)</f>
        <v>#VALUE!</v>
      </c>
      <c r="AK436" s="82"/>
      <c r="AL436" s="82" t="str">
        <f t="shared" si="30"/>
        <v>PL15</v>
      </c>
      <c r="AM436" s="53" t="str">
        <f t="shared" si="31"/>
        <v/>
      </c>
      <c r="AN436" s="53" t="s">
        <v>148</v>
      </c>
      <c r="AO436" s="53" t="s">
        <v>1094</v>
      </c>
      <c r="AP436" s="53" t="s">
        <v>1095</v>
      </c>
      <c r="AQ436" s="84" t="s">
        <v>2156</v>
      </c>
      <c r="AR436" s="53">
        <v>4</v>
      </c>
      <c r="AS436" s="83" t="s">
        <v>2225</v>
      </c>
      <c r="AT436" s="53"/>
      <c r="AU436" s="53"/>
      <c r="AV436" s="238"/>
    </row>
    <row r="437" spans="3:48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29"/>
        <v>0</v>
      </c>
      <c r="M437" s="26">
        <f t="shared" si="22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67" t="e">
        <f>SUMIFS([1]Up!$J:$J,[1]Up!$D:$D,D437)</f>
        <v>#VALUE!</v>
      </c>
      <c r="AK437" s="82"/>
      <c r="AL437" s="82" t="str">
        <f t="shared" si="30"/>
        <v>PL20</v>
      </c>
      <c r="AM437" s="53" t="str">
        <f t="shared" si="31"/>
        <v/>
      </c>
      <c r="AN437" s="53" t="s">
        <v>148</v>
      </c>
      <c r="AO437" s="53" t="s">
        <v>1100</v>
      </c>
      <c r="AP437" s="53" t="s">
        <v>1101</v>
      </c>
      <c r="AQ437" s="84" t="s">
        <v>2158</v>
      </c>
      <c r="AR437" s="53">
        <v>4</v>
      </c>
      <c r="AS437" s="83">
        <v>46242</v>
      </c>
      <c r="AT437" s="53"/>
      <c r="AU437" s="53"/>
      <c r="AV437" s="238"/>
    </row>
    <row r="438" spans="3:48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29"/>
        <v>0</v>
      </c>
      <c r="M438" s="26">
        <f t="shared" si="22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67" t="e">
        <f>SUMIFS([1]Up!$J:$J,[1]Up!$D:$D,D438)</f>
        <v>#VALUE!</v>
      </c>
      <c r="AK438" s="82"/>
      <c r="AL438" s="82" t="str">
        <f t="shared" si="30"/>
        <v>PL10</v>
      </c>
      <c r="AM438" s="53" t="str">
        <f t="shared" si="31"/>
        <v/>
      </c>
      <c r="AN438" s="53" t="s">
        <v>154</v>
      </c>
      <c r="AO438" s="53" t="s">
        <v>1005</v>
      </c>
      <c r="AP438" s="53" t="s">
        <v>1006</v>
      </c>
      <c r="AQ438" s="53" t="s">
        <v>57</v>
      </c>
      <c r="AR438" s="53">
        <v>4</v>
      </c>
      <c r="AS438" s="83"/>
      <c r="AT438" s="53"/>
      <c r="AU438" s="53"/>
    </row>
    <row r="439" spans="3:48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29"/>
        <v>0</v>
      </c>
      <c r="M439" s="26">
        <f t="shared" si="22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67" t="e">
        <f>SUMIFS([1]Up!$J:$J,[1]Up!$D:$D,D439)</f>
        <v>#VALUE!</v>
      </c>
      <c r="AK439" s="82"/>
      <c r="AL439" s="82" t="str">
        <f t="shared" si="30"/>
        <v>PL10</v>
      </c>
      <c r="AM439" s="53" t="str">
        <f t="shared" si="31"/>
        <v/>
      </c>
      <c r="AN439" s="53" t="s">
        <v>148</v>
      </c>
      <c r="AO439" s="53" t="s">
        <v>1005</v>
      </c>
      <c r="AP439" s="53" t="s">
        <v>1006</v>
      </c>
      <c r="AQ439" s="84" t="s">
        <v>2157</v>
      </c>
      <c r="AR439" s="53">
        <v>28</v>
      </c>
      <c r="AS439" s="83">
        <v>46302</v>
      </c>
      <c r="AT439" s="53"/>
      <c r="AU439" s="53"/>
      <c r="AV439" s="238"/>
    </row>
    <row r="440" spans="3:48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29"/>
        <v>0</v>
      </c>
      <c r="M440" s="26">
        <f t="shared" si="22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67" t="e">
        <f>SUMIFS([1]Up!$J:$J,[1]Up!$D:$D,D440)</f>
        <v>#VALUE!</v>
      </c>
      <c r="AK440" s="82"/>
      <c r="AL440" s="82" t="str">
        <f t="shared" si="30"/>
        <v>PL15</v>
      </c>
      <c r="AM440" s="53" t="str">
        <f t="shared" si="31"/>
        <v/>
      </c>
      <c r="AN440" s="53" t="s">
        <v>148</v>
      </c>
      <c r="AO440" s="53" t="s">
        <v>1094</v>
      </c>
      <c r="AP440" s="53" t="s">
        <v>1095</v>
      </c>
      <c r="AQ440" s="84" t="s">
        <v>2156</v>
      </c>
      <c r="AR440" s="53">
        <v>4</v>
      </c>
      <c r="AS440" s="83" t="s">
        <v>2225</v>
      </c>
      <c r="AT440" s="53"/>
      <c r="AU440" s="53"/>
      <c r="AV440" s="238"/>
    </row>
    <row r="441" spans="3:48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29"/>
        <v>0</v>
      </c>
      <c r="M441" s="26">
        <f t="shared" si="22"/>
        <v>2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67" t="e">
        <f>SUMIFS([1]Up!$J:$J,[1]Up!$D:$D,D441)</f>
        <v>#VALUE!</v>
      </c>
      <c r="AK441" s="82"/>
      <c r="AL441" s="82" t="str">
        <f t="shared" si="30"/>
        <v>PL20</v>
      </c>
      <c r="AM441" s="53" t="str">
        <f t="shared" si="31"/>
        <v/>
      </c>
      <c r="AN441" s="53" t="s">
        <v>148</v>
      </c>
      <c r="AO441" s="53" t="s">
        <v>1100</v>
      </c>
      <c r="AP441" s="53" t="s">
        <v>1101</v>
      </c>
      <c r="AQ441" s="84" t="s">
        <v>2158</v>
      </c>
      <c r="AR441" s="53">
        <v>4</v>
      </c>
      <c r="AS441" s="83">
        <v>46242</v>
      </c>
      <c r="AT441" s="53"/>
      <c r="AU441" s="53"/>
      <c r="AV441" s="238"/>
    </row>
    <row r="442" spans="3:48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29"/>
        <v>2</v>
      </c>
      <c r="M442" s="26">
        <f t="shared" si="22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67" t="e">
        <f>SUMIFS([1]Up!$J:$J,[1]Up!$D:$D,D442)</f>
        <v>#VALUE!</v>
      </c>
      <c r="AK442" s="82"/>
      <c r="AL442" s="82" t="str">
        <f t="shared" si="30"/>
        <v/>
      </c>
      <c r="AM442" s="53" t="str">
        <f t="shared" si="31"/>
        <v/>
      </c>
      <c r="AN442" s="53" t="s">
        <v>148</v>
      </c>
      <c r="AO442" s="53" t="s">
        <v>1079</v>
      </c>
      <c r="AP442" s="53" t="s">
        <v>1076</v>
      </c>
      <c r="AQ442" s="53" t="s">
        <v>1290</v>
      </c>
      <c r="AR442" s="53">
        <v>2</v>
      </c>
      <c r="AS442" s="83">
        <v>46362</v>
      </c>
      <c r="AT442" s="53"/>
      <c r="AU442" s="53"/>
    </row>
    <row r="443" spans="3:48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29"/>
        <v>1</v>
      </c>
      <c r="M443" s="26">
        <f t="shared" si="22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67" t="e">
        <f>SUMIFS([1]Up!$J:$J,[1]Up!$D:$D,D443)</f>
        <v>#VALUE!</v>
      </c>
      <c r="AK443" s="82" t="s">
        <v>2071</v>
      </c>
      <c r="AL443" s="82" t="str">
        <f t="shared" si="30"/>
        <v>PL10</v>
      </c>
      <c r="AM443" s="53" t="str">
        <f t="shared" si="31"/>
        <v>Thừa 4</v>
      </c>
      <c r="AN443" s="53" t="s">
        <v>154</v>
      </c>
      <c r="AO443" s="53" t="s">
        <v>1005</v>
      </c>
      <c r="AP443" s="53" t="s">
        <v>1006</v>
      </c>
      <c r="AQ443" s="53" t="s">
        <v>57</v>
      </c>
      <c r="AR443" s="53">
        <v>1</v>
      </c>
      <c r="AS443" s="83"/>
      <c r="AT443" s="53"/>
      <c r="AU443" s="53"/>
    </row>
    <row r="444" spans="3:48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29"/>
        <v>2</v>
      </c>
      <c r="M444" s="26">
        <f t="shared" si="22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67" t="e">
        <f>SUMIFS([1]Up!$J:$J,[1]Up!$D:$D,D444)</f>
        <v>#VALUE!</v>
      </c>
      <c r="AK444" s="82"/>
      <c r="AL444" s="82" t="str">
        <f t="shared" si="30"/>
        <v>PL20</v>
      </c>
      <c r="AM444" s="53" t="str">
        <f t="shared" si="31"/>
        <v/>
      </c>
      <c r="AN444" s="53" t="s">
        <v>148</v>
      </c>
      <c r="AO444" s="53" t="s">
        <v>1100</v>
      </c>
      <c r="AP444" s="53" t="s">
        <v>1101</v>
      </c>
      <c r="AQ444" s="53" t="s">
        <v>1308</v>
      </c>
      <c r="AR444" s="53">
        <v>2</v>
      </c>
      <c r="AS444" s="83">
        <v>46242</v>
      </c>
      <c r="AT444" s="53"/>
      <c r="AU444" s="53"/>
    </row>
    <row r="445" spans="3:48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29"/>
        <v>2</v>
      </c>
      <c r="M445" s="26">
        <f t="shared" si="22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67" t="e">
        <f>SUMIFS([1]Up!$J:$J,[1]Up!$D:$D,D445)</f>
        <v>#VALUE!</v>
      </c>
      <c r="AK445" s="82"/>
      <c r="AL445" s="82" t="str">
        <f t="shared" si="30"/>
        <v>PL15</v>
      </c>
      <c r="AM445" s="53" t="str">
        <f t="shared" si="31"/>
        <v/>
      </c>
      <c r="AN445" s="53" t="s">
        <v>148</v>
      </c>
      <c r="AO445" s="53" t="s">
        <v>1094</v>
      </c>
      <c r="AP445" s="53" t="s">
        <v>1095</v>
      </c>
      <c r="AQ445" s="53" t="s">
        <v>1304</v>
      </c>
      <c r="AR445" s="53">
        <v>2</v>
      </c>
      <c r="AS445" s="83">
        <v>46088</v>
      </c>
      <c r="AT445" s="53"/>
      <c r="AU445" s="53"/>
    </row>
    <row r="446" spans="3:48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29"/>
        <v>2</v>
      </c>
      <c r="M446" s="26">
        <f t="shared" si="22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67" t="e">
        <f>SUMIFS([1]Up!$J:$J,[1]Up!$D:$D,D446)</f>
        <v>#VALUE!</v>
      </c>
      <c r="AK446" s="82"/>
      <c r="AL446" s="82" t="str">
        <f t="shared" si="30"/>
        <v>PL15</v>
      </c>
      <c r="AM446" s="53" t="str">
        <f t="shared" si="31"/>
        <v/>
      </c>
      <c r="AN446" s="53" t="s">
        <v>148</v>
      </c>
      <c r="AO446" s="53" t="s">
        <v>1094</v>
      </c>
      <c r="AP446" s="53" t="s">
        <v>1095</v>
      </c>
      <c r="AQ446" s="53" t="s">
        <v>1304</v>
      </c>
      <c r="AR446" s="53">
        <v>2</v>
      </c>
      <c r="AS446" s="83">
        <v>46088</v>
      </c>
      <c r="AT446" s="53"/>
      <c r="AU446" s="53"/>
    </row>
    <row r="447" spans="3:48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29"/>
        <v>1</v>
      </c>
      <c r="M447" s="26">
        <f t="shared" si="22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67" t="e">
        <f>SUMIFS([1]Up!$J:$J,[1]Up!$D:$D,D447)</f>
        <v>#VALUE!</v>
      </c>
      <c r="AK447" s="82" t="s">
        <v>2072</v>
      </c>
      <c r="AL447" s="82" t="str">
        <f t="shared" si="30"/>
        <v>PL10</v>
      </c>
      <c r="AM447" s="53" t="str">
        <f t="shared" si="31"/>
        <v>Thừa 2</v>
      </c>
      <c r="AN447" s="53" t="s">
        <v>148</v>
      </c>
      <c r="AO447" s="53" t="s">
        <v>1005</v>
      </c>
      <c r="AP447" s="53" t="s">
        <v>1006</v>
      </c>
      <c r="AQ447" s="53" t="s">
        <v>57</v>
      </c>
      <c r="AR447" s="53">
        <v>1</v>
      </c>
      <c r="AS447" s="83"/>
      <c r="AT447" s="53"/>
      <c r="AU447" s="53"/>
    </row>
    <row r="448" spans="3:48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29"/>
        <v>1</v>
      </c>
      <c r="M448" s="26">
        <f t="shared" si="22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67" t="e">
        <f>SUMIFS([1]Up!$J:$J,[1]Up!$D:$D,D448)</f>
        <v>#VALUE!</v>
      </c>
      <c r="AK448" s="82" t="s">
        <v>2077</v>
      </c>
      <c r="AL448" s="82" t="str">
        <f t="shared" si="30"/>
        <v>PL20</v>
      </c>
      <c r="AM448" s="53" t="str">
        <f t="shared" si="31"/>
        <v>Thừa 7</v>
      </c>
      <c r="AN448" s="53" t="s">
        <v>148</v>
      </c>
      <c r="AO448" s="53" t="s">
        <v>1100</v>
      </c>
      <c r="AP448" s="53" t="s">
        <v>1101</v>
      </c>
      <c r="AQ448" s="53" t="s">
        <v>57</v>
      </c>
      <c r="AR448" s="53">
        <v>1</v>
      </c>
      <c r="AS448" s="83"/>
      <c r="AT448" s="53"/>
      <c r="AU448" s="53"/>
    </row>
    <row r="449" spans="3:47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29"/>
        <v>0</v>
      </c>
      <c r="M449" s="26">
        <f t="shared" si="22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67" t="e">
        <f>SUMIFS([1]Up!$J:$J,[1]Up!$D:$D,D449)</f>
        <v>#VALUE!</v>
      </c>
      <c r="AK449" s="82"/>
      <c r="AL449" s="82" t="str">
        <f t="shared" si="30"/>
        <v>PL10</v>
      </c>
      <c r="AM449" s="53" t="str">
        <f t="shared" si="31"/>
        <v/>
      </c>
      <c r="AN449" s="53" t="s">
        <v>154</v>
      </c>
      <c r="AO449" s="53" t="s">
        <v>1005</v>
      </c>
      <c r="AP449" s="53" t="s">
        <v>1006</v>
      </c>
      <c r="AQ449" s="53" t="s">
        <v>1064</v>
      </c>
      <c r="AR449" s="53">
        <v>1</v>
      </c>
      <c r="AS449" s="83">
        <v>46088</v>
      </c>
      <c r="AT449" s="53"/>
      <c r="AU449" s="53"/>
    </row>
    <row r="450" spans="3:47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29"/>
        <v>2</v>
      </c>
      <c r="M450" s="26">
        <f t="shared" si="22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67" t="e">
        <f>SUMIFS([1]Up!$J:$J,[1]Up!$D:$D,D450)</f>
        <v>#VALUE!</v>
      </c>
      <c r="AK450" s="82"/>
      <c r="AL450" s="82" t="str">
        <f t="shared" si="30"/>
        <v>PL20</v>
      </c>
      <c r="AM450" s="53" t="str">
        <f t="shared" si="31"/>
        <v/>
      </c>
      <c r="AN450" s="53" t="s">
        <v>148</v>
      </c>
      <c r="AO450" s="53" t="s">
        <v>1100</v>
      </c>
      <c r="AP450" s="53" t="s">
        <v>1101</v>
      </c>
      <c r="AQ450" s="53" t="s">
        <v>1308</v>
      </c>
      <c r="AR450" s="53">
        <v>2</v>
      </c>
      <c r="AS450" s="83">
        <v>46242</v>
      </c>
      <c r="AT450" s="53"/>
      <c r="AU450" s="53"/>
    </row>
    <row r="451" spans="3:47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29"/>
        <v>1</v>
      </c>
      <c r="M451" s="26">
        <f t="shared" si="22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67" t="e">
        <f>SUMIFS([1]Up!$J:$J,[1]Up!$D:$D,D451)</f>
        <v>#VALUE!</v>
      </c>
      <c r="AK451" s="82"/>
      <c r="AL451" s="82" t="str">
        <f t="shared" si="30"/>
        <v>PL10</v>
      </c>
      <c r="AM451" s="53" t="str">
        <f t="shared" si="31"/>
        <v/>
      </c>
      <c r="AN451" s="53" t="s">
        <v>148</v>
      </c>
      <c r="AO451" s="53" t="s">
        <v>1005</v>
      </c>
      <c r="AP451" s="53" t="s">
        <v>1006</v>
      </c>
      <c r="AQ451" s="53" t="s">
        <v>1064</v>
      </c>
      <c r="AR451" s="53">
        <v>1</v>
      </c>
      <c r="AS451" s="83">
        <v>46088</v>
      </c>
      <c r="AT451" s="53"/>
      <c r="AU451" s="53"/>
    </row>
    <row r="452" spans="3:47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29"/>
        <v>1</v>
      </c>
      <c r="M452" s="26">
        <f t="shared" si="22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67" t="e">
        <f>SUMIFS([1]Up!$J:$J,[1]Up!$D:$D,D452)</f>
        <v>#VALUE!</v>
      </c>
      <c r="AK452" s="82"/>
      <c r="AL452" s="82" t="str">
        <f t="shared" si="30"/>
        <v>PL3</v>
      </c>
      <c r="AM452" s="53" t="str">
        <f t="shared" si="31"/>
        <v>Thừa 1</v>
      </c>
      <c r="AN452" s="53" t="s">
        <v>148</v>
      </c>
      <c r="AO452" s="53" t="s">
        <v>1632</v>
      </c>
      <c r="AP452" s="53" t="s">
        <v>962</v>
      </c>
      <c r="AQ452" s="53" t="s">
        <v>1633</v>
      </c>
      <c r="AR452" s="53">
        <v>1</v>
      </c>
      <c r="AS452" s="83" t="s">
        <v>2223</v>
      </c>
      <c r="AT452" s="53"/>
      <c r="AU452" s="53"/>
    </row>
    <row r="453" spans="3:47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29"/>
        <v>2</v>
      </c>
      <c r="M453" s="26">
        <f t="shared" si="22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67" t="e">
        <f>SUMIFS([1]Up!$J:$J,[1]Up!$D:$D,D453)</f>
        <v>#VALUE!</v>
      </c>
      <c r="AK453" s="82"/>
      <c r="AL453" s="82" t="str">
        <f t="shared" si="30"/>
        <v>PL15</v>
      </c>
      <c r="AM453" s="53" t="str">
        <f t="shared" si="31"/>
        <v/>
      </c>
      <c r="AN453" s="53" t="s">
        <v>148</v>
      </c>
      <c r="AO453" s="53" t="s">
        <v>1094</v>
      </c>
      <c r="AP453" s="53" t="s">
        <v>1095</v>
      </c>
      <c r="AQ453" s="53" t="s">
        <v>1304</v>
      </c>
      <c r="AR453" s="53">
        <v>2</v>
      </c>
      <c r="AS453" s="83">
        <v>46088</v>
      </c>
      <c r="AT453" s="53"/>
      <c r="AU453" s="53"/>
    </row>
    <row r="454" spans="3:47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29"/>
        <v>1</v>
      </c>
      <c r="M454" s="26">
        <f t="shared" si="22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67" t="e">
        <f>SUMIFS([1]Up!$J:$J,[1]Up!$D:$D,D454)</f>
        <v>#VALUE!</v>
      </c>
      <c r="AK454" s="82" t="s">
        <v>2074</v>
      </c>
      <c r="AL454" s="82" t="str">
        <f t="shared" si="30"/>
        <v>PL10</v>
      </c>
      <c r="AM454" s="53" t="str">
        <f t="shared" si="31"/>
        <v>Thừa 1</v>
      </c>
      <c r="AN454" s="53" t="s">
        <v>154</v>
      </c>
      <c r="AO454" s="53" t="s">
        <v>1005</v>
      </c>
      <c r="AP454" s="53" t="s">
        <v>1006</v>
      </c>
      <c r="AQ454" s="53" t="s">
        <v>57</v>
      </c>
      <c r="AR454" s="53">
        <v>1</v>
      </c>
      <c r="AS454" s="83"/>
      <c r="AT454" s="53"/>
      <c r="AU454" s="53"/>
    </row>
    <row r="455" spans="3:47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29"/>
        <v>1</v>
      </c>
      <c r="M455" s="26">
        <f t="shared" si="22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67" t="e">
        <f>SUMIFS([1]Up!$J:$J,[1]Up!$D:$D,D455)</f>
        <v>#VALUE!</v>
      </c>
      <c r="AK455" s="82" t="s">
        <v>2074</v>
      </c>
      <c r="AL455" s="82" t="str">
        <f t="shared" si="30"/>
        <v>PL10</v>
      </c>
      <c r="AM455" s="53" t="str">
        <f t="shared" si="31"/>
        <v>Thừa 1</v>
      </c>
      <c r="AN455" s="53" t="s">
        <v>148</v>
      </c>
      <c r="AO455" s="53" t="s">
        <v>1005</v>
      </c>
      <c r="AP455" s="53" t="s">
        <v>1006</v>
      </c>
      <c r="AQ455" s="53" t="s">
        <v>57</v>
      </c>
      <c r="AR455" s="53">
        <v>1</v>
      </c>
      <c r="AS455" s="83"/>
      <c r="AT455" s="53"/>
      <c r="AU455" s="53"/>
    </row>
    <row r="456" spans="3:47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29"/>
        <v>1</v>
      </c>
      <c r="M456" s="26">
        <f t="shared" si="22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67" t="e">
        <f>SUMIFS([1]Up!$J:$J,[1]Up!$D:$D,D456)</f>
        <v>#VALUE!</v>
      </c>
      <c r="AK456" s="82"/>
      <c r="AL456" s="82" t="str">
        <f t="shared" si="30"/>
        <v>PL10</v>
      </c>
      <c r="AM456" s="53" t="str">
        <f t="shared" si="31"/>
        <v/>
      </c>
      <c r="AN456" s="53" t="s">
        <v>148</v>
      </c>
      <c r="AO456" s="53" t="s">
        <v>1005</v>
      </c>
      <c r="AP456" s="53" t="s">
        <v>1006</v>
      </c>
      <c r="AQ456" s="53" t="s">
        <v>1064</v>
      </c>
      <c r="AR456" s="53">
        <v>1</v>
      </c>
      <c r="AS456" s="83">
        <v>46088</v>
      </c>
      <c r="AT456" s="53"/>
      <c r="AU456" s="53"/>
    </row>
    <row r="457" spans="3:47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29"/>
        <v>2</v>
      </c>
      <c r="M457" s="26">
        <f t="shared" si="22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67" t="e">
        <f>SUMIFS([1]Up!$J:$J,[1]Up!$D:$D,D457)</f>
        <v>#VALUE!</v>
      </c>
      <c r="AK457" s="82"/>
      <c r="AL457" s="82" t="str">
        <f t="shared" si="30"/>
        <v>PL16</v>
      </c>
      <c r="AM457" s="53" t="str">
        <f t="shared" si="31"/>
        <v/>
      </c>
      <c r="AN457" s="53" t="s">
        <v>148</v>
      </c>
      <c r="AO457" s="53" t="s">
        <v>988</v>
      </c>
      <c r="AP457" s="53" t="s">
        <v>989</v>
      </c>
      <c r="AQ457" s="53" t="s">
        <v>990</v>
      </c>
      <c r="AR457" s="53">
        <v>2</v>
      </c>
      <c r="AS457" s="83" t="s">
        <v>2223</v>
      </c>
      <c r="AT457" s="53"/>
      <c r="AU457" s="53"/>
    </row>
    <row r="458" spans="3:47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29"/>
        <v>0</v>
      </c>
      <c r="M458" s="26">
        <f t="shared" ref="M458" si="32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67" t="e">
        <f>SUMIFS([1]Up!$J:$J,[1]Up!$D:$D,D458)</f>
        <v>#VALUE!</v>
      </c>
      <c r="AK458" s="82"/>
      <c r="AL458" s="82" t="str">
        <f t="shared" si="30"/>
        <v>PL10</v>
      </c>
      <c r="AM458" s="53" t="str">
        <f t="shared" si="31"/>
        <v/>
      </c>
      <c r="AN458" s="53"/>
      <c r="AO458" s="53"/>
      <c r="AP458" s="53"/>
      <c r="AQ458" s="53"/>
      <c r="AR458" s="53"/>
      <c r="AS458" s="83"/>
      <c r="AT458" s="53"/>
      <c r="AU458" s="53"/>
    </row>
    <row r="459" spans="3:47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29"/>
        <v>1</v>
      </c>
      <c r="M459" s="26">
        <f t="shared" si="22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67" t="e">
        <f>SUMIFS([1]Up!$J:$J,[1]Up!$D:$D,D459)</f>
        <v>#VALUE!</v>
      </c>
      <c r="AK459" s="82" t="s">
        <v>2074</v>
      </c>
      <c r="AL459" s="82" t="str">
        <f t="shared" si="30"/>
        <v>PL10</v>
      </c>
      <c r="AM459" s="53" t="str">
        <f t="shared" si="31"/>
        <v>Thừa 1</v>
      </c>
      <c r="AN459" s="53" t="s">
        <v>148</v>
      </c>
      <c r="AO459" s="53" t="s">
        <v>1005</v>
      </c>
      <c r="AP459" s="53" t="s">
        <v>1006</v>
      </c>
      <c r="AQ459" s="53" t="s">
        <v>57</v>
      </c>
      <c r="AR459" s="53">
        <v>1</v>
      </c>
      <c r="AS459" s="83"/>
      <c r="AT459" s="53"/>
      <c r="AU459" s="53"/>
    </row>
    <row r="460" spans="3:47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29"/>
        <v>1</v>
      </c>
      <c r="M460" s="26">
        <f t="shared" si="22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67" t="e">
        <f>SUMIFS([1]Up!$J:$J,[1]Up!$D:$D,D460)</f>
        <v>#VALUE!</v>
      </c>
      <c r="AK460" s="82"/>
      <c r="AL460" s="82" t="str">
        <f t="shared" si="30"/>
        <v>PL10</v>
      </c>
      <c r="AM460" s="53" t="str">
        <f t="shared" si="31"/>
        <v/>
      </c>
      <c r="AN460" s="53" t="s">
        <v>148</v>
      </c>
      <c r="AO460" s="53" t="s">
        <v>1005</v>
      </c>
      <c r="AP460" s="53" t="s">
        <v>1006</v>
      </c>
      <c r="AQ460" s="53" t="s">
        <v>1064</v>
      </c>
      <c r="AR460" s="53">
        <v>1</v>
      </c>
      <c r="AS460" s="83">
        <v>46088</v>
      </c>
      <c r="AT460" s="53"/>
      <c r="AU460" s="53"/>
    </row>
    <row r="461" spans="3:47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29"/>
        <v>1</v>
      </c>
      <c r="M461" s="26">
        <f t="shared" si="22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67" t="e">
        <f>SUMIFS([1]Up!$J:$J,[1]Up!$D:$D,D461)</f>
        <v>#VALUE!</v>
      </c>
      <c r="AK461" s="82"/>
      <c r="AL461" s="82" t="str">
        <f t="shared" si="30"/>
        <v>PL15</v>
      </c>
      <c r="AM461" s="53" t="str">
        <f t="shared" si="31"/>
        <v/>
      </c>
      <c r="AN461" s="53" t="s">
        <v>148</v>
      </c>
      <c r="AO461" s="53" t="s">
        <v>1094</v>
      </c>
      <c r="AP461" s="53" t="s">
        <v>1095</v>
      </c>
      <c r="AQ461" s="53" t="s">
        <v>1304</v>
      </c>
      <c r="AR461" s="53">
        <v>1</v>
      </c>
      <c r="AS461" s="83">
        <v>46088</v>
      </c>
      <c r="AT461" s="53"/>
      <c r="AU461" s="53"/>
    </row>
    <row r="462" spans="3:47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29"/>
        <v>2</v>
      </c>
      <c r="M462" s="26">
        <f t="shared" si="22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67" t="e">
        <f>SUMIFS([1]Up!$J:$J,[1]Up!$D:$D,D462)</f>
        <v>#VALUE!</v>
      </c>
      <c r="AK462" s="82"/>
      <c r="AL462" s="82" t="str">
        <f t="shared" si="30"/>
        <v>PL15</v>
      </c>
      <c r="AM462" s="53" t="str">
        <f t="shared" si="31"/>
        <v/>
      </c>
      <c r="AN462" s="53" t="s">
        <v>148</v>
      </c>
      <c r="AO462" s="53" t="s">
        <v>1094</v>
      </c>
      <c r="AP462" s="53" t="s">
        <v>1095</v>
      </c>
      <c r="AQ462" s="53" t="s">
        <v>1304</v>
      </c>
      <c r="AR462" s="53">
        <v>2</v>
      </c>
      <c r="AS462" s="83">
        <v>46088</v>
      </c>
      <c r="AT462" s="53"/>
      <c r="AU462" s="53"/>
    </row>
    <row r="463" spans="3:47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29"/>
        <v>1</v>
      </c>
      <c r="M463" s="26">
        <f t="shared" si="22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67" t="e">
        <f>SUMIFS([1]Up!$J:$J,[1]Up!$D:$D,D463)</f>
        <v>#VALUE!</v>
      </c>
      <c r="AK463" s="82" t="s">
        <v>2072</v>
      </c>
      <c r="AL463" s="82" t="str">
        <f t="shared" si="30"/>
        <v>PL10</v>
      </c>
      <c r="AM463" s="53" t="str">
        <f t="shared" si="31"/>
        <v>Thừa 2</v>
      </c>
      <c r="AN463" s="53" t="s">
        <v>148</v>
      </c>
      <c r="AO463" s="53" t="s">
        <v>1005</v>
      </c>
      <c r="AP463" s="53" t="s">
        <v>1006</v>
      </c>
      <c r="AQ463" s="53" t="s">
        <v>57</v>
      </c>
      <c r="AR463" s="53">
        <v>1</v>
      </c>
      <c r="AS463" s="83"/>
      <c r="AT463" s="53"/>
      <c r="AU463" s="53"/>
    </row>
    <row r="464" spans="3:47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29"/>
        <v>2</v>
      </c>
      <c r="M464" s="26">
        <f t="shared" si="22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67" t="e">
        <f>SUMIFS([1]Up!$J:$J,[1]Up!$D:$D,D464)</f>
        <v>#VALUE!</v>
      </c>
      <c r="AK464" s="82"/>
      <c r="AL464" s="82" t="str">
        <f t="shared" si="30"/>
        <v>PL10</v>
      </c>
      <c r="AM464" s="53" t="str">
        <f t="shared" si="31"/>
        <v/>
      </c>
      <c r="AN464" s="53" t="s">
        <v>148</v>
      </c>
      <c r="AO464" s="53" t="s">
        <v>1005</v>
      </c>
      <c r="AP464" s="53" t="s">
        <v>1006</v>
      </c>
      <c r="AQ464" s="53" t="s">
        <v>1064</v>
      </c>
      <c r="AR464" s="53">
        <v>2</v>
      </c>
      <c r="AS464" s="83">
        <v>46088</v>
      </c>
      <c r="AT464" s="53"/>
      <c r="AU464" s="53"/>
    </row>
    <row r="465" spans="3:48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29"/>
        <v>4</v>
      </c>
      <c r="M465" s="26">
        <f t="shared" si="22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67" t="e">
        <f>SUMIFS([1]Up!$J:$J,[1]Up!$D:$D,D465)</f>
        <v>#VALUE!</v>
      </c>
      <c r="AK465" s="82"/>
      <c r="AL465" s="82" t="str">
        <f t="shared" si="30"/>
        <v>PL16</v>
      </c>
      <c r="AM465" s="53" t="str">
        <f t="shared" si="31"/>
        <v/>
      </c>
      <c r="AN465" s="53" t="s">
        <v>148</v>
      </c>
      <c r="AO465" s="53" t="s">
        <v>988</v>
      </c>
      <c r="AP465" s="53" t="s">
        <v>989</v>
      </c>
      <c r="AQ465" s="53" t="s">
        <v>990</v>
      </c>
      <c r="AR465" s="53">
        <v>4</v>
      </c>
      <c r="AS465" s="83" t="s">
        <v>2223</v>
      </c>
      <c r="AT465" s="53"/>
      <c r="AU465" s="53"/>
    </row>
    <row r="466" spans="3:48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29"/>
        <v>0</v>
      </c>
      <c r="M466" s="26">
        <f t="shared" si="22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67" t="e">
        <f>SUMIFS([1]Up!$J:$J,[1]Up!$D:$D,D466)</f>
        <v>#VALUE!</v>
      </c>
      <c r="AK466" s="82"/>
      <c r="AL466" s="82" t="str">
        <f t="shared" si="30"/>
        <v/>
      </c>
      <c r="AM466" s="53" t="str">
        <f t="shared" si="31"/>
        <v/>
      </c>
      <c r="AN466" s="53" t="s">
        <v>148</v>
      </c>
      <c r="AO466" s="53" t="s">
        <v>1079</v>
      </c>
      <c r="AP466" s="53" t="s">
        <v>1076</v>
      </c>
      <c r="AQ466" s="84" t="s">
        <v>2162</v>
      </c>
      <c r="AR466" s="53">
        <v>8</v>
      </c>
      <c r="AS466" s="83" t="s">
        <v>2225</v>
      </c>
      <c r="AT466" s="53"/>
      <c r="AU466" s="53"/>
      <c r="AV466" s="238"/>
    </row>
    <row r="467" spans="3:48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29"/>
        <v>0</v>
      </c>
      <c r="M467" s="26">
        <f t="shared" si="22"/>
        <v>2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67" t="e">
        <f>SUMIFS([1]Up!$J:$J,[1]Up!$D:$D,D467)</f>
        <v>#VALUE!</v>
      </c>
      <c r="AK467" s="82"/>
      <c r="AL467" s="82" t="str">
        <f t="shared" si="30"/>
        <v>PL10</v>
      </c>
      <c r="AM467" s="53" t="str">
        <f t="shared" si="31"/>
        <v/>
      </c>
      <c r="AN467" s="53" t="s">
        <v>154</v>
      </c>
      <c r="AO467" s="53" t="s">
        <v>1005</v>
      </c>
      <c r="AP467" s="53" t="s">
        <v>1006</v>
      </c>
      <c r="AQ467" s="53" t="s">
        <v>57</v>
      </c>
      <c r="AR467" s="53">
        <v>4</v>
      </c>
      <c r="AS467" s="83"/>
      <c r="AT467" s="53"/>
      <c r="AU467" s="53"/>
    </row>
    <row r="468" spans="3:48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29"/>
        <v>0</v>
      </c>
      <c r="M468" s="26">
        <f t="shared" si="22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67" t="e">
        <f>SUMIFS([1]Up!$J:$J,[1]Up!$D:$D,D468)</f>
        <v>#VALUE!</v>
      </c>
      <c r="AK468" s="82"/>
      <c r="AL468" s="82" t="str">
        <f t="shared" si="30"/>
        <v>PL10</v>
      </c>
      <c r="AM468" s="53" t="str">
        <f t="shared" si="31"/>
        <v/>
      </c>
      <c r="AN468" s="53" t="s">
        <v>148</v>
      </c>
      <c r="AO468" s="53" t="s">
        <v>1005</v>
      </c>
      <c r="AP468" s="53" t="s">
        <v>1006</v>
      </c>
      <c r="AQ468" s="84" t="s">
        <v>2157</v>
      </c>
      <c r="AR468" s="53">
        <v>4</v>
      </c>
      <c r="AS468" s="83">
        <v>46302</v>
      </c>
      <c r="AT468" s="53"/>
      <c r="AU468" s="53"/>
      <c r="AV468" s="238"/>
    </row>
    <row r="469" spans="3:48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29"/>
        <v>0</v>
      </c>
      <c r="M469" s="26">
        <f t="shared" si="22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67" t="e">
        <f>SUMIFS([1]Up!$J:$J,[1]Up!$D:$D,D469)</f>
        <v>#VALUE!</v>
      </c>
      <c r="AK469" s="82"/>
      <c r="AL469" s="82" t="str">
        <f t="shared" si="30"/>
        <v>PL3</v>
      </c>
      <c r="AM469" s="53" t="str">
        <f t="shared" si="31"/>
        <v/>
      </c>
      <c r="AN469" s="53" t="s">
        <v>148</v>
      </c>
      <c r="AO469" s="53" t="s">
        <v>1632</v>
      </c>
      <c r="AP469" s="53" t="s">
        <v>962</v>
      </c>
      <c r="AQ469" s="84" t="s">
        <v>2190</v>
      </c>
      <c r="AR469" s="53">
        <v>4</v>
      </c>
      <c r="AS469" s="83" t="s">
        <v>2225</v>
      </c>
      <c r="AT469" s="53"/>
      <c r="AU469" s="53"/>
      <c r="AV469" s="238"/>
    </row>
    <row r="470" spans="3:48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29"/>
        <v>0</v>
      </c>
      <c r="M470" s="26">
        <f t="shared" si="22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67" t="e">
        <f>SUMIFS([1]Up!$J:$J,[1]Up!$D:$D,D470)</f>
        <v>#VALUE!</v>
      </c>
      <c r="AK470" s="82"/>
      <c r="AL470" s="82" t="str">
        <f t="shared" si="30"/>
        <v>PL10</v>
      </c>
      <c r="AM470" s="53" t="str">
        <f t="shared" si="31"/>
        <v/>
      </c>
      <c r="AN470" s="53" t="s">
        <v>148</v>
      </c>
      <c r="AO470" s="53" t="s">
        <v>1005</v>
      </c>
      <c r="AP470" s="53" t="s">
        <v>1006</v>
      </c>
      <c r="AQ470" s="84" t="s">
        <v>2157</v>
      </c>
      <c r="AR470" s="53">
        <v>8</v>
      </c>
      <c r="AS470" s="83">
        <v>46302</v>
      </c>
      <c r="AT470" s="53"/>
      <c r="AU470" s="53"/>
      <c r="AV470" s="238"/>
    </row>
    <row r="471" spans="3:48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29"/>
        <v>0</v>
      </c>
      <c r="M471" s="26">
        <f t="shared" si="22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67" t="e">
        <f>SUMIFS([1]Up!$J:$J,[1]Up!$D:$D,D471)</f>
        <v>#VALUE!</v>
      </c>
      <c r="AK471" s="82"/>
      <c r="AL471" s="82" t="str">
        <f t="shared" si="30"/>
        <v>PL16</v>
      </c>
      <c r="AM471" s="53" t="str">
        <f t="shared" si="31"/>
        <v/>
      </c>
      <c r="AN471" s="53" t="s">
        <v>148</v>
      </c>
      <c r="AO471" s="53" t="s">
        <v>988</v>
      </c>
      <c r="AP471" s="53" t="s">
        <v>989</v>
      </c>
      <c r="AQ471" s="84" t="s">
        <v>2161</v>
      </c>
      <c r="AR471" s="53">
        <v>8</v>
      </c>
      <c r="AS471" s="83" t="s">
        <v>2226</v>
      </c>
      <c r="AT471" s="53"/>
      <c r="AU471" s="53"/>
      <c r="AV471" s="238"/>
    </row>
    <row r="472" spans="3:48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29"/>
        <v>0</v>
      </c>
      <c r="M472" s="26">
        <f t="shared" si="22"/>
        <v>4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67" t="e">
        <f>SUMIFS([1]Up!$J:$J,[1]Up!$D:$D,D472)</f>
        <v>#VALUE!</v>
      </c>
      <c r="AK472" s="82"/>
      <c r="AL472" s="82" t="str">
        <f t="shared" si="30"/>
        <v>PL15</v>
      </c>
      <c r="AM472" s="53" t="str">
        <f t="shared" si="31"/>
        <v/>
      </c>
      <c r="AN472" s="53" t="s">
        <v>148</v>
      </c>
      <c r="AO472" s="53" t="s">
        <v>1094</v>
      </c>
      <c r="AP472" s="53" t="s">
        <v>1095</v>
      </c>
      <c r="AQ472" s="84" t="s">
        <v>2156</v>
      </c>
      <c r="AR472" s="53">
        <v>8</v>
      </c>
      <c r="AS472" s="83" t="s">
        <v>2225</v>
      </c>
      <c r="AT472" s="53"/>
      <c r="AU472" s="53"/>
      <c r="AV472" s="238"/>
    </row>
    <row r="473" spans="3:48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29"/>
        <v>0</v>
      </c>
      <c r="M473" s="26">
        <f t="shared" si="22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67" t="e">
        <f>SUMIFS([1]Up!$J:$J,[1]Up!$D:$D,D473)</f>
        <v>#VALUE!</v>
      </c>
      <c r="AK473" s="82"/>
      <c r="AL473" s="82" t="str">
        <f t="shared" si="30"/>
        <v>PL16</v>
      </c>
      <c r="AM473" s="53" t="str">
        <f t="shared" si="31"/>
        <v/>
      </c>
      <c r="AN473" s="53" t="s">
        <v>148</v>
      </c>
      <c r="AO473" s="53" t="s">
        <v>988</v>
      </c>
      <c r="AP473" s="53" t="s">
        <v>989</v>
      </c>
      <c r="AQ473" s="84" t="s">
        <v>2161</v>
      </c>
      <c r="AR473" s="53">
        <v>8</v>
      </c>
      <c r="AS473" s="83" t="s">
        <v>2226</v>
      </c>
      <c r="AT473" s="53"/>
      <c r="AU473" s="53"/>
      <c r="AV473" s="238"/>
    </row>
    <row r="474" spans="3:48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29"/>
        <v>0</v>
      </c>
      <c r="M474" s="26">
        <f t="shared" si="22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67" t="e">
        <f>SUMIFS([1]Up!$J:$J,[1]Up!$D:$D,D474)</f>
        <v>#VALUE!</v>
      </c>
      <c r="AK474" s="82"/>
      <c r="AL474" s="82" t="str">
        <f t="shared" si="30"/>
        <v>PL20</v>
      </c>
      <c r="AM474" s="53" t="str">
        <f t="shared" si="31"/>
        <v/>
      </c>
      <c r="AN474" s="53" t="s">
        <v>148</v>
      </c>
      <c r="AO474" s="53" t="s">
        <v>1100</v>
      </c>
      <c r="AP474" s="53" t="s">
        <v>1101</v>
      </c>
      <c r="AQ474" s="84" t="s">
        <v>2158</v>
      </c>
      <c r="AR474" s="53">
        <v>4</v>
      </c>
      <c r="AS474" s="83">
        <v>46242</v>
      </c>
      <c r="AT474" s="53"/>
      <c r="AU474" s="53"/>
      <c r="AV474" s="238"/>
    </row>
    <row r="475" spans="3:48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29"/>
        <v>0</v>
      </c>
      <c r="M475" s="26">
        <f t="shared" si="22"/>
        <v>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67" t="e">
        <f>SUMIFS([1]Up!$J:$J,[1]Up!$D:$D,D475)</f>
        <v>#VALUE!</v>
      </c>
      <c r="AK475" s="82"/>
      <c r="AL475" s="82" t="str">
        <f t="shared" si="30"/>
        <v>PL15</v>
      </c>
      <c r="AM475" s="53" t="str">
        <f t="shared" si="31"/>
        <v/>
      </c>
      <c r="AN475" s="53" t="s">
        <v>148</v>
      </c>
      <c r="AO475" s="53" t="s">
        <v>1094</v>
      </c>
      <c r="AP475" s="53" t="s">
        <v>1095</v>
      </c>
      <c r="AQ475" s="84" t="s">
        <v>2156</v>
      </c>
      <c r="AR475" s="53">
        <v>4</v>
      </c>
      <c r="AS475" s="83" t="s">
        <v>2225</v>
      </c>
      <c r="AT475" s="53"/>
      <c r="AU475" s="53"/>
      <c r="AV475" s="238"/>
    </row>
    <row r="476" spans="3:48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29"/>
        <v>0</v>
      </c>
      <c r="M476" s="26">
        <f t="shared" si="22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67" t="e">
        <f>SUMIFS([1]Up!$J:$J,[1]Up!$D:$D,D476)</f>
        <v>#VALUE!</v>
      </c>
      <c r="AK476" s="82"/>
      <c r="AL476" s="82" t="str">
        <f t="shared" si="30"/>
        <v>PL10</v>
      </c>
      <c r="AM476" s="53" t="str">
        <f t="shared" si="31"/>
        <v/>
      </c>
      <c r="AN476" s="53" t="s">
        <v>154</v>
      </c>
      <c r="AO476" s="53" t="s">
        <v>1005</v>
      </c>
      <c r="AP476" s="53" t="s">
        <v>1006</v>
      </c>
      <c r="AQ476" s="53" t="s">
        <v>57</v>
      </c>
      <c r="AR476" s="53">
        <v>4</v>
      </c>
      <c r="AS476" s="83"/>
      <c r="AT476" s="53"/>
      <c r="AU476" s="53"/>
    </row>
    <row r="477" spans="3:48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29"/>
        <v>0</v>
      </c>
      <c r="M477" s="26">
        <f t="shared" si="22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67" t="e">
        <f>SUMIFS([1]Up!$J:$J,[1]Up!$D:$D,D477)</f>
        <v>#VALUE!</v>
      </c>
      <c r="AK477" s="82"/>
      <c r="AL477" s="82" t="str">
        <f t="shared" si="30"/>
        <v>PL10</v>
      </c>
      <c r="AM477" s="53" t="str">
        <f t="shared" si="31"/>
        <v/>
      </c>
      <c r="AN477" s="53" t="s">
        <v>148</v>
      </c>
      <c r="AO477" s="53" t="s">
        <v>1005</v>
      </c>
      <c r="AP477" s="53" t="s">
        <v>1006</v>
      </c>
      <c r="AQ477" s="53" t="s">
        <v>57</v>
      </c>
      <c r="AR477" s="53">
        <v>8</v>
      </c>
      <c r="AS477" s="83"/>
      <c r="AT477" s="53"/>
      <c r="AU477" s="53"/>
    </row>
    <row r="478" spans="3:48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3">MIN(SUM(N478:AI478),I478)</f>
        <v>0</v>
      </c>
      <c r="M478" s="26">
        <f t="shared" si="22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67" t="e">
        <f>SUMIFS([1]Up!$J:$J,[1]Up!$D:$D,D478)</f>
        <v>#VALUE!</v>
      </c>
      <c r="AK478" s="82"/>
      <c r="AL478" s="82" t="str">
        <f t="shared" ref="AL478:AL541" si="34">IFERROR(IF(C478="Plate",LEFT(E478,FIND("*",E478,1)-1),""),IF(C478="Plate",LEFT(E478,FIND("x",E478,1)-1),""))</f>
        <v>PL10</v>
      </c>
      <c r="AM478" s="53" t="str">
        <f t="shared" ref="AM478:AM541" si="35">IF(ROUND(SUM(N478:AI478)-I478,0)&gt;0,"Thừa "&amp;SUM(N478:AI478)-I478,"")</f>
        <v/>
      </c>
      <c r="AN478" s="53" t="s">
        <v>148</v>
      </c>
      <c r="AO478" s="53" t="s">
        <v>1005</v>
      </c>
      <c r="AP478" s="53" t="s">
        <v>1006</v>
      </c>
      <c r="AQ478" s="53" t="s">
        <v>57</v>
      </c>
      <c r="AR478" s="53">
        <v>8</v>
      </c>
      <c r="AS478" s="83"/>
      <c r="AT478" s="53"/>
      <c r="AU478" s="53"/>
    </row>
    <row r="479" spans="3:48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3"/>
        <v>0</v>
      </c>
      <c r="M479" s="26">
        <f t="shared" si="22"/>
        <v>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67" t="e">
        <f>SUMIFS([1]Up!$J:$J,[1]Up!$D:$D,D479)</f>
        <v>#VALUE!</v>
      </c>
      <c r="AK479" s="82"/>
      <c r="AL479" s="82" t="str">
        <f t="shared" si="34"/>
        <v>PL15</v>
      </c>
      <c r="AM479" s="53" t="str">
        <f t="shared" si="35"/>
        <v/>
      </c>
      <c r="AN479" s="53" t="s">
        <v>148</v>
      </c>
      <c r="AO479" s="53" t="s">
        <v>1094</v>
      </c>
      <c r="AP479" s="53" t="s">
        <v>1095</v>
      </c>
      <c r="AQ479" s="84" t="s">
        <v>2156</v>
      </c>
      <c r="AR479" s="53">
        <v>8</v>
      </c>
      <c r="AS479" s="83" t="s">
        <v>2225</v>
      </c>
      <c r="AT479" s="53"/>
      <c r="AU479" s="53"/>
      <c r="AV479" s="238"/>
    </row>
    <row r="480" spans="3:48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3"/>
        <v>0</v>
      </c>
      <c r="M480" s="26">
        <f t="shared" si="22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67" t="e">
        <f>SUMIFS([1]Up!$J:$J,[1]Up!$D:$D,D480)</f>
        <v>#VALUE!</v>
      </c>
      <c r="AK480" s="82"/>
      <c r="AL480" s="82" t="str">
        <f t="shared" si="34"/>
        <v>PL10</v>
      </c>
      <c r="AM480" s="53" t="str">
        <f t="shared" si="35"/>
        <v/>
      </c>
      <c r="AN480" s="53" t="s">
        <v>148</v>
      </c>
      <c r="AO480" s="53" t="s">
        <v>1005</v>
      </c>
      <c r="AP480" s="53" t="s">
        <v>1006</v>
      </c>
      <c r="AQ480" s="53" t="s">
        <v>57</v>
      </c>
      <c r="AR480" s="53">
        <v>4</v>
      </c>
      <c r="AS480" s="83"/>
      <c r="AT480" s="53"/>
      <c r="AU480" s="53"/>
    </row>
    <row r="481" spans="3:48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3"/>
        <v>0</v>
      </c>
      <c r="M481" s="26">
        <f t="shared" si="22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67" t="e">
        <f>SUMIFS([1]Up!$J:$J,[1]Up!$D:$D,D481)</f>
        <v>#VALUE!</v>
      </c>
      <c r="AK481" s="82"/>
      <c r="AL481" s="82" t="str">
        <f t="shared" si="34"/>
        <v>PL20</v>
      </c>
      <c r="AM481" s="53" t="str">
        <f t="shared" si="35"/>
        <v/>
      </c>
      <c r="AN481" s="53" t="s">
        <v>148</v>
      </c>
      <c r="AO481" s="53" t="s">
        <v>1100</v>
      </c>
      <c r="AP481" s="53" t="s">
        <v>1101</v>
      </c>
      <c r="AQ481" s="53" t="s">
        <v>57</v>
      </c>
      <c r="AR481" s="53">
        <v>4</v>
      </c>
      <c r="AS481" s="83"/>
      <c r="AT481" s="53"/>
      <c r="AU481" s="53"/>
    </row>
    <row r="482" spans="3:48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3"/>
        <v>0</v>
      </c>
      <c r="M482" s="26">
        <f t="shared" si="22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67" t="e">
        <f>SUMIFS([1]Up!$J:$J,[1]Up!$D:$D,D482)</f>
        <v>#VALUE!</v>
      </c>
      <c r="AK482" s="82"/>
      <c r="AL482" s="82" t="str">
        <f t="shared" si="34"/>
        <v>PL10</v>
      </c>
      <c r="AM482" s="53" t="str">
        <f t="shared" si="35"/>
        <v/>
      </c>
      <c r="AN482" s="53" t="s">
        <v>154</v>
      </c>
      <c r="AO482" s="53" t="s">
        <v>1005</v>
      </c>
      <c r="AP482" s="53" t="s">
        <v>1006</v>
      </c>
      <c r="AQ482" s="84" t="s">
        <v>2157</v>
      </c>
      <c r="AR482" s="53">
        <v>4</v>
      </c>
      <c r="AS482" s="83">
        <v>46302</v>
      </c>
      <c r="AT482" s="53"/>
      <c r="AU482" s="53"/>
      <c r="AV482" s="238"/>
    </row>
    <row r="483" spans="3:48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3"/>
        <v>0</v>
      </c>
      <c r="M483" s="26">
        <f t="shared" si="22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67" t="e">
        <f>SUMIFS([1]Up!$J:$J,[1]Up!$D:$D,D483)</f>
        <v>#VALUE!</v>
      </c>
      <c r="AK483" s="82"/>
      <c r="AL483" s="82" t="str">
        <f t="shared" si="34"/>
        <v>PL20</v>
      </c>
      <c r="AM483" s="53" t="str">
        <f t="shared" si="35"/>
        <v/>
      </c>
      <c r="AN483" s="53" t="s">
        <v>148</v>
      </c>
      <c r="AO483" s="53" t="s">
        <v>1100</v>
      </c>
      <c r="AP483" s="53" t="s">
        <v>1101</v>
      </c>
      <c r="AQ483" s="84" t="s">
        <v>2158</v>
      </c>
      <c r="AR483" s="53">
        <v>8</v>
      </c>
      <c r="AS483" s="83">
        <v>46242</v>
      </c>
      <c r="AT483" s="53"/>
      <c r="AU483" s="53"/>
      <c r="AV483" s="238"/>
    </row>
    <row r="484" spans="3:48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3"/>
        <v>5</v>
      </c>
      <c r="M484" s="26">
        <f t="shared" si="22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67" t="e">
        <f>SUMIFS([1]Up!$J:$J,[1]Up!$D:$D,D484)</f>
        <v>#VALUE!</v>
      </c>
      <c r="AK484" s="82"/>
      <c r="AL484" s="82" t="str">
        <f t="shared" si="34"/>
        <v/>
      </c>
      <c r="AM484" s="53" t="str">
        <f t="shared" si="35"/>
        <v/>
      </c>
      <c r="AN484" s="53" t="s">
        <v>148</v>
      </c>
      <c r="AO484" s="53" t="s">
        <v>1079</v>
      </c>
      <c r="AP484" s="53" t="s">
        <v>1076</v>
      </c>
      <c r="AQ484" s="53" t="s">
        <v>1290</v>
      </c>
      <c r="AR484" s="53">
        <v>5</v>
      </c>
      <c r="AS484" s="83">
        <v>46362</v>
      </c>
      <c r="AT484" s="53"/>
      <c r="AU484" s="53"/>
    </row>
    <row r="485" spans="3:48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3"/>
        <v>1</v>
      </c>
      <c r="M485" s="26">
        <f t="shared" si="22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67" t="e">
        <f>SUMIFS([1]Up!$J:$J,[1]Up!$D:$D,D485)</f>
        <v>#VALUE!</v>
      </c>
      <c r="AK485" s="82" t="s">
        <v>2074</v>
      </c>
      <c r="AL485" s="82" t="str">
        <f t="shared" si="34"/>
        <v>PL8</v>
      </c>
      <c r="AM485" s="53" t="str">
        <f t="shared" si="35"/>
        <v>Thừa 1</v>
      </c>
      <c r="AN485" s="53" t="s">
        <v>154</v>
      </c>
      <c r="AO485" s="53" t="s">
        <v>1012</v>
      </c>
      <c r="AP485" s="53" t="s">
        <v>1013</v>
      </c>
      <c r="AQ485" s="53" t="s">
        <v>57</v>
      </c>
      <c r="AR485" s="53">
        <v>1</v>
      </c>
      <c r="AS485" s="83"/>
      <c r="AT485" s="53"/>
      <c r="AU485" s="53"/>
    </row>
    <row r="486" spans="3:48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3"/>
        <v>2</v>
      </c>
      <c r="M486" s="26">
        <f t="shared" si="22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67" t="e">
        <f>SUMIFS([1]Up!$J:$J,[1]Up!$D:$D,D486)</f>
        <v>#VALUE!</v>
      </c>
      <c r="AK486" s="82"/>
      <c r="AL486" s="82" t="str">
        <f t="shared" si="34"/>
        <v>PL15</v>
      </c>
      <c r="AM486" s="53" t="str">
        <f t="shared" si="35"/>
        <v/>
      </c>
      <c r="AN486" s="53" t="s">
        <v>148</v>
      </c>
      <c r="AO486" s="53" t="s">
        <v>1094</v>
      </c>
      <c r="AP486" s="53" t="s">
        <v>1095</v>
      </c>
      <c r="AQ486" s="53" t="s">
        <v>1304</v>
      </c>
      <c r="AR486" s="53">
        <v>2</v>
      </c>
      <c r="AS486" s="83">
        <v>46088</v>
      </c>
      <c r="AT486" s="53"/>
      <c r="AU486" s="53"/>
    </row>
    <row r="487" spans="3:48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3"/>
        <v>2</v>
      </c>
      <c r="M487" s="26">
        <f t="shared" si="22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67" t="e">
        <f>SUMIFS([1]Up!$J:$J,[1]Up!$D:$D,D487)</f>
        <v>#VALUE!</v>
      </c>
      <c r="AK487" s="82"/>
      <c r="AL487" s="82" t="str">
        <f t="shared" si="34"/>
        <v>PL15</v>
      </c>
      <c r="AM487" s="53" t="str">
        <f t="shared" si="35"/>
        <v/>
      </c>
      <c r="AN487" s="53" t="s">
        <v>148</v>
      </c>
      <c r="AO487" s="53" t="s">
        <v>1094</v>
      </c>
      <c r="AP487" s="53" t="s">
        <v>1095</v>
      </c>
      <c r="AQ487" s="53" t="s">
        <v>1304</v>
      </c>
      <c r="AR487" s="53">
        <v>2</v>
      </c>
      <c r="AS487" s="83">
        <v>46088</v>
      </c>
      <c r="AT487" s="53"/>
      <c r="AU487" s="53"/>
    </row>
    <row r="488" spans="3:48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3"/>
        <v>4</v>
      </c>
      <c r="M488" s="26">
        <f t="shared" si="22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67" t="e">
        <f>SUMIFS([1]Up!$J:$J,[1]Up!$D:$D,D488)</f>
        <v>#VALUE!</v>
      </c>
      <c r="AK488" s="82"/>
      <c r="AL488" s="82" t="str">
        <f t="shared" si="34"/>
        <v>PL16</v>
      </c>
      <c r="AM488" s="53" t="str">
        <f t="shared" si="35"/>
        <v/>
      </c>
      <c r="AN488" s="53" t="s">
        <v>148</v>
      </c>
      <c r="AO488" s="53" t="s">
        <v>988</v>
      </c>
      <c r="AP488" s="53" t="s">
        <v>989</v>
      </c>
      <c r="AQ488" s="53" t="s">
        <v>990</v>
      </c>
      <c r="AR488" s="53">
        <v>4</v>
      </c>
      <c r="AS488" s="83" t="s">
        <v>2223</v>
      </c>
      <c r="AT488" s="53"/>
      <c r="AU488" s="53"/>
    </row>
    <row r="489" spans="3:48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3"/>
        <v>2</v>
      </c>
      <c r="M489" s="26">
        <f t="shared" si="22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67" t="e">
        <f>SUMIFS([1]Up!$J:$J,[1]Up!$D:$D,D489)</f>
        <v>#VALUE!</v>
      </c>
      <c r="AK489" s="82"/>
      <c r="AL489" s="82" t="str">
        <f t="shared" si="34"/>
        <v>PL16</v>
      </c>
      <c r="AM489" s="53" t="str">
        <f t="shared" si="35"/>
        <v/>
      </c>
      <c r="AN489" s="53" t="s">
        <v>148</v>
      </c>
      <c r="AO489" s="53" t="s">
        <v>988</v>
      </c>
      <c r="AP489" s="53" t="s">
        <v>989</v>
      </c>
      <c r="AQ489" s="53" t="s">
        <v>990</v>
      </c>
      <c r="AR489" s="53">
        <v>2</v>
      </c>
      <c r="AS489" s="83" t="s">
        <v>2223</v>
      </c>
      <c r="AT489" s="53"/>
      <c r="AU489" s="53"/>
    </row>
    <row r="490" spans="3:48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3"/>
        <v>4</v>
      </c>
      <c r="M490" s="26">
        <f t="shared" si="22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67" t="e">
        <f>SUMIFS([1]Up!$J:$J,[1]Up!$D:$D,D490)</f>
        <v>#VALUE!</v>
      </c>
      <c r="AK490" s="82"/>
      <c r="AL490" s="82" t="str">
        <f t="shared" si="34"/>
        <v>PL16</v>
      </c>
      <c r="AM490" s="53" t="str">
        <f t="shared" si="35"/>
        <v/>
      </c>
      <c r="AN490" s="53" t="s">
        <v>148</v>
      </c>
      <c r="AO490" s="53" t="s">
        <v>988</v>
      </c>
      <c r="AP490" s="53" t="s">
        <v>989</v>
      </c>
      <c r="AQ490" s="53" t="s">
        <v>990</v>
      </c>
      <c r="AR490" s="53">
        <v>4</v>
      </c>
      <c r="AS490" s="83" t="s">
        <v>2223</v>
      </c>
      <c r="AT490" s="53"/>
      <c r="AU490" s="53"/>
    </row>
    <row r="491" spans="3:48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3"/>
        <v>1</v>
      </c>
      <c r="M491" s="26">
        <f t="shared" si="22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67" t="e">
        <f>SUMIFS([1]Up!$J:$J,[1]Up!$D:$D,D491)</f>
        <v>#VALUE!</v>
      </c>
      <c r="AK491" s="82"/>
      <c r="AL491" s="82" t="str">
        <f t="shared" si="34"/>
        <v>PL15</v>
      </c>
      <c r="AM491" s="53" t="str">
        <f t="shared" si="35"/>
        <v/>
      </c>
      <c r="AN491" s="53" t="s">
        <v>148</v>
      </c>
      <c r="AO491" s="53" t="s">
        <v>1094</v>
      </c>
      <c r="AP491" s="53" t="s">
        <v>1095</v>
      </c>
      <c r="AQ491" s="53" t="s">
        <v>1304</v>
      </c>
      <c r="AR491" s="53">
        <v>1</v>
      </c>
      <c r="AS491" s="83">
        <v>46088</v>
      </c>
      <c r="AT491" s="53"/>
      <c r="AU491" s="53"/>
    </row>
    <row r="492" spans="3:48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3"/>
        <v>2</v>
      </c>
      <c r="M492" s="26">
        <f t="shared" si="22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67" t="e">
        <f>SUMIFS([1]Up!$J:$J,[1]Up!$D:$D,D492)</f>
        <v>#VALUE!</v>
      </c>
      <c r="AK492" s="82"/>
      <c r="AL492" s="82" t="str">
        <f t="shared" si="34"/>
        <v>PL20</v>
      </c>
      <c r="AM492" s="53" t="str">
        <f t="shared" si="35"/>
        <v/>
      </c>
      <c r="AN492" s="53" t="s">
        <v>148</v>
      </c>
      <c r="AO492" s="53" t="s">
        <v>1100</v>
      </c>
      <c r="AP492" s="53" t="s">
        <v>1101</v>
      </c>
      <c r="AQ492" s="53" t="s">
        <v>1308</v>
      </c>
      <c r="AR492" s="53">
        <v>2</v>
      </c>
      <c r="AS492" s="83">
        <v>46242</v>
      </c>
      <c r="AT492" s="53"/>
      <c r="AU492" s="53"/>
    </row>
    <row r="493" spans="3:48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3"/>
        <v>2</v>
      </c>
      <c r="M493" s="26">
        <f t="shared" si="22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67" t="e">
        <f>SUMIFS([1]Up!$J:$J,[1]Up!$D:$D,D493)</f>
        <v>#VALUE!</v>
      </c>
      <c r="AK493" s="82"/>
      <c r="AL493" s="82" t="str">
        <f t="shared" si="34"/>
        <v>PL15</v>
      </c>
      <c r="AM493" s="53" t="str">
        <f t="shared" si="35"/>
        <v/>
      </c>
      <c r="AN493" s="53" t="s">
        <v>148</v>
      </c>
      <c r="AO493" s="53" t="s">
        <v>1094</v>
      </c>
      <c r="AP493" s="53" t="s">
        <v>1095</v>
      </c>
      <c r="AQ493" s="53" t="s">
        <v>1304</v>
      </c>
      <c r="AR493" s="53">
        <v>2</v>
      </c>
      <c r="AS493" s="83">
        <v>46088</v>
      </c>
      <c r="AT493" s="53"/>
      <c r="AU493" s="53"/>
    </row>
    <row r="494" spans="3:48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3"/>
        <v>1</v>
      </c>
      <c r="M494" s="26">
        <f t="shared" si="22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67" t="e">
        <f>SUMIFS([1]Up!$J:$J,[1]Up!$D:$D,D494)</f>
        <v>#VALUE!</v>
      </c>
      <c r="AK494" s="82" t="s">
        <v>2086</v>
      </c>
      <c r="AL494" s="82" t="str">
        <f t="shared" si="34"/>
        <v>PL10</v>
      </c>
      <c r="AM494" s="53" t="str">
        <f t="shared" si="35"/>
        <v>Thừa 2</v>
      </c>
      <c r="AN494" s="53" t="s">
        <v>154</v>
      </c>
      <c r="AO494" s="53" t="s">
        <v>1005</v>
      </c>
      <c r="AP494" s="53" t="s">
        <v>1006</v>
      </c>
      <c r="AQ494" s="53" t="s">
        <v>57</v>
      </c>
      <c r="AR494" s="53">
        <v>1</v>
      </c>
      <c r="AS494" s="83"/>
      <c r="AT494" s="53"/>
      <c r="AU494" s="53"/>
    </row>
    <row r="495" spans="3:48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3"/>
        <v>1</v>
      </c>
      <c r="M495" s="26">
        <f t="shared" si="22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67" t="e">
        <f>SUMIFS([1]Up!$J:$J,[1]Up!$D:$D,D495)</f>
        <v>#VALUE!</v>
      </c>
      <c r="AK495" s="82" t="s">
        <v>2072</v>
      </c>
      <c r="AL495" s="82" t="str">
        <f t="shared" si="34"/>
        <v>PL10</v>
      </c>
      <c r="AM495" s="53" t="str">
        <f t="shared" si="35"/>
        <v>Thừa 2</v>
      </c>
      <c r="AN495" s="53" t="s">
        <v>154</v>
      </c>
      <c r="AO495" s="53" t="s">
        <v>1005</v>
      </c>
      <c r="AP495" s="53" t="s">
        <v>1006</v>
      </c>
      <c r="AQ495" s="53" t="s">
        <v>57</v>
      </c>
      <c r="AR495" s="53">
        <v>1</v>
      </c>
      <c r="AS495" s="83"/>
      <c r="AT495" s="53"/>
      <c r="AU495" s="53"/>
    </row>
    <row r="496" spans="3:48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3"/>
        <v>2</v>
      </c>
      <c r="M496" s="26">
        <f t="shared" si="22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67" t="e">
        <f>SUMIFS([1]Up!$J:$J,[1]Up!$D:$D,D496)</f>
        <v>#VALUE!</v>
      </c>
      <c r="AK496" s="82" t="s">
        <v>2082</v>
      </c>
      <c r="AL496" s="82" t="str">
        <f t="shared" si="34"/>
        <v>PL8</v>
      </c>
      <c r="AM496" s="53" t="str">
        <f t="shared" si="35"/>
        <v>Thừa 2</v>
      </c>
      <c r="AN496" s="53" t="s">
        <v>148</v>
      </c>
      <c r="AO496" s="53" t="s">
        <v>1012</v>
      </c>
      <c r="AP496" s="53" t="s">
        <v>1013</v>
      </c>
      <c r="AQ496" s="53" t="s">
        <v>57</v>
      </c>
      <c r="AR496" s="53">
        <v>2</v>
      </c>
      <c r="AS496" s="83"/>
      <c r="AT496" s="53"/>
      <c r="AU496" s="53"/>
    </row>
    <row r="497" spans="3:48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3"/>
        <v>1</v>
      </c>
      <c r="M497" s="26">
        <f t="shared" si="22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67" t="e">
        <f>SUMIFS([1]Up!$J:$J,[1]Up!$D:$D,D497)</f>
        <v>#VALUE!</v>
      </c>
      <c r="AK497" s="82" t="s">
        <v>2074</v>
      </c>
      <c r="AL497" s="82" t="str">
        <f t="shared" si="34"/>
        <v>PL8</v>
      </c>
      <c r="AM497" s="53" t="str">
        <f t="shared" si="35"/>
        <v>Thừa 1</v>
      </c>
      <c r="AN497" s="53" t="s">
        <v>148</v>
      </c>
      <c r="AO497" s="53" t="s">
        <v>1012</v>
      </c>
      <c r="AP497" s="53" t="s">
        <v>1013</v>
      </c>
      <c r="AQ497" s="53" t="s">
        <v>57</v>
      </c>
      <c r="AR497" s="53">
        <v>1</v>
      </c>
      <c r="AS497" s="83"/>
      <c r="AT497" s="53"/>
      <c r="AU497" s="53"/>
    </row>
    <row r="498" spans="3:48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3"/>
        <v>1</v>
      </c>
      <c r="M498" s="26">
        <f t="shared" si="22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67" t="e">
        <f>SUMIFS([1]Up!$J:$J,[1]Up!$D:$D,D498)</f>
        <v>#VALUE!</v>
      </c>
      <c r="AK498" s="82" t="s">
        <v>2072</v>
      </c>
      <c r="AL498" s="82" t="str">
        <f t="shared" si="34"/>
        <v>PL10</v>
      </c>
      <c r="AM498" s="53" t="str">
        <f t="shared" si="35"/>
        <v>Thừa 2</v>
      </c>
      <c r="AN498" s="53" t="s">
        <v>148</v>
      </c>
      <c r="AO498" s="53" t="s">
        <v>1005</v>
      </c>
      <c r="AP498" s="53" t="s">
        <v>1006</v>
      </c>
      <c r="AQ498" s="53" t="s">
        <v>57</v>
      </c>
      <c r="AR498" s="53">
        <v>1</v>
      </c>
      <c r="AS498" s="83"/>
      <c r="AT498" s="53"/>
      <c r="AU498" s="53"/>
    </row>
    <row r="499" spans="3:48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3"/>
        <v>1</v>
      </c>
      <c r="M499" s="26">
        <f t="shared" si="22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67" t="e">
        <f>SUMIFS([1]Up!$J:$J,[1]Up!$D:$D,D499)</f>
        <v>#VALUE!</v>
      </c>
      <c r="AK499" s="82" t="s">
        <v>2072</v>
      </c>
      <c r="AL499" s="82" t="str">
        <f t="shared" si="34"/>
        <v>PL10</v>
      </c>
      <c r="AM499" s="53" t="str">
        <f t="shared" si="35"/>
        <v>Thừa 2</v>
      </c>
      <c r="AN499" s="53" t="s">
        <v>148</v>
      </c>
      <c r="AO499" s="53" t="s">
        <v>1005</v>
      </c>
      <c r="AP499" s="53" t="s">
        <v>1006</v>
      </c>
      <c r="AQ499" s="53" t="s">
        <v>57</v>
      </c>
      <c r="AR499" s="53">
        <v>1</v>
      </c>
      <c r="AS499" s="83"/>
      <c r="AT499" s="53"/>
      <c r="AU499" s="53"/>
    </row>
    <row r="500" spans="3:48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3"/>
        <v>1</v>
      </c>
      <c r="M500" s="26">
        <f t="shared" si="22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67" t="e">
        <f>SUMIFS([1]Up!$J:$J,[1]Up!$D:$D,D500)</f>
        <v>#VALUE!</v>
      </c>
      <c r="AK500" s="82" t="s">
        <v>2074</v>
      </c>
      <c r="AL500" s="82" t="str">
        <f t="shared" si="34"/>
        <v>PL10</v>
      </c>
      <c r="AM500" s="53" t="str">
        <f t="shared" si="35"/>
        <v>Thừa 1</v>
      </c>
      <c r="AN500" s="53" t="s">
        <v>148</v>
      </c>
      <c r="AO500" s="53" t="s">
        <v>1005</v>
      </c>
      <c r="AP500" s="53" t="s">
        <v>1006</v>
      </c>
      <c r="AQ500" s="53" t="s">
        <v>57</v>
      </c>
      <c r="AR500" s="53">
        <v>1</v>
      </c>
      <c r="AS500" s="83"/>
      <c r="AT500" s="53"/>
      <c r="AU500" s="53"/>
    </row>
    <row r="501" spans="3:48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3"/>
        <v>1</v>
      </c>
      <c r="M501" s="26">
        <f t="shared" si="22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67" t="e">
        <f>SUMIFS([1]Up!$J:$J,[1]Up!$D:$D,D501)</f>
        <v>#VALUE!</v>
      </c>
      <c r="AK501" s="82"/>
      <c r="AL501" s="82" t="str">
        <f t="shared" si="34"/>
        <v>PL10</v>
      </c>
      <c r="AM501" s="53" t="str">
        <f t="shared" si="35"/>
        <v/>
      </c>
      <c r="AN501" s="53" t="s">
        <v>148</v>
      </c>
      <c r="AO501" s="53" t="s">
        <v>1005</v>
      </c>
      <c r="AP501" s="53" t="s">
        <v>1006</v>
      </c>
      <c r="AQ501" s="53" t="s">
        <v>1064</v>
      </c>
      <c r="AR501" s="53">
        <v>1</v>
      </c>
      <c r="AS501" s="83">
        <v>46088</v>
      </c>
      <c r="AT501" s="53"/>
      <c r="AU501" s="53"/>
    </row>
    <row r="502" spans="3:48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3"/>
        <v>0</v>
      </c>
      <c r="M502" s="26">
        <f t="shared" si="22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67" t="e">
        <f>SUMIFS([1]Up!$J:$J,[1]Up!$D:$D,D502)</f>
        <v>#VALUE!</v>
      </c>
      <c r="AK502" s="82"/>
      <c r="AL502" s="82" t="str">
        <f t="shared" si="34"/>
        <v/>
      </c>
      <c r="AM502" s="53" t="str">
        <f t="shared" si="35"/>
        <v/>
      </c>
      <c r="AN502" s="53" t="s">
        <v>148</v>
      </c>
      <c r="AO502" s="53" t="s">
        <v>1079</v>
      </c>
      <c r="AP502" s="53" t="s">
        <v>1076</v>
      </c>
      <c r="AQ502" s="84" t="s">
        <v>2162</v>
      </c>
      <c r="AR502" s="53">
        <v>20</v>
      </c>
      <c r="AS502" s="83" t="s">
        <v>2225</v>
      </c>
      <c r="AT502" s="53"/>
      <c r="AU502" s="53"/>
      <c r="AV502" s="238"/>
    </row>
    <row r="503" spans="3:48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3"/>
        <v>0</v>
      </c>
      <c r="M503" s="26">
        <f t="shared" si="22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67" t="e">
        <f>SUMIFS([1]Up!$J:$J,[1]Up!$D:$D,D503)</f>
        <v>#VALUE!</v>
      </c>
      <c r="AK503" s="82"/>
      <c r="AL503" s="82" t="str">
        <f t="shared" si="34"/>
        <v>PL8</v>
      </c>
      <c r="AM503" s="53" t="str">
        <f t="shared" si="35"/>
        <v/>
      </c>
      <c r="AN503" s="53" t="s">
        <v>154</v>
      </c>
      <c r="AO503" s="53" t="s">
        <v>1012</v>
      </c>
      <c r="AP503" s="53" t="s">
        <v>1013</v>
      </c>
      <c r="AQ503" s="53" t="s">
        <v>57</v>
      </c>
      <c r="AR503" s="53">
        <v>4</v>
      </c>
      <c r="AS503" s="83"/>
      <c r="AT503" s="53"/>
      <c r="AU503" s="53"/>
    </row>
    <row r="504" spans="3:48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3"/>
        <v>0</v>
      </c>
      <c r="M504" s="26">
        <f t="shared" si="22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67" t="e">
        <f>SUMIFS([1]Up!$J:$J,[1]Up!$D:$D,D504)</f>
        <v>#VALUE!</v>
      </c>
      <c r="AK504" s="82"/>
      <c r="AL504" s="82" t="str">
        <f t="shared" si="34"/>
        <v>PL16</v>
      </c>
      <c r="AM504" s="53" t="str">
        <f t="shared" si="35"/>
        <v/>
      </c>
      <c r="AN504" s="53" t="s">
        <v>148</v>
      </c>
      <c r="AO504" s="53" t="s">
        <v>988</v>
      </c>
      <c r="AP504" s="53" t="s">
        <v>989</v>
      </c>
      <c r="AQ504" s="84" t="s">
        <v>2161</v>
      </c>
      <c r="AR504" s="53">
        <v>24</v>
      </c>
      <c r="AS504" s="83" t="s">
        <v>2226</v>
      </c>
      <c r="AT504" s="53"/>
      <c r="AU504" s="53"/>
      <c r="AV504" s="238"/>
    </row>
    <row r="505" spans="3:48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3"/>
        <v>0</v>
      </c>
      <c r="M505" s="26">
        <f t="shared" si="22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67" t="e">
        <f>SUMIFS([1]Up!$J:$J,[1]Up!$D:$D,D505)</f>
        <v>#VALUE!</v>
      </c>
      <c r="AK505" s="82"/>
      <c r="AL505" s="82" t="str">
        <f t="shared" si="34"/>
        <v>PL15</v>
      </c>
      <c r="AM505" s="53" t="str">
        <f t="shared" si="35"/>
        <v/>
      </c>
      <c r="AN505" s="53" t="s">
        <v>148</v>
      </c>
      <c r="AO505" s="53" t="s">
        <v>1094</v>
      </c>
      <c r="AP505" s="53" t="s">
        <v>1095</v>
      </c>
      <c r="AQ505" s="84" t="s">
        <v>2156</v>
      </c>
      <c r="AR505" s="53">
        <v>8</v>
      </c>
      <c r="AS505" s="83" t="s">
        <v>2225</v>
      </c>
      <c r="AT505" s="53"/>
      <c r="AU505" s="53"/>
      <c r="AV505" s="238"/>
    </row>
    <row r="506" spans="3:48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3"/>
        <v>0</v>
      </c>
      <c r="M506" s="26">
        <f t="shared" si="22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67" t="e">
        <f>SUMIFS([1]Up!$J:$J,[1]Up!$D:$D,D506)</f>
        <v>#VALUE!</v>
      </c>
      <c r="AK506" s="82"/>
      <c r="AL506" s="82" t="str">
        <f t="shared" si="34"/>
        <v>PL20</v>
      </c>
      <c r="AM506" s="53" t="str">
        <f t="shared" si="35"/>
        <v/>
      </c>
      <c r="AN506" s="53" t="s">
        <v>148</v>
      </c>
      <c r="AO506" s="53" t="s">
        <v>1100</v>
      </c>
      <c r="AP506" s="53" t="s">
        <v>1101</v>
      </c>
      <c r="AQ506" s="84" t="s">
        <v>2158</v>
      </c>
      <c r="AR506" s="53">
        <v>8</v>
      </c>
      <c r="AS506" s="83">
        <v>46242</v>
      </c>
      <c r="AT506" s="53"/>
      <c r="AU506" s="53"/>
      <c r="AV506" s="238"/>
    </row>
    <row r="507" spans="3:48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3"/>
        <v>0</v>
      </c>
      <c r="M507" s="26">
        <f t="shared" si="22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67" t="e">
        <f>SUMIFS([1]Up!$J:$J,[1]Up!$D:$D,D507)</f>
        <v>#VALUE!</v>
      </c>
      <c r="AK507" s="82"/>
      <c r="AL507" s="82" t="str">
        <f t="shared" si="34"/>
        <v>PL16</v>
      </c>
      <c r="AM507" s="53" t="str">
        <f t="shared" si="35"/>
        <v/>
      </c>
      <c r="AN507" s="53" t="s">
        <v>148</v>
      </c>
      <c r="AO507" s="53" t="s">
        <v>988</v>
      </c>
      <c r="AP507" s="53" t="s">
        <v>989</v>
      </c>
      <c r="AQ507" s="84" t="s">
        <v>2161</v>
      </c>
      <c r="AR507" s="53">
        <v>20</v>
      </c>
      <c r="AS507" s="83" t="s">
        <v>2226</v>
      </c>
      <c r="AT507" s="53"/>
      <c r="AU507" s="53"/>
      <c r="AV507" s="238"/>
    </row>
    <row r="508" spans="3:48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3"/>
        <v>0</v>
      </c>
      <c r="M508" s="26">
        <f t="shared" si="22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67" t="e">
        <f>SUMIFS([1]Up!$J:$J,[1]Up!$D:$D,D508)</f>
        <v>#VALUE!</v>
      </c>
      <c r="AK508" s="82"/>
      <c r="AL508" s="82" t="str">
        <f t="shared" si="34"/>
        <v>PL10</v>
      </c>
      <c r="AM508" s="53" t="str">
        <f t="shared" si="35"/>
        <v/>
      </c>
      <c r="AN508" s="53" t="s">
        <v>154</v>
      </c>
      <c r="AO508" s="53" t="s">
        <v>1005</v>
      </c>
      <c r="AP508" s="53" t="s">
        <v>1006</v>
      </c>
      <c r="AQ508" s="53" t="s">
        <v>57</v>
      </c>
      <c r="AR508" s="53">
        <v>4</v>
      </c>
      <c r="AS508" s="83"/>
      <c r="AT508" s="53"/>
      <c r="AU508" s="53"/>
    </row>
    <row r="509" spans="3:48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3"/>
        <v>0</v>
      </c>
      <c r="M509" s="26">
        <f t="shared" si="22"/>
        <v>2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67" t="e">
        <f>SUMIFS([1]Up!$J:$J,[1]Up!$D:$D,D509)</f>
        <v>#VALUE!</v>
      </c>
      <c r="AK509" s="82"/>
      <c r="AL509" s="82" t="str">
        <f t="shared" si="34"/>
        <v>PL10</v>
      </c>
      <c r="AM509" s="53" t="str">
        <f t="shared" si="35"/>
        <v/>
      </c>
      <c r="AN509" s="53" t="s">
        <v>154</v>
      </c>
      <c r="AO509" s="53" t="s">
        <v>1005</v>
      </c>
      <c r="AP509" s="53" t="s">
        <v>1006</v>
      </c>
      <c r="AQ509" s="53" t="s">
        <v>57</v>
      </c>
      <c r="AR509" s="53">
        <v>4</v>
      </c>
      <c r="AS509" s="83"/>
      <c r="AT509" s="53"/>
      <c r="AU509" s="53"/>
    </row>
    <row r="510" spans="3:48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3"/>
        <v>0</v>
      </c>
      <c r="M510" s="26">
        <f t="shared" si="22"/>
        <v>4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67" t="e">
        <f>SUMIFS([1]Up!$J:$J,[1]Up!$D:$D,D510)</f>
        <v>#VALUE!</v>
      </c>
      <c r="AK510" s="82"/>
      <c r="AL510" s="82" t="str">
        <f t="shared" si="34"/>
        <v>PL15</v>
      </c>
      <c r="AM510" s="53" t="str">
        <f t="shared" si="35"/>
        <v/>
      </c>
      <c r="AN510" s="53" t="s">
        <v>148</v>
      </c>
      <c r="AO510" s="53" t="s">
        <v>1094</v>
      </c>
      <c r="AP510" s="53" t="s">
        <v>1095</v>
      </c>
      <c r="AQ510" s="84" t="s">
        <v>2156</v>
      </c>
      <c r="AR510" s="53">
        <v>8</v>
      </c>
      <c r="AS510" s="83" t="s">
        <v>2225</v>
      </c>
      <c r="AT510" s="53"/>
      <c r="AU510" s="53"/>
      <c r="AV510" s="238"/>
    </row>
    <row r="511" spans="3:48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3"/>
        <v>0</v>
      </c>
      <c r="M511" s="26">
        <f t="shared" si="22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67" t="e">
        <f>SUMIFS([1]Up!$J:$J,[1]Up!$D:$D,D511)</f>
        <v>#VALUE!</v>
      </c>
      <c r="AK511" s="82"/>
      <c r="AL511" s="82" t="str">
        <f t="shared" si="34"/>
        <v>PL8</v>
      </c>
      <c r="AM511" s="53" t="str">
        <f t="shared" si="35"/>
        <v/>
      </c>
      <c r="AN511" s="53" t="s">
        <v>148</v>
      </c>
      <c r="AO511" s="53" t="s">
        <v>1012</v>
      </c>
      <c r="AP511" s="53" t="s">
        <v>1013</v>
      </c>
      <c r="AQ511" s="53" t="s">
        <v>57</v>
      </c>
      <c r="AR511" s="53">
        <v>8</v>
      </c>
      <c r="AS511" s="83"/>
      <c r="AT511" s="53"/>
      <c r="AU511" s="53"/>
    </row>
    <row r="512" spans="3:48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3"/>
        <v>0</v>
      </c>
      <c r="M512" s="26">
        <f t="shared" si="2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67" t="e">
        <f>SUMIFS([1]Up!$J:$J,[1]Up!$D:$D,D512)</f>
        <v>#VALUE!</v>
      </c>
      <c r="AK512" s="82"/>
      <c r="AL512" s="82" t="str">
        <f t="shared" si="34"/>
        <v>PL8</v>
      </c>
      <c r="AM512" s="53" t="str">
        <f t="shared" si="35"/>
        <v/>
      </c>
      <c r="AN512" s="53" t="s">
        <v>148</v>
      </c>
      <c r="AO512" s="53" t="s">
        <v>1012</v>
      </c>
      <c r="AP512" s="53" t="s">
        <v>1013</v>
      </c>
      <c r="AQ512" s="53" t="s">
        <v>57</v>
      </c>
      <c r="AR512" s="53">
        <v>4</v>
      </c>
      <c r="AS512" s="83"/>
      <c r="AT512" s="53"/>
      <c r="AU512" s="53"/>
    </row>
    <row r="513" spans="3:48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3"/>
        <v>0</v>
      </c>
      <c r="M513" s="26">
        <f t="shared" si="22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67" t="e">
        <f>SUMIFS([1]Up!$J:$J,[1]Up!$D:$D,D513)</f>
        <v>#VALUE!</v>
      </c>
      <c r="AK513" s="82"/>
      <c r="AL513" s="82" t="str">
        <f t="shared" si="34"/>
        <v>PL10</v>
      </c>
      <c r="AM513" s="53" t="str">
        <f t="shared" si="35"/>
        <v/>
      </c>
      <c r="AN513" s="53" t="s">
        <v>148</v>
      </c>
      <c r="AO513" s="53" t="s">
        <v>1005</v>
      </c>
      <c r="AP513" s="53" t="s">
        <v>1006</v>
      </c>
      <c r="AQ513" s="53" t="s">
        <v>57</v>
      </c>
      <c r="AR513" s="53">
        <v>4</v>
      </c>
      <c r="AS513" s="83"/>
      <c r="AT513" s="53"/>
      <c r="AU513" s="53"/>
    </row>
    <row r="514" spans="3:48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3"/>
        <v>0</v>
      </c>
      <c r="M514" s="26">
        <f t="shared" si="22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67" t="e">
        <f>SUMIFS([1]Up!$J:$J,[1]Up!$D:$D,D514)</f>
        <v>#VALUE!</v>
      </c>
      <c r="AK514" s="82"/>
      <c r="AL514" s="82" t="str">
        <f t="shared" si="34"/>
        <v>PL10</v>
      </c>
      <c r="AM514" s="53" t="str">
        <f t="shared" si="35"/>
        <v/>
      </c>
      <c r="AN514" s="53" t="s">
        <v>148</v>
      </c>
      <c r="AO514" s="53" t="s">
        <v>1005</v>
      </c>
      <c r="AP514" s="53" t="s">
        <v>1006</v>
      </c>
      <c r="AQ514" s="53" t="s">
        <v>57</v>
      </c>
      <c r="AR514" s="53">
        <v>8</v>
      </c>
      <c r="AS514" s="83"/>
      <c r="AT514" s="53"/>
      <c r="AU514" s="53"/>
    </row>
    <row r="515" spans="3:48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3"/>
        <v>0</v>
      </c>
      <c r="M515" s="26">
        <f t="shared" si="22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67" t="e">
        <f>SUMIFS([1]Up!$J:$J,[1]Up!$D:$D,D515)</f>
        <v>#VALUE!</v>
      </c>
      <c r="AK515" s="82"/>
      <c r="AL515" s="82" t="str">
        <f t="shared" si="34"/>
        <v>PL16</v>
      </c>
      <c r="AM515" s="53" t="str">
        <f t="shared" si="35"/>
        <v/>
      </c>
      <c r="AN515" s="53" t="s">
        <v>148</v>
      </c>
      <c r="AO515" s="53" t="s">
        <v>988</v>
      </c>
      <c r="AP515" s="53" t="s">
        <v>989</v>
      </c>
      <c r="AQ515" s="84" t="s">
        <v>2161</v>
      </c>
      <c r="AR515" s="53">
        <v>16</v>
      </c>
      <c r="AS515" s="83" t="s">
        <v>2226</v>
      </c>
      <c r="AT515" s="53"/>
      <c r="AU515" s="53"/>
      <c r="AV515" s="238"/>
    </row>
    <row r="516" spans="3:48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3"/>
        <v>5</v>
      </c>
      <c r="M516" s="26">
        <f t="shared" si="22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67" t="e">
        <f>SUMIFS([1]Up!$J:$J,[1]Up!$D:$D,D516)</f>
        <v>#VALUE!</v>
      </c>
      <c r="AK516" s="82"/>
      <c r="AL516" s="82" t="str">
        <f t="shared" si="34"/>
        <v/>
      </c>
      <c r="AM516" s="53" t="str">
        <f t="shared" si="35"/>
        <v/>
      </c>
      <c r="AN516" s="53" t="s">
        <v>148</v>
      </c>
      <c r="AO516" s="53" t="s">
        <v>1079</v>
      </c>
      <c r="AP516" s="53" t="s">
        <v>1076</v>
      </c>
      <c r="AQ516" s="53" t="s">
        <v>1290</v>
      </c>
      <c r="AR516" s="53">
        <v>5</v>
      </c>
      <c r="AS516" s="83">
        <v>46362</v>
      </c>
      <c r="AT516" s="53"/>
      <c r="AU516" s="53"/>
    </row>
    <row r="517" spans="3:48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3"/>
        <v>1</v>
      </c>
      <c r="M517" s="26">
        <f t="shared" si="22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67" t="e">
        <f>SUMIFS([1]Up!$J:$J,[1]Up!$D:$D,D517)</f>
        <v>#VALUE!</v>
      </c>
      <c r="AK517" s="82" t="s">
        <v>2075</v>
      </c>
      <c r="AL517" s="82" t="str">
        <f t="shared" si="34"/>
        <v>PL8</v>
      </c>
      <c r="AM517" s="53" t="str">
        <f t="shared" si="35"/>
        <v>Thừa 6</v>
      </c>
      <c r="AN517" s="53" t="s">
        <v>154</v>
      </c>
      <c r="AO517" s="53" t="s">
        <v>1012</v>
      </c>
      <c r="AP517" s="53" t="s">
        <v>1013</v>
      </c>
      <c r="AQ517" s="53" t="s">
        <v>57</v>
      </c>
      <c r="AR517" s="53">
        <v>1</v>
      </c>
      <c r="AS517" s="83"/>
      <c r="AT517" s="53"/>
      <c r="AU517" s="53"/>
    </row>
    <row r="518" spans="3:48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3"/>
        <v>2</v>
      </c>
      <c r="M518" s="26">
        <f t="shared" si="22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67" t="e">
        <f>SUMIFS([1]Up!$J:$J,[1]Up!$D:$D,D518)</f>
        <v>#VALUE!</v>
      </c>
      <c r="AK518" s="82"/>
      <c r="AL518" s="82" t="str">
        <f t="shared" si="34"/>
        <v>PL15</v>
      </c>
      <c r="AM518" s="53" t="str">
        <f t="shared" si="35"/>
        <v/>
      </c>
      <c r="AN518" s="53" t="s">
        <v>148</v>
      </c>
      <c r="AO518" s="53" t="s">
        <v>1094</v>
      </c>
      <c r="AP518" s="53" t="s">
        <v>1095</v>
      </c>
      <c r="AQ518" s="53" t="s">
        <v>1304</v>
      </c>
      <c r="AR518" s="53">
        <v>2</v>
      </c>
      <c r="AS518" s="83">
        <v>46088</v>
      </c>
      <c r="AT518" s="53"/>
      <c r="AU518" s="53"/>
    </row>
    <row r="519" spans="3:48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3"/>
        <v>10</v>
      </c>
      <c r="M519" s="26">
        <f t="shared" si="2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67" t="e">
        <f>SUMIFS([1]Up!$J:$J,[1]Up!$D:$D,D519)</f>
        <v>#VALUE!</v>
      </c>
      <c r="AK519" s="82"/>
      <c r="AL519" s="82" t="str">
        <f t="shared" si="34"/>
        <v>PL16</v>
      </c>
      <c r="AM519" s="53" t="str">
        <f t="shared" si="35"/>
        <v/>
      </c>
      <c r="AN519" s="53" t="s">
        <v>148</v>
      </c>
      <c r="AO519" s="53" t="s">
        <v>988</v>
      </c>
      <c r="AP519" s="53" t="s">
        <v>989</v>
      </c>
      <c r="AQ519" s="53" t="s">
        <v>990</v>
      </c>
      <c r="AR519" s="53">
        <v>10</v>
      </c>
      <c r="AS519" s="83" t="s">
        <v>2223</v>
      </c>
      <c r="AT519" s="53"/>
      <c r="AU519" s="53"/>
    </row>
    <row r="520" spans="3:48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3"/>
        <v>1</v>
      </c>
      <c r="M520" s="26">
        <f t="shared" si="22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67" t="e">
        <f>SUMIFS([1]Up!$J:$J,[1]Up!$D:$D,D520)</f>
        <v>#VALUE!</v>
      </c>
      <c r="AK520" s="82"/>
      <c r="AL520" s="82" t="str">
        <f t="shared" si="34"/>
        <v>PL15</v>
      </c>
      <c r="AM520" s="53" t="str">
        <f t="shared" si="35"/>
        <v/>
      </c>
      <c r="AN520" s="53" t="s">
        <v>148</v>
      </c>
      <c r="AO520" s="53" t="s">
        <v>1094</v>
      </c>
      <c r="AP520" s="53" t="s">
        <v>1095</v>
      </c>
      <c r="AQ520" s="53" t="s">
        <v>1304</v>
      </c>
      <c r="AR520" s="53">
        <v>1</v>
      </c>
      <c r="AS520" s="83">
        <v>46088</v>
      </c>
      <c r="AT520" s="53"/>
      <c r="AU520" s="53"/>
    </row>
    <row r="521" spans="3:48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3"/>
        <v>1</v>
      </c>
      <c r="M521" s="26">
        <f t="shared" si="22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67" t="e">
        <f>SUMIFS([1]Up!$J:$J,[1]Up!$D:$D,D521)</f>
        <v>#VALUE!</v>
      </c>
      <c r="AK521" s="82"/>
      <c r="AL521" s="82" t="str">
        <f t="shared" si="34"/>
        <v>PL15</v>
      </c>
      <c r="AM521" s="53" t="str">
        <f t="shared" si="35"/>
        <v/>
      </c>
      <c r="AN521" s="53" t="s">
        <v>148</v>
      </c>
      <c r="AO521" s="53" t="s">
        <v>1094</v>
      </c>
      <c r="AP521" s="53" t="s">
        <v>1095</v>
      </c>
      <c r="AQ521" s="53" t="s">
        <v>1304</v>
      </c>
      <c r="AR521" s="53">
        <v>1</v>
      </c>
      <c r="AS521" s="83">
        <v>46088</v>
      </c>
      <c r="AT521" s="53"/>
      <c r="AU521" s="53"/>
    </row>
    <row r="522" spans="3:48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3"/>
        <v>2</v>
      </c>
      <c r="M522" s="26">
        <f t="shared" si="22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67" t="e">
        <f>SUMIFS([1]Up!$J:$J,[1]Up!$D:$D,D522)</f>
        <v>#VALUE!</v>
      </c>
      <c r="AK522" s="82" t="s">
        <v>2082</v>
      </c>
      <c r="AL522" s="82" t="str">
        <f t="shared" si="34"/>
        <v>PL8</v>
      </c>
      <c r="AM522" s="53" t="str">
        <f t="shared" si="35"/>
        <v>Thừa 2</v>
      </c>
      <c r="AN522" s="53" t="s">
        <v>148</v>
      </c>
      <c r="AO522" s="53" t="s">
        <v>1012</v>
      </c>
      <c r="AP522" s="53" t="s">
        <v>1013</v>
      </c>
      <c r="AQ522" s="53" t="s">
        <v>57</v>
      </c>
      <c r="AR522" s="53">
        <v>2</v>
      </c>
      <c r="AS522" s="83"/>
      <c r="AT522" s="53"/>
      <c r="AU522" s="53"/>
    </row>
    <row r="523" spans="3:48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3"/>
        <v>2</v>
      </c>
      <c r="M523" s="26">
        <f t="shared" si="22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67" t="e">
        <f>SUMIFS([1]Up!$J:$J,[1]Up!$D:$D,D523)</f>
        <v>#VALUE!</v>
      </c>
      <c r="AK523" s="82"/>
      <c r="AL523" s="82" t="str">
        <f t="shared" si="34"/>
        <v>PL8</v>
      </c>
      <c r="AM523" s="53" t="str">
        <f t="shared" si="35"/>
        <v/>
      </c>
      <c r="AN523" s="53" t="s">
        <v>148</v>
      </c>
      <c r="AO523" s="53" t="s">
        <v>1012</v>
      </c>
      <c r="AP523" s="53" t="s">
        <v>1013</v>
      </c>
      <c r="AQ523" s="53" t="s">
        <v>1014</v>
      </c>
      <c r="AR523" s="53">
        <v>2</v>
      </c>
      <c r="AS523" s="83">
        <v>46088</v>
      </c>
      <c r="AT523" s="53"/>
      <c r="AU523" s="53"/>
    </row>
    <row r="524" spans="3:48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3"/>
        <v>2</v>
      </c>
      <c r="M524" s="26">
        <f t="shared" si="22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67" t="e">
        <f>SUMIFS([1]Up!$J:$J,[1]Up!$D:$D,D524)</f>
        <v>#VALUE!</v>
      </c>
      <c r="AK524" s="82"/>
      <c r="AL524" s="82" t="str">
        <f t="shared" si="34"/>
        <v>PL20</v>
      </c>
      <c r="AM524" s="53" t="str">
        <f t="shared" si="35"/>
        <v/>
      </c>
      <c r="AN524" s="53" t="s">
        <v>148</v>
      </c>
      <c r="AO524" s="53" t="s">
        <v>1100</v>
      </c>
      <c r="AP524" s="53" t="s">
        <v>1101</v>
      </c>
      <c r="AQ524" s="53" t="s">
        <v>1308</v>
      </c>
      <c r="AR524" s="53">
        <v>2</v>
      </c>
      <c r="AS524" s="83">
        <v>46242</v>
      </c>
      <c r="AT524" s="53"/>
      <c r="AU524" s="53"/>
    </row>
    <row r="525" spans="3:48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3"/>
        <v>2</v>
      </c>
      <c r="M525" s="26">
        <f t="shared" si="22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67" t="e">
        <f>SUMIFS([1]Up!$J:$J,[1]Up!$D:$D,D525)</f>
        <v>#VALUE!</v>
      </c>
      <c r="AK525" s="82"/>
      <c r="AL525" s="82" t="str">
        <f t="shared" si="34"/>
        <v>PL15</v>
      </c>
      <c r="AM525" s="53" t="str">
        <f t="shared" si="35"/>
        <v/>
      </c>
      <c r="AN525" s="53" t="s">
        <v>148</v>
      </c>
      <c r="AO525" s="53" t="s">
        <v>1094</v>
      </c>
      <c r="AP525" s="53" t="s">
        <v>1095</v>
      </c>
      <c r="AQ525" s="53" t="s">
        <v>1304</v>
      </c>
      <c r="AR525" s="53">
        <v>2</v>
      </c>
      <c r="AS525" s="83">
        <v>46088</v>
      </c>
      <c r="AT525" s="53"/>
      <c r="AU525" s="53"/>
    </row>
    <row r="526" spans="3:48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3"/>
        <v>2</v>
      </c>
      <c r="M526" s="26">
        <f t="shared" si="22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67" t="e">
        <f>SUMIFS([1]Up!$J:$J,[1]Up!$D:$D,D526)</f>
        <v>#VALUE!</v>
      </c>
      <c r="AK526" s="82"/>
      <c r="AL526" s="82" t="str">
        <f t="shared" si="34"/>
        <v>PL15</v>
      </c>
      <c r="AM526" s="53" t="str">
        <f t="shared" si="35"/>
        <v/>
      </c>
      <c r="AN526" s="53" t="s">
        <v>148</v>
      </c>
      <c r="AO526" s="53" t="s">
        <v>1094</v>
      </c>
      <c r="AP526" s="53" t="s">
        <v>1095</v>
      </c>
      <c r="AQ526" s="53" t="s">
        <v>1304</v>
      </c>
      <c r="AR526" s="53">
        <v>2</v>
      </c>
      <c r="AS526" s="83">
        <v>46088</v>
      </c>
      <c r="AT526" s="53"/>
      <c r="AU526" s="53"/>
    </row>
    <row r="527" spans="3:48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3"/>
        <v>1</v>
      </c>
      <c r="M527" s="26">
        <f t="shared" si="22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67" t="e">
        <f>SUMIFS([1]Up!$J:$J,[1]Up!$D:$D,D527)</f>
        <v>#VALUE!</v>
      </c>
      <c r="AK527" s="82"/>
      <c r="AL527" s="82" t="str">
        <f t="shared" si="34"/>
        <v>PL20</v>
      </c>
      <c r="AM527" s="53" t="str">
        <f t="shared" si="35"/>
        <v/>
      </c>
      <c r="AN527" s="53" t="s">
        <v>148</v>
      </c>
      <c r="AO527" s="53" t="s">
        <v>1100</v>
      </c>
      <c r="AP527" s="53" t="s">
        <v>1101</v>
      </c>
      <c r="AQ527" s="53" t="s">
        <v>1308</v>
      </c>
      <c r="AR527" s="53">
        <v>1</v>
      </c>
      <c r="AS527" s="83">
        <v>46242</v>
      </c>
      <c r="AT527" s="53"/>
      <c r="AU527" s="53"/>
    </row>
    <row r="528" spans="3:48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3"/>
        <v>3</v>
      </c>
      <c r="M528" s="26">
        <f t="shared" si="2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67" t="e">
        <f>SUMIFS([1]Up!$J:$J,[1]Up!$D:$D,D528)</f>
        <v>#VALUE!</v>
      </c>
      <c r="AK528" s="82"/>
      <c r="AL528" s="82" t="str">
        <f t="shared" si="34"/>
        <v>PL16</v>
      </c>
      <c r="AM528" s="53" t="str">
        <f t="shared" si="35"/>
        <v/>
      </c>
      <c r="AN528" s="53" t="s">
        <v>148</v>
      </c>
      <c r="AO528" s="53" t="s">
        <v>988</v>
      </c>
      <c r="AP528" s="53" t="s">
        <v>989</v>
      </c>
      <c r="AQ528" s="53" t="s">
        <v>990</v>
      </c>
      <c r="AR528" s="53">
        <v>3</v>
      </c>
      <c r="AS528" s="83" t="s">
        <v>2223</v>
      </c>
      <c r="AT528" s="53"/>
      <c r="AU528" s="53"/>
    </row>
    <row r="529" spans="3:48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3"/>
        <v>1</v>
      </c>
      <c r="M529" s="26">
        <f t="shared" si="22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67" t="e">
        <f>SUMIFS([1]Up!$J:$J,[1]Up!$D:$D,D529)</f>
        <v>#VALUE!</v>
      </c>
      <c r="AK529" s="82"/>
      <c r="AL529" s="82" t="str">
        <f t="shared" si="34"/>
        <v>PL20</v>
      </c>
      <c r="AM529" s="53" t="str">
        <f t="shared" si="35"/>
        <v/>
      </c>
      <c r="AN529" s="53" t="s">
        <v>148</v>
      </c>
      <c r="AO529" s="53" t="s">
        <v>1100</v>
      </c>
      <c r="AP529" s="53" t="s">
        <v>1101</v>
      </c>
      <c r="AQ529" s="53" t="s">
        <v>1308</v>
      </c>
      <c r="AR529" s="53">
        <v>1</v>
      </c>
      <c r="AS529" s="83">
        <v>46242</v>
      </c>
      <c r="AT529" s="53"/>
      <c r="AU529" s="53"/>
    </row>
    <row r="530" spans="3:48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3"/>
        <v>2</v>
      </c>
      <c r="M530" s="26">
        <f t="shared" si="22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67" t="e">
        <f>SUMIFS([1]Up!$J:$J,[1]Up!$D:$D,D530)</f>
        <v>#VALUE!</v>
      </c>
      <c r="AK530" s="82"/>
      <c r="AL530" s="82" t="str">
        <f t="shared" si="34"/>
        <v>PL5</v>
      </c>
      <c r="AM530" s="53" t="str">
        <f t="shared" si="35"/>
        <v/>
      </c>
      <c r="AN530" s="53" t="s">
        <v>148</v>
      </c>
      <c r="AO530" s="53" t="s">
        <v>1108</v>
      </c>
      <c r="AP530" s="53" t="s">
        <v>957</v>
      </c>
      <c r="AQ530" s="53" t="s">
        <v>1313</v>
      </c>
      <c r="AR530" s="53">
        <v>2</v>
      </c>
      <c r="AS530" s="83" t="s">
        <v>2223</v>
      </c>
      <c r="AT530" s="53"/>
      <c r="AU530" s="53"/>
    </row>
    <row r="531" spans="3:48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3"/>
        <v>1</v>
      </c>
      <c r="M531" s="26">
        <f t="shared" si="22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67" t="e">
        <f>SUMIFS([1]Up!$J:$J,[1]Up!$D:$D,D531)</f>
        <v>#VALUE!</v>
      </c>
      <c r="AK531" s="82"/>
      <c r="AL531" s="82" t="str">
        <f t="shared" si="34"/>
        <v>PL16</v>
      </c>
      <c r="AM531" s="53" t="str">
        <f t="shared" si="35"/>
        <v/>
      </c>
      <c r="AN531" s="53" t="s">
        <v>148</v>
      </c>
      <c r="AO531" s="53" t="s">
        <v>988</v>
      </c>
      <c r="AP531" s="53" t="s">
        <v>989</v>
      </c>
      <c r="AQ531" s="53" t="s">
        <v>990</v>
      </c>
      <c r="AR531" s="53">
        <v>1</v>
      </c>
      <c r="AS531" s="83" t="s">
        <v>2223</v>
      </c>
      <c r="AT531" s="53"/>
      <c r="AU531" s="53"/>
    </row>
    <row r="532" spans="3:48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3"/>
        <v>1</v>
      </c>
      <c r="M532" s="26">
        <f t="shared" si="2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67" t="e">
        <f>SUMIFS([1]Up!$J:$J,[1]Up!$D:$D,D532)</f>
        <v>#VALUE!</v>
      </c>
      <c r="AK532" s="82"/>
      <c r="AL532" s="82" t="str">
        <f t="shared" si="34"/>
        <v>PL16</v>
      </c>
      <c r="AM532" s="53" t="str">
        <f t="shared" si="35"/>
        <v/>
      </c>
      <c r="AN532" s="53" t="s">
        <v>148</v>
      </c>
      <c r="AO532" s="53" t="s">
        <v>988</v>
      </c>
      <c r="AP532" s="53" t="s">
        <v>989</v>
      </c>
      <c r="AQ532" s="53" t="s">
        <v>990</v>
      </c>
      <c r="AR532" s="53">
        <v>1</v>
      </c>
      <c r="AS532" s="83" t="s">
        <v>2223</v>
      </c>
      <c r="AT532" s="53"/>
      <c r="AU532" s="53"/>
    </row>
    <row r="533" spans="3:48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3"/>
        <v>1</v>
      </c>
      <c r="M533" s="26">
        <f t="shared" si="22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67" t="e">
        <f>SUMIFS([1]Up!$J:$J,[1]Up!$D:$D,D533)</f>
        <v>#VALUE!</v>
      </c>
      <c r="AK533" s="82"/>
      <c r="AL533" s="82" t="str">
        <f t="shared" si="34"/>
        <v>PL16</v>
      </c>
      <c r="AM533" s="53" t="str">
        <f t="shared" si="35"/>
        <v/>
      </c>
      <c r="AN533" s="53" t="s">
        <v>148</v>
      </c>
      <c r="AO533" s="53" t="s">
        <v>988</v>
      </c>
      <c r="AP533" s="53" t="s">
        <v>989</v>
      </c>
      <c r="AQ533" s="53" t="s">
        <v>990</v>
      </c>
      <c r="AR533" s="53">
        <v>1</v>
      </c>
      <c r="AS533" s="83" t="s">
        <v>2223</v>
      </c>
      <c r="AT533" s="53"/>
      <c r="AU533" s="53"/>
    </row>
    <row r="534" spans="3:48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3"/>
        <v>3</v>
      </c>
      <c r="M534" s="26">
        <f t="shared" si="2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67" t="e">
        <f>SUMIFS([1]Up!$J:$J,[1]Up!$D:$D,D534)</f>
        <v>#VALUE!</v>
      </c>
      <c r="AK534" s="82" t="s">
        <v>2081</v>
      </c>
      <c r="AL534" s="82" t="str">
        <f t="shared" si="34"/>
        <v>PL8</v>
      </c>
      <c r="AM534" s="53" t="str">
        <f t="shared" si="35"/>
        <v>Thừa 3</v>
      </c>
      <c r="AN534" s="53" t="s">
        <v>148</v>
      </c>
      <c r="AO534" s="53" t="s">
        <v>1012</v>
      </c>
      <c r="AP534" s="53" t="s">
        <v>1013</v>
      </c>
      <c r="AQ534" s="53" t="s">
        <v>57</v>
      </c>
      <c r="AR534" s="53">
        <v>3</v>
      </c>
      <c r="AS534" s="83"/>
      <c r="AT534" s="53"/>
      <c r="AU534" s="53"/>
    </row>
    <row r="535" spans="3:48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3"/>
        <v>0</v>
      </c>
      <c r="M535" s="26">
        <f t="shared" si="22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67" t="e">
        <f>SUMIFS([1]Up!$J:$J,[1]Up!$D:$D,D535)</f>
        <v>#VALUE!</v>
      </c>
      <c r="AK535" s="82"/>
      <c r="AL535" s="82" t="str">
        <f t="shared" si="34"/>
        <v/>
      </c>
      <c r="AM535" s="53" t="str">
        <f t="shared" si="35"/>
        <v/>
      </c>
      <c r="AN535" s="53" t="s">
        <v>148</v>
      </c>
      <c r="AO535" s="53" t="s">
        <v>1079</v>
      </c>
      <c r="AP535" s="53" t="s">
        <v>1076</v>
      </c>
      <c r="AQ535" s="84" t="s">
        <v>2162</v>
      </c>
      <c r="AR535" s="53">
        <v>20</v>
      </c>
      <c r="AS535" s="83" t="s">
        <v>2225</v>
      </c>
      <c r="AT535" s="53"/>
      <c r="AU535" s="53"/>
      <c r="AV535" s="238"/>
    </row>
    <row r="536" spans="3:48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3"/>
        <v>0</v>
      </c>
      <c r="M536" s="26">
        <f t="shared" si="22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67" t="e">
        <f>SUMIFS([1]Up!$J:$J,[1]Up!$D:$D,D536)</f>
        <v>#VALUE!</v>
      </c>
      <c r="AK536" s="82"/>
      <c r="AL536" s="82" t="str">
        <f t="shared" si="34"/>
        <v>PL8</v>
      </c>
      <c r="AM536" s="53" t="str">
        <f t="shared" si="35"/>
        <v/>
      </c>
      <c r="AN536" s="53" t="s">
        <v>154</v>
      </c>
      <c r="AO536" s="53" t="s">
        <v>1012</v>
      </c>
      <c r="AP536" s="53" t="s">
        <v>1013</v>
      </c>
      <c r="AQ536" s="53" t="s">
        <v>57</v>
      </c>
      <c r="AR536" s="53">
        <v>4</v>
      </c>
      <c r="AS536" s="83"/>
      <c r="AT536" s="53"/>
      <c r="AU536" s="53"/>
    </row>
    <row r="537" spans="3:48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3"/>
        <v>0</v>
      </c>
      <c r="M537" s="26">
        <f t="shared" si="22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67" t="e">
        <f>SUMIFS([1]Up!$J:$J,[1]Up!$D:$D,D537)</f>
        <v>#VALUE!</v>
      </c>
      <c r="AK537" s="82"/>
      <c r="AL537" s="82" t="str">
        <f t="shared" si="34"/>
        <v>PL15</v>
      </c>
      <c r="AM537" s="53" t="str">
        <f t="shared" si="35"/>
        <v/>
      </c>
      <c r="AN537" s="53" t="s">
        <v>148</v>
      </c>
      <c r="AO537" s="53" t="s">
        <v>1094</v>
      </c>
      <c r="AP537" s="53" t="s">
        <v>1095</v>
      </c>
      <c r="AQ537" s="84" t="s">
        <v>2156</v>
      </c>
      <c r="AR537" s="53">
        <v>8</v>
      </c>
      <c r="AS537" s="83" t="s">
        <v>2225</v>
      </c>
      <c r="AT537" s="53"/>
      <c r="AU537" s="53"/>
      <c r="AV537" s="238"/>
    </row>
    <row r="538" spans="3:48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3"/>
        <v>0</v>
      </c>
      <c r="M538" s="26">
        <f t="shared" si="22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67" t="e">
        <f>SUMIFS([1]Up!$J:$J,[1]Up!$D:$D,D538)</f>
        <v>#VALUE!</v>
      </c>
      <c r="AK538" s="82"/>
      <c r="AL538" s="82" t="str">
        <f t="shared" si="34"/>
        <v>PL16</v>
      </c>
      <c r="AM538" s="53" t="str">
        <f t="shared" si="35"/>
        <v/>
      </c>
      <c r="AN538" s="53" t="s">
        <v>148</v>
      </c>
      <c r="AO538" s="53" t="s">
        <v>988</v>
      </c>
      <c r="AP538" s="53" t="s">
        <v>989</v>
      </c>
      <c r="AQ538" s="84" t="s">
        <v>2161</v>
      </c>
      <c r="AR538" s="53">
        <v>40</v>
      </c>
      <c r="AS538" s="83" t="s">
        <v>2226</v>
      </c>
      <c r="AT538" s="53"/>
      <c r="AU538" s="53"/>
      <c r="AV538" s="238"/>
    </row>
    <row r="539" spans="3:48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3"/>
        <v>0</v>
      </c>
      <c r="M539" s="26">
        <f t="shared" si="22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67" t="e">
        <f>SUMIFS([1]Up!$J:$J,[1]Up!$D:$D,D539)</f>
        <v>#VALUE!</v>
      </c>
      <c r="AK539" s="82"/>
      <c r="AL539" s="82" t="str">
        <f t="shared" si="34"/>
        <v>PL15</v>
      </c>
      <c r="AM539" s="53" t="str">
        <f t="shared" si="35"/>
        <v/>
      </c>
      <c r="AN539" s="53" t="s">
        <v>148</v>
      </c>
      <c r="AO539" s="53" t="s">
        <v>1094</v>
      </c>
      <c r="AP539" s="53" t="s">
        <v>1095</v>
      </c>
      <c r="AQ539" s="84" t="s">
        <v>2156</v>
      </c>
      <c r="AR539" s="53">
        <v>8</v>
      </c>
      <c r="AS539" s="83" t="s">
        <v>2225</v>
      </c>
      <c r="AT539" s="53"/>
      <c r="AU539" s="53"/>
      <c r="AV539" s="238"/>
    </row>
    <row r="540" spans="3:48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3"/>
        <v>0</v>
      </c>
      <c r="M540" s="26">
        <f t="shared" si="22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67" t="e">
        <f>SUMIFS([1]Up!$J:$J,[1]Up!$D:$D,D540)</f>
        <v>#VALUE!</v>
      </c>
      <c r="AK540" s="82"/>
      <c r="AL540" s="82" t="str">
        <f t="shared" si="34"/>
        <v>PL20</v>
      </c>
      <c r="AM540" s="53" t="str">
        <f t="shared" si="35"/>
        <v/>
      </c>
      <c r="AN540" s="53" t="s">
        <v>148</v>
      </c>
      <c r="AO540" s="53" t="s">
        <v>1100</v>
      </c>
      <c r="AP540" s="53" t="s">
        <v>1101</v>
      </c>
      <c r="AQ540" s="84" t="s">
        <v>2158</v>
      </c>
      <c r="AR540" s="53">
        <v>8</v>
      </c>
      <c r="AS540" s="83">
        <v>46242</v>
      </c>
      <c r="AT540" s="53"/>
      <c r="AU540" s="53"/>
      <c r="AV540" s="238"/>
    </row>
    <row r="541" spans="3:48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3"/>
        <v>0</v>
      </c>
      <c r="M541" s="26">
        <f t="shared" ref="M541:M549" si="36">MAX(0,I541-L541)</f>
        <v>4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67" t="e">
        <f>SUMIFS([1]Up!$J:$J,[1]Up!$D:$D,D541)</f>
        <v>#VALUE!</v>
      </c>
      <c r="AK541" s="82"/>
      <c r="AL541" s="82" t="str">
        <f t="shared" si="34"/>
        <v>PL15</v>
      </c>
      <c r="AM541" s="53" t="str">
        <f t="shared" si="35"/>
        <v/>
      </c>
      <c r="AN541" s="53" t="s">
        <v>148</v>
      </c>
      <c r="AO541" s="53" t="s">
        <v>1094</v>
      </c>
      <c r="AP541" s="53" t="s">
        <v>1095</v>
      </c>
      <c r="AQ541" s="84" t="s">
        <v>2156</v>
      </c>
      <c r="AR541" s="53">
        <v>8</v>
      </c>
      <c r="AS541" s="83" t="s">
        <v>2225</v>
      </c>
      <c r="AT541" s="53"/>
      <c r="AU541" s="53"/>
      <c r="AV541" s="238"/>
    </row>
    <row r="542" spans="3:48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37">MIN(SUM(N542:AI542),I542)</f>
        <v>0</v>
      </c>
      <c r="M542" s="26">
        <f t="shared" si="36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67" t="e">
        <f>SUMIFS([1]Up!$J:$J,[1]Up!$D:$D,D542)</f>
        <v>#VALUE!</v>
      </c>
      <c r="AK542" s="82"/>
      <c r="AL542" s="82" t="str">
        <f t="shared" ref="AL542:AL549" si="38">IFERROR(IF(C542="Plate",LEFT(E542,FIND("*",E542,1)-1),""),IF(C542="Plate",LEFT(E542,FIND("x",E542,1)-1),""))</f>
        <v>PL20</v>
      </c>
      <c r="AM542" s="53" t="str">
        <f t="shared" ref="AM542:AM549" si="39">IF(ROUND(SUM(N542:AI542)-I542,0)&gt;0,"Thừa "&amp;SUM(N542:AI542)-I542,"")</f>
        <v/>
      </c>
      <c r="AN542" s="53" t="s">
        <v>148</v>
      </c>
      <c r="AO542" s="53" t="s">
        <v>1100</v>
      </c>
      <c r="AP542" s="53" t="s">
        <v>1101</v>
      </c>
      <c r="AQ542" s="84" t="s">
        <v>2158</v>
      </c>
      <c r="AR542" s="53">
        <v>4</v>
      </c>
      <c r="AS542" s="83">
        <v>46242</v>
      </c>
      <c r="AT542" s="53"/>
      <c r="AU542" s="53"/>
      <c r="AV542" s="238"/>
    </row>
    <row r="543" spans="3:48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37"/>
        <v>0</v>
      </c>
      <c r="M543" s="26">
        <f t="shared" si="36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67" t="e">
        <f>SUMIFS([1]Up!$J:$J,[1]Up!$D:$D,D543)</f>
        <v>#VALUE!</v>
      </c>
      <c r="AK543" s="82"/>
      <c r="AL543" s="82" t="str">
        <f t="shared" si="38"/>
        <v>PL16</v>
      </c>
      <c r="AM543" s="53" t="str">
        <f t="shared" si="39"/>
        <v/>
      </c>
      <c r="AN543" s="53" t="s">
        <v>148</v>
      </c>
      <c r="AO543" s="53" t="s">
        <v>988</v>
      </c>
      <c r="AP543" s="53" t="s">
        <v>989</v>
      </c>
      <c r="AQ543" s="84" t="s">
        <v>2161</v>
      </c>
      <c r="AR543" s="53">
        <v>12</v>
      </c>
      <c r="AS543" s="83" t="s">
        <v>2226</v>
      </c>
      <c r="AT543" s="53"/>
      <c r="AU543" s="53"/>
      <c r="AV543" s="238"/>
    </row>
    <row r="544" spans="3:48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37"/>
        <v>0</v>
      </c>
      <c r="M544" s="26">
        <f t="shared" si="36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67" t="e">
        <f>SUMIFS([1]Up!$J:$J,[1]Up!$D:$D,D544)</f>
        <v>#VALUE!</v>
      </c>
      <c r="AK544" s="82"/>
      <c r="AL544" s="82" t="str">
        <f t="shared" si="38"/>
        <v>PL20</v>
      </c>
      <c r="AM544" s="53" t="str">
        <f t="shared" si="39"/>
        <v/>
      </c>
      <c r="AN544" s="53" t="s">
        <v>148</v>
      </c>
      <c r="AO544" s="53" t="s">
        <v>1100</v>
      </c>
      <c r="AP544" s="53" t="s">
        <v>1101</v>
      </c>
      <c r="AQ544" s="84" t="s">
        <v>2158</v>
      </c>
      <c r="AR544" s="53">
        <v>4</v>
      </c>
      <c r="AS544" s="83">
        <v>46242</v>
      </c>
      <c r="AT544" s="53"/>
      <c r="AU544" s="53"/>
      <c r="AV544" s="238"/>
    </row>
    <row r="545" spans="3:48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37"/>
        <v>0</v>
      </c>
      <c r="M545" s="26">
        <f t="shared" si="36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67" t="e">
        <f>SUMIFS([1]Up!$J:$J,[1]Up!$D:$D,D545)</f>
        <v>#VALUE!</v>
      </c>
      <c r="AK545" s="82"/>
      <c r="AL545" s="82" t="str">
        <f t="shared" si="38"/>
        <v>PL5</v>
      </c>
      <c r="AM545" s="53" t="str">
        <f t="shared" si="39"/>
        <v/>
      </c>
      <c r="AN545" s="53" t="s">
        <v>148</v>
      </c>
      <c r="AO545" s="53" t="s">
        <v>1108</v>
      </c>
      <c r="AP545" s="53" t="s">
        <v>957</v>
      </c>
      <c r="AQ545" s="84" t="s">
        <v>2159</v>
      </c>
      <c r="AR545" s="53">
        <v>8</v>
      </c>
      <c r="AS545" s="83">
        <v>46302</v>
      </c>
      <c r="AT545" s="53"/>
      <c r="AU545" s="53"/>
      <c r="AV545" s="238"/>
    </row>
    <row r="546" spans="3:48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37"/>
        <v>0</v>
      </c>
      <c r="M546" s="26">
        <f t="shared" si="36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67" t="e">
        <f>SUMIFS([1]Up!$J:$J,[1]Up!$D:$D,D546)</f>
        <v>#VALUE!</v>
      </c>
      <c r="AK546" s="82"/>
      <c r="AL546" s="82" t="str">
        <f t="shared" si="38"/>
        <v>PL16</v>
      </c>
      <c r="AM546" s="53" t="str">
        <f t="shared" si="39"/>
        <v/>
      </c>
      <c r="AN546" s="53" t="s">
        <v>148</v>
      </c>
      <c r="AO546" s="53" t="s">
        <v>988</v>
      </c>
      <c r="AP546" s="53" t="s">
        <v>989</v>
      </c>
      <c r="AQ546" s="84" t="s">
        <v>2161</v>
      </c>
      <c r="AR546" s="53">
        <v>4</v>
      </c>
      <c r="AS546" s="83" t="s">
        <v>2226</v>
      </c>
      <c r="AT546" s="53"/>
      <c r="AU546" s="53"/>
      <c r="AV546" s="238"/>
    </row>
    <row r="547" spans="3:48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37"/>
        <v>0</v>
      </c>
      <c r="M547" s="26">
        <f t="shared" si="36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67" t="e">
        <f>SUMIFS([1]Up!$J:$J,[1]Up!$D:$D,D547)</f>
        <v>#VALUE!</v>
      </c>
      <c r="AK547" s="82"/>
      <c r="AL547" s="82" t="str">
        <f t="shared" si="38"/>
        <v>PL16</v>
      </c>
      <c r="AM547" s="53" t="str">
        <f t="shared" si="39"/>
        <v/>
      </c>
      <c r="AN547" s="53" t="s">
        <v>148</v>
      </c>
      <c r="AO547" s="53" t="s">
        <v>988</v>
      </c>
      <c r="AP547" s="53" t="s">
        <v>989</v>
      </c>
      <c r="AQ547" s="84" t="s">
        <v>2161</v>
      </c>
      <c r="AR547" s="53">
        <v>4</v>
      </c>
      <c r="AS547" s="83" t="s">
        <v>2226</v>
      </c>
      <c r="AT547" s="53"/>
      <c r="AU547" s="53"/>
      <c r="AV547" s="238"/>
    </row>
    <row r="548" spans="3:48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37"/>
        <v>0</v>
      </c>
      <c r="M548" s="26">
        <f t="shared" si="36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67" t="e">
        <f>SUMIFS([1]Up!$J:$J,[1]Up!$D:$D,D548)</f>
        <v>#VALUE!</v>
      </c>
      <c r="AK548" s="82"/>
      <c r="AL548" s="82" t="str">
        <f t="shared" si="38"/>
        <v>PL16</v>
      </c>
      <c r="AM548" s="53" t="str">
        <f t="shared" si="39"/>
        <v/>
      </c>
      <c r="AN548" s="53" t="s">
        <v>148</v>
      </c>
      <c r="AO548" s="53" t="s">
        <v>988</v>
      </c>
      <c r="AP548" s="53" t="s">
        <v>989</v>
      </c>
      <c r="AQ548" s="84" t="s">
        <v>2161</v>
      </c>
      <c r="AR548" s="53">
        <v>4</v>
      </c>
      <c r="AS548" s="83" t="s">
        <v>2226</v>
      </c>
      <c r="AT548" s="53"/>
      <c r="AU548" s="53"/>
      <c r="AV548" s="238"/>
    </row>
    <row r="549" spans="3:48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37"/>
        <v>0</v>
      </c>
      <c r="M549" s="26">
        <f t="shared" si="36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67" t="e">
        <f>SUMIFS([1]Up!$J:$J,[1]Up!$D:$D,D549)</f>
        <v>#VALUE!</v>
      </c>
      <c r="AK549" s="82"/>
      <c r="AL549" s="82" t="str">
        <f t="shared" si="38"/>
        <v>PL8</v>
      </c>
      <c r="AM549" s="53" t="str">
        <f t="shared" si="39"/>
        <v/>
      </c>
      <c r="AN549" s="53" t="s">
        <v>148</v>
      </c>
      <c r="AO549" s="53" t="s">
        <v>1012</v>
      </c>
      <c r="AP549" s="53" t="s">
        <v>1013</v>
      </c>
      <c r="AQ549" s="53" t="s">
        <v>57</v>
      </c>
      <c r="AR549" s="53">
        <v>20</v>
      </c>
      <c r="AS549" s="83"/>
      <c r="AT549" s="53"/>
      <c r="AU549" s="53"/>
    </row>
    <row r="550" spans="3:48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67"/>
      <c r="AK550" s="82"/>
      <c r="AL550" s="82"/>
      <c r="AM550" s="53"/>
      <c r="AN550" s="53"/>
      <c r="AO550" s="53"/>
      <c r="AP550" s="53"/>
      <c r="AQ550" s="53"/>
      <c r="AR550" s="85"/>
      <c r="AS550" s="53"/>
      <c r="AT550" s="53"/>
      <c r="AU550" s="53"/>
    </row>
    <row r="551" spans="3:48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67"/>
      <c r="AK551" s="82"/>
      <c r="AL551" s="82"/>
      <c r="AM551" s="53"/>
      <c r="AN551" s="53"/>
      <c r="AO551" s="53"/>
      <c r="AP551" s="53"/>
      <c r="AQ551" s="53"/>
      <c r="AR551" s="85"/>
      <c r="AS551" s="53"/>
      <c r="AT551" s="53"/>
      <c r="AU551" s="53"/>
    </row>
    <row r="552" spans="3:48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67"/>
      <c r="AK552" s="82"/>
      <c r="AL552" s="82"/>
      <c r="AM552" s="53"/>
      <c r="AN552" s="53"/>
      <c r="AO552" s="53"/>
      <c r="AP552" s="53"/>
      <c r="AQ552" s="53"/>
      <c r="AR552" s="85"/>
      <c r="AS552" s="53"/>
      <c r="AT552" s="53"/>
      <c r="AU552" s="53"/>
    </row>
    <row r="553" spans="3:48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67"/>
      <c r="AK553" s="82"/>
      <c r="AL553" s="82"/>
      <c r="AM553" s="53"/>
      <c r="AN553" s="53"/>
      <c r="AO553" s="53"/>
      <c r="AP553" s="53"/>
      <c r="AQ553" s="53"/>
      <c r="AR553" s="85"/>
      <c r="AS553" s="53"/>
      <c r="AT553" s="53"/>
      <c r="AU553" s="53"/>
    </row>
    <row r="554" spans="3:48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67"/>
      <c r="AK554" s="82"/>
      <c r="AL554" s="82"/>
      <c r="AM554" s="53"/>
      <c r="AN554" s="53"/>
      <c r="AO554" s="53"/>
      <c r="AP554" s="53"/>
      <c r="AQ554" s="53"/>
      <c r="AR554" s="85"/>
      <c r="AS554" s="53"/>
      <c r="AT554" s="53"/>
      <c r="AU554" s="53"/>
    </row>
    <row r="555" spans="3:48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67"/>
      <c r="AK555" s="82"/>
      <c r="AL555" s="82"/>
      <c r="AM555" s="53"/>
      <c r="AN555" s="53"/>
      <c r="AO555" s="53"/>
      <c r="AP555" s="53"/>
      <c r="AQ555" s="53"/>
      <c r="AR555" s="85"/>
      <c r="AS555" s="53"/>
      <c r="AT555" s="53"/>
      <c r="AU555" s="53"/>
    </row>
    <row r="556" spans="3:48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67"/>
      <c r="AK556" s="82"/>
      <c r="AL556" s="82"/>
      <c r="AM556" s="53"/>
      <c r="AN556" s="53"/>
      <c r="AO556" s="53"/>
      <c r="AP556" s="53"/>
      <c r="AQ556" s="53"/>
      <c r="AR556" s="85"/>
      <c r="AS556" s="53"/>
      <c r="AT556" s="53"/>
      <c r="AU556" s="53"/>
    </row>
  </sheetData>
  <autoFilter ref="C29:AU556" xr:uid="{B5DE6D30-F474-449D-82A7-1262A8A8C8BB}">
    <filterColumn colId="1">
      <filters>
        <filter val="SDM_A11_P1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/>
  <dimension ref="A1:CF744"/>
  <sheetViews>
    <sheetView zoomScale="60" zoomScaleNormal="60" workbookViewId="0">
      <pane xSplit="14" ySplit="9" topLeftCell="S10" activePane="bottomRight" state="frozen"/>
      <selection pane="topRight" activeCell="P1" sqref="P1"/>
      <selection pane="bottomLeft" activeCell="A10" sqref="A10"/>
      <selection pane="bottomRight" activeCell="U584" sqref="U584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203">
        <f t="shared" ca="1" si="331"/>
        <v>1</v>
      </c>
      <c r="V166" s="203">
        <f t="shared" ca="1" si="332"/>
        <v>0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0</v>
      </c>
      <c r="AY166" s="203">
        <f t="shared" ca="1" si="348"/>
        <v>1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03">
        <f t="shared" ca="1" si="373"/>
        <v>2</v>
      </c>
      <c r="V174" s="203">
        <f t="shared" ca="1" si="374"/>
        <v>0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0</v>
      </c>
      <c r="AY174" s="203">
        <f t="shared" ca="1" si="390"/>
        <v>2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03">
        <f t="shared" ca="1" si="373"/>
        <v>1</v>
      </c>
      <c r="V175" s="203">
        <f t="shared" ca="1" si="374"/>
        <v>0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0</v>
      </c>
      <c r="AY175" s="203">
        <f t="shared" ca="1" si="390"/>
        <v>1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0.30769230769230771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203">
        <f t="shared" ca="1" si="453"/>
        <v>2</v>
      </c>
      <c r="V211" s="203">
        <f t="shared" ca="1" si="454"/>
        <v>0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0</v>
      </c>
      <c r="AO211" s="203">
        <f t="shared" ca="1" si="460"/>
        <v>1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03">
        <f t="shared" ca="1" si="453"/>
        <v>2</v>
      </c>
      <c r="V212" s="203">
        <f t="shared" ca="1" si="454"/>
        <v>0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0</v>
      </c>
      <c r="AO212" s="203">
        <f t="shared" ca="1" si="460"/>
        <v>1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0.33333333333333331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03">
        <f t="shared" ref="U224:U236" ca="1" si="470">+L224-T224</f>
        <v>2</v>
      </c>
      <c r="V224" s="203">
        <f t="shared" ref="V224:V236" ca="1" si="471">ROUNDDOWN(T224/J224,0)</f>
        <v>0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0</v>
      </c>
      <c r="AO224" s="203">
        <f t="shared" ref="AO224:AO236" ca="1" si="477">+AM224-AN224</f>
        <v>1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0</v>
      </c>
      <c r="AT224" s="203">
        <f t="shared" ref="AT224:AT236" ca="1" si="480">+AR224-AS224</f>
        <v>1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03">
        <f t="shared" ca="1" si="470"/>
        <v>2</v>
      </c>
      <c r="V225" s="203">
        <f t="shared" ca="1" si="471"/>
        <v>0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0</v>
      </c>
      <c r="AO225" s="203">
        <f t="shared" ca="1" si="477"/>
        <v>1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0</v>
      </c>
      <c r="X237" s="192">
        <f ca="1">SUMIFS(T:T,C:C,C237,AE:AE,"")/SUMIFS(L:L,C:C,C237,AE:AE,"",AB:AB,"")</f>
        <v>0.66666666666666663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ref="U238:U242" ca="1" si="487">+L238-T238</f>
        <v>2</v>
      </c>
      <c r="V238" s="203">
        <f t="shared" ref="V238:V242" ca="1" si="488">ROUNDDOWN(T238/J238,0)</f>
        <v>0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0</v>
      </c>
      <c r="AO238" s="203">
        <f t="shared" ref="AO238:AO242" ca="1" si="494">+AM238-AN238</f>
        <v>1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0</v>
      </c>
      <c r="AT238" s="203">
        <f t="shared" ref="AT238:AT242" ca="1" si="497">+AR238-AS238</f>
        <v>1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ca="1" si="487"/>
        <v>4</v>
      </c>
      <c r="V240" s="203">
        <f t="shared" ca="1" si="488"/>
        <v>0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0</v>
      </c>
      <c r="AO240" s="203">
        <f t="shared" ca="1" si="494"/>
        <v>2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0</v>
      </c>
      <c r="AT240" s="203">
        <f t="shared" ca="1" si="497"/>
        <v>2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87"/>
        <v>4</v>
      </c>
      <c r="V241" s="203">
        <f t="shared" ca="1" si="488"/>
        <v>0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0</v>
      </c>
      <c r="AO241" s="203">
        <f t="shared" ca="1" si="494"/>
        <v>2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0</v>
      </c>
      <c r="AT241" s="203">
        <f t="shared" ca="1" si="497"/>
        <v>2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03">
        <f t="shared" ref="U244:U248" ca="1" si="503">+L244-T244</f>
        <v>2</v>
      </c>
      <c r="V244" s="203">
        <f t="shared" ref="V244:V248" ca="1" si="504">ROUNDDOWN(T244/J244,0)</f>
        <v>0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0</v>
      </c>
      <c r="AO244" s="203">
        <f t="shared" ref="AO244:AO248" ca="1" si="510">+AM244-AN244</f>
        <v>1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0</v>
      </c>
      <c r="AT244" s="203">
        <f t="shared" ref="AT244:AT248" ca="1" si="513">+AR244-AS244</f>
        <v>1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ca="1" si="503"/>
        <v>2</v>
      </c>
      <c r="V245" s="203">
        <f t="shared" ca="1" si="504"/>
        <v>0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0</v>
      </c>
      <c r="AO245" s="203">
        <f t="shared" ca="1" si="510"/>
        <v>1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ca="1" si="503"/>
        <v>2</v>
      </c>
      <c r="V248" s="203">
        <f t="shared" ca="1" si="504"/>
        <v>0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0</v>
      </c>
      <c r="AO248" s="203">
        <f t="shared" ca="1" si="510"/>
        <v>1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0.33333333333333331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03">
        <f t="shared" ca="1" si="528"/>
        <v>4</v>
      </c>
      <c r="V256" s="203">
        <f t="shared" ca="1" si="529"/>
        <v>0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0</v>
      </c>
      <c r="AO256" s="203">
        <f t="shared" ca="1" si="535"/>
        <v>2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0</v>
      </c>
      <c r="AT256" s="203">
        <f t="shared" ca="1" si="538"/>
        <v>2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0.33333333333333331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03">
        <f t="shared" ref="U263:U267" ca="1" si="545">+L263-T263</f>
        <v>2</v>
      </c>
      <c r="V263" s="203">
        <f t="shared" ref="V263:V267" ca="1" si="546">ROUNDDOWN(T263/J263,0)</f>
        <v>0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0</v>
      </c>
      <c r="AO263" s="203">
        <f t="shared" ref="AO263:AO267" ca="1" si="552">+AM263-AN263</f>
        <v>1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0</v>
      </c>
      <c r="AT263" s="203">
        <f t="shared" ref="AT263:AT267" ca="1" si="555">+AR263-AS263</f>
        <v>1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03">
        <f t="shared" ca="1" si="545"/>
        <v>2</v>
      </c>
      <c r="V265" s="203">
        <f t="shared" ca="1" si="546"/>
        <v>0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0</v>
      </c>
      <c r="AO265" s="203">
        <f t="shared" ca="1" si="552"/>
        <v>1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0</v>
      </c>
      <c r="AT265" s="203">
        <f t="shared" ca="1" si="555"/>
        <v>1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0.33333333333333331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03">
        <f t="shared" ref="U269:U275" ca="1" si="561">+L269-T269</f>
        <v>2</v>
      </c>
      <c r="V269" s="203">
        <f t="shared" ref="V269:V275" ca="1" si="562">ROUNDDOWN(T269/J269,0)</f>
        <v>0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0</v>
      </c>
      <c r="AO269" s="203">
        <f t="shared" ref="AO269:AO275" ca="1" si="568">+AM269-AN269</f>
        <v>1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0</v>
      </c>
      <c r="AT269" s="203">
        <f t="shared" ref="AT269:AT275" ca="1" si="571">+AR269-AS269</f>
        <v>1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61"/>
        <v>2</v>
      </c>
      <c r="V271" s="203">
        <f t="shared" ca="1" si="562"/>
        <v>0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0</v>
      </c>
      <c r="AO271" s="203">
        <f t="shared" ca="1" si="568"/>
        <v>1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0</v>
      </c>
      <c r="AT271" s="203">
        <f t="shared" ca="1" si="571"/>
        <v>1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03">
        <f t="shared" ca="1" si="561"/>
        <v>4</v>
      </c>
      <c r="V275" s="203">
        <f t="shared" ca="1" si="562"/>
        <v>0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0</v>
      </c>
      <c r="AO275" s="203">
        <f t="shared" ca="1" si="568"/>
        <v>2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0</v>
      </c>
      <c r="AT275" s="203">
        <f t="shared" ca="1" si="571"/>
        <v>2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03">
        <f t="shared" ref="U277:U281" ca="1" si="578">+L277-T277</f>
        <v>2</v>
      </c>
      <c r="V277" s="203">
        <f t="shared" ref="V277:V281" ca="1" si="579">ROUNDDOWN(T277/J277,0)</f>
        <v>0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0</v>
      </c>
      <c r="AO277" s="203">
        <f t="shared" ref="AO277:AO281" ca="1" si="585">+AM277-AN277</f>
        <v>1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0</v>
      </c>
      <c r="AT277" s="203">
        <f t="shared" ref="AT277:AT281" ca="1" si="588">+AR277-AS277</f>
        <v>1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03">
        <f t="shared" ca="1" si="578"/>
        <v>2</v>
      </c>
      <c r="V279" s="203">
        <f t="shared" ca="1" si="579"/>
        <v>0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0</v>
      </c>
      <c r="AO279" s="203">
        <f t="shared" ca="1" si="585"/>
        <v>1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0</v>
      </c>
      <c r="AT279" s="203">
        <f t="shared" ca="1" si="588"/>
        <v>1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0.32258064516129031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203">
        <f t="shared" ref="U284:U299" ca="1" si="603">+L284-T284</f>
        <v>2</v>
      </c>
      <c r="V284" s="203">
        <f t="shared" ref="V284:V299" ca="1" si="604">ROUNDDOWN(T284/J284,0)</f>
        <v>0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0</v>
      </c>
      <c r="AO284" s="203">
        <f t="shared" ref="AO284:AO299" ca="1" si="610">+AM284-AN284</f>
        <v>1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0</v>
      </c>
      <c r="AT284" s="203">
        <f t="shared" ref="AT284:AT299" ca="1" si="613">+AR284-AS284</f>
        <v>1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03">
        <f t="shared" ca="1" si="603"/>
        <v>4</v>
      </c>
      <c r="V286" s="203">
        <f t="shared" ca="1" si="604"/>
        <v>0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0</v>
      </c>
      <c r="AO286" s="203">
        <f t="shared" ca="1" si="610"/>
        <v>2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0</v>
      </c>
      <c r="AT286" s="203">
        <f t="shared" ca="1" si="613"/>
        <v>2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03">
        <f t="shared" ca="1" si="603"/>
        <v>6</v>
      </c>
      <c r="V287" s="203">
        <f t="shared" ca="1" si="604"/>
        <v>0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0</v>
      </c>
      <c r="AO287" s="203">
        <f t="shared" ca="1" si="610"/>
        <v>3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0</v>
      </c>
      <c r="AT287" s="203">
        <f t="shared" ca="1" si="613"/>
        <v>3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03">
        <f t="shared" ca="1" si="603"/>
        <v>2</v>
      </c>
      <c r="V288" s="203">
        <f t="shared" ca="1" si="604"/>
        <v>0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0</v>
      </c>
      <c r="AO288" s="203">
        <f t="shared" ca="1" si="610"/>
        <v>1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0.33333333333333331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203">
        <f t="shared" ref="U301:U307" ca="1" si="620">+L301-T301</f>
        <v>2</v>
      </c>
      <c r="V301" s="203">
        <f t="shared" ref="V301:V307" ca="1" si="621">ROUNDDOWN(T301/J301,0)</f>
        <v>0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0</v>
      </c>
      <c r="AO301" s="203">
        <f t="shared" ref="AO301:AO307" ca="1" si="627">+AM301-AN301</f>
        <v>1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0</v>
      </c>
      <c r="AT301" s="203">
        <f t="shared" ref="AT301:AT307" ca="1" si="630">+AR301-AS301</f>
        <v>1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03">
        <f t="shared" ca="1" si="620"/>
        <v>4</v>
      </c>
      <c r="V304" s="203">
        <f t="shared" ca="1" si="621"/>
        <v>0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0</v>
      </c>
      <c r="AO304" s="203">
        <f t="shared" ca="1" si="627"/>
        <v>2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0</v>
      </c>
      <c r="AT304" s="203">
        <f t="shared" ca="1" si="630"/>
        <v>2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03">
        <f t="shared" ca="1" si="620"/>
        <v>2</v>
      </c>
      <c r="V306" s="203">
        <f t="shared" ca="1" si="621"/>
        <v>0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0</v>
      </c>
      <c r="AO306" s="203">
        <f t="shared" ca="1" si="627"/>
        <v>1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0</v>
      </c>
      <c r="AT306" s="203">
        <f t="shared" ca="1" si="630"/>
        <v>1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0.33333333333333331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03">
        <f t="shared" ref="U309:U316" ca="1" si="637">+L309-T309</f>
        <v>2</v>
      </c>
      <c r="V309" s="203">
        <f t="shared" ref="V309:V316" ca="1" si="638">ROUNDDOWN(T309/J309,0)</f>
        <v>0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0</v>
      </c>
      <c r="AO309" s="203">
        <f t="shared" ref="AO309:AO316" ca="1" si="644">+AM309-AN309</f>
        <v>1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0</v>
      </c>
      <c r="AT309" s="203">
        <f t="shared" ref="AT309:AT316" ca="1" si="647">+AR309-AS309</f>
        <v>1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637"/>
        <v>2</v>
      </c>
      <c r="V311" s="203">
        <f t="shared" ca="1" si="638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0</v>
      </c>
      <c r="AO311" s="203">
        <f t="shared" ca="1" si="644"/>
        <v>1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0</v>
      </c>
      <c r="AT311" s="203">
        <f t="shared" ca="1" si="647"/>
        <v>1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03">
        <f t="shared" ca="1" si="637"/>
        <v>4</v>
      </c>
      <c r="V313" s="203">
        <f t="shared" ca="1" si="638"/>
        <v>0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0</v>
      </c>
      <c r="AO313" s="203">
        <f t="shared" ca="1" si="644"/>
        <v>2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0</v>
      </c>
      <c r="AT313" s="203">
        <f t="shared" ca="1" si="647"/>
        <v>2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37"/>
        <v>4</v>
      </c>
      <c r="V316" s="203">
        <f t="shared" ca="1" si="638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0</v>
      </c>
      <c r="AO316" s="203">
        <f t="shared" ca="1" si="644"/>
        <v>2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0</v>
      </c>
      <c r="AT316" s="203">
        <f t="shared" ca="1" si="647"/>
        <v>2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ref="U318:U324" ca="1" si="654">+L318-T318</f>
        <v>2</v>
      </c>
      <c r="V318" s="203">
        <f t="shared" ref="V318:V324" ca="1" si="655">ROUNDDOWN(T318/J318,0)</f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0</v>
      </c>
      <c r="AO318" s="203">
        <f t="shared" ref="AO318:AO324" ca="1" si="661">+AM318-AN318</f>
        <v>1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0</v>
      </c>
      <c r="AT318" s="203">
        <f t="shared" ref="AT318:AT324" ca="1" si="664">+AR318-AS318</f>
        <v>1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03">
        <f t="shared" ca="1" si="654"/>
        <v>4</v>
      </c>
      <c r="V321" s="203">
        <f t="shared" ca="1" si="655"/>
        <v>0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0</v>
      </c>
      <c r="AO321" s="203">
        <f t="shared" ca="1" si="661"/>
        <v>2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0</v>
      </c>
      <c r="AT321" s="203">
        <f t="shared" ca="1" si="664"/>
        <v>2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203">
        <f t="shared" ca="1" si="654"/>
        <v>2</v>
      </c>
      <c r="V323" s="203">
        <f t="shared" ca="1" si="655"/>
        <v>0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0</v>
      </c>
      <c r="AO323" s="203">
        <f t="shared" ca="1" si="661"/>
        <v>1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0</v>
      </c>
      <c r="AT323" s="203">
        <f t="shared" ca="1" si="664"/>
        <v>1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0.33333333333333331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03">
        <f t="shared" ref="U327:U333" ca="1" si="680">+L327-T327</f>
        <v>2</v>
      </c>
      <c r="V327" s="203">
        <f t="shared" ref="V327:V333" ca="1" si="681">ROUNDDOWN(T327/J327,0)</f>
        <v>0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0</v>
      </c>
      <c r="AO327" s="203">
        <f t="shared" ref="AO327:AO333" ca="1" si="687">+AM327-AN327</f>
        <v>1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03">
        <f t="shared" ca="1" si="680"/>
        <v>4</v>
      </c>
      <c r="V328" s="203">
        <f t="shared" ca="1" si="681"/>
        <v>0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0</v>
      </c>
      <c r="AO328" s="203">
        <f t="shared" ca="1" si="687"/>
        <v>2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0</v>
      </c>
      <c r="AT328" s="203">
        <f t="shared" ca="1" si="690"/>
        <v>2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0.33333333333333331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203">
        <f t="shared" ref="U335:U338" ca="1" si="697">+L335-T335</f>
        <v>2</v>
      </c>
      <c r="V335" s="203">
        <f t="shared" ref="V335:V338" ca="1" si="698">ROUNDDOWN(T335/J335,0)</f>
        <v>0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0</v>
      </c>
      <c r="AO335" s="203">
        <f t="shared" ref="AO335:AO338" ca="1" si="704">+AM335-AN335</f>
        <v>1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0</v>
      </c>
      <c r="AT335" s="203">
        <f t="shared" ref="AT335:AT338" ca="1" si="707">+AR335-AS335</f>
        <v>1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203">
        <f t="shared" ca="1" si="697"/>
        <v>2</v>
      </c>
      <c r="V337" s="203">
        <f t="shared" ca="1" si="698"/>
        <v>0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0</v>
      </c>
      <c r="AO337" s="203">
        <f t="shared" ca="1" si="704"/>
        <v>1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03">
        <f t="shared" ca="1" si="697"/>
        <v>2</v>
      </c>
      <c r="V338" s="203">
        <f t="shared" ca="1" si="698"/>
        <v>0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0</v>
      </c>
      <c r="AO338" s="203">
        <f t="shared" ca="1" si="704"/>
        <v>1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43" ca="1" si="713">+L340-T340</f>
        <v>2</v>
      </c>
      <c r="V340" s="203">
        <f t="shared" ref="V340:V343" ca="1" si="714">ROUNDDOWN(T340/J340,0)</f>
        <v>0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0</v>
      </c>
      <c r="AO340" s="203">
        <f t="shared" ref="AO340:AO343" ca="1" si="720">+AM340-AN340</f>
        <v>1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0</v>
      </c>
      <c r="AT340" s="203">
        <f t="shared" ref="AT340:AT343" ca="1" si="723">+AR340-AS340</f>
        <v>1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713"/>
        <v>2</v>
      </c>
      <c r="V342" s="203">
        <f t="shared" ca="1" si="714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0</v>
      </c>
      <c r="AO342" s="203">
        <f t="shared" ca="1" si="720"/>
        <v>1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713"/>
        <v>2</v>
      </c>
      <c r="V343" s="203">
        <f t="shared" ca="1" si="714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0</v>
      </c>
      <c r="AO343" s="203">
        <f t="shared" ca="1" si="720"/>
        <v>1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0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0</v>
      </c>
      <c r="U345" s="203">
        <f t="shared" ref="U345:U362" ca="1" si="730">+L345-T345</f>
        <v>2</v>
      </c>
      <c r="V345" s="203">
        <f t="shared" ref="V345:V362" ca="1" si="731">ROUNDDOWN(T345/J345,0)</f>
        <v>0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0</v>
      </c>
      <c r="AO345" s="203">
        <f t="shared" ref="AO345:AO362" ca="1" si="741">+AM345-AN345</f>
        <v>1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0</v>
      </c>
      <c r="AT345" s="203">
        <f t="shared" ref="AT345:AT362" ca="1" si="746">+AR345-AS345</f>
        <v>1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730"/>
        <v>2</v>
      </c>
      <c r="V346" s="203">
        <f t="shared" ca="1" si="731"/>
        <v>0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0</v>
      </c>
      <c r="AO346" s="203">
        <f t="shared" ca="1" si="741"/>
        <v>1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0</v>
      </c>
      <c r="AT346" s="203">
        <f t="shared" ca="1" si="746"/>
        <v>1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0</v>
      </c>
      <c r="U349" s="203">
        <f t="shared" ca="1" si="730"/>
        <v>4</v>
      </c>
      <c r="V349" s="203">
        <f t="shared" ca="1" si="731"/>
        <v>0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0</v>
      </c>
      <c r="AO349" s="203">
        <f t="shared" ca="1" si="741"/>
        <v>2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0</v>
      </c>
      <c r="AT349" s="203">
        <f t="shared" ca="1" si="746"/>
        <v>2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03">
        <f t="shared" ca="1" si="730"/>
        <v>4</v>
      </c>
      <c r="V358" s="203">
        <f t="shared" ca="1" si="731"/>
        <v>0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0</v>
      </c>
      <c r="AO358" s="203">
        <f t="shared" ca="1" si="741"/>
        <v>2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0</v>
      </c>
      <c r="AT358" s="203">
        <f t="shared" ca="1" si="746"/>
        <v>2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03">
        <f t="shared" ca="1" si="730"/>
        <v>2</v>
      </c>
      <c r="V360" s="203">
        <f t="shared" ca="1" si="731"/>
        <v>0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0</v>
      </c>
      <c r="AO360" s="203">
        <f t="shared" ca="1" si="741"/>
        <v>1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0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203">
        <f t="shared" ca="1" si="756"/>
        <v>2</v>
      </c>
      <c r="V365" s="203">
        <f t="shared" ca="1" si="757"/>
        <v>0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0</v>
      </c>
      <c r="AO365" s="203">
        <f t="shared" ca="1" si="767"/>
        <v>1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03">
        <f t="shared" ca="1" si="756"/>
        <v>2</v>
      </c>
      <c r="V366" s="203">
        <f t="shared" ca="1" si="757"/>
        <v>0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0</v>
      </c>
      <c r="AO366" s="203">
        <f t="shared" ca="1" si="767"/>
        <v>1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0</v>
      </c>
      <c r="AT366" s="203">
        <f t="shared" ca="1" si="772"/>
        <v>1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56"/>
        <v>4</v>
      </c>
      <c r="V367" s="203">
        <f t="shared" ca="1" si="757"/>
        <v>0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0</v>
      </c>
      <c r="AO367" s="203">
        <f t="shared" ca="1" si="767"/>
        <v>2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0</v>
      </c>
      <c r="AT367" s="203">
        <f t="shared" ca="1" si="772"/>
        <v>2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0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82"/>
        <v>4</v>
      </c>
      <c r="V380" s="203">
        <f t="shared" ca="1" si="78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0</v>
      </c>
      <c r="AO380" s="203">
        <f t="shared" ca="1" si="793"/>
        <v>2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0</v>
      </c>
      <c r="AT380" s="203">
        <f t="shared" ca="1" si="798"/>
        <v>2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0</v>
      </c>
      <c r="U419" s="203">
        <f t="shared" ca="1" si="910"/>
        <v>2</v>
      </c>
      <c r="V419" s="203">
        <f t="shared" ca="1" si="911"/>
        <v>0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0</v>
      </c>
      <c r="AO419" s="203">
        <f t="shared" ca="1" si="919"/>
        <v>1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0.30769230769230771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03">
        <f t="shared" ca="1" si="1032"/>
        <v>2</v>
      </c>
      <c r="V476" s="203">
        <f t="shared" ca="1" si="1033"/>
        <v>0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0</v>
      </c>
      <c r="AJ476" s="203">
        <f t="shared" ca="1" si="1036"/>
        <v>2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0.33333333333333331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ca="1" si="1049"/>
        <v>5</v>
      </c>
      <c r="V489" s="203">
        <f t="shared" ca="1" si="1050"/>
        <v>0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0</v>
      </c>
      <c r="AJ489" s="203">
        <f t="shared" ca="1" si="1053"/>
        <v>5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0</v>
      </c>
      <c r="X491" s="192">
        <f ca="1">SUMIFS(T:T,C:C,C491,AE:AE,"")/SUMIFS(L:L,C:C,C491,AE:AE,"",AB:AB,"")</f>
        <v>0.66666666666666663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0.33333333333333331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0.33333333333333331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0.33333333333333331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0.32258064516129031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0.33333333333333331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0.33333333333333331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0.33333333333333331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0.33333333333333331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/>
      <c r="AI729" s="181"/>
      <c r="AJ729" s="181"/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/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2026-09-08T09:30:55Z</dcterms:modified>
</cp:coreProperties>
</file>